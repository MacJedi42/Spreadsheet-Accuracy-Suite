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defaultThemeVersion="124226"/>
  <bookViews>
    <workbookView xWindow="480" yWindow="105" windowWidth="15480" windowHeight="9975" tabRatio="944" firstSheet="2" activeTab="2"/>
  </bookViews>
  <sheets>
    <sheet name="Yearly Comparison Chart (old)" sheetId="2" state="hidden" r:id="rId1"/>
    <sheet name="Original Data" sheetId="3" state="hidden" r:id="rId2"/>
    <sheet name="FOIA Letter" sheetId="17" r:id="rId3"/>
    <sheet name="FINAL Attendee List 6.4.12" sheetId="16" r:id="rId4"/>
  </sheets>
  <externalReferences>
    <externalReference r:id="rId5"/>
  </externalReferences>
  <calcPr calcId="125725"/>
</workbook>
</file>

<file path=xl/calcChain.xml><?xml version="1.0" encoding="utf-8"?>
<calcChain xmlns="http://schemas.openxmlformats.org/spreadsheetml/2006/main">
  <c r="L119" i="3"/>
  <c r="K119"/>
  <c r="J119"/>
  <c r="I119"/>
  <c r="H119"/>
  <c r="G119"/>
  <c r="F119"/>
  <c r="E119"/>
  <c r="D119"/>
  <c r="C119"/>
  <c r="B119"/>
  <c r="L114"/>
  <c r="K114"/>
  <c r="J114"/>
  <c r="I114"/>
  <c r="H114"/>
  <c r="G114"/>
  <c r="F114"/>
  <c r="E114"/>
  <c r="D114"/>
  <c r="C114"/>
  <c r="B114"/>
  <c r="M113"/>
  <c r="P63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E56"/>
  <c r="L48"/>
  <c r="K48"/>
  <c r="J48"/>
  <c r="I48"/>
  <c r="H48"/>
  <c r="G48"/>
  <c r="F48"/>
  <c r="E48"/>
  <c r="D48"/>
  <c r="C48"/>
  <c r="B48"/>
  <c r="F15"/>
  <c r="E15"/>
  <c r="D15"/>
  <c r="C15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<sst xmlns="http://schemas.openxmlformats.org/spreadsheetml/2006/main" count="24088" uniqueCount="9408">
  <si>
    <t>Region #</t>
  </si>
  <si>
    <t>Region</t>
  </si>
  <si>
    <t>Goal</t>
  </si>
  <si>
    <t>Actual</t>
  </si>
  <si>
    <t>New England</t>
  </si>
  <si>
    <t>Northeast Caribbean</t>
  </si>
  <si>
    <t>Mid-Atlantic</t>
  </si>
  <si>
    <t xml:space="preserve">Southeast Sunbelt             </t>
  </si>
  <si>
    <t xml:space="preserve">Great Lakes                   </t>
  </si>
  <si>
    <t>Heartland                          </t>
  </si>
  <si>
    <t>Greater Southwest</t>
  </si>
  <si>
    <t>Rocky Mountain</t>
  </si>
  <si>
    <t xml:space="preserve">Pacific Rim                   </t>
  </si>
  <si>
    <t xml:space="preserve">Northwest/Arctic              </t>
  </si>
  <si>
    <t>National Capital</t>
  </si>
  <si>
    <t>22 weeks from 11/17/11 thru 4/12/12</t>
  </si>
  <si>
    <t>Great Lakes</t>
  </si>
  <si>
    <t>Heartland</t>
  </si>
  <si>
    <t>Pacific Rim</t>
  </si>
  <si>
    <t xml:space="preserve">National Capital  </t>
  </si>
  <si>
    <t>Final report</t>
  </si>
  <si>
    <t>import date</t>
  </si>
  <si>
    <t>2012 - San Antonio</t>
  </si>
  <si>
    <t>2011 - San Diego</t>
  </si>
  <si>
    <t>2010 - Orlando</t>
  </si>
  <si>
    <t>2009 - San Antonio</t>
  </si>
  <si>
    <t>2008 - Anaheim</t>
  </si>
  <si>
    <t>2007 - Orlando</t>
  </si>
  <si>
    <t>Word of Mouth</t>
  </si>
  <si>
    <t>Email</t>
  </si>
  <si>
    <t>GSA Representative</t>
  </si>
  <si>
    <t>Invitation</t>
  </si>
  <si>
    <t>Print/Newspaper/Magazine Advertisement</t>
  </si>
  <si>
    <t>Expo Web Site</t>
  </si>
  <si>
    <t>Flyer/Poster</t>
  </si>
  <si>
    <t>Charge Card Statement/Insert</t>
  </si>
  <si>
    <t>Previous GSA Expo</t>
  </si>
  <si>
    <t>MarkeTips</t>
  </si>
  <si>
    <t>Web Banner Advertisement</t>
  </si>
  <si>
    <t>Yearly Comparison</t>
  </si>
  <si>
    <t>2006 - 2012</t>
  </si>
  <si>
    <t>as of 02-09-12</t>
  </si>
  <si>
    <t xml:space="preserve"> </t>
  </si>
  <si>
    <t>Prefix/Rank</t>
  </si>
  <si>
    <t>Title</t>
  </si>
  <si>
    <t>Company Name</t>
  </si>
  <si>
    <t>First Name</t>
  </si>
  <si>
    <t>Last Name</t>
  </si>
  <si>
    <t>Address 1</t>
  </si>
  <si>
    <t>Address 2</t>
  </si>
  <si>
    <t>City</t>
  </si>
  <si>
    <t>Country</t>
  </si>
  <si>
    <t>Main Number</t>
  </si>
  <si>
    <t>Fax Number</t>
  </si>
  <si>
    <t>Agency</t>
  </si>
  <si>
    <t>Bureau</t>
  </si>
  <si>
    <t>If Other is selected, enter Bureau name here</t>
  </si>
  <si>
    <t>Role</t>
  </si>
  <si>
    <t>Rank/Grade</t>
  </si>
  <si>
    <t>Purchase Authority</t>
  </si>
  <si>
    <t>Job Category</t>
  </si>
  <si>
    <t>E-Mail Address</t>
  </si>
  <si>
    <t>Gregory</t>
  </si>
  <si>
    <t>NJ</t>
  </si>
  <si>
    <t>United States</t>
  </si>
  <si>
    <t>Northeast &amp; Caribbean</t>
  </si>
  <si>
    <t>Decision Maker</t>
  </si>
  <si>
    <t>Up to $25,000</t>
  </si>
  <si>
    <t>Maintenance/Manufacturing</t>
  </si>
  <si>
    <t>Other</t>
  </si>
  <si>
    <t>PA</t>
  </si>
  <si>
    <t>Mid Atlantic</t>
  </si>
  <si>
    <t>No Authority</t>
  </si>
  <si>
    <t>Administrative Support</t>
  </si>
  <si>
    <t>Ellen</t>
  </si>
  <si>
    <t>TX</t>
  </si>
  <si>
    <t>GS/GM - 6</t>
  </si>
  <si>
    <t>Up to $3,000</t>
  </si>
  <si>
    <t>Supply/Logistics</t>
  </si>
  <si>
    <t>Andre</t>
  </si>
  <si>
    <t>Adams</t>
  </si>
  <si>
    <t>250 E Street, SW</t>
  </si>
  <si>
    <t>Washington</t>
  </si>
  <si>
    <t>DC</t>
  </si>
  <si>
    <t>20219</t>
  </si>
  <si>
    <t>Other Treasury Department</t>
  </si>
  <si>
    <t>Office of the Comptroller of the Currenc</t>
  </si>
  <si>
    <t>GS/GM - 13</t>
  </si>
  <si>
    <t>Over $100,000</t>
  </si>
  <si>
    <t>Acquisition/Contracting/Purchasing</t>
  </si>
  <si>
    <t>Peter</t>
  </si>
  <si>
    <t>959 E. Confederate Ave., SE</t>
  </si>
  <si>
    <t>Atlanta</t>
  </si>
  <si>
    <t>GA</t>
  </si>
  <si>
    <t>30316</t>
  </si>
  <si>
    <t>404-624-7894</t>
  </si>
  <si>
    <t>State or Local Government</t>
  </si>
  <si>
    <t>Law Enforcement</t>
  </si>
  <si>
    <t>Southeast Sunbelt</t>
  </si>
  <si>
    <t>Accounting/Budget/Financial</t>
  </si>
  <si>
    <t>padams@gsp.net</t>
  </si>
  <si>
    <t>Mary</t>
  </si>
  <si>
    <t>NSOF</t>
  </si>
  <si>
    <t>4231 Suitland Road</t>
  </si>
  <si>
    <t>Suitland</t>
  </si>
  <si>
    <t>MD</t>
  </si>
  <si>
    <t>20746</t>
  </si>
  <si>
    <t>2406767091</t>
  </si>
  <si>
    <t>NOAA</t>
  </si>
  <si>
    <t>GS/GM - 14</t>
  </si>
  <si>
    <t>Information Technology</t>
  </si>
  <si>
    <t>Mary.Adams@noaa.gov</t>
  </si>
  <si>
    <t>Mr.</t>
  </si>
  <si>
    <t>Charlie</t>
  </si>
  <si>
    <t>MI</t>
  </si>
  <si>
    <t>Influencer</t>
  </si>
  <si>
    <t>Other Civilian</t>
  </si>
  <si>
    <t>Robert</t>
  </si>
  <si>
    <t>Up to $100,000</t>
  </si>
  <si>
    <t>10304 Eaton Place</t>
  </si>
  <si>
    <t>Fairfax</t>
  </si>
  <si>
    <t>VA</t>
  </si>
  <si>
    <t>22030</t>
  </si>
  <si>
    <t>Federal Acquisition Service</t>
  </si>
  <si>
    <t>Rick</t>
  </si>
  <si>
    <t>WA</t>
  </si>
  <si>
    <t>Northwest/Arctic</t>
  </si>
  <si>
    <t>WY</t>
  </si>
  <si>
    <t>OR</t>
  </si>
  <si>
    <t>Other Department Of Labor</t>
  </si>
  <si>
    <t>GS/GM - 10</t>
  </si>
  <si>
    <t>Human Resources</t>
  </si>
  <si>
    <t>Adkins</t>
  </si>
  <si>
    <t>20250</t>
  </si>
  <si>
    <t>Other Agriculture</t>
  </si>
  <si>
    <t>Facilities Management</t>
  </si>
  <si>
    <t>Suzanne</t>
  </si>
  <si>
    <t>Agee</t>
  </si>
  <si>
    <t>2604 Jefferson Davis Highway</t>
  </si>
  <si>
    <t>Alexandria</t>
  </si>
  <si>
    <t>22301</t>
  </si>
  <si>
    <t>202-307-9059</t>
  </si>
  <si>
    <t>202-307-9456</t>
  </si>
  <si>
    <t>US Marshals Service</t>
  </si>
  <si>
    <t>Requirements Developer</t>
  </si>
  <si>
    <t>GS/GM - 12</t>
  </si>
  <si>
    <t>suzanne.agee@usdoj.gov</t>
  </si>
  <si>
    <t>GS-11</t>
  </si>
  <si>
    <t>HI</t>
  </si>
  <si>
    <t>Maria</t>
  </si>
  <si>
    <t>Alba</t>
  </si>
  <si>
    <t>PO Box 76</t>
  </si>
  <si>
    <t>Hines</t>
  </si>
  <si>
    <t>IL</t>
  </si>
  <si>
    <t>60141</t>
  </si>
  <si>
    <t>708-786-7669</t>
  </si>
  <si>
    <t>Other Veterans Affairs</t>
  </si>
  <si>
    <t>Office of Acquisition and Logistics</t>
  </si>
  <si>
    <t>Not Applicable</t>
  </si>
  <si>
    <t>maria.alba@va.gov</t>
  </si>
  <si>
    <t>Kevin</t>
  </si>
  <si>
    <t>Bloomington</t>
  </si>
  <si>
    <t>MN</t>
  </si>
  <si>
    <t>US Fish &amp; Wildlife Service</t>
  </si>
  <si>
    <t>Mrs.</t>
  </si>
  <si>
    <t>Teresita</t>
  </si>
  <si>
    <t>Albornoz</t>
  </si>
  <si>
    <t>Calle F con Suapure</t>
  </si>
  <si>
    <t>Edif. Embajada Americana</t>
  </si>
  <si>
    <t>caracas</t>
  </si>
  <si>
    <t>20521</t>
  </si>
  <si>
    <t xml:space="preserve">Venezuela                </t>
  </si>
  <si>
    <t>58-212-907807</t>
  </si>
  <si>
    <t>58-212-907868</t>
  </si>
  <si>
    <t>Department of State</t>
  </si>
  <si>
    <t>Bureau Of Administration</t>
  </si>
  <si>
    <t>Civilian Officer</t>
  </si>
  <si>
    <t>albornozt@state.gov</t>
  </si>
  <si>
    <t>Medical</t>
  </si>
  <si>
    <t>Alexander</t>
  </si>
  <si>
    <t>20520</t>
  </si>
  <si>
    <t>Other State Department</t>
  </si>
  <si>
    <t>GS/GM - 9</t>
  </si>
  <si>
    <t>Ronnie</t>
  </si>
  <si>
    <t>20755</t>
  </si>
  <si>
    <t>GS/GM - 11</t>
  </si>
  <si>
    <t>DALLAS</t>
  </si>
  <si>
    <t>75216</t>
  </si>
  <si>
    <t>Veterans Health Administration</t>
  </si>
  <si>
    <t>GS/GM - 7</t>
  </si>
  <si>
    <t>Delores</t>
  </si>
  <si>
    <t>Arlington</t>
  </si>
  <si>
    <t>22202</t>
  </si>
  <si>
    <t>Chicago</t>
  </si>
  <si>
    <t>60604</t>
  </si>
  <si>
    <t>Customer Service/Marketing</t>
  </si>
  <si>
    <t>SC</t>
  </si>
  <si>
    <t>Dawn</t>
  </si>
  <si>
    <t>Allison</t>
  </si>
  <si>
    <t>Lisa</t>
  </si>
  <si>
    <t>CA</t>
  </si>
  <si>
    <t>20407</t>
  </si>
  <si>
    <t>Other GSA</t>
  </si>
  <si>
    <t>General/Admiral (07-010)</t>
  </si>
  <si>
    <t>Engineering</t>
  </si>
  <si>
    <t>Operations</t>
  </si>
  <si>
    <t>Pearl</t>
  </si>
  <si>
    <t>Tucson</t>
  </si>
  <si>
    <t>AZ</t>
  </si>
  <si>
    <t>Overseas Embassies And Consular Affairs</t>
  </si>
  <si>
    <t>N/A</t>
  </si>
  <si>
    <t>John</t>
  </si>
  <si>
    <t>Corpus Christi</t>
  </si>
  <si>
    <t>Tony</t>
  </si>
  <si>
    <t>NM</t>
  </si>
  <si>
    <t>Kelly</t>
  </si>
  <si>
    <t>Jennifer</t>
  </si>
  <si>
    <t>Anderson</t>
  </si>
  <si>
    <t>1800 F Street, NW</t>
  </si>
  <si>
    <t>Washington DC</t>
  </si>
  <si>
    <t>20405</t>
  </si>
  <si>
    <t>Public Buildings Service</t>
  </si>
  <si>
    <t>GS</t>
  </si>
  <si>
    <t>Larry</t>
  </si>
  <si>
    <t>Quantico</t>
  </si>
  <si>
    <t>Regina</t>
  </si>
  <si>
    <t>Albuquerque</t>
  </si>
  <si>
    <t>87109</t>
  </si>
  <si>
    <t>Forest Service</t>
  </si>
  <si>
    <t>Don</t>
  </si>
  <si>
    <t>LA</t>
  </si>
  <si>
    <t>Scott</t>
  </si>
  <si>
    <t>GS-14</t>
  </si>
  <si>
    <t>Sabrina</t>
  </si>
  <si>
    <t>Anwar</t>
  </si>
  <si>
    <t>2200 Crystal Drive</t>
  </si>
  <si>
    <t>703-6038278</t>
  </si>
  <si>
    <t>sabrina.anwar@gsa.gov</t>
  </si>
  <si>
    <t>Stephanie</t>
  </si>
  <si>
    <t>SAN ANTONIO</t>
  </si>
  <si>
    <t>Mechellette</t>
  </si>
  <si>
    <t>Arenque</t>
  </si>
  <si>
    <t>975 Kirman Avenue</t>
  </si>
  <si>
    <t>Reno</t>
  </si>
  <si>
    <t>NV</t>
  </si>
  <si>
    <t>89502</t>
  </si>
  <si>
    <t>775-328-1440</t>
  </si>
  <si>
    <t>Mechellete.Arenque@va.gov</t>
  </si>
  <si>
    <t>Bureau Of Reclamation</t>
  </si>
  <si>
    <t>Arnold</t>
  </si>
  <si>
    <t>Ms.</t>
  </si>
  <si>
    <t>Dana</t>
  </si>
  <si>
    <t>806</t>
  </si>
  <si>
    <t>703-605-0534</t>
  </si>
  <si>
    <t>GS/GM - 15</t>
  </si>
  <si>
    <t>dana.arnold@gsa.gov</t>
  </si>
  <si>
    <t>MO</t>
  </si>
  <si>
    <t>Arthur</t>
  </si>
  <si>
    <t>Washington, DC</t>
  </si>
  <si>
    <t>20201</t>
  </si>
  <si>
    <t>Other Health &amp; Human Services</t>
  </si>
  <si>
    <t>Transportation</t>
  </si>
  <si>
    <t>Colleen</t>
  </si>
  <si>
    <t>Athey</t>
  </si>
  <si>
    <t>P.O. Box 1088</t>
  </si>
  <si>
    <t>Austin</t>
  </si>
  <si>
    <t>78767</t>
  </si>
  <si>
    <t>512-972-4012</t>
  </si>
  <si>
    <t>Other State or Local Government</t>
  </si>
  <si>
    <t>colleen.athey@austintexas.gov</t>
  </si>
  <si>
    <t>Norfolk</t>
  </si>
  <si>
    <t>GS7</t>
  </si>
  <si>
    <t>Mark</t>
  </si>
  <si>
    <t>Aucello</t>
  </si>
  <si>
    <t>20 N. 8th Street</t>
  </si>
  <si>
    <t>Strawbridge Building</t>
  </si>
  <si>
    <t>Philadelphia</t>
  </si>
  <si>
    <t>19107</t>
  </si>
  <si>
    <t>215-446-5802</t>
  </si>
  <si>
    <t>10th Floor</t>
  </si>
  <si>
    <t>mark.aucello@gsa.gov</t>
  </si>
  <si>
    <t>Food, Sports and Recreation</t>
  </si>
  <si>
    <t>Cheryl</t>
  </si>
  <si>
    <t>Anna</t>
  </si>
  <si>
    <t>20530</t>
  </si>
  <si>
    <t>Other Department Of Justice</t>
  </si>
  <si>
    <t>Michael</t>
  </si>
  <si>
    <t>Baca</t>
  </si>
  <si>
    <t>1300 Pennsylvania Ave NW Rm 6.6.10</t>
  </si>
  <si>
    <t>Washington DC 20523</t>
  </si>
  <si>
    <t>20523</t>
  </si>
  <si>
    <t>202-712-4292</t>
  </si>
  <si>
    <t>US AID</t>
  </si>
  <si>
    <t>GC</t>
  </si>
  <si>
    <t>mbaca@usaid.gov</t>
  </si>
  <si>
    <t>Angelica</t>
  </si>
  <si>
    <t>4171 N. Mesa Bldg. C-100</t>
  </si>
  <si>
    <t>El Paso</t>
  </si>
  <si>
    <t>79902</t>
  </si>
  <si>
    <t>915-832-4757</t>
  </si>
  <si>
    <t>915-832-4192</t>
  </si>
  <si>
    <t>International Boundary &amp; Water Commissio</t>
  </si>
  <si>
    <t>angelica.baca@ibwc.gov</t>
  </si>
  <si>
    <t>George</t>
  </si>
  <si>
    <t>Baden</t>
  </si>
  <si>
    <t>703-350-7277</t>
  </si>
  <si>
    <t>george.baden@gsa.gov</t>
  </si>
  <si>
    <t>Debra</t>
  </si>
  <si>
    <t>Brian</t>
  </si>
  <si>
    <t>Bailey</t>
  </si>
  <si>
    <t>Denver Federal Center</t>
  </si>
  <si>
    <t>Bldg. 41</t>
  </si>
  <si>
    <t>Denver</t>
  </si>
  <si>
    <t>CO</t>
  </si>
  <si>
    <t>80225</t>
  </si>
  <si>
    <t>303-236-5041</t>
  </si>
  <si>
    <t>Rocky Mtn.</t>
  </si>
  <si>
    <t>brian.bailey@gsa.gov</t>
  </si>
  <si>
    <t>10 Causeway Street</t>
  </si>
  <si>
    <t>Boston</t>
  </si>
  <si>
    <t>MA</t>
  </si>
  <si>
    <t>02222</t>
  </si>
  <si>
    <t>Ms</t>
  </si>
  <si>
    <t>Baker</t>
  </si>
  <si>
    <t>NY</t>
  </si>
  <si>
    <t>Deor</t>
  </si>
  <si>
    <t>703-306-6810</t>
  </si>
  <si>
    <t>deor.baker@gsa.gov</t>
  </si>
  <si>
    <t>77 Forsyth Street</t>
  </si>
  <si>
    <t>30303</t>
  </si>
  <si>
    <t>Jodi</t>
  </si>
  <si>
    <t>Ballard</t>
  </si>
  <si>
    <t>3150 Springboro Rd</t>
  </si>
  <si>
    <t>Dayton</t>
  </si>
  <si>
    <t>OH</t>
  </si>
  <si>
    <t>45439</t>
  </si>
  <si>
    <t>937-425-0607</t>
  </si>
  <si>
    <t>National Archives &amp; Records Administration</t>
  </si>
  <si>
    <t>jodi.ballard@nara.gov</t>
  </si>
  <si>
    <t>Nancy</t>
  </si>
  <si>
    <t>Bamford</t>
  </si>
  <si>
    <t>1500 E. Bannister Rd.</t>
  </si>
  <si>
    <t>Kansas City</t>
  </si>
  <si>
    <t>64131</t>
  </si>
  <si>
    <t>816-823-1278</t>
  </si>
  <si>
    <t>816-823-3474</t>
  </si>
  <si>
    <t>nancy.bamford@gsa.gov</t>
  </si>
  <si>
    <t>1500 E. Bannister Road</t>
  </si>
  <si>
    <t>Sr Agency Management Official</t>
  </si>
  <si>
    <t>Charles</t>
  </si>
  <si>
    <t>LaVida</t>
  </si>
  <si>
    <t>Barnes</t>
  </si>
  <si>
    <t>819 Taylor Street</t>
  </si>
  <si>
    <t>Room 13A33</t>
  </si>
  <si>
    <t>Fort Worth</t>
  </si>
  <si>
    <t>76102</t>
  </si>
  <si>
    <t>817-978-0441</t>
  </si>
  <si>
    <t>lavida.barnes@gsa.gov</t>
  </si>
  <si>
    <t>Martha</t>
  </si>
  <si>
    <t>GS-15</t>
  </si>
  <si>
    <t>Tom</t>
  </si>
  <si>
    <t>Doug</t>
  </si>
  <si>
    <t>Portland</t>
  </si>
  <si>
    <t>Catherine</t>
  </si>
  <si>
    <t>Baskin</t>
  </si>
  <si>
    <t>Bastone</t>
  </si>
  <si>
    <t>Suite 8020A</t>
  </si>
  <si>
    <t>7036052589</t>
  </si>
  <si>
    <t>peter.bastone@gsa.gov</t>
  </si>
  <si>
    <t>AL</t>
  </si>
  <si>
    <t>Eric</t>
  </si>
  <si>
    <t>Beale</t>
  </si>
  <si>
    <t>1421 Jefferson Davis Highway</t>
  </si>
  <si>
    <t>703-603-2119</t>
  </si>
  <si>
    <t>AbilityOne Program</t>
  </si>
  <si>
    <t>ebeale@abilityone.gov</t>
  </si>
  <si>
    <t>Jeromena</t>
  </si>
  <si>
    <t>Beartusk</t>
  </si>
  <si>
    <t>8500 Doniphan Drive</t>
  </si>
  <si>
    <t>PO Box 1000</t>
  </si>
  <si>
    <t>Anthony</t>
  </si>
  <si>
    <t>88021</t>
  </si>
  <si>
    <t>915-791-9717</t>
  </si>
  <si>
    <t>915-791-9844</t>
  </si>
  <si>
    <t>Federal Bureau Of Prisons</t>
  </si>
  <si>
    <t>jbeartusk@bop.gov</t>
  </si>
  <si>
    <t>Michelle</t>
  </si>
  <si>
    <t>Cincinnati</t>
  </si>
  <si>
    <t>Other Department of Commerce</t>
  </si>
  <si>
    <t>Office of the Secretary</t>
  </si>
  <si>
    <t>Joseph</t>
  </si>
  <si>
    <t>Beeler</t>
  </si>
  <si>
    <t>1100 North College Street</t>
  </si>
  <si>
    <t>Fayetteville</t>
  </si>
  <si>
    <t>AR</t>
  </si>
  <si>
    <t>72703</t>
  </si>
  <si>
    <t>479-443-4301</t>
  </si>
  <si>
    <t>479-587-5967</t>
  </si>
  <si>
    <t>joseph.beeler@va.gov</t>
  </si>
  <si>
    <t>Marie</t>
  </si>
  <si>
    <t>Begay</t>
  </si>
  <si>
    <t>Phoenix</t>
  </si>
  <si>
    <t>85004</t>
  </si>
  <si>
    <t>602-364-5064</t>
  </si>
  <si>
    <t>Indian Health Service</t>
  </si>
  <si>
    <t>marie.begay2@ihs.gov</t>
  </si>
  <si>
    <t>Tedra</t>
  </si>
  <si>
    <t>P.O. Box 10146</t>
  </si>
  <si>
    <t>87184</t>
  </si>
  <si>
    <t>505-922-4097</t>
  </si>
  <si>
    <t>Bureau of Indian Affairs</t>
  </si>
  <si>
    <t>tedra.begay@bie.edu</t>
  </si>
  <si>
    <t>Andrew</t>
  </si>
  <si>
    <t>GS-12</t>
  </si>
  <si>
    <t>Bedford</t>
  </si>
  <si>
    <t>Kathy</t>
  </si>
  <si>
    <t>Houston</t>
  </si>
  <si>
    <t>77032</t>
  </si>
  <si>
    <t>Sarah</t>
  </si>
  <si>
    <t>Bennett</t>
  </si>
  <si>
    <t>San Antonio</t>
  </si>
  <si>
    <t>New Orleans</t>
  </si>
  <si>
    <t>Veterans Benefits Administration</t>
  </si>
  <si>
    <t>Benton</t>
  </si>
  <si>
    <t>Scientific</t>
  </si>
  <si>
    <t>FL</t>
  </si>
  <si>
    <t>Diane</t>
  </si>
  <si>
    <t>St. Louis</t>
  </si>
  <si>
    <t>Justin</t>
  </si>
  <si>
    <t>2203 N. Lois Avenue</t>
  </si>
  <si>
    <t>Suite 1100</t>
  </si>
  <si>
    <t>Tampa</t>
  </si>
  <si>
    <t>33607</t>
  </si>
  <si>
    <t>813-348-1630</t>
  </si>
  <si>
    <t>Gulf of Mexico Fishery Management Cncl</t>
  </si>
  <si>
    <t>Kathy.Pereira@noaa.gov</t>
  </si>
  <si>
    <t>Paula</t>
  </si>
  <si>
    <t>78744</t>
  </si>
  <si>
    <t>Internal Revenue Service</t>
  </si>
  <si>
    <t>Berry</t>
  </si>
  <si>
    <t>11600 Springfield Road</t>
  </si>
  <si>
    <t>Laurel</t>
  </si>
  <si>
    <t>20708</t>
  </si>
  <si>
    <t>Federal Government</t>
  </si>
  <si>
    <t>James</t>
  </si>
  <si>
    <t>Alice</t>
  </si>
  <si>
    <t>22135</t>
  </si>
  <si>
    <t>Federal Bureau Of Investigation</t>
  </si>
  <si>
    <t>Karen</t>
  </si>
  <si>
    <t>Beyer</t>
  </si>
  <si>
    <t>10001 Reunion Place, Ste 114</t>
  </si>
  <si>
    <t>78216</t>
  </si>
  <si>
    <t>210-382-1853</t>
  </si>
  <si>
    <t>karen.beyer@gsa.gov</t>
  </si>
  <si>
    <t>arlington</t>
  </si>
  <si>
    <t>Bigos</t>
  </si>
  <si>
    <t>800 Dolorosa</t>
  </si>
  <si>
    <t>Room 203</t>
  </si>
  <si>
    <t>78207</t>
  </si>
  <si>
    <t>210-472-5040</t>
  </si>
  <si>
    <t>210-472-5045</t>
  </si>
  <si>
    <t>OSHA</t>
  </si>
  <si>
    <t>bigos.john@dol.gov</t>
  </si>
  <si>
    <t>Baton Rouge</t>
  </si>
  <si>
    <t>Barbara</t>
  </si>
  <si>
    <t>Birch</t>
  </si>
  <si>
    <t>300 E Street SW</t>
  </si>
  <si>
    <t>20546</t>
  </si>
  <si>
    <t>2023580316</t>
  </si>
  <si>
    <t>National Aeronautics &amp; Space Administration</t>
  </si>
  <si>
    <t>barbara.a.birch@nasa.gov</t>
  </si>
  <si>
    <t>Bill</t>
  </si>
  <si>
    <t>MR.</t>
  </si>
  <si>
    <t>Bruce</t>
  </si>
  <si>
    <t>UT</t>
  </si>
  <si>
    <t>NC</t>
  </si>
  <si>
    <t>Blake</t>
  </si>
  <si>
    <t>200 Technology Way</t>
  </si>
  <si>
    <t>College Station</t>
  </si>
  <si>
    <t>77845</t>
  </si>
  <si>
    <t>Emergency Preparedness</t>
  </si>
  <si>
    <t>Warren</t>
  </si>
  <si>
    <t>William</t>
  </si>
  <si>
    <t>Brenda</t>
  </si>
  <si>
    <t>Elizabeth</t>
  </si>
  <si>
    <t>Boese</t>
  </si>
  <si>
    <t>2501 West 22nd St</t>
  </si>
  <si>
    <t>Sioux Falls</t>
  </si>
  <si>
    <t>SD</t>
  </si>
  <si>
    <t>57105</t>
  </si>
  <si>
    <t>605-333-6820</t>
  </si>
  <si>
    <t>robert.boese@va.gov</t>
  </si>
  <si>
    <t>Nathan</t>
  </si>
  <si>
    <t>22041</t>
  </si>
  <si>
    <t>Barry</t>
  </si>
  <si>
    <t>Bornemann</t>
  </si>
  <si>
    <t>3100 North Creston</t>
  </si>
  <si>
    <t>Oklahoma City</t>
  </si>
  <si>
    <t>OK</t>
  </si>
  <si>
    <t>73111</t>
  </si>
  <si>
    <t>405-425-2700</t>
  </si>
  <si>
    <t>405-425-2713</t>
  </si>
  <si>
    <t>barry_bornemann@dcs.state.ok.us</t>
  </si>
  <si>
    <t>Borza</t>
  </si>
  <si>
    <t>4069 Targee Ave</t>
  </si>
  <si>
    <t>North Port</t>
  </si>
  <si>
    <t>34287</t>
  </si>
  <si>
    <t>941-257-2086</t>
  </si>
  <si>
    <t>Sarah.Borza@hhs.gov</t>
  </si>
  <si>
    <t>Richard</t>
  </si>
  <si>
    <t>Bouldin</t>
  </si>
  <si>
    <t>241 18th South, Suite 607</t>
  </si>
  <si>
    <t>703-603-0200</t>
  </si>
  <si>
    <t>GSA Headquarters</t>
  </si>
  <si>
    <t>barbara.bouldin@gsaig.gov</t>
  </si>
  <si>
    <t>Kim</t>
  </si>
  <si>
    <t>Bourner</t>
  </si>
  <si>
    <t>346 W. Michigan Ave.</t>
  </si>
  <si>
    <t>Kalamazoo</t>
  </si>
  <si>
    <t>49007</t>
  </si>
  <si>
    <t>269-568-8004</t>
  </si>
  <si>
    <t>Procurement Technical Assistance Center</t>
  </si>
  <si>
    <t>kbourner@kazoochamber.com</t>
  </si>
  <si>
    <t>Sylvia</t>
  </si>
  <si>
    <t>Linda</t>
  </si>
  <si>
    <t>Paul</t>
  </si>
  <si>
    <t>Bowman</t>
  </si>
  <si>
    <t>Ray</t>
  </si>
  <si>
    <t>Marcia</t>
  </si>
  <si>
    <t>Janice</t>
  </si>
  <si>
    <t>26 Federal Plaza</t>
  </si>
  <si>
    <t>10278</t>
  </si>
  <si>
    <t>Thomas</t>
  </si>
  <si>
    <t>Bragg</t>
  </si>
  <si>
    <t>230 S. Dearborn</t>
  </si>
  <si>
    <t>312-886-8899</t>
  </si>
  <si>
    <t>Nathan.Bragg@gsa.gov</t>
  </si>
  <si>
    <t>Miami</t>
  </si>
  <si>
    <t>Captain</t>
  </si>
  <si>
    <t>Patricia</t>
  </si>
  <si>
    <t>Suite 900</t>
  </si>
  <si>
    <t>Glendale</t>
  </si>
  <si>
    <t>80246</t>
  </si>
  <si>
    <t>Brewer</t>
  </si>
  <si>
    <t>US Postal Service</t>
  </si>
  <si>
    <t>Lawrence</t>
  </si>
  <si>
    <t>Sandra</t>
  </si>
  <si>
    <t>Francis</t>
  </si>
  <si>
    <t>Brocato</t>
  </si>
  <si>
    <t>One Indepenence Square</t>
  </si>
  <si>
    <t>202-874-4771</t>
  </si>
  <si>
    <t>Office of Comptroller of the Currency</t>
  </si>
  <si>
    <t>Francis.brocato@occ.treas.gov</t>
  </si>
  <si>
    <t>Port Hueneme</t>
  </si>
  <si>
    <t>93043</t>
  </si>
  <si>
    <t>Chris</t>
  </si>
  <si>
    <t>San Francisco</t>
  </si>
  <si>
    <t>94102</t>
  </si>
  <si>
    <t>Maureen</t>
  </si>
  <si>
    <t>Brown</t>
  </si>
  <si>
    <t>San Diego</t>
  </si>
  <si>
    <t>450 Golden Gate Ave</t>
  </si>
  <si>
    <t>Room 6602</t>
  </si>
  <si>
    <t>Gina</t>
  </si>
  <si>
    <t>washington</t>
  </si>
  <si>
    <t>BROWN</t>
  </si>
  <si>
    <t>TIMMY</t>
  </si>
  <si>
    <t>100 PRISON RD</t>
  </si>
  <si>
    <t>POB 699</t>
  </si>
  <si>
    <t>ESTILL</t>
  </si>
  <si>
    <t>29918</t>
  </si>
  <si>
    <t>803-625-4607</t>
  </si>
  <si>
    <t>803-625-5608</t>
  </si>
  <si>
    <t>T4BROWN@BOP.GOV</t>
  </si>
  <si>
    <t>AK</t>
  </si>
  <si>
    <t>US Congress</t>
  </si>
  <si>
    <t>Legal</t>
  </si>
  <si>
    <t>Pamela</t>
  </si>
  <si>
    <t>Angela</t>
  </si>
  <si>
    <t>Bryan</t>
  </si>
  <si>
    <t>None</t>
  </si>
  <si>
    <t>Katie</t>
  </si>
  <si>
    <t>Buehne</t>
  </si>
  <si>
    <t>GSA/5QCA</t>
  </si>
  <si>
    <t>8022 Joseph Court</t>
  </si>
  <si>
    <t>St. Rose</t>
  </si>
  <si>
    <t>62230</t>
  </si>
  <si>
    <t>6185260074</t>
  </si>
  <si>
    <t>katie.buehne@gsa.gov</t>
  </si>
  <si>
    <t>Bull</t>
  </si>
  <si>
    <t>1213 Johnson Street</t>
  </si>
  <si>
    <t>Benbrook</t>
  </si>
  <si>
    <t>76126</t>
  </si>
  <si>
    <t>817-307-8798</t>
  </si>
  <si>
    <t>Mary-Jane</t>
  </si>
  <si>
    <t>Education</t>
  </si>
  <si>
    <t>Whitney Police Dept</t>
  </si>
  <si>
    <t>Bullock</t>
  </si>
  <si>
    <t>8801 Kingsridge Drive</t>
  </si>
  <si>
    <t>45458</t>
  </si>
  <si>
    <t>937-425-0603</t>
  </si>
  <si>
    <t>pamela.bullock@nara.gov</t>
  </si>
  <si>
    <t>Monica</t>
  </si>
  <si>
    <t>Bumbray</t>
  </si>
  <si>
    <t>Suite 1000</t>
  </si>
  <si>
    <t>703-605-5591</t>
  </si>
  <si>
    <t>Monica.Bumbray@GSA.Gov</t>
  </si>
  <si>
    <t>Alicia</t>
  </si>
  <si>
    <t>Burks</t>
  </si>
  <si>
    <t>8700 Remount Road</t>
  </si>
  <si>
    <t>North Little Rock</t>
  </si>
  <si>
    <t>72118</t>
  </si>
  <si>
    <t>501-992-1023</t>
  </si>
  <si>
    <t>alicia.burks@adem.arkansas.gov</t>
  </si>
  <si>
    <t>9800 Savage Road</t>
  </si>
  <si>
    <t>Fort Meade</t>
  </si>
  <si>
    <t>Burr</t>
  </si>
  <si>
    <t>2100 Crystal Drive</t>
  </si>
  <si>
    <t>Suite 800</t>
  </si>
  <si>
    <t>703.605.3593</t>
  </si>
  <si>
    <t>peter.burr@gsa.gov</t>
  </si>
  <si>
    <t>Jeanne</t>
  </si>
  <si>
    <t>Burritt</t>
  </si>
  <si>
    <t>16650 State Route 536</t>
  </si>
  <si>
    <t>Mount Vernon</t>
  </si>
  <si>
    <t>98273</t>
  </si>
  <si>
    <t>360-848-6123</t>
  </si>
  <si>
    <t>360-848-6127</t>
  </si>
  <si>
    <t>Washington State University</t>
  </si>
  <si>
    <t>jburritt@wsu.edu</t>
  </si>
  <si>
    <t>Burton</t>
  </si>
  <si>
    <t>Judiciary</t>
  </si>
  <si>
    <t>Federal Courts - District Courts</t>
  </si>
  <si>
    <t>Jr</t>
  </si>
  <si>
    <t>Eva</t>
  </si>
  <si>
    <t>Judith</t>
  </si>
  <si>
    <t>Butler</t>
  </si>
  <si>
    <t>20240</t>
  </si>
  <si>
    <t>Other Department Of Interior</t>
  </si>
  <si>
    <t>Rockville</t>
  </si>
  <si>
    <t>20852</t>
  </si>
  <si>
    <t>OIG</t>
  </si>
  <si>
    <t>Byrd</t>
  </si>
  <si>
    <t>20594</t>
  </si>
  <si>
    <t>97232</t>
  </si>
  <si>
    <t>Department of Energy</t>
  </si>
  <si>
    <t>Teresa</t>
  </si>
  <si>
    <t>Federal Courts - Bankruptcy</t>
  </si>
  <si>
    <t>Nicholas</t>
  </si>
  <si>
    <t>Tina</t>
  </si>
  <si>
    <t>New York</t>
  </si>
  <si>
    <t>Tara</t>
  </si>
  <si>
    <t>Caldwell</t>
  </si>
  <si>
    <t>401 west peachtree street, nw</t>
  </si>
  <si>
    <t>room 2600</t>
  </si>
  <si>
    <t>atlanta</t>
  </si>
  <si>
    <t>30127</t>
  </si>
  <si>
    <t>404-331-3071</t>
  </si>
  <si>
    <t>404-331-1876</t>
  </si>
  <si>
    <t>taraa.caldwell@gsa.gov</t>
  </si>
  <si>
    <t>Calicchio</t>
  </si>
  <si>
    <t>26 federal plaza</t>
  </si>
  <si>
    <t>new york</t>
  </si>
  <si>
    <t>11782</t>
  </si>
  <si>
    <t>212 383 3761</t>
  </si>
  <si>
    <t>john.calicchio@ic.fbi.gov</t>
  </si>
  <si>
    <t>Randall</t>
  </si>
  <si>
    <t>Camden</t>
  </si>
  <si>
    <t>Springfield</t>
  </si>
  <si>
    <t>NA</t>
  </si>
  <si>
    <t>Annette</t>
  </si>
  <si>
    <t>Campbell</t>
  </si>
  <si>
    <t>Stennis Space Center</t>
  </si>
  <si>
    <t>MS</t>
  </si>
  <si>
    <t>39522</t>
  </si>
  <si>
    <t>WI</t>
  </si>
  <si>
    <t>Marquette</t>
  </si>
  <si>
    <t>20535</t>
  </si>
  <si>
    <t>Mary Kay</t>
  </si>
  <si>
    <t>Candido</t>
  </si>
  <si>
    <t>111 S. 10th St.</t>
  </si>
  <si>
    <t>Room 3.300</t>
  </si>
  <si>
    <t>63102</t>
  </si>
  <si>
    <t>314-244-7878</t>
  </si>
  <si>
    <t>Mary_Kay_Candido@moed.uscourts.gov</t>
  </si>
  <si>
    <t>Renee</t>
  </si>
  <si>
    <t>Cannon</t>
  </si>
  <si>
    <t>703-306-6514</t>
  </si>
  <si>
    <t>renee.cannon@gsa.gov</t>
  </si>
  <si>
    <t>Felicia</t>
  </si>
  <si>
    <t>5730 Francis Crt SE</t>
  </si>
  <si>
    <t>Auburn</t>
  </si>
  <si>
    <t>98092</t>
  </si>
  <si>
    <t>253-347-9701</t>
  </si>
  <si>
    <t>felicia.cannon@gsa.gov</t>
  </si>
  <si>
    <t>Joe</t>
  </si>
  <si>
    <t>Cantu</t>
  </si>
  <si>
    <t>727 E. Cesar E. Chavez Bldv.</t>
  </si>
  <si>
    <t>78206</t>
  </si>
  <si>
    <t>210-472-6040</t>
  </si>
  <si>
    <t>joe.cantu@gsa.gov</t>
  </si>
  <si>
    <t>Norman</t>
  </si>
  <si>
    <t>Donna</t>
  </si>
  <si>
    <t>18600 Haggerty Road</t>
  </si>
  <si>
    <t>Livonia</t>
  </si>
  <si>
    <t>48152</t>
  </si>
  <si>
    <t>734-462-4438</t>
  </si>
  <si>
    <t>Jose</t>
  </si>
  <si>
    <t>Cardoza</t>
  </si>
  <si>
    <t>Sonya</t>
  </si>
  <si>
    <t>Rocci</t>
  </si>
  <si>
    <t>Caringello</t>
  </si>
  <si>
    <t>Ames Research Center</t>
  </si>
  <si>
    <t>Moffet Field</t>
  </si>
  <si>
    <t>94035-1000</t>
  </si>
  <si>
    <t>650-603-9506</t>
  </si>
  <si>
    <t>tony.r.caringello@nasa.gov</t>
  </si>
  <si>
    <t>Cynthia</t>
  </si>
  <si>
    <t>Ashlee</t>
  </si>
  <si>
    <t>Carlson</t>
  </si>
  <si>
    <t>Room 1438</t>
  </si>
  <si>
    <t>202-501-9189</t>
  </si>
  <si>
    <t>ashlee.carlson@gsa.gov</t>
  </si>
  <si>
    <t>Crystal Plaza 4, QI0HB 8028A</t>
  </si>
  <si>
    <t>20406</t>
  </si>
  <si>
    <t>703-605-2623</t>
  </si>
  <si>
    <t>richard.carlson@gsa.gov</t>
  </si>
  <si>
    <t>Carr</t>
  </si>
  <si>
    <t>Stanley</t>
  </si>
  <si>
    <t>633 Indiana Avenue NW</t>
  </si>
  <si>
    <t>20004</t>
  </si>
  <si>
    <t>2028242391</t>
  </si>
  <si>
    <t>Budget &amp; Finance</t>
  </si>
  <si>
    <t>PDSDC</t>
  </si>
  <si>
    <t>scarr@pdsdc.org</t>
  </si>
  <si>
    <t>Carrington</t>
  </si>
  <si>
    <t>401 West Peachtree Street</t>
  </si>
  <si>
    <t>Suite 820</t>
  </si>
  <si>
    <t>30308</t>
  </si>
  <si>
    <t>404-215-8700</t>
  </si>
  <si>
    <t>Teresa.Carrington@gsa.gov</t>
  </si>
  <si>
    <t>Sheryl</t>
  </si>
  <si>
    <t>Dan</t>
  </si>
  <si>
    <t>Carson</t>
  </si>
  <si>
    <t>Carter</t>
  </si>
  <si>
    <t>Los Angeles</t>
  </si>
  <si>
    <t>Danny</t>
  </si>
  <si>
    <t>76102-6114</t>
  </si>
  <si>
    <t>Lourdes</t>
  </si>
  <si>
    <t>Catalano</t>
  </si>
  <si>
    <t>101 Independence Avenue, S.E.</t>
  </si>
  <si>
    <t>20540</t>
  </si>
  <si>
    <t>202-707-2819</t>
  </si>
  <si>
    <t>Library of Congress</t>
  </si>
  <si>
    <t>lcat@loc.gov</t>
  </si>
  <si>
    <t>450 Golden Gate Ave.</t>
  </si>
  <si>
    <t>Technical Support</t>
  </si>
  <si>
    <t>9988 Hibert Street, Suite 310</t>
  </si>
  <si>
    <t>92131</t>
  </si>
  <si>
    <t>Kenneth</t>
  </si>
  <si>
    <t>Pensacola</t>
  </si>
  <si>
    <t>32566</t>
  </si>
  <si>
    <t>PATRICIA</t>
  </si>
  <si>
    <t>Allen</t>
  </si>
  <si>
    <t>Chang</t>
  </si>
  <si>
    <t>650-759-6673</t>
  </si>
  <si>
    <t>allen.chang@gsa.gov</t>
  </si>
  <si>
    <t>GS/GM - 8</t>
  </si>
  <si>
    <t>Anita</t>
  </si>
  <si>
    <t>Chiwewe</t>
  </si>
  <si>
    <t>5300 Homestead Road NE</t>
  </si>
  <si>
    <t>87022</t>
  </si>
  <si>
    <t>505-248-4194</t>
  </si>
  <si>
    <t>505-248-4430</t>
  </si>
  <si>
    <t>anita.chiwewe@ihs.gov</t>
  </si>
  <si>
    <t>7500 Security Blvd.</t>
  </si>
  <si>
    <t>Baltimore</t>
  </si>
  <si>
    <t>21244</t>
  </si>
  <si>
    <t>Centers for Medicare &amp; Medicaid Services</t>
  </si>
  <si>
    <t>Letitia</t>
  </si>
  <si>
    <t>GS-13</t>
  </si>
  <si>
    <t>Clark</t>
  </si>
  <si>
    <t>na</t>
  </si>
  <si>
    <t>Trevor</t>
  </si>
  <si>
    <t>221 N. Reenie Ada, Oklahoma</t>
  </si>
  <si>
    <t>Ada</t>
  </si>
  <si>
    <t>74872</t>
  </si>
  <si>
    <t>(580)235-6883</t>
  </si>
  <si>
    <t>(580)559-0750</t>
  </si>
  <si>
    <t>Native Sovereign Nation</t>
  </si>
  <si>
    <t>trevor.clark@chickasaw.net</t>
  </si>
  <si>
    <t>Ricky</t>
  </si>
  <si>
    <t>4 McGee Street</t>
  </si>
  <si>
    <t>Rm 122</t>
  </si>
  <si>
    <t>Greenville</t>
  </si>
  <si>
    <t>29601</t>
  </si>
  <si>
    <t>864-467-5224</t>
  </si>
  <si>
    <t>864-467-5086</t>
  </si>
  <si>
    <t>eclark@greenvillecounty.org</t>
  </si>
  <si>
    <t>Debbie</t>
  </si>
  <si>
    <t>10304 Eaton Pl.</t>
  </si>
  <si>
    <t>703-306-6546</t>
  </si>
  <si>
    <t>deborah.clark@gsa.gov</t>
  </si>
  <si>
    <t>Fort Belvoir</t>
  </si>
  <si>
    <t>22060</t>
  </si>
  <si>
    <t>Clayborne</t>
  </si>
  <si>
    <t>2101 NASA Parkway</t>
  </si>
  <si>
    <t>77058</t>
  </si>
  <si>
    <t>281-483-7077</t>
  </si>
  <si>
    <t>john.d.clayborne@nasa.gov</t>
  </si>
  <si>
    <t>Misty</t>
  </si>
  <si>
    <t>Claypole</t>
  </si>
  <si>
    <t>Room 1076</t>
  </si>
  <si>
    <t>816-823-3346</t>
  </si>
  <si>
    <t>misty.claypole@gsa.gov</t>
  </si>
  <si>
    <t>Asaycia</t>
  </si>
  <si>
    <t>Clayton</t>
  </si>
  <si>
    <t>2025 S Gordon Cooper Dr</t>
  </si>
  <si>
    <t>Shawnee</t>
  </si>
  <si>
    <t>74801</t>
  </si>
  <si>
    <t>405-275-4030</t>
  </si>
  <si>
    <t>405-214-4237</t>
  </si>
  <si>
    <t>aclayton@astribe.com</t>
  </si>
  <si>
    <t>Keonia</t>
  </si>
  <si>
    <t>Cobbins</t>
  </si>
  <si>
    <t>Suite 806 Cube 8098B</t>
  </si>
  <si>
    <t>703-605-5703</t>
  </si>
  <si>
    <t>keonia.cobbins@gsa.gov</t>
  </si>
  <si>
    <t>Colbert</t>
  </si>
  <si>
    <t>711 G Street</t>
  </si>
  <si>
    <t>Sacramento</t>
  </si>
  <si>
    <t>95814</t>
  </si>
  <si>
    <t>916-606-1027</t>
  </si>
  <si>
    <t>916-874-6180</t>
  </si>
  <si>
    <t>jcolbert@sacsheriff.com</t>
  </si>
  <si>
    <t>Cole</t>
  </si>
  <si>
    <t>O'Fallon</t>
  </si>
  <si>
    <t>62269</t>
  </si>
  <si>
    <t>Colomo</t>
  </si>
  <si>
    <t>817-850-8484</t>
  </si>
  <si>
    <t>kathy.colomo@gsa.gov</t>
  </si>
  <si>
    <t>Jessica</t>
  </si>
  <si>
    <t>Kathleen</t>
  </si>
  <si>
    <t>Dallas</t>
  </si>
  <si>
    <t>Todd</t>
  </si>
  <si>
    <t>Cook</t>
  </si>
  <si>
    <t>Annalisa</t>
  </si>
  <si>
    <t>Cooper</t>
  </si>
  <si>
    <t>94035</t>
  </si>
  <si>
    <t>650-604-6113</t>
  </si>
  <si>
    <t>annalisa.p.cooper@nasa.gov</t>
  </si>
  <si>
    <t>Terri</t>
  </si>
  <si>
    <t>Headquarters</t>
  </si>
  <si>
    <t>Seattle</t>
  </si>
  <si>
    <t>Susan</t>
  </si>
  <si>
    <t>Corbiscello</t>
  </si>
  <si>
    <t>7500 Security Blvd</t>
  </si>
  <si>
    <t>410-786-4508</t>
  </si>
  <si>
    <t>CMS</t>
  </si>
  <si>
    <t>susan.corbiscello@cms.hhs.gov</t>
  </si>
  <si>
    <t>Corcoran</t>
  </si>
  <si>
    <t>Carol</t>
  </si>
  <si>
    <t>Charleston</t>
  </si>
  <si>
    <t>Covarrubio</t>
  </si>
  <si>
    <t>1100 Ursuline Ave.</t>
  </si>
  <si>
    <t>77805</t>
  </si>
  <si>
    <t>979-823-1879</t>
  </si>
  <si>
    <t>Federal Prison Industries, Inc.</t>
  </si>
  <si>
    <t>jcovarrubio@central.unicor.gov</t>
  </si>
  <si>
    <t>Ken</t>
  </si>
  <si>
    <t>Cox</t>
  </si>
  <si>
    <t>1st Floor, Suite 110</t>
  </si>
  <si>
    <t>404-331-1137</t>
  </si>
  <si>
    <t>anthony.cox@gsa.gov</t>
  </si>
  <si>
    <t>Crafton</t>
  </si>
  <si>
    <t>111 S. 10th St.Room 24.329</t>
  </si>
  <si>
    <t>314-244-2412</t>
  </si>
  <si>
    <t>314-244-2421</t>
  </si>
  <si>
    <t>Federal Courts - Other Judicial Courts</t>
  </si>
  <si>
    <t>Cour of Appeals, 8th Circut</t>
  </si>
  <si>
    <t>Dan_Crafton@ca8.uscourts.gov</t>
  </si>
  <si>
    <t>Tommy</t>
  </si>
  <si>
    <t>Kenya</t>
  </si>
  <si>
    <t>Crosson</t>
  </si>
  <si>
    <t>401 W. Peachtree St., SW</t>
  </si>
  <si>
    <t>Suite 2600</t>
  </si>
  <si>
    <t>404-331-0529</t>
  </si>
  <si>
    <t>kenya.crosson@gsa.gov</t>
  </si>
  <si>
    <t>Maynard</t>
  </si>
  <si>
    <t>Crum</t>
  </si>
  <si>
    <t>13153 Thrift Lane</t>
  </si>
  <si>
    <t>Woodbridge</t>
  </si>
  <si>
    <t>22193</t>
  </si>
  <si>
    <t>703-969-3393</t>
  </si>
  <si>
    <t>ITS</t>
  </si>
  <si>
    <t>maynard.crum@gsa.gov</t>
  </si>
  <si>
    <t>Dean</t>
  </si>
  <si>
    <t>Cruz</t>
  </si>
  <si>
    <t>Animal &amp; Plan Health Inspection Service</t>
  </si>
  <si>
    <t>Rene</t>
  </si>
  <si>
    <t>5730 Northwest Parkway Suite 700</t>
  </si>
  <si>
    <t>78249</t>
  </si>
  <si>
    <t>210-4725451</t>
  </si>
  <si>
    <t>210-561-3849</t>
  </si>
  <si>
    <t>rene.b.cruz@aphis.usda.gov</t>
  </si>
  <si>
    <t>Deborah</t>
  </si>
  <si>
    <t>Curtis</t>
  </si>
  <si>
    <t>Federal Election Commission</t>
  </si>
  <si>
    <t>20463</t>
  </si>
  <si>
    <t>Stephen</t>
  </si>
  <si>
    <t>20005</t>
  </si>
  <si>
    <t>National Park Service</t>
  </si>
  <si>
    <t>Luis</t>
  </si>
  <si>
    <t>Daigle</t>
  </si>
  <si>
    <t>940 Belmont Street</t>
  </si>
  <si>
    <t>Brockton</t>
  </si>
  <si>
    <t>02130</t>
  </si>
  <si>
    <t>774-826-3221</t>
  </si>
  <si>
    <t>Joseph.daigle@va.gov</t>
  </si>
  <si>
    <t>703.603.8206</t>
  </si>
  <si>
    <t>Daniel</t>
  </si>
  <si>
    <t>Denise</t>
  </si>
  <si>
    <t>Dasher</t>
  </si>
  <si>
    <t>404-624-7203</t>
  </si>
  <si>
    <t>ddasher@gsp.net</t>
  </si>
  <si>
    <t>5021 Bradford Drive</t>
  </si>
  <si>
    <t>Huntsville</t>
  </si>
  <si>
    <t>35805</t>
  </si>
  <si>
    <t>Davis</t>
  </si>
  <si>
    <t>Jill</t>
  </si>
  <si>
    <t>Elisabeth</t>
  </si>
  <si>
    <t>Shelley</t>
  </si>
  <si>
    <t>500 North Akard Street</t>
  </si>
  <si>
    <t>Suite 1600</t>
  </si>
  <si>
    <t>75201-3323</t>
  </si>
  <si>
    <t>214-720-0656</t>
  </si>
  <si>
    <t>Comptroller of the Currency</t>
  </si>
  <si>
    <t>shelleyr.davis@occ.treas.gov</t>
  </si>
  <si>
    <t>Jamie</t>
  </si>
  <si>
    <t>Toni</t>
  </si>
  <si>
    <t>Dennis</t>
  </si>
  <si>
    <t>Day</t>
  </si>
  <si>
    <t>10304 Eaton Pl</t>
  </si>
  <si>
    <t>mark.day@gsa.gov</t>
  </si>
  <si>
    <t>Aracely</t>
  </si>
  <si>
    <t>de Galan</t>
  </si>
  <si>
    <t>Unit 3190, Box 299</t>
  </si>
  <si>
    <t>DPO</t>
  </si>
  <si>
    <t>AA</t>
  </si>
  <si>
    <t>34024</t>
  </si>
  <si>
    <t>919-855-7472</t>
  </si>
  <si>
    <t>Aracely.deGalan@aphis.usda.gov</t>
  </si>
  <si>
    <t>5730 Northwest Parkway,St.700</t>
  </si>
  <si>
    <t>210-472-5451</t>
  </si>
  <si>
    <t>ronnie.delossantos@aphis.usda.gov</t>
  </si>
  <si>
    <t>David</t>
  </si>
  <si>
    <t>Ogden</t>
  </si>
  <si>
    <t>Jann</t>
  </si>
  <si>
    <t>Deane</t>
  </si>
  <si>
    <t>jdeane@schoolcraft.edu</t>
  </si>
  <si>
    <t>Shirley</t>
  </si>
  <si>
    <t>Dehon</t>
  </si>
  <si>
    <t>500 W. 12th Street</t>
  </si>
  <si>
    <t>Suite 123</t>
  </si>
  <si>
    <t>Vancouver</t>
  </si>
  <si>
    <t>98660-2871</t>
  </si>
  <si>
    <t>360-852-6694</t>
  </si>
  <si>
    <t>david.dehon@gsa.gov</t>
  </si>
  <si>
    <t>Drew</t>
  </si>
  <si>
    <t>Della Valle</t>
  </si>
  <si>
    <t>415-522-3046</t>
  </si>
  <si>
    <t>SES</t>
  </si>
  <si>
    <t>Liz</t>
  </si>
  <si>
    <t>RI</t>
  </si>
  <si>
    <t>Tim</t>
  </si>
  <si>
    <t>Dempsey</t>
  </si>
  <si>
    <t>2200 Crystal Drive, Crystal Plaza 4</t>
  </si>
  <si>
    <t>8th Floor, Room 8006</t>
  </si>
  <si>
    <t>703-605-2627</t>
  </si>
  <si>
    <t>timothy.dempsey@gsa.gov</t>
  </si>
  <si>
    <t>Suite 101</t>
  </si>
  <si>
    <t>Richmond</t>
  </si>
  <si>
    <t>Suite 600</t>
  </si>
  <si>
    <t>TN</t>
  </si>
  <si>
    <t>Devens</t>
  </si>
  <si>
    <t>703-306-7554</t>
  </si>
  <si>
    <t>diane.devens@gsa.gov</t>
  </si>
  <si>
    <t>Devine</t>
  </si>
  <si>
    <t>1900 E. St. NW</t>
  </si>
  <si>
    <t>20415</t>
  </si>
  <si>
    <t>202-606-1833</t>
  </si>
  <si>
    <t>Office Of Personnel Management</t>
  </si>
  <si>
    <t>Donna.Devine@opm.gov</t>
  </si>
  <si>
    <t>Carolyn</t>
  </si>
  <si>
    <t>Frederick</t>
  </si>
  <si>
    <t>Julie</t>
  </si>
  <si>
    <t>KS</t>
  </si>
  <si>
    <t>Beverly</t>
  </si>
  <si>
    <t>10401 Fernwood Road</t>
  </si>
  <si>
    <t>Bethesda</t>
  </si>
  <si>
    <t>20892</t>
  </si>
  <si>
    <t>Lydia</t>
  </si>
  <si>
    <t>Dominguez</t>
  </si>
  <si>
    <t>1701 Director's Blvd</t>
  </si>
  <si>
    <t>512-981-4465</t>
  </si>
  <si>
    <t>Office of Acquisitions Operations</t>
  </si>
  <si>
    <t>catherine.dominguez@va.gov</t>
  </si>
  <si>
    <t>Donaher</t>
  </si>
  <si>
    <t>940 BELMONT STREET</t>
  </si>
  <si>
    <t>BROCKTON</t>
  </si>
  <si>
    <t>02301</t>
  </si>
  <si>
    <t>774-826-2383</t>
  </si>
  <si>
    <t>michael.donaher@va.gov</t>
  </si>
  <si>
    <t>Ericka</t>
  </si>
  <si>
    <t>20417</t>
  </si>
  <si>
    <t>PTAC</t>
  </si>
  <si>
    <t>Alan</t>
  </si>
  <si>
    <t>Dowdy</t>
  </si>
  <si>
    <t>795 Joaquin St</t>
  </si>
  <si>
    <t>Susanville</t>
  </si>
  <si>
    <t>96130</t>
  </si>
  <si>
    <t>530-251-5162</t>
  </si>
  <si>
    <t>travel@lihc.org</t>
  </si>
  <si>
    <t>7485 New Horizon Way</t>
  </si>
  <si>
    <t>21703</t>
  </si>
  <si>
    <t>Randy</t>
  </si>
  <si>
    <t>Dreier</t>
  </si>
  <si>
    <t>Crystal City</t>
  </si>
  <si>
    <t>415-436-8731</t>
  </si>
  <si>
    <t>jessica.dreier@gsa.gov</t>
  </si>
  <si>
    <t>Ste 200</t>
  </si>
  <si>
    <t>Raleigh</t>
  </si>
  <si>
    <t>27606</t>
  </si>
  <si>
    <t>Kara</t>
  </si>
  <si>
    <t>Duffey</t>
  </si>
  <si>
    <t>959 E. Confederate Ave. SE</t>
  </si>
  <si>
    <t>30116</t>
  </si>
  <si>
    <t>404-624-7741</t>
  </si>
  <si>
    <t>kduffey@gsp.net</t>
  </si>
  <si>
    <t>Shane</t>
  </si>
  <si>
    <t>Duggan</t>
  </si>
  <si>
    <t>212-264-3485</t>
  </si>
  <si>
    <t>shane.duggan@gsa.gov</t>
  </si>
  <si>
    <t>Duncan</t>
  </si>
  <si>
    <t>820 s damen</t>
  </si>
  <si>
    <t>chicago</t>
  </si>
  <si>
    <t>60612</t>
  </si>
  <si>
    <t>312-569-7089</t>
  </si>
  <si>
    <t>thomas.duncan@va.gov</t>
  </si>
  <si>
    <t>Nelson</t>
  </si>
  <si>
    <t>Dunlap</t>
  </si>
  <si>
    <t>85 MARCONI BLVD</t>
  </si>
  <si>
    <t>COLUMBUS</t>
  </si>
  <si>
    <t>43215</t>
  </si>
  <si>
    <t>614 719 3058</t>
  </si>
  <si>
    <t>Donna_Dunlap@ohsd.uscourts.gov</t>
  </si>
  <si>
    <t>Dunn</t>
  </si>
  <si>
    <t>999 E Street NW</t>
  </si>
  <si>
    <t>202-694-1243</t>
  </si>
  <si>
    <t>202-219-3505</t>
  </si>
  <si>
    <t>Pdunn@fec.gov</t>
  </si>
  <si>
    <t>78205</t>
  </si>
  <si>
    <t>Housing &amp; Urban Development</t>
  </si>
  <si>
    <t>Durbin</t>
  </si>
  <si>
    <t>2698 S 500 E</t>
  </si>
  <si>
    <t>Vernal</t>
  </si>
  <si>
    <t>84078</t>
  </si>
  <si>
    <t>435-790-6058</t>
  </si>
  <si>
    <t>don_durbin@nps.gov</t>
  </si>
  <si>
    <t>21090</t>
  </si>
  <si>
    <t>Irving</t>
  </si>
  <si>
    <t>Edwards</t>
  </si>
  <si>
    <t>21701</t>
  </si>
  <si>
    <t>Rebecca</t>
  </si>
  <si>
    <t>Suite 200</t>
  </si>
  <si>
    <t>Ellison</t>
  </si>
  <si>
    <t>10001 Reunion Place</t>
  </si>
  <si>
    <t>Suite 114</t>
  </si>
  <si>
    <t>Diana</t>
  </si>
  <si>
    <t>78701</t>
  </si>
  <si>
    <t>Yolanda</t>
  </si>
  <si>
    <t>Esparza</t>
  </si>
  <si>
    <t>Estrada</t>
  </si>
  <si>
    <t>Jesse</t>
  </si>
  <si>
    <t>Marta</t>
  </si>
  <si>
    <t>500 E. McCarty Lane</t>
  </si>
  <si>
    <t>San Marcos</t>
  </si>
  <si>
    <t>78666</t>
  </si>
  <si>
    <t>512-353-0011</t>
  </si>
  <si>
    <t>512-353-0856</t>
  </si>
  <si>
    <t>marta_estrada@fws.gov</t>
  </si>
  <si>
    <t>Duane</t>
  </si>
  <si>
    <t>Ewell</t>
  </si>
  <si>
    <t>111 S. 10th St., Suite 26.325</t>
  </si>
  <si>
    <t>314-244-2620</t>
  </si>
  <si>
    <t>314-244-2605</t>
  </si>
  <si>
    <t>Other Judiciary</t>
  </si>
  <si>
    <t>U.S. Court of Appeals</t>
  </si>
  <si>
    <t>duane_ewell@ca8.uscourts.gov</t>
  </si>
  <si>
    <t>Eyerman</t>
  </si>
  <si>
    <t>51 S.W. 1st Avenue</t>
  </si>
  <si>
    <t>Room 1510</t>
  </si>
  <si>
    <t>33130</t>
  </si>
  <si>
    <t>305-714-1824</t>
  </si>
  <si>
    <t>305-714-1807</t>
  </si>
  <si>
    <t>denise_eyerman@flsb.uscourts.gov</t>
  </si>
  <si>
    <t>Gloria</t>
  </si>
  <si>
    <t>Fantroy</t>
  </si>
  <si>
    <t>500 N. Akard Street, Suite 1600</t>
  </si>
  <si>
    <t>75201</t>
  </si>
  <si>
    <t>217-720-0656</t>
  </si>
  <si>
    <t>Gloria.Smith-Fantroy@occ.treas.gov</t>
  </si>
  <si>
    <t>Joanne</t>
  </si>
  <si>
    <t>Vincent</t>
  </si>
  <si>
    <t>Sheri</t>
  </si>
  <si>
    <t>Farrell</t>
  </si>
  <si>
    <t>2234 S Hobson Avenue</t>
  </si>
  <si>
    <t>29405</t>
  </si>
  <si>
    <t>843-740-1303</t>
  </si>
  <si>
    <t>sheri.farrell@noaa.gov</t>
  </si>
  <si>
    <t>Bob</t>
  </si>
  <si>
    <t>Faulk</t>
  </si>
  <si>
    <t>9820 Belvoir Rd</t>
  </si>
  <si>
    <t>Ft Belvoir</t>
  </si>
  <si>
    <t>703-805-9416</t>
  </si>
  <si>
    <t>Federal Acquisition Institute</t>
  </si>
  <si>
    <t>Bob.Faulk@FAI.Gov</t>
  </si>
  <si>
    <t>Lakewood</t>
  </si>
  <si>
    <t>Suite 410</t>
  </si>
  <si>
    <t>Patrick</t>
  </si>
  <si>
    <t>Janelle</t>
  </si>
  <si>
    <t>Feltman</t>
  </si>
  <si>
    <t>10001 Reunion Place Ste 114</t>
  </si>
  <si>
    <t>210-426-9503</t>
  </si>
  <si>
    <t>Janelle.feltman@gsa.gov</t>
  </si>
  <si>
    <t>Fernandez</t>
  </si>
  <si>
    <t>Matthew</t>
  </si>
  <si>
    <t>June</t>
  </si>
  <si>
    <t>Fitch</t>
  </si>
  <si>
    <t>National Acq Center</t>
  </si>
  <si>
    <t>Bldg 37, 1st Ave, 1 Block N. of 22nd St</t>
  </si>
  <si>
    <t>708-786-7674</t>
  </si>
  <si>
    <t>june.fitch2@va.gov</t>
  </si>
  <si>
    <t>NH</t>
  </si>
  <si>
    <t>Frances</t>
  </si>
  <si>
    <t>Flasinski</t>
  </si>
  <si>
    <t>20 N 8th Street</t>
  </si>
  <si>
    <t>9th floor - FSC</t>
  </si>
  <si>
    <t>215-446-4782</t>
  </si>
  <si>
    <t>Frances.Flasinski@gsa.gov</t>
  </si>
  <si>
    <t>Fleming</t>
  </si>
  <si>
    <t>703-605-3671</t>
  </si>
  <si>
    <t>timothy.fleming@gsa.gov</t>
  </si>
  <si>
    <t>Flores</t>
  </si>
  <si>
    <t>202-358-0994</t>
  </si>
  <si>
    <t>202.358-2861</t>
  </si>
  <si>
    <t>jose.flores-1@nasa.gov</t>
  </si>
  <si>
    <t>Steve</t>
  </si>
  <si>
    <t>222 Code Talker Street, P.O. Box 328</t>
  </si>
  <si>
    <t>Crownpoint</t>
  </si>
  <si>
    <t>87313</t>
  </si>
  <si>
    <t>505-786-6145</t>
  </si>
  <si>
    <t>505-786-6112</t>
  </si>
  <si>
    <t>Steve.Flores@bie.edu</t>
  </si>
  <si>
    <t>BENJAMIN</t>
  </si>
  <si>
    <t>FORBES</t>
  </si>
  <si>
    <t>1601 E. MARKET STREET</t>
  </si>
  <si>
    <t>C.H. MOORE AG RESEARCH STATION</t>
  </si>
  <si>
    <t>GREENSBORO</t>
  </si>
  <si>
    <t>27411</t>
  </si>
  <si>
    <t>3362854702</t>
  </si>
  <si>
    <t>3363347674</t>
  </si>
  <si>
    <t>N.C. A&amp;T STATE UNIVERSITY</t>
  </si>
  <si>
    <t>forbesb@ncat.edu</t>
  </si>
  <si>
    <t>JUANITA   D</t>
  </si>
  <si>
    <t>FOSTER</t>
  </si>
  <si>
    <t>440 SO LASALLE ST.</t>
  </si>
  <si>
    <t>STE 2700</t>
  </si>
  <si>
    <t>CHICAGO</t>
  </si>
  <si>
    <t>60605</t>
  </si>
  <si>
    <t>312-360-8906</t>
  </si>
  <si>
    <t>COMPTROLLER OF THE CURRENCY</t>
  </si>
  <si>
    <t>juanita.foster@occ.treas.gov</t>
  </si>
  <si>
    <t>Judy</t>
  </si>
  <si>
    <t>Fox</t>
  </si>
  <si>
    <t>202 694 1235</t>
  </si>
  <si>
    <t>202 208 1909</t>
  </si>
  <si>
    <t>Federal election Commission</t>
  </si>
  <si>
    <t>jgfox@fec.gov</t>
  </si>
  <si>
    <t>Florence</t>
  </si>
  <si>
    <t>7474 S. Camino de Oeste</t>
  </si>
  <si>
    <t>85757</t>
  </si>
  <si>
    <t>520-205-2663</t>
  </si>
  <si>
    <t>florence.francis@gsa.gov</t>
  </si>
  <si>
    <t>GS11</t>
  </si>
  <si>
    <t>20002</t>
  </si>
  <si>
    <t>Frazine</t>
  </si>
  <si>
    <t>1501 San Pedro Drive SE</t>
  </si>
  <si>
    <t>ALBUQUERQUE</t>
  </si>
  <si>
    <t>87108</t>
  </si>
  <si>
    <t>505-933-3587</t>
  </si>
  <si>
    <t>505-258-6420</t>
  </si>
  <si>
    <t>michael.frazine@va.gov</t>
  </si>
  <si>
    <t>Freda</t>
  </si>
  <si>
    <t>DE</t>
  </si>
  <si>
    <t>703-605-2172</t>
  </si>
  <si>
    <t>rick.freda@gsa.gov</t>
  </si>
  <si>
    <t>Dustin</t>
  </si>
  <si>
    <t>Frigy</t>
  </si>
  <si>
    <t>519 S. Saginaw Street</t>
  </si>
  <si>
    <t>Flint</t>
  </si>
  <si>
    <t>48502</t>
  </si>
  <si>
    <t>810-600-1432</t>
  </si>
  <si>
    <t>dfrigy@thegrcc.org</t>
  </si>
  <si>
    <t>Janet</t>
  </si>
  <si>
    <t>Fry</t>
  </si>
  <si>
    <t>703-605-3167</t>
  </si>
  <si>
    <t>janet.fry@gsa.gov</t>
  </si>
  <si>
    <t>Fultz</t>
  </si>
  <si>
    <t>FORT WORTH</t>
  </si>
  <si>
    <t>301-688-6540</t>
  </si>
  <si>
    <t>Jackson</t>
  </si>
  <si>
    <t>78741</t>
  </si>
  <si>
    <t>Melissa</t>
  </si>
  <si>
    <t>Overland Park</t>
  </si>
  <si>
    <t>66210</t>
  </si>
  <si>
    <t>Payton</t>
  </si>
  <si>
    <t>Hillary</t>
  </si>
  <si>
    <t>Garber</t>
  </si>
  <si>
    <t>22201</t>
  </si>
  <si>
    <t>703-605-9499</t>
  </si>
  <si>
    <t>hillary.garber@gsa.gov</t>
  </si>
  <si>
    <t>Garcia</t>
  </si>
  <si>
    <t>Geraldine</t>
  </si>
  <si>
    <t>87102</t>
  </si>
  <si>
    <t>Elvora (Jean)</t>
  </si>
  <si>
    <t>5300 Homestead Rd., NE</t>
  </si>
  <si>
    <t>87110</t>
  </si>
  <si>
    <t>505-248-4338</t>
  </si>
  <si>
    <t>505-248-4297</t>
  </si>
  <si>
    <t>jean.garcia@ihs.gov</t>
  </si>
  <si>
    <t>United States District Court</t>
  </si>
  <si>
    <t>210-472-6550</t>
  </si>
  <si>
    <t>Gardner</t>
  </si>
  <si>
    <t>4th Street &amp; Independence Avenue, SW</t>
  </si>
  <si>
    <t>20024</t>
  </si>
  <si>
    <t>2026336930</t>
  </si>
  <si>
    <t>2026336921</t>
  </si>
  <si>
    <t>National Museum of the American Indian</t>
  </si>
  <si>
    <t>Smithsonian Institution</t>
  </si>
  <si>
    <t>gardnerc@si.edu</t>
  </si>
  <si>
    <t>Bldg 3702 Curtin Road</t>
  </si>
  <si>
    <t>University Park</t>
  </si>
  <si>
    <t>16802</t>
  </si>
  <si>
    <t>8148630928</t>
  </si>
  <si>
    <t>Agricultural Research Service</t>
  </si>
  <si>
    <t>karen.gardner@ars.usda.gov</t>
  </si>
  <si>
    <t>Gary</t>
  </si>
  <si>
    <t>Garza</t>
  </si>
  <si>
    <t>1821 Directors Blvd.</t>
  </si>
  <si>
    <t>Mitchell</t>
  </si>
  <si>
    <t>Jane</t>
  </si>
  <si>
    <t>73102</t>
  </si>
  <si>
    <t>Robin</t>
  </si>
  <si>
    <t>Gates</t>
  </si>
  <si>
    <t>1200 New Jersey Ave</t>
  </si>
  <si>
    <t>20590</t>
  </si>
  <si>
    <t>202-366-4000</t>
  </si>
  <si>
    <t>Federal Highway Administration</t>
  </si>
  <si>
    <t>robin.gates@dot.gov</t>
  </si>
  <si>
    <t>Laura</t>
  </si>
  <si>
    <t>Gentile</t>
  </si>
  <si>
    <t>202-874-4784</t>
  </si>
  <si>
    <t>301-433-6951</t>
  </si>
  <si>
    <t>laura.gentile@occ.treas.gov</t>
  </si>
  <si>
    <t>Cindy</t>
  </si>
  <si>
    <t>HELEN</t>
  </si>
  <si>
    <t>Gernaat</t>
  </si>
  <si>
    <t>346 W Michigan</t>
  </si>
  <si>
    <t>269-381-2977</t>
  </si>
  <si>
    <t>Not applicable</t>
  </si>
  <si>
    <t>jgernaat@kazoochamber.com</t>
  </si>
  <si>
    <t>Lanham</t>
  </si>
  <si>
    <t>20706</t>
  </si>
  <si>
    <t>Jim</t>
  </si>
  <si>
    <t>2200 Crystal Dr</t>
  </si>
  <si>
    <t>Tesi</t>
  </si>
  <si>
    <t>Giasson</t>
  </si>
  <si>
    <t>301 7th Street, SW</t>
  </si>
  <si>
    <t>202-205-8489</t>
  </si>
  <si>
    <t>Tesi.Giasson@gsa.gov</t>
  </si>
  <si>
    <t>Donita</t>
  </si>
  <si>
    <t>Gibboney</t>
  </si>
  <si>
    <t>USDA-ARS-PSWMRU</t>
  </si>
  <si>
    <t>Curtin Road, Building 3702</t>
  </si>
  <si>
    <t>16802-3702</t>
  </si>
  <si>
    <t>814-863-0940</t>
  </si>
  <si>
    <t>814-863-0935</t>
  </si>
  <si>
    <t>donita.gibboney@ars.usda.gov</t>
  </si>
  <si>
    <t>Gibson</t>
  </si>
  <si>
    <t>GIBSON-ANDERSON</t>
  </si>
  <si>
    <t>9818 S. GREEN STREET</t>
  </si>
  <si>
    <t>60643</t>
  </si>
  <si>
    <t>773-297-2578</t>
  </si>
  <si>
    <t>401 W. Peachtree Street</t>
  </si>
  <si>
    <t>Pam</t>
  </si>
  <si>
    <t>Gill</t>
  </si>
  <si>
    <t>P. O. Box 9500</t>
  </si>
  <si>
    <t>Texarkana</t>
  </si>
  <si>
    <t>75501</t>
  </si>
  <si>
    <t>903-223-4419</t>
  </si>
  <si>
    <t>903-223-4430</t>
  </si>
  <si>
    <t>pgill@bop.gov</t>
  </si>
  <si>
    <t>Ronald</t>
  </si>
  <si>
    <t>Ginyard</t>
  </si>
  <si>
    <t>703-306-6705</t>
  </si>
  <si>
    <t>ronald.ginyard@gsa.gov</t>
  </si>
  <si>
    <t>Mr</t>
  </si>
  <si>
    <t>WASHINGTON</t>
  </si>
  <si>
    <t>Alfonso</t>
  </si>
  <si>
    <t>Bertha</t>
  </si>
  <si>
    <t>Gonzalez</t>
  </si>
  <si>
    <t>9200 Corporate Bldv</t>
  </si>
  <si>
    <t>20850</t>
  </si>
  <si>
    <t>301-796-9263</t>
  </si>
  <si>
    <t>Food &amp; Drug Administration</t>
  </si>
  <si>
    <t>george.gonzalez@fda.hhs.gov</t>
  </si>
  <si>
    <t>Rogelio</t>
  </si>
  <si>
    <t>1445 Ross Ave</t>
  </si>
  <si>
    <t>Suite 1200</t>
  </si>
  <si>
    <t>75202</t>
  </si>
  <si>
    <t>214-665-5626</t>
  </si>
  <si>
    <t>Environmental Protection Agency</t>
  </si>
  <si>
    <t>gonzalez.rogelio@epa.gov</t>
  </si>
  <si>
    <t>Mrs</t>
  </si>
  <si>
    <t>MICAH</t>
  </si>
  <si>
    <t>GOODWIN</t>
  </si>
  <si>
    <t>10304 EATON PLACE</t>
  </si>
  <si>
    <t>FAIRFAX</t>
  </si>
  <si>
    <t>703-306-6622</t>
  </si>
  <si>
    <t>micah.goodwin@gsa.gov</t>
  </si>
  <si>
    <t>Jackie</t>
  </si>
  <si>
    <t>Gordon</t>
  </si>
  <si>
    <t>1275 First St. NE</t>
  </si>
  <si>
    <t>Room 995</t>
  </si>
  <si>
    <t>202-501-1834</t>
  </si>
  <si>
    <t>jacqueline.gordon@gsa.gov</t>
  </si>
  <si>
    <t>PO Box 150008</t>
  </si>
  <si>
    <t>North Charleston</t>
  </si>
  <si>
    <t>29415</t>
  </si>
  <si>
    <t>843-308-5309</t>
  </si>
  <si>
    <t>Bureau of Information Resource Mgmt</t>
  </si>
  <si>
    <t>gordona@state.gov</t>
  </si>
  <si>
    <t>Darlene</t>
  </si>
  <si>
    <t>Gore</t>
  </si>
  <si>
    <t>7033066109</t>
  </si>
  <si>
    <t>darlene.gore@gsa.gov</t>
  </si>
  <si>
    <t>Gorman</t>
  </si>
  <si>
    <t>GSA/Western Distribution Center</t>
  </si>
  <si>
    <t>700 E. Roth RD.</t>
  </si>
  <si>
    <t>French Camp</t>
  </si>
  <si>
    <t>95231-9735</t>
  </si>
  <si>
    <t>209-547-8619</t>
  </si>
  <si>
    <t>james.gorman@gsa.gov</t>
  </si>
  <si>
    <t>Govan</t>
  </si>
  <si>
    <t>NE</t>
  </si>
  <si>
    <t>20212</t>
  </si>
  <si>
    <t>202-691-6015</t>
  </si>
  <si>
    <t>Erin</t>
  </si>
  <si>
    <t>Grace</t>
  </si>
  <si>
    <t>512-972-4017</t>
  </si>
  <si>
    <t>erin.grace@austintexas.gov</t>
  </si>
  <si>
    <t>Grant</t>
  </si>
  <si>
    <t>Office of Administration</t>
  </si>
  <si>
    <t>Green</t>
  </si>
  <si>
    <t>Tracy</t>
  </si>
  <si>
    <t>330 Independence Avenue, S.W.</t>
  </si>
  <si>
    <t>202-260-1062</t>
  </si>
  <si>
    <t>ASPR</t>
  </si>
  <si>
    <t>Tracy.Green@hhs.gov</t>
  </si>
  <si>
    <t>1275 First Street, NE</t>
  </si>
  <si>
    <t>Victoria</t>
  </si>
  <si>
    <t>79 Middleville Road</t>
  </si>
  <si>
    <t>Northport</t>
  </si>
  <si>
    <t>11768</t>
  </si>
  <si>
    <t>631-261-4400</t>
  </si>
  <si>
    <t>victoria.green3@va.gov</t>
  </si>
  <si>
    <t>GSA</t>
  </si>
  <si>
    <t>DOD</t>
  </si>
  <si>
    <t>Lee</t>
  </si>
  <si>
    <t>Tyrone</t>
  </si>
  <si>
    <t>Gregg</t>
  </si>
  <si>
    <t>Ft. Worth</t>
  </si>
  <si>
    <t>817-978-0542</t>
  </si>
  <si>
    <t>Office of Small Business Utilization</t>
  </si>
  <si>
    <t>tony.gregg@gsa.gov</t>
  </si>
  <si>
    <t>Silver Spring</t>
  </si>
  <si>
    <t>20910</t>
  </si>
  <si>
    <t>Stacey</t>
  </si>
  <si>
    <t>WV</t>
  </si>
  <si>
    <t>Griffin</t>
  </si>
  <si>
    <t>8810C Jamacha Blvd</t>
  </si>
  <si>
    <t>Spring Valley</t>
  </si>
  <si>
    <t>91977</t>
  </si>
  <si>
    <t>619-303-8932</t>
  </si>
  <si>
    <t>davidr.griffin@gsa.gov</t>
  </si>
  <si>
    <t>Grim</t>
  </si>
  <si>
    <t>817 Taylor Street, Room 13A05</t>
  </si>
  <si>
    <t>817-850-8156</t>
  </si>
  <si>
    <t>817-574-2367</t>
  </si>
  <si>
    <t>ericka.grim@gsa.gov</t>
  </si>
  <si>
    <t>Grindstaff</t>
  </si>
  <si>
    <t>4171 N. Mesa C-100</t>
  </si>
  <si>
    <t>915-832-4121</t>
  </si>
  <si>
    <t>International Boundary and Water Commiss</t>
  </si>
  <si>
    <t>sylvia.grindstaff@ibwc.gov</t>
  </si>
  <si>
    <t>PAMELA</t>
  </si>
  <si>
    <t>Grand Prairie</t>
  </si>
  <si>
    <t>Veronica</t>
  </si>
  <si>
    <t>Hahn</t>
  </si>
  <si>
    <t>2200 Crystal DRive</t>
  </si>
  <si>
    <t>7037851810</t>
  </si>
  <si>
    <t>james.hahn@gsa.gov</t>
  </si>
  <si>
    <t>Randal</t>
  </si>
  <si>
    <t>Nashville</t>
  </si>
  <si>
    <t>Anne</t>
  </si>
  <si>
    <t>Hale</t>
  </si>
  <si>
    <t>302 W Main</t>
  </si>
  <si>
    <t>Ste 2C</t>
  </si>
  <si>
    <t>62812</t>
  </si>
  <si>
    <t>618-439-7917</t>
  </si>
  <si>
    <t>US Probation</t>
  </si>
  <si>
    <t>anne_hale@ilsp.uscourts.gov</t>
  </si>
  <si>
    <t>CA 2-7</t>
  </si>
  <si>
    <t>703-306-6450</t>
  </si>
  <si>
    <t>lawrence.hale@gsa.gov</t>
  </si>
  <si>
    <t>Hall</t>
  </si>
  <si>
    <t>Suite 2700</t>
  </si>
  <si>
    <t>Adam</t>
  </si>
  <si>
    <t>Hamilton</t>
  </si>
  <si>
    <t>98001</t>
  </si>
  <si>
    <t>Delphine</t>
  </si>
  <si>
    <t>Hamlin</t>
  </si>
  <si>
    <t>14th &amp; Independence Avenue, SW</t>
  </si>
  <si>
    <t>202-720-4233</t>
  </si>
  <si>
    <t>202-720-0069</t>
  </si>
  <si>
    <t>Foreign Agricultural Service</t>
  </si>
  <si>
    <t>Delphine.Hamlin@fas.usda.gov</t>
  </si>
  <si>
    <t>Hamm</t>
  </si>
  <si>
    <t>chris.hamm@gsa.gov</t>
  </si>
  <si>
    <t>Raed</t>
  </si>
  <si>
    <t>Hammad</t>
  </si>
  <si>
    <t>241 18th Street</t>
  </si>
  <si>
    <t>703-604-2350</t>
  </si>
  <si>
    <t>Raed.hammad@usdoj.gov</t>
  </si>
  <si>
    <t>Hampton</t>
  </si>
  <si>
    <t>Perry</t>
  </si>
  <si>
    <t>Suite 503</t>
  </si>
  <si>
    <t>703-605-2966</t>
  </si>
  <si>
    <t>703-605-9834</t>
  </si>
  <si>
    <t>perry.hampton@gsa.gov</t>
  </si>
  <si>
    <t>Terry</t>
  </si>
  <si>
    <t>Wendy</t>
  </si>
  <si>
    <t>Federal Aviation Administration</t>
  </si>
  <si>
    <t>Hargrove</t>
  </si>
  <si>
    <t>330 Independence Ave, SW</t>
  </si>
  <si>
    <t>Rm., G-644</t>
  </si>
  <si>
    <t>202-260-0025</t>
  </si>
  <si>
    <t>202-205-8587</t>
  </si>
  <si>
    <t>Janet.Hargrove@hhs.gov</t>
  </si>
  <si>
    <t>230 S. Dearborn Street</t>
  </si>
  <si>
    <t>Harris</t>
  </si>
  <si>
    <t>Shari</t>
  </si>
  <si>
    <t>52 TuSu Lane</t>
  </si>
  <si>
    <t>Bishop</t>
  </si>
  <si>
    <t>93514</t>
  </si>
  <si>
    <t>760-873-6111</t>
  </si>
  <si>
    <t>Toiyabe Indian Health Project</t>
  </si>
  <si>
    <t>shari.harris@toiyabe.us</t>
  </si>
  <si>
    <t>Douglas</t>
  </si>
  <si>
    <t>Hart</t>
  </si>
  <si>
    <t>727 E. Cesar E. Chavez Blvd.</t>
  </si>
  <si>
    <t>Room B602</t>
  </si>
  <si>
    <t>OCIO</t>
  </si>
  <si>
    <t>Beth</t>
  </si>
  <si>
    <t>Hascher</t>
  </si>
  <si>
    <t>2864 Madison St</t>
  </si>
  <si>
    <t>Marianna</t>
  </si>
  <si>
    <t>32448</t>
  </si>
  <si>
    <t>850-718-0005</t>
  </si>
  <si>
    <t>Board of County Commissioners</t>
  </si>
  <si>
    <t>Jackson Co. Fl.</t>
  </si>
  <si>
    <t>shascher@jacksoncountyfl.com</t>
  </si>
  <si>
    <t>Sandy</t>
  </si>
  <si>
    <t>Board of Commissioners</t>
  </si>
  <si>
    <t>Hassan</t>
  </si>
  <si>
    <t>Ida</t>
  </si>
  <si>
    <t>Hasson</t>
  </si>
  <si>
    <t>1 Freedom Way</t>
  </si>
  <si>
    <t>Augusta</t>
  </si>
  <si>
    <t>30904</t>
  </si>
  <si>
    <t>706 733 0188</t>
  </si>
  <si>
    <t>706 731 7241</t>
  </si>
  <si>
    <t>ida.hasson@va.gov</t>
  </si>
  <si>
    <t>Hatley</t>
  </si>
  <si>
    <t>MS: IS40/Wynn Drive Building</t>
  </si>
  <si>
    <t>MSFC</t>
  </si>
  <si>
    <t>35812</t>
  </si>
  <si>
    <t>256-544-6571</t>
  </si>
  <si>
    <t>kathy.hatley@nasa.gov</t>
  </si>
  <si>
    <t>Theresa</t>
  </si>
  <si>
    <t>Geri</t>
  </si>
  <si>
    <t>Haworth</t>
  </si>
  <si>
    <t>400 15th Street SW</t>
  </si>
  <si>
    <t>253-931-7064</t>
  </si>
  <si>
    <t>253-876-7163</t>
  </si>
  <si>
    <t>geri.haworth@gsa.gov</t>
  </si>
  <si>
    <t>Andy</t>
  </si>
  <si>
    <t>Hayes</t>
  </si>
  <si>
    <t>810-600-1438</t>
  </si>
  <si>
    <t>ahayes@thegrcc.org</t>
  </si>
  <si>
    <t>Hazelman</t>
  </si>
  <si>
    <t>816-510-4570</t>
  </si>
  <si>
    <t>jennifer.hazelman@gsa.gov</t>
  </si>
  <si>
    <t>Hector</t>
  </si>
  <si>
    <t>1500 E Bannister Road</t>
  </si>
  <si>
    <t>816-823-2683</t>
  </si>
  <si>
    <t>shellie.heislen@gsa.gov</t>
  </si>
  <si>
    <t>Hendershot</t>
  </si>
  <si>
    <t>703-605-2528</t>
  </si>
  <si>
    <t>thomas.hendershot@gsa.gov</t>
  </si>
  <si>
    <t>Henderson</t>
  </si>
  <si>
    <t>Suite 350</t>
  </si>
  <si>
    <t>Lynn</t>
  </si>
  <si>
    <t>Jeremy</t>
  </si>
  <si>
    <t>Hernandez</t>
  </si>
  <si>
    <t>817-850-8400</t>
  </si>
  <si>
    <t>sylvia.hernandez@gsa.gov</t>
  </si>
  <si>
    <t>Jerry</t>
  </si>
  <si>
    <t>Hester</t>
  </si>
  <si>
    <t>Hicks</t>
  </si>
  <si>
    <t>Helen</t>
  </si>
  <si>
    <t>Hill-Guerrieri</t>
  </si>
  <si>
    <t>PO Box 934</t>
  </si>
  <si>
    <t>Bldg J, Rm 125, Dept 2</t>
  </si>
  <si>
    <t>512-460-4713</t>
  </si>
  <si>
    <t>512-460-4860</t>
  </si>
  <si>
    <t>Helen.Y.Hill-Guerrieri@irs.gov</t>
  </si>
  <si>
    <t>Hixson</t>
  </si>
  <si>
    <t>7033973977</t>
  </si>
  <si>
    <t>gregory.hixson@gsa.gov</t>
  </si>
  <si>
    <t>Hock</t>
  </si>
  <si>
    <t>111 S. 10th St</t>
  </si>
  <si>
    <t>Suite 26.325</t>
  </si>
  <si>
    <t>314-244-2612</t>
  </si>
  <si>
    <t>tina_hock@ca8.uscourts.gov</t>
  </si>
  <si>
    <t>Hoffman</t>
  </si>
  <si>
    <t>623 Tennelle St SE</t>
  </si>
  <si>
    <t>30312</t>
  </si>
  <si>
    <t>858-412-8212</t>
  </si>
  <si>
    <t>teresa.hoffman@gsa.gov</t>
  </si>
  <si>
    <t>Christopher</t>
  </si>
  <si>
    <t>Holmes</t>
  </si>
  <si>
    <t>Room 116</t>
  </si>
  <si>
    <t>Holmes-Langford</t>
  </si>
  <si>
    <t>2234 South Hobson Avenue</t>
  </si>
  <si>
    <t>843-740-1256</t>
  </si>
  <si>
    <t>lisa.holmes@noaa.gov</t>
  </si>
  <si>
    <t>Wil</t>
  </si>
  <si>
    <t>Honeyestewa</t>
  </si>
  <si>
    <t>5300 Homestead Rd NE</t>
  </si>
  <si>
    <t>5052484150</t>
  </si>
  <si>
    <t>wil.honeyestewa@ihs.gov</t>
  </si>
  <si>
    <t>Courtney</t>
  </si>
  <si>
    <t>Al</t>
  </si>
  <si>
    <t>Hosey</t>
  </si>
  <si>
    <t>110 Yorktown Ave., Box 97</t>
  </si>
  <si>
    <t>Jacksonville</t>
  </si>
  <si>
    <t>32212-0097</t>
  </si>
  <si>
    <t>904-542-1278</t>
  </si>
  <si>
    <t>904-542-1279</t>
  </si>
  <si>
    <t>lindal.hosey@gsa.gov</t>
  </si>
  <si>
    <t>Howard</t>
  </si>
  <si>
    <t>Howe</t>
  </si>
  <si>
    <t>935 Pennsylvania NW</t>
  </si>
  <si>
    <t>202-324-0502</t>
  </si>
  <si>
    <t>202-324-9572</t>
  </si>
  <si>
    <t>Federal Bureau of Investigation</t>
  </si>
  <si>
    <t>Tyrone.Howe@ic.FBi.gov</t>
  </si>
  <si>
    <t>Marvin</t>
  </si>
  <si>
    <t>Steven</t>
  </si>
  <si>
    <t>Hughes</t>
  </si>
  <si>
    <t>Virginia</t>
  </si>
  <si>
    <t>Huth</t>
  </si>
  <si>
    <t>1275 1st Street, NE</t>
  </si>
  <si>
    <t>202-208-5028</t>
  </si>
  <si>
    <t>virginia.huth@gsa.gov</t>
  </si>
  <si>
    <t>Irwin</t>
  </si>
  <si>
    <t>3900 Woodland Ave</t>
  </si>
  <si>
    <t>19061</t>
  </si>
  <si>
    <t>2158235229</t>
  </si>
  <si>
    <t>walter.irwin@va.gov</t>
  </si>
  <si>
    <t>Christy</t>
  </si>
  <si>
    <t>Jackiewicz</t>
  </si>
  <si>
    <t>6247 Wild Swan Way</t>
  </si>
  <si>
    <t>Columbia</t>
  </si>
  <si>
    <t>21045</t>
  </si>
  <si>
    <t>410-312-3611</t>
  </si>
  <si>
    <t>christy.jackiewicz@gsa.gov</t>
  </si>
  <si>
    <t>Lindsey</t>
  </si>
  <si>
    <t>Mesa</t>
  </si>
  <si>
    <t>85212</t>
  </si>
  <si>
    <t>Alfred</t>
  </si>
  <si>
    <t>Vurniece</t>
  </si>
  <si>
    <t>(937) 425-060</t>
  </si>
  <si>
    <t>vurniece.jackson@nara.gov</t>
  </si>
  <si>
    <t>Jaegerman</t>
  </si>
  <si>
    <t>Beltsville</t>
  </si>
  <si>
    <t>20705</t>
  </si>
  <si>
    <t>Kristine</t>
  </si>
  <si>
    <t>Jarvis</t>
  </si>
  <si>
    <t>703-605-9548</t>
  </si>
  <si>
    <t>kristine.jarvis@gsa.gov</t>
  </si>
  <si>
    <t>Sean</t>
  </si>
  <si>
    <t>Jenkins</t>
  </si>
  <si>
    <t>202-606-1593</t>
  </si>
  <si>
    <t>Denise.Jenkins@opm.gov</t>
  </si>
  <si>
    <t>Elijah</t>
  </si>
  <si>
    <t>202-606-1246</t>
  </si>
  <si>
    <t>Elijah.Jenkins@opm.gov</t>
  </si>
  <si>
    <t>1200 Pennsylvania Avenue, NW</t>
  </si>
  <si>
    <t>20460</t>
  </si>
  <si>
    <t>202-564-6959</t>
  </si>
  <si>
    <t>jenkins.donna@epa.gov</t>
  </si>
  <si>
    <t>JENNINGS</t>
  </si>
  <si>
    <t>Jensen</t>
  </si>
  <si>
    <t>Jay</t>
  </si>
  <si>
    <t>Wilmington</t>
  </si>
  <si>
    <t>Emilie</t>
  </si>
  <si>
    <t>Johannes</t>
  </si>
  <si>
    <t>510 L Street</t>
  </si>
  <si>
    <t>Anchorage</t>
  </si>
  <si>
    <t>99501</t>
  </si>
  <si>
    <t>9072711414</t>
  </si>
  <si>
    <t>Denali Commission</t>
  </si>
  <si>
    <t>ejohannes@denali.gov</t>
  </si>
  <si>
    <t>Derrick</t>
  </si>
  <si>
    <t>Johnson</t>
  </si>
  <si>
    <t>78229</t>
  </si>
  <si>
    <t>512-981-4463</t>
  </si>
  <si>
    <t>kevin.johnson8@va.gov</t>
  </si>
  <si>
    <t>Timothy</t>
  </si>
  <si>
    <t>Johnston</t>
  </si>
  <si>
    <t>Erlinda</t>
  </si>
  <si>
    <t>Jojola</t>
  </si>
  <si>
    <t>5300 Homestead Road, NE</t>
  </si>
  <si>
    <t>505-248-4189</t>
  </si>
  <si>
    <t>505-248-4228</t>
  </si>
  <si>
    <t>erlinda.jojola@ihs.gov</t>
  </si>
  <si>
    <t>Jones</t>
  </si>
  <si>
    <t>Marilyn</t>
  </si>
  <si>
    <t>202-694-1007</t>
  </si>
  <si>
    <t>202-219-2338</t>
  </si>
  <si>
    <t>mjones@fec.gov</t>
  </si>
  <si>
    <t>9185 Fidelis Drive</t>
  </si>
  <si>
    <t>Blue Ash</t>
  </si>
  <si>
    <t>45242</t>
  </si>
  <si>
    <t>5137923131</t>
  </si>
  <si>
    <t>matthew.jones@gsa.gov</t>
  </si>
  <si>
    <t>2200 Crystal Dr.</t>
  </si>
  <si>
    <t>Suite 806</t>
  </si>
  <si>
    <t>703-605-2798</t>
  </si>
  <si>
    <t>adam.jones@gsa.gov</t>
  </si>
  <si>
    <t>Joy</t>
  </si>
  <si>
    <t>Oak Ridge</t>
  </si>
  <si>
    <t>Joyce</t>
  </si>
  <si>
    <t>Neil S</t>
  </si>
  <si>
    <t>Kanten</t>
  </si>
  <si>
    <t>7400 Merton Minter St.</t>
  </si>
  <si>
    <t>78229-4404</t>
  </si>
  <si>
    <t>210-617-5112</t>
  </si>
  <si>
    <t>210-949-3365</t>
  </si>
  <si>
    <t>Neil.Kanten@va.gov</t>
  </si>
  <si>
    <t>Anadarko</t>
  </si>
  <si>
    <t>73005</t>
  </si>
  <si>
    <t>Suite 3486</t>
  </si>
  <si>
    <t>Falisha</t>
  </si>
  <si>
    <t>Keel</t>
  </si>
  <si>
    <t>1900 E 13th</t>
  </si>
  <si>
    <t>ada</t>
  </si>
  <si>
    <t>74820</t>
  </si>
  <si>
    <t>580 2724924</t>
  </si>
  <si>
    <t>Jeff Keel</t>
  </si>
  <si>
    <t>Keller</t>
  </si>
  <si>
    <t>P.O. Box 25165</t>
  </si>
  <si>
    <t>303-231-3914</t>
  </si>
  <si>
    <t>303-231-3917</t>
  </si>
  <si>
    <t>Office of Natural Resources Revenue</t>
  </si>
  <si>
    <t>tom.keller@onrr.gov</t>
  </si>
  <si>
    <t>Casey</t>
  </si>
  <si>
    <t>Kelley</t>
  </si>
  <si>
    <t>858-537-2222</t>
  </si>
  <si>
    <t>casey.kelley@gsa.gov</t>
  </si>
  <si>
    <t>Christine</t>
  </si>
  <si>
    <t>Little Rock</t>
  </si>
  <si>
    <t>72201</t>
  </si>
  <si>
    <t>Kenney</t>
  </si>
  <si>
    <t>7037406596</t>
  </si>
  <si>
    <t>Jennifer.Kenney@gsa.gov</t>
  </si>
  <si>
    <t>Jaime</t>
  </si>
  <si>
    <t>Kern</t>
  </si>
  <si>
    <t>215-446-4891</t>
  </si>
  <si>
    <t>jaime.kern@gsa.gov</t>
  </si>
  <si>
    <t>Kessler</t>
  </si>
  <si>
    <t>Stuart</t>
  </si>
  <si>
    <t>703-603-8221</t>
  </si>
  <si>
    <t>stuart.kessler@gsa.gov</t>
  </si>
  <si>
    <t>Annie</t>
  </si>
  <si>
    <t>Khun</t>
  </si>
  <si>
    <t>Room 347</t>
  </si>
  <si>
    <t>617-565-7358</t>
  </si>
  <si>
    <t>annie.khun@gsa.gov</t>
  </si>
  <si>
    <t>Kidd</t>
  </si>
  <si>
    <t>2200 Crystal Drive, CP4</t>
  </si>
  <si>
    <t>Room 3046</t>
  </si>
  <si>
    <t>703,603.8138</t>
  </si>
  <si>
    <t>703.605.9933</t>
  </si>
  <si>
    <t>Scott.Kidd@gsa.gov</t>
  </si>
  <si>
    <t>Lynda</t>
  </si>
  <si>
    <t>CW5</t>
  </si>
  <si>
    <t>King</t>
  </si>
  <si>
    <t>2443 Warrenville</t>
  </si>
  <si>
    <t>Lisle</t>
  </si>
  <si>
    <t>60532</t>
  </si>
  <si>
    <t>630-829-9612</t>
  </si>
  <si>
    <t>USNRC</t>
  </si>
  <si>
    <t>michael.king@nrc.gov</t>
  </si>
  <si>
    <t>Vernessa</t>
  </si>
  <si>
    <t>4100 W. Third Street</t>
  </si>
  <si>
    <t>Bldg. 126, room 305, 3rd Floor</t>
  </si>
  <si>
    <t>45428</t>
  </si>
  <si>
    <t>937-267-3993</t>
  </si>
  <si>
    <t>937-262-5973</t>
  </si>
  <si>
    <t>vernessa.king@va.gov</t>
  </si>
  <si>
    <t>300 E. 8th Street</t>
  </si>
  <si>
    <t>Room 908</t>
  </si>
  <si>
    <t>512-364-3298</t>
  </si>
  <si>
    <t>mark.king@gsa.gov</t>
  </si>
  <si>
    <t>Christina</t>
  </si>
  <si>
    <t>08405</t>
  </si>
  <si>
    <t>Klein</t>
  </si>
  <si>
    <t>Knight</t>
  </si>
  <si>
    <t>Knowles</t>
  </si>
  <si>
    <t>703-306-6421</t>
  </si>
  <si>
    <t>703-306-6920</t>
  </si>
  <si>
    <t>lashawn.knowles@gsa.gov</t>
  </si>
  <si>
    <t>Warner Robins</t>
  </si>
  <si>
    <t>Jeff</t>
  </si>
  <si>
    <t>Koses</t>
  </si>
  <si>
    <t>703-605-5535</t>
  </si>
  <si>
    <t>jeffrey.koses@gsa.gov</t>
  </si>
  <si>
    <t>2501 Investigation Parkway</t>
  </si>
  <si>
    <t>703-632-7397</t>
  </si>
  <si>
    <t>Sanjit</t>
  </si>
  <si>
    <t>Kundu</t>
  </si>
  <si>
    <t>905 E.11th Ave.</t>
  </si>
  <si>
    <t>503-230-3518</t>
  </si>
  <si>
    <t>Bonneville Power Administration</t>
  </si>
  <si>
    <t>skkundu@bpa.gov</t>
  </si>
  <si>
    <t>Melody</t>
  </si>
  <si>
    <t>LaFond</t>
  </si>
  <si>
    <t>mlafond@sacsheriff.com</t>
  </si>
  <si>
    <t>Beau</t>
  </si>
  <si>
    <t>Lamontagne</t>
  </si>
  <si>
    <t>6405 Mira Mesa Blvd.</t>
  </si>
  <si>
    <t>Suite 250</t>
  </si>
  <si>
    <t>92121</t>
  </si>
  <si>
    <t>858.412.8000</t>
  </si>
  <si>
    <t>beau.lamontagne@gsa.gov</t>
  </si>
  <si>
    <t>Lancaster</t>
  </si>
  <si>
    <t>Charlene</t>
  </si>
  <si>
    <t>LaRubbio</t>
  </si>
  <si>
    <t>600-A Forest Point Circle</t>
  </si>
  <si>
    <t>Charlotte</t>
  </si>
  <si>
    <t>28273</t>
  </si>
  <si>
    <t>704 451 6469</t>
  </si>
  <si>
    <t>American National Red Cross</t>
  </si>
  <si>
    <t>LaRubbioC@usa.redcross.org</t>
  </si>
  <si>
    <t>9988 Hibert St.</t>
  </si>
  <si>
    <t>8588055552</t>
  </si>
  <si>
    <t>charles.lee@gsa.gov</t>
  </si>
  <si>
    <t>LaVette</t>
  </si>
  <si>
    <t>935 Pennsylvania Avenue NW</t>
  </si>
  <si>
    <t>2023240284</t>
  </si>
  <si>
    <t>lavette.lee@ic.fbi.gov</t>
  </si>
  <si>
    <t>Jo-Ann</t>
  </si>
  <si>
    <t>212-264-1885</t>
  </si>
  <si>
    <t>joann.lee@gsa.gov</t>
  </si>
  <si>
    <t>819 Taylor St</t>
  </si>
  <si>
    <t>Amy</t>
  </si>
  <si>
    <t>Leslie</t>
  </si>
  <si>
    <t>650 Missouri Ave</t>
  </si>
  <si>
    <t>Room 103</t>
  </si>
  <si>
    <t>East St. Louis</t>
  </si>
  <si>
    <t>62201</t>
  </si>
  <si>
    <t>618-482-9438</t>
  </si>
  <si>
    <t>Amy_Leslie@ilsp.uscourts.gov</t>
  </si>
  <si>
    <t>Marion</t>
  </si>
  <si>
    <t>Lewandowski</t>
  </si>
  <si>
    <t>219 S Dearborn Street</t>
  </si>
  <si>
    <t>312.435.6048</t>
  </si>
  <si>
    <t>312.435.6033</t>
  </si>
  <si>
    <t>marion_lewandowski@ilnb.uscourts.gov</t>
  </si>
  <si>
    <t>Lewis</t>
  </si>
  <si>
    <t>Rm 20-100</t>
  </si>
  <si>
    <t>Sharon</t>
  </si>
  <si>
    <t>77002</t>
  </si>
  <si>
    <t>Lewis Jr</t>
  </si>
  <si>
    <t>1666 Connecticut Ave NW</t>
  </si>
  <si>
    <t>20009</t>
  </si>
  <si>
    <t>202-884-7726</t>
  </si>
  <si>
    <t>Finance</t>
  </si>
  <si>
    <t>alewis@arc.gov</t>
  </si>
  <si>
    <t>Matt</t>
  </si>
  <si>
    <t>Jennie</t>
  </si>
  <si>
    <t>Liming</t>
  </si>
  <si>
    <t>Suit 506</t>
  </si>
  <si>
    <t>703-605-278</t>
  </si>
  <si>
    <t>jennie.liming@gsa.gov</t>
  </si>
  <si>
    <t>2100 Crystal Dr</t>
  </si>
  <si>
    <t>703-517-4456</t>
  </si>
  <si>
    <t>allison.liming@gsa.gov</t>
  </si>
  <si>
    <t>Lincoln</t>
  </si>
  <si>
    <t>26 Federal Plaza Room 20-128</t>
  </si>
  <si>
    <t>2122642698</t>
  </si>
  <si>
    <t>christine.lincoln@gsa.gov</t>
  </si>
  <si>
    <t>Vanessa</t>
  </si>
  <si>
    <t>215 Wynn Drive</t>
  </si>
  <si>
    <t>256-544-4335</t>
  </si>
  <si>
    <t>256-544-3936</t>
  </si>
  <si>
    <t>Vanessa.D.Lindsey@nasa.gov</t>
  </si>
  <si>
    <t>Long</t>
  </si>
  <si>
    <t>305-714-1840</t>
  </si>
  <si>
    <t>melissa_long@flsb.uscourts.gov</t>
  </si>
  <si>
    <t>Lopez</t>
  </si>
  <si>
    <t>Lott</t>
  </si>
  <si>
    <t>Kathryn</t>
  </si>
  <si>
    <t>Louis</t>
  </si>
  <si>
    <t>Las Cruces</t>
  </si>
  <si>
    <t>Suite 110</t>
  </si>
  <si>
    <t>Louisville</t>
  </si>
  <si>
    <t>KY</t>
  </si>
  <si>
    <t>US Attorneys Office</t>
  </si>
  <si>
    <t>Lujan</t>
  </si>
  <si>
    <t>505-248-4223</t>
  </si>
  <si>
    <t>505-248-4721</t>
  </si>
  <si>
    <t>christine.lujan@ihs.gov</t>
  </si>
  <si>
    <t>Room 3486</t>
  </si>
  <si>
    <t>Wesley</t>
  </si>
  <si>
    <t>Honolulu</t>
  </si>
  <si>
    <t>96813</t>
  </si>
  <si>
    <t>Lundstrom</t>
  </si>
  <si>
    <t>312-886-8275</t>
  </si>
  <si>
    <t>chris.lundstrom@gsa.gov</t>
  </si>
  <si>
    <t>Herman</t>
  </si>
  <si>
    <t>Lyons</t>
  </si>
  <si>
    <t>816-823-2469</t>
  </si>
  <si>
    <t>Madsen</t>
  </si>
  <si>
    <t>Salt Lake City</t>
  </si>
  <si>
    <t>Judie</t>
  </si>
  <si>
    <t>Magana</t>
  </si>
  <si>
    <t>312-886-8193</t>
  </si>
  <si>
    <t>judith.magana@gsa.gov</t>
  </si>
  <si>
    <t>Mahan-Hooten</t>
  </si>
  <si>
    <t>8700 Remount Rd.</t>
  </si>
  <si>
    <t>501-835-3111</t>
  </si>
  <si>
    <t>501-683-0413</t>
  </si>
  <si>
    <t>AR Dept. of Emergency Management</t>
  </si>
  <si>
    <t>Federal Surplus Property</t>
  </si>
  <si>
    <t>kathryn.mahan@adem.arkansas.gov</t>
  </si>
  <si>
    <t>Mahoney</t>
  </si>
  <si>
    <t>301 industrial ave.</t>
  </si>
  <si>
    <t>lakeport</t>
  </si>
  <si>
    <t>95453</t>
  </si>
  <si>
    <t>707-263-4220</t>
  </si>
  <si>
    <t>dept. of interior</t>
  </si>
  <si>
    <t>cmahoney@svpomo.org</t>
  </si>
  <si>
    <t>Adrienne</t>
  </si>
  <si>
    <t>Meredith</t>
  </si>
  <si>
    <t>Mallory</t>
  </si>
  <si>
    <t>703-489-9092</t>
  </si>
  <si>
    <t>meredith.mallory@gsa.gov</t>
  </si>
  <si>
    <t>Henry</t>
  </si>
  <si>
    <t>Mansfield</t>
  </si>
  <si>
    <t>Marshall</t>
  </si>
  <si>
    <t>281-483-6504</t>
  </si>
  <si>
    <t>delores.e.marshall@nasa.gov</t>
  </si>
  <si>
    <t>Martin</t>
  </si>
  <si>
    <t>Martinez</t>
  </si>
  <si>
    <t>6011 Executive Blvd, Suite 639L</t>
  </si>
  <si>
    <t>301-451-9605</t>
  </si>
  <si>
    <t>301-496-8428</t>
  </si>
  <si>
    <t>National Institutes of Health</t>
  </si>
  <si>
    <t>george.martinez@nih.gov</t>
  </si>
  <si>
    <t>Ned</t>
  </si>
  <si>
    <t>Matlack</t>
  </si>
  <si>
    <t>11th Floor</t>
  </si>
  <si>
    <t>2154465830</t>
  </si>
  <si>
    <t>randy.matlack@gsa.gov</t>
  </si>
  <si>
    <t>Mattila</t>
  </si>
  <si>
    <t>817-200-1162</t>
  </si>
  <si>
    <t>AnnMarie.Mattila@nrc.gov</t>
  </si>
  <si>
    <t>Lloyd</t>
  </si>
  <si>
    <t>Tahlequah</t>
  </si>
  <si>
    <t>74465</t>
  </si>
  <si>
    <t>McCarthy</t>
  </si>
  <si>
    <t>P.O. Box 828</t>
  </si>
  <si>
    <t>Anadarko, Oklahoma</t>
  </si>
  <si>
    <t>405-247-7916</t>
  </si>
  <si>
    <t>405-247-4945</t>
  </si>
  <si>
    <t>vincent.mccarthy@ihs.gov</t>
  </si>
  <si>
    <t>Research Triangle Park</t>
  </si>
  <si>
    <t>DeBorah</t>
  </si>
  <si>
    <t>McCrimmon</t>
  </si>
  <si>
    <t>490 L'Enfant Plaza SW</t>
  </si>
  <si>
    <t>202 314-6243</t>
  </si>
  <si>
    <t>202 459-9320</t>
  </si>
  <si>
    <t>pettusd@ntsb.gov</t>
  </si>
  <si>
    <t>McDonald</t>
  </si>
  <si>
    <t>McFarland</t>
  </si>
  <si>
    <t>10 Causeway St</t>
  </si>
  <si>
    <t>301-758-5880</t>
  </si>
  <si>
    <t>matthew.mcfarland@gsa.gov</t>
  </si>
  <si>
    <t>McKay</t>
  </si>
  <si>
    <t>McKerchie</t>
  </si>
  <si>
    <t>2186 Shunk Road</t>
  </si>
  <si>
    <t>Sault Sainte Marie</t>
  </si>
  <si>
    <t>49783</t>
  </si>
  <si>
    <t>906-635-7795</t>
  </si>
  <si>
    <t>906-635-4910</t>
  </si>
  <si>
    <t>mmckerchie@saulttribe.net</t>
  </si>
  <si>
    <t>Andrea</t>
  </si>
  <si>
    <t>McKnight</t>
  </si>
  <si>
    <t>8th Floor Cube 8024B</t>
  </si>
  <si>
    <t>703-605-5709</t>
  </si>
  <si>
    <t>andrea.mcknight@gsa.gov</t>
  </si>
  <si>
    <t>McLaughlin</t>
  </si>
  <si>
    <t>McNair</t>
  </si>
  <si>
    <t>301 7th &amp; D Street SW</t>
  </si>
  <si>
    <t>202-708-5729</t>
  </si>
  <si>
    <t>marcia.banks@gsa.gov</t>
  </si>
  <si>
    <t>Cherie</t>
  </si>
  <si>
    <t>McQuillin</t>
  </si>
  <si>
    <t>1401 F. Street</t>
  </si>
  <si>
    <t>Camp Beauregard</t>
  </si>
  <si>
    <t>Pineville</t>
  </si>
  <si>
    <t>71360</t>
  </si>
  <si>
    <t>318-794-2960</t>
  </si>
  <si>
    <t>Cherie.McQuillin@usdoj.gov</t>
  </si>
  <si>
    <t>Mendez</t>
  </si>
  <si>
    <t>1222 Spruce ST Office 8.104A</t>
  </si>
  <si>
    <t>St Louis</t>
  </si>
  <si>
    <t>63103</t>
  </si>
  <si>
    <t>314-539-3491</t>
  </si>
  <si>
    <t>314-539-3500</t>
  </si>
  <si>
    <t>jose.mendez@gsa.gov</t>
  </si>
  <si>
    <t>Sr</t>
  </si>
  <si>
    <t>Midgett</t>
  </si>
  <si>
    <t>4th &amp; Independence Ave SW</t>
  </si>
  <si>
    <t>Washingtion</t>
  </si>
  <si>
    <t>20560</t>
  </si>
  <si>
    <t>202-633-6874</t>
  </si>
  <si>
    <t>202-633-6899</t>
  </si>
  <si>
    <t>federal Governmnet</t>
  </si>
  <si>
    <t>midgettb2@si.edu</t>
  </si>
  <si>
    <t>Rob</t>
  </si>
  <si>
    <t>Miller</t>
  </si>
  <si>
    <t>63120</t>
  </si>
  <si>
    <t>314-679-6231</t>
  </si>
  <si>
    <t>miller.william@jobcorps.org</t>
  </si>
  <si>
    <t>125 South State Street RM1222</t>
  </si>
  <si>
    <t>84138</t>
  </si>
  <si>
    <t>801-524-5138</t>
  </si>
  <si>
    <t>801-524-6767</t>
  </si>
  <si>
    <t>randy.miller@noaa.gov</t>
  </si>
  <si>
    <t>Eddie</t>
  </si>
  <si>
    <t>Mims</t>
  </si>
  <si>
    <t>1720 Hempstead Rd.</t>
  </si>
  <si>
    <t>P.O. Box 10128</t>
  </si>
  <si>
    <t>17601</t>
  </si>
  <si>
    <t>301-448-5526</t>
  </si>
  <si>
    <t>david.a.mims@irs.gov</t>
  </si>
  <si>
    <t>20591</t>
  </si>
  <si>
    <t>MITCHELL</t>
  </si>
  <si>
    <t>College Park</t>
  </si>
  <si>
    <t>20740</t>
  </si>
  <si>
    <t>Moore</t>
  </si>
  <si>
    <t>703-306-6233</t>
  </si>
  <si>
    <t>debbie.moore@gsa.gov</t>
  </si>
  <si>
    <t>Moreno</t>
  </si>
  <si>
    <t>Morgan</t>
  </si>
  <si>
    <t>Morimoto</t>
  </si>
  <si>
    <t>703-306-6349</t>
  </si>
  <si>
    <t>michael.morimoto@gsa.gov</t>
  </si>
  <si>
    <t>Morris</t>
  </si>
  <si>
    <t>404-331-1591</t>
  </si>
  <si>
    <t>paul.morris@gsa.gov</t>
  </si>
  <si>
    <t>Morrison</t>
  </si>
  <si>
    <t>6500 S. MacArthur Blvd</t>
  </si>
  <si>
    <t>Morrow</t>
  </si>
  <si>
    <t>Bldg 1646</t>
  </si>
  <si>
    <t>Hanscom AFB</t>
  </si>
  <si>
    <t>01731</t>
  </si>
  <si>
    <t>Sophia</t>
  </si>
  <si>
    <t>60661</t>
  </si>
  <si>
    <t>Munroe</t>
  </si>
  <si>
    <t>1600 E. Lamar Blvd</t>
  </si>
  <si>
    <t>76031</t>
  </si>
  <si>
    <t>817-200-1136</t>
  </si>
  <si>
    <t>817-200-1210</t>
  </si>
  <si>
    <t>stacey.munroe@nrc.gov</t>
  </si>
  <si>
    <t>8th Floor</t>
  </si>
  <si>
    <t>Shawn</t>
  </si>
  <si>
    <t>Megan</t>
  </si>
  <si>
    <t>Nevitt</t>
  </si>
  <si>
    <t>2900 Presidential Dr.</t>
  </si>
  <si>
    <t>Fairborn</t>
  </si>
  <si>
    <t>45324</t>
  </si>
  <si>
    <t>937-427-4643</t>
  </si>
  <si>
    <t>megan.nevitt@gsa.gov</t>
  </si>
  <si>
    <t>725 17th Street, NW</t>
  </si>
  <si>
    <t>20503</t>
  </si>
  <si>
    <t>Nickerson</t>
  </si>
  <si>
    <t>joe.nickerson@gsa.gov</t>
  </si>
  <si>
    <t>McAllen</t>
  </si>
  <si>
    <t>78501</t>
  </si>
  <si>
    <t>Nixon</t>
  </si>
  <si>
    <t>Sheila</t>
  </si>
  <si>
    <t>U.S. District Court</t>
  </si>
  <si>
    <t>85 Marconi Boulevard, room 258</t>
  </si>
  <si>
    <t>Columbus</t>
  </si>
  <si>
    <t>614-719-3051</t>
  </si>
  <si>
    <t>sheila_nixon@ohsd.uscourts.gov</t>
  </si>
  <si>
    <t>VICKI</t>
  </si>
  <si>
    <t>OGILVIE</t>
  </si>
  <si>
    <t>1501 SAN PEDRO DR SE</t>
  </si>
  <si>
    <t>WAREHOUSE BLDG 46</t>
  </si>
  <si>
    <t>505-767-6033</t>
  </si>
  <si>
    <t>505-256-6420</t>
  </si>
  <si>
    <t>VICKI.OGILVIE@VA.GOV</t>
  </si>
  <si>
    <t>Leticia</t>
  </si>
  <si>
    <t>Olivares</t>
  </si>
  <si>
    <t>8700 Tesoro Drive</t>
  </si>
  <si>
    <t>78217</t>
  </si>
  <si>
    <t>210-841-2430</t>
  </si>
  <si>
    <t>210-841-2400</t>
  </si>
  <si>
    <t>Leticia.Olivares@irs.gov</t>
  </si>
  <si>
    <t>WILLIAM</t>
  </si>
  <si>
    <t>OLIVER</t>
  </si>
  <si>
    <t>1100 N COLLEGE AVE</t>
  </si>
  <si>
    <t>FISCAL SERVICE</t>
  </si>
  <si>
    <t>FAYETTEVILLE</t>
  </si>
  <si>
    <t>479-444-4003</t>
  </si>
  <si>
    <t>WILLIAM.OLIVER4@VA.GOV</t>
  </si>
  <si>
    <t>Josefina</t>
  </si>
  <si>
    <t>Ortiz</t>
  </si>
  <si>
    <t>Ossi</t>
  </si>
  <si>
    <t>1315 East West Highway</t>
  </si>
  <si>
    <t>Room 10100</t>
  </si>
  <si>
    <t>301-628-5758</t>
  </si>
  <si>
    <t>catherine.ossi@noaa.gov</t>
  </si>
  <si>
    <t>Owen</t>
  </si>
  <si>
    <t>Elaine</t>
  </si>
  <si>
    <t>Tabitha</t>
  </si>
  <si>
    <t>Painson-McLeod</t>
  </si>
  <si>
    <t>Office of the Chief Procurement Officer</t>
  </si>
  <si>
    <t>451 7th Street, SW,</t>
  </si>
  <si>
    <t>20410</t>
  </si>
  <si>
    <t>202-402-7132</t>
  </si>
  <si>
    <t>Tabitha.Painson-McLeod@hud.gov</t>
  </si>
  <si>
    <t>Parker</t>
  </si>
  <si>
    <t>Parks</t>
  </si>
  <si>
    <t>3350 Patterson Rd</t>
  </si>
  <si>
    <t>Bldg 801 Rm 226</t>
  </si>
  <si>
    <t>805-982-5966</t>
  </si>
  <si>
    <t>805-982-5970</t>
  </si>
  <si>
    <t>darlene.parks@gsa.gov</t>
  </si>
  <si>
    <t>Patterson</t>
  </si>
  <si>
    <t>512-972-4014</t>
  </si>
  <si>
    <t>City of Austin</t>
  </si>
  <si>
    <t>sharon.patterson@austintexas.gov</t>
  </si>
  <si>
    <t>Frank</t>
  </si>
  <si>
    <t>Peabody</t>
  </si>
  <si>
    <t>253-931-7464</t>
  </si>
  <si>
    <t>alvin.peabody@gsa.gov</t>
  </si>
  <si>
    <t>60428</t>
  </si>
  <si>
    <t>312-569-7810</t>
  </si>
  <si>
    <t>cheryl.peay-washington@va.gov</t>
  </si>
  <si>
    <t>Peppin</t>
  </si>
  <si>
    <t>10001Reunion Place</t>
  </si>
  <si>
    <t>817-850-8461</t>
  </si>
  <si>
    <t>210-541-9557</t>
  </si>
  <si>
    <t>peter.peppin@gsa.gov</t>
  </si>
  <si>
    <t>Perez</t>
  </si>
  <si>
    <t>727 E Cesar Chavez Blvd</t>
  </si>
  <si>
    <t>78245</t>
  </si>
  <si>
    <t>rebecca.perez@gsa.gov</t>
  </si>
  <si>
    <t>Tammy</t>
  </si>
  <si>
    <t>22209</t>
  </si>
  <si>
    <t>Peters</t>
  </si>
  <si>
    <t>Rm. CA3-9</t>
  </si>
  <si>
    <t>703-306-6403</t>
  </si>
  <si>
    <t>david.peters@gsa.gov</t>
  </si>
  <si>
    <t>Walter</t>
  </si>
  <si>
    <t>Phillips</t>
  </si>
  <si>
    <t>Waleska</t>
  </si>
  <si>
    <t>1250 H Street, NW</t>
  </si>
  <si>
    <t>202-942-1689</t>
  </si>
  <si>
    <t>202-942-1676</t>
  </si>
  <si>
    <t>Federal Retirement Thrift Invest. Board</t>
  </si>
  <si>
    <t>waleska.pierantoni-monge@tsp.gov</t>
  </si>
  <si>
    <t>Laurie</t>
  </si>
  <si>
    <t>Kimberly</t>
  </si>
  <si>
    <t>Box 12</t>
  </si>
  <si>
    <t>Ponds</t>
  </si>
  <si>
    <t>20237</t>
  </si>
  <si>
    <t>202-382-5629</t>
  </si>
  <si>
    <t>sponds@voa.gov</t>
  </si>
  <si>
    <t>Poole</t>
  </si>
  <si>
    <t>Room 1161</t>
  </si>
  <si>
    <t>816-926-7203</t>
  </si>
  <si>
    <t>karen.poole@gsa.gov</t>
  </si>
  <si>
    <t>Preston</t>
  </si>
  <si>
    <t>Becky</t>
  </si>
  <si>
    <t>Prewett</t>
  </si>
  <si>
    <t>beckyp@astribe.com</t>
  </si>
  <si>
    <t>Price</t>
  </si>
  <si>
    <t>7550 IH 10 West</t>
  </si>
  <si>
    <t>78229-5821</t>
  </si>
  <si>
    <t>preston_price@fd.org</t>
  </si>
  <si>
    <t>Agricultural/Forestry/Rural Development</t>
  </si>
  <si>
    <t>Brad</t>
  </si>
  <si>
    <t>Pringle</t>
  </si>
  <si>
    <t>bpringle@saulttribe.net</t>
  </si>
  <si>
    <t>Derek</t>
  </si>
  <si>
    <t>22031</t>
  </si>
  <si>
    <t>Pullen</t>
  </si>
  <si>
    <t>1166 Athens Tech Road</t>
  </si>
  <si>
    <t>Elberton</t>
  </si>
  <si>
    <t>30635</t>
  </si>
  <si>
    <t>706-213-3817</t>
  </si>
  <si>
    <t>706-213-3884</t>
  </si>
  <si>
    <t>stephaniep@sepa.doe.gov</t>
  </si>
  <si>
    <t>Hattie</t>
  </si>
  <si>
    <t>Queen</t>
  </si>
  <si>
    <t>301-837-2080</t>
  </si>
  <si>
    <t>Lana</t>
  </si>
  <si>
    <t>Ramirez</t>
  </si>
  <si>
    <t>Ramos</t>
  </si>
  <si>
    <t>Window Rock</t>
  </si>
  <si>
    <t>86515</t>
  </si>
  <si>
    <t>Ranieri</t>
  </si>
  <si>
    <t>23rd Floor</t>
  </si>
  <si>
    <t>212-384-8098</t>
  </si>
  <si>
    <t>212-384-8102</t>
  </si>
  <si>
    <t>matthew.ranieri@ic.fbi.gov</t>
  </si>
  <si>
    <t>Rapp</t>
  </si>
  <si>
    <t>617-565-7619</t>
  </si>
  <si>
    <t>jamie.rapp@gsa.gov</t>
  </si>
  <si>
    <t>Rash</t>
  </si>
  <si>
    <t>301 7th &amp; D Streets S.W.</t>
  </si>
  <si>
    <t>2022053724</t>
  </si>
  <si>
    <t>ken.rash@gsa.gov</t>
  </si>
  <si>
    <t>Raspet</t>
  </si>
  <si>
    <t>8403 Lee Highway - Dewey Bldg.</t>
  </si>
  <si>
    <t>Merrifield</t>
  </si>
  <si>
    <t>22082-8150</t>
  </si>
  <si>
    <t>703-2807803</t>
  </si>
  <si>
    <t>Thomas.M.Raspet@usps.gov</t>
  </si>
  <si>
    <t>Broadcasting Board of Governors</t>
  </si>
  <si>
    <t>Rauschuber</t>
  </si>
  <si>
    <t>346 Marine Forces Dr.</t>
  </si>
  <si>
    <t>75051</t>
  </si>
  <si>
    <t>972-352-4500</t>
  </si>
  <si>
    <t>972-352-4545</t>
  </si>
  <si>
    <t>arauschuber@bop.gov</t>
  </si>
  <si>
    <t>23510</t>
  </si>
  <si>
    <t>Oran</t>
  </si>
  <si>
    <t>Redden</t>
  </si>
  <si>
    <t>oran_redded@dcs.state.ok.us</t>
  </si>
  <si>
    <t>Redlinger</t>
  </si>
  <si>
    <t>7175 Highland Drive</t>
  </si>
  <si>
    <t>Pittsburgh</t>
  </si>
  <si>
    <t>15206</t>
  </si>
  <si>
    <t>412-441-8698</t>
  </si>
  <si>
    <t>412-362-8621</t>
  </si>
  <si>
    <t>Job Corps</t>
  </si>
  <si>
    <t>Redlinger.Joseph@jobcorps.org</t>
  </si>
  <si>
    <t>Alvin</t>
  </si>
  <si>
    <t>Redmon</t>
  </si>
  <si>
    <t>312-569-7316</t>
  </si>
  <si>
    <t>alvin.redmon2@va.gov</t>
  </si>
  <si>
    <t>Director</t>
  </si>
  <si>
    <t>78772</t>
  </si>
  <si>
    <t>Kurt</t>
  </si>
  <si>
    <t>Regep</t>
  </si>
  <si>
    <t>230 South Dearborn Street #3486</t>
  </si>
  <si>
    <t>312-515-3077</t>
  </si>
  <si>
    <t>kurt.regep@gsa.gov</t>
  </si>
  <si>
    <t>Room 127</t>
  </si>
  <si>
    <t>Des Moines</t>
  </si>
  <si>
    <t>IA</t>
  </si>
  <si>
    <t>50309</t>
  </si>
  <si>
    <t>Kimberley</t>
  </si>
  <si>
    <t>Evelyn</t>
  </si>
  <si>
    <t>Reyes</t>
  </si>
  <si>
    <t>Benedicta</t>
  </si>
  <si>
    <t>2900 Presidential Drive Ste 190</t>
  </si>
  <si>
    <t>937-431-5530</t>
  </si>
  <si>
    <t>937-431-0137</t>
  </si>
  <si>
    <t>benny.reyes@gsa.gov</t>
  </si>
  <si>
    <t>Reynolds</t>
  </si>
  <si>
    <t>Richards</t>
  </si>
  <si>
    <t>Richardson</t>
  </si>
  <si>
    <t>Jessi</t>
  </si>
  <si>
    <t>Rieken</t>
  </si>
  <si>
    <t>2200 crystal city drive</t>
  </si>
  <si>
    <t>suite 506</t>
  </si>
  <si>
    <t>2539317418</t>
  </si>
  <si>
    <t>jessi.rieken@gsa.gov</t>
  </si>
  <si>
    <t>Leigh-Ann</t>
  </si>
  <si>
    <t>Rinehart</t>
  </si>
  <si>
    <t>Maryland Procurement</t>
  </si>
  <si>
    <t>Rivera</t>
  </si>
  <si>
    <t>Rose</t>
  </si>
  <si>
    <t>Krista</t>
  </si>
  <si>
    <t>Roberts</t>
  </si>
  <si>
    <t>512-516-9875</t>
  </si>
  <si>
    <t>krista.roberts@gsa.gov</t>
  </si>
  <si>
    <t>2200 Crystal Drive 2035A</t>
  </si>
  <si>
    <t>7036038129</t>
  </si>
  <si>
    <t>steven.roberts@gsa.gov</t>
  </si>
  <si>
    <t>Robinson</t>
  </si>
  <si>
    <t>Suite 400</t>
  </si>
  <si>
    <t>Murfreesboro</t>
  </si>
  <si>
    <t>Rodriguez</t>
  </si>
  <si>
    <t>Joel</t>
  </si>
  <si>
    <t>Rogers</t>
  </si>
  <si>
    <t>Rollins</t>
  </si>
  <si>
    <t>1200 New Jersey Ave, SE</t>
  </si>
  <si>
    <t>202-366-0141</t>
  </si>
  <si>
    <t>Other Department Of Transportation</t>
  </si>
  <si>
    <t>henry.rollins@dot.gov</t>
  </si>
  <si>
    <t>Rolston</t>
  </si>
  <si>
    <t>9615 Grand Ronde Rd</t>
  </si>
  <si>
    <t>Grand Ronde</t>
  </si>
  <si>
    <t>97347</t>
  </si>
  <si>
    <t>503-879-4547</t>
  </si>
  <si>
    <t>nathan.rolston@grandronde.org</t>
  </si>
  <si>
    <t>Ross</t>
  </si>
  <si>
    <t>Melanie</t>
  </si>
  <si>
    <t>melanie_ross@dcs.state.ok.us</t>
  </si>
  <si>
    <t>Tawanna</t>
  </si>
  <si>
    <t>Ross Johnson</t>
  </si>
  <si>
    <t>1515 College Avenue</t>
  </si>
  <si>
    <t>Manhattan</t>
  </si>
  <si>
    <t>66502</t>
  </si>
  <si>
    <t>785-776-2757</t>
  </si>
  <si>
    <t>tawanna.ross@ars.usda.gov</t>
  </si>
  <si>
    <t>Glenn</t>
  </si>
  <si>
    <t>Royal</t>
  </si>
  <si>
    <t>N1-20-03</t>
  </si>
  <si>
    <t>4107865420</t>
  </si>
  <si>
    <t>Center for Medicare &amp; Medicaid Services</t>
  </si>
  <si>
    <t>Letitia.Royal@cms.hhs.gov</t>
  </si>
  <si>
    <t>Joshua</t>
  </si>
  <si>
    <t>Royko</t>
  </si>
  <si>
    <t>Room 20-100</t>
  </si>
  <si>
    <t>212-577-8678</t>
  </si>
  <si>
    <t>joshua.royko@gsa.gov</t>
  </si>
  <si>
    <t>GS14</t>
  </si>
  <si>
    <t>Edgar "Bo"</t>
  </si>
  <si>
    <t>Ruffin</t>
  </si>
  <si>
    <t>P.O. Box 4786</t>
  </si>
  <si>
    <t>Meridian</t>
  </si>
  <si>
    <t>39304</t>
  </si>
  <si>
    <t>601-482-3555</t>
  </si>
  <si>
    <t>edgar.ruffin@gsa.gov</t>
  </si>
  <si>
    <t>Stacy</t>
  </si>
  <si>
    <t>Russell</t>
  </si>
  <si>
    <t>1500 East Bannister Road</t>
  </si>
  <si>
    <t>1301 Young Street, Room 914</t>
  </si>
  <si>
    <t>214-767-8718</t>
  </si>
  <si>
    <t>214-767-1761</t>
  </si>
  <si>
    <t>Administration for Children and Families</t>
  </si>
  <si>
    <t>wendy.russell@acf.hhs.gov</t>
  </si>
  <si>
    <t>Russo</t>
  </si>
  <si>
    <t>703-306-6631</t>
  </si>
  <si>
    <t>jim.russo@gsa.gov</t>
  </si>
  <si>
    <t>1500 E. Bannister Rd</t>
  </si>
  <si>
    <t>Ryan</t>
  </si>
  <si>
    <t>Sacco</t>
  </si>
  <si>
    <t>W 6TH AVE &amp; KIPLING ST</t>
  </si>
  <si>
    <t>Denver Federal Center, Bldg #41</t>
  </si>
  <si>
    <t>202.208.6177</t>
  </si>
  <si>
    <t>steven.sacco@gsa.gov</t>
  </si>
  <si>
    <t>31088</t>
  </si>
  <si>
    <t>Sands</t>
  </si>
  <si>
    <t>20420</t>
  </si>
  <si>
    <t>Melinda</t>
  </si>
  <si>
    <t>Sarvis</t>
  </si>
  <si>
    <t>545 John Knox Road</t>
  </si>
  <si>
    <t>Suite 102</t>
  </si>
  <si>
    <t>Tallahassee</t>
  </si>
  <si>
    <t>32303</t>
  </si>
  <si>
    <t>850-523-3825</t>
  </si>
  <si>
    <t>melinda.sarvis@dot.gov</t>
  </si>
  <si>
    <t>Margaret</t>
  </si>
  <si>
    <t>Schleicher</t>
  </si>
  <si>
    <t>Room 1520</t>
  </si>
  <si>
    <t>301-817-4138</t>
  </si>
  <si>
    <t>Walt.Schleicher@noaa.gov</t>
  </si>
  <si>
    <t>Schmidt</t>
  </si>
  <si>
    <t>Omaha</t>
  </si>
  <si>
    <t>1 Denver Federal Center</t>
  </si>
  <si>
    <t>Katrina</t>
  </si>
  <si>
    <t>Darroll</t>
  </si>
  <si>
    <t>Screen</t>
  </si>
  <si>
    <t>Web Services &amp; Repository Development</t>
  </si>
  <si>
    <t>101 Independence Ave SE, LA-310</t>
  </si>
  <si>
    <t>202-707-0641</t>
  </si>
  <si>
    <t>202-252-3696</t>
  </si>
  <si>
    <t>dscr@loc.gov</t>
  </si>
  <si>
    <t>Loretta</t>
  </si>
  <si>
    <t>Jack</t>
  </si>
  <si>
    <t>Kay</t>
  </si>
  <si>
    <t>Sebo</t>
  </si>
  <si>
    <t>703-603-8259</t>
  </si>
  <si>
    <t>andrew.sebo@gsa.gov</t>
  </si>
  <si>
    <t>WALI</t>
  </si>
  <si>
    <t>SHABAZZ</t>
  </si>
  <si>
    <t>WSHABAZZ@BOP.GOV</t>
  </si>
  <si>
    <t>Shaw</t>
  </si>
  <si>
    <t>Shea</t>
  </si>
  <si>
    <t>Office 5018</t>
  </si>
  <si>
    <t>703-605-2867</t>
  </si>
  <si>
    <t>david.shea@gsa.gov</t>
  </si>
  <si>
    <t>Colby</t>
  </si>
  <si>
    <t>Sheffer</t>
  </si>
  <si>
    <t>703-603-8223</t>
  </si>
  <si>
    <t>colby.sheffer@gsa.gov</t>
  </si>
  <si>
    <t>Sherrill</t>
  </si>
  <si>
    <t>Shuler</t>
  </si>
  <si>
    <t>703-306-6330</t>
  </si>
  <si>
    <t>Jack.Shuler@gsa.gov</t>
  </si>
  <si>
    <t>Shutt</t>
  </si>
  <si>
    <t>2200 Crystal Drive Suite 806</t>
  </si>
  <si>
    <t>703-605-2835</t>
  </si>
  <si>
    <t>stephanie.shutt@gsa.gov</t>
  </si>
  <si>
    <t>255 E. Temple Street</t>
  </si>
  <si>
    <t>3rd Floor</t>
  </si>
  <si>
    <t>90012</t>
  </si>
  <si>
    <t>Catina</t>
  </si>
  <si>
    <t>Simpson</t>
  </si>
  <si>
    <t>618-482-9022</t>
  </si>
  <si>
    <t>618-482-9037</t>
  </si>
  <si>
    <t>catina_simpson@ilsp.uscourts.gov</t>
  </si>
  <si>
    <t>Tiffany</t>
  </si>
  <si>
    <t>Small</t>
  </si>
  <si>
    <t>1201 I Street NW</t>
  </si>
  <si>
    <t>202-354-1458</t>
  </si>
  <si>
    <t>Tiffany_Small@nps.gov</t>
  </si>
  <si>
    <t>Smith</t>
  </si>
  <si>
    <t>858-412-8000</t>
  </si>
  <si>
    <t>Rachel</t>
  </si>
  <si>
    <t>145 N Street, N.E.</t>
  </si>
  <si>
    <t>202-598-0319</t>
  </si>
  <si>
    <t>Derrick.B.Smith@usdoj.gov</t>
  </si>
  <si>
    <t>2503 Edgefield Trail</t>
  </si>
  <si>
    <t>76063</t>
  </si>
  <si>
    <t>817-422-1423</t>
  </si>
  <si>
    <t>laura.e.smith@gsa.gov</t>
  </si>
  <si>
    <t>Loren</t>
  </si>
  <si>
    <t>703-306-6378</t>
  </si>
  <si>
    <t>Loren.Smith@GSA.gov</t>
  </si>
  <si>
    <t>Snodderly</t>
  </si>
  <si>
    <t>Room 1085</t>
  </si>
  <si>
    <t>816-550-4682</t>
  </si>
  <si>
    <t>mary.snodderly@gsa.gov</t>
  </si>
  <si>
    <t>Nicole</t>
  </si>
  <si>
    <t>Snyder</t>
  </si>
  <si>
    <t>253-931-7294</t>
  </si>
  <si>
    <t>donna.snyder@gsa.gov</t>
  </si>
  <si>
    <t>Gene</t>
  </si>
  <si>
    <t>Solis</t>
  </si>
  <si>
    <t>01730</t>
  </si>
  <si>
    <t>Small Business Administration</t>
  </si>
  <si>
    <t>Spainhour</t>
  </si>
  <si>
    <t>Suite 7018</t>
  </si>
  <si>
    <t>703-605-2823</t>
  </si>
  <si>
    <t>bruce.spainhour@gsa.gov</t>
  </si>
  <si>
    <t>Dena</t>
  </si>
  <si>
    <t>Delena</t>
  </si>
  <si>
    <t>Spates-Allen</t>
  </si>
  <si>
    <t>515 N. Washington</t>
  </si>
  <si>
    <t>Saginaw</t>
  </si>
  <si>
    <t>48607</t>
  </si>
  <si>
    <t>989-757-3105</t>
  </si>
  <si>
    <t>989-754-1715</t>
  </si>
  <si>
    <t>Saginaw Future Inc.</t>
  </si>
  <si>
    <t>dsallen@saginawfuture.com</t>
  </si>
  <si>
    <t>GS-301-12</t>
  </si>
  <si>
    <t>Jewel</t>
  </si>
  <si>
    <t>Spencer</t>
  </si>
  <si>
    <t>77 W. Jackson Blvd</t>
  </si>
  <si>
    <t>312-353-1222</t>
  </si>
  <si>
    <t>312385-5336</t>
  </si>
  <si>
    <t>spencer.jewel@epa.gov</t>
  </si>
  <si>
    <t>Spilker</t>
  </si>
  <si>
    <t>P.O. Box 192</t>
  </si>
  <si>
    <t>Merlin</t>
  </si>
  <si>
    <t>97532</t>
  </si>
  <si>
    <t>541-955-9693</t>
  </si>
  <si>
    <t>541-955-9734</t>
  </si>
  <si>
    <t>PTAC office -- Oregon</t>
  </si>
  <si>
    <t>sspilker@gcap.org</t>
  </si>
  <si>
    <t>CRAIG</t>
  </si>
  <si>
    <t>STAFFAN</t>
  </si>
  <si>
    <t>210-472-5545</t>
  </si>
  <si>
    <t>craig.staffan@gsa.gov</t>
  </si>
  <si>
    <t>Stallings</t>
  </si>
  <si>
    <t>77 Forsyth Street, SW</t>
  </si>
  <si>
    <t>404-331-1110</t>
  </si>
  <si>
    <t>kevin.stallings@gsa.gov</t>
  </si>
  <si>
    <t>Stanka</t>
  </si>
  <si>
    <t>111 South 10th Street, Suite 3.300</t>
  </si>
  <si>
    <t>Saint Louis</t>
  </si>
  <si>
    <t>314-244-7877</t>
  </si>
  <si>
    <t>314-244-7969</t>
  </si>
  <si>
    <t>john_stanka@moed.uscourts.gov</t>
  </si>
  <si>
    <t>Craig</t>
  </si>
  <si>
    <t>Suite 300</t>
  </si>
  <si>
    <t>Davenport</t>
  </si>
  <si>
    <t>Stephenson</t>
  </si>
  <si>
    <t>Stewart</t>
  </si>
  <si>
    <t>Yjuania</t>
  </si>
  <si>
    <t>Still</t>
  </si>
  <si>
    <t>1710 Corporate Crossing, Suite 3</t>
  </si>
  <si>
    <t>618 622-5809</t>
  </si>
  <si>
    <t>yjuania.still@gsa.gov</t>
  </si>
  <si>
    <t>Stone</t>
  </si>
  <si>
    <t>78284</t>
  </si>
  <si>
    <t>Stride</t>
  </si>
  <si>
    <t>703-306-6263</t>
  </si>
  <si>
    <t>tina.stride@gsa.gov</t>
  </si>
  <si>
    <t>GS 11</t>
  </si>
  <si>
    <t>Sturdivant</t>
  </si>
  <si>
    <t>Sudol</t>
  </si>
  <si>
    <t>230 So. Dearborn St</t>
  </si>
  <si>
    <t>Rm 3486</t>
  </si>
  <si>
    <t>312-886-8273</t>
  </si>
  <si>
    <t>thomas.sudol@gsa.gov</t>
  </si>
  <si>
    <t>Carl</t>
  </si>
  <si>
    <t>Brent</t>
  </si>
  <si>
    <t>Sullivan</t>
  </si>
  <si>
    <t>81 Grenier St.</t>
  </si>
  <si>
    <t>781 377 7710</t>
  </si>
  <si>
    <t>john.sullivan@gsa.gov</t>
  </si>
  <si>
    <t>Sundin</t>
  </si>
  <si>
    <t>703-489-3978</t>
  </si>
  <si>
    <t>elisabeth.sundin@gsa.gov</t>
  </si>
  <si>
    <t>Supp</t>
  </si>
  <si>
    <t>703-489-8675</t>
  </si>
  <si>
    <t>michael.supp@gsa.gov</t>
  </si>
  <si>
    <t>Mel</t>
  </si>
  <si>
    <t>Tafoya</t>
  </si>
  <si>
    <t>P.O. Box 580</t>
  </si>
  <si>
    <t>1 Kee Street</t>
  </si>
  <si>
    <t>Espanola</t>
  </si>
  <si>
    <t>87532</t>
  </si>
  <si>
    <t>505-692-6309</t>
  </si>
  <si>
    <t>505-753-8988</t>
  </si>
  <si>
    <t>mrtafoya@santaclarapueblo.org</t>
  </si>
  <si>
    <t>101 W. Broadway</t>
  </si>
  <si>
    <t>U.S. Probation Office</t>
  </si>
  <si>
    <t xml:space="preserve">Guam                     </t>
  </si>
  <si>
    <t>Erika</t>
  </si>
  <si>
    <t>Taylor</t>
  </si>
  <si>
    <t>Tekesky</t>
  </si>
  <si>
    <t>SBGWAC, Rm 1076</t>
  </si>
  <si>
    <t>816-823-2468</t>
  </si>
  <si>
    <t>todd.tekesky@gsa.gov</t>
  </si>
  <si>
    <t>Tekus</t>
  </si>
  <si>
    <t>3911 Arrowwood Bend</t>
  </si>
  <si>
    <t>78261</t>
  </si>
  <si>
    <t>830-220-1050</t>
  </si>
  <si>
    <t>john.tekus@gsa.gov</t>
  </si>
  <si>
    <t>88012</t>
  </si>
  <si>
    <t>Tetrault</t>
  </si>
  <si>
    <t>Samuel</t>
  </si>
  <si>
    <t>737 Bishop Street</t>
  </si>
  <si>
    <t>Suite 1550</t>
  </si>
  <si>
    <t>808-532-3960</t>
  </si>
  <si>
    <t>Sam.Thomas@noaa.gov</t>
  </si>
  <si>
    <t>Thompson</t>
  </si>
  <si>
    <t>330 Independence Ave SW</t>
  </si>
  <si>
    <t>pmthomps@voanews.com</t>
  </si>
  <si>
    <t>P.O. Box 265</t>
  </si>
  <si>
    <t>Kaysville</t>
  </si>
  <si>
    <t>84037</t>
  </si>
  <si>
    <t>801-589-3935</t>
  </si>
  <si>
    <t>craig.thompson@usu.edu</t>
  </si>
  <si>
    <t>801-544-3089</t>
  </si>
  <si>
    <t>debra.thompson@usu.edu</t>
  </si>
  <si>
    <t>Tiller</t>
  </si>
  <si>
    <t>3-1005</t>
  </si>
  <si>
    <t>703-306-6872</t>
  </si>
  <si>
    <t>frank.tiller@gsa.gov</t>
  </si>
  <si>
    <t>Tillerson</t>
  </si>
  <si>
    <t>1515 Wilson blvd</t>
  </si>
  <si>
    <t>suite 600</t>
  </si>
  <si>
    <t>703-605-4042</t>
  </si>
  <si>
    <t>SSS</t>
  </si>
  <si>
    <t>Selective Service system</t>
  </si>
  <si>
    <t>alvin.tillerson@sss.gov</t>
  </si>
  <si>
    <t>Tomczak</t>
  </si>
  <si>
    <t>404-215-8654</t>
  </si>
  <si>
    <t>anthony.tomczak@gsa.gov</t>
  </si>
  <si>
    <t>Roy</t>
  </si>
  <si>
    <t>Christian</t>
  </si>
  <si>
    <t>Torres</t>
  </si>
  <si>
    <t>5730 Northwest Parkway</t>
  </si>
  <si>
    <t>Tran</t>
  </si>
  <si>
    <t>Tribble</t>
  </si>
  <si>
    <t>401 West Peachtree Street NW</t>
  </si>
  <si>
    <t>404-526-3138</t>
  </si>
  <si>
    <t>Derek.Tribble@gsa.gov</t>
  </si>
  <si>
    <t>Tucker</t>
  </si>
  <si>
    <t>Tuttle</t>
  </si>
  <si>
    <t>Tuesdae</t>
  </si>
  <si>
    <t>Valdes</t>
  </si>
  <si>
    <t>department of interior</t>
  </si>
  <si>
    <t>tvaldes@svpomo.org</t>
  </si>
  <si>
    <t>Vance</t>
  </si>
  <si>
    <t>1401 F Street</t>
  </si>
  <si>
    <t>318-640-4560</t>
  </si>
  <si>
    <t>318-640-7094</t>
  </si>
  <si>
    <t>amy.vance@usdoj.gov</t>
  </si>
  <si>
    <t>Ramon</t>
  </si>
  <si>
    <t>Marisol</t>
  </si>
  <si>
    <t>Vargas-Busch</t>
  </si>
  <si>
    <t>202-942-1621</t>
  </si>
  <si>
    <t>Federal Retiment Thrift Investment Board</t>
  </si>
  <si>
    <t>marisol.vargas-busch@tsp.gov</t>
  </si>
  <si>
    <t>Vassallo</t>
  </si>
  <si>
    <t>1900 E St NW</t>
  </si>
  <si>
    <t>Rm 1469</t>
  </si>
  <si>
    <t>202-606-5064</t>
  </si>
  <si>
    <t>jennifer.vassallo@opm.gov</t>
  </si>
  <si>
    <t>Vega</t>
  </si>
  <si>
    <t>475 L Enfant Plaza SW</t>
  </si>
  <si>
    <t>Room 5650</t>
  </si>
  <si>
    <t>20260</t>
  </si>
  <si>
    <t>2022688321</t>
  </si>
  <si>
    <t>charles.d.vega@usps.gov</t>
  </si>
  <si>
    <t>Boise</t>
  </si>
  <si>
    <t>ID</t>
  </si>
  <si>
    <t>Carlton</t>
  </si>
  <si>
    <t>Vu</t>
  </si>
  <si>
    <t>lisa.vu@gsa.gov</t>
  </si>
  <si>
    <t>Connie</t>
  </si>
  <si>
    <t>Walbert</t>
  </si>
  <si>
    <t>2111 Wilson Boulevard</t>
  </si>
  <si>
    <t>Suite 700</t>
  </si>
  <si>
    <t>703-351-5053</t>
  </si>
  <si>
    <t>703-351-1423</t>
  </si>
  <si>
    <t>Vietnam Education Foundation</t>
  </si>
  <si>
    <t>lanawalbert@vef.gov</t>
  </si>
  <si>
    <t>Walker</t>
  </si>
  <si>
    <t>Wall</t>
  </si>
  <si>
    <t>617-565-5760</t>
  </si>
  <si>
    <t>sharon.wall@gsa.gov</t>
  </si>
  <si>
    <t>Jeffrey</t>
  </si>
  <si>
    <t>Ward</t>
  </si>
  <si>
    <t>1401 Hampton Street</t>
  </si>
  <si>
    <t>29201</t>
  </si>
  <si>
    <t>803-753-2380</t>
  </si>
  <si>
    <t>AgFirst farm Credit bank</t>
  </si>
  <si>
    <t>mwarren@agfirst.com</t>
  </si>
  <si>
    <t>Consular Affairs</t>
  </si>
  <si>
    <t>Watson</t>
  </si>
  <si>
    <t>TEMPLE</t>
  </si>
  <si>
    <t>76504</t>
  </si>
  <si>
    <t>400 15th st. sw</t>
  </si>
  <si>
    <t>auburn</t>
  </si>
  <si>
    <t>253-931-7040</t>
  </si>
  <si>
    <t>253-876-7140</t>
  </si>
  <si>
    <t>geraldine.watson@gsa.gov</t>
  </si>
  <si>
    <t>Watts</t>
  </si>
  <si>
    <t>Procurement</t>
  </si>
  <si>
    <t>Building 1100</t>
  </si>
  <si>
    <t>2288136577</t>
  </si>
  <si>
    <t>robert.e.watts@nasa.gov</t>
  </si>
  <si>
    <t>Michele</t>
  </si>
  <si>
    <t>Katy</t>
  </si>
  <si>
    <t>Welch</t>
  </si>
  <si>
    <t>6313 Westshire</t>
  </si>
  <si>
    <t>Portage</t>
  </si>
  <si>
    <t>49024</t>
  </si>
  <si>
    <t>312-350-2147</t>
  </si>
  <si>
    <t>katy.welch@gsa.gov</t>
  </si>
  <si>
    <t>Dee</t>
  </si>
  <si>
    <t>Weller</t>
  </si>
  <si>
    <t>191 Office Park Drive</t>
  </si>
  <si>
    <t>Hot Springs</t>
  </si>
  <si>
    <t>71913</t>
  </si>
  <si>
    <t>501-623-2440</t>
  </si>
  <si>
    <t>wellerrl@state.gov</t>
  </si>
  <si>
    <t>West</t>
  </si>
  <si>
    <t>Tasha</t>
  </si>
  <si>
    <t>Oscar</t>
  </si>
  <si>
    <t>Wheeler</t>
  </si>
  <si>
    <t>1310 G Street, PO Box 12, Rm 200W</t>
  </si>
  <si>
    <t>202-453-2083</t>
  </si>
  <si>
    <t>Alcohol, Tobacco and Firearms</t>
  </si>
  <si>
    <t>shirley.wheeler@ttb.gov</t>
  </si>
  <si>
    <t>Kate</t>
  </si>
  <si>
    <t>3128868678</t>
  </si>
  <si>
    <t>kathryn.wheeler@gsa.gov</t>
  </si>
  <si>
    <t>White</t>
  </si>
  <si>
    <t>JAMES</t>
  </si>
  <si>
    <t>Charise</t>
  </si>
  <si>
    <t>Whitt</t>
  </si>
  <si>
    <t>1535 Old Hot Springs Rd #10</t>
  </si>
  <si>
    <t>Carson City</t>
  </si>
  <si>
    <t>89706</t>
  </si>
  <si>
    <t>cwhitt@dps.state.nv.us</t>
  </si>
  <si>
    <t>Brett</t>
  </si>
  <si>
    <t>Williams</t>
  </si>
  <si>
    <t>Calvin</t>
  </si>
  <si>
    <t>Rm 5A72</t>
  </si>
  <si>
    <t>20546-0001</t>
  </si>
  <si>
    <t>202.358.2322</t>
  </si>
  <si>
    <t>calvin.williams@nasa.gov</t>
  </si>
  <si>
    <t>Bridget</t>
  </si>
  <si>
    <t>77th Forsyth Street</t>
  </si>
  <si>
    <t>404-331-0695</t>
  </si>
  <si>
    <t>bridget.williams@gsa.gov</t>
  </si>
  <si>
    <t>Wilson</t>
  </si>
  <si>
    <t>Holly</t>
  </si>
  <si>
    <t>Wood</t>
  </si>
  <si>
    <t>Wootton</t>
  </si>
  <si>
    <t>703-350-6837</t>
  </si>
  <si>
    <t>james.wootton@gsa.gov</t>
  </si>
  <si>
    <t>Wright</t>
  </si>
  <si>
    <t>bonnie.wright@gsa.gov</t>
  </si>
  <si>
    <t>Sai</t>
  </si>
  <si>
    <t>Xoomsai</t>
  </si>
  <si>
    <t>512-972-4016</t>
  </si>
  <si>
    <t>sai.xoomsai@austintexas.gov</t>
  </si>
  <si>
    <t>Young</t>
  </si>
  <si>
    <t>3311 TOLEDO ROAD</t>
  </si>
  <si>
    <t>RM 1106</t>
  </si>
  <si>
    <t>HYATTSVILLE</t>
  </si>
  <si>
    <t>20782-2064</t>
  </si>
  <si>
    <t>301-252-2843</t>
  </si>
  <si>
    <t>Centers for Disease Control</t>
  </si>
  <si>
    <t>rby7@cdc.gov</t>
  </si>
  <si>
    <t>Younger</t>
  </si>
  <si>
    <t>Zacchigna</t>
  </si>
  <si>
    <t>P.O. Box 76</t>
  </si>
  <si>
    <t>708-786-5164</t>
  </si>
  <si>
    <t>frank.zacchigna@va.gov</t>
  </si>
  <si>
    <t>Juana</t>
  </si>
  <si>
    <t>Zamora</t>
  </si>
  <si>
    <t>100  E. Guenther</t>
  </si>
  <si>
    <t>78214</t>
  </si>
  <si>
    <t>210-302-3246</t>
  </si>
  <si>
    <t>210-302-3687</t>
  </si>
  <si>
    <t>Public Works</t>
  </si>
  <si>
    <t>Fire Prevention/Safety</t>
  </si>
  <si>
    <t>jzamora@sara-tx.org</t>
  </si>
  <si>
    <t>Zawicki</t>
  </si>
  <si>
    <t>410-786-2984</t>
  </si>
  <si>
    <t>paul.zawicki@cms.hhs.gov</t>
  </si>
  <si>
    <t>Jan</t>
  </si>
  <si>
    <t>Zeigler</t>
  </si>
  <si>
    <t>726 Sierra Street</t>
  </si>
  <si>
    <t>Sumtere</t>
  </si>
  <si>
    <t>29154</t>
  </si>
  <si>
    <t>8033100088</t>
  </si>
  <si>
    <t>jan.zeigler@gsa.gov</t>
  </si>
  <si>
    <t>Lori</t>
  </si>
  <si>
    <t>US Geological Survey</t>
  </si>
  <si>
    <t>Drug Enforcement Administration</t>
  </si>
  <si>
    <t>Mine Safety Health Administration</t>
  </si>
  <si>
    <t>Department of Education</t>
  </si>
  <si>
    <t>Social Security Administration</t>
  </si>
  <si>
    <t>819 Taylor Street, Rm. 7A37</t>
  </si>
  <si>
    <t>817-850-8120</t>
  </si>
  <si>
    <t>cheryl.allen@gsa.gov</t>
  </si>
  <si>
    <t>Heather</t>
  </si>
  <si>
    <t>Bischoff</t>
  </si>
  <si>
    <t>Room 100</t>
  </si>
  <si>
    <t>ATLANTA</t>
  </si>
  <si>
    <t>30303-3458</t>
  </si>
  <si>
    <t>404-331-5855</t>
  </si>
  <si>
    <t>heather.bischoff@gsa.gov</t>
  </si>
  <si>
    <t>Juan</t>
  </si>
  <si>
    <t>Canada</t>
  </si>
  <si>
    <t>1300 Pennsylvania Ave, NW</t>
  </si>
  <si>
    <t>Rm 848, SA-44</t>
  </si>
  <si>
    <t>2025674606</t>
  </si>
  <si>
    <t>dcanada@usaid.gov</t>
  </si>
  <si>
    <t>Carpenter</t>
  </si>
  <si>
    <t>Carron</t>
  </si>
  <si>
    <t>Navajo Technical College</t>
  </si>
  <si>
    <t>Suite 210</t>
  </si>
  <si>
    <t>Edward</t>
  </si>
  <si>
    <t>Corbit</t>
  </si>
  <si>
    <t>64700 E Hwy 60</t>
  </si>
  <si>
    <t>Wyandotte</t>
  </si>
  <si>
    <t>74370</t>
  </si>
  <si>
    <t>918-678-2297</t>
  </si>
  <si>
    <t>Wyandotte Nation</t>
  </si>
  <si>
    <t>ecorbit@wyandotte-nation.org</t>
  </si>
  <si>
    <t>de los Santos</t>
  </si>
  <si>
    <t>20 North 8th Street</t>
  </si>
  <si>
    <t>Marian</t>
  </si>
  <si>
    <t>Dillard</t>
  </si>
  <si>
    <t>4333 Goodfellow Blvd</t>
  </si>
  <si>
    <t>314-679-6203</t>
  </si>
  <si>
    <t>314-679-6244</t>
  </si>
  <si>
    <t>dillard.marian@jobcorps.org</t>
  </si>
  <si>
    <t>202-461-0698</t>
  </si>
  <si>
    <t>202-495-6988</t>
  </si>
  <si>
    <t>OALC - Acquisition Academy</t>
  </si>
  <si>
    <t>diane.fernandez3@va.gov</t>
  </si>
  <si>
    <t>Geina</t>
  </si>
  <si>
    <t>Fields</t>
  </si>
  <si>
    <t>1310 G Street NW Box 12</t>
  </si>
  <si>
    <t>202-453-2114</t>
  </si>
  <si>
    <t>geina.fields@ttb.gov</t>
  </si>
  <si>
    <t>Cheyenne</t>
  </si>
  <si>
    <t>307-777-7252</t>
  </si>
  <si>
    <t>Ed</t>
  </si>
  <si>
    <t>MS.</t>
  </si>
  <si>
    <t>CHARMAINE</t>
  </si>
  <si>
    <t>HICKERSON</t>
  </si>
  <si>
    <t>1201 EYE ST NW 12TH FL CUBE 3</t>
  </si>
  <si>
    <t>202-354-1934</t>
  </si>
  <si>
    <t>202-371-1583</t>
  </si>
  <si>
    <t>CHARMAINE_HICKERSON@NPS.GOV</t>
  </si>
  <si>
    <t>819 Taylor St., Rm 6A00</t>
  </si>
  <si>
    <t>817-850-8244</t>
  </si>
  <si>
    <t>817-574-2395</t>
  </si>
  <si>
    <t>william.hicks@gsa.gov</t>
  </si>
  <si>
    <t>Jonathan</t>
  </si>
  <si>
    <t>Myrna</t>
  </si>
  <si>
    <t>208 S. College Dr.</t>
  </si>
  <si>
    <t>82002</t>
  </si>
  <si>
    <t>307-777-5607</t>
  </si>
  <si>
    <t>myrna.johnson@wyo.gov</t>
  </si>
  <si>
    <t>Joslin</t>
  </si>
  <si>
    <t>404-617-5672</t>
  </si>
  <si>
    <t>angela.joslin@gsa.gov</t>
  </si>
  <si>
    <t>1359 Hansen Avenue</t>
  </si>
  <si>
    <t>Burley</t>
  </si>
  <si>
    <t>83318</t>
  </si>
  <si>
    <t>208-678-0461</t>
  </si>
  <si>
    <t>cking@usbr.gov</t>
  </si>
  <si>
    <t>Laudermilk</t>
  </si>
  <si>
    <t>1901 South 1st Street</t>
  </si>
  <si>
    <t>Temple</t>
  </si>
  <si>
    <t>254-743-2160</t>
  </si>
  <si>
    <t>254-743-2348</t>
  </si>
  <si>
    <t>james.laudermilk@va.gov</t>
  </si>
  <si>
    <t>Mason</t>
  </si>
  <si>
    <t>111 So. 18th Plaza Suite 1125</t>
  </si>
  <si>
    <t>68102</t>
  </si>
  <si>
    <t>402-661-7466</t>
  </si>
  <si>
    <t>cheryl_mason@neb.uscourts.gov</t>
  </si>
  <si>
    <t>Penny</t>
  </si>
  <si>
    <t>Maymon</t>
  </si>
  <si>
    <t>601 W. Broadway, Ste. 450</t>
  </si>
  <si>
    <t>40202</t>
  </si>
  <si>
    <t>502-627-5622</t>
  </si>
  <si>
    <t>penny_maymon@kywb.uscourts.gov</t>
  </si>
  <si>
    <t>McCause</t>
  </si>
  <si>
    <t>PO Box 975</t>
  </si>
  <si>
    <t>nmccause@unitedkeetoowahband.org</t>
  </si>
  <si>
    <t>Moler</t>
  </si>
  <si>
    <t>9820 Belvoir Road, Building 205</t>
  </si>
  <si>
    <t>Ft. Belvoir</t>
  </si>
  <si>
    <t>703-805-2563</t>
  </si>
  <si>
    <t>bruce.moler@fai.gov</t>
  </si>
  <si>
    <t>210-472-4900</t>
  </si>
  <si>
    <t>210-472-4909</t>
  </si>
  <si>
    <t>Harrison</t>
  </si>
  <si>
    <t>Plummer</t>
  </si>
  <si>
    <t>Yvonne</t>
  </si>
  <si>
    <t>Powell</t>
  </si>
  <si>
    <t>401 West Peachtree street</t>
  </si>
  <si>
    <t>ste 2700</t>
  </si>
  <si>
    <t>30296</t>
  </si>
  <si>
    <t>404-331-9615</t>
  </si>
  <si>
    <t>yvonne.powell@gsa.gov</t>
  </si>
  <si>
    <t>78759</t>
  </si>
  <si>
    <t>727 E. Cesar E. Chavez</t>
  </si>
  <si>
    <t>210-472-6590</t>
  </si>
  <si>
    <t>Reefe</t>
  </si>
  <si>
    <t>202-461-0640</t>
  </si>
  <si>
    <t>Teresa.Reefe@va.gov</t>
  </si>
  <si>
    <t>Reinhold</t>
  </si>
  <si>
    <t>202-461-0624</t>
  </si>
  <si>
    <t>Anne.Reinhold@va.gov</t>
  </si>
  <si>
    <t>Tarin</t>
  </si>
  <si>
    <t>727 E. Cesar Chavez Blvd. Rm B212</t>
  </si>
  <si>
    <t>District Court, Probation and Pretrial</t>
  </si>
  <si>
    <t>Victoria_Tarin@txwd.uscourts.gov</t>
  </si>
  <si>
    <t>819 Taylor Street, 14A02</t>
  </si>
  <si>
    <t>817-850-5581</t>
  </si>
  <si>
    <t>jill.thomas@gsa.gov</t>
  </si>
  <si>
    <t>Tolness</t>
  </si>
  <si>
    <t>1359 Hansen Ave</t>
  </si>
  <si>
    <t>ttolness@usbr.gov</t>
  </si>
  <si>
    <t>Tulsa</t>
  </si>
  <si>
    <t>Trevino</t>
  </si>
  <si>
    <t>1800 F Street, N.W.</t>
  </si>
  <si>
    <t>Suite 100</t>
  </si>
  <si>
    <t>jwest@wyandotte-nation.org</t>
  </si>
  <si>
    <t>440 South LaSalle Street</t>
  </si>
  <si>
    <t>312-360-8802</t>
  </si>
  <si>
    <t>june.wright@occ.treas.gov</t>
  </si>
  <si>
    <t>Van Osterom</t>
  </si>
  <si>
    <t>5600 Fishers Lane</t>
  </si>
  <si>
    <t>Rm. 4-C-26</t>
  </si>
  <si>
    <t>20857</t>
  </si>
  <si>
    <t>301-443-6752</t>
  </si>
  <si>
    <t>Officeof the Secretary</t>
  </si>
  <si>
    <t>dvanosterom@psc.gov</t>
  </si>
  <si>
    <t>GS/05</t>
  </si>
  <si>
    <t>Olga M.</t>
  </si>
  <si>
    <t>Vargas</t>
  </si>
  <si>
    <t>8700 TESORO DR , RM201</t>
  </si>
  <si>
    <t>210-841-2410</t>
  </si>
  <si>
    <t>OLGA.M.VARGAS@IRS.GOV</t>
  </si>
  <si>
    <t>Vekasy</t>
  </si>
  <si>
    <t>2202 Roosevelt Avenue</t>
  </si>
  <si>
    <t>78210</t>
  </si>
  <si>
    <t>210-534-8833</t>
  </si>
  <si>
    <t>david_vekasy@nps.gov</t>
  </si>
  <si>
    <t>THOMAS</t>
  </si>
  <si>
    <t>39529</t>
  </si>
  <si>
    <t>Cassandra</t>
  </si>
  <si>
    <t>211 S. Flores</t>
  </si>
  <si>
    <t>78220</t>
  </si>
  <si>
    <t>210-335-2478</t>
  </si>
  <si>
    <t>rwatson@bexar.org</t>
  </si>
  <si>
    <t>703-299-2176</t>
  </si>
  <si>
    <t>703-299-2108</t>
  </si>
  <si>
    <t>deborah_wheeler@vaed.uscourts.gov</t>
  </si>
  <si>
    <t>1325 East-West Highway</t>
  </si>
  <si>
    <t>Rm 5347</t>
  </si>
  <si>
    <t>301-713-1891</t>
  </si>
  <si>
    <t>Christopher.White@noaa.gov</t>
  </si>
  <si>
    <t>P.O. Box A</t>
  </si>
  <si>
    <t>Aiken</t>
  </si>
  <si>
    <t>29802-0900</t>
  </si>
  <si>
    <t>Savannah River Operations Office</t>
  </si>
  <si>
    <t>Alisha</t>
  </si>
  <si>
    <t>Woolery</t>
  </si>
  <si>
    <t>111 N. Adams Street</t>
  </si>
  <si>
    <t>32301</t>
  </si>
  <si>
    <t>850-521-3553</t>
  </si>
  <si>
    <t>850-521-3579</t>
  </si>
  <si>
    <t>Alisha_Woolery@flnp.uscourts.gov</t>
  </si>
  <si>
    <t>Salazar</t>
  </si>
  <si>
    <t>Sells</t>
  </si>
  <si>
    <t>85634</t>
  </si>
  <si>
    <t>Ana</t>
  </si>
  <si>
    <t>Charley</t>
  </si>
  <si>
    <t>Schollaert</t>
  </si>
  <si>
    <t>703-605-9215</t>
  </si>
  <si>
    <t>charley.schollaert@gsa.gov</t>
  </si>
  <si>
    <t>Sara</t>
  </si>
  <si>
    <t>Schulz</t>
  </si>
  <si>
    <t>230 S. Dearborn Ave</t>
  </si>
  <si>
    <t>Ste 3486</t>
  </si>
  <si>
    <t>60641</t>
  </si>
  <si>
    <t>3128868947</t>
  </si>
  <si>
    <t>sara.schulz@gsa.gov</t>
  </si>
  <si>
    <t>Shepherd</t>
  </si>
  <si>
    <t>Janis</t>
  </si>
  <si>
    <t>Sossamon</t>
  </si>
  <si>
    <t>215 Dean A. McGee Ave, Room 147</t>
  </si>
  <si>
    <t>405-609-5755</t>
  </si>
  <si>
    <t>tony_sossamon@okwb.uscourts.gov</t>
  </si>
  <si>
    <t>210-472-4036</t>
  </si>
  <si>
    <t>Amy_Stephenson@txwp.uscourts.gov</t>
  </si>
  <si>
    <t>Stoddard</t>
  </si>
  <si>
    <t>703-306-6417</t>
  </si>
  <si>
    <t>terri.stoddard@gsa.gov</t>
  </si>
  <si>
    <t>Stumblingbear</t>
  </si>
  <si>
    <t>155 Indian Ave</t>
  </si>
  <si>
    <t>Box 2008</t>
  </si>
  <si>
    <t>66046</t>
  </si>
  <si>
    <t>785-830-2711</t>
  </si>
  <si>
    <t>785-749-8492</t>
  </si>
  <si>
    <t>Barbara.Stumblingbea@bie.edu</t>
  </si>
  <si>
    <t>Carrie</t>
  </si>
  <si>
    <t>109 TW Alexander Drive</t>
  </si>
  <si>
    <t>27711</t>
  </si>
  <si>
    <t>919-541-1588</t>
  </si>
  <si>
    <t>thompson.stephen@epa.gov</t>
  </si>
  <si>
    <t>THORBS</t>
  </si>
  <si>
    <t>600 GRANBY STREET, RM 193A</t>
  </si>
  <si>
    <t>NORFOLK</t>
  </si>
  <si>
    <t>757-222-7258</t>
  </si>
  <si>
    <t>pamela_thorbs@vaed.uscourts.gov</t>
  </si>
  <si>
    <t>Lacey</t>
  </si>
  <si>
    <t>Oosahwee</t>
  </si>
  <si>
    <t>9184539162</t>
  </si>
  <si>
    <t>United Keetoowah Band</t>
  </si>
  <si>
    <t>loosahwee@unitedkeetoowahband.org</t>
  </si>
  <si>
    <t>Owens</t>
  </si>
  <si>
    <t>703-605-5749</t>
  </si>
  <si>
    <t>liz.owens@gsa.gov</t>
  </si>
  <si>
    <t>Padilla</t>
  </si>
  <si>
    <t>11545 Rockville Pike</t>
  </si>
  <si>
    <t>301-415-7250</t>
  </si>
  <si>
    <t>wiliam.padilla@nrc.gov</t>
  </si>
  <si>
    <t>Palmer</t>
  </si>
  <si>
    <t>703-605-5661</t>
  </si>
  <si>
    <t>ronnie.palmer@gsa.gov</t>
  </si>
  <si>
    <t>703-605-5751</t>
  </si>
  <si>
    <t>andrea.powell@gsa.gov</t>
  </si>
  <si>
    <t>VALERIE</t>
  </si>
  <si>
    <t>PRINCE</t>
  </si>
  <si>
    <t>2 MASSACHUSETTS AVE NE</t>
  </si>
  <si>
    <t>202-691-6047</t>
  </si>
  <si>
    <t>BUREAU OF LABOR STATISTICS</t>
  </si>
  <si>
    <t>prince.valerie@bls.gov</t>
  </si>
  <si>
    <t>Purcell</t>
  </si>
  <si>
    <t>AUSTIN</t>
  </si>
  <si>
    <t>512-460-7772</t>
  </si>
  <si>
    <t>Douglas.E.Purcell@irs.gov</t>
  </si>
  <si>
    <t>S. April</t>
  </si>
  <si>
    <t>Ratliff Brown</t>
  </si>
  <si>
    <t>1275 First St NE</t>
  </si>
  <si>
    <t>779D</t>
  </si>
  <si>
    <t>202-208-4052</t>
  </si>
  <si>
    <t>april.ratliff.brown@gsa.gov</t>
  </si>
  <si>
    <t>Redhorse</t>
  </si>
  <si>
    <t>kathyr@pinoleville-nsn.us</t>
  </si>
  <si>
    <t>Renfro</t>
  </si>
  <si>
    <t>patricia.renfro@gsa.gov</t>
  </si>
  <si>
    <t>Rhoden</t>
  </si>
  <si>
    <t>Darnell</t>
  </si>
  <si>
    <t>2026941104</t>
  </si>
  <si>
    <t>2022192338</t>
  </si>
  <si>
    <t>drose@fec.gov</t>
  </si>
  <si>
    <t>Rodney</t>
  </si>
  <si>
    <t>Hale Boggs Building</t>
  </si>
  <si>
    <t>500 Poydras Street, RM 1223</t>
  </si>
  <si>
    <t>70130-3394</t>
  </si>
  <si>
    <t>504-940-1004</t>
  </si>
  <si>
    <t>504-940-1002</t>
  </si>
  <si>
    <t>Maritime Administration</t>
  </si>
  <si>
    <t>rodney.lott@dot.gov</t>
  </si>
  <si>
    <t>Norma</t>
  </si>
  <si>
    <t>Lozano</t>
  </si>
  <si>
    <t>8700 Tesoro Dr Rm 201</t>
  </si>
  <si>
    <t>(210)841-2120</t>
  </si>
  <si>
    <t>(210)841-2130</t>
  </si>
  <si>
    <t>Norma.A.Lozano@irs.gov</t>
  </si>
  <si>
    <t>Maccarroll</t>
  </si>
  <si>
    <t>410-786-6660</t>
  </si>
  <si>
    <t>sean.maccarroll@cms.hhs.gov</t>
  </si>
  <si>
    <t>Martell</t>
  </si>
  <si>
    <t>522 Minnesota Ave NW</t>
  </si>
  <si>
    <t>Bemidji</t>
  </si>
  <si>
    <t>56601</t>
  </si>
  <si>
    <t>218-444-0536</t>
  </si>
  <si>
    <t>218-444-0556</t>
  </si>
  <si>
    <t>jesse.martell@ihs.gov</t>
  </si>
  <si>
    <t>McDaniel</t>
  </si>
  <si>
    <t>Medina</t>
  </si>
  <si>
    <t>703-605-1830</t>
  </si>
  <si>
    <t>luis.medina@gsa.gov</t>
  </si>
  <si>
    <t>Jacqueline</t>
  </si>
  <si>
    <t>Miles</t>
  </si>
  <si>
    <t>935 Pennsylvania Ave., NW</t>
  </si>
  <si>
    <t>202-324-8190</t>
  </si>
  <si>
    <t>202-324-5504</t>
  </si>
  <si>
    <t>jacqueline.miles@ic.fbi.gov</t>
  </si>
  <si>
    <t>TAMMY</t>
  </si>
  <si>
    <t>LAKE MEAD NRA</t>
  </si>
  <si>
    <t>601 NEVADA WAY</t>
  </si>
  <si>
    <t>BOULDER CITY</t>
  </si>
  <si>
    <t>2426</t>
  </si>
  <si>
    <t>702-293-8754</t>
  </si>
  <si>
    <t>702-293-8626</t>
  </si>
  <si>
    <t>DEPARTMENT OF INTERIOR</t>
  </si>
  <si>
    <t>NATIONAL PARK SERVICE</t>
  </si>
  <si>
    <t>TAMMY_MITCHELL@NPS.GOV</t>
  </si>
  <si>
    <t>Benjamin</t>
  </si>
  <si>
    <t>92101</t>
  </si>
  <si>
    <t>Lynée</t>
  </si>
  <si>
    <t>2200 Crystal Drive, Suite 200</t>
  </si>
  <si>
    <t>703-605-5558</t>
  </si>
  <si>
    <t>703-605-9931</t>
  </si>
  <si>
    <t>lynee.morgan@gsa.gov</t>
  </si>
  <si>
    <t>Nicoletti</t>
  </si>
  <si>
    <t>143 Falcon Crest</t>
  </si>
  <si>
    <t>4783198835</t>
  </si>
  <si>
    <t>debbie.tanton@gsa.gov</t>
  </si>
  <si>
    <t>Nunnelley</t>
  </si>
  <si>
    <t>260 West Vine Street</t>
  </si>
  <si>
    <t>859-685-4821</t>
  </si>
  <si>
    <t>859-233-2498</t>
  </si>
  <si>
    <t>anita.nunnelley@usdoj.gov</t>
  </si>
  <si>
    <t>Hunt</t>
  </si>
  <si>
    <t>75063</t>
  </si>
  <si>
    <t>LISA</t>
  </si>
  <si>
    <t>8700 TESORO DR.</t>
  </si>
  <si>
    <t>210.841.2310</t>
  </si>
  <si>
    <t>LISA.E.JENNINGS@IRS.GOV</t>
  </si>
  <si>
    <t>Erica</t>
  </si>
  <si>
    <t>Jon</t>
  </si>
  <si>
    <t>Jordan</t>
  </si>
  <si>
    <t>703-605-5400</t>
  </si>
  <si>
    <t>Kempf</t>
  </si>
  <si>
    <t>steve.kempf@gsa.gov</t>
  </si>
  <si>
    <t>Kinne</t>
  </si>
  <si>
    <t>775-328-1808</t>
  </si>
  <si>
    <t>775-337-2203</t>
  </si>
  <si>
    <t>mary.kinne@va.gov</t>
  </si>
  <si>
    <t>35 West 5th Street</t>
  </si>
  <si>
    <t>U.S. Courts</t>
  </si>
  <si>
    <t>debbie_klein@kyep.uscourts.gov</t>
  </si>
  <si>
    <t>Miranda</t>
  </si>
  <si>
    <t>LaMarche</t>
  </si>
  <si>
    <t>850-470-3069</t>
  </si>
  <si>
    <t>Miranda_LaMarche@flnp.uscourts.gov</t>
  </si>
  <si>
    <t>Albert</t>
  </si>
  <si>
    <t>8626 Tesoro Drive</t>
  </si>
  <si>
    <t>210-841-2010</t>
  </si>
  <si>
    <t>Patricia.c.garza@irs.gov</t>
  </si>
  <si>
    <t>Nikiya</t>
  </si>
  <si>
    <t>1600 Clifton Road</t>
  </si>
  <si>
    <t>4046396240</t>
  </si>
  <si>
    <t>dxu6@cdc.gov</t>
  </si>
  <si>
    <t>Stefan</t>
  </si>
  <si>
    <t>191 Office Park Dr.</t>
  </si>
  <si>
    <t>72019</t>
  </si>
  <si>
    <t>501-622-2452</t>
  </si>
  <si>
    <t>greensr@state.gov</t>
  </si>
  <si>
    <t>Hoadley</t>
  </si>
  <si>
    <t>PO Box 442090</t>
  </si>
  <si>
    <t>Moscow</t>
  </si>
  <si>
    <t>83844-2090</t>
  </si>
  <si>
    <t>208-885-3276</t>
  </si>
  <si>
    <t>208-885-3590</t>
  </si>
  <si>
    <t>USDA-CREES, Idaho</t>
  </si>
  <si>
    <t>dhoadley@uidaho.edu</t>
  </si>
  <si>
    <t>Ruben</t>
  </si>
  <si>
    <t>Cwenar</t>
  </si>
  <si>
    <t>20 North 8th Floor</t>
  </si>
  <si>
    <t>2154465811</t>
  </si>
  <si>
    <t>Ray.Cwenar@GSA.gov</t>
  </si>
  <si>
    <t>Davie</t>
  </si>
  <si>
    <t>2200 crystal drive</t>
  </si>
  <si>
    <t>Angelina</t>
  </si>
  <si>
    <t>Panama City</t>
  </si>
  <si>
    <t>32401</t>
  </si>
  <si>
    <t>DuQuette</t>
  </si>
  <si>
    <t>22134-5163</t>
  </si>
  <si>
    <t>703-632-7116</t>
  </si>
  <si>
    <t>Missy</t>
  </si>
  <si>
    <t>35 W. Fifth Street, Room 116</t>
  </si>
  <si>
    <t>Covington</t>
  </si>
  <si>
    <t>41011</t>
  </si>
  <si>
    <t>859-392-7934</t>
  </si>
  <si>
    <t>859-392-7940</t>
  </si>
  <si>
    <t>Administrative Office of the U.S. Courts</t>
  </si>
  <si>
    <t>missy_ellison@kyep.uscourts.gov</t>
  </si>
  <si>
    <t>Franklin</t>
  </si>
  <si>
    <t>100 E. Vine Street</t>
  </si>
  <si>
    <t>Lexington</t>
  </si>
  <si>
    <t>40507</t>
  </si>
  <si>
    <t>859-233-2646</t>
  </si>
  <si>
    <t>859-233-2618</t>
  </si>
  <si>
    <t>donna_franklin@kyep.uscourts.gov</t>
  </si>
  <si>
    <t>Ricardo</t>
  </si>
  <si>
    <t>Frias</t>
  </si>
  <si>
    <t>727 E Cesar E Chavez Blvd</t>
  </si>
  <si>
    <t>Suite A405</t>
  </si>
  <si>
    <t>210-244-5352</t>
  </si>
  <si>
    <t>ricardo_frias@txwp.uscourts.gov</t>
  </si>
  <si>
    <t>Full</t>
  </si>
  <si>
    <t>401 Courthouse Square</t>
  </si>
  <si>
    <t>22314</t>
  </si>
  <si>
    <t>703-299-2175</t>
  </si>
  <si>
    <t>fred_full@vaed.uscourts.gov</t>
  </si>
  <si>
    <t>3651 S. IH 35</t>
  </si>
  <si>
    <t>3651 S IH 35</t>
  </si>
  <si>
    <t>4400 Ridgefield Way Apt 407</t>
  </si>
  <si>
    <t>37205</t>
  </si>
  <si>
    <t>703-605-2685</t>
  </si>
  <si>
    <t>dallas.brewer@gsa.gov</t>
  </si>
  <si>
    <t>Brita</t>
  </si>
  <si>
    <t>202-501-0800</t>
  </si>
  <si>
    <t>susan.brita@gsa.gov</t>
  </si>
  <si>
    <t>703-306-6453</t>
  </si>
  <si>
    <t>anna.brown@gsa.gov</t>
  </si>
  <si>
    <t>Suite 120</t>
  </si>
  <si>
    <t>20585</t>
  </si>
  <si>
    <t>Nate</t>
  </si>
  <si>
    <t>Cahoon</t>
  </si>
  <si>
    <t>Thomas P. O'Neill Jr. Federal Building</t>
  </si>
  <si>
    <t>10 Causeway Street, Rm 1085</t>
  </si>
  <si>
    <t>617-565-5033</t>
  </si>
  <si>
    <t>nathan.cahoon@gsa.gov</t>
  </si>
  <si>
    <t>500 B Pinoleville Road</t>
  </si>
  <si>
    <t>Ukiah</t>
  </si>
  <si>
    <t>95482</t>
  </si>
  <si>
    <t>707 463-1454</t>
  </si>
  <si>
    <t>707 463-6601</t>
  </si>
  <si>
    <t>michellec@pinoleville-nsn.us</t>
  </si>
  <si>
    <t>Carovillano</t>
  </si>
  <si>
    <t>20N 8th Street</t>
  </si>
  <si>
    <t>215-446-5091</t>
  </si>
  <si>
    <t>peter.carovillano@gsa.gov</t>
  </si>
  <si>
    <t>Margarita</t>
  </si>
  <si>
    <t>Castro</t>
  </si>
  <si>
    <t>Mary Jo</t>
  </si>
  <si>
    <t>1849 C Street, NW</t>
  </si>
  <si>
    <t>202-208-3757</t>
  </si>
  <si>
    <t>202-208-5184</t>
  </si>
  <si>
    <t>Mary_Catalano@ios.doi.gov</t>
  </si>
  <si>
    <t>Chamberlain</t>
  </si>
  <si>
    <t>310 7th Street SW</t>
  </si>
  <si>
    <t>202-708-0591</t>
  </si>
  <si>
    <t>Lorene</t>
  </si>
  <si>
    <t>Cloud</t>
  </si>
  <si>
    <t>Bldg 41</t>
  </si>
  <si>
    <t>303-236-7427</t>
  </si>
  <si>
    <t>christopher.cole@gsa.gov</t>
  </si>
  <si>
    <t>Conn</t>
  </si>
  <si>
    <t>100 N. Palafox Street</t>
  </si>
  <si>
    <t>Suite 305</t>
  </si>
  <si>
    <t>32502</t>
  </si>
  <si>
    <t>850-470-3070</t>
  </si>
  <si>
    <t>850-470-3073</t>
  </si>
  <si>
    <t>U. S. Probation Office</t>
  </si>
  <si>
    <t>Kathy_Conn@flnp.uscourts.gov</t>
  </si>
  <si>
    <t>816-823-1043</t>
  </si>
  <si>
    <t>charles.cook@gsa.gov</t>
  </si>
  <si>
    <t>CS-4 10th floor</t>
  </si>
  <si>
    <t>Agobert</t>
  </si>
  <si>
    <t>NCIRD / Immunization Services Division</t>
  </si>
  <si>
    <t>1600 Clifton Road NE</t>
  </si>
  <si>
    <t>30333</t>
  </si>
  <si>
    <t>404-639-3576</t>
  </si>
  <si>
    <t>eagobert@cdc.gov</t>
  </si>
  <si>
    <t>Alvarado</t>
  </si>
  <si>
    <t>8700 Tesoro Drive, Room 201</t>
  </si>
  <si>
    <t>210.841.2330</t>
  </si>
  <si>
    <t>210.841.2315</t>
  </si>
  <si>
    <t>alfonso.alvarado@irs.gov</t>
  </si>
  <si>
    <t>92057</t>
  </si>
  <si>
    <t>Ann</t>
  </si>
  <si>
    <t xml:space="preserve">Mexico                   </t>
  </si>
  <si>
    <t>Shauntae</t>
  </si>
  <si>
    <t>Barber</t>
  </si>
  <si>
    <t>703-605-9172</t>
  </si>
  <si>
    <t>shauntae.barber@gsa.gov</t>
  </si>
  <si>
    <t>Vera</t>
  </si>
  <si>
    <t>Traci</t>
  </si>
  <si>
    <t>202-395-7968</t>
  </si>
  <si>
    <t>twalker@oa.eop.gov</t>
  </si>
  <si>
    <t>Melodie</t>
  </si>
  <si>
    <t>202-586-6098</t>
  </si>
  <si>
    <t>Wells</t>
  </si>
  <si>
    <t>703-605-2834</t>
  </si>
  <si>
    <t>nicholas.west@gsa.gov</t>
  </si>
  <si>
    <t>Intermountain Region-Santa Fe</t>
  </si>
  <si>
    <t>P. O. Box 728</t>
  </si>
  <si>
    <t>87505</t>
  </si>
  <si>
    <t>303 483 3541</t>
  </si>
  <si>
    <t>larry_wilson@nps.gov</t>
  </si>
  <si>
    <t>210-472-6225</t>
  </si>
  <si>
    <t>Simonson</t>
  </si>
  <si>
    <t>150 Muir Road</t>
  </si>
  <si>
    <t>94553</t>
  </si>
  <si>
    <t>925-372-2648</t>
  </si>
  <si>
    <t>Ruben.Simonson@VA.Gov</t>
  </si>
  <si>
    <t>Sisk</t>
  </si>
  <si>
    <t>404-331-5114</t>
  </si>
  <si>
    <t>bill.sisk@gsa.gov</t>
  </si>
  <si>
    <t>Teressa</t>
  </si>
  <si>
    <t>8800 Greenbelt RD</t>
  </si>
  <si>
    <t>20771</t>
  </si>
  <si>
    <t>240-684-0928</t>
  </si>
  <si>
    <t>240-684-0858</t>
  </si>
  <si>
    <t>teressa.spencer@noaa.gov</t>
  </si>
  <si>
    <t>Tonya</t>
  </si>
  <si>
    <t>3350 La Jolla Village Drive</t>
  </si>
  <si>
    <t>Social Work/Domiciliary</t>
  </si>
  <si>
    <t>92160</t>
  </si>
  <si>
    <t>858-642-6479</t>
  </si>
  <si>
    <t>858-552-7455</t>
  </si>
  <si>
    <t>tonya.stewart@va.gov</t>
  </si>
  <si>
    <t>Cassie</t>
  </si>
  <si>
    <t>Stiffler</t>
  </si>
  <si>
    <t>215-446-5054</t>
  </si>
  <si>
    <t>cassandra.stiffler@gsa.gov</t>
  </si>
  <si>
    <t>Streetman</t>
  </si>
  <si>
    <t>2301 E. Lamar Blvd.</t>
  </si>
  <si>
    <t>Suite 650</t>
  </si>
  <si>
    <t>817-366-0519</t>
  </si>
  <si>
    <t>817-385-3715</t>
  </si>
  <si>
    <t>catherine.streetman@va.gov</t>
  </si>
  <si>
    <t>CP4 5th floor</t>
  </si>
  <si>
    <t>Danno</t>
  </si>
  <si>
    <t>Svaranowic</t>
  </si>
  <si>
    <t>200 Granby St.</t>
  </si>
  <si>
    <t>Rm. 405</t>
  </si>
  <si>
    <t>757-441-6510</t>
  </si>
  <si>
    <t>daniel.svaranowic@gsa.gov</t>
  </si>
  <si>
    <t>78204</t>
  </si>
  <si>
    <t>2200 Crystal Drive, Suite 300</t>
  </si>
  <si>
    <t>703-603-8188</t>
  </si>
  <si>
    <t>703-605-9934</t>
  </si>
  <si>
    <t>george.j.thomas@gsa.gov</t>
  </si>
  <si>
    <t>Van</t>
  </si>
  <si>
    <t>2200 Crystal Drive, Crystal Plaza #4</t>
  </si>
  <si>
    <t>703-605-2711</t>
  </si>
  <si>
    <t>van.tran@gsa.gov</t>
  </si>
  <si>
    <t>Lena</t>
  </si>
  <si>
    <t>Trudeau</t>
  </si>
  <si>
    <t>703-603-5178</t>
  </si>
  <si>
    <t>lena.trudeau@gsa.gov</t>
  </si>
  <si>
    <t>2401 E St NW</t>
  </si>
  <si>
    <t>20241</t>
  </si>
  <si>
    <t>703-875-7070</t>
  </si>
  <si>
    <t>Bureau Of Resource Management</t>
  </si>
  <si>
    <t>tuckerrl@state.gov</t>
  </si>
  <si>
    <t>703-605-2669</t>
  </si>
  <si>
    <t>linda.valdes@gsa.gov</t>
  </si>
  <si>
    <t>Reston</t>
  </si>
  <si>
    <t>Rainey</t>
  </si>
  <si>
    <t>FBI Academy</t>
  </si>
  <si>
    <t>Building #6</t>
  </si>
  <si>
    <t>703-632-3023</t>
  </si>
  <si>
    <t>703-632-3021</t>
  </si>
  <si>
    <t>jfrainey@ic.fbi.gov</t>
  </si>
  <si>
    <t>Clarence</t>
  </si>
  <si>
    <t>Red Shirt</t>
  </si>
  <si>
    <t>PO Box 728</t>
  </si>
  <si>
    <t>87501</t>
  </si>
  <si>
    <t>505-594-1204</t>
  </si>
  <si>
    <t>owen_red_shirt@nps.gov</t>
  </si>
  <si>
    <t>Reschick</t>
  </si>
  <si>
    <t>703-632-1231</t>
  </si>
  <si>
    <t>703-632-3099</t>
  </si>
  <si>
    <t>rreschick@fbiacademy.edu</t>
  </si>
  <si>
    <t>Tamela</t>
  </si>
  <si>
    <t>Riggs</t>
  </si>
  <si>
    <t>703-605-5640</t>
  </si>
  <si>
    <t>tamela.riggs@gsa.gov</t>
  </si>
  <si>
    <t>11155 Gateway West</t>
  </si>
  <si>
    <t>915-594-0672</t>
  </si>
  <si>
    <t>rivera.vicky@jobcorps.org</t>
  </si>
  <si>
    <t>Romano</t>
  </si>
  <si>
    <t>202-219-1084</t>
  </si>
  <si>
    <t>Gregory.Romano@gsa.gov</t>
  </si>
  <si>
    <t>Romero</t>
  </si>
  <si>
    <t>1001 Indian School Road NW, Suite 312</t>
  </si>
  <si>
    <t>87104</t>
  </si>
  <si>
    <t>505-563-3805</t>
  </si>
  <si>
    <t>505-563-3811</t>
  </si>
  <si>
    <t>Assistant Secretary-Indian Affairs</t>
  </si>
  <si>
    <t>annette.romero@bia.gov</t>
  </si>
  <si>
    <t>Barron</t>
  </si>
  <si>
    <t>Roney</t>
  </si>
  <si>
    <t>1600 E. Lancaster Avenue</t>
  </si>
  <si>
    <t>817-937-7798</t>
  </si>
  <si>
    <t>The T-Fort Worth Transportation Authorit</t>
  </si>
  <si>
    <t>Sauer</t>
  </si>
  <si>
    <t>2200 Crystal Dr Room 806</t>
  </si>
  <si>
    <t>703-605-9451</t>
  </si>
  <si>
    <t>susan.sauer@gsa.gov</t>
  </si>
  <si>
    <t>21235</t>
  </si>
  <si>
    <t>Sheehan</t>
  </si>
  <si>
    <t>202-273-4989</t>
  </si>
  <si>
    <t>202-501-3952</t>
  </si>
  <si>
    <t>patricia.sheehan@gsaig.gov</t>
  </si>
  <si>
    <t>Kip</t>
  </si>
  <si>
    <t>Sheppard</t>
  </si>
  <si>
    <t>303-273-6208</t>
  </si>
  <si>
    <t>303-215-9074</t>
  </si>
  <si>
    <t>OALC, NAC</t>
  </si>
  <si>
    <t>kip.sheppard@va.gov</t>
  </si>
  <si>
    <t>MOBLEY</t>
  </si>
  <si>
    <t>11545 ROCKVILLE PIKE</t>
  </si>
  <si>
    <t>MS-T5D14</t>
  </si>
  <si>
    <t>ROCKVILLE</t>
  </si>
  <si>
    <t>301-415-7152</t>
  </si>
  <si>
    <t>OFFICE OF INFORMATION SERVICES</t>
  </si>
  <si>
    <t>HELEN.MOBLEY@NRC.GOV</t>
  </si>
  <si>
    <t>Moczygemba</t>
  </si>
  <si>
    <t>655 E. Durango Blvd.</t>
  </si>
  <si>
    <t>maryjane_moczygemba@txwd.uscourts.gov</t>
  </si>
  <si>
    <t>Santa Fe</t>
  </si>
  <si>
    <t>79935</t>
  </si>
  <si>
    <t>915-594-0022</t>
  </si>
  <si>
    <t>Job Corps Center</t>
  </si>
  <si>
    <t>Newport</t>
  </si>
  <si>
    <t>Mulkey</t>
  </si>
  <si>
    <t>705 N. Plaza Street</t>
  </si>
  <si>
    <t>Suite 320</t>
  </si>
  <si>
    <t>89701</t>
  </si>
  <si>
    <t>775-884-8378</t>
  </si>
  <si>
    <t>775-882-7592</t>
  </si>
  <si>
    <t>lmulkey@usbr.gov</t>
  </si>
  <si>
    <t>Myers</t>
  </si>
  <si>
    <t>8700 Remount Rd</t>
  </si>
  <si>
    <t>oscar.myers@adem.arkansas.gov</t>
  </si>
  <si>
    <t>Nanna</t>
  </si>
  <si>
    <t>1010 Market Street</t>
  </si>
  <si>
    <t>63101</t>
  </si>
  <si>
    <t>314-241-1255</t>
  </si>
  <si>
    <t>314-421-3177</t>
  </si>
  <si>
    <t>Federal Public Defender</t>
  </si>
  <si>
    <t>Rebecca_Nanna@fd.org</t>
  </si>
  <si>
    <t>819 TAYLOR ST</t>
  </si>
  <si>
    <t>Neurauter</t>
  </si>
  <si>
    <t>202-219-3454</t>
  </si>
  <si>
    <t>joseph.neurauter@gsa.gov</t>
  </si>
  <si>
    <t>Norton</t>
  </si>
  <si>
    <t>303-273-6214</t>
  </si>
  <si>
    <t>DALC</t>
  </si>
  <si>
    <t>michael.norton3@VA.GOV</t>
  </si>
  <si>
    <t>655 E. Cesar E. Chavez Blvd.</t>
  </si>
  <si>
    <t>210-472-6513</t>
  </si>
  <si>
    <t>Glen</t>
  </si>
  <si>
    <t>1000 Custer Hollow Rd</t>
  </si>
  <si>
    <t>Clarksburg</t>
  </si>
  <si>
    <t>26306</t>
  </si>
  <si>
    <t>(304-625-5099</t>
  </si>
  <si>
    <t>glen.ogden@leo.gov</t>
  </si>
  <si>
    <t>727 E. Cesar Chavez Blvd.</t>
  </si>
  <si>
    <t>210-472-4045</t>
  </si>
  <si>
    <t>patricia.ortiz@gsa.gov</t>
  </si>
  <si>
    <t>Jiyoung</t>
  </si>
  <si>
    <t>Park</t>
  </si>
  <si>
    <t>One Constitution Square</t>
  </si>
  <si>
    <t>202-208-1313</t>
  </si>
  <si>
    <t>jiyoung.park@gsa.gov</t>
  </si>
  <si>
    <t>111 Fairgrounds Road</t>
  </si>
  <si>
    <t>Rolla</t>
  </si>
  <si>
    <t>65401</t>
  </si>
  <si>
    <t>573-368-2170</t>
  </si>
  <si>
    <t>Department of Natural Resources</t>
  </si>
  <si>
    <t>matt.parker@dnr.mo.gov</t>
  </si>
  <si>
    <t>1400 Independence Road</t>
  </si>
  <si>
    <t>573-308-3667</t>
  </si>
  <si>
    <t>573-308-3645</t>
  </si>
  <si>
    <t>sparker@usgs.gov</t>
  </si>
  <si>
    <t>Penn</t>
  </si>
  <si>
    <t>8808 Greenbelt Road</t>
  </si>
  <si>
    <t>Greenbelt</t>
  </si>
  <si>
    <t>20678</t>
  </si>
  <si>
    <t>301-286-7535</t>
  </si>
  <si>
    <t>margarita.penn@nasa.gov</t>
  </si>
  <si>
    <t>Odette</t>
  </si>
  <si>
    <t>Perkins</t>
  </si>
  <si>
    <t>606 N. Carancahua, Ste 700</t>
  </si>
  <si>
    <t>78401</t>
  </si>
  <si>
    <t>3618883420</t>
  </si>
  <si>
    <t>3618883424</t>
  </si>
  <si>
    <t>perkins.odette@dol.gov</t>
  </si>
  <si>
    <t>houston</t>
  </si>
  <si>
    <t>Pettit</t>
  </si>
  <si>
    <t>donna.pettit@noaa.gov</t>
  </si>
  <si>
    <t>Knutson</t>
  </si>
  <si>
    <t>703-605-3610</t>
  </si>
  <si>
    <t>grant.knutson@gsa.gov</t>
  </si>
  <si>
    <t>Lake</t>
  </si>
  <si>
    <t>2 Mass Avenue N.E.</t>
  </si>
  <si>
    <t>202-691-6032</t>
  </si>
  <si>
    <t>Bureau of Labor Statisitics</t>
  </si>
  <si>
    <t>lake_T@bls.gov</t>
  </si>
  <si>
    <t>Luptak</t>
  </si>
  <si>
    <t>1500 E Bannister Rd</t>
  </si>
  <si>
    <t>QZA</t>
  </si>
  <si>
    <t>816-823-4873</t>
  </si>
  <si>
    <t>debbie.luptak@gsa.gov</t>
  </si>
  <si>
    <t>Brannon</t>
  </si>
  <si>
    <t>Manuelito</t>
  </si>
  <si>
    <t>86504</t>
  </si>
  <si>
    <t>bmanuelito@nnooc.org</t>
  </si>
  <si>
    <t>McAlpine</t>
  </si>
  <si>
    <t>727 E. Cesar Chavez B-138</t>
  </si>
  <si>
    <t>210-472-6327</t>
  </si>
  <si>
    <t>smcalpine@bop.gov</t>
  </si>
  <si>
    <t>Velma</t>
  </si>
  <si>
    <t>ms</t>
  </si>
  <si>
    <t>Room 11A</t>
  </si>
  <si>
    <t>817 978 2031</t>
  </si>
  <si>
    <t>Office of Communications and Marketing</t>
  </si>
  <si>
    <t>Serina</t>
  </si>
  <si>
    <t>Jesus</t>
  </si>
  <si>
    <t>PO Box 1787</t>
  </si>
  <si>
    <t>Fort Defiance</t>
  </si>
  <si>
    <t>928-729-4103</t>
  </si>
  <si>
    <t>sjesus@nnooc.org</t>
  </si>
  <si>
    <t>hjohnsto@schoolcraft.edu</t>
  </si>
  <si>
    <t>Katulski</t>
  </si>
  <si>
    <t>5601 Sunnyside Avenue</t>
  </si>
  <si>
    <t>301-504-1100</t>
  </si>
  <si>
    <t>brenda.katulski@ars.usda.gov</t>
  </si>
  <si>
    <t>PO Box 25165</t>
  </si>
  <si>
    <t>303-231-3931</t>
  </si>
  <si>
    <t>National Business Center</t>
  </si>
  <si>
    <t>George_A_Kelley@nbc.gov</t>
  </si>
  <si>
    <t>joel_fellows@nps.gov</t>
  </si>
  <si>
    <t>LaShonda</t>
  </si>
  <si>
    <t>Finch</t>
  </si>
  <si>
    <t>lashonda.finch@noaa.gov</t>
  </si>
  <si>
    <t>300</t>
  </si>
  <si>
    <t>Freeman</t>
  </si>
  <si>
    <t>Ann Marie</t>
  </si>
  <si>
    <t>Fuentes</t>
  </si>
  <si>
    <t>727 E. Cesar E. Chavez Blvd</t>
  </si>
  <si>
    <t>Room A-405</t>
  </si>
  <si>
    <t>annmarie_fuentes@txwp.uscourts.gov</t>
  </si>
  <si>
    <t>PO Box A</t>
  </si>
  <si>
    <t>29802</t>
  </si>
  <si>
    <t>8039527207</t>
  </si>
  <si>
    <t>marcia.fultz@srs.gov</t>
  </si>
  <si>
    <t>512-469-4559</t>
  </si>
  <si>
    <t>Evelyn.Garcia@irs.gov</t>
  </si>
  <si>
    <t>Halfmann</t>
  </si>
  <si>
    <t>2301 E. Lamar Blvd, Suite 650</t>
  </si>
  <si>
    <t>817-385-3795</t>
  </si>
  <si>
    <t>maria.halfmann@va.gov</t>
  </si>
  <si>
    <t>4811 Airport Plaza Dr.</t>
  </si>
  <si>
    <t>Long Beach</t>
  </si>
  <si>
    <t>90815</t>
  </si>
  <si>
    <t>562-766-2234</t>
  </si>
  <si>
    <t>562-766-2355</t>
  </si>
  <si>
    <t>judith.hall3@va.gov</t>
  </si>
  <si>
    <t>Comstock</t>
  </si>
  <si>
    <t>P.O. Drawer 1207</t>
  </si>
  <si>
    <t>3209 Frederic Street</t>
  </si>
  <si>
    <t>Pascagoula</t>
  </si>
  <si>
    <t>39567</t>
  </si>
  <si>
    <t>228-769-8964</t>
  </si>
  <si>
    <t>228-762-2144</t>
  </si>
  <si>
    <t>barbara.comstock@noaa.gov</t>
  </si>
  <si>
    <t>312 Elm Street</t>
  </si>
  <si>
    <t>Suite 2200</t>
  </si>
  <si>
    <t>45219</t>
  </si>
  <si>
    <t>859-669-5513</t>
  </si>
  <si>
    <t>richard.m.craig@irs.gov</t>
  </si>
  <si>
    <t>703-306-6200</t>
  </si>
  <si>
    <t>mary.davie@gsa.gov</t>
  </si>
  <si>
    <t>DeSoto</t>
  </si>
  <si>
    <t>7400 Merton Minter</t>
  </si>
  <si>
    <t>210-617-5300</t>
  </si>
  <si>
    <t>robert.desoto@va.gov</t>
  </si>
  <si>
    <t>Gil</t>
  </si>
  <si>
    <t>Eble</t>
  </si>
  <si>
    <t>20 N. Eighth Street, 9th floor</t>
  </si>
  <si>
    <t>215-446-5823</t>
  </si>
  <si>
    <t>deborah.eble@gsa.gov</t>
  </si>
  <si>
    <t>2301 E Lamar Blvd Ste 650</t>
  </si>
  <si>
    <t>76006</t>
  </si>
  <si>
    <t>817-385-5967</t>
  </si>
  <si>
    <t>lisa.edwards7@va.gov</t>
  </si>
  <si>
    <t>PSC</t>
  </si>
  <si>
    <t>Farias</t>
  </si>
  <si>
    <t>P. O. Box 4000</t>
  </si>
  <si>
    <t>Three Rivers</t>
  </si>
  <si>
    <t>78071</t>
  </si>
  <si>
    <t>3617863576</t>
  </si>
  <si>
    <t>efarias@bop.gov</t>
  </si>
  <si>
    <t>Fellows</t>
  </si>
  <si>
    <t>240 W 5 Ave</t>
  </si>
  <si>
    <t>907-644-3708</t>
  </si>
  <si>
    <t>907-644-3812</t>
  </si>
  <si>
    <t>1275 First Street</t>
  </si>
  <si>
    <t>Sherwin</t>
  </si>
  <si>
    <t>Boyd</t>
  </si>
  <si>
    <t>555 Corporate Circle</t>
  </si>
  <si>
    <t>Golden</t>
  </si>
  <si>
    <t>80401</t>
  </si>
  <si>
    <t>303-273-6220</t>
  </si>
  <si>
    <t>sherwin.boyd@va.gov</t>
  </si>
  <si>
    <t>78753</t>
  </si>
  <si>
    <t>Carbone</t>
  </si>
  <si>
    <t>7036052841</t>
  </si>
  <si>
    <t>andrew.carbone@gsa.gov</t>
  </si>
  <si>
    <t>Carroll</t>
  </si>
  <si>
    <t>5000 Ellin Road</t>
  </si>
  <si>
    <t>B5-438</t>
  </si>
  <si>
    <t>202-283-4680</t>
  </si>
  <si>
    <t>brenda.n.carroll@irs.gov</t>
  </si>
  <si>
    <t>703-605-5659</t>
  </si>
  <si>
    <t>kathleen.carson@gsa.gov</t>
  </si>
  <si>
    <t>20 North Eighth Street</t>
  </si>
  <si>
    <t>19107-3101</t>
  </si>
  <si>
    <t>Johnsell</t>
  </si>
  <si>
    <t>803-952-7825</t>
  </si>
  <si>
    <t>803-953-9452</t>
  </si>
  <si>
    <t>johnsell.christian@srs.gov</t>
  </si>
  <si>
    <t>Benavides</t>
  </si>
  <si>
    <t>Blomquist</t>
  </si>
  <si>
    <t>PO Box 25166</t>
  </si>
  <si>
    <t>303-273-6206</t>
  </si>
  <si>
    <t>Office of Acquisition &amp; Logistics (OAL)</t>
  </si>
  <si>
    <t>ray.blomquist@va.gov</t>
  </si>
  <si>
    <t>Heath</t>
  </si>
  <si>
    <t>3036 S. Falkenburg Rd</t>
  </si>
  <si>
    <t>Bldg 3000</t>
  </si>
  <si>
    <t>Riverview</t>
  </si>
  <si>
    <t>33578</t>
  </si>
  <si>
    <t>813-301-5846</t>
  </si>
  <si>
    <t>janice_heath@flmp.uscourts.gov</t>
  </si>
  <si>
    <t>Juliann</t>
  </si>
  <si>
    <t>Winder</t>
  </si>
  <si>
    <t>1011 Indian School Road Ste 331</t>
  </si>
  <si>
    <t>505-563-5369</t>
  </si>
  <si>
    <t>juliann.winder@bia.gov</t>
  </si>
  <si>
    <t>Lindsay</t>
  </si>
  <si>
    <t>Wong</t>
  </si>
  <si>
    <t>819 Taylor St., Rm. 6A00</t>
  </si>
  <si>
    <t>817-850-8286</t>
  </si>
  <si>
    <t>lindsay.wong@gsa.gov</t>
  </si>
  <si>
    <t>P.O. Box 948</t>
  </si>
  <si>
    <t>918-207-3328</t>
  </si>
  <si>
    <t>younger.rachel@jobcorps.org</t>
  </si>
  <si>
    <t>727 E. Cesar Chavez</t>
  </si>
  <si>
    <t>703-603-8211</t>
  </si>
  <si>
    <t>joy.walker@gsa.gov</t>
  </si>
  <si>
    <t>300 C Street, SW</t>
  </si>
  <si>
    <t>Room 4300</t>
  </si>
  <si>
    <t>202 3827867</t>
  </si>
  <si>
    <t>awashington@bbg.gov</t>
  </si>
  <si>
    <t>708-786-5157</t>
  </si>
  <si>
    <t>708-786-5148</t>
  </si>
  <si>
    <t>craig.robinson@va.gov</t>
  </si>
  <si>
    <t>Mamie</t>
  </si>
  <si>
    <t>Ste B-207</t>
  </si>
  <si>
    <t>210-472-6700</t>
  </si>
  <si>
    <t>210-472-4454</t>
  </si>
  <si>
    <t>Mamie_Rodriguez@fd.org</t>
  </si>
  <si>
    <t>Roop</t>
  </si>
  <si>
    <t>1000 Custer Hollow Road</t>
  </si>
  <si>
    <t>304-625-2000</t>
  </si>
  <si>
    <t>katrina.roop@leo.gov</t>
  </si>
  <si>
    <t>Rosas</t>
  </si>
  <si>
    <t>615 E. Houston St. #597</t>
  </si>
  <si>
    <t>210-472-6720</t>
  </si>
  <si>
    <t>210-472-6215</t>
  </si>
  <si>
    <t>veronica_rose@txwb.uscourts.gov</t>
  </si>
  <si>
    <t>Salinas</t>
  </si>
  <si>
    <t>jd.salinas@gsa.gov</t>
  </si>
  <si>
    <t>Sanford</t>
  </si>
  <si>
    <t>Lavonne</t>
  </si>
  <si>
    <t>03101-1708</t>
  </si>
  <si>
    <t>603-222-2615</t>
  </si>
  <si>
    <t>603-222-2692</t>
  </si>
  <si>
    <t>lavonne_schmidt@nhb.uscourts.gov</t>
  </si>
  <si>
    <t>Tonia</t>
  </si>
  <si>
    <t>4500 S. Lancaster Rd.</t>
  </si>
  <si>
    <t>Engineering Bldg. 9</t>
  </si>
  <si>
    <t>214-857-1066</t>
  </si>
  <si>
    <t>Tonia.Shaw@va.gov</t>
  </si>
  <si>
    <t>Vernon</t>
  </si>
  <si>
    <t>Sikes</t>
  </si>
  <si>
    <t>P.O. Box 1066</t>
  </si>
  <si>
    <t>918-207-3349</t>
  </si>
  <si>
    <t>sikes.vernon@jobcorps.org</t>
  </si>
  <si>
    <t>Simonds</t>
  </si>
  <si>
    <t>30 West Government Sreet</t>
  </si>
  <si>
    <t>850-769-8069</t>
  </si>
  <si>
    <t>janis_simonds@flnp.uscourts.gov</t>
  </si>
  <si>
    <t>Smallwood</t>
  </si>
  <si>
    <t>490 L'Enfant Plaza, SW</t>
  </si>
  <si>
    <t>East Building</t>
  </si>
  <si>
    <t>202-314-6238</t>
  </si>
  <si>
    <t>240-752-6243</t>
  </si>
  <si>
    <t>NTSB</t>
  </si>
  <si>
    <t>kimberly.smallwood@ntsb.gov</t>
  </si>
  <si>
    <t>600 West Madison Street</t>
  </si>
  <si>
    <t>312-575-4146</t>
  </si>
  <si>
    <t>312-575-5515</t>
  </si>
  <si>
    <t>larry.g.smith@ssa.gov</t>
  </si>
  <si>
    <t>O'Connor</t>
  </si>
  <si>
    <t>410-786-4174</t>
  </si>
  <si>
    <t>barbara.oconnor@cms.hhs.gov</t>
  </si>
  <si>
    <t>Petri</t>
  </si>
  <si>
    <t>Room A405</t>
  </si>
  <si>
    <t>laurie_petri@txwp.uscourts.gov</t>
  </si>
  <si>
    <t>Jean-Pierre</t>
  </si>
  <si>
    <t>Pezzella</t>
  </si>
  <si>
    <t>1901 Spinnaker Drive</t>
  </si>
  <si>
    <t>Ventura</t>
  </si>
  <si>
    <t>93001</t>
  </si>
  <si>
    <t>805-658-5723</t>
  </si>
  <si>
    <t>jeanpierre_pezzella@nps.gov</t>
  </si>
  <si>
    <t>Suite 103</t>
  </si>
  <si>
    <t>230 S. Dearborn St.</t>
  </si>
  <si>
    <t>703-632-3594</t>
  </si>
  <si>
    <t>703-632-3755</t>
  </si>
  <si>
    <t>patricia.rainey@ic.fbi.gov</t>
  </si>
  <si>
    <t>8700 Tesoro Dr.</t>
  </si>
  <si>
    <t>210-841-2460</t>
  </si>
  <si>
    <t>210-841-2465</t>
  </si>
  <si>
    <t>gloria.l.ramos@irs.gov</t>
  </si>
  <si>
    <t>Reed</t>
  </si>
  <si>
    <t>401 SE 1st Avenue</t>
  </si>
  <si>
    <t>Suite 228</t>
  </si>
  <si>
    <t>Gainesville</t>
  </si>
  <si>
    <t>32601</t>
  </si>
  <si>
    <t>352-380-2436</t>
  </si>
  <si>
    <t>352-380-2433</t>
  </si>
  <si>
    <t>paula_rhoden@flnp.uscourts.gov</t>
  </si>
  <si>
    <t>Ted</t>
  </si>
  <si>
    <t>Manikas</t>
  </si>
  <si>
    <t>240 373 7842</t>
  </si>
  <si>
    <t>JANET</t>
  </si>
  <si>
    <t>MAY</t>
  </si>
  <si>
    <t>200 INDEPENDENCE AVE ,SW</t>
  </si>
  <si>
    <t>WASHINGTON, DC</t>
  </si>
  <si>
    <t>202-401-2990</t>
  </si>
  <si>
    <t>202-401-1401</t>
  </si>
  <si>
    <t>PSC/ISMS</t>
  </si>
  <si>
    <t>jmay@psc.gov</t>
  </si>
  <si>
    <t>NICOLE</t>
  </si>
  <si>
    <t>MONROE</t>
  </si>
  <si>
    <t>1200 PENNSYLVANIA AVE, NW</t>
  </si>
  <si>
    <t>202-564-0414</t>
  </si>
  <si>
    <t>202-564-2744</t>
  </si>
  <si>
    <t>monroe.nicole@epa.gov</t>
  </si>
  <si>
    <t>512-460-0671</t>
  </si>
  <si>
    <t>Sharon.R.Moore@irs.gov</t>
  </si>
  <si>
    <t>One Denver Federal Center</t>
  </si>
  <si>
    <t>Bldg 41 PO BOX 25546</t>
  </si>
  <si>
    <t>80225-0546</t>
  </si>
  <si>
    <t>303-236-7197</t>
  </si>
  <si>
    <t>kenneth.moore@gsa.gov</t>
  </si>
  <si>
    <t>Evangeline</t>
  </si>
  <si>
    <t>1 Range Road</t>
  </si>
  <si>
    <t>HRT Building</t>
  </si>
  <si>
    <t>703-632-1882</t>
  </si>
  <si>
    <t>derek.morrison@ic.fbi.gov</t>
  </si>
  <si>
    <t>Room 1102</t>
  </si>
  <si>
    <t>816-518-6597</t>
  </si>
  <si>
    <t>jerry.johnson@gsa.gov</t>
  </si>
  <si>
    <t>2700 Overland Avenue</t>
  </si>
  <si>
    <t>208-677-6775</t>
  </si>
  <si>
    <t>208-678-4538</t>
  </si>
  <si>
    <t>ldking@bpa.gov</t>
  </si>
  <si>
    <t>Bradford</t>
  </si>
  <si>
    <t>100 Emancipation Dr</t>
  </si>
  <si>
    <t>23667</t>
  </si>
  <si>
    <t>757-728-3115</t>
  </si>
  <si>
    <t>bradford.knight@va.gov</t>
  </si>
  <si>
    <t>410-786-8855</t>
  </si>
  <si>
    <t>Centers for Medicare and Medicaid Servic</t>
  </si>
  <si>
    <t>Karen.Lisle@cms.hhs.gov</t>
  </si>
  <si>
    <t>Edna</t>
  </si>
  <si>
    <t>Halliday</t>
  </si>
  <si>
    <t>1601 Kirkwood Highway</t>
  </si>
  <si>
    <t>Montchanin Annex</t>
  </si>
  <si>
    <t>19805</t>
  </si>
  <si>
    <t>302-994-2511</t>
  </si>
  <si>
    <t>302-428-1472</t>
  </si>
  <si>
    <t>karen.halliday@va.gov</t>
  </si>
  <si>
    <t>Hands</t>
  </si>
  <si>
    <t>Room 2070-A</t>
  </si>
  <si>
    <t>703-603-8313</t>
  </si>
  <si>
    <t>charles.hands@gsa.gov</t>
  </si>
  <si>
    <t>Alex</t>
  </si>
  <si>
    <t>Hong</t>
  </si>
  <si>
    <t>7400 Merton Minter BLVD</t>
  </si>
  <si>
    <t>Charles.Hong2@va.gov</t>
  </si>
  <si>
    <t>17 S. DeVilliers Street</t>
  </si>
  <si>
    <t>850-435-8430</t>
  </si>
  <si>
    <t>850-432-0577</t>
  </si>
  <si>
    <t>beverly_james@flnp.uscourts.gov</t>
  </si>
  <si>
    <t>Jasper</t>
  </si>
  <si>
    <t>64131-3009</t>
  </si>
  <si>
    <t>Edenfield</t>
  </si>
  <si>
    <t>850-521-3552</t>
  </si>
  <si>
    <t>dana_edenfield@flnp.uscourts.gov</t>
  </si>
  <si>
    <t>Ellett</t>
  </si>
  <si>
    <t>1 North Palafox Street, Suite 313</t>
  </si>
  <si>
    <t>850 470-8197</t>
  </si>
  <si>
    <t>850 437-7756</t>
  </si>
  <si>
    <t>debbie_ellett@flnp.uscourts.gov</t>
  </si>
  <si>
    <t>Kwasi</t>
  </si>
  <si>
    <t>12005 Elmwood Drive</t>
  </si>
  <si>
    <t>Brandywine</t>
  </si>
  <si>
    <t>20613</t>
  </si>
  <si>
    <t>2022527101</t>
  </si>
  <si>
    <t>kwasi.fields2@usdoj.gov</t>
  </si>
  <si>
    <t>Fletcher</t>
  </si>
  <si>
    <t>281-483-5401</t>
  </si>
  <si>
    <t>steven.d.fletcher@nasa.gov</t>
  </si>
  <si>
    <t>Friedrich</t>
  </si>
  <si>
    <t>1 Range Rd.</t>
  </si>
  <si>
    <t>HRT Bldg.</t>
  </si>
  <si>
    <t>703-632-3632</t>
  </si>
  <si>
    <t>jonathan.friedrich@ic.fbi.gov</t>
  </si>
  <si>
    <t>8700 Tesoro Dr.,  Rm. 201</t>
  </si>
  <si>
    <t>210-841-2450</t>
  </si>
  <si>
    <t>lydia.g.garcia@irs.gov</t>
  </si>
  <si>
    <t>98001-6505</t>
  </si>
  <si>
    <t>jonathan.cooper@gsa.gov</t>
  </si>
  <si>
    <t>Xrevette</t>
  </si>
  <si>
    <t>Dabney</t>
  </si>
  <si>
    <t>1301 Young Street</t>
  </si>
  <si>
    <t>Room 1028</t>
  </si>
  <si>
    <t>214-767-3221</t>
  </si>
  <si>
    <t>214-767-3224</t>
  </si>
  <si>
    <t>Program Support Center</t>
  </si>
  <si>
    <t>Xrevette.Dabney@psc.hhs.gov</t>
  </si>
  <si>
    <t>Jannel</t>
  </si>
  <si>
    <t>DeMars</t>
  </si>
  <si>
    <t>6230 Madeleine Drive</t>
  </si>
  <si>
    <t>2108548252</t>
  </si>
  <si>
    <t>Agriculture  Marketing Service</t>
  </si>
  <si>
    <t>Jannel.DeMars@ams.usda.gov</t>
  </si>
  <si>
    <t>P. O. Box 3905</t>
  </si>
  <si>
    <t>33601</t>
  </si>
  <si>
    <t>813 301-5765</t>
  </si>
  <si>
    <t>813 301-5507</t>
  </si>
  <si>
    <t>pam_dempsey@flmp.uscourts.gov</t>
  </si>
  <si>
    <t>Bourgeois</t>
  </si>
  <si>
    <t>900 Commerce Road East</t>
  </si>
  <si>
    <t>70123-3406</t>
  </si>
  <si>
    <t>504-734-4341</t>
  </si>
  <si>
    <t>504-818-5341</t>
  </si>
  <si>
    <t>Leslie.Bourgeois@spr.doe.gov</t>
  </si>
  <si>
    <t>Candy</t>
  </si>
  <si>
    <t>Bourque</t>
  </si>
  <si>
    <t>1400 Wallace Blvd</t>
  </si>
  <si>
    <t>Amarillo</t>
  </si>
  <si>
    <t>79106</t>
  </si>
  <si>
    <t>806-354-5441</t>
  </si>
  <si>
    <t>Texas Tech University HSC</t>
  </si>
  <si>
    <t>candyce.bourque@ttuhsc.edu</t>
  </si>
  <si>
    <t>6615 Woodward St</t>
  </si>
  <si>
    <t>512-460-5385</t>
  </si>
  <si>
    <t>loretta.boyd@va.gov</t>
  </si>
  <si>
    <t>Browne</t>
  </si>
  <si>
    <t>Johnson Space Center</t>
  </si>
  <si>
    <t>281-483-1172</t>
  </si>
  <si>
    <t>andrea.browne-1@nasa.gov</t>
  </si>
  <si>
    <t>Carberry</t>
  </si>
  <si>
    <t>1000 Elm Street</t>
  </si>
  <si>
    <t>Suite 1001</t>
  </si>
  <si>
    <t>Manchester</t>
  </si>
  <si>
    <t>03101</t>
  </si>
  <si>
    <t>603-222-2627</t>
  </si>
  <si>
    <t>603-222-2697</t>
  </si>
  <si>
    <t>US Federal Courts</t>
  </si>
  <si>
    <t>john_carberry@nhb.uscourts.gov</t>
  </si>
  <si>
    <t>7600 Metropolis Drive</t>
  </si>
  <si>
    <t>Carlos</t>
  </si>
  <si>
    <t>Ayers</t>
  </si>
  <si>
    <t>4500 S. Lancaster Road</t>
  </si>
  <si>
    <t>Back</t>
  </si>
  <si>
    <t>404-332-3331</t>
  </si>
  <si>
    <t>robert.back@gsa.gov</t>
  </si>
  <si>
    <t>Kisha</t>
  </si>
  <si>
    <t>2600 Lord Baltimore Drive</t>
  </si>
  <si>
    <t>410-277-6303</t>
  </si>
  <si>
    <t>Kisha.Barnes@ic.fbi.gov</t>
  </si>
  <si>
    <t>Thornton</t>
  </si>
  <si>
    <t>401 W Peachtree St, NW</t>
  </si>
  <si>
    <t>404-215-8692</t>
  </si>
  <si>
    <t>Cheryl.Thornton@gsa.gov</t>
  </si>
  <si>
    <t>Lakeisha</t>
  </si>
  <si>
    <t>Tigner</t>
  </si>
  <si>
    <t>8800 Greenbelt Road</t>
  </si>
  <si>
    <t>3012868822</t>
  </si>
  <si>
    <t>lakeisha.s.tigner@nasa.gov</t>
  </si>
  <si>
    <t>Toner</t>
  </si>
  <si>
    <t>02222-1048</t>
  </si>
  <si>
    <t>Room 7G-021</t>
  </si>
  <si>
    <t>202-586-0861</t>
  </si>
  <si>
    <t>Melodie.Washington@hq.doe.gov</t>
  </si>
  <si>
    <t>Williamson</t>
  </si>
  <si>
    <t>4625 morse rd</t>
  </si>
  <si>
    <t>suite 104</t>
  </si>
  <si>
    <t>columbus</t>
  </si>
  <si>
    <t>43230</t>
  </si>
  <si>
    <t>6144168993</t>
  </si>
  <si>
    <t>courtney_williamson@fws.gov</t>
  </si>
  <si>
    <t>Schrank</t>
  </si>
  <si>
    <t>215-446-4893</t>
  </si>
  <si>
    <t>Ryan.Schrank@gsa.gov</t>
  </si>
  <si>
    <t>1701 N. Fort Meyers Drive</t>
  </si>
  <si>
    <t>22219</t>
  </si>
  <si>
    <t>703-875-4983</t>
  </si>
  <si>
    <t>sherrillbd2@state.gov</t>
  </si>
  <si>
    <t>Snider II</t>
  </si>
  <si>
    <t>9072711415</t>
  </si>
  <si>
    <t>Independent Federal Agency</t>
  </si>
  <si>
    <t>psnider@denali.gov</t>
  </si>
  <si>
    <t>Angie</t>
  </si>
  <si>
    <t>Soseeah</t>
  </si>
  <si>
    <t>P.O. Box 710</t>
  </si>
  <si>
    <t>Zuni</t>
  </si>
  <si>
    <t>87327</t>
  </si>
  <si>
    <t>505-782-4550</t>
  </si>
  <si>
    <t>505-782-4563</t>
  </si>
  <si>
    <t>Tribally Designated Housing Entity</t>
  </si>
  <si>
    <t>Zuni Housing Authority</t>
  </si>
  <si>
    <t>asoseeah@pozha.org</t>
  </si>
  <si>
    <t>Roxanne</t>
  </si>
  <si>
    <t>Sowell</t>
  </si>
  <si>
    <t>5600 Fishers Lane, Rm 4C-05</t>
  </si>
  <si>
    <t>301-443-5808</t>
  </si>
  <si>
    <t>301-443-1918</t>
  </si>
  <si>
    <t>roxanne.sowell@psc.hhs.gov</t>
  </si>
  <si>
    <t>22202-3713</t>
  </si>
  <si>
    <t>703-605-2759</t>
  </si>
  <si>
    <t>houston.taylor@gsa.gov</t>
  </si>
  <si>
    <t>4801 Veterans Drive</t>
  </si>
  <si>
    <t>St. Cloud</t>
  </si>
  <si>
    <t>56303</t>
  </si>
  <si>
    <t>320-255-6385</t>
  </si>
  <si>
    <t>320-255-6461</t>
  </si>
  <si>
    <t>Connie.Powell@va.gov</t>
  </si>
  <si>
    <t>660 S. Mesa Hills Drive</t>
  </si>
  <si>
    <t>Suite 2000</t>
  </si>
  <si>
    <t>915-832-6060</t>
  </si>
  <si>
    <t>915-832-6302</t>
  </si>
  <si>
    <t>norma.x.ramirez@usdoj.gov</t>
  </si>
  <si>
    <t>PO Box 25007</t>
  </si>
  <si>
    <t>80225-0007</t>
  </si>
  <si>
    <t>303-445-2084</t>
  </si>
  <si>
    <t>prichards@usbr.gov</t>
  </si>
  <si>
    <t>210-301-6304</t>
  </si>
  <si>
    <t>michelle_rosas@aotx.uscourts.gov</t>
  </si>
  <si>
    <t>Rosenmeier</t>
  </si>
  <si>
    <t>78748</t>
  </si>
  <si>
    <t>512-460-5202</t>
  </si>
  <si>
    <t>Financial Services Center</t>
  </si>
  <si>
    <t>jon.rosenmeier@va.gov</t>
  </si>
  <si>
    <t>Rosini</t>
  </si>
  <si>
    <t>303-445-3347</t>
  </si>
  <si>
    <t>rrussell@usbr.gov</t>
  </si>
  <si>
    <t>817-978-2321</t>
  </si>
  <si>
    <t>Marco</t>
  </si>
  <si>
    <t>P.O. BOX 149058</t>
  </si>
  <si>
    <t>78714</t>
  </si>
  <si>
    <t>512-342-7355</t>
  </si>
  <si>
    <t>512-3427226</t>
  </si>
  <si>
    <t>Financial Management Service</t>
  </si>
  <si>
    <t>marco.salinas@fms.treas.gov</t>
  </si>
  <si>
    <t>Salyers</t>
  </si>
  <si>
    <t>984 Denton Valley Road</t>
  </si>
  <si>
    <t>Bristol</t>
  </si>
  <si>
    <t>37620</t>
  </si>
  <si>
    <t>423-878-4021</t>
  </si>
  <si>
    <t>jrsalyers@fs.fed.us</t>
  </si>
  <si>
    <t>Spenser</t>
  </si>
  <si>
    <t>Sams</t>
  </si>
  <si>
    <t>2200 Crystal Dr., Suite 300</t>
  </si>
  <si>
    <t>703-605-9084</t>
  </si>
  <si>
    <t>spenser.sams@gsa.gov</t>
  </si>
  <si>
    <t>643 East Durango Blvd</t>
  </si>
  <si>
    <t>210-301-6467</t>
  </si>
  <si>
    <t>Administrative Office of the US Courts</t>
  </si>
  <si>
    <t>kurt_sandy@aotx.uscourts.gov</t>
  </si>
  <si>
    <t>Waco</t>
  </si>
  <si>
    <t>Moses</t>
  </si>
  <si>
    <t>22675 N. Moorefield Rd</t>
  </si>
  <si>
    <t>Edinburg</t>
  </si>
  <si>
    <t>78541</t>
  </si>
  <si>
    <t>956-205-7625</t>
  </si>
  <si>
    <t>michael.moses@ars.usda.gov</t>
  </si>
  <si>
    <t>Noel</t>
  </si>
  <si>
    <t>207 Ag Hall</t>
  </si>
  <si>
    <t>University of Nebraska-Lincoln</t>
  </si>
  <si>
    <t>68583</t>
  </si>
  <si>
    <t>402-472-2045</t>
  </si>
  <si>
    <t>402-472-9071</t>
  </si>
  <si>
    <t>jnoel2@unl.edu</t>
  </si>
  <si>
    <t>Clerk</t>
  </si>
  <si>
    <t>Nolden</t>
  </si>
  <si>
    <t>655 E Cesar E Chavez</t>
  </si>
  <si>
    <t>beverly_A_nolden@txwd.uscourts.gov</t>
  </si>
  <si>
    <t>1000 Independence Ave, SW</t>
  </si>
  <si>
    <t>Malczewski</t>
  </si>
  <si>
    <t>10401 Fernwood Road, 3G52</t>
  </si>
  <si>
    <t>20817</t>
  </si>
  <si>
    <t>301-594-9404</t>
  </si>
  <si>
    <t>301-594-5009</t>
  </si>
  <si>
    <t>malczewb@mail.nih.gov</t>
  </si>
  <si>
    <t>Manthos</t>
  </si>
  <si>
    <t>Crystal Plaza 4</t>
  </si>
  <si>
    <t>703-605-2838</t>
  </si>
  <si>
    <t>jeffrey.manthos@gsa.gov</t>
  </si>
  <si>
    <t>Manzano</t>
  </si>
  <si>
    <t>McCoy Hall Rm. 120</t>
  </si>
  <si>
    <t>509-335-2083</t>
  </si>
  <si>
    <t>hmanzano@vetmed.wsu.edu</t>
  </si>
  <si>
    <t>McCarty</t>
  </si>
  <si>
    <t>McComas</t>
  </si>
  <si>
    <t>P.O. Box 4000</t>
  </si>
  <si>
    <t>8.5 mi. W. Hwy. 72</t>
  </si>
  <si>
    <t>361-786-8694</t>
  </si>
  <si>
    <t>jmccomas@bop.gov</t>
  </si>
  <si>
    <t>Meriweather</t>
  </si>
  <si>
    <t>935 Pennsylvania Ave.</t>
  </si>
  <si>
    <t>202-324-3018</t>
  </si>
  <si>
    <t>samuel.meriweather@ic.fbi.gov</t>
  </si>
  <si>
    <t>tina.jaegerman@gsa.gov</t>
  </si>
  <si>
    <t>Jaquez</t>
  </si>
  <si>
    <t>660 S. Mesa Hills, Ste 2000</t>
  </si>
  <si>
    <t>79912</t>
  </si>
  <si>
    <t>915-832-6069</t>
  </si>
  <si>
    <t>915-832-6230</t>
  </si>
  <si>
    <t>Martha.I.Jaquez@usdoj.gov</t>
  </si>
  <si>
    <t>Joaquin</t>
  </si>
  <si>
    <t>Henrietta</t>
  </si>
  <si>
    <t>P. O. Box 526245</t>
  </si>
  <si>
    <t>77052</t>
  </si>
  <si>
    <t>713-221-5400</t>
  </si>
  <si>
    <t>713-229-4204</t>
  </si>
  <si>
    <t>hthomas@bop.gov</t>
  </si>
  <si>
    <t>Melina</t>
  </si>
  <si>
    <t>P.O. BOX 4000</t>
  </si>
  <si>
    <t>HWY 72 WEST</t>
  </si>
  <si>
    <t>THREE RIVERS</t>
  </si>
  <si>
    <t>361-786-8695</t>
  </si>
  <si>
    <t>361-786-5061</t>
  </si>
  <si>
    <t>mljohnson@bop.gov</t>
  </si>
  <si>
    <t>703-605-5553</t>
  </si>
  <si>
    <t>tina.johnson@gsa.gov</t>
  </si>
  <si>
    <t>Kerrigan</t>
  </si>
  <si>
    <t>800 Independence Ave., SW 502</t>
  </si>
  <si>
    <t>202-493-5331</t>
  </si>
  <si>
    <t>202-267-3036</t>
  </si>
  <si>
    <t>andrew.kerrigan@faa.gov</t>
  </si>
  <si>
    <t>Kitamura</t>
  </si>
  <si>
    <t>1402 Corinth St #1536</t>
  </si>
  <si>
    <t>75215</t>
  </si>
  <si>
    <t>214-860-5823</t>
  </si>
  <si>
    <t>gkitamura@dcccd.edu</t>
  </si>
  <si>
    <t>LaShawn-Shelley</t>
  </si>
  <si>
    <t>Erv</t>
  </si>
  <si>
    <t>Koehler</t>
  </si>
  <si>
    <t>404-331-6218</t>
  </si>
  <si>
    <t>erville.koehler@gsa.gov</t>
  </si>
  <si>
    <t>J</t>
  </si>
  <si>
    <t>Koval</t>
  </si>
  <si>
    <t>Room 4C-05</t>
  </si>
  <si>
    <t>301-443-2495</t>
  </si>
  <si>
    <t>PSC - Program Support Center</t>
  </si>
  <si>
    <t>joan.koval@psc.hhs.gov</t>
  </si>
  <si>
    <t>Aleta</t>
  </si>
  <si>
    <t>Krull</t>
  </si>
  <si>
    <t>3720 Dudley Blvd</t>
  </si>
  <si>
    <t>McClellan</t>
  </si>
  <si>
    <t>95652</t>
  </si>
  <si>
    <t>916-874-2280</t>
  </si>
  <si>
    <t>krulla@sacoes.org</t>
  </si>
  <si>
    <t>Gorton</t>
  </si>
  <si>
    <t>Mount vernon</t>
  </si>
  <si>
    <t>360-848-6133</t>
  </si>
  <si>
    <t>dgorton@wsu.edu</t>
  </si>
  <si>
    <t>401 W. Peachtree Street Suite 820</t>
  </si>
  <si>
    <t>404-215-8705</t>
  </si>
  <si>
    <t>hassan.harris@gsa.gov</t>
  </si>
  <si>
    <t>404-915-3060</t>
  </si>
  <si>
    <t>Hendrix</t>
  </si>
  <si>
    <t>8700 Tesoro Dr</t>
  </si>
  <si>
    <t>210-841-2076</t>
  </si>
  <si>
    <t>regina.r.hendrix@irs.gov</t>
  </si>
  <si>
    <t>1200 N. McColl Rd.</t>
  </si>
  <si>
    <t>956-984-6368</t>
  </si>
  <si>
    <t>rebecca.hernandez@ic.fbi.gov</t>
  </si>
  <si>
    <t>Sonia</t>
  </si>
  <si>
    <t>Hogeland</t>
  </si>
  <si>
    <t>Ste. A500</t>
  </si>
  <si>
    <t>210-472-4955</t>
  </si>
  <si>
    <t>sonia_hogeland@txwd.uscourts.gov</t>
  </si>
  <si>
    <t>OGP</t>
  </si>
  <si>
    <t>Druffel</t>
  </si>
  <si>
    <t>Bustad Hall 1845, Rm. 130</t>
  </si>
  <si>
    <t>PO Box 647010</t>
  </si>
  <si>
    <t>Pullman</t>
  </si>
  <si>
    <t>99164-7010</t>
  </si>
  <si>
    <t>509-335-3116</t>
  </si>
  <si>
    <t>509-335-6128</t>
  </si>
  <si>
    <t>tdruffel@wsu.edu</t>
  </si>
  <si>
    <t>Brandon</t>
  </si>
  <si>
    <t>Raquel</t>
  </si>
  <si>
    <t>12600 NASA Road</t>
  </si>
  <si>
    <t>575-524-5782</t>
  </si>
  <si>
    <t>ronnie.s.esparza@nasa.gov</t>
  </si>
  <si>
    <t>Espinoza</t>
  </si>
  <si>
    <t>Fertig</t>
  </si>
  <si>
    <t>DOI OS/OCIO ATTN: Holly Fertig</t>
  </si>
  <si>
    <t>12201 Sunrise Valley Drive</t>
  </si>
  <si>
    <t>20192</t>
  </si>
  <si>
    <t>703-648-5535</t>
  </si>
  <si>
    <t>Office of the Secretary, OCIO</t>
  </si>
  <si>
    <t>holly_fertig@ios.doi.gov</t>
  </si>
  <si>
    <t>210-244-5007</t>
  </si>
  <si>
    <t>diana_garcia@txwd.uscourts.gov</t>
  </si>
  <si>
    <t>Mariselda</t>
  </si>
  <si>
    <t>1200 North McColl Road</t>
  </si>
  <si>
    <t>956-984-6300</t>
  </si>
  <si>
    <t>mariselda.garza@ic.fbi.gov</t>
  </si>
  <si>
    <t>Dept of Transportation</t>
  </si>
  <si>
    <t>202-219-2347</t>
  </si>
  <si>
    <t>helen.chamberlain@gsa.gov</t>
  </si>
  <si>
    <t>Christenson</t>
  </si>
  <si>
    <t>5740 University Heights</t>
  </si>
  <si>
    <t>210-225-6741</t>
  </si>
  <si>
    <t>mark.christenson@ic.fbi.gov</t>
  </si>
  <si>
    <t>william.clayton@gsa.gov</t>
  </si>
  <si>
    <t>Corder</t>
  </si>
  <si>
    <t>300 7th Street SW</t>
  </si>
  <si>
    <t>Suite 33</t>
  </si>
  <si>
    <t>202-720-3671</t>
  </si>
  <si>
    <t>Departmental Administration</t>
  </si>
  <si>
    <t>christopher.corder@dm.usda.gov</t>
  </si>
  <si>
    <t>4411-A Meinardus</t>
  </si>
  <si>
    <t>5129748776</t>
  </si>
  <si>
    <t>clayton.craig@austintexas.gov</t>
  </si>
  <si>
    <t>Cunningham</t>
  </si>
  <si>
    <t>Delgado</t>
  </si>
  <si>
    <t>210-301-6305</t>
  </si>
  <si>
    <t>patricia_delgado@aotx.uscourts.gov</t>
  </si>
  <si>
    <t>Dept of Education</t>
  </si>
  <si>
    <t>Dept of Energy</t>
  </si>
  <si>
    <t>1433 W. Loop South</t>
  </si>
  <si>
    <t>77027</t>
  </si>
  <si>
    <t>713-693-3372</t>
  </si>
  <si>
    <t>713-693-3131</t>
  </si>
  <si>
    <t>Timothy.a.campbell@usdoj.gov</t>
  </si>
  <si>
    <t>Dept of Veterans Affairs</t>
  </si>
  <si>
    <t>Dept of Treasury</t>
  </si>
  <si>
    <t>Dept of Commerce</t>
  </si>
  <si>
    <t>Dept of Labor</t>
  </si>
  <si>
    <t>Dept of Agriculture</t>
  </si>
  <si>
    <t>Dept of Justice</t>
  </si>
  <si>
    <t>Administrative Office of U.S. Courts</t>
  </si>
  <si>
    <t>Dept of Interior</t>
  </si>
  <si>
    <t>Dept of State</t>
  </si>
  <si>
    <t>Asadourian</t>
  </si>
  <si>
    <t>643 E. Durango</t>
  </si>
  <si>
    <t>210-301-6468</t>
  </si>
  <si>
    <t>chris_asadourian@aotx.uscourts.gov</t>
  </si>
  <si>
    <t>Yvette</t>
  </si>
  <si>
    <t>Belenis Slater</t>
  </si>
  <si>
    <t>44146 N El Macero Drive</t>
  </si>
  <si>
    <t>El Macero</t>
  </si>
  <si>
    <t>95618</t>
  </si>
  <si>
    <t>530-756-3082</t>
  </si>
  <si>
    <t>liz.belenis@gsa.gov</t>
  </si>
  <si>
    <t>Kendrea</t>
  </si>
  <si>
    <t>Vallien</t>
  </si>
  <si>
    <t>281-244-7176</t>
  </si>
  <si>
    <t>kendrea.d.vallien@nasa.gov</t>
  </si>
  <si>
    <t>Varghese</t>
  </si>
  <si>
    <t>1275 1st Street NE</t>
  </si>
  <si>
    <t>7th Floor</t>
  </si>
  <si>
    <t>703-283-3700</t>
  </si>
  <si>
    <t>john.varghese@fai.gov</t>
  </si>
  <si>
    <t>202-382-7869</t>
  </si>
  <si>
    <t>International Broadcastin</t>
  </si>
  <si>
    <t>lkwashin@bbg.gov</t>
  </si>
  <si>
    <t>lorene.williams@bie.edu</t>
  </si>
  <si>
    <t>Lewisville</t>
  </si>
  <si>
    <t>75057</t>
  </si>
  <si>
    <t>Wu</t>
  </si>
  <si>
    <t>Skalman</t>
  </si>
  <si>
    <t>National Acquistion Center</t>
  </si>
  <si>
    <t>PO Box 76, BLDG 37</t>
  </si>
  <si>
    <t>708-786-5247</t>
  </si>
  <si>
    <t>708-786-4975</t>
  </si>
  <si>
    <t>OA&amp;L</t>
  </si>
  <si>
    <t>paul.skalman@va.gov</t>
  </si>
  <si>
    <t>MLK Federal Building</t>
  </si>
  <si>
    <t>77th Forsyth St</t>
  </si>
  <si>
    <t>404-331-2697</t>
  </si>
  <si>
    <t>carrie.smith@gsa.gov</t>
  </si>
  <si>
    <t>Spriggs</t>
  </si>
  <si>
    <t>5115 NE 82nd Avenue  Suite 203</t>
  </si>
  <si>
    <t>360-852-9892</t>
  </si>
  <si>
    <t>Debra.Spriggs@va.gov</t>
  </si>
  <si>
    <t>Deborah (Debbie)</t>
  </si>
  <si>
    <t>784 S Highway 74</t>
  </si>
  <si>
    <t>Peachtree City</t>
  </si>
  <si>
    <t>30269</t>
  </si>
  <si>
    <t>678-364-6005</t>
  </si>
  <si>
    <t>FAA</t>
  </si>
  <si>
    <t>deborah.sturdivant@faa.gov</t>
  </si>
  <si>
    <t>Syptak</t>
  </si>
  <si>
    <t>800 Independence Ave SW</t>
  </si>
  <si>
    <t>202-267-8485</t>
  </si>
  <si>
    <t>William.Syptak@faa.gov</t>
  </si>
  <si>
    <t>Thornhill</t>
  </si>
  <si>
    <t>601 NW Loop 410, Suite 600</t>
  </si>
  <si>
    <t>210-384-7273</t>
  </si>
  <si>
    <t>susan.thornhill@usdoj.gov</t>
  </si>
  <si>
    <t>Research &amp; Innovative Tec</t>
  </si>
  <si>
    <t>Wahsington</t>
  </si>
  <si>
    <t>Schillinger</t>
  </si>
  <si>
    <t>7119 Rhygate Circle</t>
  </si>
  <si>
    <t>28226</t>
  </si>
  <si>
    <t>980-875-7606</t>
  </si>
  <si>
    <t>Michael.schillinger@redcross.org</t>
  </si>
  <si>
    <t>Tanya</t>
  </si>
  <si>
    <t>Pia</t>
  </si>
  <si>
    <t>703-603-8327</t>
  </si>
  <si>
    <t>pia.scott@gsa.gov</t>
  </si>
  <si>
    <t>Selzer</t>
  </si>
  <si>
    <t>819 Taylor Street, Room 6A00</t>
  </si>
  <si>
    <t>817-850-8196</t>
  </si>
  <si>
    <t>817-574-2421</t>
  </si>
  <si>
    <t>gene.selzer@gsa.gov</t>
  </si>
  <si>
    <t>Alec</t>
  </si>
  <si>
    <t>411 Richland Hills Dr</t>
  </si>
  <si>
    <t>877-697-5035</t>
  </si>
  <si>
    <t>alec.shepherd@ssa.gov</t>
  </si>
  <si>
    <t>615 East Houston Street</t>
  </si>
  <si>
    <t>Suite 597</t>
  </si>
  <si>
    <t>210-472-5196</t>
  </si>
  <si>
    <t>louis_b_phillips@txwb.uscourts.gov</t>
  </si>
  <si>
    <t>Pierantoni</t>
  </si>
  <si>
    <t>Maloney</t>
  </si>
  <si>
    <t>2000 L St. NW, Suite 615</t>
  </si>
  <si>
    <t>202-736-9009</t>
  </si>
  <si>
    <t>Int'l. Joint Commission</t>
  </si>
  <si>
    <t>maloneyb@state.gov</t>
  </si>
  <si>
    <t>Lynne</t>
  </si>
  <si>
    <t>P.O. Box 1293</t>
  </si>
  <si>
    <t>87103</t>
  </si>
  <si>
    <t>505-768-3344</t>
  </si>
  <si>
    <t>505-768-3355</t>
  </si>
  <si>
    <t>DFAS/Purchasing</t>
  </si>
  <si>
    <t>lynne@cabq.gov</t>
  </si>
  <si>
    <t>Ron</t>
  </si>
  <si>
    <t>McAneney</t>
  </si>
  <si>
    <t>20 North 8th St</t>
  </si>
  <si>
    <t>215-446-5094</t>
  </si>
  <si>
    <t>daniel.mcaneney@gsa.gov</t>
  </si>
  <si>
    <t>2601 Meacham Blvd</t>
  </si>
  <si>
    <t>76137</t>
  </si>
  <si>
    <t>AAQ-520</t>
  </si>
  <si>
    <t>ST LOUIS</t>
  </si>
  <si>
    <t>63125</t>
  </si>
  <si>
    <t>ETA</t>
  </si>
  <si>
    <t>KARABAICH</t>
  </si>
  <si>
    <t>6201 SECURITY BLVD.</t>
  </si>
  <si>
    <t>WOODLAWN</t>
  </si>
  <si>
    <t>410-965-7292</t>
  </si>
  <si>
    <t>410-965-7646</t>
  </si>
  <si>
    <t>TOM.KARABAICH@SSA.GOV</t>
  </si>
  <si>
    <t>Minneapolis</t>
  </si>
  <si>
    <t>55401</t>
  </si>
  <si>
    <t>Koudry</t>
  </si>
  <si>
    <t>Room G006</t>
  </si>
  <si>
    <t>202-208-7995</t>
  </si>
  <si>
    <t>alex.koudry@gsa.gov</t>
  </si>
  <si>
    <t>Mandy</t>
  </si>
  <si>
    <t>Kuehn</t>
  </si>
  <si>
    <t>281-244-1498</t>
  </si>
  <si>
    <t>mandy.m.kuehn@nasa.gov</t>
  </si>
  <si>
    <t>LaRocque</t>
  </si>
  <si>
    <t>300 East 8th Street - Rm G150</t>
  </si>
  <si>
    <t>512-916-5063</t>
  </si>
  <si>
    <t>chris.larocque@gsa.gov</t>
  </si>
  <si>
    <t>Higginbotham</t>
  </si>
  <si>
    <t>5115 NE 82nd Avenue, Suite 203</t>
  </si>
  <si>
    <t>98662</t>
  </si>
  <si>
    <t>360-852-9865</t>
  </si>
  <si>
    <t>360-256-0936</t>
  </si>
  <si>
    <t>Toni.Higginbotham2@va.gov</t>
  </si>
  <si>
    <t>253-931-7115</t>
  </si>
  <si>
    <t>tiffany.hixson@gsa.gov</t>
  </si>
  <si>
    <t>Humphries</t>
  </si>
  <si>
    <t>SCOTT</t>
  </si>
  <si>
    <t>Davina</t>
  </si>
  <si>
    <t>Hyers</t>
  </si>
  <si>
    <t>MS 911</t>
  </si>
  <si>
    <t>703-648-6634</t>
  </si>
  <si>
    <t>dhyers@usgs.gov</t>
  </si>
  <si>
    <t>Irvine</t>
  </si>
  <si>
    <t>3G23</t>
  </si>
  <si>
    <t>301 594 9413</t>
  </si>
  <si>
    <t>301 451 5456</t>
  </si>
  <si>
    <t>jacksonk@mail.nih.gov</t>
  </si>
  <si>
    <t>3015949466</t>
  </si>
  <si>
    <t>johnsoli@mail.nih.gov</t>
  </si>
  <si>
    <t>Post Office Box 307</t>
  </si>
  <si>
    <t>Many Farms</t>
  </si>
  <si>
    <t>86538</t>
  </si>
  <si>
    <t>928-781-6224</t>
  </si>
  <si>
    <t>928-781-4253</t>
  </si>
  <si>
    <t>donna.johnson@bie.edu</t>
  </si>
  <si>
    <t>Jolliffe</t>
  </si>
  <si>
    <t>601 W. Broadway, Room 106</t>
  </si>
  <si>
    <t>502-625-3590</t>
  </si>
  <si>
    <t>502-625-3884</t>
  </si>
  <si>
    <t>donna_m._jolliffe@kywd.uscourts.gov</t>
  </si>
  <si>
    <t>2002 Holcombe Blvd</t>
  </si>
  <si>
    <t>77030</t>
  </si>
  <si>
    <t>713-794-7024</t>
  </si>
  <si>
    <t>713-794-7869</t>
  </si>
  <si>
    <t>katiesue.jones@va.gov</t>
  </si>
  <si>
    <t>FBI Quantico Complex</t>
  </si>
  <si>
    <t>Building 12 CMU</t>
  </si>
  <si>
    <t>703-632-1701</t>
  </si>
  <si>
    <t>703-632-3740</t>
  </si>
  <si>
    <t>aji.joseph@ic.fbi.gov</t>
  </si>
  <si>
    <t>601 N.W. Loop 410, Suite 600</t>
  </si>
  <si>
    <t>210-384-7200</t>
  </si>
  <si>
    <t>steven.garza@usdoj.gov</t>
  </si>
  <si>
    <t>Pat</t>
  </si>
  <si>
    <t>703 306 6633</t>
  </si>
  <si>
    <t>pat.green@gsa.gov</t>
  </si>
  <si>
    <t>2002 Holcombe Blvd.</t>
  </si>
  <si>
    <t>77075</t>
  </si>
  <si>
    <t>713 791 7425</t>
  </si>
  <si>
    <t>tommy.hamilton@va.gov</t>
  </si>
  <si>
    <t>7036053591</t>
  </si>
  <si>
    <t>Hanavan</t>
  </si>
  <si>
    <t>816-823-1492</t>
  </si>
  <si>
    <t>lori.hanavan@gsa.gov</t>
  </si>
  <si>
    <t>301-504-1088</t>
  </si>
  <si>
    <t>301-504-1137</t>
  </si>
  <si>
    <t>maureen.harris@ars.usda.gov</t>
  </si>
  <si>
    <t>Diez</t>
  </si>
  <si>
    <t>Av. das Nações Lote 3 - SES</t>
  </si>
  <si>
    <t>Brasilia DF- Brazil</t>
  </si>
  <si>
    <t>Brasilia DF</t>
  </si>
  <si>
    <t>70400-900</t>
  </si>
  <si>
    <t xml:space="preserve">Brazil                   </t>
  </si>
  <si>
    <t>55613312-7191</t>
  </si>
  <si>
    <t>55613312-7660</t>
  </si>
  <si>
    <t>diezsrp@state.gov</t>
  </si>
  <si>
    <t>ETA St. Louis Job Corps Center</t>
  </si>
  <si>
    <t>Evans</t>
  </si>
  <si>
    <t>Fairley</t>
  </si>
  <si>
    <t>1500 East Bannister Rd.</t>
  </si>
  <si>
    <t>64155</t>
  </si>
  <si>
    <t>8168234258</t>
  </si>
  <si>
    <t>Dana.Fairley@gsa.gov</t>
  </si>
  <si>
    <t>Frandsen</t>
  </si>
  <si>
    <t>2700 W. Van Dorn</t>
  </si>
  <si>
    <t>68509</t>
  </si>
  <si>
    <t>402-471-2677</t>
  </si>
  <si>
    <t>brad.frandsen@nebraska.gov</t>
  </si>
  <si>
    <t>8437401292</t>
  </si>
  <si>
    <t>beechie.freeman@noaa.gov</t>
  </si>
  <si>
    <t>Carrion</t>
  </si>
  <si>
    <t>5740 University Heights Blvd</t>
  </si>
  <si>
    <t>78238</t>
  </si>
  <si>
    <t>210-650-6519</t>
  </si>
  <si>
    <t>Joseph.Carrion@ic.fbi.gov</t>
  </si>
  <si>
    <t>Chapeton</t>
  </si>
  <si>
    <t>301-415-7370</t>
  </si>
  <si>
    <t>Nuclear Regulatory Comm</t>
  </si>
  <si>
    <t>Nuclear Regulatory Comm.</t>
  </si>
  <si>
    <t>Angelina.Chapeton@nrc.gov</t>
  </si>
  <si>
    <t>Chestnut</t>
  </si>
  <si>
    <t>1701 Director's Blvd. Ste. 1000</t>
  </si>
  <si>
    <t>512-981-6655</t>
  </si>
  <si>
    <t>OBO</t>
  </si>
  <si>
    <t>Diane.Chestnut@va.gov</t>
  </si>
  <si>
    <t>300 E. 8th St</t>
  </si>
  <si>
    <t>816-304-3292</t>
  </si>
  <si>
    <t>eric.cloud@gsa.gov</t>
  </si>
  <si>
    <t>Roger</t>
  </si>
  <si>
    <t>REDA</t>
  </si>
  <si>
    <t>BROADNAX</t>
  </si>
  <si>
    <t>601 NEW JERSEY AVE., NW</t>
  </si>
  <si>
    <t>SUITE 9000</t>
  </si>
  <si>
    <t>20001</t>
  </si>
  <si>
    <t>202-220-3700</t>
  </si>
  <si>
    <t>202-220-3759</t>
  </si>
  <si>
    <t>COMMISSION</t>
  </si>
  <si>
    <t>rbroadnax@medpac.gov</t>
  </si>
  <si>
    <t>2000 L Street, NW</t>
  </si>
  <si>
    <t>Suite 615</t>
  </si>
  <si>
    <t>20036</t>
  </si>
  <si>
    <t>202-736-9013</t>
  </si>
  <si>
    <t>202-632-2006</t>
  </si>
  <si>
    <t>IJC</t>
  </si>
  <si>
    <t>Intl Joint Commission</t>
  </si>
  <si>
    <t>haynesbrowns@washington.ijc.org</t>
  </si>
  <si>
    <t>Buechele</t>
  </si>
  <si>
    <t>215-446-5002</t>
  </si>
  <si>
    <t>stacy.buechele@gsa.gov</t>
  </si>
  <si>
    <t>Burns</t>
  </si>
  <si>
    <t>If Other is selected, enter Agency name here (25 c</t>
  </si>
  <si>
    <t>Aanstoos</t>
  </si>
  <si>
    <t>300 E 8TH STREET</t>
  </si>
  <si>
    <t>G150</t>
  </si>
  <si>
    <t>78701-3233</t>
  </si>
  <si>
    <t>(512) 916-575</t>
  </si>
  <si>
    <t>theodore.aanstoos@gsa.gov</t>
  </si>
  <si>
    <t>Tochukwu</t>
  </si>
  <si>
    <t>Aniche</t>
  </si>
  <si>
    <t>4135 S Power Road</t>
  </si>
  <si>
    <t>480-466-7915</t>
  </si>
  <si>
    <t>tochukwu.aniche@va.gov</t>
  </si>
  <si>
    <t>Autry</t>
  </si>
  <si>
    <t>1701 Directors Blvd Ste 1000</t>
  </si>
  <si>
    <t>512-289-6241</t>
  </si>
  <si>
    <t>David.Autry@va.gov</t>
  </si>
  <si>
    <t>14202</t>
  </si>
  <si>
    <t>1701 Directors Blvd</t>
  </si>
  <si>
    <t>Veronique</t>
  </si>
  <si>
    <t>A/LM/AQM/WWD/INL</t>
  </si>
  <si>
    <t>P.O. Box 9115, Rosslyn Station</t>
  </si>
  <si>
    <t>703-875-4263</t>
  </si>
  <si>
    <t>Office of Acquisition Mgt</t>
  </si>
  <si>
    <t>ClarkVP@state.gov</t>
  </si>
  <si>
    <t>Casper</t>
  </si>
  <si>
    <t>82601</t>
  </si>
  <si>
    <t>1060 Commerce Park Drive</t>
  </si>
  <si>
    <t>37830</t>
  </si>
  <si>
    <t>865-576-3560</t>
  </si>
  <si>
    <t>865-576-0096</t>
  </si>
  <si>
    <t>mcgeecm@ornl.gov</t>
  </si>
  <si>
    <t>Sumaray</t>
  </si>
  <si>
    <t>2200 Crystal Drive, CP#4</t>
  </si>
  <si>
    <t>703-605-5753</t>
  </si>
  <si>
    <t>Raquel.Sumaray@gsa.gov</t>
  </si>
  <si>
    <t>TINER</t>
  </si>
  <si>
    <t>501-413-0477</t>
  </si>
  <si>
    <t>501-992-1008</t>
  </si>
  <si>
    <t>james.tiner@adem.arkansas.gov</t>
  </si>
  <si>
    <t>Rossana</t>
  </si>
  <si>
    <t>US Embassy Guatemala</t>
  </si>
  <si>
    <t>3190 Guatemala PL</t>
  </si>
  <si>
    <t>20521-3190</t>
  </si>
  <si>
    <t>502-2311-7011</t>
  </si>
  <si>
    <t>INL</t>
  </si>
  <si>
    <t>TorresR4@state.gov</t>
  </si>
  <si>
    <t>Emily</t>
  </si>
  <si>
    <t>Dora</t>
  </si>
  <si>
    <t>Samudio</t>
  </si>
  <si>
    <t>655 E. Cesar E. Chavez Boulevard</t>
  </si>
  <si>
    <t>210-472-6357</t>
  </si>
  <si>
    <t>210-472-6365</t>
  </si>
  <si>
    <t>Dora_Samudio@txwd.uscourts.gov</t>
  </si>
  <si>
    <t>Irene</t>
  </si>
  <si>
    <t>Santillan</t>
  </si>
  <si>
    <t>90 7th Street</t>
  </si>
  <si>
    <t>Suite 3700</t>
  </si>
  <si>
    <t>94103</t>
  </si>
  <si>
    <t>415-625-7741</t>
  </si>
  <si>
    <t>Office of the Solicitor</t>
  </si>
  <si>
    <t>santillan.irene@dol.gov</t>
  </si>
  <si>
    <t>SEAN</t>
  </si>
  <si>
    <t>2 NIAGARA SQUARE</t>
  </si>
  <si>
    <t>BUFFALO</t>
  </si>
  <si>
    <t>716-551-1743</t>
  </si>
  <si>
    <t>SEAN_SCOTT@NYWD.USCOURTS.GOV</t>
  </si>
  <si>
    <t>10315 Oak Forest Way</t>
  </si>
  <si>
    <t>New Braunfels</t>
  </si>
  <si>
    <t>78132</t>
  </si>
  <si>
    <t>830-980-5630</t>
  </si>
  <si>
    <t>akphillips@fs.fed.us</t>
  </si>
  <si>
    <t>Post Office Box 321</t>
  </si>
  <si>
    <t>Tohatchi</t>
  </si>
  <si>
    <t>87325</t>
  </si>
  <si>
    <t>5057332701</t>
  </si>
  <si>
    <t>5057332730</t>
  </si>
  <si>
    <t>george washington carver center</t>
  </si>
  <si>
    <t>5601 sunnyside avenue</t>
  </si>
  <si>
    <t>beltsville</t>
  </si>
  <si>
    <t>301-504-1099</t>
  </si>
  <si>
    <t>301-504-1751</t>
  </si>
  <si>
    <t>lana.podielsky@ars.usda.gov</t>
  </si>
  <si>
    <t>Regan</t>
  </si>
  <si>
    <t>703-605-2508</t>
  </si>
  <si>
    <t>ellen.regan@gsa.gov</t>
  </si>
  <si>
    <t>Robbins</t>
  </si>
  <si>
    <t>703-605-5609</t>
  </si>
  <si>
    <t>david.robbins@gsa.gov</t>
  </si>
  <si>
    <t>5740 University Heights Blvd.</t>
  </si>
  <si>
    <t>210-650-6521</t>
  </si>
  <si>
    <t>roy.rodriguez@ic.fbi.gov</t>
  </si>
  <si>
    <t>1100 Wilson Blvd</t>
  </si>
  <si>
    <t>22209-3939</t>
  </si>
  <si>
    <t>202-693-9822</t>
  </si>
  <si>
    <t>rogers.ron@dol.gov</t>
  </si>
  <si>
    <t>Bldg 37 One Block N of 22nd Avenue</t>
  </si>
  <si>
    <t>708-786-4954</t>
  </si>
  <si>
    <t>National Acquisition Ctr</t>
  </si>
  <si>
    <t>erika.moreno2@va.gov</t>
  </si>
  <si>
    <t>O'Neill</t>
  </si>
  <si>
    <t>1st Ave. 1 blk. N. of Cermak</t>
  </si>
  <si>
    <t>708-786-4958</t>
  </si>
  <si>
    <t>National Acquisition Ctr.</t>
  </si>
  <si>
    <t>lynda.oneill@va.gov</t>
  </si>
  <si>
    <t>Manfredine</t>
  </si>
  <si>
    <t>1743 142nd Ave</t>
  </si>
  <si>
    <t>PO Box 218</t>
  </si>
  <si>
    <t>Dorr</t>
  </si>
  <si>
    <t>49323</t>
  </si>
  <si>
    <t>616-681-0697</t>
  </si>
  <si>
    <t>616-681-8836</t>
  </si>
  <si>
    <t>amanfredine@mbpi.org</t>
  </si>
  <si>
    <t>214-767-9648</t>
  </si>
  <si>
    <t>1 Block N of 22nd Street, Bldg 37</t>
  </si>
  <si>
    <t>708-786-5837</t>
  </si>
  <si>
    <t>lydia.mckay@va.gov</t>
  </si>
  <si>
    <t>1Post Office Dr</t>
  </si>
  <si>
    <t>210 368 5580</t>
  </si>
  <si>
    <t>210 368 1213</t>
  </si>
  <si>
    <t>Postal</t>
  </si>
  <si>
    <t>robert.d.jenkins@usps.gov</t>
  </si>
  <si>
    <t>PO Box 4980</t>
  </si>
  <si>
    <t>Austin TX</t>
  </si>
  <si>
    <t>78749</t>
  </si>
  <si>
    <t>512-342-7290</t>
  </si>
  <si>
    <t>lloyd.johnson@fms.treas.gov</t>
  </si>
  <si>
    <t>MonaLisa</t>
  </si>
  <si>
    <t>Land</t>
  </si>
  <si>
    <t>Ste 201</t>
  </si>
  <si>
    <t>210-841-2351</t>
  </si>
  <si>
    <t>210-841-2360</t>
  </si>
  <si>
    <t>monalisa.c.land@irs.gov</t>
  </si>
  <si>
    <t>64141</t>
  </si>
  <si>
    <t>8300 King Street</t>
  </si>
  <si>
    <t>99518</t>
  </si>
  <si>
    <t>North Pacific Rim Housing</t>
  </si>
  <si>
    <t>Hausman</t>
  </si>
  <si>
    <t>2443 Warrenville Road</t>
  </si>
  <si>
    <t>630-829-9551</t>
  </si>
  <si>
    <t>cheryl.hausman@nrc.gov</t>
  </si>
  <si>
    <t>Huston</t>
  </si>
  <si>
    <t>5600 American Blvd. West</t>
  </si>
  <si>
    <t>55473</t>
  </si>
  <si>
    <t>612-725-3828</t>
  </si>
  <si>
    <t>richard.huston@gsa.gov</t>
  </si>
  <si>
    <t>Friedlander</t>
  </si>
  <si>
    <t>3237 Peacekeeper Way</t>
  </si>
  <si>
    <t>Building 200 Suite 204</t>
  </si>
  <si>
    <t>McClellan Park</t>
  </si>
  <si>
    <t>916-692-7316</t>
  </si>
  <si>
    <t>glenn.friedlander@va.gov</t>
  </si>
  <si>
    <t>Reuben</t>
  </si>
  <si>
    <t>Suite 3928</t>
  </si>
  <si>
    <t>312-385-3042</t>
  </si>
  <si>
    <t>reuben.garcia@gsa.gov</t>
  </si>
  <si>
    <t>Garth</t>
  </si>
  <si>
    <t>662-319-3559</t>
  </si>
  <si>
    <t>Edna_Garth@msnb.uscourts.gov</t>
  </si>
  <si>
    <t>patricia.gibson-anderson@va.gov</t>
  </si>
  <si>
    <t>Kerri</t>
  </si>
  <si>
    <t>Goust</t>
  </si>
  <si>
    <t>920 Main Campus Drive</t>
  </si>
  <si>
    <t>919-855-7172</t>
  </si>
  <si>
    <t>919-855-7295</t>
  </si>
  <si>
    <t>Kerri.Goust@aphis.usda.gov</t>
  </si>
  <si>
    <t>120 David L. Boren Blvd</t>
  </si>
  <si>
    <t>73072</t>
  </si>
  <si>
    <t>405-325-3190</t>
  </si>
  <si>
    <t>405-325-3023</t>
  </si>
  <si>
    <t>linda.j.curtis@noaa.gov</t>
  </si>
  <si>
    <t>Christie</t>
  </si>
  <si>
    <t>Dam</t>
  </si>
  <si>
    <t>2111 Wilson Blvd, Suite 700</t>
  </si>
  <si>
    <t>7033515053</t>
  </si>
  <si>
    <t>Vietnam Education Foundat</t>
  </si>
  <si>
    <t>christiedam@vef.gov</t>
  </si>
  <si>
    <t>2200 Sunport Blvd SE</t>
  </si>
  <si>
    <t>P.O Box 9948</t>
  </si>
  <si>
    <t>Albuqueruque</t>
  </si>
  <si>
    <t>87106</t>
  </si>
  <si>
    <t>505-244-7720</t>
  </si>
  <si>
    <t>505-842-4278</t>
  </si>
  <si>
    <t>vewell@cabq.gov</t>
  </si>
  <si>
    <t>Carrier</t>
  </si>
  <si>
    <t>PO Box 1771</t>
  </si>
  <si>
    <t>Denham Springs</t>
  </si>
  <si>
    <t>70727-1771</t>
  </si>
  <si>
    <t>225-664-2600</t>
  </si>
  <si>
    <t>225-664-0050</t>
  </si>
  <si>
    <t>DLA/State</t>
  </si>
  <si>
    <t>Conaway</t>
  </si>
  <si>
    <t>1619 E Woodward Street</t>
  </si>
  <si>
    <t>512-342-7232</t>
  </si>
  <si>
    <t>512-342-7226</t>
  </si>
  <si>
    <t>FMS</t>
  </si>
  <si>
    <t>Elizabeth.conaway@fms.treas.gov</t>
  </si>
  <si>
    <t>Connors</t>
  </si>
  <si>
    <t>708 Third Street South, Suite 200E</t>
  </si>
  <si>
    <t>55417</t>
  </si>
  <si>
    <t>612-344-2141</t>
  </si>
  <si>
    <t>timothy.connors@va.gov</t>
  </si>
  <si>
    <t>Besselente</t>
  </si>
  <si>
    <t>#01 Twin Buttes Road</t>
  </si>
  <si>
    <t>505-782-4683</t>
  </si>
  <si>
    <t>505-782-5793</t>
  </si>
  <si>
    <t>j_besselente@pozha.org</t>
  </si>
  <si>
    <t>4400 Masthead St Ne</t>
  </si>
  <si>
    <t>87120</t>
  </si>
  <si>
    <t>505-816-1346</t>
  </si>
  <si>
    <t>505-816-1306</t>
  </si>
  <si>
    <t>OST</t>
  </si>
  <si>
    <t>taylor_bowman@ost.doi.gov</t>
  </si>
  <si>
    <t>Brady</t>
  </si>
  <si>
    <t>703-605-5656</t>
  </si>
  <si>
    <t>tom.brady@gsa.gov</t>
  </si>
  <si>
    <t>Brebnor</t>
  </si>
  <si>
    <t>409 3rd St., SW, 7150</t>
  </si>
  <si>
    <t>20416</t>
  </si>
  <si>
    <t>202-205-6609</t>
  </si>
  <si>
    <t>202-481-0695</t>
  </si>
  <si>
    <t>michelle.brebnor@sba.gov</t>
  </si>
  <si>
    <t>austin</t>
  </si>
  <si>
    <t>Contract Specialist</t>
  </si>
  <si>
    <t>Baty</t>
  </si>
  <si>
    <t>703 Hwy 145 North</t>
  </si>
  <si>
    <t>Aberdeen</t>
  </si>
  <si>
    <t>39730</t>
  </si>
  <si>
    <t>662-319-3547</t>
  </si>
  <si>
    <t>Brenda_Baty@msnb.uscourts.gov</t>
  </si>
  <si>
    <t>Bauser</t>
  </si>
  <si>
    <t>803-952-6775</t>
  </si>
  <si>
    <t>803-952-8487</t>
  </si>
  <si>
    <t>edward.bauser@srs.gov</t>
  </si>
  <si>
    <t>Zapata</t>
  </si>
  <si>
    <t>Ana_Zapata@nps.gov</t>
  </si>
  <si>
    <t>8800 Greenbelt Rd</t>
  </si>
  <si>
    <t>301-286-4883</t>
  </si>
  <si>
    <t>Tammy.E.Tuttle@nasa.gov</t>
  </si>
  <si>
    <t>403 Tower Drive</t>
  </si>
  <si>
    <t>Stevensville</t>
  </si>
  <si>
    <t>21666</t>
  </si>
  <si>
    <t>4439958228</t>
  </si>
  <si>
    <t>Fire Department</t>
  </si>
  <si>
    <t>252 C.E. Barnhart Building</t>
  </si>
  <si>
    <t>40546-0276</t>
  </si>
  <si>
    <t>859-257-2073</t>
  </si>
  <si>
    <t>UK College of Agriculture</t>
  </si>
  <si>
    <t>scottw@email.uky.edu</t>
  </si>
  <si>
    <t>VA HUDSON VALLEY BLDG 29</t>
  </si>
  <si>
    <t>ROUTE 9A</t>
  </si>
  <si>
    <t>MONTROSE</t>
  </si>
  <si>
    <t>10548-1454</t>
  </si>
  <si>
    <t>914-737-4400</t>
  </si>
  <si>
    <t>linda.williams11@va.gov</t>
  </si>
  <si>
    <t>Spann</t>
  </si>
  <si>
    <t>1201 Broad Rock Blvd</t>
  </si>
  <si>
    <t>23249</t>
  </si>
  <si>
    <t>804-675-5475</t>
  </si>
  <si>
    <t>Marvin.Spann@va.gov</t>
  </si>
  <si>
    <t>740-534-6527</t>
  </si>
  <si>
    <t>dstephenson@fs.fed.us</t>
  </si>
  <si>
    <t>Shenoa</t>
  </si>
  <si>
    <t>Suite 903</t>
  </si>
  <si>
    <t>703-605-2565</t>
  </si>
  <si>
    <t>shenoa.taylor@gsa.gov</t>
  </si>
  <si>
    <t>12155 W. Alameda Parkway</t>
  </si>
  <si>
    <t>80228</t>
  </si>
  <si>
    <t>720-962-7154</t>
  </si>
  <si>
    <t>tetrault@wapa.gov</t>
  </si>
  <si>
    <t>HARRIET</t>
  </si>
  <si>
    <t>REYNOLDS</t>
  </si>
  <si>
    <t>100 EMANCIPATION DRIVE</t>
  </si>
  <si>
    <t>HAMPTON</t>
  </si>
  <si>
    <t>757-728-7106</t>
  </si>
  <si>
    <t>757-726-6010</t>
  </si>
  <si>
    <t>harriet.reynolds@va.gov</t>
  </si>
  <si>
    <t>Roman</t>
  </si>
  <si>
    <t>Sager</t>
  </si>
  <si>
    <t>979-458-6849</t>
  </si>
  <si>
    <t>979-458-6838</t>
  </si>
  <si>
    <t>terri.sager@teex.tamu.edu</t>
  </si>
  <si>
    <t>Saldana</t>
  </si>
  <si>
    <t>255 E. Temple Street 17th Floor</t>
  </si>
  <si>
    <t>213-621-6995</t>
  </si>
  <si>
    <t>213-576-6374</t>
  </si>
  <si>
    <t>nancy.n.saldana@usdoj.gov</t>
  </si>
  <si>
    <t>San Jose</t>
  </si>
  <si>
    <t>901 N. Kinlani Rd</t>
  </si>
  <si>
    <t>Flagstaff</t>
  </si>
  <si>
    <t>86001</t>
  </si>
  <si>
    <t>928-774-5279</t>
  </si>
  <si>
    <t>928-556-9683</t>
  </si>
  <si>
    <t>Heena</t>
  </si>
  <si>
    <t>Patel</t>
  </si>
  <si>
    <t>703-306-6218</t>
  </si>
  <si>
    <t>heena.patel@gsa.gov</t>
  </si>
  <si>
    <t>Podielsky</t>
  </si>
  <si>
    <t>Marlon</t>
  </si>
  <si>
    <t>National Contracts Division P.O. Box 76</t>
  </si>
  <si>
    <t>Bldg #37 1st Ave. N. of 22nd Street</t>
  </si>
  <si>
    <t>(708)786-4927</t>
  </si>
  <si>
    <t>(708)786-5256</t>
  </si>
  <si>
    <t>OA &amp; L</t>
  </si>
  <si>
    <t>marlon.powell@va.gov</t>
  </si>
  <si>
    <t>Myrmetrius</t>
  </si>
  <si>
    <t>130 W Kingsbridge Rd</t>
  </si>
  <si>
    <t>845-831-2000</t>
  </si>
  <si>
    <t>myrmetrius.pringle@va.gov</t>
  </si>
  <si>
    <t>Koch</t>
  </si>
  <si>
    <t>4200 C Street SW</t>
  </si>
  <si>
    <t>Cedar Rapids</t>
  </si>
  <si>
    <t>52404</t>
  </si>
  <si>
    <t>319-286-2308</t>
  </si>
  <si>
    <t>Carrie_Koch@iand.uscourts.gov</t>
  </si>
  <si>
    <t>ANGELA</t>
  </si>
  <si>
    <t>LEHMAN</t>
  </si>
  <si>
    <t>703-785-1974</t>
  </si>
  <si>
    <t>angela.lehman@gsa.gov</t>
  </si>
  <si>
    <t>Tricia</t>
  </si>
  <si>
    <t>10100 Reunion Place</t>
  </si>
  <si>
    <t>210-541-9450</t>
  </si>
  <si>
    <t>210-541-0360</t>
  </si>
  <si>
    <t>tricia.martinez@fda.hhs.gov</t>
  </si>
  <si>
    <t>727 East Cesar E Chavez Blvd</t>
  </si>
  <si>
    <t>Suite A500</t>
  </si>
  <si>
    <t>78233</t>
  </si>
  <si>
    <t>Beth_Hughes@txwd.uscourts.gov</t>
  </si>
  <si>
    <t>1201 I St, NW, Suite 250</t>
  </si>
  <si>
    <t>202-354-1461</t>
  </si>
  <si>
    <t>Jesse_Johnson@NPS.gov</t>
  </si>
  <si>
    <t>Kyle</t>
  </si>
  <si>
    <t>4711 Commons Drive</t>
  </si>
  <si>
    <t>Apt 301</t>
  </si>
  <si>
    <t>Annandale</t>
  </si>
  <si>
    <t>22003</t>
  </si>
  <si>
    <t>7036059503</t>
  </si>
  <si>
    <t>kyle.johnson@gsa.gov</t>
  </si>
  <si>
    <t>1701 Directors Blvd, Suite 600</t>
  </si>
  <si>
    <t>Aji</t>
  </si>
  <si>
    <t>Lana Michelle</t>
  </si>
  <si>
    <t>Haskins</t>
  </si>
  <si>
    <t>600 West Capitol, Room A328</t>
  </si>
  <si>
    <t>501-324-6256</t>
  </si>
  <si>
    <t>501-324-6252</t>
  </si>
  <si>
    <t>U. S. Marshals Service</t>
  </si>
  <si>
    <t>Michelle.Haskins@usdoj.gov</t>
  </si>
  <si>
    <t>740-534-6546</t>
  </si>
  <si>
    <t>chenderson@fs.fed.us</t>
  </si>
  <si>
    <t>GSA, Area Property Office</t>
  </si>
  <si>
    <t>10001 Reunion Place Ste# 114</t>
  </si>
  <si>
    <t>210-509-3407</t>
  </si>
  <si>
    <t>817-574-2656</t>
  </si>
  <si>
    <t>jaime.hernandez@gsa.gov</t>
  </si>
  <si>
    <t>P.O. Box 910</t>
  </si>
  <si>
    <t>Keshena</t>
  </si>
  <si>
    <t>54135</t>
  </si>
  <si>
    <t>715-799-5129</t>
  </si>
  <si>
    <t>bhoffman@mitw.org</t>
  </si>
  <si>
    <t>Christie Ann</t>
  </si>
  <si>
    <t>Christie_Espinoza@nps.gov</t>
  </si>
  <si>
    <t>Hope</t>
  </si>
  <si>
    <t>James J. Peters VAMC</t>
  </si>
  <si>
    <t>130 W. Kingsbridge Road</t>
  </si>
  <si>
    <t>Bronx</t>
  </si>
  <si>
    <t>10468</t>
  </si>
  <si>
    <t>718-741-4332</t>
  </si>
  <si>
    <t>718-741-4722</t>
  </si>
  <si>
    <t>SAO East</t>
  </si>
  <si>
    <t>hope.freeman2@va.gov</t>
  </si>
  <si>
    <t>Bexar County</t>
  </si>
  <si>
    <t>Crespo</t>
  </si>
  <si>
    <t>BLDG 37 1st Ave., 1Block North of Cermak</t>
  </si>
  <si>
    <t>708-786-5234</t>
  </si>
  <si>
    <t>708-786-5256</t>
  </si>
  <si>
    <t>Daniel.Crespo@va.gov</t>
  </si>
  <si>
    <t>U. S. Dept of Energy</t>
  </si>
  <si>
    <t>P.O. Box 30030</t>
  </si>
  <si>
    <t>79120</t>
  </si>
  <si>
    <t>806-477-5828</t>
  </si>
  <si>
    <t>806 477-7108</t>
  </si>
  <si>
    <t>bcurtis@pantex.doe.gov</t>
  </si>
  <si>
    <t>Ditlove</t>
  </si>
  <si>
    <t>550 W Fort Street</t>
  </si>
  <si>
    <t>Room 400</t>
  </si>
  <si>
    <t>83724</t>
  </si>
  <si>
    <t>208-334-9398</t>
  </si>
  <si>
    <t>eric_ditlove@id.uscourts.gov</t>
  </si>
  <si>
    <t>East</t>
  </si>
  <si>
    <t>555 Corporate Circle Drive</t>
  </si>
  <si>
    <t>303-421-4735</t>
  </si>
  <si>
    <t>303-421-4768</t>
  </si>
  <si>
    <t>arthur.east@va.gov</t>
  </si>
  <si>
    <t>Robin.Burns@noaa.gov</t>
  </si>
  <si>
    <t>1433 West Loop South Ste 600</t>
  </si>
  <si>
    <t>713-693-3068</t>
  </si>
  <si>
    <t>713-693-3070</t>
  </si>
  <si>
    <t>josie.cardoza@usdoj.gov</t>
  </si>
  <si>
    <t>Site 903</t>
  </si>
  <si>
    <t>703-605-9495</t>
  </si>
  <si>
    <t>ken.cole@gsa.gov</t>
  </si>
  <si>
    <t>250 2nd Ave South</t>
  </si>
  <si>
    <t>suite 106</t>
  </si>
  <si>
    <t>minneapolis</t>
  </si>
  <si>
    <t>612-259-6578</t>
  </si>
  <si>
    <t>MN PTAC</t>
  </si>
  <si>
    <t>mcooper@mnptac.org</t>
  </si>
  <si>
    <t>8701 Morrissette Drive</t>
  </si>
  <si>
    <t>22152</t>
  </si>
  <si>
    <t>202-305-3333</t>
  </si>
  <si>
    <t>202-307-7762</t>
  </si>
  <si>
    <t>becky.a.cox@usdoj.gov</t>
  </si>
  <si>
    <t>Rosa Linda</t>
  </si>
  <si>
    <t>Benavidez</t>
  </si>
  <si>
    <t>78249-3378</t>
  </si>
  <si>
    <t>2104725471</t>
  </si>
  <si>
    <t>rosalinda.d.benavidez@aphis.usda.gov</t>
  </si>
  <si>
    <t>Boggs</t>
  </si>
  <si>
    <t>6518 St. Rt. 93</t>
  </si>
  <si>
    <t>Pedro</t>
  </si>
  <si>
    <t>45659</t>
  </si>
  <si>
    <t>740-534-6537</t>
  </si>
  <si>
    <t>740-534-0620</t>
  </si>
  <si>
    <t>rboggs@fs.fed.us</t>
  </si>
  <si>
    <t>1200 New Jersey Ave. S.E.</t>
  </si>
  <si>
    <t>Room W51-239</t>
  </si>
  <si>
    <t>202-366-1798</t>
  </si>
  <si>
    <t>202-493-2080</t>
  </si>
  <si>
    <t>NHTSA</t>
  </si>
  <si>
    <t>michael.bruce@dot.gov</t>
  </si>
  <si>
    <t>NOAA/GCSC, c/o EPA GMP</t>
  </si>
  <si>
    <t>Building 1100, Room 232</t>
  </si>
  <si>
    <t>2286882086</t>
  </si>
  <si>
    <t>1639 Medical Center Parkway</t>
  </si>
  <si>
    <t>37128</t>
  </si>
  <si>
    <t>615-225-6476</t>
  </si>
  <si>
    <t>sean.adams@va.gov</t>
  </si>
  <si>
    <t>Building 205, Room 117</t>
  </si>
  <si>
    <t>202-538-9072</t>
  </si>
  <si>
    <t>John.Andre@fai.gov</t>
  </si>
  <si>
    <t>Property Officer</t>
  </si>
  <si>
    <t>12575 N Skoda Dr</t>
  </si>
  <si>
    <t>Marana</t>
  </si>
  <si>
    <t>85653</t>
  </si>
  <si>
    <t>5204000308</t>
  </si>
  <si>
    <t>randal.patterson@gsa.gov</t>
  </si>
  <si>
    <t>633 Indianna Ave., NW</t>
  </si>
  <si>
    <t>2004-2902</t>
  </si>
  <si>
    <t>202-220-5795</t>
  </si>
  <si>
    <t>Small Agency</t>
  </si>
  <si>
    <t>CSOSA</t>
  </si>
  <si>
    <t>donna.flecher@csosa.gov</t>
  </si>
  <si>
    <t>512-981-4034</t>
  </si>
  <si>
    <t>512-981-4010</t>
  </si>
  <si>
    <t>lynda.baker2@va.gov</t>
  </si>
  <si>
    <t>Warwick</t>
  </si>
  <si>
    <t>402 Isom Road</t>
  </si>
  <si>
    <t>866-593-0948</t>
  </si>
  <si>
    <t>karen.warwick@ssa.gov</t>
  </si>
  <si>
    <t>76548</t>
  </si>
  <si>
    <t>1445 Ross Ave, Suite 1200</t>
  </si>
  <si>
    <t>(214)665-9789</t>
  </si>
  <si>
    <t>williams.houston@epa.gov</t>
  </si>
  <si>
    <t>Wordsworth</t>
  </si>
  <si>
    <t>515 Rusk Avenue Rm 10002</t>
  </si>
  <si>
    <t>713-217-1023</t>
  </si>
  <si>
    <t>stephanie.wordsworth2@usdoj.gov</t>
  </si>
  <si>
    <t>16600 JFK Blvd</t>
  </si>
  <si>
    <t>280-230-6347</t>
  </si>
  <si>
    <t>franklin.wu@faa.gov</t>
  </si>
  <si>
    <t>Yeates</t>
  </si>
  <si>
    <t>880 Front Street</t>
  </si>
  <si>
    <t>Suite 4236</t>
  </si>
  <si>
    <t>619-557-6553</t>
  </si>
  <si>
    <t>joe.yeates@gsa.gov</t>
  </si>
  <si>
    <t>Swan</t>
  </si>
  <si>
    <t>2300 Esat Devon Ave</t>
  </si>
  <si>
    <t>Des Plaines</t>
  </si>
  <si>
    <t>60018</t>
  </si>
  <si>
    <t>847-294-7892</t>
  </si>
  <si>
    <t>847-294-7133</t>
  </si>
  <si>
    <t>robert.c.swan@faa.gov</t>
  </si>
  <si>
    <t>Tadlock</t>
  </si>
  <si>
    <t>716 3rd St SW</t>
  </si>
  <si>
    <t>Moultrie</t>
  </si>
  <si>
    <t>31768</t>
  </si>
  <si>
    <t>229 319 5363</t>
  </si>
  <si>
    <t>Office of Procurement</t>
  </si>
  <si>
    <t>Thiem</t>
  </si>
  <si>
    <t>Tien</t>
  </si>
  <si>
    <t>3485 East Hills Drive</t>
  </si>
  <si>
    <t>95127</t>
  </si>
  <si>
    <t>408-937-3213</t>
  </si>
  <si>
    <t>408-254-5666</t>
  </si>
  <si>
    <t>tien.thiem@jobcorps.org</t>
  </si>
  <si>
    <t>Benny</t>
  </si>
  <si>
    <t>Torrijos</t>
  </si>
  <si>
    <t>619-557-7178</t>
  </si>
  <si>
    <t>benny_torrijos@casp.uscourts.gov</t>
  </si>
  <si>
    <t>Tunney</t>
  </si>
  <si>
    <t>Procurement Agent</t>
  </si>
  <si>
    <t>Turcios</t>
  </si>
  <si>
    <t>1a. Avenida 7-59 zona 10</t>
  </si>
  <si>
    <t>Unit 3190</t>
  </si>
  <si>
    <t>Guatemala</t>
  </si>
  <si>
    <t xml:space="preserve">Guatemala                </t>
  </si>
  <si>
    <t>502 23117000</t>
  </si>
  <si>
    <t>502 23600166</t>
  </si>
  <si>
    <t>turciosal@state.gov</t>
  </si>
  <si>
    <t>Tia</t>
  </si>
  <si>
    <t>Wakolee</t>
  </si>
  <si>
    <t>(907) 562-144</t>
  </si>
  <si>
    <t>tia@nprha.com</t>
  </si>
  <si>
    <t>Schroeder</t>
  </si>
  <si>
    <t>4211 Cedar Springs Road</t>
  </si>
  <si>
    <t>75219</t>
  </si>
  <si>
    <t>214-224-3464</t>
  </si>
  <si>
    <t>214-224-3356</t>
  </si>
  <si>
    <t>rschroeder@bop.gov</t>
  </si>
  <si>
    <t>Sneddon</t>
  </si>
  <si>
    <t>300 South Wolcott</t>
  </si>
  <si>
    <t>307-234-3203</t>
  </si>
  <si>
    <t>307-577-7014</t>
  </si>
  <si>
    <t>jsneddon@uwyo.edu</t>
  </si>
  <si>
    <t>300 E Street, S.W.</t>
  </si>
  <si>
    <t>Suite 8R71</t>
  </si>
  <si>
    <t>202-358-4598</t>
  </si>
  <si>
    <t>202-358-2883</t>
  </si>
  <si>
    <t>Kathryn.L.Still@nasa.gov</t>
  </si>
  <si>
    <t>73169</t>
  </si>
  <si>
    <t>Reinhart</t>
  </si>
  <si>
    <t>26 W Martin Luther King Dr</t>
  </si>
  <si>
    <t>45150</t>
  </si>
  <si>
    <t>513-487-0000</t>
  </si>
  <si>
    <t>reinhart.andre@epa.gov</t>
  </si>
  <si>
    <t>2501 Founders Drive</t>
  </si>
  <si>
    <t>27695</t>
  </si>
  <si>
    <t>919-515-6378</t>
  </si>
  <si>
    <t>Carolyn_Richardson@ncsu.edu</t>
  </si>
  <si>
    <t>Selena</t>
  </si>
  <si>
    <t>8490 Progress Drive</t>
  </si>
  <si>
    <t>suite 100</t>
  </si>
  <si>
    <t>240-439-6293</t>
  </si>
  <si>
    <t>selena.robinson@va.gov</t>
  </si>
  <si>
    <t>Salazar-Garcia</t>
  </si>
  <si>
    <t>775 345-3089</t>
  </si>
  <si>
    <t>Nimocks</t>
  </si>
  <si>
    <t>P.O. Box 40006</t>
  </si>
  <si>
    <t>77842-4006</t>
  </si>
  <si>
    <t>979-458-6720</t>
  </si>
  <si>
    <t>979-458-6727</t>
  </si>
  <si>
    <t>lisa.nimocks@teex.tamu.edu</t>
  </si>
  <si>
    <t>P.O. Box 79</t>
  </si>
  <si>
    <t>West Mifflin</t>
  </si>
  <si>
    <t>15122</t>
  </si>
  <si>
    <t>412-476-5271</t>
  </si>
  <si>
    <t>412-464-3500</t>
  </si>
  <si>
    <t>steven.phillips@unnpp.gov</t>
  </si>
  <si>
    <t>240-439-6263</t>
  </si>
  <si>
    <t>melissa.maloy@va.gov</t>
  </si>
  <si>
    <t>1600 East Lamar Blvd.</t>
  </si>
  <si>
    <t>76011-4511</t>
  </si>
  <si>
    <t>817-200-1515</t>
  </si>
  <si>
    <t>817-200-1591</t>
  </si>
  <si>
    <t>Nuclear Regulatory Commis</t>
  </si>
  <si>
    <t>barbara.martin@nrc.gov</t>
  </si>
  <si>
    <t>Martinez Jr</t>
  </si>
  <si>
    <t>Jose.MartinezJr@FDA.HHS.GOV</t>
  </si>
  <si>
    <t>Mayberry</t>
  </si>
  <si>
    <t>1445 Ross Avenue</t>
  </si>
  <si>
    <t>#1200</t>
  </si>
  <si>
    <t>75202-2733</t>
  </si>
  <si>
    <t>214-665-6522</t>
  </si>
  <si>
    <t>214-665-8505</t>
  </si>
  <si>
    <t>mayberry.roy@epa.gov</t>
  </si>
  <si>
    <t>Francine</t>
  </si>
  <si>
    <t>McCollister</t>
  </si>
  <si>
    <t>450 Golden Gate Ave, 4th Floor, Westside</t>
  </si>
  <si>
    <t>415 522 2897</t>
  </si>
  <si>
    <t>415 522 2019</t>
  </si>
  <si>
    <t>francine.mccollister@gsa.gov</t>
  </si>
  <si>
    <t>Meindl</t>
  </si>
  <si>
    <t>77 West Jackson</t>
  </si>
  <si>
    <t>312-353-4773</t>
  </si>
  <si>
    <t>meindl.andrew@epa.gov</t>
  </si>
  <si>
    <t>Milburn</t>
  </si>
  <si>
    <t>2401 N. Lincoln Blvd, Suite 112</t>
  </si>
  <si>
    <t>PO Box 53187</t>
  </si>
  <si>
    <t>73152</t>
  </si>
  <si>
    <t>405-521-3819</t>
  </si>
  <si>
    <t>Dept. of Central Services</t>
  </si>
  <si>
    <t>Melissa_milburn@dcs.state.ok.us</t>
  </si>
  <si>
    <t>Milenkowic</t>
  </si>
  <si>
    <t>1 Choke Cherry Road</t>
  </si>
  <si>
    <t>L-1011</t>
  </si>
  <si>
    <t>240-276-1011</t>
  </si>
  <si>
    <t>Kathleen.Milenkowic@SAMHSA.HHS.GOV</t>
  </si>
  <si>
    <t>Molina</t>
  </si>
  <si>
    <t>10711 Burnet Rd</t>
  </si>
  <si>
    <t>512-334-8400</t>
  </si>
  <si>
    <t>Tanya_molina@fws.gov</t>
  </si>
  <si>
    <t>Kinney</t>
  </si>
  <si>
    <t>10210 Greenbelt Road</t>
  </si>
  <si>
    <t>Suite 270</t>
  </si>
  <si>
    <t>301-614-7138</t>
  </si>
  <si>
    <t>Theresa.m.kinney@nasa.gov</t>
  </si>
  <si>
    <t>4300 Amon Carter Boulevard</t>
  </si>
  <si>
    <t>Suite 116</t>
  </si>
  <si>
    <t>76155</t>
  </si>
  <si>
    <t>817-684-5303</t>
  </si>
  <si>
    <t>stephanie.lewis@sba.gov</t>
  </si>
  <si>
    <t>520-879-5168</t>
  </si>
  <si>
    <t>520-879-5133</t>
  </si>
  <si>
    <t>bertha.m.lopez@pascuayaqui-nsn.gov</t>
  </si>
  <si>
    <t>Margo</t>
  </si>
  <si>
    <t>1200 Pennsylvania Ave</t>
  </si>
  <si>
    <t>202-564-1211</t>
  </si>
  <si>
    <t>202-564-1808</t>
  </si>
  <si>
    <t>madsen.margo@epa.gov</t>
  </si>
  <si>
    <t>Maloy</t>
  </si>
  <si>
    <t>8490 Progress Drive, Suite 100</t>
  </si>
  <si>
    <t>512-981-4121</t>
  </si>
  <si>
    <t>melanie.holmes2@va.gov</t>
  </si>
  <si>
    <t>2411 Old US 70 West</t>
  </si>
  <si>
    <t>27520</t>
  </si>
  <si>
    <t>919-218-6402</t>
  </si>
  <si>
    <t>NC forest Service</t>
  </si>
  <si>
    <t>marshall.humphries@ncagr.gov</t>
  </si>
  <si>
    <t>451 7th St., SW</t>
  </si>
  <si>
    <t>Room 5276</t>
  </si>
  <si>
    <t>202-402-3868</t>
  </si>
  <si>
    <t>202-708-8912</t>
  </si>
  <si>
    <t>Nicole.T.Hunt@hud.gov</t>
  </si>
  <si>
    <t>PO Box 809</t>
  </si>
  <si>
    <t>89835</t>
  </si>
  <si>
    <t>775 345-3081</t>
  </si>
  <si>
    <t>775 752-2159</t>
  </si>
  <si>
    <t>Grimes</t>
  </si>
  <si>
    <t>1725 Lakepointe Dr</t>
  </si>
  <si>
    <t>972-353-0510</t>
  </si>
  <si>
    <t>randy.grimes@nara.gov</t>
  </si>
  <si>
    <t>4100 E. Mississippi Avenue</t>
  </si>
  <si>
    <t>303-691-6554</t>
  </si>
  <si>
    <t>gina.henderson@va.gov</t>
  </si>
  <si>
    <t>214-857-1009</t>
  </si>
  <si>
    <t>4135 S. Power Road</t>
  </si>
  <si>
    <t>480-466-7925</t>
  </si>
  <si>
    <t>480361-9460</t>
  </si>
  <si>
    <t>derrick.fletcher@va.gov</t>
  </si>
  <si>
    <t>Charnell</t>
  </si>
  <si>
    <t>9B-16</t>
  </si>
  <si>
    <t>718-741-4334</t>
  </si>
  <si>
    <t>charnell.cunningham@va.gov</t>
  </si>
  <si>
    <t>4th Fl W</t>
  </si>
  <si>
    <t>415-522-30333</t>
  </si>
  <si>
    <t>Drew.Dellavalle@gsa.gov</t>
  </si>
  <si>
    <t>Abel</t>
  </si>
  <si>
    <t>12030 Sunrise Valley Drive</t>
  </si>
  <si>
    <t>20191</t>
  </si>
  <si>
    <t>703-487-5459</t>
  </si>
  <si>
    <t>Office of Inspector Gen.</t>
  </si>
  <si>
    <t>Abel_Dominguez@doioig.gov</t>
  </si>
  <si>
    <t>Burnett</t>
  </si>
  <si>
    <t>515 Rusk Avenue, Suite 10002</t>
  </si>
  <si>
    <t>713-217-1004</t>
  </si>
  <si>
    <t>713-7184813</t>
  </si>
  <si>
    <t>Karen.Burnett@usdoj.gov</t>
  </si>
  <si>
    <t>Kristina</t>
  </si>
  <si>
    <t>935 Pennsylvania Ave NW</t>
  </si>
  <si>
    <t>2023239638</t>
  </si>
  <si>
    <t>kristina.camden@fbi.gov</t>
  </si>
  <si>
    <t>Damien</t>
  </si>
  <si>
    <t>520-361-2511</t>
  </si>
  <si>
    <t>damien.carlos@bie.edu</t>
  </si>
  <si>
    <t>78758</t>
  </si>
  <si>
    <t>Bautista</t>
  </si>
  <si>
    <t>515 Rusk Ave. Ste. 10002</t>
  </si>
  <si>
    <t>712-217-1007</t>
  </si>
  <si>
    <t>noel.bautista@usdoj.gov</t>
  </si>
  <si>
    <t>928-774-5279 x209</t>
  </si>
  <si>
    <t>Biehle</t>
  </si>
  <si>
    <t>979-458-6732</t>
  </si>
  <si>
    <t>TEEX</t>
  </si>
  <si>
    <t>Allen.Biehle@teexmail.tamu.edu</t>
  </si>
  <si>
    <t>Trinette</t>
  </si>
  <si>
    <t>19901 Germantown Road</t>
  </si>
  <si>
    <t>C-264</t>
  </si>
  <si>
    <t>Germantown</t>
  </si>
  <si>
    <t>20874</t>
  </si>
  <si>
    <t>301-903-5625</t>
  </si>
  <si>
    <t>trinette.boyd@hq.doe.gov</t>
  </si>
  <si>
    <t>Boysha</t>
  </si>
  <si>
    <t>202-219-1679</t>
  </si>
  <si>
    <t>judy.boysha@gsa.gov</t>
  </si>
  <si>
    <t>77808</t>
  </si>
  <si>
    <t>979-458-2159</t>
  </si>
  <si>
    <t>979-458-4483</t>
  </si>
  <si>
    <t>Mamie.brewer@teex.tamu.edu</t>
  </si>
  <si>
    <t>Ahill</t>
  </si>
  <si>
    <t>HC 01 Box 8400</t>
  </si>
  <si>
    <t>Federal Rt. 15, milepost 14</t>
  </si>
  <si>
    <t>520-361-2276</t>
  </si>
  <si>
    <t>520-361-3516</t>
  </si>
  <si>
    <t>joanne.ahill@bie.edu</t>
  </si>
  <si>
    <t>Aldea</t>
  </si>
  <si>
    <t>530-692-7322</t>
  </si>
  <si>
    <t>James.Aldea@va.gov</t>
  </si>
  <si>
    <t>Room 200</t>
  </si>
  <si>
    <t>703-605-3117</t>
  </si>
  <si>
    <t>dawn.alexander@gsa.gov</t>
  </si>
  <si>
    <t>Reymundo</t>
  </si>
  <si>
    <t>Aragon</t>
  </si>
  <si>
    <t>P.O. Box 1306</t>
  </si>
  <si>
    <t>505-248-6792</t>
  </si>
  <si>
    <t>rey_aragon@fws.gov</t>
  </si>
  <si>
    <t>GS-0346-13</t>
  </si>
  <si>
    <t>Ashby</t>
  </si>
  <si>
    <t>State Annex 06</t>
  </si>
  <si>
    <t>20522-0602</t>
  </si>
  <si>
    <t>703-875-6010</t>
  </si>
  <si>
    <t>703-516-1673</t>
  </si>
  <si>
    <t>ashbya@state.gov</t>
  </si>
  <si>
    <t>Wokutch</t>
  </si>
  <si>
    <t>703-306-6252</t>
  </si>
  <si>
    <t>charles.wokutch@gsa.gov</t>
  </si>
  <si>
    <t>Yandell</t>
  </si>
  <si>
    <t>Room 13a33</t>
  </si>
  <si>
    <t>817-850-8480</t>
  </si>
  <si>
    <t>cindy.yandell@gsa.go</t>
  </si>
  <si>
    <t>Han-Qing</t>
  </si>
  <si>
    <t>Zhao</t>
  </si>
  <si>
    <t>646-306-2581</t>
  </si>
  <si>
    <t>Han-Qing.Zhao@gsa.gov</t>
  </si>
  <si>
    <t>Triplett</t>
  </si>
  <si>
    <t>1500 E. Bannister Rd Room 1076</t>
  </si>
  <si>
    <t>816-926-7245</t>
  </si>
  <si>
    <t>steve.triplett@gsa.gov</t>
  </si>
  <si>
    <t>Covelo</t>
  </si>
  <si>
    <t>95428</t>
  </si>
  <si>
    <t>7079836188</t>
  </si>
  <si>
    <t>Upshaw</t>
  </si>
  <si>
    <t>703-605-5715</t>
  </si>
  <si>
    <t>darlene.upshaw@gsa.gov</t>
  </si>
  <si>
    <t>Vansant</t>
  </si>
  <si>
    <t>1800 F St., N.W.</t>
  </si>
  <si>
    <t>2028216476</t>
  </si>
  <si>
    <t>Douglas.vansant@gsa.gov</t>
  </si>
  <si>
    <t xml:space="preserve">Fed Retirement Thrift Invest. </t>
  </si>
  <si>
    <t>Vecchione</t>
  </si>
  <si>
    <t>571-969-8671</t>
  </si>
  <si>
    <t>paul.vecchione@gsa.gov</t>
  </si>
  <si>
    <t>Lino</t>
  </si>
  <si>
    <t>1701 Director's Blvd., Suite 600</t>
  </si>
  <si>
    <t>512-981-4415</t>
  </si>
  <si>
    <t>OALC</t>
  </si>
  <si>
    <t>lino.vera@va.gov</t>
  </si>
  <si>
    <t>Viar</t>
  </si>
  <si>
    <t>703-589-2570</t>
  </si>
  <si>
    <t>steve.viar@gsa.gov</t>
  </si>
  <si>
    <t>Waddell</t>
  </si>
  <si>
    <t>Crystal Plaza 4, Room 606</t>
  </si>
  <si>
    <t>703-605-5578</t>
  </si>
  <si>
    <t>patricia.waddell@gsa.gov</t>
  </si>
  <si>
    <t>Exec Office of the President</t>
  </si>
  <si>
    <t>Whitehead</t>
  </si>
  <si>
    <t>Room 728</t>
  </si>
  <si>
    <t>703-605-9466</t>
  </si>
  <si>
    <t>meredith.whitehead@gsa.gov</t>
  </si>
  <si>
    <t>703 306 6290</t>
  </si>
  <si>
    <t>richard.williams@gsa.gov</t>
  </si>
  <si>
    <t>1500 Pennsylvania Avenue, NW</t>
  </si>
  <si>
    <t>655 15th Street,  NW</t>
  </si>
  <si>
    <t>20220</t>
  </si>
  <si>
    <t>202-622-1071</t>
  </si>
  <si>
    <t>202-927-4963</t>
  </si>
  <si>
    <t>Departmental Offices</t>
  </si>
  <si>
    <t>pamela.wilson@treasury.gov</t>
  </si>
  <si>
    <t>Shufflebarger</t>
  </si>
  <si>
    <t>2200 Crystal Dr. Suite 9012</t>
  </si>
  <si>
    <t>703-605-2660</t>
  </si>
  <si>
    <t>703-605-9952</t>
  </si>
  <si>
    <t>carlton.shufflebarger@gsa.gov</t>
  </si>
  <si>
    <t>Bonita</t>
  </si>
  <si>
    <t>PO Box 76, Bldg 37</t>
  </si>
  <si>
    <t>1st Avenue North of Cermak Road</t>
  </si>
  <si>
    <t>708-786-4391</t>
  </si>
  <si>
    <t>NAC/FSS</t>
  </si>
  <si>
    <t>Bonita.Smith@va.gov</t>
  </si>
  <si>
    <t>1995 Research Farm Rd</t>
  </si>
  <si>
    <t>6065603777</t>
  </si>
  <si>
    <t>8592553173</t>
  </si>
  <si>
    <t>jesse.smith@uky.edu</t>
  </si>
  <si>
    <t>Suite 1087</t>
  </si>
  <si>
    <t>617 565-8102</t>
  </si>
  <si>
    <t>jerry.d.smith@gsa.gov</t>
  </si>
  <si>
    <t>Stowe</t>
  </si>
  <si>
    <t>703-306-6658</t>
  </si>
  <si>
    <t>Cindy.Stowe@gsa.gov</t>
  </si>
  <si>
    <t>800 Independence Ave., SW</t>
  </si>
  <si>
    <t>202-493-5328</t>
  </si>
  <si>
    <t>mike.sullivan@faa.gov</t>
  </si>
  <si>
    <t>Military Sales</t>
  </si>
  <si>
    <t>Tangney</t>
  </si>
  <si>
    <t>77 W. Jackson, Rm 425</t>
  </si>
  <si>
    <t>312-886-9480</t>
  </si>
  <si>
    <t>lisa.tangney@gsa.gov</t>
  </si>
  <si>
    <t>Suite 673D</t>
  </si>
  <si>
    <t>202-208-7433</t>
  </si>
  <si>
    <t>gary.thompson@gsa.gov</t>
  </si>
  <si>
    <t>Greg</t>
  </si>
  <si>
    <t>708-681-6965</t>
  </si>
  <si>
    <t>gregory.thompson1@va.gov</t>
  </si>
  <si>
    <t>Richman</t>
  </si>
  <si>
    <t>703-306-6654</t>
  </si>
  <si>
    <t>kevin.richman@gsa.gov</t>
  </si>
  <si>
    <t>1 University Station C3603</t>
  </si>
  <si>
    <t>SZB Rm 451</t>
  </si>
  <si>
    <t>78712</t>
  </si>
  <si>
    <t>512-471-5751</t>
  </si>
  <si>
    <t>512-471-1878</t>
  </si>
  <si>
    <t>Cadet Command</t>
  </si>
  <si>
    <t>UT Austin Army ROTC</t>
  </si>
  <si>
    <t>Rojas Cook</t>
  </si>
  <si>
    <t>GSA,  1 Denver Federal Center</t>
  </si>
  <si>
    <t>Gate 2, Bldg. 41, Dock E17A, Rm. 177,</t>
  </si>
  <si>
    <t>303-236-7707</t>
  </si>
  <si>
    <t>303-236-7544</t>
  </si>
  <si>
    <t>debbie.rojascook@gsa.gov</t>
  </si>
  <si>
    <t>Antonio</t>
  </si>
  <si>
    <t>230 S Dearborn St</t>
  </si>
  <si>
    <t>312-353-3116</t>
  </si>
  <si>
    <t>antonio.romero@gsa.gov</t>
  </si>
  <si>
    <t>Alexandra</t>
  </si>
  <si>
    <t>Rouse</t>
  </si>
  <si>
    <t>301 Seventh Street, SW</t>
  </si>
  <si>
    <t>202-690-9441</t>
  </si>
  <si>
    <t>alexandra.rouse@gsa.gov</t>
  </si>
  <si>
    <t>fred</t>
  </si>
  <si>
    <t>schellenberg</t>
  </si>
  <si>
    <t>PO Box 9000</t>
  </si>
  <si>
    <t>Brownsville, Texas 78520</t>
  </si>
  <si>
    <t>Brownsville</t>
  </si>
  <si>
    <t>78520</t>
  </si>
  <si>
    <t>555-080-2990</t>
  </si>
  <si>
    <t>US Embassy Mexico</t>
  </si>
  <si>
    <t>schellenbergfa@state.gov</t>
  </si>
  <si>
    <t>Schlass</t>
  </si>
  <si>
    <t>(708)7865856</t>
  </si>
  <si>
    <t>brandon.schlass@va.gov</t>
  </si>
  <si>
    <t>erich</t>
  </si>
  <si>
    <t>schuette</t>
  </si>
  <si>
    <t>324 25th st</t>
  </si>
  <si>
    <t>ogden</t>
  </si>
  <si>
    <t>84401</t>
  </si>
  <si>
    <t>8014558473</t>
  </si>
  <si>
    <t>erich.schuette@gsa.gov</t>
  </si>
  <si>
    <t>Sera</t>
  </si>
  <si>
    <t>77861</t>
  </si>
  <si>
    <t>9794586829</t>
  </si>
  <si>
    <t>State Agency</t>
  </si>
  <si>
    <t>gary.sera@teexmail.tamu.edu</t>
  </si>
  <si>
    <t>Orcutt</t>
  </si>
  <si>
    <t>7036059568</t>
  </si>
  <si>
    <t>david.orcutt@gsa.gov</t>
  </si>
  <si>
    <t>8168231556</t>
  </si>
  <si>
    <t>meredith.parker@gsa.gov</t>
  </si>
  <si>
    <t>Emory</t>
  </si>
  <si>
    <t>Proctor</t>
  </si>
  <si>
    <t>703-603-8291</t>
  </si>
  <si>
    <t>emory.proctor@gsa.gov</t>
  </si>
  <si>
    <t>Rasmussen</t>
  </si>
  <si>
    <t>816-823-1326</t>
  </si>
  <si>
    <t>elaine.rasmussen@gsa.gov</t>
  </si>
  <si>
    <t>Reich</t>
  </si>
  <si>
    <t>202-632-5877</t>
  </si>
  <si>
    <t>VAAA</t>
  </si>
  <si>
    <t>david.reich2@va.gov</t>
  </si>
  <si>
    <t>(817) 850-843</t>
  </si>
  <si>
    <t>McClure</t>
  </si>
  <si>
    <t>6th Floor</t>
  </si>
  <si>
    <t>703-605-2142</t>
  </si>
  <si>
    <t>damon.mcclure@gsa.gov</t>
  </si>
  <si>
    <t>8178508134</t>
  </si>
  <si>
    <t>michael.mcdaniel@gsa.gov</t>
  </si>
  <si>
    <t>U.S. Embassy</t>
  </si>
  <si>
    <t>Wildey Business Park</t>
  </si>
  <si>
    <t>St. Michael</t>
  </si>
  <si>
    <t>BB14006</t>
  </si>
  <si>
    <t xml:space="preserve">Barbados                 </t>
  </si>
  <si>
    <t>2462274128</t>
  </si>
  <si>
    <t>2462274160</t>
  </si>
  <si>
    <t>mcdonaldrh@state.gov</t>
  </si>
  <si>
    <t>McKenzie</t>
  </si>
  <si>
    <t>215-514-9970</t>
  </si>
  <si>
    <t>dena.mclaughlin@gsa.gov</t>
  </si>
  <si>
    <t>McNamara</t>
  </si>
  <si>
    <t>215-446-4788</t>
  </si>
  <si>
    <t>dennis.mcnamara@gsa.gov</t>
  </si>
  <si>
    <t>Meier</t>
  </si>
  <si>
    <t>1301 Young Street, Rm 914</t>
  </si>
  <si>
    <t>76120</t>
  </si>
  <si>
    <t>Adm Children &amp; Families</t>
  </si>
  <si>
    <t>carolyn.meier@acf.hhs.gov</t>
  </si>
  <si>
    <t>Mesaros</t>
  </si>
  <si>
    <t>300 7th St. S.E.</t>
  </si>
  <si>
    <t>(843) 768-339</t>
  </si>
  <si>
    <t>Meza</t>
  </si>
  <si>
    <t>703-605-5646</t>
  </si>
  <si>
    <t>carolyn.meza@gsa.gov</t>
  </si>
  <si>
    <t>10001 Reunion Place  #114</t>
  </si>
  <si>
    <t>210 341 8388</t>
  </si>
  <si>
    <t>patricia.molina@gsa.gov</t>
  </si>
  <si>
    <t>4059541758</t>
  </si>
  <si>
    <t>hendrix.ctr.morrow@faa.gov</t>
  </si>
  <si>
    <t>Mortensen</t>
  </si>
  <si>
    <t>125 South State, Room 5002</t>
  </si>
  <si>
    <t>801-774-9879</t>
  </si>
  <si>
    <t>801-774-9681</t>
  </si>
  <si>
    <t>francine.mortensen@gsa.gov</t>
  </si>
  <si>
    <t>Mulligan</t>
  </si>
  <si>
    <t>43 Broadway</t>
  </si>
  <si>
    <t>02840</t>
  </si>
  <si>
    <t>401-845-5414</t>
  </si>
  <si>
    <t>Purchasing</t>
  </si>
  <si>
    <t>emulligan@cityofnewport.com</t>
  </si>
  <si>
    <t>Niewood</t>
  </si>
  <si>
    <t>411 Waverly Road</t>
  </si>
  <si>
    <t>Wyncote</t>
  </si>
  <si>
    <t>19095</t>
  </si>
  <si>
    <t>2154465838</t>
  </si>
  <si>
    <t>robert.niewood@gsa.gov</t>
  </si>
  <si>
    <t>Univ of Nebraska-Lincoln</t>
  </si>
  <si>
    <t>Lautzenheiser</t>
  </si>
  <si>
    <t>819 Taylor Street, Room 12A01</t>
  </si>
  <si>
    <t>817-978-6165</t>
  </si>
  <si>
    <t>carol.lautzenheiser@gsa.gov</t>
  </si>
  <si>
    <t>LeBlanc</t>
  </si>
  <si>
    <t>ROB, 7th &amp; D Streets, SW</t>
  </si>
  <si>
    <t>202-260-4948</t>
  </si>
  <si>
    <t>tina.leblanc@gsa.gov</t>
  </si>
  <si>
    <t>LeDuc</t>
  </si>
  <si>
    <t>312-886-8277</t>
  </si>
  <si>
    <t>emily.leduc@gsa.gov</t>
  </si>
  <si>
    <t>703-605-2572</t>
  </si>
  <si>
    <t>mark.lee@gsa.gov</t>
  </si>
  <si>
    <t>LaDonna</t>
  </si>
  <si>
    <t>9287296305</t>
  </si>
  <si>
    <t>9287296304</t>
  </si>
  <si>
    <t>lleonard@hooghan.org</t>
  </si>
  <si>
    <t>Appalachian Reg Comm</t>
  </si>
  <si>
    <t>Mike</t>
  </si>
  <si>
    <t>Herndon</t>
  </si>
  <si>
    <t>Luttrall</t>
  </si>
  <si>
    <t>IKansas City</t>
  </si>
  <si>
    <t>816-518-1542</t>
  </si>
  <si>
    <t>russell.luttrall@gsa.gov</t>
  </si>
  <si>
    <t>Macias</t>
  </si>
  <si>
    <t>17th Floor</t>
  </si>
  <si>
    <t>213-621-6735</t>
  </si>
  <si>
    <t>213-621-7065</t>
  </si>
  <si>
    <t>michele.i.macias@usdoj.gov</t>
  </si>
  <si>
    <t>scotts valley pomo indians</t>
  </si>
  <si>
    <t>241 18th St S</t>
  </si>
  <si>
    <t>703-603-0227</t>
  </si>
  <si>
    <t>jeremy.martin@gsaig.gov</t>
  </si>
  <si>
    <t>401 West Peachtree Street Suite 820</t>
  </si>
  <si>
    <t>404-224-2202</t>
  </si>
  <si>
    <t>joyce.mayberry@gsa.gov</t>
  </si>
  <si>
    <t>Mayer</t>
  </si>
  <si>
    <t>26 Federal Plz</t>
  </si>
  <si>
    <t>212-264-1179</t>
  </si>
  <si>
    <t>frank.mayer@gsa.gov</t>
  </si>
  <si>
    <t>Jihyun</t>
  </si>
  <si>
    <t>Huyck</t>
  </si>
  <si>
    <t>Rm 1076</t>
  </si>
  <si>
    <t>816-823-1992</t>
  </si>
  <si>
    <t>jihyun.huyck@gsa.gov</t>
  </si>
  <si>
    <t>Wy Div of Criminal Invest.</t>
  </si>
  <si>
    <t>Angela D.</t>
  </si>
  <si>
    <t>703-605-2896</t>
  </si>
  <si>
    <t>Suite 606</t>
  </si>
  <si>
    <t>angelad.jones@gsa.gov</t>
  </si>
  <si>
    <t>PO Box 7001</t>
  </si>
  <si>
    <t>708-681-6617</t>
  </si>
  <si>
    <t>ronald.jordan1@va.gov</t>
  </si>
  <si>
    <t>555 Battery St</t>
  </si>
  <si>
    <t>Room 518</t>
  </si>
  <si>
    <t>san Francisco</t>
  </si>
  <si>
    <t>94111</t>
  </si>
  <si>
    <t>202 253 2042</t>
  </si>
  <si>
    <t>7077699280</t>
  </si>
  <si>
    <t>kevin.kelly@gsa.gov</t>
  </si>
  <si>
    <t>G/12</t>
  </si>
  <si>
    <t>Kitsock</t>
  </si>
  <si>
    <t>905 Merion Court</t>
  </si>
  <si>
    <t>Hummelstown</t>
  </si>
  <si>
    <t>17036</t>
  </si>
  <si>
    <t>717-566-1064</t>
  </si>
  <si>
    <t>717-566-1065</t>
  </si>
  <si>
    <t>bob.kitsock@gsa.gov</t>
  </si>
  <si>
    <t>Kraynak</t>
  </si>
  <si>
    <t>312-886-8674</t>
  </si>
  <si>
    <t>michael.kraynak@gsa.gov</t>
  </si>
  <si>
    <t>LouEdith</t>
  </si>
  <si>
    <t>Hara</t>
  </si>
  <si>
    <t>155 Indian Ave #5012</t>
  </si>
  <si>
    <t>785-749-8404</t>
  </si>
  <si>
    <t>785-832-6604</t>
  </si>
  <si>
    <t>lhara@haskell.edu</t>
  </si>
  <si>
    <t>703-605-2704</t>
  </si>
  <si>
    <t>cheryl.harris@gsa.gov</t>
  </si>
  <si>
    <t>Room 11A30A</t>
  </si>
  <si>
    <t>817-978-4192</t>
  </si>
  <si>
    <t>charlie.hart@gsa.gov</t>
  </si>
  <si>
    <t>Shellie</t>
  </si>
  <si>
    <t>Heislen</t>
  </si>
  <si>
    <t>FEPP Univ. of Idaho-CREES</t>
  </si>
  <si>
    <t>Hochberg</t>
  </si>
  <si>
    <t>1275 1st St., NE, Room 541</t>
  </si>
  <si>
    <t>202-501-1170</t>
  </si>
  <si>
    <t>elizabeth.hochberg@gsa.gov</t>
  </si>
  <si>
    <t>lisa</t>
  </si>
  <si>
    <t>howland</t>
  </si>
  <si>
    <t>210.472.6040</t>
  </si>
  <si>
    <t>lisa.howland@gsa.gov</t>
  </si>
  <si>
    <t>Cesar</t>
  </si>
  <si>
    <t>Fausto</t>
  </si>
  <si>
    <t>1701 Directors Bldv</t>
  </si>
  <si>
    <t>787478</t>
  </si>
  <si>
    <t>512-981-4469</t>
  </si>
  <si>
    <t>512-981-4487</t>
  </si>
  <si>
    <t>cesar.fausto2@va.gov</t>
  </si>
  <si>
    <t>Fazio</t>
  </si>
  <si>
    <t>Ste. 250</t>
  </si>
  <si>
    <t>rfazio@techflow.com</t>
  </si>
  <si>
    <t>Crystal</t>
  </si>
  <si>
    <t>2200 Crystal Drive, Room 200</t>
  </si>
  <si>
    <t>703.605.5714</t>
  </si>
  <si>
    <t>felicia.gibson@gsa.gov</t>
  </si>
  <si>
    <t>Ruslan</t>
  </si>
  <si>
    <t>Gorbonos</t>
  </si>
  <si>
    <t>215-446-5820</t>
  </si>
  <si>
    <t>ruslan.gorbonos@gsa.gov</t>
  </si>
  <si>
    <t>Washington State Univ</t>
  </si>
  <si>
    <t>303-236-7546</t>
  </si>
  <si>
    <t>johna.grant@gsa.gov</t>
  </si>
  <si>
    <t>Natural Resources Conservation Service</t>
  </si>
  <si>
    <t>Ga Dept of Public Safety</t>
  </si>
  <si>
    <t>Donnie</t>
  </si>
  <si>
    <t>2275 Turner Place</t>
  </si>
  <si>
    <t>40511</t>
  </si>
  <si>
    <t>859 797-7282</t>
  </si>
  <si>
    <t>University of Kentucky</t>
  </si>
  <si>
    <t>donnie.davis@uky.edu</t>
  </si>
  <si>
    <t>7033067554</t>
  </si>
  <si>
    <t>DeleonGuerrero</t>
  </si>
  <si>
    <t>P.O. Box 501250</t>
  </si>
  <si>
    <t>Saipan</t>
  </si>
  <si>
    <t>96950</t>
  </si>
  <si>
    <t>Northern Mariana Islands</t>
  </si>
  <si>
    <t>670-234-5498</t>
  </si>
  <si>
    <t>joaquing@nmcnet.edu</t>
  </si>
  <si>
    <t>Drake</t>
  </si>
  <si>
    <t>2200 Crystal Drive #704</t>
  </si>
  <si>
    <t>703 605 5459</t>
  </si>
  <si>
    <t>debra.drake@gsa.gov</t>
  </si>
  <si>
    <t>Leonard</t>
  </si>
  <si>
    <t>1701 Directors Blvd.</t>
  </si>
  <si>
    <t>512-981-4476</t>
  </si>
  <si>
    <t>Office of Acquisition Ops</t>
  </si>
  <si>
    <t>leonard.eddie@va.gov</t>
  </si>
  <si>
    <t>Eiland</t>
  </si>
  <si>
    <t>202-208-0257</t>
  </si>
  <si>
    <t>anthony.eiland@gsa.gov</t>
  </si>
  <si>
    <t>Jed</t>
  </si>
  <si>
    <t>Ela</t>
  </si>
  <si>
    <t>2200 Crystal Drive Suite 800</t>
  </si>
  <si>
    <t>703-605-2892</t>
  </si>
  <si>
    <t>jedediah.ela@gsa.gov</t>
  </si>
  <si>
    <t>Ely</t>
  </si>
  <si>
    <t>2200 Crystal Drive, 6th Floor</t>
  </si>
  <si>
    <t>703-605-2666</t>
  </si>
  <si>
    <t>kay.ely@gsa.gov</t>
  </si>
  <si>
    <t>lynn.evans@gsa.gov</t>
  </si>
  <si>
    <t>Damon</t>
  </si>
  <si>
    <t>301-286-1368</t>
  </si>
  <si>
    <t>301-286-1644</t>
  </si>
  <si>
    <t>jonathan.carpenter@nasa.gov</t>
  </si>
  <si>
    <t>D.J.</t>
  </si>
  <si>
    <t>Caulfield</t>
  </si>
  <si>
    <t>703-605-5403</t>
  </si>
  <si>
    <t>david.caulfield@gsa.gov</t>
  </si>
  <si>
    <t>Cerda</t>
  </si>
  <si>
    <t>Moore Air Base Bldg 6407</t>
  </si>
  <si>
    <t>956-205-7606</t>
  </si>
  <si>
    <t>956-205-7631</t>
  </si>
  <si>
    <t>jose.r.cerda@aphis.usda.gov</t>
  </si>
  <si>
    <t>Peng</t>
  </si>
  <si>
    <t>Chhour</t>
  </si>
  <si>
    <t>20. North 8th Street</t>
  </si>
  <si>
    <t>2154464873</t>
  </si>
  <si>
    <t>kim.chhour@gsa.gov</t>
  </si>
  <si>
    <t>joni</t>
  </si>
  <si>
    <t>cole</t>
  </si>
  <si>
    <t>Building 37, 1st Avenue North of 22nd St</t>
  </si>
  <si>
    <t>(708) 7865142</t>
  </si>
  <si>
    <t>OAL</t>
  </si>
  <si>
    <t>joni.cole@va.gov</t>
  </si>
  <si>
    <t>Jeffery</t>
  </si>
  <si>
    <t>Conwell</t>
  </si>
  <si>
    <t>1020 Gallery Dr</t>
  </si>
  <si>
    <t>Oceanside</t>
  </si>
  <si>
    <t>703-605-2106</t>
  </si>
  <si>
    <t>jeffery.conwell@gsa.gov</t>
  </si>
  <si>
    <t>703-605-9125</t>
  </si>
  <si>
    <t>stephen</t>
  </si>
  <si>
    <t>bell</t>
  </si>
  <si>
    <t>703-306-7595</t>
  </si>
  <si>
    <t>stephen.bell@gsa.gov</t>
  </si>
  <si>
    <t>Benoit</t>
  </si>
  <si>
    <t>816-926-5548</t>
  </si>
  <si>
    <t>816-926-5670</t>
  </si>
  <si>
    <t>tim.benoit@gsa.gov</t>
  </si>
  <si>
    <t>1822 Cotton Farm Lane</t>
  </si>
  <si>
    <t>Suffolk</t>
  </si>
  <si>
    <t>23432</t>
  </si>
  <si>
    <t>757-615-7703</t>
  </si>
  <si>
    <t>tommy.benton@gsa.gov</t>
  </si>
  <si>
    <t>mary.d.berry@gsa.gov</t>
  </si>
  <si>
    <t>Bicking</t>
  </si>
  <si>
    <t>3110 Hamilton Blvd</t>
  </si>
  <si>
    <t>Allentown</t>
  </si>
  <si>
    <t>18103</t>
  </si>
  <si>
    <t>610-776-4359</t>
  </si>
  <si>
    <t>Melissa.Bicking@va.gov</t>
  </si>
  <si>
    <t>858-530-3192</t>
  </si>
  <si>
    <t>richard.blake@gsa.gov</t>
  </si>
  <si>
    <t>Karone</t>
  </si>
  <si>
    <t>Blondin</t>
  </si>
  <si>
    <t>Rom 4016</t>
  </si>
  <si>
    <t>202 365 8568</t>
  </si>
  <si>
    <t>karone.blondin@gsa.gov</t>
  </si>
  <si>
    <t>pamela</t>
  </si>
  <si>
    <t>blumenstein</t>
  </si>
  <si>
    <t>703-605-9300</t>
  </si>
  <si>
    <t>pamela.blumenstein@gsa.gov</t>
  </si>
  <si>
    <t>Bostic</t>
  </si>
  <si>
    <t>1101 Channelside Dr., Su. 210</t>
  </si>
  <si>
    <t>33602</t>
  </si>
  <si>
    <t>813-905-5800</t>
  </si>
  <si>
    <t>813-905-5801</t>
  </si>
  <si>
    <t>cbostic@usf.edu</t>
  </si>
  <si>
    <t>MEDICARE  ADVISORY COMM</t>
  </si>
  <si>
    <t>1500 e Bannister Rd</t>
  </si>
  <si>
    <t>816-823-2009</t>
  </si>
  <si>
    <t>thomasf.brown@gsa.gov</t>
  </si>
  <si>
    <t>menlu</t>
  </si>
  <si>
    <t>bruce</t>
  </si>
  <si>
    <t>2010 Canyon Lakes Drive</t>
  </si>
  <si>
    <t>San Ramon</t>
  </si>
  <si>
    <t>94582</t>
  </si>
  <si>
    <t>925-735-1641</t>
  </si>
  <si>
    <t>mimi.bruce@gsa.gov</t>
  </si>
  <si>
    <t>361 Reporter's Building</t>
  </si>
  <si>
    <t>OPPM</t>
  </si>
  <si>
    <t>Grissel</t>
  </si>
  <si>
    <t>Burgos</t>
  </si>
  <si>
    <t>Engineering Service</t>
  </si>
  <si>
    <t>214-857-1413</t>
  </si>
  <si>
    <t>grissel.burgos@va.gov</t>
  </si>
  <si>
    <t>Armendariz</t>
  </si>
  <si>
    <t>500 Gold Avenue SW</t>
  </si>
  <si>
    <t>505-348-2442</t>
  </si>
  <si>
    <t>505-348-2440</t>
  </si>
  <si>
    <t>margaret_armendariz@nmcourt.fed.us</t>
  </si>
  <si>
    <t>Perryn</t>
  </si>
  <si>
    <t>Ashmore</t>
  </si>
  <si>
    <t>Room 8018</t>
  </si>
  <si>
    <t>703-605-9161</t>
  </si>
  <si>
    <t>perryn.ashmore@gsa.gov</t>
  </si>
  <si>
    <t>Auble</t>
  </si>
  <si>
    <t>7936052681</t>
  </si>
  <si>
    <t>jennifer.auble@gsa.gov</t>
  </si>
  <si>
    <t>Avanzado</t>
  </si>
  <si>
    <t>202-501-6742</t>
  </si>
  <si>
    <t>gil.avanzado@gsa.gov</t>
  </si>
  <si>
    <t>20224</t>
  </si>
  <si>
    <t>7036038143</t>
  </si>
  <si>
    <t>dan.baskin@gsa.gov</t>
  </si>
  <si>
    <t>Cara</t>
  </si>
  <si>
    <t>Battaglini</t>
  </si>
  <si>
    <t>11th floor</t>
  </si>
  <si>
    <t>2200</t>
  </si>
  <si>
    <t>703-527-1082</t>
  </si>
  <si>
    <t>cara.battaglini@gsa.gov</t>
  </si>
  <si>
    <t>Baumann</t>
  </si>
  <si>
    <t>1445 ross ave, ste 1200 MD-OO</t>
  </si>
  <si>
    <t>2146658000</t>
  </si>
  <si>
    <t>baumann.michael@epa.gov</t>
  </si>
  <si>
    <t>Rm 13A33</t>
  </si>
  <si>
    <t>Panko</t>
  </si>
  <si>
    <t>301 NW 6th</t>
  </si>
  <si>
    <t>405-231-5801</t>
  </si>
  <si>
    <t>eddie.panko@gsa.gov</t>
  </si>
  <si>
    <t>PO Box 60400</t>
  </si>
  <si>
    <t>Boulder City</t>
  </si>
  <si>
    <t>89006</t>
  </si>
  <si>
    <t>702-494-2802</t>
  </si>
  <si>
    <t>702-494-2292</t>
  </si>
  <si>
    <t>CDwhite@usbr.gov</t>
  </si>
  <si>
    <t>Ben</t>
  </si>
  <si>
    <t>816-823-2173</t>
  </si>
  <si>
    <t>benjamin.williams@gsa.gov</t>
  </si>
  <si>
    <t>400-15th St. SW</t>
  </si>
  <si>
    <t>253-931-7114</t>
  </si>
  <si>
    <t>AFGE</t>
  </si>
  <si>
    <t>bruce.williams@gsa.gov</t>
  </si>
  <si>
    <t>Dianne</t>
  </si>
  <si>
    <t>Zawatsky</t>
  </si>
  <si>
    <t>703-605-2593</t>
  </si>
  <si>
    <t>judith.zawatsky@gsa.gov</t>
  </si>
  <si>
    <t>Rm 995</t>
  </si>
  <si>
    <t>202-503-7613</t>
  </si>
  <si>
    <t>matthew.toner@gsa.gov</t>
  </si>
  <si>
    <t>Toney-Offiah</t>
  </si>
  <si>
    <t>2201 C Street, SE</t>
  </si>
  <si>
    <t>202-736-7826</t>
  </si>
  <si>
    <t>202-647-2881</t>
  </si>
  <si>
    <t>EUR-IO/EX/GSD</t>
  </si>
  <si>
    <t>Toney-OffiahEM@state.gov</t>
  </si>
  <si>
    <t>Jerl</t>
  </si>
  <si>
    <t>Traylor</t>
  </si>
  <si>
    <t>451 7th Street SW, Rm 5256</t>
  </si>
  <si>
    <t>202-402-6131</t>
  </si>
  <si>
    <t>Jerl.S.Traylor@hud.gov</t>
  </si>
  <si>
    <t>215-446-5000</t>
  </si>
  <si>
    <t>Wermy</t>
  </si>
  <si>
    <t>Box 5008</t>
  </si>
  <si>
    <t>785-749-8469</t>
  </si>
  <si>
    <t>mwermy@haskell.edu</t>
  </si>
  <si>
    <t>Snell</t>
  </si>
  <si>
    <t>601-420-6016</t>
  </si>
  <si>
    <t>6010-420-6019</t>
  </si>
  <si>
    <t>ssnell@mfc.state.ms.us</t>
  </si>
  <si>
    <t>2413 E. Hwy 83,</t>
  </si>
  <si>
    <t>Bldg# 200</t>
  </si>
  <si>
    <t>Weslaco</t>
  </si>
  <si>
    <t>78596</t>
  </si>
  <si>
    <t>956-447-6305</t>
  </si>
  <si>
    <t>Carlos.Solis@ars.usda.gov</t>
  </si>
  <si>
    <t>Solomon</t>
  </si>
  <si>
    <t>3106 W. University</t>
  </si>
  <si>
    <t>Guthrie</t>
  </si>
  <si>
    <t>73044</t>
  </si>
  <si>
    <t>405-282-9328</t>
  </si>
  <si>
    <t>Guthrie Job Corps Center</t>
  </si>
  <si>
    <t>Solomon.Timothy@jobcorps.org</t>
  </si>
  <si>
    <t>Susana</t>
  </si>
  <si>
    <t>Tau</t>
  </si>
  <si>
    <t>American Samoa Government</t>
  </si>
  <si>
    <t>Pago Pago</t>
  </si>
  <si>
    <t>96799</t>
  </si>
  <si>
    <t xml:space="preserve">American Samoa           </t>
  </si>
  <si>
    <t>684 699 1170</t>
  </si>
  <si>
    <t>684 699 1845</t>
  </si>
  <si>
    <t>stau@asg.as</t>
  </si>
  <si>
    <t>tasha.roberts@austin.utexas.edu</t>
  </si>
  <si>
    <t>Jesse B.</t>
  </si>
  <si>
    <t>Rosario</t>
  </si>
  <si>
    <t>UOG Station</t>
  </si>
  <si>
    <t>Mangilao</t>
  </si>
  <si>
    <t>96923</t>
  </si>
  <si>
    <t>(671) 7352006</t>
  </si>
  <si>
    <t>(671) 7346842</t>
  </si>
  <si>
    <t>jrosario@uguam.uog.edu</t>
  </si>
  <si>
    <t>Salzer</t>
  </si>
  <si>
    <t>LSU AG Center</t>
  </si>
  <si>
    <t>2310 Ben Hur Rd</t>
  </si>
  <si>
    <t>70820</t>
  </si>
  <si>
    <t>225-765-2876</t>
  </si>
  <si>
    <t>225-763-5573</t>
  </si>
  <si>
    <t>wsalzer@agcenter.lsu.edu</t>
  </si>
  <si>
    <t>OBrien</t>
  </si>
  <si>
    <t>333 Lomas Blvd., NW</t>
  </si>
  <si>
    <t>5053482104</t>
  </si>
  <si>
    <t>pobrien@nmcourt.fed.us</t>
  </si>
  <si>
    <t>Marcelo</t>
  </si>
  <si>
    <t>Olascoaga</t>
  </si>
  <si>
    <t>110 Englefield Dr.</t>
  </si>
  <si>
    <t>Gaithersburg</t>
  </si>
  <si>
    <t>20878</t>
  </si>
  <si>
    <t>703-306-6653</t>
  </si>
  <si>
    <t>marcelo.olascoaga@gsa.gov</t>
  </si>
  <si>
    <t>Joey</t>
  </si>
  <si>
    <t>Phelps</t>
  </si>
  <si>
    <t>817-850-8488</t>
  </si>
  <si>
    <t>Joey.Phelps@gsa.gov</t>
  </si>
  <si>
    <t>Fed Retirement Thrift Invest.</t>
  </si>
  <si>
    <t>Poehlmann</t>
  </si>
  <si>
    <t>Poehlmannc@missouri.edu</t>
  </si>
  <si>
    <t>Nicandra</t>
  </si>
  <si>
    <t>Ponce</t>
  </si>
  <si>
    <t>ponce.nicandra@jobcorps.org</t>
  </si>
  <si>
    <t>Broadcasting Governors</t>
  </si>
  <si>
    <t>97 Carleton Avenue</t>
  </si>
  <si>
    <t>central islip</t>
  </si>
  <si>
    <t>11722</t>
  </si>
  <si>
    <t>631-404-7497</t>
  </si>
  <si>
    <t>Ratchford</t>
  </si>
  <si>
    <t>1275 1st st NE</t>
  </si>
  <si>
    <t>202-208-6376</t>
  </si>
  <si>
    <t>lewis.ratchford@gsa.gov</t>
  </si>
  <si>
    <t>US Nuclear Regulatory Com</t>
  </si>
  <si>
    <t>Melvin</t>
  </si>
  <si>
    <t>810 Vermont Ave</t>
  </si>
  <si>
    <t>Washington, D.C.</t>
  </si>
  <si>
    <t>202-632-7759</t>
  </si>
  <si>
    <t>ESE / OI&amp;T</t>
  </si>
  <si>
    <t>melvin.mckenzie@va.gov</t>
  </si>
  <si>
    <t>703-605-2843</t>
  </si>
  <si>
    <t>annette.nelson@gsa.gov</t>
  </si>
  <si>
    <t>Louden</t>
  </si>
  <si>
    <t>chris.louden@pgs.protiviti.com</t>
  </si>
  <si>
    <t>3600 New Haven Road</t>
  </si>
  <si>
    <t>65201-9608</t>
  </si>
  <si>
    <t>573-882-4450</t>
  </si>
  <si>
    <t>573-884-5911</t>
  </si>
  <si>
    <t>Missouri Ag Exp Station</t>
  </si>
  <si>
    <t>Mahoneypb@missouri.edu</t>
  </si>
  <si>
    <t>703-487-5444</t>
  </si>
  <si>
    <t>marshall_jackson@doioig.gov</t>
  </si>
  <si>
    <t>18600 Haggery Rd</t>
  </si>
  <si>
    <t>Jill M.</t>
  </si>
  <si>
    <t>202-324-2283</t>
  </si>
  <si>
    <t>202-324-3142</t>
  </si>
  <si>
    <t>jill.hall@ic.fbi.gov</t>
  </si>
  <si>
    <t>6th floor</t>
  </si>
  <si>
    <t>7036052720</t>
  </si>
  <si>
    <t>Dennis.harrison@gsa.gov</t>
  </si>
  <si>
    <t>dallas.hayes@gsa.gov</t>
  </si>
  <si>
    <t>101 South Main St</t>
  </si>
  <si>
    <t>76501</t>
  </si>
  <si>
    <t>254-742-9922</t>
  </si>
  <si>
    <t>David.Hester@tx.usda.gov</t>
  </si>
  <si>
    <t>Lashandra</t>
  </si>
  <si>
    <t>lashandra.howard@adem.arkansas.gov</t>
  </si>
  <si>
    <t>49004</t>
  </si>
  <si>
    <t>Student</t>
  </si>
  <si>
    <t>justin.r.cruz@aphis.usda.gov</t>
  </si>
  <si>
    <t>Cullis</t>
  </si>
  <si>
    <t>2122643561</t>
  </si>
  <si>
    <t>michael.cullis@gsa.gov</t>
  </si>
  <si>
    <t>Dauterive</t>
  </si>
  <si>
    <t>3139 Hwy 468 W</t>
  </si>
  <si>
    <t>39208</t>
  </si>
  <si>
    <t>601-420-6001</t>
  </si>
  <si>
    <t>601-420-6003</t>
  </si>
  <si>
    <t>Fire Services</t>
  </si>
  <si>
    <t>MS Forestry Commission</t>
  </si>
  <si>
    <t>ddauterive@mfc.state.ms.us</t>
  </si>
  <si>
    <t>Alphonse</t>
  </si>
  <si>
    <t>979-458-6062</t>
  </si>
  <si>
    <t>Alphonse.Davis@teex.tamu.edu</t>
  </si>
  <si>
    <t>Doughty</t>
  </si>
  <si>
    <t>PO Box 210036</t>
  </si>
  <si>
    <t>85721-0036</t>
  </si>
  <si>
    <t>520-954-0610</t>
  </si>
  <si>
    <t>sdoughty@ag.arizona.edu</t>
  </si>
  <si>
    <t>999 E St NW</t>
  </si>
  <si>
    <t>FEC</t>
  </si>
  <si>
    <t>Carico</t>
  </si>
  <si>
    <t>9988 Hibert Street, Suite 102</t>
  </si>
  <si>
    <t>858-537-5145</t>
  </si>
  <si>
    <t>mark.carico@gsa.gov</t>
  </si>
  <si>
    <t>P.O. Box 849</t>
  </si>
  <si>
    <t>505-786-4163</t>
  </si>
  <si>
    <t>acarron@navajotech.edu</t>
  </si>
  <si>
    <t>Siobhan</t>
  </si>
  <si>
    <t>307 S. Dallas</t>
  </si>
  <si>
    <t>Alton</t>
  </si>
  <si>
    <t>78573</t>
  </si>
  <si>
    <t>Cimics</t>
  </si>
  <si>
    <t>8001 Shin Oak Drive</t>
  </si>
  <si>
    <t>Live Oak</t>
  </si>
  <si>
    <t>210-653-9140</t>
  </si>
  <si>
    <t>210-653-2766</t>
  </si>
  <si>
    <t>City of Live Oak</t>
  </si>
  <si>
    <t>dgoza@liveoaktx.net</t>
  </si>
  <si>
    <t>william</t>
  </si>
  <si>
    <t>clark</t>
  </si>
  <si>
    <t>202-219-1813</t>
  </si>
  <si>
    <t>william.clark@gsa.gov</t>
  </si>
  <si>
    <t>rm 6003</t>
  </si>
  <si>
    <t>703 605 2764</t>
  </si>
  <si>
    <t>thomas.corcoran@gsa.gov</t>
  </si>
  <si>
    <t>Navajo North Agency</t>
  </si>
  <si>
    <t>22675 N.Moorefield Rd Bldg6420</t>
  </si>
  <si>
    <t>Moore Air Base</t>
  </si>
  <si>
    <t>956-205-7600</t>
  </si>
  <si>
    <t>956-2057631</t>
  </si>
  <si>
    <t>ramon.benavides@usda.gov</t>
  </si>
  <si>
    <t>W.James</t>
  </si>
  <si>
    <t>Biederman</t>
  </si>
  <si>
    <t>400  15th St SW</t>
  </si>
  <si>
    <t>2539317806</t>
  </si>
  <si>
    <t>wjames.biederman@gsa.gov</t>
  </si>
  <si>
    <t>Brickley</t>
  </si>
  <si>
    <t>979-862-1512</t>
  </si>
  <si>
    <t>Public Safety &amp; Security</t>
  </si>
  <si>
    <t>ed.brickley@teex.tamu.edu</t>
  </si>
  <si>
    <t>Briest</t>
  </si>
  <si>
    <t>11687 Wynnfield Lakes Circle</t>
  </si>
  <si>
    <t>32246</t>
  </si>
  <si>
    <t>253-931-7553</t>
  </si>
  <si>
    <t>daniel.briest@gsa.gov</t>
  </si>
  <si>
    <t>2601 Meacham Boulevard</t>
  </si>
  <si>
    <t>817-222-4330</t>
  </si>
  <si>
    <t>lawrence.ayers@faa.gov</t>
  </si>
  <si>
    <t>CHE</t>
  </si>
  <si>
    <t>BARNETT</t>
  </si>
  <si>
    <t>330 Independence Ave SW Rm G-644</t>
  </si>
  <si>
    <t>202-236-5700</t>
  </si>
  <si>
    <t>che.barnett@hhs.gov</t>
  </si>
  <si>
    <t>GSA Training and Expo 2012
Attendee List (1,680)</t>
  </si>
  <si>
    <t>State</t>
  </si>
  <si>
    <t>Postal
Code</t>
  </si>
  <si>
    <t>dawn.x.griffin@aphis.usda.gov</t>
  </si>
  <si>
    <t>920 Main Campus Drive Suite 200</t>
  </si>
  <si>
    <t>919-855-7248</t>
  </si>
  <si>
    <t>*****</t>
  </si>
  <si>
    <t>Bollinger</t>
  </si>
  <si>
    <t>bollinger.70@osu.edu</t>
  </si>
  <si>
    <t>1680 Madison Avenue</t>
  </si>
  <si>
    <t>Wooster</t>
  </si>
  <si>
    <t>44691</t>
  </si>
  <si>
    <t>330-263-3915</t>
  </si>
  <si>
    <t>Correa</t>
  </si>
  <si>
    <t>jaime.correa@fsis.usda.gov</t>
  </si>
  <si>
    <t>5835 Callaghan Rd.</t>
  </si>
  <si>
    <t>Suite # 104</t>
  </si>
  <si>
    <t>78228</t>
  </si>
  <si>
    <t>210-347-2045</t>
  </si>
  <si>
    <t>FSIS</t>
  </si>
  <si>
    <t>Fedevich</t>
  </si>
  <si>
    <t>fedevich.1@osu.edu</t>
  </si>
  <si>
    <t>1680 Madison Ave</t>
  </si>
  <si>
    <t>330-263-3620</t>
  </si>
  <si>
    <t>OARDC</t>
  </si>
  <si>
    <t>Gilmore</t>
  </si>
  <si>
    <t>mgilmore@fs.fed.us</t>
  </si>
  <si>
    <t>USDA FORERST SERVICE</t>
  </si>
  <si>
    <t>11 Campus ste 200</t>
  </si>
  <si>
    <t>Newtown Square</t>
  </si>
  <si>
    <t>19073</t>
  </si>
  <si>
    <t>610-557-4149</t>
  </si>
  <si>
    <t>610-557-4150</t>
  </si>
  <si>
    <t>Nathaniel</t>
  </si>
  <si>
    <t>nathanielbgrant@fs.fed.us</t>
  </si>
  <si>
    <t>11 Campus Blvd</t>
  </si>
  <si>
    <t>New Town Square</t>
  </si>
  <si>
    <t>6105574206</t>
  </si>
  <si>
    <t>6105574150</t>
  </si>
  <si>
    <t>Nyren</t>
  </si>
  <si>
    <t>p.nyren@ndsu.edu</t>
  </si>
  <si>
    <t>4824 48th Ave SE</t>
  </si>
  <si>
    <t>Streeter, ND</t>
  </si>
  <si>
    <t>Streeter</t>
  </si>
  <si>
    <t>ND</t>
  </si>
  <si>
    <t>58483</t>
  </si>
  <si>
    <t>701-424-3606</t>
  </si>
  <si>
    <t>701-424-3616</t>
  </si>
  <si>
    <t>North Dakota State Univ.</t>
  </si>
  <si>
    <t>Vendrell</t>
  </si>
  <si>
    <t>eduardo.vendrell@fsis.usda.com</t>
  </si>
  <si>
    <t>5835 Callaghan Rd. #104</t>
  </si>
  <si>
    <t>210-684-7868</t>
  </si>
  <si>
    <t>Coulter</t>
  </si>
  <si>
    <t>james.coulter@fsis.usda.gov</t>
  </si>
  <si>
    <t>5835 Callaghan Rd Ste 104</t>
  </si>
  <si>
    <t>Food Safety and Inspectio</t>
  </si>
  <si>
    <t>tina</t>
  </si>
  <si>
    <t>henarie</t>
  </si>
  <si>
    <t>tina.henarie@fsis.usda.gov</t>
  </si>
  <si>
    <t>5835 Callaghad Road, Suite 104</t>
  </si>
  <si>
    <t>210684-7868</t>
  </si>
  <si>
    <t>Mulvenna</t>
  </si>
  <si>
    <t>bmulvenna@evergreenits.com</t>
  </si>
  <si>
    <t>1400 Independence Avenue</t>
  </si>
  <si>
    <t>3012706200</t>
  </si>
  <si>
    <t>WCTS</t>
  </si>
  <si>
    <t>anne.nyren@ndsu.edu</t>
  </si>
  <si>
    <t>7276 14th St. NW</t>
  </si>
  <si>
    <t>Garrison</t>
  </si>
  <si>
    <t>58540</t>
  </si>
  <si>
    <t>701-320-5869</t>
  </si>
  <si>
    <t>North Dakota St. Univ.</t>
  </si>
  <si>
    <t>Olaya</t>
  </si>
  <si>
    <t>Valadez</t>
  </si>
  <si>
    <t>olaya.valadez@fsis.usda.gov</t>
  </si>
  <si>
    <t>6835 Callaghan Rd</t>
  </si>
  <si>
    <t>2106847868</t>
  </si>
  <si>
    <t>Beechie</t>
  </si>
  <si>
    <t>8437501290</t>
  </si>
  <si>
    <t>Pereira</t>
  </si>
  <si>
    <t>Leigh</t>
  </si>
  <si>
    <t>3144 Webb School Road</t>
  </si>
  <si>
    <t>Oxford</t>
  </si>
  <si>
    <t>27565</t>
  </si>
  <si>
    <t>9196906404</t>
  </si>
  <si>
    <t>hplummer@wildblue.net</t>
  </si>
  <si>
    <t>Umeki</t>
  </si>
  <si>
    <t>Thorne</t>
  </si>
  <si>
    <t>umeki.thorne@hq.doe.gov</t>
  </si>
  <si>
    <t>1000 Independence Ave., SW</t>
  </si>
  <si>
    <t>Germantown Bldg.</t>
  </si>
  <si>
    <t>301-903-4597</t>
  </si>
  <si>
    <t>Dunmore</t>
  </si>
  <si>
    <t>vera.dunmore@hq.doe.gov</t>
  </si>
  <si>
    <t>20020</t>
  </si>
  <si>
    <t>2025864047</t>
  </si>
  <si>
    <t>Dept of Housing HUD</t>
  </si>
  <si>
    <t>Brooks</t>
  </si>
  <si>
    <t>hope.a.brooks@hud.gov</t>
  </si>
  <si>
    <t>451 7th Street SW</t>
  </si>
  <si>
    <t>Room 5256</t>
  </si>
  <si>
    <t>202-402-2033</t>
  </si>
  <si>
    <t>Fryer-Scott</t>
  </si>
  <si>
    <t>Joy.V.Fryer-Scott@HUD.gov</t>
  </si>
  <si>
    <t>40 Marietta Street</t>
  </si>
  <si>
    <t>14th Floor</t>
  </si>
  <si>
    <t>678-732-2902</t>
  </si>
  <si>
    <t>john</t>
  </si>
  <si>
    <t>Gurrola</t>
  </si>
  <si>
    <t>115b concow blvd</t>
  </si>
  <si>
    <t>p.o. box 682</t>
  </si>
  <si>
    <t>7079836835</t>
  </si>
  <si>
    <t>Sonnier</t>
  </si>
  <si>
    <t>brian.e.sonnier@hud.gov</t>
  </si>
  <si>
    <t>801 Cherry Street</t>
  </si>
  <si>
    <t>Unit 45 Suite 2500</t>
  </si>
  <si>
    <t>817-978-5407</t>
  </si>
  <si>
    <t>10 Jackson Street</t>
  </si>
  <si>
    <t>Quapaw</t>
  </si>
  <si>
    <t>74363</t>
  </si>
  <si>
    <t>918-533-3571</t>
  </si>
  <si>
    <t>Quapaw Tribe</t>
  </si>
  <si>
    <t>ROSETTA</t>
  </si>
  <si>
    <t>HENDERSON</t>
  </si>
  <si>
    <t>ROSETTA_E_HENDERSON@NBC.GOV</t>
  </si>
  <si>
    <t>1849 C ST NW</t>
  </si>
  <si>
    <t>ROOM 1552</t>
  </si>
  <si>
    <t>2022083412</t>
  </si>
  <si>
    <t>OS/NATIONAL BUSINESS CENT</t>
  </si>
  <si>
    <t>MELISSA</t>
  </si>
  <si>
    <t>WILKERSON</t>
  </si>
  <si>
    <t>melissa_g_wilkerson@nbc.gov</t>
  </si>
  <si>
    <t>1849 C ST, NW</t>
  </si>
  <si>
    <t>MS-1540</t>
  </si>
  <si>
    <t>202-208-3742</t>
  </si>
  <si>
    <t>202-208-4850</t>
  </si>
  <si>
    <t>OS/NATIONAL BISINESS CENT</t>
  </si>
  <si>
    <t>leonard_fletcher@nps.gov</t>
  </si>
  <si>
    <t>2202 Roosevelt Ave</t>
  </si>
  <si>
    <t>210-534-8875</t>
  </si>
  <si>
    <t>Denise_Miller@nps.gov</t>
  </si>
  <si>
    <t>1100 Ohio Drive, SW</t>
  </si>
  <si>
    <t>Room-140</t>
  </si>
  <si>
    <t>20011</t>
  </si>
  <si>
    <t>202-619-7227</t>
  </si>
  <si>
    <t>202-260-8271</t>
  </si>
  <si>
    <t>Schaaf</t>
  </si>
  <si>
    <t>john_schaaf@nps.gov</t>
  </si>
  <si>
    <t>15 State St</t>
  </si>
  <si>
    <t>02109</t>
  </si>
  <si>
    <t>617-223-5091</t>
  </si>
  <si>
    <t>Campbell-Jones</t>
  </si>
  <si>
    <t>marquette.campbell-jones@ic.gov</t>
  </si>
  <si>
    <t>935 Pennsylvania Ave</t>
  </si>
  <si>
    <t>202-621-2216</t>
  </si>
  <si>
    <t>howard.duQuette@IC.fbi.gov</t>
  </si>
  <si>
    <t>2501 Investigation parkway</t>
  </si>
  <si>
    <t>JOSHUA</t>
  </si>
  <si>
    <t>GONZALEZ</t>
  </si>
  <si>
    <t>JOSHUA_GONZALEZ@TXWP.USCOURTS.GOV</t>
  </si>
  <si>
    <t>727 E. Cesar E. Chavez Blvd., Ste. B-310</t>
  </si>
  <si>
    <t>210-244-5316</t>
  </si>
  <si>
    <t>US Probation Office</t>
  </si>
  <si>
    <t>john.krulljr@ic.fbi.gov</t>
  </si>
  <si>
    <t>703-632-7117</t>
  </si>
  <si>
    <t>Mario E.</t>
  </si>
  <si>
    <t>m1ramirez@bop.gov</t>
  </si>
  <si>
    <t>P.O. Box 1000</t>
  </si>
  <si>
    <t>915-791-9000</t>
  </si>
  <si>
    <t>Tindrell</t>
  </si>
  <si>
    <t>Kimberley_tindrell@iasp.uscourts.iasp.gov</t>
  </si>
  <si>
    <t>110 East Court Avenue</t>
  </si>
  <si>
    <t>515-284-6209</t>
  </si>
  <si>
    <t>515-284-6201</t>
  </si>
  <si>
    <t>United States Probation</t>
  </si>
  <si>
    <t>Bickle</t>
  </si>
  <si>
    <t>cbickle@bop.gov</t>
  </si>
  <si>
    <t>727 East Cesar Chavez, Suite B-506</t>
  </si>
  <si>
    <t>210-472-6200</t>
  </si>
  <si>
    <t>Associate Warden</t>
  </si>
  <si>
    <t>Gonzalo</t>
  </si>
  <si>
    <t>jesparza@bop.gov</t>
  </si>
  <si>
    <t>Three Rivers, TX</t>
  </si>
  <si>
    <t>361-786-5084</t>
  </si>
  <si>
    <t>joseph</t>
  </si>
  <si>
    <t>mata</t>
  </si>
  <si>
    <t>jmata@bop.gov</t>
  </si>
  <si>
    <t>west hwy 72</t>
  </si>
  <si>
    <t>three rivers</t>
  </si>
  <si>
    <t>361-786-3576</t>
  </si>
  <si>
    <t>damolina@bop.gov</t>
  </si>
  <si>
    <t>g2roberts@bop.gov</t>
  </si>
  <si>
    <t>Hwy 72 West</t>
  </si>
  <si>
    <t>Ybanez</t>
  </si>
  <si>
    <t>vybanez@bop.gov</t>
  </si>
  <si>
    <t>MANUEL</t>
  </si>
  <si>
    <t>DELAGARZA</t>
  </si>
  <si>
    <t>MDELAGARZA@BOP.GOV</t>
  </si>
  <si>
    <t>laura</t>
  </si>
  <si>
    <t>gonzalez</t>
  </si>
  <si>
    <t>lxxxgonzalez@bop.gov</t>
  </si>
  <si>
    <t>po box 4000</t>
  </si>
  <si>
    <t>Deriek</t>
  </si>
  <si>
    <t>ddhenry@bop.gov</t>
  </si>
  <si>
    <t>lora</t>
  </si>
  <si>
    <t>makowski</t>
  </si>
  <si>
    <t>lora.makowski@usdoj.gov</t>
  </si>
  <si>
    <t>601 NW Loop 410</t>
  </si>
  <si>
    <t>210-384-7000</t>
  </si>
  <si>
    <t>Enrique</t>
  </si>
  <si>
    <t>Nava</t>
  </si>
  <si>
    <t>5740 University Hts</t>
  </si>
  <si>
    <t>210-650-6265</t>
  </si>
  <si>
    <t>Lucille</t>
  </si>
  <si>
    <t>lucille_perez@txwd.uscourts.gov</t>
  </si>
  <si>
    <t>Federal Bldg</t>
  </si>
  <si>
    <t>727 E Cesar E Chavez Blvd, Rm B212</t>
  </si>
  <si>
    <t>U.S.Probation</t>
  </si>
  <si>
    <t>Johnnie Kaye</t>
  </si>
  <si>
    <t>Raymond</t>
  </si>
  <si>
    <t>Johnnie.Raymond@ci.irs.gov</t>
  </si>
  <si>
    <t>One International Centre</t>
  </si>
  <si>
    <t>100 NE Loop 410, Suite 400</t>
  </si>
  <si>
    <t>78216-4717</t>
  </si>
  <si>
    <t>210-841-8583</t>
  </si>
  <si>
    <t>210-841-8570</t>
  </si>
  <si>
    <t>ALLEN</t>
  </si>
  <si>
    <t>SYLVAN</t>
  </si>
  <si>
    <t>allen.sylvan@USDOJ.GOV</t>
  </si>
  <si>
    <t>601 NW LOOP 410 #601</t>
  </si>
  <si>
    <t>79216</t>
  </si>
  <si>
    <t>210-384-7435</t>
  </si>
  <si>
    <t>CDR</t>
  </si>
  <si>
    <t>Cassondra</t>
  </si>
  <si>
    <t>c3white@bop.gov</t>
  </si>
  <si>
    <t>727 E Cesar Chavez - ste B138</t>
  </si>
  <si>
    <t>210-472-4510</t>
  </si>
  <si>
    <t>Lt. Colonel/Commander (05)</t>
  </si>
  <si>
    <t>Vickie</t>
  </si>
  <si>
    <t>Zamzow</t>
  </si>
  <si>
    <t>vzamzow@bop.gov</t>
  </si>
  <si>
    <t>PO Box 4000</t>
  </si>
  <si>
    <t>Leeann</t>
  </si>
  <si>
    <t>Bartlett</t>
  </si>
  <si>
    <t>lbartlett@bop.gov</t>
  </si>
  <si>
    <t>8 miles west hwy 72</t>
  </si>
  <si>
    <t>Bryant</t>
  </si>
  <si>
    <t>sbryant@bop.gov</t>
  </si>
  <si>
    <t>Gonzales</t>
  </si>
  <si>
    <t>smgonzales@bop.gov</t>
  </si>
  <si>
    <t>727 E. Cesar E. Chavez Blvd.,Suite B-138</t>
  </si>
  <si>
    <t>Santiago</t>
  </si>
  <si>
    <t>bop24723@bop.gov</t>
  </si>
  <si>
    <t>p.o.box 4000</t>
  </si>
  <si>
    <t>Ortega</t>
  </si>
  <si>
    <t>mdortega@bop.gov</t>
  </si>
  <si>
    <t>Partridge</t>
  </si>
  <si>
    <t>JPartridge@bop.gov</t>
  </si>
  <si>
    <t>727 E Cesar Chave</t>
  </si>
  <si>
    <t>san antonio</t>
  </si>
  <si>
    <t>Raul</t>
  </si>
  <si>
    <t>R2reyes@bop.gov</t>
  </si>
  <si>
    <t>GS-06</t>
  </si>
  <si>
    <t>Sepulveda</t>
  </si>
  <si>
    <t>ysepulveda@bop.gov</t>
  </si>
  <si>
    <t>727 e cesar chaves blvd b-138</t>
  </si>
  <si>
    <t>210-4752-6225</t>
  </si>
  <si>
    <t>ETrevino@bop.gov</t>
  </si>
  <si>
    <t>727 E cesar chavez Blvd. Rm. B-138</t>
  </si>
  <si>
    <t>210-472-6277</t>
  </si>
  <si>
    <t>Yarbrough</t>
  </si>
  <si>
    <t>jyarbrough@bop.gov</t>
  </si>
  <si>
    <t>727 Cesar E. Chavez Blvd.</t>
  </si>
  <si>
    <t>Suite B-138</t>
  </si>
  <si>
    <t>Alejandro</t>
  </si>
  <si>
    <t>Bonino</t>
  </si>
  <si>
    <t>boninoac@state.gov</t>
  </si>
  <si>
    <t>Paseo de la Reforma 305</t>
  </si>
  <si>
    <t>Mexico D.F.</t>
  </si>
  <si>
    <t>06500</t>
  </si>
  <si>
    <t>5255 50802990</t>
  </si>
  <si>
    <t>Calderone</t>
  </si>
  <si>
    <t>Atlantic City Int'l Airport</t>
  </si>
  <si>
    <t>Atlantic City</t>
  </si>
  <si>
    <t>609-485-4085</t>
  </si>
  <si>
    <t>gloria.richmond@faa.gov</t>
  </si>
  <si>
    <t>800 Independence Ave</t>
  </si>
  <si>
    <t>202-493-5986</t>
  </si>
  <si>
    <t>Federal Motor Carrier Saf</t>
  </si>
  <si>
    <t>Clifton</t>
  </si>
  <si>
    <t>Collins</t>
  </si>
  <si>
    <t>clifton.collins@faa.gov</t>
  </si>
  <si>
    <t>817-222-4342</t>
  </si>
  <si>
    <t>817-222-5994</t>
  </si>
  <si>
    <t>Fila</t>
  </si>
  <si>
    <t>rfila@Nciin.com</t>
  </si>
  <si>
    <t>300 D St</t>
  </si>
  <si>
    <t>703-707-6740</t>
  </si>
  <si>
    <t>Kuykendall</t>
  </si>
  <si>
    <t>kenneth.kuykendall@txdot.gov</t>
  </si>
  <si>
    <t>4615 N.W. Loop 410</t>
  </si>
  <si>
    <t>210-615-5956</t>
  </si>
  <si>
    <t>Erasmo (Sal)</t>
  </si>
  <si>
    <t>sal.salazar@txdot.gov</t>
  </si>
  <si>
    <t>4615 NW Loop 410</t>
  </si>
  <si>
    <t>210-615-5955</t>
  </si>
  <si>
    <t>210-615-5963</t>
  </si>
  <si>
    <t>TX Dept of Transportation</t>
  </si>
  <si>
    <t>Lou Anna</t>
  </si>
  <si>
    <t>LouAnna.Garcia@txdot.gov</t>
  </si>
  <si>
    <t>1701 South Padre Island Dr</t>
  </si>
  <si>
    <t>78416</t>
  </si>
  <si>
    <t>361-808-2385</t>
  </si>
  <si>
    <t>361-808-2438</t>
  </si>
  <si>
    <t>tom.ctr.hughes@faa.gov</t>
  </si>
  <si>
    <t>300 D Street SW</t>
  </si>
  <si>
    <t>Suite 823</t>
  </si>
  <si>
    <t>202 385 4110</t>
  </si>
  <si>
    <t>Talbert</t>
  </si>
  <si>
    <t>Charlene.Talbert@irs.gov</t>
  </si>
  <si>
    <t>5000 Ellin Road, B5-223</t>
  </si>
  <si>
    <t>202-283-2691</t>
  </si>
  <si>
    <t>kathy.a.thompson@irs.gov</t>
  </si>
  <si>
    <t>IRS</t>
  </si>
  <si>
    <t>5000 Ellin Road (B5-188)</t>
  </si>
  <si>
    <t>202-283-4640</t>
  </si>
  <si>
    <t>Feria</t>
  </si>
  <si>
    <t>Adrienne.Feria@irs.gov</t>
  </si>
  <si>
    <t>512-460-2996</t>
  </si>
  <si>
    <t>Helene</t>
  </si>
  <si>
    <t>Rice</t>
  </si>
  <si>
    <t>Helene.Rice@ttb.gov</t>
  </si>
  <si>
    <t>1310 G. Street, NW Box 12</t>
  </si>
  <si>
    <t>202-453-2167</t>
  </si>
  <si>
    <t>Joyce.Rose@ttb.gov</t>
  </si>
  <si>
    <t>1310 G Street NW</t>
  </si>
  <si>
    <t>202-453-2026</t>
  </si>
  <si>
    <t>TTB</t>
  </si>
  <si>
    <t>Ramiro</t>
  </si>
  <si>
    <t>Vasquez</t>
  </si>
  <si>
    <t>ramiro.vasquez@ci.irs.gov</t>
  </si>
  <si>
    <t>100 NE Loop 410</t>
  </si>
  <si>
    <t>Ste 400</t>
  </si>
  <si>
    <t>210-841-8554</t>
  </si>
  <si>
    <t>210-841-8560</t>
  </si>
  <si>
    <t>JUSTINA</t>
  </si>
  <si>
    <t>HAMBERG</t>
  </si>
  <si>
    <t>justina.hamberg@va.gov</t>
  </si>
  <si>
    <t>1701 DIRECTORS BLVD</t>
  </si>
  <si>
    <t>SUITE 600</t>
  </si>
  <si>
    <t>512-981-4310</t>
  </si>
  <si>
    <t>Wellen</t>
  </si>
  <si>
    <t>susan.wellen@va.gov</t>
  </si>
  <si>
    <t>240-439-6442</t>
  </si>
  <si>
    <t>Armesto</t>
  </si>
  <si>
    <t>diana.armesto@va.gov</t>
  </si>
  <si>
    <t>5129814477</t>
  </si>
  <si>
    <t>Office of Acquisition Ope</t>
  </si>
  <si>
    <t>Ford</t>
  </si>
  <si>
    <t>Heard</t>
  </si>
  <si>
    <t>ford.heard@va.gov</t>
  </si>
  <si>
    <t>810 Vermont Avenue NW</t>
  </si>
  <si>
    <t>0001</t>
  </si>
  <si>
    <t>202-461-6877</t>
  </si>
  <si>
    <t>202-495-5390</t>
  </si>
  <si>
    <t>Ofc of Acq. &amp; Logistics</t>
  </si>
  <si>
    <t>Hooge</t>
  </si>
  <si>
    <t>lindsey.hooge@va.gov</t>
  </si>
  <si>
    <t>1701 Directors Blvd., Suite 600</t>
  </si>
  <si>
    <t>512-981-4440</t>
  </si>
  <si>
    <t>douglas.james2@va.gov</t>
  </si>
  <si>
    <t>8420 Progress Dr</t>
  </si>
  <si>
    <t>2406576270</t>
  </si>
  <si>
    <t>OAO</t>
  </si>
  <si>
    <t>lloyd.owens@va.gov</t>
  </si>
  <si>
    <t>1701 Director's Blvd Suite 600</t>
  </si>
  <si>
    <t>512-981-4474</t>
  </si>
  <si>
    <t>wilbur</t>
  </si>
  <si>
    <t>sampson</t>
  </si>
  <si>
    <t>wilbur.sampson@va.gov</t>
  </si>
  <si>
    <t>2002 holcombe blvd</t>
  </si>
  <si>
    <t>7137191414</t>
  </si>
  <si>
    <t>jim</t>
  </si>
  <si>
    <t>ernst</t>
  </si>
  <si>
    <t>jim.ernst@va.gov</t>
  </si>
  <si>
    <t>1615 woodward st.</t>
  </si>
  <si>
    <t>512 326-6134</t>
  </si>
  <si>
    <t>EPA</t>
  </si>
  <si>
    <t>rodriguez.alice@epa.gov</t>
  </si>
  <si>
    <t>600 Wilshire Blvd., Suite 900</t>
  </si>
  <si>
    <t>90017</t>
  </si>
  <si>
    <t>213-244-1900</t>
  </si>
  <si>
    <t>213-244-1933</t>
  </si>
  <si>
    <t>Steph</t>
  </si>
  <si>
    <t>Wilson-Coleman</t>
  </si>
  <si>
    <t>stephanie.wilson-coleman@gsa.gov</t>
  </si>
  <si>
    <t>230 S. Deaborn, Room 3280</t>
  </si>
  <si>
    <t>312-886-8194</t>
  </si>
  <si>
    <t>312-886-3827</t>
  </si>
  <si>
    <t>Blankenship</t>
  </si>
  <si>
    <t>warren.blankenship@gsa.gov</t>
  </si>
  <si>
    <t>703-605-3134</t>
  </si>
  <si>
    <t>703-605-9944</t>
  </si>
  <si>
    <t>RICHARD</t>
  </si>
  <si>
    <t>kAUFMAN</t>
  </si>
  <si>
    <t>RICHARD.KAUFMAN@PARSONS.COM</t>
  </si>
  <si>
    <t>100 m st se</t>
  </si>
  <si>
    <t>WASHINGTON dc</t>
  </si>
  <si>
    <t>20003</t>
  </si>
  <si>
    <t>2029270643</t>
  </si>
  <si>
    <t>1640 King Street</t>
  </si>
  <si>
    <t>alexandria</t>
  </si>
  <si>
    <t>703 447 7431</t>
  </si>
  <si>
    <t>Walt</t>
  </si>
  <si>
    <t>Nicholson</t>
  </si>
  <si>
    <t>walt.nicholson@gsa.gov</t>
  </si>
  <si>
    <t>1275 First Dtreet NE</t>
  </si>
  <si>
    <t>20037</t>
  </si>
  <si>
    <t>2025010977</t>
  </si>
  <si>
    <t>6175656727</t>
  </si>
  <si>
    <t>Povenmire</t>
  </si>
  <si>
    <t>elizabeth.povenmire@protiviti.com</t>
  </si>
  <si>
    <t>703-655-6173</t>
  </si>
  <si>
    <t>todd.richards@gsa.gov</t>
  </si>
  <si>
    <t>819 Taylor St.</t>
  </si>
  <si>
    <t>817-850-8382</t>
  </si>
  <si>
    <t>Shipp</t>
  </si>
  <si>
    <t>velma.shipp@gsa.gov</t>
  </si>
  <si>
    <t>2200Crystal Drive</t>
  </si>
  <si>
    <t>703-605-5552</t>
  </si>
  <si>
    <t>anthony.vera@gsa.gov</t>
  </si>
  <si>
    <t>727 E. Durango Blvd</t>
  </si>
  <si>
    <t>210 472-6040</t>
  </si>
  <si>
    <t>bonnie</t>
  </si>
  <si>
    <t>wright-comer</t>
  </si>
  <si>
    <t>77 forsyth st</t>
  </si>
  <si>
    <t>Barroso</t>
  </si>
  <si>
    <t>tom.barroso@gsa.gov</t>
  </si>
  <si>
    <t>301 7th and D Streets, SW</t>
  </si>
  <si>
    <t>Room 6100</t>
  </si>
  <si>
    <t>202 401 4232</t>
  </si>
  <si>
    <t>mr.</t>
  </si>
  <si>
    <t>de'Wayne</t>
  </si>
  <si>
    <t>carter</t>
  </si>
  <si>
    <t>dewayne.carter@gsa.gov</t>
  </si>
  <si>
    <t>2200 crystal dr. suite 802</t>
  </si>
  <si>
    <t>cp #4</t>
  </si>
  <si>
    <t>7036052587</t>
  </si>
  <si>
    <t>teresa.jackson2@shawinc.com</t>
  </si>
  <si>
    <t>616 East Walnut Ave</t>
  </si>
  <si>
    <t>Dalton</t>
  </si>
  <si>
    <t>30720</t>
  </si>
  <si>
    <t>7064836082</t>
  </si>
  <si>
    <t>Swaby</t>
  </si>
  <si>
    <t>maria.swaby@gsa.gov</t>
  </si>
  <si>
    <t>202-208-0291</t>
  </si>
  <si>
    <t>Viola</t>
  </si>
  <si>
    <t>joanne.viola@gsa.gov</t>
  </si>
  <si>
    <t>2200 Crystal Plaza 4</t>
  </si>
  <si>
    <t>703-605-9279</t>
  </si>
  <si>
    <t>Johnny</t>
  </si>
  <si>
    <t>Crockett</t>
  </si>
  <si>
    <t>johnny.crockett@gsa.gov</t>
  </si>
  <si>
    <t>210 472-5540</t>
  </si>
  <si>
    <t>472-5541</t>
  </si>
  <si>
    <t>Dougherty</t>
  </si>
  <si>
    <t>craig.dougherty@gsa.gov</t>
  </si>
  <si>
    <t>817-852-8740</t>
  </si>
  <si>
    <t>Maldonado</t>
  </si>
  <si>
    <t>david.r.maldonado@gsa.gov</t>
  </si>
  <si>
    <t>10001 reunion place</t>
  </si>
  <si>
    <t>78230</t>
  </si>
  <si>
    <t>2104725544</t>
  </si>
  <si>
    <t>Robertson</t>
  </si>
  <si>
    <t>michael.robertson@gsa.gov</t>
  </si>
  <si>
    <t>1275 1st St NE</t>
  </si>
  <si>
    <t>Tangherlini</t>
  </si>
  <si>
    <t>x</t>
  </si>
  <si>
    <t>Trebon</t>
  </si>
  <si>
    <t>karen.trebon@gsa.gov</t>
  </si>
  <si>
    <t>1275 First Street, N.E.</t>
  </si>
  <si>
    <t>202-501-1802</t>
  </si>
  <si>
    <t>Escobedo</t>
  </si>
  <si>
    <t>edward.escobedo@gsa.gov</t>
  </si>
  <si>
    <t>10001 Reunion Place Suite 114</t>
  </si>
  <si>
    <t>915-850-8467</t>
  </si>
  <si>
    <t>Health &amp; Human Services</t>
  </si>
  <si>
    <t>40 North Central Ave</t>
  </si>
  <si>
    <t>Suite 720</t>
  </si>
  <si>
    <t>DeBerry</t>
  </si>
  <si>
    <t>jjd2@cdc.gov</t>
  </si>
  <si>
    <t>1095 Willowdale Drive</t>
  </si>
  <si>
    <t>Morgantown</t>
  </si>
  <si>
    <t>26505</t>
  </si>
  <si>
    <t>404-429-9095</t>
  </si>
  <si>
    <t>21075</t>
  </si>
  <si>
    <t>International Development</t>
  </si>
  <si>
    <t>tom_barnes@azb.uscourts.gov</t>
  </si>
  <si>
    <t>230 N. First Ave., Suite 101</t>
  </si>
  <si>
    <t>85003</t>
  </si>
  <si>
    <t>602-682-4126</t>
  </si>
  <si>
    <t>Ronda</t>
  </si>
  <si>
    <t>ronda_burton@vawp.uscourts.gov</t>
  </si>
  <si>
    <t>PO Box 1563</t>
  </si>
  <si>
    <t>Roanoke</t>
  </si>
  <si>
    <t>24007</t>
  </si>
  <si>
    <t>540-857-5192</t>
  </si>
  <si>
    <t>540-857-5182</t>
  </si>
  <si>
    <t>Laswell</t>
  </si>
  <si>
    <t>jane_laswell@kywb.uscourts.gov</t>
  </si>
  <si>
    <t>601 W. Broadway</t>
  </si>
  <si>
    <t>502-627-5775</t>
  </si>
  <si>
    <t>Barefield</t>
  </si>
  <si>
    <t>barry_barefield@lawb.uscourts.gov</t>
  </si>
  <si>
    <t>300 Fannin St., Suite 2201</t>
  </si>
  <si>
    <t>Shreveport</t>
  </si>
  <si>
    <t>71101</t>
  </si>
  <si>
    <t>318-676-4267</t>
  </si>
  <si>
    <t>318-676-3699</t>
  </si>
  <si>
    <t>jANICE</t>
  </si>
  <si>
    <t>GRANT</t>
  </si>
  <si>
    <t>JANICE_GRANT@VAED.USCOURTS.GOV</t>
  </si>
  <si>
    <t>701 East Broad Street Suite 3000</t>
  </si>
  <si>
    <t>23219</t>
  </si>
  <si>
    <t>9162212</t>
  </si>
  <si>
    <t>Haas</t>
  </si>
  <si>
    <t>christine_haas@cvb.uscourts.gov</t>
  </si>
  <si>
    <t>7550 IH 10 W Ste 600</t>
  </si>
  <si>
    <t>210-301-6307</t>
  </si>
  <si>
    <t>CVB/PACER</t>
  </si>
  <si>
    <t>Troy</t>
  </si>
  <si>
    <t>troy_moses@lawb.uscourts.gov</t>
  </si>
  <si>
    <t>Patty</t>
  </si>
  <si>
    <t>Patty_Nelson@txwb.uscourts.gov</t>
  </si>
  <si>
    <t>615 E. Houston, Suite 546</t>
  </si>
  <si>
    <t>210-308-3205</t>
  </si>
  <si>
    <t>Office of Defender Serv</t>
  </si>
  <si>
    <t>Yvette_Taylor@txwb.uscourts.gov</t>
  </si>
  <si>
    <t>Jean</t>
  </si>
  <si>
    <t>Clute</t>
  </si>
  <si>
    <t>jean_clute@aotx.uscourts.gov</t>
  </si>
  <si>
    <t>7550 IH-10 West, Suite 1100</t>
  </si>
  <si>
    <t>210-301-6394</t>
  </si>
  <si>
    <t>Kukla</t>
  </si>
  <si>
    <t>frank_kukla@txwd.uscourts.gov</t>
  </si>
  <si>
    <t>727 E. Cesar E. Chavez, #B212</t>
  </si>
  <si>
    <t>210-244-2876</t>
  </si>
  <si>
    <t>Elsa</t>
  </si>
  <si>
    <t>elsa_zamora@txwp.uscourts.gov</t>
  </si>
  <si>
    <t>727 E Cesar E Chavez</t>
  </si>
  <si>
    <t>Ste A405</t>
  </si>
  <si>
    <t>2104726590</t>
  </si>
  <si>
    <t>2102494033</t>
  </si>
  <si>
    <t>NASA</t>
  </si>
  <si>
    <t>Kagere</t>
  </si>
  <si>
    <t>freda.kagere@nasa.gov</t>
  </si>
  <si>
    <t>Bldg 18, Room 200D</t>
  </si>
  <si>
    <t>301-286-5577</t>
  </si>
  <si>
    <t>jim.garza-1@nasa.gov</t>
  </si>
  <si>
    <t>2101 Nasa Parkway</t>
  </si>
  <si>
    <t>281-244-5097</t>
  </si>
  <si>
    <t>Harkins</t>
  </si>
  <si>
    <t>darlene.harkins@nasa.gov</t>
  </si>
  <si>
    <t>10910 Greenbelt Road</t>
  </si>
  <si>
    <t>301-614-7103</t>
  </si>
  <si>
    <t>Audrey</t>
  </si>
  <si>
    <t>Montgomery</t>
  </si>
  <si>
    <t>2101 NASA Pkwy</t>
  </si>
  <si>
    <t>77508</t>
  </si>
  <si>
    <t>2817927510</t>
  </si>
  <si>
    <t>Nayles</t>
  </si>
  <si>
    <t>david.c.nayles@nasa.gov</t>
  </si>
  <si>
    <t>281-482-4202</t>
  </si>
  <si>
    <t>Oden</t>
  </si>
  <si>
    <t>gregory.a.oden@nasa.gov</t>
  </si>
  <si>
    <t>Madison</t>
  </si>
  <si>
    <t>35802</t>
  </si>
  <si>
    <t>2569619460</t>
  </si>
  <si>
    <t>Slater</t>
  </si>
  <si>
    <t>richard.t.slater@nasa.gov</t>
  </si>
  <si>
    <t>1 Nasa Parkway</t>
  </si>
  <si>
    <t>281-483-7723</t>
  </si>
  <si>
    <t>National Archives</t>
  </si>
  <si>
    <t>Hattie.Queen@nara.gov</t>
  </si>
  <si>
    <t>8601 Adelphi Road</t>
  </si>
  <si>
    <t>gina.williams@nara.gov</t>
  </si>
  <si>
    <t>4712 Southpark Blvd</t>
  </si>
  <si>
    <t>Ellenwood</t>
  </si>
  <si>
    <t>30274</t>
  </si>
  <si>
    <t>4047362829</t>
  </si>
  <si>
    <t>Flagstaff Bordertown Dormitory</t>
  </si>
  <si>
    <t>901 North Kinlani Road</t>
  </si>
  <si>
    <t>Burnside Sr</t>
  </si>
  <si>
    <t>Drawer 709</t>
  </si>
  <si>
    <t>928-871-6235</t>
  </si>
  <si>
    <t>Wilma</t>
  </si>
  <si>
    <t>wilma.hall@bia.gov.</t>
  </si>
  <si>
    <t>P.O. Box 632</t>
  </si>
  <si>
    <t>Toppenish</t>
  </si>
  <si>
    <t>98948</t>
  </si>
  <si>
    <t>509-865-2373</t>
  </si>
  <si>
    <t>918-772-4345</t>
  </si>
  <si>
    <t>Dismukes</t>
  </si>
  <si>
    <t>nporter@emdeon.com</t>
  </si>
  <si>
    <t>2045 Midway Dr</t>
  </si>
  <si>
    <t>Twinsburg</t>
  </si>
  <si>
    <t>44087</t>
  </si>
  <si>
    <t>330-405-2354</t>
  </si>
  <si>
    <t>Hill</t>
  </si>
  <si>
    <t>hilldw@si.edu</t>
  </si>
  <si>
    <t>4th and Independence Ave SW</t>
  </si>
  <si>
    <t>202-633-6798</t>
  </si>
  <si>
    <t>ACM</t>
  </si>
  <si>
    <t>1600 E. Lamar Blvd.</t>
  </si>
  <si>
    <t>76011-4125</t>
  </si>
  <si>
    <t>Natl Trans Safety Board</t>
  </si>
  <si>
    <t>richard</t>
  </si>
  <si>
    <t>morse</t>
  </si>
  <si>
    <t>richard.morse@gsa.gov</t>
  </si>
  <si>
    <t>81 Greneir St</t>
  </si>
  <si>
    <t>7813778800</t>
  </si>
  <si>
    <t>NCI Information Systems</t>
  </si>
  <si>
    <t>Alysia</t>
  </si>
  <si>
    <t>alysia.ryan@ararental.org</t>
  </si>
  <si>
    <t>1900 19 St</t>
  </si>
  <si>
    <t>Moline</t>
  </si>
  <si>
    <t>61265</t>
  </si>
  <si>
    <t>309-277-4271</t>
  </si>
  <si>
    <t>Special Assistant</t>
  </si>
  <si>
    <t>scottt@si.edu</t>
  </si>
  <si>
    <t>4220 Silver Hill Road</t>
  </si>
  <si>
    <t>301-238-1550</t>
  </si>
  <si>
    <t>301-238-3200</t>
  </si>
  <si>
    <t>NMAI</t>
  </si>
  <si>
    <t>Soltys</t>
  </si>
  <si>
    <t>james.soltys@noblis.org</t>
  </si>
  <si>
    <t>3150 Fairview Park Drive South</t>
  </si>
  <si>
    <t>Falls Church</t>
  </si>
  <si>
    <t>22042</t>
  </si>
  <si>
    <t>703-610-2872</t>
  </si>
  <si>
    <t>Noblis</t>
  </si>
  <si>
    <t>Villa</t>
  </si>
  <si>
    <t>1029 Davis E Street</t>
  </si>
  <si>
    <t>Barksdale AFB</t>
  </si>
  <si>
    <t>71110</t>
  </si>
  <si>
    <t>318-529-3361</t>
  </si>
  <si>
    <t>Military</t>
  </si>
  <si>
    <t>VEF</t>
  </si>
  <si>
    <t>ed.williams@state.vt.us</t>
  </si>
  <si>
    <t>One National Life drive</t>
  </si>
  <si>
    <t>Montpelier</t>
  </si>
  <si>
    <t>VT</t>
  </si>
  <si>
    <t>05604</t>
  </si>
  <si>
    <t>802-477-3558</t>
  </si>
  <si>
    <t>Agency of Commerce .</t>
  </si>
  <si>
    <t>Adeyemi</t>
  </si>
  <si>
    <t>jadeyemi@aoc.gov</t>
  </si>
  <si>
    <t>Rayburn House Office Building</t>
  </si>
  <si>
    <t>Independence Ave.</t>
  </si>
  <si>
    <t>SW</t>
  </si>
  <si>
    <t>20015</t>
  </si>
  <si>
    <t>202-841-5874</t>
  </si>
  <si>
    <t>Legislative Branch</t>
  </si>
  <si>
    <t>Architect of the Capitol</t>
  </si>
  <si>
    <t>Aronie</t>
  </si>
  <si>
    <t>jaronie@sheppardmullin.com</t>
  </si>
  <si>
    <t>1300 I Street, N.W.</t>
  </si>
  <si>
    <t>Suite 1200 East</t>
  </si>
  <si>
    <t>2022180039</t>
  </si>
  <si>
    <t>US Government</t>
  </si>
  <si>
    <t>Sheppard Mullin</t>
  </si>
  <si>
    <t>michele.brown@urs.com</t>
  </si>
  <si>
    <t>20501 Seneca Meadows Parkway</t>
  </si>
  <si>
    <t>suite 300</t>
  </si>
  <si>
    <t>Gemantown</t>
  </si>
  <si>
    <t>20876</t>
  </si>
  <si>
    <t>301-944-3221</t>
  </si>
  <si>
    <t>URS Federal Technical Ser</t>
  </si>
  <si>
    <t>Epstein</t>
  </si>
  <si>
    <t>shari.epstein@ifma.org</t>
  </si>
  <si>
    <t>1 E Greenway Plz</t>
  </si>
  <si>
    <t>STE 1100</t>
  </si>
  <si>
    <t>77046</t>
  </si>
  <si>
    <t>713-623-4362</t>
  </si>
  <si>
    <t>713-623-6124</t>
  </si>
  <si>
    <t>justin</t>
  </si>
  <si>
    <t>foutes</t>
  </si>
  <si>
    <t>jfoutes@assurgentmedical.com</t>
  </si>
  <si>
    <t>3355 lenox road suite 825</t>
  </si>
  <si>
    <t>30326</t>
  </si>
  <si>
    <t>8778426833</t>
  </si>
  <si>
    <t>ams locums</t>
  </si>
  <si>
    <t>Gilbertson</t>
  </si>
  <si>
    <t>jeff.gilbertson@nortexmodular.com</t>
  </si>
  <si>
    <t>555 Jubilee LN</t>
  </si>
  <si>
    <t>75056</t>
  </si>
  <si>
    <t>469-569-2132</t>
  </si>
  <si>
    <t>469-568-2134</t>
  </si>
  <si>
    <t>Nortex Modular Space</t>
  </si>
  <si>
    <t>1 Lt</t>
  </si>
  <si>
    <t>501 I st E</t>
  </si>
  <si>
    <t>Randolph AFB</t>
  </si>
  <si>
    <t>78150</t>
  </si>
  <si>
    <t>9288301100</t>
  </si>
  <si>
    <t>12 OSS</t>
  </si>
  <si>
    <t>USAF</t>
  </si>
  <si>
    <t>d-g</t>
  </si>
  <si>
    <t>byung-ahn</t>
  </si>
  <si>
    <t>kim</t>
  </si>
  <si>
    <t>kimba311@daum.net</t>
  </si>
  <si>
    <t>daejeon, korea</t>
  </si>
  <si>
    <t>daejeon</t>
  </si>
  <si>
    <t>302701</t>
  </si>
  <si>
    <t>Korea, Republic of</t>
  </si>
  <si>
    <t>010-9411-8544</t>
  </si>
  <si>
    <t>procurement service burea</t>
  </si>
  <si>
    <t>Klipstein</t>
  </si>
  <si>
    <t>8651 Estrada St.</t>
  </si>
  <si>
    <t>Navarre</t>
  </si>
  <si>
    <t>850 207 9281</t>
  </si>
  <si>
    <t>Small Business</t>
  </si>
  <si>
    <t>dymondiana@hughes.net</t>
  </si>
  <si>
    <t>229 Quail Run Rd.</t>
  </si>
  <si>
    <t>Jefferson</t>
  </si>
  <si>
    <t>75657</t>
  </si>
  <si>
    <t>903-665-9693</t>
  </si>
  <si>
    <t>dymondiana,LLC</t>
  </si>
  <si>
    <t>McClelland</t>
  </si>
  <si>
    <t>john.mcclelland@ararental.org</t>
  </si>
  <si>
    <t>1101 Vermont Ave NW</t>
  </si>
  <si>
    <t>202-289-4460</t>
  </si>
  <si>
    <t>Mojica</t>
  </si>
  <si>
    <t>rmojica@ecmintl.com</t>
  </si>
  <si>
    <t>404 Executive Center Blvd</t>
  </si>
  <si>
    <t>915 727-3357</t>
  </si>
  <si>
    <t>michael.morgan@pmi.org</t>
  </si>
  <si>
    <t>1050 Connecticut Avenune, NW</t>
  </si>
  <si>
    <t>Suite 1118 (10th Floor)</t>
  </si>
  <si>
    <t>20151</t>
  </si>
  <si>
    <t>202-772-3591</t>
  </si>
  <si>
    <t>sam</t>
  </si>
  <si>
    <t>nektalov</t>
  </si>
  <si>
    <t>875 6th ave</t>
  </si>
  <si>
    <t>10001</t>
  </si>
  <si>
    <t>212-643-9305</t>
  </si>
  <si>
    <t>Rush Passport</t>
  </si>
  <si>
    <t>MISOOK</t>
  </si>
  <si>
    <t>PARK</t>
  </si>
  <si>
    <t>yourpark11@korea.kr</t>
  </si>
  <si>
    <t>Government Complex  Dunsandong</t>
  </si>
  <si>
    <t>Daejeon city</t>
  </si>
  <si>
    <t>10-4056-7246</t>
  </si>
  <si>
    <t>505-481-1121</t>
  </si>
  <si>
    <t>PPS</t>
  </si>
  <si>
    <t>Plastridge</t>
  </si>
  <si>
    <t>bplastridge@vtsbdc.org</t>
  </si>
  <si>
    <t>79 Coventry Street , Suite 4C</t>
  </si>
  <si>
    <t>05875</t>
  </si>
  <si>
    <t>8023347933</t>
  </si>
  <si>
    <t>330 Independence Avenue SW  Cohen 2600D</t>
  </si>
  <si>
    <t>Int'l Broadcasting Bureau</t>
  </si>
  <si>
    <t>Broadcasting Board of Gov</t>
  </si>
  <si>
    <t>Puleio</t>
  </si>
  <si>
    <t>jpuleio@humanscale.com</t>
  </si>
  <si>
    <t>11 East 26th Street</t>
  </si>
  <si>
    <t>10010</t>
  </si>
  <si>
    <t>2127254745</t>
  </si>
  <si>
    <t>Rock</t>
  </si>
  <si>
    <t>arock@somacomputer.com</t>
  </si>
  <si>
    <t>1819 JFK Blvd</t>
  </si>
  <si>
    <t>Ste 460</t>
  </si>
  <si>
    <t>19103</t>
  </si>
  <si>
    <t>215-496-0303</t>
  </si>
  <si>
    <t>Attendee</t>
  </si>
  <si>
    <t>PTAC-Oregon</t>
  </si>
  <si>
    <t>2023825870</t>
  </si>
  <si>
    <t>VOA/IBB</t>
  </si>
  <si>
    <t>CPPB</t>
  </si>
  <si>
    <t>Walther</t>
  </si>
  <si>
    <t>charlotte.walther@txdot.gov</t>
  </si>
  <si>
    <t>6015 NW Loop 410</t>
  </si>
  <si>
    <t>78240</t>
  </si>
  <si>
    <t>210-615-5954</t>
  </si>
  <si>
    <t>Tx Dept of Transportation</t>
  </si>
  <si>
    <t>Woods</t>
  </si>
  <si>
    <t>arthur.woods@adem.arkansas.gov</t>
  </si>
  <si>
    <t>72119</t>
  </si>
  <si>
    <t>ADEM</t>
  </si>
  <si>
    <t>Jason</t>
  </si>
  <si>
    <t>Workmaster</t>
  </si>
  <si>
    <t>jworkmaster@mckennalong.com</t>
  </si>
  <si>
    <t>1900 K Street, NW</t>
  </si>
  <si>
    <t>20006</t>
  </si>
  <si>
    <t>202-496-7422</t>
  </si>
  <si>
    <t>DR[REV]</t>
  </si>
  <si>
    <t>THOMPSON</t>
  </si>
  <si>
    <t>AKWO</t>
  </si>
  <si>
    <t>945 MCKINNEY #415</t>
  </si>
  <si>
    <t>HOUSTON</t>
  </si>
  <si>
    <t>718 546 3099</t>
  </si>
  <si>
    <t>FAITH BASED  COMTY DEV</t>
  </si>
  <si>
    <t>Ntuba ministries  associa</t>
  </si>
  <si>
    <t>Barela</t>
  </si>
  <si>
    <t>Christopher.Barela@state.nm.us</t>
  </si>
  <si>
    <t>1990 Siringo Road</t>
  </si>
  <si>
    <t>5054761909</t>
  </si>
  <si>
    <t>NASASP</t>
  </si>
  <si>
    <t>Lichtenstein</t>
  </si>
  <si>
    <t>bryan.lichtenstein@veteransuppleirs.com</t>
  </si>
  <si>
    <t>PO Box 475100</t>
  </si>
  <si>
    <t>94147-5100</t>
  </si>
  <si>
    <t>619-804-6456</t>
  </si>
  <si>
    <t>323-372-3772</t>
  </si>
  <si>
    <t>Lowe</t>
  </si>
  <si>
    <t>clarence@starforceusa.com</t>
  </si>
  <si>
    <t>215 W. Poplar St</t>
  </si>
  <si>
    <t>78212</t>
  </si>
  <si>
    <t>210-896-3557</t>
  </si>
  <si>
    <t>Star Force</t>
  </si>
  <si>
    <t>Buyer III</t>
  </si>
  <si>
    <t>Duke</t>
  </si>
  <si>
    <t>paul.duke@utsa.edu</t>
  </si>
  <si>
    <t>One UTSA Circle</t>
  </si>
  <si>
    <t>2104584064</t>
  </si>
  <si>
    <t>2104584061</t>
  </si>
  <si>
    <t>UTSA</t>
  </si>
  <si>
    <t>Pachecano</t>
  </si>
  <si>
    <t>roy.pachecano@utsa.edu</t>
  </si>
  <si>
    <t>215 South S. Saba</t>
  </si>
  <si>
    <t>210-458-2934</t>
  </si>
  <si>
    <t>DOC-EDA</t>
  </si>
  <si>
    <t>UTSA - IED</t>
  </si>
  <si>
    <t>Personnel Management OPM</t>
  </si>
  <si>
    <t>Ifft</t>
  </si>
  <si>
    <t>Donna.Ifft@opm.gov</t>
  </si>
  <si>
    <t>1137 Branchton Road</t>
  </si>
  <si>
    <t>Boyers</t>
  </si>
  <si>
    <t>16020-009</t>
  </si>
  <si>
    <t>724-794-5612</t>
  </si>
  <si>
    <t>724-794-4688</t>
  </si>
  <si>
    <t>Wiles</t>
  </si>
  <si>
    <t>lori.wiles@opm.gov</t>
  </si>
  <si>
    <t>P.O. Box 9</t>
  </si>
  <si>
    <t>16020</t>
  </si>
  <si>
    <t>SBA</t>
  </si>
  <si>
    <t>Social Security Admin</t>
  </si>
  <si>
    <t>Edmon</t>
  </si>
  <si>
    <t>Arsiaga</t>
  </si>
  <si>
    <t>edmon.arsiaga@ssa.gov</t>
  </si>
  <si>
    <t>877 405 5864</t>
  </si>
  <si>
    <t>Dragon</t>
  </si>
  <si>
    <t>linda.dragon@ssa.gov</t>
  </si>
  <si>
    <t>727 E Cesar Chavez blvd</t>
  </si>
  <si>
    <t>877-402-0482</t>
  </si>
  <si>
    <t>sylvia</t>
  </si>
  <si>
    <t>monreal</t>
  </si>
  <si>
    <t>sylvia.m.monreal@ssa.gov</t>
  </si>
  <si>
    <t>12104724600</t>
  </si>
  <si>
    <t>Bianca</t>
  </si>
  <si>
    <t>Pulley</t>
  </si>
  <si>
    <t>bianca.pulley@ssa.gov</t>
  </si>
  <si>
    <t>727 E Cesar E. Chavez Blvd</t>
  </si>
  <si>
    <t>877-405-0482</t>
  </si>
  <si>
    <t>gs-8</t>
  </si>
  <si>
    <t>gilbert</t>
  </si>
  <si>
    <t>rodriguez</t>
  </si>
  <si>
    <t>gilbert.rodriguez@.ssa.gov</t>
  </si>
  <si>
    <t>2105772520</t>
  </si>
  <si>
    <t>Benbrook Police Dept</t>
  </si>
  <si>
    <t>James.Burton@vsp.virginia.gov</t>
  </si>
  <si>
    <t>216 Howard Drive</t>
  </si>
  <si>
    <t>Salem</t>
  </si>
  <si>
    <t>24153</t>
  </si>
  <si>
    <t>540-375-9500</t>
  </si>
  <si>
    <t>ccarrier@cox.net</t>
  </si>
  <si>
    <t>Dela Cruz</t>
  </si>
  <si>
    <t>Caller Box 10007</t>
  </si>
  <si>
    <t>Saipan, MP</t>
  </si>
  <si>
    <t>670-664-2216</t>
  </si>
  <si>
    <t>670-664-2218</t>
  </si>
  <si>
    <t>Kebin</t>
  </si>
  <si>
    <t>Haller</t>
  </si>
  <si>
    <t>kebin.haller@wyo.gov</t>
  </si>
  <si>
    <t>208 South College Drive</t>
  </si>
  <si>
    <t>82002-0150</t>
  </si>
  <si>
    <t>307-777-6612</t>
  </si>
  <si>
    <t>Wy Div Crim Investigation</t>
  </si>
  <si>
    <t>916-920-2844</t>
  </si>
  <si>
    <t>Babette</t>
  </si>
  <si>
    <t>Lizotte</t>
  </si>
  <si>
    <t>babette.lizotte@state.vt.us</t>
  </si>
  <si>
    <t>60 Main Street</t>
  </si>
  <si>
    <t>Burlington</t>
  </si>
  <si>
    <t>05401</t>
  </si>
  <si>
    <t>802-652-2134</t>
  </si>
  <si>
    <t>VTPTAC</t>
  </si>
  <si>
    <t>Sablan</t>
  </si>
  <si>
    <t>CNMIOHS</t>
  </si>
  <si>
    <t>CNMI Office of Homeland s</t>
  </si>
  <si>
    <t>Sherrod</t>
  </si>
  <si>
    <t>dsherrod@gsp.net</t>
  </si>
  <si>
    <t>959 E. Confederate Ave</t>
  </si>
  <si>
    <t>PO Box 1456</t>
  </si>
  <si>
    <t>404-624-7041</t>
  </si>
  <si>
    <t>1122 SPOC</t>
  </si>
  <si>
    <t>Willingham</t>
  </si>
  <si>
    <t>awillingham@gsp.net</t>
  </si>
  <si>
    <t>Georgia DPS</t>
  </si>
  <si>
    <t>Lane</t>
  </si>
  <si>
    <t>Brinson</t>
  </si>
  <si>
    <t>lane.brinson@utsa.edu</t>
  </si>
  <si>
    <t>210-458-4066</t>
  </si>
  <si>
    <t>Diaz</t>
  </si>
  <si>
    <t>sdiaz@bexar.org</t>
  </si>
  <si>
    <t>210-335-0671</t>
  </si>
  <si>
    <t>210-335-0673</t>
  </si>
  <si>
    <t>Donna Jean</t>
  </si>
  <si>
    <t>Ellerkamp</t>
  </si>
  <si>
    <t>donna.ellerkamp@myfloridahouse.gov</t>
  </si>
  <si>
    <t>678 SE Baya Drive</t>
  </si>
  <si>
    <t>Lake City</t>
  </si>
  <si>
    <t>32025</t>
  </si>
  <si>
    <t>386-719-4600</t>
  </si>
  <si>
    <t>House of Representatives</t>
  </si>
  <si>
    <t>Cullen</t>
  </si>
  <si>
    <t>Grissom</t>
  </si>
  <si>
    <t>cullen.grissom@teex.tamu.edu</t>
  </si>
  <si>
    <t>Texas A&amp;M University System</t>
  </si>
  <si>
    <t>979-862-3031</t>
  </si>
  <si>
    <t>979-862-2788</t>
  </si>
  <si>
    <t>matt.jordan@txdot.gov</t>
  </si>
  <si>
    <t>4615 nw loop 410</t>
  </si>
  <si>
    <t>210-615-6404</t>
  </si>
  <si>
    <t>Shayne</t>
  </si>
  <si>
    <t>shayne.kessler@teex.tamu.edu</t>
  </si>
  <si>
    <t>201 Technology Way</t>
  </si>
  <si>
    <t>77843</t>
  </si>
  <si>
    <t>979-845-7153</t>
  </si>
  <si>
    <t>Saxon</t>
  </si>
  <si>
    <t>Lemme</t>
  </si>
  <si>
    <t>saxon.lemme@ttuhsc.edu</t>
  </si>
  <si>
    <t>1400 S Coulter</t>
  </si>
  <si>
    <t>79109</t>
  </si>
  <si>
    <t>806-354-5786</t>
  </si>
  <si>
    <t>irene.maldonado@utsa.edu</t>
  </si>
  <si>
    <t>210-458-4068</t>
  </si>
  <si>
    <t>State of Texas</t>
  </si>
  <si>
    <t>University of Texas at SA</t>
  </si>
  <si>
    <t>Summerall</t>
  </si>
  <si>
    <t>rob.summerall@myfloridahouse.gov</t>
  </si>
  <si>
    <t>775-687-5282</t>
  </si>
  <si>
    <t>jim.griffin@nc.gov</t>
  </si>
  <si>
    <t>4110 Mail Service Center</t>
  </si>
  <si>
    <t>27699</t>
  </si>
  <si>
    <t>919-754-6787</t>
  </si>
  <si>
    <t>Kobryn</t>
  </si>
  <si>
    <t>tkobryn@bexar.org</t>
  </si>
  <si>
    <t>200 N. Comal</t>
  </si>
  <si>
    <t>210-208-5786</t>
  </si>
  <si>
    <t>Portelli</t>
  </si>
  <si>
    <t>Rowe</t>
  </si>
  <si>
    <t>rrowe@cpsenergy.com</t>
  </si>
  <si>
    <t>145 Navarro</t>
  </si>
  <si>
    <t>78296</t>
  </si>
  <si>
    <t>210 353-3081</t>
  </si>
  <si>
    <t>CPS Energy</t>
  </si>
  <si>
    <t>San Miguel</t>
  </si>
  <si>
    <t>asanmiguel2@bexar.org</t>
  </si>
  <si>
    <t>9591 Maidenstone Dr.</t>
  </si>
  <si>
    <t>78250</t>
  </si>
  <si>
    <t>210-364-1166</t>
  </si>
  <si>
    <t>karen</t>
  </si>
  <si>
    <t>tiseth</t>
  </si>
  <si>
    <t>1601 buena vista</t>
  </si>
  <si>
    <t>san anyoni0</t>
  </si>
  <si>
    <t>2102911111</t>
  </si>
  <si>
    <t>CLARICE</t>
  </si>
  <si>
    <t>KHAN</t>
  </si>
  <si>
    <t>10410 PERRIN BEITEL</t>
  </si>
  <si>
    <t>78239</t>
  </si>
  <si>
    <t>210-368-1712</t>
  </si>
  <si>
    <t>Tripp</t>
  </si>
  <si>
    <t>Brinkley</t>
  </si>
  <si>
    <t>tcbrinkley@uspis.gov</t>
  </si>
  <si>
    <t>650 N Sam Houston Pkwy W</t>
  </si>
  <si>
    <t>77067-9000</t>
  </si>
  <si>
    <t>713-238-4409</t>
  </si>
  <si>
    <t>Erik</t>
  </si>
  <si>
    <t>erik.e.nyren@usps.gov</t>
  </si>
  <si>
    <t>475 Lenfant Plaza</t>
  </si>
  <si>
    <t>202-268-2000</t>
  </si>
  <si>
    <t>3LinksTecknologies Inc</t>
  </si>
  <si>
    <t>Business Development</t>
  </si>
  <si>
    <t>Bouchra</t>
  </si>
  <si>
    <t>Braiber</t>
  </si>
  <si>
    <t>bbraiber@3linkstechnologies.com</t>
  </si>
  <si>
    <t xml:space="preserve">8701 Georgia Av, suite 705 </t>
  </si>
  <si>
    <t>AAF International</t>
  </si>
  <si>
    <t>National Accounts Manager</t>
  </si>
  <si>
    <t>Gwaltney</t>
  </si>
  <si>
    <t>cgwaltney@aafintl.com</t>
  </si>
  <si>
    <t>10300 Ormsby Park Place</t>
  </si>
  <si>
    <t>40223</t>
  </si>
  <si>
    <t>AB Floyd Enterprises</t>
  </si>
  <si>
    <t>VP Business Development</t>
  </si>
  <si>
    <t>TC</t>
  </si>
  <si>
    <t>Newman</t>
  </si>
  <si>
    <t>tcnewman@abfloydllc.com</t>
  </si>
  <si>
    <t>4600 Touchton Road</t>
  </si>
  <si>
    <t>Bldg # 100 Ste 150</t>
  </si>
  <si>
    <t>ABC Vacuum</t>
  </si>
  <si>
    <t xml:space="preserve">Owner/VP </t>
  </si>
  <si>
    <t>Baccus</t>
  </si>
  <si>
    <t xml:space="preserve">10606 bluff bend Dr. </t>
  </si>
  <si>
    <t>Able Kitchen, LLC</t>
  </si>
  <si>
    <t>Schulman</t>
  </si>
  <si>
    <t>joe@ablekitchen.com</t>
  </si>
  <si>
    <t>540-B Willow Avenue</t>
  </si>
  <si>
    <t>Cedarhurst</t>
  </si>
  <si>
    <t>11516</t>
  </si>
  <si>
    <t>Accenture</t>
  </si>
  <si>
    <t>Sr. Manager, Federal Contract</t>
  </si>
  <si>
    <t>Del-Colle</t>
  </si>
  <si>
    <t>michael.m.del-colle@accenture.com</t>
  </si>
  <si>
    <t>11951 Freedom Square</t>
  </si>
  <si>
    <t>20190</t>
  </si>
  <si>
    <t>Acentia</t>
  </si>
  <si>
    <t>Senior Vice President</t>
  </si>
  <si>
    <t>Iveson</t>
  </si>
  <si>
    <t>tricia.iveson@acentia.com</t>
  </si>
  <si>
    <t>3130 Fairview Park Drive</t>
  </si>
  <si>
    <t>Acme Packet</t>
  </si>
  <si>
    <t>Director, Civilian Government Sales</t>
  </si>
  <si>
    <t>Brennan</t>
  </si>
  <si>
    <t>fbrennan@acmepacket.com</t>
  </si>
  <si>
    <t>100 Crosby Drive</t>
  </si>
  <si>
    <t>Adamson Police Products</t>
  </si>
  <si>
    <t>Contract Administrator</t>
  </si>
  <si>
    <t>Marc Anthony</t>
  </si>
  <si>
    <t>Rosales</t>
  </si>
  <si>
    <t>gsa@adamsonpoliceproducts.com</t>
  </si>
  <si>
    <t>10764 Noel St</t>
  </si>
  <si>
    <t>Los Alamitos</t>
  </si>
  <si>
    <t>90720</t>
  </si>
  <si>
    <t>ADS, Inc</t>
  </si>
  <si>
    <t>Kinnear</t>
  </si>
  <si>
    <t>kkinnear@adsinc.com</t>
  </si>
  <si>
    <t>621 Lynnhaven Pkwy</t>
  </si>
  <si>
    <t>Virginia Beach</t>
  </si>
  <si>
    <t>23452</t>
  </si>
  <si>
    <t>Aerosafe Products Inc.</t>
  </si>
  <si>
    <t>Gov't Sales Manager</t>
  </si>
  <si>
    <t>Collis</t>
  </si>
  <si>
    <t>jim@aerosafe.com</t>
  </si>
  <si>
    <t>931 Corvette Drive</t>
  </si>
  <si>
    <t>Largo</t>
  </si>
  <si>
    <t>33771</t>
  </si>
  <si>
    <t>AIM Tech. Consultants</t>
  </si>
  <si>
    <t>Owner</t>
  </si>
  <si>
    <t>Ivan</t>
  </si>
  <si>
    <t>Salaberrios</t>
  </si>
  <si>
    <t>ivans@aimtechnical.com</t>
  </si>
  <si>
    <t>7614 Slate Ridge Blvd</t>
  </si>
  <si>
    <t>Reynoldsburg</t>
  </si>
  <si>
    <t>43068</t>
  </si>
  <si>
    <t>Air Power, Inc</t>
  </si>
  <si>
    <t>smorgan@airpower-inc.com</t>
  </si>
  <si>
    <t>6336 E. 13th St.</t>
  </si>
  <si>
    <t>74112</t>
  </si>
  <si>
    <t>Airport Lighting Systems</t>
  </si>
  <si>
    <t>President</t>
  </si>
  <si>
    <t>Denney</t>
  </si>
  <si>
    <t>cd@airportlighting.com</t>
  </si>
  <si>
    <t>931 S Church Street</t>
  </si>
  <si>
    <t>Grapevine</t>
  </si>
  <si>
    <t>76051</t>
  </si>
  <si>
    <t>Akamai</t>
  </si>
  <si>
    <t>Sr. Manager Channels Public Sector</t>
  </si>
  <si>
    <t>JOhn</t>
  </si>
  <si>
    <t>MacKinnon</t>
  </si>
  <si>
    <t>jomackin@akamai.com</t>
  </si>
  <si>
    <t>11111 Sunset Hills Rd`</t>
  </si>
  <si>
    <t>Akamai Technologies</t>
  </si>
  <si>
    <t>Niedzialek</t>
  </si>
  <si>
    <t>jniedzia@akamai.com</t>
  </si>
  <si>
    <t>11111 Sunset Hills Rd</t>
  </si>
  <si>
    <t>All foam Products co.</t>
  </si>
  <si>
    <t>Vice President Sales</t>
  </si>
  <si>
    <t>marvin</t>
  </si>
  <si>
    <t>steinlauf</t>
  </si>
  <si>
    <t>sales@allfoam.com</t>
  </si>
  <si>
    <t>2546 Live Oak Lane</t>
  </si>
  <si>
    <t>Bffalo Grove</t>
  </si>
  <si>
    <t>60089</t>
  </si>
  <si>
    <t>Allen Federal Business</t>
  </si>
  <si>
    <t>lallen@allenfederal.com</t>
  </si>
  <si>
    <t>1705 James Payne Circle</t>
  </si>
  <si>
    <t>McLean</t>
  </si>
  <si>
    <t>22101</t>
  </si>
  <si>
    <t>Alps South</t>
  </si>
  <si>
    <t>Plomatos</t>
  </si>
  <si>
    <t>diane@easyliner.com</t>
  </si>
  <si>
    <t xml:space="preserve">2895 42 Ave </t>
  </si>
  <si>
    <t>St petersburg</t>
  </si>
  <si>
    <t>33714</t>
  </si>
  <si>
    <t>Cathie</t>
  </si>
  <si>
    <t>Welge</t>
  </si>
  <si>
    <t>cathie@easyliner.com</t>
  </si>
  <si>
    <t>2895 42 avenue north</t>
  </si>
  <si>
    <t>St Petersburg</t>
  </si>
  <si>
    <t>Alshamel Travel &amp; Tourism</t>
  </si>
  <si>
    <t>Rosanna</t>
  </si>
  <si>
    <t>Croft</t>
  </si>
  <si>
    <t>Rosanna.Croft@alshamel.com</t>
  </si>
  <si>
    <t>Ground Floor , Faisal Center, Block 47</t>
  </si>
  <si>
    <t>Al Dajeej</t>
  </si>
  <si>
    <t>Kuwait</t>
  </si>
  <si>
    <t>13145</t>
  </si>
  <si>
    <t xml:space="preserve">Kuwait                   </t>
  </si>
  <si>
    <t>Meghan</t>
  </si>
  <si>
    <t>McCabe</t>
  </si>
  <si>
    <t>meghan.mccabe@alshamel.com</t>
  </si>
  <si>
    <t>PO Box 28406</t>
  </si>
  <si>
    <t>Safat 13145 Kuwait</t>
  </si>
  <si>
    <t>Safat</t>
  </si>
  <si>
    <t>American Certification Institute</t>
  </si>
  <si>
    <t>Secretary</t>
  </si>
  <si>
    <t>Julia</t>
  </si>
  <si>
    <t>Berg</t>
  </si>
  <si>
    <t>9460 Telstar Ave</t>
  </si>
  <si>
    <t>Suite 5</t>
  </si>
  <si>
    <t>El Monte</t>
  </si>
  <si>
    <t>91731</t>
  </si>
  <si>
    <t>Andersen Schoel Office Int</t>
  </si>
  <si>
    <t>Schoel</t>
  </si>
  <si>
    <t>randy@andersenschoel.com</t>
  </si>
  <si>
    <t>400 Lookout Ridge</t>
  </si>
  <si>
    <t>Harker Heights</t>
  </si>
  <si>
    <t>Appian</t>
  </si>
  <si>
    <t>david.johnson@appian.com</t>
  </si>
  <si>
    <t>1875 Explorer Street,</t>
  </si>
  <si>
    <t>4th Floor</t>
  </si>
  <si>
    <t>AppleOne</t>
  </si>
  <si>
    <t>Business Development Manager</t>
  </si>
  <si>
    <t>Trzaskus</t>
  </si>
  <si>
    <t>johnt@appleone.com</t>
  </si>
  <si>
    <t>9920 Pacific Heights Blvd</t>
  </si>
  <si>
    <t>#160</t>
  </si>
  <si>
    <t>Mira Mesa</t>
  </si>
  <si>
    <t>Aronson LLC</t>
  </si>
  <si>
    <t>Managing Consultant</t>
  </si>
  <si>
    <t>Wade</t>
  </si>
  <si>
    <t>Prince</t>
  </si>
  <si>
    <t>wprince@aronsonllc.com</t>
  </si>
  <si>
    <t>805 King Farm Blvd</t>
  </si>
  <si>
    <t>Ste 300</t>
  </si>
  <si>
    <t>Partner</t>
  </si>
  <si>
    <t>hlane@aronsonllc.com</t>
  </si>
  <si>
    <t>Arrow Electronics</t>
  </si>
  <si>
    <t>GSA Contract Specialist</t>
  </si>
  <si>
    <t>Grigg</t>
  </si>
  <si>
    <t>carrie.grigg@arrow.com</t>
  </si>
  <si>
    <t>24 Inverness Place East</t>
  </si>
  <si>
    <t>Englewood</t>
  </si>
  <si>
    <t>80112</t>
  </si>
  <si>
    <t>Arrow Micro Corp.</t>
  </si>
  <si>
    <t>Hwang</t>
  </si>
  <si>
    <t>chwang@AMCamerica.com</t>
  </si>
  <si>
    <t>14747 Artesia Blvd. #2G</t>
  </si>
  <si>
    <t>La Mirada</t>
  </si>
  <si>
    <t>90638</t>
  </si>
  <si>
    <t>Arven Services LLC</t>
  </si>
  <si>
    <t>Vice President, Operations</t>
  </si>
  <si>
    <t>vkb@arvenservices.com</t>
  </si>
  <si>
    <t>2332 Deerfield Chase SE</t>
  </si>
  <si>
    <t>Conyers</t>
  </si>
  <si>
    <t>30013</t>
  </si>
  <si>
    <t>ASE Direct, Inc.</t>
  </si>
  <si>
    <t>Jud</t>
  </si>
  <si>
    <t>Clift</t>
  </si>
  <si>
    <t>jud@asedirect.com</t>
  </si>
  <si>
    <t>128 Holiday Court</t>
  </si>
  <si>
    <t>37067</t>
  </si>
  <si>
    <t>CEO</t>
  </si>
  <si>
    <t>Bo</t>
  </si>
  <si>
    <t>bo@asedirect.com</t>
  </si>
  <si>
    <t>ASI Gov't.</t>
  </si>
  <si>
    <t>Vice President</t>
  </si>
  <si>
    <t>jlancaster@asigovt.com</t>
  </si>
  <si>
    <t>1655 N. Ft. Myer Drive</t>
  </si>
  <si>
    <t>ASM Research</t>
  </si>
  <si>
    <t>Lassiter</t>
  </si>
  <si>
    <t>thomas.lassiter@asmr.com</t>
  </si>
  <si>
    <t>4050 Legato Rd.</t>
  </si>
  <si>
    <t>22033</t>
  </si>
  <si>
    <t>A-T Solutions Inc</t>
  </si>
  <si>
    <t>Program Manager</t>
  </si>
  <si>
    <t>Douglass</t>
  </si>
  <si>
    <t>douglassshepherd@a-tsolutions.com</t>
  </si>
  <si>
    <t>10304 Spotsylvania Avenue</t>
  </si>
  <si>
    <t>Fredericksburg</t>
  </si>
  <si>
    <t>22408</t>
  </si>
  <si>
    <t>Atlantic Diving Supply</t>
  </si>
  <si>
    <t>GSA Contract Manager</t>
  </si>
  <si>
    <t>Brooke</t>
  </si>
  <si>
    <t>Hayden</t>
  </si>
  <si>
    <t>bhayden@adsinc.com</t>
  </si>
  <si>
    <t>621 Lynnhaven Pkwy, Suite 400</t>
  </si>
  <si>
    <t>Axiscore LLC</t>
  </si>
  <si>
    <t>Ekene</t>
  </si>
  <si>
    <t>Udoye</t>
  </si>
  <si>
    <t>ekeneu@axiscoreonline.com</t>
  </si>
  <si>
    <t>155 Gibbs St.</t>
  </si>
  <si>
    <t>Baker Tilly Virchow Krause</t>
  </si>
  <si>
    <t>jeff.clayton@bakertilly.com</t>
  </si>
  <si>
    <t>8219 Leesburg Pike</t>
  </si>
  <si>
    <t>Tyson Corner</t>
  </si>
  <si>
    <t>22182</t>
  </si>
  <si>
    <t>BCCP Consulting</t>
  </si>
  <si>
    <t>Managing Partner</t>
  </si>
  <si>
    <t>Chuck</t>
  </si>
  <si>
    <t>Brock</t>
  </si>
  <si>
    <t>chuck.brock@bccpconsulting.com</t>
  </si>
  <si>
    <t>272 Ariel Drive NE</t>
  </si>
  <si>
    <t>Leesburg</t>
  </si>
  <si>
    <t>20176</t>
  </si>
  <si>
    <t>Becker Professional Edu.</t>
  </si>
  <si>
    <t>Manager of B2B Administration</t>
  </si>
  <si>
    <t>Foster</t>
  </si>
  <si>
    <t>rfoster@becker.com</t>
  </si>
  <si>
    <t>3005 Highland Ave</t>
  </si>
  <si>
    <t>Downers Grove</t>
  </si>
  <si>
    <t>60515</t>
  </si>
  <si>
    <t>Beckman Coulter, Inc.</t>
  </si>
  <si>
    <t>Manager, Government Accounts</t>
  </si>
  <si>
    <t>Watanabe</t>
  </si>
  <si>
    <t>mswatanabe@beckman.com</t>
  </si>
  <si>
    <t xml:space="preserve">250 S. Kraemer Blvd. </t>
  </si>
  <si>
    <t>MS A1.NE.02</t>
  </si>
  <si>
    <t>Brea</t>
  </si>
  <si>
    <t>92822</t>
  </si>
  <si>
    <t>Bering Straits IT - Global</t>
  </si>
  <si>
    <t>Operations Manager</t>
  </si>
  <si>
    <t>Michel</t>
  </si>
  <si>
    <t>Tanner</t>
  </si>
  <si>
    <t>mtanner@beringstraits.com</t>
  </si>
  <si>
    <t>4800 DeBarr Road</t>
  </si>
  <si>
    <t>99508</t>
  </si>
  <si>
    <t>Weaver</t>
  </si>
  <si>
    <t>kweaver@beringstraits.com</t>
  </si>
  <si>
    <t>15665 South Rene Street</t>
  </si>
  <si>
    <t>Olathe</t>
  </si>
  <si>
    <t>66062</t>
  </si>
  <si>
    <t>BESTech, Inc.</t>
  </si>
  <si>
    <t>William M.</t>
  </si>
  <si>
    <t>Bristow II</t>
  </si>
  <si>
    <t>bill.bristow@bestech-inc.com</t>
  </si>
  <si>
    <t>8300 Greensboro Drive, Suite 800</t>
  </si>
  <si>
    <t>22180</t>
  </si>
  <si>
    <t>Beta Data</t>
  </si>
  <si>
    <t>VP Strategy</t>
  </si>
  <si>
    <t>Darcy</t>
  </si>
  <si>
    <t>Prather</t>
  </si>
  <si>
    <t>darcy@betadata.com</t>
  </si>
  <si>
    <t>92 Elm St.</t>
  </si>
  <si>
    <t>Milton</t>
  </si>
  <si>
    <t>02186</t>
  </si>
  <si>
    <t>Beta Data Services, Inc.</t>
  </si>
  <si>
    <t>Executive Director-Sales and marketing</t>
  </si>
  <si>
    <t>Laws</t>
  </si>
  <si>
    <t>james@betadata.com</t>
  </si>
  <si>
    <t>4405 East West Highway</t>
  </si>
  <si>
    <t>Suite 307</t>
  </si>
  <si>
    <t>20815</t>
  </si>
  <si>
    <t>Thomas-Eason</t>
  </si>
  <si>
    <t>carol@betadata.com</t>
  </si>
  <si>
    <t>20814</t>
  </si>
  <si>
    <t>BINW</t>
  </si>
  <si>
    <t>Federal Account Specialist</t>
  </si>
  <si>
    <t>Manthey</t>
  </si>
  <si>
    <t>mmanthey@binw.com</t>
  </si>
  <si>
    <t>10848 East Marginal Way South</t>
  </si>
  <si>
    <t>98168</t>
  </si>
  <si>
    <t>BINW Alaska</t>
  </si>
  <si>
    <t>Account Development Manager</t>
  </si>
  <si>
    <t>Hawkins</t>
  </si>
  <si>
    <t>thawkins@binw.com</t>
  </si>
  <si>
    <t>3909 Arctic Blvd</t>
  </si>
  <si>
    <t>99503</t>
  </si>
  <si>
    <t>BiNW Alaska</t>
  </si>
  <si>
    <t>Director of Sales &amp; Professional Services</t>
  </si>
  <si>
    <t>Phelan</t>
  </si>
  <si>
    <t>jphelan@binw.com</t>
  </si>
  <si>
    <t xml:space="preserve">3909 Arctic Blvd </t>
  </si>
  <si>
    <t>BINW Inc.</t>
  </si>
  <si>
    <t>Government Team Leader</t>
  </si>
  <si>
    <t>Sproul</t>
  </si>
  <si>
    <t>psproul@binw.com</t>
  </si>
  <si>
    <t>10848 East Marginal Way S</t>
  </si>
  <si>
    <t>Tukwila</t>
  </si>
  <si>
    <t>Black Box Corporation</t>
  </si>
  <si>
    <t>Senior Account Manager</t>
  </si>
  <si>
    <t>Billings</t>
  </si>
  <si>
    <t>james.billings@blackbox.com</t>
  </si>
  <si>
    <t>131 East Commerce St.</t>
  </si>
  <si>
    <t>Amherst</t>
  </si>
  <si>
    <t>24521</t>
  </si>
  <si>
    <t>Account Manager</t>
  </si>
  <si>
    <t>Alison</t>
  </si>
  <si>
    <t>Pellingra</t>
  </si>
  <si>
    <t>alison.pellingra@blackbox.com</t>
  </si>
  <si>
    <t>329 Park Ave</t>
  </si>
  <si>
    <t>41071</t>
  </si>
  <si>
    <t>Bonham Technologies</t>
  </si>
  <si>
    <t>Kirkpatrick</t>
  </si>
  <si>
    <t>kirkpatrick@bti-hsv.com</t>
  </si>
  <si>
    <t>620 Discovery Drive</t>
  </si>
  <si>
    <t>Building Two, Suite 325</t>
  </si>
  <si>
    <t>35806</t>
  </si>
  <si>
    <t>Booz Allen Hamilton</t>
  </si>
  <si>
    <t>Associate</t>
  </si>
  <si>
    <t>Harper</t>
  </si>
  <si>
    <t>harper_chris@bah.com</t>
  </si>
  <si>
    <t>2237-B Lovedale Lane</t>
  </si>
  <si>
    <t>BOOZ ALLEN HAMILTON</t>
  </si>
  <si>
    <t>HILSMAN</t>
  </si>
  <si>
    <t>hilsman_william@bah.com</t>
  </si>
  <si>
    <t>8255 GREENSBORO DRIVE</t>
  </si>
  <si>
    <t>EDWIN 2074</t>
  </si>
  <si>
    <t>MCLEAN</t>
  </si>
  <si>
    <t>22102</t>
  </si>
  <si>
    <t>Alvie</t>
  </si>
  <si>
    <t>johnson_alvie@bah.com</t>
  </si>
  <si>
    <t>8255 Greensboro Drive</t>
  </si>
  <si>
    <t>Borroughs Corporation</t>
  </si>
  <si>
    <t>Nat'l Automotive &amp; Industrial Product Manager</t>
  </si>
  <si>
    <t>rjohnson@borroughs.com</t>
  </si>
  <si>
    <t>3002 N. Burdick Street</t>
  </si>
  <si>
    <t>Government Contracts Administrator</t>
  </si>
  <si>
    <t>Moerdyk</t>
  </si>
  <si>
    <t>smoerdyk@borroughs.com</t>
  </si>
  <si>
    <t>Boxes4U</t>
  </si>
  <si>
    <t>BW</t>
  </si>
  <si>
    <t>Brisco</t>
  </si>
  <si>
    <t>1401 E. Plano Pkwy</t>
  </si>
  <si>
    <t>Plano</t>
  </si>
  <si>
    <t>75074</t>
  </si>
  <si>
    <t>Boxx Modular / Nortex Modular</t>
  </si>
  <si>
    <t>crowe@boxxmodularus.com</t>
  </si>
  <si>
    <t>555 Jubilee Lane</t>
  </si>
  <si>
    <t>Bratslavsky Consulting Eng</t>
  </si>
  <si>
    <t>General Manager</t>
  </si>
  <si>
    <t>Bratslavsky</t>
  </si>
  <si>
    <t>roman@bce-ak.com</t>
  </si>
  <si>
    <t>500 W 27th Avenue</t>
  </si>
  <si>
    <t>Suite A</t>
  </si>
  <si>
    <t>Administrative Assistant</t>
  </si>
  <si>
    <t>tanya@bce-ak.com</t>
  </si>
  <si>
    <t>Anastasia</t>
  </si>
  <si>
    <t>Kharitonova</t>
  </si>
  <si>
    <t>anastasia@bce-ak.com</t>
  </si>
  <si>
    <t>Brogan &amp; Partners</t>
  </si>
  <si>
    <t>Account Director</t>
  </si>
  <si>
    <t>Hayworth-Perman</t>
  </si>
  <si>
    <t>jhperman@brogan.com</t>
  </si>
  <si>
    <t>14600 Weston Pkwy</t>
  </si>
  <si>
    <t>Cary</t>
  </si>
  <si>
    <t>27513</t>
  </si>
  <si>
    <t>Building Infrastructure Group, Inc.</t>
  </si>
  <si>
    <t>PBARRON@BIGGP.COM</t>
  </si>
  <si>
    <t xml:space="preserve">14310 Sullyfield Circle </t>
  </si>
  <si>
    <t>Chantilly</t>
  </si>
  <si>
    <t>Building Infrastructure Grp</t>
  </si>
  <si>
    <t>Director, Federal Business Development</t>
  </si>
  <si>
    <t>sgill@biggp.com</t>
  </si>
  <si>
    <t>14310 Sullyfield Circle</t>
  </si>
  <si>
    <t>Bureau Veritas North America</t>
  </si>
  <si>
    <t>Manager, Government Programs</t>
  </si>
  <si>
    <t>Wantland</t>
  </si>
  <si>
    <t>michael.wantland@us.bureauveritas.com</t>
  </si>
  <si>
    <t>13225 Cepeda</t>
  </si>
  <si>
    <t>Helotes</t>
  </si>
  <si>
    <t>78023</t>
  </si>
  <si>
    <t>CADDO Solutions</t>
  </si>
  <si>
    <t>Kelin</t>
  </si>
  <si>
    <t>dkelin@caddosolutions.com</t>
  </si>
  <si>
    <t>2760 W. 5th Avenue</t>
  </si>
  <si>
    <t>80204</t>
  </si>
  <si>
    <t>Chief Business Development Officer</t>
  </si>
  <si>
    <t>St. Cyr</t>
  </si>
  <si>
    <t>dstcyr@caddosolutions.com</t>
  </si>
  <si>
    <t>8024</t>
  </si>
  <si>
    <t>Calzone Case Co.</t>
  </si>
  <si>
    <t>Dir. Corporate Strategy</t>
  </si>
  <si>
    <t>Sessions</t>
  </si>
  <si>
    <t>don.sessions@calzonecase.com</t>
  </si>
  <si>
    <t>225 Black Rock Ave.</t>
  </si>
  <si>
    <t>Bridgeport</t>
  </si>
  <si>
    <t>CT</t>
  </si>
  <si>
    <t>06605</t>
  </si>
  <si>
    <t>Capacity Consultants</t>
  </si>
  <si>
    <t>Managing Director</t>
  </si>
  <si>
    <t>Tami</t>
  </si>
  <si>
    <t>Mullen</t>
  </si>
  <si>
    <t>tmullen@capacityconsultants.com</t>
  </si>
  <si>
    <t>5425 Wisconsin Ave</t>
  </si>
  <si>
    <t>Capital Tristate</t>
  </si>
  <si>
    <t>Government Contract Manager</t>
  </si>
  <si>
    <t>Post</t>
  </si>
  <si>
    <t>karen.post@capitaltristate.com</t>
  </si>
  <si>
    <t>8511 Pepco Place</t>
  </si>
  <si>
    <t>Upper Marlboro</t>
  </si>
  <si>
    <t>20772</t>
  </si>
  <si>
    <t>Government Business Manager</t>
  </si>
  <si>
    <t>Wolfe</t>
  </si>
  <si>
    <t>david.wolfe@capitaltristate.com</t>
  </si>
  <si>
    <t>Catapult Systems</t>
  </si>
  <si>
    <t>vpcorpaffairs@alamoafcea.org</t>
  </si>
  <si>
    <t>14100 San Pedro</t>
  </si>
  <si>
    <t>78232</t>
  </si>
  <si>
    <t>CCMS</t>
  </si>
  <si>
    <t>tjmorrow@gsacenter.com</t>
  </si>
  <si>
    <t>10805 Tesshire Dr</t>
  </si>
  <si>
    <t>63123</t>
  </si>
  <si>
    <t>Centre Consulting</t>
  </si>
  <si>
    <t>Jamieson</t>
  </si>
  <si>
    <t>mjamieson@centreconsult.com</t>
  </si>
  <si>
    <t>1953 Gallows Road</t>
  </si>
  <si>
    <t>Vienna</t>
  </si>
  <si>
    <t>Centre Consulting, Inc.</t>
  </si>
  <si>
    <t>Swartzlander</t>
  </si>
  <si>
    <t>jswartzlander@centreconsult.com</t>
  </si>
  <si>
    <t>Executive Vice President</t>
  </si>
  <si>
    <t>jphillips@centreconsult.com</t>
  </si>
  <si>
    <t>1953 Gallows Rd., Suite 650</t>
  </si>
  <si>
    <t>CenturyLink</t>
  </si>
  <si>
    <t>Lead Trainer</t>
  </si>
  <si>
    <t>Cleaver</t>
  </si>
  <si>
    <t>gregory.cleaver@centurylink.com</t>
  </si>
  <si>
    <t>1600 7th Ave rm 903</t>
  </si>
  <si>
    <t>98191</t>
  </si>
  <si>
    <t>Allyson</t>
  </si>
  <si>
    <t>allyson.newman@centurylink.com</t>
  </si>
  <si>
    <t>4250 N. Fairfax Drive</t>
  </si>
  <si>
    <t>5th Floor</t>
  </si>
  <si>
    <t>22203</t>
  </si>
  <si>
    <t>Federal Marketing Events Manager</t>
  </si>
  <si>
    <t>Richa</t>
  </si>
  <si>
    <t>Sharma</t>
  </si>
  <si>
    <t>richa.sharma@centurylink.com</t>
  </si>
  <si>
    <t>2900 Towerview Road</t>
  </si>
  <si>
    <t>20171</t>
  </si>
  <si>
    <t>Government Account Manager</t>
  </si>
  <si>
    <t>alvin.lewis@centurylink.com</t>
  </si>
  <si>
    <t>CenturyLink Government</t>
  </si>
  <si>
    <t>Branch Director of Sales</t>
  </si>
  <si>
    <t>Clevenger</t>
  </si>
  <si>
    <t>james.clevenger@centurylink.com</t>
  </si>
  <si>
    <t>Director, Business Development</t>
  </si>
  <si>
    <t>Deirdre</t>
  </si>
  <si>
    <t>Murray</t>
  </si>
  <si>
    <t>Deirdre.murray@centurylink.com</t>
  </si>
  <si>
    <t>4250 North Fairfax Drive</t>
  </si>
  <si>
    <t>CH2M Hill</t>
  </si>
  <si>
    <t>Platt</t>
  </si>
  <si>
    <t>bill.platt@ch2m.com</t>
  </si>
  <si>
    <t>9191 S. Jamaica St</t>
  </si>
  <si>
    <t>Chickasaw Nation Ind.'s</t>
  </si>
  <si>
    <t>arthur.humphries@chickasaw.com</t>
  </si>
  <si>
    <t xml:space="preserve">7601 Jefferson St. </t>
  </si>
  <si>
    <t>Chet</t>
  </si>
  <si>
    <t>Kaviratne</t>
  </si>
  <si>
    <t>chetika.kaviratne@chickasaw.com</t>
  </si>
  <si>
    <t>7601 Jefferson Blvd, Ste 320</t>
  </si>
  <si>
    <t>Chickasaw Nation Industries, Inc.</t>
  </si>
  <si>
    <t>Director of Strategic Relationships</t>
  </si>
  <si>
    <t>erica.lewis@chickasaw.com</t>
  </si>
  <si>
    <t>2600 John Saxon Blvd</t>
  </si>
  <si>
    <t>73071</t>
  </si>
  <si>
    <t>Chromate Industrial</t>
  </si>
  <si>
    <t>Sales Manager</t>
  </si>
  <si>
    <t>Trundle</t>
  </si>
  <si>
    <t>jtrundle@chromate.com</t>
  </si>
  <si>
    <t>1701 Crown Glenn Place</t>
  </si>
  <si>
    <t>27613</t>
  </si>
  <si>
    <t>Ciena Corp</t>
  </si>
  <si>
    <t xml:space="preserve">Director, Federal Accounts </t>
  </si>
  <si>
    <t>Phil</t>
  </si>
  <si>
    <t>Moser</t>
  </si>
  <si>
    <t>pmoser@cgsi.ciena.com</t>
  </si>
  <si>
    <t>900 Elkridge Landing Rd</t>
  </si>
  <si>
    <t>Linthicum</t>
  </si>
  <si>
    <t>Ciena Gov't Solutions</t>
  </si>
  <si>
    <t>Raff</t>
  </si>
  <si>
    <t>draff@ciena.com</t>
  </si>
  <si>
    <t>Cisco Systems</t>
  </si>
  <si>
    <t>Regional Manager</t>
  </si>
  <si>
    <t>searober@cisco.com</t>
  </si>
  <si>
    <t>13635 Dulles Technology Dr.</t>
  </si>
  <si>
    <t>20197</t>
  </si>
  <si>
    <t>Cisco-Eagle, Inc.</t>
  </si>
  <si>
    <t>Director of Marketing</t>
  </si>
  <si>
    <t>Doyle</t>
  </si>
  <si>
    <t>chris.doyle@cisco-eagle.com</t>
  </si>
  <si>
    <t>2120 Valley View Lane</t>
  </si>
  <si>
    <t>75234</t>
  </si>
  <si>
    <t>Clark Construction</t>
  </si>
  <si>
    <t>Office Engineer</t>
  </si>
  <si>
    <t>john.reynolds@clarkconstruction.com</t>
  </si>
  <si>
    <t>1125 S. Quincy Street</t>
  </si>
  <si>
    <t>Apt 204</t>
  </si>
  <si>
    <t>22204</t>
  </si>
  <si>
    <t>Clover Technologies Group</t>
  </si>
  <si>
    <t>Sr. VP Contract Sales</t>
  </si>
  <si>
    <t>Noyes</t>
  </si>
  <si>
    <t>steven@clovertech.com</t>
  </si>
  <si>
    <t>4526 Middleton Lane</t>
  </si>
  <si>
    <t>Clovernook Center f/t Blind</t>
  </si>
  <si>
    <t>Customer Service Mgr</t>
  </si>
  <si>
    <t>Deets</t>
  </si>
  <si>
    <t>adeets@clovernook.org</t>
  </si>
  <si>
    <t>7000 Hamilton Ave.</t>
  </si>
  <si>
    <t>45231</t>
  </si>
  <si>
    <t>CMW and Associates Corp.</t>
  </si>
  <si>
    <t>Davidsmeyer</t>
  </si>
  <si>
    <t>beth.d@cmwassoc.com</t>
  </si>
  <si>
    <t>6300 S 6th St Rd</t>
  </si>
  <si>
    <t>62712</t>
  </si>
  <si>
    <t>Karl</t>
  </si>
  <si>
    <t>Lagerlof</t>
  </si>
  <si>
    <t>karl.l@cmwassoc.com</t>
  </si>
  <si>
    <t>Coalition Gov't Procurement</t>
  </si>
  <si>
    <t>Membership Services Executive</t>
  </si>
  <si>
    <t>Arce</t>
  </si>
  <si>
    <t>sarce@thecgp.org</t>
  </si>
  <si>
    <t>1990 M Street NW, Suite 450</t>
  </si>
  <si>
    <t>Washimgton</t>
  </si>
  <si>
    <t>Program Analyst</t>
  </si>
  <si>
    <t>Dicharry III</t>
  </si>
  <si>
    <t>rdicharry@thecgp.org</t>
  </si>
  <si>
    <t>1990 M St NW, Suite 450</t>
  </si>
  <si>
    <t>Director of Business Development</t>
  </si>
  <si>
    <t>Mileski</t>
  </si>
  <si>
    <t>dmileski@thecgp.org</t>
  </si>
  <si>
    <t>Waldron</t>
  </si>
  <si>
    <t>rwaldron@thecgp.org</t>
  </si>
  <si>
    <t>Manager of Policy</t>
  </si>
  <si>
    <t>Aubrey</t>
  </si>
  <si>
    <t>Woolley</t>
  </si>
  <si>
    <t>awoolley@thecgp.org</t>
  </si>
  <si>
    <t>Chairman</t>
  </si>
  <si>
    <t>Gormley</t>
  </si>
  <si>
    <t>bgormley@thecgp.org</t>
  </si>
  <si>
    <t>1900 M Street, NW #450</t>
  </si>
  <si>
    <t>Coley &amp; Associates</t>
  </si>
  <si>
    <t>Director, Sales &amp; Marketing</t>
  </si>
  <si>
    <t>ccannon@coleyinc.com</t>
  </si>
  <si>
    <t>140 Heimer Rd.</t>
  </si>
  <si>
    <t>Ste. 750</t>
  </si>
  <si>
    <t>Consultant</t>
  </si>
  <si>
    <t>jbutler@coleyinc.com</t>
  </si>
  <si>
    <t>VP, GSA Services</t>
  </si>
  <si>
    <t>Coley</t>
  </si>
  <si>
    <t>djonathon@coleyinc.com</t>
  </si>
  <si>
    <t xml:space="preserve">140 Heimer Rd. </t>
  </si>
  <si>
    <t>rdelgado@coleyinc.com</t>
  </si>
  <si>
    <t>Communications Services</t>
  </si>
  <si>
    <t>PO Box 488</t>
  </si>
  <si>
    <t>Burtonsville</t>
  </si>
  <si>
    <t>20866-0488</t>
  </si>
  <si>
    <t>Harner</t>
  </si>
  <si>
    <t>julieharner@commservinc.com</t>
  </si>
  <si>
    <t>po box 488</t>
  </si>
  <si>
    <t>burtonsville</t>
  </si>
  <si>
    <t>20866</t>
  </si>
  <si>
    <t>Regensburg</t>
  </si>
  <si>
    <t>rickregensburg@commservinc.com</t>
  </si>
  <si>
    <t>Compu-Cure New Orleans</t>
  </si>
  <si>
    <t>Bindom</t>
  </si>
  <si>
    <t>pbindom@compucureno.com</t>
  </si>
  <si>
    <t xml:space="preserve">3520 Gen. DeGaulle Dr. </t>
  </si>
  <si>
    <t xml:space="preserve">Suite 1070 </t>
  </si>
  <si>
    <t>70114</t>
  </si>
  <si>
    <t xml:space="preserve">President </t>
  </si>
  <si>
    <t>aparker@compucureno.com</t>
  </si>
  <si>
    <t>Suite 1070</t>
  </si>
  <si>
    <t>Contracting Resources Grp</t>
  </si>
  <si>
    <t>Senior Associate</t>
  </si>
  <si>
    <t>Ecatarina</t>
  </si>
  <si>
    <t>egrant@contractingrg.com</t>
  </si>
  <si>
    <t>1133 Light Street</t>
  </si>
  <si>
    <t>21230</t>
  </si>
  <si>
    <t>Contracts</t>
  </si>
  <si>
    <t>Director of Contract Operations</t>
  </si>
  <si>
    <t>Dallen</t>
  </si>
  <si>
    <t>robert.dallen@tasc.com</t>
  </si>
  <si>
    <t>4805 Stonecroft Blvd</t>
  </si>
  <si>
    <t>Core Technologies</t>
  </si>
  <si>
    <t>Binette</t>
  </si>
  <si>
    <t>dbinette@coretechinc.com</t>
  </si>
  <si>
    <t>2979 Pacific Dr.</t>
  </si>
  <si>
    <t>Suite B</t>
  </si>
  <si>
    <t>Norcross</t>
  </si>
  <si>
    <t>30071</t>
  </si>
  <si>
    <t>CORE TECHNOLOGIES, INC.</t>
  </si>
  <si>
    <t>EXECUTIVE VP</t>
  </si>
  <si>
    <t>ERIK</t>
  </si>
  <si>
    <t>EIGEN</t>
  </si>
  <si>
    <t>EEIGEN@CORETECHINC.COM</t>
  </si>
  <si>
    <t>2979 PACIFIC DRIVE</t>
  </si>
  <si>
    <t>NORCROSS</t>
  </si>
  <si>
    <t>Corporate Executive Board</t>
  </si>
  <si>
    <t>Government Contracting Manager</t>
  </si>
  <si>
    <t>Gerrish</t>
  </si>
  <si>
    <t>agerrish@executiveboard.com</t>
  </si>
  <si>
    <t>1919 North Lynn St</t>
  </si>
  <si>
    <t>Counterpoint Consulting</t>
  </si>
  <si>
    <t>VP</t>
  </si>
  <si>
    <t>Markmann</t>
  </si>
  <si>
    <t>steve@c20g.com</t>
  </si>
  <si>
    <t>8245 Boone Blvd.</t>
  </si>
  <si>
    <t>Suite 630</t>
  </si>
  <si>
    <t>CRC Industries, Inc.</t>
  </si>
  <si>
    <t>Rich</t>
  </si>
  <si>
    <t>Hancock</t>
  </si>
  <si>
    <t>jniwinski@crcindustries.com</t>
  </si>
  <si>
    <t>886 Louis Drive</t>
  </si>
  <si>
    <t>Warminster</t>
  </si>
  <si>
    <t>18974</t>
  </si>
  <si>
    <t>Creative Alliant</t>
  </si>
  <si>
    <t>Keating</t>
  </si>
  <si>
    <t>bkeating@computer-frontiers.com</t>
  </si>
  <si>
    <t>5970 Frederick Crossing Lane</t>
  </si>
  <si>
    <t>21704</t>
  </si>
  <si>
    <t>Creative Recycling</t>
  </si>
  <si>
    <t>Federal Marketing Consultant</t>
  </si>
  <si>
    <t>Touchton</t>
  </si>
  <si>
    <t>10600 w Cooper PL</t>
  </si>
  <si>
    <t>Littleton</t>
  </si>
  <si>
    <t>80127</t>
  </si>
  <si>
    <t>Custom Keynotes, LLC</t>
  </si>
  <si>
    <t>Eileen</t>
  </si>
  <si>
    <t>Kent</t>
  </si>
  <si>
    <t>eileenkent@customkeynotes.com</t>
  </si>
  <si>
    <t>5633 W. Ainslie</t>
  </si>
  <si>
    <t>60630</t>
  </si>
  <si>
    <t>Data Dash Inc.</t>
  </si>
  <si>
    <t>President/CEO</t>
  </si>
  <si>
    <t>Morton</t>
  </si>
  <si>
    <t>smorton@datadash.com</t>
  </si>
  <si>
    <t>3928 Delor St.</t>
  </si>
  <si>
    <t>63116</t>
  </si>
  <si>
    <t>Datum Filing Systems</t>
  </si>
  <si>
    <t>Sablatura</t>
  </si>
  <si>
    <t>davids@filingsystems.com</t>
  </si>
  <si>
    <t>114 Westview Avenue</t>
  </si>
  <si>
    <t>Marietta</t>
  </si>
  <si>
    <t>45750</t>
  </si>
  <si>
    <t>Datum Software, Inc.</t>
  </si>
  <si>
    <t>Dendis</t>
  </si>
  <si>
    <t>jim.dendis@datumsoftware.com</t>
  </si>
  <si>
    <t>12000 Findley Rd., Suite 350</t>
  </si>
  <si>
    <t>Johns Creek</t>
  </si>
  <si>
    <t>30097</t>
  </si>
  <si>
    <t>DB Consulting Group</t>
  </si>
  <si>
    <t>VP of Business Development</t>
  </si>
  <si>
    <t>jbaker@dbconsultinggroup.com</t>
  </si>
  <si>
    <t>8403 COLESVILLE ROAD 10TH FLOOR</t>
  </si>
  <si>
    <t>SILVER SPRING</t>
  </si>
  <si>
    <t>Gerald</t>
  </si>
  <si>
    <t>Boyd Jr.</t>
  </si>
  <si>
    <t>gboyd@dbconsultinggroup.com</t>
  </si>
  <si>
    <t>8403 Colesville Road 10th Floor</t>
  </si>
  <si>
    <t>DeanSteel</t>
  </si>
  <si>
    <t>Bullet &amp; Blast Resistant Doors</t>
  </si>
  <si>
    <t>Gorski</t>
  </si>
  <si>
    <t>agorski@deansteel.com</t>
  </si>
  <si>
    <t>111 Merchant St.</t>
  </si>
  <si>
    <t>decision/analysis partners LLC</t>
  </si>
  <si>
    <t>Director - Telecom Practice</t>
  </si>
  <si>
    <t>rbarber@decisionanalysis.net</t>
  </si>
  <si>
    <t>10400 Eaton Place</t>
  </si>
  <si>
    <t>Ste 315</t>
  </si>
  <si>
    <t>Deloitte</t>
  </si>
  <si>
    <t>Hail</t>
  </si>
  <si>
    <t>Haleem</t>
  </si>
  <si>
    <t>hhaleem@deloitte.com</t>
  </si>
  <si>
    <t>1750 Tysons Blvd</t>
  </si>
  <si>
    <t>Mclean</t>
  </si>
  <si>
    <t>20718</t>
  </si>
  <si>
    <t>Unknown</t>
  </si>
  <si>
    <t>Senior Manager, Federal Capture</t>
  </si>
  <si>
    <t>Tambor</t>
  </si>
  <si>
    <t>ltambor@deloitte.com</t>
  </si>
  <si>
    <t>1515 N. Lynn Street</t>
  </si>
  <si>
    <t>timyoung@deloitte.com</t>
  </si>
  <si>
    <t>1001 G. Street NW, Suite 900W</t>
  </si>
  <si>
    <t>Deloitte LLP</t>
  </si>
  <si>
    <t>Senior Manager</t>
  </si>
  <si>
    <t>erinharrison@deloitte.com</t>
  </si>
  <si>
    <t>1750 Tysons Boulevard Ste 800</t>
  </si>
  <si>
    <t>20602</t>
  </si>
  <si>
    <t>Deloitte Services, LLP</t>
  </si>
  <si>
    <t>Director Federal Contracts</t>
  </si>
  <si>
    <t>hbyrd@deloitte.com</t>
  </si>
  <si>
    <t>1919 N. Lynn St.</t>
  </si>
  <si>
    <t>Deloitte Services, LP</t>
  </si>
  <si>
    <t>Contracts Manager</t>
  </si>
  <si>
    <t>Darlese</t>
  </si>
  <si>
    <t>darrobinson@deloitte.com</t>
  </si>
  <si>
    <t>124 Randolph Place, NW</t>
  </si>
  <si>
    <t>DEXISIVE, Inc.</t>
  </si>
  <si>
    <t>Murphy</t>
  </si>
  <si>
    <t>jack.murphy@dexisive.com</t>
  </si>
  <si>
    <t>1801 Robert Fulton Drive</t>
  </si>
  <si>
    <t>DHL Express</t>
  </si>
  <si>
    <t>Ian</t>
  </si>
  <si>
    <t>Chase</t>
  </si>
  <si>
    <t>ian.chase@dhl.com</t>
  </si>
  <si>
    <t xml:space="preserve">420 E Street </t>
  </si>
  <si>
    <t>02127</t>
  </si>
  <si>
    <t>National Account Manager Government &amp; Defense</t>
  </si>
  <si>
    <t>Davies</t>
  </si>
  <si>
    <t>kevin.davies@dhl.com</t>
  </si>
  <si>
    <t>19805 88th Ave West</t>
  </si>
  <si>
    <t>Edmonds</t>
  </si>
  <si>
    <t>98026</t>
  </si>
  <si>
    <t>Manager</t>
  </si>
  <si>
    <t>Aaron</t>
  </si>
  <si>
    <t>aaron.weaver@dhl.com</t>
  </si>
  <si>
    <t xml:space="preserve">420 E. Street </t>
  </si>
  <si>
    <t>Diaz Data Services</t>
  </si>
  <si>
    <t>GSA Contract Compliance Officer</t>
  </si>
  <si>
    <t>AMY</t>
  </si>
  <si>
    <t>SARBAUGH</t>
  </si>
  <si>
    <t>asarbaugh@diazdata.com</t>
  </si>
  <si>
    <t>331 Schuylkill Street</t>
  </si>
  <si>
    <t>Harrisburg</t>
  </si>
  <si>
    <t>17110</t>
  </si>
  <si>
    <t>Diebold ISS</t>
  </si>
  <si>
    <t>Bambi</t>
  </si>
  <si>
    <t>bfox@yourstrategic.com</t>
  </si>
  <si>
    <t>3300 Ruckriegle Parkway</t>
  </si>
  <si>
    <t>40299</t>
  </si>
  <si>
    <t>Digital Management</t>
  </si>
  <si>
    <t>Vice President of Contracts</t>
  </si>
  <si>
    <t>Tyler</t>
  </si>
  <si>
    <t>Brooks-Craft</t>
  </si>
  <si>
    <t>tcraft@dminc.com</t>
  </si>
  <si>
    <t>6550 Rock Spring Drive</t>
  </si>
  <si>
    <t>DIRTT Environmental Solutions, Inc.</t>
  </si>
  <si>
    <t>National Government Sales Director</t>
  </si>
  <si>
    <t>pat</t>
  </si>
  <si>
    <t>gill</t>
  </si>
  <si>
    <t>pgill@dirtt.net</t>
  </si>
  <si>
    <t>3127 ironstone ln</t>
  </si>
  <si>
    <t>sa</t>
  </si>
  <si>
    <t>Dixie Contract Carpet</t>
  </si>
  <si>
    <t>Maryanne</t>
  </si>
  <si>
    <t>Hewitt</t>
  </si>
  <si>
    <t>mhewitt@dixiecc.com</t>
  </si>
  <si>
    <t>P.O. Box 24808</t>
  </si>
  <si>
    <t>32241</t>
  </si>
  <si>
    <t>DKW Communications, Inc.</t>
  </si>
  <si>
    <t>Director, FedCiv Business Development</t>
  </si>
  <si>
    <t>Dwayne</t>
  </si>
  <si>
    <t>dawashington@dkwcommunications.com</t>
  </si>
  <si>
    <t>1900 M Street N.W.</t>
  </si>
  <si>
    <t>`Suite 800</t>
  </si>
  <si>
    <t>20036-3517</t>
  </si>
  <si>
    <t>DMSG, INC.</t>
  </si>
  <si>
    <t>June (Tina)</t>
  </si>
  <si>
    <t>Faine</t>
  </si>
  <si>
    <t>tfaine@dmsginc.com</t>
  </si>
  <si>
    <t>2001 Central Circle   Ste. 100</t>
  </si>
  <si>
    <t>McKinney</t>
  </si>
  <si>
    <t>75069</t>
  </si>
  <si>
    <t>Document Imaging Dimesions, Inc.</t>
  </si>
  <si>
    <t>VP of Government Sales</t>
  </si>
  <si>
    <t>Don.Hamilton@did-inc.com</t>
  </si>
  <si>
    <t>510 Counterpoint Circle</t>
  </si>
  <si>
    <t>Havre De Grace</t>
  </si>
  <si>
    <t>21078</t>
  </si>
  <si>
    <t>DSS, Inc.</t>
  </si>
  <si>
    <t>Proposal Specialist</t>
  </si>
  <si>
    <t>sballard@dssinc.com</t>
  </si>
  <si>
    <t xml:space="preserve"> US HWY 1, SUITE 200</t>
  </si>
  <si>
    <t>Juno Beach</t>
  </si>
  <si>
    <t>33408</t>
  </si>
  <si>
    <t>E3 Federal Solutions</t>
  </si>
  <si>
    <t>Everett</t>
  </si>
  <si>
    <t>ejohnson@e3federal.com</t>
  </si>
  <si>
    <t>2011 Crystal Drive, Suite 400</t>
  </si>
  <si>
    <t>ECCO Select Corp</t>
  </si>
  <si>
    <t>Contract Manager</t>
  </si>
  <si>
    <t>Adriana</t>
  </si>
  <si>
    <t>amartinez@eccoselect.com</t>
  </si>
  <si>
    <t>1301 Oak Street, Suite 400</t>
  </si>
  <si>
    <t>64106</t>
  </si>
  <si>
    <t xml:space="preserve">Account/FSO Manager </t>
  </si>
  <si>
    <t>Pool</t>
  </si>
  <si>
    <t>tpool@eccoselect.com</t>
  </si>
  <si>
    <t>ECCO Select Corp.</t>
  </si>
  <si>
    <t>Capture Manager</t>
  </si>
  <si>
    <t>Hopkins</t>
  </si>
  <si>
    <t>mhopkins@eccoselect.com</t>
  </si>
  <si>
    <t>ecmms</t>
  </si>
  <si>
    <t>Wei</t>
  </si>
  <si>
    <t>weiwu@foxconn.com</t>
  </si>
  <si>
    <t xml:space="preserve">288 mayo </t>
  </si>
  <si>
    <t>city of industry</t>
  </si>
  <si>
    <t>91789</t>
  </si>
  <si>
    <t>Edgesource Corp.</t>
  </si>
  <si>
    <t>Project Controller</t>
  </si>
  <si>
    <t>Jil</t>
  </si>
  <si>
    <t>Havan</t>
  </si>
  <si>
    <t>jhavanngo@edgesource.com</t>
  </si>
  <si>
    <t>9224 Kristin Lane</t>
  </si>
  <si>
    <t>22032</t>
  </si>
  <si>
    <t>ISSLOB Manager</t>
  </si>
  <si>
    <t>Riley</t>
  </si>
  <si>
    <t>rileymk@state.gov</t>
  </si>
  <si>
    <t>2230 Gallows Road</t>
  </si>
  <si>
    <t>Suite 310</t>
  </si>
  <si>
    <t>Dunn Loring</t>
  </si>
  <si>
    <t>22027</t>
  </si>
  <si>
    <t>Electronic Technologies</t>
  </si>
  <si>
    <t>Manger</t>
  </si>
  <si>
    <t>Otto</t>
  </si>
  <si>
    <t>doug_otto@irco.com</t>
  </si>
  <si>
    <t>11819 Pennsylvania Street</t>
  </si>
  <si>
    <t>Carmel</t>
  </si>
  <si>
    <t>IN</t>
  </si>
  <si>
    <t>46032</t>
  </si>
  <si>
    <t>Emdeon</t>
  </si>
  <si>
    <t>Ludvigson</t>
  </si>
  <si>
    <t>nludvigson@emdeon.com</t>
  </si>
  <si>
    <t>100 Lexington Street</t>
  </si>
  <si>
    <t>EmeSec Incorporated</t>
  </si>
  <si>
    <t>Junior Project Coordinator</t>
  </si>
  <si>
    <t>Horton</t>
  </si>
  <si>
    <t>mchorton2@emesec.net</t>
  </si>
  <si>
    <t>1818 Library Street</t>
  </si>
  <si>
    <t>Equinix</t>
  </si>
  <si>
    <t>Director, Federal Markets</t>
  </si>
  <si>
    <t>Lind</t>
  </si>
  <si>
    <t>jlind@equinix.com</t>
  </si>
  <si>
    <t>20110 Ashbrook Place</t>
  </si>
  <si>
    <t>suite 160</t>
  </si>
  <si>
    <t>Asbhurn</t>
  </si>
  <si>
    <t>20147</t>
  </si>
  <si>
    <t>Account Executive</t>
  </si>
  <si>
    <t>Thomson</t>
  </si>
  <si>
    <t>bthomson@equinix.com</t>
  </si>
  <si>
    <t>Suite 160</t>
  </si>
  <si>
    <t>Ashburn</t>
  </si>
  <si>
    <t>ESI</t>
  </si>
  <si>
    <t>bhall@esi-estech.com</t>
  </si>
  <si>
    <t>3701 E. Plano Parkway</t>
  </si>
  <si>
    <t>EW Wellsgroup</t>
  </si>
  <si>
    <t>Dale</t>
  </si>
  <si>
    <t>travel@wellsgroup.us</t>
  </si>
  <si>
    <t>1221 S Lamar Street  #45</t>
  </si>
  <si>
    <t>Steele</t>
  </si>
  <si>
    <t>3100 Main Street  #45</t>
  </si>
  <si>
    <t>75226</t>
  </si>
  <si>
    <t>Exalt Integrated Tech</t>
  </si>
  <si>
    <t>Donald</t>
  </si>
  <si>
    <t>Maycott</t>
  </si>
  <si>
    <t>dmaycott@exaltit.com</t>
  </si>
  <si>
    <t>401 Bombay Lane</t>
  </si>
  <si>
    <t>Roswell</t>
  </si>
  <si>
    <t>30076</t>
  </si>
  <si>
    <t>Exalt Integrated Technlogies</t>
  </si>
  <si>
    <t>Sanchez</t>
  </si>
  <si>
    <t>msanchez@exaltit.com</t>
  </si>
  <si>
    <t>Factory Supply, Inc.</t>
  </si>
  <si>
    <t>Government Contracts Manager</t>
  </si>
  <si>
    <t>Belton</t>
  </si>
  <si>
    <t>Livingston III</t>
  </si>
  <si>
    <t>belton@factorysupply.net</t>
  </si>
  <si>
    <t>3412 49th St. N.</t>
  </si>
  <si>
    <t>St. Petersburg</t>
  </si>
  <si>
    <t>33710</t>
  </si>
  <si>
    <t>Federal Defense Industries, Inc.</t>
  </si>
  <si>
    <t>Philip</t>
  </si>
  <si>
    <t>Ochoa</t>
  </si>
  <si>
    <t>pochoa@fdi.us.com</t>
  </si>
  <si>
    <t>5231 Maureen</t>
  </si>
  <si>
    <t>Moorpark</t>
  </si>
  <si>
    <t>93021</t>
  </si>
  <si>
    <t>Federal Home Loan Bank</t>
  </si>
  <si>
    <t>Contracts Admin</t>
  </si>
  <si>
    <t>Desiree</t>
  </si>
  <si>
    <t>Obleton</t>
  </si>
  <si>
    <t>desiree.obleton@fhlb.com</t>
  </si>
  <si>
    <t>8500 Freeport Parkway South</t>
  </si>
  <si>
    <t>FedLinx, Inc.</t>
  </si>
  <si>
    <t>Director, Contract Administration</t>
  </si>
  <si>
    <t>dhouston@fedlinx.com</t>
  </si>
  <si>
    <t>1401 Sunset Drive</t>
  </si>
  <si>
    <t>Greenbsoro</t>
  </si>
  <si>
    <t>27408</t>
  </si>
  <si>
    <t>Fellowes, Inc</t>
  </si>
  <si>
    <t>National Sales Manager</t>
  </si>
  <si>
    <t>msmith@fellowes.com</t>
  </si>
  <si>
    <t>1789 Norwood Ave</t>
  </si>
  <si>
    <t>Itasca</t>
  </si>
  <si>
    <t>Flashpoint I.S.</t>
  </si>
  <si>
    <t>Project Manager</t>
  </si>
  <si>
    <t>eric.lee@flashpointis.com</t>
  </si>
  <si>
    <t>3600 Plantation Grove Lane</t>
  </si>
  <si>
    <t>Haymarket</t>
  </si>
  <si>
    <t>20169</t>
  </si>
  <si>
    <t>April</t>
  </si>
  <si>
    <t>Woodworth</t>
  </si>
  <si>
    <t>april.woodworth@flashpointis.com</t>
  </si>
  <si>
    <t>Fluor</t>
  </si>
  <si>
    <t>Director, Contracts Management</t>
  </si>
  <si>
    <t>Stein</t>
  </si>
  <si>
    <t>susan.stein@fluor.com</t>
  </si>
  <si>
    <t>1200 Jadwin Ave</t>
  </si>
  <si>
    <t>Richland</t>
  </si>
  <si>
    <t>99352</t>
  </si>
  <si>
    <t>Fors Marsh Group</t>
  </si>
  <si>
    <t>Senior Research Associate</t>
  </si>
  <si>
    <t>sbaker@forsmarshgroup.com</t>
  </si>
  <si>
    <t>1010 N. Glebe Road</t>
  </si>
  <si>
    <t>Suite 510</t>
  </si>
  <si>
    <t>Fors Marsh Group, LLC</t>
  </si>
  <si>
    <t>Griepentrog</t>
  </si>
  <si>
    <t>bg@forsmarshgroup.com</t>
  </si>
  <si>
    <t>4040 N. Fairfax Dr.</t>
  </si>
  <si>
    <t>FWD think</t>
  </si>
  <si>
    <t>Rabiah</t>
  </si>
  <si>
    <t>Sutton</t>
  </si>
  <si>
    <t>rsutton@fwdthink.com</t>
  </si>
  <si>
    <t>1100 15th Street, NW</t>
  </si>
  <si>
    <t>G T Distributors</t>
  </si>
  <si>
    <t>Brittany</t>
  </si>
  <si>
    <t>brittany.delgado@gtdist.com</t>
  </si>
  <si>
    <t>2545 Brockton Dr.</t>
  </si>
  <si>
    <t>Clint</t>
  </si>
  <si>
    <t>clintw@gtdist.com</t>
  </si>
  <si>
    <t>GALLS</t>
  </si>
  <si>
    <t>BILL</t>
  </si>
  <si>
    <t>ERWIN</t>
  </si>
  <si>
    <t>erwin-bill@galls.com</t>
  </si>
  <si>
    <t>1340 Russell Cave Road</t>
  </si>
  <si>
    <t>40505</t>
  </si>
  <si>
    <t>Gartner, Inc.</t>
  </si>
  <si>
    <t>Director, Government Contracts</t>
  </si>
  <si>
    <t>frank.murphy@gartner.com</t>
  </si>
  <si>
    <t>10209 Wendover Drive</t>
  </si>
  <si>
    <t>22181</t>
  </si>
  <si>
    <t>General Dynamics IT</t>
  </si>
  <si>
    <t>Jaclyn</t>
  </si>
  <si>
    <t>Joines</t>
  </si>
  <si>
    <t>jaclyn.joines@gdit.com</t>
  </si>
  <si>
    <t>3211 Jermantown Road</t>
  </si>
  <si>
    <t>Genesis Business Systems</t>
  </si>
  <si>
    <t>Facility Security Officer</t>
  </si>
  <si>
    <t>LaSheonda</t>
  </si>
  <si>
    <t>Feathers</t>
  </si>
  <si>
    <t>lfeathers@gb-sys.com</t>
  </si>
  <si>
    <t>6338 N New Braunfels #181</t>
  </si>
  <si>
    <t>78209</t>
  </si>
  <si>
    <t>Georgia Chair Company</t>
  </si>
  <si>
    <t>Harry</t>
  </si>
  <si>
    <t>Bagwell</t>
  </si>
  <si>
    <t>harry@georgiachair.com</t>
  </si>
  <si>
    <t>456 Industrial Blvd</t>
  </si>
  <si>
    <t>P.O. Box 935</t>
  </si>
  <si>
    <t>30503</t>
  </si>
  <si>
    <t>Dawne</t>
  </si>
  <si>
    <t>Mylie</t>
  </si>
  <si>
    <t>dawne@georgiachair.com</t>
  </si>
  <si>
    <t>Georgia-Pacific</t>
  </si>
  <si>
    <t>Slinger</t>
  </si>
  <si>
    <t>mike.slinger@gapac.com</t>
  </si>
  <si>
    <t>425 Silver Cheif Way</t>
  </si>
  <si>
    <t>Danville</t>
  </si>
  <si>
    <t>94526</t>
  </si>
  <si>
    <t>Georgia-Pacific Prof.</t>
  </si>
  <si>
    <t>National Account Manager - Military</t>
  </si>
  <si>
    <t>Shannon</t>
  </si>
  <si>
    <t>Haley</t>
  </si>
  <si>
    <t>shannon.haley@gapac.com</t>
  </si>
  <si>
    <t>PO Box 1106</t>
  </si>
  <si>
    <t>Urbanna</t>
  </si>
  <si>
    <t>23175</t>
  </si>
  <si>
    <t>Gill Digital Services</t>
  </si>
  <si>
    <t xml:space="preserve">Sr. V.P. Risk Management </t>
  </si>
  <si>
    <t>Sherrie Lynn</t>
  </si>
  <si>
    <t>McBurney</t>
  </si>
  <si>
    <t>smcburney@gilldigital.com</t>
  </si>
  <si>
    <t xml:space="preserve">2414 North Akard  Street Suite 650 </t>
  </si>
  <si>
    <t>Gill Digital Services, LLC</t>
  </si>
  <si>
    <t>CEO &amp; President</t>
  </si>
  <si>
    <t>bgill@gilldigital.com</t>
  </si>
  <si>
    <t>2414 N. Akard Street</t>
  </si>
  <si>
    <t>Glidden Prof. Paints</t>
  </si>
  <si>
    <t>Tinney</t>
  </si>
  <si>
    <t>ed.tinney@gliddenprofessional.com</t>
  </si>
  <si>
    <t>5863 Brookstone Trace</t>
  </si>
  <si>
    <t>Acworth</t>
  </si>
  <si>
    <t>30101</t>
  </si>
  <si>
    <t>Glidden Professional</t>
  </si>
  <si>
    <t>Business Development Manager- Government</t>
  </si>
  <si>
    <t>Salmen</t>
  </si>
  <si>
    <t>robert.salmen@gliddenprofessional.com</t>
  </si>
  <si>
    <t>9621 Old Marsh Ct.</t>
  </si>
  <si>
    <t>Orlando</t>
  </si>
  <si>
    <t>32832</t>
  </si>
  <si>
    <t>Global Knowledge</t>
  </si>
  <si>
    <t>Manager, Federal Channels &amp; Alliances</t>
  </si>
  <si>
    <t>Bunting</t>
  </si>
  <si>
    <t>robin.bunting@globalknowledge.com</t>
  </si>
  <si>
    <t>706 Delmar Road</t>
  </si>
  <si>
    <t>27511</t>
  </si>
  <si>
    <t>GLOBAL OEM CORPORATION</t>
  </si>
  <si>
    <t>SALES/MARKETING MANAGER</t>
  </si>
  <si>
    <t>YANG</t>
  </si>
  <si>
    <t>rcyang@globaltechmfg.com</t>
  </si>
  <si>
    <t>1755 PARK STREET</t>
  </si>
  <si>
    <t>SUITE #330</t>
  </si>
  <si>
    <t>NAPERVILLE</t>
  </si>
  <si>
    <t>60563</t>
  </si>
  <si>
    <t>GOOGLE</t>
  </si>
  <si>
    <t>PETER</t>
  </si>
  <si>
    <t>KASSAB</t>
  </si>
  <si>
    <t>1101 NEW YORK AVE NW</t>
  </si>
  <si>
    <t>2ND FLOOR</t>
  </si>
  <si>
    <t>Google</t>
  </si>
  <si>
    <t>State &amp; Local Government Manager</t>
  </si>
  <si>
    <t>Waldie</t>
  </si>
  <si>
    <t xml:space="preserve">9606 North MoPac Expressway </t>
  </si>
  <si>
    <t>Gould Southern Inc</t>
  </si>
  <si>
    <t>Government Contracts MGR</t>
  </si>
  <si>
    <t>Barton</t>
  </si>
  <si>
    <t>govsales@gouldsouthern.com</t>
  </si>
  <si>
    <t>2940 Old Norcross Rd.</t>
  </si>
  <si>
    <t>Suite 500</t>
  </si>
  <si>
    <t>Duluth</t>
  </si>
  <si>
    <t>30096</t>
  </si>
  <si>
    <t>Graphic Resource Group</t>
  </si>
  <si>
    <t>Pyc</t>
  </si>
  <si>
    <t>apyc@graphicresource.com</t>
  </si>
  <si>
    <t>528 Robbins</t>
  </si>
  <si>
    <t>48083</t>
  </si>
  <si>
    <t>GSA Applications</t>
  </si>
  <si>
    <t>VP operations</t>
  </si>
  <si>
    <t>sprecher</t>
  </si>
  <si>
    <t>pam@gsaprocessors.com</t>
  </si>
  <si>
    <t>3925 tampa rd</t>
  </si>
  <si>
    <t>oldsmar</t>
  </si>
  <si>
    <t>34677</t>
  </si>
  <si>
    <t>Guardians of Honor</t>
  </si>
  <si>
    <t>Executive VP</t>
  </si>
  <si>
    <t>cmitchell@gohnow.com</t>
  </si>
  <si>
    <t>1100 N. Glebe Road</t>
  </si>
  <si>
    <t>Suite 1010</t>
  </si>
  <si>
    <t>Pitkow</t>
  </si>
  <si>
    <t>rpitkow@gohnow.com</t>
  </si>
  <si>
    <t>1100 N. Glebe Rd.</t>
  </si>
  <si>
    <t>Geralynn</t>
  </si>
  <si>
    <t>Burke</t>
  </si>
  <si>
    <t>gburke04@harris.com</t>
  </si>
  <si>
    <t>4188 Sparrow Hawk Rd</t>
  </si>
  <si>
    <t>Melbourne</t>
  </si>
  <si>
    <t>32934</t>
  </si>
  <si>
    <t>Harris Corporation</t>
  </si>
  <si>
    <t>Johannessen</t>
  </si>
  <si>
    <t>pjohanne@harris.com</t>
  </si>
  <si>
    <t>PO Box 37 - MS: 2-11F</t>
  </si>
  <si>
    <t>32902</t>
  </si>
  <si>
    <t>Systems Engineer</t>
  </si>
  <si>
    <t>Marcoux</t>
  </si>
  <si>
    <t>jmarcoux@harris.com</t>
  </si>
  <si>
    <t>2400 Palm Bay Rd NE</t>
  </si>
  <si>
    <t>Palm Bay</t>
  </si>
  <si>
    <t>32905</t>
  </si>
  <si>
    <t>dwrigh01@harris.com</t>
  </si>
  <si>
    <t>2400 Palm Bay Road</t>
  </si>
  <si>
    <t>Sr Manager, Business Development</t>
  </si>
  <si>
    <t>Gabica</t>
  </si>
  <si>
    <t>cgabica@harris.com</t>
  </si>
  <si>
    <t xml:space="preserve">1025 W NASA Blvd. </t>
  </si>
  <si>
    <t>MS  C-41G</t>
  </si>
  <si>
    <t>32919</t>
  </si>
  <si>
    <t>Rye</t>
  </si>
  <si>
    <t>rye.myers@harris.com</t>
  </si>
  <si>
    <t>7926 Timberlake Drive</t>
  </si>
  <si>
    <t>West Melbourne</t>
  </si>
  <si>
    <t>32904</t>
  </si>
  <si>
    <t>Senior Contracts Manager</t>
  </si>
  <si>
    <t>Lina</t>
  </si>
  <si>
    <t>Paniccia</t>
  </si>
  <si>
    <t>lina.paniccia@harris.com</t>
  </si>
  <si>
    <t>Box 37</t>
  </si>
  <si>
    <t>M/S 5/11J</t>
  </si>
  <si>
    <t>Advanced Programs</t>
  </si>
  <si>
    <t>Woliver</t>
  </si>
  <si>
    <t>jwoliver@harris.com</t>
  </si>
  <si>
    <t>P.O. Box 37</t>
  </si>
  <si>
    <t>Harris Corporation GCSD</t>
  </si>
  <si>
    <t>Silva</t>
  </si>
  <si>
    <t>csilva01@harris.com</t>
  </si>
  <si>
    <t xml:space="preserve">1000 Charles J. Herbert Dr. </t>
  </si>
  <si>
    <t>mailstop 2-11F</t>
  </si>
  <si>
    <t>Harris GCS</t>
  </si>
  <si>
    <t>Del</t>
  </si>
  <si>
    <t>Wiese</t>
  </si>
  <si>
    <t>del.wiese@harris.com</t>
  </si>
  <si>
    <t>P.O. Box 9800</t>
  </si>
  <si>
    <t>Harris IT Services Corp.</t>
  </si>
  <si>
    <t>Kasulis</t>
  </si>
  <si>
    <t>pkasulis@harris.com</t>
  </si>
  <si>
    <t>21000 Atlantic Blvd</t>
  </si>
  <si>
    <t>Dulles</t>
  </si>
  <si>
    <t>20166</t>
  </si>
  <si>
    <t>HBMI SOLUTIONS, LLC</t>
  </si>
  <si>
    <t>OPERATIONS DIRECTOR</t>
  </si>
  <si>
    <t>KATHY</t>
  </si>
  <si>
    <t>WELCH</t>
  </si>
  <si>
    <t>kwelch@hbmisolutions.com</t>
  </si>
  <si>
    <t>81 MILL STREET</t>
  </si>
  <si>
    <t>SUITE 2</t>
  </si>
  <si>
    <t>ORONO</t>
  </si>
  <si>
    <t>ME</t>
  </si>
  <si>
    <t>04473</t>
  </si>
  <si>
    <t>HCI Environmental</t>
  </si>
  <si>
    <t>gparker@hcienv.com</t>
  </si>
  <si>
    <t>114 Business Center Drive</t>
  </si>
  <si>
    <t>Corona</t>
  </si>
  <si>
    <t>92880</t>
  </si>
  <si>
    <t>Hewlett Packard</t>
  </si>
  <si>
    <t>Federal Civilian Supplies</t>
  </si>
  <si>
    <t>Higgason</t>
  </si>
  <si>
    <t>suzi.higgason@hp.com</t>
  </si>
  <si>
    <t>3947 Germantown Rd</t>
  </si>
  <si>
    <t>Edgewater</t>
  </si>
  <si>
    <t>21037</t>
  </si>
  <si>
    <t>HP US Supplies Sales Director</t>
  </si>
  <si>
    <t>Whidden</t>
  </si>
  <si>
    <t>john.whidden@hp.com</t>
  </si>
  <si>
    <t>135 Candlestick Rd</t>
  </si>
  <si>
    <t>North Andover</t>
  </si>
  <si>
    <t>01845</t>
  </si>
  <si>
    <t>HMS Technologies, Inc.</t>
  </si>
  <si>
    <t>VP of Contracts</t>
  </si>
  <si>
    <t>roy.jones@hmstech.com</t>
  </si>
  <si>
    <t>One Discovery Place</t>
  </si>
  <si>
    <t>Martinsburg</t>
  </si>
  <si>
    <t>25403</t>
  </si>
  <si>
    <t>Honeywell International</t>
  </si>
  <si>
    <t>GSA Compliance Program Manager</t>
  </si>
  <si>
    <t>tracy.smith@honeywell.com</t>
  </si>
  <si>
    <t>59 Holcroft Road W</t>
  </si>
  <si>
    <t>Rochester</t>
  </si>
  <si>
    <t>14612</t>
  </si>
  <si>
    <t>Honeywell Technology Sol.</t>
  </si>
  <si>
    <t>Dir of Bus Development</t>
  </si>
  <si>
    <t>Millander</t>
  </si>
  <si>
    <t>john.millander@honeywell.com</t>
  </si>
  <si>
    <t>2800 Eisenhower Ave</t>
  </si>
  <si>
    <t>Honsa Ergonomic Tech</t>
  </si>
  <si>
    <t>Government Sales Manager</t>
  </si>
  <si>
    <t>Osborn</t>
  </si>
  <si>
    <t>ed@honsatools.com</t>
  </si>
  <si>
    <t>1300 11th Street West</t>
  </si>
  <si>
    <t>Milan</t>
  </si>
  <si>
    <t>61264</t>
  </si>
  <si>
    <t>HP</t>
  </si>
  <si>
    <t>chris.jenkins2@hp.com</t>
  </si>
  <si>
    <t>1295 Berry Ln</t>
  </si>
  <si>
    <t>Georgetown</t>
  </si>
  <si>
    <t>78626</t>
  </si>
  <si>
    <t>HUGHES</t>
  </si>
  <si>
    <t>Sr. Dir., Government Solutions</t>
  </si>
  <si>
    <t>Amir</t>
  </si>
  <si>
    <t>Dehdashty</t>
  </si>
  <si>
    <t>amir.dehdashty@hughes.com</t>
  </si>
  <si>
    <t>11717 Exploration Lane</t>
  </si>
  <si>
    <t>Fanelli</t>
  </si>
  <si>
    <t>john.fanelli@hughes.com</t>
  </si>
  <si>
    <t>Sr. Dir., Government Sales</t>
  </si>
  <si>
    <t>Kazor</t>
  </si>
  <si>
    <t>ned.kazor@hughes.com</t>
  </si>
  <si>
    <t>AVP, Government Solutions</t>
  </si>
  <si>
    <t>Bardo</t>
  </si>
  <si>
    <t>tony.bardo@hughes.com</t>
  </si>
  <si>
    <t>HydroHoist Marine Group</t>
  </si>
  <si>
    <t>Farley</t>
  </si>
  <si>
    <t>efarley@boatlift.com</t>
  </si>
  <si>
    <t>915 W. Blue Starr Dr.</t>
  </si>
  <si>
    <t>Claremore</t>
  </si>
  <si>
    <t>74017</t>
  </si>
  <si>
    <t>Iamner, Inc.</t>
  </si>
  <si>
    <t>Dike</t>
  </si>
  <si>
    <t>Ogwuru</t>
  </si>
  <si>
    <t>dike@iamner.com</t>
  </si>
  <si>
    <t>721 Raven Avenue</t>
  </si>
  <si>
    <t>20877</t>
  </si>
  <si>
    <t>IBM</t>
  </si>
  <si>
    <t>IBM ALLIANT Executive Director</t>
  </si>
  <si>
    <t>Dr. Marguerite</t>
  </si>
  <si>
    <t>Raaen</t>
  </si>
  <si>
    <t>mraaen@us.ibm.com</t>
  </si>
  <si>
    <t>14404 sandy ridge rd</t>
  </si>
  <si>
    <t>silver spring</t>
  </si>
  <si>
    <t>20904</t>
  </si>
  <si>
    <t>ICF International</t>
  </si>
  <si>
    <t>Director, Policy and GSA Contracts</t>
  </si>
  <si>
    <t>McNeely</t>
  </si>
  <si>
    <t>mmcneely@icfi.com</t>
  </si>
  <si>
    <t>9300 Lee Highway</t>
  </si>
  <si>
    <t>IMC Networks Corp</t>
  </si>
  <si>
    <t>Holstrom</t>
  </si>
  <si>
    <t>nholstrom@imcnetworks.com</t>
  </si>
  <si>
    <t>19772 Pauling</t>
  </si>
  <si>
    <t>Foothill Ranch</t>
  </si>
  <si>
    <t>92610</t>
  </si>
  <si>
    <t>immixGroup</t>
  </si>
  <si>
    <t>8484 Westpark Drive</t>
  </si>
  <si>
    <t>Ignosci</t>
  </si>
  <si>
    <t>lisa_ignosci@immixgroup.com</t>
  </si>
  <si>
    <t>Ste 810</t>
  </si>
  <si>
    <t>Industrial Control Repair</t>
  </si>
  <si>
    <t>Director Business Development</t>
  </si>
  <si>
    <t>DeVore</t>
  </si>
  <si>
    <t>ddevore@industrialcontrolrepair.com</t>
  </si>
  <si>
    <t>2180 Barberry Drive</t>
  </si>
  <si>
    <t>Shelby Twp.</t>
  </si>
  <si>
    <t>48316</t>
  </si>
  <si>
    <t>Industries for the Blind</t>
  </si>
  <si>
    <t>Martinelli</t>
  </si>
  <si>
    <t>jeff.martinelli@ibmilw.com</t>
  </si>
  <si>
    <t>445 South Curtis Road</t>
  </si>
  <si>
    <t>West Allis</t>
  </si>
  <si>
    <t>53214</t>
  </si>
  <si>
    <t>Director of Federal Programs</t>
  </si>
  <si>
    <t>LiPuma</t>
  </si>
  <si>
    <t>linda.lipuma@ibmilw.com</t>
  </si>
  <si>
    <t>Industries of the Blind</t>
  </si>
  <si>
    <t>Customer Service Rep</t>
  </si>
  <si>
    <t>Barham</t>
  </si>
  <si>
    <t>dbarham@iob-gso.com</t>
  </si>
  <si>
    <t>920 West Lee Street</t>
  </si>
  <si>
    <t>Greensboro</t>
  </si>
  <si>
    <t>27403</t>
  </si>
  <si>
    <t>Director of Sales, Marketing, and Business Develop</t>
  </si>
  <si>
    <t>Oliver</t>
  </si>
  <si>
    <t>nhonor@iob-gso.com</t>
  </si>
  <si>
    <t>920 West Lee St</t>
  </si>
  <si>
    <t>27410</t>
  </si>
  <si>
    <t>Infiniti Information Solutions</t>
  </si>
  <si>
    <t>Gus</t>
  </si>
  <si>
    <t>Bell</t>
  </si>
  <si>
    <t>gbell@infinitiis.com</t>
  </si>
  <si>
    <t>5568 General Washington Drive</t>
  </si>
  <si>
    <t>Suite A-209</t>
  </si>
  <si>
    <t>22312</t>
  </si>
  <si>
    <t>INFORELIANCE</t>
  </si>
  <si>
    <t>EXECUTIVE DIRECTOR</t>
  </si>
  <si>
    <t>KIMBERLY</t>
  </si>
  <si>
    <t>PACK</t>
  </si>
  <si>
    <t>KIM.PACK@INFORELIANCE.COM</t>
  </si>
  <si>
    <t>43110 WEATHERWOOD DR</t>
  </si>
  <si>
    <t>ASHBURN</t>
  </si>
  <si>
    <t>Ingersoll Rand</t>
  </si>
  <si>
    <t>Government Business Development Manager</t>
  </si>
  <si>
    <t>terry_collins@irco.com</t>
  </si>
  <si>
    <t>3100 Northwoods Place Suite A</t>
  </si>
  <si>
    <t>InquisIT LLC</t>
  </si>
  <si>
    <t>Blackwell</t>
  </si>
  <si>
    <t>mblackwell@inquisitllc.com</t>
  </si>
  <si>
    <t>14701 C Willard Road</t>
  </si>
  <si>
    <t xml:space="preserve">Vice Presdident </t>
  </si>
  <si>
    <t>Graham</t>
  </si>
  <si>
    <t>bgraham@inquisitllc.com</t>
  </si>
  <si>
    <t>Iris Technology</t>
  </si>
  <si>
    <t>Georgiann</t>
  </si>
  <si>
    <t>tradeshows@iristechnology.com</t>
  </si>
  <si>
    <t>2811 McGaw Ave Suite A</t>
  </si>
  <si>
    <t>92614</t>
  </si>
  <si>
    <t>JACK OF ALL TRADES</t>
  </si>
  <si>
    <t>MARKETING DIRECTOR</t>
  </si>
  <si>
    <t>KARI</t>
  </si>
  <si>
    <t>MCHAM</t>
  </si>
  <si>
    <t>joatwaco@hot.rr.com</t>
  </si>
  <si>
    <t>2701 Franklin Ave</t>
  </si>
  <si>
    <t>76710</t>
  </si>
  <si>
    <t>Jacobs Technology</t>
  </si>
  <si>
    <t>Director, IDIQ Operations</t>
  </si>
  <si>
    <t>christopher.cook@jacobs.com</t>
  </si>
  <si>
    <t>1030 Titan Ct</t>
  </si>
  <si>
    <t>Ft Walton Beach</t>
  </si>
  <si>
    <t>32547</t>
  </si>
  <si>
    <t>JAKN Network Support and Services</t>
  </si>
  <si>
    <t>Director Gov't Contracts</t>
  </si>
  <si>
    <t>Arend</t>
  </si>
  <si>
    <t>Nicole@jakn.com</t>
  </si>
  <si>
    <t>6320 Fawnbrook Cir</t>
  </si>
  <si>
    <t>49048</t>
  </si>
  <si>
    <t>Director Sales and Marketing</t>
  </si>
  <si>
    <t>Hays</t>
  </si>
  <si>
    <t>kim@jakn.com</t>
  </si>
  <si>
    <t>thomas@jakn.com</t>
  </si>
  <si>
    <t>3119 Westwick Dr</t>
  </si>
  <si>
    <t>77082</t>
  </si>
  <si>
    <t>Jamie Northrop Associates Inc</t>
  </si>
  <si>
    <t>Northrop</t>
  </si>
  <si>
    <t>jamie@consultjna.com</t>
  </si>
  <si>
    <t>950 New Loudon Road</t>
  </si>
  <si>
    <t>Suite 285</t>
  </si>
  <si>
    <t>Latham</t>
  </si>
  <si>
    <t>12110</t>
  </si>
  <si>
    <t>JM Procurement Group, LLC</t>
  </si>
  <si>
    <t>Myhre</t>
  </si>
  <si>
    <t>janetmyhre@jmprocurement.com</t>
  </si>
  <si>
    <t>4012 Woodley Drive</t>
  </si>
  <si>
    <t>22309</t>
  </si>
  <si>
    <t>John Snow, Inc.</t>
  </si>
  <si>
    <t>Lauren</t>
  </si>
  <si>
    <t>Dahlman</t>
  </si>
  <si>
    <t>ldahlman@jsi.com</t>
  </si>
  <si>
    <t>44 Farnsworth Street</t>
  </si>
  <si>
    <t>02210</t>
  </si>
  <si>
    <t>Johnson,Mirmiran&amp;Thompson</t>
  </si>
  <si>
    <t>jryan@jmt.com</t>
  </si>
  <si>
    <t>72 Loveton Circle</t>
  </si>
  <si>
    <t>Sparks</t>
  </si>
  <si>
    <t>21152</t>
  </si>
  <si>
    <t>Vice President, Washington, DC Office</t>
  </si>
  <si>
    <t>Bland</t>
  </si>
  <si>
    <t>sbland@jmt.com</t>
  </si>
  <si>
    <t>One Massachusetts Ave., NW</t>
  </si>
  <si>
    <t xml:space="preserve">Suite 840 </t>
  </si>
  <si>
    <t>JSAM - Johnson Int'L</t>
  </si>
  <si>
    <t>Domestic Sales - GSA</t>
  </si>
  <si>
    <t>Libby</t>
  </si>
  <si>
    <t>lbland@johnson-united.com</t>
  </si>
  <si>
    <t>7009 South Jordan Road</t>
  </si>
  <si>
    <t>Centennial</t>
  </si>
  <si>
    <t>Regional Manager - GSA</t>
  </si>
  <si>
    <t>mrichardson@johnson-united.com</t>
  </si>
  <si>
    <t>JTC Services Guam, LLC</t>
  </si>
  <si>
    <t>Camacho</t>
  </si>
  <si>
    <t>tom@jtcservicesguam.com</t>
  </si>
  <si>
    <t>122 Archbishop Flores St</t>
  </si>
  <si>
    <t>Hagatna, GU</t>
  </si>
  <si>
    <t>96910</t>
  </si>
  <si>
    <t>Juniper Networks</t>
  </si>
  <si>
    <t>Senior Partner Account Manager</t>
  </si>
  <si>
    <t>O'Dell</t>
  </si>
  <si>
    <t>codell@juniper.net</t>
  </si>
  <si>
    <t>2251 Corporate Park Drive</t>
  </si>
  <si>
    <t>K3 Enterprises, Inc.</t>
  </si>
  <si>
    <t>GSA Manager</t>
  </si>
  <si>
    <t>Genea</t>
  </si>
  <si>
    <t>Closs</t>
  </si>
  <si>
    <t>genea.closs@k3-enterprises.com</t>
  </si>
  <si>
    <t xml:space="preserve">225 Ray Avenue </t>
  </si>
  <si>
    <t>Ste. 300</t>
  </si>
  <si>
    <t>28301</t>
  </si>
  <si>
    <t>K4 Solutions, Inc.</t>
  </si>
  <si>
    <t>don.grigg@k4solutions.com</t>
  </si>
  <si>
    <t>7702 Leesburg Pike</t>
  </si>
  <si>
    <t>22043</t>
  </si>
  <si>
    <t>Kansas Alliance for Biorefining and Bioenergy</t>
  </si>
  <si>
    <t>CFO</t>
  </si>
  <si>
    <t>Spillman</t>
  </si>
  <si>
    <t>matt.spillman@kansasbioenergy.com</t>
  </si>
  <si>
    <t>125 N Market St</t>
  </si>
  <si>
    <t>Wichita</t>
  </si>
  <si>
    <t>67202</t>
  </si>
  <si>
    <t>Karsun Solutions LLC</t>
  </si>
  <si>
    <t>Sundar</t>
  </si>
  <si>
    <t>Vaidyanathan</t>
  </si>
  <si>
    <t>sundar.vaidya@karsun-llc.com</t>
  </si>
  <si>
    <t>43300-116 Southern Walk Plaza, #812</t>
  </si>
  <si>
    <t>Broadlands</t>
  </si>
  <si>
    <t>20148</t>
  </si>
  <si>
    <t>Keres Consulting, Inc.</t>
  </si>
  <si>
    <t>GSA Program Manager</t>
  </si>
  <si>
    <t>pbailey@keresnm.com</t>
  </si>
  <si>
    <t>5600 Wyoming Blvd, NE</t>
  </si>
  <si>
    <t>Suite 150</t>
  </si>
  <si>
    <t>Kforce Gov't Solutions</t>
  </si>
  <si>
    <t>Deputy Chief Operating Officer</t>
  </si>
  <si>
    <t>Carney</t>
  </si>
  <si>
    <t>jcarney@kforcegov.com</t>
  </si>
  <si>
    <t>2750 Prosperity Avenue</t>
  </si>
  <si>
    <t>Kforce Gov't.Solutions</t>
  </si>
  <si>
    <t>Program Director</t>
  </si>
  <si>
    <t>Bobbi</t>
  </si>
  <si>
    <t>Huff</t>
  </si>
  <si>
    <t>bhuff@kforcegov.com</t>
  </si>
  <si>
    <t>2750 Prosperity Ave</t>
  </si>
  <si>
    <t>Vice President Contracts</t>
  </si>
  <si>
    <t>Massie</t>
  </si>
  <si>
    <t>kmassie@kforcegov.com</t>
  </si>
  <si>
    <t>Kinetix</t>
  </si>
  <si>
    <t>Director of Operations</t>
  </si>
  <si>
    <t>Cooney</t>
  </si>
  <si>
    <t>jcooney@kinetixfire.com</t>
  </si>
  <si>
    <t>11615 Crossroads Circle</t>
  </si>
  <si>
    <t>Suite D</t>
  </si>
  <si>
    <t>21220</t>
  </si>
  <si>
    <t>Plante</t>
  </si>
  <si>
    <t>nplante@kinetixfire.com</t>
  </si>
  <si>
    <t>11615 Crossroads Circle, Suite D</t>
  </si>
  <si>
    <t>Witkowski</t>
  </si>
  <si>
    <t>awitkowski@kinetixfire.com</t>
  </si>
  <si>
    <t>Koi Computers, Inc.</t>
  </si>
  <si>
    <t>Ho</t>
  </si>
  <si>
    <t>catherineho1@koicomputer.com</t>
  </si>
  <si>
    <t>200 West North Avenue</t>
  </si>
  <si>
    <t>Lombard</t>
  </si>
  <si>
    <t>60148</t>
  </si>
  <si>
    <t>KOMPAN, Inc.</t>
  </si>
  <si>
    <t>Dir. of National Accounts</t>
  </si>
  <si>
    <t>Hainer</t>
  </si>
  <si>
    <t>brahai@kompan.com</t>
  </si>
  <si>
    <t>930 Broadway</t>
  </si>
  <si>
    <t>Tacoma</t>
  </si>
  <si>
    <t>98402</t>
  </si>
  <si>
    <t>Koniag Services, Inc</t>
  </si>
  <si>
    <t>Dave</t>
  </si>
  <si>
    <t>dleslie@ksikoniag.com</t>
  </si>
  <si>
    <t>3104 Lord Baltimore Drive</t>
  </si>
  <si>
    <t>Suite 202</t>
  </si>
  <si>
    <t>L3</t>
  </si>
  <si>
    <t>Vice President, Business Development</t>
  </si>
  <si>
    <t>Tolliver</t>
  </si>
  <si>
    <t>dianne.tolliver@l-3com.com</t>
  </si>
  <si>
    <t>11955 Freedom Drive</t>
  </si>
  <si>
    <t>Law Offices/Park &amp; Assoc.</t>
  </si>
  <si>
    <t>Sang Won</t>
  </si>
  <si>
    <t>P.O. Box 10749</t>
  </si>
  <si>
    <t>Tamuning, Guam</t>
  </si>
  <si>
    <t>96931</t>
  </si>
  <si>
    <t>Mun</t>
  </si>
  <si>
    <t>LeapFrog Solutions</t>
  </si>
  <si>
    <t>lmartin@leapfrogit.com</t>
  </si>
  <si>
    <t>3201 Jermantown Road</t>
  </si>
  <si>
    <t>Oakton</t>
  </si>
  <si>
    <t>LGS Innovations</t>
  </si>
  <si>
    <t>VP, Business Development - Civilian Agencies/Navy</t>
  </si>
  <si>
    <t>Wendorf</t>
  </si>
  <si>
    <t>mwendorf@lgsinnovations.com</t>
  </si>
  <si>
    <t>13665 Dulles Technology Drive</t>
  </si>
  <si>
    <t>Liberty Paper</t>
  </si>
  <si>
    <t>cindy@libertypp.com</t>
  </si>
  <si>
    <t>5025 Hampton Street</t>
  </si>
  <si>
    <t>90058</t>
  </si>
  <si>
    <t>Ismail</t>
  </si>
  <si>
    <t>aismail@libertypp.com</t>
  </si>
  <si>
    <t>Lifetime Products</t>
  </si>
  <si>
    <t>Commercial Sales Rep</t>
  </si>
  <si>
    <t>Mindy</t>
  </si>
  <si>
    <t>mwilson@lifetime.com</t>
  </si>
  <si>
    <t>Freeport Center, Bldg D-11</t>
  </si>
  <si>
    <t>Clearfield</t>
  </si>
  <si>
    <t>84016</t>
  </si>
  <si>
    <t>Lightower Fiber Networks</t>
  </si>
  <si>
    <t>Director Government &amp; Strategic Accounts</t>
  </si>
  <si>
    <t>Kavey</t>
  </si>
  <si>
    <t>mkavey@lightower.com</t>
  </si>
  <si>
    <t>260 Franklin Street</t>
  </si>
  <si>
    <t>02110</t>
  </si>
  <si>
    <t>Lions Volunteer Blind Industries, Inc.</t>
  </si>
  <si>
    <t>Sales</t>
  </si>
  <si>
    <t>Jeanie</t>
  </si>
  <si>
    <t>Carmichael</t>
  </si>
  <si>
    <t>jeanie@volblind.org</t>
  </si>
  <si>
    <t>758 W. Morris Blvd</t>
  </si>
  <si>
    <t>Morristown</t>
  </si>
  <si>
    <t>37813</t>
  </si>
  <si>
    <t>Lipman Hearne, Inc.</t>
  </si>
  <si>
    <t>Weidenaar</t>
  </si>
  <si>
    <t>eweidenaar@lipmanhearne.com</t>
  </si>
  <si>
    <t>200 S. Michigan Ave</t>
  </si>
  <si>
    <t>List Industries, Inc.</t>
  </si>
  <si>
    <t>Espineira</t>
  </si>
  <si>
    <t>hre@listindustries.com</t>
  </si>
  <si>
    <t>401 Jim Moran Blvd.</t>
  </si>
  <si>
    <t>Deerfield Beach</t>
  </si>
  <si>
    <t>34953</t>
  </si>
  <si>
    <t>Lockheed Martin</t>
  </si>
  <si>
    <t>Bradley</t>
  </si>
  <si>
    <t>michael.a.bradley@lmco.com</t>
  </si>
  <si>
    <t>200 Mall Blvd</t>
  </si>
  <si>
    <t>Bldg 100</t>
  </si>
  <si>
    <t>Valley Forge</t>
  </si>
  <si>
    <t>19406</t>
  </si>
  <si>
    <t>Contract Negotiation Manager</t>
  </si>
  <si>
    <t>Degraphenreid</t>
  </si>
  <si>
    <t>marcia.c.degraphenreid@lmco.com</t>
  </si>
  <si>
    <t>645 Tallulah Trails</t>
  </si>
  <si>
    <t>Gurr</t>
  </si>
  <si>
    <t>barbara.gurr@lmco.com</t>
  </si>
  <si>
    <t>645 Tallulah Trail</t>
  </si>
  <si>
    <t>Butch</t>
  </si>
  <si>
    <t>butch.flores@lmco.com</t>
  </si>
  <si>
    <t>Locking Systems Int'L</t>
  </si>
  <si>
    <t>Uliano</t>
  </si>
  <si>
    <t>george@lockingsystems.com</t>
  </si>
  <si>
    <t>6025 Cinderlane Parkway</t>
  </si>
  <si>
    <t>32810</t>
  </si>
  <si>
    <t>Lockmasters Security Inst.</t>
  </si>
  <si>
    <t>Director of Education &amp; Marketing</t>
  </si>
  <si>
    <t>Deanna</t>
  </si>
  <si>
    <t>DeBorde</t>
  </si>
  <si>
    <t>deannadeborde@lsieducation.com</t>
  </si>
  <si>
    <t>1014 South Main St.</t>
  </si>
  <si>
    <t>Nicholasville</t>
  </si>
  <si>
    <t>40356</t>
  </si>
  <si>
    <t>Lola Savannah Coffee and Tea</t>
  </si>
  <si>
    <t>Dir. Sales and Marketing</t>
  </si>
  <si>
    <t>david@lolacc.com</t>
  </si>
  <si>
    <t>1701 Commerce St.</t>
  </si>
  <si>
    <t>LolaCoffeeCoLLC</t>
  </si>
  <si>
    <t>Managing Member</t>
  </si>
  <si>
    <t>Furrh</t>
  </si>
  <si>
    <t>mcs@lolacc.com</t>
  </si>
  <si>
    <t xml:space="preserve">1701 Commerce Street </t>
  </si>
  <si>
    <t>Lorraine &amp; Associates</t>
  </si>
  <si>
    <t>owner</t>
  </si>
  <si>
    <t>Lorraine</t>
  </si>
  <si>
    <t>Haugen</t>
  </si>
  <si>
    <t>lh@lorraineandassociates.com</t>
  </si>
  <si>
    <t>5430 Glen Lakes Drive</t>
  </si>
  <si>
    <t>75231</t>
  </si>
  <si>
    <t>Louroe Electronics</t>
  </si>
  <si>
    <t>Market Relations Manager</t>
  </si>
  <si>
    <t>Cameron</t>
  </si>
  <si>
    <t>Javdani</t>
  </si>
  <si>
    <t>cameron@louroe.com</t>
  </si>
  <si>
    <t>6955 Valjean Ave</t>
  </si>
  <si>
    <t>Van Nuys</t>
  </si>
  <si>
    <t>91406</t>
  </si>
  <si>
    <t>Lunacon Construction Group</t>
  </si>
  <si>
    <t>Marketing Manager</t>
  </si>
  <si>
    <t>Carolina</t>
  </si>
  <si>
    <t>Norgaard</t>
  </si>
  <si>
    <t>cnorgaard@lunaconcorp.com</t>
  </si>
  <si>
    <t>16890 South Dixie Highway</t>
  </si>
  <si>
    <t>33157</t>
  </si>
  <si>
    <t>Lutron Electronics, Inc.</t>
  </si>
  <si>
    <t>Director, Government Solutions</t>
  </si>
  <si>
    <t>Wakefield</t>
  </si>
  <si>
    <t>awakefield@lutron.com</t>
  </si>
  <si>
    <t>7200 Suter Road</t>
  </si>
  <si>
    <t>Coopersburg</t>
  </si>
  <si>
    <t>18036</t>
  </si>
  <si>
    <t>M80 Systems, Inc.</t>
  </si>
  <si>
    <t>Carlo</t>
  </si>
  <si>
    <t>Leon Guerrero</t>
  </si>
  <si>
    <t>carlo@m80systems.com</t>
  </si>
  <si>
    <t>310 W. Route 8, Suite 105</t>
  </si>
  <si>
    <t>Barrigada</t>
  </si>
  <si>
    <t>96913</t>
  </si>
  <si>
    <t>Management &amp; Training Corp</t>
  </si>
  <si>
    <t>Senior Buyer</t>
  </si>
  <si>
    <t>Willover</t>
  </si>
  <si>
    <t>patricia.willover@mtctrains.com</t>
  </si>
  <si>
    <t>500 N Marketplace Drive</t>
  </si>
  <si>
    <t>Centerville</t>
  </si>
  <si>
    <t>84014</t>
  </si>
  <si>
    <t>ManTech International Corporation</t>
  </si>
  <si>
    <t>Executive Director, Contracts</t>
  </si>
  <si>
    <t>Amdahl</t>
  </si>
  <si>
    <t>melissa.amdahl@mantech.com</t>
  </si>
  <si>
    <t>109 Wiltshire Ct W</t>
  </si>
  <si>
    <t>Sterling</t>
  </si>
  <si>
    <t>20165</t>
  </si>
  <si>
    <t>Jeromy</t>
  </si>
  <si>
    <t>Block</t>
  </si>
  <si>
    <t>jeromy.block@mantech.com</t>
  </si>
  <si>
    <t>12015 Lee Jackson Highway</t>
  </si>
  <si>
    <t>Mary Parks &amp; Associates</t>
  </si>
  <si>
    <t>12212 Wyandotte Ct.</t>
  </si>
  <si>
    <t>64145</t>
  </si>
  <si>
    <t>McKinsey &amp; Company</t>
  </si>
  <si>
    <t>Manager, Facilities</t>
  </si>
  <si>
    <t>james_smith@mckinsey.com</t>
  </si>
  <si>
    <t>600 14th Street, NW</t>
  </si>
  <si>
    <t>2005</t>
  </si>
  <si>
    <t>MCLANE ADVANCED TECH</t>
  </si>
  <si>
    <t>DIRECTOR OF CONTRACTING</t>
  </si>
  <si>
    <t>LANETTE</t>
  </si>
  <si>
    <t>VELA</t>
  </si>
  <si>
    <t>lanette.vela@mclaneat.com</t>
  </si>
  <si>
    <t>4001 CENTRAL POINTE PARKWAY</t>
  </si>
  <si>
    <t>MCR Safety</t>
  </si>
  <si>
    <t>Knox</t>
  </si>
  <si>
    <t>rknox@mcrsafety.com</t>
  </si>
  <si>
    <t>5321 East Shelby Drive</t>
  </si>
  <si>
    <t>Memphis</t>
  </si>
  <si>
    <t>38118</t>
  </si>
  <si>
    <t>Mechanix Wear, Inc.</t>
  </si>
  <si>
    <t>Segment Manager</t>
  </si>
  <si>
    <t>Bravo</t>
  </si>
  <si>
    <t>wbravo@mechanix.com</t>
  </si>
  <si>
    <t>28525 Witherspoon Pkwy</t>
  </si>
  <si>
    <t>Valencia</t>
  </si>
  <si>
    <t>91355</t>
  </si>
  <si>
    <t>Medicus Healthcare Sol.</t>
  </si>
  <si>
    <t>Practice Manager</t>
  </si>
  <si>
    <t>Gould</t>
  </si>
  <si>
    <t>cgould@medicushcs.com</t>
  </si>
  <si>
    <t>7 Industrial Way</t>
  </si>
  <si>
    <t>Unit 5</t>
  </si>
  <si>
    <t>03079</t>
  </si>
  <si>
    <t>Government Physician Recruiter</t>
  </si>
  <si>
    <t>Katalin</t>
  </si>
  <si>
    <t>Sarkozy</t>
  </si>
  <si>
    <t>ksarkozy@medicushcs.com</t>
  </si>
  <si>
    <t>Merits Health Products</t>
  </si>
  <si>
    <t>director of business development</t>
  </si>
  <si>
    <t>Aiazzone</t>
  </si>
  <si>
    <t>taiazzone@meritshealth.com</t>
  </si>
  <si>
    <t>730 ne 19th place</t>
  </si>
  <si>
    <t>cape coral</t>
  </si>
  <si>
    <t>33904</t>
  </si>
  <si>
    <t>Metrica, Inc.</t>
  </si>
  <si>
    <t>Sr. VP</t>
  </si>
  <si>
    <t>Fast</t>
  </si>
  <si>
    <t>jfast@metricanet.com</t>
  </si>
  <si>
    <t>100 N.E. Loop 410</t>
  </si>
  <si>
    <t>Suite 520</t>
  </si>
  <si>
    <t>Michaelson, Connor &amp; Boul</t>
  </si>
  <si>
    <t>Director of Sales and Marketing</t>
  </si>
  <si>
    <t>ann.woods@mcbreo.com</t>
  </si>
  <si>
    <t>5312 Bolsa Avenue</t>
  </si>
  <si>
    <t>Huntington Beach</t>
  </si>
  <si>
    <t>92649</t>
  </si>
  <si>
    <t>MicroTech</t>
  </si>
  <si>
    <t>Sr. Vice President</t>
  </si>
  <si>
    <t>Lytle</t>
  </si>
  <si>
    <t>blytle@microtech.net</t>
  </si>
  <si>
    <t>8330 Boone Blvd</t>
  </si>
  <si>
    <t>Ministry of Strategy&amp;Finance</t>
  </si>
  <si>
    <t>Deputy Director</t>
  </si>
  <si>
    <t>Jung-sun</t>
  </si>
  <si>
    <t xml:space="preserve">Unit 2064 APO, </t>
  </si>
  <si>
    <t>AP</t>
  </si>
  <si>
    <t>96278-5234</t>
  </si>
  <si>
    <t xml:space="preserve">Korea (DPR)              </t>
  </si>
  <si>
    <t>MIRADOR Enterprises</t>
  </si>
  <si>
    <t>merci@miradorenterprises.com</t>
  </si>
  <si>
    <t>8201 Lockheed</t>
  </si>
  <si>
    <t>STE 110</t>
  </si>
  <si>
    <t>79925</t>
  </si>
  <si>
    <t>Mission Medical Supplies</t>
  </si>
  <si>
    <t>GSA division Manager</t>
  </si>
  <si>
    <t>Marsha</t>
  </si>
  <si>
    <t>Cohen</t>
  </si>
  <si>
    <t>marshac@mdsupplier.com</t>
  </si>
  <si>
    <t>125 51st Suite #1</t>
  </si>
  <si>
    <t>Brooklyn</t>
  </si>
  <si>
    <t>11232</t>
  </si>
  <si>
    <t>Mobile Fixture &amp; Eqpt.</t>
  </si>
  <si>
    <t>Inside Sales GSA Contracting Division</t>
  </si>
  <si>
    <t>greg.heath@destinrestaurantsupply.com</t>
  </si>
  <si>
    <t>306 East 19th Street</t>
  </si>
  <si>
    <t>Suite - A</t>
  </si>
  <si>
    <t>32405</t>
  </si>
  <si>
    <t>Manager GSA Contracting Division</t>
  </si>
  <si>
    <t>Ingram</t>
  </si>
  <si>
    <t>sue.ingram@destinrestaurantsupply.com</t>
  </si>
  <si>
    <t>Mobile Fixture &amp; Equipment</t>
  </si>
  <si>
    <t>Government Sales Specialist -GSA Contract Division</t>
  </si>
  <si>
    <t>Roblyer</t>
  </si>
  <si>
    <t>karl.roblyer@mobilefixture.com</t>
  </si>
  <si>
    <t>Modspace</t>
  </si>
  <si>
    <t>Jewell</t>
  </si>
  <si>
    <t>Sara.jewell@modspace.com</t>
  </si>
  <si>
    <t>160 Sarratt School Rd</t>
  </si>
  <si>
    <t>Gaffney</t>
  </si>
  <si>
    <t>MOSAIC Technologies Group</t>
  </si>
  <si>
    <t>vrhoden@mosaicsgroup.com</t>
  </si>
  <si>
    <t>8161 Maple Lawn Blvd., Suite 430</t>
  </si>
  <si>
    <t>Fulton</t>
  </si>
  <si>
    <t>MOSAIC Technologies Group, Inc.</t>
  </si>
  <si>
    <t>Executive Business Manager</t>
  </si>
  <si>
    <t>Petitt</t>
  </si>
  <si>
    <t>jpetitt@mosaicsgroup.com</t>
  </si>
  <si>
    <t>8161 Maple Lawn Blvd</t>
  </si>
  <si>
    <t>Suite 430</t>
  </si>
  <si>
    <t>Myron Corp.</t>
  </si>
  <si>
    <t>Kjekstad</t>
  </si>
  <si>
    <t>skjekstad@myron.com</t>
  </si>
  <si>
    <t>205 Maywood Ave</t>
  </si>
  <si>
    <t>Maywood</t>
  </si>
  <si>
    <t>07607</t>
  </si>
  <si>
    <t>Lack</t>
  </si>
  <si>
    <t>rlack@myron.com</t>
  </si>
  <si>
    <t>205 Maywood Ave.</t>
  </si>
  <si>
    <t>Nan Ya Plastics USA</t>
  </si>
  <si>
    <t>Sales Director</t>
  </si>
  <si>
    <t>karen@neumadoors.com</t>
  </si>
  <si>
    <t>8989 North Loop East</t>
  </si>
  <si>
    <t>77029</t>
  </si>
  <si>
    <t>Nangwik Services LLC</t>
  </si>
  <si>
    <t>Director of Products</t>
  </si>
  <si>
    <t>Glotzer</t>
  </si>
  <si>
    <t>jglotzer@nangwik.com</t>
  </si>
  <si>
    <t>421 King St</t>
  </si>
  <si>
    <t>Suite 301</t>
  </si>
  <si>
    <t>National Air Cargo</t>
  </si>
  <si>
    <t>Key Account Manager</t>
  </si>
  <si>
    <t>Bray</t>
  </si>
  <si>
    <t>mbray@nationalaircargo.com</t>
  </si>
  <si>
    <t>2300 Dulles Station Blvd.</t>
  </si>
  <si>
    <t>Suite 220</t>
  </si>
  <si>
    <t>Frazier</t>
  </si>
  <si>
    <t>hfrazier@nationalaircargo.com</t>
  </si>
  <si>
    <t>tsullivan@nationalaircargo.com</t>
  </si>
  <si>
    <t>NEC Corp. of America</t>
  </si>
  <si>
    <t>Solutions Architect</t>
  </si>
  <si>
    <t>Kamil</t>
  </si>
  <si>
    <t>Worobiec</t>
  </si>
  <si>
    <t>kamil.worobiec@necam.com</t>
  </si>
  <si>
    <t>6535 N. State Highway 161</t>
  </si>
  <si>
    <t>75039</t>
  </si>
  <si>
    <t>NEC Corporation of America</t>
  </si>
  <si>
    <t>Sr. Mgr., Contracts</t>
  </si>
  <si>
    <t>ray.williams@necam.com</t>
  </si>
  <si>
    <t>Neff Rental LLC</t>
  </si>
  <si>
    <t>Government Accounts Manager</t>
  </si>
  <si>
    <t>Veazey</t>
  </si>
  <si>
    <t>rveazey@neffcorp.com</t>
  </si>
  <si>
    <t>4321 N US HWY 301</t>
  </si>
  <si>
    <t>33610</t>
  </si>
  <si>
    <t>NetApp</t>
  </si>
  <si>
    <t>Client Manager / Cloud Solutions Director</t>
  </si>
  <si>
    <t>brian.dean@netapp.com</t>
  </si>
  <si>
    <t>1921 Gallows Rd.</t>
  </si>
  <si>
    <t>20175</t>
  </si>
  <si>
    <t>NetScout Systems</t>
  </si>
  <si>
    <t>Federal Sales Engineer</t>
  </si>
  <si>
    <t>Ramus</t>
  </si>
  <si>
    <t>michelle.ramus@netscout.com</t>
  </si>
  <si>
    <t>310 Littleton Road</t>
  </si>
  <si>
    <t>Westford</t>
  </si>
  <si>
    <t>01886</t>
  </si>
  <si>
    <t>Network Services Company</t>
  </si>
  <si>
    <t>Corporate Account Director</t>
  </si>
  <si>
    <t>Barretta</t>
  </si>
  <si>
    <t>fbarretta@networkdistribution.com</t>
  </si>
  <si>
    <t>1100 E. Woodfield Road</t>
  </si>
  <si>
    <t>Schaumburg</t>
  </si>
  <si>
    <t>60173</t>
  </si>
  <si>
    <t>Network Specialty Group</t>
  </si>
  <si>
    <t>President &amp; CEO</t>
  </si>
  <si>
    <t>Prasen</t>
  </si>
  <si>
    <t>Vasavada</t>
  </si>
  <si>
    <t>prasen@nsgi-hq.com</t>
  </si>
  <si>
    <t>20251 century boulevard</t>
  </si>
  <si>
    <t>New Directions Tech Inc.</t>
  </si>
  <si>
    <t>Cedric</t>
  </si>
  <si>
    <t>cedric@ndti.net</t>
  </si>
  <si>
    <t>137 W Drummond Ave</t>
  </si>
  <si>
    <t>Ridgecrest</t>
  </si>
  <si>
    <t>93555</t>
  </si>
  <si>
    <t>New Directions Technologies</t>
  </si>
  <si>
    <t>Bert</t>
  </si>
  <si>
    <t>Belisch</t>
  </si>
  <si>
    <t>bert.belisch@ndti.net</t>
  </si>
  <si>
    <t>2611 Jefferson Davis Hwy</t>
  </si>
  <si>
    <t>New Tech Solutions, Inc.</t>
  </si>
  <si>
    <t>Vijay</t>
  </si>
  <si>
    <t>Kumar</t>
  </si>
  <si>
    <t>vijay@ntsca.com</t>
  </si>
  <si>
    <t>4179 Business Center Dr</t>
  </si>
  <si>
    <t>Fremont</t>
  </si>
  <si>
    <t>94538</t>
  </si>
  <si>
    <t>Nikon Instruments Inc</t>
  </si>
  <si>
    <t>Tarbell</t>
  </si>
  <si>
    <t>vtarbell@nikon.net</t>
  </si>
  <si>
    <t>1300 Walt Whitman rd</t>
  </si>
  <si>
    <t>Melville</t>
  </si>
  <si>
    <t>11747</t>
  </si>
  <si>
    <t>Northern University Corporation</t>
  </si>
  <si>
    <t>Rong</t>
  </si>
  <si>
    <t>Nie</t>
  </si>
  <si>
    <t>NSF International</t>
  </si>
  <si>
    <t>Gillan</t>
  </si>
  <si>
    <t>dgillan@nsf.org</t>
  </si>
  <si>
    <t>789 N. Dixboro Road</t>
  </si>
  <si>
    <t>Ann Arbor</t>
  </si>
  <si>
    <t>48105</t>
  </si>
  <si>
    <t>NSR Solutions, Inc.</t>
  </si>
  <si>
    <t>Nayereh</t>
  </si>
  <si>
    <t>Rassoulpour</t>
  </si>
  <si>
    <t>nayerehr@nsrsolutions.com</t>
  </si>
  <si>
    <t>1700 Rockville Pike Suit 400</t>
  </si>
  <si>
    <t>NSR-Integrity Nat'l Corp.</t>
  </si>
  <si>
    <t>Antoninus</t>
  </si>
  <si>
    <t>ahines@integrity-corp.com</t>
  </si>
  <si>
    <t>1700 Rockville Pike Suite 400</t>
  </si>
  <si>
    <t>NT Concepts, Inc.</t>
  </si>
  <si>
    <t>Executive Director, Federal Programs</t>
  </si>
  <si>
    <t>larry.henderson@ntconcepts.com</t>
  </si>
  <si>
    <t>1945 Old Gallows Road</t>
  </si>
  <si>
    <t>Oce North America</t>
  </si>
  <si>
    <t>Sarsten</t>
  </si>
  <si>
    <t>jan.sarsten@oce.com</t>
  </si>
  <si>
    <t>5600 Broken Sound Blvd</t>
  </si>
  <si>
    <t>Boca Raton</t>
  </si>
  <si>
    <t>33487</t>
  </si>
  <si>
    <t>Octagon</t>
  </si>
  <si>
    <t>Shahum</t>
  </si>
  <si>
    <t>rick.shahum@octagon.com</t>
  </si>
  <si>
    <t>800 Connecticut Avenue</t>
  </si>
  <si>
    <t>Suite 2E</t>
  </si>
  <si>
    <t>Norwalk</t>
  </si>
  <si>
    <t>06854</t>
  </si>
  <si>
    <t>Omar Medical Supplies</t>
  </si>
  <si>
    <t>Executive</t>
  </si>
  <si>
    <t>cwilson@omarinc.com</t>
  </si>
  <si>
    <t>500 Crossings Dr.Ste. A</t>
  </si>
  <si>
    <t>60484</t>
  </si>
  <si>
    <t>One Source Equipment, LP</t>
  </si>
  <si>
    <t>Keeter</t>
  </si>
  <si>
    <t>april@onesourceequipment.com</t>
  </si>
  <si>
    <t>PO Box 909</t>
  </si>
  <si>
    <t>Throckmorton</t>
  </si>
  <si>
    <t>76483</t>
  </si>
  <si>
    <t>cindy@onesourceequipment.com</t>
  </si>
  <si>
    <t>Pacific Mobile Structures</t>
  </si>
  <si>
    <t>Markus</t>
  </si>
  <si>
    <t>Alley</t>
  </si>
  <si>
    <t>amanda@pacificmobile.com</t>
  </si>
  <si>
    <t xml:space="preserve">PO BOX 1404  </t>
  </si>
  <si>
    <t>CHEHALIS</t>
  </si>
  <si>
    <t>98532</t>
  </si>
  <si>
    <t>Marketing Director</t>
  </si>
  <si>
    <t>Amanda</t>
  </si>
  <si>
    <t>Brittcomer</t>
  </si>
  <si>
    <t>P.O. Box 1404</t>
  </si>
  <si>
    <t>Chehalis</t>
  </si>
  <si>
    <t>Paragon Technology Group</t>
  </si>
  <si>
    <t>Margery</t>
  </si>
  <si>
    <t>mjones@paragontech.net</t>
  </si>
  <si>
    <t>8229 Boone Blvd, Suite 700</t>
  </si>
  <si>
    <t>Phacil, Inc.</t>
  </si>
  <si>
    <t>Business Development Associate</t>
  </si>
  <si>
    <t>Hopchak</t>
  </si>
  <si>
    <t>nhopchak@phacil.com</t>
  </si>
  <si>
    <t>950 N. Glebe Road</t>
  </si>
  <si>
    <t>Suite 910</t>
  </si>
  <si>
    <t xml:space="preserve">Director of Business Development </t>
  </si>
  <si>
    <t>Fischler</t>
  </si>
  <si>
    <t>lfischler@phacil.com</t>
  </si>
  <si>
    <t>950 N. Glebe Rd.</t>
  </si>
  <si>
    <t>Shoemaker</t>
  </si>
  <si>
    <t>kshoemaker@phacil.com</t>
  </si>
  <si>
    <t>950 N. Glebe Rd</t>
  </si>
  <si>
    <t>Philips</t>
  </si>
  <si>
    <t>Chapman</t>
  </si>
  <si>
    <t>Robin.Chapman@Philips.com</t>
  </si>
  <si>
    <t>PO Box 441</t>
  </si>
  <si>
    <t>Ponte Vedra</t>
  </si>
  <si>
    <t>32004</t>
  </si>
  <si>
    <t>Pie Consulting and Engineering</t>
  </si>
  <si>
    <t>Texas Regional Manager</t>
  </si>
  <si>
    <t>Mickey</t>
  </si>
  <si>
    <t>mparker@pieforensic.com</t>
  </si>
  <si>
    <t>6275 Joyce Drive</t>
  </si>
  <si>
    <t>Arvada</t>
  </si>
  <si>
    <t>80403</t>
  </si>
  <si>
    <t>Pioneer Credit Recovery</t>
  </si>
  <si>
    <t>Brol</t>
  </si>
  <si>
    <t>lynn.brol@pioneer-credit.com</t>
  </si>
  <si>
    <t>26 Edward Street</t>
  </si>
  <si>
    <t>Arcade</t>
  </si>
  <si>
    <t>14009</t>
  </si>
  <si>
    <t>Planned Systems Int'L</t>
  </si>
  <si>
    <t>Senior Contracts Administrator</t>
  </si>
  <si>
    <t>gpaul@plan-sys.com</t>
  </si>
  <si>
    <t>10632 Little Patuxent Parkway</t>
  </si>
  <si>
    <t>21044</t>
  </si>
  <si>
    <t>Powertek</t>
  </si>
  <si>
    <t>Suslov</t>
  </si>
  <si>
    <t>nsuslov@powertekcorporation.com</t>
  </si>
  <si>
    <t>9420 Key West Avenue Suite 210</t>
  </si>
  <si>
    <t>POWTEC</t>
  </si>
  <si>
    <t>medwards@powtec.com</t>
  </si>
  <si>
    <t>4040 Wheaton Way</t>
  </si>
  <si>
    <t>Suite 111</t>
  </si>
  <si>
    <t>Bremrton</t>
  </si>
  <si>
    <t>98310</t>
  </si>
  <si>
    <t>Director of Communications &amp; QA</t>
  </si>
  <si>
    <t>cclawson@powtec.com</t>
  </si>
  <si>
    <t>Bremerton</t>
  </si>
  <si>
    <t>Premier Management Corp</t>
  </si>
  <si>
    <t>Black</t>
  </si>
  <si>
    <t>michael.black@premgtcorp.com</t>
  </si>
  <si>
    <t>11800 Winterlong Way</t>
  </si>
  <si>
    <t>Marcus</t>
  </si>
  <si>
    <t>Board</t>
  </si>
  <si>
    <t>j.jefferson@premgtcorp.com</t>
  </si>
  <si>
    <t>8894 Stanford Blvd Suite 405</t>
  </si>
  <si>
    <t>Jefferson, Jr.</t>
  </si>
  <si>
    <t>james.jefferson@premgtcorp.com</t>
  </si>
  <si>
    <t xml:space="preserve">11800 Winterlong Way </t>
  </si>
  <si>
    <t>Protonex Technology Corporation</t>
  </si>
  <si>
    <t>Vice President of Operations</t>
  </si>
  <si>
    <t>Ierardi</t>
  </si>
  <si>
    <t>david.ierardi@protonex.com</t>
  </si>
  <si>
    <t>153 Northboro Road</t>
  </si>
  <si>
    <t>Suite 1</t>
  </si>
  <si>
    <t>Southborough</t>
  </si>
  <si>
    <t>01772-1034</t>
  </si>
  <si>
    <t>Proven Management, LLC</t>
  </si>
  <si>
    <t>Denita</t>
  </si>
  <si>
    <t>Conway</t>
  </si>
  <si>
    <t>denita.conway@provenmgmt.com</t>
  </si>
  <si>
    <t>8720 Georgia Ave., Suite 800</t>
  </si>
  <si>
    <t>Cecilia</t>
  </si>
  <si>
    <t>Penn-Diallo</t>
  </si>
  <si>
    <t>cecilia.penn@provenmgmt.com</t>
  </si>
  <si>
    <t>Public Procurement Service</t>
  </si>
  <si>
    <t>Assistant Director</t>
  </si>
  <si>
    <t>Se-man</t>
  </si>
  <si>
    <t>Bae</t>
  </si>
  <si>
    <t>Jung-hyun</t>
  </si>
  <si>
    <t>QBC Diagnostics Inc.</t>
  </si>
  <si>
    <t>Boudreau</t>
  </si>
  <si>
    <t>bjb@qbcdiag.com</t>
  </si>
  <si>
    <t>168 Bradford Drive</t>
  </si>
  <si>
    <t>Port Matilda</t>
  </si>
  <si>
    <t>16870</t>
  </si>
  <si>
    <t>Quartermaster</t>
  </si>
  <si>
    <t>GSA Administrator</t>
  </si>
  <si>
    <t>Boltz</t>
  </si>
  <si>
    <t>kboltz@qmuniforms.com</t>
  </si>
  <si>
    <t>17600 Fabrica Way</t>
  </si>
  <si>
    <t>Cerritos</t>
  </si>
  <si>
    <t>90703</t>
  </si>
  <si>
    <t>Quartermaster LLC</t>
  </si>
  <si>
    <t>Gov. Sales/GSA Admin.</t>
  </si>
  <si>
    <t>amartinez@qmuniforms.com</t>
  </si>
  <si>
    <t>Ramtech Building Systems</t>
  </si>
  <si>
    <t>jward@ramtechgroup.com</t>
  </si>
  <si>
    <t>1400 U.S. Hwy 287 South</t>
  </si>
  <si>
    <t>Range Systems Inc</t>
  </si>
  <si>
    <t>Wolfgram</t>
  </si>
  <si>
    <t>mikew@range-systems.com</t>
  </si>
  <si>
    <t>5121 Winnetka Ave N</t>
  </si>
  <si>
    <t>New Hope</t>
  </si>
  <si>
    <t>55428</t>
  </si>
  <si>
    <t>ReadyOne Industries</t>
  </si>
  <si>
    <t>Ahmann</t>
  </si>
  <si>
    <t>imorales@readyone.org</t>
  </si>
  <si>
    <t>1414 Ability Drive</t>
  </si>
  <si>
    <t>79936</t>
  </si>
  <si>
    <t>VP of Products/COO</t>
  </si>
  <si>
    <t>DeHaro</t>
  </si>
  <si>
    <t>cdeharo@readyone.org</t>
  </si>
  <si>
    <t>REC Solar</t>
  </si>
  <si>
    <t>Federal Business Development Manager</t>
  </si>
  <si>
    <t>Sharp</t>
  </si>
  <si>
    <t>bsharp@recsolar.com</t>
  </si>
  <si>
    <t>246 Cobblestone Drive</t>
  </si>
  <si>
    <t>San Rafael</t>
  </si>
  <si>
    <t>94903</t>
  </si>
  <si>
    <t>REC Solar, Inc</t>
  </si>
  <si>
    <t>pcollins@recsolar.com</t>
  </si>
  <si>
    <t>775 Fiero Ln</t>
  </si>
  <si>
    <t>San Luis Obispo</t>
  </si>
  <si>
    <t>93401</t>
  </si>
  <si>
    <t>Red Team Federal</t>
  </si>
  <si>
    <t>EVP</t>
  </si>
  <si>
    <t>Shen</t>
  </si>
  <si>
    <t>jeff.shen@redteamfederal.com</t>
  </si>
  <si>
    <t>11190 Sunrise Valley Dr.</t>
  </si>
  <si>
    <t>Remee Products</t>
  </si>
  <si>
    <t>VP Government Sales</t>
  </si>
  <si>
    <t>j.moore@remee.com</t>
  </si>
  <si>
    <t>Po Box 488</t>
  </si>
  <si>
    <t>Florida</t>
  </si>
  <si>
    <t>10921</t>
  </si>
  <si>
    <t>Retrotel</t>
  </si>
  <si>
    <t>1229 South Gene Autry Trail</t>
  </si>
  <si>
    <t>Palm Springs</t>
  </si>
  <si>
    <t>92264</t>
  </si>
  <si>
    <t>RK&amp;K</t>
  </si>
  <si>
    <t>Scholtz</t>
  </si>
  <si>
    <t>mpotter@rkk.com</t>
  </si>
  <si>
    <t>81 Mosher Street</t>
  </si>
  <si>
    <t>21217</t>
  </si>
  <si>
    <t>RT London</t>
  </si>
  <si>
    <t>jwood@rtlondon.com</t>
  </si>
  <si>
    <t>1642 Broadway NW</t>
  </si>
  <si>
    <t>Grand Rapids</t>
  </si>
  <si>
    <t>49504</t>
  </si>
  <si>
    <t>RTD Embedded Technologies, Inc</t>
  </si>
  <si>
    <t>Director Sales and Customer Service</t>
  </si>
  <si>
    <t>Robi</t>
  </si>
  <si>
    <t>Haris, Jr</t>
  </si>
  <si>
    <t>rhjr@rtd.com</t>
  </si>
  <si>
    <t>103 Innovation Blvd</t>
  </si>
  <si>
    <t>State College</t>
  </si>
  <si>
    <t>16803</t>
  </si>
  <si>
    <t>RTD Embedded Tecnhologies</t>
  </si>
  <si>
    <t>Chairman &amp; CEO</t>
  </si>
  <si>
    <t>Haris</t>
  </si>
  <si>
    <t>path@rtd.com</t>
  </si>
  <si>
    <t>RTI International</t>
  </si>
  <si>
    <t>Contracting Officer</t>
  </si>
  <si>
    <t>Enichen</t>
  </si>
  <si>
    <t>enichen@rti.org</t>
  </si>
  <si>
    <t>3040 Cornwallis Road</t>
  </si>
  <si>
    <t>27709</t>
  </si>
  <si>
    <t>safina office products inc</t>
  </si>
  <si>
    <t>ceo</t>
  </si>
  <si>
    <t>robert</t>
  </si>
  <si>
    <t>lee</t>
  </si>
  <si>
    <t>9916 Brooklet</t>
  </si>
  <si>
    <t>77478</t>
  </si>
  <si>
    <t>Saicon Consultants, Inc</t>
  </si>
  <si>
    <t>vice president government division</t>
  </si>
  <si>
    <t>Bean</t>
  </si>
  <si>
    <t>stephen@saiconinc.com</t>
  </si>
  <si>
    <t>9300 w. 110th st suite 650</t>
  </si>
  <si>
    <t>overland park</t>
  </si>
  <si>
    <t>salesforce.com</t>
  </si>
  <si>
    <t>McLaren</t>
  </si>
  <si>
    <t>tmclaren@salesforce.com</t>
  </si>
  <si>
    <t>1501 12th St NW #2</t>
  </si>
  <si>
    <t>Salient Federal Solutions</t>
  </si>
  <si>
    <t>Jody</t>
  </si>
  <si>
    <t>Ganzermiller</t>
  </si>
  <si>
    <t>jganzermiller@atsc.com</t>
  </si>
  <si>
    <t>7925 Jones Branch Dr.</t>
  </si>
  <si>
    <t>Scott Safety</t>
  </si>
  <si>
    <t>Federal Government Sales</t>
  </si>
  <si>
    <t>Grossman</t>
  </si>
  <si>
    <t>sgrossman@tycoint.com</t>
  </si>
  <si>
    <t>4320 Goldmine Road</t>
  </si>
  <si>
    <t>Monroe</t>
  </si>
  <si>
    <t>28110</t>
  </si>
  <si>
    <t>Sentrillion Corporation</t>
  </si>
  <si>
    <t>mcarter@sentrillion.com</t>
  </si>
  <si>
    <t>1881 Campus Commons</t>
  </si>
  <si>
    <t>ste 400</t>
  </si>
  <si>
    <t>SGT</t>
  </si>
  <si>
    <t>VP BD</t>
  </si>
  <si>
    <t>JFields@sgt-inc.com</t>
  </si>
  <si>
    <t>7701 Greenbelt Road</t>
  </si>
  <si>
    <t>20770</t>
  </si>
  <si>
    <t>Shaw Industries Group, Inc.</t>
  </si>
  <si>
    <t>Sr. Business Analyst</t>
  </si>
  <si>
    <t>Regal</t>
  </si>
  <si>
    <t>timothy.regal@shawinc.com</t>
  </si>
  <si>
    <t>616 East Walnut Avenue</t>
  </si>
  <si>
    <t>30721</t>
  </si>
  <si>
    <t>Shred-it USA Inc</t>
  </si>
  <si>
    <t>Government Relations Executive</t>
  </si>
  <si>
    <t>Dawson</t>
  </si>
  <si>
    <t>doug.dawson@shredit.com</t>
  </si>
  <si>
    <t>850 Gude Drive</t>
  </si>
  <si>
    <t>Siemens Gov't Services</t>
  </si>
  <si>
    <t>connie.green@siemensgovt.com</t>
  </si>
  <si>
    <t>15723 Misty Leaf Lane</t>
  </si>
  <si>
    <t>77044</t>
  </si>
  <si>
    <t>Government Contracts Manager-GSA</t>
  </si>
  <si>
    <t>robert.preston@siemensgovt.com</t>
  </si>
  <si>
    <t>1881 Campus Commons Drive</t>
  </si>
  <si>
    <t>SIGMA ALDRICH</t>
  </si>
  <si>
    <t>US GOVERNMENT &amp; DISTRIBUTION MANAGER</t>
  </si>
  <si>
    <t>KEVIN</t>
  </si>
  <si>
    <t>CORCORAN</t>
  </si>
  <si>
    <t>KEVIN.CORCORAN@SIAL.COM</t>
  </si>
  <si>
    <t>3050 SPRUCE STREET</t>
  </si>
  <si>
    <t>Sims Recycling Solutions</t>
  </si>
  <si>
    <t>jesus.martinezrodriguez@simsmm.com</t>
  </si>
  <si>
    <t>2134 French Settlement Rd.</t>
  </si>
  <si>
    <t>75212</t>
  </si>
  <si>
    <t>Espada</t>
  </si>
  <si>
    <t>michael.espada@simsmm.com</t>
  </si>
  <si>
    <t>5806A N. 53rd Street</t>
  </si>
  <si>
    <t>Hacker</t>
  </si>
  <si>
    <t>417 New Sanford Road</t>
  </si>
  <si>
    <t>La Vergne</t>
  </si>
  <si>
    <t>37086</t>
  </si>
  <si>
    <t>Sodexo</t>
  </si>
  <si>
    <t>Sr. Director</t>
  </si>
  <si>
    <t>jim.maloney@sodexo.com</t>
  </si>
  <si>
    <t>9801 Washingtonian Blvd.</t>
  </si>
  <si>
    <t>Elfrida</t>
  </si>
  <si>
    <t>O'Rielly-Campbell</t>
  </si>
  <si>
    <t>elfrida.oriellycampbell@sodexo.com</t>
  </si>
  <si>
    <t>9801 Washingtonian Blvd</t>
  </si>
  <si>
    <t>Sodexo Government</t>
  </si>
  <si>
    <t>District Manager</t>
  </si>
  <si>
    <t>Teeple</t>
  </si>
  <si>
    <t>john.teeple@sodexo.com</t>
  </si>
  <si>
    <t>6211Prospect Street</t>
  </si>
  <si>
    <t>22407</t>
  </si>
  <si>
    <t>Vice President of Operations, Federal Services</t>
  </si>
  <si>
    <t>Vogel</t>
  </si>
  <si>
    <t>ann.vogel@sodexo.com</t>
  </si>
  <si>
    <t>1224 Hillcreek Rd.</t>
  </si>
  <si>
    <t>Pasadena</t>
  </si>
  <si>
    <t>21122</t>
  </si>
  <si>
    <t>Soft Source Inc</t>
  </si>
  <si>
    <t>Mohammad</t>
  </si>
  <si>
    <t>Malik</t>
  </si>
  <si>
    <t>malik@softsourceinc.com</t>
  </si>
  <si>
    <t>3883 Rogers Bridge Rd</t>
  </si>
  <si>
    <t>Suite 404B</t>
  </si>
  <si>
    <t>SOUNDOFF SIGNAL</t>
  </si>
  <si>
    <t>INTERNAL ACCOUNT MANAGER</t>
  </si>
  <si>
    <t>ADAM</t>
  </si>
  <si>
    <t>KLEIN</t>
  </si>
  <si>
    <t>aklein@soundoffsignal.com</t>
  </si>
  <si>
    <t>3900 CENTRAL PARKWAY</t>
  </si>
  <si>
    <t>HUDSONVILLE</t>
  </si>
  <si>
    <t>49426</t>
  </si>
  <si>
    <t>Southeastern Paper Group</t>
  </si>
  <si>
    <t>Ziegler</t>
  </si>
  <si>
    <t>dale.ziegler@sepapergroup.com</t>
  </si>
  <si>
    <t>50 Old Blackstock Rd.</t>
  </si>
  <si>
    <t>Spartanburg</t>
  </si>
  <si>
    <t>29301</t>
  </si>
  <si>
    <t>Southern Aluminum</t>
  </si>
  <si>
    <t>Government Sales Specialist</t>
  </si>
  <si>
    <t>Stacie</t>
  </si>
  <si>
    <t>Brice</t>
  </si>
  <si>
    <t>sbrice@southernaluminum.com</t>
  </si>
  <si>
    <t>PO Box 884</t>
  </si>
  <si>
    <t>Magnolia</t>
  </si>
  <si>
    <t>71754</t>
  </si>
  <si>
    <t>Southwest Research Inst.</t>
  </si>
  <si>
    <t>Assistant Director, Contracts</t>
  </si>
  <si>
    <t>alex.garza@swri.org</t>
  </si>
  <si>
    <t>6220 Culebra Road</t>
  </si>
  <si>
    <t>SP Richards</t>
  </si>
  <si>
    <t>Hintz</t>
  </si>
  <si>
    <t>mhintz@sprich.com</t>
  </si>
  <si>
    <t>6300 Highlands Pkwy.</t>
  </si>
  <si>
    <t>Smyrna</t>
  </si>
  <si>
    <t>30082</t>
  </si>
  <si>
    <t>SP Systems, Inc.</t>
  </si>
  <si>
    <t>Swami</t>
  </si>
  <si>
    <t>Reddy</t>
  </si>
  <si>
    <t>sreddy@sp-systems.com</t>
  </si>
  <si>
    <t>7500 Greenway Center Drive</t>
  </si>
  <si>
    <t>Suite 1140</t>
  </si>
  <si>
    <t>SPACE, Inc.</t>
  </si>
  <si>
    <t>Betts</t>
  </si>
  <si>
    <t>sbetts@spaceinc.net</t>
  </si>
  <si>
    <t>801 S. Saginaw St.</t>
  </si>
  <si>
    <t>Spacesaver Corporation</t>
  </si>
  <si>
    <t>Koshak</t>
  </si>
  <si>
    <t>pkoshak@spacesaver.com</t>
  </si>
  <si>
    <t>1450 Janesville Avenue</t>
  </si>
  <si>
    <t>Fort Atkinson</t>
  </si>
  <si>
    <t>53538</t>
  </si>
  <si>
    <t>Spartan ERV</t>
  </si>
  <si>
    <t>Western Regional Sales Manager/GSA Manager</t>
  </si>
  <si>
    <t>Bezemer</t>
  </si>
  <si>
    <t>larry.bezemer@spartanERV.com</t>
  </si>
  <si>
    <t>907 7th Ave. North</t>
  </si>
  <si>
    <t>57005</t>
  </si>
  <si>
    <t>Spectrum Science Comm's</t>
  </si>
  <si>
    <t>Luke</t>
  </si>
  <si>
    <t>Dickinson</t>
  </si>
  <si>
    <t>ldickinson@spectrumscience.com</t>
  </si>
  <si>
    <t>2000 K Street NW</t>
  </si>
  <si>
    <t>Second Floor</t>
  </si>
  <si>
    <t>Spencer Reed Group LLC.</t>
  </si>
  <si>
    <t>Solon</t>
  </si>
  <si>
    <t>william.solon@spencerreed.com</t>
  </si>
  <si>
    <t>6900 College Blvd Ste. 1</t>
  </si>
  <si>
    <t>66211</t>
  </si>
  <si>
    <t>SRA</t>
  </si>
  <si>
    <t>Mazer</t>
  </si>
  <si>
    <t>rich_mazer@sra.com</t>
  </si>
  <si>
    <t>4300 Fair Lakes Court</t>
  </si>
  <si>
    <t>SSI-Synectic Solutions</t>
  </si>
  <si>
    <t>Toby</t>
  </si>
  <si>
    <t>Doane</t>
  </si>
  <si>
    <t>tdoane@synecsolu.com</t>
  </si>
  <si>
    <t>1701 Pacific Ave.</t>
  </si>
  <si>
    <t>Suite 260</t>
  </si>
  <si>
    <t>Oxnard</t>
  </si>
  <si>
    <t>93033</t>
  </si>
  <si>
    <t>Stanley Security Solutions</t>
  </si>
  <si>
    <t>Government Services Manager</t>
  </si>
  <si>
    <t>Snider</t>
  </si>
  <si>
    <t>nicole.snider@sbdinc.com</t>
  </si>
  <si>
    <t>19490 Hurst Stand Way</t>
  </si>
  <si>
    <t>Noblesville</t>
  </si>
  <si>
    <t>46062</t>
  </si>
  <si>
    <t>SureFire</t>
  </si>
  <si>
    <t>Fire &amp; Public Safety</t>
  </si>
  <si>
    <t>Fife</t>
  </si>
  <si>
    <t>jfife@surefire.com</t>
  </si>
  <si>
    <t>18300 Mt. Baldy Circle</t>
  </si>
  <si>
    <t>Fountain Valley</t>
  </si>
  <si>
    <t>92708</t>
  </si>
  <si>
    <t>SureWest Communications</t>
  </si>
  <si>
    <t>Senior Enterprise Manager</t>
  </si>
  <si>
    <t>Mixdorf</t>
  </si>
  <si>
    <t>david.mixdorf@surewest.com</t>
  </si>
  <si>
    <t>14859 W. 95th St.</t>
  </si>
  <si>
    <t>Lenexa</t>
  </si>
  <si>
    <t>66215</t>
  </si>
  <si>
    <t>Symantec</t>
  </si>
  <si>
    <t>Contracts Administrator</t>
  </si>
  <si>
    <t>bill_barton@symantec.com</t>
  </si>
  <si>
    <t>2350 Corporate Park Dr</t>
  </si>
  <si>
    <t>Symantec Corporation</t>
  </si>
  <si>
    <t>Morsell</t>
  </si>
  <si>
    <t>lori_morsell@symantec.com</t>
  </si>
  <si>
    <t>9763 Duffer Way</t>
  </si>
  <si>
    <t>Montgomery Village</t>
  </si>
  <si>
    <t>20886</t>
  </si>
  <si>
    <t>Sysmex America, Inc.</t>
  </si>
  <si>
    <t>Savontaye</t>
  </si>
  <si>
    <t>dunns@sysmex.com</t>
  </si>
  <si>
    <t>One Nelson C. White Pkwy</t>
  </si>
  <si>
    <t>Mundelein</t>
  </si>
  <si>
    <t>60060</t>
  </si>
  <si>
    <t>Tacitcal Development Group</t>
  </si>
  <si>
    <t>Chief Opperating Officer</t>
  </si>
  <si>
    <t>Croushorn</t>
  </si>
  <si>
    <t>john@tacdevgroup.com</t>
  </si>
  <si>
    <t>2131 Woodruff RD</t>
  </si>
  <si>
    <t>#210</t>
  </si>
  <si>
    <t>29607-5950</t>
  </si>
  <si>
    <t>Tadiran Telecom</t>
  </si>
  <si>
    <t>Pace</t>
  </si>
  <si>
    <t>wes.pace@tadiranamerica.com</t>
  </si>
  <si>
    <t>265 Executive Drive #250</t>
  </si>
  <si>
    <t>Plainview</t>
  </si>
  <si>
    <t>11803</t>
  </si>
  <si>
    <t>Tadiran Telecom Inc.</t>
  </si>
  <si>
    <t>VP &amp; GM Government Systems</t>
  </si>
  <si>
    <t>Lang</t>
  </si>
  <si>
    <t>jlang@tadiran-gov.com</t>
  </si>
  <si>
    <t>265 Executive Drive</t>
  </si>
  <si>
    <t>Tadiran Telecom, Inc.</t>
  </si>
  <si>
    <t>jpowell@tadiran-gov.com</t>
  </si>
  <si>
    <t>265 Executive Drive, Suite 250</t>
  </si>
  <si>
    <t>Tandus Flooring</t>
  </si>
  <si>
    <t>National Director, Strategic Sales</t>
  </si>
  <si>
    <t>Saylor</t>
  </si>
  <si>
    <t>bsaylor@tandus.com</t>
  </si>
  <si>
    <t>1052 Eliot Street</t>
  </si>
  <si>
    <t>TASC</t>
  </si>
  <si>
    <t>Business Process Analyst</t>
  </si>
  <si>
    <t>Faircloth</t>
  </si>
  <si>
    <t>tiffany.faircloth@tasc.com</t>
  </si>
  <si>
    <t>TCP, Inc</t>
  </si>
  <si>
    <t>wcunningham@tcpi.com</t>
  </si>
  <si>
    <t>325 Campus Dr</t>
  </si>
  <si>
    <t>Aurora</t>
  </si>
  <si>
    <t>44202</t>
  </si>
  <si>
    <t>TCS</t>
  </si>
  <si>
    <t>jparker@telecomsys.com</t>
  </si>
  <si>
    <t>275 West Street</t>
  </si>
  <si>
    <t>Annapolis</t>
  </si>
  <si>
    <t>scasper@telecomsys.com</t>
  </si>
  <si>
    <t>21401</t>
  </si>
  <si>
    <t>TCS of America Enterprises</t>
  </si>
  <si>
    <t>Levesque</t>
  </si>
  <si>
    <t>melanie.levesque@tcsofamerica.com</t>
  </si>
  <si>
    <t>2 McDaniels Dr.</t>
  </si>
  <si>
    <t>Brookline</t>
  </si>
  <si>
    <t>03033</t>
  </si>
  <si>
    <t>cindy.perkins@tcsofamerica.com</t>
  </si>
  <si>
    <t>TEAM IE</t>
  </si>
  <si>
    <t>Senior Manager, Business Development</t>
  </si>
  <si>
    <t>DeEnna</t>
  </si>
  <si>
    <t>mcrimmins@team-ie.com</t>
  </si>
  <si>
    <t>10715 Gulfdale, Suite 100</t>
  </si>
  <si>
    <t>TEAM Inc.</t>
  </si>
  <si>
    <t>Southwest Business Development</t>
  </si>
  <si>
    <t>Blackman</t>
  </si>
  <si>
    <t>gblackman@teamconsult.com</t>
  </si>
  <si>
    <t>5113 Leesburg Pike, Suite 808</t>
  </si>
  <si>
    <t>TechGuard Security, LLC</t>
  </si>
  <si>
    <t>Vice President Federal Programs</t>
  </si>
  <si>
    <t>Carla</t>
  </si>
  <si>
    <t>jennifer.coliny@techguard.com</t>
  </si>
  <si>
    <t>1001 Boardwalk Springs Place, Suite 30</t>
  </si>
  <si>
    <t>63368</t>
  </si>
  <si>
    <t>Teksouth</t>
  </si>
  <si>
    <t>Bowen</t>
  </si>
  <si>
    <t>rick.bowen@teksouth.com</t>
  </si>
  <si>
    <t>1420 Northbrook Drive</t>
  </si>
  <si>
    <t>Gardendale</t>
  </si>
  <si>
    <t>35071</t>
  </si>
  <si>
    <t>Telecommunication Systems (TCI)</t>
  </si>
  <si>
    <t>bjones@telecomsys.com</t>
  </si>
  <si>
    <t>Telesis Inc.</t>
  </si>
  <si>
    <t>kfletcher@telesis-inc.com</t>
  </si>
  <si>
    <t>729 Q St</t>
  </si>
  <si>
    <t>68508</t>
  </si>
  <si>
    <t>Schafer</t>
  </si>
  <si>
    <t>rschafer@telesis-inc.com</t>
  </si>
  <si>
    <t>Tellabs Gov't Systems</t>
  </si>
  <si>
    <t>Parisi</t>
  </si>
  <si>
    <t>tom.parisi@tellabs.com</t>
  </si>
  <si>
    <t>8221 Old Courthouse Rd Suite 360</t>
  </si>
  <si>
    <t>222182</t>
  </si>
  <si>
    <t>TemporaryHousing Directory</t>
  </si>
  <si>
    <t>Federal Operations Liaison</t>
  </si>
  <si>
    <t>amanda@thdmail.net</t>
  </si>
  <si>
    <t>3308 Preston Rd</t>
  </si>
  <si>
    <t>STE 350-341</t>
  </si>
  <si>
    <t>75093-7453</t>
  </si>
  <si>
    <t>Terex Gov't Programs</t>
  </si>
  <si>
    <t>Lara</t>
  </si>
  <si>
    <t>tina.lara@terex.com</t>
  </si>
  <si>
    <t>150 Riverside Parkway</t>
  </si>
  <si>
    <t>22406</t>
  </si>
  <si>
    <t>TetraTech</t>
  </si>
  <si>
    <t>Smither</t>
  </si>
  <si>
    <t>harpreet.singh@tetratech.com</t>
  </si>
  <si>
    <t>1515 Wilson Blvd</t>
  </si>
  <si>
    <t>The Coleman Group, Inc.</t>
  </si>
  <si>
    <t>COO</t>
  </si>
  <si>
    <t>wcole@colemangrpinc.com</t>
  </si>
  <si>
    <t>10210 Greenbelt Rd.</t>
  </si>
  <si>
    <t>Suite 730</t>
  </si>
  <si>
    <t>The Lighting Quotient</t>
  </si>
  <si>
    <t>National Government Manager</t>
  </si>
  <si>
    <t>Turner</t>
  </si>
  <si>
    <t>wturner@thelightingquotient.com</t>
  </si>
  <si>
    <t>715 W Walnut Street</t>
  </si>
  <si>
    <t>Mt Pleasant</t>
  </si>
  <si>
    <t>15666</t>
  </si>
  <si>
    <t>The Manitowoc Company</t>
  </si>
  <si>
    <t>McCluskey</t>
  </si>
  <si>
    <t>daniel.mccluskey@manitowoc.com</t>
  </si>
  <si>
    <t>1312 Memorial Drive</t>
  </si>
  <si>
    <t>Sturgeon Bay</t>
  </si>
  <si>
    <t>54235</t>
  </si>
  <si>
    <t>The Ventura Group</t>
  </si>
  <si>
    <t>bharrison@theventuragroup.com</t>
  </si>
  <si>
    <t>44675 Cape Court, Unit 150</t>
  </si>
  <si>
    <t>ThermoSafe</t>
  </si>
  <si>
    <t>brad.johnson@tegrant.com</t>
  </si>
  <si>
    <t xml:space="preserve">PO Box 2552 </t>
  </si>
  <si>
    <t>Surf City</t>
  </si>
  <si>
    <t>28445</t>
  </si>
  <si>
    <t>Thomas H Walker Consultant</t>
  </si>
  <si>
    <t>Managing Principal</t>
  </si>
  <si>
    <t>Thomas H</t>
  </si>
  <si>
    <t>tom@thomashwalkerconsultants.com</t>
  </si>
  <si>
    <t>Box 589</t>
  </si>
  <si>
    <t>Starkville</t>
  </si>
  <si>
    <t>39760</t>
  </si>
  <si>
    <t>Tianjin Cheng Shi Jin Zhao</t>
  </si>
  <si>
    <t>XIN</t>
  </si>
  <si>
    <t>LIU</t>
  </si>
  <si>
    <t>hlwylx@163.com</t>
  </si>
  <si>
    <t>Rm 206 No47 Tonglousanheli,</t>
  </si>
  <si>
    <t>Hexi District</t>
  </si>
  <si>
    <t>Tianjin</t>
  </si>
  <si>
    <t>300000</t>
  </si>
  <si>
    <t xml:space="preserve">China                    </t>
  </si>
  <si>
    <t>TKC Communications LLC  (aka Truestone)</t>
  </si>
  <si>
    <t>PM</t>
  </si>
  <si>
    <t>Strong</t>
  </si>
  <si>
    <t>bob.strong@truestonefed.com</t>
  </si>
  <si>
    <t>13873 Park Center Rd., Suite 400 N</t>
  </si>
  <si>
    <t>TKC Communications, LLC</t>
  </si>
  <si>
    <t>cheryl.burns@qivliq.com</t>
  </si>
  <si>
    <t>13873 Park Center Rd., Ste 400 N</t>
  </si>
  <si>
    <t>TL Services</t>
  </si>
  <si>
    <t>DeFino</t>
  </si>
  <si>
    <t>tony.defino@tlservices.com</t>
  </si>
  <si>
    <t>4733 Kibler Rd.</t>
  </si>
  <si>
    <t>Van Buren</t>
  </si>
  <si>
    <t>72956</t>
  </si>
  <si>
    <t>TradeStream Inc.</t>
  </si>
  <si>
    <t>Sec. Treasurer</t>
  </si>
  <si>
    <t>Aurelia</t>
  </si>
  <si>
    <t>abenton@tradestreaminc.com</t>
  </si>
  <si>
    <t>150 Virginia St</t>
  </si>
  <si>
    <t>Mobile</t>
  </si>
  <si>
    <t>36603</t>
  </si>
  <si>
    <t>Trane</t>
  </si>
  <si>
    <t>jstanley@trane.com</t>
  </si>
  <si>
    <t>2520 Rosedale Street</t>
  </si>
  <si>
    <t>Highland Village</t>
  </si>
  <si>
    <t>75077</t>
  </si>
  <si>
    <t>Trans-Tel</t>
  </si>
  <si>
    <t>charlie</t>
  </si>
  <si>
    <t>boyd</t>
  </si>
  <si>
    <t>charlie.boyd@trans-tel.com</t>
  </si>
  <si>
    <t>2805 Broce Drive</t>
  </si>
  <si>
    <t>Triple C Hardware</t>
  </si>
  <si>
    <t>Worth</t>
  </si>
  <si>
    <t>Po Box 934</t>
  </si>
  <si>
    <t>Ozona</t>
  </si>
  <si>
    <t>76943</t>
  </si>
  <si>
    <t>TriTech Software Systems</t>
  </si>
  <si>
    <t>Shawna</t>
  </si>
  <si>
    <t>shawna.jones@tritech.com</t>
  </si>
  <si>
    <t>9860 Mesa Rim Road</t>
  </si>
  <si>
    <t>TrueComm</t>
  </si>
  <si>
    <t>tim.owen@truecomm.com</t>
  </si>
  <si>
    <t>23475 Rock Haven Way</t>
  </si>
  <si>
    <t>Suite 255</t>
  </si>
  <si>
    <t>Trusted Technologies LLC</t>
  </si>
  <si>
    <t>dthomas@trustedunlimited.com</t>
  </si>
  <si>
    <t>2400 Boston Street</t>
  </si>
  <si>
    <t>Suite 344</t>
  </si>
  <si>
    <t>21224</t>
  </si>
  <si>
    <t>Woodley</t>
  </si>
  <si>
    <t>jwoodley@trustedunlimited.com</t>
  </si>
  <si>
    <t>Director of Program Office</t>
  </si>
  <si>
    <t>Von Lienen</t>
  </si>
  <si>
    <t>bvonlienen@trustedunlimited.com</t>
  </si>
  <si>
    <t>TSSI</t>
  </si>
  <si>
    <t>cschroeder@psgtelecom.com</t>
  </si>
  <si>
    <t>400 Corporate Circle Suite Q</t>
  </si>
  <si>
    <t>V.P.</t>
  </si>
  <si>
    <t>swest@tssi.info</t>
  </si>
  <si>
    <t>2542 Sage Drive</t>
  </si>
  <si>
    <t>Kissimmee</t>
  </si>
  <si>
    <t>34758</t>
  </si>
  <si>
    <t>Unico, Inc.</t>
  </si>
  <si>
    <t>Intagliata</t>
  </si>
  <si>
    <t>scott@unicosystem.com</t>
  </si>
  <si>
    <t>7635 Westmoreland Avenue</t>
  </si>
  <si>
    <t>63105</t>
  </si>
  <si>
    <t>United Soybean Board</t>
  </si>
  <si>
    <t>Sueanne</t>
  </si>
  <si>
    <t>Pfifferling</t>
  </si>
  <si>
    <t>sueanne@pfifferling.com</t>
  </si>
  <si>
    <t>c/o Pfifferling &amp; Associates</t>
  </si>
  <si>
    <t>4725 Yuma Street, NW</t>
  </si>
  <si>
    <t>20016</t>
  </si>
  <si>
    <t>United Stationers</t>
  </si>
  <si>
    <t>Business Development Mgr - Gov</t>
  </si>
  <si>
    <t>Deb</t>
  </si>
  <si>
    <t>Dugas</t>
  </si>
  <si>
    <t>ddugas@ussco.com</t>
  </si>
  <si>
    <t>23018 Eidelweiss Street NW</t>
  </si>
  <si>
    <t>Saint Francis</t>
  </si>
  <si>
    <t>55070</t>
  </si>
  <si>
    <t>United Stationers Inc.</t>
  </si>
  <si>
    <t>Kwong</t>
  </si>
  <si>
    <t>nkwong@ussco.com</t>
  </si>
  <si>
    <t>1 Parkway North Boulevard</t>
  </si>
  <si>
    <t>Deerfield</t>
  </si>
  <si>
    <t>60015</t>
  </si>
  <si>
    <t>Product Manager</t>
  </si>
  <si>
    <t>Nilesh</t>
  </si>
  <si>
    <t>nileshpatel@ussco.com</t>
  </si>
  <si>
    <t>1 Parkway North</t>
  </si>
  <si>
    <t>Suite-100</t>
  </si>
  <si>
    <t>URS</t>
  </si>
  <si>
    <t>Boehmer</t>
  </si>
  <si>
    <t>greg.boehmer@urs.com</t>
  </si>
  <si>
    <t>4800 Westfields Blvd</t>
  </si>
  <si>
    <t>eileen.brown@urs.com</t>
  </si>
  <si>
    <t>Director, Contracts</t>
  </si>
  <si>
    <t>Renehan</t>
  </si>
  <si>
    <t>kyle.renehan@urs.com</t>
  </si>
  <si>
    <t>US Cavalry</t>
  </si>
  <si>
    <t>Director, Government Sales Division</t>
  </si>
  <si>
    <t>Dr. David</t>
  </si>
  <si>
    <t>dedawson@uscav.net</t>
  </si>
  <si>
    <t>2855 Centennial Ave</t>
  </si>
  <si>
    <t>Radcliff</t>
  </si>
  <si>
    <t>40160</t>
  </si>
  <si>
    <t>VARGAS, P.C.</t>
  </si>
  <si>
    <t>PRESIDENT</t>
  </si>
  <si>
    <t>ARTURO</t>
  </si>
  <si>
    <t>VARGAS</t>
  </si>
  <si>
    <t>avargas@vargascpa.com</t>
  </si>
  <si>
    <t>444 Executive Center Blvd. Suite 211</t>
  </si>
  <si>
    <t>Verizon</t>
  </si>
  <si>
    <t>Colatosti</t>
  </si>
  <si>
    <t>thomas.colatosti@verizon.com</t>
  </si>
  <si>
    <t>22001 Loudoun County Pkwy.</t>
  </si>
  <si>
    <t>Networx Program Manager</t>
  </si>
  <si>
    <t>Parlett</t>
  </si>
  <si>
    <t>joseph.m.parlett@verizon.com</t>
  </si>
  <si>
    <t>22001 Loudoun County Parkway</t>
  </si>
  <si>
    <t>Deputy Program Manager</t>
  </si>
  <si>
    <t>Welsh</t>
  </si>
  <si>
    <t>brian.welsh@verizon.com</t>
  </si>
  <si>
    <t>WITS3 Program Manager</t>
  </si>
  <si>
    <t>Allan</t>
  </si>
  <si>
    <t>allan.l.gordon.jr@one.verizon.com</t>
  </si>
  <si>
    <t>8110 foxhall rd</t>
  </si>
  <si>
    <t>Clinton</t>
  </si>
  <si>
    <t>20735</t>
  </si>
  <si>
    <t>Sr. Account Manager</t>
  </si>
  <si>
    <t>Joshi</t>
  </si>
  <si>
    <t>stephanie.joshi@verizon.com</t>
  </si>
  <si>
    <t>22001 Loudoun County Pkwy</t>
  </si>
  <si>
    <t>Tarni</t>
  </si>
  <si>
    <t>Pannell</t>
  </si>
  <si>
    <t>tarni.pannell@verizon.com</t>
  </si>
  <si>
    <t>Verizon Contract Management</t>
  </si>
  <si>
    <t>Networx Contract Manager</t>
  </si>
  <si>
    <t>kevin.k.anderson@verizon.com</t>
  </si>
  <si>
    <t>Verizon Enterprise Solutions</t>
  </si>
  <si>
    <t>Associate Director</t>
  </si>
  <si>
    <t>Marhefka</t>
  </si>
  <si>
    <t>eileen.marhefka@verizon.com</t>
  </si>
  <si>
    <t>7213 Hyde Road</t>
  </si>
  <si>
    <t>VETS Inc.</t>
  </si>
  <si>
    <t>shall@vets-inc.com</t>
  </si>
  <si>
    <t>367 Triple C DRive</t>
  </si>
  <si>
    <t>Clarksville</t>
  </si>
  <si>
    <t>23927</t>
  </si>
  <si>
    <t>VT- Group</t>
  </si>
  <si>
    <t>Javonda</t>
  </si>
  <si>
    <t>javonda.franklin@vt-group.com</t>
  </si>
  <si>
    <t>2232 Verus Street, Suite A</t>
  </si>
  <si>
    <t>92154</t>
  </si>
  <si>
    <t>V-Tech Solutions, Inc.</t>
  </si>
  <si>
    <t>Kristen</t>
  </si>
  <si>
    <t>Cates</t>
  </si>
  <si>
    <t>kcates@v-techsolutions.net</t>
  </si>
  <si>
    <t>8720 Georgia Avenue</t>
  </si>
  <si>
    <t>Suite 605</t>
  </si>
  <si>
    <t>W Allen Enterprise, LLC</t>
  </si>
  <si>
    <t>Will</t>
  </si>
  <si>
    <t>1501 Hall Johnson, Po Box 1812</t>
  </si>
  <si>
    <t>Colleyville</t>
  </si>
  <si>
    <t>76034</t>
  </si>
  <si>
    <t>W.T. Cox Subscriptions</t>
  </si>
  <si>
    <t>dknox@wtcox.com</t>
  </si>
  <si>
    <t>201 Village Road</t>
  </si>
  <si>
    <t>Shallotte</t>
  </si>
  <si>
    <t>28470</t>
  </si>
  <si>
    <t>W.W. Grainger, Inc</t>
  </si>
  <si>
    <t>Collections Supervisor</t>
  </si>
  <si>
    <t>Schauer</t>
  </si>
  <si>
    <t>april.schauer@grainger.com</t>
  </si>
  <si>
    <t>401 S Wright Rd</t>
  </si>
  <si>
    <t>Janesville</t>
  </si>
  <si>
    <t>53547</t>
  </si>
  <si>
    <t>Collector</t>
  </si>
  <si>
    <t>Zingsheim</t>
  </si>
  <si>
    <t>tammy.zingsheim@grainger.com</t>
  </si>
  <si>
    <t>Walker and Associates</t>
  </si>
  <si>
    <t>VP, Business Development</t>
  </si>
  <si>
    <t>Brightwell</t>
  </si>
  <si>
    <t>jane.brightwell@walkerfirst.com</t>
  </si>
  <si>
    <t>PO Box 1029</t>
  </si>
  <si>
    <t>Welcome</t>
  </si>
  <si>
    <t>27374</t>
  </si>
  <si>
    <t>Washington Mgmt Group</t>
  </si>
  <si>
    <t>Clarke</t>
  </si>
  <si>
    <t>jclarke@washmg.com</t>
  </si>
  <si>
    <t>1990 M. Street, NW</t>
  </si>
  <si>
    <t>Washington Mgmt. Group</t>
  </si>
  <si>
    <t>Senior Principal</t>
  </si>
  <si>
    <t>VanGorder</t>
  </si>
  <si>
    <t>rvangorder@washmg.com</t>
  </si>
  <si>
    <t>948 SE Lexington Street</t>
  </si>
  <si>
    <t>97202</t>
  </si>
  <si>
    <t>Weber MT, Inc.</t>
  </si>
  <si>
    <t>Witt</t>
  </si>
  <si>
    <t>p.witt@webermt.com</t>
  </si>
  <si>
    <t>45 Dowd Road</t>
  </si>
  <si>
    <t>Bangor</t>
  </si>
  <si>
    <t>04401</t>
  </si>
  <si>
    <t>West Point Products</t>
  </si>
  <si>
    <t>mitch.hines@westpointproducts.com</t>
  </si>
  <si>
    <t xml:space="preserve">4617 Honeycomb Trail </t>
  </si>
  <si>
    <t>40509</t>
  </si>
  <si>
    <t>Weston Solutions, Inc.</t>
  </si>
  <si>
    <t>Contract Risk Manager</t>
  </si>
  <si>
    <t>Rita</t>
  </si>
  <si>
    <t>Muniz</t>
  </si>
  <si>
    <t>rita.muniz@westonsolutions.com</t>
  </si>
  <si>
    <t>3840 Commons NE</t>
  </si>
  <si>
    <t>Wharton-Smith, Inc.</t>
  </si>
  <si>
    <t>dhayes@whartonsmith.com</t>
  </si>
  <si>
    <t>750 Monroe Ave</t>
  </si>
  <si>
    <t>32771</t>
  </si>
  <si>
    <t>Wholesale Coml. Interiors</t>
  </si>
  <si>
    <t>Lodging Purchasing Specialist</t>
  </si>
  <si>
    <t>Caba</t>
  </si>
  <si>
    <t>shelley@wci-inc.net</t>
  </si>
  <si>
    <t xml:space="preserve">6800 SW 105th </t>
  </si>
  <si>
    <t>Beaverton</t>
  </si>
  <si>
    <t>97008</t>
  </si>
  <si>
    <t>Winzer Corporation</t>
  </si>
  <si>
    <t>Sr Director: Governmental Operations</t>
  </si>
  <si>
    <t>steve.clark@winzerusa.com</t>
  </si>
  <si>
    <t>10560 Markison Road</t>
  </si>
  <si>
    <t>75238</t>
  </si>
  <si>
    <t>ANIANA</t>
  </si>
  <si>
    <t>PEREZ</t>
  </si>
  <si>
    <t>aniana.perez@winzerusa.com</t>
  </si>
  <si>
    <t xml:space="preserve">10560 Markison Road </t>
  </si>
  <si>
    <t>WMG</t>
  </si>
  <si>
    <t>pmorrison@washmg.com</t>
  </si>
  <si>
    <t>1990 M. St. NW</t>
  </si>
  <si>
    <t>WMG – a Deltek Company</t>
  </si>
  <si>
    <t>Sr. Consultant</t>
  </si>
  <si>
    <t>Weishaar</t>
  </si>
  <si>
    <t>pweishaar@washmg.com</t>
  </si>
  <si>
    <t>8 W Bridlewood Trl</t>
  </si>
  <si>
    <t>Durham</t>
  </si>
  <si>
    <t>27713</t>
  </si>
  <si>
    <t>WMG / Deltek</t>
  </si>
  <si>
    <t>Senior Consultant</t>
  </si>
  <si>
    <t>mmurphy@washmg.com</t>
  </si>
  <si>
    <t>1990 M Street</t>
  </si>
  <si>
    <t>suite 400</t>
  </si>
  <si>
    <t>Paulette</t>
  </si>
  <si>
    <t>spaulette@washmg.com</t>
  </si>
  <si>
    <t>1990 M Street, NW</t>
  </si>
  <si>
    <t>WMG | Deltek</t>
  </si>
  <si>
    <t>Shawne</t>
  </si>
  <si>
    <t>scarroll@washmg.com</t>
  </si>
  <si>
    <t>Sherry</t>
  </si>
  <si>
    <t>jsherry@washmg.com</t>
  </si>
  <si>
    <t>1990 M St. NW</t>
  </si>
  <si>
    <t>WorleyParsons</t>
  </si>
  <si>
    <t>Small Business Liaison Officer</t>
  </si>
  <si>
    <t>Mix</t>
  </si>
  <si>
    <t>jodi.mix@worleyparsons.com</t>
  </si>
  <si>
    <t>601 Williams Blvd</t>
  </si>
  <si>
    <t>Ste 4A</t>
  </si>
  <si>
    <t>99354</t>
  </si>
  <si>
    <t>Wyle Labs LLC</t>
  </si>
  <si>
    <t>FMS/International Cooperation</t>
  </si>
  <si>
    <t>Milliken</t>
  </si>
  <si>
    <t>mark.milliken@wyle.com</t>
  </si>
  <si>
    <t>200 12th street south</t>
  </si>
  <si>
    <t>Suite #900</t>
  </si>
  <si>
    <t>Xerox</t>
  </si>
  <si>
    <t>Reid</t>
  </si>
  <si>
    <t>steve.reid@xerox.com</t>
  </si>
  <si>
    <t>3300 NW 185th Ave</t>
  </si>
  <si>
    <t>97229</t>
  </si>
  <si>
    <t>Zodiac of North America</t>
  </si>
  <si>
    <t>Federal Sales and Contracting</t>
  </si>
  <si>
    <t>St. Lawrence</t>
  </si>
  <si>
    <t>renee.stlawrence@zodiacmilpro.com</t>
  </si>
  <si>
    <t>540 Thompson Creek Rd</t>
  </si>
  <si>
    <t>21012</t>
  </si>
  <si>
    <t>Zolon Tech</t>
  </si>
  <si>
    <t>Chief Executive Officer</t>
  </si>
  <si>
    <t>Ram</t>
  </si>
  <si>
    <t>Mattapalli</t>
  </si>
  <si>
    <t>ram.mattapalli@zolontech.com</t>
  </si>
  <si>
    <t>13921 Park Center Rd., Suite 360</t>
  </si>
  <si>
    <t>20152</t>
  </si>
  <si>
    <t>Zolon Tech Inc</t>
  </si>
  <si>
    <t>Zach</t>
  </si>
  <si>
    <t>zach.smith@zolontech.com</t>
  </si>
  <si>
    <t>13921 Park Center RD</t>
  </si>
  <si>
    <t>Suite 360</t>
  </si>
  <si>
    <t>Zoom Inc.</t>
  </si>
  <si>
    <t>Levy</t>
  </si>
  <si>
    <t>michele@zoominc.org</t>
  </si>
  <si>
    <t>3625 N. 10th St</t>
  </si>
  <si>
    <t>Unit 404</t>
  </si>
  <si>
    <t>Of the 1,680 attendee records being released, 49 have been partially redacted under 5 U.S.C. 552(b)(6), which allows GSA to withhold personnel or similar files the disclosure of which would constitute a clearly unwarranted invasion of personal privacy.  These redactions are denoted in the records as “*****.”  These records appear to contain personal email addresses.</t>
  </si>
  <si>
    <t xml:space="preserve">Of the 3,082 records GSA is withholding 1,262 pursuant to 10 U.S.C. 130b, 5 U.S.C. 552(b)(3), 5 U.S.C. 552(b)(6) and Under Secretary of Defense memo dated November 9, 2001, reference 01-CORR-101.  Also, GSA is withholding 136 attendee records relating to employees of the Department of Homeland Security pursuant to 5 U.S.C. 552(b)(2) and 5 U.S.C. 552(b)(6).  Finally, GSA is withholding 4 attendee records pursuant to 5 U.S.C. 552(b)(7)(C).  These attendee records relate to individuals occupying positions in a job series or occupation deemed sensitive and thus not releasable.  </t>
  </si>
  <si>
    <t xml:space="preserve">The attendee list for the GSA Training  and EXPO 2012 has 3,082 records.  The next tab contains records for 1,680 attendees.  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</si>
</sst>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[$-409]mmmm\ d\,\ yyyy;@"/>
    <numFmt numFmtId="165" formatCode="hh:mm\ AM/PM"/>
  </numFmts>
  <fonts count="22">
    <font>
      <sz val="10"/>
      <name val="Arial"/>
    </font>
    <font>
      <b/>
      <sz val="10"/>
      <name val="Arial"/>
      <family val="2"/>
    </font>
    <font>
      <sz val="8.25"/>
      <color indexed="8"/>
      <name val="Tahoma"/>
      <family val="2"/>
    </font>
    <font>
      <b/>
      <sz val="8.25"/>
      <color indexed="8"/>
      <name val="Tahoma"/>
      <family val="2"/>
    </font>
    <font>
      <sz val="12"/>
      <name val="Verdana"/>
      <family val="2"/>
    </font>
    <font>
      <sz val="10"/>
      <name val="Arial"/>
      <family val="2"/>
    </font>
    <font>
      <sz val="10"/>
      <color indexed="52"/>
      <name val="Arial"/>
      <family val="2"/>
    </font>
    <font>
      <sz val="10"/>
      <name val="Arial"/>
      <family val="2"/>
    </font>
    <font>
      <b/>
      <sz val="14"/>
      <color indexed="8"/>
      <name val="Tahoma"/>
      <family val="2"/>
    </font>
    <font>
      <b/>
      <sz val="9"/>
      <color indexed="8"/>
      <name val="Tahoma"/>
      <family val="2"/>
    </font>
    <font>
      <sz val="8.25"/>
      <name val="Tahoma"/>
      <family val="2"/>
    </font>
    <font>
      <sz val="8.25"/>
      <color indexed="8"/>
      <name val="Tahoma"/>
      <family val="2"/>
    </font>
    <font>
      <sz val="8.25"/>
      <color indexed="12"/>
      <name val="Tahoma"/>
      <family val="2"/>
    </font>
    <font>
      <sz val="8.25"/>
      <name val="Tahoma"/>
      <family val="2"/>
    </font>
    <font>
      <sz val="8.25"/>
      <color indexed="8"/>
      <name val="Tahoma"/>
    </font>
    <font>
      <sz val="8.25"/>
      <color indexed="12"/>
      <name val="Tahoma"/>
      <charset val="1"/>
    </font>
    <font>
      <sz val="8.25"/>
      <name val="Tahoma"/>
      <charset val="1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487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7" fillId="0" borderId="0" applyFont="0" applyFill="0" applyBorder="0" applyAlignment="0" applyProtection="0"/>
    <xf numFmtId="0" fontId="2" fillId="0" borderId="0"/>
    <xf numFmtId="0" fontId="11" fillId="0" borderId="0"/>
    <xf numFmtId="0" fontId="14" fillId="0" borderId="0"/>
    <xf numFmtId="0" fontId="2" fillId="0" borderId="0"/>
    <xf numFmtId="9" fontId="7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5" applyFont="1" applyAlignment="1" applyProtection="1">
      <alignment horizontal="left" vertical="top"/>
    </xf>
    <xf numFmtId="3" fontId="4" fillId="0" borderId="0" xfId="0" applyNumberFormat="1" applyFont="1" applyBorder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4" fontId="0" fillId="3" borderId="0" xfId="0" applyNumberFormat="1" applyFill="1"/>
    <xf numFmtId="14" fontId="0" fillId="0" borderId="0" xfId="0" applyNumberFormat="1" applyFill="1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0" fillId="0" borderId="0" xfId="0" applyNumberFormat="1" applyFill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readingOrder="1"/>
    </xf>
    <xf numFmtId="0" fontId="18" fillId="0" borderId="0" xfId="0" applyFont="1" applyAlignment="1">
      <alignment horizontal="center" readingOrder="1"/>
    </xf>
    <xf numFmtId="0" fontId="5" fillId="0" borderId="0" xfId="0" applyNumberFormat="1" applyFont="1" applyFill="1"/>
    <xf numFmtId="0" fontId="2" fillId="0" borderId="0" xfId="2"/>
    <xf numFmtId="0" fontId="8" fillId="0" borderId="0" xfId="2" applyFont="1" applyAlignment="1">
      <alignment horizontal="left"/>
    </xf>
    <xf numFmtId="0" fontId="9" fillId="0" borderId="0" xfId="2" applyFont="1" applyAlignment="1">
      <alignment horizontal="left"/>
    </xf>
    <xf numFmtId="0" fontId="13" fillId="0" borderId="0" xfId="3" applyFont="1" applyAlignment="1" applyProtection="1">
      <alignment horizontal="left" vertical="top"/>
    </xf>
    <xf numFmtId="0" fontId="10" fillId="0" borderId="0" xfId="3" applyFont="1" applyAlignment="1" applyProtection="1">
      <alignment horizontal="left" vertical="top"/>
    </xf>
    <xf numFmtId="0" fontId="19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 applyAlignment="1"/>
    <xf numFmtId="0" fontId="19" fillId="0" borderId="0" xfId="0" applyFont="1" applyAlignment="1"/>
    <xf numFmtId="0" fontId="12" fillId="0" borderId="0" xfId="3" applyFont="1" applyFill="1" applyAlignment="1" applyProtection="1">
      <alignment horizontal="left"/>
    </xf>
    <xf numFmtId="0" fontId="21" fillId="0" borderId="0" xfId="0" applyFont="1" applyAlignment="1">
      <alignment wrapText="1"/>
    </xf>
    <xf numFmtId="0" fontId="15" fillId="2" borderId="0" xfId="4" applyFont="1" applyFill="1" applyAlignment="1" applyProtection="1">
      <alignment horizontal="left"/>
    </xf>
    <xf numFmtId="0" fontId="12" fillId="2" borderId="0" xfId="4" applyFont="1" applyFill="1" applyAlignment="1" applyProtection="1">
      <alignment horizontal="left"/>
    </xf>
    <xf numFmtId="0" fontId="15" fillId="2" borderId="0" xfId="4" applyFont="1" applyFill="1" applyAlignment="1" applyProtection="1">
      <alignment horizontal="left" wrapText="1"/>
    </xf>
    <xf numFmtId="0" fontId="16" fillId="0" borderId="0" xfId="4" applyFont="1" applyAlignment="1" applyProtection="1">
      <alignment horizontal="left" vertical="top"/>
    </xf>
    <xf numFmtId="0" fontId="10" fillId="0" borderId="0" xfId="4" applyFont="1" applyAlignment="1" applyProtection="1">
      <alignment horizontal="left" vertical="top"/>
    </xf>
    <xf numFmtId="165" fontId="16" fillId="0" borderId="0" xfId="4" applyNumberFormat="1" applyFont="1" applyAlignment="1" applyProtection="1">
      <alignment horizontal="left" vertical="top"/>
    </xf>
    <xf numFmtId="0" fontId="16" fillId="0" borderId="0" xfId="4" applyNumberFormat="1" applyFont="1" applyAlignment="1" applyProtection="1">
      <alignment horizontal="left" vertical="top"/>
    </xf>
    <xf numFmtId="164" fontId="19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0" fillId="0" borderId="0" xfId="0" applyFont="1" applyAlignment="1">
      <alignment wrapText="1"/>
    </xf>
    <xf numFmtId="0" fontId="20" fillId="0" borderId="0" xfId="0" applyFont="1" applyAlignment="1">
      <alignment horizontal="justify" wrapText="1"/>
    </xf>
    <xf numFmtId="0" fontId="0" fillId="0" borderId="0" xfId="0" applyAlignment="1">
      <alignment wrapText="1"/>
    </xf>
  </cellXfs>
  <cellStyles count="7">
    <cellStyle name="Comma 2" xfId="1"/>
    <cellStyle name="Normal" xfId="0" builtinId="0"/>
    <cellStyle name="Normal_ALL REG LIST" xfId="2"/>
    <cellStyle name="Normal_All Reg List_1" xfId="3"/>
    <cellStyle name="Normal_Sheet1" xfId="4"/>
    <cellStyle name="Normal_Sheet4" xfId="5"/>
    <cellStyle name="Percent 2" xfId="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9.6645814300836727E-2"/>
          <c:y val="0.15834801137662702"/>
          <c:w val="0.84788985101084091"/>
          <c:h val="0.72374790101005593"/>
        </c:manualLayout>
      </c:layout>
      <c:lineChart>
        <c:grouping val="standard"/>
        <c:ser>
          <c:idx val="0"/>
          <c:order val="0"/>
          <c:tx>
            <c:strRef>
              <c:f>'[1]2009-2012 Data'!$E$53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1"/>
          <c:tx>
            <c:strRef>
              <c:f>'[1]2009-2012 Data'!$F$53</c:f>
              <c:strCache>
                <c:ptCount val="1"/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80008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7"/>
          <c:order val="2"/>
          <c:tx>
            <c:strRef>
              <c:f>'[1]2009-2012 Data'!$G$53</c:f>
              <c:strCache>
                <c:ptCount val="1"/>
              </c:strCache>
            </c:strRef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3"/>
          <c:tx>
            <c:strRef>
              <c:f>'[1]2009-2012 Data'!$H$53</c:f>
              <c:strCache>
                <c:ptCount val="1"/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4"/>
          <c:tx>
            <c:strRef>
              <c:f>'[1]2009-2012 Data'!$D$53</c:f>
              <c:strCache>
                <c:ptCount val="1"/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5"/>
          <c:val>
            <c:numLit>
              <c:formatCode>General</c:formatCode>
              <c:ptCount val="1"/>
              <c:pt idx="0">
                <c:v>1</c:v>
              </c:pt>
            </c:numLit>
          </c:val>
        </c:ser>
        <c:ser>
          <c:idx val="5"/>
          <c:order val="6"/>
          <c:tx>
            <c:strRef>
              <c:f>'[1]2009-2012 Data'!$B$53</c:f>
              <c:strCache>
                <c:ptCount val="1"/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marker val="1"/>
        <c:axId val="75149312"/>
        <c:axId val="75150848"/>
      </c:lineChart>
      <c:catAx>
        <c:axId val="75149312"/>
        <c:scaling>
          <c:orientation val="minMax"/>
        </c:scaling>
        <c:axPos val="b"/>
        <c:numFmt formatCode="m/d/yyyy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75150848"/>
        <c:crosses val="autoZero"/>
        <c:auto val="1"/>
        <c:lblAlgn val="ctr"/>
        <c:lblOffset val="160"/>
        <c:tickLblSkip val="1"/>
        <c:tickMarkSkip val="1"/>
      </c:catAx>
      <c:valAx>
        <c:axId val="7515084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* #,##0_);_(* \(#,##0\);_(* &quot;-&quot;??_);_(@_)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149312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wMode val="edge"/>
          <c:hMode val="edge"/>
          <c:x val="0.4001774916257016"/>
          <c:y val="8.5923710755667737E-2"/>
          <c:w val="0.5537908092980095"/>
          <c:h val="0.26162308979670235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5" l="0.53" r="0" t="0.5" header="0.30000000000000032" footer="0.30000000000000032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4</xdr:row>
      <xdr:rowOff>38100</xdr:rowOff>
    </xdr:from>
    <xdr:to>
      <xdr:col>14</xdr:col>
      <xdr:colOff>409575</xdr:colOff>
      <xdr:row>38</xdr:row>
      <xdr:rowOff>0</xdr:rowOff>
    </xdr:to>
    <xdr:graphicFrame macro="">
      <xdr:nvGraphicFramePr>
        <xdr:cNvPr id="2049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0.6033</cdr:x>
      <cdr:y>0.41986</cdr:y>
    </cdr:from>
    <cdr:to>
      <cdr:x>0.76021</cdr:x>
      <cdr:y>0.4756</cdr:y>
    </cdr:to>
    <cdr:sp macro="" textlink="">
      <cdr:nvSpPr>
        <cdr:cNvPr id="368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200552" y="2295525"/>
          <a:ext cx="1352584" cy="3047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1661 as of 2-16-12</a:t>
          </a:r>
        </a:p>
        <a:p xmlns:a="http://schemas.openxmlformats.org/drawingml/2006/main"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0.64419</cdr:x>
      <cdr:y>0.48432</cdr:y>
    </cdr:from>
    <cdr:to>
      <cdr:x>0.68175</cdr:x>
      <cdr:y>0.69338</cdr:y>
    </cdr:to>
    <cdr:sp macro="" textlink="">
      <cdr:nvSpPr>
        <cdr:cNvPr id="36866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5552992" y="2647957"/>
          <a:ext cx="323772" cy="114300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 type="triangle" w="med" len="med"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Users/mparkins/AppData/Local/Microsoft/Windows/Temporary%20Internet%20Files/Content.Outlook/RP1VM8QC/GSA%20Comparison%20(updated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Yearly Comparison Chart"/>
      <sheetName val="2009-2012 Data"/>
      <sheetName val="Yearly Comparison Chart (old)"/>
      <sheetName val="Original Data"/>
    </sheetNames>
    <sheetDataSet>
      <sheetData sheetId="0" refreshError="1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H2:H4"/>
  <sheetViews>
    <sheetView topLeftCell="A4" workbookViewId="0">
      <selection activeCell="G54" sqref="G54"/>
    </sheetView>
  </sheetViews>
  <sheetFormatPr defaultRowHeight="12.75"/>
  <sheetData>
    <row r="2" spans="8:8" ht="18">
      <c r="H2" s="19" t="s">
        <v>39</v>
      </c>
    </row>
    <row r="3" spans="8:8" ht="18">
      <c r="H3" s="19" t="s">
        <v>40</v>
      </c>
    </row>
    <row r="4" spans="8:8" ht="15">
      <c r="H4" s="20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19"/>
  <sheetViews>
    <sheetView topLeftCell="A50" zoomScaleNormal="100" zoomScaleSheetLayoutView="80" workbookViewId="0">
      <selection activeCell="G54" sqref="G54"/>
    </sheetView>
  </sheetViews>
  <sheetFormatPr defaultRowHeight="12.75"/>
  <cols>
    <col min="1" max="1" width="10.140625" customWidth="1"/>
    <col min="2" max="2" width="29.85546875" customWidth="1"/>
    <col min="3" max="3" width="28.42578125" customWidth="1"/>
    <col min="4" max="4" width="30.7109375" customWidth="1"/>
    <col min="5" max="5" width="24.85546875" customWidth="1"/>
    <col min="6" max="6" width="22.28515625" customWidth="1"/>
    <col min="7" max="7" width="30.140625" customWidth="1"/>
    <col min="8" max="8" width="20.140625" customWidth="1"/>
    <col min="9" max="9" width="21.140625" customWidth="1"/>
    <col min="10" max="10" width="30.42578125" customWidth="1"/>
    <col min="11" max="11" width="21.7109375" customWidth="1"/>
    <col min="12" max="12" width="26.42578125" customWidth="1"/>
    <col min="16" max="16" width="10.42578125" customWidth="1"/>
  </cols>
  <sheetData>
    <row r="1" spans="1:8" s="1" customFormat="1" hidden="1">
      <c r="A1" s="1" t="s">
        <v>0</v>
      </c>
      <c r="B1" s="1" t="s">
        <v>1</v>
      </c>
      <c r="C1" s="2" t="s">
        <v>2</v>
      </c>
      <c r="D1" s="2" t="s">
        <v>3</v>
      </c>
      <c r="E1" s="3">
        <v>40941</v>
      </c>
      <c r="F1" s="3">
        <v>40934</v>
      </c>
    </row>
    <row r="2" spans="1:8" s="5" customFormat="1" hidden="1">
      <c r="A2" s="4">
        <v>1</v>
      </c>
      <c r="B2" s="5" t="s">
        <v>4</v>
      </c>
      <c r="C2" s="5">
        <v>100</v>
      </c>
      <c r="D2" s="5">
        <f>E2-F2</f>
        <v>1</v>
      </c>
      <c r="E2" s="5">
        <v>24</v>
      </c>
      <c r="F2" s="5">
        <v>23</v>
      </c>
      <c r="H2" s="6"/>
    </row>
    <row r="3" spans="1:8" s="5" customFormat="1" hidden="1">
      <c r="A3" s="4">
        <v>2</v>
      </c>
      <c r="B3" s="5" t="s">
        <v>5</v>
      </c>
      <c r="C3" s="5">
        <v>150</v>
      </c>
      <c r="D3" s="5">
        <f t="shared" ref="D3:D15" si="0">E3-F3</f>
        <v>4</v>
      </c>
      <c r="E3" s="5">
        <v>63</v>
      </c>
      <c r="F3" s="5">
        <v>59</v>
      </c>
      <c r="H3" s="6"/>
    </row>
    <row r="4" spans="1:8" s="5" customFormat="1" ht="15" hidden="1">
      <c r="A4" s="4">
        <v>3</v>
      </c>
      <c r="B4" s="5" t="s">
        <v>6</v>
      </c>
      <c r="C4" s="5">
        <v>500</v>
      </c>
      <c r="D4" s="5">
        <f t="shared" si="0"/>
        <v>13</v>
      </c>
      <c r="E4" s="5">
        <v>157</v>
      </c>
      <c r="F4" s="5">
        <v>144</v>
      </c>
      <c r="H4" s="7"/>
    </row>
    <row r="5" spans="1:8" s="5" customFormat="1" ht="15" hidden="1">
      <c r="A5" s="4">
        <v>4</v>
      </c>
      <c r="B5" s="5" t="s">
        <v>7</v>
      </c>
      <c r="C5" s="5">
        <v>350</v>
      </c>
      <c r="D5" s="5">
        <f t="shared" si="0"/>
        <v>16</v>
      </c>
      <c r="E5" s="5">
        <v>190</v>
      </c>
      <c r="F5" s="5">
        <v>174</v>
      </c>
      <c r="H5" s="7"/>
    </row>
    <row r="6" spans="1:8" s="5" customFormat="1" ht="15" hidden="1">
      <c r="A6" s="8">
        <v>5</v>
      </c>
      <c r="B6" s="5" t="s">
        <v>8</v>
      </c>
      <c r="C6" s="5">
        <v>350</v>
      </c>
      <c r="D6" s="5">
        <f t="shared" si="0"/>
        <v>10</v>
      </c>
      <c r="E6" s="5">
        <v>100</v>
      </c>
      <c r="F6" s="5">
        <v>90</v>
      </c>
      <c r="H6" s="7"/>
    </row>
    <row r="7" spans="1:8" s="5" customFormat="1" ht="15" hidden="1">
      <c r="A7" s="8">
        <v>6</v>
      </c>
      <c r="B7" s="5" t="s">
        <v>9</v>
      </c>
      <c r="C7" s="5">
        <v>200</v>
      </c>
      <c r="D7" s="5">
        <f t="shared" si="0"/>
        <v>3</v>
      </c>
      <c r="E7" s="5">
        <v>30</v>
      </c>
      <c r="F7" s="5">
        <v>27</v>
      </c>
      <c r="H7" s="7"/>
    </row>
    <row r="8" spans="1:8" s="5" customFormat="1" ht="15" hidden="1">
      <c r="A8" s="8">
        <v>7</v>
      </c>
      <c r="B8" s="5" t="s">
        <v>10</v>
      </c>
      <c r="C8" s="5">
        <v>400</v>
      </c>
      <c r="D8" s="5">
        <f t="shared" si="0"/>
        <v>30</v>
      </c>
      <c r="E8" s="5">
        <v>235</v>
      </c>
      <c r="F8" s="5">
        <v>205</v>
      </c>
      <c r="H8" s="7"/>
    </row>
    <row r="9" spans="1:8" s="5" customFormat="1" ht="15" hidden="1">
      <c r="A9" s="8">
        <v>8</v>
      </c>
      <c r="B9" s="5" t="s">
        <v>11</v>
      </c>
      <c r="C9" s="5">
        <v>150</v>
      </c>
      <c r="D9" s="5">
        <f t="shared" si="0"/>
        <v>1</v>
      </c>
      <c r="E9" s="5">
        <v>38</v>
      </c>
      <c r="F9" s="5">
        <v>37</v>
      </c>
      <c r="H9" s="7"/>
    </row>
    <row r="10" spans="1:8" s="5" customFormat="1" ht="15" hidden="1">
      <c r="A10" s="8">
        <v>9</v>
      </c>
      <c r="B10" s="5" t="s">
        <v>12</v>
      </c>
      <c r="C10" s="5">
        <v>1600</v>
      </c>
      <c r="D10" s="5">
        <f t="shared" si="0"/>
        <v>26</v>
      </c>
      <c r="E10" s="5">
        <v>154</v>
      </c>
      <c r="F10" s="5">
        <v>128</v>
      </c>
      <c r="H10" s="7"/>
    </row>
    <row r="11" spans="1:8" s="5" customFormat="1" ht="15" hidden="1">
      <c r="A11" s="8">
        <v>10</v>
      </c>
      <c r="B11" s="5" t="s">
        <v>13</v>
      </c>
      <c r="C11" s="5">
        <v>100</v>
      </c>
      <c r="D11" s="5">
        <f t="shared" si="0"/>
        <v>7</v>
      </c>
      <c r="E11" s="5">
        <v>51</v>
      </c>
      <c r="F11" s="5">
        <v>44</v>
      </c>
      <c r="H11" s="7"/>
    </row>
    <row r="12" spans="1:8" s="5" customFormat="1" ht="15" hidden="1">
      <c r="A12" s="8">
        <v>11</v>
      </c>
      <c r="B12" s="5" t="s">
        <v>14</v>
      </c>
      <c r="C12" s="5">
        <v>1100</v>
      </c>
      <c r="D12" s="5">
        <f t="shared" si="0"/>
        <v>25</v>
      </c>
      <c r="E12" s="5">
        <v>224</v>
      </c>
      <c r="F12" s="5">
        <v>199</v>
      </c>
      <c r="H12" s="7"/>
    </row>
    <row r="13" spans="1:8" hidden="1">
      <c r="A13" s="9"/>
      <c r="D13" s="5"/>
      <c r="H13" s="5"/>
    </row>
    <row r="14" spans="1:8" hidden="1">
      <c r="D14" s="5"/>
      <c r="H14" s="5"/>
    </row>
    <row r="15" spans="1:8" hidden="1">
      <c r="C15">
        <f>SUM(C2:C14)</f>
        <v>5000</v>
      </c>
      <c r="D15" s="5">
        <f t="shared" si="0"/>
        <v>136</v>
      </c>
      <c r="E15">
        <f>SUM(E2:E14)</f>
        <v>1266</v>
      </c>
      <c r="F15">
        <f>SUM(F2:F14)</f>
        <v>1130</v>
      </c>
    </row>
    <row r="16" spans="1:8" hidden="1"/>
    <row r="17" spans="1:12" hidden="1">
      <c r="B17" t="s">
        <v>15</v>
      </c>
    </row>
    <row r="18" spans="1:12" hidden="1"/>
    <row r="19" spans="1:12" hidden="1">
      <c r="B19" s="9" t="s">
        <v>4</v>
      </c>
      <c r="C19" s="9" t="s">
        <v>5</v>
      </c>
      <c r="D19" s="4" t="s">
        <v>6</v>
      </c>
      <c r="E19" s="4" t="s">
        <v>7</v>
      </c>
      <c r="F19" s="9" t="s">
        <v>16</v>
      </c>
      <c r="G19" s="9" t="s">
        <v>17</v>
      </c>
      <c r="H19" s="4" t="s">
        <v>10</v>
      </c>
      <c r="I19" s="4" t="s">
        <v>11</v>
      </c>
      <c r="J19" s="9" t="s">
        <v>18</v>
      </c>
      <c r="K19" s="4" t="s">
        <v>13</v>
      </c>
      <c r="L19" t="s">
        <v>19</v>
      </c>
    </row>
    <row r="20" spans="1:12" hidden="1">
      <c r="C20" s="4"/>
      <c r="D20" s="9"/>
      <c r="E20" s="9"/>
      <c r="F20" s="9"/>
      <c r="G20" s="9"/>
      <c r="H20" s="9"/>
      <c r="I20" s="9"/>
    </row>
    <row r="21" spans="1:12" hidden="1">
      <c r="A21" s="10">
        <v>40864</v>
      </c>
      <c r="B21" s="9">
        <v>3</v>
      </c>
      <c r="C21" s="9">
        <v>8</v>
      </c>
      <c r="D21" s="9">
        <v>16</v>
      </c>
      <c r="E21" s="9">
        <v>42</v>
      </c>
      <c r="F21" s="9">
        <v>12</v>
      </c>
      <c r="G21" s="9">
        <v>3</v>
      </c>
      <c r="H21" s="9">
        <v>28</v>
      </c>
      <c r="I21" s="9">
        <v>9</v>
      </c>
      <c r="J21" s="9">
        <v>20</v>
      </c>
      <c r="K21" s="9">
        <v>7</v>
      </c>
      <c r="L21" s="9">
        <v>31</v>
      </c>
    </row>
    <row r="22" spans="1:12" hidden="1">
      <c r="A22" s="11">
        <v>40871</v>
      </c>
      <c r="B22" s="9">
        <v>3</v>
      </c>
      <c r="C22" s="9">
        <v>10</v>
      </c>
      <c r="D22" s="9">
        <v>25</v>
      </c>
      <c r="E22" s="9">
        <v>45</v>
      </c>
      <c r="F22" s="9">
        <v>15</v>
      </c>
      <c r="G22" s="9">
        <v>3</v>
      </c>
      <c r="H22" s="9">
        <v>33</v>
      </c>
      <c r="I22" s="9">
        <v>11</v>
      </c>
      <c r="J22" s="9">
        <v>26</v>
      </c>
      <c r="K22" s="9">
        <v>7</v>
      </c>
      <c r="L22" s="9">
        <v>38</v>
      </c>
    </row>
    <row r="23" spans="1:12" hidden="1">
      <c r="A23" s="12">
        <v>40878</v>
      </c>
      <c r="B23" s="9">
        <v>4</v>
      </c>
      <c r="C23" s="9">
        <v>10</v>
      </c>
      <c r="D23" s="9">
        <v>28</v>
      </c>
      <c r="E23" s="9">
        <v>54</v>
      </c>
      <c r="F23" s="9">
        <v>19</v>
      </c>
      <c r="G23" s="9">
        <v>3</v>
      </c>
      <c r="H23" s="9">
        <v>38</v>
      </c>
      <c r="I23" s="9">
        <v>10</v>
      </c>
      <c r="J23" s="9">
        <v>31</v>
      </c>
      <c r="K23" s="9">
        <v>7</v>
      </c>
      <c r="L23" s="9">
        <v>41</v>
      </c>
    </row>
    <row r="24" spans="1:12" hidden="1">
      <c r="A24" s="12">
        <v>40885</v>
      </c>
      <c r="B24" s="9">
        <v>5</v>
      </c>
      <c r="C24" s="9">
        <v>11</v>
      </c>
      <c r="D24" s="9">
        <v>31</v>
      </c>
      <c r="E24" s="9">
        <v>58</v>
      </c>
      <c r="F24" s="9">
        <v>21</v>
      </c>
      <c r="G24" s="9">
        <v>4</v>
      </c>
      <c r="H24" s="9">
        <v>44</v>
      </c>
      <c r="I24" s="9">
        <v>10</v>
      </c>
      <c r="J24" s="9">
        <v>33</v>
      </c>
      <c r="K24" s="9">
        <v>10</v>
      </c>
      <c r="L24" s="9">
        <v>47</v>
      </c>
    </row>
    <row r="25" spans="1:12" hidden="1">
      <c r="A25" s="12">
        <v>40892</v>
      </c>
      <c r="B25" s="9">
        <v>4</v>
      </c>
      <c r="C25" s="9">
        <v>13</v>
      </c>
      <c r="D25" s="9">
        <v>35</v>
      </c>
      <c r="E25" s="9">
        <v>67</v>
      </c>
      <c r="F25" s="9">
        <v>21</v>
      </c>
      <c r="G25" s="9">
        <v>6</v>
      </c>
      <c r="H25" s="9">
        <v>46</v>
      </c>
      <c r="I25" s="9">
        <v>10</v>
      </c>
      <c r="J25" s="9">
        <v>40</v>
      </c>
      <c r="K25" s="9">
        <v>13</v>
      </c>
      <c r="L25" s="9">
        <v>54</v>
      </c>
    </row>
    <row r="26" spans="1:12" hidden="1">
      <c r="A26" s="12">
        <v>40899</v>
      </c>
      <c r="B26" s="9">
        <v>4</v>
      </c>
      <c r="C26" s="9">
        <v>15</v>
      </c>
      <c r="D26" s="9">
        <v>43</v>
      </c>
      <c r="E26" s="9">
        <v>79</v>
      </c>
      <c r="F26" s="9">
        <v>21</v>
      </c>
      <c r="G26" s="9">
        <v>6</v>
      </c>
      <c r="H26" s="9">
        <v>52</v>
      </c>
      <c r="I26" s="9">
        <v>10</v>
      </c>
      <c r="J26" s="9">
        <v>40</v>
      </c>
      <c r="K26" s="9">
        <v>16</v>
      </c>
      <c r="L26" s="9">
        <v>59</v>
      </c>
    </row>
    <row r="27" spans="1:12" hidden="1">
      <c r="A27" s="12">
        <v>40906</v>
      </c>
      <c r="B27" s="9">
        <v>7</v>
      </c>
      <c r="C27" s="9">
        <v>25</v>
      </c>
      <c r="D27" s="9">
        <v>65</v>
      </c>
      <c r="E27" s="9">
        <v>107</v>
      </c>
      <c r="F27" s="9">
        <v>35</v>
      </c>
      <c r="G27" s="9">
        <v>10</v>
      </c>
      <c r="H27" s="9">
        <v>98</v>
      </c>
      <c r="I27" s="9">
        <v>19</v>
      </c>
      <c r="J27" s="9">
        <v>69</v>
      </c>
      <c r="K27" s="9">
        <v>25</v>
      </c>
      <c r="L27" s="9">
        <v>90</v>
      </c>
    </row>
    <row r="28" spans="1:12" hidden="1">
      <c r="A28" s="12">
        <v>40913</v>
      </c>
      <c r="B28" s="9">
        <v>9</v>
      </c>
      <c r="C28" s="9">
        <v>31</v>
      </c>
      <c r="D28" s="9">
        <v>83</v>
      </c>
      <c r="E28" s="9">
        <v>121</v>
      </c>
      <c r="F28" s="9">
        <v>48</v>
      </c>
      <c r="G28" s="9">
        <v>18</v>
      </c>
      <c r="H28" s="9">
        <v>125</v>
      </c>
      <c r="I28" s="9">
        <v>22</v>
      </c>
      <c r="J28" s="9">
        <v>94</v>
      </c>
      <c r="K28" s="9">
        <v>34</v>
      </c>
      <c r="L28" s="9">
        <v>120</v>
      </c>
    </row>
    <row r="29" spans="1:12" hidden="1">
      <c r="A29" s="12">
        <v>40920</v>
      </c>
      <c r="B29" s="9">
        <v>15</v>
      </c>
      <c r="C29" s="9">
        <v>42</v>
      </c>
      <c r="D29" s="9">
        <v>101</v>
      </c>
      <c r="E29" s="9">
        <v>146</v>
      </c>
      <c r="F29" s="9">
        <v>66</v>
      </c>
      <c r="G29" s="9">
        <v>21</v>
      </c>
      <c r="H29" s="9">
        <v>164</v>
      </c>
      <c r="I29" s="9">
        <v>26</v>
      </c>
      <c r="J29" s="9">
        <v>110</v>
      </c>
      <c r="K29" s="9">
        <v>38</v>
      </c>
      <c r="L29" s="9">
        <v>140</v>
      </c>
    </row>
    <row r="30" spans="1:12" hidden="1">
      <c r="A30" s="12">
        <v>40927</v>
      </c>
      <c r="B30" s="9">
        <v>18</v>
      </c>
      <c r="C30" s="9">
        <v>50</v>
      </c>
      <c r="D30" s="9">
        <v>117</v>
      </c>
      <c r="E30" s="9">
        <v>159</v>
      </c>
      <c r="F30" s="9">
        <v>76</v>
      </c>
      <c r="G30" s="9">
        <v>25</v>
      </c>
      <c r="H30" s="9">
        <v>185</v>
      </c>
      <c r="I30" s="9">
        <v>31</v>
      </c>
      <c r="J30" s="9">
        <v>118</v>
      </c>
      <c r="K30" s="9">
        <v>40</v>
      </c>
      <c r="L30" s="9">
        <v>166</v>
      </c>
    </row>
    <row r="31" spans="1:12" hidden="1">
      <c r="A31" s="12">
        <v>40934</v>
      </c>
      <c r="B31" s="9">
        <v>23</v>
      </c>
      <c r="C31" s="9">
        <v>59</v>
      </c>
      <c r="D31" s="9">
        <v>144</v>
      </c>
      <c r="E31" s="9">
        <v>174</v>
      </c>
      <c r="F31" s="9">
        <v>90</v>
      </c>
      <c r="G31" s="9">
        <v>27</v>
      </c>
      <c r="H31" s="9">
        <v>205</v>
      </c>
      <c r="I31" s="9">
        <v>37</v>
      </c>
      <c r="J31" s="9">
        <v>128</v>
      </c>
      <c r="K31" s="9">
        <v>44</v>
      </c>
      <c r="L31" s="9">
        <v>199</v>
      </c>
    </row>
    <row r="32" spans="1:12" hidden="1">
      <c r="A32" s="12">
        <v>40941</v>
      </c>
      <c r="B32" s="9">
        <v>24</v>
      </c>
      <c r="C32" s="9">
        <v>63</v>
      </c>
      <c r="D32" s="9">
        <v>157</v>
      </c>
      <c r="E32" s="9">
        <v>190</v>
      </c>
      <c r="F32" s="9">
        <v>100</v>
      </c>
      <c r="G32" s="9">
        <v>30</v>
      </c>
      <c r="H32" s="9">
        <v>235</v>
      </c>
      <c r="I32" s="9">
        <v>38</v>
      </c>
      <c r="J32" s="9">
        <v>154</v>
      </c>
      <c r="K32" s="9">
        <v>51</v>
      </c>
      <c r="L32" s="9">
        <v>224</v>
      </c>
    </row>
    <row r="33" spans="1:12" hidden="1">
      <c r="A33" s="12">
        <v>40948</v>
      </c>
      <c r="B33" s="9"/>
      <c r="C33" s="9"/>
      <c r="D33" s="4"/>
      <c r="E33" s="4"/>
      <c r="F33" s="4"/>
      <c r="G33" s="4"/>
      <c r="H33" s="4"/>
      <c r="I33" s="4"/>
      <c r="J33" s="9"/>
      <c r="K33" s="9"/>
    </row>
    <row r="34" spans="1:12" hidden="1">
      <c r="A34" s="12">
        <v>40955</v>
      </c>
      <c r="B34" s="9"/>
      <c r="C34" s="9"/>
      <c r="D34" s="4"/>
      <c r="E34" s="4"/>
      <c r="F34" s="4"/>
      <c r="G34" s="4"/>
      <c r="H34" s="4"/>
      <c r="I34" s="4"/>
      <c r="J34" s="9"/>
      <c r="K34" s="9"/>
    </row>
    <row r="35" spans="1:12" hidden="1">
      <c r="A35" s="12">
        <v>40962</v>
      </c>
      <c r="B35" s="9"/>
      <c r="C35" s="9"/>
      <c r="D35" s="4"/>
      <c r="E35" s="4"/>
      <c r="F35" s="4"/>
      <c r="G35" s="4"/>
      <c r="H35" s="4"/>
      <c r="I35" s="4"/>
      <c r="J35" s="9"/>
      <c r="K35" s="9"/>
    </row>
    <row r="36" spans="1:12" hidden="1">
      <c r="A36" s="12">
        <v>40969</v>
      </c>
      <c r="B36" s="9"/>
      <c r="C36" s="9"/>
      <c r="D36" s="4"/>
      <c r="E36" s="4"/>
      <c r="F36" s="4"/>
      <c r="G36" s="4"/>
      <c r="H36" s="4"/>
      <c r="I36" s="4"/>
      <c r="J36" s="9"/>
      <c r="K36" s="9"/>
    </row>
    <row r="37" spans="1:12" hidden="1">
      <c r="A37" s="12">
        <v>40976</v>
      </c>
      <c r="B37" s="9"/>
      <c r="C37" s="9"/>
      <c r="D37" s="4"/>
      <c r="E37" s="4"/>
      <c r="F37" s="4"/>
      <c r="G37" s="4"/>
      <c r="H37" s="4"/>
      <c r="I37" s="4"/>
      <c r="J37" s="9"/>
      <c r="K37" s="9"/>
    </row>
    <row r="38" spans="1:12" hidden="1">
      <c r="A38" s="12">
        <v>40983</v>
      </c>
      <c r="B38" s="9"/>
      <c r="C38" s="9"/>
      <c r="D38" s="4"/>
      <c r="E38" s="4"/>
      <c r="F38" s="4"/>
      <c r="G38" s="4"/>
      <c r="H38" s="4"/>
      <c r="I38" s="4"/>
      <c r="J38" s="9"/>
      <c r="K38" s="9"/>
    </row>
    <row r="39" spans="1:12" hidden="1">
      <c r="A39" s="12">
        <v>40990</v>
      </c>
      <c r="B39" s="9"/>
      <c r="C39" s="9"/>
      <c r="D39" s="4"/>
      <c r="E39" s="4"/>
      <c r="F39" s="4"/>
      <c r="G39" s="4"/>
      <c r="H39" s="4"/>
      <c r="I39" s="4"/>
      <c r="J39" s="9"/>
      <c r="K39" s="9"/>
    </row>
    <row r="40" spans="1:12" hidden="1">
      <c r="A40" s="12">
        <v>40997</v>
      </c>
      <c r="B40" s="9"/>
      <c r="C40" s="9"/>
      <c r="D40" s="4"/>
      <c r="E40" s="4"/>
      <c r="F40" s="4"/>
      <c r="G40" s="4"/>
      <c r="H40" s="4"/>
      <c r="I40" s="4"/>
      <c r="J40" s="9"/>
      <c r="K40" s="9"/>
    </row>
    <row r="41" spans="1:12" hidden="1">
      <c r="A41" s="12">
        <v>41004</v>
      </c>
      <c r="B41" s="9"/>
      <c r="C41" s="9"/>
      <c r="D41" s="4"/>
      <c r="E41" s="4"/>
      <c r="F41" s="4"/>
      <c r="G41" s="4"/>
      <c r="H41" s="4"/>
      <c r="I41" s="4"/>
      <c r="J41" s="9"/>
      <c r="K41" s="9"/>
    </row>
    <row r="42" spans="1:12" hidden="1">
      <c r="A42" s="12">
        <v>41011</v>
      </c>
      <c r="B42" s="9"/>
      <c r="C42" s="9"/>
      <c r="D42" s="4"/>
      <c r="E42" s="4"/>
      <c r="F42" s="4"/>
      <c r="G42" s="4"/>
      <c r="H42" s="4"/>
      <c r="I42" s="4"/>
      <c r="J42" s="9"/>
      <c r="K42" s="9"/>
    </row>
    <row r="43" spans="1:12" hidden="1">
      <c r="A43" s="12" t="s">
        <v>20</v>
      </c>
      <c r="B43" s="9"/>
      <c r="C43" s="9"/>
      <c r="D43" s="4"/>
      <c r="E43" s="4"/>
      <c r="F43" s="4"/>
      <c r="G43" s="4"/>
      <c r="H43" s="4"/>
      <c r="I43" s="4"/>
      <c r="J43" s="9"/>
      <c r="K43" s="9"/>
    </row>
    <row r="44" spans="1:12" hidden="1">
      <c r="A44" s="12"/>
      <c r="B44" s="9"/>
      <c r="C44" s="9"/>
      <c r="D44" s="4"/>
      <c r="E44" s="4"/>
      <c r="F44" s="4"/>
      <c r="G44" s="4"/>
      <c r="H44" s="4"/>
      <c r="I44" s="4"/>
      <c r="J44" s="9"/>
      <c r="K44" s="9"/>
    </row>
    <row r="45" spans="1:12" hidden="1">
      <c r="B45" s="9"/>
      <c r="C45" s="9"/>
      <c r="D45" s="4"/>
      <c r="E45" s="4"/>
      <c r="F45" s="4"/>
      <c r="G45" s="4"/>
      <c r="H45" s="4"/>
      <c r="I45" s="4"/>
      <c r="J45" s="9"/>
      <c r="K45" s="9"/>
    </row>
    <row r="46" spans="1:12" hidden="1">
      <c r="A46" s="12"/>
      <c r="B46" s="9"/>
      <c r="C46" s="9"/>
      <c r="D46" s="4"/>
      <c r="E46" s="4"/>
      <c r="F46" s="4"/>
      <c r="G46" s="4"/>
      <c r="H46" s="4"/>
      <c r="I46" s="4"/>
      <c r="J46" s="9"/>
      <c r="K46" s="9"/>
    </row>
    <row r="47" spans="1:12" hidden="1">
      <c r="B47" s="9"/>
      <c r="C47" s="9"/>
      <c r="D47" s="9"/>
      <c r="E47" s="4"/>
      <c r="F47" s="9"/>
      <c r="G47" s="4"/>
      <c r="H47" s="9"/>
      <c r="I47" s="9"/>
    </row>
    <row r="48" spans="1:12" hidden="1">
      <c r="A48" s="12"/>
      <c r="B48" s="9">
        <f t="shared" ref="B48:K48" si="1">SUM(B21:B47)</f>
        <v>119</v>
      </c>
      <c r="C48" s="9">
        <f t="shared" si="1"/>
        <v>337</v>
      </c>
      <c r="D48" s="9">
        <f>SUM(D21:D47)</f>
        <v>845</v>
      </c>
      <c r="E48" s="9">
        <f t="shared" si="1"/>
        <v>1242</v>
      </c>
      <c r="F48" s="9">
        <f t="shared" si="1"/>
        <v>524</v>
      </c>
      <c r="G48" s="9">
        <f t="shared" si="1"/>
        <v>156</v>
      </c>
      <c r="H48" s="9">
        <f t="shared" si="1"/>
        <v>1253</v>
      </c>
      <c r="I48" s="9">
        <f t="shared" si="1"/>
        <v>233</v>
      </c>
      <c r="J48" s="9">
        <f t="shared" si="1"/>
        <v>863</v>
      </c>
      <c r="K48" s="9">
        <f t="shared" si="1"/>
        <v>292</v>
      </c>
      <c r="L48" s="9">
        <f>SUM(L21:L47)</f>
        <v>1209</v>
      </c>
    </row>
    <row r="49" spans="1:16" hidden="1">
      <c r="A49" s="12"/>
    </row>
    <row r="50" spans="1:16">
      <c r="A50" s="12"/>
    </row>
    <row r="51" spans="1:16">
      <c r="A51" s="12"/>
    </row>
    <row r="52" spans="1:16">
      <c r="A52" s="12"/>
    </row>
    <row r="53" spans="1:16">
      <c r="A53" t="s">
        <v>21</v>
      </c>
      <c r="B53" s="9" t="s">
        <v>22</v>
      </c>
      <c r="C53" s="9"/>
      <c r="D53" s="9" t="s">
        <v>23</v>
      </c>
      <c r="E53" s="9" t="s">
        <v>24</v>
      </c>
      <c r="F53" s="13" t="s">
        <v>25</v>
      </c>
      <c r="G53" s="13" t="s">
        <v>26</v>
      </c>
      <c r="H53" s="13" t="s">
        <v>27</v>
      </c>
      <c r="I53">
        <v>2006</v>
      </c>
      <c r="J53">
        <v>2005</v>
      </c>
      <c r="K53">
        <v>2004</v>
      </c>
      <c r="L53">
        <v>2003</v>
      </c>
      <c r="M53">
        <v>2002</v>
      </c>
      <c r="N53">
        <v>2001</v>
      </c>
      <c r="O53" t="s">
        <v>2</v>
      </c>
    </row>
    <row r="54" spans="1:16">
      <c r="A54" s="12"/>
      <c r="B54" s="12"/>
    </row>
    <row r="55" spans="1:16">
      <c r="A55" s="10">
        <v>40864</v>
      </c>
      <c r="B55" s="14">
        <v>179</v>
      </c>
      <c r="C55">
        <v>26</v>
      </c>
      <c r="D55">
        <v>41</v>
      </c>
      <c r="E55">
        <v>515</v>
      </c>
      <c r="F55">
        <v>1005</v>
      </c>
      <c r="G55">
        <v>0</v>
      </c>
      <c r="H55">
        <v>425</v>
      </c>
      <c r="I55">
        <v>115</v>
      </c>
      <c r="J55">
        <v>583</v>
      </c>
      <c r="K55">
        <v>32</v>
      </c>
      <c r="L55">
        <v>0</v>
      </c>
      <c r="M55">
        <v>0</v>
      </c>
      <c r="N55" s="15">
        <v>0</v>
      </c>
      <c r="O55" s="15">
        <v>289</v>
      </c>
    </row>
    <row r="56" spans="1:16">
      <c r="A56" s="11">
        <v>40871</v>
      </c>
      <c r="B56" s="14">
        <v>216</v>
      </c>
      <c r="C56">
        <v>25</v>
      </c>
      <c r="D56">
        <v>104</v>
      </c>
      <c r="E56">
        <f>E55+D56</f>
        <v>619</v>
      </c>
      <c r="F56">
        <v>1046</v>
      </c>
      <c r="G56">
        <v>137</v>
      </c>
      <c r="H56">
        <v>494</v>
      </c>
      <c r="I56">
        <v>154</v>
      </c>
      <c r="J56">
        <v>635</v>
      </c>
      <c r="K56">
        <v>128</v>
      </c>
      <c r="L56">
        <v>53</v>
      </c>
      <c r="M56">
        <v>70</v>
      </c>
      <c r="N56" s="15">
        <v>0</v>
      </c>
      <c r="O56" s="15">
        <f>288.88889+O55</f>
        <v>577.88888999999995</v>
      </c>
    </row>
    <row r="57" spans="1:16">
      <c r="A57" s="12">
        <v>40878</v>
      </c>
      <c r="B57" s="14">
        <v>245</v>
      </c>
      <c r="C57">
        <v>24</v>
      </c>
      <c r="D57">
        <v>169</v>
      </c>
      <c r="E57">
        <v>1735</v>
      </c>
      <c r="F57">
        <v>1062</v>
      </c>
      <c r="G57">
        <v>191</v>
      </c>
      <c r="H57">
        <v>539</v>
      </c>
      <c r="I57">
        <v>229</v>
      </c>
      <c r="J57">
        <v>650</v>
      </c>
      <c r="K57">
        <v>199</v>
      </c>
      <c r="L57">
        <v>152</v>
      </c>
      <c r="M57">
        <v>94</v>
      </c>
      <c r="N57" s="15">
        <v>0</v>
      </c>
      <c r="O57" s="15">
        <f t="shared" ref="O57:O69" si="2">288.88889+O56</f>
        <v>866.77777999999989</v>
      </c>
    </row>
    <row r="58" spans="1:16">
      <c r="A58" s="12">
        <v>40885</v>
      </c>
      <c r="B58" s="14">
        <v>274</v>
      </c>
      <c r="C58">
        <v>23</v>
      </c>
      <c r="D58">
        <v>228</v>
      </c>
      <c r="E58">
        <v>1763</v>
      </c>
      <c r="F58">
        <v>1071</v>
      </c>
      <c r="G58">
        <v>253</v>
      </c>
      <c r="H58">
        <v>622</v>
      </c>
      <c r="I58">
        <v>404</v>
      </c>
      <c r="J58">
        <v>705</v>
      </c>
      <c r="K58">
        <v>259</v>
      </c>
      <c r="L58">
        <v>171</v>
      </c>
      <c r="M58">
        <v>117</v>
      </c>
      <c r="N58" s="15">
        <v>0</v>
      </c>
      <c r="O58" s="15">
        <f t="shared" si="2"/>
        <v>1155.6666699999998</v>
      </c>
    </row>
    <row r="59" spans="1:16">
      <c r="A59" s="12">
        <v>40892</v>
      </c>
      <c r="B59" s="16">
        <v>309</v>
      </c>
      <c r="C59">
        <v>22</v>
      </c>
      <c r="D59">
        <v>276</v>
      </c>
      <c r="E59">
        <v>1812</v>
      </c>
      <c r="F59">
        <v>1110</v>
      </c>
      <c r="G59">
        <v>295</v>
      </c>
      <c r="H59">
        <v>669</v>
      </c>
      <c r="I59">
        <v>513</v>
      </c>
      <c r="J59">
        <v>717</v>
      </c>
      <c r="K59">
        <v>314</v>
      </c>
      <c r="L59">
        <v>213</v>
      </c>
      <c r="M59">
        <v>139</v>
      </c>
      <c r="N59" s="15">
        <v>0</v>
      </c>
      <c r="O59" s="15">
        <f t="shared" si="2"/>
        <v>1444.5555599999998</v>
      </c>
    </row>
    <row r="60" spans="1:16">
      <c r="A60" s="12">
        <v>40899</v>
      </c>
      <c r="B60" s="16">
        <v>345</v>
      </c>
      <c r="C60">
        <v>21</v>
      </c>
      <c r="D60">
        <v>315</v>
      </c>
      <c r="E60">
        <v>1864</v>
      </c>
      <c r="F60">
        <v>1209</v>
      </c>
      <c r="G60">
        <v>325</v>
      </c>
      <c r="H60">
        <v>689</v>
      </c>
      <c r="I60">
        <v>580</v>
      </c>
      <c r="J60">
        <v>750</v>
      </c>
      <c r="K60">
        <v>386</v>
      </c>
      <c r="L60">
        <v>229</v>
      </c>
      <c r="M60">
        <v>160</v>
      </c>
      <c r="N60" s="15">
        <v>0</v>
      </c>
      <c r="O60" s="15">
        <f t="shared" si="2"/>
        <v>1733.4444499999997</v>
      </c>
    </row>
    <row r="61" spans="1:16">
      <c r="A61" s="12">
        <v>40906</v>
      </c>
      <c r="B61" s="16">
        <v>550</v>
      </c>
      <c r="C61">
        <v>20</v>
      </c>
      <c r="D61">
        <v>347</v>
      </c>
      <c r="E61">
        <v>1911</v>
      </c>
      <c r="F61">
        <v>1259</v>
      </c>
      <c r="G61">
        <v>379</v>
      </c>
      <c r="H61">
        <v>722</v>
      </c>
      <c r="I61">
        <v>612</v>
      </c>
      <c r="J61">
        <v>765</v>
      </c>
      <c r="K61">
        <v>485</v>
      </c>
      <c r="L61">
        <v>245</v>
      </c>
      <c r="M61">
        <v>180</v>
      </c>
      <c r="N61" s="15">
        <v>0</v>
      </c>
      <c r="O61" s="15">
        <f t="shared" si="2"/>
        <v>2022.3333399999997</v>
      </c>
    </row>
    <row r="62" spans="1:16">
      <c r="A62" s="12">
        <v>40913</v>
      </c>
      <c r="B62" s="16">
        <v>705</v>
      </c>
      <c r="C62">
        <v>19</v>
      </c>
      <c r="D62">
        <v>373</v>
      </c>
      <c r="E62">
        <v>1932</v>
      </c>
      <c r="F62">
        <v>1339</v>
      </c>
      <c r="G62">
        <v>572</v>
      </c>
      <c r="H62">
        <v>759</v>
      </c>
      <c r="I62">
        <v>660</v>
      </c>
      <c r="J62">
        <v>785</v>
      </c>
      <c r="K62">
        <v>533</v>
      </c>
      <c r="L62">
        <v>255</v>
      </c>
      <c r="M62">
        <v>199</v>
      </c>
      <c r="N62" s="15">
        <v>47</v>
      </c>
      <c r="O62" s="15">
        <f t="shared" si="2"/>
        <v>2311.2222299999999</v>
      </c>
      <c r="P62">
        <v>288.88889</v>
      </c>
    </row>
    <row r="63" spans="1:16">
      <c r="A63" s="12">
        <v>40920</v>
      </c>
      <c r="B63" s="16">
        <v>869</v>
      </c>
      <c r="C63">
        <v>18</v>
      </c>
      <c r="D63">
        <v>459</v>
      </c>
      <c r="E63">
        <v>1952</v>
      </c>
      <c r="F63">
        <v>1532</v>
      </c>
      <c r="G63">
        <v>615</v>
      </c>
      <c r="H63">
        <v>970</v>
      </c>
      <c r="I63">
        <v>704</v>
      </c>
      <c r="J63">
        <v>798</v>
      </c>
      <c r="K63">
        <v>737</v>
      </c>
      <c r="L63">
        <v>322</v>
      </c>
      <c r="M63">
        <v>217</v>
      </c>
      <c r="N63" s="15">
        <v>144</v>
      </c>
      <c r="O63" s="15">
        <f t="shared" si="2"/>
        <v>2600.11112</v>
      </c>
      <c r="P63">
        <f>7800/27</f>
        <v>288.88888888888891</v>
      </c>
    </row>
    <row r="64" spans="1:16">
      <c r="A64" s="12">
        <v>40927</v>
      </c>
      <c r="B64" s="16">
        <v>985</v>
      </c>
      <c r="C64">
        <v>17</v>
      </c>
      <c r="D64">
        <v>573</v>
      </c>
      <c r="E64">
        <v>2015</v>
      </c>
      <c r="F64">
        <v>1641</v>
      </c>
      <c r="G64">
        <v>639</v>
      </c>
      <c r="H64">
        <v>1161</v>
      </c>
      <c r="I64">
        <v>847</v>
      </c>
      <c r="J64">
        <v>851</v>
      </c>
      <c r="K64">
        <v>888</v>
      </c>
      <c r="L64">
        <v>457</v>
      </c>
      <c r="M64">
        <v>234</v>
      </c>
      <c r="N64" s="15">
        <v>247</v>
      </c>
      <c r="O64" s="15">
        <f t="shared" si="2"/>
        <v>2889.0000100000002</v>
      </c>
    </row>
    <row r="65" spans="1:15">
      <c r="A65" s="12">
        <v>40934</v>
      </c>
      <c r="B65" s="16">
        <v>1130</v>
      </c>
      <c r="C65">
        <v>16</v>
      </c>
      <c r="D65">
        <v>664</v>
      </c>
      <c r="E65">
        <v>2112</v>
      </c>
      <c r="F65">
        <v>1740</v>
      </c>
      <c r="G65">
        <v>672</v>
      </c>
      <c r="H65">
        <v>1351</v>
      </c>
      <c r="I65">
        <v>947</v>
      </c>
      <c r="J65">
        <v>978</v>
      </c>
      <c r="K65">
        <v>1073</v>
      </c>
      <c r="L65">
        <v>622</v>
      </c>
      <c r="M65">
        <v>250</v>
      </c>
      <c r="N65" s="15">
        <v>434</v>
      </c>
      <c r="O65" s="15">
        <f t="shared" si="2"/>
        <v>3177.8889000000004</v>
      </c>
    </row>
    <row r="66" spans="1:15">
      <c r="A66" s="12">
        <v>40941</v>
      </c>
      <c r="B66" s="16">
        <v>1266</v>
      </c>
      <c r="C66">
        <v>15</v>
      </c>
      <c r="D66">
        <v>989</v>
      </c>
      <c r="E66">
        <v>2150</v>
      </c>
      <c r="F66">
        <v>1896</v>
      </c>
      <c r="G66">
        <v>801</v>
      </c>
      <c r="H66">
        <v>1508</v>
      </c>
      <c r="I66">
        <v>1099</v>
      </c>
      <c r="J66">
        <v>1044</v>
      </c>
      <c r="K66">
        <v>1403</v>
      </c>
      <c r="L66">
        <v>728</v>
      </c>
      <c r="M66">
        <v>687</v>
      </c>
      <c r="N66" s="15">
        <v>695</v>
      </c>
      <c r="O66" s="15">
        <f t="shared" si="2"/>
        <v>3466.7777900000006</v>
      </c>
    </row>
    <row r="67" spans="1:15">
      <c r="A67" s="12">
        <v>40948</v>
      </c>
      <c r="B67" s="16">
        <v>1471</v>
      </c>
      <c r="C67">
        <v>14</v>
      </c>
      <c r="D67">
        <v>1192</v>
      </c>
      <c r="E67">
        <v>2319</v>
      </c>
      <c r="F67">
        <v>2091</v>
      </c>
      <c r="G67">
        <v>986</v>
      </c>
      <c r="H67">
        <v>1645</v>
      </c>
      <c r="I67">
        <v>1422</v>
      </c>
      <c r="J67">
        <v>1186</v>
      </c>
      <c r="K67">
        <v>1616</v>
      </c>
      <c r="L67">
        <v>884</v>
      </c>
      <c r="M67">
        <v>922</v>
      </c>
      <c r="N67" s="15">
        <v>846</v>
      </c>
      <c r="O67" s="15">
        <f t="shared" si="2"/>
        <v>3755.6666800000007</v>
      </c>
    </row>
    <row r="68" spans="1:15">
      <c r="A68" s="12">
        <v>40955</v>
      </c>
      <c r="B68" s="16">
        <v>1661</v>
      </c>
      <c r="C68">
        <v>13</v>
      </c>
      <c r="D68">
        <v>1354</v>
      </c>
      <c r="E68">
        <v>2702</v>
      </c>
      <c r="F68">
        <v>2301</v>
      </c>
      <c r="G68">
        <v>1127</v>
      </c>
      <c r="H68">
        <v>1762</v>
      </c>
      <c r="I68">
        <v>1635</v>
      </c>
      <c r="J68">
        <v>1327</v>
      </c>
      <c r="K68">
        <v>1914</v>
      </c>
      <c r="L68">
        <v>1170</v>
      </c>
      <c r="M68">
        <v>1171</v>
      </c>
      <c r="N68" s="15">
        <v>947</v>
      </c>
      <c r="O68" s="15">
        <f t="shared" si="2"/>
        <v>4044.5555700000009</v>
      </c>
    </row>
    <row r="69" spans="1:15">
      <c r="A69" s="12">
        <v>40962</v>
      </c>
      <c r="B69" s="21" t="s">
        <v>42</v>
      </c>
      <c r="C69">
        <v>12</v>
      </c>
      <c r="D69">
        <v>1536</v>
      </c>
      <c r="E69">
        <v>2875</v>
      </c>
      <c r="F69">
        <v>2496</v>
      </c>
      <c r="G69">
        <v>1509</v>
      </c>
      <c r="H69">
        <v>2010</v>
      </c>
      <c r="I69">
        <v>1822</v>
      </c>
      <c r="J69">
        <v>1478</v>
      </c>
      <c r="K69">
        <v>2100</v>
      </c>
      <c r="L69">
        <v>1415</v>
      </c>
      <c r="M69">
        <v>1264</v>
      </c>
      <c r="N69" s="15">
        <v>1126</v>
      </c>
      <c r="O69" s="15">
        <f t="shared" si="2"/>
        <v>4333.4444600000006</v>
      </c>
    </row>
    <row r="70" spans="1:15">
      <c r="A70" s="12">
        <v>40969</v>
      </c>
      <c r="B70" s="21" t="s">
        <v>42</v>
      </c>
      <c r="C70">
        <v>11</v>
      </c>
      <c r="D70">
        <v>1751</v>
      </c>
      <c r="E70">
        <v>2978</v>
      </c>
      <c r="F70">
        <v>2654</v>
      </c>
      <c r="G70">
        <v>1662</v>
      </c>
      <c r="H70">
        <v>2318</v>
      </c>
      <c r="I70">
        <v>1933</v>
      </c>
      <c r="J70">
        <v>1650</v>
      </c>
      <c r="K70">
        <v>2304</v>
      </c>
      <c r="L70">
        <v>1574</v>
      </c>
      <c r="M70">
        <v>1441</v>
      </c>
      <c r="N70" s="15">
        <v>1291</v>
      </c>
      <c r="O70" s="15">
        <f>288.88889+O69</f>
        <v>4622.3333500000008</v>
      </c>
    </row>
    <row r="71" spans="1:15">
      <c r="A71" s="12">
        <v>40976</v>
      </c>
      <c r="B71" s="21" t="s">
        <v>42</v>
      </c>
      <c r="C71">
        <v>10</v>
      </c>
      <c r="D71">
        <v>1912</v>
      </c>
      <c r="E71">
        <v>3146</v>
      </c>
      <c r="F71">
        <v>2888</v>
      </c>
      <c r="G71">
        <v>1905</v>
      </c>
      <c r="H71" s="5">
        <v>2521</v>
      </c>
      <c r="I71" s="5">
        <v>2126</v>
      </c>
      <c r="J71" s="5">
        <v>1802</v>
      </c>
      <c r="K71">
        <v>2575</v>
      </c>
      <c r="L71">
        <v>1768</v>
      </c>
      <c r="M71">
        <v>1611</v>
      </c>
      <c r="N71" s="15">
        <v>1478</v>
      </c>
      <c r="O71" s="15">
        <f>288.88889+O70</f>
        <v>4911.222240000001</v>
      </c>
    </row>
    <row r="72" spans="1:15">
      <c r="A72" s="12">
        <v>40983</v>
      </c>
      <c r="B72" s="21" t="s">
        <v>42</v>
      </c>
      <c r="C72">
        <v>9</v>
      </c>
      <c r="D72">
        <v>2107</v>
      </c>
      <c r="E72">
        <v>3516</v>
      </c>
      <c r="F72">
        <v>3082</v>
      </c>
      <c r="G72">
        <v>2099</v>
      </c>
      <c r="H72">
        <v>2744</v>
      </c>
      <c r="I72">
        <v>2477</v>
      </c>
      <c r="J72">
        <v>2068</v>
      </c>
      <c r="K72">
        <v>2784</v>
      </c>
      <c r="L72">
        <v>1940</v>
      </c>
      <c r="M72">
        <v>1802</v>
      </c>
      <c r="N72" s="15">
        <v>1658</v>
      </c>
      <c r="O72" s="15">
        <f>288.88889+O71</f>
        <v>5200.1111300000011</v>
      </c>
    </row>
    <row r="73" spans="1:15">
      <c r="A73" s="12">
        <v>40990</v>
      </c>
      <c r="B73" s="14"/>
      <c r="C73">
        <v>8</v>
      </c>
      <c r="D73">
        <v>2282</v>
      </c>
      <c r="E73">
        <v>3766</v>
      </c>
      <c r="F73">
        <v>3305</v>
      </c>
      <c r="G73">
        <v>2358</v>
      </c>
      <c r="H73">
        <v>3026</v>
      </c>
      <c r="I73">
        <v>2712</v>
      </c>
      <c r="J73">
        <v>2307</v>
      </c>
      <c r="K73">
        <v>3163</v>
      </c>
      <c r="L73">
        <v>2158</v>
      </c>
      <c r="M73">
        <v>1983</v>
      </c>
      <c r="N73" s="15">
        <v>1915</v>
      </c>
      <c r="O73" s="15">
        <f>288.88889+O72</f>
        <v>5489.0000200000013</v>
      </c>
    </row>
    <row r="74" spans="1:15">
      <c r="A74" s="12">
        <v>40997</v>
      </c>
      <c r="B74" s="14"/>
      <c r="C74">
        <v>7</v>
      </c>
      <c r="D74">
        <v>2627</v>
      </c>
      <c r="E74">
        <v>4021</v>
      </c>
      <c r="F74">
        <v>3473</v>
      </c>
      <c r="G74">
        <v>2616</v>
      </c>
      <c r="H74">
        <v>3378</v>
      </c>
      <c r="I74">
        <v>2924</v>
      </c>
      <c r="J74">
        <v>2529</v>
      </c>
      <c r="K74">
        <v>3503</v>
      </c>
      <c r="L74">
        <v>2353</v>
      </c>
      <c r="M74">
        <v>2150</v>
      </c>
      <c r="N74" s="15">
        <v>2122</v>
      </c>
      <c r="O74" s="15">
        <f t="shared" ref="O74:O81" si="3">288.88889+O73</f>
        <v>5777.8889100000015</v>
      </c>
    </row>
    <row r="75" spans="1:15">
      <c r="A75" s="12">
        <v>41004</v>
      </c>
      <c r="B75" s="14"/>
      <c r="C75">
        <v>6</v>
      </c>
      <c r="D75">
        <v>2870</v>
      </c>
      <c r="E75">
        <v>4250</v>
      </c>
      <c r="F75">
        <v>3694</v>
      </c>
      <c r="G75">
        <v>2907</v>
      </c>
      <c r="H75">
        <v>3686</v>
      </c>
      <c r="I75">
        <v>3134</v>
      </c>
      <c r="J75">
        <v>2805</v>
      </c>
      <c r="K75">
        <v>3593</v>
      </c>
      <c r="L75">
        <v>2641</v>
      </c>
      <c r="M75">
        <v>2350</v>
      </c>
      <c r="N75" s="15">
        <v>2325</v>
      </c>
      <c r="O75" s="15">
        <f t="shared" si="3"/>
        <v>6066.7778000000017</v>
      </c>
    </row>
    <row r="76" spans="1:15">
      <c r="A76" s="12">
        <v>41011</v>
      </c>
      <c r="B76" s="14"/>
      <c r="C76">
        <v>5</v>
      </c>
      <c r="D76">
        <v>3078</v>
      </c>
      <c r="E76">
        <v>4535</v>
      </c>
      <c r="F76">
        <v>3892</v>
      </c>
      <c r="G76">
        <v>3266</v>
      </c>
      <c r="H76">
        <v>3922</v>
      </c>
      <c r="I76">
        <v>3338</v>
      </c>
      <c r="J76">
        <v>3126</v>
      </c>
      <c r="K76">
        <v>4261</v>
      </c>
      <c r="L76">
        <v>2893</v>
      </c>
      <c r="M76">
        <v>2679</v>
      </c>
      <c r="N76" s="15">
        <v>2624</v>
      </c>
      <c r="O76" s="15">
        <f t="shared" si="3"/>
        <v>6355.6666900000018</v>
      </c>
    </row>
    <row r="77" spans="1:15">
      <c r="A77" s="12">
        <v>41018</v>
      </c>
      <c r="B77" s="14"/>
      <c r="C77">
        <v>4</v>
      </c>
      <c r="D77">
        <v>3313</v>
      </c>
      <c r="E77">
        <v>4832</v>
      </c>
      <c r="F77">
        <v>4192</v>
      </c>
      <c r="G77">
        <v>3602</v>
      </c>
      <c r="H77">
        <v>4167</v>
      </c>
      <c r="I77">
        <v>3565</v>
      </c>
      <c r="J77">
        <v>3454</v>
      </c>
      <c r="K77">
        <v>4677</v>
      </c>
      <c r="L77">
        <v>3474</v>
      </c>
      <c r="M77">
        <v>3067</v>
      </c>
      <c r="N77" s="15">
        <v>2910</v>
      </c>
      <c r="O77" s="15">
        <f t="shared" si="3"/>
        <v>6644.555580000002</v>
      </c>
    </row>
    <row r="78" spans="1:15">
      <c r="A78" s="12">
        <v>41025</v>
      </c>
      <c r="B78" s="14"/>
      <c r="C78">
        <v>3</v>
      </c>
      <c r="D78">
        <v>3601</v>
      </c>
      <c r="E78">
        <v>5183</v>
      </c>
      <c r="F78">
        <v>4253</v>
      </c>
      <c r="G78">
        <v>3857</v>
      </c>
      <c r="H78">
        <v>4511</v>
      </c>
      <c r="I78">
        <v>3762</v>
      </c>
      <c r="J78">
        <v>4166</v>
      </c>
      <c r="K78">
        <v>4806</v>
      </c>
      <c r="L78">
        <v>4173</v>
      </c>
      <c r="M78">
        <v>3552</v>
      </c>
      <c r="N78" s="15">
        <v>3505</v>
      </c>
      <c r="O78" s="15">
        <f t="shared" si="3"/>
        <v>6933.4444700000022</v>
      </c>
    </row>
    <row r="79" spans="1:15">
      <c r="A79" s="12">
        <v>41032</v>
      </c>
      <c r="B79" s="14"/>
      <c r="C79">
        <v>2</v>
      </c>
      <c r="D79">
        <v>3845</v>
      </c>
      <c r="E79">
        <v>5465</v>
      </c>
      <c r="F79">
        <v>4767</v>
      </c>
      <c r="G79">
        <v>4124</v>
      </c>
      <c r="H79">
        <v>4859</v>
      </c>
      <c r="I79">
        <v>4288</v>
      </c>
      <c r="J79">
        <v>4767</v>
      </c>
      <c r="K79">
        <v>5030</v>
      </c>
      <c r="L79">
        <v>4162</v>
      </c>
      <c r="M79">
        <v>3898</v>
      </c>
      <c r="N79" s="15">
        <v>3893</v>
      </c>
      <c r="O79" s="15">
        <f t="shared" si="3"/>
        <v>7222.3333600000024</v>
      </c>
    </row>
    <row r="80" spans="1:15">
      <c r="A80" s="12">
        <v>41039</v>
      </c>
      <c r="B80" s="14"/>
      <c r="C80">
        <v>1</v>
      </c>
      <c r="D80">
        <v>4106</v>
      </c>
      <c r="E80">
        <v>5656</v>
      </c>
      <c r="F80">
        <v>5159</v>
      </c>
      <c r="G80">
        <v>4657</v>
      </c>
      <c r="H80">
        <v>5085</v>
      </c>
      <c r="I80">
        <v>4647</v>
      </c>
      <c r="J80">
        <v>4957</v>
      </c>
      <c r="K80">
        <v>5241</v>
      </c>
      <c r="L80">
        <v>5365</v>
      </c>
      <c r="M80">
        <v>4202</v>
      </c>
      <c r="N80" s="15">
        <v>3897</v>
      </c>
      <c r="O80" s="15">
        <f t="shared" si="3"/>
        <v>7511.2222500000025</v>
      </c>
    </row>
    <row r="81" spans="1:15">
      <c r="A81" s="12" t="s">
        <v>20</v>
      </c>
      <c r="B81" s="14"/>
      <c r="C81">
        <v>0</v>
      </c>
      <c r="D81">
        <v>4862</v>
      </c>
      <c r="E81">
        <v>5656</v>
      </c>
      <c r="F81">
        <v>5788</v>
      </c>
      <c r="G81">
        <v>5200</v>
      </c>
      <c r="H81">
        <v>5812</v>
      </c>
      <c r="I81">
        <v>6083</v>
      </c>
      <c r="J81">
        <v>6262</v>
      </c>
      <c r="K81">
        <v>5996</v>
      </c>
      <c r="L81">
        <v>5365</v>
      </c>
      <c r="M81">
        <v>5770</v>
      </c>
      <c r="N81" s="15">
        <v>4508</v>
      </c>
      <c r="O81" s="15">
        <f t="shared" si="3"/>
        <v>7800.1111400000027</v>
      </c>
    </row>
    <row r="86" spans="1:15" hidden="1">
      <c r="B86" s="9" t="s">
        <v>28</v>
      </c>
      <c r="C86" s="9" t="s">
        <v>29</v>
      </c>
      <c r="D86" s="9" t="s">
        <v>30</v>
      </c>
      <c r="E86" s="9" t="s">
        <v>31</v>
      </c>
      <c r="F86" s="9" t="s">
        <v>32</v>
      </c>
      <c r="G86" s="9" t="s">
        <v>33</v>
      </c>
      <c r="H86" s="9" t="s">
        <v>34</v>
      </c>
      <c r="I86" s="9" t="s">
        <v>35</v>
      </c>
      <c r="J86" s="9" t="s">
        <v>36</v>
      </c>
      <c r="K86" s="9" t="s">
        <v>37</v>
      </c>
      <c r="L86" s="9" t="s">
        <v>38</v>
      </c>
    </row>
    <row r="87" spans="1:15" hidden="1">
      <c r="A87" s="10">
        <v>40122</v>
      </c>
      <c r="B87" s="9">
        <v>88</v>
      </c>
      <c r="C87" s="9">
        <v>64</v>
      </c>
      <c r="D87" s="9">
        <v>23</v>
      </c>
      <c r="E87" s="9">
        <v>34</v>
      </c>
      <c r="F87" s="9">
        <v>1</v>
      </c>
      <c r="G87" s="9">
        <v>0</v>
      </c>
      <c r="H87" s="9">
        <v>36</v>
      </c>
      <c r="I87" s="9">
        <v>1</v>
      </c>
      <c r="J87" s="9">
        <v>264</v>
      </c>
      <c r="K87" s="9">
        <v>2</v>
      </c>
      <c r="L87" s="15">
        <v>2</v>
      </c>
    </row>
    <row r="88" spans="1:15" hidden="1">
      <c r="A88" s="11">
        <v>40128</v>
      </c>
      <c r="B88" s="9">
        <v>3</v>
      </c>
      <c r="C88" s="9">
        <v>3</v>
      </c>
      <c r="D88" s="9">
        <v>-3</v>
      </c>
      <c r="E88" s="9">
        <v>2</v>
      </c>
      <c r="F88" s="9">
        <v>0</v>
      </c>
      <c r="G88" s="9">
        <v>0</v>
      </c>
      <c r="H88" s="9">
        <v>-1</v>
      </c>
      <c r="I88" s="9">
        <v>-1</v>
      </c>
      <c r="J88" s="9">
        <v>5</v>
      </c>
      <c r="K88" s="9">
        <v>0</v>
      </c>
      <c r="L88" s="15">
        <v>-1</v>
      </c>
    </row>
    <row r="89" spans="1:15" hidden="1">
      <c r="A89" s="12">
        <v>40136</v>
      </c>
      <c r="B89" s="9"/>
      <c r="C89" s="9"/>
      <c r="D89" s="9"/>
      <c r="E89" s="9"/>
      <c r="F89" s="9"/>
      <c r="G89" s="9"/>
      <c r="H89" s="9"/>
      <c r="I89" s="9"/>
      <c r="J89" s="9"/>
    </row>
    <row r="90" spans="1:15" hidden="1">
      <c r="A90" s="12">
        <v>40143</v>
      </c>
      <c r="B90" s="9"/>
      <c r="C90" s="9"/>
      <c r="D90" s="9"/>
      <c r="E90" s="9"/>
      <c r="F90" s="9"/>
      <c r="G90" s="9"/>
      <c r="H90" s="9"/>
      <c r="I90" s="9"/>
      <c r="J90" s="9"/>
    </row>
    <row r="91" spans="1:15" hidden="1">
      <c r="A91" s="12">
        <v>40150</v>
      </c>
      <c r="B91" s="9"/>
      <c r="C91" s="9"/>
      <c r="D91" s="9"/>
      <c r="E91" s="9"/>
      <c r="F91" s="9"/>
      <c r="G91" s="9"/>
      <c r="H91" s="9"/>
      <c r="I91" s="9"/>
      <c r="J91" s="9"/>
    </row>
    <row r="92" spans="1:15" hidden="1">
      <c r="A92" s="12">
        <v>40157</v>
      </c>
      <c r="B92" s="9"/>
      <c r="C92" s="9"/>
      <c r="D92" s="9"/>
      <c r="E92" s="9"/>
      <c r="F92" s="9"/>
      <c r="G92" s="9"/>
      <c r="H92" s="9"/>
      <c r="I92" s="9"/>
      <c r="J92" s="9"/>
    </row>
    <row r="93" spans="1:15" hidden="1">
      <c r="A93" s="12">
        <v>40164</v>
      </c>
      <c r="B93" s="9"/>
      <c r="C93" s="9"/>
      <c r="D93" s="9"/>
      <c r="E93" s="9"/>
      <c r="F93" s="9"/>
      <c r="G93" s="9"/>
      <c r="H93" s="9"/>
      <c r="I93" s="9"/>
      <c r="J93" s="9"/>
    </row>
    <row r="94" spans="1:15" hidden="1">
      <c r="A94" s="12">
        <v>40171</v>
      </c>
      <c r="B94" s="9"/>
      <c r="C94" s="9"/>
      <c r="D94" s="9"/>
      <c r="E94" s="9"/>
      <c r="F94" s="9"/>
      <c r="G94" s="9"/>
      <c r="H94" s="9"/>
      <c r="I94" s="9"/>
      <c r="J94" s="9"/>
    </row>
    <row r="95" spans="1:15" hidden="1">
      <c r="A95" s="12">
        <v>40178</v>
      </c>
      <c r="B95" s="17"/>
      <c r="C95" s="17"/>
      <c r="D95" s="17"/>
      <c r="E95" s="17"/>
      <c r="F95" s="17"/>
      <c r="G95" s="17"/>
      <c r="H95" s="17"/>
      <c r="I95" s="17"/>
      <c r="J95" s="17"/>
    </row>
    <row r="96" spans="1:15" hidden="1">
      <c r="A96" s="12">
        <v>40185</v>
      </c>
      <c r="B96" s="17"/>
      <c r="C96" s="17"/>
      <c r="D96" s="17"/>
      <c r="E96" s="17"/>
      <c r="F96" s="17"/>
      <c r="G96" s="17"/>
      <c r="H96" s="17"/>
      <c r="I96" s="17"/>
      <c r="J96" s="17"/>
    </row>
    <row r="97" spans="1:10" hidden="1">
      <c r="A97" s="12">
        <v>40192</v>
      </c>
      <c r="B97" s="9"/>
      <c r="C97" s="9"/>
      <c r="D97" s="9"/>
      <c r="E97" s="9"/>
      <c r="F97" s="9"/>
      <c r="G97" s="9"/>
      <c r="H97" s="9"/>
      <c r="I97" s="9"/>
      <c r="J97" s="9"/>
    </row>
    <row r="98" spans="1:10" hidden="1">
      <c r="A98" s="12">
        <v>40199</v>
      </c>
      <c r="B98" s="9"/>
      <c r="C98" s="9"/>
      <c r="D98" s="9"/>
      <c r="E98" s="9"/>
      <c r="F98" s="9"/>
      <c r="G98" s="9"/>
      <c r="H98" s="9"/>
      <c r="I98" s="9"/>
      <c r="J98" s="9"/>
    </row>
    <row r="99" spans="1:10" hidden="1">
      <c r="A99" s="12">
        <v>40206</v>
      </c>
      <c r="B99" s="9"/>
      <c r="C99" s="9"/>
      <c r="D99" s="9"/>
      <c r="E99" s="9"/>
      <c r="F99" s="9"/>
      <c r="G99" s="9"/>
      <c r="H99" s="9"/>
      <c r="I99" s="9"/>
      <c r="J99" s="9"/>
    </row>
    <row r="100" spans="1:10" hidden="1">
      <c r="A100" s="12">
        <v>40213</v>
      </c>
      <c r="B100" s="9"/>
      <c r="C100" s="9"/>
      <c r="D100" s="9"/>
      <c r="E100" s="9"/>
      <c r="F100" s="9"/>
      <c r="G100" s="9"/>
      <c r="H100" s="9"/>
      <c r="I100" s="9"/>
      <c r="J100" s="9"/>
    </row>
    <row r="101" spans="1:10" hidden="1">
      <c r="A101" s="12">
        <v>40220</v>
      </c>
      <c r="B101" s="9"/>
      <c r="C101" s="9"/>
      <c r="D101" s="9"/>
      <c r="E101" s="9"/>
      <c r="F101" s="9"/>
      <c r="G101" s="9"/>
      <c r="H101" s="9"/>
      <c r="I101" s="9"/>
      <c r="J101" s="9"/>
    </row>
    <row r="102" spans="1:10" hidden="1">
      <c r="A102" s="12">
        <v>40227</v>
      </c>
      <c r="B102" s="9"/>
      <c r="C102" s="9"/>
      <c r="D102" s="9"/>
      <c r="E102" s="9"/>
      <c r="F102" s="9"/>
      <c r="G102" s="9"/>
      <c r="H102" s="9"/>
      <c r="I102" s="9"/>
      <c r="J102" s="9"/>
    </row>
    <row r="103" spans="1:10" hidden="1">
      <c r="A103" s="12">
        <v>40224</v>
      </c>
      <c r="B103" s="9"/>
      <c r="C103" s="9"/>
      <c r="D103" s="9"/>
      <c r="E103" s="9"/>
      <c r="F103" s="9"/>
      <c r="G103" s="9"/>
      <c r="H103" s="9"/>
      <c r="I103" s="9"/>
      <c r="J103" s="9"/>
    </row>
    <row r="104" spans="1:10" hidden="1">
      <c r="A104" s="12">
        <v>40241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0" hidden="1">
      <c r="A105" s="12">
        <v>40248</v>
      </c>
      <c r="B105" s="9"/>
      <c r="C105" s="9"/>
      <c r="D105" s="9"/>
      <c r="E105" s="9"/>
      <c r="F105" s="9"/>
      <c r="G105" s="9"/>
      <c r="H105" s="9"/>
      <c r="I105" s="9"/>
      <c r="J105" s="9"/>
    </row>
    <row r="106" spans="1:10" hidden="1">
      <c r="A106" s="12">
        <v>40255</v>
      </c>
      <c r="B106" s="9"/>
      <c r="C106" s="9"/>
      <c r="D106" s="9"/>
      <c r="E106" s="9"/>
      <c r="F106" s="9"/>
      <c r="G106" s="9"/>
      <c r="H106" s="9"/>
      <c r="I106" s="9"/>
      <c r="J106" s="9"/>
    </row>
    <row r="107" spans="1:10" hidden="1">
      <c r="A107" s="12">
        <v>40262</v>
      </c>
      <c r="B107" s="9"/>
      <c r="C107" s="9"/>
      <c r="D107" s="9"/>
      <c r="E107" s="9"/>
      <c r="F107" s="9"/>
      <c r="G107" s="9"/>
      <c r="H107" s="9"/>
      <c r="I107" s="9"/>
      <c r="J107" s="9"/>
    </row>
    <row r="108" spans="1:10" hidden="1">
      <c r="A108" s="12">
        <v>40269</v>
      </c>
      <c r="B108" s="9"/>
      <c r="C108" s="9"/>
      <c r="D108" s="9"/>
      <c r="E108" s="9"/>
      <c r="F108" s="9"/>
      <c r="G108" s="9"/>
      <c r="H108" s="9"/>
      <c r="I108" s="9"/>
      <c r="J108" s="9"/>
    </row>
    <row r="109" spans="1:10" hidden="1">
      <c r="A109" s="12">
        <v>40276</v>
      </c>
      <c r="B109" s="9"/>
      <c r="C109" s="9"/>
      <c r="D109" s="9"/>
      <c r="E109" s="9"/>
      <c r="F109" s="9"/>
      <c r="G109" s="9"/>
      <c r="H109" s="9"/>
      <c r="I109" s="9"/>
      <c r="J109" s="9"/>
    </row>
    <row r="110" spans="1:10" hidden="1">
      <c r="A110" s="12">
        <v>40283</v>
      </c>
      <c r="B110" s="9"/>
      <c r="C110" s="9"/>
      <c r="D110" s="9"/>
      <c r="E110" s="9"/>
      <c r="F110" s="9"/>
      <c r="G110" s="9"/>
      <c r="H110" s="9"/>
      <c r="I110" s="9"/>
      <c r="J110" s="9"/>
    </row>
    <row r="111" spans="1:10" hidden="1">
      <c r="A111" s="12">
        <v>40290</v>
      </c>
      <c r="B111" s="9"/>
      <c r="C111" s="9"/>
      <c r="D111" s="9"/>
      <c r="E111" s="9"/>
      <c r="F111" s="9"/>
      <c r="G111" s="9"/>
      <c r="H111" s="9"/>
      <c r="I111" s="9"/>
      <c r="J111" s="9"/>
    </row>
    <row r="112" spans="1:10" hidden="1">
      <c r="A112" s="12">
        <v>40297</v>
      </c>
      <c r="B112" s="9"/>
      <c r="C112" s="9"/>
      <c r="D112" s="9"/>
      <c r="E112" s="9"/>
      <c r="F112" s="9"/>
      <c r="G112" s="9"/>
      <c r="H112" s="9"/>
      <c r="I112" s="9"/>
      <c r="J112" s="9"/>
    </row>
    <row r="113" spans="1:24" hidden="1">
      <c r="A113" s="12" t="s">
        <v>20</v>
      </c>
      <c r="B113" s="9"/>
      <c r="C113" s="9"/>
      <c r="D113" s="9"/>
      <c r="E113" s="9"/>
      <c r="F113" s="9"/>
      <c r="G113" s="9"/>
      <c r="H113" s="9"/>
      <c r="I113" s="9"/>
      <c r="J113" s="9"/>
      <c r="K113" s="18"/>
      <c r="L113" s="9"/>
      <c r="M113" s="18">
        <f>SUM(D113:L113)</f>
        <v>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spans="1:24" hidden="1">
      <c r="A114" s="12"/>
      <c r="B114" s="9">
        <f t="shared" ref="B114:L114" si="4">SUM(B87:B113)</f>
        <v>91</v>
      </c>
      <c r="C114" s="9">
        <f t="shared" si="4"/>
        <v>67</v>
      </c>
      <c r="D114" s="9">
        <f t="shared" si="4"/>
        <v>20</v>
      </c>
      <c r="E114" s="9">
        <f t="shared" si="4"/>
        <v>36</v>
      </c>
      <c r="F114" s="9">
        <f t="shared" si="4"/>
        <v>1</v>
      </c>
      <c r="G114" s="9">
        <f t="shared" si="4"/>
        <v>0</v>
      </c>
      <c r="H114" s="9">
        <f t="shared" si="4"/>
        <v>35</v>
      </c>
      <c r="I114" s="9">
        <f t="shared" si="4"/>
        <v>0</v>
      </c>
      <c r="J114" s="9">
        <f t="shared" si="4"/>
        <v>269</v>
      </c>
      <c r="K114" s="9">
        <f t="shared" si="4"/>
        <v>2</v>
      </c>
      <c r="L114" s="9">
        <f t="shared" si="4"/>
        <v>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spans="1:24" hidden="1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spans="1:24" hidden="1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spans="1:24" hidden="1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spans="1:24" s="9" customFormat="1" ht="12" hidden="1" customHeight="1"/>
    <row r="119" spans="1:24" s="9" customFormat="1" hidden="1">
      <c r="B119" s="18">
        <f>B118-B113</f>
        <v>0</v>
      </c>
      <c r="C119" s="18">
        <f t="shared" ref="C119:L119" si="5">C118-C113</f>
        <v>0</v>
      </c>
      <c r="D119" s="18">
        <f t="shared" si="5"/>
        <v>0</v>
      </c>
      <c r="E119" s="18">
        <f t="shared" si="5"/>
        <v>0</v>
      </c>
      <c r="F119" s="18">
        <f t="shared" si="5"/>
        <v>0</v>
      </c>
      <c r="G119" s="18">
        <f t="shared" si="5"/>
        <v>0</v>
      </c>
      <c r="H119" s="18">
        <f t="shared" si="5"/>
        <v>0</v>
      </c>
      <c r="I119" s="18">
        <f t="shared" si="5"/>
        <v>0</v>
      </c>
      <c r="J119" s="18">
        <f t="shared" si="5"/>
        <v>0</v>
      </c>
      <c r="K119" s="18">
        <f t="shared" si="5"/>
        <v>0</v>
      </c>
      <c r="L119" s="18">
        <f t="shared" si="5"/>
        <v>0</v>
      </c>
    </row>
  </sheetData>
  <pageMargins left="0.7" right="0.7" top="0.75" bottom="0.75" header="0.3" footer="0.3"/>
  <pageSetup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activeCell="A4" sqref="A4"/>
    </sheetView>
  </sheetViews>
  <sheetFormatPr defaultRowHeight="15"/>
  <cols>
    <col min="1" max="1" width="13.85546875" style="27" bestFit="1" customWidth="1"/>
    <col min="2" max="16384" width="9.140625" style="27"/>
  </cols>
  <sheetData>
    <row r="1" spans="1:11">
      <c r="A1" s="41">
        <v>41072</v>
      </c>
      <c r="B1" s="42"/>
    </row>
    <row r="3" spans="1:11" s="30" customFormat="1" ht="34.5" customHeight="1">
      <c r="A3" s="43" t="s">
        <v>9407</v>
      </c>
      <c r="B3" s="43"/>
      <c r="C3" s="43"/>
      <c r="D3" s="43"/>
      <c r="E3" s="43"/>
      <c r="F3" s="43"/>
      <c r="G3" s="43"/>
      <c r="H3" s="43"/>
      <c r="I3" s="43"/>
      <c r="J3" s="29"/>
      <c r="K3" s="29"/>
    </row>
    <row r="4" spans="1:11" s="31" customFormat="1"/>
    <row r="5" spans="1:11" s="31" customFormat="1" ht="111" customHeight="1">
      <c r="A5" s="44" t="s">
        <v>9406</v>
      </c>
      <c r="B5" s="45"/>
      <c r="C5" s="45"/>
      <c r="D5" s="45"/>
      <c r="E5" s="45"/>
      <c r="F5" s="45"/>
      <c r="G5" s="45"/>
      <c r="H5" s="45"/>
      <c r="I5" s="45"/>
      <c r="J5" s="28"/>
      <c r="K5" s="28"/>
    </row>
    <row r="6" spans="1:11" s="31" customFormat="1" ht="11.25" customHeight="1"/>
    <row r="7" spans="1:11" s="31" customFormat="1" ht="79.5" customHeight="1">
      <c r="A7" s="44" t="s">
        <v>9405</v>
      </c>
      <c r="B7" s="45"/>
      <c r="C7" s="45"/>
      <c r="D7" s="45"/>
      <c r="E7" s="45"/>
      <c r="F7" s="45"/>
      <c r="G7" s="45"/>
      <c r="H7" s="45"/>
      <c r="I7" s="45"/>
      <c r="J7" s="28"/>
      <c r="K7" s="28"/>
    </row>
    <row r="8" spans="1:11" s="31" customFormat="1"/>
  </sheetData>
  <sheetProtection password="F2C6" sheet="1" objects="1" scenarios="1" selectLockedCells="1" selectUnlockedCells="1"/>
  <mergeCells count="4">
    <mergeCell ref="A1:B1"/>
    <mergeCell ref="A3:I3"/>
    <mergeCell ref="A5:I5"/>
    <mergeCell ref="A7:I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682"/>
  <sheetViews>
    <sheetView zoomScale="90" zoomScaleNormal="90" workbookViewId="0">
      <pane ySplit="4" topLeftCell="A5" activePane="bottomLeft" state="frozen"/>
      <selection activeCell="L1" sqref="L1"/>
      <selection pane="bottomLeft" activeCell="C27" sqref="C27"/>
    </sheetView>
  </sheetViews>
  <sheetFormatPr defaultRowHeight="12.75"/>
  <cols>
    <col min="1" max="1" width="14.28515625" style="5" customWidth="1"/>
    <col min="2" max="2" width="8.7109375" bestFit="1" customWidth="1"/>
    <col min="3" max="3" width="9.5703125" customWidth="1"/>
    <col min="4" max="4" width="7.140625" bestFit="1" customWidth="1"/>
    <col min="5" max="5" width="8.28515625" bestFit="1" customWidth="1"/>
    <col min="6" max="6" width="18" bestFit="1" customWidth="1"/>
    <col min="7" max="7" width="17.42578125" bestFit="1" customWidth="1"/>
    <col min="8" max="8" width="15" bestFit="1" customWidth="1"/>
    <col min="9" max="9" width="8.85546875" bestFit="1" customWidth="1"/>
    <col min="10" max="10" width="2.42578125" bestFit="1" customWidth="1"/>
    <col min="11" max="11" width="5.42578125" style="14" bestFit="1" customWidth="1"/>
    <col min="12" max="12" width="9.7109375" bestFit="1" customWidth="1"/>
    <col min="13" max="13" width="7.42578125" style="14" bestFit="1" customWidth="1"/>
    <col min="14" max="14" width="6" style="14" bestFit="1" customWidth="1"/>
    <col min="15" max="15" width="11.7109375" bestFit="1" customWidth="1"/>
    <col min="16" max="16" width="33" bestFit="1" customWidth="1"/>
    <col min="17" max="17" width="15.140625" bestFit="1" customWidth="1"/>
    <col min="18" max="18" width="32" bestFit="1" customWidth="1"/>
    <col min="19" max="19" width="16.85546875" bestFit="1" customWidth="1"/>
    <col min="20" max="20" width="35" bestFit="1" customWidth="1"/>
    <col min="21" max="21" width="32.85546875" bestFit="1" customWidth="1"/>
    <col min="22" max="22" width="18.140625" bestFit="1" customWidth="1"/>
    <col min="23" max="23" width="44.85546875" bestFit="1" customWidth="1"/>
    <col min="24" max="24" width="14.28515625" bestFit="1" customWidth="1"/>
    <col min="25" max="25" width="29.28515625" bestFit="1" customWidth="1"/>
    <col min="26" max="26" width="38.5703125" bestFit="1" customWidth="1"/>
    <col min="27" max="27" width="37.28515625" bestFit="1" customWidth="1"/>
    <col min="28" max="28" width="26.85546875" bestFit="1" customWidth="1"/>
    <col min="29" max="29" width="11.140625" bestFit="1" customWidth="1"/>
    <col min="30" max="30" width="10.7109375" bestFit="1" customWidth="1"/>
    <col min="31" max="31" width="20.5703125" bestFit="1" customWidth="1"/>
    <col min="32" max="32" width="31.85546875" bestFit="1" customWidth="1"/>
    <col min="33" max="33" width="3.5703125" bestFit="1" customWidth="1"/>
    <col min="34" max="34" width="5.28515625" bestFit="1" customWidth="1"/>
    <col min="35" max="35" width="4.42578125" bestFit="1" customWidth="1"/>
    <col min="36" max="36" width="37.42578125" bestFit="1" customWidth="1"/>
    <col min="37" max="37" width="11" bestFit="1" customWidth="1"/>
  </cols>
  <sheetData>
    <row r="1" spans="1:38" s="13" customFormat="1" ht="60">
      <c r="A1" s="33" t="s">
        <v>5733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38" ht="21.75">
      <c r="A2" s="34" t="s">
        <v>43</v>
      </c>
      <c r="B2" s="34" t="s">
        <v>45</v>
      </c>
      <c r="C2" s="35" t="s">
        <v>44</v>
      </c>
      <c r="D2" s="34" t="s">
        <v>46</v>
      </c>
      <c r="E2" s="34" t="s">
        <v>47</v>
      </c>
      <c r="F2" s="34" t="s">
        <v>61</v>
      </c>
      <c r="G2" s="34" t="s">
        <v>48</v>
      </c>
      <c r="H2" s="34" t="s">
        <v>49</v>
      </c>
      <c r="I2" s="34" t="s">
        <v>50</v>
      </c>
      <c r="J2" s="34" t="s">
        <v>5734</v>
      </c>
      <c r="K2" s="36" t="s">
        <v>5735</v>
      </c>
      <c r="L2" s="34" t="s">
        <v>51</v>
      </c>
      <c r="M2" s="34" t="s">
        <v>52</v>
      </c>
      <c r="N2" s="34" t="s">
        <v>53</v>
      </c>
      <c r="O2" s="34" t="s">
        <v>54</v>
      </c>
      <c r="P2" s="34" t="s">
        <v>55</v>
      </c>
      <c r="Q2" s="34" t="s">
        <v>1</v>
      </c>
      <c r="R2" s="34" t="s">
        <v>56</v>
      </c>
      <c r="S2" s="34" t="s">
        <v>4311</v>
      </c>
      <c r="T2" s="34" t="s">
        <v>57</v>
      </c>
      <c r="U2" s="34" t="s">
        <v>58</v>
      </c>
      <c r="V2" s="34" t="s">
        <v>59</v>
      </c>
      <c r="W2" s="34" t="s">
        <v>60</v>
      </c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</row>
    <row r="3" spans="1:38">
      <c r="A3" s="37"/>
      <c r="B3" s="37"/>
      <c r="C3" s="37"/>
      <c r="D3" s="37" t="s">
        <v>1748</v>
      </c>
      <c r="E3" s="37" t="s">
        <v>1781</v>
      </c>
      <c r="F3" s="37" t="s">
        <v>1787</v>
      </c>
      <c r="G3" s="37" t="s">
        <v>1782</v>
      </c>
      <c r="H3" s="37"/>
      <c r="I3" s="37" t="s">
        <v>1783</v>
      </c>
      <c r="J3" s="37" t="s">
        <v>475</v>
      </c>
      <c r="K3" s="40" t="s">
        <v>1784</v>
      </c>
      <c r="L3" s="37" t="s">
        <v>64</v>
      </c>
      <c r="M3" s="37" t="s">
        <v>1785</v>
      </c>
      <c r="N3" s="37"/>
      <c r="O3" s="37" t="s">
        <v>1786</v>
      </c>
      <c r="P3" s="37" t="s">
        <v>1786</v>
      </c>
      <c r="Q3" s="37" t="s">
        <v>98</v>
      </c>
      <c r="R3" s="37"/>
      <c r="S3" s="37"/>
      <c r="T3" s="37" t="s">
        <v>144</v>
      </c>
      <c r="U3" s="37"/>
      <c r="V3" s="37" t="s">
        <v>88</v>
      </c>
      <c r="W3" s="37" t="s">
        <v>69</v>
      </c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</row>
    <row r="4" spans="1:38" s="5" customFormat="1">
      <c r="A4" s="37"/>
      <c r="B4" s="37"/>
      <c r="C4" s="37"/>
      <c r="D4" s="37" t="s">
        <v>286</v>
      </c>
      <c r="E4" s="37" t="s">
        <v>4122</v>
      </c>
      <c r="F4" s="37" t="s">
        <v>4126</v>
      </c>
      <c r="G4" s="37" t="s">
        <v>4123</v>
      </c>
      <c r="H4" s="37"/>
      <c r="I4" s="37" t="s">
        <v>1783</v>
      </c>
      <c r="J4" s="37" t="s">
        <v>475</v>
      </c>
      <c r="K4" s="40" t="s">
        <v>4124</v>
      </c>
      <c r="L4" s="37" t="s">
        <v>64</v>
      </c>
      <c r="M4" s="37" t="s">
        <v>4125</v>
      </c>
      <c r="N4" s="37"/>
      <c r="O4" s="37" t="s">
        <v>1786</v>
      </c>
      <c r="P4" s="37" t="s">
        <v>1786</v>
      </c>
      <c r="Q4" s="37" t="s">
        <v>98</v>
      </c>
      <c r="R4" s="37"/>
      <c r="S4" s="37"/>
      <c r="T4" s="37"/>
      <c r="U4" s="37"/>
      <c r="V4" s="37" t="s">
        <v>88</v>
      </c>
      <c r="W4" s="37" t="s">
        <v>89</v>
      </c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 spans="1:38">
      <c r="A5" s="37" t="s">
        <v>112</v>
      </c>
      <c r="B5" s="37"/>
      <c r="C5" s="37"/>
      <c r="D5" s="37" t="s">
        <v>2548</v>
      </c>
      <c r="E5" s="37" t="s">
        <v>3519</v>
      </c>
      <c r="F5" s="37" t="s">
        <v>5710</v>
      </c>
      <c r="G5" s="37" t="s">
        <v>5706</v>
      </c>
      <c r="H5" s="37" t="s">
        <v>5707</v>
      </c>
      <c r="I5" s="37" t="s">
        <v>3887</v>
      </c>
      <c r="J5" s="37" t="s">
        <v>75</v>
      </c>
      <c r="K5" s="40" t="s">
        <v>3888</v>
      </c>
      <c r="L5" s="37" t="s">
        <v>64</v>
      </c>
      <c r="M5" s="37" t="s">
        <v>5708</v>
      </c>
      <c r="N5" s="37" t="s">
        <v>5709</v>
      </c>
      <c r="O5" s="37" t="s">
        <v>4058</v>
      </c>
      <c r="P5" s="37" t="s">
        <v>898</v>
      </c>
      <c r="Q5" s="37" t="s">
        <v>10</v>
      </c>
      <c r="R5" s="37"/>
      <c r="S5" s="37"/>
      <c r="T5" s="37" t="s">
        <v>144</v>
      </c>
      <c r="U5" s="37" t="s">
        <v>185</v>
      </c>
      <c r="V5" s="37" t="s">
        <v>72</v>
      </c>
      <c r="W5" s="37" t="s">
        <v>78</v>
      </c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</row>
    <row r="6" spans="1:38">
      <c r="A6" s="37"/>
      <c r="B6" s="37"/>
      <c r="C6" s="37"/>
      <c r="D6" s="37" t="s">
        <v>707</v>
      </c>
      <c r="E6" s="37" t="s">
        <v>5402</v>
      </c>
      <c r="F6" s="37" t="s">
        <v>5406</v>
      </c>
      <c r="G6" s="37" t="s">
        <v>5403</v>
      </c>
      <c r="H6" s="37" t="s">
        <v>3886</v>
      </c>
      <c r="I6" s="37" t="s">
        <v>3887</v>
      </c>
      <c r="J6" s="37" t="s">
        <v>75</v>
      </c>
      <c r="K6" s="40" t="s">
        <v>3888</v>
      </c>
      <c r="L6" s="37" t="s">
        <v>64</v>
      </c>
      <c r="M6" s="37" t="s">
        <v>5404</v>
      </c>
      <c r="N6" s="37" t="s">
        <v>5405</v>
      </c>
      <c r="O6" s="37" t="s">
        <v>4058</v>
      </c>
      <c r="P6" s="37" t="s">
        <v>898</v>
      </c>
      <c r="Q6" s="37" t="s">
        <v>10</v>
      </c>
      <c r="R6" s="37"/>
      <c r="S6" s="37"/>
      <c r="T6" s="37"/>
      <c r="U6" s="37" t="s">
        <v>189</v>
      </c>
      <c r="V6" s="37" t="s">
        <v>67</v>
      </c>
      <c r="W6" s="37" t="s">
        <v>89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</row>
    <row r="7" spans="1:38">
      <c r="A7" s="37"/>
      <c r="B7" s="37"/>
      <c r="C7" s="37"/>
      <c r="D7" s="37" t="s">
        <v>5687</v>
      </c>
      <c r="E7" s="37" t="s">
        <v>5402</v>
      </c>
      <c r="F7" s="37" t="s">
        <v>5406</v>
      </c>
      <c r="G7" s="37" t="s">
        <v>5688</v>
      </c>
      <c r="H7" s="37"/>
      <c r="I7" s="37" t="s">
        <v>5689</v>
      </c>
      <c r="J7" s="37" t="s">
        <v>75</v>
      </c>
      <c r="K7" s="40" t="s">
        <v>5690</v>
      </c>
      <c r="L7" s="37" t="s">
        <v>64</v>
      </c>
      <c r="M7" s="37" t="s">
        <v>5404</v>
      </c>
      <c r="N7" s="37"/>
      <c r="O7" s="37" t="s">
        <v>4058</v>
      </c>
      <c r="P7" s="37" t="s">
        <v>898</v>
      </c>
      <c r="Q7" s="37" t="s">
        <v>10</v>
      </c>
      <c r="R7" s="37"/>
      <c r="S7" s="37"/>
      <c r="T7" s="37"/>
      <c r="U7" s="37" t="s">
        <v>76</v>
      </c>
      <c r="V7" s="37" t="s">
        <v>72</v>
      </c>
      <c r="W7" s="37" t="s">
        <v>73</v>
      </c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</row>
    <row r="8" spans="1:38">
      <c r="A8" s="37"/>
      <c r="B8" s="37"/>
      <c r="C8" s="37"/>
      <c r="D8" s="37" t="s">
        <v>5358</v>
      </c>
      <c r="E8" s="37" t="s">
        <v>928</v>
      </c>
      <c r="F8" s="37" t="s">
        <v>5363</v>
      </c>
      <c r="G8" s="37" t="s">
        <v>5359</v>
      </c>
      <c r="H8" s="37"/>
      <c r="I8" s="37" t="s">
        <v>3089</v>
      </c>
      <c r="J8" s="37" t="s">
        <v>1851</v>
      </c>
      <c r="K8" s="40" t="s">
        <v>5360</v>
      </c>
      <c r="L8" s="37" t="s">
        <v>64</v>
      </c>
      <c r="M8" s="37" t="s">
        <v>5361</v>
      </c>
      <c r="N8" s="37"/>
      <c r="O8" s="37" t="s">
        <v>4058</v>
      </c>
      <c r="P8" s="37" t="s">
        <v>134</v>
      </c>
      <c r="Q8" s="37" t="s">
        <v>98</v>
      </c>
      <c r="R8" s="37" t="s">
        <v>5362</v>
      </c>
      <c r="S8" s="37"/>
      <c r="T8" s="37"/>
      <c r="U8" s="37"/>
      <c r="V8" s="37" t="s">
        <v>72</v>
      </c>
      <c r="W8" s="37" t="s">
        <v>2140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8">
      <c r="A9" s="37"/>
      <c r="B9" s="37"/>
      <c r="C9" s="37"/>
      <c r="D9" s="37" t="s">
        <v>944</v>
      </c>
      <c r="E9" s="37" t="s">
        <v>945</v>
      </c>
      <c r="F9" s="37" t="s">
        <v>951</v>
      </c>
      <c r="G9" s="37" t="s">
        <v>946</v>
      </c>
      <c r="H9" s="37"/>
      <c r="I9" s="37" t="s">
        <v>947</v>
      </c>
      <c r="J9" s="37" t="s">
        <v>948</v>
      </c>
      <c r="K9" s="40" t="s">
        <v>949</v>
      </c>
      <c r="L9" s="37" t="s">
        <v>64</v>
      </c>
      <c r="M9" s="37" t="s">
        <v>950</v>
      </c>
      <c r="N9" s="37"/>
      <c r="O9" s="37" t="s">
        <v>4058</v>
      </c>
      <c r="P9" s="37" t="s">
        <v>898</v>
      </c>
      <c r="Q9" s="37" t="s">
        <v>10</v>
      </c>
      <c r="R9" s="37"/>
      <c r="S9" s="37"/>
      <c r="T9" s="37" t="s">
        <v>66</v>
      </c>
      <c r="U9" s="37" t="s">
        <v>116</v>
      </c>
      <c r="V9" s="37" t="s">
        <v>77</v>
      </c>
      <c r="W9" s="37" t="s">
        <v>99</v>
      </c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8">
      <c r="A10" s="37"/>
      <c r="B10" s="37"/>
      <c r="C10" s="37"/>
      <c r="D10" s="37" t="s">
        <v>3733</v>
      </c>
      <c r="E10" s="37" t="s">
        <v>3734</v>
      </c>
      <c r="F10" s="37" t="s">
        <v>3738</v>
      </c>
      <c r="G10" s="37" t="s">
        <v>3735</v>
      </c>
      <c r="H10" s="37"/>
      <c r="I10" s="37" t="s">
        <v>420</v>
      </c>
      <c r="J10" s="37" t="s">
        <v>75</v>
      </c>
      <c r="K10" s="40" t="s">
        <v>1648</v>
      </c>
      <c r="L10" s="37" t="s">
        <v>64</v>
      </c>
      <c r="M10" s="37" t="s">
        <v>3736</v>
      </c>
      <c r="N10" s="37"/>
      <c r="O10" s="37" t="s">
        <v>4058</v>
      </c>
      <c r="P10" s="37" t="s">
        <v>134</v>
      </c>
      <c r="Q10" s="37" t="s">
        <v>10</v>
      </c>
      <c r="R10" s="37" t="s">
        <v>3737</v>
      </c>
      <c r="S10" s="37"/>
      <c r="T10" s="37"/>
      <c r="U10" s="37"/>
      <c r="V10" s="37" t="s">
        <v>72</v>
      </c>
      <c r="W10" s="37" t="s">
        <v>2140</v>
      </c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8">
      <c r="A11" s="37"/>
      <c r="B11" s="37"/>
      <c r="C11" s="37"/>
      <c r="D11" s="37" t="s">
        <v>448</v>
      </c>
      <c r="E11" s="37" t="s">
        <v>1243</v>
      </c>
      <c r="F11" s="37" t="s">
        <v>1256</v>
      </c>
      <c r="G11" s="37" t="s">
        <v>1251</v>
      </c>
      <c r="H11" s="37"/>
      <c r="I11" s="37" t="s">
        <v>1252</v>
      </c>
      <c r="J11" s="37" t="s">
        <v>70</v>
      </c>
      <c r="K11" s="40" t="s">
        <v>1253</v>
      </c>
      <c r="L11" s="37" t="s">
        <v>64</v>
      </c>
      <c r="M11" s="37" t="s">
        <v>1254</v>
      </c>
      <c r="N11" s="37"/>
      <c r="O11" s="37" t="s">
        <v>4058</v>
      </c>
      <c r="P11" s="37" t="s">
        <v>1255</v>
      </c>
      <c r="Q11" s="37" t="s">
        <v>71</v>
      </c>
      <c r="R11" s="37"/>
      <c r="S11" s="37"/>
      <c r="T11" s="37" t="s">
        <v>66</v>
      </c>
      <c r="U11" s="37" t="s">
        <v>185</v>
      </c>
      <c r="V11" s="37" t="s">
        <v>88</v>
      </c>
      <c r="W11" s="37" t="s">
        <v>89</v>
      </c>
      <c r="X11" s="25"/>
      <c r="Y11" s="25"/>
      <c r="Z11" s="25"/>
      <c r="AA11" s="25"/>
      <c r="AB11" s="25"/>
      <c r="AC11" s="25"/>
      <c r="AD11" s="25"/>
      <c r="AE11" s="25"/>
      <c r="AF11" s="26"/>
      <c r="AG11" s="25"/>
      <c r="AH11" s="25"/>
      <c r="AI11" s="25"/>
      <c r="AJ11" s="25"/>
      <c r="AK11" s="25"/>
    </row>
    <row r="12" spans="1:38">
      <c r="A12" s="37"/>
      <c r="B12" s="37"/>
      <c r="C12" s="37"/>
      <c r="D12" s="37" t="s">
        <v>1291</v>
      </c>
      <c r="E12" s="37" t="s">
        <v>1292</v>
      </c>
      <c r="F12" s="37" t="s">
        <v>1298</v>
      </c>
      <c r="G12" s="37" t="s">
        <v>1293</v>
      </c>
      <c r="H12" s="37" t="s">
        <v>1294</v>
      </c>
      <c r="I12" s="37" t="s">
        <v>1252</v>
      </c>
      <c r="J12" s="37" t="s">
        <v>70</v>
      </c>
      <c r="K12" s="40" t="s">
        <v>1295</v>
      </c>
      <c r="L12" s="37" t="s">
        <v>64</v>
      </c>
      <c r="M12" s="37" t="s">
        <v>1296</v>
      </c>
      <c r="N12" s="37" t="s">
        <v>1297</v>
      </c>
      <c r="O12" s="37" t="s">
        <v>4058</v>
      </c>
      <c r="P12" s="37" t="s">
        <v>1255</v>
      </c>
      <c r="Q12" s="37" t="s">
        <v>71</v>
      </c>
      <c r="R12" s="37"/>
      <c r="S12" s="37"/>
      <c r="T12" s="37" t="s">
        <v>66</v>
      </c>
      <c r="U12" s="37" t="s">
        <v>145</v>
      </c>
      <c r="V12" s="37" t="s">
        <v>77</v>
      </c>
      <c r="W12" s="37" t="s">
        <v>73</v>
      </c>
      <c r="X12" s="25"/>
      <c r="Y12" s="25"/>
      <c r="Z12" s="25"/>
      <c r="AA12" s="25"/>
      <c r="AB12" s="25"/>
      <c r="AC12" s="25"/>
      <c r="AD12" s="25"/>
      <c r="AE12" s="25"/>
      <c r="AF12" s="26"/>
      <c r="AG12" s="25"/>
      <c r="AH12" s="25"/>
      <c r="AI12" s="25"/>
      <c r="AJ12" s="25"/>
      <c r="AK12" s="25"/>
    </row>
    <row r="13" spans="1:38">
      <c r="A13" s="37"/>
      <c r="B13" s="37"/>
      <c r="C13" s="37"/>
      <c r="D13" s="37" t="s">
        <v>197</v>
      </c>
      <c r="E13" s="37" t="s">
        <v>1400</v>
      </c>
      <c r="F13" s="37" t="s">
        <v>5736</v>
      </c>
      <c r="G13" s="37" t="s">
        <v>5737</v>
      </c>
      <c r="H13" s="37"/>
      <c r="I13" s="37" t="s">
        <v>1031</v>
      </c>
      <c r="J13" s="37" t="s">
        <v>475</v>
      </c>
      <c r="K13" s="40" t="s">
        <v>1032</v>
      </c>
      <c r="L13" s="37" t="s">
        <v>64</v>
      </c>
      <c r="M13" s="37" t="s">
        <v>5738</v>
      </c>
      <c r="N13" s="37"/>
      <c r="O13" s="37" t="s">
        <v>4058</v>
      </c>
      <c r="P13" s="37" t="s">
        <v>898</v>
      </c>
      <c r="Q13" s="37" t="s">
        <v>98</v>
      </c>
      <c r="R13" s="37"/>
      <c r="S13" s="37"/>
      <c r="T13" s="37" t="s">
        <v>115</v>
      </c>
      <c r="U13" s="37" t="s">
        <v>87</v>
      </c>
      <c r="V13" s="37" t="s">
        <v>72</v>
      </c>
      <c r="W13" s="37" t="s">
        <v>110</v>
      </c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8">
      <c r="A14" s="37"/>
      <c r="B14" s="37"/>
      <c r="C14" s="37"/>
      <c r="D14" s="37" t="s">
        <v>558</v>
      </c>
      <c r="E14" s="37" t="s">
        <v>1471</v>
      </c>
      <c r="F14" s="37" t="s">
        <v>4247</v>
      </c>
      <c r="G14" s="37" t="s">
        <v>3421</v>
      </c>
      <c r="H14" s="37"/>
      <c r="I14" s="37" t="s">
        <v>1617</v>
      </c>
      <c r="J14" s="37" t="s">
        <v>105</v>
      </c>
      <c r="K14" s="40" t="s">
        <v>1618</v>
      </c>
      <c r="L14" s="37" t="s">
        <v>64</v>
      </c>
      <c r="M14" s="37" t="s">
        <v>4245</v>
      </c>
      <c r="N14" s="37" t="s">
        <v>4246</v>
      </c>
      <c r="O14" s="37" t="s">
        <v>4058</v>
      </c>
      <c r="P14" s="37" t="s">
        <v>1255</v>
      </c>
      <c r="Q14" s="37" t="s">
        <v>14</v>
      </c>
      <c r="R14" s="37"/>
      <c r="S14" s="37"/>
      <c r="T14" s="37" t="s">
        <v>69</v>
      </c>
      <c r="U14" s="37" t="s">
        <v>145</v>
      </c>
      <c r="V14" s="37" t="s">
        <v>72</v>
      </c>
      <c r="W14" s="37" t="s">
        <v>110</v>
      </c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8">
      <c r="A15" s="37"/>
      <c r="B15" s="37"/>
      <c r="C15" s="37"/>
      <c r="D15" s="37" t="s">
        <v>483</v>
      </c>
      <c r="E15" s="37" t="s">
        <v>3420</v>
      </c>
      <c r="F15" s="37" t="s">
        <v>3423</v>
      </c>
      <c r="G15" s="37" t="s">
        <v>3421</v>
      </c>
      <c r="H15" s="37"/>
      <c r="I15" s="37" t="s">
        <v>1617</v>
      </c>
      <c r="J15" s="37" t="s">
        <v>105</v>
      </c>
      <c r="K15" s="40" t="s">
        <v>1618</v>
      </c>
      <c r="L15" s="37" t="s">
        <v>64</v>
      </c>
      <c r="M15" s="37" t="s">
        <v>3422</v>
      </c>
      <c r="N15" s="37"/>
      <c r="O15" s="37" t="s">
        <v>4058</v>
      </c>
      <c r="P15" s="37" t="s">
        <v>1255</v>
      </c>
      <c r="Q15" s="37" t="s">
        <v>14</v>
      </c>
      <c r="R15" s="37"/>
      <c r="S15" s="37"/>
      <c r="T15" s="37" t="s">
        <v>66</v>
      </c>
      <c r="U15" s="37" t="s">
        <v>87</v>
      </c>
      <c r="V15" s="37" t="s">
        <v>88</v>
      </c>
      <c r="W15" s="37" t="s">
        <v>110</v>
      </c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8">
      <c r="A16" s="37"/>
      <c r="B16" s="37"/>
      <c r="C16" s="37"/>
      <c r="D16" s="37" t="s">
        <v>2463</v>
      </c>
      <c r="E16" s="37" t="s">
        <v>1880</v>
      </c>
      <c r="F16" s="37" t="s">
        <v>5638</v>
      </c>
      <c r="G16" s="37" t="s">
        <v>5633</v>
      </c>
      <c r="H16" s="37"/>
      <c r="I16" s="37" t="s">
        <v>1605</v>
      </c>
      <c r="J16" s="37" t="s">
        <v>256</v>
      </c>
      <c r="K16" s="40" t="s">
        <v>5634</v>
      </c>
      <c r="L16" s="37" t="s">
        <v>64</v>
      </c>
      <c r="M16" s="37" t="s">
        <v>5635</v>
      </c>
      <c r="N16" s="37" t="s">
        <v>5636</v>
      </c>
      <c r="O16" s="37" t="s">
        <v>4058</v>
      </c>
      <c r="P16" s="37" t="s">
        <v>134</v>
      </c>
      <c r="Q16" s="37" t="s">
        <v>17</v>
      </c>
      <c r="R16" s="37" t="s">
        <v>5637</v>
      </c>
      <c r="S16" s="37"/>
      <c r="T16" s="37"/>
      <c r="U16" s="37"/>
      <c r="V16" s="37" t="s">
        <v>77</v>
      </c>
      <c r="W16" s="37" t="s">
        <v>2140</v>
      </c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>
      <c r="A17" s="37" t="s">
        <v>673</v>
      </c>
      <c r="B17" s="37"/>
      <c r="C17" s="37"/>
      <c r="D17" s="37" t="s">
        <v>524</v>
      </c>
      <c r="E17" s="37" t="s">
        <v>5213</v>
      </c>
      <c r="F17" s="38" t="s">
        <v>5739</v>
      </c>
      <c r="G17" s="37" t="s">
        <v>5473</v>
      </c>
      <c r="H17" s="37" t="s">
        <v>5214</v>
      </c>
      <c r="I17" s="37" t="s">
        <v>82</v>
      </c>
      <c r="J17" s="37" t="s">
        <v>83</v>
      </c>
      <c r="K17" s="40" t="s">
        <v>1245</v>
      </c>
      <c r="L17" s="37" t="s">
        <v>64</v>
      </c>
      <c r="M17" s="37" t="s">
        <v>5215</v>
      </c>
      <c r="N17" s="37"/>
      <c r="O17" s="37" t="s">
        <v>4058</v>
      </c>
      <c r="P17" s="37" t="s">
        <v>134</v>
      </c>
      <c r="Q17" s="37" t="s">
        <v>14</v>
      </c>
      <c r="R17" s="37" t="s">
        <v>5474</v>
      </c>
      <c r="S17" s="37"/>
      <c r="T17" s="37" t="s">
        <v>144</v>
      </c>
      <c r="U17" s="37" t="s">
        <v>254</v>
      </c>
      <c r="V17" s="37" t="s">
        <v>72</v>
      </c>
      <c r="W17" s="37" t="s">
        <v>2140</v>
      </c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>
      <c r="A18" s="37"/>
      <c r="B18" s="37"/>
      <c r="C18" s="37"/>
      <c r="D18" s="37" t="s">
        <v>211</v>
      </c>
      <c r="E18" s="37" t="s">
        <v>5608</v>
      </c>
      <c r="F18" s="37" t="s">
        <v>5609</v>
      </c>
      <c r="G18" s="37" t="s">
        <v>5633</v>
      </c>
      <c r="H18" s="37"/>
      <c r="I18" s="37" t="s">
        <v>1605</v>
      </c>
      <c r="J18" s="37" t="s">
        <v>256</v>
      </c>
      <c r="K18" s="40" t="s">
        <v>5634</v>
      </c>
      <c r="L18" s="37" t="s">
        <v>64</v>
      </c>
      <c r="M18" s="37" t="s">
        <v>5635</v>
      </c>
      <c r="N18" s="37"/>
      <c r="O18" s="37" t="s">
        <v>4058</v>
      </c>
      <c r="P18" s="37" t="s">
        <v>134</v>
      </c>
      <c r="Q18" s="37" t="s">
        <v>17</v>
      </c>
      <c r="R18" s="37" t="s">
        <v>5637</v>
      </c>
      <c r="S18" s="37"/>
      <c r="T18" s="37" t="s">
        <v>66</v>
      </c>
      <c r="U18" s="37"/>
      <c r="V18" s="37" t="s">
        <v>67</v>
      </c>
      <c r="W18" s="37" t="s">
        <v>2140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>
      <c r="A19" s="37"/>
      <c r="B19" s="37"/>
      <c r="C19" s="37"/>
      <c r="D19" s="37" t="s">
        <v>993</v>
      </c>
      <c r="E19" s="37" t="s">
        <v>2223</v>
      </c>
      <c r="F19" s="37" t="s">
        <v>4848</v>
      </c>
      <c r="G19" s="37" t="s">
        <v>4845</v>
      </c>
      <c r="H19" s="37"/>
      <c r="I19" s="37" t="s">
        <v>1031</v>
      </c>
      <c r="J19" s="37" t="s">
        <v>475</v>
      </c>
      <c r="K19" s="40" t="s">
        <v>4846</v>
      </c>
      <c r="L19" s="37" t="s">
        <v>64</v>
      </c>
      <c r="M19" s="37" t="s">
        <v>4847</v>
      </c>
      <c r="N19" s="37"/>
      <c r="O19" s="37" t="s">
        <v>4058</v>
      </c>
      <c r="P19" s="37" t="s">
        <v>134</v>
      </c>
      <c r="Q19" s="37" t="s">
        <v>98</v>
      </c>
      <c r="R19" s="37"/>
      <c r="S19" s="37"/>
      <c r="T19" s="37"/>
      <c r="U19" s="37"/>
      <c r="V19" s="37" t="s">
        <v>72</v>
      </c>
      <c r="W19" s="37" t="s">
        <v>73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>
      <c r="A20" s="37"/>
      <c r="B20" s="37"/>
      <c r="C20" s="37"/>
      <c r="D20" s="37" t="s">
        <v>2262</v>
      </c>
      <c r="E20" s="37" t="s">
        <v>2263</v>
      </c>
      <c r="F20" s="37" t="s">
        <v>2268</v>
      </c>
      <c r="G20" s="37" t="s">
        <v>2264</v>
      </c>
      <c r="H20" s="37"/>
      <c r="I20" s="37" t="s">
        <v>2265</v>
      </c>
      <c r="J20" s="37" t="s">
        <v>996</v>
      </c>
      <c r="K20" s="40" t="s">
        <v>2266</v>
      </c>
      <c r="L20" s="37" t="s">
        <v>64</v>
      </c>
      <c r="M20" s="37" t="s">
        <v>2267</v>
      </c>
      <c r="N20" s="37"/>
      <c r="O20" s="37" t="s">
        <v>4058</v>
      </c>
      <c r="P20" s="37" t="s">
        <v>1255</v>
      </c>
      <c r="Q20" s="37" t="s">
        <v>17</v>
      </c>
      <c r="R20" s="37"/>
      <c r="S20" s="37"/>
      <c r="T20" s="37" t="s">
        <v>69</v>
      </c>
      <c r="U20" s="37" t="s">
        <v>76</v>
      </c>
      <c r="V20" s="37" t="s">
        <v>77</v>
      </c>
      <c r="W20" s="37" t="s">
        <v>73</v>
      </c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>
      <c r="A21" s="37"/>
      <c r="B21" s="37"/>
      <c r="C21" s="37"/>
      <c r="D21" s="37" t="s">
        <v>1083</v>
      </c>
      <c r="E21" s="37" t="s">
        <v>2372</v>
      </c>
      <c r="F21" s="37" t="s">
        <v>5101</v>
      </c>
      <c r="G21" s="37" t="s">
        <v>5098</v>
      </c>
      <c r="H21" s="37"/>
      <c r="I21" s="37" t="s">
        <v>3089</v>
      </c>
      <c r="J21" s="37" t="s">
        <v>1851</v>
      </c>
      <c r="K21" s="40" t="s">
        <v>5360</v>
      </c>
      <c r="L21" s="37" t="s">
        <v>64</v>
      </c>
      <c r="M21" s="37" t="s">
        <v>5099</v>
      </c>
      <c r="N21" s="37" t="s">
        <v>5100</v>
      </c>
      <c r="O21" s="37" t="s">
        <v>4058</v>
      </c>
      <c r="P21" s="37" t="s">
        <v>134</v>
      </c>
      <c r="Q21" s="37" t="s">
        <v>98</v>
      </c>
      <c r="R21" s="37" t="s">
        <v>5362</v>
      </c>
      <c r="S21" s="37"/>
      <c r="T21" s="37"/>
      <c r="U21" s="37"/>
      <c r="V21" s="37" t="s">
        <v>67</v>
      </c>
      <c r="W21" s="37" t="s">
        <v>2140</v>
      </c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>
      <c r="A22" s="37"/>
      <c r="B22" s="37"/>
      <c r="C22" s="37"/>
      <c r="D22" s="37" t="s">
        <v>231</v>
      </c>
      <c r="E22" s="37" t="s">
        <v>3184</v>
      </c>
      <c r="F22" s="37" t="s">
        <v>4558</v>
      </c>
      <c r="G22" s="37" t="s">
        <v>4554</v>
      </c>
      <c r="H22" s="37"/>
      <c r="I22" s="37" t="s">
        <v>3089</v>
      </c>
      <c r="J22" s="37" t="s">
        <v>1851</v>
      </c>
      <c r="K22" s="40" t="s">
        <v>4555</v>
      </c>
      <c r="L22" s="37" t="s">
        <v>64</v>
      </c>
      <c r="M22" s="37" t="s">
        <v>4556</v>
      </c>
      <c r="N22" s="37"/>
      <c r="O22" s="37" t="s">
        <v>4058</v>
      </c>
      <c r="P22" s="37" t="s">
        <v>134</v>
      </c>
      <c r="Q22" s="37" t="s">
        <v>98</v>
      </c>
      <c r="R22" s="37" t="s">
        <v>4557</v>
      </c>
      <c r="S22" s="37"/>
      <c r="T22" s="37" t="s">
        <v>66</v>
      </c>
      <c r="U22" s="37"/>
      <c r="V22" s="37" t="s">
        <v>77</v>
      </c>
      <c r="W22" s="37" t="s">
        <v>110</v>
      </c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>
      <c r="A23" s="37"/>
      <c r="B23" s="37"/>
      <c r="C23" s="37"/>
      <c r="D23" s="37" t="s">
        <v>4722</v>
      </c>
      <c r="E23" s="37" t="s">
        <v>4723</v>
      </c>
      <c r="F23" s="37" t="s">
        <v>4726</v>
      </c>
      <c r="G23" s="37" t="s">
        <v>2531</v>
      </c>
      <c r="H23" s="37" t="s">
        <v>2573</v>
      </c>
      <c r="I23" s="37" t="s">
        <v>420</v>
      </c>
      <c r="J23" s="37" t="s">
        <v>75</v>
      </c>
      <c r="K23" s="40" t="s">
        <v>4724</v>
      </c>
      <c r="L23" s="37" t="s">
        <v>64</v>
      </c>
      <c r="M23" s="37" t="s">
        <v>4725</v>
      </c>
      <c r="N23" s="37"/>
      <c r="O23" s="37" t="s">
        <v>4058</v>
      </c>
      <c r="P23" s="37" t="s">
        <v>898</v>
      </c>
      <c r="Q23" s="37" t="s">
        <v>10</v>
      </c>
      <c r="R23" s="37"/>
      <c r="S23" s="37"/>
      <c r="T23" s="37"/>
      <c r="U23" s="37"/>
      <c r="V23" s="37" t="s">
        <v>77</v>
      </c>
      <c r="W23" s="37" t="s">
        <v>110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>
      <c r="A24" s="37"/>
      <c r="B24" s="37"/>
      <c r="C24" s="37"/>
      <c r="D24" s="37" t="s">
        <v>4289</v>
      </c>
      <c r="E24" s="37" t="s">
        <v>4727</v>
      </c>
      <c r="F24" s="37" t="s">
        <v>4733</v>
      </c>
      <c r="G24" s="37" t="s">
        <v>4728</v>
      </c>
      <c r="H24" s="37"/>
      <c r="I24" s="37" t="s">
        <v>4729</v>
      </c>
      <c r="J24" s="37" t="s">
        <v>334</v>
      </c>
      <c r="K24" s="40" t="s">
        <v>4730</v>
      </c>
      <c r="L24" s="37" t="s">
        <v>64</v>
      </c>
      <c r="M24" s="37" t="s">
        <v>4731</v>
      </c>
      <c r="N24" s="37" t="s">
        <v>4732</v>
      </c>
      <c r="O24" s="37" t="s">
        <v>4058</v>
      </c>
      <c r="P24" s="37" t="s">
        <v>228</v>
      </c>
      <c r="Q24" s="37" t="s">
        <v>16</v>
      </c>
      <c r="R24" s="37"/>
      <c r="S24" s="37"/>
      <c r="T24" s="37" t="s">
        <v>66</v>
      </c>
      <c r="U24" s="37" t="s">
        <v>189</v>
      </c>
      <c r="V24" s="37" t="s">
        <v>77</v>
      </c>
      <c r="W24" s="37" t="s">
        <v>2140</v>
      </c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>
      <c r="A25" s="37"/>
      <c r="B25" s="37"/>
      <c r="C25" s="37"/>
      <c r="D25" s="37" t="s">
        <v>358</v>
      </c>
      <c r="E25" s="37" t="s">
        <v>5740</v>
      </c>
      <c r="F25" s="37" t="s">
        <v>5741</v>
      </c>
      <c r="G25" s="37" t="s">
        <v>5742</v>
      </c>
      <c r="H25" s="37"/>
      <c r="I25" s="37" t="s">
        <v>5743</v>
      </c>
      <c r="J25" s="37" t="s">
        <v>334</v>
      </c>
      <c r="K25" s="40" t="s">
        <v>5744</v>
      </c>
      <c r="L25" s="37" t="s">
        <v>64</v>
      </c>
      <c r="M25" s="37" t="s">
        <v>5745</v>
      </c>
      <c r="N25" s="37"/>
      <c r="O25" s="37" t="s">
        <v>4058</v>
      </c>
      <c r="P25" s="37" t="s">
        <v>134</v>
      </c>
      <c r="Q25" s="37" t="s">
        <v>16</v>
      </c>
      <c r="R25" s="37"/>
      <c r="S25" s="37"/>
      <c r="T25" s="37"/>
      <c r="U25" s="37"/>
      <c r="V25" s="37" t="s">
        <v>72</v>
      </c>
      <c r="W25" s="37" t="s">
        <v>99</v>
      </c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>
      <c r="A26" s="37"/>
      <c r="B26" s="37"/>
      <c r="C26" s="37"/>
      <c r="D26" s="37" t="s">
        <v>1561</v>
      </c>
      <c r="E26" s="37" t="s">
        <v>4034</v>
      </c>
      <c r="F26" s="37" t="s">
        <v>4039</v>
      </c>
      <c r="G26" s="37" t="s">
        <v>4035</v>
      </c>
      <c r="H26" s="37" t="s">
        <v>4036</v>
      </c>
      <c r="I26" s="37" t="s">
        <v>82</v>
      </c>
      <c r="J26" s="37" t="s">
        <v>83</v>
      </c>
      <c r="K26" s="40" t="s">
        <v>1245</v>
      </c>
      <c r="L26" s="37" t="s">
        <v>64</v>
      </c>
      <c r="M26" s="37" t="s">
        <v>4037</v>
      </c>
      <c r="N26" s="37"/>
      <c r="O26" s="37" t="s">
        <v>4058</v>
      </c>
      <c r="P26" s="37" t="s">
        <v>134</v>
      </c>
      <c r="Q26" s="37" t="s">
        <v>14</v>
      </c>
      <c r="R26" s="37" t="s">
        <v>4038</v>
      </c>
      <c r="S26" s="37"/>
      <c r="T26" s="37" t="s">
        <v>69</v>
      </c>
      <c r="U26" s="37" t="s">
        <v>109</v>
      </c>
      <c r="V26" s="37" t="s">
        <v>77</v>
      </c>
      <c r="W26" s="37" t="s">
        <v>69</v>
      </c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</row>
    <row r="27" spans="1:37">
      <c r="A27" s="37"/>
      <c r="B27" s="37"/>
      <c r="C27" s="37"/>
      <c r="D27" s="37" t="s">
        <v>1709</v>
      </c>
      <c r="E27" s="37" t="s">
        <v>5746</v>
      </c>
      <c r="F27" s="37" t="s">
        <v>5747</v>
      </c>
      <c r="G27" s="37" t="s">
        <v>5748</v>
      </c>
      <c r="H27" s="37" t="s">
        <v>5749</v>
      </c>
      <c r="I27" s="37" t="s">
        <v>420</v>
      </c>
      <c r="J27" s="37" t="s">
        <v>75</v>
      </c>
      <c r="K27" s="40" t="s">
        <v>5750</v>
      </c>
      <c r="L27" s="37" t="s">
        <v>64</v>
      </c>
      <c r="M27" s="37" t="s">
        <v>5751</v>
      </c>
      <c r="N27" s="37" t="s">
        <v>5751</v>
      </c>
      <c r="O27" s="37" t="s">
        <v>4058</v>
      </c>
      <c r="P27" s="37" t="s">
        <v>134</v>
      </c>
      <c r="Q27" s="37" t="s">
        <v>10</v>
      </c>
      <c r="R27" s="37" t="s">
        <v>5752</v>
      </c>
      <c r="S27" s="37"/>
      <c r="T27" s="37" t="s">
        <v>69</v>
      </c>
      <c r="U27" s="37" t="s">
        <v>87</v>
      </c>
      <c r="V27" s="37" t="s">
        <v>72</v>
      </c>
      <c r="W27" s="37" t="s">
        <v>2140</v>
      </c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</row>
    <row r="28" spans="1:37">
      <c r="A28" s="37" t="s">
        <v>5657</v>
      </c>
      <c r="B28" s="37"/>
      <c r="C28" s="37"/>
      <c r="D28" s="37" t="s">
        <v>428</v>
      </c>
      <c r="E28" s="37" t="s">
        <v>897</v>
      </c>
      <c r="F28" s="37" t="s">
        <v>5658</v>
      </c>
      <c r="G28" s="37" t="s">
        <v>900</v>
      </c>
      <c r="H28" s="37"/>
      <c r="I28" s="37" t="s">
        <v>420</v>
      </c>
      <c r="J28" s="37" t="s">
        <v>75</v>
      </c>
      <c r="K28" s="40" t="s">
        <v>901</v>
      </c>
      <c r="L28" s="37" t="s">
        <v>64</v>
      </c>
      <c r="M28" s="37" t="s">
        <v>953</v>
      </c>
      <c r="N28" s="37" t="s">
        <v>903</v>
      </c>
      <c r="O28" s="37" t="s">
        <v>4058</v>
      </c>
      <c r="P28" s="37" t="s">
        <v>898</v>
      </c>
      <c r="Q28" s="37" t="s">
        <v>10</v>
      </c>
      <c r="R28" s="37"/>
      <c r="S28" s="37"/>
      <c r="T28" s="37" t="s">
        <v>69</v>
      </c>
      <c r="U28" s="37" t="s">
        <v>69</v>
      </c>
      <c r="V28" s="37" t="s">
        <v>77</v>
      </c>
      <c r="W28" s="37" t="s">
        <v>131</v>
      </c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</row>
    <row r="29" spans="1:37">
      <c r="A29" s="37"/>
      <c r="B29" s="37"/>
      <c r="C29" s="37"/>
      <c r="D29" s="37" t="s">
        <v>899</v>
      </c>
      <c r="E29" s="37" t="s">
        <v>897</v>
      </c>
      <c r="F29" s="37" t="s">
        <v>904</v>
      </c>
      <c r="G29" s="37" t="s">
        <v>900</v>
      </c>
      <c r="H29" s="37"/>
      <c r="I29" s="37" t="s">
        <v>420</v>
      </c>
      <c r="J29" s="37" t="s">
        <v>75</v>
      </c>
      <c r="K29" s="40" t="s">
        <v>901</v>
      </c>
      <c r="L29" s="37" t="s">
        <v>64</v>
      </c>
      <c r="M29" s="37" t="s">
        <v>902</v>
      </c>
      <c r="N29" s="37" t="s">
        <v>903</v>
      </c>
      <c r="O29" s="37" t="s">
        <v>4058</v>
      </c>
      <c r="P29" s="37" t="s">
        <v>898</v>
      </c>
      <c r="Q29" s="37" t="s">
        <v>10</v>
      </c>
      <c r="R29" s="37"/>
      <c r="S29" s="37"/>
      <c r="T29" s="37" t="s">
        <v>66</v>
      </c>
      <c r="U29" s="37"/>
      <c r="V29" s="37" t="s">
        <v>67</v>
      </c>
      <c r="W29" s="37" t="s">
        <v>89</v>
      </c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</row>
    <row r="30" spans="1:37">
      <c r="A30" s="37"/>
      <c r="B30" s="37"/>
      <c r="C30" s="37"/>
      <c r="D30" s="37" t="s">
        <v>183</v>
      </c>
      <c r="E30" s="37" t="s">
        <v>2726</v>
      </c>
      <c r="F30" s="37" t="s">
        <v>954</v>
      </c>
      <c r="G30" s="37" t="s">
        <v>952</v>
      </c>
      <c r="H30" s="37"/>
      <c r="I30" s="37" t="s">
        <v>420</v>
      </c>
      <c r="J30" s="37" t="s">
        <v>75</v>
      </c>
      <c r="K30" s="40" t="s">
        <v>901</v>
      </c>
      <c r="L30" s="37" t="s">
        <v>64</v>
      </c>
      <c r="M30" s="37" t="s">
        <v>953</v>
      </c>
      <c r="N30" s="37" t="s">
        <v>903</v>
      </c>
      <c r="O30" s="37" t="s">
        <v>4058</v>
      </c>
      <c r="P30" s="37" t="s">
        <v>898</v>
      </c>
      <c r="Q30" s="37" t="s">
        <v>10</v>
      </c>
      <c r="R30" s="37"/>
      <c r="S30" s="37"/>
      <c r="T30" s="37" t="s">
        <v>69</v>
      </c>
      <c r="U30" s="37" t="s">
        <v>185</v>
      </c>
      <c r="V30" s="37" t="s">
        <v>67</v>
      </c>
      <c r="W30" s="37" t="s">
        <v>89</v>
      </c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</row>
    <row r="31" spans="1:37">
      <c r="A31" s="37"/>
      <c r="B31" s="37"/>
      <c r="C31" s="37"/>
      <c r="D31" s="37" t="s">
        <v>448</v>
      </c>
      <c r="E31" s="37" t="s">
        <v>5753</v>
      </c>
      <c r="F31" s="37" t="s">
        <v>5754</v>
      </c>
      <c r="G31" s="37" t="s">
        <v>5755</v>
      </c>
      <c r="H31" s="37"/>
      <c r="I31" s="37" t="s">
        <v>5743</v>
      </c>
      <c r="J31" s="37" t="s">
        <v>334</v>
      </c>
      <c r="K31" s="40" t="s">
        <v>5744</v>
      </c>
      <c r="L31" s="37" t="s">
        <v>64</v>
      </c>
      <c r="M31" s="37" t="s">
        <v>5745</v>
      </c>
      <c r="N31" s="37" t="s">
        <v>5756</v>
      </c>
      <c r="O31" s="37" t="s">
        <v>4058</v>
      </c>
      <c r="P31" s="37" t="s">
        <v>134</v>
      </c>
      <c r="Q31" s="37" t="s">
        <v>16</v>
      </c>
      <c r="R31" s="37" t="s">
        <v>5757</v>
      </c>
      <c r="S31" s="37"/>
      <c r="T31" s="37"/>
      <c r="U31" s="37"/>
      <c r="V31" s="37" t="s">
        <v>72</v>
      </c>
      <c r="W31" s="37" t="s">
        <v>99</v>
      </c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</row>
    <row r="32" spans="1:37">
      <c r="A32" s="37"/>
      <c r="B32" s="37"/>
      <c r="C32" s="37"/>
      <c r="D32" s="37" t="s">
        <v>286</v>
      </c>
      <c r="E32" s="37" t="s">
        <v>5758</v>
      </c>
      <c r="F32" s="37" t="s">
        <v>5759</v>
      </c>
      <c r="G32" s="37" t="s">
        <v>5760</v>
      </c>
      <c r="H32" s="37" t="s">
        <v>5761</v>
      </c>
      <c r="I32" s="37" t="s">
        <v>5762</v>
      </c>
      <c r="J32" s="37" t="s">
        <v>70</v>
      </c>
      <c r="K32" s="40" t="s">
        <v>5763</v>
      </c>
      <c r="L32" s="37" t="s">
        <v>64</v>
      </c>
      <c r="M32" s="37" t="s">
        <v>5764</v>
      </c>
      <c r="N32" s="37" t="s">
        <v>5765</v>
      </c>
      <c r="O32" s="37" t="s">
        <v>4058</v>
      </c>
      <c r="P32" s="37" t="s">
        <v>228</v>
      </c>
      <c r="Q32" s="37" t="s">
        <v>71</v>
      </c>
      <c r="R32" s="37"/>
      <c r="S32" s="37"/>
      <c r="T32" s="37" t="s">
        <v>69</v>
      </c>
      <c r="U32" s="37"/>
      <c r="V32" s="37" t="s">
        <v>77</v>
      </c>
      <c r="W32" s="37" t="s">
        <v>69</v>
      </c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</row>
    <row r="33" spans="1:37">
      <c r="A33" s="37"/>
      <c r="B33" s="37"/>
      <c r="C33" s="37"/>
      <c r="D33" s="37" t="s">
        <v>4470</v>
      </c>
      <c r="E33" s="37" t="s">
        <v>4471</v>
      </c>
      <c r="F33" s="37" t="s">
        <v>4475</v>
      </c>
      <c r="G33" s="37" t="s">
        <v>4472</v>
      </c>
      <c r="H33" s="37" t="s">
        <v>1074</v>
      </c>
      <c r="I33" s="37" t="s">
        <v>1031</v>
      </c>
      <c r="J33" s="37" t="s">
        <v>475</v>
      </c>
      <c r="K33" s="40" t="s">
        <v>1032</v>
      </c>
      <c r="L33" s="37" t="s">
        <v>64</v>
      </c>
      <c r="M33" s="37" t="s">
        <v>4473</v>
      </c>
      <c r="N33" s="37" t="s">
        <v>4474</v>
      </c>
      <c r="O33" s="37" t="s">
        <v>4058</v>
      </c>
      <c r="P33" s="37" t="s">
        <v>898</v>
      </c>
      <c r="Q33" s="37" t="s">
        <v>98</v>
      </c>
      <c r="R33" s="37"/>
      <c r="S33" s="37"/>
      <c r="T33" s="37"/>
      <c r="U33" s="37" t="s">
        <v>182</v>
      </c>
      <c r="V33" s="37" t="s">
        <v>77</v>
      </c>
      <c r="W33" s="37" t="s">
        <v>89</v>
      </c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</row>
    <row r="34" spans="1:37">
      <c r="A34" s="37" t="s">
        <v>1317</v>
      </c>
      <c r="B34" s="37"/>
      <c r="C34" s="37"/>
      <c r="D34" s="37" t="s">
        <v>5766</v>
      </c>
      <c r="E34" s="37" t="s">
        <v>1372</v>
      </c>
      <c r="F34" s="37" t="s">
        <v>5767</v>
      </c>
      <c r="G34" s="37" t="s">
        <v>5768</v>
      </c>
      <c r="H34" s="37" t="s">
        <v>1030</v>
      </c>
      <c r="I34" s="37" t="s">
        <v>5769</v>
      </c>
      <c r="J34" s="37" t="s">
        <v>70</v>
      </c>
      <c r="K34" s="40" t="s">
        <v>5763</v>
      </c>
      <c r="L34" s="37" t="s">
        <v>64</v>
      </c>
      <c r="M34" s="37" t="s">
        <v>5770</v>
      </c>
      <c r="N34" s="37" t="s">
        <v>5771</v>
      </c>
      <c r="O34" s="37" t="s">
        <v>4058</v>
      </c>
      <c r="P34" s="37" t="s">
        <v>228</v>
      </c>
      <c r="Q34" s="37" t="s">
        <v>71</v>
      </c>
      <c r="R34" s="37"/>
      <c r="S34" s="37"/>
      <c r="T34" s="37" t="s">
        <v>66</v>
      </c>
      <c r="U34" s="37" t="s">
        <v>185</v>
      </c>
      <c r="V34" s="37" t="s">
        <v>72</v>
      </c>
      <c r="W34" s="37" t="s">
        <v>78</v>
      </c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</row>
    <row r="35" spans="1:37">
      <c r="A35" s="37"/>
      <c r="B35" s="37"/>
      <c r="C35" s="37"/>
      <c r="D35" s="37" t="s">
        <v>1441</v>
      </c>
      <c r="E35" s="37" t="s">
        <v>1442</v>
      </c>
      <c r="F35" s="37" t="s">
        <v>1447</v>
      </c>
      <c r="G35" s="37" t="s">
        <v>1443</v>
      </c>
      <c r="H35" s="37"/>
      <c r="I35" s="37" t="s">
        <v>82</v>
      </c>
      <c r="J35" s="37" t="s">
        <v>83</v>
      </c>
      <c r="K35" s="40" t="s">
        <v>133</v>
      </c>
      <c r="L35" s="37" t="s">
        <v>64</v>
      </c>
      <c r="M35" s="37" t="s">
        <v>1444</v>
      </c>
      <c r="N35" s="37" t="s">
        <v>1445</v>
      </c>
      <c r="O35" s="37" t="s">
        <v>4058</v>
      </c>
      <c r="P35" s="37" t="s">
        <v>134</v>
      </c>
      <c r="Q35" s="37" t="s">
        <v>14</v>
      </c>
      <c r="R35" s="37" t="s">
        <v>1446</v>
      </c>
      <c r="S35" s="37"/>
      <c r="T35" s="37" t="s">
        <v>144</v>
      </c>
      <c r="U35" s="37" t="s">
        <v>109</v>
      </c>
      <c r="V35" s="37" t="s">
        <v>72</v>
      </c>
      <c r="W35" s="37" t="s">
        <v>89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</row>
    <row r="36" spans="1:37">
      <c r="A36" s="37"/>
      <c r="B36" s="37"/>
      <c r="C36" s="37"/>
      <c r="D36" s="37" t="s">
        <v>717</v>
      </c>
      <c r="E36" s="37" t="s">
        <v>1531</v>
      </c>
      <c r="F36" s="37" t="s">
        <v>4658</v>
      </c>
      <c r="G36" s="37" t="s">
        <v>4728</v>
      </c>
      <c r="H36" s="37"/>
      <c r="I36" s="37" t="s">
        <v>4729</v>
      </c>
      <c r="J36" s="37" t="s">
        <v>334</v>
      </c>
      <c r="K36" s="40" t="s">
        <v>4730</v>
      </c>
      <c r="L36" s="37" t="s">
        <v>64</v>
      </c>
      <c r="M36" s="37" t="s">
        <v>4657</v>
      </c>
      <c r="N36" s="37" t="s">
        <v>4732</v>
      </c>
      <c r="O36" s="37" t="s">
        <v>4058</v>
      </c>
      <c r="P36" s="37" t="s">
        <v>228</v>
      </c>
      <c r="Q36" s="37" t="s">
        <v>16</v>
      </c>
      <c r="R36" s="37"/>
      <c r="S36" s="37"/>
      <c r="T36" s="37" t="s">
        <v>66</v>
      </c>
      <c r="U36" s="37" t="s">
        <v>182</v>
      </c>
      <c r="V36" s="37" t="s">
        <v>77</v>
      </c>
      <c r="W36" s="37" t="s">
        <v>204</v>
      </c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</row>
    <row r="37" spans="1:37">
      <c r="A37" s="37"/>
      <c r="B37" s="37"/>
      <c r="C37" s="37"/>
      <c r="D37" s="37" t="s">
        <v>955</v>
      </c>
      <c r="E37" s="37" t="s">
        <v>1539</v>
      </c>
      <c r="F37" s="37" t="s">
        <v>5653</v>
      </c>
      <c r="G37" s="37" t="s">
        <v>5650</v>
      </c>
      <c r="H37" s="37"/>
      <c r="I37" s="37" t="s">
        <v>2773</v>
      </c>
      <c r="J37" s="37" t="s">
        <v>75</v>
      </c>
      <c r="K37" s="40" t="s">
        <v>5651</v>
      </c>
      <c r="L37" s="37" t="s">
        <v>64</v>
      </c>
      <c r="M37" s="37" t="s">
        <v>5652</v>
      </c>
      <c r="N37" s="37"/>
      <c r="O37" s="37" t="s">
        <v>4058</v>
      </c>
      <c r="P37" s="37" t="s">
        <v>5356</v>
      </c>
      <c r="Q37" s="37" t="s">
        <v>10</v>
      </c>
      <c r="R37" s="37"/>
      <c r="S37" s="37"/>
      <c r="T37" s="37"/>
      <c r="U37" s="37" t="s">
        <v>185</v>
      </c>
      <c r="V37" s="37" t="s">
        <v>88</v>
      </c>
      <c r="W37" s="37" t="s">
        <v>89</v>
      </c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</row>
    <row r="38" spans="1:37">
      <c r="A38" s="37"/>
      <c r="B38" s="37"/>
      <c r="C38" s="37"/>
      <c r="D38" s="37" t="s">
        <v>286</v>
      </c>
      <c r="E38" s="37" t="s">
        <v>3885</v>
      </c>
      <c r="F38" s="37" t="s">
        <v>3890</v>
      </c>
      <c r="G38" s="37" t="s">
        <v>3886</v>
      </c>
      <c r="H38" s="37"/>
      <c r="I38" s="37" t="s">
        <v>3887</v>
      </c>
      <c r="J38" s="37" t="s">
        <v>75</v>
      </c>
      <c r="K38" s="40" t="s">
        <v>3888</v>
      </c>
      <c r="L38" s="37" t="s">
        <v>64</v>
      </c>
      <c r="M38" s="37" t="s">
        <v>3889</v>
      </c>
      <c r="N38" s="37"/>
      <c r="O38" s="37" t="s">
        <v>4058</v>
      </c>
      <c r="P38" s="37" t="s">
        <v>1255</v>
      </c>
      <c r="Q38" s="37" t="s">
        <v>10</v>
      </c>
      <c r="R38" s="37"/>
      <c r="S38" s="37"/>
      <c r="T38" s="37" t="s">
        <v>69</v>
      </c>
      <c r="U38" s="37" t="s">
        <v>182</v>
      </c>
      <c r="V38" s="37" t="s">
        <v>77</v>
      </c>
      <c r="W38" s="37" t="s">
        <v>756</v>
      </c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</row>
    <row r="39" spans="1:37">
      <c r="A39" s="37" t="s">
        <v>112</v>
      </c>
      <c r="B39" s="37"/>
      <c r="C39" s="37"/>
      <c r="D39" s="37" t="s">
        <v>525</v>
      </c>
      <c r="E39" s="37" t="s">
        <v>5772</v>
      </c>
      <c r="F39" s="37" t="s">
        <v>5773</v>
      </c>
      <c r="G39" s="37" t="s">
        <v>5774</v>
      </c>
      <c r="H39" s="37" t="s">
        <v>5775</v>
      </c>
      <c r="I39" s="37" t="s">
        <v>5776</v>
      </c>
      <c r="J39" s="37" t="s">
        <v>5777</v>
      </c>
      <c r="K39" s="40" t="s">
        <v>5778</v>
      </c>
      <c r="L39" s="37" t="s">
        <v>64</v>
      </c>
      <c r="M39" s="37" t="s">
        <v>5779</v>
      </c>
      <c r="N39" s="37" t="s">
        <v>5780</v>
      </c>
      <c r="O39" s="37" t="s">
        <v>4058</v>
      </c>
      <c r="P39" s="37" t="s">
        <v>134</v>
      </c>
      <c r="Q39" s="37" t="s">
        <v>316</v>
      </c>
      <c r="R39" s="37" t="s">
        <v>5781</v>
      </c>
      <c r="S39" s="37"/>
      <c r="T39" s="37"/>
      <c r="U39" s="37" t="s">
        <v>69</v>
      </c>
      <c r="V39" s="37" t="s">
        <v>72</v>
      </c>
      <c r="W39" s="37" t="s">
        <v>2140</v>
      </c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</row>
    <row r="40" spans="1:37">
      <c r="A40" s="37"/>
      <c r="B40" s="37"/>
      <c r="C40" s="37"/>
      <c r="D40" s="37" t="s">
        <v>2156</v>
      </c>
      <c r="E40" s="37" t="s">
        <v>4607</v>
      </c>
      <c r="F40" s="37" t="s">
        <v>4392</v>
      </c>
      <c r="G40" s="37" t="s">
        <v>4387</v>
      </c>
      <c r="H40" s="37" t="s">
        <v>4388</v>
      </c>
      <c r="I40" s="37" t="s">
        <v>4389</v>
      </c>
      <c r="J40" s="37" t="s">
        <v>105</v>
      </c>
      <c r="K40" s="40" t="s">
        <v>1618</v>
      </c>
      <c r="L40" s="37" t="s">
        <v>64</v>
      </c>
      <c r="M40" s="37" t="s">
        <v>4390</v>
      </c>
      <c r="N40" s="37" t="s">
        <v>4391</v>
      </c>
      <c r="O40" s="37" t="s">
        <v>4058</v>
      </c>
      <c r="P40" s="37" t="s">
        <v>1255</v>
      </c>
      <c r="Q40" s="37" t="s">
        <v>14</v>
      </c>
      <c r="R40" s="37"/>
      <c r="S40" s="37"/>
      <c r="T40" s="37" t="s">
        <v>66</v>
      </c>
      <c r="U40" s="37" t="s">
        <v>145</v>
      </c>
      <c r="V40" s="37" t="s">
        <v>72</v>
      </c>
      <c r="W40" s="37" t="s">
        <v>69</v>
      </c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</row>
    <row r="41" spans="1:37">
      <c r="A41" s="37"/>
      <c r="B41" s="37"/>
      <c r="C41" s="37"/>
      <c r="D41" s="37" t="s">
        <v>2582</v>
      </c>
      <c r="E41" s="37" t="s">
        <v>3869</v>
      </c>
      <c r="F41" s="37" t="s">
        <v>3874</v>
      </c>
      <c r="G41" s="37" t="s">
        <v>3870</v>
      </c>
      <c r="H41" s="37"/>
      <c r="I41" s="37" t="s">
        <v>3871</v>
      </c>
      <c r="J41" s="37" t="s">
        <v>983</v>
      </c>
      <c r="K41" s="40" t="s">
        <v>3872</v>
      </c>
      <c r="L41" s="37" t="s">
        <v>64</v>
      </c>
      <c r="M41" s="37" t="s">
        <v>3873</v>
      </c>
      <c r="N41" s="37"/>
      <c r="O41" s="37" t="s">
        <v>4058</v>
      </c>
      <c r="P41" s="37" t="s">
        <v>228</v>
      </c>
      <c r="Q41" s="37" t="s">
        <v>98</v>
      </c>
      <c r="R41" s="37"/>
      <c r="S41" s="37"/>
      <c r="T41" s="37" t="s">
        <v>115</v>
      </c>
      <c r="U41" s="37" t="s">
        <v>189</v>
      </c>
      <c r="V41" s="37" t="s">
        <v>67</v>
      </c>
      <c r="W41" s="37" t="s">
        <v>89</v>
      </c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</row>
    <row r="42" spans="1:37">
      <c r="A42" s="37" t="s">
        <v>112</v>
      </c>
      <c r="B42" s="37"/>
      <c r="C42" s="37"/>
      <c r="D42" s="37" t="s">
        <v>482</v>
      </c>
      <c r="E42" s="37" t="s">
        <v>5585</v>
      </c>
      <c r="F42" s="37" t="s">
        <v>5591</v>
      </c>
      <c r="G42" s="37" t="s">
        <v>5586</v>
      </c>
      <c r="H42" s="37" t="s">
        <v>5587</v>
      </c>
      <c r="I42" s="37" t="s">
        <v>463</v>
      </c>
      <c r="J42" s="37" t="s">
        <v>230</v>
      </c>
      <c r="K42" s="40" t="s">
        <v>5588</v>
      </c>
      <c r="L42" s="37" t="s">
        <v>64</v>
      </c>
      <c r="M42" s="37" t="s">
        <v>5589</v>
      </c>
      <c r="N42" s="37" t="s">
        <v>5590</v>
      </c>
      <c r="O42" s="37" t="s">
        <v>4058</v>
      </c>
      <c r="P42" s="37" t="s">
        <v>1255</v>
      </c>
      <c r="Q42" s="37" t="s">
        <v>10</v>
      </c>
      <c r="R42" s="37"/>
      <c r="S42" s="37"/>
      <c r="T42" s="37" t="s">
        <v>69</v>
      </c>
      <c r="U42" s="37" t="s">
        <v>69</v>
      </c>
      <c r="V42" s="37" t="s">
        <v>72</v>
      </c>
      <c r="W42" s="37" t="s">
        <v>2140</v>
      </c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</row>
    <row r="43" spans="1:37">
      <c r="A43" s="37"/>
      <c r="B43" s="37"/>
      <c r="C43" s="37"/>
      <c r="D43" s="37" t="s">
        <v>3775</v>
      </c>
      <c r="E43" s="37" t="s">
        <v>2394</v>
      </c>
      <c r="F43" s="37" t="s">
        <v>5559</v>
      </c>
      <c r="G43" s="37" t="s">
        <v>5554</v>
      </c>
      <c r="H43" s="37" t="s">
        <v>5555</v>
      </c>
      <c r="I43" s="37" t="s">
        <v>5556</v>
      </c>
      <c r="J43" s="37" t="s">
        <v>75</v>
      </c>
      <c r="K43" s="40" t="s">
        <v>5557</v>
      </c>
      <c r="L43" s="37" t="s">
        <v>64</v>
      </c>
      <c r="M43" s="37" t="s">
        <v>5558</v>
      </c>
      <c r="N43" s="37"/>
      <c r="O43" s="37" t="s">
        <v>4058</v>
      </c>
      <c r="P43" s="37" t="s">
        <v>1255</v>
      </c>
      <c r="Q43" s="37" t="s">
        <v>10</v>
      </c>
      <c r="R43" s="37"/>
      <c r="S43" s="37"/>
      <c r="T43" s="37"/>
      <c r="U43" s="37"/>
      <c r="V43" s="37" t="s">
        <v>67</v>
      </c>
      <c r="W43" s="37" t="s">
        <v>89</v>
      </c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</row>
    <row r="44" spans="1:37">
      <c r="A44" s="37"/>
      <c r="B44" s="37"/>
      <c r="C44" s="37"/>
      <c r="D44" s="37" t="s">
        <v>702</v>
      </c>
      <c r="E44" s="37" t="s">
        <v>2443</v>
      </c>
      <c r="F44" s="37" t="s">
        <v>4571</v>
      </c>
      <c r="G44" s="37" t="s">
        <v>4728</v>
      </c>
      <c r="H44" s="37"/>
      <c r="I44" s="37" t="s">
        <v>4729</v>
      </c>
      <c r="J44" s="37" t="s">
        <v>334</v>
      </c>
      <c r="K44" s="40" t="s">
        <v>4730</v>
      </c>
      <c r="L44" s="37" t="s">
        <v>64</v>
      </c>
      <c r="M44" s="37" t="s">
        <v>4570</v>
      </c>
      <c r="N44" s="37" t="s">
        <v>4732</v>
      </c>
      <c r="O44" s="37" t="s">
        <v>4058</v>
      </c>
      <c r="P44" s="37" t="s">
        <v>228</v>
      </c>
      <c r="Q44" s="37" t="s">
        <v>16</v>
      </c>
      <c r="R44" s="37"/>
      <c r="S44" s="37"/>
      <c r="T44" s="37" t="s">
        <v>66</v>
      </c>
      <c r="U44" s="37" t="s">
        <v>189</v>
      </c>
      <c r="V44" s="37" t="s">
        <v>77</v>
      </c>
      <c r="W44" s="37" t="s">
        <v>99</v>
      </c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</row>
    <row r="45" spans="1:37">
      <c r="A45" s="37"/>
      <c r="B45" s="37"/>
      <c r="C45" s="37"/>
      <c r="D45" s="37" t="s">
        <v>2440</v>
      </c>
      <c r="E45" s="37" t="s">
        <v>2504</v>
      </c>
      <c r="F45" s="37" t="s">
        <v>2511</v>
      </c>
      <c r="G45" s="37" t="s">
        <v>2507</v>
      </c>
      <c r="H45" s="37"/>
      <c r="I45" s="37" t="s">
        <v>2508</v>
      </c>
      <c r="J45" s="37" t="s">
        <v>474</v>
      </c>
      <c r="K45" s="40" t="s">
        <v>2509</v>
      </c>
      <c r="L45" s="37" t="s">
        <v>64</v>
      </c>
      <c r="M45" s="37" t="s">
        <v>2510</v>
      </c>
      <c r="N45" s="37"/>
      <c r="O45" s="37" t="s">
        <v>4058</v>
      </c>
      <c r="P45" s="37" t="s">
        <v>1255</v>
      </c>
      <c r="Q45" s="37" t="s">
        <v>316</v>
      </c>
      <c r="R45" s="37"/>
      <c r="S45" s="37"/>
      <c r="T45" s="37"/>
      <c r="U45" s="37"/>
      <c r="V45" s="37" t="s">
        <v>77</v>
      </c>
      <c r="W45" s="37" t="s">
        <v>73</v>
      </c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</row>
    <row r="46" spans="1:37">
      <c r="A46" s="37"/>
      <c r="B46" s="37"/>
      <c r="C46" s="37"/>
      <c r="D46" s="37" t="s">
        <v>799</v>
      </c>
      <c r="E46" s="37" t="s">
        <v>2504</v>
      </c>
      <c r="F46" s="37" t="s">
        <v>2513</v>
      </c>
      <c r="G46" s="37" t="s">
        <v>2507</v>
      </c>
      <c r="H46" s="37"/>
      <c r="I46" s="37" t="s">
        <v>2508</v>
      </c>
      <c r="J46" s="37" t="s">
        <v>474</v>
      </c>
      <c r="K46" s="40" t="s">
        <v>2509</v>
      </c>
      <c r="L46" s="37" t="s">
        <v>64</v>
      </c>
      <c r="M46" s="37" t="s">
        <v>2512</v>
      </c>
      <c r="N46" s="37"/>
      <c r="O46" s="37" t="s">
        <v>4058</v>
      </c>
      <c r="P46" s="37" t="s">
        <v>1255</v>
      </c>
      <c r="Q46" s="37" t="s">
        <v>316</v>
      </c>
      <c r="R46" s="37"/>
      <c r="S46" s="37"/>
      <c r="T46" s="37"/>
      <c r="U46" s="37"/>
      <c r="V46" s="37" t="s">
        <v>77</v>
      </c>
      <c r="W46" s="37" t="s">
        <v>73</v>
      </c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</row>
    <row r="47" spans="1:37">
      <c r="A47" s="37"/>
      <c r="B47" s="37"/>
      <c r="C47" s="37"/>
      <c r="D47" s="37" t="s">
        <v>2745</v>
      </c>
      <c r="E47" s="37" t="s">
        <v>5782</v>
      </c>
      <c r="F47" s="37" t="s">
        <v>5783</v>
      </c>
      <c r="G47" s="37" t="s">
        <v>5784</v>
      </c>
      <c r="H47" s="37"/>
      <c r="I47" s="37" t="s">
        <v>420</v>
      </c>
      <c r="J47" s="37" t="s">
        <v>75</v>
      </c>
      <c r="K47" s="40" t="s">
        <v>5750</v>
      </c>
      <c r="L47" s="37" t="s">
        <v>64</v>
      </c>
      <c r="M47" s="37" t="s">
        <v>5785</v>
      </c>
      <c r="N47" s="37"/>
      <c r="O47" s="37" t="s">
        <v>4058</v>
      </c>
      <c r="P47" s="37" t="s">
        <v>134</v>
      </c>
      <c r="Q47" s="37" t="s">
        <v>10</v>
      </c>
      <c r="R47" s="37"/>
      <c r="S47" s="37"/>
      <c r="T47" s="37"/>
      <c r="U47" s="37"/>
      <c r="V47" s="37" t="s">
        <v>72</v>
      </c>
      <c r="W47" s="37" t="s">
        <v>97</v>
      </c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</row>
    <row r="48" spans="1:37">
      <c r="A48" s="37"/>
      <c r="B48" s="37"/>
      <c r="C48" s="37"/>
      <c r="D48" s="37" t="s">
        <v>444</v>
      </c>
      <c r="E48" s="37" t="s">
        <v>5786</v>
      </c>
      <c r="F48" s="37" t="s">
        <v>5787</v>
      </c>
      <c r="G48" s="37" t="s">
        <v>5788</v>
      </c>
      <c r="H48" s="37"/>
      <c r="I48" s="37" t="s">
        <v>420</v>
      </c>
      <c r="J48" s="37" t="s">
        <v>75</v>
      </c>
      <c r="K48" s="40" t="s">
        <v>5750</v>
      </c>
      <c r="L48" s="37" t="s">
        <v>64</v>
      </c>
      <c r="M48" s="37" t="s">
        <v>5785</v>
      </c>
      <c r="N48" s="37"/>
      <c r="O48" s="37" t="s">
        <v>4058</v>
      </c>
      <c r="P48" s="37" t="s">
        <v>134</v>
      </c>
      <c r="Q48" s="37" t="s">
        <v>10</v>
      </c>
      <c r="R48" s="37" t="s">
        <v>5789</v>
      </c>
      <c r="S48" s="37"/>
      <c r="T48" s="37" t="s">
        <v>69</v>
      </c>
      <c r="U48" s="37" t="s">
        <v>145</v>
      </c>
      <c r="V48" s="37" t="s">
        <v>72</v>
      </c>
      <c r="W48" s="37" t="s">
        <v>69</v>
      </c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</row>
    <row r="49" spans="1:37">
      <c r="A49" s="37"/>
      <c r="B49" s="37"/>
      <c r="C49" s="37"/>
      <c r="D49" s="37" t="s">
        <v>5790</v>
      </c>
      <c r="E49" s="37" t="s">
        <v>5791</v>
      </c>
      <c r="F49" s="37" t="s">
        <v>5792</v>
      </c>
      <c r="G49" s="37" t="s">
        <v>5793</v>
      </c>
      <c r="H49" s="37"/>
      <c r="I49" s="37" t="s">
        <v>420</v>
      </c>
      <c r="J49" s="37" t="s">
        <v>75</v>
      </c>
      <c r="K49" s="40" t="s">
        <v>5750</v>
      </c>
      <c r="L49" s="37" t="s">
        <v>64</v>
      </c>
      <c r="M49" s="37" t="s">
        <v>5794</v>
      </c>
      <c r="N49" s="37"/>
      <c r="O49" s="37" t="s">
        <v>4058</v>
      </c>
      <c r="P49" s="37" t="s">
        <v>134</v>
      </c>
      <c r="Q49" s="37" t="s">
        <v>10</v>
      </c>
      <c r="R49" s="37"/>
      <c r="S49" s="37"/>
      <c r="T49" s="37" t="s">
        <v>69</v>
      </c>
      <c r="U49" s="37" t="s">
        <v>109</v>
      </c>
      <c r="V49" s="37" t="s">
        <v>72</v>
      </c>
      <c r="W49" s="37" t="s">
        <v>97</v>
      </c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</row>
    <row r="50" spans="1:37">
      <c r="A50" s="37"/>
      <c r="B50" s="37"/>
      <c r="C50" s="37"/>
      <c r="D50" s="37" t="s">
        <v>579</v>
      </c>
      <c r="E50" s="37" t="s">
        <v>5795</v>
      </c>
      <c r="F50" s="37" t="s">
        <v>5796</v>
      </c>
      <c r="G50" s="37" t="s">
        <v>5797</v>
      </c>
      <c r="H50" s="37"/>
      <c r="I50" s="37" t="s">
        <v>82</v>
      </c>
      <c r="J50" s="37" t="s">
        <v>83</v>
      </c>
      <c r="K50" s="40" t="s">
        <v>133</v>
      </c>
      <c r="L50" s="37" t="s">
        <v>64</v>
      </c>
      <c r="M50" s="37" t="s">
        <v>5798</v>
      </c>
      <c r="N50" s="37"/>
      <c r="O50" s="37" t="s">
        <v>4058</v>
      </c>
      <c r="P50" s="37" t="s">
        <v>134</v>
      </c>
      <c r="Q50" s="37" t="s">
        <v>14</v>
      </c>
      <c r="R50" s="37" t="s">
        <v>5799</v>
      </c>
      <c r="S50" s="37"/>
      <c r="T50" s="37" t="s">
        <v>158</v>
      </c>
      <c r="U50" s="37"/>
      <c r="V50" s="37" t="s">
        <v>72</v>
      </c>
      <c r="W50" s="37" t="s">
        <v>110</v>
      </c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</row>
    <row r="51" spans="1:37">
      <c r="A51" s="37" t="s">
        <v>250</v>
      </c>
      <c r="B51" s="37"/>
      <c r="C51" s="37"/>
      <c r="D51" s="37" t="s">
        <v>1425</v>
      </c>
      <c r="E51" s="37" t="s">
        <v>5772</v>
      </c>
      <c r="F51" s="37" t="s">
        <v>5800</v>
      </c>
      <c r="G51" s="37" t="s">
        <v>5801</v>
      </c>
      <c r="H51" s="37"/>
      <c r="I51" s="37" t="s">
        <v>5802</v>
      </c>
      <c r="J51" s="37" t="s">
        <v>5777</v>
      </c>
      <c r="K51" s="40" t="s">
        <v>5803</v>
      </c>
      <c r="L51" s="37" t="s">
        <v>64</v>
      </c>
      <c r="M51" s="37" t="s">
        <v>5804</v>
      </c>
      <c r="N51" s="37" t="s">
        <v>5780</v>
      </c>
      <c r="O51" s="37" t="s">
        <v>4058</v>
      </c>
      <c r="P51" s="37" t="s">
        <v>134</v>
      </c>
      <c r="Q51" s="37" t="s">
        <v>316</v>
      </c>
      <c r="R51" s="37" t="s">
        <v>5805</v>
      </c>
      <c r="S51" s="37"/>
      <c r="T51" s="37"/>
      <c r="U51" s="37"/>
      <c r="V51" s="37" t="s">
        <v>72</v>
      </c>
      <c r="W51" s="37" t="s">
        <v>424</v>
      </c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</row>
    <row r="52" spans="1:37">
      <c r="A52" s="37"/>
      <c r="B52" s="37"/>
      <c r="C52" s="37"/>
      <c r="D52" s="37" t="s">
        <v>768</v>
      </c>
      <c r="E52" s="37" t="s">
        <v>2114</v>
      </c>
      <c r="F52" s="37" t="s">
        <v>4381</v>
      </c>
      <c r="G52" s="37" t="s">
        <v>4377</v>
      </c>
      <c r="H52" s="37"/>
      <c r="I52" s="37" t="s">
        <v>4378</v>
      </c>
      <c r="J52" s="37" t="s">
        <v>75</v>
      </c>
      <c r="K52" s="40" t="s">
        <v>4379</v>
      </c>
      <c r="L52" s="37" t="s">
        <v>64</v>
      </c>
      <c r="M52" s="37" t="s">
        <v>4380</v>
      </c>
      <c r="N52" s="37"/>
      <c r="O52" s="37" t="s">
        <v>4058</v>
      </c>
      <c r="P52" s="37" t="s">
        <v>228</v>
      </c>
      <c r="Q52" s="37" t="s">
        <v>10</v>
      </c>
      <c r="R52" s="37"/>
      <c r="S52" s="37"/>
      <c r="T52" s="37"/>
      <c r="U52" s="37"/>
      <c r="V52" s="37" t="s">
        <v>72</v>
      </c>
      <c r="W52" s="37" t="s">
        <v>131</v>
      </c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</row>
    <row r="53" spans="1:37">
      <c r="A53" s="37"/>
      <c r="B53" s="37"/>
      <c r="C53" s="37"/>
      <c r="D53" s="37" t="s">
        <v>5806</v>
      </c>
      <c r="E53" s="37" t="s">
        <v>5807</v>
      </c>
      <c r="F53" s="37" t="s">
        <v>5808</v>
      </c>
      <c r="G53" s="37" t="s">
        <v>5809</v>
      </c>
      <c r="H53" s="37"/>
      <c r="I53" s="37" t="s">
        <v>420</v>
      </c>
      <c r="J53" s="37" t="s">
        <v>75</v>
      </c>
      <c r="K53" s="40" t="s">
        <v>5750</v>
      </c>
      <c r="L53" s="37" t="s">
        <v>64</v>
      </c>
      <c r="M53" s="37" t="s">
        <v>5810</v>
      </c>
      <c r="N53" s="37"/>
      <c r="O53" s="37" t="s">
        <v>4058</v>
      </c>
      <c r="P53" s="37" t="s">
        <v>134</v>
      </c>
      <c r="Q53" s="37" t="s">
        <v>10</v>
      </c>
      <c r="R53" s="37"/>
      <c r="S53" s="37"/>
      <c r="T53" s="37" t="s">
        <v>69</v>
      </c>
      <c r="U53" s="37" t="s">
        <v>189</v>
      </c>
      <c r="V53" s="37" t="s">
        <v>72</v>
      </c>
      <c r="W53" s="37" t="s">
        <v>69</v>
      </c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</row>
    <row r="54" spans="1:37">
      <c r="A54" s="37"/>
      <c r="B54" s="37"/>
      <c r="C54" s="37"/>
      <c r="D54" s="37" t="s">
        <v>524</v>
      </c>
      <c r="E54" s="37" t="s">
        <v>906</v>
      </c>
      <c r="F54" s="37" t="s">
        <v>4480</v>
      </c>
      <c r="G54" s="37" t="s">
        <v>4476</v>
      </c>
      <c r="H54" s="37" t="s">
        <v>3116</v>
      </c>
      <c r="I54" s="37" t="s">
        <v>701</v>
      </c>
      <c r="J54" s="37" t="s">
        <v>498</v>
      </c>
      <c r="K54" s="40" t="s">
        <v>4477</v>
      </c>
      <c r="L54" s="37" t="s">
        <v>64</v>
      </c>
      <c r="M54" s="37" t="s">
        <v>4478</v>
      </c>
      <c r="N54" s="37" t="s">
        <v>4479</v>
      </c>
      <c r="O54" s="37" t="s">
        <v>4056</v>
      </c>
      <c r="P54" s="37" t="s">
        <v>108</v>
      </c>
      <c r="Q54" s="37" t="s">
        <v>10</v>
      </c>
      <c r="R54" s="37"/>
      <c r="S54" s="37"/>
      <c r="T54" s="37" t="s">
        <v>66</v>
      </c>
      <c r="U54" s="37" t="s">
        <v>185</v>
      </c>
      <c r="V54" s="37" t="s">
        <v>67</v>
      </c>
      <c r="W54" s="37" t="s">
        <v>99</v>
      </c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</row>
    <row r="55" spans="1:37">
      <c r="A55" s="37"/>
      <c r="B55" s="37"/>
      <c r="C55" s="37"/>
      <c r="D55" s="37" t="s">
        <v>1114</v>
      </c>
      <c r="E55" s="37" t="s">
        <v>1115</v>
      </c>
      <c r="F55" s="37" t="s">
        <v>1119</v>
      </c>
      <c r="G55" s="37" t="s">
        <v>1116</v>
      </c>
      <c r="H55" s="37"/>
      <c r="I55" s="37" t="s">
        <v>862</v>
      </c>
      <c r="J55" s="37" t="s">
        <v>196</v>
      </c>
      <c r="K55" s="40" t="s">
        <v>1117</v>
      </c>
      <c r="L55" s="37" t="s">
        <v>64</v>
      </c>
      <c r="M55" s="37" t="s">
        <v>1118</v>
      </c>
      <c r="N55" s="37"/>
      <c r="O55" s="37" t="s">
        <v>4056</v>
      </c>
      <c r="P55" s="37" t="s">
        <v>108</v>
      </c>
      <c r="Q55" s="37" t="s">
        <v>98</v>
      </c>
      <c r="R55" s="37"/>
      <c r="S55" s="37"/>
      <c r="T55" s="37"/>
      <c r="U55" s="37" t="s">
        <v>116</v>
      </c>
      <c r="V55" s="37" t="s">
        <v>77</v>
      </c>
      <c r="W55" s="37" t="s">
        <v>89</v>
      </c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</row>
    <row r="56" spans="1:37">
      <c r="A56" s="37"/>
      <c r="B56" s="37"/>
      <c r="C56" s="37"/>
      <c r="D56" s="37" t="s">
        <v>5811</v>
      </c>
      <c r="E56" s="37" t="s">
        <v>3433</v>
      </c>
      <c r="F56" s="37" t="s">
        <v>4270</v>
      </c>
      <c r="G56" s="37" t="s">
        <v>1565</v>
      </c>
      <c r="H56" s="37"/>
      <c r="I56" s="37" t="s">
        <v>862</v>
      </c>
      <c r="J56" s="37" t="s">
        <v>196</v>
      </c>
      <c r="K56" s="40" t="s">
        <v>1117</v>
      </c>
      <c r="L56" s="37" t="s">
        <v>64</v>
      </c>
      <c r="M56" s="37" t="s">
        <v>4269</v>
      </c>
      <c r="N56" s="37" t="s">
        <v>5812</v>
      </c>
      <c r="O56" s="37" t="s">
        <v>4056</v>
      </c>
      <c r="P56" s="37" t="s">
        <v>108</v>
      </c>
      <c r="Q56" s="37" t="s">
        <v>98</v>
      </c>
      <c r="R56" s="37"/>
      <c r="S56" s="37"/>
      <c r="T56" s="37" t="s">
        <v>115</v>
      </c>
      <c r="U56" s="37"/>
      <c r="V56" s="37" t="s">
        <v>77</v>
      </c>
      <c r="W56" s="37" t="s">
        <v>89</v>
      </c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</row>
    <row r="57" spans="1:37">
      <c r="A57" s="37"/>
      <c r="B57" s="37"/>
      <c r="C57" s="37"/>
      <c r="D57" s="37" t="s">
        <v>199</v>
      </c>
      <c r="E57" s="37" t="s">
        <v>1564</v>
      </c>
      <c r="F57" s="37" t="s">
        <v>1567</v>
      </c>
      <c r="G57" s="37" t="s">
        <v>1565</v>
      </c>
      <c r="H57" s="37"/>
      <c r="I57" s="37" t="s">
        <v>862</v>
      </c>
      <c r="J57" s="37" t="s">
        <v>196</v>
      </c>
      <c r="K57" s="40" t="s">
        <v>1117</v>
      </c>
      <c r="L57" s="37" t="s">
        <v>64</v>
      </c>
      <c r="M57" s="37" t="s">
        <v>1566</v>
      </c>
      <c r="N57" s="37"/>
      <c r="O57" s="37" t="s">
        <v>4056</v>
      </c>
      <c r="P57" s="37" t="s">
        <v>108</v>
      </c>
      <c r="Q57" s="37" t="s">
        <v>98</v>
      </c>
      <c r="R57" s="37"/>
      <c r="S57" s="37"/>
      <c r="T57" s="37" t="s">
        <v>144</v>
      </c>
      <c r="U57" s="37" t="s">
        <v>145</v>
      </c>
      <c r="V57" s="37" t="s">
        <v>77</v>
      </c>
      <c r="W57" s="37" t="s">
        <v>89</v>
      </c>
      <c r="X57" s="25"/>
      <c r="Y57" s="25"/>
      <c r="Z57" s="25"/>
      <c r="AA57" s="25"/>
      <c r="AB57" s="25"/>
      <c r="AC57" s="25"/>
      <c r="AD57" s="25"/>
      <c r="AE57" s="25"/>
      <c r="AF57" s="26"/>
      <c r="AG57" s="25"/>
      <c r="AH57" s="25"/>
      <c r="AI57" s="25"/>
      <c r="AJ57" s="25"/>
      <c r="AK57" s="25"/>
    </row>
    <row r="58" spans="1:37">
      <c r="A58" s="37" t="s">
        <v>673</v>
      </c>
      <c r="B58" s="37"/>
      <c r="C58" s="37"/>
      <c r="D58" s="37" t="s">
        <v>3201</v>
      </c>
      <c r="E58" s="37" t="s">
        <v>2413</v>
      </c>
      <c r="F58" s="37" t="s">
        <v>3206</v>
      </c>
      <c r="G58" s="37" t="s">
        <v>3202</v>
      </c>
      <c r="H58" s="37"/>
      <c r="I58" s="37" t="s">
        <v>3373</v>
      </c>
      <c r="J58" s="37" t="s">
        <v>105</v>
      </c>
      <c r="K58" s="40" t="s">
        <v>3203</v>
      </c>
      <c r="L58" s="37" t="s">
        <v>64</v>
      </c>
      <c r="M58" s="37" t="s">
        <v>3204</v>
      </c>
      <c r="N58" s="37" t="s">
        <v>3205</v>
      </c>
      <c r="O58" s="37" t="s">
        <v>4056</v>
      </c>
      <c r="P58" s="37" t="s">
        <v>108</v>
      </c>
      <c r="Q58" s="37" t="s">
        <v>14</v>
      </c>
      <c r="R58" s="37"/>
      <c r="S58" s="37"/>
      <c r="T58" s="37" t="s">
        <v>69</v>
      </c>
      <c r="U58" s="37" t="s">
        <v>185</v>
      </c>
      <c r="V58" s="37" t="s">
        <v>77</v>
      </c>
      <c r="W58" s="37" t="s">
        <v>73</v>
      </c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</row>
    <row r="59" spans="1:37">
      <c r="A59" s="37"/>
      <c r="B59" s="37"/>
      <c r="C59" s="37"/>
      <c r="D59" s="37" t="s">
        <v>2499</v>
      </c>
      <c r="E59" s="37" t="s">
        <v>532</v>
      </c>
      <c r="F59" s="37" t="s">
        <v>2503</v>
      </c>
      <c r="G59" s="37" t="s">
        <v>2500</v>
      </c>
      <c r="H59" s="37" t="s">
        <v>2501</v>
      </c>
      <c r="I59" s="37" t="s">
        <v>1859</v>
      </c>
      <c r="J59" s="37" t="s">
        <v>148</v>
      </c>
      <c r="K59" s="40" t="s">
        <v>1860</v>
      </c>
      <c r="L59" s="37" t="s">
        <v>64</v>
      </c>
      <c r="M59" s="37" t="s">
        <v>2502</v>
      </c>
      <c r="N59" s="37"/>
      <c r="O59" s="37" t="s">
        <v>4056</v>
      </c>
      <c r="P59" s="37" t="s">
        <v>108</v>
      </c>
      <c r="Q59" s="37" t="s">
        <v>18</v>
      </c>
      <c r="R59" s="37"/>
      <c r="S59" s="37"/>
      <c r="T59" s="37" t="s">
        <v>115</v>
      </c>
      <c r="U59" s="37" t="s">
        <v>116</v>
      </c>
      <c r="V59" s="37" t="s">
        <v>77</v>
      </c>
      <c r="W59" s="37" t="s">
        <v>89</v>
      </c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</row>
    <row r="60" spans="1:37">
      <c r="A60" s="37"/>
      <c r="B60" s="37"/>
      <c r="C60" s="37"/>
      <c r="D60" s="37" t="s">
        <v>101</v>
      </c>
      <c r="E60" s="37" t="s">
        <v>80</v>
      </c>
      <c r="F60" s="37" t="s">
        <v>111</v>
      </c>
      <c r="G60" s="37" t="s">
        <v>102</v>
      </c>
      <c r="H60" s="37" t="s">
        <v>103</v>
      </c>
      <c r="I60" s="37" t="s">
        <v>104</v>
      </c>
      <c r="J60" s="37" t="s">
        <v>105</v>
      </c>
      <c r="K60" s="40" t="s">
        <v>106</v>
      </c>
      <c r="L60" s="37" t="s">
        <v>64</v>
      </c>
      <c r="M60" s="37" t="s">
        <v>107</v>
      </c>
      <c r="N60" s="37"/>
      <c r="O60" s="37" t="s">
        <v>4056</v>
      </c>
      <c r="P60" s="37" t="s">
        <v>108</v>
      </c>
      <c r="Q60" s="37" t="s">
        <v>14</v>
      </c>
      <c r="R60" s="37"/>
      <c r="S60" s="37"/>
      <c r="T60" s="37" t="s">
        <v>66</v>
      </c>
      <c r="U60" s="37" t="s">
        <v>109</v>
      </c>
      <c r="V60" s="37" t="s">
        <v>72</v>
      </c>
      <c r="W60" s="37" t="s">
        <v>110</v>
      </c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</row>
    <row r="61" spans="1:37">
      <c r="A61" s="37"/>
      <c r="B61" s="37"/>
      <c r="C61" s="37"/>
      <c r="D61" s="37" t="s">
        <v>1263</v>
      </c>
      <c r="E61" s="37" t="s">
        <v>4310</v>
      </c>
      <c r="F61" s="37" t="s">
        <v>4703</v>
      </c>
      <c r="G61" s="37" t="s">
        <v>4740</v>
      </c>
      <c r="H61" s="37" t="s">
        <v>4741</v>
      </c>
      <c r="I61" s="37" t="s">
        <v>672</v>
      </c>
      <c r="J61" s="37" t="s">
        <v>673</v>
      </c>
      <c r="K61" s="40" t="s">
        <v>2853</v>
      </c>
      <c r="L61" s="37" t="s">
        <v>64</v>
      </c>
      <c r="M61" s="37" t="s">
        <v>4742</v>
      </c>
      <c r="N61" s="37"/>
      <c r="O61" s="37" t="s">
        <v>4056</v>
      </c>
      <c r="P61" s="37" t="s">
        <v>108</v>
      </c>
      <c r="Q61" s="37" t="s">
        <v>98</v>
      </c>
      <c r="R61" s="37"/>
      <c r="S61" s="37"/>
      <c r="T61" s="37"/>
      <c r="U61" s="37"/>
      <c r="V61" s="37" t="s">
        <v>77</v>
      </c>
      <c r="W61" s="37" t="s">
        <v>89</v>
      </c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</row>
    <row r="62" spans="1:37">
      <c r="A62" s="37" t="s">
        <v>222</v>
      </c>
      <c r="B62" s="37"/>
      <c r="C62" s="37"/>
      <c r="D62" s="37" t="s">
        <v>1025</v>
      </c>
      <c r="E62" s="37" t="s">
        <v>1976</v>
      </c>
      <c r="F62" s="37" t="s">
        <v>1984</v>
      </c>
      <c r="G62" s="37" t="s">
        <v>1980</v>
      </c>
      <c r="H62" s="37"/>
      <c r="I62" s="37" t="s">
        <v>1868</v>
      </c>
      <c r="J62" s="37" t="s">
        <v>474</v>
      </c>
      <c r="K62" s="40" t="s">
        <v>1981</v>
      </c>
      <c r="L62" s="37" t="s">
        <v>64</v>
      </c>
      <c r="M62" s="37" t="s">
        <v>1982</v>
      </c>
      <c r="N62" s="37" t="s">
        <v>1983</v>
      </c>
      <c r="O62" s="37" t="s">
        <v>4056</v>
      </c>
      <c r="P62" s="37" t="s">
        <v>108</v>
      </c>
      <c r="Q62" s="37" t="s">
        <v>316</v>
      </c>
      <c r="R62" s="37"/>
      <c r="S62" s="37"/>
      <c r="T62" s="37" t="s">
        <v>66</v>
      </c>
      <c r="U62" s="37" t="s">
        <v>145</v>
      </c>
      <c r="V62" s="37" t="s">
        <v>77</v>
      </c>
      <c r="W62" s="37" t="s">
        <v>135</v>
      </c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</row>
    <row r="63" spans="1:37">
      <c r="A63" s="37"/>
      <c r="B63" s="37"/>
      <c r="C63" s="37"/>
      <c r="D63" s="37" t="s">
        <v>363</v>
      </c>
      <c r="E63" s="37" t="s">
        <v>2066</v>
      </c>
      <c r="F63" s="37" t="s">
        <v>2070</v>
      </c>
      <c r="G63" s="37" t="s">
        <v>2067</v>
      </c>
      <c r="H63" s="37" t="s">
        <v>2068</v>
      </c>
      <c r="I63" s="37" t="s">
        <v>1396</v>
      </c>
      <c r="J63" s="37" t="s">
        <v>105</v>
      </c>
      <c r="K63" s="40" t="s">
        <v>1397</v>
      </c>
      <c r="L63" s="37" t="s">
        <v>64</v>
      </c>
      <c r="M63" s="37" t="s">
        <v>2069</v>
      </c>
      <c r="N63" s="37"/>
      <c r="O63" s="37" t="s">
        <v>4056</v>
      </c>
      <c r="P63" s="37" t="s">
        <v>108</v>
      </c>
      <c r="Q63" s="37" t="s">
        <v>14</v>
      </c>
      <c r="R63" s="37"/>
      <c r="S63" s="37"/>
      <c r="T63" s="37" t="s">
        <v>69</v>
      </c>
      <c r="U63" s="37"/>
      <c r="V63" s="37" t="s">
        <v>72</v>
      </c>
      <c r="W63" s="37" t="s">
        <v>89</v>
      </c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</row>
    <row r="64" spans="1:37">
      <c r="A64" s="37"/>
      <c r="B64" s="37"/>
      <c r="C64" s="37"/>
      <c r="D64" s="37" t="s">
        <v>415</v>
      </c>
      <c r="E64" s="37" t="s">
        <v>5813</v>
      </c>
      <c r="F64" s="37" t="s">
        <v>435</v>
      </c>
      <c r="G64" s="37" t="s">
        <v>429</v>
      </c>
      <c r="H64" s="37" t="s">
        <v>430</v>
      </c>
      <c r="I64" s="37" t="s">
        <v>431</v>
      </c>
      <c r="J64" s="37" t="s">
        <v>425</v>
      </c>
      <c r="K64" s="40" t="s">
        <v>432</v>
      </c>
      <c r="L64" s="37" t="s">
        <v>64</v>
      </c>
      <c r="M64" s="37" t="s">
        <v>433</v>
      </c>
      <c r="N64" s="37"/>
      <c r="O64" s="37" t="s">
        <v>4056</v>
      </c>
      <c r="P64" s="37" t="s">
        <v>388</v>
      </c>
      <c r="Q64" s="37" t="s">
        <v>98</v>
      </c>
      <c r="R64" s="37" t="s">
        <v>434</v>
      </c>
      <c r="S64" s="37"/>
      <c r="T64" s="37" t="s">
        <v>69</v>
      </c>
      <c r="U64" s="37"/>
      <c r="V64" s="37" t="s">
        <v>72</v>
      </c>
      <c r="W64" s="37" t="s">
        <v>69</v>
      </c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</row>
    <row r="65" spans="1:37">
      <c r="A65" s="37"/>
      <c r="B65" s="37"/>
      <c r="C65" s="37"/>
      <c r="D65" s="37" t="s">
        <v>2113</v>
      </c>
      <c r="E65" s="37" t="s">
        <v>2318</v>
      </c>
      <c r="F65" s="37" t="s">
        <v>2321</v>
      </c>
      <c r="G65" s="37" t="s">
        <v>103</v>
      </c>
      <c r="H65" s="37" t="s">
        <v>2319</v>
      </c>
      <c r="I65" s="37" t="s">
        <v>104</v>
      </c>
      <c r="J65" s="37" t="s">
        <v>105</v>
      </c>
      <c r="K65" s="40" t="s">
        <v>106</v>
      </c>
      <c r="L65" s="37" t="s">
        <v>64</v>
      </c>
      <c r="M65" s="37" t="s">
        <v>2320</v>
      </c>
      <c r="N65" s="37"/>
      <c r="O65" s="37" t="s">
        <v>4056</v>
      </c>
      <c r="P65" s="37" t="s">
        <v>108</v>
      </c>
      <c r="Q65" s="37" t="s">
        <v>14</v>
      </c>
      <c r="R65" s="37"/>
      <c r="S65" s="37"/>
      <c r="T65" s="37" t="s">
        <v>66</v>
      </c>
      <c r="U65" s="37" t="s">
        <v>109</v>
      </c>
      <c r="V65" s="37" t="s">
        <v>77</v>
      </c>
      <c r="W65" s="37" t="s">
        <v>89</v>
      </c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</row>
    <row r="66" spans="1:37">
      <c r="A66" s="37" t="s">
        <v>112</v>
      </c>
      <c r="B66" s="37"/>
      <c r="C66" s="37"/>
      <c r="D66" s="37" t="s">
        <v>1561</v>
      </c>
      <c r="E66" s="37" t="s">
        <v>2629</v>
      </c>
      <c r="F66" s="37" t="s">
        <v>2865</v>
      </c>
      <c r="G66" s="37" t="s">
        <v>2862</v>
      </c>
      <c r="H66" s="37" t="s">
        <v>2863</v>
      </c>
      <c r="I66" s="37" t="s">
        <v>1396</v>
      </c>
      <c r="J66" s="37" t="s">
        <v>105</v>
      </c>
      <c r="K66" s="40" t="s">
        <v>1397</v>
      </c>
      <c r="L66" s="37" t="s">
        <v>64</v>
      </c>
      <c r="M66" s="37" t="s">
        <v>2864</v>
      </c>
      <c r="N66" s="37"/>
      <c r="O66" s="37" t="s">
        <v>4056</v>
      </c>
      <c r="P66" s="37" t="s">
        <v>108</v>
      </c>
      <c r="Q66" s="37" t="s">
        <v>14</v>
      </c>
      <c r="R66" s="37"/>
      <c r="S66" s="37"/>
      <c r="T66" s="37"/>
      <c r="U66" s="37"/>
      <c r="V66" s="37" t="s">
        <v>77</v>
      </c>
      <c r="W66" s="37" t="s">
        <v>756</v>
      </c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</row>
    <row r="67" spans="1:37">
      <c r="A67" s="37" t="s">
        <v>250</v>
      </c>
      <c r="B67" s="37"/>
      <c r="C67" s="37"/>
      <c r="D67" s="37" t="s">
        <v>464</v>
      </c>
      <c r="E67" s="37" t="s">
        <v>3455</v>
      </c>
      <c r="F67" s="37" t="s">
        <v>3462</v>
      </c>
      <c r="G67" s="37" t="s">
        <v>3456</v>
      </c>
      <c r="H67" s="37" t="s">
        <v>3457</v>
      </c>
      <c r="I67" s="37" t="s">
        <v>3458</v>
      </c>
      <c r="J67" s="37" t="s">
        <v>673</v>
      </c>
      <c r="K67" s="40" t="s">
        <v>3459</v>
      </c>
      <c r="L67" s="37" t="s">
        <v>64</v>
      </c>
      <c r="M67" s="37" t="s">
        <v>3460</v>
      </c>
      <c r="N67" s="37" t="s">
        <v>3461</v>
      </c>
      <c r="O67" s="37" t="s">
        <v>4056</v>
      </c>
      <c r="P67" s="37" t="s">
        <v>108</v>
      </c>
      <c r="Q67" s="37" t="s">
        <v>98</v>
      </c>
      <c r="R67" s="37"/>
      <c r="S67" s="37"/>
      <c r="T67" s="37" t="s">
        <v>115</v>
      </c>
      <c r="U67" s="37" t="s">
        <v>145</v>
      </c>
      <c r="V67" s="37" t="s">
        <v>77</v>
      </c>
      <c r="W67" s="37" t="s">
        <v>756</v>
      </c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</row>
    <row r="68" spans="1:37">
      <c r="A68" s="37" t="s">
        <v>250</v>
      </c>
      <c r="B68" s="37"/>
      <c r="C68" s="37"/>
      <c r="D68" s="37" t="s">
        <v>3429</v>
      </c>
      <c r="E68" s="37" t="s">
        <v>3430</v>
      </c>
      <c r="F68" s="37" t="s">
        <v>3431</v>
      </c>
      <c r="G68" s="37" t="s">
        <v>3456</v>
      </c>
      <c r="H68" s="37" t="s">
        <v>3457</v>
      </c>
      <c r="I68" s="37" t="s">
        <v>3458</v>
      </c>
      <c r="J68" s="37" t="s">
        <v>673</v>
      </c>
      <c r="K68" s="40" t="s">
        <v>3459</v>
      </c>
      <c r="L68" s="37" t="s">
        <v>64</v>
      </c>
      <c r="M68" s="37" t="s">
        <v>3460</v>
      </c>
      <c r="N68" s="37" t="s">
        <v>3461</v>
      </c>
      <c r="O68" s="37" t="s">
        <v>4056</v>
      </c>
      <c r="P68" s="37" t="s">
        <v>108</v>
      </c>
      <c r="Q68" s="37" t="s">
        <v>98</v>
      </c>
      <c r="R68" s="37"/>
      <c r="S68" s="37"/>
      <c r="T68" s="37" t="s">
        <v>115</v>
      </c>
      <c r="U68" s="37" t="s">
        <v>76</v>
      </c>
      <c r="V68" s="37" t="s">
        <v>77</v>
      </c>
      <c r="W68" s="37" t="s">
        <v>73</v>
      </c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</row>
    <row r="69" spans="1:37">
      <c r="A69" s="37" t="s">
        <v>250</v>
      </c>
      <c r="B69" s="37"/>
      <c r="C69" s="37"/>
      <c r="D69" s="37" t="s">
        <v>702</v>
      </c>
      <c r="E69" s="37" t="s">
        <v>3385</v>
      </c>
      <c r="F69" s="37" t="s">
        <v>3386</v>
      </c>
      <c r="G69" s="37" t="s">
        <v>3456</v>
      </c>
      <c r="H69" s="37" t="s">
        <v>3457</v>
      </c>
      <c r="I69" s="37" t="s">
        <v>3458</v>
      </c>
      <c r="J69" s="37" t="s">
        <v>673</v>
      </c>
      <c r="K69" s="40" t="s">
        <v>3459</v>
      </c>
      <c r="L69" s="37" t="s">
        <v>64</v>
      </c>
      <c r="M69" s="37" t="s">
        <v>3460</v>
      </c>
      <c r="N69" s="37" t="s">
        <v>3461</v>
      </c>
      <c r="O69" s="37" t="s">
        <v>4056</v>
      </c>
      <c r="P69" s="37" t="s">
        <v>108</v>
      </c>
      <c r="Q69" s="37" t="s">
        <v>98</v>
      </c>
      <c r="R69" s="37"/>
      <c r="S69" s="37"/>
      <c r="T69" s="37" t="s">
        <v>115</v>
      </c>
      <c r="U69" s="37" t="s">
        <v>145</v>
      </c>
      <c r="V69" s="37" t="s">
        <v>77</v>
      </c>
      <c r="W69" s="37" t="s">
        <v>99</v>
      </c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</row>
    <row r="70" spans="1:37">
      <c r="A70" s="37"/>
      <c r="B70" s="37"/>
      <c r="C70" s="37"/>
      <c r="D70" s="37" t="s">
        <v>3934</v>
      </c>
      <c r="E70" s="37" t="s">
        <v>5365</v>
      </c>
      <c r="F70" s="37" t="s">
        <v>5371</v>
      </c>
      <c r="G70" s="37" t="s">
        <v>5366</v>
      </c>
      <c r="H70" s="37"/>
      <c r="I70" s="37" t="s">
        <v>5367</v>
      </c>
      <c r="J70" s="37" t="s">
        <v>148</v>
      </c>
      <c r="K70" s="40" t="s">
        <v>5368</v>
      </c>
      <c r="L70" s="37" t="s">
        <v>5369</v>
      </c>
      <c r="M70" s="37" t="s">
        <v>5370</v>
      </c>
      <c r="N70" s="37"/>
      <c r="O70" s="37" t="s">
        <v>4047</v>
      </c>
      <c r="P70" s="37" t="s">
        <v>2696</v>
      </c>
      <c r="Q70" s="37" t="s">
        <v>18</v>
      </c>
      <c r="R70" s="37"/>
      <c r="S70" s="37"/>
      <c r="T70" s="37"/>
      <c r="U70" s="37"/>
      <c r="V70" s="37" t="s">
        <v>72</v>
      </c>
      <c r="W70" s="37" t="s">
        <v>73</v>
      </c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</row>
    <row r="71" spans="1:37">
      <c r="A71" s="37"/>
      <c r="B71" s="37"/>
      <c r="C71" s="37"/>
      <c r="D71" s="37" t="s">
        <v>5814</v>
      </c>
      <c r="E71" s="37" t="s">
        <v>4196</v>
      </c>
      <c r="F71" s="38" t="s">
        <v>5739</v>
      </c>
      <c r="G71" s="37" t="s">
        <v>5815</v>
      </c>
      <c r="H71" s="37"/>
      <c r="I71" s="37" t="s">
        <v>5816</v>
      </c>
      <c r="J71" s="37" t="s">
        <v>475</v>
      </c>
      <c r="K71" s="40" t="s">
        <v>5817</v>
      </c>
      <c r="L71" s="37" t="s">
        <v>64</v>
      </c>
      <c r="M71" s="37" t="s">
        <v>5818</v>
      </c>
      <c r="N71" s="37"/>
      <c r="O71" s="37" t="s">
        <v>4047</v>
      </c>
      <c r="P71" s="37" t="s">
        <v>2696</v>
      </c>
      <c r="Q71" s="37" t="s">
        <v>98</v>
      </c>
      <c r="R71" s="37"/>
      <c r="S71" s="37"/>
      <c r="T71" s="37"/>
      <c r="U71" s="37"/>
      <c r="V71" s="37" t="s">
        <v>72</v>
      </c>
      <c r="W71" s="37" t="s">
        <v>69</v>
      </c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</row>
    <row r="72" spans="1:37">
      <c r="A72" s="37"/>
      <c r="B72" s="37"/>
      <c r="C72" s="37"/>
      <c r="D72" s="37" t="s">
        <v>2798</v>
      </c>
      <c r="E72" s="37" t="s">
        <v>2799</v>
      </c>
      <c r="F72" s="37" t="s">
        <v>5819</v>
      </c>
      <c r="G72" s="37" t="s">
        <v>4382</v>
      </c>
      <c r="H72" s="37"/>
      <c r="I72" s="37" t="s">
        <v>4383</v>
      </c>
      <c r="J72" s="37" t="s">
        <v>214</v>
      </c>
      <c r="K72" s="40" t="s">
        <v>4384</v>
      </c>
      <c r="L72" s="37" t="s">
        <v>64</v>
      </c>
      <c r="M72" s="37" t="s">
        <v>4385</v>
      </c>
      <c r="N72" s="37" t="s">
        <v>4386</v>
      </c>
      <c r="O72" s="37" t="s">
        <v>4047</v>
      </c>
      <c r="P72" s="37" t="s">
        <v>2696</v>
      </c>
      <c r="Q72" s="37" t="s">
        <v>10</v>
      </c>
      <c r="R72" s="37"/>
      <c r="S72" s="37"/>
      <c r="T72" s="37" t="s">
        <v>66</v>
      </c>
      <c r="U72" s="37" t="s">
        <v>69</v>
      </c>
      <c r="V72" s="37" t="s">
        <v>67</v>
      </c>
      <c r="W72" s="37" t="s">
        <v>69</v>
      </c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</row>
    <row r="73" spans="1:37">
      <c r="A73" s="37" t="s">
        <v>250</v>
      </c>
      <c r="B73" s="37"/>
      <c r="C73" s="37"/>
      <c r="D73" s="37" t="s">
        <v>3515</v>
      </c>
      <c r="E73" s="37" t="s">
        <v>2529</v>
      </c>
      <c r="F73" s="37" t="s">
        <v>3518</v>
      </c>
      <c r="G73" s="37" t="s">
        <v>2869</v>
      </c>
      <c r="H73" s="37" t="s">
        <v>2866</v>
      </c>
      <c r="I73" s="37" t="s">
        <v>2867</v>
      </c>
      <c r="J73" s="37" t="s">
        <v>196</v>
      </c>
      <c r="K73" s="40" t="s">
        <v>2868</v>
      </c>
      <c r="L73" s="37" t="s">
        <v>64</v>
      </c>
      <c r="M73" s="37" t="s">
        <v>3516</v>
      </c>
      <c r="N73" s="37" t="s">
        <v>3517</v>
      </c>
      <c r="O73" s="37" t="s">
        <v>4048</v>
      </c>
      <c r="P73" s="37" t="s">
        <v>645</v>
      </c>
      <c r="Q73" s="37" t="s">
        <v>98</v>
      </c>
      <c r="R73" s="37"/>
      <c r="S73" s="37"/>
      <c r="T73" s="37" t="s">
        <v>66</v>
      </c>
      <c r="U73" s="37" t="s">
        <v>145</v>
      </c>
      <c r="V73" s="37" t="s">
        <v>88</v>
      </c>
      <c r="W73" s="37" t="s">
        <v>89</v>
      </c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</row>
    <row r="74" spans="1:37">
      <c r="A74" s="37"/>
      <c r="B74" s="37"/>
      <c r="C74" s="37"/>
      <c r="D74" s="37" t="s">
        <v>473</v>
      </c>
      <c r="E74" s="37" t="s">
        <v>906</v>
      </c>
      <c r="F74" s="37" t="s">
        <v>4691</v>
      </c>
      <c r="G74" s="37" t="s">
        <v>4686</v>
      </c>
      <c r="H74" s="37" t="s">
        <v>4687</v>
      </c>
      <c r="I74" s="37" t="s">
        <v>3753</v>
      </c>
      <c r="J74" s="37" t="s">
        <v>75</v>
      </c>
      <c r="K74" s="40" t="s">
        <v>4688</v>
      </c>
      <c r="L74" s="37" t="s">
        <v>64</v>
      </c>
      <c r="M74" s="37" t="s">
        <v>4689</v>
      </c>
      <c r="N74" s="37" t="s">
        <v>4690</v>
      </c>
      <c r="O74" s="37" t="s">
        <v>4048</v>
      </c>
      <c r="P74" s="37" t="s">
        <v>645</v>
      </c>
      <c r="Q74" s="37" t="s">
        <v>10</v>
      </c>
      <c r="R74" s="37"/>
      <c r="S74" s="37"/>
      <c r="T74" s="37"/>
      <c r="U74" s="37" t="s">
        <v>189</v>
      </c>
      <c r="V74" s="37" t="s">
        <v>77</v>
      </c>
      <c r="W74" s="37" t="s">
        <v>73</v>
      </c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</row>
    <row r="75" spans="1:37">
      <c r="A75" s="37"/>
      <c r="B75" s="37"/>
      <c r="C75" s="37"/>
      <c r="D75" s="37" t="s">
        <v>223</v>
      </c>
      <c r="E75" s="37" t="s">
        <v>1730</v>
      </c>
      <c r="F75" s="37" t="s">
        <v>3667</v>
      </c>
      <c r="G75" s="37" t="s">
        <v>3664</v>
      </c>
      <c r="H75" s="37"/>
      <c r="I75" s="37" t="s">
        <v>2767</v>
      </c>
      <c r="J75" s="37" t="s">
        <v>2566</v>
      </c>
      <c r="K75" s="40" t="s">
        <v>2768</v>
      </c>
      <c r="L75" s="37" t="s">
        <v>64</v>
      </c>
      <c r="M75" s="37" t="s">
        <v>3665</v>
      </c>
      <c r="N75" s="37" t="s">
        <v>3666</v>
      </c>
      <c r="O75" s="37" t="s">
        <v>4048</v>
      </c>
      <c r="P75" s="37" t="s">
        <v>645</v>
      </c>
      <c r="Q75" s="37" t="s">
        <v>126</v>
      </c>
      <c r="R75" s="37" t="s">
        <v>1767</v>
      </c>
      <c r="S75" s="37"/>
      <c r="T75" s="37" t="s">
        <v>115</v>
      </c>
      <c r="U75" s="37" t="s">
        <v>109</v>
      </c>
      <c r="V75" s="37" t="s">
        <v>77</v>
      </c>
      <c r="W75" s="37" t="s">
        <v>195</v>
      </c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spans="1:37">
      <c r="A76" s="37"/>
      <c r="B76" s="37"/>
      <c r="C76" s="37"/>
      <c r="D76" s="37" t="s">
        <v>1590</v>
      </c>
      <c r="E76" s="37" t="s">
        <v>2114</v>
      </c>
      <c r="F76" s="37" t="s">
        <v>4867</v>
      </c>
      <c r="G76" s="37" t="s">
        <v>4862</v>
      </c>
      <c r="H76" s="37"/>
      <c r="I76" s="37" t="s">
        <v>4863</v>
      </c>
      <c r="J76" s="37" t="s">
        <v>70</v>
      </c>
      <c r="K76" s="40" t="s">
        <v>4864</v>
      </c>
      <c r="L76" s="37" t="s">
        <v>64</v>
      </c>
      <c r="M76" s="37" t="s">
        <v>4865</v>
      </c>
      <c r="N76" s="37" t="s">
        <v>4866</v>
      </c>
      <c r="O76" s="37" t="s">
        <v>4048</v>
      </c>
      <c r="P76" s="37" t="s">
        <v>645</v>
      </c>
      <c r="Q76" s="37" t="s">
        <v>71</v>
      </c>
      <c r="R76" s="37"/>
      <c r="S76" s="37"/>
      <c r="T76" s="37" t="s">
        <v>115</v>
      </c>
      <c r="U76" s="37" t="s">
        <v>116</v>
      </c>
      <c r="V76" s="37" t="s">
        <v>88</v>
      </c>
      <c r="W76" s="37" t="s">
        <v>110</v>
      </c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</row>
    <row r="77" spans="1:37">
      <c r="A77" s="37"/>
      <c r="B77" s="37"/>
      <c r="C77" s="37"/>
      <c r="D77" s="37" t="s">
        <v>844</v>
      </c>
      <c r="E77" s="37" t="s">
        <v>2498</v>
      </c>
      <c r="F77" s="37" t="s">
        <v>4579</v>
      </c>
      <c r="G77" s="37" t="s">
        <v>4576</v>
      </c>
      <c r="H77" s="37"/>
      <c r="I77" s="37" t="s">
        <v>1127</v>
      </c>
      <c r="J77" s="37" t="s">
        <v>313</v>
      </c>
      <c r="K77" s="40" t="s">
        <v>4577</v>
      </c>
      <c r="L77" s="37" t="s">
        <v>64</v>
      </c>
      <c r="M77" s="37" t="s">
        <v>4578</v>
      </c>
      <c r="N77" s="37"/>
      <c r="O77" s="37" t="s">
        <v>4048</v>
      </c>
      <c r="P77" s="37" t="s">
        <v>645</v>
      </c>
      <c r="Q77" s="37" t="s">
        <v>316</v>
      </c>
      <c r="R77" s="37"/>
      <c r="S77" s="37"/>
      <c r="T77" s="37" t="s">
        <v>69</v>
      </c>
      <c r="U77" s="37" t="s">
        <v>87</v>
      </c>
      <c r="V77" s="37" t="s">
        <v>88</v>
      </c>
      <c r="W77" s="37" t="s">
        <v>89</v>
      </c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</row>
    <row r="78" spans="1:37">
      <c r="A78" s="37"/>
      <c r="B78" s="37"/>
      <c r="C78" s="37"/>
      <c r="D78" s="37" t="s">
        <v>3182</v>
      </c>
      <c r="E78" s="37" t="s">
        <v>82</v>
      </c>
      <c r="F78" s="37" t="s">
        <v>3798</v>
      </c>
      <c r="G78" s="37" t="s">
        <v>3902</v>
      </c>
      <c r="H78" s="37" t="s">
        <v>3796</v>
      </c>
      <c r="I78" s="37" t="s">
        <v>82</v>
      </c>
      <c r="J78" s="37" t="s">
        <v>83</v>
      </c>
      <c r="K78" s="40" t="s">
        <v>3117</v>
      </c>
      <c r="L78" s="37" t="s">
        <v>64</v>
      </c>
      <c r="M78" s="37" t="s">
        <v>3183</v>
      </c>
      <c r="N78" s="37" t="s">
        <v>3797</v>
      </c>
      <c r="O78" s="37" t="s">
        <v>4048</v>
      </c>
      <c r="P78" s="37" t="s">
        <v>645</v>
      </c>
      <c r="Q78" s="37" t="s">
        <v>14</v>
      </c>
      <c r="R78" s="37"/>
      <c r="S78" s="37"/>
      <c r="T78" s="37"/>
      <c r="U78" s="37"/>
      <c r="V78" s="37" t="s">
        <v>72</v>
      </c>
      <c r="W78" s="37" t="s">
        <v>69</v>
      </c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</row>
    <row r="79" spans="1:37">
      <c r="A79" s="37"/>
      <c r="B79" s="37"/>
      <c r="C79" s="37"/>
      <c r="D79" s="37" t="s">
        <v>2718</v>
      </c>
      <c r="E79" s="37" t="s">
        <v>4540</v>
      </c>
      <c r="F79" s="37" t="s">
        <v>4543</v>
      </c>
      <c r="G79" s="37" t="s">
        <v>2866</v>
      </c>
      <c r="H79" s="37"/>
      <c r="I79" s="37" t="s">
        <v>2867</v>
      </c>
      <c r="J79" s="37" t="s">
        <v>196</v>
      </c>
      <c r="K79" s="40" t="s">
        <v>3440</v>
      </c>
      <c r="L79" s="37" t="s">
        <v>64</v>
      </c>
      <c r="M79" s="37" t="s">
        <v>4541</v>
      </c>
      <c r="N79" s="37" t="s">
        <v>4542</v>
      </c>
      <c r="O79" s="37" t="s">
        <v>4048</v>
      </c>
      <c r="P79" s="37" t="s">
        <v>645</v>
      </c>
      <c r="Q79" s="37" t="s">
        <v>98</v>
      </c>
      <c r="R79" s="37"/>
      <c r="S79" s="37"/>
      <c r="T79" s="37" t="s">
        <v>69</v>
      </c>
      <c r="U79" s="37" t="s">
        <v>189</v>
      </c>
      <c r="V79" s="37" t="s">
        <v>77</v>
      </c>
      <c r="W79" s="37" t="s">
        <v>89</v>
      </c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</row>
    <row r="80" spans="1:37">
      <c r="A80" s="37" t="s">
        <v>250</v>
      </c>
      <c r="B80" s="37"/>
      <c r="C80" s="37"/>
      <c r="D80" s="37" t="s">
        <v>1800</v>
      </c>
      <c r="E80" s="37" t="s">
        <v>3744</v>
      </c>
      <c r="F80" s="37" t="s">
        <v>3749</v>
      </c>
      <c r="G80" s="37" t="s">
        <v>3745</v>
      </c>
      <c r="H80" s="37"/>
      <c r="I80" s="37" t="s">
        <v>421</v>
      </c>
      <c r="J80" s="37" t="s">
        <v>230</v>
      </c>
      <c r="K80" s="40" t="s">
        <v>3746</v>
      </c>
      <c r="L80" s="37" t="s">
        <v>64</v>
      </c>
      <c r="M80" s="37" t="s">
        <v>3747</v>
      </c>
      <c r="N80" s="37" t="s">
        <v>3748</v>
      </c>
      <c r="O80" s="37" t="s">
        <v>4048</v>
      </c>
      <c r="P80" s="37" t="s">
        <v>645</v>
      </c>
      <c r="Q80" s="37" t="s">
        <v>10</v>
      </c>
      <c r="R80" s="37"/>
      <c r="S80" s="37"/>
      <c r="T80" s="37" t="s">
        <v>69</v>
      </c>
      <c r="U80" s="37" t="s">
        <v>182</v>
      </c>
      <c r="V80" s="37" t="s">
        <v>118</v>
      </c>
      <c r="W80" s="37" t="s">
        <v>89</v>
      </c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</row>
    <row r="81" spans="1:37">
      <c r="A81" s="37"/>
      <c r="B81" s="37"/>
      <c r="C81" s="37"/>
      <c r="D81" s="37" t="s">
        <v>4994</v>
      </c>
      <c r="E81" s="37" t="s">
        <v>3496</v>
      </c>
      <c r="F81" s="37" t="s">
        <v>5000</v>
      </c>
      <c r="G81" s="37" t="s">
        <v>4995</v>
      </c>
      <c r="H81" s="37" t="s">
        <v>4996</v>
      </c>
      <c r="I81" s="37" t="s">
        <v>4997</v>
      </c>
      <c r="J81" s="37" t="s">
        <v>105</v>
      </c>
      <c r="K81" s="40" t="s">
        <v>4998</v>
      </c>
      <c r="L81" s="37" t="s">
        <v>64</v>
      </c>
      <c r="M81" s="37" t="s">
        <v>4999</v>
      </c>
      <c r="N81" s="37"/>
      <c r="O81" s="37" t="s">
        <v>4048</v>
      </c>
      <c r="P81" s="37" t="s">
        <v>645</v>
      </c>
      <c r="Q81" s="37" t="s">
        <v>14</v>
      </c>
      <c r="R81" s="37"/>
      <c r="S81" s="37"/>
      <c r="T81" s="37" t="s">
        <v>115</v>
      </c>
      <c r="U81" s="37" t="s">
        <v>109</v>
      </c>
      <c r="V81" s="37" t="s">
        <v>72</v>
      </c>
      <c r="W81" s="37" t="s">
        <v>99</v>
      </c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</row>
    <row r="82" spans="1:37">
      <c r="A82" s="37"/>
      <c r="B82" s="37"/>
      <c r="C82" s="37"/>
      <c r="D82" s="37" t="s">
        <v>528</v>
      </c>
      <c r="E82" s="37" t="s">
        <v>1218</v>
      </c>
      <c r="F82" s="37" t="s">
        <v>3442</v>
      </c>
      <c r="G82" s="37" t="s">
        <v>3439</v>
      </c>
      <c r="H82" s="37"/>
      <c r="I82" s="37" t="s">
        <v>2867</v>
      </c>
      <c r="J82" s="37" t="s">
        <v>196</v>
      </c>
      <c r="K82" s="40" t="s">
        <v>3440</v>
      </c>
      <c r="L82" s="37" t="s">
        <v>64</v>
      </c>
      <c r="M82" s="37" t="s">
        <v>3441</v>
      </c>
      <c r="N82" s="37"/>
      <c r="O82" s="37" t="s">
        <v>4048</v>
      </c>
      <c r="P82" s="37" t="s">
        <v>645</v>
      </c>
      <c r="Q82" s="37" t="s">
        <v>98</v>
      </c>
      <c r="R82" s="37"/>
      <c r="S82" s="37"/>
      <c r="T82" s="37" t="s">
        <v>66</v>
      </c>
      <c r="U82" s="37" t="s">
        <v>145</v>
      </c>
      <c r="V82" s="37" t="s">
        <v>88</v>
      </c>
      <c r="W82" s="37" t="s">
        <v>89</v>
      </c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</row>
    <row r="83" spans="1:37">
      <c r="A83" s="37"/>
      <c r="B83" s="37"/>
      <c r="C83" s="37"/>
      <c r="D83" s="37" t="s">
        <v>1763</v>
      </c>
      <c r="E83" s="37" t="s">
        <v>1764</v>
      </c>
      <c r="F83" s="37" t="s">
        <v>1768</v>
      </c>
      <c r="G83" s="37" t="s">
        <v>1765</v>
      </c>
      <c r="H83" s="37"/>
      <c r="I83" s="37" t="s">
        <v>362</v>
      </c>
      <c r="J83" s="37" t="s">
        <v>128</v>
      </c>
      <c r="K83" s="40" t="s">
        <v>644</v>
      </c>
      <c r="L83" s="37" t="s">
        <v>64</v>
      </c>
      <c r="M83" s="37" t="s">
        <v>1766</v>
      </c>
      <c r="N83" s="37"/>
      <c r="O83" s="37" t="s">
        <v>4048</v>
      </c>
      <c r="P83" s="37" t="s">
        <v>645</v>
      </c>
      <c r="Q83" s="37" t="s">
        <v>126</v>
      </c>
      <c r="R83" s="37"/>
      <c r="S83" s="37"/>
      <c r="T83" s="37" t="s">
        <v>66</v>
      </c>
      <c r="U83" s="37" t="s">
        <v>87</v>
      </c>
      <c r="V83" s="37" t="s">
        <v>88</v>
      </c>
      <c r="W83" s="37" t="s">
        <v>78</v>
      </c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</row>
    <row r="84" spans="1:37">
      <c r="A84" s="37"/>
      <c r="B84" s="37"/>
      <c r="C84" s="37"/>
      <c r="D84" s="37" t="s">
        <v>238</v>
      </c>
      <c r="E84" s="37" t="s">
        <v>2146</v>
      </c>
      <c r="F84" s="37" t="s">
        <v>2152</v>
      </c>
      <c r="G84" s="37" t="s">
        <v>2147</v>
      </c>
      <c r="H84" s="37"/>
      <c r="I84" s="37" t="s">
        <v>2148</v>
      </c>
      <c r="J84" s="37" t="s">
        <v>93</v>
      </c>
      <c r="K84" s="40" t="s">
        <v>2149</v>
      </c>
      <c r="L84" s="37" t="s">
        <v>64</v>
      </c>
      <c r="M84" s="37" t="s">
        <v>2150</v>
      </c>
      <c r="N84" s="37" t="s">
        <v>2151</v>
      </c>
      <c r="O84" s="37" t="s">
        <v>4048</v>
      </c>
      <c r="P84" s="37" t="s">
        <v>645</v>
      </c>
      <c r="Q84" s="37" t="s">
        <v>98</v>
      </c>
      <c r="R84" s="37"/>
      <c r="S84" s="37"/>
      <c r="T84" s="37" t="s">
        <v>66</v>
      </c>
      <c r="U84" s="37" t="s">
        <v>185</v>
      </c>
      <c r="V84" s="37" t="s">
        <v>67</v>
      </c>
      <c r="W84" s="37" t="s">
        <v>89</v>
      </c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</row>
    <row r="85" spans="1:37">
      <c r="A85" s="37"/>
      <c r="B85" s="37"/>
      <c r="C85" s="37"/>
      <c r="D85" s="37" t="s">
        <v>2854</v>
      </c>
      <c r="E85" s="37" t="s">
        <v>1714</v>
      </c>
      <c r="F85" s="37" t="s">
        <v>4341</v>
      </c>
      <c r="G85" s="37" t="s">
        <v>4337</v>
      </c>
      <c r="H85" s="37"/>
      <c r="I85" s="37" t="s">
        <v>1674</v>
      </c>
      <c r="J85" s="37" t="s">
        <v>983</v>
      </c>
      <c r="K85" s="40" t="s">
        <v>4338</v>
      </c>
      <c r="L85" s="37" t="s">
        <v>64</v>
      </c>
      <c r="M85" s="37" t="s">
        <v>4339</v>
      </c>
      <c r="N85" s="37" t="s">
        <v>4340</v>
      </c>
      <c r="O85" s="37" t="s">
        <v>4048</v>
      </c>
      <c r="P85" s="37" t="s">
        <v>645</v>
      </c>
      <c r="Q85" s="37" t="s">
        <v>98</v>
      </c>
      <c r="R85" s="37"/>
      <c r="S85" s="37"/>
      <c r="T85" s="37" t="s">
        <v>158</v>
      </c>
      <c r="U85" s="37"/>
      <c r="V85" s="37" t="s">
        <v>118</v>
      </c>
      <c r="W85" s="37" t="s">
        <v>89</v>
      </c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</row>
    <row r="86" spans="1:37">
      <c r="A86" s="37"/>
      <c r="B86" s="37"/>
      <c r="C86" s="37"/>
      <c r="D86" s="37" t="s">
        <v>5820</v>
      </c>
      <c r="E86" s="37" t="s">
        <v>5821</v>
      </c>
      <c r="F86" s="37" t="s">
        <v>5822</v>
      </c>
      <c r="G86" s="37" t="s">
        <v>5823</v>
      </c>
      <c r="H86" s="37" t="s">
        <v>5824</v>
      </c>
      <c r="I86" s="37" t="s">
        <v>82</v>
      </c>
      <c r="J86" s="37" t="s">
        <v>83</v>
      </c>
      <c r="K86" s="40" t="s">
        <v>180</v>
      </c>
      <c r="L86" s="37" t="s">
        <v>64</v>
      </c>
      <c r="M86" s="37" t="s">
        <v>5825</v>
      </c>
      <c r="N86" s="37"/>
      <c r="O86" s="37" t="s">
        <v>4048</v>
      </c>
      <c r="P86" s="37" t="s">
        <v>645</v>
      </c>
      <c r="Q86" s="37" t="s">
        <v>14</v>
      </c>
      <c r="R86" s="37"/>
      <c r="S86" s="37"/>
      <c r="T86" s="37" t="s">
        <v>115</v>
      </c>
      <c r="U86" s="37" t="s">
        <v>109</v>
      </c>
      <c r="V86" s="37" t="s">
        <v>72</v>
      </c>
      <c r="W86" s="37" t="s">
        <v>99</v>
      </c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</row>
    <row r="87" spans="1:37">
      <c r="A87" s="37"/>
      <c r="B87" s="37"/>
      <c r="C87" s="37"/>
      <c r="D87" s="37" t="s">
        <v>3178</v>
      </c>
      <c r="E87" s="37" t="s">
        <v>5826</v>
      </c>
      <c r="F87" s="37" t="s">
        <v>5827</v>
      </c>
      <c r="G87" s="37" t="s">
        <v>3902</v>
      </c>
      <c r="H87" s="37"/>
      <c r="I87" s="37" t="s">
        <v>82</v>
      </c>
      <c r="J87" s="37" t="s">
        <v>83</v>
      </c>
      <c r="K87" s="40" t="s">
        <v>5828</v>
      </c>
      <c r="L87" s="37" t="s">
        <v>64</v>
      </c>
      <c r="M87" s="37" t="s">
        <v>5829</v>
      </c>
      <c r="N87" s="37"/>
      <c r="O87" s="37" t="s">
        <v>4048</v>
      </c>
      <c r="P87" s="37" t="s">
        <v>645</v>
      </c>
      <c r="Q87" s="37" t="s">
        <v>14</v>
      </c>
      <c r="R87" s="37"/>
      <c r="S87" s="37"/>
      <c r="T87" s="37" t="s">
        <v>69</v>
      </c>
      <c r="U87" s="37" t="s">
        <v>87</v>
      </c>
      <c r="V87" s="37" t="s">
        <v>72</v>
      </c>
      <c r="W87" s="37" t="s">
        <v>69</v>
      </c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</row>
    <row r="88" spans="1:37">
      <c r="A88" s="37"/>
      <c r="B88" s="37"/>
      <c r="C88" s="37"/>
      <c r="D88" s="37" t="s">
        <v>529</v>
      </c>
      <c r="E88" s="37" t="s">
        <v>4512</v>
      </c>
      <c r="F88" s="37" t="s">
        <v>4516</v>
      </c>
      <c r="G88" s="37" t="s">
        <v>4513</v>
      </c>
      <c r="H88" s="37" t="s">
        <v>3819</v>
      </c>
      <c r="I88" s="37" t="s">
        <v>3820</v>
      </c>
      <c r="J88" s="37" t="s">
        <v>214</v>
      </c>
      <c r="K88" s="40" t="s">
        <v>3821</v>
      </c>
      <c r="L88" s="37" t="s">
        <v>64</v>
      </c>
      <c r="M88" s="37" t="s">
        <v>4514</v>
      </c>
      <c r="N88" s="37" t="s">
        <v>4515</v>
      </c>
      <c r="O88" s="37" t="s">
        <v>5830</v>
      </c>
      <c r="P88" s="37" t="s">
        <v>1062</v>
      </c>
      <c r="Q88" s="37" t="s">
        <v>10</v>
      </c>
      <c r="R88" s="37"/>
      <c r="S88" s="37"/>
      <c r="T88" s="37" t="s">
        <v>158</v>
      </c>
      <c r="U88" s="37"/>
      <c r="V88" s="37" t="s">
        <v>67</v>
      </c>
      <c r="W88" s="37" t="s">
        <v>69</v>
      </c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</row>
    <row r="89" spans="1:37">
      <c r="A89" s="37"/>
      <c r="B89" s="37"/>
      <c r="C89" s="37"/>
      <c r="D89" s="37" t="s">
        <v>4671</v>
      </c>
      <c r="E89" s="37" t="s">
        <v>5831</v>
      </c>
      <c r="F89" s="37" t="s">
        <v>5832</v>
      </c>
      <c r="G89" s="37" t="s">
        <v>5833</v>
      </c>
      <c r="H89" s="37" t="s">
        <v>5834</v>
      </c>
      <c r="I89" s="37" t="s">
        <v>219</v>
      </c>
      <c r="J89" s="37" t="s">
        <v>83</v>
      </c>
      <c r="K89" s="40" t="s">
        <v>2077</v>
      </c>
      <c r="L89" s="37" t="s">
        <v>64</v>
      </c>
      <c r="M89" s="37" t="s">
        <v>5835</v>
      </c>
      <c r="N89" s="37"/>
      <c r="O89" s="37" t="s">
        <v>5830</v>
      </c>
      <c r="P89" s="37" t="s">
        <v>1062</v>
      </c>
      <c r="Q89" s="37" t="s">
        <v>14</v>
      </c>
      <c r="R89" s="37"/>
      <c r="S89" s="37"/>
      <c r="T89" s="37"/>
      <c r="U89" s="37" t="s">
        <v>87</v>
      </c>
      <c r="V89" s="37" t="s">
        <v>72</v>
      </c>
      <c r="W89" s="37" t="s">
        <v>89</v>
      </c>
      <c r="X89" s="25"/>
      <c r="Y89" s="25"/>
      <c r="Z89" s="25"/>
      <c r="AA89" s="25"/>
      <c r="AB89" s="25"/>
      <c r="AC89" s="25"/>
      <c r="AD89" s="25"/>
      <c r="AE89" s="25"/>
      <c r="AF89" s="26"/>
      <c r="AG89" s="25"/>
      <c r="AH89" s="25"/>
      <c r="AI89" s="25"/>
      <c r="AJ89" s="25"/>
      <c r="AK89" s="25"/>
    </row>
    <row r="90" spans="1:37">
      <c r="A90" s="37"/>
      <c r="B90" s="37"/>
      <c r="C90" s="37"/>
      <c r="D90" s="37" t="s">
        <v>1673</v>
      </c>
      <c r="E90" s="37" t="s">
        <v>5836</v>
      </c>
      <c r="F90" s="37" t="s">
        <v>5837</v>
      </c>
      <c r="G90" s="37" t="s">
        <v>5838</v>
      </c>
      <c r="H90" s="37" t="s">
        <v>5839</v>
      </c>
      <c r="I90" s="37" t="s">
        <v>92</v>
      </c>
      <c r="J90" s="37" t="s">
        <v>93</v>
      </c>
      <c r="K90" s="40" t="s">
        <v>329</v>
      </c>
      <c r="L90" s="37" t="s">
        <v>64</v>
      </c>
      <c r="M90" s="37" t="s">
        <v>5840</v>
      </c>
      <c r="N90" s="37"/>
      <c r="O90" s="37" t="s">
        <v>5830</v>
      </c>
      <c r="P90" s="37" t="s">
        <v>1062</v>
      </c>
      <c r="Q90" s="37" t="s">
        <v>98</v>
      </c>
      <c r="R90" s="37"/>
      <c r="S90" s="37"/>
      <c r="T90" s="37" t="s">
        <v>158</v>
      </c>
      <c r="U90" s="37" t="s">
        <v>87</v>
      </c>
      <c r="V90" s="37" t="s">
        <v>88</v>
      </c>
      <c r="W90" s="37" t="s">
        <v>89</v>
      </c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>
      <c r="A91" s="37"/>
      <c r="B91" s="37"/>
      <c r="C91" s="37"/>
      <c r="D91" s="37" t="s">
        <v>5841</v>
      </c>
      <c r="E91" s="37" t="s">
        <v>5842</v>
      </c>
      <c r="F91" s="38" t="s">
        <v>5739</v>
      </c>
      <c r="G91" s="37" t="s">
        <v>5843</v>
      </c>
      <c r="H91" s="37" t="s">
        <v>5844</v>
      </c>
      <c r="I91" s="37" t="s">
        <v>5047</v>
      </c>
      <c r="J91" s="37" t="s">
        <v>200</v>
      </c>
      <c r="K91" s="40" t="s">
        <v>5048</v>
      </c>
      <c r="L91" s="37" t="s">
        <v>64</v>
      </c>
      <c r="M91" s="37" t="s">
        <v>5049</v>
      </c>
      <c r="N91" s="37" t="s">
        <v>5845</v>
      </c>
      <c r="O91" s="37" t="s">
        <v>5830</v>
      </c>
      <c r="P91" s="37" t="s">
        <v>1062</v>
      </c>
      <c r="Q91" s="37" t="s">
        <v>18</v>
      </c>
      <c r="R91" s="37"/>
      <c r="S91" s="37"/>
      <c r="T91" s="37" t="s">
        <v>66</v>
      </c>
      <c r="U91" s="37"/>
      <c r="V91" s="37" t="s">
        <v>67</v>
      </c>
      <c r="W91" s="37" t="s">
        <v>68</v>
      </c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>
      <c r="A92" s="37"/>
      <c r="B92" s="37"/>
      <c r="C92" s="37"/>
      <c r="D92" s="37" t="s">
        <v>2389</v>
      </c>
      <c r="E92" s="37" t="s">
        <v>3022</v>
      </c>
      <c r="F92" s="37" t="s">
        <v>4942</v>
      </c>
      <c r="G92" s="37" t="s">
        <v>4938</v>
      </c>
      <c r="H92" s="37" t="s">
        <v>4939</v>
      </c>
      <c r="I92" s="37" t="s">
        <v>82</v>
      </c>
      <c r="J92" s="37" t="s">
        <v>83</v>
      </c>
      <c r="K92" s="40" t="s">
        <v>2077</v>
      </c>
      <c r="L92" s="37" t="s">
        <v>64</v>
      </c>
      <c r="M92" s="37" t="s">
        <v>4940</v>
      </c>
      <c r="N92" s="37" t="s">
        <v>4941</v>
      </c>
      <c r="O92" s="37" t="s">
        <v>5830</v>
      </c>
      <c r="P92" s="37" t="s">
        <v>1062</v>
      </c>
      <c r="Q92" s="37" t="s">
        <v>14</v>
      </c>
      <c r="R92" s="37"/>
      <c r="S92" s="37"/>
      <c r="T92" s="37" t="s">
        <v>69</v>
      </c>
      <c r="U92" s="37" t="s">
        <v>109</v>
      </c>
      <c r="V92" s="37" t="s">
        <v>72</v>
      </c>
      <c r="W92" s="37" t="s">
        <v>89</v>
      </c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>
      <c r="A93" s="37"/>
      <c r="B93" s="37"/>
      <c r="C93" s="37"/>
      <c r="D93" s="37" t="s">
        <v>5255</v>
      </c>
      <c r="E93" s="37" t="s">
        <v>5376</v>
      </c>
      <c r="F93" s="37" t="s">
        <v>5258</v>
      </c>
      <c r="G93" s="37" t="s">
        <v>4432</v>
      </c>
      <c r="H93" s="37"/>
      <c r="I93" s="37" t="s">
        <v>2159</v>
      </c>
      <c r="J93" s="37" t="s">
        <v>208</v>
      </c>
      <c r="K93" s="40" t="s">
        <v>2160</v>
      </c>
      <c r="L93" s="37" t="s">
        <v>64</v>
      </c>
      <c r="M93" s="37" t="s">
        <v>5256</v>
      </c>
      <c r="N93" s="37" t="s">
        <v>5257</v>
      </c>
      <c r="O93" s="37" t="s">
        <v>5830</v>
      </c>
      <c r="P93" s="37" t="s">
        <v>1062</v>
      </c>
      <c r="Q93" s="37" t="s">
        <v>18</v>
      </c>
      <c r="R93" s="37"/>
      <c r="S93" s="37"/>
      <c r="T93" s="37" t="s">
        <v>69</v>
      </c>
      <c r="U93" s="37"/>
      <c r="V93" s="37" t="s">
        <v>67</v>
      </c>
      <c r="W93" s="37" t="s">
        <v>73</v>
      </c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>
      <c r="A94" s="37"/>
      <c r="B94" s="37"/>
      <c r="C94" s="37"/>
      <c r="D94" s="37" t="s">
        <v>2073</v>
      </c>
      <c r="E94" s="37" t="s">
        <v>2074</v>
      </c>
      <c r="F94" s="37" t="s">
        <v>2079</v>
      </c>
      <c r="G94" s="37" t="s">
        <v>2075</v>
      </c>
      <c r="H94" s="37" t="s">
        <v>2076</v>
      </c>
      <c r="I94" s="37" t="s">
        <v>82</v>
      </c>
      <c r="J94" s="37" t="s">
        <v>83</v>
      </c>
      <c r="K94" s="40" t="s">
        <v>2077</v>
      </c>
      <c r="L94" s="37" t="s">
        <v>64</v>
      </c>
      <c r="M94" s="37" t="s">
        <v>2078</v>
      </c>
      <c r="N94" s="37"/>
      <c r="O94" s="37" t="s">
        <v>5830</v>
      </c>
      <c r="P94" s="37" t="s">
        <v>1062</v>
      </c>
      <c r="Q94" s="37" t="s">
        <v>14</v>
      </c>
      <c r="R94" s="37"/>
      <c r="S94" s="37"/>
      <c r="T94" s="37" t="s">
        <v>66</v>
      </c>
      <c r="U94" s="37" t="s">
        <v>87</v>
      </c>
      <c r="V94" s="37" t="s">
        <v>88</v>
      </c>
      <c r="W94" s="37" t="s">
        <v>89</v>
      </c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>
      <c r="A95" s="37"/>
      <c r="B95" s="37"/>
      <c r="C95" s="37"/>
      <c r="D95" s="37" t="s">
        <v>308</v>
      </c>
      <c r="E95" s="37" t="s">
        <v>5846</v>
      </c>
      <c r="F95" s="37" t="s">
        <v>5847</v>
      </c>
      <c r="G95" s="37" t="s">
        <v>5848</v>
      </c>
      <c r="H95" s="37" t="s">
        <v>5849</v>
      </c>
      <c r="I95" s="37" t="s">
        <v>354</v>
      </c>
      <c r="J95" s="37" t="s">
        <v>75</v>
      </c>
      <c r="K95" s="40" t="s">
        <v>355</v>
      </c>
      <c r="L95" s="37" t="s">
        <v>64</v>
      </c>
      <c r="M95" s="37" t="s">
        <v>5850</v>
      </c>
      <c r="N95" s="37"/>
      <c r="O95" s="37" t="s">
        <v>5830</v>
      </c>
      <c r="P95" s="37" t="s">
        <v>1062</v>
      </c>
      <c r="Q95" s="37" t="s">
        <v>10</v>
      </c>
      <c r="R95" s="37"/>
      <c r="S95" s="37"/>
      <c r="T95" s="37" t="s">
        <v>115</v>
      </c>
      <c r="U95" s="37" t="s">
        <v>185</v>
      </c>
      <c r="V95" s="37" t="s">
        <v>72</v>
      </c>
      <c r="W95" s="37" t="s">
        <v>89</v>
      </c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>
      <c r="A96" s="37"/>
      <c r="B96" s="37"/>
      <c r="C96" s="37"/>
      <c r="D96" s="37" t="s">
        <v>5540</v>
      </c>
      <c r="E96" s="37" t="s">
        <v>5541</v>
      </c>
      <c r="F96" s="37" t="s">
        <v>5544</v>
      </c>
      <c r="G96" s="37" t="s">
        <v>5542</v>
      </c>
      <c r="H96" s="37"/>
      <c r="I96" s="37" t="s">
        <v>82</v>
      </c>
      <c r="J96" s="37" t="s">
        <v>83</v>
      </c>
      <c r="K96" s="40" t="s">
        <v>2077</v>
      </c>
      <c r="L96" s="37" t="s">
        <v>64</v>
      </c>
      <c r="M96" s="37" t="s">
        <v>5543</v>
      </c>
      <c r="N96" s="37"/>
      <c r="O96" s="37" t="s">
        <v>5830</v>
      </c>
      <c r="P96" s="37" t="s">
        <v>1062</v>
      </c>
      <c r="Q96" s="37" t="s">
        <v>14</v>
      </c>
      <c r="R96" s="37"/>
      <c r="S96" s="37"/>
      <c r="T96" s="37"/>
      <c r="U96" s="37"/>
      <c r="V96" s="37" t="s">
        <v>88</v>
      </c>
      <c r="W96" s="37" t="s">
        <v>89</v>
      </c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>
      <c r="A97" s="37"/>
      <c r="B97" s="37"/>
      <c r="C97" s="37"/>
      <c r="D97" s="37" t="s">
        <v>5020</v>
      </c>
      <c r="E97" s="37" t="s">
        <v>5021</v>
      </c>
      <c r="F97" s="37" t="s">
        <v>5024</v>
      </c>
      <c r="G97" s="37" t="s">
        <v>5022</v>
      </c>
      <c r="H97" s="37"/>
      <c r="I97" s="37" t="s">
        <v>226</v>
      </c>
      <c r="J97" s="37" t="s">
        <v>214</v>
      </c>
      <c r="K97" s="40" t="s">
        <v>4152</v>
      </c>
      <c r="L97" s="37" t="s">
        <v>64</v>
      </c>
      <c r="M97" s="37" t="s">
        <v>5023</v>
      </c>
      <c r="N97" s="37"/>
      <c r="O97" s="37" t="s">
        <v>4061</v>
      </c>
      <c r="P97" s="37" t="s">
        <v>163</v>
      </c>
      <c r="Q97" s="37" t="s">
        <v>10</v>
      </c>
      <c r="R97" s="37"/>
      <c r="S97" s="37"/>
      <c r="T97" s="37"/>
      <c r="U97" s="37"/>
      <c r="V97" s="37" t="s">
        <v>88</v>
      </c>
      <c r="W97" s="37" t="s">
        <v>89</v>
      </c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>
      <c r="A98" s="37"/>
      <c r="B98" s="37"/>
      <c r="C98" s="37"/>
      <c r="D98" s="37" t="s">
        <v>2487</v>
      </c>
      <c r="E98" s="37" t="s">
        <v>526</v>
      </c>
      <c r="F98" s="37" t="s">
        <v>4522</v>
      </c>
      <c r="G98" s="37" t="s">
        <v>4517</v>
      </c>
      <c r="H98" s="37"/>
      <c r="I98" s="37" t="s">
        <v>226</v>
      </c>
      <c r="J98" s="37" t="s">
        <v>214</v>
      </c>
      <c r="K98" s="40" t="s">
        <v>4518</v>
      </c>
      <c r="L98" s="37" t="s">
        <v>64</v>
      </c>
      <c r="M98" s="37" t="s">
        <v>4519</v>
      </c>
      <c r="N98" s="37" t="s">
        <v>4520</v>
      </c>
      <c r="O98" s="37" t="s">
        <v>4061</v>
      </c>
      <c r="P98" s="37" t="s">
        <v>638</v>
      </c>
      <c r="Q98" s="37" t="s">
        <v>10</v>
      </c>
      <c r="R98" s="37" t="s">
        <v>4521</v>
      </c>
      <c r="S98" s="37"/>
      <c r="T98" s="37"/>
      <c r="U98" s="37" t="s">
        <v>76</v>
      </c>
      <c r="V98" s="37" t="s">
        <v>77</v>
      </c>
      <c r="W98" s="37" t="s">
        <v>69</v>
      </c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>
      <c r="A99" s="37"/>
      <c r="B99" s="37"/>
      <c r="C99" s="37"/>
      <c r="D99" s="37" t="s">
        <v>3136</v>
      </c>
      <c r="E99" s="37" t="s">
        <v>749</v>
      </c>
      <c r="F99" s="37" t="s">
        <v>3140</v>
      </c>
      <c r="G99" s="37" t="s">
        <v>3137</v>
      </c>
      <c r="H99" s="37"/>
      <c r="I99" s="37" t="s">
        <v>82</v>
      </c>
      <c r="J99" s="37" t="s">
        <v>83</v>
      </c>
      <c r="K99" s="40" t="s">
        <v>637</v>
      </c>
      <c r="L99" s="37" t="s">
        <v>64</v>
      </c>
      <c r="M99" s="37" t="s">
        <v>3138</v>
      </c>
      <c r="N99" s="37" t="s">
        <v>3139</v>
      </c>
      <c r="O99" s="37" t="s">
        <v>4061</v>
      </c>
      <c r="P99" s="37" t="s">
        <v>638</v>
      </c>
      <c r="Q99" s="37" t="s">
        <v>14</v>
      </c>
      <c r="R99" s="37" t="s">
        <v>389</v>
      </c>
      <c r="S99" s="37"/>
      <c r="T99" s="37" t="s">
        <v>69</v>
      </c>
      <c r="U99" s="37" t="s">
        <v>87</v>
      </c>
      <c r="V99" s="37" t="s">
        <v>67</v>
      </c>
      <c r="W99" s="37" t="s">
        <v>131</v>
      </c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>
      <c r="A100" s="37"/>
      <c r="B100" s="37"/>
      <c r="C100" s="37"/>
      <c r="D100" s="37" t="s">
        <v>1623</v>
      </c>
      <c r="E100" s="37" t="s">
        <v>2719</v>
      </c>
      <c r="F100" s="38" t="s">
        <v>5739</v>
      </c>
      <c r="G100" s="37" t="s">
        <v>5851</v>
      </c>
      <c r="H100" s="37"/>
      <c r="I100" s="37" t="s">
        <v>5852</v>
      </c>
      <c r="J100" s="37" t="s">
        <v>498</v>
      </c>
      <c r="K100" s="40" t="s">
        <v>5853</v>
      </c>
      <c r="L100" s="37" t="s">
        <v>64</v>
      </c>
      <c r="M100" s="37" t="s">
        <v>5854</v>
      </c>
      <c r="N100" s="37"/>
      <c r="O100" s="37" t="s">
        <v>4061</v>
      </c>
      <c r="P100" s="37" t="s">
        <v>638</v>
      </c>
      <c r="Q100" s="37" t="s">
        <v>10</v>
      </c>
      <c r="R100" s="37" t="s">
        <v>5855</v>
      </c>
      <c r="S100" s="37"/>
      <c r="T100" s="37" t="s">
        <v>115</v>
      </c>
      <c r="U100" s="37" t="s">
        <v>69</v>
      </c>
      <c r="V100" s="37" t="s">
        <v>72</v>
      </c>
      <c r="W100" s="37" t="s">
        <v>97</v>
      </c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>
      <c r="A101" s="37"/>
      <c r="B101" s="37"/>
      <c r="C101" s="37"/>
      <c r="D101" s="37" t="s">
        <v>1368</v>
      </c>
      <c r="E101" s="37" t="s">
        <v>2719</v>
      </c>
      <c r="F101" s="37" t="s">
        <v>2725</v>
      </c>
      <c r="G101" s="37" t="s">
        <v>2720</v>
      </c>
      <c r="H101" s="37"/>
      <c r="I101" s="37" t="s">
        <v>2721</v>
      </c>
      <c r="J101" s="37" t="s">
        <v>498</v>
      </c>
      <c r="K101" s="40" t="s">
        <v>2722</v>
      </c>
      <c r="L101" s="37" t="s">
        <v>64</v>
      </c>
      <c r="M101" s="37" t="s">
        <v>2723</v>
      </c>
      <c r="N101" s="37"/>
      <c r="O101" s="37" t="s">
        <v>4061</v>
      </c>
      <c r="P101" s="37" t="s">
        <v>638</v>
      </c>
      <c r="Q101" s="37" t="s">
        <v>10</v>
      </c>
      <c r="R101" s="37"/>
      <c r="S101" s="37"/>
      <c r="T101" s="37"/>
      <c r="U101" s="37"/>
      <c r="V101" s="37" t="s">
        <v>67</v>
      </c>
      <c r="W101" s="37" t="s">
        <v>89</v>
      </c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>
      <c r="A102" s="37"/>
      <c r="B102" s="37"/>
      <c r="C102" s="37"/>
      <c r="D102" s="37" t="s">
        <v>229</v>
      </c>
      <c r="E102" s="37" t="s">
        <v>1063</v>
      </c>
      <c r="F102" s="37" t="s">
        <v>1068</v>
      </c>
      <c r="G102" s="37" t="s">
        <v>1064</v>
      </c>
      <c r="H102" s="37"/>
      <c r="I102" s="37" t="s">
        <v>1065</v>
      </c>
      <c r="J102" s="37" t="s">
        <v>474</v>
      </c>
      <c r="K102" s="40" t="s">
        <v>1066</v>
      </c>
      <c r="L102" s="37" t="s">
        <v>64</v>
      </c>
      <c r="M102" s="37" t="s">
        <v>1067</v>
      </c>
      <c r="N102" s="37"/>
      <c r="O102" s="37" t="s">
        <v>4061</v>
      </c>
      <c r="P102" s="37" t="s">
        <v>911</v>
      </c>
      <c r="Q102" s="37" t="s">
        <v>316</v>
      </c>
      <c r="R102" s="37"/>
      <c r="S102" s="37"/>
      <c r="T102" s="37" t="s">
        <v>66</v>
      </c>
      <c r="U102" s="37"/>
      <c r="V102" s="37" t="s">
        <v>88</v>
      </c>
      <c r="W102" s="37" t="s">
        <v>135</v>
      </c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>
      <c r="A103" s="37"/>
      <c r="B103" s="37"/>
      <c r="C103" s="37"/>
      <c r="D103" s="37" t="s">
        <v>2246</v>
      </c>
      <c r="E103" s="37" t="s">
        <v>3490</v>
      </c>
      <c r="F103" s="37" t="s">
        <v>3428</v>
      </c>
      <c r="G103" s="37" t="s">
        <v>911</v>
      </c>
      <c r="H103" s="37" t="s">
        <v>3491</v>
      </c>
      <c r="I103" s="37" t="s">
        <v>1641</v>
      </c>
      <c r="J103" s="37" t="s">
        <v>574</v>
      </c>
      <c r="K103" s="40" t="s">
        <v>1642</v>
      </c>
      <c r="L103" s="37" t="s">
        <v>64</v>
      </c>
      <c r="M103" s="37" t="s">
        <v>3492</v>
      </c>
      <c r="N103" s="37" t="s">
        <v>3493</v>
      </c>
      <c r="O103" s="37" t="s">
        <v>4061</v>
      </c>
      <c r="P103" s="37" t="s">
        <v>911</v>
      </c>
      <c r="Q103" s="37" t="s">
        <v>126</v>
      </c>
      <c r="R103" s="37"/>
      <c r="S103" s="37"/>
      <c r="T103" s="37" t="s">
        <v>69</v>
      </c>
      <c r="U103" s="37" t="s">
        <v>185</v>
      </c>
      <c r="V103" s="37" t="s">
        <v>77</v>
      </c>
      <c r="W103" s="37" t="s">
        <v>110</v>
      </c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>
      <c r="A104" s="37"/>
      <c r="B104" s="37"/>
      <c r="C104" s="37"/>
      <c r="D104" s="37" t="s">
        <v>2649</v>
      </c>
      <c r="E104" s="37" t="s">
        <v>4013</v>
      </c>
      <c r="F104" s="37" t="s">
        <v>4019</v>
      </c>
      <c r="G104" s="37" t="s">
        <v>4014</v>
      </c>
      <c r="H104" s="37" t="s">
        <v>4015</v>
      </c>
      <c r="I104" s="37" t="s">
        <v>3251</v>
      </c>
      <c r="J104" s="37" t="s">
        <v>121</v>
      </c>
      <c r="K104" s="40" t="s">
        <v>4016</v>
      </c>
      <c r="L104" s="37" t="s">
        <v>64</v>
      </c>
      <c r="M104" s="37" t="s">
        <v>4017</v>
      </c>
      <c r="N104" s="37"/>
      <c r="O104" s="37" t="s">
        <v>4061</v>
      </c>
      <c r="P104" s="37" t="s">
        <v>638</v>
      </c>
      <c r="Q104" s="37" t="s">
        <v>14</v>
      </c>
      <c r="R104" s="37" t="s">
        <v>4018</v>
      </c>
      <c r="S104" s="37"/>
      <c r="T104" s="37" t="s">
        <v>66</v>
      </c>
      <c r="U104" s="37" t="s">
        <v>109</v>
      </c>
      <c r="V104" s="37" t="s">
        <v>72</v>
      </c>
      <c r="W104" s="37" t="s">
        <v>110</v>
      </c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>
      <c r="A105" s="37"/>
      <c r="B105" s="37"/>
      <c r="C105" s="37"/>
      <c r="D105" s="37" t="s">
        <v>5856</v>
      </c>
      <c r="E105" s="37" t="s">
        <v>5857</v>
      </c>
      <c r="F105" s="37" t="s">
        <v>5858</v>
      </c>
      <c r="G105" s="37" t="s">
        <v>5859</v>
      </c>
      <c r="H105" s="37" t="s">
        <v>5860</v>
      </c>
      <c r="I105" s="37" t="s">
        <v>1318</v>
      </c>
      <c r="J105" s="37" t="s">
        <v>83</v>
      </c>
      <c r="K105" s="40" t="s">
        <v>637</v>
      </c>
      <c r="L105" s="37" t="s">
        <v>64</v>
      </c>
      <c r="M105" s="37" t="s">
        <v>5861</v>
      </c>
      <c r="N105" s="37"/>
      <c r="O105" s="37" t="s">
        <v>4061</v>
      </c>
      <c r="P105" s="37" t="s">
        <v>638</v>
      </c>
      <c r="Q105" s="37" t="s">
        <v>14</v>
      </c>
      <c r="R105" s="37" t="s">
        <v>5862</v>
      </c>
      <c r="S105" s="37"/>
      <c r="T105" s="37"/>
      <c r="U105" s="37"/>
      <c r="V105" s="37" t="s">
        <v>72</v>
      </c>
      <c r="W105" s="37" t="s">
        <v>69</v>
      </c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>
      <c r="A106" s="37" t="s">
        <v>2746</v>
      </c>
      <c r="B106" s="37"/>
      <c r="C106" s="37"/>
      <c r="D106" s="37" t="s">
        <v>2747</v>
      </c>
      <c r="E106" s="37" t="s">
        <v>2748</v>
      </c>
      <c r="F106" s="37" t="s">
        <v>2752</v>
      </c>
      <c r="G106" s="37" t="s">
        <v>2749</v>
      </c>
      <c r="H106" s="37"/>
      <c r="I106" s="37" t="s">
        <v>1318</v>
      </c>
      <c r="J106" s="37" t="s">
        <v>83</v>
      </c>
      <c r="K106" s="40" t="s">
        <v>910</v>
      </c>
      <c r="L106" s="37" t="s">
        <v>64</v>
      </c>
      <c r="M106" s="37" t="s">
        <v>2750</v>
      </c>
      <c r="N106" s="37" t="s">
        <v>2751</v>
      </c>
      <c r="O106" s="37" t="s">
        <v>4061</v>
      </c>
      <c r="P106" s="37" t="s">
        <v>911</v>
      </c>
      <c r="Q106" s="37" t="s">
        <v>14</v>
      </c>
      <c r="R106" s="37"/>
      <c r="S106" s="37"/>
      <c r="T106" s="37" t="s">
        <v>69</v>
      </c>
      <c r="U106" s="37"/>
      <c r="V106" s="37" t="s">
        <v>77</v>
      </c>
      <c r="W106" s="37" t="s">
        <v>73</v>
      </c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:37">
      <c r="A107" s="37"/>
      <c r="B107" s="37"/>
      <c r="C107" s="37"/>
      <c r="D107" s="37" t="s">
        <v>4198</v>
      </c>
      <c r="E107" s="37" t="s">
        <v>4199</v>
      </c>
      <c r="F107" s="37" t="s">
        <v>4202</v>
      </c>
      <c r="G107" s="37" t="s">
        <v>4015</v>
      </c>
      <c r="H107" s="37" t="s">
        <v>4200</v>
      </c>
      <c r="I107" s="37" t="s">
        <v>3251</v>
      </c>
      <c r="J107" s="37" t="s">
        <v>121</v>
      </c>
      <c r="K107" s="40" t="s">
        <v>4016</v>
      </c>
      <c r="L107" s="37" t="s">
        <v>64</v>
      </c>
      <c r="M107" s="37" t="s">
        <v>4201</v>
      </c>
      <c r="N107" s="37"/>
      <c r="O107" s="37" t="s">
        <v>4061</v>
      </c>
      <c r="P107" s="37" t="s">
        <v>2693</v>
      </c>
      <c r="Q107" s="37" t="s">
        <v>14</v>
      </c>
      <c r="R107" s="37"/>
      <c r="S107" s="37"/>
      <c r="T107" s="37" t="s">
        <v>66</v>
      </c>
      <c r="U107" s="37" t="s">
        <v>767</v>
      </c>
      <c r="V107" s="37" t="s">
        <v>77</v>
      </c>
      <c r="W107" s="37" t="s">
        <v>73</v>
      </c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:37">
      <c r="A108" s="37"/>
      <c r="B108" s="37"/>
      <c r="C108" s="37"/>
      <c r="D108" s="37" t="s">
        <v>702</v>
      </c>
      <c r="E108" s="37" t="s">
        <v>1647</v>
      </c>
      <c r="F108" s="37" t="s">
        <v>4215</v>
      </c>
      <c r="G108" s="37" t="s">
        <v>4210</v>
      </c>
      <c r="H108" s="37"/>
      <c r="I108" s="37" t="s">
        <v>4211</v>
      </c>
      <c r="J108" s="37" t="s">
        <v>208</v>
      </c>
      <c r="K108" s="40" t="s">
        <v>4212</v>
      </c>
      <c r="L108" s="37" t="s">
        <v>64</v>
      </c>
      <c r="M108" s="37" t="s">
        <v>4213</v>
      </c>
      <c r="N108" s="37" t="s">
        <v>4214</v>
      </c>
      <c r="O108" s="37" t="s">
        <v>4061</v>
      </c>
      <c r="P108" s="37" t="s">
        <v>410</v>
      </c>
      <c r="Q108" s="37" t="s">
        <v>18</v>
      </c>
      <c r="R108" s="37"/>
      <c r="S108" s="37"/>
      <c r="T108" s="37" t="s">
        <v>66</v>
      </c>
      <c r="U108" s="37" t="s">
        <v>69</v>
      </c>
      <c r="V108" s="37" t="s">
        <v>77</v>
      </c>
      <c r="W108" s="37" t="s">
        <v>135</v>
      </c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:37">
      <c r="A109" s="37"/>
      <c r="B109" s="37"/>
      <c r="C109" s="37"/>
      <c r="D109" s="37" t="s">
        <v>303</v>
      </c>
      <c r="E109" s="37" t="s">
        <v>1700</v>
      </c>
      <c r="F109" s="37" t="s">
        <v>3427</v>
      </c>
      <c r="G109" s="37" t="s">
        <v>3424</v>
      </c>
      <c r="H109" s="37"/>
      <c r="I109" s="37" t="s">
        <v>312</v>
      </c>
      <c r="J109" s="37" t="s">
        <v>313</v>
      </c>
      <c r="K109" s="40" t="s">
        <v>314</v>
      </c>
      <c r="L109" s="37" t="s">
        <v>64</v>
      </c>
      <c r="M109" s="37" t="s">
        <v>3425</v>
      </c>
      <c r="N109" s="37"/>
      <c r="O109" s="37" t="s">
        <v>4061</v>
      </c>
      <c r="P109" s="37" t="s">
        <v>638</v>
      </c>
      <c r="Q109" s="37" t="s">
        <v>316</v>
      </c>
      <c r="R109" s="37" t="s">
        <v>3426</v>
      </c>
      <c r="S109" s="37"/>
      <c r="T109" s="37"/>
      <c r="U109" s="37"/>
      <c r="V109" s="37" t="s">
        <v>88</v>
      </c>
      <c r="W109" s="37" t="s">
        <v>89</v>
      </c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:37">
      <c r="A110" s="37"/>
      <c r="B110" s="37"/>
      <c r="C110" s="37"/>
      <c r="D110" s="37" t="s">
        <v>1602</v>
      </c>
      <c r="E110" s="37" t="s">
        <v>1730</v>
      </c>
      <c r="F110" s="37" t="s">
        <v>2770</v>
      </c>
      <c r="G110" s="37" t="s">
        <v>2766</v>
      </c>
      <c r="H110" s="37"/>
      <c r="I110" s="37" t="s">
        <v>2767</v>
      </c>
      <c r="J110" s="37" t="s">
        <v>2566</v>
      </c>
      <c r="K110" s="40" t="s">
        <v>2768</v>
      </c>
      <c r="L110" s="37" t="s">
        <v>64</v>
      </c>
      <c r="M110" s="37" t="s">
        <v>2769</v>
      </c>
      <c r="N110" s="37"/>
      <c r="O110" s="37" t="s">
        <v>4061</v>
      </c>
      <c r="P110" s="37" t="s">
        <v>248</v>
      </c>
      <c r="Q110" s="37" t="s">
        <v>126</v>
      </c>
      <c r="R110" s="37"/>
      <c r="S110" s="37"/>
      <c r="T110" s="37" t="s">
        <v>66</v>
      </c>
      <c r="U110" s="37"/>
      <c r="V110" s="37" t="s">
        <v>77</v>
      </c>
      <c r="W110" s="37" t="s">
        <v>89</v>
      </c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:37">
      <c r="A111" s="37" t="s">
        <v>2455</v>
      </c>
      <c r="B111" s="37"/>
      <c r="C111" s="37"/>
      <c r="D111" s="37" t="s">
        <v>2996</v>
      </c>
      <c r="E111" s="37" t="s">
        <v>1993</v>
      </c>
      <c r="F111" s="37" t="s">
        <v>3005</v>
      </c>
      <c r="G111" s="37" t="s">
        <v>2997</v>
      </c>
      <c r="H111" s="37" t="s">
        <v>2998</v>
      </c>
      <c r="I111" s="37" t="s">
        <v>2999</v>
      </c>
      <c r="J111" s="37" t="s">
        <v>244</v>
      </c>
      <c r="K111" s="40" t="s">
        <v>3000</v>
      </c>
      <c r="L111" s="37" t="s">
        <v>64</v>
      </c>
      <c r="M111" s="37" t="s">
        <v>3001</v>
      </c>
      <c r="N111" s="37" t="s">
        <v>3002</v>
      </c>
      <c r="O111" s="37" t="s">
        <v>4061</v>
      </c>
      <c r="P111" s="37" t="s">
        <v>638</v>
      </c>
      <c r="Q111" s="37" t="s">
        <v>18</v>
      </c>
      <c r="R111" s="37" t="s">
        <v>3003</v>
      </c>
      <c r="S111" s="37" t="s">
        <v>3004</v>
      </c>
      <c r="T111" s="37" t="s">
        <v>69</v>
      </c>
      <c r="U111" s="37" t="s">
        <v>185</v>
      </c>
      <c r="V111" s="37" t="s">
        <v>72</v>
      </c>
      <c r="W111" s="37" t="s">
        <v>78</v>
      </c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:37">
      <c r="A112" s="37"/>
      <c r="B112" s="37"/>
      <c r="C112" s="37"/>
      <c r="D112" s="37" t="s">
        <v>4127</v>
      </c>
      <c r="E112" s="37" t="s">
        <v>4907</v>
      </c>
      <c r="F112" s="37" t="s">
        <v>4910</v>
      </c>
      <c r="G112" s="37" t="s">
        <v>4908</v>
      </c>
      <c r="H112" s="37" t="s">
        <v>1074</v>
      </c>
      <c r="I112" s="37" t="s">
        <v>265</v>
      </c>
      <c r="J112" s="37" t="s">
        <v>75</v>
      </c>
      <c r="K112" s="40" t="s">
        <v>4984</v>
      </c>
      <c r="L112" s="37" t="s">
        <v>64</v>
      </c>
      <c r="M112" s="37" t="s">
        <v>4909</v>
      </c>
      <c r="N112" s="37"/>
      <c r="O112" s="37" t="s">
        <v>4061</v>
      </c>
      <c r="P112" s="37" t="s">
        <v>163</v>
      </c>
      <c r="Q112" s="37" t="s">
        <v>10</v>
      </c>
      <c r="R112" s="37"/>
      <c r="S112" s="37"/>
      <c r="T112" s="37" t="s">
        <v>66</v>
      </c>
      <c r="U112" s="37" t="s">
        <v>185</v>
      </c>
      <c r="V112" s="37" t="s">
        <v>77</v>
      </c>
      <c r="W112" s="37" t="s">
        <v>99</v>
      </c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:37">
      <c r="A113" s="37"/>
      <c r="B113" s="37"/>
      <c r="C113" s="37"/>
      <c r="D113" s="37" t="s">
        <v>741</v>
      </c>
      <c r="E113" s="37" t="s">
        <v>2080</v>
      </c>
      <c r="F113" s="37" t="s">
        <v>3370</v>
      </c>
      <c r="G113" s="37" t="s">
        <v>3367</v>
      </c>
      <c r="H113" s="37"/>
      <c r="I113" s="37" t="s">
        <v>3362</v>
      </c>
      <c r="J113" s="37" t="s">
        <v>256</v>
      </c>
      <c r="K113" s="40" t="s">
        <v>3363</v>
      </c>
      <c r="L113" s="37" t="s">
        <v>64</v>
      </c>
      <c r="M113" s="37" t="s">
        <v>3368</v>
      </c>
      <c r="N113" s="37" t="s">
        <v>3369</v>
      </c>
      <c r="O113" s="37" t="s">
        <v>4061</v>
      </c>
      <c r="P113" s="37" t="s">
        <v>2693</v>
      </c>
      <c r="Q113" s="37" t="s">
        <v>17</v>
      </c>
      <c r="R113" s="37"/>
      <c r="S113" s="37"/>
      <c r="T113" s="37" t="s">
        <v>66</v>
      </c>
      <c r="U113" s="37" t="s">
        <v>189</v>
      </c>
      <c r="V113" s="37" t="s">
        <v>77</v>
      </c>
      <c r="W113" s="37" t="s">
        <v>99</v>
      </c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:37">
      <c r="A114" s="37"/>
      <c r="B114" s="37"/>
      <c r="C114" s="37"/>
      <c r="D114" s="37" t="s">
        <v>525</v>
      </c>
      <c r="E114" s="37" t="s">
        <v>2222</v>
      </c>
      <c r="F114" s="37" t="s">
        <v>3850</v>
      </c>
      <c r="G114" s="37" t="s">
        <v>3847</v>
      </c>
      <c r="H114" s="37"/>
      <c r="I114" s="37" t="s">
        <v>312</v>
      </c>
      <c r="J114" s="37" t="s">
        <v>313</v>
      </c>
      <c r="K114" s="40" t="s">
        <v>3848</v>
      </c>
      <c r="L114" s="37" t="s">
        <v>64</v>
      </c>
      <c r="M114" s="37" t="s">
        <v>3849</v>
      </c>
      <c r="N114" s="37"/>
      <c r="O114" s="37" t="s">
        <v>4061</v>
      </c>
      <c r="P114" s="37" t="s">
        <v>248</v>
      </c>
      <c r="Q114" s="37" t="s">
        <v>316</v>
      </c>
      <c r="R114" s="37"/>
      <c r="S114" s="37"/>
      <c r="T114" s="37"/>
      <c r="U114" s="37"/>
      <c r="V114" s="37" t="s">
        <v>72</v>
      </c>
      <c r="W114" s="37" t="s">
        <v>110</v>
      </c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:37">
      <c r="A115" s="37"/>
      <c r="B115" s="37"/>
      <c r="C115" s="37"/>
      <c r="D115" s="37" t="s">
        <v>3858</v>
      </c>
      <c r="E115" s="37" t="s">
        <v>2289</v>
      </c>
      <c r="F115" s="37" t="s">
        <v>3860</v>
      </c>
      <c r="G115" s="37" t="s">
        <v>3847</v>
      </c>
      <c r="H115" s="37"/>
      <c r="I115" s="37" t="s">
        <v>312</v>
      </c>
      <c r="J115" s="37" t="s">
        <v>313</v>
      </c>
      <c r="K115" s="40" t="s">
        <v>3848</v>
      </c>
      <c r="L115" s="37" t="s">
        <v>64</v>
      </c>
      <c r="M115" s="37" t="s">
        <v>3859</v>
      </c>
      <c r="N115" s="37"/>
      <c r="O115" s="37" t="s">
        <v>4061</v>
      </c>
      <c r="P115" s="37" t="s">
        <v>248</v>
      </c>
      <c r="Q115" s="37" t="s">
        <v>316</v>
      </c>
      <c r="R115" s="37"/>
      <c r="S115" s="37"/>
      <c r="T115" s="37"/>
      <c r="U115" s="37"/>
      <c r="V115" s="37" t="s">
        <v>77</v>
      </c>
      <c r="W115" s="37" t="s">
        <v>110</v>
      </c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:37">
      <c r="A116" s="37"/>
      <c r="B116" s="37"/>
      <c r="C116" s="37"/>
      <c r="D116" s="37" t="s">
        <v>532</v>
      </c>
      <c r="E116" s="37" t="s">
        <v>2823</v>
      </c>
      <c r="F116" s="37" t="s">
        <v>2825</v>
      </c>
      <c r="G116" s="37" t="s">
        <v>2824</v>
      </c>
      <c r="H116" s="37"/>
      <c r="I116" s="37" t="s">
        <v>2767</v>
      </c>
      <c r="J116" s="37" t="s">
        <v>2566</v>
      </c>
      <c r="K116" s="40" t="s">
        <v>2768</v>
      </c>
      <c r="L116" s="37" t="s">
        <v>64</v>
      </c>
      <c r="M116" s="37" t="s">
        <v>2769</v>
      </c>
      <c r="N116" s="37"/>
      <c r="O116" s="37" t="s">
        <v>4061</v>
      </c>
      <c r="P116" s="37" t="s">
        <v>248</v>
      </c>
      <c r="Q116" s="37" t="s">
        <v>126</v>
      </c>
      <c r="R116" s="37"/>
      <c r="S116" s="37"/>
      <c r="T116" s="37"/>
      <c r="U116" s="37" t="s">
        <v>76</v>
      </c>
      <c r="V116" s="37" t="s">
        <v>67</v>
      </c>
      <c r="W116" s="37" t="s">
        <v>78</v>
      </c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:37">
      <c r="A117" s="37"/>
      <c r="B117" s="37"/>
      <c r="C117" s="37"/>
      <c r="D117" s="37" t="s">
        <v>955</v>
      </c>
      <c r="E117" s="37" t="s">
        <v>2847</v>
      </c>
      <c r="F117" s="37" t="s">
        <v>2851</v>
      </c>
      <c r="G117" s="37" t="s">
        <v>2848</v>
      </c>
      <c r="H117" s="37"/>
      <c r="I117" s="37" t="s">
        <v>420</v>
      </c>
      <c r="J117" s="37" t="s">
        <v>75</v>
      </c>
      <c r="K117" s="40" t="s">
        <v>2849</v>
      </c>
      <c r="L117" s="37" t="s">
        <v>64</v>
      </c>
      <c r="M117" s="37" t="s">
        <v>2850</v>
      </c>
      <c r="N117" s="37"/>
      <c r="O117" s="37" t="s">
        <v>4061</v>
      </c>
      <c r="P117" s="37" t="s">
        <v>911</v>
      </c>
      <c r="Q117" s="37" t="s">
        <v>10</v>
      </c>
      <c r="R117" s="37"/>
      <c r="S117" s="37"/>
      <c r="T117" s="37" t="s">
        <v>66</v>
      </c>
      <c r="U117" s="37" t="s">
        <v>145</v>
      </c>
      <c r="V117" s="37" t="s">
        <v>77</v>
      </c>
      <c r="W117" s="37" t="s">
        <v>135</v>
      </c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:37">
      <c r="A118" s="37"/>
      <c r="B118" s="37"/>
      <c r="C118" s="37"/>
      <c r="D118" s="37" t="s">
        <v>746</v>
      </c>
      <c r="E118" s="37" t="s">
        <v>2618</v>
      </c>
      <c r="F118" s="37" t="s">
        <v>2830</v>
      </c>
      <c r="G118" s="37" t="s">
        <v>2720</v>
      </c>
      <c r="H118" s="37"/>
      <c r="I118" s="37" t="s">
        <v>2721</v>
      </c>
      <c r="J118" s="37" t="s">
        <v>498</v>
      </c>
      <c r="K118" s="40" t="s">
        <v>2722</v>
      </c>
      <c r="L118" s="37" t="s">
        <v>64</v>
      </c>
      <c r="M118" s="37" t="s">
        <v>2723</v>
      </c>
      <c r="N118" s="37"/>
      <c r="O118" s="37" t="s">
        <v>4061</v>
      </c>
      <c r="P118" s="37" t="s">
        <v>638</v>
      </c>
      <c r="Q118" s="37" t="s">
        <v>10</v>
      </c>
      <c r="R118" s="37" t="s">
        <v>2724</v>
      </c>
      <c r="S118" s="37"/>
      <c r="T118" s="37" t="s">
        <v>66</v>
      </c>
      <c r="U118" s="37"/>
      <c r="V118" s="37" t="s">
        <v>88</v>
      </c>
      <c r="W118" s="37" t="s">
        <v>69</v>
      </c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:37">
      <c r="A119" s="37"/>
      <c r="B119" s="37"/>
      <c r="C119" s="37"/>
      <c r="D119" s="37" t="s">
        <v>995</v>
      </c>
      <c r="E119" s="37" t="s">
        <v>2618</v>
      </c>
      <c r="F119" s="37" t="s">
        <v>2830</v>
      </c>
      <c r="G119" s="37" t="s">
        <v>2720</v>
      </c>
      <c r="H119" s="37"/>
      <c r="I119" s="37" t="s">
        <v>2721</v>
      </c>
      <c r="J119" s="37" t="s">
        <v>498</v>
      </c>
      <c r="K119" s="40" t="s">
        <v>2722</v>
      </c>
      <c r="L119" s="37" t="s">
        <v>64</v>
      </c>
      <c r="M119" s="37" t="s">
        <v>2723</v>
      </c>
      <c r="N119" s="37"/>
      <c r="O119" s="37" t="s">
        <v>4061</v>
      </c>
      <c r="P119" s="37" t="s">
        <v>638</v>
      </c>
      <c r="Q119" s="37" t="s">
        <v>10</v>
      </c>
      <c r="R119" s="37" t="s">
        <v>2724</v>
      </c>
      <c r="S119" s="37"/>
      <c r="T119" s="37"/>
      <c r="U119" s="37"/>
      <c r="V119" s="37" t="s">
        <v>118</v>
      </c>
      <c r="W119" s="37" t="s">
        <v>89</v>
      </c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:37">
      <c r="A120" s="37"/>
      <c r="B120" s="37"/>
      <c r="C120" s="37"/>
      <c r="D120" s="37" t="s">
        <v>5345</v>
      </c>
      <c r="E120" s="37" t="s">
        <v>2629</v>
      </c>
      <c r="F120" s="37" t="s">
        <v>5519</v>
      </c>
      <c r="G120" s="37" t="s">
        <v>5514</v>
      </c>
      <c r="H120" s="37"/>
      <c r="I120" s="37" t="s">
        <v>5515</v>
      </c>
      <c r="J120" s="37" t="s">
        <v>244</v>
      </c>
      <c r="K120" s="40" t="s">
        <v>5516</v>
      </c>
      <c r="L120" s="37" t="s">
        <v>64</v>
      </c>
      <c r="M120" s="37" t="s">
        <v>5517</v>
      </c>
      <c r="N120" s="37" t="s">
        <v>5518</v>
      </c>
      <c r="O120" s="37" t="s">
        <v>4061</v>
      </c>
      <c r="P120" s="37" t="s">
        <v>248</v>
      </c>
      <c r="Q120" s="37" t="s">
        <v>18</v>
      </c>
      <c r="R120" s="37"/>
      <c r="S120" s="37"/>
      <c r="T120" s="37" t="s">
        <v>158</v>
      </c>
      <c r="U120" s="37"/>
      <c r="V120" s="37" t="s">
        <v>77</v>
      </c>
      <c r="W120" s="37" t="s">
        <v>89</v>
      </c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:37">
      <c r="A121" s="37"/>
      <c r="B121" s="37"/>
      <c r="C121" s="37"/>
      <c r="D121" s="37" t="s">
        <v>5863</v>
      </c>
      <c r="E121" s="37" t="s">
        <v>5864</v>
      </c>
      <c r="F121" s="37" t="s">
        <v>5865</v>
      </c>
      <c r="G121" s="37" t="s">
        <v>5866</v>
      </c>
      <c r="H121" s="37" t="s">
        <v>5867</v>
      </c>
      <c r="I121" s="37" t="s">
        <v>1318</v>
      </c>
      <c r="J121" s="37" t="s">
        <v>83</v>
      </c>
      <c r="K121" s="40" t="s">
        <v>637</v>
      </c>
      <c r="L121" s="37" t="s">
        <v>64</v>
      </c>
      <c r="M121" s="37" t="s">
        <v>5868</v>
      </c>
      <c r="N121" s="37" t="s">
        <v>5869</v>
      </c>
      <c r="O121" s="37" t="s">
        <v>4061</v>
      </c>
      <c r="P121" s="37" t="s">
        <v>638</v>
      </c>
      <c r="Q121" s="37" t="s">
        <v>14</v>
      </c>
      <c r="R121" s="37" t="s">
        <v>5870</v>
      </c>
      <c r="S121" s="37"/>
      <c r="T121" s="37" t="s">
        <v>69</v>
      </c>
      <c r="U121" s="37"/>
      <c r="V121" s="37" t="s">
        <v>77</v>
      </c>
      <c r="W121" s="37" t="s">
        <v>110</v>
      </c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:37">
      <c r="A122" s="37"/>
      <c r="B122" s="37"/>
      <c r="C122" s="37"/>
      <c r="D122" s="37" t="s">
        <v>3144</v>
      </c>
      <c r="E122" s="37" t="s">
        <v>2638</v>
      </c>
      <c r="F122" s="37" t="s">
        <v>4086</v>
      </c>
      <c r="G122" s="37" t="s">
        <v>4210</v>
      </c>
      <c r="H122" s="37"/>
      <c r="I122" s="37" t="s">
        <v>4211</v>
      </c>
      <c r="J122" s="37" t="s">
        <v>208</v>
      </c>
      <c r="K122" s="40" t="s">
        <v>4212</v>
      </c>
      <c r="L122" s="37" t="s">
        <v>64</v>
      </c>
      <c r="M122" s="37" t="s">
        <v>4213</v>
      </c>
      <c r="N122" s="37" t="s">
        <v>4214</v>
      </c>
      <c r="O122" s="37" t="s">
        <v>4061</v>
      </c>
      <c r="P122" s="37" t="s">
        <v>410</v>
      </c>
      <c r="Q122" s="37" t="s">
        <v>18</v>
      </c>
      <c r="R122" s="37"/>
      <c r="S122" s="37"/>
      <c r="T122" s="37" t="s">
        <v>66</v>
      </c>
      <c r="U122" s="37"/>
      <c r="V122" s="37" t="s">
        <v>77</v>
      </c>
      <c r="W122" s="37" t="s">
        <v>135</v>
      </c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:37">
      <c r="A123" s="37"/>
      <c r="B123" s="37"/>
      <c r="C123" s="37"/>
      <c r="D123" s="37" t="s">
        <v>1112</v>
      </c>
      <c r="E123" s="37" t="s">
        <v>5008</v>
      </c>
      <c r="F123" s="37" t="s">
        <v>5013</v>
      </c>
      <c r="G123" s="37" t="s">
        <v>5009</v>
      </c>
      <c r="H123" s="37" t="s">
        <v>5010</v>
      </c>
      <c r="I123" s="37" t="s">
        <v>2878</v>
      </c>
      <c r="J123" s="37" t="s">
        <v>208</v>
      </c>
      <c r="K123" s="40" t="s">
        <v>2879</v>
      </c>
      <c r="L123" s="37" t="s">
        <v>64</v>
      </c>
      <c r="M123" s="37" t="s">
        <v>5011</v>
      </c>
      <c r="N123" s="37" t="s">
        <v>5012</v>
      </c>
      <c r="O123" s="37" t="s">
        <v>4061</v>
      </c>
      <c r="P123" s="37" t="s">
        <v>410</v>
      </c>
      <c r="Q123" s="37" t="s">
        <v>18</v>
      </c>
      <c r="R123" s="37"/>
      <c r="S123" s="37"/>
      <c r="T123" s="37"/>
      <c r="U123" s="37"/>
      <c r="V123" s="37" t="s">
        <v>77</v>
      </c>
      <c r="W123" s="37" t="s">
        <v>69</v>
      </c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:37">
      <c r="A124" s="37"/>
      <c r="B124" s="37"/>
      <c r="C124" s="37"/>
      <c r="D124" s="37" t="s">
        <v>4966</v>
      </c>
      <c r="E124" s="37" t="s">
        <v>1002</v>
      </c>
      <c r="F124" s="37" t="s">
        <v>4971</v>
      </c>
      <c r="G124" s="37" t="s">
        <v>4967</v>
      </c>
      <c r="H124" s="37" t="s">
        <v>1532</v>
      </c>
      <c r="I124" s="37" t="s">
        <v>3251</v>
      </c>
      <c r="J124" s="37" t="s">
        <v>121</v>
      </c>
      <c r="K124" s="40" t="s">
        <v>4968</v>
      </c>
      <c r="L124" s="37" t="s">
        <v>64</v>
      </c>
      <c r="M124" s="37" t="s">
        <v>4969</v>
      </c>
      <c r="N124" s="37"/>
      <c r="O124" s="37" t="s">
        <v>4061</v>
      </c>
      <c r="P124" s="37" t="s">
        <v>638</v>
      </c>
      <c r="Q124" s="37" t="s">
        <v>14</v>
      </c>
      <c r="R124" s="37" t="s">
        <v>4970</v>
      </c>
      <c r="S124" s="37"/>
      <c r="T124" s="37"/>
      <c r="U124" s="37"/>
      <c r="V124" s="37" t="s">
        <v>77</v>
      </c>
      <c r="W124" s="37" t="s">
        <v>135</v>
      </c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:37">
      <c r="A125" s="37"/>
      <c r="B125" s="37"/>
      <c r="C125" s="37"/>
      <c r="D125" s="37" t="s">
        <v>5376</v>
      </c>
      <c r="E125" s="37" t="s">
        <v>3712</v>
      </c>
      <c r="F125" s="37" t="s">
        <v>5871</v>
      </c>
      <c r="G125" s="37" t="s">
        <v>5872</v>
      </c>
      <c r="H125" s="37"/>
      <c r="I125" s="37" t="s">
        <v>420</v>
      </c>
      <c r="J125" s="37" t="s">
        <v>75</v>
      </c>
      <c r="K125" s="40" t="s">
        <v>2849</v>
      </c>
      <c r="L125" s="37" t="s">
        <v>64</v>
      </c>
      <c r="M125" s="37" t="s">
        <v>5873</v>
      </c>
      <c r="N125" s="37"/>
      <c r="O125" s="37" t="s">
        <v>4061</v>
      </c>
      <c r="P125" s="37" t="s">
        <v>911</v>
      </c>
      <c r="Q125" s="37" t="s">
        <v>10</v>
      </c>
      <c r="R125" s="37"/>
      <c r="S125" s="37"/>
      <c r="T125" s="37"/>
      <c r="U125" s="37"/>
      <c r="V125" s="37" t="s">
        <v>118</v>
      </c>
      <c r="W125" s="37" t="s">
        <v>110</v>
      </c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:37">
      <c r="A126" s="37"/>
      <c r="B126" s="37"/>
      <c r="C126" s="37"/>
      <c r="D126" s="37" t="s">
        <v>1157</v>
      </c>
      <c r="E126" s="37" t="s">
        <v>1153</v>
      </c>
      <c r="F126" s="37" t="s">
        <v>1163</v>
      </c>
      <c r="G126" s="37" t="s">
        <v>1158</v>
      </c>
      <c r="H126" s="37"/>
      <c r="I126" s="37" t="s">
        <v>1159</v>
      </c>
      <c r="J126" s="37" t="s">
        <v>214</v>
      </c>
      <c r="K126" s="40" t="s">
        <v>1160</v>
      </c>
      <c r="L126" s="37" t="s">
        <v>64</v>
      </c>
      <c r="M126" s="37" t="s">
        <v>1161</v>
      </c>
      <c r="N126" s="37" t="s">
        <v>1162</v>
      </c>
      <c r="O126" s="37" t="s">
        <v>4061</v>
      </c>
      <c r="P126" s="37" t="s">
        <v>410</v>
      </c>
      <c r="Q126" s="37" t="s">
        <v>10</v>
      </c>
      <c r="R126" s="37"/>
      <c r="S126" s="37"/>
      <c r="T126" s="37" t="s">
        <v>115</v>
      </c>
      <c r="U126" s="37" t="s">
        <v>185</v>
      </c>
      <c r="V126" s="37" t="s">
        <v>77</v>
      </c>
      <c r="W126" s="37" t="s">
        <v>73</v>
      </c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:37">
      <c r="A127" s="37"/>
      <c r="B127" s="37"/>
      <c r="C127" s="37"/>
      <c r="D127" s="37" t="s">
        <v>1894</v>
      </c>
      <c r="E127" s="37" t="s">
        <v>1221</v>
      </c>
      <c r="F127" s="37" t="s">
        <v>5640</v>
      </c>
      <c r="G127" s="37" t="s">
        <v>4967</v>
      </c>
      <c r="H127" s="37" t="s">
        <v>1532</v>
      </c>
      <c r="I127" s="37" t="s">
        <v>3251</v>
      </c>
      <c r="J127" s="37" t="s">
        <v>121</v>
      </c>
      <c r="K127" s="40" t="s">
        <v>4968</v>
      </c>
      <c r="L127" s="37" t="s">
        <v>64</v>
      </c>
      <c r="M127" s="37" t="s">
        <v>5639</v>
      </c>
      <c r="N127" s="37"/>
      <c r="O127" s="37" t="s">
        <v>4061</v>
      </c>
      <c r="P127" s="37" t="s">
        <v>638</v>
      </c>
      <c r="Q127" s="37" t="s">
        <v>14</v>
      </c>
      <c r="R127" s="37" t="s">
        <v>641</v>
      </c>
      <c r="S127" s="37"/>
      <c r="T127" s="37" t="s">
        <v>144</v>
      </c>
      <c r="U127" s="37"/>
      <c r="V127" s="37" t="s">
        <v>77</v>
      </c>
      <c r="W127" s="37" t="s">
        <v>69</v>
      </c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:37">
      <c r="A128" s="37"/>
      <c r="B128" s="37"/>
      <c r="C128" s="37"/>
      <c r="D128" s="37" t="s">
        <v>1083</v>
      </c>
      <c r="E128" s="37" t="s">
        <v>1647</v>
      </c>
      <c r="F128" s="37" t="s">
        <v>4640</v>
      </c>
      <c r="G128" s="37" t="s">
        <v>911</v>
      </c>
      <c r="H128" s="37" t="s">
        <v>4638</v>
      </c>
      <c r="I128" s="37" t="s">
        <v>82</v>
      </c>
      <c r="J128" s="37" t="s">
        <v>83</v>
      </c>
      <c r="K128" s="40" t="s">
        <v>910</v>
      </c>
      <c r="L128" s="37" t="s">
        <v>64</v>
      </c>
      <c r="M128" s="37" t="s">
        <v>4639</v>
      </c>
      <c r="N128" s="37"/>
      <c r="O128" s="37" t="s">
        <v>4061</v>
      </c>
      <c r="P128" s="37" t="s">
        <v>911</v>
      </c>
      <c r="Q128" s="37" t="s">
        <v>14</v>
      </c>
      <c r="R128" s="37"/>
      <c r="S128" s="37"/>
      <c r="T128" s="37" t="s">
        <v>115</v>
      </c>
      <c r="U128" s="37" t="s">
        <v>87</v>
      </c>
      <c r="V128" s="37" t="s">
        <v>72</v>
      </c>
      <c r="W128" s="37" t="s">
        <v>110</v>
      </c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:37">
      <c r="A129" s="37"/>
      <c r="B129" s="37"/>
      <c r="C129" s="37"/>
      <c r="D129" s="37" t="s">
        <v>921</v>
      </c>
      <c r="E129" s="37" t="s">
        <v>1976</v>
      </c>
      <c r="F129" s="37" t="s">
        <v>5874</v>
      </c>
      <c r="G129" s="37" t="s">
        <v>5875</v>
      </c>
      <c r="H129" s="37" t="s">
        <v>5876</v>
      </c>
      <c r="I129" s="37" t="s">
        <v>82</v>
      </c>
      <c r="J129" s="37" t="s">
        <v>83</v>
      </c>
      <c r="K129" s="40" t="s">
        <v>5877</v>
      </c>
      <c r="L129" s="37" t="s">
        <v>64</v>
      </c>
      <c r="M129" s="37" t="s">
        <v>5878</v>
      </c>
      <c r="N129" s="37" t="s">
        <v>5879</v>
      </c>
      <c r="O129" s="37" t="s">
        <v>4061</v>
      </c>
      <c r="P129" s="37" t="s">
        <v>911</v>
      </c>
      <c r="Q129" s="37" t="s">
        <v>14</v>
      </c>
      <c r="R129" s="37"/>
      <c r="S129" s="37"/>
      <c r="T129" s="37"/>
      <c r="U129" s="37"/>
      <c r="V129" s="37" t="s">
        <v>67</v>
      </c>
      <c r="W129" s="37" t="s">
        <v>110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:37">
      <c r="A130" s="37"/>
      <c r="B130" s="37"/>
      <c r="C130" s="37"/>
      <c r="D130" s="37" t="s">
        <v>524</v>
      </c>
      <c r="E130" s="37" t="s">
        <v>3320</v>
      </c>
      <c r="F130" s="37" t="s">
        <v>3326</v>
      </c>
      <c r="G130" s="37" t="s">
        <v>3321</v>
      </c>
      <c r="H130" s="37" t="s">
        <v>3322</v>
      </c>
      <c r="I130" s="37" t="s">
        <v>2634</v>
      </c>
      <c r="J130" s="37" t="s">
        <v>244</v>
      </c>
      <c r="K130" s="40" t="s">
        <v>3323</v>
      </c>
      <c r="L130" s="37" t="s">
        <v>64</v>
      </c>
      <c r="M130" s="37" t="s">
        <v>3324</v>
      </c>
      <c r="N130" s="37" t="s">
        <v>3325</v>
      </c>
      <c r="O130" s="37" t="s">
        <v>4061</v>
      </c>
      <c r="P130" s="37" t="s">
        <v>248</v>
      </c>
      <c r="Q130" s="37" t="s">
        <v>18</v>
      </c>
      <c r="R130" s="37"/>
      <c r="S130" s="37"/>
      <c r="T130" s="37" t="s">
        <v>69</v>
      </c>
      <c r="U130" s="37" t="s">
        <v>76</v>
      </c>
      <c r="V130" s="37" t="s">
        <v>77</v>
      </c>
      <c r="W130" s="37" t="s">
        <v>89</v>
      </c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:37">
      <c r="A131" s="37"/>
      <c r="B131" s="37"/>
      <c r="C131" s="37"/>
      <c r="D131" s="37" t="s">
        <v>2071</v>
      </c>
      <c r="E131" s="37" t="s">
        <v>3259</v>
      </c>
      <c r="F131" s="37" t="s">
        <v>3263</v>
      </c>
      <c r="G131" s="37" t="s">
        <v>3260</v>
      </c>
      <c r="H131" s="37"/>
      <c r="I131" s="37" t="s">
        <v>3315</v>
      </c>
      <c r="J131" s="37" t="s">
        <v>214</v>
      </c>
      <c r="K131" s="40" t="s">
        <v>3261</v>
      </c>
      <c r="L131" s="37" t="s">
        <v>64</v>
      </c>
      <c r="M131" s="37" t="s">
        <v>3262</v>
      </c>
      <c r="N131" s="37"/>
      <c r="O131" s="37" t="s">
        <v>4061</v>
      </c>
      <c r="P131" s="37" t="s">
        <v>911</v>
      </c>
      <c r="Q131" s="37" t="s">
        <v>10</v>
      </c>
      <c r="R131" s="37"/>
      <c r="S131" s="37"/>
      <c r="T131" s="37"/>
      <c r="U131" s="37"/>
      <c r="V131" s="37" t="s">
        <v>72</v>
      </c>
      <c r="W131" s="37" t="s">
        <v>135</v>
      </c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:37">
      <c r="A132" s="37"/>
      <c r="B132" s="37"/>
      <c r="C132" s="37"/>
      <c r="D132" s="37" t="s">
        <v>492</v>
      </c>
      <c r="E132" s="37" t="s">
        <v>2253</v>
      </c>
      <c r="F132" s="37" t="s">
        <v>2258</v>
      </c>
      <c r="G132" s="37" t="s">
        <v>2254</v>
      </c>
      <c r="H132" s="37"/>
      <c r="I132" s="37" t="s">
        <v>2255</v>
      </c>
      <c r="J132" s="37" t="s">
        <v>128</v>
      </c>
      <c r="K132" s="40" t="s">
        <v>2256</v>
      </c>
      <c r="L132" s="37" t="s">
        <v>64</v>
      </c>
      <c r="M132" s="37" t="s">
        <v>2257</v>
      </c>
      <c r="N132" s="37"/>
      <c r="O132" s="37" t="s">
        <v>4061</v>
      </c>
      <c r="P132" s="37" t="s">
        <v>410</v>
      </c>
      <c r="Q132" s="37" t="s">
        <v>126</v>
      </c>
      <c r="R132" s="37"/>
      <c r="S132" s="37"/>
      <c r="T132" s="37" t="s">
        <v>66</v>
      </c>
      <c r="U132" s="37"/>
      <c r="V132" s="37" t="s">
        <v>77</v>
      </c>
      <c r="W132" s="37" t="s">
        <v>89</v>
      </c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:37">
      <c r="A133" s="37"/>
      <c r="B133" s="37"/>
      <c r="C133" s="37"/>
      <c r="D133" s="37" t="s">
        <v>670</v>
      </c>
      <c r="E133" s="37" t="s">
        <v>3278</v>
      </c>
      <c r="F133" s="37" t="s">
        <v>3284</v>
      </c>
      <c r="G133" s="37" t="s">
        <v>3279</v>
      </c>
      <c r="H133" s="37"/>
      <c r="I133" s="37" t="s">
        <v>226</v>
      </c>
      <c r="J133" s="37" t="s">
        <v>214</v>
      </c>
      <c r="K133" s="40" t="s">
        <v>3280</v>
      </c>
      <c r="L133" s="37" t="s">
        <v>64</v>
      </c>
      <c r="M133" s="37" t="s">
        <v>3281</v>
      </c>
      <c r="N133" s="37" t="s">
        <v>3282</v>
      </c>
      <c r="O133" s="37" t="s">
        <v>4061</v>
      </c>
      <c r="P133" s="37" t="s">
        <v>638</v>
      </c>
      <c r="Q133" s="37" t="s">
        <v>10</v>
      </c>
      <c r="R133" s="37" t="s">
        <v>3283</v>
      </c>
      <c r="S133" s="37"/>
      <c r="T133" s="37" t="s">
        <v>158</v>
      </c>
      <c r="U133" s="37" t="s">
        <v>182</v>
      </c>
      <c r="V133" s="37" t="s">
        <v>77</v>
      </c>
      <c r="W133" s="37" t="s">
        <v>73</v>
      </c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:37">
      <c r="A134" s="37"/>
      <c r="B134" s="37"/>
      <c r="C134" s="37"/>
      <c r="D134" s="37" t="s">
        <v>211</v>
      </c>
      <c r="E134" s="37" t="s">
        <v>5880</v>
      </c>
      <c r="F134" s="37" t="s">
        <v>5881</v>
      </c>
      <c r="G134" s="37" t="s">
        <v>5882</v>
      </c>
      <c r="H134" s="37"/>
      <c r="I134" s="37" t="s">
        <v>319</v>
      </c>
      <c r="J134" s="37" t="s">
        <v>320</v>
      </c>
      <c r="K134" s="40" t="s">
        <v>5883</v>
      </c>
      <c r="L134" s="37" t="s">
        <v>64</v>
      </c>
      <c r="M134" s="37" t="s">
        <v>5884</v>
      </c>
      <c r="N134" s="37"/>
      <c r="O134" s="37" t="s">
        <v>4061</v>
      </c>
      <c r="P134" s="37" t="s">
        <v>911</v>
      </c>
      <c r="Q134" s="37" t="s">
        <v>4</v>
      </c>
      <c r="R134" s="37"/>
      <c r="S134" s="37"/>
      <c r="T134" s="37"/>
      <c r="U134" s="37"/>
      <c r="V134" s="37" t="s">
        <v>88</v>
      </c>
      <c r="W134" s="37" t="s">
        <v>110</v>
      </c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:37">
      <c r="A135" s="37"/>
      <c r="B135" s="37"/>
      <c r="C135" s="37"/>
      <c r="D135" s="37" t="s">
        <v>2367</v>
      </c>
      <c r="E135" s="37" t="s">
        <v>2368</v>
      </c>
      <c r="F135" s="37" t="s">
        <v>2371</v>
      </c>
      <c r="G135" s="37" t="s">
        <v>2369</v>
      </c>
      <c r="H135" s="37"/>
      <c r="I135" s="37" t="s">
        <v>82</v>
      </c>
      <c r="J135" s="37" t="s">
        <v>83</v>
      </c>
      <c r="K135" s="40" t="s">
        <v>910</v>
      </c>
      <c r="L135" s="37" t="s">
        <v>64</v>
      </c>
      <c r="M135" s="37" t="s">
        <v>2370</v>
      </c>
      <c r="N135" s="37"/>
      <c r="O135" s="37" t="s">
        <v>4061</v>
      </c>
      <c r="P135" s="37" t="s">
        <v>911</v>
      </c>
      <c r="Q135" s="37" t="s">
        <v>14</v>
      </c>
      <c r="R135" s="37"/>
      <c r="S135" s="37"/>
      <c r="T135" s="37" t="s">
        <v>115</v>
      </c>
      <c r="U135" s="37"/>
      <c r="V135" s="37" t="s">
        <v>72</v>
      </c>
      <c r="W135" s="37" t="s">
        <v>110</v>
      </c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:37">
      <c r="A136" s="37"/>
      <c r="B136" s="37"/>
      <c r="C136" s="37"/>
      <c r="D136" s="37" t="s">
        <v>1573</v>
      </c>
      <c r="E136" s="37" t="s">
        <v>3799</v>
      </c>
      <c r="F136" s="37" t="s">
        <v>3805</v>
      </c>
      <c r="G136" s="37" t="s">
        <v>3800</v>
      </c>
      <c r="H136" s="37" t="s">
        <v>3801</v>
      </c>
      <c r="I136" s="37" t="s">
        <v>3802</v>
      </c>
      <c r="J136" s="37" t="s">
        <v>334</v>
      </c>
      <c r="K136" s="40" t="s">
        <v>3803</v>
      </c>
      <c r="L136" s="37" t="s">
        <v>64</v>
      </c>
      <c r="M136" s="37" t="s">
        <v>3804</v>
      </c>
      <c r="N136" s="37"/>
      <c r="O136" s="37" t="s">
        <v>4061</v>
      </c>
      <c r="P136" s="37" t="s">
        <v>163</v>
      </c>
      <c r="Q136" s="37" t="s">
        <v>16</v>
      </c>
      <c r="R136" s="37"/>
      <c r="S136" s="37"/>
      <c r="T136" s="37" t="s">
        <v>115</v>
      </c>
      <c r="U136" s="37" t="s">
        <v>182</v>
      </c>
      <c r="V136" s="37" t="s">
        <v>77</v>
      </c>
      <c r="W136" s="37" t="s">
        <v>99</v>
      </c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:37">
      <c r="A137" s="37"/>
      <c r="B137" s="37"/>
      <c r="C137" s="37"/>
      <c r="D137" s="37" t="s">
        <v>223</v>
      </c>
      <c r="E137" s="37" t="s">
        <v>2648</v>
      </c>
      <c r="F137" s="37" t="s">
        <v>3191</v>
      </c>
      <c r="G137" s="37" t="s">
        <v>3187</v>
      </c>
      <c r="H137" s="37" t="s">
        <v>3188</v>
      </c>
      <c r="I137" s="37" t="s">
        <v>3315</v>
      </c>
      <c r="J137" s="37" t="s">
        <v>214</v>
      </c>
      <c r="K137" s="40" t="s">
        <v>3189</v>
      </c>
      <c r="L137" s="37" t="s">
        <v>64</v>
      </c>
      <c r="M137" s="37" t="s">
        <v>3190</v>
      </c>
      <c r="N137" s="37"/>
      <c r="O137" s="37" t="s">
        <v>4061</v>
      </c>
      <c r="P137" s="37" t="s">
        <v>911</v>
      </c>
      <c r="Q137" s="37" t="s">
        <v>10</v>
      </c>
      <c r="R137" s="37"/>
      <c r="S137" s="37"/>
      <c r="T137" s="37"/>
      <c r="U137" s="37"/>
      <c r="V137" s="37" t="s">
        <v>77</v>
      </c>
      <c r="W137" s="37" t="s">
        <v>261</v>
      </c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:37">
      <c r="A138" s="37"/>
      <c r="B138" s="37"/>
      <c r="C138" s="37"/>
      <c r="D138" s="37" t="s">
        <v>3532</v>
      </c>
      <c r="E138" s="37" t="s">
        <v>3533</v>
      </c>
      <c r="F138" s="37" t="s">
        <v>3536</v>
      </c>
      <c r="G138" s="37" t="s">
        <v>3534</v>
      </c>
      <c r="H138" s="37"/>
      <c r="I138" s="37" t="s">
        <v>226</v>
      </c>
      <c r="J138" s="37" t="s">
        <v>214</v>
      </c>
      <c r="K138" s="40" t="s">
        <v>3280</v>
      </c>
      <c r="L138" s="37" t="s">
        <v>64</v>
      </c>
      <c r="M138" s="37" t="s">
        <v>3535</v>
      </c>
      <c r="N138" s="37"/>
      <c r="O138" s="37" t="s">
        <v>4061</v>
      </c>
      <c r="P138" s="37" t="s">
        <v>410</v>
      </c>
      <c r="Q138" s="37" t="s">
        <v>10</v>
      </c>
      <c r="R138" s="37"/>
      <c r="S138" s="37"/>
      <c r="T138" s="37"/>
      <c r="U138" s="37"/>
      <c r="V138" s="37" t="s">
        <v>67</v>
      </c>
      <c r="W138" s="37" t="s">
        <v>73</v>
      </c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:37">
      <c r="A139" s="37"/>
      <c r="B139" s="37"/>
      <c r="C139" s="37"/>
      <c r="D139" s="37" t="s">
        <v>4981</v>
      </c>
      <c r="E139" s="37" t="s">
        <v>3775</v>
      </c>
      <c r="F139" s="37" t="s">
        <v>4983</v>
      </c>
      <c r="G139" s="37" t="s">
        <v>5009</v>
      </c>
      <c r="H139" s="37" t="s">
        <v>5010</v>
      </c>
      <c r="I139" s="37" t="s">
        <v>2878</v>
      </c>
      <c r="J139" s="37" t="s">
        <v>208</v>
      </c>
      <c r="K139" s="40" t="s">
        <v>2879</v>
      </c>
      <c r="L139" s="37" t="s">
        <v>64</v>
      </c>
      <c r="M139" s="37" t="s">
        <v>5011</v>
      </c>
      <c r="N139" s="37" t="s">
        <v>4982</v>
      </c>
      <c r="O139" s="37" t="s">
        <v>4061</v>
      </c>
      <c r="P139" s="37" t="s">
        <v>410</v>
      </c>
      <c r="Q139" s="37" t="s">
        <v>18</v>
      </c>
      <c r="R139" s="37"/>
      <c r="S139" s="37"/>
      <c r="T139" s="37"/>
      <c r="U139" s="37"/>
      <c r="V139" s="37" t="s">
        <v>77</v>
      </c>
      <c r="W139" s="37" t="s">
        <v>135</v>
      </c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:37">
      <c r="A140" s="37"/>
      <c r="B140" s="37"/>
      <c r="C140" s="37"/>
      <c r="D140" s="37" t="s">
        <v>1084</v>
      </c>
      <c r="E140" s="37" t="s">
        <v>1082</v>
      </c>
      <c r="F140" s="37" t="s">
        <v>1090</v>
      </c>
      <c r="G140" s="37" t="s">
        <v>1085</v>
      </c>
      <c r="H140" s="37"/>
      <c r="I140" s="37" t="s">
        <v>1086</v>
      </c>
      <c r="J140" s="37" t="s">
        <v>75</v>
      </c>
      <c r="K140" s="40" t="s">
        <v>1087</v>
      </c>
      <c r="L140" s="37" t="s">
        <v>64</v>
      </c>
      <c r="M140" s="37" t="s">
        <v>1088</v>
      </c>
      <c r="N140" s="37" t="s">
        <v>1089</v>
      </c>
      <c r="O140" s="37" t="s">
        <v>4061</v>
      </c>
      <c r="P140" s="37" t="s">
        <v>163</v>
      </c>
      <c r="Q140" s="37" t="s">
        <v>10</v>
      </c>
      <c r="R140" s="37"/>
      <c r="S140" s="37"/>
      <c r="T140" s="37" t="s">
        <v>69</v>
      </c>
      <c r="U140" s="37" t="s">
        <v>182</v>
      </c>
      <c r="V140" s="37" t="s">
        <v>77</v>
      </c>
      <c r="W140" s="37" t="s">
        <v>99</v>
      </c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:37">
      <c r="A141" s="37"/>
      <c r="B141" s="37"/>
      <c r="C141" s="37"/>
      <c r="D141" s="37" t="s">
        <v>5313</v>
      </c>
      <c r="E141" s="37" t="s">
        <v>5314</v>
      </c>
      <c r="F141" s="37" t="s">
        <v>5318</v>
      </c>
      <c r="G141" s="37" t="s">
        <v>5315</v>
      </c>
      <c r="H141" s="37"/>
      <c r="I141" s="37" t="s">
        <v>545</v>
      </c>
      <c r="J141" s="37" t="s">
        <v>996</v>
      </c>
      <c r="K141" s="40" t="s">
        <v>2906</v>
      </c>
      <c r="L141" s="37" t="s">
        <v>64</v>
      </c>
      <c r="M141" s="37" t="s">
        <v>5316</v>
      </c>
      <c r="N141" s="37" t="s">
        <v>5317</v>
      </c>
      <c r="O141" s="37" t="s">
        <v>4061</v>
      </c>
      <c r="P141" s="37" t="s">
        <v>410</v>
      </c>
      <c r="Q141" s="37" t="s">
        <v>17</v>
      </c>
      <c r="R141" s="37"/>
      <c r="S141" s="37"/>
      <c r="T141" s="37" t="s">
        <v>115</v>
      </c>
      <c r="U141" s="37" t="s">
        <v>185</v>
      </c>
      <c r="V141" s="37" t="s">
        <v>67</v>
      </c>
      <c r="W141" s="37" t="s">
        <v>110</v>
      </c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:37">
      <c r="A142" s="37" t="s">
        <v>232</v>
      </c>
      <c r="B142" s="37"/>
      <c r="C142" s="37"/>
      <c r="D142" s="37" t="s">
        <v>360</v>
      </c>
      <c r="E142" s="37" t="s">
        <v>1693</v>
      </c>
      <c r="F142" s="37" t="s">
        <v>1698</v>
      </c>
      <c r="G142" s="37" t="s">
        <v>1694</v>
      </c>
      <c r="H142" s="37"/>
      <c r="I142" s="37" t="s">
        <v>312</v>
      </c>
      <c r="J142" s="37" t="s">
        <v>313</v>
      </c>
      <c r="K142" s="40" t="s">
        <v>314</v>
      </c>
      <c r="L142" s="37" t="s">
        <v>64</v>
      </c>
      <c r="M142" s="37" t="s">
        <v>1695</v>
      </c>
      <c r="N142" s="37" t="s">
        <v>1696</v>
      </c>
      <c r="O142" s="37" t="s">
        <v>4061</v>
      </c>
      <c r="P142" s="37" t="s">
        <v>638</v>
      </c>
      <c r="Q142" s="37" t="s">
        <v>316</v>
      </c>
      <c r="R142" s="37" t="s">
        <v>1697</v>
      </c>
      <c r="S142" s="37"/>
      <c r="T142" s="37" t="s">
        <v>66</v>
      </c>
      <c r="U142" s="37" t="s">
        <v>109</v>
      </c>
      <c r="V142" s="37" t="s">
        <v>77</v>
      </c>
      <c r="W142" s="37" t="s">
        <v>73</v>
      </c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:37">
      <c r="A143" s="37"/>
      <c r="B143" s="37"/>
      <c r="C143" s="37"/>
      <c r="D143" s="37" t="s">
        <v>3608</v>
      </c>
      <c r="E143" s="37" t="s">
        <v>3609</v>
      </c>
      <c r="F143" s="37" t="s">
        <v>3614</v>
      </c>
      <c r="G143" s="37" t="s">
        <v>3610</v>
      </c>
      <c r="H143" s="37"/>
      <c r="I143" s="37" t="s">
        <v>3611</v>
      </c>
      <c r="J143" s="37" t="s">
        <v>200</v>
      </c>
      <c r="K143" s="40" t="s">
        <v>3612</v>
      </c>
      <c r="L143" s="37" t="s">
        <v>64</v>
      </c>
      <c r="M143" s="37" t="s">
        <v>3613</v>
      </c>
      <c r="N143" s="37"/>
      <c r="O143" s="37" t="s">
        <v>4061</v>
      </c>
      <c r="P143" s="37" t="s">
        <v>911</v>
      </c>
      <c r="Q143" s="37" t="s">
        <v>18</v>
      </c>
      <c r="R143" s="37"/>
      <c r="S143" s="37"/>
      <c r="T143" s="37"/>
      <c r="U143" s="37" t="s">
        <v>185</v>
      </c>
      <c r="V143" s="37" t="s">
        <v>67</v>
      </c>
      <c r="W143" s="37" t="s">
        <v>89</v>
      </c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:37">
      <c r="A144" s="37"/>
      <c r="B144" s="37"/>
      <c r="C144" s="37"/>
      <c r="D144" s="37" t="s">
        <v>464</v>
      </c>
      <c r="E144" s="37" t="s">
        <v>2903</v>
      </c>
      <c r="F144" s="37" t="s">
        <v>2909</v>
      </c>
      <c r="G144" s="37" t="s">
        <v>2904</v>
      </c>
      <c r="H144" s="37" t="s">
        <v>2905</v>
      </c>
      <c r="I144" s="37" t="s">
        <v>545</v>
      </c>
      <c r="J144" s="37" t="s">
        <v>996</v>
      </c>
      <c r="K144" s="40" t="s">
        <v>2906</v>
      </c>
      <c r="L144" s="37" t="s">
        <v>64</v>
      </c>
      <c r="M144" s="37" t="s">
        <v>2907</v>
      </c>
      <c r="N144" s="37" t="s">
        <v>2908</v>
      </c>
      <c r="O144" s="37" t="s">
        <v>4061</v>
      </c>
      <c r="P144" s="37" t="s">
        <v>410</v>
      </c>
      <c r="Q144" s="37" t="s">
        <v>17</v>
      </c>
      <c r="R144" s="37"/>
      <c r="S144" s="37"/>
      <c r="T144" s="37" t="s">
        <v>66</v>
      </c>
      <c r="U144" s="37" t="s">
        <v>145</v>
      </c>
      <c r="V144" s="37" t="s">
        <v>118</v>
      </c>
      <c r="W144" s="37" t="s">
        <v>281</v>
      </c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:37">
      <c r="A145" s="37"/>
      <c r="B145" s="37"/>
      <c r="C145" s="37"/>
      <c r="D145" s="37" t="s">
        <v>2317</v>
      </c>
      <c r="E145" s="37" t="s">
        <v>5546</v>
      </c>
      <c r="F145" s="37" t="s">
        <v>5549</v>
      </c>
      <c r="G145" s="37" t="s">
        <v>2904</v>
      </c>
      <c r="H145" s="37" t="s">
        <v>5547</v>
      </c>
      <c r="I145" s="37" t="s">
        <v>545</v>
      </c>
      <c r="J145" s="37" t="s">
        <v>996</v>
      </c>
      <c r="K145" s="40" t="s">
        <v>2906</v>
      </c>
      <c r="L145" s="37" t="s">
        <v>64</v>
      </c>
      <c r="M145" s="37" t="s">
        <v>5548</v>
      </c>
      <c r="N145" s="37" t="s">
        <v>2908</v>
      </c>
      <c r="O145" s="37" t="s">
        <v>4061</v>
      </c>
      <c r="P145" s="37" t="s">
        <v>410</v>
      </c>
      <c r="Q145" s="37" t="s">
        <v>17</v>
      </c>
      <c r="R145" s="37"/>
      <c r="S145" s="37"/>
      <c r="T145" s="37" t="s">
        <v>69</v>
      </c>
      <c r="U145" s="37" t="s">
        <v>116</v>
      </c>
      <c r="V145" s="37" t="s">
        <v>72</v>
      </c>
      <c r="W145" s="37" t="s">
        <v>281</v>
      </c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:37">
      <c r="A146" s="37"/>
      <c r="B146" s="37"/>
      <c r="C146" s="37"/>
      <c r="D146" s="37" t="s">
        <v>406</v>
      </c>
      <c r="E146" s="37" t="s">
        <v>400</v>
      </c>
      <c r="F146" s="37" t="s">
        <v>411</v>
      </c>
      <c r="G146" s="37" t="s">
        <v>407</v>
      </c>
      <c r="H146" s="37"/>
      <c r="I146" s="37" t="s">
        <v>226</v>
      </c>
      <c r="J146" s="37" t="s">
        <v>214</v>
      </c>
      <c r="K146" s="40" t="s">
        <v>408</v>
      </c>
      <c r="L146" s="37" t="s">
        <v>64</v>
      </c>
      <c r="M146" s="37" t="s">
        <v>409</v>
      </c>
      <c r="N146" s="37"/>
      <c r="O146" s="37" t="s">
        <v>4061</v>
      </c>
      <c r="P146" s="37" t="s">
        <v>410</v>
      </c>
      <c r="Q146" s="37" t="s">
        <v>10</v>
      </c>
      <c r="R146" s="37"/>
      <c r="S146" s="37"/>
      <c r="T146" s="37"/>
      <c r="U146" s="37"/>
      <c r="V146" s="37" t="s">
        <v>77</v>
      </c>
      <c r="W146" s="37" t="s">
        <v>73</v>
      </c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:37">
      <c r="A147" s="37"/>
      <c r="B147" s="37"/>
      <c r="C147" s="37"/>
      <c r="D147" s="37" t="s">
        <v>4669</v>
      </c>
      <c r="E147" s="37" t="s">
        <v>4012</v>
      </c>
      <c r="F147" s="37" t="s">
        <v>4670</v>
      </c>
      <c r="G147" s="37" t="s">
        <v>2848</v>
      </c>
      <c r="H147" s="37"/>
      <c r="I147" s="37" t="s">
        <v>420</v>
      </c>
      <c r="J147" s="37" t="s">
        <v>75</v>
      </c>
      <c r="K147" s="40" t="s">
        <v>2849</v>
      </c>
      <c r="L147" s="37" t="s">
        <v>64</v>
      </c>
      <c r="M147" s="37" t="s">
        <v>2850</v>
      </c>
      <c r="N147" s="37"/>
      <c r="O147" s="37" t="s">
        <v>4061</v>
      </c>
      <c r="P147" s="37" t="s">
        <v>911</v>
      </c>
      <c r="Q147" s="37" t="s">
        <v>10</v>
      </c>
      <c r="R147" s="37"/>
      <c r="S147" s="37"/>
      <c r="T147" s="37"/>
      <c r="U147" s="37"/>
      <c r="V147" s="37" t="s">
        <v>77</v>
      </c>
      <c r="W147" s="37" t="s">
        <v>73</v>
      </c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:37">
      <c r="A148" s="37"/>
      <c r="B148" s="37"/>
      <c r="C148" s="37"/>
      <c r="D148" s="37" t="s">
        <v>2880</v>
      </c>
      <c r="E148" s="37" t="s">
        <v>4544</v>
      </c>
      <c r="F148" s="37" t="s">
        <v>4545</v>
      </c>
      <c r="G148" s="37" t="s">
        <v>2848</v>
      </c>
      <c r="H148" s="37"/>
      <c r="I148" s="37" t="s">
        <v>420</v>
      </c>
      <c r="J148" s="37" t="s">
        <v>75</v>
      </c>
      <c r="K148" s="40" t="s">
        <v>2849</v>
      </c>
      <c r="L148" s="37" t="s">
        <v>64</v>
      </c>
      <c r="M148" s="37" t="s">
        <v>2850</v>
      </c>
      <c r="N148" s="37"/>
      <c r="O148" s="37" t="s">
        <v>4061</v>
      </c>
      <c r="P148" s="37" t="s">
        <v>911</v>
      </c>
      <c r="Q148" s="37" t="s">
        <v>10</v>
      </c>
      <c r="R148" s="37"/>
      <c r="S148" s="37"/>
      <c r="T148" s="37"/>
      <c r="U148" s="37"/>
      <c r="V148" s="37" t="s">
        <v>67</v>
      </c>
      <c r="W148" s="37" t="s">
        <v>89</v>
      </c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:37">
      <c r="A149" s="37"/>
      <c r="B149" s="37"/>
      <c r="C149" s="37"/>
      <c r="D149" s="37" t="s">
        <v>136</v>
      </c>
      <c r="E149" s="37" t="s">
        <v>137</v>
      </c>
      <c r="F149" s="37" t="s">
        <v>146</v>
      </c>
      <c r="G149" s="37" t="s">
        <v>138</v>
      </c>
      <c r="H149" s="37" t="s">
        <v>3159</v>
      </c>
      <c r="I149" s="37" t="s">
        <v>139</v>
      </c>
      <c r="J149" s="37" t="s">
        <v>121</v>
      </c>
      <c r="K149" s="40" t="s">
        <v>140</v>
      </c>
      <c r="L149" s="37" t="s">
        <v>64</v>
      </c>
      <c r="M149" s="37" t="s">
        <v>141</v>
      </c>
      <c r="N149" s="37" t="s">
        <v>142</v>
      </c>
      <c r="O149" s="37" t="s">
        <v>4059</v>
      </c>
      <c r="P149" s="37" t="s">
        <v>143</v>
      </c>
      <c r="Q149" s="37" t="s">
        <v>14</v>
      </c>
      <c r="R149" s="37"/>
      <c r="S149" s="37"/>
      <c r="T149" s="37" t="s">
        <v>115</v>
      </c>
      <c r="U149" s="37"/>
      <c r="V149" s="37" t="s">
        <v>67</v>
      </c>
      <c r="W149" s="37" t="s">
        <v>89</v>
      </c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:37">
      <c r="A150" s="37"/>
      <c r="B150" s="37"/>
      <c r="C150" s="37"/>
      <c r="D150" s="37" t="s">
        <v>3781</v>
      </c>
      <c r="E150" s="37" t="s">
        <v>351</v>
      </c>
      <c r="F150" s="37" t="s">
        <v>3784</v>
      </c>
      <c r="G150" s="37" t="s">
        <v>3782</v>
      </c>
      <c r="H150" s="37"/>
      <c r="I150" s="37" t="s">
        <v>776</v>
      </c>
      <c r="J150" s="37" t="s">
        <v>105</v>
      </c>
      <c r="K150" s="40" t="s">
        <v>777</v>
      </c>
      <c r="L150" s="37" t="s">
        <v>64</v>
      </c>
      <c r="M150" s="37" t="s">
        <v>3783</v>
      </c>
      <c r="N150" s="37"/>
      <c r="O150" s="37" t="s">
        <v>4059</v>
      </c>
      <c r="P150" s="37" t="s">
        <v>447</v>
      </c>
      <c r="Q150" s="37" t="s">
        <v>71</v>
      </c>
      <c r="R150" s="37"/>
      <c r="S150" s="37"/>
      <c r="T150" s="37" t="s">
        <v>66</v>
      </c>
      <c r="U150" s="37"/>
      <c r="V150" s="37" t="s">
        <v>67</v>
      </c>
      <c r="W150" s="37" t="s">
        <v>89</v>
      </c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:37">
      <c r="A151" s="37"/>
      <c r="B151" s="37"/>
      <c r="C151" s="37"/>
      <c r="D151" s="37" t="s">
        <v>566</v>
      </c>
      <c r="E151" s="37" t="s">
        <v>565</v>
      </c>
      <c r="F151" s="37" t="s">
        <v>573</v>
      </c>
      <c r="G151" s="37" t="s">
        <v>567</v>
      </c>
      <c r="H151" s="37" t="s">
        <v>568</v>
      </c>
      <c r="I151" s="37" t="s">
        <v>569</v>
      </c>
      <c r="J151" s="37" t="s">
        <v>196</v>
      </c>
      <c r="K151" s="40" t="s">
        <v>570</v>
      </c>
      <c r="L151" s="37" t="s">
        <v>64</v>
      </c>
      <c r="M151" s="37" t="s">
        <v>571</v>
      </c>
      <c r="N151" s="37" t="s">
        <v>572</v>
      </c>
      <c r="O151" s="37" t="s">
        <v>4059</v>
      </c>
      <c r="P151" s="37" t="s">
        <v>384</v>
      </c>
      <c r="Q151" s="37" t="s">
        <v>98</v>
      </c>
      <c r="R151" s="37"/>
      <c r="S151" s="37"/>
      <c r="T151" s="37" t="s">
        <v>69</v>
      </c>
      <c r="U151" s="37" t="s">
        <v>189</v>
      </c>
      <c r="V151" s="37" t="s">
        <v>77</v>
      </c>
      <c r="W151" s="37" t="s">
        <v>99</v>
      </c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:37">
      <c r="A152" s="37"/>
      <c r="B152" s="37"/>
      <c r="C152" s="37"/>
      <c r="D152" s="37" t="s">
        <v>211</v>
      </c>
      <c r="E152" s="37" t="s">
        <v>660</v>
      </c>
      <c r="F152" s="37" t="s">
        <v>665</v>
      </c>
      <c r="G152" s="37" t="s">
        <v>661</v>
      </c>
      <c r="H152" s="37"/>
      <c r="I152" s="37" t="s">
        <v>662</v>
      </c>
      <c r="J152" s="37" t="s">
        <v>324</v>
      </c>
      <c r="K152" s="40" t="s">
        <v>663</v>
      </c>
      <c r="L152" s="37" t="s">
        <v>64</v>
      </c>
      <c r="M152" s="37" t="s">
        <v>664</v>
      </c>
      <c r="N152" s="37"/>
      <c r="O152" s="37" t="s">
        <v>4059</v>
      </c>
      <c r="P152" s="37" t="s">
        <v>447</v>
      </c>
      <c r="Q152" s="37" t="s">
        <v>65</v>
      </c>
      <c r="R152" s="37"/>
      <c r="S152" s="37"/>
      <c r="T152" s="37"/>
      <c r="U152" s="37"/>
      <c r="V152" s="37" t="s">
        <v>67</v>
      </c>
      <c r="W152" s="37" t="s">
        <v>73</v>
      </c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:37">
      <c r="A153" s="37"/>
      <c r="B153" s="37"/>
      <c r="C153" s="37"/>
      <c r="D153" s="37" t="s">
        <v>4977</v>
      </c>
      <c r="E153" s="37" t="s">
        <v>667</v>
      </c>
      <c r="F153" s="37" t="s">
        <v>4980</v>
      </c>
      <c r="G153" s="37" t="s">
        <v>4978</v>
      </c>
      <c r="H153" s="37"/>
      <c r="I153" s="37" t="s">
        <v>82</v>
      </c>
      <c r="J153" s="37" t="s">
        <v>83</v>
      </c>
      <c r="K153" s="40" t="s">
        <v>677</v>
      </c>
      <c r="L153" s="37" t="s">
        <v>64</v>
      </c>
      <c r="M153" s="37" t="s">
        <v>4979</v>
      </c>
      <c r="N153" s="37"/>
      <c r="O153" s="37" t="s">
        <v>4059</v>
      </c>
      <c r="P153" s="37" t="s">
        <v>447</v>
      </c>
      <c r="Q153" s="37" t="s">
        <v>14</v>
      </c>
      <c r="R153" s="37"/>
      <c r="S153" s="37"/>
      <c r="T153" s="37" t="s">
        <v>69</v>
      </c>
      <c r="U153" s="37" t="s">
        <v>87</v>
      </c>
      <c r="V153" s="37" t="s">
        <v>67</v>
      </c>
      <c r="W153" s="37" t="s">
        <v>99</v>
      </c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:37">
      <c r="A154" s="37"/>
      <c r="B154" s="37"/>
      <c r="C154" s="37"/>
      <c r="D154" s="37" t="s">
        <v>676</v>
      </c>
      <c r="E154" s="37" t="s">
        <v>5885</v>
      </c>
      <c r="F154" s="37" t="s">
        <v>5886</v>
      </c>
      <c r="G154" s="37" t="s">
        <v>5887</v>
      </c>
      <c r="H154" s="37"/>
      <c r="I154" s="37" t="s">
        <v>82</v>
      </c>
      <c r="J154" s="37" t="s">
        <v>83</v>
      </c>
      <c r="K154" s="40" t="s">
        <v>677</v>
      </c>
      <c r="L154" s="37" t="s">
        <v>64</v>
      </c>
      <c r="M154" s="37" t="s">
        <v>5888</v>
      </c>
      <c r="N154" s="37"/>
      <c r="O154" s="37" t="s">
        <v>4059</v>
      </c>
      <c r="P154" s="37" t="s">
        <v>447</v>
      </c>
      <c r="Q154" s="37" t="s">
        <v>14</v>
      </c>
      <c r="R154" s="37"/>
      <c r="S154" s="37"/>
      <c r="T154" s="37"/>
      <c r="U154" s="37"/>
      <c r="V154" s="37" t="s">
        <v>77</v>
      </c>
      <c r="W154" s="37" t="s">
        <v>78</v>
      </c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:37">
      <c r="A155" s="37"/>
      <c r="B155" s="37"/>
      <c r="C155" s="37"/>
      <c r="D155" s="37" t="s">
        <v>211</v>
      </c>
      <c r="E155" s="37" t="s">
        <v>3765</v>
      </c>
      <c r="F155" s="37" t="s">
        <v>3773</v>
      </c>
      <c r="G155" s="37" t="s">
        <v>3766</v>
      </c>
      <c r="H155" s="37" t="s">
        <v>3767</v>
      </c>
      <c r="I155" s="37" t="s">
        <v>3768</v>
      </c>
      <c r="J155" s="37" t="s">
        <v>1143</v>
      </c>
      <c r="K155" s="40" t="s">
        <v>3769</v>
      </c>
      <c r="L155" s="37" t="s">
        <v>64</v>
      </c>
      <c r="M155" s="37" t="s">
        <v>3770</v>
      </c>
      <c r="N155" s="37" t="s">
        <v>3771</v>
      </c>
      <c r="O155" s="37" t="s">
        <v>4059</v>
      </c>
      <c r="P155" s="37" t="s">
        <v>285</v>
      </c>
      <c r="Q155" s="37" t="s">
        <v>4</v>
      </c>
      <c r="R155" s="37" t="s">
        <v>3772</v>
      </c>
      <c r="S155" s="37"/>
      <c r="T155" s="37" t="s">
        <v>66</v>
      </c>
      <c r="U155" s="37"/>
      <c r="V155" s="37" t="s">
        <v>72</v>
      </c>
      <c r="W155" s="37" t="s">
        <v>110</v>
      </c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:37">
      <c r="A156" s="37"/>
      <c r="B156" s="37"/>
      <c r="C156" s="37"/>
      <c r="D156" s="37" t="s">
        <v>2064</v>
      </c>
      <c r="E156" s="37" t="s">
        <v>708</v>
      </c>
      <c r="F156" s="37" t="s">
        <v>4707</v>
      </c>
      <c r="G156" s="37" t="s">
        <v>4704</v>
      </c>
      <c r="H156" s="37"/>
      <c r="I156" s="37" t="s">
        <v>416</v>
      </c>
      <c r="J156" s="37" t="s">
        <v>75</v>
      </c>
      <c r="K156" s="40" t="s">
        <v>4050</v>
      </c>
      <c r="L156" s="37" t="s">
        <v>64</v>
      </c>
      <c r="M156" s="37" t="s">
        <v>4705</v>
      </c>
      <c r="N156" s="37" t="s">
        <v>4706</v>
      </c>
      <c r="O156" s="37" t="s">
        <v>4059</v>
      </c>
      <c r="P156" s="37" t="s">
        <v>2694</v>
      </c>
      <c r="Q156" s="37" t="s">
        <v>10</v>
      </c>
      <c r="R156" s="37"/>
      <c r="S156" s="37"/>
      <c r="T156" s="37" t="s">
        <v>66</v>
      </c>
      <c r="U156" s="37" t="s">
        <v>145</v>
      </c>
      <c r="V156" s="37" t="s">
        <v>88</v>
      </c>
      <c r="W156" s="37" t="s">
        <v>89</v>
      </c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:37">
      <c r="A157" s="37"/>
      <c r="B157" s="37"/>
      <c r="C157" s="37"/>
      <c r="D157" s="37" t="s">
        <v>390</v>
      </c>
      <c r="E157" s="37" t="s">
        <v>863</v>
      </c>
      <c r="F157" s="37" t="s">
        <v>868</v>
      </c>
      <c r="G157" s="37" t="s">
        <v>864</v>
      </c>
      <c r="H157" s="37"/>
      <c r="I157" s="37" t="s">
        <v>579</v>
      </c>
      <c r="J157" s="37" t="s">
        <v>75</v>
      </c>
      <c r="K157" s="40" t="s">
        <v>865</v>
      </c>
      <c r="L157" s="37" t="s">
        <v>64</v>
      </c>
      <c r="M157" s="37" t="s">
        <v>866</v>
      </c>
      <c r="N157" s="37"/>
      <c r="O157" s="37" t="s">
        <v>4059</v>
      </c>
      <c r="P157" s="37" t="s">
        <v>867</v>
      </c>
      <c r="Q157" s="37" t="s">
        <v>10</v>
      </c>
      <c r="R157" s="37"/>
      <c r="S157" s="37"/>
      <c r="T157" s="37"/>
      <c r="U157" s="37" t="s">
        <v>182</v>
      </c>
      <c r="V157" s="37" t="s">
        <v>88</v>
      </c>
      <c r="W157" s="37" t="s">
        <v>89</v>
      </c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:37">
      <c r="A158" s="37"/>
      <c r="B158" s="37"/>
      <c r="C158" s="37"/>
      <c r="D158" s="37" t="s">
        <v>1582</v>
      </c>
      <c r="E158" s="37" t="s">
        <v>3076</v>
      </c>
      <c r="F158" s="37" t="s">
        <v>5889</v>
      </c>
      <c r="G158" s="37" t="s">
        <v>5890</v>
      </c>
      <c r="H158" s="37"/>
      <c r="I158" s="37" t="s">
        <v>224</v>
      </c>
      <c r="J158" s="37" t="s">
        <v>121</v>
      </c>
      <c r="K158" s="40" t="s">
        <v>3077</v>
      </c>
      <c r="L158" s="37" t="s">
        <v>64</v>
      </c>
      <c r="M158" s="37" t="s">
        <v>3078</v>
      </c>
      <c r="N158" s="37" t="s">
        <v>1762</v>
      </c>
      <c r="O158" s="37" t="s">
        <v>4059</v>
      </c>
      <c r="P158" s="37" t="s">
        <v>447</v>
      </c>
      <c r="Q158" s="37" t="s">
        <v>71</v>
      </c>
      <c r="R158" s="37"/>
      <c r="S158" s="37"/>
      <c r="T158" s="37" t="s">
        <v>69</v>
      </c>
      <c r="U158" s="37" t="s">
        <v>130</v>
      </c>
      <c r="V158" s="37" t="s">
        <v>77</v>
      </c>
      <c r="W158" s="37" t="s">
        <v>97</v>
      </c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:37">
      <c r="A159" s="37"/>
      <c r="B159" s="37"/>
      <c r="C159" s="37"/>
      <c r="D159" s="37" t="s">
        <v>3706</v>
      </c>
      <c r="E159" s="37" t="s">
        <v>2739</v>
      </c>
      <c r="F159" s="37" t="s">
        <v>3711</v>
      </c>
      <c r="G159" s="37" t="s">
        <v>3707</v>
      </c>
      <c r="H159" s="37"/>
      <c r="I159" s="37" t="s">
        <v>3708</v>
      </c>
      <c r="J159" s="37" t="s">
        <v>105</v>
      </c>
      <c r="K159" s="40" t="s">
        <v>3709</v>
      </c>
      <c r="L159" s="37" t="s">
        <v>64</v>
      </c>
      <c r="M159" s="37" t="s">
        <v>3710</v>
      </c>
      <c r="N159" s="37"/>
      <c r="O159" s="37" t="s">
        <v>4059</v>
      </c>
      <c r="P159" s="37" t="s">
        <v>1852</v>
      </c>
      <c r="Q159" s="37" t="s">
        <v>14</v>
      </c>
      <c r="R159" s="37"/>
      <c r="S159" s="37"/>
      <c r="T159" s="37" t="s">
        <v>115</v>
      </c>
      <c r="U159" s="37" t="s">
        <v>185</v>
      </c>
      <c r="V159" s="37" t="s">
        <v>77</v>
      </c>
      <c r="W159" s="37" t="s">
        <v>576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:37">
      <c r="A160" s="37"/>
      <c r="B160" s="37"/>
      <c r="C160" s="37"/>
      <c r="D160" s="37" t="s">
        <v>702</v>
      </c>
      <c r="E160" s="37" t="s">
        <v>3712</v>
      </c>
      <c r="F160" s="37" t="s">
        <v>4761</v>
      </c>
      <c r="G160" s="37" t="s">
        <v>4756</v>
      </c>
      <c r="H160" s="37"/>
      <c r="I160" s="37" t="s">
        <v>82</v>
      </c>
      <c r="J160" s="37" t="s">
        <v>83</v>
      </c>
      <c r="K160" s="40" t="s">
        <v>4757</v>
      </c>
      <c r="L160" s="37" t="s">
        <v>64</v>
      </c>
      <c r="M160" s="37" t="s">
        <v>4758</v>
      </c>
      <c r="N160" s="37"/>
      <c r="O160" s="37" t="s">
        <v>4059</v>
      </c>
      <c r="P160" s="37" t="s">
        <v>285</v>
      </c>
      <c r="Q160" s="37" t="s">
        <v>71</v>
      </c>
      <c r="R160" s="37" t="s">
        <v>4759</v>
      </c>
      <c r="S160" s="37" t="s">
        <v>4760</v>
      </c>
      <c r="T160" s="37" t="s">
        <v>158</v>
      </c>
      <c r="U160" s="37" t="s">
        <v>87</v>
      </c>
      <c r="V160" s="37" t="s">
        <v>88</v>
      </c>
      <c r="W160" s="37" t="s">
        <v>89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:37">
      <c r="A161" s="37"/>
      <c r="B161" s="37"/>
      <c r="C161" s="37"/>
      <c r="D161" s="37" t="s">
        <v>2757</v>
      </c>
      <c r="E161" s="37" t="s">
        <v>3715</v>
      </c>
      <c r="F161" s="37" t="s">
        <v>3719</v>
      </c>
      <c r="G161" s="37" t="s">
        <v>3716</v>
      </c>
      <c r="H161" s="37" t="s">
        <v>3717</v>
      </c>
      <c r="I161" s="37" t="s">
        <v>224</v>
      </c>
      <c r="J161" s="37" t="s">
        <v>121</v>
      </c>
      <c r="K161" s="40" t="s">
        <v>446</v>
      </c>
      <c r="L161" s="37" t="s">
        <v>64</v>
      </c>
      <c r="M161" s="37" t="s">
        <v>3718</v>
      </c>
      <c r="N161" s="37"/>
      <c r="O161" s="37" t="s">
        <v>4059</v>
      </c>
      <c r="P161" s="37" t="s">
        <v>447</v>
      </c>
      <c r="Q161" s="37" t="s">
        <v>71</v>
      </c>
      <c r="R161" s="37"/>
      <c r="S161" s="37"/>
      <c r="T161" s="37"/>
      <c r="U161" s="37"/>
      <c r="V161" s="37" t="s">
        <v>77</v>
      </c>
      <c r="W161" s="37" t="s">
        <v>78</v>
      </c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:37">
      <c r="A162" s="37"/>
      <c r="B162" s="37"/>
      <c r="C162" s="37"/>
      <c r="D162" s="37" t="s">
        <v>5891</v>
      </c>
      <c r="E162" s="37" t="s">
        <v>5892</v>
      </c>
      <c r="F162" s="37" t="s">
        <v>5893</v>
      </c>
      <c r="G162" s="37" t="s">
        <v>5894</v>
      </c>
      <c r="H162" s="37"/>
      <c r="I162" s="37" t="s">
        <v>420</v>
      </c>
      <c r="J162" s="37" t="s">
        <v>75</v>
      </c>
      <c r="K162" s="40" t="s">
        <v>698</v>
      </c>
      <c r="L162" s="37" t="s">
        <v>64</v>
      </c>
      <c r="M162" s="37" t="s">
        <v>5895</v>
      </c>
      <c r="N162" s="37"/>
      <c r="O162" s="37" t="s">
        <v>4059</v>
      </c>
      <c r="P162" s="37" t="s">
        <v>285</v>
      </c>
      <c r="Q162" s="37" t="s">
        <v>10</v>
      </c>
      <c r="R162" s="37" t="s">
        <v>5896</v>
      </c>
      <c r="S162" s="37"/>
      <c r="T162" s="37" t="s">
        <v>69</v>
      </c>
      <c r="U162" s="37" t="s">
        <v>69</v>
      </c>
      <c r="V162" s="37" t="s">
        <v>72</v>
      </c>
      <c r="W162" s="37" t="s">
        <v>97</v>
      </c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:37">
      <c r="A163" s="37"/>
      <c r="B163" s="37"/>
      <c r="C163" s="37"/>
      <c r="D163" s="37" t="s">
        <v>5642</v>
      </c>
      <c r="E163" s="37" t="s">
        <v>1436</v>
      </c>
      <c r="F163" s="37" t="s">
        <v>5645</v>
      </c>
      <c r="G163" s="37" t="s">
        <v>4978</v>
      </c>
      <c r="H163" s="37"/>
      <c r="I163" s="37" t="s">
        <v>82</v>
      </c>
      <c r="J163" s="37" t="s">
        <v>83</v>
      </c>
      <c r="K163" s="40" t="s">
        <v>677</v>
      </c>
      <c r="L163" s="37" t="s">
        <v>64</v>
      </c>
      <c r="M163" s="37" t="s">
        <v>5643</v>
      </c>
      <c r="N163" s="37" t="s">
        <v>5644</v>
      </c>
      <c r="O163" s="37" t="s">
        <v>4059</v>
      </c>
      <c r="P163" s="37" t="s">
        <v>447</v>
      </c>
      <c r="Q163" s="37" t="s">
        <v>14</v>
      </c>
      <c r="R163" s="37"/>
      <c r="S163" s="37"/>
      <c r="T163" s="37" t="s">
        <v>144</v>
      </c>
      <c r="U163" s="37" t="s">
        <v>145</v>
      </c>
      <c r="V163" s="37" t="s">
        <v>77</v>
      </c>
      <c r="W163" s="37" t="s">
        <v>756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:37">
      <c r="A164" s="37"/>
      <c r="B164" s="37"/>
      <c r="C164" s="37"/>
      <c r="D164" s="37" t="s">
        <v>4650</v>
      </c>
      <c r="E164" s="37" t="s">
        <v>4651</v>
      </c>
      <c r="F164" s="37" t="s">
        <v>4656</v>
      </c>
      <c r="G164" s="37" t="s">
        <v>4652</v>
      </c>
      <c r="H164" s="37"/>
      <c r="I164" s="37" t="s">
        <v>1704</v>
      </c>
      <c r="J164" s="37" t="s">
        <v>394</v>
      </c>
      <c r="K164" s="40" t="s">
        <v>1705</v>
      </c>
      <c r="L164" s="37" t="s">
        <v>64</v>
      </c>
      <c r="M164" s="37" t="s">
        <v>4653</v>
      </c>
      <c r="N164" s="37" t="s">
        <v>4654</v>
      </c>
      <c r="O164" s="37" t="s">
        <v>4059</v>
      </c>
      <c r="P164" s="37" t="s">
        <v>285</v>
      </c>
      <c r="Q164" s="37" t="s">
        <v>10</v>
      </c>
      <c r="R164" s="37" t="s">
        <v>4655</v>
      </c>
      <c r="S164" s="37"/>
      <c r="T164" s="37" t="s">
        <v>144</v>
      </c>
      <c r="U164" s="37" t="s">
        <v>185</v>
      </c>
      <c r="V164" s="37" t="s">
        <v>118</v>
      </c>
      <c r="W164" s="37" t="s">
        <v>89</v>
      </c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:37">
      <c r="A165" s="37"/>
      <c r="B165" s="37"/>
      <c r="C165" s="37"/>
      <c r="D165" s="37" t="s">
        <v>1390</v>
      </c>
      <c r="E165" s="37" t="s">
        <v>1583</v>
      </c>
      <c r="F165" s="37" t="s">
        <v>1588</v>
      </c>
      <c r="G165" s="37" t="s">
        <v>1584</v>
      </c>
      <c r="H165" s="37"/>
      <c r="I165" s="37" t="s">
        <v>82</v>
      </c>
      <c r="J165" s="37" t="s">
        <v>83</v>
      </c>
      <c r="K165" s="40" t="s">
        <v>677</v>
      </c>
      <c r="L165" s="37" t="s">
        <v>64</v>
      </c>
      <c r="M165" s="37" t="s">
        <v>1585</v>
      </c>
      <c r="N165" s="37" t="s">
        <v>1586</v>
      </c>
      <c r="O165" s="37" t="s">
        <v>4059</v>
      </c>
      <c r="P165" s="37" t="s">
        <v>285</v>
      </c>
      <c r="Q165" s="37" t="s">
        <v>14</v>
      </c>
      <c r="R165" s="37"/>
      <c r="S165" s="37" t="s">
        <v>1587</v>
      </c>
      <c r="T165" s="37" t="s">
        <v>144</v>
      </c>
      <c r="U165" s="37" t="s">
        <v>185</v>
      </c>
      <c r="V165" s="37" t="s">
        <v>67</v>
      </c>
      <c r="W165" s="37" t="s">
        <v>89</v>
      </c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:37">
      <c r="A166" s="37"/>
      <c r="B166" s="37"/>
      <c r="C166" s="37"/>
      <c r="D166" s="37" t="s">
        <v>4649</v>
      </c>
      <c r="E166" s="37" t="s">
        <v>390</v>
      </c>
      <c r="F166" s="37" t="s">
        <v>4230</v>
      </c>
      <c r="G166" s="37" t="s">
        <v>4226</v>
      </c>
      <c r="H166" s="37" t="s">
        <v>4227</v>
      </c>
      <c r="I166" s="37" t="s">
        <v>224</v>
      </c>
      <c r="J166" s="37" t="s">
        <v>121</v>
      </c>
      <c r="K166" s="40" t="s">
        <v>446</v>
      </c>
      <c r="L166" s="37" t="s">
        <v>64</v>
      </c>
      <c r="M166" s="37" t="s">
        <v>4228</v>
      </c>
      <c r="N166" s="37" t="s">
        <v>4229</v>
      </c>
      <c r="O166" s="37" t="s">
        <v>4059</v>
      </c>
      <c r="P166" s="37" t="s">
        <v>447</v>
      </c>
      <c r="Q166" s="37" t="s">
        <v>71</v>
      </c>
      <c r="R166" s="37"/>
      <c r="S166" s="37"/>
      <c r="T166" s="37" t="s">
        <v>115</v>
      </c>
      <c r="U166" s="37" t="s">
        <v>87</v>
      </c>
      <c r="V166" s="37" t="s">
        <v>72</v>
      </c>
      <c r="W166" s="37" t="s">
        <v>135</v>
      </c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:37">
      <c r="A167" s="37" t="s">
        <v>112</v>
      </c>
      <c r="B167" s="37"/>
      <c r="C167" s="37"/>
      <c r="D167" s="37" t="s">
        <v>211</v>
      </c>
      <c r="E167" s="37" t="s">
        <v>3972</v>
      </c>
      <c r="F167" s="37" t="s">
        <v>5897</v>
      </c>
      <c r="G167" s="37" t="s">
        <v>1761</v>
      </c>
      <c r="H167" s="37"/>
      <c r="I167" s="37" t="s">
        <v>224</v>
      </c>
      <c r="J167" s="37" t="s">
        <v>121</v>
      </c>
      <c r="K167" s="40" t="s">
        <v>446</v>
      </c>
      <c r="L167" s="37" t="s">
        <v>64</v>
      </c>
      <c r="M167" s="37" t="s">
        <v>5898</v>
      </c>
      <c r="N167" s="37" t="s">
        <v>1762</v>
      </c>
      <c r="O167" s="37" t="s">
        <v>4059</v>
      </c>
      <c r="P167" s="37" t="s">
        <v>447</v>
      </c>
      <c r="Q167" s="37" t="s">
        <v>71</v>
      </c>
      <c r="R167" s="37"/>
      <c r="S167" s="37"/>
      <c r="T167" s="37" t="s">
        <v>69</v>
      </c>
      <c r="U167" s="37" t="s">
        <v>130</v>
      </c>
      <c r="V167" s="37" t="s">
        <v>77</v>
      </c>
      <c r="W167" s="37" t="s">
        <v>97</v>
      </c>
      <c r="X167" s="25"/>
      <c r="Y167" s="25"/>
      <c r="Z167" s="25"/>
      <c r="AA167" s="25"/>
      <c r="AB167" s="25"/>
      <c r="AC167" s="25"/>
      <c r="AD167" s="25"/>
      <c r="AE167" s="25"/>
      <c r="AF167" s="26"/>
      <c r="AG167" s="25"/>
      <c r="AH167" s="25"/>
      <c r="AI167" s="25"/>
      <c r="AJ167" s="25"/>
      <c r="AK167" s="25"/>
    </row>
    <row r="168" spans="1:37">
      <c r="A168" s="37"/>
      <c r="B168" s="37"/>
      <c r="C168" s="37"/>
      <c r="D168" s="37" t="s">
        <v>2990</v>
      </c>
      <c r="E168" s="37" t="s">
        <v>2991</v>
      </c>
      <c r="F168" s="37" t="s">
        <v>2995</v>
      </c>
      <c r="G168" s="37" t="s">
        <v>2992</v>
      </c>
      <c r="H168" s="37"/>
      <c r="I168" s="37" t="s">
        <v>82</v>
      </c>
      <c r="J168" s="37" t="s">
        <v>83</v>
      </c>
      <c r="K168" s="40" t="s">
        <v>677</v>
      </c>
      <c r="L168" s="37" t="s">
        <v>64</v>
      </c>
      <c r="M168" s="37" t="s">
        <v>2993</v>
      </c>
      <c r="N168" s="37" t="s">
        <v>2994</v>
      </c>
      <c r="O168" s="37" t="s">
        <v>4059</v>
      </c>
      <c r="P168" s="37" t="s">
        <v>447</v>
      </c>
      <c r="Q168" s="37" t="s">
        <v>14</v>
      </c>
      <c r="R168" s="37"/>
      <c r="S168" s="37"/>
      <c r="T168" s="37" t="s">
        <v>69</v>
      </c>
      <c r="U168" s="37" t="s">
        <v>87</v>
      </c>
      <c r="V168" s="37" t="s">
        <v>77</v>
      </c>
      <c r="W168" s="37" t="s">
        <v>78</v>
      </c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:37">
      <c r="A169" s="37"/>
      <c r="B169" s="37"/>
      <c r="C169" s="37"/>
      <c r="D169" s="37" t="s">
        <v>2144</v>
      </c>
      <c r="E169" s="37" t="s">
        <v>2007</v>
      </c>
      <c r="F169" s="37" t="s">
        <v>3660</v>
      </c>
      <c r="G169" s="37" t="s">
        <v>3657</v>
      </c>
      <c r="H169" s="37" t="s">
        <v>3658</v>
      </c>
      <c r="I169" s="37" t="s">
        <v>224</v>
      </c>
      <c r="J169" s="37" t="s">
        <v>121</v>
      </c>
      <c r="K169" s="40" t="s">
        <v>446</v>
      </c>
      <c r="L169" s="37" t="s">
        <v>64</v>
      </c>
      <c r="M169" s="37" t="s">
        <v>3659</v>
      </c>
      <c r="N169" s="37"/>
      <c r="O169" s="37" t="s">
        <v>4059</v>
      </c>
      <c r="P169" s="37" t="s">
        <v>447</v>
      </c>
      <c r="Q169" s="37" t="s">
        <v>71</v>
      </c>
      <c r="R169" s="37"/>
      <c r="S169" s="37"/>
      <c r="T169" s="37"/>
      <c r="U169" s="37"/>
      <c r="V169" s="37" t="s">
        <v>77</v>
      </c>
      <c r="W169" s="37" t="s">
        <v>78</v>
      </c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:37">
      <c r="A170" s="37"/>
      <c r="B170" s="37"/>
      <c r="C170" s="37"/>
      <c r="D170" s="37" t="s">
        <v>768</v>
      </c>
      <c r="E170" s="37" t="s">
        <v>3017</v>
      </c>
      <c r="F170" s="37" t="s">
        <v>3021</v>
      </c>
      <c r="G170" s="37" t="s">
        <v>3018</v>
      </c>
      <c r="H170" s="37" t="s">
        <v>2441</v>
      </c>
      <c r="I170" s="37" t="s">
        <v>3089</v>
      </c>
      <c r="J170" s="37" t="s">
        <v>1851</v>
      </c>
      <c r="K170" s="40" t="s">
        <v>3090</v>
      </c>
      <c r="L170" s="37" t="s">
        <v>64</v>
      </c>
      <c r="M170" s="37" t="s">
        <v>3019</v>
      </c>
      <c r="N170" s="37" t="s">
        <v>3020</v>
      </c>
      <c r="O170" s="37" t="s">
        <v>4059</v>
      </c>
      <c r="P170" s="37" t="s">
        <v>1852</v>
      </c>
      <c r="Q170" s="37" t="s">
        <v>98</v>
      </c>
      <c r="R170" s="37"/>
      <c r="S170" s="37"/>
      <c r="T170" s="37" t="s">
        <v>144</v>
      </c>
      <c r="U170" s="37"/>
      <c r="V170" s="37" t="s">
        <v>118</v>
      </c>
      <c r="W170" s="37" t="s">
        <v>89</v>
      </c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:37">
      <c r="A171" s="37"/>
      <c r="B171" s="37"/>
      <c r="C171" s="37"/>
      <c r="D171" s="37" t="s">
        <v>539</v>
      </c>
      <c r="E171" s="37" t="s">
        <v>3252</v>
      </c>
      <c r="F171" s="37" t="s">
        <v>3619</v>
      </c>
      <c r="G171" s="37" t="s">
        <v>3657</v>
      </c>
      <c r="H171" s="37"/>
      <c r="I171" s="37" t="s">
        <v>224</v>
      </c>
      <c r="J171" s="37" t="s">
        <v>121</v>
      </c>
      <c r="K171" s="40" t="s">
        <v>446</v>
      </c>
      <c r="L171" s="37" t="s">
        <v>64</v>
      </c>
      <c r="M171" s="37" t="s">
        <v>3617</v>
      </c>
      <c r="N171" s="37" t="s">
        <v>3618</v>
      </c>
      <c r="O171" s="37" t="s">
        <v>4059</v>
      </c>
      <c r="P171" s="37" t="s">
        <v>447</v>
      </c>
      <c r="Q171" s="37" t="s">
        <v>71</v>
      </c>
      <c r="R171" s="37"/>
      <c r="S171" s="37"/>
      <c r="T171" s="37"/>
      <c r="U171" s="37"/>
      <c r="V171" s="37" t="s">
        <v>67</v>
      </c>
      <c r="W171" s="37" t="s">
        <v>89</v>
      </c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:37">
      <c r="A172" s="37"/>
      <c r="B172" s="37"/>
      <c r="C172" s="37"/>
      <c r="D172" s="37" t="s">
        <v>444</v>
      </c>
      <c r="E172" s="37" t="s">
        <v>3252</v>
      </c>
      <c r="F172" s="37" t="s">
        <v>3257</v>
      </c>
      <c r="G172" s="37" t="s">
        <v>3253</v>
      </c>
      <c r="H172" s="37" t="s">
        <v>3254</v>
      </c>
      <c r="I172" s="37" t="s">
        <v>224</v>
      </c>
      <c r="J172" s="37" t="s">
        <v>121</v>
      </c>
      <c r="K172" s="40" t="s">
        <v>446</v>
      </c>
      <c r="L172" s="37" t="s">
        <v>64</v>
      </c>
      <c r="M172" s="37" t="s">
        <v>3255</v>
      </c>
      <c r="N172" s="37" t="s">
        <v>3256</v>
      </c>
      <c r="O172" s="37" t="s">
        <v>4059</v>
      </c>
      <c r="P172" s="37" t="s">
        <v>447</v>
      </c>
      <c r="Q172" s="37" t="s">
        <v>71</v>
      </c>
      <c r="R172" s="37"/>
      <c r="S172" s="37"/>
      <c r="T172" s="37"/>
      <c r="U172" s="37"/>
      <c r="V172" s="37" t="s">
        <v>77</v>
      </c>
      <c r="W172" s="37" t="s">
        <v>78</v>
      </c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:37">
      <c r="A173" s="37" t="s">
        <v>97</v>
      </c>
      <c r="B173" s="37"/>
      <c r="C173" s="37"/>
      <c r="D173" s="37" t="s">
        <v>5899</v>
      </c>
      <c r="E173" s="37" t="s">
        <v>2157</v>
      </c>
      <c r="F173" s="37" t="s">
        <v>5900</v>
      </c>
      <c r="G173" s="37" t="s">
        <v>5901</v>
      </c>
      <c r="H173" s="37"/>
      <c r="I173" s="37" t="s">
        <v>380</v>
      </c>
      <c r="J173" s="37" t="s">
        <v>214</v>
      </c>
      <c r="K173" s="40" t="s">
        <v>381</v>
      </c>
      <c r="L173" s="37" t="s">
        <v>64</v>
      </c>
      <c r="M173" s="37" t="s">
        <v>5902</v>
      </c>
      <c r="N173" s="37"/>
      <c r="O173" s="37" t="s">
        <v>4059</v>
      </c>
      <c r="P173" s="37" t="s">
        <v>384</v>
      </c>
      <c r="Q173" s="37" t="s">
        <v>10</v>
      </c>
      <c r="R173" s="37"/>
      <c r="S173" s="37"/>
      <c r="T173" s="37" t="s">
        <v>66</v>
      </c>
      <c r="U173" s="37" t="s">
        <v>182</v>
      </c>
      <c r="V173" s="37" t="s">
        <v>67</v>
      </c>
      <c r="W173" s="37" t="s">
        <v>97</v>
      </c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:37">
      <c r="A174" s="37"/>
      <c r="B174" s="37"/>
      <c r="C174" s="37"/>
      <c r="D174" s="37" t="s">
        <v>1136</v>
      </c>
      <c r="E174" s="37" t="s">
        <v>2161</v>
      </c>
      <c r="F174" s="37" t="s">
        <v>2165</v>
      </c>
      <c r="G174" s="37" t="s">
        <v>530</v>
      </c>
      <c r="H174" s="37" t="s">
        <v>2162</v>
      </c>
      <c r="I174" s="37" t="s">
        <v>650</v>
      </c>
      <c r="J174" s="37" t="s">
        <v>324</v>
      </c>
      <c r="K174" s="40" t="s">
        <v>531</v>
      </c>
      <c r="L174" s="37" t="s">
        <v>64</v>
      </c>
      <c r="M174" s="37" t="s">
        <v>2163</v>
      </c>
      <c r="N174" s="37" t="s">
        <v>2164</v>
      </c>
      <c r="O174" s="37" t="s">
        <v>4059</v>
      </c>
      <c r="P174" s="37" t="s">
        <v>447</v>
      </c>
      <c r="Q174" s="37" t="s">
        <v>65</v>
      </c>
      <c r="R174" s="37"/>
      <c r="S174" s="37"/>
      <c r="T174" s="37"/>
      <c r="U174" s="37" t="s">
        <v>182</v>
      </c>
      <c r="V174" s="37" t="s">
        <v>77</v>
      </c>
      <c r="W174" s="37" t="s">
        <v>89</v>
      </c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:37">
      <c r="A175" s="37"/>
      <c r="B175" s="37"/>
      <c r="C175" s="37"/>
      <c r="D175" s="37" t="s">
        <v>509</v>
      </c>
      <c r="E175" s="37" t="s">
        <v>3264</v>
      </c>
      <c r="F175" s="37" t="s">
        <v>3267</v>
      </c>
      <c r="G175" s="37" t="s">
        <v>3253</v>
      </c>
      <c r="H175" s="37" t="s">
        <v>3254</v>
      </c>
      <c r="I175" s="37" t="s">
        <v>224</v>
      </c>
      <c r="J175" s="37" t="s">
        <v>121</v>
      </c>
      <c r="K175" s="40" t="s">
        <v>446</v>
      </c>
      <c r="L175" s="37" t="s">
        <v>64</v>
      </c>
      <c r="M175" s="37" t="s">
        <v>3265</v>
      </c>
      <c r="N175" s="37" t="s">
        <v>3266</v>
      </c>
      <c r="O175" s="37" t="s">
        <v>4059</v>
      </c>
      <c r="P175" s="37" t="s">
        <v>447</v>
      </c>
      <c r="Q175" s="37" t="s">
        <v>71</v>
      </c>
      <c r="R175" s="37"/>
      <c r="S175" s="37"/>
      <c r="T175" s="37"/>
      <c r="U175" s="37"/>
      <c r="V175" s="37" t="s">
        <v>77</v>
      </c>
      <c r="W175" s="37" t="s">
        <v>78</v>
      </c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:37">
      <c r="A176" s="37"/>
      <c r="B176" s="37"/>
      <c r="C176" s="37"/>
      <c r="D176" s="37" t="s">
        <v>117</v>
      </c>
      <c r="E176" s="37" t="s">
        <v>4823</v>
      </c>
      <c r="F176" s="37" t="s">
        <v>4828</v>
      </c>
      <c r="G176" s="37" t="s">
        <v>4824</v>
      </c>
      <c r="H176" s="37"/>
      <c r="I176" s="37" t="s">
        <v>843</v>
      </c>
      <c r="J176" s="37" t="s">
        <v>75</v>
      </c>
      <c r="K176" s="40" t="s">
        <v>4825</v>
      </c>
      <c r="L176" s="37" t="s">
        <v>64</v>
      </c>
      <c r="M176" s="37" t="s">
        <v>4826</v>
      </c>
      <c r="N176" s="37" t="s">
        <v>4827</v>
      </c>
      <c r="O176" s="37" t="s">
        <v>4059</v>
      </c>
      <c r="P176" s="37" t="s">
        <v>384</v>
      </c>
      <c r="Q176" s="37" t="s">
        <v>10</v>
      </c>
      <c r="R176" s="37"/>
      <c r="S176" s="37"/>
      <c r="T176" s="37" t="s">
        <v>69</v>
      </c>
      <c r="U176" s="37" t="s">
        <v>185</v>
      </c>
      <c r="V176" s="37" t="s">
        <v>67</v>
      </c>
      <c r="W176" s="37" t="s">
        <v>89</v>
      </c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77" spans="1:37">
      <c r="A177" s="37"/>
      <c r="B177" s="37"/>
      <c r="C177" s="37"/>
      <c r="D177" s="37" t="s">
        <v>2339</v>
      </c>
      <c r="E177" s="37" t="s">
        <v>2340</v>
      </c>
      <c r="F177" s="37" t="s">
        <v>2341</v>
      </c>
      <c r="G177" s="37" t="s">
        <v>567</v>
      </c>
      <c r="H177" s="37" t="s">
        <v>568</v>
      </c>
      <c r="I177" s="37" t="s">
        <v>569</v>
      </c>
      <c r="J177" s="37" t="s">
        <v>196</v>
      </c>
      <c r="K177" s="40" t="s">
        <v>570</v>
      </c>
      <c r="L177" s="37" t="s">
        <v>64</v>
      </c>
      <c r="M177" s="37" t="s">
        <v>571</v>
      </c>
      <c r="N177" s="37"/>
      <c r="O177" s="37" t="s">
        <v>4059</v>
      </c>
      <c r="P177" s="37" t="s">
        <v>384</v>
      </c>
      <c r="Q177" s="37" t="s">
        <v>98</v>
      </c>
      <c r="R177" s="37"/>
      <c r="S177" s="37"/>
      <c r="T177" s="37" t="s">
        <v>66</v>
      </c>
      <c r="U177" s="37" t="s">
        <v>185</v>
      </c>
      <c r="V177" s="37" t="s">
        <v>88</v>
      </c>
      <c r="W177" s="37" t="s">
        <v>89</v>
      </c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</row>
    <row r="178" spans="1:37">
      <c r="A178" s="37"/>
      <c r="B178" s="37"/>
      <c r="C178" s="37"/>
      <c r="D178" s="37" t="s">
        <v>2213</v>
      </c>
      <c r="E178" s="37" t="s">
        <v>5903</v>
      </c>
      <c r="F178" s="37" t="s">
        <v>5904</v>
      </c>
      <c r="G178" s="37" t="s">
        <v>5905</v>
      </c>
      <c r="H178" s="37" t="s">
        <v>2209</v>
      </c>
      <c r="I178" s="37" t="s">
        <v>2210</v>
      </c>
      <c r="J178" s="37" t="s">
        <v>2211</v>
      </c>
      <c r="K178" s="40" t="s">
        <v>2212</v>
      </c>
      <c r="L178" s="37" t="s">
        <v>64</v>
      </c>
      <c r="M178" s="37" t="s">
        <v>5906</v>
      </c>
      <c r="N178" s="37" t="s">
        <v>5907</v>
      </c>
      <c r="O178" s="37" t="s">
        <v>4059</v>
      </c>
      <c r="P178" s="37" t="s">
        <v>285</v>
      </c>
      <c r="Q178" s="37" t="s">
        <v>17</v>
      </c>
      <c r="R178" s="37"/>
      <c r="S178" s="37" t="s">
        <v>5908</v>
      </c>
      <c r="T178" s="37" t="s">
        <v>66</v>
      </c>
      <c r="U178" s="37"/>
      <c r="V178" s="37" t="s">
        <v>77</v>
      </c>
      <c r="W178" s="37" t="s">
        <v>97</v>
      </c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</row>
    <row r="179" spans="1:37">
      <c r="A179" s="37"/>
      <c r="B179" s="37"/>
      <c r="C179" s="37"/>
      <c r="D179" s="37" t="s">
        <v>3891</v>
      </c>
      <c r="E179" s="37" t="s">
        <v>4985</v>
      </c>
      <c r="F179" s="37" t="s">
        <v>4988</v>
      </c>
      <c r="G179" s="37" t="s">
        <v>4986</v>
      </c>
      <c r="H179" s="37"/>
      <c r="I179" s="37" t="s">
        <v>416</v>
      </c>
      <c r="J179" s="37" t="s">
        <v>75</v>
      </c>
      <c r="K179" s="40" t="s">
        <v>1816</v>
      </c>
      <c r="L179" s="37" t="s">
        <v>64</v>
      </c>
      <c r="M179" s="37" t="s">
        <v>4987</v>
      </c>
      <c r="N179" s="37"/>
      <c r="O179" s="37" t="s">
        <v>4059</v>
      </c>
      <c r="P179" s="37" t="s">
        <v>143</v>
      </c>
      <c r="Q179" s="37" t="s">
        <v>10</v>
      </c>
      <c r="R179" s="37"/>
      <c r="S179" s="37"/>
      <c r="T179" s="37"/>
      <c r="U179" s="37"/>
      <c r="V179" s="37" t="s">
        <v>67</v>
      </c>
      <c r="W179" s="37" t="s">
        <v>89</v>
      </c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</row>
    <row r="180" spans="1:37">
      <c r="A180" s="37"/>
      <c r="B180" s="37"/>
      <c r="C180" s="37"/>
      <c r="D180" s="37" t="s">
        <v>376</v>
      </c>
      <c r="E180" s="37" t="s">
        <v>377</v>
      </c>
      <c r="F180" s="37" t="s">
        <v>385</v>
      </c>
      <c r="G180" s="37" t="s">
        <v>378</v>
      </c>
      <c r="H180" s="37" t="s">
        <v>379</v>
      </c>
      <c r="I180" s="37" t="s">
        <v>380</v>
      </c>
      <c r="J180" s="37" t="s">
        <v>214</v>
      </c>
      <c r="K180" s="40" t="s">
        <v>381</v>
      </c>
      <c r="L180" s="37" t="s">
        <v>64</v>
      </c>
      <c r="M180" s="37" t="s">
        <v>382</v>
      </c>
      <c r="N180" s="37" t="s">
        <v>383</v>
      </c>
      <c r="O180" s="37" t="s">
        <v>4059</v>
      </c>
      <c r="P180" s="37" t="s">
        <v>384</v>
      </c>
      <c r="Q180" s="37" t="s">
        <v>10</v>
      </c>
      <c r="R180" s="37"/>
      <c r="S180" s="37"/>
      <c r="T180" s="37"/>
      <c r="U180" s="37"/>
      <c r="V180" s="37" t="s">
        <v>118</v>
      </c>
      <c r="W180" s="37" t="s">
        <v>89</v>
      </c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</row>
    <row r="181" spans="1:37">
      <c r="A181" s="37"/>
      <c r="B181" s="37"/>
      <c r="C181" s="37"/>
      <c r="D181" s="37" t="s">
        <v>349</v>
      </c>
      <c r="E181" s="37" t="s">
        <v>5909</v>
      </c>
      <c r="F181" s="37" t="s">
        <v>5910</v>
      </c>
      <c r="G181" s="37" t="s">
        <v>5911</v>
      </c>
      <c r="H181" s="37"/>
      <c r="I181" s="37" t="s">
        <v>420</v>
      </c>
      <c r="J181" s="37" t="s">
        <v>75</v>
      </c>
      <c r="K181" s="40" t="s">
        <v>698</v>
      </c>
      <c r="L181" s="37" t="s">
        <v>64</v>
      </c>
      <c r="M181" s="37" t="s">
        <v>5912</v>
      </c>
      <c r="N181" s="37"/>
      <c r="O181" s="37" t="s">
        <v>4059</v>
      </c>
      <c r="P181" s="37" t="s">
        <v>384</v>
      </c>
      <c r="Q181" s="37" t="s">
        <v>10</v>
      </c>
      <c r="R181" s="37"/>
      <c r="S181" s="37"/>
      <c r="T181" s="37"/>
      <c r="U181" s="37" t="s">
        <v>145</v>
      </c>
      <c r="V181" s="37" t="s">
        <v>67</v>
      </c>
      <c r="W181" s="37" t="s">
        <v>97</v>
      </c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</row>
    <row r="182" spans="1:37">
      <c r="A182" s="37"/>
      <c r="B182" s="37"/>
      <c r="C182" s="37"/>
      <c r="D182" s="37" t="s">
        <v>448</v>
      </c>
      <c r="E182" s="37" t="s">
        <v>4972</v>
      </c>
      <c r="F182" s="37" t="s">
        <v>4976</v>
      </c>
      <c r="G182" s="37" t="s">
        <v>4973</v>
      </c>
      <c r="H182" s="37"/>
      <c r="I182" s="37" t="s">
        <v>416</v>
      </c>
      <c r="J182" s="37" t="s">
        <v>75</v>
      </c>
      <c r="K182" s="40" t="s">
        <v>1816</v>
      </c>
      <c r="L182" s="37" t="s">
        <v>64</v>
      </c>
      <c r="M182" s="37" t="s">
        <v>4974</v>
      </c>
      <c r="N182" s="37" t="s">
        <v>4975</v>
      </c>
      <c r="O182" s="37" t="s">
        <v>4059</v>
      </c>
      <c r="P182" s="37" t="s">
        <v>143</v>
      </c>
      <c r="Q182" s="37" t="s">
        <v>10</v>
      </c>
      <c r="R182" s="37"/>
      <c r="S182" s="37"/>
      <c r="T182" s="37" t="s">
        <v>158</v>
      </c>
      <c r="U182" s="37" t="s">
        <v>185</v>
      </c>
      <c r="V182" s="37" t="s">
        <v>118</v>
      </c>
      <c r="W182" s="37" t="s">
        <v>89</v>
      </c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</row>
    <row r="183" spans="1:37">
      <c r="A183" s="37" t="s">
        <v>112</v>
      </c>
      <c r="B183" s="37"/>
      <c r="C183" s="37"/>
      <c r="D183" s="37" t="s">
        <v>974</v>
      </c>
      <c r="E183" s="37" t="s">
        <v>671</v>
      </c>
      <c r="F183" s="37" t="s">
        <v>4053</v>
      </c>
      <c r="G183" s="37" t="s">
        <v>4049</v>
      </c>
      <c r="H183" s="37"/>
      <c r="I183" s="37" t="s">
        <v>416</v>
      </c>
      <c r="J183" s="37" t="s">
        <v>75</v>
      </c>
      <c r="K183" s="40" t="s">
        <v>4050</v>
      </c>
      <c r="L183" s="37" t="s">
        <v>64</v>
      </c>
      <c r="M183" s="37" t="s">
        <v>4051</v>
      </c>
      <c r="N183" s="37" t="s">
        <v>4052</v>
      </c>
      <c r="O183" s="37" t="s">
        <v>4059</v>
      </c>
      <c r="P183" s="37" t="s">
        <v>2694</v>
      </c>
      <c r="Q183" s="37" t="s">
        <v>10</v>
      </c>
      <c r="R183" s="37"/>
      <c r="S183" s="37"/>
      <c r="T183" s="37" t="s">
        <v>66</v>
      </c>
      <c r="U183" s="37" t="s">
        <v>185</v>
      </c>
      <c r="V183" s="37" t="s">
        <v>77</v>
      </c>
      <c r="W183" s="37" t="s">
        <v>135</v>
      </c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</row>
    <row r="184" spans="1:37">
      <c r="A184" s="37"/>
      <c r="B184" s="37"/>
      <c r="C184" s="37"/>
      <c r="D184" s="37" t="s">
        <v>2133</v>
      </c>
      <c r="E184" s="37" t="s">
        <v>870</v>
      </c>
      <c r="F184" s="37" t="s">
        <v>4721</v>
      </c>
      <c r="G184" s="37" t="s">
        <v>4717</v>
      </c>
      <c r="H184" s="37"/>
      <c r="I184" s="37" t="s">
        <v>668</v>
      </c>
      <c r="J184" s="37" t="s">
        <v>121</v>
      </c>
      <c r="K184" s="40" t="s">
        <v>4718</v>
      </c>
      <c r="L184" s="37" t="s">
        <v>64</v>
      </c>
      <c r="M184" s="37" t="s">
        <v>4719</v>
      </c>
      <c r="N184" s="37" t="s">
        <v>4720</v>
      </c>
      <c r="O184" s="37" t="s">
        <v>4059</v>
      </c>
      <c r="P184" s="37" t="s">
        <v>2694</v>
      </c>
      <c r="Q184" s="37" t="s">
        <v>14</v>
      </c>
      <c r="R184" s="37"/>
      <c r="S184" s="37"/>
      <c r="T184" s="37"/>
      <c r="U184" s="37"/>
      <c r="V184" s="37" t="s">
        <v>118</v>
      </c>
      <c r="W184" s="37" t="s">
        <v>756</v>
      </c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</row>
    <row r="185" spans="1:37">
      <c r="A185" s="37" t="s">
        <v>5913</v>
      </c>
      <c r="B185" s="37"/>
      <c r="C185" s="37"/>
      <c r="D185" s="37" t="s">
        <v>5914</v>
      </c>
      <c r="E185" s="37" t="s">
        <v>1081</v>
      </c>
      <c r="F185" s="37" t="s">
        <v>5915</v>
      </c>
      <c r="G185" s="37" t="s">
        <v>5916</v>
      </c>
      <c r="H185" s="37"/>
      <c r="I185" s="37" t="s">
        <v>3486</v>
      </c>
      <c r="J185" s="37" t="s">
        <v>75</v>
      </c>
      <c r="K185" s="40" t="s">
        <v>3487</v>
      </c>
      <c r="L185" s="37" t="s">
        <v>64</v>
      </c>
      <c r="M185" s="37" t="s">
        <v>5917</v>
      </c>
      <c r="N185" s="37"/>
      <c r="O185" s="37" t="s">
        <v>4059</v>
      </c>
      <c r="P185" s="37" t="s">
        <v>384</v>
      </c>
      <c r="Q185" s="37" t="s">
        <v>10</v>
      </c>
      <c r="R185" s="37"/>
      <c r="S185" s="37"/>
      <c r="T185" s="37" t="s">
        <v>66</v>
      </c>
      <c r="U185" s="37" t="s">
        <v>109</v>
      </c>
      <c r="V185" s="37" t="s">
        <v>67</v>
      </c>
      <c r="W185" s="37" t="s">
        <v>97</v>
      </c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</row>
    <row r="186" spans="1:37">
      <c r="A186" s="37"/>
      <c r="B186" s="37"/>
      <c r="C186" s="37"/>
      <c r="D186" s="37" t="s">
        <v>634</v>
      </c>
      <c r="E186" s="37" t="s">
        <v>3484</v>
      </c>
      <c r="F186" s="37" t="s">
        <v>3489</v>
      </c>
      <c r="G186" s="37" t="s">
        <v>3485</v>
      </c>
      <c r="H186" s="37"/>
      <c r="I186" s="37" t="s">
        <v>3486</v>
      </c>
      <c r="J186" s="37" t="s">
        <v>75</v>
      </c>
      <c r="K186" s="40" t="s">
        <v>3487</v>
      </c>
      <c r="L186" s="37" t="s">
        <v>64</v>
      </c>
      <c r="M186" s="37" t="s">
        <v>3488</v>
      </c>
      <c r="N186" s="37"/>
      <c r="O186" s="37" t="s">
        <v>4059</v>
      </c>
      <c r="P186" s="37" t="s">
        <v>384</v>
      </c>
      <c r="Q186" s="37" t="s">
        <v>10</v>
      </c>
      <c r="R186" s="37"/>
      <c r="S186" s="37"/>
      <c r="T186" s="37" t="s">
        <v>66</v>
      </c>
      <c r="U186" s="37" t="s">
        <v>145</v>
      </c>
      <c r="V186" s="37" t="s">
        <v>67</v>
      </c>
      <c r="W186" s="37" t="s">
        <v>99</v>
      </c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</row>
    <row r="187" spans="1:37">
      <c r="A187" s="37"/>
      <c r="B187" s="37"/>
      <c r="C187" s="37"/>
      <c r="D187" s="37" t="s">
        <v>1305</v>
      </c>
      <c r="E187" s="37" t="s">
        <v>1306</v>
      </c>
      <c r="F187" s="37" t="s">
        <v>1312</v>
      </c>
      <c r="G187" s="37" t="s">
        <v>1307</v>
      </c>
      <c r="H187" s="37"/>
      <c r="I187" s="37" t="s">
        <v>1308</v>
      </c>
      <c r="J187" s="37" t="s">
        <v>75</v>
      </c>
      <c r="K187" s="40" t="s">
        <v>1309</v>
      </c>
      <c r="L187" s="37" t="s">
        <v>64</v>
      </c>
      <c r="M187" s="37" t="s">
        <v>1310</v>
      </c>
      <c r="N187" s="37" t="s">
        <v>1311</v>
      </c>
      <c r="O187" s="37" t="s">
        <v>4059</v>
      </c>
      <c r="P187" s="37" t="s">
        <v>384</v>
      </c>
      <c r="Q187" s="37" t="s">
        <v>10</v>
      </c>
      <c r="R187" s="37"/>
      <c r="S187" s="37"/>
      <c r="T187" s="37"/>
      <c r="U187" s="37" t="s">
        <v>182</v>
      </c>
      <c r="V187" s="37" t="s">
        <v>67</v>
      </c>
      <c r="W187" s="37" t="s">
        <v>89</v>
      </c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</row>
    <row r="188" spans="1:37">
      <c r="A188" s="37"/>
      <c r="B188" s="37"/>
      <c r="C188" s="37"/>
      <c r="D188" s="37" t="s">
        <v>1450</v>
      </c>
      <c r="E188" s="37" t="s">
        <v>1451</v>
      </c>
      <c r="F188" s="37" t="s">
        <v>1454</v>
      </c>
      <c r="G188" s="37" t="s">
        <v>1452</v>
      </c>
      <c r="H188" s="37"/>
      <c r="I188" s="37" t="s">
        <v>191</v>
      </c>
      <c r="J188" s="37" t="s">
        <v>121</v>
      </c>
      <c r="K188" s="40" t="s">
        <v>192</v>
      </c>
      <c r="L188" s="37" t="s">
        <v>64</v>
      </c>
      <c r="M188" s="37" t="s">
        <v>1453</v>
      </c>
      <c r="N188" s="37"/>
      <c r="O188" s="37" t="s">
        <v>4059</v>
      </c>
      <c r="P188" s="37" t="s">
        <v>285</v>
      </c>
      <c r="Q188" s="37" t="s">
        <v>14</v>
      </c>
      <c r="R188" s="37"/>
      <c r="S188" s="37"/>
      <c r="T188" s="37" t="s">
        <v>66</v>
      </c>
      <c r="U188" s="37"/>
      <c r="V188" s="37" t="s">
        <v>72</v>
      </c>
      <c r="W188" s="37" t="s">
        <v>110</v>
      </c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</row>
    <row r="189" spans="1:37">
      <c r="A189" s="37"/>
      <c r="B189" s="37"/>
      <c r="C189" s="37"/>
      <c r="D189" s="37" t="s">
        <v>358</v>
      </c>
      <c r="E189" s="37" t="s">
        <v>3928</v>
      </c>
      <c r="F189" s="37" t="s">
        <v>3933</v>
      </c>
      <c r="G189" s="37" t="s">
        <v>3929</v>
      </c>
      <c r="H189" s="37"/>
      <c r="I189" s="37" t="s">
        <v>297</v>
      </c>
      <c r="J189" s="37" t="s">
        <v>75</v>
      </c>
      <c r="K189" s="40" t="s">
        <v>3930</v>
      </c>
      <c r="L189" s="37" t="s">
        <v>64</v>
      </c>
      <c r="M189" s="37" t="s">
        <v>3931</v>
      </c>
      <c r="N189" s="37" t="s">
        <v>3932</v>
      </c>
      <c r="O189" s="37" t="s">
        <v>4059</v>
      </c>
      <c r="P189" s="37" t="s">
        <v>2694</v>
      </c>
      <c r="Q189" s="37" t="s">
        <v>10</v>
      </c>
      <c r="R189" s="37"/>
      <c r="S189" s="37"/>
      <c r="T189" s="37" t="s">
        <v>69</v>
      </c>
      <c r="U189" s="37"/>
      <c r="V189" s="37" t="s">
        <v>77</v>
      </c>
      <c r="W189" s="37" t="s">
        <v>89</v>
      </c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</row>
    <row r="190" spans="1:37">
      <c r="A190" s="37"/>
      <c r="B190" s="37"/>
      <c r="C190" s="37"/>
      <c r="D190" s="37" t="s">
        <v>3935</v>
      </c>
      <c r="E190" s="37" t="s">
        <v>1647</v>
      </c>
      <c r="F190" s="37" t="s">
        <v>3940</v>
      </c>
      <c r="G190" s="37" t="s">
        <v>3936</v>
      </c>
      <c r="H190" s="37"/>
      <c r="I190" s="37" t="s">
        <v>416</v>
      </c>
      <c r="J190" s="37" t="s">
        <v>75</v>
      </c>
      <c r="K190" s="40" t="s">
        <v>3937</v>
      </c>
      <c r="L190" s="37" t="s">
        <v>64</v>
      </c>
      <c r="M190" s="37" t="s">
        <v>3938</v>
      </c>
      <c r="N190" s="37" t="s">
        <v>3939</v>
      </c>
      <c r="O190" s="37" t="s">
        <v>4059</v>
      </c>
      <c r="P190" s="37" t="s">
        <v>384</v>
      </c>
      <c r="Q190" s="37" t="s">
        <v>10</v>
      </c>
      <c r="R190" s="37"/>
      <c r="S190" s="37"/>
      <c r="T190" s="37"/>
      <c r="U190" s="37"/>
      <c r="V190" s="37" t="s">
        <v>118</v>
      </c>
      <c r="W190" s="37" t="s">
        <v>89</v>
      </c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</row>
    <row r="191" spans="1:37">
      <c r="A191" s="37"/>
      <c r="B191" s="37"/>
      <c r="C191" s="37"/>
      <c r="D191" s="37" t="s">
        <v>3941</v>
      </c>
      <c r="E191" s="37" t="s">
        <v>1647</v>
      </c>
      <c r="F191" s="37" t="s">
        <v>3947</v>
      </c>
      <c r="G191" s="37" t="s">
        <v>3942</v>
      </c>
      <c r="H191" s="37" t="s">
        <v>3943</v>
      </c>
      <c r="I191" s="37" t="s">
        <v>3944</v>
      </c>
      <c r="J191" s="37" t="s">
        <v>75</v>
      </c>
      <c r="K191" s="40" t="s">
        <v>3487</v>
      </c>
      <c r="L191" s="37" t="s">
        <v>64</v>
      </c>
      <c r="M191" s="37" t="s">
        <v>3945</v>
      </c>
      <c r="N191" s="37" t="s">
        <v>3946</v>
      </c>
      <c r="O191" s="37" t="s">
        <v>4059</v>
      </c>
      <c r="P191" s="37" t="s">
        <v>384</v>
      </c>
      <c r="Q191" s="37" t="s">
        <v>10</v>
      </c>
      <c r="R191" s="37"/>
      <c r="S191" s="37"/>
      <c r="T191" s="37"/>
      <c r="U191" s="37" t="s">
        <v>185</v>
      </c>
      <c r="V191" s="37" t="s">
        <v>118</v>
      </c>
      <c r="W191" s="37" t="s">
        <v>89</v>
      </c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</row>
    <row r="192" spans="1:37">
      <c r="A192" s="37"/>
      <c r="B192" s="37"/>
      <c r="C192" s="37"/>
      <c r="D192" s="37" t="s">
        <v>799</v>
      </c>
      <c r="E192" s="37" t="s">
        <v>1750</v>
      </c>
      <c r="F192" s="37" t="s">
        <v>3040</v>
      </c>
      <c r="G192" s="37" t="s">
        <v>3038</v>
      </c>
      <c r="H192" s="37" t="s">
        <v>1563</v>
      </c>
      <c r="I192" s="37" t="s">
        <v>3081</v>
      </c>
      <c r="J192" s="37" t="s">
        <v>1851</v>
      </c>
      <c r="K192" s="40" t="s">
        <v>3082</v>
      </c>
      <c r="L192" s="37" t="s">
        <v>64</v>
      </c>
      <c r="M192" s="37" t="s">
        <v>3083</v>
      </c>
      <c r="N192" s="37" t="s">
        <v>3084</v>
      </c>
      <c r="O192" s="37" t="s">
        <v>4059</v>
      </c>
      <c r="P192" s="37" t="s">
        <v>285</v>
      </c>
      <c r="Q192" s="37" t="s">
        <v>98</v>
      </c>
      <c r="R192" s="37" t="s">
        <v>3039</v>
      </c>
      <c r="S192" s="37" t="s">
        <v>2484</v>
      </c>
      <c r="T192" s="37" t="s">
        <v>158</v>
      </c>
      <c r="U192" s="37" t="s">
        <v>69</v>
      </c>
      <c r="V192" s="37" t="s">
        <v>118</v>
      </c>
      <c r="W192" s="37" t="s">
        <v>69</v>
      </c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</row>
    <row r="193" spans="1:37">
      <c r="A193" s="37"/>
      <c r="B193" s="37"/>
      <c r="C193" s="37"/>
      <c r="D193" s="37" t="s">
        <v>1791</v>
      </c>
      <c r="E193" s="37" t="s">
        <v>1389</v>
      </c>
      <c r="F193" s="37" t="s">
        <v>1794</v>
      </c>
      <c r="G193" s="37" t="s">
        <v>1792</v>
      </c>
      <c r="H193" s="37"/>
      <c r="I193" s="37" t="s">
        <v>82</v>
      </c>
      <c r="J193" s="37" t="s">
        <v>83</v>
      </c>
      <c r="K193" s="40" t="s">
        <v>677</v>
      </c>
      <c r="L193" s="37" t="s">
        <v>64</v>
      </c>
      <c r="M193" s="37" t="s">
        <v>1793</v>
      </c>
      <c r="N193" s="37"/>
      <c r="O193" s="37" t="s">
        <v>4059</v>
      </c>
      <c r="P193" s="37" t="s">
        <v>447</v>
      </c>
      <c r="Q193" s="37" t="s">
        <v>14</v>
      </c>
      <c r="R193" s="37"/>
      <c r="S193" s="37"/>
      <c r="T193" s="37"/>
      <c r="U193" s="37" t="s">
        <v>182</v>
      </c>
      <c r="V193" s="37" t="s">
        <v>67</v>
      </c>
      <c r="W193" s="37" t="s">
        <v>73</v>
      </c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</row>
    <row r="194" spans="1:37">
      <c r="A194" s="37"/>
      <c r="B194" s="37"/>
      <c r="C194" s="37"/>
      <c r="D194" s="37" t="s">
        <v>2603</v>
      </c>
      <c r="E194" s="37" t="s">
        <v>5266</v>
      </c>
      <c r="F194" s="37" t="s">
        <v>5270</v>
      </c>
      <c r="G194" s="37" t="s">
        <v>2359</v>
      </c>
      <c r="H194" s="37" t="s">
        <v>5267</v>
      </c>
      <c r="I194" s="37" t="s">
        <v>745</v>
      </c>
      <c r="J194" s="37" t="s">
        <v>200</v>
      </c>
      <c r="K194" s="40" t="s">
        <v>2361</v>
      </c>
      <c r="L194" s="37" t="s">
        <v>64</v>
      </c>
      <c r="M194" s="37" t="s">
        <v>5268</v>
      </c>
      <c r="N194" s="37" t="s">
        <v>5269</v>
      </c>
      <c r="O194" s="37" t="s">
        <v>4059</v>
      </c>
      <c r="P194" s="37" t="s">
        <v>2694</v>
      </c>
      <c r="Q194" s="37" t="s">
        <v>18</v>
      </c>
      <c r="R194" s="37"/>
      <c r="S194" s="37"/>
      <c r="T194" s="37" t="s">
        <v>66</v>
      </c>
      <c r="U194" s="37" t="s">
        <v>109</v>
      </c>
      <c r="V194" s="37" t="s">
        <v>67</v>
      </c>
      <c r="W194" s="37" t="s">
        <v>73</v>
      </c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</row>
    <row r="195" spans="1:37">
      <c r="A195" s="37"/>
      <c r="B195" s="37"/>
      <c r="C195" s="37"/>
      <c r="D195" s="37" t="s">
        <v>5918</v>
      </c>
      <c r="E195" s="37" t="s">
        <v>5919</v>
      </c>
      <c r="F195" s="37" t="s">
        <v>5920</v>
      </c>
      <c r="G195" s="37" t="s">
        <v>5921</v>
      </c>
      <c r="H195" s="37"/>
      <c r="I195" s="37" t="s">
        <v>5922</v>
      </c>
      <c r="J195" s="37" t="s">
        <v>75</v>
      </c>
      <c r="K195" s="40" t="s">
        <v>3487</v>
      </c>
      <c r="L195" s="37" t="s">
        <v>64</v>
      </c>
      <c r="M195" s="37" t="s">
        <v>5923</v>
      </c>
      <c r="N195" s="37"/>
      <c r="O195" s="37" t="s">
        <v>4059</v>
      </c>
      <c r="P195" s="37" t="s">
        <v>384</v>
      </c>
      <c r="Q195" s="37" t="s">
        <v>10</v>
      </c>
      <c r="R195" s="37"/>
      <c r="S195" s="37"/>
      <c r="T195" s="37"/>
      <c r="U195" s="37"/>
      <c r="V195" s="37" t="s">
        <v>72</v>
      </c>
      <c r="W195" s="37" t="s">
        <v>97</v>
      </c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</row>
    <row r="196" spans="1:37">
      <c r="A196" s="37"/>
      <c r="B196" s="37"/>
      <c r="C196" s="37"/>
      <c r="D196" s="37" t="s">
        <v>938</v>
      </c>
      <c r="E196" s="37" t="s">
        <v>3918</v>
      </c>
      <c r="F196" s="37" t="s">
        <v>3922</v>
      </c>
      <c r="G196" s="37" t="s">
        <v>3919</v>
      </c>
      <c r="H196" s="37" t="s">
        <v>3920</v>
      </c>
      <c r="I196" s="37" t="s">
        <v>3486</v>
      </c>
      <c r="J196" s="37" t="s">
        <v>75</v>
      </c>
      <c r="K196" s="40" t="s">
        <v>3487</v>
      </c>
      <c r="L196" s="37" t="s">
        <v>64</v>
      </c>
      <c r="M196" s="37" t="s">
        <v>3921</v>
      </c>
      <c r="N196" s="37"/>
      <c r="O196" s="37" t="s">
        <v>4059</v>
      </c>
      <c r="P196" s="37" t="s">
        <v>384</v>
      </c>
      <c r="Q196" s="37" t="s">
        <v>10</v>
      </c>
      <c r="R196" s="37"/>
      <c r="S196" s="37"/>
      <c r="T196" s="37"/>
      <c r="U196" s="37"/>
      <c r="V196" s="37" t="s">
        <v>88</v>
      </c>
      <c r="W196" s="37" t="s">
        <v>89</v>
      </c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</row>
    <row r="197" spans="1:37">
      <c r="A197" s="37"/>
      <c r="B197" s="37"/>
      <c r="C197" s="37"/>
      <c r="D197" s="37" t="s">
        <v>1951</v>
      </c>
      <c r="E197" s="37" t="s">
        <v>1952</v>
      </c>
      <c r="F197" s="37" t="s">
        <v>1958</v>
      </c>
      <c r="G197" s="37" t="s">
        <v>1953</v>
      </c>
      <c r="H197" s="37" t="s">
        <v>1954</v>
      </c>
      <c r="I197" s="37" t="s">
        <v>1955</v>
      </c>
      <c r="J197" s="37" t="s">
        <v>230</v>
      </c>
      <c r="K197" s="40" t="s">
        <v>1956</v>
      </c>
      <c r="L197" s="37" t="s">
        <v>64</v>
      </c>
      <c r="M197" s="37" t="s">
        <v>1957</v>
      </c>
      <c r="N197" s="37"/>
      <c r="O197" s="37" t="s">
        <v>4059</v>
      </c>
      <c r="P197" s="37" t="s">
        <v>143</v>
      </c>
      <c r="Q197" s="37" t="s">
        <v>10</v>
      </c>
      <c r="R197" s="37"/>
      <c r="S197" s="37"/>
      <c r="T197" s="37" t="s">
        <v>66</v>
      </c>
      <c r="U197" s="37" t="s">
        <v>87</v>
      </c>
      <c r="V197" s="37" t="s">
        <v>118</v>
      </c>
      <c r="W197" s="37" t="s">
        <v>89</v>
      </c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</row>
    <row r="198" spans="1:37">
      <c r="A198" s="37"/>
      <c r="B198" s="37"/>
      <c r="C198" s="37"/>
      <c r="D198" s="37" t="s">
        <v>2499</v>
      </c>
      <c r="E198" s="37" t="s">
        <v>3923</v>
      </c>
      <c r="F198" s="37" t="s">
        <v>3926</v>
      </c>
      <c r="G198" s="37" t="s">
        <v>3924</v>
      </c>
      <c r="H198" s="37"/>
      <c r="I198" s="37" t="s">
        <v>1969</v>
      </c>
      <c r="J198" s="37" t="s">
        <v>83</v>
      </c>
      <c r="K198" s="40" t="s">
        <v>677</v>
      </c>
      <c r="L198" s="37" t="s">
        <v>64</v>
      </c>
      <c r="M198" s="37" t="s">
        <v>3925</v>
      </c>
      <c r="N198" s="37"/>
      <c r="O198" s="37" t="s">
        <v>4059</v>
      </c>
      <c r="P198" s="37" t="s">
        <v>447</v>
      </c>
      <c r="Q198" s="37" t="s">
        <v>14</v>
      </c>
      <c r="R198" s="37"/>
      <c r="S198" s="37"/>
      <c r="T198" s="37"/>
      <c r="U198" s="37"/>
      <c r="V198" s="37" t="s">
        <v>67</v>
      </c>
      <c r="W198" s="37" t="s">
        <v>89</v>
      </c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</row>
    <row r="199" spans="1:37">
      <c r="A199" s="37"/>
      <c r="B199" s="37"/>
      <c r="C199" s="37"/>
      <c r="D199" s="37" t="s">
        <v>940</v>
      </c>
      <c r="E199" s="37" t="s">
        <v>4907</v>
      </c>
      <c r="F199" s="37" t="s">
        <v>5924</v>
      </c>
      <c r="G199" s="37" t="s">
        <v>5901</v>
      </c>
      <c r="H199" s="37"/>
      <c r="I199" s="37" t="s">
        <v>3486</v>
      </c>
      <c r="J199" s="37" t="s">
        <v>75</v>
      </c>
      <c r="K199" s="40" t="s">
        <v>3487</v>
      </c>
      <c r="L199" s="37" t="s">
        <v>64</v>
      </c>
      <c r="M199" s="37" t="s">
        <v>5923</v>
      </c>
      <c r="N199" s="37"/>
      <c r="O199" s="37" t="s">
        <v>4059</v>
      </c>
      <c r="P199" s="37" t="s">
        <v>384</v>
      </c>
      <c r="Q199" s="37" t="s">
        <v>10</v>
      </c>
      <c r="R199" s="37"/>
      <c r="S199" s="37"/>
      <c r="T199" s="37"/>
      <c r="U199" s="37"/>
      <c r="V199" s="37" t="s">
        <v>72</v>
      </c>
      <c r="W199" s="37" t="s">
        <v>69</v>
      </c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</row>
    <row r="200" spans="1:37">
      <c r="A200" s="37"/>
      <c r="B200" s="37"/>
      <c r="C200" s="37"/>
      <c r="D200" s="37" t="s">
        <v>3347</v>
      </c>
      <c r="E200" s="37" t="s">
        <v>956</v>
      </c>
      <c r="F200" s="37" t="s">
        <v>3352</v>
      </c>
      <c r="G200" s="37" t="s">
        <v>3348</v>
      </c>
      <c r="H200" s="37"/>
      <c r="I200" s="37" t="s">
        <v>3349</v>
      </c>
      <c r="J200" s="37" t="s">
        <v>1399</v>
      </c>
      <c r="K200" s="40" t="s">
        <v>3350</v>
      </c>
      <c r="L200" s="37" t="s">
        <v>64</v>
      </c>
      <c r="M200" s="37" t="s">
        <v>3351</v>
      </c>
      <c r="N200" s="37"/>
      <c r="O200" s="37" t="s">
        <v>4059</v>
      </c>
      <c r="P200" s="37" t="s">
        <v>447</v>
      </c>
      <c r="Q200" s="37" t="s">
        <v>71</v>
      </c>
      <c r="R200" s="37"/>
      <c r="S200" s="37"/>
      <c r="T200" s="37" t="s">
        <v>144</v>
      </c>
      <c r="U200" s="37" t="s">
        <v>87</v>
      </c>
      <c r="V200" s="37" t="s">
        <v>77</v>
      </c>
      <c r="W200" s="37" t="s">
        <v>89</v>
      </c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</row>
    <row r="201" spans="1:37">
      <c r="A201" s="37"/>
      <c r="B201" s="37"/>
      <c r="C201" s="37"/>
      <c r="D201" s="37" t="s">
        <v>2970</v>
      </c>
      <c r="E201" s="37" t="s">
        <v>2157</v>
      </c>
      <c r="F201" s="37" t="s">
        <v>3846</v>
      </c>
      <c r="G201" s="37" t="s">
        <v>3842</v>
      </c>
      <c r="H201" s="37" t="s">
        <v>3843</v>
      </c>
      <c r="I201" s="37" t="s">
        <v>297</v>
      </c>
      <c r="J201" s="37" t="s">
        <v>75</v>
      </c>
      <c r="K201" s="40" t="s">
        <v>3930</v>
      </c>
      <c r="L201" s="37" t="s">
        <v>64</v>
      </c>
      <c r="M201" s="37" t="s">
        <v>3844</v>
      </c>
      <c r="N201" s="37" t="s">
        <v>3845</v>
      </c>
      <c r="O201" s="37" t="s">
        <v>4059</v>
      </c>
      <c r="P201" s="37" t="s">
        <v>2694</v>
      </c>
      <c r="Q201" s="37" t="s">
        <v>10</v>
      </c>
      <c r="R201" s="37"/>
      <c r="S201" s="37"/>
      <c r="T201" s="37" t="s">
        <v>69</v>
      </c>
      <c r="U201" s="37" t="s">
        <v>189</v>
      </c>
      <c r="V201" s="37" t="s">
        <v>77</v>
      </c>
      <c r="W201" s="37" t="s">
        <v>89</v>
      </c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</row>
    <row r="202" spans="1:37">
      <c r="A202" s="37"/>
      <c r="B202" s="37"/>
      <c r="C202" s="37"/>
      <c r="D202" s="37" t="s">
        <v>1574</v>
      </c>
      <c r="E202" s="37" t="s">
        <v>2180</v>
      </c>
      <c r="F202" s="37" t="s">
        <v>2185</v>
      </c>
      <c r="G202" s="37" t="s">
        <v>2181</v>
      </c>
      <c r="H202" s="37"/>
      <c r="I202" s="37" t="s">
        <v>1417</v>
      </c>
      <c r="J202" s="37" t="s">
        <v>75</v>
      </c>
      <c r="K202" s="40" t="s">
        <v>2182</v>
      </c>
      <c r="L202" s="37" t="s">
        <v>64</v>
      </c>
      <c r="M202" s="37" t="s">
        <v>2183</v>
      </c>
      <c r="N202" s="37" t="s">
        <v>2184</v>
      </c>
      <c r="O202" s="37" t="s">
        <v>4059</v>
      </c>
      <c r="P202" s="37" t="s">
        <v>384</v>
      </c>
      <c r="Q202" s="37" t="s">
        <v>10</v>
      </c>
      <c r="R202" s="37"/>
      <c r="S202" s="37"/>
      <c r="T202" s="37" t="s">
        <v>66</v>
      </c>
      <c r="U202" s="37" t="s">
        <v>109</v>
      </c>
      <c r="V202" s="37" t="s">
        <v>88</v>
      </c>
      <c r="W202" s="37" t="s">
        <v>89</v>
      </c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</row>
    <row r="203" spans="1:37">
      <c r="A203" s="37"/>
      <c r="B203" s="37"/>
      <c r="C203" s="37"/>
      <c r="D203" s="37" t="s">
        <v>1369</v>
      </c>
      <c r="E203" s="37" t="s">
        <v>2236</v>
      </c>
      <c r="F203" s="37" t="s">
        <v>5925</v>
      </c>
      <c r="G203" s="37" t="s">
        <v>5926</v>
      </c>
      <c r="H203" s="37" t="s">
        <v>3919</v>
      </c>
      <c r="I203" s="37" t="s">
        <v>3486</v>
      </c>
      <c r="J203" s="37" t="s">
        <v>75</v>
      </c>
      <c r="K203" s="40" t="s">
        <v>3487</v>
      </c>
      <c r="L203" s="37" t="s">
        <v>64</v>
      </c>
      <c r="M203" s="37" t="s">
        <v>5923</v>
      </c>
      <c r="N203" s="37"/>
      <c r="O203" s="37" t="s">
        <v>4059</v>
      </c>
      <c r="P203" s="37" t="s">
        <v>384</v>
      </c>
      <c r="Q203" s="37" t="s">
        <v>10</v>
      </c>
      <c r="R203" s="37"/>
      <c r="S203" s="37"/>
      <c r="T203" s="37" t="s">
        <v>69</v>
      </c>
      <c r="U203" s="37"/>
      <c r="V203" s="37" t="s">
        <v>77</v>
      </c>
      <c r="W203" s="37" t="s">
        <v>97</v>
      </c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</row>
    <row r="204" spans="1:37">
      <c r="A204" s="37"/>
      <c r="B204" s="37"/>
      <c r="C204" s="37"/>
      <c r="D204" s="37" t="s">
        <v>2325</v>
      </c>
      <c r="E204" s="37" t="s">
        <v>3560</v>
      </c>
      <c r="F204" s="37" t="s">
        <v>3563</v>
      </c>
      <c r="G204" s="37" t="s">
        <v>3561</v>
      </c>
      <c r="H204" s="37"/>
      <c r="I204" s="37" t="s">
        <v>3349</v>
      </c>
      <c r="J204" s="37" t="s">
        <v>1399</v>
      </c>
      <c r="K204" s="40" t="s">
        <v>3350</v>
      </c>
      <c r="L204" s="37" t="s">
        <v>64</v>
      </c>
      <c r="M204" s="37" t="s">
        <v>3562</v>
      </c>
      <c r="N204" s="37"/>
      <c r="O204" s="37" t="s">
        <v>4059</v>
      </c>
      <c r="P204" s="37" t="s">
        <v>447</v>
      </c>
      <c r="Q204" s="37" t="s">
        <v>71</v>
      </c>
      <c r="R204" s="37"/>
      <c r="S204" s="37"/>
      <c r="T204" s="37" t="s">
        <v>158</v>
      </c>
      <c r="U204" s="37"/>
      <c r="V204" s="37" t="s">
        <v>72</v>
      </c>
      <c r="W204" s="37" t="s">
        <v>99</v>
      </c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</row>
    <row r="205" spans="1:37">
      <c r="A205" s="37"/>
      <c r="B205" s="37"/>
      <c r="C205" s="37"/>
      <c r="D205" s="37" t="s">
        <v>339</v>
      </c>
      <c r="E205" s="37" t="s">
        <v>4592</v>
      </c>
      <c r="F205" s="37" t="s">
        <v>4596</v>
      </c>
      <c r="G205" s="37" t="s">
        <v>4593</v>
      </c>
      <c r="H205" s="37"/>
      <c r="I205" s="37" t="s">
        <v>745</v>
      </c>
      <c r="J205" s="37" t="s">
        <v>200</v>
      </c>
      <c r="K205" s="40" t="s">
        <v>2361</v>
      </c>
      <c r="L205" s="37" t="s">
        <v>64</v>
      </c>
      <c r="M205" s="37" t="s">
        <v>4594</v>
      </c>
      <c r="N205" s="37" t="s">
        <v>4595</v>
      </c>
      <c r="O205" s="37" t="s">
        <v>4059</v>
      </c>
      <c r="P205" s="37" t="s">
        <v>2694</v>
      </c>
      <c r="Q205" s="37" t="s">
        <v>18</v>
      </c>
      <c r="R205" s="37"/>
      <c r="S205" s="37"/>
      <c r="T205" s="37" t="s">
        <v>115</v>
      </c>
      <c r="U205" s="37" t="s">
        <v>145</v>
      </c>
      <c r="V205" s="37" t="s">
        <v>72</v>
      </c>
      <c r="W205" s="37" t="s">
        <v>73</v>
      </c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</row>
    <row r="206" spans="1:37">
      <c r="A206" s="37"/>
      <c r="B206" s="37"/>
      <c r="C206" s="37"/>
      <c r="D206" s="37" t="s">
        <v>1646</v>
      </c>
      <c r="E206" s="37" t="s">
        <v>2372</v>
      </c>
      <c r="F206" s="37" t="s">
        <v>2377</v>
      </c>
      <c r="G206" s="37" t="s">
        <v>2375</v>
      </c>
      <c r="H206" s="37"/>
      <c r="I206" s="37" t="s">
        <v>82</v>
      </c>
      <c r="J206" s="37" t="s">
        <v>83</v>
      </c>
      <c r="K206" s="40" t="s">
        <v>284</v>
      </c>
      <c r="L206" s="37" t="s">
        <v>64</v>
      </c>
      <c r="M206" s="37" t="s">
        <v>2376</v>
      </c>
      <c r="N206" s="37"/>
      <c r="O206" s="37" t="s">
        <v>4059</v>
      </c>
      <c r="P206" s="37" t="s">
        <v>285</v>
      </c>
      <c r="Q206" s="37" t="s">
        <v>14</v>
      </c>
      <c r="R206" s="37"/>
      <c r="S206" s="37"/>
      <c r="T206" s="37" t="s">
        <v>115</v>
      </c>
      <c r="U206" s="37"/>
      <c r="V206" s="37" t="s">
        <v>72</v>
      </c>
      <c r="W206" s="37" t="s">
        <v>110</v>
      </c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</row>
    <row r="207" spans="1:37">
      <c r="A207" s="37"/>
      <c r="B207" s="37"/>
      <c r="C207" s="37"/>
      <c r="D207" s="37" t="s">
        <v>1799</v>
      </c>
      <c r="E207" s="37" t="s">
        <v>2543</v>
      </c>
      <c r="F207" s="37" t="s">
        <v>2547</v>
      </c>
      <c r="G207" s="37" t="s">
        <v>2544</v>
      </c>
      <c r="H207" s="37" t="s">
        <v>1954</v>
      </c>
      <c r="I207" s="37" t="s">
        <v>1955</v>
      </c>
      <c r="J207" s="37" t="s">
        <v>230</v>
      </c>
      <c r="K207" s="40" t="s">
        <v>1956</v>
      </c>
      <c r="L207" s="37" t="s">
        <v>64</v>
      </c>
      <c r="M207" s="37" t="s">
        <v>2545</v>
      </c>
      <c r="N207" s="37" t="s">
        <v>2546</v>
      </c>
      <c r="O207" s="37" t="s">
        <v>4059</v>
      </c>
      <c r="P207" s="37" t="s">
        <v>143</v>
      </c>
      <c r="Q207" s="37" t="s">
        <v>10</v>
      </c>
      <c r="R207" s="37"/>
      <c r="S207" s="37"/>
      <c r="T207" s="37" t="s">
        <v>115</v>
      </c>
      <c r="U207" s="37" t="s">
        <v>145</v>
      </c>
      <c r="V207" s="37" t="s">
        <v>67</v>
      </c>
      <c r="W207" s="37" t="s">
        <v>99</v>
      </c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</row>
    <row r="208" spans="1:37">
      <c r="A208" s="37"/>
      <c r="B208" s="37"/>
      <c r="C208" s="37"/>
      <c r="D208" s="37" t="s">
        <v>238</v>
      </c>
      <c r="E208" s="37" t="s">
        <v>4773</v>
      </c>
      <c r="F208" s="37" t="s">
        <v>4776</v>
      </c>
      <c r="G208" s="37" t="s">
        <v>4774</v>
      </c>
      <c r="H208" s="37"/>
      <c r="I208" s="37" t="s">
        <v>416</v>
      </c>
      <c r="J208" s="37" t="s">
        <v>75</v>
      </c>
      <c r="K208" s="40" t="s">
        <v>1816</v>
      </c>
      <c r="L208" s="37" t="s">
        <v>64</v>
      </c>
      <c r="M208" s="37" t="s">
        <v>4775</v>
      </c>
      <c r="N208" s="37"/>
      <c r="O208" s="37" t="s">
        <v>4059</v>
      </c>
      <c r="P208" s="37" t="s">
        <v>143</v>
      </c>
      <c r="Q208" s="37" t="s">
        <v>10</v>
      </c>
      <c r="R208" s="37"/>
      <c r="S208" s="37"/>
      <c r="T208" s="37"/>
      <c r="U208" s="37"/>
      <c r="V208" s="37" t="s">
        <v>72</v>
      </c>
      <c r="W208" s="37" t="s">
        <v>73</v>
      </c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</row>
    <row r="209" spans="1:37">
      <c r="A209" s="37"/>
      <c r="B209" s="37"/>
      <c r="C209" s="37"/>
      <c r="D209" s="37" t="s">
        <v>1418</v>
      </c>
      <c r="E209" s="37" t="s">
        <v>5927</v>
      </c>
      <c r="F209" s="37" t="s">
        <v>5928</v>
      </c>
      <c r="G209" s="37" t="s">
        <v>5926</v>
      </c>
      <c r="H209" s="37"/>
      <c r="I209" s="37" t="s">
        <v>3486</v>
      </c>
      <c r="J209" s="37" t="s">
        <v>75</v>
      </c>
      <c r="K209" s="40" t="s">
        <v>3487</v>
      </c>
      <c r="L209" s="37" t="s">
        <v>64</v>
      </c>
      <c r="M209" s="37" t="s">
        <v>5923</v>
      </c>
      <c r="N209" s="37"/>
      <c r="O209" s="37" t="s">
        <v>4059</v>
      </c>
      <c r="P209" s="37" t="s">
        <v>384</v>
      </c>
      <c r="Q209" s="37" t="s">
        <v>10</v>
      </c>
      <c r="R209" s="37"/>
      <c r="S209" s="37"/>
      <c r="T209" s="37"/>
      <c r="U209" s="37"/>
      <c r="V209" s="37" t="s">
        <v>77</v>
      </c>
      <c r="W209" s="37" t="s">
        <v>73</v>
      </c>
      <c r="X209" s="25"/>
      <c r="Y209" s="25"/>
      <c r="Z209" s="25"/>
      <c r="AA209" s="25"/>
      <c r="AB209" s="25"/>
      <c r="AC209" s="25"/>
      <c r="AD209" s="25"/>
      <c r="AE209" s="25"/>
      <c r="AF209" s="26"/>
      <c r="AG209" s="25"/>
      <c r="AH209" s="25"/>
      <c r="AI209" s="25"/>
      <c r="AJ209" s="25"/>
      <c r="AK209" s="25"/>
    </row>
    <row r="210" spans="1:37">
      <c r="A210" s="37"/>
      <c r="B210" s="37"/>
      <c r="C210" s="37"/>
      <c r="D210" s="37" t="s">
        <v>272</v>
      </c>
      <c r="E210" s="37" t="s">
        <v>4029</v>
      </c>
      <c r="F210" s="37" t="s">
        <v>4032</v>
      </c>
      <c r="G210" s="37" t="s">
        <v>4030</v>
      </c>
      <c r="H210" s="37"/>
      <c r="I210" s="37" t="s">
        <v>420</v>
      </c>
      <c r="J210" s="37" t="s">
        <v>75</v>
      </c>
      <c r="K210" s="40" t="s">
        <v>901</v>
      </c>
      <c r="L210" s="37" t="s">
        <v>64</v>
      </c>
      <c r="M210" s="37" t="s">
        <v>4031</v>
      </c>
      <c r="N210" s="37"/>
      <c r="O210" s="37" t="s">
        <v>4059</v>
      </c>
      <c r="P210" s="37" t="s">
        <v>447</v>
      </c>
      <c r="Q210" s="37" t="s">
        <v>10</v>
      </c>
      <c r="R210" s="37"/>
      <c r="S210" s="37"/>
      <c r="T210" s="37" t="s">
        <v>144</v>
      </c>
      <c r="U210" s="37"/>
      <c r="V210" s="37" t="s">
        <v>77</v>
      </c>
      <c r="W210" s="37" t="s">
        <v>756</v>
      </c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</row>
    <row r="211" spans="1:37">
      <c r="A211" s="37"/>
      <c r="B211" s="37"/>
      <c r="C211" s="37"/>
      <c r="D211" s="37" t="s">
        <v>5929</v>
      </c>
      <c r="E211" s="37" t="s">
        <v>5930</v>
      </c>
      <c r="F211" s="37" t="s">
        <v>5931</v>
      </c>
      <c r="G211" s="37" t="s">
        <v>3942</v>
      </c>
      <c r="H211" s="37"/>
      <c r="I211" s="37" t="s">
        <v>3944</v>
      </c>
      <c r="J211" s="37" t="s">
        <v>75</v>
      </c>
      <c r="K211" s="40" t="s">
        <v>3487</v>
      </c>
      <c r="L211" s="37" t="s">
        <v>64</v>
      </c>
      <c r="M211" s="37" t="s">
        <v>5923</v>
      </c>
      <c r="N211" s="37"/>
      <c r="O211" s="37" t="s">
        <v>4059</v>
      </c>
      <c r="P211" s="37" t="s">
        <v>384</v>
      </c>
      <c r="Q211" s="37" t="s">
        <v>10</v>
      </c>
      <c r="R211" s="37"/>
      <c r="S211" s="37"/>
      <c r="T211" s="37"/>
      <c r="U211" s="37"/>
      <c r="V211" s="37" t="s">
        <v>77</v>
      </c>
      <c r="W211" s="37" t="s">
        <v>131</v>
      </c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</row>
    <row r="212" spans="1:37">
      <c r="A212" s="37"/>
      <c r="B212" s="37"/>
      <c r="C212" s="37"/>
      <c r="D212" s="37" t="s">
        <v>4022</v>
      </c>
      <c r="E212" s="37" t="s">
        <v>1258</v>
      </c>
      <c r="F212" s="37" t="s">
        <v>4025</v>
      </c>
      <c r="G212" s="37" t="s">
        <v>4023</v>
      </c>
      <c r="H212" s="37"/>
      <c r="I212" s="37" t="s">
        <v>2034</v>
      </c>
      <c r="J212" s="37" t="s">
        <v>75</v>
      </c>
      <c r="K212" s="40" t="s">
        <v>2035</v>
      </c>
      <c r="L212" s="37" t="s">
        <v>64</v>
      </c>
      <c r="M212" s="37" t="s">
        <v>4024</v>
      </c>
      <c r="N212" s="37"/>
      <c r="O212" s="37" t="s">
        <v>4059</v>
      </c>
      <c r="P212" s="37" t="s">
        <v>447</v>
      </c>
      <c r="Q212" s="37" t="s">
        <v>10</v>
      </c>
      <c r="R212" s="37"/>
      <c r="S212" s="37"/>
      <c r="T212" s="37"/>
      <c r="U212" s="37"/>
      <c r="V212" s="37" t="s">
        <v>77</v>
      </c>
      <c r="W212" s="37" t="s">
        <v>89</v>
      </c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</row>
    <row r="213" spans="1:37">
      <c r="A213" s="37"/>
      <c r="B213" s="37"/>
      <c r="C213" s="37"/>
      <c r="D213" s="37" t="s">
        <v>5932</v>
      </c>
      <c r="E213" s="37" t="s">
        <v>5933</v>
      </c>
      <c r="F213" s="37" t="s">
        <v>5934</v>
      </c>
      <c r="G213" s="37" t="s">
        <v>5935</v>
      </c>
      <c r="H213" s="37"/>
      <c r="I213" s="37" t="s">
        <v>5922</v>
      </c>
      <c r="J213" s="37" t="s">
        <v>75</v>
      </c>
      <c r="K213" s="40" t="s">
        <v>3487</v>
      </c>
      <c r="L213" s="37" t="s">
        <v>64</v>
      </c>
      <c r="M213" s="37" t="s">
        <v>5923</v>
      </c>
      <c r="N213" s="37"/>
      <c r="O213" s="37" t="s">
        <v>4059</v>
      </c>
      <c r="P213" s="37" t="s">
        <v>384</v>
      </c>
      <c r="Q213" s="37" t="s">
        <v>10</v>
      </c>
      <c r="R213" s="37"/>
      <c r="S213" s="37"/>
      <c r="T213" s="37" t="s">
        <v>69</v>
      </c>
      <c r="U213" s="37"/>
      <c r="V213" s="37" t="s">
        <v>77</v>
      </c>
      <c r="W213" s="37" t="s">
        <v>97</v>
      </c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</row>
    <row r="214" spans="1:37">
      <c r="A214" s="37"/>
      <c r="B214" s="37"/>
      <c r="C214" s="37"/>
      <c r="D214" s="37" t="s">
        <v>5936</v>
      </c>
      <c r="E214" s="37" t="s">
        <v>1892</v>
      </c>
      <c r="F214" s="37" t="s">
        <v>5937</v>
      </c>
      <c r="G214" s="37" t="s">
        <v>3919</v>
      </c>
      <c r="H214" s="37"/>
      <c r="I214" s="37" t="s">
        <v>3486</v>
      </c>
      <c r="J214" s="37" t="s">
        <v>75</v>
      </c>
      <c r="K214" s="40" t="s">
        <v>3487</v>
      </c>
      <c r="L214" s="37" t="s">
        <v>64</v>
      </c>
      <c r="M214" s="37" t="s">
        <v>5923</v>
      </c>
      <c r="N214" s="37"/>
      <c r="O214" s="37" t="s">
        <v>4059</v>
      </c>
      <c r="P214" s="37" t="s">
        <v>384</v>
      </c>
      <c r="Q214" s="37" t="s">
        <v>10</v>
      </c>
      <c r="R214" s="37"/>
      <c r="S214" s="37"/>
      <c r="T214" s="37"/>
      <c r="U214" s="37"/>
      <c r="V214" s="37" t="s">
        <v>72</v>
      </c>
      <c r="W214" s="37" t="s">
        <v>97</v>
      </c>
      <c r="X214" s="25"/>
      <c r="Y214" s="25"/>
      <c r="Z214" s="25"/>
      <c r="AA214" s="25"/>
      <c r="AB214" s="25"/>
      <c r="AC214" s="25"/>
      <c r="AD214" s="25"/>
      <c r="AE214" s="25"/>
      <c r="AF214" s="26"/>
      <c r="AG214" s="25"/>
      <c r="AH214" s="25"/>
      <c r="AI214" s="25"/>
      <c r="AJ214" s="25"/>
      <c r="AK214" s="25"/>
    </row>
    <row r="215" spans="1:37">
      <c r="A215" s="37"/>
      <c r="B215" s="37"/>
      <c r="C215" s="37"/>
      <c r="D215" s="37" t="s">
        <v>1073</v>
      </c>
      <c r="E215" s="37" t="s">
        <v>1535</v>
      </c>
      <c r="F215" s="37" t="s">
        <v>3992</v>
      </c>
      <c r="G215" s="37" t="s">
        <v>3990</v>
      </c>
      <c r="H215" s="37"/>
      <c r="I215" s="37" t="s">
        <v>2034</v>
      </c>
      <c r="J215" s="37" t="s">
        <v>75</v>
      </c>
      <c r="K215" s="40" t="s">
        <v>2035</v>
      </c>
      <c r="L215" s="37" t="s">
        <v>64</v>
      </c>
      <c r="M215" s="37" t="s">
        <v>3991</v>
      </c>
      <c r="N215" s="37"/>
      <c r="O215" s="37" t="s">
        <v>4059</v>
      </c>
      <c r="P215" s="37" t="s">
        <v>447</v>
      </c>
      <c r="Q215" s="37" t="s">
        <v>10</v>
      </c>
      <c r="R215" s="37"/>
      <c r="S215" s="37"/>
      <c r="T215" s="37" t="s">
        <v>66</v>
      </c>
      <c r="U215" s="37" t="s">
        <v>87</v>
      </c>
      <c r="V215" s="37" t="s">
        <v>67</v>
      </c>
      <c r="W215" s="37" t="s">
        <v>73</v>
      </c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</row>
    <row r="216" spans="1:37">
      <c r="A216" s="37"/>
      <c r="B216" s="37"/>
      <c r="C216" s="37"/>
      <c r="D216" s="37" t="s">
        <v>5938</v>
      </c>
      <c r="E216" s="37" t="s">
        <v>5939</v>
      </c>
      <c r="F216" s="37" t="s">
        <v>5940</v>
      </c>
      <c r="G216" s="37" t="s">
        <v>5941</v>
      </c>
      <c r="H216" s="37" t="s">
        <v>982</v>
      </c>
      <c r="I216" s="37" t="s">
        <v>420</v>
      </c>
      <c r="J216" s="37" t="s">
        <v>75</v>
      </c>
      <c r="K216" s="40" t="s">
        <v>451</v>
      </c>
      <c r="L216" s="37" t="s">
        <v>64</v>
      </c>
      <c r="M216" s="37" t="s">
        <v>5942</v>
      </c>
      <c r="N216" s="37"/>
      <c r="O216" s="37" t="s">
        <v>4059</v>
      </c>
      <c r="P216" s="37" t="s">
        <v>1852</v>
      </c>
      <c r="Q216" s="37" t="s">
        <v>10</v>
      </c>
      <c r="R216" s="37"/>
      <c r="S216" s="37"/>
      <c r="T216" s="37"/>
      <c r="U216" s="37"/>
      <c r="V216" s="37" t="s">
        <v>72</v>
      </c>
      <c r="W216" s="37" t="s">
        <v>756</v>
      </c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</row>
    <row r="217" spans="1:37">
      <c r="A217" s="37"/>
      <c r="B217" s="37"/>
      <c r="C217" s="37"/>
      <c r="D217" s="37" t="s">
        <v>2022</v>
      </c>
      <c r="E217" s="37" t="s">
        <v>3404</v>
      </c>
      <c r="F217" s="37" t="s">
        <v>3407</v>
      </c>
      <c r="G217" s="37" t="s">
        <v>3405</v>
      </c>
      <c r="H217" s="37"/>
      <c r="I217" s="37" t="s">
        <v>420</v>
      </c>
      <c r="J217" s="37" t="s">
        <v>75</v>
      </c>
      <c r="K217" s="40" t="s">
        <v>698</v>
      </c>
      <c r="L217" s="37" t="s">
        <v>64</v>
      </c>
      <c r="M217" s="37" t="s">
        <v>3406</v>
      </c>
      <c r="N217" s="37"/>
      <c r="O217" s="37" t="s">
        <v>4059</v>
      </c>
      <c r="P217" s="37" t="s">
        <v>384</v>
      </c>
      <c r="Q217" s="37" t="s">
        <v>10</v>
      </c>
      <c r="R217" s="37"/>
      <c r="S217" s="37"/>
      <c r="T217" s="37"/>
      <c r="U217" s="37"/>
      <c r="V217" s="37" t="s">
        <v>77</v>
      </c>
      <c r="W217" s="37" t="s">
        <v>2680</v>
      </c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</row>
    <row r="218" spans="1:37">
      <c r="A218" s="37"/>
      <c r="B218" s="37"/>
      <c r="C218" s="37"/>
      <c r="D218" s="37" t="s">
        <v>5943</v>
      </c>
      <c r="E218" s="37" t="s">
        <v>5944</v>
      </c>
      <c r="F218" s="38" t="s">
        <v>5739</v>
      </c>
      <c r="G218" s="37" t="s">
        <v>5945</v>
      </c>
      <c r="H218" s="37"/>
      <c r="I218" s="37" t="s">
        <v>420</v>
      </c>
      <c r="J218" s="37" t="s">
        <v>75</v>
      </c>
      <c r="K218" s="40" t="s">
        <v>901</v>
      </c>
      <c r="L218" s="37" t="s">
        <v>64</v>
      </c>
      <c r="M218" s="37" t="s">
        <v>5946</v>
      </c>
      <c r="N218" s="37"/>
      <c r="O218" s="37" t="s">
        <v>4059</v>
      </c>
      <c r="P218" s="37" t="s">
        <v>447</v>
      </c>
      <c r="Q218" s="37" t="s">
        <v>10</v>
      </c>
      <c r="R218" s="37"/>
      <c r="S218" s="37"/>
      <c r="T218" s="37"/>
      <c r="U218" s="37"/>
      <c r="V218" s="37" t="s">
        <v>72</v>
      </c>
      <c r="W218" s="37" t="s">
        <v>69</v>
      </c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</row>
    <row r="219" spans="1:37">
      <c r="A219" s="37"/>
      <c r="B219" s="37"/>
      <c r="C219" s="37"/>
      <c r="D219" s="37" t="s">
        <v>5947</v>
      </c>
      <c r="E219" s="37" t="s">
        <v>2103</v>
      </c>
      <c r="F219" s="37" t="s">
        <v>5948</v>
      </c>
      <c r="G219" s="37" t="s">
        <v>5949</v>
      </c>
      <c r="H219" s="37" t="s">
        <v>5950</v>
      </c>
      <c r="I219" s="37" t="s">
        <v>420</v>
      </c>
      <c r="J219" s="37" t="s">
        <v>75</v>
      </c>
      <c r="K219" s="40" t="s">
        <v>698</v>
      </c>
      <c r="L219" s="37" t="s">
        <v>64</v>
      </c>
      <c r="M219" s="37" t="s">
        <v>2796</v>
      </c>
      <c r="N219" s="37"/>
      <c r="O219" s="37" t="s">
        <v>4059</v>
      </c>
      <c r="P219" s="37" t="s">
        <v>285</v>
      </c>
      <c r="Q219" s="37" t="s">
        <v>10</v>
      </c>
      <c r="R219" s="37" t="s">
        <v>5951</v>
      </c>
      <c r="S219" s="37"/>
      <c r="T219" s="37" t="s">
        <v>69</v>
      </c>
      <c r="U219" s="37"/>
      <c r="V219" s="37" t="s">
        <v>72</v>
      </c>
      <c r="W219" s="37" t="s">
        <v>110</v>
      </c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</row>
    <row r="220" spans="1:37">
      <c r="A220" s="37"/>
      <c r="B220" s="37"/>
      <c r="C220" s="37"/>
      <c r="D220" s="37" t="s">
        <v>5952</v>
      </c>
      <c r="E220" s="37" t="s">
        <v>5953</v>
      </c>
      <c r="F220" s="37" t="s">
        <v>5954</v>
      </c>
      <c r="G220" s="37" t="s">
        <v>5955</v>
      </c>
      <c r="H220" s="37" t="s">
        <v>5956</v>
      </c>
      <c r="I220" s="37" t="s">
        <v>420</v>
      </c>
      <c r="J220" s="37" t="s">
        <v>75</v>
      </c>
      <c r="K220" s="40" t="s">
        <v>5957</v>
      </c>
      <c r="L220" s="37" t="s">
        <v>64</v>
      </c>
      <c r="M220" s="37" t="s">
        <v>5958</v>
      </c>
      <c r="N220" s="37" t="s">
        <v>5959</v>
      </c>
      <c r="O220" s="37" t="s">
        <v>4059</v>
      </c>
      <c r="P220" s="37" t="s">
        <v>447</v>
      </c>
      <c r="Q220" s="37" t="s">
        <v>10</v>
      </c>
      <c r="R220" s="37"/>
      <c r="S220" s="37"/>
      <c r="T220" s="37" t="s">
        <v>69</v>
      </c>
      <c r="U220" s="37" t="s">
        <v>189</v>
      </c>
      <c r="V220" s="37" t="s">
        <v>77</v>
      </c>
      <c r="W220" s="37" t="s">
        <v>97</v>
      </c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</row>
    <row r="221" spans="1:37">
      <c r="A221" s="37"/>
      <c r="B221" s="37"/>
      <c r="C221" s="37"/>
      <c r="D221" s="37" t="s">
        <v>2528</v>
      </c>
      <c r="E221" s="37" t="s">
        <v>2245</v>
      </c>
      <c r="F221" s="37" t="s">
        <v>4401</v>
      </c>
      <c r="G221" s="37" t="s">
        <v>4399</v>
      </c>
      <c r="H221" s="37"/>
      <c r="I221" s="37" t="s">
        <v>420</v>
      </c>
      <c r="J221" s="37" t="s">
        <v>75</v>
      </c>
      <c r="K221" s="40" t="s">
        <v>901</v>
      </c>
      <c r="L221" s="37" t="s">
        <v>64</v>
      </c>
      <c r="M221" s="37" t="s">
        <v>4031</v>
      </c>
      <c r="N221" s="37" t="s">
        <v>4400</v>
      </c>
      <c r="O221" s="37" t="s">
        <v>4059</v>
      </c>
      <c r="P221" s="37" t="s">
        <v>447</v>
      </c>
      <c r="Q221" s="37" t="s">
        <v>10</v>
      </c>
      <c r="R221" s="37"/>
      <c r="S221" s="37"/>
      <c r="T221" s="37"/>
      <c r="U221" s="37"/>
      <c r="V221" s="37" t="s">
        <v>77</v>
      </c>
      <c r="W221" s="37" t="s">
        <v>78</v>
      </c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</row>
    <row r="222" spans="1:37">
      <c r="A222" s="37" t="s">
        <v>472</v>
      </c>
      <c r="B222" s="37"/>
      <c r="C222" s="37"/>
      <c r="D222" s="37" t="s">
        <v>5960</v>
      </c>
      <c r="E222" s="37" t="s">
        <v>5961</v>
      </c>
      <c r="F222" s="37" t="s">
        <v>5962</v>
      </c>
      <c r="G222" s="37" t="s">
        <v>5963</v>
      </c>
      <c r="H222" s="37"/>
      <c r="I222" s="37" t="s">
        <v>239</v>
      </c>
      <c r="J222" s="37" t="s">
        <v>75</v>
      </c>
      <c r="K222" s="40" t="s">
        <v>5964</v>
      </c>
      <c r="L222" s="37" t="s">
        <v>64</v>
      </c>
      <c r="M222" s="37" t="s">
        <v>5965</v>
      </c>
      <c r="N222" s="37"/>
      <c r="O222" s="37" t="s">
        <v>4059</v>
      </c>
      <c r="P222" s="37" t="s">
        <v>1852</v>
      </c>
      <c r="Q222" s="37" t="s">
        <v>10</v>
      </c>
      <c r="R222" s="37"/>
      <c r="S222" s="37"/>
      <c r="T222" s="37"/>
      <c r="U222" s="37"/>
      <c r="V222" s="37" t="s">
        <v>72</v>
      </c>
      <c r="W222" s="37" t="s">
        <v>756</v>
      </c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</row>
    <row r="223" spans="1:37">
      <c r="A223" s="37" t="s">
        <v>5966</v>
      </c>
      <c r="B223" s="37"/>
      <c r="C223" s="37"/>
      <c r="D223" s="37" t="s">
        <v>5967</v>
      </c>
      <c r="E223" s="37" t="s">
        <v>2629</v>
      </c>
      <c r="F223" s="37" t="s">
        <v>5968</v>
      </c>
      <c r="G223" s="37" t="s">
        <v>5969</v>
      </c>
      <c r="H223" s="37"/>
      <c r="I223" s="37" t="s">
        <v>420</v>
      </c>
      <c r="J223" s="37" t="s">
        <v>75</v>
      </c>
      <c r="K223" s="40" t="s">
        <v>698</v>
      </c>
      <c r="L223" s="37" t="s">
        <v>64</v>
      </c>
      <c r="M223" s="37" t="s">
        <v>5970</v>
      </c>
      <c r="N223" s="37"/>
      <c r="O223" s="37" t="s">
        <v>4059</v>
      </c>
      <c r="P223" s="37" t="s">
        <v>384</v>
      </c>
      <c r="Q223" s="37" t="s">
        <v>10</v>
      </c>
      <c r="R223" s="37"/>
      <c r="S223" s="37"/>
      <c r="T223" s="37" t="s">
        <v>115</v>
      </c>
      <c r="U223" s="37" t="s">
        <v>5971</v>
      </c>
      <c r="V223" s="37" t="s">
        <v>77</v>
      </c>
      <c r="W223" s="37" t="s">
        <v>178</v>
      </c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</row>
    <row r="224" spans="1:37">
      <c r="A224" s="37"/>
      <c r="B224" s="37"/>
      <c r="C224" s="37"/>
      <c r="D224" s="37" t="s">
        <v>5972</v>
      </c>
      <c r="E224" s="37" t="s">
        <v>5973</v>
      </c>
      <c r="F224" s="37" t="s">
        <v>5974</v>
      </c>
      <c r="G224" s="37" t="s">
        <v>5975</v>
      </c>
      <c r="H224" s="37"/>
      <c r="I224" s="37" t="s">
        <v>3486</v>
      </c>
      <c r="J224" s="37" t="s">
        <v>75</v>
      </c>
      <c r="K224" s="40" t="s">
        <v>3487</v>
      </c>
      <c r="L224" s="37" t="s">
        <v>64</v>
      </c>
      <c r="M224" s="37" t="s">
        <v>5923</v>
      </c>
      <c r="N224" s="37"/>
      <c r="O224" s="37" t="s">
        <v>4059</v>
      </c>
      <c r="P224" s="37" t="s">
        <v>384</v>
      </c>
      <c r="Q224" s="37" t="s">
        <v>10</v>
      </c>
      <c r="R224" s="37"/>
      <c r="S224" s="37"/>
      <c r="T224" s="37"/>
      <c r="U224" s="37"/>
      <c r="V224" s="37" t="s">
        <v>77</v>
      </c>
      <c r="W224" s="37" t="s">
        <v>97</v>
      </c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</row>
    <row r="225" spans="1:37">
      <c r="A225" s="37"/>
      <c r="B225" s="37"/>
      <c r="C225" s="37"/>
      <c r="D225" s="37" t="s">
        <v>5976</v>
      </c>
      <c r="E225" s="37" t="s">
        <v>5977</v>
      </c>
      <c r="F225" s="37" t="s">
        <v>5978</v>
      </c>
      <c r="G225" s="37" t="s">
        <v>5979</v>
      </c>
      <c r="H225" s="37"/>
      <c r="I225" s="37" t="s">
        <v>3486</v>
      </c>
      <c r="J225" s="37" t="s">
        <v>75</v>
      </c>
      <c r="K225" s="40" t="s">
        <v>3487</v>
      </c>
      <c r="L225" s="37" t="s">
        <v>64</v>
      </c>
      <c r="M225" s="37" t="s">
        <v>5923</v>
      </c>
      <c r="N225" s="37"/>
      <c r="O225" s="37" t="s">
        <v>4059</v>
      </c>
      <c r="P225" s="37" t="s">
        <v>384</v>
      </c>
      <c r="Q225" s="37" t="s">
        <v>10</v>
      </c>
      <c r="R225" s="37"/>
      <c r="S225" s="37"/>
      <c r="T225" s="37" t="s">
        <v>69</v>
      </c>
      <c r="U225" s="37"/>
      <c r="V225" s="37" t="s">
        <v>72</v>
      </c>
      <c r="W225" s="37" t="s">
        <v>99</v>
      </c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</row>
    <row r="226" spans="1:37">
      <c r="A226" s="37"/>
      <c r="B226" s="37"/>
      <c r="C226" s="37"/>
      <c r="D226" s="37" t="s">
        <v>1815</v>
      </c>
      <c r="E226" s="37" t="s">
        <v>5980</v>
      </c>
      <c r="F226" s="37" t="s">
        <v>5981</v>
      </c>
      <c r="G226" s="37" t="s">
        <v>3545</v>
      </c>
      <c r="H226" s="37"/>
      <c r="I226" s="37" t="s">
        <v>420</v>
      </c>
      <c r="J226" s="37" t="s">
        <v>75</v>
      </c>
      <c r="K226" s="40" t="s">
        <v>698</v>
      </c>
      <c r="L226" s="37" t="s">
        <v>64</v>
      </c>
      <c r="M226" s="37" t="s">
        <v>3192</v>
      </c>
      <c r="N226" s="37"/>
      <c r="O226" s="37" t="s">
        <v>4059</v>
      </c>
      <c r="P226" s="37" t="s">
        <v>384</v>
      </c>
      <c r="Q226" s="37" t="s">
        <v>10</v>
      </c>
      <c r="R226" s="37"/>
      <c r="S226" s="37"/>
      <c r="T226" s="37"/>
      <c r="U226" s="37"/>
      <c r="V226" s="37" t="s">
        <v>72</v>
      </c>
      <c r="W226" s="37" t="s">
        <v>69</v>
      </c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</row>
    <row r="227" spans="1:37">
      <c r="A227" s="37"/>
      <c r="B227" s="37"/>
      <c r="C227" s="37"/>
      <c r="D227" s="37" t="s">
        <v>390</v>
      </c>
      <c r="E227" s="37" t="s">
        <v>4271</v>
      </c>
      <c r="F227" s="37" t="s">
        <v>4275</v>
      </c>
      <c r="G227" s="37" t="s">
        <v>4272</v>
      </c>
      <c r="H227" s="37"/>
      <c r="I227" s="37" t="s">
        <v>420</v>
      </c>
      <c r="J227" s="37" t="s">
        <v>75</v>
      </c>
      <c r="K227" s="40" t="s">
        <v>4273</v>
      </c>
      <c r="L227" s="37" t="s">
        <v>64</v>
      </c>
      <c r="M227" s="37" t="s">
        <v>4274</v>
      </c>
      <c r="N227" s="37"/>
      <c r="O227" s="37" t="s">
        <v>4059</v>
      </c>
      <c r="P227" s="37" t="s">
        <v>447</v>
      </c>
      <c r="Q227" s="37" t="s">
        <v>10</v>
      </c>
      <c r="R227" s="37"/>
      <c r="S227" s="37"/>
      <c r="T227" s="37" t="s">
        <v>158</v>
      </c>
      <c r="U227" s="37"/>
      <c r="V227" s="37" t="s">
        <v>72</v>
      </c>
      <c r="W227" s="37" t="s">
        <v>73</v>
      </c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</row>
    <row r="228" spans="1:37">
      <c r="A228" s="37"/>
      <c r="B228" s="37"/>
      <c r="C228" s="37"/>
      <c r="D228" s="37" t="s">
        <v>1590</v>
      </c>
      <c r="E228" s="37" t="s">
        <v>1258</v>
      </c>
      <c r="F228" s="37" t="s">
        <v>4233</v>
      </c>
      <c r="G228" s="37" t="s">
        <v>4231</v>
      </c>
      <c r="H228" s="37"/>
      <c r="I228" s="37" t="s">
        <v>420</v>
      </c>
      <c r="J228" s="37" t="s">
        <v>75</v>
      </c>
      <c r="K228" s="40" t="s">
        <v>451</v>
      </c>
      <c r="L228" s="37" t="s">
        <v>64</v>
      </c>
      <c r="M228" s="37" t="s">
        <v>4232</v>
      </c>
      <c r="N228" s="37"/>
      <c r="O228" s="37" t="s">
        <v>4059</v>
      </c>
      <c r="P228" s="37" t="s">
        <v>1852</v>
      </c>
      <c r="Q228" s="37" t="s">
        <v>10</v>
      </c>
      <c r="R228" s="37"/>
      <c r="S228" s="37"/>
      <c r="T228" s="37"/>
      <c r="U228" s="37" t="s">
        <v>109</v>
      </c>
      <c r="V228" s="37" t="s">
        <v>88</v>
      </c>
      <c r="W228" s="37" t="s">
        <v>73</v>
      </c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</row>
    <row r="229" spans="1:37">
      <c r="A229" s="37" t="s">
        <v>1334</v>
      </c>
      <c r="B229" s="37"/>
      <c r="C229" s="37"/>
      <c r="D229" s="37" t="s">
        <v>854</v>
      </c>
      <c r="E229" s="37" t="s">
        <v>5982</v>
      </c>
      <c r="F229" s="37" t="s">
        <v>5983</v>
      </c>
      <c r="G229" s="37" t="s">
        <v>5984</v>
      </c>
      <c r="H229" s="37"/>
      <c r="I229" s="37" t="s">
        <v>420</v>
      </c>
      <c r="J229" s="37" t="s">
        <v>75</v>
      </c>
      <c r="K229" s="40" t="s">
        <v>698</v>
      </c>
      <c r="L229" s="37" t="s">
        <v>64</v>
      </c>
      <c r="M229" s="37" t="s">
        <v>3192</v>
      </c>
      <c r="N229" s="37"/>
      <c r="O229" s="37" t="s">
        <v>4059</v>
      </c>
      <c r="P229" s="37" t="s">
        <v>384</v>
      </c>
      <c r="Q229" s="37" t="s">
        <v>10</v>
      </c>
      <c r="R229" s="37"/>
      <c r="S229" s="37"/>
      <c r="T229" s="37"/>
      <c r="U229" s="37"/>
      <c r="V229" s="37" t="s">
        <v>77</v>
      </c>
      <c r="W229" s="37" t="s">
        <v>73</v>
      </c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</row>
    <row r="230" spans="1:37">
      <c r="A230" s="37"/>
      <c r="B230" s="37"/>
      <c r="C230" s="37"/>
      <c r="D230" s="37" t="s">
        <v>5985</v>
      </c>
      <c r="E230" s="37" t="s">
        <v>1535</v>
      </c>
      <c r="F230" s="37" t="s">
        <v>5986</v>
      </c>
      <c r="G230" s="37" t="s">
        <v>5987</v>
      </c>
      <c r="H230" s="37"/>
      <c r="I230" s="37" t="s">
        <v>5922</v>
      </c>
      <c r="J230" s="37" t="s">
        <v>75</v>
      </c>
      <c r="K230" s="40" t="s">
        <v>3487</v>
      </c>
      <c r="L230" s="37" t="s">
        <v>64</v>
      </c>
      <c r="M230" s="37" t="s">
        <v>5923</v>
      </c>
      <c r="N230" s="37"/>
      <c r="O230" s="37" t="s">
        <v>4059</v>
      </c>
      <c r="P230" s="37" t="s">
        <v>384</v>
      </c>
      <c r="Q230" s="37" t="s">
        <v>10</v>
      </c>
      <c r="R230" s="37"/>
      <c r="S230" s="37"/>
      <c r="T230" s="37"/>
      <c r="U230" s="37" t="s">
        <v>767</v>
      </c>
      <c r="V230" s="37" t="s">
        <v>72</v>
      </c>
      <c r="W230" s="37" t="s">
        <v>97</v>
      </c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</row>
    <row r="231" spans="1:37">
      <c r="A231" s="37"/>
      <c r="B231" s="37"/>
      <c r="C231" s="37"/>
      <c r="D231" s="37" t="s">
        <v>149</v>
      </c>
      <c r="E231" s="37" t="s">
        <v>5988</v>
      </c>
      <c r="F231" s="37" t="s">
        <v>5989</v>
      </c>
      <c r="G231" s="37" t="s">
        <v>2808</v>
      </c>
      <c r="H231" s="37"/>
      <c r="I231" s="37" t="s">
        <v>420</v>
      </c>
      <c r="J231" s="37" t="s">
        <v>75</v>
      </c>
      <c r="K231" s="40" t="s">
        <v>698</v>
      </c>
      <c r="L231" s="37" t="s">
        <v>64</v>
      </c>
      <c r="M231" s="37" t="s">
        <v>3192</v>
      </c>
      <c r="N231" s="37"/>
      <c r="O231" s="37" t="s">
        <v>4059</v>
      </c>
      <c r="P231" s="37" t="s">
        <v>384</v>
      </c>
      <c r="Q231" s="37" t="s">
        <v>10</v>
      </c>
      <c r="R231" s="37"/>
      <c r="S231" s="37"/>
      <c r="T231" s="37" t="s">
        <v>115</v>
      </c>
      <c r="U231" s="37" t="s">
        <v>185</v>
      </c>
      <c r="V231" s="37" t="s">
        <v>72</v>
      </c>
      <c r="W231" s="37" t="s">
        <v>97</v>
      </c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</row>
    <row r="232" spans="1:37">
      <c r="A232" s="37"/>
      <c r="B232" s="37"/>
      <c r="C232" s="37"/>
      <c r="D232" s="37" t="s">
        <v>1675</v>
      </c>
      <c r="E232" s="37" t="s">
        <v>5990</v>
      </c>
      <c r="F232" s="37" t="s">
        <v>5991</v>
      </c>
      <c r="G232" s="37" t="s">
        <v>5992</v>
      </c>
      <c r="H232" s="37"/>
      <c r="I232" s="37" t="s">
        <v>5993</v>
      </c>
      <c r="J232" s="37" t="s">
        <v>75</v>
      </c>
      <c r="K232" s="40" t="s">
        <v>698</v>
      </c>
      <c r="L232" s="37" t="s">
        <v>64</v>
      </c>
      <c r="M232" s="37" t="s">
        <v>3192</v>
      </c>
      <c r="N232" s="37"/>
      <c r="O232" s="37" t="s">
        <v>4059</v>
      </c>
      <c r="P232" s="37" t="s">
        <v>384</v>
      </c>
      <c r="Q232" s="37" t="s">
        <v>10</v>
      </c>
      <c r="R232" s="37"/>
      <c r="S232" s="37"/>
      <c r="T232" s="37"/>
      <c r="U232" s="37"/>
      <c r="V232" s="37" t="s">
        <v>67</v>
      </c>
      <c r="W232" s="37" t="s">
        <v>576</v>
      </c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</row>
    <row r="233" spans="1:37">
      <c r="A233" s="37"/>
      <c r="B233" s="37"/>
      <c r="C233" s="37"/>
      <c r="D233" s="37" t="s">
        <v>5994</v>
      </c>
      <c r="E233" s="37" t="s">
        <v>2215</v>
      </c>
      <c r="F233" s="37" t="s">
        <v>5995</v>
      </c>
      <c r="G233" s="37" t="s">
        <v>3919</v>
      </c>
      <c r="H233" s="37"/>
      <c r="I233" s="37" t="s">
        <v>3486</v>
      </c>
      <c r="J233" s="37" t="s">
        <v>75</v>
      </c>
      <c r="K233" s="40" t="s">
        <v>3487</v>
      </c>
      <c r="L233" s="37" t="s">
        <v>64</v>
      </c>
      <c r="M233" s="37" t="s">
        <v>5923</v>
      </c>
      <c r="N233" s="37"/>
      <c r="O233" s="37" t="s">
        <v>4059</v>
      </c>
      <c r="P233" s="37" t="s">
        <v>384</v>
      </c>
      <c r="Q233" s="37" t="s">
        <v>10</v>
      </c>
      <c r="R233" s="37"/>
      <c r="S233" s="37"/>
      <c r="T233" s="37"/>
      <c r="U233" s="37"/>
      <c r="V233" s="37" t="s">
        <v>72</v>
      </c>
      <c r="W233" s="37" t="s">
        <v>97</v>
      </c>
      <c r="X233" s="25"/>
      <c r="Y233" s="25"/>
      <c r="Z233" s="25"/>
      <c r="AA233" s="25"/>
      <c r="AB233" s="25"/>
      <c r="AC233" s="25"/>
      <c r="AD233" s="25"/>
      <c r="AE233" s="25"/>
      <c r="AF233" s="26"/>
      <c r="AG233" s="25"/>
      <c r="AH233" s="25"/>
      <c r="AI233" s="25"/>
      <c r="AJ233" s="25"/>
      <c r="AK233" s="25"/>
    </row>
    <row r="234" spans="1:37">
      <c r="A234" s="37" t="s">
        <v>5996</v>
      </c>
      <c r="B234" s="37"/>
      <c r="C234" s="37"/>
      <c r="D234" s="37" t="s">
        <v>2800</v>
      </c>
      <c r="E234" s="37" t="s">
        <v>5997</v>
      </c>
      <c r="F234" s="37" t="s">
        <v>5998</v>
      </c>
      <c r="G234" s="37" t="s">
        <v>5999</v>
      </c>
      <c r="H234" s="37"/>
      <c r="I234" s="37" t="s">
        <v>420</v>
      </c>
      <c r="J234" s="37" t="s">
        <v>75</v>
      </c>
      <c r="K234" s="40" t="s">
        <v>698</v>
      </c>
      <c r="L234" s="37" t="s">
        <v>64</v>
      </c>
      <c r="M234" s="37" t="s">
        <v>6000</v>
      </c>
      <c r="N234" s="37"/>
      <c r="O234" s="37" t="s">
        <v>4059</v>
      </c>
      <c r="P234" s="37" t="s">
        <v>384</v>
      </c>
      <c r="Q234" s="37" t="s">
        <v>10</v>
      </c>
      <c r="R234" s="37"/>
      <c r="S234" s="37"/>
      <c r="T234" s="37" t="s">
        <v>69</v>
      </c>
      <c r="U234" s="37" t="s">
        <v>76</v>
      </c>
      <c r="V234" s="37" t="s">
        <v>77</v>
      </c>
      <c r="W234" s="37" t="s">
        <v>73</v>
      </c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</row>
    <row r="235" spans="1:37">
      <c r="A235" s="37"/>
      <c r="B235" s="37"/>
      <c r="C235" s="37"/>
      <c r="D235" s="37" t="s">
        <v>854</v>
      </c>
      <c r="E235" s="37" t="s">
        <v>4116</v>
      </c>
      <c r="F235" s="37" t="s">
        <v>4119</v>
      </c>
      <c r="G235" s="37" t="s">
        <v>4117</v>
      </c>
      <c r="H235" s="37"/>
      <c r="I235" s="37" t="s">
        <v>420</v>
      </c>
      <c r="J235" s="37" t="s">
        <v>75</v>
      </c>
      <c r="K235" s="40" t="s">
        <v>451</v>
      </c>
      <c r="L235" s="37" t="s">
        <v>64</v>
      </c>
      <c r="M235" s="37" t="s">
        <v>4118</v>
      </c>
      <c r="N235" s="37"/>
      <c r="O235" s="37" t="s">
        <v>4059</v>
      </c>
      <c r="P235" s="37" t="s">
        <v>1852</v>
      </c>
      <c r="Q235" s="37" t="s">
        <v>10</v>
      </c>
      <c r="R235" s="37"/>
      <c r="S235" s="37"/>
      <c r="T235" s="37"/>
      <c r="U235" s="37"/>
      <c r="V235" s="37" t="s">
        <v>77</v>
      </c>
      <c r="W235" s="37" t="s">
        <v>73</v>
      </c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</row>
    <row r="236" spans="1:37">
      <c r="A236" s="37"/>
      <c r="B236" s="37"/>
      <c r="C236" s="37"/>
      <c r="D236" s="37" t="s">
        <v>5943</v>
      </c>
      <c r="E236" s="37" t="s">
        <v>2827</v>
      </c>
      <c r="F236" s="37" t="s">
        <v>6001</v>
      </c>
      <c r="G236" s="37" t="s">
        <v>6002</v>
      </c>
      <c r="H236" s="37"/>
      <c r="I236" s="37" t="s">
        <v>420</v>
      </c>
      <c r="J236" s="37" t="s">
        <v>75</v>
      </c>
      <c r="K236" s="40" t="s">
        <v>698</v>
      </c>
      <c r="L236" s="37" t="s">
        <v>64</v>
      </c>
      <c r="M236" s="37" t="s">
        <v>6003</v>
      </c>
      <c r="N236" s="37"/>
      <c r="O236" s="37" t="s">
        <v>4059</v>
      </c>
      <c r="P236" s="37" t="s">
        <v>384</v>
      </c>
      <c r="Q236" s="37" t="s">
        <v>10</v>
      </c>
      <c r="R236" s="37"/>
      <c r="S236" s="37"/>
      <c r="T236" s="37"/>
      <c r="U236" s="37"/>
      <c r="V236" s="37" t="s">
        <v>72</v>
      </c>
      <c r="W236" s="37" t="s">
        <v>97</v>
      </c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</row>
    <row r="237" spans="1:37">
      <c r="A237" s="37"/>
      <c r="B237" s="37"/>
      <c r="C237" s="37"/>
      <c r="D237" s="37" t="s">
        <v>464</v>
      </c>
      <c r="E237" s="37" t="s">
        <v>6004</v>
      </c>
      <c r="F237" s="37" t="s">
        <v>6005</v>
      </c>
      <c r="G237" s="37" t="s">
        <v>6006</v>
      </c>
      <c r="H237" s="37" t="s">
        <v>6007</v>
      </c>
      <c r="I237" s="37" t="s">
        <v>420</v>
      </c>
      <c r="J237" s="37" t="s">
        <v>75</v>
      </c>
      <c r="K237" s="40" t="s">
        <v>698</v>
      </c>
      <c r="L237" s="37" t="s">
        <v>64</v>
      </c>
      <c r="M237" s="37" t="s">
        <v>3192</v>
      </c>
      <c r="N237" s="37"/>
      <c r="O237" s="37" t="s">
        <v>4059</v>
      </c>
      <c r="P237" s="37" t="s">
        <v>384</v>
      </c>
      <c r="Q237" s="37" t="s">
        <v>10</v>
      </c>
      <c r="R237" s="37"/>
      <c r="S237" s="37"/>
      <c r="T237" s="37"/>
      <c r="U237" s="37"/>
      <c r="V237" s="37" t="s">
        <v>72</v>
      </c>
      <c r="W237" s="37" t="s">
        <v>97</v>
      </c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</row>
    <row r="238" spans="1:37">
      <c r="A238" s="37"/>
      <c r="B238" s="37"/>
      <c r="C238" s="37"/>
      <c r="D238" s="37" t="s">
        <v>390</v>
      </c>
      <c r="E238" s="37" t="s">
        <v>2190</v>
      </c>
      <c r="F238" s="37" t="s">
        <v>2197</v>
      </c>
      <c r="G238" s="37" t="s">
        <v>2191</v>
      </c>
      <c r="H238" s="37"/>
      <c r="I238" s="37" t="s">
        <v>2192</v>
      </c>
      <c r="J238" s="37" t="s">
        <v>70</v>
      </c>
      <c r="K238" s="40" t="s">
        <v>2193</v>
      </c>
      <c r="L238" s="37" t="s">
        <v>64</v>
      </c>
      <c r="M238" s="37" t="s">
        <v>2194</v>
      </c>
      <c r="N238" s="37" t="s">
        <v>2195</v>
      </c>
      <c r="O238" s="37" t="s">
        <v>4057</v>
      </c>
      <c r="P238" s="37" t="s">
        <v>129</v>
      </c>
      <c r="Q238" s="37" t="s">
        <v>71</v>
      </c>
      <c r="R238" s="37" t="s">
        <v>2196</v>
      </c>
      <c r="S238" s="37"/>
      <c r="T238" s="37" t="s">
        <v>66</v>
      </c>
      <c r="U238" s="37"/>
      <c r="V238" s="37" t="s">
        <v>88</v>
      </c>
      <c r="W238" s="37" t="s">
        <v>89</v>
      </c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</row>
    <row r="239" spans="1:37">
      <c r="A239" s="37"/>
      <c r="B239" s="37"/>
      <c r="C239" s="37"/>
      <c r="D239" s="37" t="s">
        <v>211</v>
      </c>
      <c r="E239" s="37" t="s">
        <v>455</v>
      </c>
      <c r="F239" s="37" t="s">
        <v>462</v>
      </c>
      <c r="G239" s="37" t="s">
        <v>456</v>
      </c>
      <c r="H239" s="37" t="s">
        <v>457</v>
      </c>
      <c r="I239" s="37" t="s">
        <v>420</v>
      </c>
      <c r="J239" s="37" t="s">
        <v>75</v>
      </c>
      <c r="K239" s="40" t="s">
        <v>458</v>
      </c>
      <c r="L239" s="37" t="s">
        <v>64</v>
      </c>
      <c r="M239" s="37" t="s">
        <v>459</v>
      </c>
      <c r="N239" s="37" t="s">
        <v>460</v>
      </c>
      <c r="O239" s="37" t="s">
        <v>4057</v>
      </c>
      <c r="P239" s="37" t="s">
        <v>461</v>
      </c>
      <c r="Q239" s="37" t="s">
        <v>10</v>
      </c>
      <c r="R239" s="37"/>
      <c r="S239" s="37"/>
      <c r="T239" s="37"/>
      <c r="U239" s="37" t="s">
        <v>189</v>
      </c>
      <c r="V239" s="37" t="s">
        <v>77</v>
      </c>
      <c r="W239" s="37" t="s">
        <v>73</v>
      </c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</row>
    <row r="240" spans="1:37">
      <c r="A240" s="37"/>
      <c r="B240" s="37"/>
      <c r="C240" s="37"/>
      <c r="D240" s="37" t="s">
        <v>2728</v>
      </c>
      <c r="E240" s="37" t="s">
        <v>2729</v>
      </c>
      <c r="F240" s="37" t="s">
        <v>2733</v>
      </c>
      <c r="G240" s="37" t="s">
        <v>2730</v>
      </c>
      <c r="H240" s="37"/>
      <c r="I240" s="37" t="s">
        <v>427</v>
      </c>
      <c r="J240" s="37" t="s">
        <v>256</v>
      </c>
      <c r="K240" s="40" t="s">
        <v>1977</v>
      </c>
      <c r="L240" s="37" t="s">
        <v>64</v>
      </c>
      <c r="M240" s="37" t="s">
        <v>2731</v>
      </c>
      <c r="N240" s="37" t="s">
        <v>2732</v>
      </c>
      <c r="O240" s="37" t="s">
        <v>4057</v>
      </c>
      <c r="P240" s="37" t="s">
        <v>129</v>
      </c>
      <c r="Q240" s="37" t="s">
        <v>17</v>
      </c>
      <c r="R240" s="37" t="s">
        <v>4257</v>
      </c>
      <c r="S240" s="37"/>
      <c r="T240" s="37" t="s">
        <v>66</v>
      </c>
      <c r="U240" s="37" t="s">
        <v>116</v>
      </c>
      <c r="V240" s="37" t="s">
        <v>88</v>
      </c>
      <c r="W240" s="37" t="s">
        <v>89</v>
      </c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</row>
    <row r="241" spans="1:37">
      <c r="A241" s="37"/>
      <c r="B241" s="37"/>
      <c r="C241" s="37"/>
      <c r="D241" s="37" t="s">
        <v>2107</v>
      </c>
      <c r="E241" s="37" t="s">
        <v>3390</v>
      </c>
      <c r="F241" s="37" t="s">
        <v>3394</v>
      </c>
      <c r="G241" s="37" t="s">
        <v>3391</v>
      </c>
      <c r="H241" s="37"/>
      <c r="I241" s="37" t="s">
        <v>82</v>
      </c>
      <c r="J241" s="37" t="s">
        <v>83</v>
      </c>
      <c r="K241" s="40" t="s">
        <v>1366</v>
      </c>
      <c r="L241" s="37" t="s">
        <v>64</v>
      </c>
      <c r="M241" s="37" t="s">
        <v>3392</v>
      </c>
      <c r="N241" s="37" t="s">
        <v>1367</v>
      </c>
      <c r="O241" s="37" t="s">
        <v>4057</v>
      </c>
      <c r="P241" s="37" t="s">
        <v>129</v>
      </c>
      <c r="Q241" s="37" t="s">
        <v>14</v>
      </c>
      <c r="R241" s="37" t="s">
        <v>3393</v>
      </c>
      <c r="S241" s="37"/>
      <c r="T241" s="37" t="s">
        <v>144</v>
      </c>
      <c r="U241" s="37" t="s">
        <v>189</v>
      </c>
      <c r="V241" s="37" t="s">
        <v>118</v>
      </c>
      <c r="W241" s="37" t="s">
        <v>89</v>
      </c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</row>
    <row r="242" spans="1:37">
      <c r="A242" s="37"/>
      <c r="B242" s="37"/>
      <c r="C242" s="37"/>
      <c r="D242" s="37" t="s">
        <v>482</v>
      </c>
      <c r="E242" s="37" t="s">
        <v>1976</v>
      </c>
      <c r="F242" s="37" t="s">
        <v>1979</v>
      </c>
      <c r="G242" s="37" t="s">
        <v>2730</v>
      </c>
      <c r="H242" s="37"/>
      <c r="I242" s="37" t="s">
        <v>4165</v>
      </c>
      <c r="J242" s="37" t="s">
        <v>256</v>
      </c>
      <c r="K242" s="40" t="s">
        <v>4166</v>
      </c>
      <c r="L242" s="37" t="s">
        <v>64</v>
      </c>
      <c r="M242" s="37" t="s">
        <v>1978</v>
      </c>
      <c r="N242" s="37" t="s">
        <v>2732</v>
      </c>
      <c r="O242" s="37" t="s">
        <v>4057</v>
      </c>
      <c r="P242" s="37" t="s">
        <v>129</v>
      </c>
      <c r="Q242" s="37" t="s">
        <v>17</v>
      </c>
      <c r="R242" s="37" t="s">
        <v>4167</v>
      </c>
      <c r="S242" s="37"/>
      <c r="T242" s="37" t="s">
        <v>66</v>
      </c>
      <c r="U242" s="37" t="s">
        <v>116</v>
      </c>
      <c r="V242" s="37" t="s">
        <v>88</v>
      </c>
      <c r="W242" s="37" t="s">
        <v>89</v>
      </c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</row>
    <row r="243" spans="1:37">
      <c r="A243" s="37"/>
      <c r="B243" s="37"/>
      <c r="C243" s="37"/>
      <c r="D243" s="37" t="s">
        <v>3377</v>
      </c>
      <c r="E243" s="37" t="s">
        <v>3378</v>
      </c>
      <c r="F243" s="37" t="s">
        <v>3383</v>
      </c>
      <c r="G243" s="37" t="s">
        <v>3379</v>
      </c>
      <c r="H243" s="37"/>
      <c r="I243" s="37" t="s">
        <v>212</v>
      </c>
      <c r="J243" s="37" t="s">
        <v>75</v>
      </c>
      <c r="K243" s="40" t="s">
        <v>3380</v>
      </c>
      <c r="L243" s="37" t="s">
        <v>64</v>
      </c>
      <c r="M243" s="37" t="s">
        <v>3381</v>
      </c>
      <c r="N243" s="37" t="s">
        <v>3382</v>
      </c>
      <c r="O243" s="37" t="s">
        <v>4057</v>
      </c>
      <c r="P243" s="37" t="s">
        <v>461</v>
      </c>
      <c r="Q243" s="37" t="s">
        <v>10</v>
      </c>
      <c r="R243" s="37"/>
      <c r="S243" s="37"/>
      <c r="T243" s="37" t="s">
        <v>115</v>
      </c>
      <c r="U243" s="37" t="s">
        <v>189</v>
      </c>
      <c r="V243" s="37" t="s">
        <v>77</v>
      </c>
      <c r="W243" s="37" t="s">
        <v>73</v>
      </c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</row>
    <row r="244" spans="1:37">
      <c r="A244" s="37"/>
      <c r="B244" s="37"/>
      <c r="C244" s="37"/>
      <c r="D244" s="37" t="s">
        <v>5610</v>
      </c>
      <c r="E244" s="37" t="s">
        <v>5611</v>
      </c>
      <c r="F244" s="37" t="s">
        <v>5612</v>
      </c>
      <c r="G244" s="37" t="s">
        <v>3272</v>
      </c>
      <c r="H244" s="37"/>
      <c r="I244" s="37" t="s">
        <v>297</v>
      </c>
      <c r="J244" s="37" t="s">
        <v>75</v>
      </c>
      <c r="K244" s="40" t="s">
        <v>3316</v>
      </c>
      <c r="L244" s="37" t="s">
        <v>64</v>
      </c>
      <c r="M244" s="37" t="s">
        <v>3317</v>
      </c>
      <c r="N244" s="37" t="s">
        <v>3273</v>
      </c>
      <c r="O244" s="37" t="s">
        <v>4057</v>
      </c>
      <c r="P244" s="37" t="s">
        <v>129</v>
      </c>
      <c r="Q244" s="37" t="s">
        <v>10</v>
      </c>
      <c r="R244" s="37"/>
      <c r="S244" s="37"/>
      <c r="T244" s="37" t="s">
        <v>158</v>
      </c>
      <c r="U244" s="37"/>
      <c r="V244" s="37" t="s">
        <v>72</v>
      </c>
      <c r="W244" s="37" t="s">
        <v>73</v>
      </c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</row>
    <row r="245" spans="1:37">
      <c r="A245" s="37"/>
      <c r="B245" s="37"/>
      <c r="C245" s="37"/>
      <c r="D245" s="37" t="s">
        <v>2937</v>
      </c>
      <c r="E245" s="37" t="s">
        <v>2938</v>
      </c>
      <c r="F245" s="37" t="s">
        <v>2942</v>
      </c>
      <c r="G245" s="37" t="s">
        <v>2939</v>
      </c>
      <c r="H245" s="37"/>
      <c r="I245" s="37" t="s">
        <v>1318</v>
      </c>
      <c r="J245" s="37" t="s">
        <v>83</v>
      </c>
      <c r="K245" s="40" t="s">
        <v>1366</v>
      </c>
      <c r="L245" s="37" t="s">
        <v>64</v>
      </c>
      <c r="M245" s="37" t="s">
        <v>2940</v>
      </c>
      <c r="N245" s="37"/>
      <c r="O245" s="37" t="s">
        <v>4057</v>
      </c>
      <c r="P245" s="37" t="s">
        <v>129</v>
      </c>
      <c r="Q245" s="37" t="s">
        <v>14</v>
      </c>
      <c r="R245" s="37" t="s">
        <v>2941</v>
      </c>
      <c r="S245" s="37"/>
      <c r="T245" s="37" t="s">
        <v>69</v>
      </c>
      <c r="U245" s="37"/>
      <c r="V245" s="37" t="s">
        <v>72</v>
      </c>
      <c r="W245" s="37" t="s">
        <v>69</v>
      </c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</row>
    <row r="246" spans="1:37">
      <c r="A246" s="37"/>
      <c r="B246" s="37"/>
      <c r="C246" s="37"/>
      <c r="D246" s="37" t="s">
        <v>1381</v>
      </c>
      <c r="E246" s="37" t="s">
        <v>2233</v>
      </c>
      <c r="F246" s="37" t="s">
        <v>3274</v>
      </c>
      <c r="G246" s="37" t="s">
        <v>3272</v>
      </c>
      <c r="H246" s="37"/>
      <c r="I246" s="37" t="s">
        <v>297</v>
      </c>
      <c r="J246" s="37" t="s">
        <v>75</v>
      </c>
      <c r="K246" s="40" t="s">
        <v>3316</v>
      </c>
      <c r="L246" s="37" t="s">
        <v>64</v>
      </c>
      <c r="M246" s="37" t="s">
        <v>3317</v>
      </c>
      <c r="N246" s="37" t="s">
        <v>3273</v>
      </c>
      <c r="O246" s="37" t="s">
        <v>4057</v>
      </c>
      <c r="P246" s="37" t="s">
        <v>129</v>
      </c>
      <c r="Q246" s="37" t="s">
        <v>10</v>
      </c>
      <c r="R246" s="37" t="s">
        <v>3318</v>
      </c>
      <c r="S246" s="37"/>
      <c r="T246" s="37" t="s">
        <v>158</v>
      </c>
      <c r="U246" s="37"/>
      <c r="V246" s="37" t="s">
        <v>77</v>
      </c>
      <c r="W246" s="37" t="s">
        <v>89</v>
      </c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</row>
    <row r="247" spans="1:37">
      <c r="A247" s="37"/>
      <c r="B247" s="37"/>
      <c r="C247" s="37"/>
      <c r="D247" s="37" t="s">
        <v>4157</v>
      </c>
      <c r="E247" s="37" t="s">
        <v>2247</v>
      </c>
      <c r="F247" s="37" t="s">
        <v>4405</v>
      </c>
      <c r="G247" s="37" t="s">
        <v>4402</v>
      </c>
      <c r="H247" s="37"/>
      <c r="I247" s="37" t="s">
        <v>191</v>
      </c>
      <c r="J247" s="37" t="s">
        <v>121</v>
      </c>
      <c r="K247" s="40" t="s">
        <v>4403</v>
      </c>
      <c r="L247" s="37" t="s">
        <v>64</v>
      </c>
      <c r="M247" s="37" t="s">
        <v>4404</v>
      </c>
      <c r="N247" s="37"/>
      <c r="O247" s="37" t="s">
        <v>4057</v>
      </c>
      <c r="P247" s="37" t="s">
        <v>2695</v>
      </c>
      <c r="Q247" s="37" t="s">
        <v>71</v>
      </c>
      <c r="R247" s="37"/>
      <c r="S247" s="37"/>
      <c r="T247" s="37" t="s">
        <v>115</v>
      </c>
      <c r="U247" s="37" t="s">
        <v>87</v>
      </c>
      <c r="V247" s="37" t="s">
        <v>72</v>
      </c>
      <c r="W247" s="37" t="s">
        <v>78</v>
      </c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</row>
    <row r="248" spans="1:37">
      <c r="A248" s="37"/>
      <c r="B248" s="37"/>
      <c r="C248" s="37"/>
      <c r="D248" s="37" t="s">
        <v>4364</v>
      </c>
      <c r="E248" s="37" t="s">
        <v>4365</v>
      </c>
      <c r="F248" s="37" t="s">
        <v>4371</v>
      </c>
      <c r="G248" s="37" t="s">
        <v>4366</v>
      </c>
      <c r="H248" s="37" t="s">
        <v>4367</v>
      </c>
      <c r="I248" s="37" t="s">
        <v>556</v>
      </c>
      <c r="J248" s="37" t="s">
        <v>200</v>
      </c>
      <c r="K248" s="40" t="s">
        <v>4368</v>
      </c>
      <c r="L248" s="37" t="s">
        <v>64</v>
      </c>
      <c r="M248" s="37" t="s">
        <v>4369</v>
      </c>
      <c r="N248" s="37"/>
      <c r="O248" s="37" t="s">
        <v>4057</v>
      </c>
      <c r="P248" s="37" t="s">
        <v>129</v>
      </c>
      <c r="Q248" s="37" t="s">
        <v>18</v>
      </c>
      <c r="R248" s="37" t="s">
        <v>4370</v>
      </c>
      <c r="S248" s="37"/>
      <c r="T248" s="37"/>
      <c r="U248" s="37" t="s">
        <v>185</v>
      </c>
      <c r="V248" s="37" t="s">
        <v>118</v>
      </c>
      <c r="W248" s="37" t="s">
        <v>73</v>
      </c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</row>
    <row r="249" spans="1:37">
      <c r="A249" s="37"/>
      <c r="B249" s="37"/>
      <c r="C249" s="37"/>
      <c r="D249" s="37" t="s">
        <v>3582</v>
      </c>
      <c r="E249" s="37" t="s">
        <v>3583</v>
      </c>
      <c r="F249" s="37" t="s">
        <v>3586</v>
      </c>
      <c r="G249" s="37" t="s">
        <v>3584</v>
      </c>
      <c r="H249" s="37"/>
      <c r="I249" s="37" t="s">
        <v>1913</v>
      </c>
      <c r="J249" s="37" t="s">
        <v>498</v>
      </c>
      <c r="K249" s="40" t="s">
        <v>1914</v>
      </c>
      <c r="L249" s="37" t="s">
        <v>64</v>
      </c>
      <c r="M249" s="37" t="s">
        <v>3585</v>
      </c>
      <c r="N249" s="37"/>
      <c r="O249" s="37" t="s">
        <v>4057</v>
      </c>
      <c r="P249" s="37" t="s">
        <v>129</v>
      </c>
      <c r="Q249" s="37" t="s">
        <v>10</v>
      </c>
      <c r="R249" s="37" t="s">
        <v>2196</v>
      </c>
      <c r="S249" s="37"/>
      <c r="T249" s="37" t="s">
        <v>69</v>
      </c>
      <c r="U249" s="37"/>
      <c r="V249" s="37" t="s">
        <v>72</v>
      </c>
      <c r="W249" s="37" t="s">
        <v>89</v>
      </c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</row>
    <row r="250" spans="1:37">
      <c r="A250" s="37"/>
      <c r="B250" s="37"/>
      <c r="C250" s="37"/>
      <c r="D250" s="37" t="s">
        <v>1651</v>
      </c>
      <c r="E250" s="37" t="s">
        <v>5560</v>
      </c>
      <c r="F250" s="37" t="s">
        <v>5566</v>
      </c>
      <c r="G250" s="37" t="s">
        <v>5561</v>
      </c>
      <c r="H250" s="37"/>
      <c r="I250" s="37" t="s">
        <v>5562</v>
      </c>
      <c r="J250" s="37" t="s">
        <v>498</v>
      </c>
      <c r="K250" s="40" t="s">
        <v>5563</v>
      </c>
      <c r="L250" s="37" t="s">
        <v>64</v>
      </c>
      <c r="M250" s="37" t="s">
        <v>5564</v>
      </c>
      <c r="N250" s="37"/>
      <c r="O250" s="37" t="s">
        <v>4057</v>
      </c>
      <c r="P250" s="37" t="s">
        <v>129</v>
      </c>
      <c r="Q250" s="37" t="s">
        <v>10</v>
      </c>
      <c r="R250" s="37" t="s">
        <v>5565</v>
      </c>
      <c r="S250" s="37"/>
      <c r="T250" s="37"/>
      <c r="U250" s="37"/>
      <c r="V250" s="37" t="s">
        <v>72</v>
      </c>
      <c r="W250" s="37" t="s">
        <v>261</v>
      </c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</row>
    <row r="251" spans="1:37">
      <c r="A251" s="37"/>
      <c r="B251" s="37"/>
      <c r="C251" s="37"/>
      <c r="D251" s="37" t="s">
        <v>4798</v>
      </c>
      <c r="E251" s="37" t="s">
        <v>4799</v>
      </c>
      <c r="F251" s="37" t="s">
        <v>4804</v>
      </c>
      <c r="G251" s="37" t="s">
        <v>4800</v>
      </c>
      <c r="H251" s="37"/>
      <c r="I251" s="37" t="s">
        <v>4597</v>
      </c>
      <c r="J251" s="37" t="s">
        <v>200</v>
      </c>
      <c r="K251" s="40" t="s">
        <v>4801</v>
      </c>
      <c r="L251" s="37" t="s">
        <v>64</v>
      </c>
      <c r="M251" s="37" t="s">
        <v>4802</v>
      </c>
      <c r="N251" s="37" t="s">
        <v>4803</v>
      </c>
      <c r="O251" s="37" t="s">
        <v>4057</v>
      </c>
      <c r="P251" s="37" t="s">
        <v>129</v>
      </c>
      <c r="Q251" s="37" t="s">
        <v>18</v>
      </c>
      <c r="R251" s="37"/>
      <c r="S251" s="37"/>
      <c r="T251" s="37"/>
      <c r="U251" s="37"/>
      <c r="V251" s="37" t="s">
        <v>72</v>
      </c>
      <c r="W251" s="37" t="s">
        <v>89</v>
      </c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</row>
    <row r="252" spans="1:37">
      <c r="A252" s="37"/>
      <c r="B252" s="37"/>
      <c r="C252" s="37"/>
      <c r="D252" s="37" t="s">
        <v>2374</v>
      </c>
      <c r="E252" s="37" t="s">
        <v>2668</v>
      </c>
      <c r="F252" s="37" t="s">
        <v>3544</v>
      </c>
      <c r="G252" s="37" t="s">
        <v>3542</v>
      </c>
      <c r="H252" s="37"/>
      <c r="I252" s="37" t="s">
        <v>1913</v>
      </c>
      <c r="J252" s="37" t="s">
        <v>498</v>
      </c>
      <c r="K252" s="40" t="s">
        <v>1914</v>
      </c>
      <c r="L252" s="37" t="s">
        <v>64</v>
      </c>
      <c r="M252" s="37" t="s">
        <v>3543</v>
      </c>
      <c r="N252" s="37"/>
      <c r="O252" s="37" t="s">
        <v>4057</v>
      </c>
      <c r="P252" s="37" t="s">
        <v>129</v>
      </c>
      <c r="Q252" s="37" t="s">
        <v>10</v>
      </c>
      <c r="R252" s="37" t="s">
        <v>2196</v>
      </c>
      <c r="S252" s="37"/>
      <c r="T252" s="37" t="s">
        <v>66</v>
      </c>
      <c r="U252" s="37"/>
      <c r="V252" s="37" t="s">
        <v>77</v>
      </c>
      <c r="W252" s="37" t="s">
        <v>99</v>
      </c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</row>
    <row r="253" spans="1:37">
      <c r="A253" s="37" t="s">
        <v>164</v>
      </c>
      <c r="B253" s="37"/>
      <c r="C253" s="37"/>
      <c r="D253" s="37" t="s">
        <v>165</v>
      </c>
      <c r="E253" s="37" t="s">
        <v>166</v>
      </c>
      <c r="F253" s="37" t="s">
        <v>177</v>
      </c>
      <c r="G253" s="37" t="s">
        <v>167</v>
      </c>
      <c r="H253" s="37" t="s">
        <v>168</v>
      </c>
      <c r="I253" s="37" t="s">
        <v>169</v>
      </c>
      <c r="J253" s="37" t="s">
        <v>83</v>
      </c>
      <c r="K253" s="40" t="s">
        <v>170</v>
      </c>
      <c r="L253" s="37" t="s">
        <v>171</v>
      </c>
      <c r="M253" s="37" t="s">
        <v>172</v>
      </c>
      <c r="N253" s="37" t="s">
        <v>173</v>
      </c>
      <c r="O253" s="37" t="s">
        <v>4062</v>
      </c>
      <c r="P253" s="37" t="s">
        <v>175</v>
      </c>
      <c r="Q253" s="37" t="s">
        <v>14</v>
      </c>
      <c r="R253" s="37"/>
      <c r="S253" s="37"/>
      <c r="T253" s="37" t="s">
        <v>158</v>
      </c>
      <c r="U253" s="37" t="s">
        <v>176</v>
      </c>
      <c r="V253" s="37" t="s">
        <v>72</v>
      </c>
      <c r="W253" s="37" t="s">
        <v>89</v>
      </c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</row>
    <row r="254" spans="1:37">
      <c r="A254" s="37"/>
      <c r="B254" s="37"/>
      <c r="C254" s="37"/>
      <c r="D254" s="37" t="s">
        <v>295</v>
      </c>
      <c r="E254" s="37" t="s">
        <v>287</v>
      </c>
      <c r="F254" s="37" t="s">
        <v>302</v>
      </c>
      <c r="G254" s="37" t="s">
        <v>296</v>
      </c>
      <c r="H254" s="37"/>
      <c r="I254" s="37" t="s">
        <v>297</v>
      </c>
      <c r="J254" s="37" t="s">
        <v>75</v>
      </c>
      <c r="K254" s="40" t="s">
        <v>298</v>
      </c>
      <c r="L254" s="37" t="s">
        <v>64</v>
      </c>
      <c r="M254" s="37" t="s">
        <v>299</v>
      </c>
      <c r="N254" s="37" t="s">
        <v>300</v>
      </c>
      <c r="O254" s="37" t="s">
        <v>4062</v>
      </c>
      <c r="P254" s="37" t="s">
        <v>181</v>
      </c>
      <c r="Q254" s="37" t="s">
        <v>10</v>
      </c>
      <c r="R254" s="37" t="s">
        <v>301</v>
      </c>
      <c r="S254" s="37"/>
      <c r="T254" s="37"/>
      <c r="U254" s="37" t="s">
        <v>189</v>
      </c>
      <c r="V254" s="37" t="s">
        <v>118</v>
      </c>
      <c r="W254" s="37" t="s">
        <v>89</v>
      </c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</row>
    <row r="255" spans="1:37">
      <c r="A255" s="37"/>
      <c r="B255" s="37"/>
      <c r="C255" s="37"/>
      <c r="D255" s="37" t="s">
        <v>523</v>
      </c>
      <c r="E255" s="37" t="s">
        <v>4248</v>
      </c>
      <c r="F255" s="37" t="s">
        <v>4256</v>
      </c>
      <c r="G255" s="37" t="s">
        <v>4249</v>
      </c>
      <c r="H255" s="37" t="s">
        <v>4250</v>
      </c>
      <c r="I255" s="37" t="s">
        <v>4251</v>
      </c>
      <c r="J255" s="37" t="s">
        <v>948</v>
      </c>
      <c r="K255" s="40" t="s">
        <v>4252</v>
      </c>
      <c r="L255" s="37" t="s">
        <v>4253</v>
      </c>
      <c r="M255" s="37" t="s">
        <v>4254</v>
      </c>
      <c r="N255" s="37" t="s">
        <v>4255</v>
      </c>
      <c r="O255" s="37" t="s">
        <v>4062</v>
      </c>
      <c r="P255" s="37" t="s">
        <v>209</v>
      </c>
      <c r="Q255" s="37" t="s">
        <v>10</v>
      </c>
      <c r="R255" s="37"/>
      <c r="S255" s="37"/>
      <c r="T255" s="37" t="s">
        <v>66</v>
      </c>
      <c r="U255" s="37"/>
      <c r="V255" s="37" t="s">
        <v>72</v>
      </c>
      <c r="W255" s="37" t="s">
        <v>89</v>
      </c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</row>
    <row r="256" spans="1:37">
      <c r="A256" s="37"/>
      <c r="B256" s="37"/>
      <c r="C256" s="37"/>
      <c r="D256" s="37" t="s">
        <v>380</v>
      </c>
      <c r="E256" s="37" t="s">
        <v>1342</v>
      </c>
      <c r="F256" s="37" t="s">
        <v>1352</v>
      </c>
      <c r="G256" s="37" t="s">
        <v>1347</v>
      </c>
      <c r="H256" s="37"/>
      <c r="I256" s="37" t="s">
        <v>1348</v>
      </c>
      <c r="J256" s="37" t="s">
        <v>196</v>
      </c>
      <c r="K256" s="40" t="s">
        <v>1349</v>
      </c>
      <c r="L256" s="37" t="s">
        <v>64</v>
      </c>
      <c r="M256" s="37" t="s">
        <v>1350</v>
      </c>
      <c r="N256" s="37"/>
      <c r="O256" s="37" t="s">
        <v>4062</v>
      </c>
      <c r="P256" s="37" t="s">
        <v>1351</v>
      </c>
      <c r="Q256" s="37" t="s">
        <v>98</v>
      </c>
      <c r="R256" s="37"/>
      <c r="S256" s="37"/>
      <c r="T256" s="37" t="s">
        <v>69</v>
      </c>
      <c r="U256" s="37" t="s">
        <v>145</v>
      </c>
      <c r="V256" s="37" t="s">
        <v>118</v>
      </c>
      <c r="W256" s="37" t="s">
        <v>78</v>
      </c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</row>
    <row r="257" spans="1:37">
      <c r="A257" s="37"/>
      <c r="B257" s="37"/>
      <c r="C257" s="37"/>
      <c r="D257" s="37" t="s">
        <v>3053</v>
      </c>
      <c r="E257" s="37" t="s">
        <v>1374</v>
      </c>
      <c r="F257" s="37" t="s">
        <v>3057</v>
      </c>
      <c r="G257" s="37" t="s">
        <v>3054</v>
      </c>
      <c r="H257" s="37"/>
      <c r="I257" s="37" t="s">
        <v>2614</v>
      </c>
      <c r="J257" s="37" t="s">
        <v>394</v>
      </c>
      <c r="K257" s="40" t="s">
        <v>3055</v>
      </c>
      <c r="L257" s="37" t="s">
        <v>64</v>
      </c>
      <c r="M257" s="37" t="s">
        <v>3056</v>
      </c>
      <c r="N257" s="37"/>
      <c r="O257" s="37" t="s">
        <v>4062</v>
      </c>
      <c r="P257" s="37" t="s">
        <v>209</v>
      </c>
      <c r="Q257" s="37" t="s">
        <v>10</v>
      </c>
      <c r="R257" s="37"/>
      <c r="S257" s="37"/>
      <c r="T257" s="37"/>
      <c r="U257" s="37" t="s">
        <v>109</v>
      </c>
      <c r="V257" s="37" t="s">
        <v>77</v>
      </c>
      <c r="W257" s="37" t="s">
        <v>68</v>
      </c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</row>
    <row r="258" spans="1:37">
      <c r="A258" s="37"/>
      <c r="B258" s="37"/>
      <c r="C258" s="37"/>
      <c r="D258" s="37" t="s">
        <v>523</v>
      </c>
      <c r="E258" s="37" t="s">
        <v>1411</v>
      </c>
      <c r="F258" s="37" t="s">
        <v>1415</v>
      </c>
      <c r="G258" s="37" t="s">
        <v>1412</v>
      </c>
      <c r="H258" s="37"/>
      <c r="I258" s="37" t="s">
        <v>297</v>
      </c>
      <c r="J258" s="37" t="s">
        <v>75</v>
      </c>
      <c r="K258" s="40" t="s">
        <v>298</v>
      </c>
      <c r="L258" s="37" t="s">
        <v>64</v>
      </c>
      <c r="M258" s="37" t="s">
        <v>1413</v>
      </c>
      <c r="N258" s="37" t="s">
        <v>300</v>
      </c>
      <c r="O258" s="37" t="s">
        <v>4062</v>
      </c>
      <c r="P258" s="37" t="s">
        <v>181</v>
      </c>
      <c r="Q258" s="37" t="s">
        <v>10</v>
      </c>
      <c r="R258" s="37" t="s">
        <v>1414</v>
      </c>
      <c r="S258" s="37"/>
      <c r="T258" s="37"/>
      <c r="U258" s="37" t="s">
        <v>189</v>
      </c>
      <c r="V258" s="37" t="s">
        <v>118</v>
      </c>
      <c r="W258" s="37" t="s">
        <v>89</v>
      </c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</row>
    <row r="259" spans="1:37">
      <c r="A259" s="37"/>
      <c r="B259" s="37"/>
      <c r="C259" s="37"/>
      <c r="D259" s="37" t="s">
        <v>308</v>
      </c>
      <c r="E259" s="37" t="s">
        <v>4145</v>
      </c>
      <c r="F259" s="37" t="s">
        <v>4149</v>
      </c>
      <c r="G259" s="37" t="s">
        <v>4146</v>
      </c>
      <c r="H259" s="37"/>
      <c r="I259" s="37" t="s">
        <v>82</v>
      </c>
      <c r="J259" s="37" t="s">
        <v>83</v>
      </c>
      <c r="K259" s="40" t="s">
        <v>4301</v>
      </c>
      <c r="L259" s="37" t="s">
        <v>64</v>
      </c>
      <c r="M259" s="37" t="s">
        <v>4147</v>
      </c>
      <c r="N259" s="37" t="s">
        <v>4303</v>
      </c>
      <c r="O259" s="37" t="s">
        <v>4062</v>
      </c>
      <c r="P259" s="37" t="s">
        <v>181</v>
      </c>
      <c r="Q259" s="37" t="s">
        <v>14</v>
      </c>
      <c r="R259" s="37" t="s">
        <v>4148</v>
      </c>
      <c r="S259" s="37"/>
      <c r="T259" s="37" t="s">
        <v>66</v>
      </c>
      <c r="U259" s="37" t="s">
        <v>185</v>
      </c>
      <c r="V259" s="37" t="s">
        <v>118</v>
      </c>
      <c r="W259" s="37" t="s">
        <v>89</v>
      </c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</row>
    <row r="260" spans="1:37">
      <c r="A260" s="37" t="s">
        <v>1334</v>
      </c>
      <c r="B260" s="37"/>
      <c r="C260" s="37"/>
      <c r="D260" s="37" t="s">
        <v>3656</v>
      </c>
      <c r="E260" s="37" t="s">
        <v>5534</v>
      </c>
      <c r="F260" s="37" t="s">
        <v>5539</v>
      </c>
      <c r="G260" s="37" t="s">
        <v>5535</v>
      </c>
      <c r="H260" s="37"/>
      <c r="I260" s="37" t="s">
        <v>82</v>
      </c>
      <c r="J260" s="37" t="s">
        <v>83</v>
      </c>
      <c r="K260" s="40" t="s">
        <v>180</v>
      </c>
      <c r="L260" s="37" t="s">
        <v>64</v>
      </c>
      <c r="M260" s="37" t="s">
        <v>5536</v>
      </c>
      <c r="N260" s="37" t="s">
        <v>5537</v>
      </c>
      <c r="O260" s="37" t="s">
        <v>4062</v>
      </c>
      <c r="P260" s="37" t="s">
        <v>181</v>
      </c>
      <c r="Q260" s="37" t="s">
        <v>14</v>
      </c>
      <c r="R260" s="37" t="s">
        <v>5538</v>
      </c>
      <c r="S260" s="37"/>
      <c r="T260" s="37" t="s">
        <v>66</v>
      </c>
      <c r="U260" s="37" t="s">
        <v>69</v>
      </c>
      <c r="V260" s="37" t="s">
        <v>77</v>
      </c>
      <c r="W260" s="37" t="s">
        <v>195</v>
      </c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</row>
    <row r="261" spans="1:37">
      <c r="A261" s="37"/>
      <c r="B261" s="37"/>
      <c r="C261" s="37"/>
      <c r="D261" s="37" t="s">
        <v>4350</v>
      </c>
      <c r="E261" s="37" t="s">
        <v>2530</v>
      </c>
      <c r="F261" s="37" t="s">
        <v>4356</v>
      </c>
      <c r="G261" s="37" t="s">
        <v>4351</v>
      </c>
      <c r="H261" s="37" t="s">
        <v>4352</v>
      </c>
      <c r="I261" s="37" t="s">
        <v>82</v>
      </c>
      <c r="J261" s="37" t="s">
        <v>83</v>
      </c>
      <c r="K261" s="40" t="s">
        <v>4353</v>
      </c>
      <c r="L261" s="37" t="s">
        <v>64</v>
      </c>
      <c r="M261" s="37" t="s">
        <v>4354</v>
      </c>
      <c r="N261" s="37"/>
      <c r="O261" s="37" t="s">
        <v>4062</v>
      </c>
      <c r="P261" s="37" t="s">
        <v>181</v>
      </c>
      <c r="Q261" s="37" t="s">
        <v>71</v>
      </c>
      <c r="R261" s="37" t="s">
        <v>4355</v>
      </c>
      <c r="S261" s="37"/>
      <c r="T261" s="37" t="s">
        <v>66</v>
      </c>
      <c r="U261" s="37"/>
      <c r="V261" s="37" t="s">
        <v>67</v>
      </c>
      <c r="W261" s="37" t="s">
        <v>89</v>
      </c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</row>
    <row r="262" spans="1:37">
      <c r="A262" s="37" t="s">
        <v>4810</v>
      </c>
      <c r="B262" s="37"/>
      <c r="C262" s="37"/>
      <c r="D262" s="37" t="s">
        <v>2880</v>
      </c>
      <c r="E262" s="37" t="s">
        <v>4811</v>
      </c>
      <c r="F262" s="37" t="s">
        <v>4818</v>
      </c>
      <c r="G262" s="37" t="s">
        <v>4812</v>
      </c>
      <c r="H262" s="37" t="s">
        <v>4813</v>
      </c>
      <c r="I262" s="37" t="s">
        <v>4814</v>
      </c>
      <c r="J262" s="37" t="s">
        <v>948</v>
      </c>
      <c r="K262" s="40" t="s">
        <v>949</v>
      </c>
      <c r="L262" s="37" t="s">
        <v>4815</v>
      </c>
      <c r="M262" s="37" t="s">
        <v>4816</v>
      </c>
      <c r="N262" s="37" t="s">
        <v>4817</v>
      </c>
      <c r="O262" s="37" t="s">
        <v>4062</v>
      </c>
      <c r="P262" s="37" t="s">
        <v>209</v>
      </c>
      <c r="Q262" s="37" t="s">
        <v>10</v>
      </c>
      <c r="R262" s="37"/>
      <c r="S262" s="37"/>
      <c r="T262" s="37" t="s">
        <v>66</v>
      </c>
      <c r="U262" s="37" t="s">
        <v>116</v>
      </c>
      <c r="V262" s="37" t="s">
        <v>67</v>
      </c>
      <c r="W262" s="37" t="s">
        <v>89</v>
      </c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</row>
    <row r="263" spans="1:37">
      <c r="A263" s="37"/>
      <c r="B263" s="37"/>
      <c r="C263" s="37"/>
      <c r="D263" s="37" t="s">
        <v>1073</v>
      </c>
      <c r="E263" s="37" t="s">
        <v>2612</v>
      </c>
      <c r="F263" s="37" t="s">
        <v>2617</v>
      </c>
      <c r="G263" s="37" t="s">
        <v>2613</v>
      </c>
      <c r="H263" s="37"/>
      <c r="I263" s="37" t="s">
        <v>2614</v>
      </c>
      <c r="J263" s="37" t="s">
        <v>394</v>
      </c>
      <c r="K263" s="40" t="s">
        <v>2615</v>
      </c>
      <c r="L263" s="37" t="s">
        <v>64</v>
      </c>
      <c r="M263" s="37" t="s">
        <v>2616</v>
      </c>
      <c r="N263" s="37"/>
      <c r="O263" s="37" t="s">
        <v>4062</v>
      </c>
      <c r="P263" s="37" t="s">
        <v>181</v>
      </c>
      <c r="Q263" s="37" t="s">
        <v>10</v>
      </c>
      <c r="R263" s="37" t="s">
        <v>2589</v>
      </c>
      <c r="S263" s="37"/>
      <c r="T263" s="37"/>
      <c r="U263" s="37"/>
      <c r="V263" s="37" t="s">
        <v>77</v>
      </c>
      <c r="W263" s="37" t="s">
        <v>195</v>
      </c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</row>
    <row r="264" spans="1:37">
      <c r="A264" s="37" t="s">
        <v>5025</v>
      </c>
      <c r="B264" s="37"/>
      <c r="C264" s="37"/>
      <c r="D264" s="37" t="s">
        <v>1574</v>
      </c>
      <c r="E264" s="37" t="s">
        <v>5026</v>
      </c>
      <c r="F264" s="37" t="s">
        <v>5031</v>
      </c>
      <c r="G264" s="37" t="s">
        <v>174</v>
      </c>
      <c r="H264" s="37" t="s">
        <v>5027</v>
      </c>
      <c r="I264" s="37" t="s">
        <v>82</v>
      </c>
      <c r="J264" s="37" t="s">
        <v>83</v>
      </c>
      <c r="K264" s="40" t="s">
        <v>5028</v>
      </c>
      <c r="L264" s="37" t="s">
        <v>64</v>
      </c>
      <c r="M264" s="37" t="s">
        <v>5029</v>
      </c>
      <c r="N264" s="37" t="s">
        <v>5030</v>
      </c>
      <c r="O264" s="37" t="s">
        <v>4062</v>
      </c>
      <c r="P264" s="37" t="s">
        <v>175</v>
      </c>
      <c r="Q264" s="37" t="s">
        <v>71</v>
      </c>
      <c r="R264" s="37"/>
      <c r="S264" s="37"/>
      <c r="T264" s="37" t="s">
        <v>69</v>
      </c>
      <c r="U264" s="37" t="s">
        <v>87</v>
      </c>
      <c r="V264" s="37" t="s">
        <v>67</v>
      </c>
      <c r="W264" s="37" t="s">
        <v>89</v>
      </c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</row>
    <row r="265" spans="1:37">
      <c r="A265" s="37"/>
      <c r="B265" s="37"/>
      <c r="C265" s="37"/>
      <c r="D265" s="37" t="s">
        <v>854</v>
      </c>
      <c r="E265" s="37" t="s">
        <v>559</v>
      </c>
      <c r="F265" s="37" t="s">
        <v>4306</v>
      </c>
      <c r="G265" s="37" t="s">
        <v>4299</v>
      </c>
      <c r="H265" s="37" t="s">
        <v>4300</v>
      </c>
      <c r="I265" s="37" t="s">
        <v>82</v>
      </c>
      <c r="J265" s="37" t="s">
        <v>83</v>
      </c>
      <c r="K265" s="40" t="s">
        <v>4301</v>
      </c>
      <c r="L265" s="37" t="s">
        <v>64</v>
      </c>
      <c r="M265" s="37" t="s">
        <v>4302</v>
      </c>
      <c r="N265" s="37" t="s">
        <v>4303</v>
      </c>
      <c r="O265" s="37" t="s">
        <v>4062</v>
      </c>
      <c r="P265" s="37" t="s">
        <v>181</v>
      </c>
      <c r="Q265" s="37" t="s">
        <v>14</v>
      </c>
      <c r="R265" s="37" t="s">
        <v>4304</v>
      </c>
      <c r="S265" s="37" t="s">
        <v>4305</v>
      </c>
      <c r="T265" s="37" t="s">
        <v>66</v>
      </c>
      <c r="U265" s="37" t="s">
        <v>87</v>
      </c>
      <c r="V265" s="37" t="s">
        <v>118</v>
      </c>
      <c r="W265" s="37" t="s">
        <v>99</v>
      </c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</row>
    <row r="266" spans="1:37">
      <c r="A266" s="37"/>
      <c r="B266" s="37"/>
      <c r="C266" s="37"/>
      <c r="D266" s="37" t="s">
        <v>4329</v>
      </c>
      <c r="E266" s="37" t="s">
        <v>781</v>
      </c>
      <c r="F266" s="37" t="s">
        <v>4334</v>
      </c>
      <c r="G266" s="37" t="s">
        <v>4330</v>
      </c>
      <c r="H266" s="37" t="s">
        <v>4331</v>
      </c>
      <c r="I266" s="37" t="s">
        <v>191</v>
      </c>
      <c r="J266" s="37" t="s">
        <v>121</v>
      </c>
      <c r="K266" s="40" t="s">
        <v>3810</v>
      </c>
      <c r="L266" s="37" t="s">
        <v>64</v>
      </c>
      <c r="M266" s="37" t="s">
        <v>4332</v>
      </c>
      <c r="N266" s="37"/>
      <c r="O266" s="37" t="s">
        <v>4062</v>
      </c>
      <c r="P266" s="37" t="s">
        <v>175</v>
      </c>
      <c r="Q266" s="37" t="s">
        <v>14</v>
      </c>
      <c r="R266" s="37"/>
      <c r="S266" s="37" t="s">
        <v>4333</v>
      </c>
      <c r="T266" s="37" t="s">
        <v>66</v>
      </c>
      <c r="U266" s="37" t="s">
        <v>109</v>
      </c>
      <c r="V266" s="37" t="s">
        <v>88</v>
      </c>
      <c r="W266" s="37" t="s">
        <v>89</v>
      </c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</row>
    <row r="267" spans="1:37">
      <c r="A267" s="37"/>
      <c r="B267" s="37"/>
      <c r="C267" s="37"/>
      <c r="D267" s="37" t="s">
        <v>1975</v>
      </c>
      <c r="E267" s="37" t="s">
        <v>3633</v>
      </c>
      <c r="F267" s="38" t="s">
        <v>5739</v>
      </c>
      <c r="G267" s="37" t="s">
        <v>440</v>
      </c>
      <c r="H267" s="37"/>
      <c r="I267" s="37" t="s">
        <v>441</v>
      </c>
      <c r="J267" s="37" t="s">
        <v>105</v>
      </c>
      <c r="K267" s="40" t="s">
        <v>442</v>
      </c>
      <c r="L267" s="37" t="s">
        <v>64</v>
      </c>
      <c r="M267" s="37" t="s">
        <v>3634</v>
      </c>
      <c r="N267" s="37"/>
      <c r="O267" s="37" t="s">
        <v>4062</v>
      </c>
      <c r="P267" s="37" t="s">
        <v>181</v>
      </c>
      <c r="Q267" s="37" t="s">
        <v>14</v>
      </c>
      <c r="R267" s="37"/>
      <c r="S267" s="37"/>
      <c r="T267" s="37"/>
      <c r="U267" s="37"/>
      <c r="V267" s="37" t="s">
        <v>72</v>
      </c>
      <c r="W267" s="37" t="s">
        <v>78</v>
      </c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</row>
    <row r="268" spans="1:37">
      <c r="A268" s="37" t="s">
        <v>112</v>
      </c>
      <c r="B268" s="37"/>
      <c r="C268" s="37"/>
      <c r="D268" s="37" t="s">
        <v>117</v>
      </c>
      <c r="E268" s="37" t="s">
        <v>1928</v>
      </c>
      <c r="F268" s="37" t="s">
        <v>5201</v>
      </c>
      <c r="G268" s="37" t="s">
        <v>5194</v>
      </c>
      <c r="H268" s="37" t="s">
        <v>5195</v>
      </c>
      <c r="I268" s="37" t="s">
        <v>5196</v>
      </c>
      <c r="J268" s="37" t="s">
        <v>948</v>
      </c>
      <c r="K268" s="40" t="s">
        <v>5197</v>
      </c>
      <c r="L268" s="37" t="s">
        <v>5198</v>
      </c>
      <c r="M268" s="37" t="s">
        <v>5199</v>
      </c>
      <c r="N268" s="37" t="s">
        <v>5200</v>
      </c>
      <c r="O268" s="37" t="s">
        <v>4062</v>
      </c>
      <c r="P268" s="37" t="s">
        <v>209</v>
      </c>
      <c r="Q268" s="37" t="s">
        <v>10</v>
      </c>
      <c r="R268" s="37"/>
      <c r="S268" s="37"/>
      <c r="T268" s="37" t="s">
        <v>69</v>
      </c>
      <c r="U268" s="37" t="s">
        <v>69</v>
      </c>
      <c r="V268" s="37" t="s">
        <v>77</v>
      </c>
      <c r="W268" s="37" t="s">
        <v>89</v>
      </c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</row>
    <row r="269" spans="1:37">
      <c r="A269" s="37"/>
      <c r="B269" s="37"/>
      <c r="C269" s="37"/>
      <c r="D269" s="37" t="s">
        <v>3006</v>
      </c>
      <c r="E269" s="37" t="s">
        <v>2351</v>
      </c>
      <c r="F269" s="37" t="s">
        <v>3812</v>
      </c>
      <c r="G269" s="37" t="s">
        <v>3809</v>
      </c>
      <c r="H269" s="37"/>
      <c r="I269" s="37" t="s">
        <v>191</v>
      </c>
      <c r="J269" s="37" t="s">
        <v>121</v>
      </c>
      <c r="K269" s="40" t="s">
        <v>3810</v>
      </c>
      <c r="L269" s="37" t="s">
        <v>64</v>
      </c>
      <c r="M269" s="37" t="s">
        <v>3811</v>
      </c>
      <c r="N269" s="37"/>
      <c r="O269" s="37" t="s">
        <v>4062</v>
      </c>
      <c r="P269" s="37" t="s">
        <v>175</v>
      </c>
      <c r="Q269" s="37" t="s">
        <v>14</v>
      </c>
      <c r="R269" s="37"/>
      <c r="S269" s="37"/>
      <c r="T269" s="37"/>
      <c r="U269" s="37"/>
      <c r="V269" s="37" t="s">
        <v>72</v>
      </c>
      <c r="W269" s="37" t="s">
        <v>89</v>
      </c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</row>
    <row r="270" spans="1:37">
      <c r="A270" s="37" t="s">
        <v>780</v>
      </c>
      <c r="B270" s="37"/>
      <c r="C270" s="37"/>
      <c r="D270" s="37" t="s">
        <v>117</v>
      </c>
      <c r="E270" s="37" t="s">
        <v>2537</v>
      </c>
      <c r="F270" s="37" t="s">
        <v>3248</v>
      </c>
      <c r="G270" s="37" t="s">
        <v>3244</v>
      </c>
      <c r="H270" s="37"/>
      <c r="I270" s="37" t="s">
        <v>82</v>
      </c>
      <c r="J270" s="37" t="s">
        <v>83</v>
      </c>
      <c r="K270" s="40" t="s">
        <v>3245</v>
      </c>
      <c r="L270" s="37" t="s">
        <v>64</v>
      </c>
      <c r="M270" s="37" t="s">
        <v>3246</v>
      </c>
      <c r="N270" s="37"/>
      <c r="O270" s="37" t="s">
        <v>4062</v>
      </c>
      <c r="P270" s="37" t="s">
        <v>181</v>
      </c>
      <c r="Q270" s="37" t="s">
        <v>14</v>
      </c>
      <c r="R270" s="37" t="s">
        <v>3247</v>
      </c>
      <c r="S270" s="37"/>
      <c r="T270" s="37" t="s">
        <v>66</v>
      </c>
      <c r="U270" s="37" t="s">
        <v>87</v>
      </c>
      <c r="V270" s="37" t="s">
        <v>118</v>
      </c>
      <c r="W270" s="37" t="s">
        <v>89</v>
      </c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</row>
    <row r="271" spans="1:37">
      <c r="A271" s="37"/>
      <c r="B271" s="37"/>
      <c r="C271" s="37"/>
      <c r="D271" s="37" t="s">
        <v>6008</v>
      </c>
      <c r="E271" s="37" t="s">
        <v>6009</v>
      </c>
      <c r="F271" s="37" t="s">
        <v>6010</v>
      </c>
      <c r="G271" s="37" t="s">
        <v>6011</v>
      </c>
      <c r="H271" s="37"/>
      <c r="I271" s="37" t="s">
        <v>6012</v>
      </c>
      <c r="J271" s="37" t="s">
        <v>83</v>
      </c>
      <c r="K271" s="40" t="s">
        <v>6013</v>
      </c>
      <c r="L271" s="37" t="s">
        <v>3173</v>
      </c>
      <c r="M271" s="37" t="s">
        <v>6014</v>
      </c>
      <c r="N271" s="37"/>
      <c r="O271" s="37" t="s">
        <v>4062</v>
      </c>
      <c r="P271" s="37" t="s">
        <v>209</v>
      </c>
      <c r="Q271" s="37" t="s">
        <v>10</v>
      </c>
      <c r="R271" s="37"/>
      <c r="S271" s="37"/>
      <c r="T271" s="37"/>
      <c r="U271" s="37"/>
      <c r="V271" s="37" t="s">
        <v>72</v>
      </c>
      <c r="W271" s="37" t="s">
        <v>110</v>
      </c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</row>
    <row r="272" spans="1:37">
      <c r="A272" s="37"/>
      <c r="B272" s="37"/>
      <c r="C272" s="37"/>
      <c r="D272" s="37" t="s">
        <v>5147</v>
      </c>
      <c r="E272" s="37" t="s">
        <v>5148</v>
      </c>
      <c r="F272" s="37" t="s">
        <v>5155</v>
      </c>
      <c r="G272" s="37" t="s">
        <v>5149</v>
      </c>
      <c r="H272" s="37" t="s">
        <v>5150</v>
      </c>
      <c r="I272" s="37" t="s">
        <v>5151</v>
      </c>
      <c r="J272" s="37" t="s">
        <v>75</v>
      </c>
      <c r="K272" s="40" t="s">
        <v>5152</v>
      </c>
      <c r="L272" s="37" t="s">
        <v>64</v>
      </c>
      <c r="M272" s="37" t="s">
        <v>5153</v>
      </c>
      <c r="N272" s="37"/>
      <c r="O272" s="37" t="s">
        <v>4062</v>
      </c>
      <c r="P272" s="37" t="s">
        <v>209</v>
      </c>
      <c r="Q272" s="37" t="s">
        <v>10</v>
      </c>
      <c r="R272" s="37" t="s">
        <v>5154</v>
      </c>
      <c r="S272" s="37"/>
      <c r="T272" s="37" t="s">
        <v>144</v>
      </c>
      <c r="U272" s="37"/>
      <c r="V272" s="37" t="s">
        <v>88</v>
      </c>
      <c r="W272" s="37" t="s">
        <v>110</v>
      </c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</row>
    <row r="273" spans="1:37">
      <c r="A273" s="37"/>
      <c r="B273" s="37"/>
      <c r="C273" s="37"/>
      <c r="D273" s="37" t="s">
        <v>286</v>
      </c>
      <c r="E273" s="37" t="s">
        <v>473</v>
      </c>
      <c r="F273" s="37" t="s">
        <v>4739</v>
      </c>
      <c r="G273" s="37" t="s">
        <v>4734</v>
      </c>
      <c r="H273" s="37" t="s">
        <v>4735</v>
      </c>
      <c r="I273" s="37" t="s">
        <v>82</v>
      </c>
      <c r="J273" s="37" t="s">
        <v>83</v>
      </c>
      <c r="K273" s="40" t="s">
        <v>1266</v>
      </c>
      <c r="L273" s="37" t="s">
        <v>64</v>
      </c>
      <c r="M273" s="37" t="s">
        <v>4736</v>
      </c>
      <c r="N273" s="37" t="s">
        <v>4737</v>
      </c>
      <c r="O273" s="37" t="s">
        <v>4026</v>
      </c>
      <c r="P273" s="37" t="s">
        <v>2251</v>
      </c>
      <c r="Q273" s="37" t="s">
        <v>14</v>
      </c>
      <c r="R273" s="37" t="s">
        <v>4738</v>
      </c>
      <c r="S273" s="37"/>
      <c r="T273" s="37" t="s">
        <v>66</v>
      </c>
      <c r="U273" s="37" t="s">
        <v>145</v>
      </c>
      <c r="V273" s="37" t="s">
        <v>88</v>
      </c>
      <c r="W273" s="37" t="s">
        <v>756</v>
      </c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</row>
    <row r="274" spans="1:37">
      <c r="A274" s="37"/>
      <c r="B274" s="37"/>
      <c r="C274" s="37"/>
      <c r="D274" s="37" t="s">
        <v>1887</v>
      </c>
      <c r="E274" s="38" t="s">
        <v>6015</v>
      </c>
      <c r="F274" s="38" t="s">
        <v>5739</v>
      </c>
      <c r="G274" s="37" t="s">
        <v>6016</v>
      </c>
      <c r="H274" s="37"/>
      <c r="I274" s="37" t="s">
        <v>6017</v>
      </c>
      <c r="J274" s="37" t="s">
        <v>63</v>
      </c>
      <c r="K274" s="40" t="s">
        <v>1749</v>
      </c>
      <c r="L274" s="37" t="s">
        <v>64</v>
      </c>
      <c r="M274" s="37" t="s">
        <v>6018</v>
      </c>
      <c r="N274" s="37"/>
      <c r="O274" s="37" t="s">
        <v>4026</v>
      </c>
      <c r="P274" s="37" t="s">
        <v>1463</v>
      </c>
      <c r="Q274" s="37" t="s">
        <v>65</v>
      </c>
      <c r="R274" s="37"/>
      <c r="S274" s="37"/>
      <c r="T274" s="37" t="s">
        <v>69</v>
      </c>
      <c r="U274" s="37"/>
      <c r="V274" s="37" t="s">
        <v>72</v>
      </c>
      <c r="W274" s="37" t="s">
        <v>110</v>
      </c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</row>
    <row r="275" spans="1:37">
      <c r="A275" s="37"/>
      <c r="B275" s="37"/>
      <c r="C275" s="37"/>
      <c r="D275" s="37" t="s">
        <v>412</v>
      </c>
      <c r="E275" s="37" t="s">
        <v>3950</v>
      </c>
      <c r="F275" s="37" t="s">
        <v>3954</v>
      </c>
      <c r="G275" s="37" t="s">
        <v>3951</v>
      </c>
      <c r="H275" s="37"/>
      <c r="I275" s="37" t="s">
        <v>82</v>
      </c>
      <c r="J275" s="37" t="s">
        <v>83</v>
      </c>
      <c r="K275" s="40" t="s">
        <v>1992</v>
      </c>
      <c r="L275" s="37" t="s">
        <v>64</v>
      </c>
      <c r="M275" s="37" t="s">
        <v>3952</v>
      </c>
      <c r="N275" s="37" t="s">
        <v>3953</v>
      </c>
      <c r="O275" s="37" t="s">
        <v>4026</v>
      </c>
      <c r="P275" s="37" t="s">
        <v>1463</v>
      </c>
      <c r="Q275" s="37" t="s">
        <v>14</v>
      </c>
      <c r="R275" s="37"/>
      <c r="S275" s="37"/>
      <c r="T275" s="37" t="s">
        <v>115</v>
      </c>
      <c r="U275" s="37"/>
      <c r="V275" s="37" t="s">
        <v>118</v>
      </c>
      <c r="W275" s="37" t="s">
        <v>89</v>
      </c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</row>
    <row r="276" spans="1:37">
      <c r="A276" s="37"/>
      <c r="B276" s="37"/>
      <c r="C276" s="37"/>
      <c r="D276" s="37" t="s">
        <v>3986</v>
      </c>
      <c r="E276" s="37" t="s">
        <v>2009</v>
      </c>
      <c r="F276" s="37" t="s">
        <v>5223</v>
      </c>
      <c r="G276" s="37" t="s">
        <v>2008</v>
      </c>
      <c r="H276" s="37"/>
      <c r="I276" s="37" t="s">
        <v>497</v>
      </c>
      <c r="J276" s="37" t="s">
        <v>498</v>
      </c>
      <c r="K276" s="40" t="s">
        <v>4839</v>
      </c>
      <c r="L276" s="37" t="s">
        <v>64</v>
      </c>
      <c r="M276" s="37" t="s">
        <v>5222</v>
      </c>
      <c r="N276" s="37"/>
      <c r="O276" s="37" t="s">
        <v>4026</v>
      </c>
      <c r="P276" s="37" t="s">
        <v>1463</v>
      </c>
      <c r="Q276" s="37" t="s">
        <v>10</v>
      </c>
      <c r="R276" s="37"/>
      <c r="S276" s="37"/>
      <c r="T276" s="37" t="s">
        <v>66</v>
      </c>
      <c r="U276" s="37"/>
      <c r="V276" s="37" t="s">
        <v>72</v>
      </c>
      <c r="W276" s="37" t="s">
        <v>110</v>
      </c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</row>
    <row r="277" spans="1:37">
      <c r="A277" s="37"/>
      <c r="B277" s="37"/>
      <c r="C277" s="37"/>
      <c r="D277" s="37" t="s">
        <v>1106</v>
      </c>
      <c r="E277" s="37" t="s">
        <v>981</v>
      </c>
      <c r="F277" s="37" t="s">
        <v>6019</v>
      </c>
      <c r="G277" s="37" t="s">
        <v>6020</v>
      </c>
      <c r="H277" s="37"/>
      <c r="I277" s="37" t="s">
        <v>82</v>
      </c>
      <c r="J277" s="37" t="s">
        <v>83</v>
      </c>
      <c r="K277" s="40" t="s">
        <v>1992</v>
      </c>
      <c r="L277" s="37" t="s">
        <v>64</v>
      </c>
      <c r="M277" s="37" t="s">
        <v>6021</v>
      </c>
      <c r="N277" s="37"/>
      <c r="O277" s="37" t="s">
        <v>4026</v>
      </c>
      <c r="P277" s="37" t="s">
        <v>1463</v>
      </c>
      <c r="Q277" s="37" t="s">
        <v>14</v>
      </c>
      <c r="R277" s="37"/>
      <c r="S277" s="37"/>
      <c r="T277" s="37" t="s">
        <v>66</v>
      </c>
      <c r="U277" s="37" t="s">
        <v>254</v>
      </c>
      <c r="V277" s="37" t="s">
        <v>72</v>
      </c>
      <c r="W277" s="37" t="s">
        <v>756</v>
      </c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</row>
    <row r="278" spans="1:37">
      <c r="A278" s="37"/>
      <c r="B278" s="37"/>
      <c r="C278" s="37"/>
      <c r="D278" s="37" t="s">
        <v>1892</v>
      </c>
      <c r="E278" s="37" t="s">
        <v>2248</v>
      </c>
      <c r="F278" s="37" t="s">
        <v>2252</v>
      </c>
      <c r="G278" s="37" t="s">
        <v>2249</v>
      </c>
      <c r="H278" s="37"/>
      <c r="I278" s="37" t="s">
        <v>82</v>
      </c>
      <c r="J278" s="37" t="s">
        <v>83</v>
      </c>
      <c r="K278" s="40" t="s">
        <v>1266</v>
      </c>
      <c r="L278" s="37" t="s">
        <v>64</v>
      </c>
      <c r="M278" s="37" t="s">
        <v>2250</v>
      </c>
      <c r="N278" s="37"/>
      <c r="O278" s="37" t="s">
        <v>4026</v>
      </c>
      <c r="P278" s="37" t="s">
        <v>2251</v>
      </c>
      <c r="Q278" s="37" t="s">
        <v>14</v>
      </c>
      <c r="R278" s="37" t="s">
        <v>4120</v>
      </c>
      <c r="S278" s="37"/>
      <c r="T278" s="37"/>
      <c r="U278" s="37" t="s">
        <v>116</v>
      </c>
      <c r="V278" s="37" t="s">
        <v>67</v>
      </c>
      <c r="W278" s="37" t="s">
        <v>73</v>
      </c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</row>
    <row r="279" spans="1:37">
      <c r="A279" s="37"/>
      <c r="B279" s="37"/>
      <c r="C279" s="37"/>
      <c r="D279" s="37" t="s">
        <v>2309</v>
      </c>
      <c r="E279" s="37" t="s">
        <v>2310</v>
      </c>
      <c r="F279" s="37" t="s">
        <v>2316</v>
      </c>
      <c r="G279" s="37" t="s">
        <v>2311</v>
      </c>
      <c r="H279" s="37" t="s">
        <v>2312</v>
      </c>
      <c r="I279" s="37" t="s">
        <v>2313</v>
      </c>
      <c r="J279" s="37" t="s">
        <v>425</v>
      </c>
      <c r="K279" s="40" t="s">
        <v>2314</v>
      </c>
      <c r="L279" s="37" t="s">
        <v>64</v>
      </c>
      <c r="M279" s="37" t="s">
        <v>2315</v>
      </c>
      <c r="N279" s="37"/>
      <c r="O279" s="37" t="s">
        <v>4026</v>
      </c>
      <c r="P279" s="37" t="s">
        <v>2251</v>
      </c>
      <c r="Q279" s="37" t="s">
        <v>98</v>
      </c>
      <c r="R279" s="37" t="s">
        <v>6022</v>
      </c>
      <c r="S279" s="37"/>
      <c r="T279" s="37"/>
      <c r="U279" s="37"/>
      <c r="V279" s="37" t="s">
        <v>77</v>
      </c>
      <c r="W279" s="37" t="s">
        <v>73</v>
      </c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</row>
    <row r="280" spans="1:37">
      <c r="A280" s="37"/>
      <c r="B280" s="37"/>
      <c r="C280" s="37"/>
      <c r="D280" s="37" t="s">
        <v>4105</v>
      </c>
      <c r="E280" s="37" t="s">
        <v>2456</v>
      </c>
      <c r="F280" s="37" t="s">
        <v>4111</v>
      </c>
      <c r="G280" s="37" t="s">
        <v>4106</v>
      </c>
      <c r="H280" s="37"/>
      <c r="I280" s="37" t="s">
        <v>4107</v>
      </c>
      <c r="J280" s="37" t="s">
        <v>93</v>
      </c>
      <c r="K280" s="40" t="s">
        <v>4108</v>
      </c>
      <c r="L280" s="37" t="s">
        <v>64</v>
      </c>
      <c r="M280" s="37" t="s">
        <v>4109</v>
      </c>
      <c r="N280" s="37"/>
      <c r="O280" s="37" t="s">
        <v>4026</v>
      </c>
      <c r="P280" s="37" t="s">
        <v>1463</v>
      </c>
      <c r="Q280" s="37" t="s">
        <v>98</v>
      </c>
      <c r="R280" s="37"/>
      <c r="S280" s="37" t="s">
        <v>4110</v>
      </c>
      <c r="T280" s="37" t="s">
        <v>66</v>
      </c>
      <c r="U280" s="37" t="s">
        <v>109</v>
      </c>
      <c r="V280" s="37" t="s">
        <v>72</v>
      </c>
      <c r="W280" s="37" t="s">
        <v>69</v>
      </c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</row>
    <row r="281" spans="1:37">
      <c r="A281" s="37"/>
      <c r="B281" s="37"/>
      <c r="C281" s="37"/>
      <c r="D281" s="37" t="s">
        <v>117</v>
      </c>
      <c r="E281" s="37" t="s">
        <v>4785</v>
      </c>
      <c r="F281" s="37" t="s">
        <v>4791</v>
      </c>
      <c r="G281" s="37" t="s">
        <v>4786</v>
      </c>
      <c r="H281" s="37"/>
      <c r="I281" s="37" t="s">
        <v>4787</v>
      </c>
      <c r="J281" s="37" t="s">
        <v>153</v>
      </c>
      <c r="K281" s="40" t="s">
        <v>4788</v>
      </c>
      <c r="L281" s="37" t="s">
        <v>64</v>
      </c>
      <c r="M281" s="37" t="s">
        <v>4789</v>
      </c>
      <c r="N281" s="37" t="s">
        <v>4790</v>
      </c>
      <c r="O281" s="37" t="s">
        <v>4026</v>
      </c>
      <c r="P281" s="37" t="s">
        <v>1463</v>
      </c>
      <c r="Q281" s="37" t="s">
        <v>16</v>
      </c>
      <c r="R281" s="37"/>
      <c r="S281" s="37"/>
      <c r="T281" s="37" t="s">
        <v>144</v>
      </c>
      <c r="U281" s="37" t="s">
        <v>69</v>
      </c>
      <c r="V281" s="37" t="s">
        <v>72</v>
      </c>
      <c r="W281" s="37" t="s">
        <v>195</v>
      </c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</row>
    <row r="282" spans="1:37">
      <c r="A282" s="37"/>
      <c r="B282" s="37"/>
      <c r="C282" s="37"/>
      <c r="D282" s="37" t="s">
        <v>482</v>
      </c>
      <c r="E282" s="37" t="s">
        <v>4112</v>
      </c>
      <c r="F282" s="37" t="s">
        <v>4115</v>
      </c>
      <c r="G282" s="37" t="s">
        <v>4113</v>
      </c>
      <c r="H282" s="37"/>
      <c r="I282" s="37" t="s">
        <v>82</v>
      </c>
      <c r="J282" s="37" t="s">
        <v>83</v>
      </c>
      <c r="K282" s="40" t="s">
        <v>1992</v>
      </c>
      <c r="L282" s="37" t="s">
        <v>64</v>
      </c>
      <c r="M282" s="37" t="s">
        <v>4114</v>
      </c>
      <c r="N282" s="37"/>
      <c r="O282" s="37" t="s">
        <v>4026</v>
      </c>
      <c r="P282" s="37" t="s">
        <v>1463</v>
      </c>
      <c r="Q282" s="37" t="s">
        <v>14</v>
      </c>
      <c r="R282" s="37"/>
      <c r="S282" s="37"/>
      <c r="T282" s="37" t="s">
        <v>66</v>
      </c>
      <c r="U282" s="37" t="s">
        <v>116</v>
      </c>
      <c r="V282" s="37" t="s">
        <v>72</v>
      </c>
      <c r="W282" s="37" t="s">
        <v>89</v>
      </c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</row>
    <row r="283" spans="1:37">
      <c r="A283" s="37" t="s">
        <v>112</v>
      </c>
      <c r="B283" s="37"/>
      <c r="C283" s="37"/>
      <c r="D283" s="37" t="s">
        <v>545</v>
      </c>
      <c r="E283" s="37" t="s">
        <v>3776</v>
      </c>
      <c r="F283" s="37" t="s">
        <v>5727</v>
      </c>
      <c r="G283" s="37" t="s">
        <v>5725</v>
      </c>
      <c r="H283" s="37"/>
      <c r="I283" s="37" t="s">
        <v>354</v>
      </c>
      <c r="J283" s="37" t="s">
        <v>75</v>
      </c>
      <c r="K283" s="40" t="s">
        <v>4163</v>
      </c>
      <c r="L283" s="37" t="s">
        <v>64</v>
      </c>
      <c r="M283" s="37" t="s">
        <v>5726</v>
      </c>
      <c r="N283" s="37"/>
      <c r="O283" s="37" t="s">
        <v>4026</v>
      </c>
      <c r="P283" s="37" t="s">
        <v>1463</v>
      </c>
      <c r="Q283" s="37" t="s">
        <v>10</v>
      </c>
      <c r="R283" s="37"/>
      <c r="S283" s="37"/>
      <c r="T283" s="37" t="s">
        <v>66</v>
      </c>
      <c r="U283" s="37" t="s">
        <v>109</v>
      </c>
      <c r="V283" s="37" t="s">
        <v>88</v>
      </c>
      <c r="W283" s="37" t="s">
        <v>89</v>
      </c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</row>
    <row r="284" spans="1:37">
      <c r="A284" s="37" t="s">
        <v>413</v>
      </c>
      <c r="B284" s="37"/>
      <c r="C284" s="37"/>
      <c r="D284" s="37" t="s">
        <v>6023</v>
      </c>
      <c r="E284" s="37" t="s">
        <v>6024</v>
      </c>
      <c r="F284" s="37" t="s">
        <v>6025</v>
      </c>
      <c r="G284" s="37" t="s">
        <v>4164</v>
      </c>
      <c r="H284" s="37" t="s">
        <v>4162</v>
      </c>
      <c r="I284" s="37" t="s">
        <v>354</v>
      </c>
      <c r="J284" s="37" t="s">
        <v>75</v>
      </c>
      <c r="K284" s="40" t="s">
        <v>4163</v>
      </c>
      <c r="L284" s="37" t="s">
        <v>64</v>
      </c>
      <c r="M284" s="37" t="s">
        <v>6026</v>
      </c>
      <c r="N284" s="37" t="s">
        <v>6027</v>
      </c>
      <c r="O284" s="37" t="s">
        <v>4026</v>
      </c>
      <c r="P284" s="37" t="s">
        <v>1463</v>
      </c>
      <c r="Q284" s="37" t="s">
        <v>10</v>
      </c>
      <c r="R284" s="37"/>
      <c r="S284" s="37"/>
      <c r="T284" s="37" t="s">
        <v>66</v>
      </c>
      <c r="U284" s="37" t="s">
        <v>145</v>
      </c>
      <c r="V284" s="37" t="s">
        <v>88</v>
      </c>
      <c r="W284" s="37" t="s">
        <v>89</v>
      </c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</row>
    <row r="285" spans="1:37">
      <c r="A285" s="37"/>
      <c r="B285" s="37"/>
      <c r="C285" s="37"/>
      <c r="D285" s="37" t="s">
        <v>1975</v>
      </c>
      <c r="E285" s="37" t="s">
        <v>6028</v>
      </c>
      <c r="F285" s="37" t="s">
        <v>6029</v>
      </c>
      <c r="G285" s="37" t="s">
        <v>6030</v>
      </c>
      <c r="H285" s="37"/>
      <c r="I285" s="37" t="s">
        <v>219</v>
      </c>
      <c r="J285" s="37" t="s">
        <v>83</v>
      </c>
      <c r="K285" s="40" t="s">
        <v>1195</v>
      </c>
      <c r="L285" s="37" t="s">
        <v>64</v>
      </c>
      <c r="M285" s="37" t="s">
        <v>6031</v>
      </c>
      <c r="N285" s="37"/>
      <c r="O285" s="37" t="s">
        <v>4026</v>
      </c>
      <c r="P285" s="37" t="s">
        <v>1463</v>
      </c>
      <c r="Q285" s="37" t="s">
        <v>14</v>
      </c>
      <c r="R285" s="37"/>
      <c r="S285" s="37"/>
      <c r="T285" s="37" t="s">
        <v>144</v>
      </c>
      <c r="U285" s="37"/>
      <c r="V285" s="37" t="s">
        <v>72</v>
      </c>
      <c r="W285" s="37" t="s">
        <v>110</v>
      </c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</row>
    <row r="286" spans="1:37">
      <c r="A286" s="37"/>
      <c r="B286" s="37"/>
      <c r="C286" s="37"/>
      <c r="D286" s="37" t="s">
        <v>1263</v>
      </c>
      <c r="E286" s="37" t="s">
        <v>1264</v>
      </c>
      <c r="F286" s="37" t="s">
        <v>1269</v>
      </c>
      <c r="G286" s="37" t="s">
        <v>1265</v>
      </c>
      <c r="H286" s="37"/>
      <c r="I286" s="37" t="s">
        <v>82</v>
      </c>
      <c r="J286" s="37" t="s">
        <v>83</v>
      </c>
      <c r="K286" s="40" t="s">
        <v>1266</v>
      </c>
      <c r="L286" s="37" t="s">
        <v>64</v>
      </c>
      <c r="M286" s="37" t="s">
        <v>1267</v>
      </c>
      <c r="N286" s="37"/>
      <c r="O286" s="37" t="s">
        <v>4026</v>
      </c>
      <c r="P286" s="37" t="s">
        <v>1268</v>
      </c>
      <c r="Q286" s="37" t="s">
        <v>14</v>
      </c>
      <c r="R286" s="37"/>
      <c r="S286" s="37"/>
      <c r="T286" s="37" t="s">
        <v>66</v>
      </c>
      <c r="U286" s="37" t="s">
        <v>87</v>
      </c>
      <c r="V286" s="37" t="s">
        <v>88</v>
      </c>
      <c r="W286" s="37" t="s">
        <v>89</v>
      </c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</row>
    <row r="287" spans="1:37">
      <c r="A287" s="37"/>
      <c r="B287" s="37"/>
      <c r="C287" s="37"/>
      <c r="D287" s="37" t="s">
        <v>759</v>
      </c>
      <c r="E287" s="37" t="s">
        <v>6032</v>
      </c>
      <c r="F287" s="37" t="s">
        <v>6033</v>
      </c>
      <c r="G287" s="37" t="s">
        <v>6034</v>
      </c>
      <c r="H287" s="37"/>
      <c r="I287" s="37" t="s">
        <v>420</v>
      </c>
      <c r="J287" s="37" t="s">
        <v>75</v>
      </c>
      <c r="K287" s="40" t="s">
        <v>1648</v>
      </c>
      <c r="L287" s="37" t="s">
        <v>64</v>
      </c>
      <c r="M287" s="37" t="s">
        <v>6035</v>
      </c>
      <c r="N287" s="37"/>
      <c r="O287" s="37" t="s">
        <v>4026</v>
      </c>
      <c r="P287" s="37" t="s">
        <v>2251</v>
      </c>
      <c r="Q287" s="37" t="s">
        <v>10</v>
      </c>
      <c r="R287" s="37"/>
      <c r="S287" s="37"/>
      <c r="T287" s="37" t="s">
        <v>69</v>
      </c>
      <c r="U287" s="37"/>
      <c r="V287" s="37" t="s">
        <v>67</v>
      </c>
      <c r="W287" s="37" t="s">
        <v>261</v>
      </c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</row>
    <row r="288" spans="1:37">
      <c r="A288" s="37" t="s">
        <v>413</v>
      </c>
      <c r="B288" s="37"/>
      <c r="C288" s="37"/>
      <c r="D288" s="37" t="s">
        <v>2962</v>
      </c>
      <c r="E288" s="37" t="s">
        <v>1845</v>
      </c>
      <c r="F288" s="37" t="s">
        <v>2969</v>
      </c>
      <c r="G288" s="37" t="s">
        <v>2963</v>
      </c>
      <c r="H288" s="37" t="s">
        <v>2964</v>
      </c>
      <c r="I288" s="37" t="s">
        <v>421</v>
      </c>
      <c r="J288" s="37" t="s">
        <v>230</v>
      </c>
      <c r="K288" s="40" t="s">
        <v>2965</v>
      </c>
      <c r="L288" s="37" t="s">
        <v>64</v>
      </c>
      <c r="M288" s="37" t="s">
        <v>2966</v>
      </c>
      <c r="N288" s="37" t="s">
        <v>2967</v>
      </c>
      <c r="O288" s="37" t="s">
        <v>4026</v>
      </c>
      <c r="P288" s="37" t="s">
        <v>2251</v>
      </c>
      <c r="Q288" s="37" t="s">
        <v>10</v>
      </c>
      <c r="R288" s="37" t="s">
        <v>2968</v>
      </c>
      <c r="S288" s="37"/>
      <c r="T288" s="37" t="s">
        <v>144</v>
      </c>
      <c r="U288" s="37" t="s">
        <v>145</v>
      </c>
      <c r="V288" s="37" t="s">
        <v>72</v>
      </c>
      <c r="W288" s="37" t="s">
        <v>78</v>
      </c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</row>
    <row r="289" spans="1:37">
      <c r="A289" s="37"/>
      <c r="B289" s="37"/>
      <c r="C289" s="37"/>
      <c r="D289" s="37" t="s">
        <v>6036</v>
      </c>
      <c r="E289" s="37" t="s">
        <v>2877</v>
      </c>
      <c r="F289" s="37" t="s">
        <v>6037</v>
      </c>
      <c r="G289" s="37" t="s">
        <v>6038</v>
      </c>
      <c r="H289" s="37"/>
      <c r="I289" s="37" t="s">
        <v>420</v>
      </c>
      <c r="J289" s="37" t="s">
        <v>75</v>
      </c>
      <c r="K289" s="40" t="s">
        <v>1648</v>
      </c>
      <c r="L289" s="37" t="s">
        <v>64</v>
      </c>
      <c r="M289" s="37" t="s">
        <v>6039</v>
      </c>
      <c r="N289" s="37" t="s">
        <v>6040</v>
      </c>
      <c r="O289" s="37" t="s">
        <v>4026</v>
      </c>
      <c r="P289" s="37" t="s">
        <v>2251</v>
      </c>
      <c r="Q289" s="37" t="s">
        <v>10</v>
      </c>
      <c r="R289" s="37" t="s">
        <v>6041</v>
      </c>
      <c r="S289" s="37"/>
      <c r="T289" s="37" t="s">
        <v>66</v>
      </c>
      <c r="U289" s="37"/>
      <c r="V289" s="37" t="s">
        <v>67</v>
      </c>
      <c r="W289" s="37" t="s">
        <v>89</v>
      </c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</row>
    <row r="290" spans="1:37">
      <c r="A290" s="37"/>
      <c r="B290" s="37"/>
      <c r="C290" s="37"/>
      <c r="D290" s="37" t="s">
        <v>2122</v>
      </c>
      <c r="E290" s="37" t="s">
        <v>3591</v>
      </c>
      <c r="F290" s="37" t="s">
        <v>3597</v>
      </c>
      <c r="G290" s="37" t="s">
        <v>3592</v>
      </c>
      <c r="H290" s="37" t="s">
        <v>3593</v>
      </c>
      <c r="I290" s="37" t="s">
        <v>82</v>
      </c>
      <c r="J290" s="37" t="s">
        <v>83</v>
      </c>
      <c r="K290" s="40" t="s">
        <v>643</v>
      </c>
      <c r="L290" s="37" t="s">
        <v>64</v>
      </c>
      <c r="M290" s="37" t="s">
        <v>3594</v>
      </c>
      <c r="N290" s="37" t="s">
        <v>3595</v>
      </c>
      <c r="O290" s="37" t="s">
        <v>4026</v>
      </c>
      <c r="P290" s="37" t="s">
        <v>2251</v>
      </c>
      <c r="Q290" s="37" t="s">
        <v>14</v>
      </c>
      <c r="R290" s="37" t="s">
        <v>3596</v>
      </c>
      <c r="S290" s="37"/>
      <c r="T290" s="37" t="s">
        <v>144</v>
      </c>
      <c r="U290" s="37" t="s">
        <v>109</v>
      </c>
      <c r="V290" s="37" t="s">
        <v>72</v>
      </c>
      <c r="W290" s="37" t="s">
        <v>135</v>
      </c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</row>
    <row r="291" spans="1:37">
      <c r="A291" s="37"/>
      <c r="B291" s="37"/>
      <c r="C291" s="37"/>
      <c r="D291" s="37" t="s">
        <v>5260</v>
      </c>
      <c r="E291" s="37" t="s">
        <v>2464</v>
      </c>
      <c r="F291" s="37" t="s">
        <v>5110</v>
      </c>
      <c r="G291" s="37" t="s">
        <v>5108</v>
      </c>
      <c r="H291" s="37"/>
      <c r="I291" s="37" t="s">
        <v>82</v>
      </c>
      <c r="J291" s="37" t="s">
        <v>83</v>
      </c>
      <c r="K291" s="40" t="s">
        <v>1992</v>
      </c>
      <c r="L291" s="37" t="s">
        <v>64</v>
      </c>
      <c r="M291" s="37" t="s">
        <v>5109</v>
      </c>
      <c r="N291" s="37"/>
      <c r="O291" s="37" t="s">
        <v>4026</v>
      </c>
      <c r="P291" s="37" t="s">
        <v>1463</v>
      </c>
      <c r="Q291" s="37" t="s">
        <v>14</v>
      </c>
      <c r="R291" s="37"/>
      <c r="S291" s="37"/>
      <c r="T291" s="37" t="s">
        <v>69</v>
      </c>
      <c r="U291" s="37"/>
      <c r="V291" s="37" t="s">
        <v>72</v>
      </c>
      <c r="W291" s="37" t="s">
        <v>756</v>
      </c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</row>
    <row r="292" spans="1:37">
      <c r="A292" s="37"/>
      <c r="B292" s="37"/>
      <c r="C292" s="37"/>
      <c r="D292" s="37" t="s">
        <v>3087</v>
      </c>
      <c r="E292" s="37" t="s">
        <v>4089</v>
      </c>
      <c r="F292" s="37" t="s">
        <v>4779</v>
      </c>
      <c r="G292" s="37" t="s">
        <v>4777</v>
      </c>
      <c r="H292" s="37"/>
      <c r="I292" s="37" t="s">
        <v>416</v>
      </c>
      <c r="J292" s="37" t="s">
        <v>75</v>
      </c>
      <c r="K292" s="40" t="s">
        <v>417</v>
      </c>
      <c r="L292" s="37" t="s">
        <v>64</v>
      </c>
      <c r="M292" s="37" t="s">
        <v>4778</v>
      </c>
      <c r="N292" s="37"/>
      <c r="O292" s="37" t="s">
        <v>4026</v>
      </c>
      <c r="P292" s="37" t="s">
        <v>1463</v>
      </c>
      <c r="Q292" s="37" t="s">
        <v>10</v>
      </c>
      <c r="R292" s="37"/>
      <c r="S292" s="37"/>
      <c r="T292" s="37" t="s">
        <v>144</v>
      </c>
      <c r="U292" s="37" t="s">
        <v>116</v>
      </c>
      <c r="V292" s="37" t="s">
        <v>67</v>
      </c>
      <c r="W292" s="37" t="s">
        <v>756</v>
      </c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</row>
    <row r="293" spans="1:37">
      <c r="A293" s="37"/>
      <c r="B293" s="37"/>
      <c r="C293" s="37"/>
      <c r="D293" s="37" t="s">
        <v>6042</v>
      </c>
      <c r="E293" s="37" t="s">
        <v>1232</v>
      </c>
      <c r="F293" s="37" t="s">
        <v>6043</v>
      </c>
      <c r="G293" s="37" t="s">
        <v>6044</v>
      </c>
      <c r="H293" s="37"/>
      <c r="I293" s="37" t="s">
        <v>212</v>
      </c>
      <c r="J293" s="37" t="s">
        <v>75</v>
      </c>
      <c r="K293" s="40" t="s">
        <v>6045</v>
      </c>
      <c r="L293" s="37" t="s">
        <v>64</v>
      </c>
      <c r="M293" s="37" t="s">
        <v>6046</v>
      </c>
      <c r="N293" s="37" t="s">
        <v>6047</v>
      </c>
      <c r="O293" s="37" t="s">
        <v>4026</v>
      </c>
      <c r="P293" s="37" t="s">
        <v>1268</v>
      </c>
      <c r="Q293" s="37" t="s">
        <v>10</v>
      </c>
      <c r="R293" s="37"/>
      <c r="S293" s="37"/>
      <c r="T293" s="37"/>
      <c r="U293" s="37"/>
      <c r="V293" s="37" t="s">
        <v>118</v>
      </c>
      <c r="W293" s="37" t="s">
        <v>89</v>
      </c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</row>
    <row r="294" spans="1:37">
      <c r="A294" s="37"/>
      <c r="B294" s="37"/>
      <c r="C294" s="37"/>
      <c r="D294" s="37" t="s">
        <v>211</v>
      </c>
      <c r="E294" s="37" t="s">
        <v>1591</v>
      </c>
      <c r="F294" s="37" t="s">
        <v>6048</v>
      </c>
      <c r="G294" s="37" t="s">
        <v>6049</v>
      </c>
      <c r="H294" s="37" t="s">
        <v>6050</v>
      </c>
      <c r="I294" s="37" t="s">
        <v>82</v>
      </c>
      <c r="J294" s="37" t="s">
        <v>83</v>
      </c>
      <c r="K294" s="40" t="s">
        <v>1245</v>
      </c>
      <c r="L294" s="37" t="s">
        <v>64</v>
      </c>
      <c r="M294" s="37" t="s">
        <v>6051</v>
      </c>
      <c r="N294" s="37"/>
      <c r="O294" s="37" t="s">
        <v>4026</v>
      </c>
      <c r="P294" s="37" t="s">
        <v>1463</v>
      </c>
      <c r="Q294" s="37" t="s">
        <v>14</v>
      </c>
      <c r="R294" s="37"/>
      <c r="S294" s="37"/>
      <c r="T294" s="37"/>
      <c r="U294" s="37"/>
      <c r="V294" s="37" t="s">
        <v>72</v>
      </c>
      <c r="W294" s="37" t="s">
        <v>756</v>
      </c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</row>
    <row r="295" spans="1:37">
      <c r="A295" s="37"/>
      <c r="B295" s="37"/>
      <c r="C295" s="37"/>
      <c r="D295" s="37" t="s">
        <v>547</v>
      </c>
      <c r="E295" s="37" t="s">
        <v>548</v>
      </c>
      <c r="F295" s="37" t="s">
        <v>552</v>
      </c>
      <c r="G295" s="37" t="s">
        <v>549</v>
      </c>
      <c r="H295" s="37"/>
      <c r="I295" s="37" t="s">
        <v>82</v>
      </c>
      <c r="J295" s="37" t="s">
        <v>83</v>
      </c>
      <c r="K295" s="40" t="s">
        <v>84</v>
      </c>
      <c r="L295" s="37" t="s">
        <v>64</v>
      </c>
      <c r="M295" s="37" t="s">
        <v>550</v>
      </c>
      <c r="N295" s="37"/>
      <c r="O295" s="37" t="s">
        <v>4055</v>
      </c>
      <c r="P295" s="37" t="s">
        <v>85</v>
      </c>
      <c r="Q295" s="37" t="s">
        <v>14</v>
      </c>
      <c r="R295" s="37" t="s">
        <v>551</v>
      </c>
      <c r="S295" s="37"/>
      <c r="T295" s="37" t="s">
        <v>69</v>
      </c>
      <c r="U295" s="37"/>
      <c r="V295" s="37" t="s">
        <v>77</v>
      </c>
      <c r="W295" s="37" t="s">
        <v>78</v>
      </c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</row>
    <row r="296" spans="1:37">
      <c r="A296" s="37"/>
      <c r="B296" s="37"/>
      <c r="C296" s="37"/>
      <c r="D296" s="37" t="s">
        <v>931</v>
      </c>
      <c r="E296" s="37" t="s">
        <v>928</v>
      </c>
      <c r="F296" s="37" t="s">
        <v>937</v>
      </c>
      <c r="G296" s="37" t="s">
        <v>932</v>
      </c>
      <c r="H296" s="37" t="s">
        <v>933</v>
      </c>
      <c r="I296" s="37" t="s">
        <v>843</v>
      </c>
      <c r="J296" s="37" t="s">
        <v>75</v>
      </c>
      <c r="K296" s="40" t="s">
        <v>934</v>
      </c>
      <c r="L296" s="37" t="s">
        <v>64</v>
      </c>
      <c r="M296" s="37" t="s">
        <v>935</v>
      </c>
      <c r="N296" s="37"/>
      <c r="O296" s="37" t="s">
        <v>4055</v>
      </c>
      <c r="P296" s="37" t="s">
        <v>85</v>
      </c>
      <c r="Q296" s="37" t="s">
        <v>10</v>
      </c>
      <c r="R296" s="37" t="s">
        <v>936</v>
      </c>
      <c r="S296" s="37"/>
      <c r="T296" s="37"/>
      <c r="U296" s="37"/>
      <c r="V296" s="37" t="s">
        <v>67</v>
      </c>
      <c r="W296" s="37" t="s">
        <v>89</v>
      </c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</row>
    <row r="297" spans="1:37">
      <c r="A297" s="37"/>
      <c r="B297" s="37"/>
      <c r="C297" s="37"/>
      <c r="D297" s="37" t="s">
        <v>1106</v>
      </c>
      <c r="E297" s="37" t="s">
        <v>1107</v>
      </c>
      <c r="F297" s="37" t="s">
        <v>1111</v>
      </c>
      <c r="G297" s="37" t="s">
        <v>1108</v>
      </c>
      <c r="H297" s="37"/>
      <c r="I297" s="37" t="s">
        <v>843</v>
      </c>
      <c r="J297" s="37" t="s">
        <v>75</v>
      </c>
      <c r="K297" s="40" t="s">
        <v>1109</v>
      </c>
      <c r="L297" s="37" t="s">
        <v>64</v>
      </c>
      <c r="M297" s="37" t="s">
        <v>1110</v>
      </c>
      <c r="N297" s="37"/>
      <c r="O297" s="37" t="s">
        <v>4055</v>
      </c>
      <c r="P297" s="37" t="s">
        <v>85</v>
      </c>
      <c r="Q297" s="37" t="s">
        <v>10</v>
      </c>
      <c r="R297" s="37" t="s">
        <v>936</v>
      </c>
      <c r="S297" s="37"/>
      <c r="T297" s="37"/>
      <c r="U297" s="37"/>
      <c r="V297" s="37" t="s">
        <v>77</v>
      </c>
      <c r="W297" s="37" t="s">
        <v>89</v>
      </c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</row>
    <row r="298" spans="1:37">
      <c r="A298" s="37"/>
      <c r="B298" s="37"/>
      <c r="C298" s="37"/>
      <c r="D298" s="37" t="s">
        <v>2738</v>
      </c>
      <c r="E298" s="37" t="s">
        <v>2739</v>
      </c>
      <c r="F298" s="37" t="s">
        <v>2742</v>
      </c>
      <c r="G298" s="37" t="s">
        <v>2740</v>
      </c>
      <c r="H298" s="37"/>
      <c r="I298" s="37" t="s">
        <v>82</v>
      </c>
      <c r="J298" s="37" t="s">
        <v>83</v>
      </c>
      <c r="K298" s="40" t="s">
        <v>910</v>
      </c>
      <c r="L298" s="37" t="s">
        <v>64</v>
      </c>
      <c r="M298" s="37" t="s">
        <v>2741</v>
      </c>
      <c r="N298" s="37"/>
      <c r="O298" s="37" t="s">
        <v>4055</v>
      </c>
      <c r="P298" s="37" t="s">
        <v>85</v>
      </c>
      <c r="Q298" s="37" t="s">
        <v>14</v>
      </c>
      <c r="R298" s="37"/>
      <c r="S298" s="37"/>
      <c r="T298" s="37" t="s">
        <v>115</v>
      </c>
      <c r="U298" s="37" t="s">
        <v>145</v>
      </c>
      <c r="V298" s="37" t="s">
        <v>67</v>
      </c>
      <c r="W298" s="37" t="s">
        <v>195</v>
      </c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</row>
    <row r="299" spans="1:37">
      <c r="A299" s="37"/>
      <c r="B299" s="37"/>
      <c r="C299" s="37"/>
      <c r="D299" s="37" t="s">
        <v>1270</v>
      </c>
      <c r="E299" s="37" t="s">
        <v>1271</v>
      </c>
      <c r="F299" s="37" t="s">
        <v>1274</v>
      </c>
      <c r="G299" s="37" t="s">
        <v>81</v>
      </c>
      <c r="H299" s="37"/>
      <c r="I299" s="37" t="s">
        <v>82</v>
      </c>
      <c r="J299" s="37" t="s">
        <v>83</v>
      </c>
      <c r="K299" s="40" t="s">
        <v>84</v>
      </c>
      <c r="L299" s="37" t="s">
        <v>64</v>
      </c>
      <c r="M299" s="37" t="s">
        <v>1272</v>
      </c>
      <c r="N299" s="37" t="s">
        <v>1273</v>
      </c>
      <c r="O299" s="37" t="s">
        <v>4055</v>
      </c>
      <c r="P299" s="37" t="s">
        <v>85</v>
      </c>
      <c r="Q299" s="37" t="s">
        <v>14</v>
      </c>
      <c r="R299" s="37" t="s">
        <v>936</v>
      </c>
      <c r="S299" s="37"/>
      <c r="T299" s="37"/>
      <c r="U299" s="37" t="s">
        <v>116</v>
      </c>
      <c r="V299" s="37" t="s">
        <v>77</v>
      </c>
      <c r="W299" s="37" t="s">
        <v>69</v>
      </c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</row>
    <row r="300" spans="1:37">
      <c r="A300" s="37"/>
      <c r="B300" s="37"/>
      <c r="C300" s="37"/>
      <c r="D300" s="37" t="s">
        <v>1780</v>
      </c>
      <c r="E300" s="37" t="s">
        <v>6052</v>
      </c>
      <c r="F300" s="37" t="s">
        <v>6053</v>
      </c>
      <c r="G300" s="37" t="s">
        <v>6054</v>
      </c>
      <c r="H300" s="37"/>
      <c r="I300" s="37" t="s">
        <v>1282</v>
      </c>
      <c r="J300" s="37" t="s">
        <v>105</v>
      </c>
      <c r="K300" s="40" t="s">
        <v>1283</v>
      </c>
      <c r="L300" s="37" t="s">
        <v>64</v>
      </c>
      <c r="M300" s="37" t="s">
        <v>6055</v>
      </c>
      <c r="N300" s="37"/>
      <c r="O300" s="37" t="s">
        <v>4055</v>
      </c>
      <c r="P300" s="37" t="s">
        <v>438</v>
      </c>
      <c r="Q300" s="37" t="s">
        <v>14</v>
      </c>
      <c r="R300" s="37"/>
      <c r="S300" s="37"/>
      <c r="T300" s="37"/>
      <c r="U300" s="37"/>
      <c r="V300" s="37" t="s">
        <v>88</v>
      </c>
      <c r="W300" s="37" t="s">
        <v>110</v>
      </c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</row>
    <row r="301" spans="1:37">
      <c r="A301" s="37"/>
      <c r="B301" s="37"/>
      <c r="C301" s="37"/>
      <c r="D301" s="37" t="s">
        <v>415</v>
      </c>
      <c r="E301" s="37" t="s">
        <v>2504</v>
      </c>
      <c r="F301" s="37" t="s">
        <v>6056</v>
      </c>
      <c r="G301" s="37" t="s">
        <v>6057</v>
      </c>
      <c r="H301" s="37" t="s">
        <v>6058</v>
      </c>
      <c r="I301" s="37" t="s">
        <v>1282</v>
      </c>
      <c r="J301" s="37" t="s">
        <v>105</v>
      </c>
      <c r="K301" s="40" t="s">
        <v>1283</v>
      </c>
      <c r="L301" s="37" t="s">
        <v>64</v>
      </c>
      <c r="M301" s="37" t="s">
        <v>6059</v>
      </c>
      <c r="N301" s="37"/>
      <c r="O301" s="37" t="s">
        <v>4055</v>
      </c>
      <c r="P301" s="37" t="s">
        <v>438</v>
      </c>
      <c r="Q301" s="37" t="s">
        <v>14</v>
      </c>
      <c r="R301" s="37"/>
      <c r="S301" s="37"/>
      <c r="T301" s="37" t="s">
        <v>69</v>
      </c>
      <c r="U301" s="37" t="s">
        <v>87</v>
      </c>
      <c r="V301" s="37" t="s">
        <v>88</v>
      </c>
      <c r="W301" s="37" t="s">
        <v>110</v>
      </c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</row>
    <row r="302" spans="1:37">
      <c r="A302" s="37"/>
      <c r="B302" s="37"/>
      <c r="C302" s="37"/>
      <c r="D302" s="37" t="s">
        <v>483</v>
      </c>
      <c r="E302" s="37" t="s">
        <v>3506</v>
      </c>
      <c r="F302" s="37" t="s">
        <v>3510</v>
      </c>
      <c r="G302" s="37" t="s">
        <v>3507</v>
      </c>
      <c r="H302" s="37" t="s">
        <v>3508</v>
      </c>
      <c r="I302" s="37" t="s">
        <v>1282</v>
      </c>
      <c r="J302" s="37" t="s">
        <v>105</v>
      </c>
      <c r="K302" s="40" t="s">
        <v>1283</v>
      </c>
      <c r="L302" s="37" t="s">
        <v>64</v>
      </c>
      <c r="M302" s="37" t="s">
        <v>3509</v>
      </c>
      <c r="N302" s="37"/>
      <c r="O302" s="37" t="s">
        <v>4055</v>
      </c>
      <c r="P302" s="37" t="s">
        <v>438</v>
      </c>
      <c r="Q302" s="37" t="s">
        <v>14</v>
      </c>
      <c r="R302" s="37"/>
      <c r="S302" s="37"/>
      <c r="T302" s="37"/>
      <c r="U302" s="37"/>
      <c r="V302" s="37" t="s">
        <v>72</v>
      </c>
      <c r="W302" s="37" t="s">
        <v>110</v>
      </c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</row>
    <row r="303" spans="1:37">
      <c r="A303" s="37"/>
      <c r="B303" s="37"/>
      <c r="C303" s="37"/>
      <c r="D303" s="37" t="s">
        <v>484</v>
      </c>
      <c r="E303" s="37" t="s">
        <v>4501</v>
      </c>
      <c r="F303" s="37" t="s">
        <v>4506</v>
      </c>
      <c r="G303" s="37" t="s">
        <v>4502</v>
      </c>
      <c r="H303" s="37"/>
      <c r="I303" s="37" t="s">
        <v>265</v>
      </c>
      <c r="J303" s="37" t="s">
        <v>75</v>
      </c>
      <c r="K303" s="40" t="s">
        <v>3864</v>
      </c>
      <c r="L303" s="37" t="s">
        <v>64</v>
      </c>
      <c r="M303" s="37" t="s">
        <v>4503</v>
      </c>
      <c r="N303" s="37" t="s">
        <v>4504</v>
      </c>
      <c r="O303" s="37" t="s">
        <v>4055</v>
      </c>
      <c r="P303" s="37" t="s">
        <v>85</v>
      </c>
      <c r="Q303" s="37" t="s">
        <v>10</v>
      </c>
      <c r="R303" s="37" t="s">
        <v>4505</v>
      </c>
      <c r="S303" s="37"/>
      <c r="T303" s="37" t="s">
        <v>69</v>
      </c>
      <c r="U303" s="37" t="s">
        <v>182</v>
      </c>
      <c r="V303" s="37" t="s">
        <v>77</v>
      </c>
      <c r="W303" s="37" t="s">
        <v>89</v>
      </c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</row>
    <row r="304" spans="1:37">
      <c r="A304" s="37" t="s">
        <v>112</v>
      </c>
      <c r="B304" s="37"/>
      <c r="C304" s="37"/>
      <c r="D304" s="37" t="s">
        <v>509</v>
      </c>
      <c r="E304" s="37" t="s">
        <v>2440</v>
      </c>
      <c r="F304" s="37" t="s">
        <v>3467</v>
      </c>
      <c r="G304" s="37" t="s">
        <v>3463</v>
      </c>
      <c r="H304" s="37" t="s">
        <v>3464</v>
      </c>
      <c r="I304" s="37" t="s">
        <v>387</v>
      </c>
      <c r="J304" s="37" t="s">
        <v>334</v>
      </c>
      <c r="K304" s="40" t="s">
        <v>3465</v>
      </c>
      <c r="L304" s="37" t="s">
        <v>64</v>
      </c>
      <c r="M304" s="37" t="s">
        <v>3466</v>
      </c>
      <c r="N304" s="37"/>
      <c r="O304" s="37" t="s">
        <v>4055</v>
      </c>
      <c r="P304" s="37" t="s">
        <v>438</v>
      </c>
      <c r="Q304" s="37" t="s">
        <v>16</v>
      </c>
      <c r="R304" s="37"/>
      <c r="S304" s="37"/>
      <c r="T304" s="37" t="s">
        <v>158</v>
      </c>
      <c r="U304" s="37" t="s">
        <v>109</v>
      </c>
      <c r="V304" s="37" t="s">
        <v>72</v>
      </c>
      <c r="W304" s="37" t="s">
        <v>110</v>
      </c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</row>
    <row r="305" spans="1:37">
      <c r="A305" s="37"/>
      <c r="B305" s="37"/>
      <c r="C305" s="37"/>
      <c r="D305" s="37" t="s">
        <v>1887</v>
      </c>
      <c r="E305" s="37" t="s">
        <v>6060</v>
      </c>
      <c r="F305" s="37" t="s">
        <v>6061</v>
      </c>
      <c r="G305" s="37" t="s">
        <v>3106</v>
      </c>
      <c r="H305" s="37"/>
      <c r="I305" s="37" t="s">
        <v>265</v>
      </c>
      <c r="J305" s="37" t="s">
        <v>75</v>
      </c>
      <c r="K305" s="40" t="s">
        <v>1222</v>
      </c>
      <c r="L305" s="37" t="s">
        <v>64</v>
      </c>
      <c r="M305" s="37" t="s">
        <v>6062</v>
      </c>
      <c r="N305" s="37"/>
      <c r="O305" s="37" t="s">
        <v>4055</v>
      </c>
      <c r="P305" s="37" t="s">
        <v>438</v>
      </c>
      <c r="Q305" s="37" t="s">
        <v>10</v>
      </c>
      <c r="R305" s="37"/>
      <c r="S305" s="37"/>
      <c r="T305" s="37"/>
      <c r="U305" s="37" t="s">
        <v>767</v>
      </c>
      <c r="V305" s="37" t="s">
        <v>77</v>
      </c>
      <c r="W305" s="37" t="s">
        <v>89</v>
      </c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</row>
    <row r="306" spans="1:37">
      <c r="A306" s="37" t="s">
        <v>673</v>
      </c>
      <c r="B306" s="37"/>
      <c r="C306" s="37"/>
      <c r="D306" s="37" t="s">
        <v>1174</v>
      </c>
      <c r="E306" s="37" t="s">
        <v>1175</v>
      </c>
      <c r="F306" s="37" t="s">
        <v>1182</v>
      </c>
      <c r="G306" s="37" t="s">
        <v>1176</v>
      </c>
      <c r="H306" s="37" t="s">
        <v>1177</v>
      </c>
      <c r="I306" s="37" t="s">
        <v>1178</v>
      </c>
      <c r="J306" s="37" t="s">
        <v>153</v>
      </c>
      <c r="K306" s="40" t="s">
        <v>1179</v>
      </c>
      <c r="L306" s="37" t="s">
        <v>64</v>
      </c>
      <c r="M306" s="37" t="s">
        <v>1180</v>
      </c>
      <c r="N306" s="37"/>
      <c r="O306" s="37" t="s">
        <v>4055</v>
      </c>
      <c r="P306" s="37" t="s">
        <v>85</v>
      </c>
      <c r="Q306" s="37" t="s">
        <v>16</v>
      </c>
      <c r="R306" s="37" t="s">
        <v>1181</v>
      </c>
      <c r="S306" s="37"/>
      <c r="T306" s="37" t="s">
        <v>69</v>
      </c>
      <c r="U306" s="37" t="s">
        <v>145</v>
      </c>
      <c r="V306" s="37" t="s">
        <v>67</v>
      </c>
      <c r="W306" s="37" t="s">
        <v>89</v>
      </c>
      <c r="X306" s="25"/>
      <c r="Y306" s="25"/>
      <c r="Z306" s="25"/>
      <c r="AA306" s="25"/>
      <c r="AB306" s="25"/>
      <c r="AC306" s="25"/>
      <c r="AD306" s="25"/>
      <c r="AE306" s="25"/>
      <c r="AF306" s="26"/>
      <c r="AG306" s="25"/>
      <c r="AH306" s="25"/>
      <c r="AI306" s="25"/>
      <c r="AJ306" s="25"/>
      <c r="AK306" s="25"/>
    </row>
    <row r="307" spans="1:37">
      <c r="A307" s="37"/>
      <c r="B307" s="37"/>
      <c r="C307" s="37"/>
      <c r="D307" s="37" t="s">
        <v>1541</v>
      </c>
      <c r="E307" s="37" t="s">
        <v>1542</v>
      </c>
      <c r="F307" s="37" t="s">
        <v>1547</v>
      </c>
      <c r="G307" s="37" t="s">
        <v>1543</v>
      </c>
      <c r="H307" s="37" t="s">
        <v>1544</v>
      </c>
      <c r="I307" s="37" t="s">
        <v>265</v>
      </c>
      <c r="J307" s="37" t="s">
        <v>75</v>
      </c>
      <c r="K307" s="40" t="s">
        <v>266</v>
      </c>
      <c r="L307" s="37" t="s">
        <v>64</v>
      </c>
      <c r="M307" s="37" t="s">
        <v>1545</v>
      </c>
      <c r="N307" s="37" t="s">
        <v>1546</v>
      </c>
      <c r="O307" s="37" t="s">
        <v>4055</v>
      </c>
      <c r="P307" s="37" t="s">
        <v>438</v>
      </c>
      <c r="Q307" s="37" t="s">
        <v>10</v>
      </c>
      <c r="R307" s="37"/>
      <c r="S307" s="37"/>
      <c r="T307" s="37" t="s">
        <v>69</v>
      </c>
      <c r="U307" s="37" t="s">
        <v>76</v>
      </c>
      <c r="V307" s="37" t="s">
        <v>77</v>
      </c>
      <c r="W307" s="37" t="s">
        <v>73</v>
      </c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</row>
    <row r="308" spans="1:37">
      <c r="A308" s="37"/>
      <c r="B308" s="37"/>
      <c r="C308" s="37"/>
      <c r="D308" s="37" t="s">
        <v>1686</v>
      </c>
      <c r="E308" s="37" t="s">
        <v>1687</v>
      </c>
      <c r="F308" s="38" t="s">
        <v>5739</v>
      </c>
      <c r="G308" s="37" t="s">
        <v>1688</v>
      </c>
      <c r="H308" s="37"/>
      <c r="I308" s="37" t="s">
        <v>1689</v>
      </c>
      <c r="J308" s="37" t="s">
        <v>498</v>
      </c>
      <c r="K308" s="40" t="s">
        <v>1690</v>
      </c>
      <c r="L308" s="37" t="s">
        <v>64</v>
      </c>
      <c r="M308" s="37" t="s">
        <v>1691</v>
      </c>
      <c r="N308" s="37" t="s">
        <v>1691</v>
      </c>
      <c r="O308" s="37" t="s">
        <v>4055</v>
      </c>
      <c r="P308" s="37" t="s">
        <v>85</v>
      </c>
      <c r="Q308" s="37" t="s">
        <v>10</v>
      </c>
      <c r="R308" s="37" t="s">
        <v>1692</v>
      </c>
      <c r="S308" s="37" t="s">
        <v>1692</v>
      </c>
      <c r="T308" s="37" t="s">
        <v>158</v>
      </c>
      <c r="U308" s="37" t="s">
        <v>116</v>
      </c>
      <c r="V308" s="37" t="s">
        <v>88</v>
      </c>
      <c r="W308" s="37" t="s">
        <v>89</v>
      </c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</row>
    <row r="309" spans="1:37">
      <c r="A309" s="37"/>
      <c r="B309" s="37"/>
      <c r="C309" s="37"/>
      <c r="D309" s="37" t="s">
        <v>955</v>
      </c>
      <c r="E309" s="37" t="s">
        <v>1986</v>
      </c>
      <c r="F309" s="37" t="s">
        <v>1991</v>
      </c>
      <c r="G309" s="37" t="s">
        <v>1987</v>
      </c>
      <c r="H309" s="37" t="s">
        <v>1988</v>
      </c>
      <c r="I309" s="37" t="s">
        <v>1779</v>
      </c>
      <c r="J309" s="37" t="s">
        <v>70</v>
      </c>
      <c r="K309" s="40" t="s">
        <v>1989</v>
      </c>
      <c r="L309" s="37" t="s">
        <v>64</v>
      </c>
      <c r="M309" s="37" t="s">
        <v>1990</v>
      </c>
      <c r="N309" s="37"/>
      <c r="O309" s="37" t="s">
        <v>4055</v>
      </c>
      <c r="P309" s="37" t="s">
        <v>438</v>
      </c>
      <c r="Q309" s="37" t="s">
        <v>71</v>
      </c>
      <c r="R309" s="37"/>
      <c r="S309" s="37"/>
      <c r="T309" s="37" t="s">
        <v>158</v>
      </c>
      <c r="U309" s="37" t="s">
        <v>109</v>
      </c>
      <c r="V309" s="37" t="s">
        <v>72</v>
      </c>
      <c r="W309" s="37" t="s">
        <v>69</v>
      </c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</row>
    <row r="310" spans="1:37">
      <c r="A310" s="37"/>
      <c r="B310" s="37"/>
      <c r="C310" s="37"/>
      <c r="D310" s="37" t="s">
        <v>6063</v>
      </c>
      <c r="E310" s="37" t="s">
        <v>6064</v>
      </c>
      <c r="F310" s="37" t="s">
        <v>6065</v>
      </c>
      <c r="G310" s="37" t="s">
        <v>6066</v>
      </c>
      <c r="H310" s="37"/>
      <c r="I310" s="37" t="s">
        <v>82</v>
      </c>
      <c r="J310" s="37" t="s">
        <v>83</v>
      </c>
      <c r="K310" s="40" t="s">
        <v>5082</v>
      </c>
      <c r="L310" s="37" t="s">
        <v>64</v>
      </c>
      <c r="M310" s="37" t="s">
        <v>6067</v>
      </c>
      <c r="N310" s="37"/>
      <c r="O310" s="37" t="s">
        <v>4055</v>
      </c>
      <c r="P310" s="37" t="s">
        <v>2624</v>
      </c>
      <c r="Q310" s="37" t="s">
        <v>14</v>
      </c>
      <c r="R310" s="37"/>
      <c r="S310" s="37"/>
      <c r="T310" s="37" t="s">
        <v>158</v>
      </c>
      <c r="U310" s="37" t="s">
        <v>145</v>
      </c>
      <c r="V310" s="37" t="s">
        <v>118</v>
      </c>
      <c r="W310" s="37" t="s">
        <v>110</v>
      </c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</row>
    <row r="311" spans="1:37">
      <c r="A311" s="37"/>
      <c r="B311" s="37"/>
      <c r="C311" s="37"/>
      <c r="D311" s="37" t="s">
        <v>1675</v>
      </c>
      <c r="E311" s="37" t="s">
        <v>2234</v>
      </c>
      <c r="F311" s="37" t="s">
        <v>6068</v>
      </c>
      <c r="G311" s="37" t="s">
        <v>6069</v>
      </c>
      <c r="H311" s="37" t="s">
        <v>2123</v>
      </c>
      <c r="I311" s="37" t="s">
        <v>82</v>
      </c>
      <c r="J311" s="37" t="s">
        <v>83</v>
      </c>
      <c r="K311" s="40" t="s">
        <v>910</v>
      </c>
      <c r="L311" s="37" t="s">
        <v>64</v>
      </c>
      <c r="M311" s="37" t="s">
        <v>6070</v>
      </c>
      <c r="N311" s="37"/>
      <c r="O311" s="37" t="s">
        <v>4055</v>
      </c>
      <c r="P311" s="37" t="s">
        <v>85</v>
      </c>
      <c r="Q311" s="37" t="s">
        <v>14</v>
      </c>
      <c r="R311" s="37" t="s">
        <v>6071</v>
      </c>
      <c r="S311" s="37"/>
      <c r="T311" s="37"/>
      <c r="U311" s="37" t="s">
        <v>182</v>
      </c>
      <c r="V311" s="37" t="s">
        <v>67</v>
      </c>
      <c r="W311" s="37" t="s">
        <v>73</v>
      </c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</row>
    <row r="312" spans="1:37">
      <c r="A312" s="37"/>
      <c r="B312" s="37"/>
      <c r="C312" s="37"/>
      <c r="D312" s="37" t="s">
        <v>960</v>
      </c>
      <c r="E312" s="37" t="s">
        <v>2621</v>
      </c>
      <c r="F312" s="37" t="s">
        <v>2625</v>
      </c>
      <c r="G312" s="37" t="s">
        <v>2622</v>
      </c>
      <c r="H312" s="37"/>
      <c r="I312" s="37" t="s">
        <v>82</v>
      </c>
      <c r="J312" s="37" t="s">
        <v>83</v>
      </c>
      <c r="K312" s="40" t="s">
        <v>910</v>
      </c>
      <c r="L312" s="37" t="s">
        <v>64</v>
      </c>
      <c r="M312" s="37" t="s">
        <v>2623</v>
      </c>
      <c r="N312" s="37"/>
      <c r="O312" s="37" t="s">
        <v>4055</v>
      </c>
      <c r="P312" s="37" t="s">
        <v>2624</v>
      </c>
      <c r="Q312" s="37" t="s">
        <v>14</v>
      </c>
      <c r="R312" s="37"/>
      <c r="S312" s="37"/>
      <c r="T312" s="37"/>
      <c r="U312" s="37" t="s">
        <v>145</v>
      </c>
      <c r="V312" s="37" t="s">
        <v>77</v>
      </c>
      <c r="W312" s="37" t="s">
        <v>89</v>
      </c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</row>
    <row r="313" spans="1:37">
      <c r="A313" s="37" t="s">
        <v>250</v>
      </c>
      <c r="B313" s="37"/>
      <c r="C313" s="37"/>
      <c r="D313" s="37" t="s">
        <v>577</v>
      </c>
      <c r="E313" s="37" t="s">
        <v>2648</v>
      </c>
      <c r="F313" s="37" t="s">
        <v>5086</v>
      </c>
      <c r="G313" s="37" t="s">
        <v>5080</v>
      </c>
      <c r="H313" s="37" t="s">
        <v>5081</v>
      </c>
      <c r="I313" s="37" t="s">
        <v>82</v>
      </c>
      <c r="J313" s="37" t="s">
        <v>83</v>
      </c>
      <c r="K313" s="40" t="s">
        <v>5082</v>
      </c>
      <c r="L313" s="37" t="s">
        <v>64</v>
      </c>
      <c r="M313" s="37" t="s">
        <v>5083</v>
      </c>
      <c r="N313" s="37" t="s">
        <v>5084</v>
      </c>
      <c r="O313" s="37" t="s">
        <v>4055</v>
      </c>
      <c r="P313" s="37" t="s">
        <v>85</v>
      </c>
      <c r="Q313" s="37" t="s">
        <v>14</v>
      </c>
      <c r="R313" s="37" t="s">
        <v>5085</v>
      </c>
      <c r="S313" s="37"/>
      <c r="T313" s="37" t="s">
        <v>69</v>
      </c>
      <c r="U313" s="37" t="s">
        <v>109</v>
      </c>
      <c r="V313" s="37" t="s">
        <v>77</v>
      </c>
      <c r="W313" s="37" t="s">
        <v>69</v>
      </c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</row>
    <row r="314" spans="1:37">
      <c r="A314" s="37"/>
      <c r="B314" s="37"/>
      <c r="C314" s="37"/>
      <c r="D314" s="37" t="s">
        <v>1137</v>
      </c>
      <c r="E314" s="37" t="s">
        <v>2654</v>
      </c>
      <c r="F314" s="37" t="s">
        <v>2833</v>
      </c>
      <c r="G314" s="37" t="s">
        <v>2831</v>
      </c>
      <c r="H314" s="37" t="s">
        <v>1437</v>
      </c>
      <c r="I314" s="37" t="s">
        <v>193</v>
      </c>
      <c r="J314" s="37" t="s">
        <v>153</v>
      </c>
      <c r="K314" s="40" t="s">
        <v>1179</v>
      </c>
      <c r="L314" s="37" t="s">
        <v>64</v>
      </c>
      <c r="M314" s="37" t="s">
        <v>2832</v>
      </c>
      <c r="N314" s="37"/>
      <c r="O314" s="37" t="s">
        <v>4055</v>
      </c>
      <c r="P314" s="37" t="s">
        <v>85</v>
      </c>
      <c r="Q314" s="37" t="s">
        <v>16</v>
      </c>
      <c r="R314" s="37" t="s">
        <v>86</v>
      </c>
      <c r="S314" s="37"/>
      <c r="T314" s="37"/>
      <c r="U314" s="37"/>
      <c r="V314" s="37" t="s">
        <v>77</v>
      </c>
      <c r="W314" s="37" t="s">
        <v>73</v>
      </c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</row>
    <row r="315" spans="1:37">
      <c r="A315" s="37" t="s">
        <v>1317</v>
      </c>
      <c r="B315" s="37"/>
      <c r="C315" s="37"/>
      <c r="D315" s="37" t="s">
        <v>1319</v>
      </c>
      <c r="E315" s="37" t="s">
        <v>3166</v>
      </c>
      <c r="F315" s="37" t="s">
        <v>3170</v>
      </c>
      <c r="G315" s="37" t="s">
        <v>3167</v>
      </c>
      <c r="H315" s="37"/>
      <c r="I315" s="37" t="s">
        <v>420</v>
      </c>
      <c r="J315" s="37" t="s">
        <v>75</v>
      </c>
      <c r="K315" s="40" t="s">
        <v>2053</v>
      </c>
      <c r="L315" s="37" t="s">
        <v>64</v>
      </c>
      <c r="M315" s="37" t="s">
        <v>3168</v>
      </c>
      <c r="N315" s="37" t="s">
        <v>3169</v>
      </c>
      <c r="O315" s="37" t="s">
        <v>4055</v>
      </c>
      <c r="P315" s="37" t="s">
        <v>438</v>
      </c>
      <c r="Q315" s="37" t="s">
        <v>10</v>
      </c>
      <c r="R315" s="37"/>
      <c r="S315" s="37"/>
      <c r="T315" s="37" t="s">
        <v>69</v>
      </c>
      <c r="U315" s="37" t="s">
        <v>69</v>
      </c>
      <c r="V315" s="37" t="s">
        <v>77</v>
      </c>
      <c r="W315" s="37" t="s">
        <v>73</v>
      </c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</row>
    <row r="316" spans="1:37">
      <c r="A316" s="37"/>
      <c r="B316" s="37"/>
      <c r="C316" s="37"/>
      <c r="D316" s="37" t="s">
        <v>1001</v>
      </c>
      <c r="E316" s="37" t="s">
        <v>1232</v>
      </c>
      <c r="F316" s="37" t="s">
        <v>3722</v>
      </c>
      <c r="G316" s="37" t="s">
        <v>3720</v>
      </c>
      <c r="H316" s="37"/>
      <c r="I316" s="37" t="s">
        <v>2053</v>
      </c>
      <c r="J316" s="37" t="s">
        <v>75</v>
      </c>
      <c r="K316" s="40" t="s">
        <v>2053</v>
      </c>
      <c r="L316" s="37" t="s">
        <v>64</v>
      </c>
      <c r="M316" s="37" t="s">
        <v>3721</v>
      </c>
      <c r="N316" s="37" t="s">
        <v>2055</v>
      </c>
      <c r="O316" s="37" t="s">
        <v>4055</v>
      </c>
      <c r="P316" s="37" t="s">
        <v>438</v>
      </c>
      <c r="Q316" s="37" t="s">
        <v>10</v>
      </c>
      <c r="R316" s="37"/>
      <c r="S316" s="37"/>
      <c r="T316" s="37" t="s">
        <v>66</v>
      </c>
      <c r="U316" s="37"/>
      <c r="V316" s="37" t="s">
        <v>77</v>
      </c>
      <c r="W316" s="37" t="s">
        <v>73</v>
      </c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</row>
    <row r="317" spans="1:37">
      <c r="A317" s="37"/>
      <c r="B317" s="37"/>
      <c r="C317" s="37"/>
      <c r="D317" s="37" t="s">
        <v>2214</v>
      </c>
      <c r="E317" s="37" t="s">
        <v>1232</v>
      </c>
      <c r="F317" s="37" t="s">
        <v>3444</v>
      </c>
      <c r="G317" s="37" t="s">
        <v>3105</v>
      </c>
      <c r="H317" s="37"/>
      <c r="I317" s="37" t="s">
        <v>265</v>
      </c>
      <c r="J317" s="37" t="s">
        <v>75</v>
      </c>
      <c r="K317" s="40" t="s">
        <v>1222</v>
      </c>
      <c r="L317" s="37" t="s">
        <v>64</v>
      </c>
      <c r="M317" s="37" t="s">
        <v>3443</v>
      </c>
      <c r="N317" s="37"/>
      <c r="O317" s="37" t="s">
        <v>4055</v>
      </c>
      <c r="P317" s="37" t="s">
        <v>438</v>
      </c>
      <c r="Q317" s="37" t="s">
        <v>10</v>
      </c>
      <c r="R317" s="37"/>
      <c r="S317" s="37"/>
      <c r="T317" s="37" t="s">
        <v>66</v>
      </c>
      <c r="U317" s="37" t="s">
        <v>87</v>
      </c>
      <c r="V317" s="37" t="s">
        <v>72</v>
      </c>
      <c r="W317" s="37" t="s">
        <v>99</v>
      </c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</row>
    <row r="318" spans="1:37">
      <c r="A318" s="37"/>
      <c r="B318" s="37"/>
      <c r="C318" s="37"/>
      <c r="D318" s="37" t="s">
        <v>539</v>
      </c>
      <c r="E318" s="37" t="s">
        <v>1258</v>
      </c>
      <c r="F318" s="37" t="s">
        <v>3048</v>
      </c>
      <c r="G318" s="37" t="s">
        <v>3046</v>
      </c>
      <c r="H318" s="37"/>
      <c r="I318" s="37" t="s">
        <v>420</v>
      </c>
      <c r="J318" s="37" t="s">
        <v>75</v>
      </c>
      <c r="K318" s="40" t="s">
        <v>2053</v>
      </c>
      <c r="L318" s="37" t="s">
        <v>64</v>
      </c>
      <c r="M318" s="37" t="s">
        <v>3047</v>
      </c>
      <c r="N318" s="37"/>
      <c r="O318" s="37" t="s">
        <v>4055</v>
      </c>
      <c r="P318" s="37" t="s">
        <v>438</v>
      </c>
      <c r="Q318" s="37" t="s">
        <v>10</v>
      </c>
      <c r="R318" s="37"/>
      <c r="S318" s="37"/>
      <c r="T318" s="37"/>
      <c r="U318" s="37"/>
      <c r="V318" s="37" t="s">
        <v>77</v>
      </c>
      <c r="W318" s="37" t="s">
        <v>73</v>
      </c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</row>
    <row r="319" spans="1:37">
      <c r="A319" s="37"/>
      <c r="B319" s="37"/>
      <c r="C319" s="37"/>
      <c r="D319" s="37" t="s">
        <v>225</v>
      </c>
      <c r="E319" s="37" t="s">
        <v>3986</v>
      </c>
      <c r="F319" s="37" t="s">
        <v>3989</v>
      </c>
      <c r="G319" s="37" t="s">
        <v>3987</v>
      </c>
      <c r="H319" s="37"/>
      <c r="I319" s="37" t="s">
        <v>420</v>
      </c>
      <c r="J319" s="37" t="s">
        <v>75</v>
      </c>
      <c r="K319" s="40" t="s">
        <v>2053</v>
      </c>
      <c r="L319" s="37" t="s">
        <v>64</v>
      </c>
      <c r="M319" s="37" t="s">
        <v>3988</v>
      </c>
      <c r="N319" s="37"/>
      <c r="O319" s="37" t="s">
        <v>4055</v>
      </c>
      <c r="P319" s="37" t="s">
        <v>438</v>
      </c>
      <c r="Q319" s="37" t="s">
        <v>10</v>
      </c>
      <c r="R319" s="37"/>
      <c r="S319" s="37"/>
      <c r="T319" s="37" t="s">
        <v>66</v>
      </c>
      <c r="U319" s="37"/>
      <c r="V319" s="37" t="s">
        <v>77</v>
      </c>
      <c r="W319" s="37" t="s">
        <v>135</v>
      </c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</row>
    <row r="320" spans="1:37">
      <c r="A320" s="37"/>
      <c r="B320" s="37"/>
      <c r="C320" s="37"/>
      <c r="D320" s="37" t="s">
        <v>3024</v>
      </c>
      <c r="E320" s="37" t="s">
        <v>1634</v>
      </c>
      <c r="F320" s="37" t="s">
        <v>3027</v>
      </c>
      <c r="G320" s="37" t="s">
        <v>3025</v>
      </c>
      <c r="H320" s="37"/>
      <c r="I320" s="37" t="s">
        <v>239</v>
      </c>
      <c r="J320" s="37" t="s">
        <v>75</v>
      </c>
      <c r="K320" s="40" t="s">
        <v>2053</v>
      </c>
      <c r="L320" s="37" t="s">
        <v>64</v>
      </c>
      <c r="M320" s="37" t="s">
        <v>3026</v>
      </c>
      <c r="N320" s="37"/>
      <c r="O320" s="37" t="s">
        <v>4055</v>
      </c>
      <c r="P320" s="37" t="s">
        <v>438</v>
      </c>
      <c r="Q320" s="37" t="s">
        <v>10</v>
      </c>
      <c r="R320" s="37"/>
      <c r="S320" s="37"/>
      <c r="T320" s="37"/>
      <c r="U320" s="37"/>
      <c r="V320" s="37" t="s">
        <v>77</v>
      </c>
      <c r="W320" s="37" t="s">
        <v>73</v>
      </c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</row>
    <row r="321" spans="1:37">
      <c r="A321" s="37"/>
      <c r="B321" s="37"/>
      <c r="C321" s="37"/>
      <c r="D321" s="37" t="s">
        <v>1912</v>
      </c>
      <c r="E321" s="37" t="s">
        <v>1647</v>
      </c>
      <c r="F321" s="37" t="s">
        <v>4436</v>
      </c>
      <c r="G321" s="37" t="s">
        <v>4433</v>
      </c>
      <c r="H321" s="37"/>
      <c r="I321" s="37" t="s">
        <v>265</v>
      </c>
      <c r="J321" s="37" t="s">
        <v>75</v>
      </c>
      <c r="K321" s="40" t="s">
        <v>4434</v>
      </c>
      <c r="L321" s="37" t="s">
        <v>64</v>
      </c>
      <c r="M321" s="37" t="s">
        <v>4435</v>
      </c>
      <c r="N321" s="37"/>
      <c r="O321" s="37" t="s">
        <v>4055</v>
      </c>
      <c r="P321" s="37" t="s">
        <v>85</v>
      </c>
      <c r="Q321" s="37" t="s">
        <v>10</v>
      </c>
      <c r="R321" s="37" t="s">
        <v>4505</v>
      </c>
      <c r="S321" s="37"/>
      <c r="T321" s="37" t="s">
        <v>115</v>
      </c>
      <c r="U321" s="37" t="s">
        <v>87</v>
      </c>
      <c r="V321" s="37" t="s">
        <v>72</v>
      </c>
      <c r="W321" s="37" t="s">
        <v>73</v>
      </c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</row>
    <row r="322" spans="1:37">
      <c r="A322" s="37"/>
      <c r="B322" s="37"/>
      <c r="C322" s="37"/>
      <c r="D322" s="37" t="s">
        <v>4437</v>
      </c>
      <c r="E322" s="37" t="s">
        <v>4438</v>
      </c>
      <c r="F322" s="37" t="s">
        <v>4442</v>
      </c>
      <c r="G322" s="37" t="s">
        <v>3987</v>
      </c>
      <c r="H322" s="37" t="s">
        <v>4439</v>
      </c>
      <c r="I322" s="37" t="s">
        <v>420</v>
      </c>
      <c r="J322" s="37" t="s">
        <v>75</v>
      </c>
      <c r="K322" s="40" t="s">
        <v>2053</v>
      </c>
      <c r="L322" s="37" t="s">
        <v>64</v>
      </c>
      <c r="M322" s="37" t="s">
        <v>4440</v>
      </c>
      <c r="N322" s="37" t="s">
        <v>4441</v>
      </c>
      <c r="O322" s="37" t="s">
        <v>4055</v>
      </c>
      <c r="P322" s="37" t="s">
        <v>438</v>
      </c>
      <c r="Q322" s="37" t="s">
        <v>10</v>
      </c>
      <c r="R322" s="37"/>
      <c r="S322" s="37"/>
      <c r="T322" s="37" t="s">
        <v>158</v>
      </c>
      <c r="U322" s="37" t="s">
        <v>116</v>
      </c>
      <c r="V322" s="37" t="s">
        <v>77</v>
      </c>
      <c r="W322" s="37" t="s">
        <v>73</v>
      </c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</row>
    <row r="323" spans="1:37">
      <c r="A323" s="37"/>
      <c r="B323" s="37"/>
      <c r="C323" s="37"/>
      <c r="D323" s="37" t="s">
        <v>2970</v>
      </c>
      <c r="E323" s="37" t="s">
        <v>2971</v>
      </c>
      <c r="F323" s="37" t="s">
        <v>2975</v>
      </c>
      <c r="G323" s="37" t="s">
        <v>2972</v>
      </c>
      <c r="H323" s="37"/>
      <c r="I323" s="37" t="s">
        <v>420</v>
      </c>
      <c r="J323" s="37" t="s">
        <v>75</v>
      </c>
      <c r="K323" s="40" t="s">
        <v>2053</v>
      </c>
      <c r="L323" s="37" t="s">
        <v>64</v>
      </c>
      <c r="M323" s="37" t="s">
        <v>2973</v>
      </c>
      <c r="N323" s="37" t="s">
        <v>2974</v>
      </c>
      <c r="O323" s="37" t="s">
        <v>4055</v>
      </c>
      <c r="P323" s="37" t="s">
        <v>438</v>
      </c>
      <c r="Q323" s="37" t="s">
        <v>10</v>
      </c>
      <c r="R323" s="37"/>
      <c r="S323" s="37"/>
      <c r="T323" s="37" t="s">
        <v>66</v>
      </c>
      <c r="U323" s="37" t="s">
        <v>69</v>
      </c>
      <c r="V323" s="37" t="s">
        <v>77</v>
      </c>
      <c r="W323" s="37" t="s">
        <v>73</v>
      </c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</row>
    <row r="324" spans="1:37">
      <c r="A324" s="37"/>
      <c r="B324" s="37"/>
      <c r="C324" s="37"/>
      <c r="D324" s="37" t="s">
        <v>1815</v>
      </c>
      <c r="E324" s="37" t="s">
        <v>1996</v>
      </c>
      <c r="F324" s="37" t="s">
        <v>3650</v>
      </c>
      <c r="G324" s="37" t="s">
        <v>1259</v>
      </c>
      <c r="H324" s="37"/>
      <c r="I324" s="37" t="s">
        <v>265</v>
      </c>
      <c r="J324" s="37" t="s">
        <v>75</v>
      </c>
      <c r="K324" s="40" t="s">
        <v>1222</v>
      </c>
      <c r="L324" s="37" t="s">
        <v>64</v>
      </c>
      <c r="M324" s="37" t="s">
        <v>3649</v>
      </c>
      <c r="N324" s="37"/>
      <c r="O324" s="37" t="s">
        <v>4055</v>
      </c>
      <c r="P324" s="37" t="s">
        <v>438</v>
      </c>
      <c r="Q324" s="37" t="s">
        <v>10</v>
      </c>
      <c r="R324" s="37"/>
      <c r="S324" s="37"/>
      <c r="T324" s="37" t="s">
        <v>115</v>
      </c>
      <c r="U324" s="37" t="s">
        <v>182</v>
      </c>
      <c r="V324" s="37" t="s">
        <v>72</v>
      </c>
      <c r="W324" s="37" t="s">
        <v>69</v>
      </c>
      <c r="X324" s="25"/>
      <c r="Y324" s="25"/>
      <c r="Z324" s="25"/>
      <c r="AA324" s="25"/>
      <c r="AB324" s="25"/>
      <c r="AC324" s="25"/>
      <c r="AD324" s="25"/>
      <c r="AE324" s="25"/>
      <c r="AF324" s="26"/>
      <c r="AG324" s="25"/>
      <c r="AH324" s="25"/>
      <c r="AI324" s="25"/>
      <c r="AJ324" s="25"/>
      <c r="AK324" s="25"/>
    </row>
    <row r="325" spans="1:37">
      <c r="A325" s="37"/>
      <c r="B325" s="37"/>
      <c r="C325" s="37"/>
      <c r="D325" s="37" t="s">
        <v>2050</v>
      </c>
      <c r="E325" s="37" t="s">
        <v>2051</v>
      </c>
      <c r="F325" s="37" t="s">
        <v>2056</v>
      </c>
      <c r="G325" s="37" t="s">
        <v>2052</v>
      </c>
      <c r="H325" s="37"/>
      <c r="I325" s="37" t="s">
        <v>420</v>
      </c>
      <c r="J325" s="37" t="s">
        <v>75</v>
      </c>
      <c r="K325" s="40" t="s">
        <v>2053</v>
      </c>
      <c r="L325" s="37" t="s">
        <v>64</v>
      </c>
      <c r="M325" s="37" t="s">
        <v>2054</v>
      </c>
      <c r="N325" s="37" t="s">
        <v>2055</v>
      </c>
      <c r="O325" s="37" t="s">
        <v>4055</v>
      </c>
      <c r="P325" s="37" t="s">
        <v>438</v>
      </c>
      <c r="Q325" s="37" t="s">
        <v>10</v>
      </c>
      <c r="R325" s="37"/>
      <c r="S325" s="37"/>
      <c r="T325" s="37"/>
      <c r="U325" s="37"/>
      <c r="V325" s="37" t="s">
        <v>77</v>
      </c>
      <c r="W325" s="37" t="s">
        <v>73</v>
      </c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</row>
    <row r="326" spans="1:37">
      <c r="A326" s="37"/>
      <c r="B326" s="37"/>
      <c r="C326" s="37"/>
      <c r="D326" s="37" t="s">
        <v>361</v>
      </c>
      <c r="E326" s="37" t="s">
        <v>2943</v>
      </c>
      <c r="F326" s="37" t="s">
        <v>2946</v>
      </c>
      <c r="G326" s="37" t="s">
        <v>3106</v>
      </c>
      <c r="H326" s="37"/>
      <c r="I326" s="37" t="s">
        <v>2944</v>
      </c>
      <c r="J326" s="37" t="s">
        <v>75</v>
      </c>
      <c r="K326" s="40" t="s">
        <v>1222</v>
      </c>
      <c r="L326" s="37" t="s">
        <v>64</v>
      </c>
      <c r="M326" s="37" t="s">
        <v>2945</v>
      </c>
      <c r="N326" s="37"/>
      <c r="O326" s="37" t="s">
        <v>4055</v>
      </c>
      <c r="P326" s="37" t="s">
        <v>438</v>
      </c>
      <c r="Q326" s="37" t="s">
        <v>10</v>
      </c>
      <c r="R326" s="37"/>
      <c r="S326" s="37"/>
      <c r="T326" s="37" t="s">
        <v>69</v>
      </c>
      <c r="U326" s="37"/>
      <c r="V326" s="37" t="s">
        <v>67</v>
      </c>
      <c r="W326" s="37" t="s">
        <v>110</v>
      </c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</row>
    <row r="327" spans="1:37">
      <c r="A327" s="37"/>
      <c r="B327" s="37"/>
      <c r="C327" s="37"/>
      <c r="D327" s="37" t="s">
        <v>1106</v>
      </c>
      <c r="E327" s="37" t="s">
        <v>2158</v>
      </c>
      <c r="F327" s="37" t="s">
        <v>3623</v>
      </c>
      <c r="G327" s="37" t="s">
        <v>3620</v>
      </c>
      <c r="H327" s="37"/>
      <c r="I327" s="37" t="s">
        <v>420</v>
      </c>
      <c r="J327" s="37" t="s">
        <v>75</v>
      </c>
      <c r="K327" s="40" t="s">
        <v>2053</v>
      </c>
      <c r="L327" s="37" t="s">
        <v>64</v>
      </c>
      <c r="M327" s="37" t="s">
        <v>3621</v>
      </c>
      <c r="N327" s="37" t="s">
        <v>3622</v>
      </c>
      <c r="O327" s="37" t="s">
        <v>4055</v>
      </c>
      <c r="P327" s="37" t="s">
        <v>438</v>
      </c>
      <c r="Q327" s="37" t="s">
        <v>10</v>
      </c>
      <c r="R327" s="37"/>
      <c r="S327" s="37"/>
      <c r="T327" s="37" t="s">
        <v>158</v>
      </c>
      <c r="U327" s="37"/>
      <c r="V327" s="37" t="s">
        <v>77</v>
      </c>
      <c r="W327" s="37" t="s">
        <v>73</v>
      </c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</row>
    <row r="328" spans="1:37">
      <c r="A328" s="37"/>
      <c r="B328" s="37"/>
      <c r="C328" s="37"/>
      <c r="D328" s="37" t="s">
        <v>3862</v>
      </c>
      <c r="E328" s="37" t="s">
        <v>3569</v>
      </c>
      <c r="F328" s="37" t="s">
        <v>3868</v>
      </c>
      <c r="G328" s="37" t="s">
        <v>3863</v>
      </c>
      <c r="H328" s="37"/>
      <c r="I328" s="37" t="s">
        <v>265</v>
      </c>
      <c r="J328" s="37" t="s">
        <v>75</v>
      </c>
      <c r="K328" s="40" t="s">
        <v>3864</v>
      </c>
      <c r="L328" s="37" t="s">
        <v>64</v>
      </c>
      <c r="M328" s="37" t="s">
        <v>3865</v>
      </c>
      <c r="N328" s="37" t="s">
        <v>3866</v>
      </c>
      <c r="O328" s="37" t="s">
        <v>4055</v>
      </c>
      <c r="P328" s="37" t="s">
        <v>85</v>
      </c>
      <c r="Q328" s="37" t="s">
        <v>10</v>
      </c>
      <c r="R328" s="37" t="s">
        <v>3867</v>
      </c>
      <c r="S328" s="37"/>
      <c r="T328" s="37" t="s">
        <v>115</v>
      </c>
      <c r="U328" s="37" t="s">
        <v>189</v>
      </c>
      <c r="V328" s="37" t="s">
        <v>72</v>
      </c>
      <c r="W328" s="37" t="s">
        <v>78</v>
      </c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</row>
    <row r="329" spans="1:37">
      <c r="A329" s="37" t="s">
        <v>2841</v>
      </c>
      <c r="B329" s="37"/>
      <c r="C329" s="37"/>
      <c r="D329" s="37" t="s">
        <v>2842</v>
      </c>
      <c r="E329" s="37" t="s">
        <v>2843</v>
      </c>
      <c r="F329" s="37" t="s">
        <v>2846</v>
      </c>
      <c r="G329" s="37" t="s">
        <v>2844</v>
      </c>
      <c r="H329" s="37"/>
      <c r="I329" s="37" t="s">
        <v>239</v>
      </c>
      <c r="J329" s="37" t="s">
        <v>75</v>
      </c>
      <c r="K329" s="40" t="s">
        <v>2053</v>
      </c>
      <c r="L329" s="37" t="s">
        <v>64</v>
      </c>
      <c r="M329" s="37" t="s">
        <v>2845</v>
      </c>
      <c r="N329" s="37"/>
      <c r="O329" s="37" t="s">
        <v>4055</v>
      </c>
      <c r="P329" s="37" t="s">
        <v>438</v>
      </c>
      <c r="Q329" s="37" t="s">
        <v>10</v>
      </c>
      <c r="R329" s="37"/>
      <c r="S329" s="37"/>
      <c r="T329" s="37"/>
      <c r="U329" s="37"/>
      <c r="V329" s="37" t="s">
        <v>77</v>
      </c>
      <c r="W329" s="37" t="s">
        <v>73</v>
      </c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</row>
    <row r="330" spans="1:37">
      <c r="A330" s="37"/>
      <c r="B330" s="37"/>
      <c r="C330" s="37"/>
      <c r="D330" s="37" t="s">
        <v>6072</v>
      </c>
      <c r="E330" s="37" t="s">
        <v>6073</v>
      </c>
      <c r="F330" s="37" t="s">
        <v>6074</v>
      </c>
      <c r="G330" s="37" t="s">
        <v>6075</v>
      </c>
      <c r="H330" s="37" t="s">
        <v>6076</v>
      </c>
      <c r="I330" s="37" t="s">
        <v>420</v>
      </c>
      <c r="J330" s="37" t="s">
        <v>75</v>
      </c>
      <c r="K330" s="40" t="s">
        <v>451</v>
      </c>
      <c r="L330" s="37" t="s">
        <v>64</v>
      </c>
      <c r="M330" s="37" t="s">
        <v>6077</v>
      </c>
      <c r="N330" s="37" t="s">
        <v>6078</v>
      </c>
      <c r="O330" s="37" t="s">
        <v>4055</v>
      </c>
      <c r="P330" s="37" t="s">
        <v>438</v>
      </c>
      <c r="Q330" s="37" t="s">
        <v>10</v>
      </c>
      <c r="R330" s="37"/>
      <c r="S330" s="37"/>
      <c r="T330" s="37" t="s">
        <v>115</v>
      </c>
      <c r="U330" s="37" t="s">
        <v>189</v>
      </c>
      <c r="V330" s="37" t="s">
        <v>77</v>
      </c>
      <c r="W330" s="37" t="s">
        <v>97</v>
      </c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</row>
    <row r="331" spans="1:37">
      <c r="A331" s="37"/>
      <c r="B331" s="37"/>
      <c r="C331" s="37"/>
      <c r="D331" s="37" t="s">
        <v>1623</v>
      </c>
      <c r="E331" s="37" t="s">
        <v>80</v>
      </c>
      <c r="F331" s="37" t="s">
        <v>4746</v>
      </c>
      <c r="G331" s="37" t="s">
        <v>4743</v>
      </c>
      <c r="H331" s="37" t="s">
        <v>2243</v>
      </c>
      <c r="I331" s="37" t="s">
        <v>2244</v>
      </c>
      <c r="J331" s="37" t="s">
        <v>983</v>
      </c>
      <c r="K331" s="40" t="s">
        <v>4744</v>
      </c>
      <c r="L331" s="37" t="s">
        <v>64</v>
      </c>
      <c r="M331" s="37" t="s">
        <v>4745</v>
      </c>
      <c r="N331" s="37"/>
      <c r="O331" s="37" t="s">
        <v>4054</v>
      </c>
      <c r="P331" s="37" t="s">
        <v>188</v>
      </c>
      <c r="Q331" s="37" t="s">
        <v>98</v>
      </c>
      <c r="R331" s="37"/>
      <c r="S331" s="37"/>
      <c r="T331" s="37" t="s">
        <v>66</v>
      </c>
      <c r="U331" s="37"/>
      <c r="V331" s="37" t="s">
        <v>88</v>
      </c>
      <c r="W331" s="37" t="s">
        <v>89</v>
      </c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</row>
    <row r="332" spans="1:37">
      <c r="A332" s="37"/>
      <c r="B332" s="37"/>
      <c r="C332" s="37"/>
      <c r="D332" s="37" t="s">
        <v>4318</v>
      </c>
      <c r="E332" s="37" t="s">
        <v>4319</v>
      </c>
      <c r="F332" s="37" t="s">
        <v>4322</v>
      </c>
      <c r="G332" s="37" t="s">
        <v>4320</v>
      </c>
      <c r="H332" s="37" t="s">
        <v>3615</v>
      </c>
      <c r="I332" s="37" t="s">
        <v>1610</v>
      </c>
      <c r="J332" s="37" t="s">
        <v>208</v>
      </c>
      <c r="K332" s="40" t="s">
        <v>1611</v>
      </c>
      <c r="L332" s="37" t="s">
        <v>64</v>
      </c>
      <c r="M332" s="37" t="s">
        <v>4321</v>
      </c>
      <c r="N332" s="37"/>
      <c r="O332" s="37" t="s">
        <v>4054</v>
      </c>
      <c r="P332" s="37" t="s">
        <v>188</v>
      </c>
      <c r="Q332" s="37" t="s">
        <v>18</v>
      </c>
      <c r="R332" s="37"/>
      <c r="S332" s="37"/>
      <c r="T332" s="37" t="s">
        <v>115</v>
      </c>
      <c r="U332" s="37" t="s">
        <v>182</v>
      </c>
      <c r="V332" s="37" t="s">
        <v>72</v>
      </c>
      <c r="W332" s="37" t="s">
        <v>89</v>
      </c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</row>
    <row r="333" spans="1:37">
      <c r="A333" s="37"/>
      <c r="B333" s="37"/>
      <c r="C333" s="37"/>
      <c r="D333" s="37" t="s">
        <v>390</v>
      </c>
      <c r="E333" s="37" t="s">
        <v>391</v>
      </c>
      <c r="F333" s="37" t="s">
        <v>398</v>
      </c>
      <c r="G333" s="37" t="s">
        <v>392</v>
      </c>
      <c r="H333" s="37"/>
      <c r="I333" s="37" t="s">
        <v>393</v>
      </c>
      <c r="J333" s="37" t="s">
        <v>394</v>
      </c>
      <c r="K333" s="40" t="s">
        <v>395</v>
      </c>
      <c r="L333" s="37" t="s">
        <v>64</v>
      </c>
      <c r="M333" s="37" t="s">
        <v>396</v>
      </c>
      <c r="N333" s="37" t="s">
        <v>397</v>
      </c>
      <c r="O333" s="37" t="s">
        <v>4054</v>
      </c>
      <c r="P333" s="37" t="s">
        <v>188</v>
      </c>
      <c r="Q333" s="37" t="s">
        <v>10</v>
      </c>
      <c r="R333" s="37"/>
      <c r="S333" s="37"/>
      <c r="T333" s="37" t="s">
        <v>69</v>
      </c>
      <c r="U333" s="37"/>
      <c r="V333" s="37" t="s">
        <v>72</v>
      </c>
      <c r="W333" s="37" t="s">
        <v>261</v>
      </c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</row>
    <row r="334" spans="1:37">
      <c r="A334" s="37" t="s">
        <v>147</v>
      </c>
      <c r="B334" s="37"/>
      <c r="C334" s="37"/>
      <c r="D334" s="37" t="s">
        <v>2333</v>
      </c>
      <c r="E334" s="37" t="s">
        <v>3496</v>
      </c>
      <c r="F334" s="37" t="s">
        <v>3760</v>
      </c>
      <c r="G334" s="37" t="s">
        <v>3758</v>
      </c>
      <c r="H334" s="37"/>
      <c r="I334" s="37" t="s">
        <v>265</v>
      </c>
      <c r="J334" s="37" t="s">
        <v>75</v>
      </c>
      <c r="K334" s="40" t="s">
        <v>2203</v>
      </c>
      <c r="L334" s="37" t="s">
        <v>64</v>
      </c>
      <c r="M334" s="37" t="s">
        <v>3759</v>
      </c>
      <c r="N334" s="37"/>
      <c r="O334" s="37" t="s">
        <v>4054</v>
      </c>
      <c r="P334" s="37" t="s">
        <v>156</v>
      </c>
      <c r="Q334" s="37" t="s">
        <v>10</v>
      </c>
      <c r="R334" s="37" t="s">
        <v>1821</v>
      </c>
      <c r="S334" s="37"/>
      <c r="T334" s="37" t="s">
        <v>158</v>
      </c>
      <c r="U334" s="37" t="s">
        <v>185</v>
      </c>
      <c r="V334" s="37" t="s">
        <v>72</v>
      </c>
      <c r="W334" s="37" t="s">
        <v>99</v>
      </c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</row>
    <row r="335" spans="1:37">
      <c r="A335" s="37"/>
      <c r="B335" s="37"/>
      <c r="C335" s="37"/>
      <c r="D335" s="37" t="s">
        <v>3495</v>
      </c>
      <c r="E335" s="37" t="s">
        <v>3496</v>
      </c>
      <c r="F335" s="37" t="s">
        <v>3501</v>
      </c>
      <c r="G335" s="37" t="s">
        <v>3497</v>
      </c>
      <c r="H335" s="37"/>
      <c r="I335" s="37" t="s">
        <v>3498</v>
      </c>
      <c r="J335" s="37" t="s">
        <v>313</v>
      </c>
      <c r="K335" s="40" t="s">
        <v>3499</v>
      </c>
      <c r="L335" s="37" t="s">
        <v>64</v>
      </c>
      <c r="M335" s="37" t="s">
        <v>3500</v>
      </c>
      <c r="N335" s="37"/>
      <c r="O335" s="37" t="s">
        <v>4054</v>
      </c>
      <c r="P335" s="37" t="s">
        <v>188</v>
      </c>
      <c r="Q335" s="37" t="s">
        <v>316</v>
      </c>
      <c r="R335" s="37"/>
      <c r="S335" s="37"/>
      <c r="T335" s="37"/>
      <c r="U335" s="37" t="s">
        <v>189</v>
      </c>
      <c r="V335" s="37" t="s">
        <v>77</v>
      </c>
      <c r="W335" s="37" t="s">
        <v>89</v>
      </c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</row>
    <row r="336" spans="1:37">
      <c r="A336" s="37"/>
      <c r="B336" s="37"/>
      <c r="C336" s="37"/>
      <c r="D336" s="37" t="s">
        <v>5475</v>
      </c>
      <c r="E336" s="37" t="s">
        <v>5476</v>
      </c>
      <c r="F336" s="37" t="s">
        <v>5479</v>
      </c>
      <c r="G336" s="37" t="s">
        <v>3777</v>
      </c>
      <c r="H336" s="37" t="s">
        <v>5477</v>
      </c>
      <c r="I336" s="37" t="s">
        <v>843</v>
      </c>
      <c r="J336" s="37" t="s">
        <v>75</v>
      </c>
      <c r="K336" s="40" t="s">
        <v>187</v>
      </c>
      <c r="L336" s="37" t="s">
        <v>64</v>
      </c>
      <c r="M336" s="37" t="s">
        <v>5478</v>
      </c>
      <c r="N336" s="37" t="s">
        <v>4954</v>
      </c>
      <c r="O336" s="37" t="s">
        <v>4054</v>
      </c>
      <c r="P336" s="37" t="s">
        <v>188</v>
      </c>
      <c r="Q336" s="37" t="s">
        <v>10</v>
      </c>
      <c r="R336" s="37"/>
      <c r="S336" s="37"/>
      <c r="T336" s="37" t="s">
        <v>66</v>
      </c>
      <c r="U336" s="37" t="s">
        <v>189</v>
      </c>
      <c r="V336" s="37" t="s">
        <v>72</v>
      </c>
      <c r="W336" s="37" t="s">
        <v>99</v>
      </c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</row>
    <row r="337" spans="1:37">
      <c r="A337" s="37" t="s">
        <v>164</v>
      </c>
      <c r="B337" s="37"/>
      <c r="C337" s="37"/>
      <c r="D337" s="37" t="s">
        <v>5412</v>
      </c>
      <c r="E337" s="37" t="s">
        <v>5413</v>
      </c>
      <c r="F337" s="37" t="s">
        <v>5417</v>
      </c>
      <c r="G337" s="37" t="s">
        <v>5414</v>
      </c>
      <c r="H337" s="37"/>
      <c r="I337" s="37" t="s">
        <v>152</v>
      </c>
      <c r="J337" s="37" t="s">
        <v>153</v>
      </c>
      <c r="K337" s="40" t="s">
        <v>154</v>
      </c>
      <c r="L337" s="37" t="s">
        <v>64</v>
      </c>
      <c r="M337" s="37" t="s">
        <v>5415</v>
      </c>
      <c r="N337" s="37"/>
      <c r="O337" s="37" t="s">
        <v>4054</v>
      </c>
      <c r="P337" s="37" t="s">
        <v>156</v>
      </c>
      <c r="Q337" s="37" t="s">
        <v>16</v>
      </c>
      <c r="R337" s="37" t="s">
        <v>5416</v>
      </c>
      <c r="S337" s="37"/>
      <c r="T337" s="37" t="s">
        <v>144</v>
      </c>
      <c r="U337" s="37" t="s">
        <v>185</v>
      </c>
      <c r="V337" s="37" t="s">
        <v>72</v>
      </c>
      <c r="W337" s="37" t="s">
        <v>69</v>
      </c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</row>
    <row r="338" spans="1:37">
      <c r="A338" s="37"/>
      <c r="B338" s="37"/>
      <c r="C338" s="37"/>
      <c r="D338" s="37" t="s">
        <v>974</v>
      </c>
      <c r="E338" s="37" t="s">
        <v>4507</v>
      </c>
      <c r="F338" s="37" t="s">
        <v>4511</v>
      </c>
      <c r="G338" s="37" t="s">
        <v>4508</v>
      </c>
      <c r="H338" s="37"/>
      <c r="I338" s="37" t="s">
        <v>4174</v>
      </c>
      <c r="J338" s="37" t="s">
        <v>162</v>
      </c>
      <c r="K338" s="40" t="s">
        <v>4509</v>
      </c>
      <c r="L338" s="37" t="s">
        <v>64</v>
      </c>
      <c r="M338" s="37" t="s">
        <v>4510</v>
      </c>
      <c r="N338" s="37"/>
      <c r="O338" s="37" t="s">
        <v>4054</v>
      </c>
      <c r="P338" s="37" t="s">
        <v>188</v>
      </c>
      <c r="Q338" s="37" t="s">
        <v>16</v>
      </c>
      <c r="R338" s="37"/>
      <c r="S338" s="37"/>
      <c r="T338" s="37"/>
      <c r="U338" s="37"/>
      <c r="V338" s="37" t="s">
        <v>72</v>
      </c>
      <c r="W338" s="37" t="s">
        <v>89</v>
      </c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</row>
    <row r="339" spans="1:37">
      <c r="A339" s="37" t="s">
        <v>112</v>
      </c>
      <c r="B339" s="37"/>
      <c r="C339" s="37"/>
      <c r="D339" s="37" t="s">
        <v>920</v>
      </c>
      <c r="E339" s="37" t="s">
        <v>4681</v>
      </c>
      <c r="F339" s="37" t="s">
        <v>4685</v>
      </c>
      <c r="G339" s="37" t="s">
        <v>4682</v>
      </c>
      <c r="H339" s="37"/>
      <c r="I339" s="37" t="s">
        <v>152</v>
      </c>
      <c r="J339" s="37" t="s">
        <v>153</v>
      </c>
      <c r="K339" s="40" t="s">
        <v>154</v>
      </c>
      <c r="L339" s="37" t="s">
        <v>64</v>
      </c>
      <c r="M339" s="37" t="s">
        <v>4683</v>
      </c>
      <c r="N339" s="37" t="s">
        <v>4684</v>
      </c>
      <c r="O339" s="37" t="s">
        <v>4054</v>
      </c>
      <c r="P339" s="37" t="s">
        <v>156</v>
      </c>
      <c r="Q339" s="37" t="s">
        <v>16</v>
      </c>
      <c r="R339" s="37"/>
      <c r="S339" s="37"/>
      <c r="T339" s="37" t="s">
        <v>66</v>
      </c>
      <c r="U339" s="37" t="s">
        <v>185</v>
      </c>
      <c r="V339" s="37" t="s">
        <v>88</v>
      </c>
      <c r="W339" s="37" t="s">
        <v>89</v>
      </c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</row>
    <row r="340" spans="1:37">
      <c r="A340" s="37"/>
      <c r="B340" s="37"/>
      <c r="C340" s="37"/>
      <c r="D340" s="37" t="s">
        <v>532</v>
      </c>
      <c r="E340" s="37" t="s">
        <v>1043</v>
      </c>
      <c r="F340" s="37" t="s">
        <v>1048</v>
      </c>
      <c r="G340" s="37" t="s">
        <v>1044</v>
      </c>
      <c r="H340" s="37"/>
      <c r="I340" s="37" t="s">
        <v>1045</v>
      </c>
      <c r="J340" s="37" t="s">
        <v>153</v>
      </c>
      <c r="K340" s="40" t="s">
        <v>1046</v>
      </c>
      <c r="L340" s="37" t="s">
        <v>64</v>
      </c>
      <c r="M340" s="37" t="s">
        <v>1047</v>
      </c>
      <c r="N340" s="37"/>
      <c r="O340" s="37" t="s">
        <v>4054</v>
      </c>
      <c r="P340" s="37" t="s">
        <v>188</v>
      </c>
      <c r="Q340" s="37" t="s">
        <v>16</v>
      </c>
      <c r="R340" s="37"/>
      <c r="S340" s="37"/>
      <c r="T340" s="37"/>
      <c r="U340" s="37"/>
      <c r="V340" s="37" t="s">
        <v>72</v>
      </c>
      <c r="W340" s="37" t="s">
        <v>78</v>
      </c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</row>
    <row r="341" spans="1:37">
      <c r="A341" s="37" t="s">
        <v>112</v>
      </c>
      <c r="B341" s="37"/>
      <c r="C341" s="37"/>
      <c r="D341" s="37" t="s">
        <v>257</v>
      </c>
      <c r="E341" s="37" t="s">
        <v>4698</v>
      </c>
      <c r="F341" s="37" t="s">
        <v>4702</v>
      </c>
      <c r="G341" s="37" t="s">
        <v>4699</v>
      </c>
      <c r="H341" s="37"/>
      <c r="I341" s="37" t="s">
        <v>3498</v>
      </c>
      <c r="J341" s="37" t="s">
        <v>313</v>
      </c>
      <c r="K341" s="40" t="s">
        <v>3499</v>
      </c>
      <c r="L341" s="37" t="s">
        <v>64</v>
      </c>
      <c r="M341" s="37" t="s">
        <v>4700</v>
      </c>
      <c r="N341" s="37" t="s">
        <v>4701</v>
      </c>
      <c r="O341" s="37" t="s">
        <v>4054</v>
      </c>
      <c r="P341" s="37" t="s">
        <v>156</v>
      </c>
      <c r="Q341" s="37" t="s">
        <v>316</v>
      </c>
      <c r="R341" s="37"/>
      <c r="S341" s="37"/>
      <c r="T341" s="37" t="s">
        <v>144</v>
      </c>
      <c r="U341" s="37" t="s">
        <v>109</v>
      </c>
      <c r="V341" s="37" t="s">
        <v>72</v>
      </c>
      <c r="W341" s="37" t="s">
        <v>195</v>
      </c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</row>
    <row r="342" spans="1:37">
      <c r="A342" s="37"/>
      <c r="B342" s="37"/>
      <c r="C342" s="37"/>
      <c r="D342" s="37" t="s">
        <v>199</v>
      </c>
      <c r="E342" s="37" t="s">
        <v>1071</v>
      </c>
      <c r="F342" s="37" t="s">
        <v>3482</v>
      </c>
      <c r="G342" s="37" t="s">
        <v>3479</v>
      </c>
      <c r="H342" s="37"/>
      <c r="I342" s="37" t="s">
        <v>191</v>
      </c>
      <c r="J342" s="37" t="s">
        <v>75</v>
      </c>
      <c r="K342" s="40" t="s">
        <v>3480</v>
      </c>
      <c r="L342" s="37" t="s">
        <v>64</v>
      </c>
      <c r="M342" s="37" t="s">
        <v>3481</v>
      </c>
      <c r="N342" s="37"/>
      <c r="O342" s="37" t="s">
        <v>4054</v>
      </c>
      <c r="P342" s="37" t="s">
        <v>188</v>
      </c>
      <c r="Q342" s="37" t="s">
        <v>10</v>
      </c>
      <c r="R342" s="37"/>
      <c r="S342" s="37"/>
      <c r="T342" s="37"/>
      <c r="U342" s="37"/>
      <c r="V342" s="37" t="s">
        <v>77</v>
      </c>
      <c r="W342" s="37" t="s">
        <v>73</v>
      </c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</row>
    <row r="343" spans="1:37">
      <c r="A343" s="37"/>
      <c r="B343" s="37"/>
      <c r="C343" s="37"/>
      <c r="D343" s="37" t="s">
        <v>286</v>
      </c>
      <c r="E343" s="37" t="s">
        <v>1196</v>
      </c>
      <c r="F343" s="37" t="s">
        <v>1202</v>
      </c>
      <c r="G343" s="37" t="s">
        <v>1197</v>
      </c>
      <c r="H343" s="37"/>
      <c r="I343" s="37" t="s">
        <v>1198</v>
      </c>
      <c r="J343" s="37" t="s">
        <v>214</v>
      </c>
      <c r="K343" s="40" t="s">
        <v>1199</v>
      </c>
      <c r="L343" s="37" t="s">
        <v>64</v>
      </c>
      <c r="M343" s="37" t="s">
        <v>1200</v>
      </c>
      <c r="N343" s="37" t="s">
        <v>1201</v>
      </c>
      <c r="O343" s="37" t="s">
        <v>4054</v>
      </c>
      <c r="P343" s="37" t="s">
        <v>188</v>
      </c>
      <c r="Q343" s="37" t="s">
        <v>10</v>
      </c>
      <c r="R343" s="37"/>
      <c r="S343" s="37"/>
      <c r="T343" s="37"/>
      <c r="U343" s="37" t="s">
        <v>76</v>
      </c>
      <c r="V343" s="37" t="s">
        <v>72</v>
      </c>
      <c r="W343" s="37" t="s">
        <v>78</v>
      </c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</row>
    <row r="344" spans="1:37">
      <c r="A344" s="37"/>
      <c r="B344" s="37"/>
      <c r="C344" s="37"/>
      <c r="D344" s="37" t="s">
        <v>762</v>
      </c>
      <c r="E344" s="37" t="s">
        <v>1300</v>
      </c>
      <c r="F344" s="37" t="s">
        <v>4469</v>
      </c>
      <c r="G344" s="37" t="s">
        <v>1301</v>
      </c>
      <c r="H344" s="37"/>
      <c r="I344" s="37" t="s">
        <v>1178</v>
      </c>
      <c r="J344" s="37" t="s">
        <v>153</v>
      </c>
      <c r="K344" s="40" t="s">
        <v>1302</v>
      </c>
      <c r="L344" s="37" t="s">
        <v>64</v>
      </c>
      <c r="M344" s="37" t="s">
        <v>1303</v>
      </c>
      <c r="N344" s="37"/>
      <c r="O344" s="37" t="s">
        <v>4054</v>
      </c>
      <c r="P344" s="37" t="s">
        <v>156</v>
      </c>
      <c r="Q344" s="37" t="s">
        <v>16</v>
      </c>
      <c r="R344" s="37"/>
      <c r="S344" s="37"/>
      <c r="T344" s="37" t="s">
        <v>69</v>
      </c>
      <c r="U344" s="37" t="s">
        <v>145</v>
      </c>
      <c r="V344" s="37" t="s">
        <v>118</v>
      </c>
      <c r="W344" s="37" t="s">
        <v>89</v>
      </c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</row>
    <row r="345" spans="1:37">
      <c r="A345" s="37"/>
      <c r="B345" s="37"/>
      <c r="C345" s="37"/>
      <c r="D345" s="37" t="s">
        <v>149</v>
      </c>
      <c r="E345" s="37" t="s">
        <v>3445</v>
      </c>
      <c r="F345" s="37" t="s">
        <v>3448</v>
      </c>
      <c r="G345" s="37" t="s">
        <v>3446</v>
      </c>
      <c r="H345" s="37"/>
      <c r="I345" s="37" t="s">
        <v>191</v>
      </c>
      <c r="J345" s="37" t="s">
        <v>75</v>
      </c>
      <c r="K345" s="40" t="s">
        <v>3480</v>
      </c>
      <c r="L345" s="37" t="s">
        <v>64</v>
      </c>
      <c r="M345" s="37" t="s">
        <v>3447</v>
      </c>
      <c r="N345" s="37"/>
      <c r="O345" s="37" t="s">
        <v>4054</v>
      </c>
      <c r="P345" s="37" t="s">
        <v>188</v>
      </c>
      <c r="Q345" s="37" t="s">
        <v>10</v>
      </c>
      <c r="R345" s="37"/>
      <c r="S345" s="37"/>
      <c r="T345" s="37"/>
      <c r="U345" s="37" t="s">
        <v>145</v>
      </c>
      <c r="V345" s="37" t="s">
        <v>77</v>
      </c>
      <c r="W345" s="37" t="s">
        <v>73</v>
      </c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</row>
    <row r="346" spans="1:37">
      <c r="A346" s="37"/>
      <c r="B346" s="37"/>
      <c r="C346" s="37"/>
      <c r="D346" s="37" t="s">
        <v>635</v>
      </c>
      <c r="E346" s="37" t="s">
        <v>1436</v>
      </c>
      <c r="F346" s="37" t="s">
        <v>3454</v>
      </c>
      <c r="G346" s="37" t="s">
        <v>3449</v>
      </c>
      <c r="H346" s="37" t="s">
        <v>982</v>
      </c>
      <c r="I346" s="37" t="s">
        <v>3450</v>
      </c>
      <c r="J346" s="37" t="s">
        <v>200</v>
      </c>
      <c r="K346" s="40" t="s">
        <v>3451</v>
      </c>
      <c r="L346" s="37" t="s">
        <v>64</v>
      </c>
      <c r="M346" s="37" t="s">
        <v>3452</v>
      </c>
      <c r="N346" s="37" t="s">
        <v>3453</v>
      </c>
      <c r="O346" s="37" t="s">
        <v>4054</v>
      </c>
      <c r="P346" s="37" t="s">
        <v>188</v>
      </c>
      <c r="Q346" s="37" t="s">
        <v>18</v>
      </c>
      <c r="R346" s="37"/>
      <c r="S346" s="37"/>
      <c r="T346" s="37" t="s">
        <v>66</v>
      </c>
      <c r="U346" s="37"/>
      <c r="V346" s="37" t="s">
        <v>77</v>
      </c>
      <c r="W346" s="37" t="s">
        <v>78</v>
      </c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</row>
    <row r="347" spans="1:37">
      <c r="A347" s="37"/>
      <c r="B347" s="37"/>
      <c r="C347" s="37"/>
      <c r="D347" s="37" t="s">
        <v>448</v>
      </c>
      <c r="E347" s="37" t="s">
        <v>3677</v>
      </c>
      <c r="F347" s="37" t="s">
        <v>3683</v>
      </c>
      <c r="G347" s="37" t="s">
        <v>3678</v>
      </c>
      <c r="H347" s="37" t="s">
        <v>3679</v>
      </c>
      <c r="I347" s="37" t="s">
        <v>1637</v>
      </c>
      <c r="J347" s="37" t="s">
        <v>1204</v>
      </c>
      <c r="K347" s="40" t="s">
        <v>3680</v>
      </c>
      <c r="L347" s="37" t="s">
        <v>64</v>
      </c>
      <c r="M347" s="37" t="s">
        <v>3681</v>
      </c>
      <c r="N347" s="37" t="s">
        <v>3682</v>
      </c>
      <c r="O347" s="37" t="s">
        <v>4054</v>
      </c>
      <c r="P347" s="37" t="s">
        <v>188</v>
      </c>
      <c r="Q347" s="37" t="s">
        <v>71</v>
      </c>
      <c r="R347" s="37"/>
      <c r="S347" s="37"/>
      <c r="T347" s="37" t="s">
        <v>144</v>
      </c>
      <c r="U347" s="37"/>
      <c r="V347" s="37" t="s">
        <v>77</v>
      </c>
      <c r="W347" s="37" t="s">
        <v>73</v>
      </c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</row>
    <row r="348" spans="1:37">
      <c r="A348" s="37"/>
      <c r="B348" s="37"/>
      <c r="C348" s="37"/>
      <c r="D348" s="37" t="s">
        <v>6079</v>
      </c>
      <c r="E348" s="37" t="s">
        <v>6080</v>
      </c>
      <c r="F348" s="37" t="s">
        <v>6081</v>
      </c>
      <c r="G348" s="37" t="s">
        <v>6082</v>
      </c>
      <c r="H348" s="37" t="s">
        <v>6083</v>
      </c>
      <c r="I348" s="37" t="s">
        <v>2944</v>
      </c>
      <c r="J348" s="37" t="s">
        <v>75</v>
      </c>
      <c r="K348" s="40" t="s">
        <v>437</v>
      </c>
      <c r="L348" s="37" t="s">
        <v>64</v>
      </c>
      <c r="M348" s="37" t="s">
        <v>6084</v>
      </c>
      <c r="N348" s="37"/>
      <c r="O348" s="37" t="s">
        <v>4054</v>
      </c>
      <c r="P348" s="37" t="s">
        <v>156</v>
      </c>
      <c r="Q348" s="37" t="s">
        <v>10</v>
      </c>
      <c r="R348" s="37" t="s">
        <v>5416</v>
      </c>
      <c r="S348" s="37"/>
      <c r="T348" s="37" t="s">
        <v>69</v>
      </c>
      <c r="U348" s="37" t="s">
        <v>109</v>
      </c>
      <c r="V348" s="37" t="s">
        <v>72</v>
      </c>
      <c r="W348" s="37" t="s">
        <v>89</v>
      </c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</row>
    <row r="349" spans="1:37">
      <c r="A349" s="37"/>
      <c r="B349" s="37"/>
      <c r="C349" s="37"/>
      <c r="D349" s="37" t="s">
        <v>881</v>
      </c>
      <c r="E349" s="37" t="s">
        <v>1439</v>
      </c>
      <c r="F349" s="37" t="s">
        <v>4240</v>
      </c>
      <c r="G349" s="37" t="s">
        <v>4237</v>
      </c>
      <c r="H349" s="37"/>
      <c r="I349" s="37" t="s">
        <v>416</v>
      </c>
      <c r="J349" s="37" t="s">
        <v>75</v>
      </c>
      <c r="K349" s="40" t="s">
        <v>4238</v>
      </c>
      <c r="L349" s="37" t="s">
        <v>64</v>
      </c>
      <c r="M349" s="37" t="s">
        <v>4239</v>
      </c>
      <c r="N349" s="37"/>
      <c r="O349" s="37" t="s">
        <v>4054</v>
      </c>
      <c r="P349" s="37" t="s">
        <v>188</v>
      </c>
      <c r="Q349" s="37" t="s">
        <v>10</v>
      </c>
      <c r="R349" s="37"/>
      <c r="S349" s="37"/>
      <c r="T349" s="37"/>
      <c r="U349" s="37"/>
      <c r="V349" s="37" t="s">
        <v>72</v>
      </c>
      <c r="W349" s="37" t="s">
        <v>78</v>
      </c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</row>
    <row r="350" spans="1:37">
      <c r="A350" s="37"/>
      <c r="B350" s="37"/>
      <c r="C350" s="37"/>
      <c r="D350" s="37" t="s">
        <v>1496</v>
      </c>
      <c r="E350" s="37" t="s">
        <v>1497</v>
      </c>
      <c r="F350" s="37" t="s">
        <v>1503</v>
      </c>
      <c r="G350" s="37" t="s">
        <v>1498</v>
      </c>
      <c r="H350" s="37"/>
      <c r="I350" s="37" t="s">
        <v>1499</v>
      </c>
      <c r="J350" s="37" t="s">
        <v>93</v>
      </c>
      <c r="K350" s="40" t="s">
        <v>1500</v>
      </c>
      <c r="L350" s="37" t="s">
        <v>64</v>
      </c>
      <c r="M350" s="37" t="s">
        <v>1501</v>
      </c>
      <c r="N350" s="37" t="s">
        <v>1502</v>
      </c>
      <c r="O350" s="37" t="s">
        <v>4054</v>
      </c>
      <c r="P350" s="37" t="s">
        <v>188</v>
      </c>
      <c r="Q350" s="37" t="s">
        <v>98</v>
      </c>
      <c r="R350" s="37"/>
      <c r="S350" s="37"/>
      <c r="T350" s="37"/>
      <c r="U350" s="37"/>
      <c r="V350" s="37" t="s">
        <v>77</v>
      </c>
      <c r="W350" s="37" t="s">
        <v>89</v>
      </c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</row>
    <row r="351" spans="1:37">
      <c r="A351" s="37"/>
      <c r="B351" s="37"/>
      <c r="C351" s="37"/>
      <c r="D351" s="37" t="s">
        <v>1737</v>
      </c>
      <c r="E351" s="37" t="s">
        <v>1730</v>
      </c>
      <c r="F351" s="37" t="s">
        <v>1743</v>
      </c>
      <c r="G351" s="37" t="s">
        <v>1738</v>
      </c>
      <c r="H351" s="37" t="s">
        <v>1739</v>
      </c>
      <c r="I351" s="37" t="s">
        <v>333</v>
      </c>
      <c r="J351" s="37" t="s">
        <v>334</v>
      </c>
      <c r="K351" s="40" t="s">
        <v>1740</v>
      </c>
      <c r="L351" s="37" t="s">
        <v>64</v>
      </c>
      <c r="M351" s="37" t="s">
        <v>1741</v>
      </c>
      <c r="N351" s="37" t="s">
        <v>1742</v>
      </c>
      <c r="O351" s="37" t="s">
        <v>4054</v>
      </c>
      <c r="P351" s="37" t="s">
        <v>156</v>
      </c>
      <c r="Q351" s="37" t="s">
        <v>16</v>
      </c>
      <c r="R351" s="37"/>
      <c r="S351" s="37"/>
      <c r="T351" s="37" t="s">
        <v>69</v>
      </c>
      <c r="U351" s="37" t="s">
        <v>182</v>
      </c>
      <c r="V351" s="37" t="s">
        <v>77</v>
      </c>
      <c r="W351" s="37" t="s">
        <v>78</v>
      </c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</row>
    <row r="352" spans="1:37">
      <c r="A352" s="37"/>
      <c r="B352" s="37"/>
      <c r="C352" s="37"/>
      <c r="D352" s="37" t="s">
        <v>101</v>
      </c>
      <c r="E352" s="37" t="s">
        <v>3034</v>
      </c>
      <c r="F352" s="37" t="s">
        <v>3037</v>
      </c>
      <c r="G352" s="37" t="s">
        <v>242</v>
      </c>
      <c r="H352" s="37"/>
      <c r="I352" s="37" t="s">
        <v>243</v>
      </c>
      <c r="J352" s="37" t="s">
        <v>244</v>
      </c>
      <c r="K352" s="40" t="s">
        <v>245</v>
      </c>
      <c r="L352" s="37" t="s">
        <v>64</v>
      </c>
      <c r="M352" s="37" t="s">
        <v>3035</v>
      </c>
      <c r="N352" s="37" t="s">
        <v>3036</v>
      </c>
      <c r="O352" s="37" t="s">
        <v>4054</v>
      </c>
      <c r="P352" s="37" t="s">
        <v>188</v>
      </c>
      <c r="Q352" s="37" t="s">
        <v>18</v>
      </c>
      <c r="R352" s="37"/>
      <c r="S352" s="37"/>
      <c r="T352" s="37"/>
      <c r="U352" s="37" t="s">
        <v>182</v>
      </c>
      <c r="V352" s="37" t="s">
        <v>77</v>
      </c>
      <c r="W352" s="37" t="s">
        <v>78</v>
      </c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</row>
    <row r="353" spans="1:37">
      <c r="A353" s="37"/>
      <c r="B353" s="37"/>
      <c r="C353" s="37"/>
      <c r="D353" s="37" t="s">
        <v>5623</v>
      </c>
      <c r="E353" s="37" t="s">
        <v>5202</v>
      </c>
      <c r="F353" s="37" t="s">
        <v>5628</v>
      </c>
      <c r="G353" s="37" t="s">
        <v>5624</v>
      </c>
      <c r="H353" s="37"/>
      <c r="I353" s="37" t="s">
        <v>5625</v>
      </c>
      <c r="J353" s="37" t="s">
        <v>83</v>
      </c>
      <c r="K353" s="40" t="s">
        <v>2308</v>
      </c>
      <c r="L353" s="37" t="s">
        <v>64</v>
      </c>
      <c r="M353" s="37" t="s">
        <v>5626</v>
      </c>
      <c r="N353" s="37"/>
      <c r="O353" s="37" t="s">
        <v>4054</v>
      </c>
      <c r="P353" s="37" t="s">
        <v>156</v>
      </c>
      <c r="Q353" s="37" t="s">
        <v>14</v>
      </c>
      <c r="R353" s="37" t="s">
        <v>5627</v>
      </c>
      <c r="S353" s="37"/>
      <c r="T353" s="37" t="s">
        <v>69</v>
      </c>
      <c r="U353" s="37" t="s">
        <v>109</v>
      </c>
      <c r="V353" s="37" t="s">
        <v>88</v>
      </c>
      <c r="W353" s="37" t="s">
        <v>110</v>
      </c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</row>
    <row r="354" spans="1:37">
      <c r="A354" s="37"/>
      <c r="B354" s="37"/>
      <c r="C354" s="37"/>
      <c r="D354" s="37" t="s">
        <v>2486</v>
      </c>
      <c r="E354" s="37" t="s">
        <v>1999</v>
      </c>
      <c r="F354" s="37" t="s">
        <v>4409</v>
      </c>
      <c r="G354" s="37" t="s">
        <v>4406</v>
      </c>
      <c r="H354" s="37"/>
      <c r="I354" s="37" t="s">
        <v>152</v>
      </c>
      <c r="J354" s="37" t="s">
        <v>153</v>
      </c>
      <c r="K354" s="40" t="s">
        <v>154</v>
      </c>
      <c r="L354" s="37" t="s">
        <v>64</v>
      </c>
      <c r="M354" s="37" t="s">
        <v>4407</v>
      </c>
      <c r="N354" s="37"/>
      <c r="O354" s="37" t="s">
        <v>4054</v>
      </c>
      <c r="P354" s="37" t="s">
        <v>156</v>
      </c>
      <c r="Q354" s="37" t="s">
        <v>16</v>
      </c>
      <c r="R354" s="37" t="s">
        <v>4408</v>
      </c>
      <c r="S354" s="37"/>
      <c r="T354" s="37" t="s">
        <v>69</v>
      </c>
      <c r="U354" s="37" t="s">
        <v>185</v>
      </c>
      <c r="V354" s="37" t="s">
        <v>88</v>
      </c>
      <c r="W354" s="37" t="s">
        <v>89</v>
      </c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</row>
    <row r="355" spans="1:37">
      <c r="A355" s="37"/>
      <c r="B355" s="37"/>
      <c r="C355" s="37"/>
      <c r="D355" s="37" t="s">
        <v>1728</v>
      </c>
      <c r="E355" s="37" t="s">
        <v>4410</v>
      </c>
      <c r="F355" s="37" t="s">
        <v>4414</v>
      </c>
      <c r="G355" s="37" t="s">
        <v>4411</v>
      </c>
      <c r="H355" s="37"/>
      <c r="I355" s="37" t="s">
        <v>152</v>
      </c>
      <c r="J355" s="37" t="s">
        <v>153</v>
      </c>
      <c r="K355" s="40" t="s">
        <v>154</v>
      </c>
      <c r="L355" s="37" t="s">
        <v>64</v>
      </c>
      <c r="M355" s="37" t="s">
        <v>4412</v>
      </c>
      <c r="N355" s="37"/>
      <c r="O355" s="37" t="s">
        <v>4054</v>
      </c>
      <c r="P355" s="37" t="s">
        <v>156</v>
      </c>
      <c r="Q355" s="37" t="s">
        <v>16</v>
      </c>
      <c r="R355" s="37" t="s">
        <v>4413</v>
      </c>
      <c r="S355" s="37"/>
      <c r="T355" s="37" t="s">
        <v>115</v>
      </c>
      <c r="U355" s="37" t="s">
        <v>87</v>
      </c>
      <c r="V355" s="37" t="s">
        <v>88</v>
      </c>
      <c r="W355" s="37" t="s">
        <v>89</v>
      </c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</row>
    <row r="356" spans="1:37">
      <c r="A356" s="37"/>
      <c r="B356" s="37"/>
      <c r="C356" s="37"/>
      <c r="D356" s="37" t="s">
        <v>2570</v>
      </c>
      <c r="E356" s="37" t="s">
        <v>2801</v>
      </c>
      <c r="F356" s="37" t="s">
        <v>3841</v>
      </c>
      <c r="G356" s="37" t="s">
        <v>3836</v>
      </c>
      <c r="H356" s="37"/>
      <c r="I356" s="37" t="s">
        <v>3837</v>
      </c>
      <c r="J356" s="37" t="s">
        <v>162</v>
      </c>
      <c r="K356" s="40" t="s">
        <v>3838</v>
      </c>
      <c r="L356" s="37" t="s">
        <v>64</v>
      </c>
      <c r="M356" s="37" t="s">
        <v>3839</v>
      </c>
      <c r="N356" s="37" t="s">
        <v>3840</v>
      </c>
      <c r="O356" s="37" t="s">
        <v>4054</v>
      </c>
      <c r="P356" s="37" t="s">
        <v>188</v>
      </c>
      <c r="Q356" s="37" t="s">
        <v>16</v>
      </c>
      <c r="R356" s="37"/>
      <c r="S356" s="37"/>
      <c r="T356" s="37" t="s">
        <v>69</v>
      </c>
      <c r="U356" s="37" t="s">
        <v>145</v>
      </c>
      <c r="V356" s="37" t="s">
        <v>118</v>
      </c>
      <c r="W356" s="37" t="s">
        <v>89</v>
      </c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</row>
    <row r="357" spans="1:37">
      <c r="A357" s="37"/>
      <c r="B357" s="37"/>
      <c r="C357" s="37"/>
      <c r="D357" s="37" t="s">
        <v>4608</v>
      </c>
      <c r="E357" s="37" t="s">
        <v>2801</v>
      </c>
      <c r="F357" s="37" t="s">
        <v>4614</v>
      </c>
      <c r="G357" s="37" t="s">
        <v>4609</v>
      </c>
      <c r="H357" s="37" t="s">
        <v>4610</v>
      </c>
      <c r="I357" s="37" t="s">
        <v>152</v>
      </c>
      <c r="J357" s="37" t="s">
        <v>153</v>
      </c>
      <c r="K357" s="40" t="s">
        <v>154</v>
      </c>
      <c r="L357" s="37" t="s">
        <v>64</v>
      </c>
      <c r="M357" s="37" t="s">
        <v>4611</v>
      </c>
      <c r="N357" s="37" t="s">
        <v>4612</v>
      </c>
      <c r="O357" s="37" t="s">
        <v>4054</v>
      </c>
      <c r="P357" s="37" t="s">
        <v>156</v>
      </c>
      <c r="Q357" s="37" t="s">
        <v>16</v>
      </c>
      <c r="R357" s="37" t="s">
        <v>4613</v>
      </c>
      <c r="S357" s="37"/>
      <c r="T357" s="37" t="s">
        <v>66</v>
      </c>
      <c r="U357" s="37" t="s">
        <v>145</v>
      </c>
      <c r="V357" s="37" t="s">
        <v>88</v>
      </c>
      <c r="W357" s="37" t="s">
        <v>89</v>
      </c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</row>
    <row r="358" spans="1:37">
      <c r="A358" s="37"/>
      <c r="B358" s="37"/>
      <c r="C358" s="37"/>
      <c r="D358" s="37" t="s">
        <v>4615</v>
      </c>
      <c r="E358" s="37" t="s">
        <v>2142</v>
      </c>
      <c r="F358" s="37" t="s">
        <v>4618</v>
      </c>
      <c r="G358" s="37" t="s">
        <v>4616</v>
      </c>
      <c r="H358" s="37"/>
      <c r="I358" s="37" t="s">
        <v>4674</v>
      </c>
      <c r="J358" s="37" t="s">
        <v>324</v>
      </c>
      <c r="K358" s="40" t="s">
        <v>4675</v>
      </c>
      <c r="L358" s="37" t="s">
        <v>64</v>
      </c>
      <c r="M358" s="37" t="s">
        <v>4617</v>
      </c>
      <c r="N358" s="37"/>
      <c r="O358" s="37" t="s">
        <v>4054</v>
      </c>
      <c r="P358" s="37" t="s">
        <v>188</v>
      </c>
      <c r="Q358" s="37" t="s">
        <v>65</v>
      </c>
      <c r="R358" s="37"/>
      <c r="S358" s="37"/>
      <c r="T358" s="37" t="s">
        <v>69</v>
      </c>
      <c r="U358" s="37" t="s">
        <v>87</v>
      </c>
      <c r="V358" s="37" t="s">
        <v>88</v>
      </c>
      <c r="W358" s="37" t="s">
        <v>89</v>
      </c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</row>
    <row r="359" spans="1:37">
      <c r="A359" s="37"/>
      <c r="B359" s="37"/>
      <c r="C359" s="37"/>
      <c r="D359" s="37" t="s">
        <v>2198</v>
      </c>
      <c r="E359" s="37" t="s">
        <v>2199</v>
      </c>
      <c r="F359" s="37" t="s">
        <v>2201</v>
      </c>
      <c r="G359" s="37" t="s">
        <v>1044</v>
      </c>
      <c r="H359" s="37"/>
      <c r="I359" s="37" t="s">
        <v>1045</v>
      </c>
      <c r="J359" s="37" t="s">
        <v>153</v>
      </c>
      <c r="K359" s="40" t="s">
        <v>1046</v>
      </c>
      <c r="L359" s="37" t="s">
        <v>64</v>
      </c>
      <c r="M359" s="37" t="s">
        <v>2200</v>
      </c>
      <c r="N359" s="37"/>
      <c r="O359" s="37" t="s">
        <v>4054</v>
      </c>
      <c r="P359" s="37" t="s">
        <v>188</v>
      </c>
      <c r="Q359" s="37" t="s">
        <v>16</v>
      </c>
      <c r="R359" s="37"/>
      <c r="S359" s="37"/>
      <c r="T359" s="37"/>
      <c r="U359" s="37"/>
      <c r="V359" s="37" t="s">
        <v>72</v>
      </c>
      <c r="W359" s="37" t="s">
        <v>78</v>
      </c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</row>
    <row r="360" spans="1:37">
      <c r="A360" s="37"/>
      <c r="B360" s="37"/>
      <c r="C360" s="37"/>
      <c r="D360" s="37" t="s">
        <v>3029</v>
      </c>
      <c r="E360" s="37" t="s">
        <v>3853</v>
      </c>
      <c r="F360" s="37" t="s">
        <v>3857</v>
      </c>
      <c r="G360" s="37" t="s">
        <v>3774</v>
      </c>
      <c r="H360" s="37"/>
      <c r="I360" s="37" t="s">
        <v>265</v>
      </c>
      <c r="J360" s="37" t="s">
        <v>75</v>
      </c>
      <c r="K360" s="40" t="s">
        <v>3854</v>
      </c>
      <c r="L360" s="37" t="s">
        <v>64</v>
      </c>
      <c r="M360" s="37" t="s">
        <v>3855</v>
      </c>
      <c r="N360" s="37"/>
      <c r="O360" s="37" t="s">
        <v>4054</v>
      </c>
      <c r="P360" s="37" t="s">
        <v>156</v>
      </c>
      <c r="Q360" s="37" t="s">
        <v>10</v>
      </c>
      <c r="R360" s="37" t="s">
        <v>3856</v>
      </c>
      <c r="S360" s="37"/>
      <c r="T360" s="37" t="s">
        <v>144</v>
      </c>
      <c r="U360" s="37" t="s">
        <v>145</v>
      </c>
      <c r="V360" s="37" t="s">
        <v>72</v>
      </c>
      <c r="W360" s="37" t="s">
        <v>89</v>
      </c>
      <c r="X360" s="25"/>
      <c r="Y360" s="25"/>
      <c r="Z360" s="25"/>
      <c r="AA360" s="25"/>
      <c r="AB360" s="25"/>
      <c r="AC360" s="25"/>
      <c r="AD360" s="25"/>
      <c r="AE360" s="25"/>
      <c r="AF360" s="26"/>
      <c r="AG360" s="25"/>
      <c r="AH360" s="25"/>
      <c r="AI360" s="25"/>
      <c r="AJ360" s="25"/>
      <c r="AK360" s="25"/>
    </row>
    <row r="361" spans="1:37">
      <c r="A361" s="37" t="s">
        <v>112</v>
      </c>
      <c r="B361" s="37"/>
      <c r="C361" s="37"/>
      <c r="D361" s="37" t="s">
        <v>4007</v>
      </c>
      <c r="E361" s="37" t="s">
        <v>5156</v>
      </c>
      <c r="F361" s="37" t="s">
        <v>5158</v>
      </c>
      <c r="G361" s="37" t="s">
        <v>5414</v>
      </c>
      <c r="H361" s="37"/>
      <c r="I361" s="37" t="s">
        <v>152</v>
      </c>
      <c r="J361" s="37" t="s">
        <v>153</v>
      </c>
      <c r="K361" s="40" t="s">
        <v>154</v>
      </c>
      <c r="L361" s="37" t="s">
        <v>64</v>
      </c>
      <c r="M361" s="37" t="s">
        <v>5157</v>
      </c>
      <c r="N361" s="37"/>
      <c r="O361" s="37" t="s">
        <v>4054</v>
      </c>
      <c r="P361" s="37" t="s">
        <v>156</v>
      </c>
      <c r="Q361" s="37" t="s">
        <v>16</v>
      </c>
      <c r="R361" s="37" t="s">
        <v>5416</v>
      </c>
      <c r="S361" s="37"/>
      <c r="T361" s="37" t="s">
        <v>66</v>
      </c>
      <c r="U361" s="37" t="s">
        <v>87</v>
      </c>
      <c r="V361" s="37" t="s">
        <v>72</v>
      </c>
      <c r="W361" s="37" t="s">
        <v>348</v>
      </c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</row>
    <row r="362" spans="1:37">
      <c r="A362" s="37"/>
      <c r="B362" s="37"/>
      <c r="C362" s="37"/>
      <c r="D362" s="37" t="s">
        <v>3577</v>
      </c>
      <c r="E362" s="37" t="s">
        <v>2342</v>
      </c>
      <c r="F362" s="37" t="s">
        <v>3581</v>
      </c>
      <c r="G362" s="37" t="s">
        <v>3578</v>
      </c>
      <c r="H362" s="37" t="s">
        <v>3579</v>
      </c>
      <c r="I362" s="37" t="s">
        <v>843</v>
      </c>
      <c r="J362" s="37" t="s">
        <v>75</v>
      </c>
      <c r="K362" s="40" t="s">
        <v>187</v>
      </c>
      <c r="L362" s="37" t="s">
        <v>64</v>
      </c>
      <c r="M362" s="37" t="s">
        <v>3580</v>
      </c>
      <c r="N362" s="37"/>
      <c r="O362" s="37" t="s">
        <v>4054</v>
      </c>
      <c r="P362" s="37" t="s">
        <v>188</v>
      </c>
      <c r="Q362" s="37" t="s">
        <v>10</v>
      </c>
      <c r="R362" s="37"/>
      <c r="S362" s="37"/>
      <c r="T362" s="37" t="s">
        <v>69</v>
      </c>
      <c r="U362" s="37" t="s">
        <v>189</v>
      </c>
      <c r="V362" s="37" t="s">
        <v>118</v>
      </c>
      <c r="W362" s="37" t="s">
        <v>69</v>
      </c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</row>
    <row r="363" spans="1:37">
      <c r="A363" s="37"/>
      <c r="B363" s="37"/>
      <c r="C363" s="37"/>
      <c r="D363" s="37" t="s">
        <v>5092</v>
      </c>
      <c r="E363" s="37" t="s">
        <v>2372</v>
      </c>
      <c r="F363" s="37" t="s">
        <v>5097</v>
      </c>
      <c r="G363" s="37" t="s">
        <v>5093</v>
      </c>
      <c r="H363" s="37" t="s">
        <v>5094</v>
      </c>
      <c r="I363" s="37" t="s">
        <v>152</v>
      </c>
      <c r="J363" s="37" t="s">
        <v>153</v>
      </c>
      <c r="K363" s="40" t="s">
        <v>154</v>
      </c>
      <c r="L363" s="37" t="s">
        <v>64</v>
      </c>
      <c r="M363" s="37" t="s">
        <v>5095</v>
      </c>
      <c r="N363" s="37" t="s">
        <v>4094</v>
      </c>
      <c r="O363" s="37" t="s">
        <v>4054</v>
      </c>
      <c r="P363" s="37" t="s">
        <v>156</v>
      </c>
      <c r="Q363" s="37" t="s">
        <v>16</v>
      </c>
      <c r="R363" s="37" t="s">
        <v>5096</v>
      </c>
      <c r="S363" s="37"/>
      <c r="T363" s="37" t="s">
        <v>158</v>
      </c>
      <c r="U363" s="37" t="s">
        <v>182</v>
      </c>
      <c r="V363" s="37" t="s">
        <v>72</v>
      </c>
      <c r="W363" s="37" t="s">
        <v>89</v>
      </c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</row>
    <row r="364" spans="1:37">
      <c r="A364" s="37"/>
      <c r="B364" s="37"/>
      <c r="C364" s="37"/>
      <c r="D364" s="37" t="s">
        <v>3207</v>
      </c>
      <c r="E364" s="37" t="s">
        <v>2444</v>
      </c>
      <c r="F364" s="37" t="s">
        <v>3213</v>
      </c>
      <c r="G364" s="37" t="s">
        <v>3208</v>
      </c>
      <c r="H364" s="37" t="s">
        <v>3209</v>
      </c>
      <c r="I364" s="37" t="s">
        <v>560</v>
      </c>
      <c r="J364" s="37" t="s">
        <v>200</v>
      </c>
      <c r="K364" s="40" t="s">
        <v>3210</v>
      </c>
      <c r="L364" s="37" t="s">
        <v>64</v>
      </c>
      <c r="M364" s="37" t="s">
        <v>3211</v>
      </c>
      <c r="N364" s="37" t="s">
        <v>3212</v>
      </c>
      <c r="O364" s="37" t="s">
        <v>4054</v>
      </c>
      <c r="P364" s="37" t="s">
        <v>188</v>
      </c>
      <c r="Q364" s="37" t="s">
        <v>18</v>
      </c>
      <c r="R364" s="37"/>
      <c r="S364" s="37"/>
      <c r="T364" s="37" t="s">
        <v>115</v>
      </c>
      <c r="U364" s="37" t="s">
        <v>185</v>
      </c>
      <c r="V364" s="37" t="s">
        <v>88</v>
      </c>
      <c r="W364" s="37" t="s">
        <v>73</v>
      </c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</row>
    <row r="365" spans="1:37">
      <c r="A365" s="37"/>
      <c r="B365" s="37"/>
      <c r="C365" s="37"/>
      <c r="D365" s="37" t="s">
        <v>282</v>
      </c>
      <c r="E365" s="37" t="s">
        <v>82</v>
      </c>
      <c r="F365" s="37" t="s">
        <v>2097</v>
      </c>
      <c r="G365" s="37" t="s">
        <v>1044</v>
      </c>
      <c r="H365" s="37"/>
      <c r="I365" s="37" t="s">
        <v>1045</v>
      </c>
      <c r="J365" s="37" t="s">
        <v>153</v>
      </c>
      <c r="K365" s="40" t="s">
        <v>2095</v>
      </c>
      <c r="L365" s="37" t="s">
        <v>64</v>
      </c>
      <c r="M365" s="37" t="s">
        <v>2096</v>
      </c>
      <c r="N365" s="37"/>
      <c r="O365" s="37" t="s">
        <v>4054</v>
      </c>
      <c r="P365" s="37" t="s">
        <v>188</v>
      </c>
      <c r="Q365" s="37" t="s">
        <v>16</v>
      </c>
      <c r="R365" s="37"/>
      <c r="S365" s="37"/>
      <c r="T365" s="37"/>
      <c r="U365" s="37"/>
      <c r="V365" s="37" t="s">
        <v>72</v>
      </c>
      <c r="W365" s="37" t="s">
        <v>78</v>
      </c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</row>
    <row r="366" spans="1:37">
      <c r="A366" s="37"/>
      <c r="B366" s="37"/>
      <c r="C366" s="37"/>
      <c r="D366" s="37" t="s">
        <v>854</v>
      </c>
      <c r="E366" s="37" t="s">
        <v>6085</v>
      </c>
      <c r="F366" s="37" t="s">
        <v>6086</v>
      </c>
      <c r="G366" s="37" t="s">
        <v>4850</v>
      </c>
      <c r="H366" s="37"/>
      <c r="I366" s="37" t="s">
        <v>994</v>
      </c>
      <c r="J366" s="37" t="s">
        <v>105</v>
      </c>
      <c r="K366" s="40" t="s">
        <v>1024</v>
      </c>
      <c r="L366" s="37" t="s">
        <v>64</v>
      </c>
      <c r="M366" s="37" t="s">
        <v>6087</v>
      </c>
      <c r="N366" s="37"/>
      <c r="O366" s="37" t="s">
        <v>4054</v>
      </c>
      <c r="P366" s="37" t="s">
        <v>156</v>
      </c>
      <c r="Q366" s="37" t="s">
        <v>71</v>
      </c>
      <c r="R366" s="37"/>
      <c r="S366" s="37"/>
      <c r="T366" s="37" t="s">
        <v>66</v>
      </c>
      <c r="U366" s="37"/>
      <c r="V366" s="37" t="s">
        <v>88</v>
      </c>
      <c r="W366" s="37" t="s">
        <v>89</v>
      </c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</row>
    <row r="367" spans="1:37">
      <c r="A367" s="37"/>
      <c r="B367" s="37"/>
      <c r="C367" s="37"/>
      <c r="D367" s="37" t="s">
        <v>2091</v>
      </c>
      <c r="E367" s="37" t="s">
        <v>2669</v>
      </c>
      <c r="F367" s="37" t="s">
        <v>2672</v>
      </c>
      <c r="G367" s="37" t="s">
        <v>2670</v>
      </c>
      <c r="H367" s="37"/>
      <c r="I367" s="37" t="s">
        <v>152</v>
      </c>
      <c r="J367" s="37" t="s">
        <v>153</v>
      </c>
      <c r="K367" s="40" t="s">
        <v>154</v>
      </c>
      <c r="L367" s="37" t="s">
        <v>64</v>
      </c>
      <c r="M367" s="37" t="s">
        <v>2671</v>
      </c>
      <c r="N367" s="37"/>
      <c r="O367" s="37" t="s">
        <v>4054</v>
      </c>
      <c r="P367" s="37" t="s">
        <v>156</v>
      </c>
      <c r="Q367" s="37" t="s">
        <v>16</v>
      </c>
      <c r="R367" s="37"/>
      <c r="S367" s="37"/>
      <c r="T367" s="37"/>
      <c r="U367" s="37" t="s">
        <v>109</v>
      </c>
      <c r="V367" s="37" t="s">
        <v>88</v>
      </c>
      <c r="W367" s="37" t="s">
        <v>89</v>
      </c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</row>
    <row r="368" spans="1:37">
      <c r="A368" s="37"/>
      <c r="B368" s="37"/>
      <c r="C368" s="37"/>
      <c r="D368" s="37" t="s">
        <v>149</v>
      </c>
      <c r="E368" s="37" t="s">
        <v>150</v>
      </c>
      <c r="F368" s="37" t="s">
        <v>159</v>
      </c>
      <c r="G368" s="37" t="s">
        <v>151</v>
      </c>
      <c r="H368" s="37"/>
      <c r="I368" s="37" t="s">
        <v>152</v>
      </c>
      <c r="J368" s="37" t="s">
        <v>153</v>
      </c>
      <c r="K368" s="40" t="s">
        <v>154</v>
      </c>
      <c r="L368" s="37" t="s">
        <v>64</v>
      </c>
      <c r="M368" s="37" t="s">
        <v>155</v>
      </c>
      <c r="N368" s="37"/>
      <c r="O368" s="37" t="s">
        <v>4054</v>
      </c>
      <c r="P368" s="37" t="s">
        <v>156</v>
      </c>
      <c r="Q368" s="37" t="s">
        <v>16</v>
      </c>
      <c r="R368" s="37" t="s">
        <v>157</v>
      </c>
      <c r="S368" s="37"/>
      <c r="T368" s="37" t="s">
        <v>158</v>
      </c>
      <c r="U368" s="37" t="s">
        <v>87</v>
      </c>
      <c r="V368" s="37" t="s">
        <v>88</v>
      </c>
      <c r="W368" s="37" t="s">
        <v>89</v>
      </c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</row>
    <row r="369" spans="1:37">
      <c r="A369" s="37"/>
      <c r="B369" s="37"/>
      <c r="C369" s="37"/>
      <c r="D369" s="37" t="s">
        <v>444</v>
      </c>
      <c r="E369" s="37" t="s">
        <v>5014</v>
      </c>
      <c r="F369" s="37" t="s">
        <v>5016</v>
      </c>
      <c r="G369" s="37" t="s">
        <v>4457</v>
      </c>
      <c r="H369" s="37"/>
      <c r="I369" s="37" t="s">
        <v>4459</v>
      </c>
      <c r="J369" s="37" t="s">
        <v>200</v>
      </c>
      <c r="K369" s="40" t="s">
        <v>3975</v>
      </c>
      <c r="L369" s="37" t="s">
        <v>64</v>
      </c>
      <c r="M369" s="37" t="s">
        <v>5015</v>
      </c>
      <c r="N369" s="37"/>
      <c r="O369" s="37" t="s">
        <v>4054</v>
      </c>
      <c r="P369" s="37" t="s">
        <v>188</v>
      </c>
      <c r="Q369" s="37" t="s">
        <v>18</v>
      </c>
      <c r="R369" s="37"/>
      <c r="S369" s="37"/>
      <c r="T369" s="37" t="s">
        <v>158</v>
      </c>
      <c r="U369" s="37" t="s">
        <v>87</v>
      </c>
      <c r="V369" s="37" t="s">
        <v>72</v>
      </c>
      <c r="W369" s="37" t="s">
        <v>89</v>
      </c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</row>
    <row r="370" spans="1:37">
      <c r="A370" s="37"/>
      <c r="B370" s="37"/>
      <c r="C370" s="37"/>
      <c r="D370" s="37" t="s">
        <v>240</v>
      </c>
      <c r="E370" s="37" t="s">
        <v>241</v>
      </c>
      <c r="F370" s="37" t="s">
        <v>247</v>
      </c>
      <c r="G370" s="37" t="s">
        <v>242</v>
      </c>
      <c r="H370" s="37"/>
      <c r="I370" s="37" t="s">
        <v>243</v>
      </c>
      <c r="J370" s="37" t="s">
        <v>244</v>
      </c>
      <c r="K370" s="40" t="s">
        <v>245</v>
      </c>
      <c r="L370" s="37" t="s">
        <v>64</v>
      </c>
      <c r="M370" s="37" t="s">
        <v>246</v>
      </c>
      <c r="N370" s="37"/>
      <c r="O370" s="37" t="s">
        <v>4054</v>
      </c>
      <c r="P370" s="37" t="s">
        <v>188</v>
      </c>
      <c r="Q370" s="37" t="s">
        <v>18</v>
      </c>
      <c r="R370" s="37"/>
      <c r="S370" s="37"/>
      <c r="T370" s="37"/>
      <c r="U370" s="37"/>
      <c r="V370" s="37" t="s">
        <v>88</v>
      </c>
      <c r="W370" s="37" t="s">
        <v>73</v>
      </c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</row>
    <row r="371" spans="1:37">
      <c r="A371" s="37"/>
      <c r="B371" s="37"/>
      <c r="C371" s="37"/>
      <c r="D371" s="37" t="s">
        <v>1078</v>
      </c>
      <c r="E371" s="37" t="s">
        <v>6088</v>
      </c>
      <c r="F371" s="37" t="s">
        <v>6089</v>
      </c>
      <c r="G371" s="37" t="s">
        <v>5377</v>
      </c>
      <c r="H371" s="37" t="s">
        <v>982</v>
      </c>
      <c r="I371" s="37" t="s">
        <v>265</v>
      </c>
      <c r="J371" s="37" t="s">
        <v>75</v>
      </c>
      <c r="K371" s="40" t="s">
        <v>437</v>
      </c>
      <c r="L371" s="37" t="s">
        <v>64</v>
      </c>
      <c r="M371" s="37" t="s">
        <v>6090</v>
      </c>
      <c r="N371" s="37"/>
      <c r="O371" s="37" t="s">
        <v>4054</v>
      </c>
      <c r="P371" s="37" t="s">
        <v>156</v>
      </c>
      <c r="Q371" s="37" t="s">
        <v>10</v>
      </c>
      <c r="R371" s="37" t="s">
        <v>6091</v>
      </c>
      <c r="S371" s="37"/>
      <c r="T371" s="37" t="s">
        <v>144</v>
      </c>
      <c r="U371" s="37" t="s">
        <v>145</v>
      </c>
      <c r="V371" s="37" t="s">
        <v>72</v>
      </c>
      <c r="W371" s="37" t="s">
        <v>89</v>
      </c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</row>
    <row r="372" spans="1:37">
      <c r="A372" s="37"/>
      <c r="B372" s="37"/>
      <c r="C372" s="37"/>
      <c r="D372" s="37" t="s">
        <v>955</v>
      </c>
      <c r="E372" s="37" t="s">
        <v>4323</v>
      </c>
      <c r="F372" s="37" t="s">
        <v>4326</v>
      </c>
      <c r="G372" s="37" t="s">
        <v>4324</v>
      </c>
      <c r="H372" s="37"/>
      <c r="I372" s="37" t="s">
        <v>265</v>
      </c>
      <c r="J372" s="37" t="s">
        <v>75</v>
      </c>
      <c r="K372" s="40" t="s">
        <v>437</v>
      </c>
      <c r="L372" s="37" t="s">
        <v>64</v>
      </c>
      <c r="M372" s="37" t="s">
        <v>4325</v>
      </c>
      <c r="N372" s="37"/>
      <c r="O372" s="37" t="s">
        <v>4054</v>
      </c>
      <c r="P372" s="37" t="s">
        <v>156</v>
      </c>
      <c r="Q372" s="37" t="s">
        <v>10</v>
      </c>
      <c r="R372" s="37"/>
      <c r="S372" s="37"/>
      <c r="T372" s="37"/>
      <c r="U372" s="37"/>
      <c r="V372" s="37" t="s">
        <v>72</v>
      </c>
      <c r="W372" s="37" t="s">
        <v>89</v>
      </c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</row>
    <row r="373" spans="1:37">
      <c r="A373" s="37"/>
      <c r="B373" s="37"/>
      <c r="C373" s="37"/>
      <c r="D373" s="37" t="s">
        <v>1728</v>
      </c>
      <c r="E373" s="37" t="s">
        <v>323</v>
      </c>
      <c r="F373" s="37" t="s">
        <v>4764</v>
      </c>
      <c r="G373" s="37" t="s">
        <v>4328</v>
      </c>
      <c r="H373" s="37" t="s">
        <v>604</v>
      </c>
      <c r="I373" s="37" t="s">
        <v>265</v>
      </c>
      <c r="J373" s="37" t="s">
        <v>75</v>
      </c>
      <c r="K373" s="40" t="s">
        <v>437</v>
      </c>
      <c r="L373" s="37" t="s">
        <v>64</v>
      </c>
      <c r="M373" s="37" t="s">
        <v>4762</v>
      </c>
      <c r="N373" s="37" t="s">
        <v>4763</v>
      </c>
      <c r="O373" s="37" t="s">
        <v>4054</v>
      </c>
      <c r="P373" s="37" t="s">
        <v>156</v>
      </c>
      <c r="Q373" s="37" t="s">
        <v>10</v>
      </c>
      <c r="R373" s="37" t="s">
        <v>4284</v>
      </c>
      <c r="S373" s="37"/>
      <c r="T373" s="37" t="s">
        <v>158</v>
      </c>
      <c r="U373" s="37" t="s">
        <v>87</v>
      </c>
      <c r="V373" s="37" t="s">
        <v>72</v>
      </c>
      <c r="W373" s="37" t="s">
        <v>99</v>
      </c>
      <c r="X373" s="25"/>
      <c r="Y373" s="25"/>
      <c r="Z373" s="25"/>
      <c r="AA373" s="25"/>
      <c r="AB373" s="25"/>
      <c r="AC373" s="25"/>
      <c r="AD373" s="25"/>
      <c r="AE373" s="25"/>
      <c r="AF373" s="26"/>
      <c r="AG373" s="25"/>
      <c r="AH373" s="25"/>
      <c r="AI373" s="25"/>
      <c r="AJ373" s="25"/>
      <c r="AK373" s="25"/>
    </row>
    <row r="374" spans="1:37">
      <c r="A374" s="37"/>
      <c r="B374" s="37"/>
      <c r="C374" s="37"/>
      <c r="D374" s="37" t="s">
        <v>1223</v>
      </c>
      <c r="E374" s="37" t="s">
        <v>5439</v>
      </c>
      <c r="F374" s="37" t="s">
        <v>5444</v>
      </c>
      <c r="G374" s="37" t="s">
        <v>5440</v>
      </c>
      <c r="H374" s="37"/>
      <c r="I374" s="37" t="s">
        <v>5441</v>
      </c>
      <c r="J374" s="37" t="s">
        <v>70</v>
      </c>
      <c r="K374" s="40" t="s">
        <v>5442</v>
      </c>
      <c r="L374" s="37" t="s">
        <v>64</v>
      </c>
      <c r="M374" s="37" t="s">
        <v>5443</v>
      </c>
      <c r="N374" s="37"/>
      <c r="O374" s="37" t="s">
        <v>4054</v>
      </c>
      <c r="P374" s="37" t="s">
        <v>188</v>
      </c>
      <c r="Q374" s="37" t="s">
        <v>71</v>
      </c>
      <c r="R374" s="37"/>
      <c r="S374" s="37"/>
      <c r="T374" s="37" t="s">
        <v>69</v>
      </c>
      <c r="U374" s="37" t="s">
        <v>189</v>
      </c>
      <c r="V374" s="37" t="s">
        <v>77</v>
      </c>
      <c r="W374" s="37" t="s">
        <v>89</v>
      </c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</row>
    <row r="375" spans="1:37">
      <c r="A375" s="37" t="s">
        <v>112</v>
      </c>
      <c r="B375" s="37"/>
      <c r="C375" s="37"/>
      <c r="D375" s="37" t="s">
        <v>527</v>
      </c>
      <c r="E375" s="37" t="s">
        <v>3520</v>
      </c>
      <c r="F375" s="37" t="s">
        <v>3524</v>
      </c>
      <c r="G375" s="37" t="s">
        <v>3521</v>
      </c>
      <c r="H375" s="37"/>
      <c r="I375" s="37" t="s">
        <v>312</v>
      </c>
      <c r="J375" s="37" t="s">
        <v>313</v>
      </c>
      <c r="K375" s="40" t="s">
        <v>314</v>
      </c>
      <c r="L375" s="37" t="s">
        <v>64</v>
      </c>
      <c r="M375" s="37" t="s">
        <v>3522</v>
      </c>
      <c r="N375" s="37"/>
      <c r="O375" s="37" t="s">
        <v>4054</v>
      </c>
      <c r="P375" s="37" t="s">
        <v>156</v>
      </c>
      <c r="Q375" s="37" t="s">
        <v>316</v>
      </c>
      <c r="R375" s="37" t="s">
        <v>3523</v>
      </c>
      <c r="S375" s="37"/>
      <c r="T375" s="37" t="s">
        <v>66</v>
      </c>
      <c r="U375" s="37" t="s">
        <v>254</v>
      </c>
      <c r="V375" s="37" t="s">
        <v>88</v>
      </c>
      <c r="W375" s="37" t="s">
        <v>89</v>
      </c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</row>
    <row r="376" spans="1:37">
      <c r="A376" s="37"/>
      <c r="B376" s="37"/>
      <c r="C376" s="37"/>
      <c r="D376" s="37" t="s">
        <v>117</v>
      </c>
      <c r="E376" s="37" t="s">
        <v>485</v>
      </c>
      <c r="F376" s="37" t="s">
        <v>491</v>
      </c>
      <c r="G376" s="37" t="s">
        <v>486</v>
      </c>
      <c r="H376" s="37"/>
      <c r="I376" s="37" t="s">
        <v>487</v>
      </c>
      <c r="J376" s="37" t="s">
        <v>488</v>
      </c>
      <c r="K376" s="40" t="s">
        <v>489</v>
      </c>
      <c r="L376" s="37" t="s">
        <v>64</v>
      </c>
      <c r="M376" s="37" t="s">
        <v>490</v>
      </c>
      <c r="N376" s="37"/>
      <c r="O376" s="37" t="s">
        <v>4054</v>
      </c>
      <c r="P376" s="37" t="s">
        <v>188</v>
      </c>
      <c r="Q376" s="37" t="s">
        <v>316</v>
      </c>
      <c r="R376" s="37"/>
      <c r="S376" s="37"/>
      <c r="T376" s="37"/>
      <c r="U376" s="37"/>
      <c r="V376" s="37" t="s">
        <v>72</v>
      </c>
      <c r="W376" s="37" t="s">
        <v>78</v>
      </c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</row>
    <row r="377" spans="1:37">
      <c r="A377" s="37"/>
      <c r="B377" s="37"/>
      <c r="C377" s="37"/>
      <c r="D377" s="37" t="s">
        <v>426</v>
      </c>
      <c r="E377" s="37" t="s">
        <v>4281</v>
      </c>
      <c r="F377" s="37" t="s">
        <v>4285</v>
      </c>
      <c r="G377" s="37" t="s">
        <v>4282</v>
      </c>
      <c r="H377" s="37"/>
      <c r="I377" s="37" t="s">
        <v>265</v>
      </c>
      <c r="J377" s="37" t="s">
        <v>75</v>
      </c>
      <c r="K377" s="40" t="s">
        <v>437</v>
      </c>
      <c r="L377" s="37" t="s">
        <v>64</v>
      </c>
      <c r="M377" s="37" t="s">
        <v>4283</v>
      </c>
      <c r="N377" s="37"/>
      <c r="O377" s="37" t="s">
        <v>4054</v>
      </c>
      <c r="P377" s="37" t="s">
        <v>156</v>
      </c>
      <c r="Q377" s="37" t="s">
        <v>10</v>
      </c>
      <c r="R377" s="37" t="s">
        <v>4284</v>
      </c>
      <c r="S377" s="37"/>
      <c r="T377" s="37"/>
      <c r="U377" s="37" t="s">
        <v>87</v>
      </c>
      <c r="V377" s="37" t="s">
        <v>72</v>
      </c>
      <c r="W377" s="37" t="s">
        <v>99</v>
      </c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</row>
    <row r="378" spans="1:37">
      <c r="A378" s="37"/>
      <c r="B378" s="37"/>
      <c r="C378" s="37"/>
      <c r="D378" s="37" t="s">
        <v>4959</v>
      </c>
      <c r="E378" s="37" t="s">
        <v>4043</v>
      </c>
      <c r="F378" s="37" t="s">
        <v>4962</v>
      </c>
      <c r="G378" s="37" t="s">
        <v>4673</v>
      </c>
      <c r="H378" s="37" t="s">
        <v>4960</v>
      </c>
      <c r="I378" s="37" t="s">
        <v>4674</v>
      </c>
      <c r="J378" s="37" t="s">
        <v>324</v>
      </c>
      <c r="K378" s="40" t="s">
        <v>4675</v>
      </c>
      <c r="L378" s="37" t="s">
        <v>64</v>
      </c>
      <c r="M378" s="37" t="s">
        <v>4961</v>
      </c>
      <c r="N378" s="37"/>
      <c r="O378" s="37" t="s">
        <v>4054</v>
      </c>
      <c r="P378" s="37" t="s">
        <v>188</v>
      </c>
      <c r="Q378" s="37" t="s">
        <v>65</v>
      </c>
      <c r="R378" s="37"/>
      <c r="S378" s="37"/>
      <c r="T378" s="37"/>
      <c r="U378" s="37"/>
      <c r="V378" s="37" t="s">
        <v>88</v>
      </c>
      <c r="W378" s="37" t="s">
        <v>89</v>
      </c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</row>
    <row r="379" spans="1:37">
      <c r="A379" s="37"/>
      <c r="B379" s="37"/>
      <c r="C379" s="37"/>
      <c r="D379" s="37" t="s">
        <v>390</v>
      </c>
      <c r="E379" s="37" t="s">
        <v>913</v>
      </c>
      <c r="F379" s="37" t="s">
        <v>918</v>
      </c>
      <c r="G379" s="37" t="s">
        <v>914</v>
      </c>
      <c r="H379" s="37"/>
      <c r="I379" s="37" t="s">
        <v>915</v>
      </c>
      <c r="J379" s="37" t="s">
        <v>320</v>
      </c>
      <c r="K379" s="40" t="s">
        <v>916</v>
      </c>
      <c r="L379" s="37" t="s">
        <v>64</v>
      </c>
      <c r="M379" s="37" t="s">
        <v>917</v>
      </c>
      <c r="N379" s="37"/>
      <c r="O379" s="37" t="s">
        <v>4054</v>
      </c>
      <c r="P379" s="37" t="s">
        <v>156</v>
      </c>
      <c r="Q379" s="37" t="s">
        <v>4</v>
      </c>
      <c r="R379" s="37"/>
      <c r="S379" s="37"/>
      <c r="T379" s="37" t="s">
        <v>66</v>
      </c>
      <c r="U379" s="37"/>
      <c r="V379" s="37" t="s">
        <v>88</v>
      </c>
      <c r="W379" s="37" t="s">
        <v>78</v>
      </c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</row>
    <row r="380" spans="1:37">
      <c r="A380" s="37"/>
      <c r="B380" s="37"/>
      <c r="C380" s="37"/>
      <c r="D380" s="37" t="s">
        <v>363</v>
      </c>
      <c r="E380" s="37" t="s">
        <v>1002</v>
      </c>
      <c r="F380" s="37" t="s">
        <v>1006</v>
      </c>
      <c r="G380" s="37" t="s">
        <v>1003</v>
      </c>
      <c r="H380" s="37" t="s">
        <v>982</v>
      </c>
      <c r="I380" s="37" t="s">
        <v>265</v>
      </c>
      <c r="J380" s="37" t="s">
        <v>75</v>
      </c>
      <c r="K380" s="40" t="s">
        <v>437</v>
      </c>
      <c r="L380" s="37" t="s">
        <v>64</v>
      </c>
      <c r="M380" s="37" t="s">
        <v>1004</v>
      </c>
      <c r="N380" s="37"/>
      <c r="O380" s="37" t="s">
        <v>4054</v>
      </c>
      <c r="P380" s="37" t="s">
        <v>156</v>
      </c>
      <c r="Q380" s="37" t="s">
        <v>10</v>
      </c>
      <c r="R380" s="37" t="s">
        <v>1005</v>
      </c>
      <c r="S380" s="37"/>
      <c r="T380" s="37" t="s">
        <v>158</v>
      </c>
      <c r="U380" s="37" t="s">
        <v>145</v>
      </c>
      <c r="V380" s="37" t="s">
        <v>72</v>
      </c>
      <c r="W380" s="37" t="s">
        <v>89</v>
      </c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</row>
    <row r="381" spans="1:37">
      <c r="A381" s="37"/>
      <c r="B381" s="37"/>
      <c r="C381" s="37"/>
      <c r="D381" s="37" t="s">
        <v>286</v>
      </c>
      <c r="E381" s="37" t="s">
        <v>1007</v>
      </c>
      <c r="F381" s="37" t="s">
        <v>1012</v>
      </c>
      <c r="G381" s="37" t="s">
        <v>1008</v>
      </c>
      <c r="H381" s="37"/>
      <c r="I381" s="37" t="s">
        <v>1009</v>
      </c>
      <c r="J381" s="37" t="s">
        <v>320</v>
      </c>
      <c r="K381" s="40" t="s">
        <v>1010</v>
      </c>
      <c r="L381" s="37" t="s">
        <v>64</v>
      </c>
      <c r="M381" s="37" t="s">
        <v>1011</v>
      </c>
      <c r="N381" s="37"/>
      <c r="O381" s="37" t="s">
        <v>4054</v>
      </c>
      <c r="P381" s="37" t="s">
        <v>188</v>
      </c>
      <c r="Q381" s="37" t="s">
        <v>4</v>
      </c>
      <c r="R381" s="37"/>
      <c r="S381" s="37"/>
      <c r="T381" s="37" t="s">
        <v>66</v>
      </c>
      <c r="U381" s="37" t="s">
        <v>182</v>
      </c>
      <c r="V381" s="37" t="s">
        <v>88</v>
      </c>
      <c r="W381" s="37" t="s">
        <v>78</v>
      </c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</row>
    <row r="382" spans="1:37">
      <c r="A382" s="37"/>
      <c r="B382" s="37"/>
      <c r="C382" s="37"/>
      <c r="D382" s="37" t="s">
        <v>5376</v>
      </c>
      <c r="E382" s="37" t="s">
        <v>1985</v>
      </c>
      <c r="F382" s="37" t="s">
        <v>5380</v>
      </c>
      <c r="G382" s="37" t="s">
        <v>5377</v>
      </c>
      <c r="H382" s="37" t="s">
        <v>982</v>
      </c>
      <c r="I382" s="37" t="s">
        <v>265</v>
      </c>
      <c r="J382" s="37" t="s">
        <v>75</v>
      </c>
      <c r="K382" s="40" t="s">
        <v>437</v>
      </c>
      <c r="L382" s="37" t="s">
        <v>64</v>
      </c>
      <c r="M382" s="37" t="s">
        <v>5378</v>
      </c>
      <c r="N382" s="37"/>
      <c r="O382" s="37" t="s">
        <v>4054</v>
      </c>
      <c r="P382" s="37" t="s">
        <v>156</v>
      </c>
      <c r="Q382" s="37" t="s">
        <v>10</v>
      </c>
      <c r="R382" s="37" t="s">
        <v>5379</v>
      </c>
      <c r="S382" s="37"/>
      <c r="T382" s="37" t="s">
        <v>115</v>
      </c>
      <c r="U382" s="37"/>
      <c r="V382" s="37" t="s">
        <v>118</v>
      </c>
      <c r="W382" s="37" t="s">
        <v>89</v>
      </c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</row>
    <row r="383" spans="1:37">
      <c r="A383" s="37"/>
      <c r="B383" s="37"/>
      <c r="C383" s="37"/>
      <c r="D383" s="37" t="s">
        <v>5335</v>
      </c>
      <c r="E383" s="37" t="s">
        <v>5336</v>
      </c>
      <c r="F383" s="37" t="s">
        <v>5341</v>
      </c>
      <c r="G383" s="37" t="s">
        <v>5337</v>
      </c>
      <c r="H383" s="37"/>
      <c r="I383" s="37" t="s">
        <v>265</v>
      </c>
      <c r="J383" s="37" t="s">
        <v>75</v>
      </c>
      <c r="K383" s="40" t="s">
        <v>5338</v>
      </c>
      <c r="L383" s="37" t="s">
        <v>64</v>
      </c>
      <c r="M383" s="37" t="s">
        <v>5339</v>
      </c>
      <c r="N383" s="37" t="s">
        <v>5340</v>
      </c>
      <c r="O383" s="37" t="s">
        <v>4054</v>
      </c>
      <c r="P383" s="37" t="s">
        <v>156</v>
      </c>
      <c r="Q383" s="37" t="s">
        <v>10</v>
      </c>
      <c r="R383" s="37"/>
      <c r="S383" s="37"/>
      <c r="T383" s="37" t="s">
        <v>69</v>
      </c>
      <c r="U383" s="37" t="s">
        <v>145</v>
      </c>
      <c r="V383" s="37" t="s">
        <v>72</v>
      </c>
      <c r="W383" s="37" t="s">
        <v>89</v>
      </c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</row>
    <row r="384" spans="1:37">
      <c r="A384" s="37"/>
      <c r="B384" s="37"/>
      <c r="C384" s="37"/>
      <c r="D384" s="37" t="s">
        <v>426</v>
      </c>
      <c r="E384" s="37" t="s">
        <v>1135</v>
      </c>
      <c r="F384" s="37" t="s">
        <v>2737</v>
      </c>
      <c r="G384" s="37" t="s">
        <v>1023</v>
      </c>
      <c r="H384" s="37"/>
      <c r="I384" s="37" t="s">
        <v>994</v>
      </c>
      <c r="J384" s="37" t="s">
        <v>105</v>
      </c>
      <c r="K384" s="40" t="s">
        <v>1024</v>
      </c>
      <c r="L384" s="37" t="s">
        <v>64</v>
      </c>
      <c r="M384" s="37" t="s">
        <v>2734</v>
      </c>
      <c r="N384" s="37" t="s">
        <v>2735</v>
      </c>
      <c r="O384" s="37" t="s">
        <v>4054</v>
      </c>
      <c r="P384" s="37" t="s">
        <v>156</v>
      </c>
      <c r="Q384" s="37" t="s">
        <v>71</v>
      </c>
      <c r="R384" s="37" t="s">
        <v>2736</v>
      </c>
      <c r="S384" s="37"/>
      <c r="T384" s="37" t="s">
        <v>69</v>
      </c>
      <c r="U384" s="37" t="s">
        <v>145</v>
      </c>
      <c r="V384" s="37" t="s">
        <v>77</v>
      </c>
      <c r="W384" s="37" t="s">
        <v>89</v>
      </c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</row>
    <row r="385" spans="1:37">
      <c r="A385" s="37"/>
      <c r="B385" s="37"/>
      <c r="C385" s="37"/>
      <c r="D385" s="37" t="s">
        <v>1137</v>
      </c>
      <c r="E385" s="37" t="s">
        <v>1138</v>
      </c>
      <c r="F385" s="37" t="s">
        <v>1142</v>
      </c>
      <c r="G385" s="37" t="s">
        <v>1139</v>
      </c>
      <c r="H385" s="37" t="s">
        <v>1140</v>
      </c>
      <c r="I385" s="37" t="s">
        <v>152</v>
      </c>
      <c r="J385" s="37" t="s">
        <v>153</v>
      </c>
      <c r="K385" s="40" t="s">
        <v>154</v>
      </c>
      <c r="L385" s="37" t="s">
        <v>64</v>
      </c>
      <c r="M385" s="37" t="s">
        <v>1141</v>
      </c>
      <c r="N385" s="37"/>
      <c r="O385" s="37" t="s">
        <v>4054</v>
      </c>
      <c r="P385" s="37" t="s">
        <v>188</v>
      </c>
      <c r="Q385" s="37" t="s">
        <v>16</v>
      </c>
      <c r="R385" s="37"/>
      <c r="S385" s="37"/>
      <c r="T385" s="37"/>
      <c r="U385" s="37" t="s">
        <v>87</v>
      </c>
      <c r="V385" s="37" t="s">
        <v>88</v>
      </c>
      <c r="W385" s="37" t="s">
        <v>89</v>
      </c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</row>
    <row r="386" spans="1:37">
      <c r="A386" s="37" t="s">
        <v>472</v>
      </c>
      <c r="B386" s="37"/>
      <c r="C386" s="37"/>
      <c r="D386" s="37" t="s">
        <v>1646</v>
      </c>
      <c r="E386" s="37" t="s">
        <v>3712</v>
      </c>
      <c r="F386" s="37" t="s">
        <v>4958</v>
      </c>
      <c r="G386" s="37" t="s">
        <v>4955</v>
      </c>
      <c r="H386" s="37" t="s">
        <v>3615</v>
      </c>
      <c r="I386" s="37" t="s">
        <v>1610</v>
      </c>
      <c r="J386" s="37" t="s">
        <v>208</v>
      </c>
      <c r="K386" s="40" t="s">
        <v>1611</v>
      </c>
      <c r="L386" s="37" t="s">
        <v>64</v>
      </c>
      <c r="M386" s="37" t="s">
        <v>4956</v>
      </c>
      <c r="N386" s="37" t="s">
        <v>4957</v>
      </c>
      <c r="O386" s="37" t="s">
        <v>4054</v>
      </c>
      <c r="P386" s="37" t="s">
        <v>188</v>
      </c>
      <c r="Q386" s="37" t="s">
        <v>18</v>
      </c>
      <c r="R386" s="37"/>
      <c r="S386" s="37"/>
      <c r="T386" s="37" t="s">
        <v>115</v>
      </c>
      <c r="U386" s="37" t="s">
        <v>182</v>
      </c>
      <c r="V386" s="37" t="s">
        <v>72</v>
      </c>
      <c r="W386" s="37" t="s">
        <v>89</v>
      </c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</row>
    <row r="387" spans="1:37">
      <c r="A387" s="37" t="s">
        <v>250</v>
      </c>
      <c r="B387" s="37"/>
      <c r="C387" s="37"/>
      <c r="D387" s="37" t="s">
        <v>4671</v>
      </c>
      <c r="E387" s="37" t="s">
        <v>3433</v>
      </c>
      <c r="F387" s="37" t="s">
        <v>4679</v>
      </c>
      <c r="G387" s="37" t="s">
        <v>4672</v>
      </c>
      <c r="H387" s="37" t="s">
        <v>4673</v>
      </c>
      <c r="I387" s="37" t="s">
        <v>4674</v>
      </c>
      <c r="J387" s="37" t="s">
        <v>324</v>
      </c>
      <c r="K387" s="40" t="s">
        <v>4675</v>
      </c>
      <c r="L387" s="37" t="s">
        <v>64</v>
      </c>
      <c r="M387" s="37" t="s">
        <v>4676</v>
      </c>
      <c r="N387" s="37" t="s">
        <v>4677</v>
      </c>
      <c r="O387" s="37" t="s">
        <v>4054</v>
      </c>
      <c r="P387" s="37" t="s">
        <v>188</v>
      </c>
      <c r="Q387" s="37" t="s">
        <v>65</v>
      </c>
      <c r="R387" s="37" t="s">
        <v>4678</v>
      </c>
      <c r="S387" s="37"/>
      <c r="T387" s="37" t="s">
        <v>158</v>
      </c>
      <c r="U387" s="37" t="s">
        <v>87</v>
      </c>
      <c r="V387" s="37" t="s">
        <v>88</v>
      </c>
      <c r="W387" s="37" t="s">
        <v>89</v>
      </c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</row>
    <row r="388" spans="1:37">
      <c r="A388" s="37"/>
      <c r="B388" s="37"/>
      <c r="C388" s="37"/>
      <c r="D388" s="37" t="s">
        <v>2269</v>
      </c>
      <c r="E388" s="37" t="s">
        <v>4456</v>
      </c>
      <c r="F388" s="37" t="s">
        <v>4461</v>
      </c>
      <c r="G388" s="37" t="s">
        <v>4457</v>
      </c>
      <c r="H388" s="37" t="s">
        <v>4458</v>
      </c>
      <c r="I388" s="37" t="s">
        <v>4459</v>
      </c>
      <c r="J388" s="37" t="s">
        <v>200</v>
      </c>
      <c r="K388" s="40" t="s">
        <v>3975</v>
      </c>
      <c r="L388" s="37" t="s">
        <v>64</v>
      </c>
      <c r="M388" s="37" t="s">
        <v>4460</v>
      </c>
      <c r="N388" s="37"/>
      <c r="O388" s="37" t="s">
        <v>4054</v>
      </c>
      <c r="P388" s="37" t="s">
        <v>156</v>
      </c>
      <c r="Q388" s="37" t="s">
        <v>18</v>
      </c>
      <c r="R388" s="37"/>
      <c r="S388" s="37"/>
      <c r="T388" s="37"/>
      <c r="U388" s="37"/>
      <c r="V388" s="37" t="s">
        <v>77</v>
      </c>
      <c r="W388" s="37" t="s">
        <v>73</v>
      </c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</row>
    <row r="389" spans="1:37">
      <c r="A389" s="37"/>
      <c r="B389" s="37"/>
      <c r="C389" s="37"/>
      <c r="D389" s="37" t="s">
        <v>1381</v>
      </c>
      <c r="E389" s="37" t="s">
        <v>1374</v>
      </c>
      <c r="F389" s="37" t="s">
        <v>1386</v>
      </c>
      <c r="G389" s="37" t="s">
        <v>1382</v>
      </c>
      <c r="H389" s="37"/>
      <c r="I389" s="37" t="s">
        <v>1383</v>
      </c>
      <c r="J389" s="37" t="s">
        <v>324</v>
      </c>
      <c r="K389" s="40" t="s">
        <v>1384</v>
      </c>
      <c r="L389" s="37" t="s">
        <v>64</v>
      </c>
      <c r="M389" s="37" t="s">
        <v>1385</v>
      </c>
      <c r="N389" s="37"/>
      <c r="O389" s="37" t="s">
        <v>4054</v>
      </c>
      <c r="P389" s="37" t="s">
        <v>188</v>
      </c>
      <c r="Q389" s="37" t="s">
        <v>65</v>
      </c>
      <c r="R389" s="37"/>
      <c r="S389" s="37"/>
      <c r="T389" s="37" t="s">
        <v>69</v>
      </c>
      <c r="U389" s="37" t="s">
        <v>185</v>
      </c>
      <c r="V389" s="37" t="s">
        <v>77</v>
      </c>
      <c r="W389" s="37" t="s">
        <v>78</v>
      </c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</row>
    <row r="390" spans="1:37">
      <c r="A390" s="37" t="s">
        <v>112</v>
      </c>
      <c r="B390" s="37"/>
      <c r="C390" s="37"/>
      <c r="D390" s="37" t="s">
        <v>6092</v>
      </c>
      <c r="E390" s="37" t="s">
        <v>6093</v>
      </c>
      <c r="F390" s="37" t="s">
        <v>6094</v>
      </c>
      <c r="G390" s="37" t="s">
        <v>6095</v>
      </c>
      <c r="H390" s="37"/>
      <c r="I390" s="37" t="s">
        <v>82</v>
      </c>
      <c r="J390" s="37" t="s">
        <v>83</v>
      </c>
      <c r="K390" s="40" t="s">
        <v>6096</v>
      </c>
      <c r="L390" s="37" t="s">
        <v>64</v>
      </c>
      <c r="M390" s="37" t="s">
        <v>6097</v>
      </c>
      <c r="N390" s="37" t="s">
        <v>6098</v>
      </c>
      <c r="O390" s="37" t="s">
        <v>4054</v>
      </c>
      <c r="P390" s="37" t="s">
        <v>156</v>
      </c>
      <c r="Q390" s="37" t="s">
        <v>71</v>
      </c>
      <c r="R390" s="37" t="s">
        <v>6099</v>
      </c>
      <c r="S390" s="37"/>
      <c r="T390" s="37" t="s">
        <v>66</v>
      </c>
      <c r="U390" s="37" t="s">
        <v>971</v>
      </c>
      <c r="V390" s="37" t="s">
        <v>72</v>
      </c>
      <c r="W390" s="37" t="s">
        <v>89</v>
      </c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</row>
    <row r="391" spans="1:37">
      <c r="A391" s="37"/>
      <c r="B391" s="37"/>
      <c r="C391" s="37"/>
      <c r="D391" s="37" t="s">
        <v>563</v>
      </c>
      <c r="E391" s="37" t="s">
        <v>1531</v>
      </c>
      <c r="F391" s="37" t="s">
        <v>4953</v>
      </c>
      <c r="G391" s="37" t="s">
        <v>4951</v>
      </c>
      <c r="H391" s="37" t="s">
        <v>540</v>
      </c>
      <c r="I391" s="37" t="s">
        <v>541</v>
      </c>
      <c r="J391" s="37" t="s">
        <v>313</v>
      </c>
      <c r="K391" s="40" t="s">
        <v>542</v>
      </c>
      <c r="L391" s="37" t="s">
        <v>64</v>
      </c>
      <c r="M391" s="37" t="s">
        <v>4952</v>
      </c>
      <c r="N391" s="37"/>
      <c r="O391" s="37" t="s">
        <v>4054</v>
      </c>
      <c r="P391" s="37" t="s">
        <v>188</v>
      </c>
      <c r="Q391" s="37" t="s">
        <v>316</v>
      </c>
      <c r="R391" s="37"/>
      <c r="S391" s="37"/>
      <c r="T391" s="37" t="s">
        <v>158</v>
      </c>
      <c r="U391" s="37" t="s">
        <v>189</v>
      </c>
      <c r="V391" s="37" t="s">
        <v>77</v>
      </c>
      <c r="W391" s="37" t="s">
        <v>73</v>
      </c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</row>
    <row r="392" spans="1:37">
      <c r="A392" s="37"/>
      <c r="B392" s="37"/>
      <c r="C392" s="37"/>
      <c r="D392" s="37" t="s">
        <v>939</v>
      </c>
      <c r="E392" s="37" t="s">
        <v>4188</v>
      </c>
      <c r="F392" s="37" t="s">
        <v>4193</v>
      </c>
      <c r="G392" s="37" t="s">
        <v>4189</v>
      </c>
      <c r="H392" s="37"/>
      <c r="I392" s="37" t="s">
        <v>964</v>
      </c>
      <c r="J392" s="37" t="s">
        <v>125</v>
      </c>
      <c r="K392" s="40" t="s">
        <v>4190</v>
      </c>
      <c r="L392" s="37" t="s">
        <v>64</v>
      </c>
      <c r="M392" s="37" t="s">
        <v>4191</v>
      </c>
      <c r="N392" s="37" t="s">
        <v>4192</v>
      </c>
      <c r="O392" s="37" t="s">
        <v>4054</v>
      </c>
      <c r="P392" s="37" t="s">
        <v>188</v>
      </c>
      <c r="Q392" s="37" t="s">
        <v>126</v>
      </c>
      <c r="R392" s="37"/>
      <c r="S392" s="37"/>
      <c r="T392" s="37"/>
      <c r="U392" s="37"/>
      <c r="V392" s="37" t="s">
        <v>72</v>
      </c>
      <c r="W392" s="37" t="s">
        <v>99</v>
      </c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</row>
    <row r="393" spans="1:37">
      <c r="A393" s="37"/>
      <c r="B393" s="37"/>
      <c r="C393" s="37"/>
      <c r="D393" s="37" t="s">
        <v>349</v>
      </c>
      <c r="E393" s="37" t="s">
        <v>3689</v>
      </c>
      <c r="F393" s="37" t="s">
        <v>3691</v>
      </c>
      <c r="G393" s="37" t="s">
        <v>3690</v>
      </c>
      <c r="H393" s="37"/>
      <c r="I393" s="37" t="s">
        <v>420</v>
      </c>
      <c r="J393" s="37" t="s">
        <v>75</v>
      </c>
      <c r="K393" s="40" t="s">
        <v>1648</v>
      </c>
      <c r="L393" s="37" t="s">
        <v>64</v>
      </c>
      <c r="M393" s="37" t="s">
        <v>3472</v>
      </c>
      <c r="N393" s="37"/>
      <c r="O393" s="37" t="s">
        <v>4054</v>
      </c>
      <c r="P393" s="37" t="s">
        <v>188</v>
      </c>
      <c r="Q393" s="37" t="s">
        <v>10</v>
      </c>
      <c r="R393" s="37"/>
      <c r="S393" s="37"/>
      <c r="T393" s="37"/>
      <c r="U393" s="37"/>
      <c r="V393" s="37" t="s">
        <v>72</v>
      </c>
      <c r="W393" s="37" t="s">
        <v>204</v>
      </c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</row>
    <row r="394" spans="1:37">
      <c r="A394" s="37"/>
      <c r="B394" s="37"/>
      <c r="C394" s="37"/>
      <c r="D394" s="37" t="s">
        <v>1609</v>
      </c>
      <c r="E394" s="37" t="s">
        <v>6100</v>
      </c>
      <c r="F394" s="37" t="s">
        <v>6101</v>
      </c>
      <c r="G394" s="37" t="s">
        <v>6102</v>
      </c>
      <c r="H394" s="37"/>
      <c r="I394" s="37" t="s">
        <v>265</v>
      </c>
      <c r="J394" s="37" t="s">
        <v>75</v>
      </c>
      <c r="K394" s="40" t="s">
        <v>437</v>
      </c>
      <c r="L394" s="37" t="s">
        <v>64</v>
      </c>
      <c r="M394" s="37" t="s">
        <v>6103</v>
      </c>
      <c r="N394" s="37"/>
      <c r="O394" s="37" t="s">
        <v>4054</v>
      </c>
      <c r="P394" s="37" t="s">
        <v>156</v>
      </c>
      <c r="Q394" s="37" t="s">
        <v>10</v>
      </c>
      <c r="R394" s="37"/>
      <c r="S394" s="37"/>
      <c r="T394" s="37" t="s">
        <v>115</v>
      </c>
      <c r="U394" s="37"/>
      <c r="V394" s="37" t="s">
        <v>72</v>
      </c>
      <c r="W394" s="37" t="s">
        <v>89</v>
      </c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</row>
    <row r="395" spans="1:37">
      <c r="A395" s="37"/>
      <c r="B395" s="37"/>
      <c r="C395" s="37"/>
      <c r="D395" s="37" t="s">
        <v>974</v>
      </c>
      <c r="E395" s="37" t="s">
        <v>1597</v>
      </c>
      <c r="F395" s="37" t="s">
        <v>1601</v>
      </c>
      <c r="G395" s="37" t="s">
        <v>1598</v>
      </c>
      <c r="H395" s="37"/>
      <c r="I395" s="37" t="s">
        <v>276</v>
      </c>
      <c r="J395" s="37" t="s">
        <v>70</v>
      </c>
      <c r="K395" s="40" t="s">
        <v>1599</v>
      </c>
      <c r="L395" s="37" t="s">
        <v>64</v>
      </c>
      <c r="M395" s="37" t="s">
        <v>1600</v>
      </c>
      <c r="N395" s="37"/>
      <c r="O395" s="37" t="s">
        <v>4054</v>
      </c>
      <c r="P395" s="37" t="s">
        <v>188</v>
      </c>
      <c r="Q395" s="37" t="s">
        <v>71</v>
      </c>
      <c r="R395" s="37"/>
      <c r="S395" s="37"/>
      <c r="T395" s="37" t="s">
        <v>66</v>
      </c>
      <c r="U395" s="37" t="s">
        <v>145</v>
      </c>
      <c r="V395" s="37" t="s">
        <v>72</v>
      </c>
      <c r="W395" s="37" t="s">
        <v>89</v>
      </c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</row>
    <row r="396" spans="1:37">
      <c r="A396" s="37"/>
      <c r="B396" s="37"/>
      <c r="C396" s="37"/>
      <c r="D396" s="37" t="s">
        <v>1479</v>
      </c>
      <c r="E396" s="37" t="s">
        <v>444</v>
      </c>
      <c r="F396" s="37" t="s">
        <v>6104</v>
      </c>
      <c r="G396" s="37" t="s">
        <v>6105</v>
      </c>
      <c r="H396" s="37"/>
      <c r="I396" s="37" t="s">
        <v>994</v>
      </c>
      <c r="J396" s="37" t="s">
        <v>105</v>
      </c>
      <c r="K396" s="40" t="s">
        <v>1072</v>
      </c>
      <c r="L396" s="37" t="s">
        <v>64</v>
      </c>
      <c r="M396" s="37" t="s">
        <v>6106</v>
      </c>
      <c r="N396" s="37"/>
      <c r="O396" s="37" t="s">
        <v>4054</v>
      </c>
      <c r="P396" s="37" t="s">
        <v>156</v>
      </c>
      <c r="Q396" s="37" t="s">
        <v>71</v>
      </c>
      <c r="R396" s="37" t="s">
        <v>6107</v>
      </c>
      <c r="S396" s="37"/>
      <c r="T396" s="37" t="s">
        <v>66</v>
      </c>
      <c r="U396" s="37" t="s">
        <v>109</v>
      </c>
      <c r="V396" s="37" t="s">
        <v>88</v>
      </c>
      <c r="W396" s="37" t="s">
        <v>89</v>
      </c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</row>
    <row r="397" spans="1:37">
      <c r="A397" s="37"/>
      <c r="B397" s="37"/>
      <c r="C397" s="37"/>
      <c r="D397" s="37" t="s">
        <v>160</v>
      </c>
      <c r="E397" s="37" t="s">
        <v>1647</v>
      </c>
      <c r="F397" s="37" t="s">
        <v>1650</v>
      </c>
      <c r="G397" s="37" t="s">
        <v>4648</v>
      </c>
      <c r="H397" s="37"/>
      <c r="I397" s="37" t="s">
        <v>265</v>
      </c>
      <c r="J397" s="37" t="s">
        <v>75</v>
      </c>
      <c r="K397" s="40" t="s">
        <v>437</v>
      </c>
      <c r="L397" s="37" t="s">
        <v>64</v>
      </c>
      <c r="M397" s="37" t="s">
        <v>1649</v>
      </c>
      <c r="N397" s="37"/>
      <c r="O397" s="37" t="s">
        <v>4054</v>
      </c>
      <c r="P397" s="37" t="s">
        <v>156</v>
      </c>
      <c r="Q397" s="37" t="s">
        <v>10</v>
      </c>
      <c r="R397" s="37"/>
      <c r="S397" s="37"/>
      <c r="T397" s="37"/>
      <c r="U397" s="37" t="s">
        <v>185</v>
      </c>
      <c r="V397" s="37" t="s">
        <v>72</v>
      </c>
      <c r="W397" s="37" t="s">
        <v>89</v>
      </c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</row>
    <row r="398" spans="1:37">
      <c r="A398" s="37"/>
      <c r="B398" s="37"/>
      <c r="C398" s="37"/>
      <c r="D398" s="37" t="s">
        <v>581</v>
      </c>
      <c r="E398" s="37" t="s">
        <v>1659</v>
      </c>
      <c r="F398" s="37" t="s">
        <v>4225</v>
      </c>
      <c r="G398" s="37" t="s">
        <v>4221</v>
      </c>
      <c r="H398" s="37"/>
      <c r="I398" s="37" t="s">
        <v>416</v>
      </c>
      <c r="J398" s="37" t="s">
        <v>75</v>
      </c>
      <c r="K398" s="40" t="s">
        <v>4222</v>
      </c>
      <c r="L398" s="37" t="s">
        <v>64</v>
      </c>
      <c r="M398" s="37" t="s">
        <v>4223</v>
      </c>
      <c r="N398" s="37" t="s">
        <v>4224</v>
      </c>
      <c r="O398" s="37" t="s">
        <v>4054</v>
      </c>
      <c r="P398" s="37" t="s">
        <v>188</v>
      </c>
      <c r="Q398" s="37" t="s">
        <v>10</v>
      </c>
      <c r="R398" s="37"/>
      <c r="S398" s="37"/>
      <c r="T398" s="37" t="s">
        <v>66</v>
      </c>
      <c r="U398" s="37" t="s">
        <v>185</v>
      </c>
      <c r="V398" s="37" t="s">
        <v>77</v>
      </c>
      <c r="W398" s="37" t="s">
        <v>78</v>
      </c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</row>
    <row r="399" spans="1:37">
      <c r="A399" s="37"/>
      <c r="B399" s="37"/>
      <c r="C399" s="37"/>
      <c r="D399" s="37" t="s">
        <v>4157</v>
      </c>
      <c r="E399" s="37" t="s">
        <v>3030</v>
      </c>
      <c r="F399" s="37" t="s">
        <v>5294</v>
      </c>
      <c r="G399" s="37" t="s">
        <v>5292</v>
      </c>
      <c r="H399" s="37"/>
      <c r="I399" s="37" t="s">
        <v>152</v>
      </c>
      <c r="J399" s="37" t="s">
        <v>153</v>
      </c>
      <c r="K399" s="40" t="s">
        <v>154</v>
      </c>
      <c r="L399" s="37" t="s">
        <v>64</v>
      </c>
      <c r="M399" s="37" t="s">
        <v>5293</v>
      </c>
      <c r="N399" s="37"/>
      <c r="O399" s="37" t="s">
        <v>4054</v>
      </c>
      <c r="P399" s="37" t="s">
        <v>422</v>
      </c>
      <c r="Q399" s="37" t="s">
        <v>16</v>
      </c>
      <c r="R399" s="37"/>
      <c r="S399" s="37"/>
      <c r="T399" s="37"/>
      <c r="U399" s="37"/>
      <c r="V399" s="37" t="s">
        <v>72</v>
      </c>
      <c r="W399" s="37" t="s">
        <v>756</v>
      </c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</row>
    <row r="400" spans="1:37">
      <c r="A400" s="37"/>
      <c r="B400" s="37"/>
      <c r="C400" s="37"/>
      <c r="D400" s="37" t="s">
        <v>1676</v>
      </c>
      <c r="E400" s="37" t="s">
        <v>1677</v>
      </c>
      <c r="F400" s="37" t="s">
        <v>1682</v>
      </c>
      <c r="G400" s="37" t="s">
        <v>1678</v>
      </c>
      <c r="H400" s="37"/>
      <c r="I400" s="37" t="s">
        <v>420</v>
      </c>
      <c r="J400" s="37" t="s">
        <v>75</v>
      </c>
      <c r="K400" s="40" t="s">
        <v>1679</v>
      </c>
      <c r="L400" s="37" t="s">
        <v>64</v>
      </c>
      <c r="M400" s="37" t="s">
        <v>1680</v>
      </c>
      <c r="N400" s="37" t="s">
        <v>1681</v>
      </c>
      <c r="O400" s="37" t="s">
        <v>4054</v>
      </c>
      <c r="P400" s="37" t="s">
        <v>188</v>
      </c>
      <c r="Q400" s="37" t="s">
        <v>10</v>
      </c>
      <c r="R400" s="37"/>
      <c r="S400" s="37"/>
      <c r="T400" s="37" t="s">
        <v>66</v>
      </c>
      <c r="U400" s="37" t="s">
        <v>69</v>
      </c>
      <c r="V400" s="37" t="s">
        <v>77</v>
      </c>
      <c r="W400" s="37" t="s">
        <v>135</v>
      </c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</row>
    <row r="401" spans="1:37">
      <c r="A401" s="37" t="s">
        <v>1317</v>
      </c>
      <c r="B401" s="37"/>
      <c r="C401" s="37"/>
      <c r="D401" s="37" t="s">
        <v>3668</v>
      </c>
      <c r="E401" s="37" t="s">
        <v>1751</v>
      </c>
      <c r="F401" s="37" t="s">
        <v>3672</v>
      </c>
      <c r="G401" s="37" t="s">
        <v>3669</v>
      </c>
      <c r="H401" s="37"/>
      <c r="I401" s="37" t="s">
        <v>1455</v>
      </c>
      <c r="J401" s="37" t="s">
        <v>121</v>
      </c>
      <c r="K401" s="40" t="s">
        <v>3670</v>
      </c>
      <c r="L401" s="37" t="s">
        <v>64</v>
      </c>
      <c r="M401" s="37" t="s">
        <v>3671</v>
      </c>
      <c r="N401" s="37"/>
      <c r="O401" s="37" t="s">
        <v>4054</v>
      </c>
      <c r="P401" s="37" t="s">
        <v>188</v>
      </c>
      <c r="Q401" s="37" t="s">
        <v>71</v>
      </c>
      <c r="R401" s="37"/>
      <c r="S401" s="37"/>
      <c r="T401" s="37" t="s">
        <v>158</v>
      </c>
      <c r="U401" s="37" t="s">
        <v>767</v>
      </c>
      <c r="V401" s="37" t="s">
        <v>118</v>
      </c>
      <c r="W401" s="37" t="s">
        <v>78</v>
      </c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</row>
    <row r="402" spans="1:37">
      <c r="A402" s="37"/>
      <c r="B402" s="37"/>
      <c r="C402" s="37"/>
      <c r="D402" s="37" t="s">
        <v>1223</v>
      </c>
      <c r="E402" s="37" t="s">
        <v>4929</v>
      </c>
      <c r="F402" s="37" t="s">
        <v>4869</v>
      </c>
      <c r="G402" s="37" t="s">
        <v>4930</v>
      </c>
      <c r="H402" s="37"/>
      <c r="I402" s="37" t="s">
        <v>994</v>
      </c>
      <c r="J402" s="37" t="s">
        <v>105</v>
      </c>
      <c r="K402" s="40" t="s">
        <v>1072</v>
      </c>
      <c r="L402" s="37" t="s">
        <v>64</v>
      </c>
      <c r="M402" s="37" t="s">
        <v>4868</v>
      </c>
      <c r="N402" s="37"/>
      <c r="O402" s="37" t="s">
        <v>4054</v>
      </c>
      <c r="P402" s="37" t="s">
        <v>156</v>
      </c>
      <c r="Q402" s="37" t="s">
        <v>71</v>
      </c>
      <c r="R402" s="37"/>
      <c r="S402" s="37"/>
      <c r="T402" s="37"/>
      <c r="U402" s="37" t="s">
        <v>87</v>
      </c>
      <c r="V402" s="37" t="s">
        <v>72</v>
      </c>
      <c r="W402" s="37" t="s">
        <v>89</v>
      </c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</row>
    <row r="403" spans="1:37">
      <c r="A403" s="37"/>
      <c r="B403" s="37"/>
      <c r="C403" s="37"/>
      <c r="D403" s="37" t="s">
        <v>1001</v>
      </c>
      <c r="E403" s="37" t="s">
        <v>1933</v>
      </c>
      <c r="F403" s="37" t="s">
        <v>4426</v>
      </c>
      <c r="G403" s="37" t="s">
        <v>4424</v>
      </c>
      <c r="H403" s="37"/>
      <c r="I403" s="37" t="s">
        <v>152</v>
      </c>
      <c r="J403" s="37" t="s">
        <v>153</v>
      </c>
      <c r="K403" s="40" t="s">
        <v>154</v>
      </c>
      <c r="L403" s="37" t="s">
        <v>64</v>
      </c>
      <c r="M403" s="37" t="s">
        <v>4425</v>
      </c>
      <c r="N403" s="37"/>
      <c r="O403" s="37" t="s">
        <v>4054</v>
      </c>
      <c r="P403" s="37" t="s">
        <v>156</v>
      </c>
      <c r="Q403" s="37" t="s">
        <v>16</v>
      </c>
      <c r="R403" s="37" t="s">
        <v>121</v>
      </c>
      <c r="S403" s="37"/>
      <c r="T403" s="37" t="s">
        <v>66</v>
      </c>
      <c r="U403" s="37" t="s">
        <v>145</v>
      </c>
      <c r="V403" s="37" t="s">
        <v>72</v>
      </c>
      <c r="W403" s="37" t="s">
        <v>89</v>
      </c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</row>
    <row r="404" spans="1:37">
      <c r="A404" s="37"/>
      <c r="B404" s="37"/>
      <c r="C404" s="37"/>
      <c r="D404" s="37" t="s">
        <v>286</v>
      </c>
      <c r="E404" s="37" t="s">
        <v>3341</v>
      </c>
      <c r="F404" s="37" t="s">
        <v>3344</v>
      </c>
      <c r="G404" s="37" t="s">
        <v>3497</v>
      </c>
      <c r="H404" s="37"/>
      <c r="I404" s="37" t="s">
        <v>3498</v>
      </c>
      <c r="J404" s="37" t="s">
        <v>313</v>
      </c>
      <c r="K404" s="40" t="s">
        <v>3499</v>
      </c>
      <c r="L404" s="37" t="s">
        <v>64</v>
      </c>
      <c r="M404" s="37" t="s">
        <v>3342</v>
      </c>
      <c r="N404" s="37"/>
      <c r="O404" s="37" t="s">
        <v>4054</v>
      </c>
      <c r="P404" s="37" t="s">
        <v>156</v>
      </c>
      <c r="Q404" s="37" t="s">
        <v>316</v>
      </c>
      <c r="R404" s="37" t="s">
        <v>3343</v>
      </c>
      <c r="S404" s="37"/>
      <c r="T404" s="37" t="s">
        <v>66</v>
      </c>
      <c r="U404" s="37" t="s">
        <v>87</v>
      </c>
      <c r="V404" s="37" t="s">
        <v>88</v>
      </c>
      <c r="W404" s="37" t="s">
        <v>89</v>
      </c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</row>
    <row r="405" spans="1:37">
      <c r="A405" s="37"/>
      <c r="B405" s="37"/>
      <c r="C405" s="37"/>
      <c r="D405" s="37" t="s">
        <v>2043</v>
      </c>
      <c r="E405" s="37" t="s">
        <v>2044</v>
      </c>
      <c r="F405" s="37" t="s">
        <v>2049</v>
      </c>
      <c r="G405" s="37" t="s">
        <v>2045</v>
      </c>
      <c r="H405" s="37" t="s">
        <v>2046</v>
      </c>
      <c r="I405" s="37" t="s">
        <v>1198</v>
      </c>
      <c r="J405" s="37" t="s">
        <v>214</v>
      </c>
      <c r="K405" s="40" t="s">
        <v>1199</v>
      </c>
      <c r="L405" s="37" t="s">
        <v>64</v>
      </c>
      <c r="M405" s="37" t="s">
        <v>2047</v>
      </c>
      <c r="N405" s="37" t="s">
        <v>2048</v>
      </c>
      <c r="O405" s="37" t="s">
        <v>4054</v>
      </c>
      <c r="P405" s="37" t="s">
        <v>188</v>
      </c>
      <c r="Q405" s="37" t="s">
        <v>10</v>
      </c>
      <c r="R405" s="37"/>
      <c r="S405" s="37"/>
      <c r="T405" s="37" t="s">
        <v>69</v>
      </c>
      <c r="U405" s="37" t="s">
        <v>182</v>
      </c>
      <c r="V405" s="37" t="s">
        <v>72</v>
      </c>
      <c r="W405" s="37" t="s">
        <v>73</v>
      </c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</row>
    <row r="406" spans="1:37">
      <c r="A406" s="37"/>
      <c r="B406" s="37"/>
      <c r="C406" s="37"/>
      <c r="D406" s="37" t="s">
        <v>2057</v>
      </c>
      <c r="E406" s="37" t="s">
        <v>2058</v>
      </c>
      <c r="F406" s="37" t="s">
        <v>2063</v>
      </c>
      <c r="G406" s="37" t="s">
        <v>2059</v>
      </c>
      <c r="H406" s="37" t="s">
        <v>2060</v>
      </c>
      <c r="I406" s="37" t="s">
        <v>2061</v>
      </c>
      <c r="J406" s="37" t="s">
        <v>394</v>
      </c>
      <c r="K406" s="40" t="s">
        <v>395</v>
      </c>
      <c r="L406" s="37" t="s">
        <v>64</v>
      </c>
      <c r="M406" s="37" t="s">
        <v>396</v>
      </c>
      <c r="N406" s="37" t="s">
        <v>2062</v>
      </c>
      <c r="O406" s="37" t="s">
        <v>4054</v>
      </c>
      <c r="P406" s="37" t="s">
        <v>188</v>
      </c>
      <c r="Q406" s="37" t="s">
        <v>10</v>
      </c>
      <c r="R406" s="37"/>
      <c r="S406" s="37"/>
      <c r="T406" s="37" t="s">
        <v>66</v>
      </c>
      <c r="U406" s="37" t="s">
        <v>145</v>
      </c>
      <c r="V406" s="37" t="s">
        <v>77</v>
      </c>
      <c r="W406" s="37" t="s">
        <v>99</v>
      </c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</row>
    <row r="407" spans="1:37">
      <c r="A407" s="37"/>
      <c r="B407" s="37"/>
      <c r="C407" s="37"/>
      <c r="D407" s="37" t="s">
        <v>1912</v>
      </c>
      <c r="E407" s="37" t="s">
        <v>2925</v>
      </c>
      <c r="F407" s="37" t="s">
        <v>6108</v>
      </c>
      <c r="G407" s="37" t="s">
        <v>6109</v>
      </c>
      <c r="H407" s="37"/>
      <c r="I407" s="37" t="s">
        <v>265</v>
      </c>
      <c r="J407" s="37" t="s">
        <v>75</v>
      </c>
      <c r="K407" s="40" t="s">
        <v>437</v>
      </c>
      <c r="L407" s="37" t="s">
        <v>64</v>
      </c>
      <c r="M407" s="37" t="s">
        <v>6110</v>
      </c>
      <c r="N407" s="37"/>
      <c r="O407" s="37" t="s">
        <v>4054</v>
      </c>
      <c r="P407" s="37" t="s">
        <v>156</v>
      </c>
      <c r="Q407" s="37" t="s">
        <v>10</v>
      </c>
      <c r="R407" s="37"/>
      <c r="S407" s="37"/>
      <c r="T407" s="37"/>
      <c r="U407" s="37" t="s">
        <v>145</v>
      </c>
      <c r="V407" s="37" t="s">
        <v>88</v>
      </c>
      <c r="W407" s="37" t="s">
        <v>89</v>
      </c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</row>
    <row r="408" spans="1:37">
      <c r="A408" s="37"/>
      <c r="B408" s="37"/>
      <c r="C408" s="37"/>
      <c r="D408" s="37" t="s">
        <v>646</v>
      </c>
      <c r="E408" s="37" t="s">
        <v>2810</v>
      </c>
      <c r="F408" s="37" t="s">
        <v>2812</v>
      </c>
      <c r="G408" s="37" t="s">
        <v>1023</v>
      </c>
      <c r="H408" s="37"/>
      <c r="I408" s="37" t="s">
        <v>994</v>
      </c>
      <c r="J408" s="37" t="s">
        <v>105</v>
      </c>
      <c r="K408" s="40" t="s">
        <v>1024</v>
      </c>
      <c r="L408" s="37" t="s">
        <v>64</v>
      </c>
      <c r="M408" s="37" t="s">
        <v>2811</v>
      </c>
      <c r="N408" s="37" t="s">
        <v>2735</v>
      </c>
      <c r="O408" s="37" t="s">
        <v>4054</v>
      </c>
      <c r="P408" s="37" t="s">
        <v>156</v>
      </c>
      <c r="Q408" s="37" t="s">
        <v>71</v>
      </c>
      <c r="R408" s="37" t="s">
        <v>2736</v>
      </c>
      <c r="S408" s="37"/>
      <c r="T408" s="37" t="s">
        <v>144</v>
      </c>
      <c r="U408" s="37" t="s">
        <v>87</v>
      </c>
      <c r="V408" s="37" t="s">
        <v>88</v>
      </c>
      <c r="W408" s="37" t="s">
        <v>89</v>
      </c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</row>
    <row r="409" spans="1:37">
      <c r="A409" s="37"/>
      <c r="B409" s="37"/>
      <c r="C409" s="37"/>
      <c r="D409" s="37" t="s">
        <v>955</v>
      </c>
      <c r="E409" s="37" t="s">
        <v>5183</v>
      </c>
      <c r="F409" s="37" t="s">
        <v>5186</v>
      </c>
      <c r="G409" s="37" t="s">
        <v>1023</v>
      </c>
      <c r="H409" s="37"/>
      <c r="I409" s="37" t="s">
        <v>994</v>
      </c>
      <c r="J409" s="37" t="s">
        <v>105</v>
      </c>
      <c r="K409" s="40" t="s">
        <v>1024</v>
      </c>
      <c r="L409" s="37" t="s">
        <v>64</v>
      </c>
      <c r="M409" s="37" t="s">
        <v>5184</v>
      </c>
      <c r="N409" s="37"/>
      <c r="O409" s="37" t="s">
        <v>4054</v>
      </c>
      <c r="P409" s="37" t="s">
        <v>156</v>
      </c>
      <c r="Q409" s="37" t="s">
        <v>71</v>
      </c>
      <c r="R409" s="37" t="s">
        <v>5185</v>
      </c>
      <c r="S409" s="37"/>
      <c r="T409" s="37"/>
      <c r="U409" s="37"/>
      <c r="V409" s="37" t="s">
        <v>72</v>
      </c>
      <c r="W409" s="37" t="s">
        <v>89</v>
      </c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</row>
    <row r="410" spans="1:37">
      <c r="A410" s="37"/>
      <c r="B410" s="37"/>
      <c r="C410" s="37"/>
      <c r="D410" s="37" t="s">
        <v>1425</v>
      </c>
      <c r="E410" s="37" t="s">
        <v>2813</v>
      </c>
      <c r="F410" s="37" t="s">
        <v>2815</v>
      </c>
      <c r="G410" s="37" t="s">
        <v>1023</v>
      </c>
      <c r="H410" s="37"/>
      <c r="I410" s="37" t="s">
        <v>994</v>
      </c>
      <c r="J410" s="37" t="s">
        <v>105</v>
      </c>
      <c r="K410" s="40" t="s">
        <v>1024</v>
      </c>
      <c r="L410" s="37" t="s">
        <v>64</v>
      </c>
      <c r="M410" s="37" t="s">
        <v>2814</v>
      </c>
      <c r="N410" s="37" t="s">
        <v>2735</v>
      </c>
      <c r="O410" s="37" t="s">
        <v>4054</v>
      </c>
      <c r="P410" s="37" t="s">
        <v>156</v>
      </c>
      <c r="Q410" s="37" t="s">
        <v>71</v>
      </c>
      <c r="R410" s="37" t="s">
        <v>2736</v>
      </c>
      <c r="S410" s="37"/>
      <c r="T410" s="37" t="s">
        <v>144</v>
      </c>
      <c r="U410" s="37" t="s">
        <v>87</v>
      </c>
      <c r="V410" s="37" t="s">
        <v>88</v>
      </c>
      <c r="W410" s="37" t="s">
        <v>89</v>
      </c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</row>
    <row r="411" spans="1:37">
      <c r="A411" s="37" t="s">
        <v>673</v>
      </c>
      <c r="B411" s="37"/>
      <c r="C411" s="37"/>
      <c r="D411" s="37" t="s">
        <v>4580</v>
      </c>
      <c r="E411" s="37" t="s">
        <v>4581</v>
      </c>
      <c r="F411" s="37" t="s">
        <v>4586</v>
      </c>
      <c r="G411" s="37" t="s">
        <v>4582</v>
      </c>
      <c r="H411" s="37"/>
      <c r="I411" s="37" t="s">
        <v>4583</v>
      </c>
      <c r="J411" s="37" t="s">
        <v>121</v>
      </c>
      <c r="K411" s="40" t="s">
        <v>3670</v>
      </c>
      <c r="L411" s="37" t="s">
        <v>64</v>
      </c>
      <c r="M411" s="37" t="s">
        <v>4584</v>
      </c>
      <c r="N411" s="37" t="s">
        <v>4585</v>
      </c>
      <c r="O411" s="37" t="s">
        <v>4054</v>
      </c>
      <c r="P411" s="37" t="s">
        <v>188</v>
      </c>
      <c r="Q411" s="37" t="s">
        <v>71</v>
      </c>
      <c r="R411" s="37"/>
      <c r="S411" s="37"/>
      <c r="T411" s="37"/>
      <c r="U411" s="37"/>
      <c r="V411" s="37" t="s">
        <v>118</v>
      </c>
      <c r="W411" s="37" t="s">
        <v>89</v>
      </c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</row>
    <row r="412" spans="1:37">
      <c r="A412" s="37" t="s">
        <v>4533</v>
      </c>
      <c r="B412" s="37"/>
      <c r="C412" s="37"/>
      <c r="D412" s="37" t="s">
        <v>4849</v>
      </c>
      <c r="E412" s="37" t="s">
        <v>2242</v>
      </c>
      <c r="F412" s="37" t="s">
        <v>4853</v>
      </c>
      <c r="G412" s="37" t="s">
        <v>4850</v>
      </c>
      <c r="H412" s="37" t="s">
        <v>4851</v>
      </c>
      <c r="I412" s="37" t="s">
        <v>994</v>
      </c>
      <c r="J412" s="37" t="s">
        <v>105</v>
      </c>
      <c r="K412" s="40" t="s">
        <v>1072</v>
      </c>
      <c r="L412" s="37" t="s">
        <v>64</v>
      </c>
      <c r="M412" s="37" t="s">
        <v>4852</v>
      </c>
      <c r="N412" s="37"/>
      <c r="O412" s="37" t="s">
        <v>4054</v>
      </c>
      <c r="P412" s="37" t="s">
        <v>156</v>
      </c>
      <c r="Q412" s="37" t="s">
        <v>71</v>
      </c>
      <c r="R412" s="37"/>
      <c r="S412" s="37"/>
      <c r="T412" s="37" t="s">
        <v>158</v>
      </c>
      <c r="U412" s="37" t="s">
        <v>145</v>
      </c>
      <c r="V412" s="37" t="s">
        <v>88</v>
      </c>
      <c r="W412" s="37" t="s">
        <v>89</v>
      </c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</row>
    <row r="413" spans="1:37">
      <c r="A413" s="37"/>
      <c r="B413" s="37"/>
      <c r="C413" s="37"/>
      <c r="D413" s="37" t="s">
        <v>2440</v>
      </c>
      <c r="E413" s="37" t="s">
        <v>2242</v>
      </c>
      <c r="F413" s="37" t="s">
        <v>3554</v>
      </c>
      <c r="G413" s="37" t="s">
        <v>2670</v>
      </c>
      <c r="H413" s="37"/>
      <c r="I413" s="37" t="s">
        <v>152</v>
      </c>
      <c r="J413" s="37" t="s">
        <v>153</v>
      </c>
      <c r="K413" s="40" t="s">
        <v>154</v>
      </c>
      <c r="L413" s="37" t="s">
        <v>64</v>
      </c>
      <c r="M413" s="37" t="s">
        <v>3552</v>
      </c>
      <c r="N413" s="37" t="s">
        <v>3553</v>
      </c>
      <c r="O413" s="37" t="s">
        <v>4054</v>
      </c>
      <c r="P413" s="37" t="s">
        <v>156</v>
      </c>
      <c r="Q413" s="37" t="s">
        <v>16</v>
      </c>
      <c r="R413" s="37" t="s">
        <v>157</v>
      </c>
      <c r="S413" s="37"/>
      <c r="T413" s="37" t="s">
        <v>66</v>
      </c>
      <c r="U413" s="37" t="s">
        <v>971</v>
      </c>
      <c r="V413" s="37" t="s">
        <v>72</v>
      </c>
      <c r="W413" s="37" t="s">
        <v>89</v>
      </c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</row>
    <row r="414" spans="1:37">
      <c r="A414" s="37"/>
      <c r="B414" s="37"/>
      <c r="C414" s="37"/>
      <c r="D414" s="37" t="s">
        <v>6111</v>
      </c>
      <c r="E414" s="37" t="s">
        <v>6112</v>
      </c>
      <c r="F414" s="37" t="s">
        <v>6113</v>
      </c>
      <c r="G414" s="37" t="s">
        <v>6114</v>
      </c>
      <c r="H414" s="37"/>
      <c r="I414" s="37" t="s">
        <v>3384</v>
      </c>
      <c r="J414" s="37" t="s">
        <v>75</v>
      </c>
      <c r="K414" s="40" t="s">
        <v>4222</v>
      </c>
      <c r="L414" s="37" t="s">
        <v>64</v>
      </c>
      <c r="M414" s="37" t="s">
        <v>6115</v>
      </c>
      <c r="N414" s="37"/>
      <c r="O414" s="37" t="s">
        <v>4054</v>
      </c>
      <c r="P414" s="37" t="s">
        <v>188</v>
      </c>
      <c r="Q414" s="37" t="s">
        <v>10</v>
      </c>
      <c r="R414" s="37"/>
      <c r="S414" s="37"/>
      <c r="T414" s="37"/>
      <c r="U414" s="37"/>
      <c r="V414" s="37" t="s">
        <v>77</v>
      </c>
      <c r="W414" s="37" t="s">
        <v>78</v>
      </c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</row>
    <row r="415" spans="1:37">
      <c r="A415" s="37" t="s">
        <v>112</v>
      </c>
      <c r="B415" s="37"/>
      <c r="C415" s="37"/>
      <c r="D415" s="37" t="s">
        <v>3299</v>
      </c>
      <c r="E415" s="37" t="s">
        <v>3300</v>
      </c>
      <c r="F415" s="37" t="s">
        <v>3304</v>
      </c>
      <c r="G415" s="37" t="s">
        <v>3497</v>
      </c>
      <c r="H415" s="37"/>
      <c r="I415" s="37" t="s">
        <v>3498</v>
      </c>
      <c r="J415" s="37" t="s">
        <v>313</v>
      </c>
      <c r="K415" s="40" t="s">
        <v>3499</v>
      </c>
      <c r="L415" s="37" t="s">
        <v>64</v>
      </c>
      <c r="M415" s="37" t="s">
        <v>3301</v>
      </c>
      <c r="N415" s="37" t="s">
        <v>3302</v>
      </c>
      <c r="O415" s="37" t="s">
        <v>4054</v>
      </c>
      <c r="P415" s="37" t="s">
        <v>156</v>
      </c>
      <c r="Q415" s="37" t="s">
        <v>316</v>
      </c>
      <c r="R415" s="37" t="s">
        <v>3303</v>
      </c>
      <c r="S415" s="37"/>
      <c r="T415" s="37" t="s">
        <v>66</v>
      </c>
      <c r="U415" s="37" t="s">
        <v>109</v>
      </c>
      <c r="V415" s="37" t="s">
        <v>88</v>
      </c>
      <c r="W415" s="37" t="s">
        <v>89</v>
      </c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</row>
    <row r="416" spans="1:37">
      <c r="A416" s="37"/>
      <c r="B416" s="37"/>
      <c r="C416" s="37"/>
      <c r="D416" s="37" t="s">
        <v>3066</v>
      </c>
      <c r="E416" s="37" t="s">
        <v>3193</v>
      </c>
      <c r="F416" s="37" t="s">
        <v>3197</v>
      </c>
      <c r="G416" s="37" t="s">
        <v>3194</v>
      </c>
      <c r="H416" s="37"/>
      <c r="I416" s="37" t="s">
        <v>1898</v>
      </c>
      <c r="J416" s="37" t="s">
        <v>200</v>
      </c>
      <c r="K416" s="40" t="s">
        <v>3195</v>
      </c>
      <c r="L416" s="37" t="s">
        <v>64</v>
      </c>
      <c r="M416" s="37" t="s">
        <v>3196</v>
      </c>
      <c r="N416" s="37"/>
      <c r="O416" s="37" t="s">
        <v>4054</v>
      </c>
      <c r="P416" s="37" t="s">
        <v>188</v>
      </c>
      <c r="Q416" s="37" t="s">
        <v>18</v>
      </c>
      <c r="R416" s="37"/>
      <c r="S416" s="37"/>
      <c r="T416" s="37" t="s">
        <v>69</v>
      </c>
      <c r="U416" s="37" t="s">
        <v>69</v>
      </c>
      <c r="V416" s="37" t="s">
        <v>77</v>
      </c>
      <c r="W416" s="37" t="s">
        <v>135</v>
      </c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</row>
    <row r="417" spans="1:37">
      <c r="A417" s="37"/>
      <c r="B417" s="37"/>
      <c r="C417" s="37"/>
      <c r="D417" s="37" t="s">
        <v>525</v>
      </c>
      <c r="E417" s="37" t="s">
        <v>4090</v>
      </c>
      <c r="F417" s="37" t="s">
        <v>4096</v>
      </c>
      <c r="G417" s="37" t="s">
        <v>4091</v>
      </c>
      <c r="H417" s="37" t="s">
        <v>4092</v>
      </c>
      <c r="I417" s="37" t="s">
        <v>152</v>
      </c>
      <c r="J417" s="37" t="s">
        <v>153</v>
      </c>
      <c r="K417" s="40" t="s">
        <v>154</v>
      </c>
      <c r="L417" s="37" t="s">
        <v>64</v>
      </c>
      <c r="M417" s="37" t="s">
        <v>4093</v>
      </c>
      <c r="N417" s="37" t="s">
        <v>4094</v>
      </c>
      <c r="O417" s="37" t="s">
        <v>4054</v>
      </c>
      <c r="P417" s="37" t="s">
        <v>156</v>
      </c>
      <c r="Q417" s="37" t="s">
        <v>16</v>
      </c>
      <c r="R417" s="37" t="s">
        <v>4095</v>
      </c>
      <c r="S417" s="37"/>
      <c r="T417" s="37" t="s">
        <v>115</v>
      </c>
      <c r="U417" s="37" t="s">
        <v>109</v>
      </c>
      <c r="V417" s="37" t="s">
        <v>88</v>
      </c>
      <c r="W417" s="37" t="s">
        <v>89</v>
      </c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</row>
    <row r="418" spans="1:37">
      <c r="A418" s="37"/>
      <c r="B418" s="37"/>
      <c r="C418" s="37"/>
      <c r="D418" s="37" t="s">
        <v>1589</v>
      </c>
      <c r="E418" s="37" t="s">
        <v>4565</v>
      </c>
      <c r="F418" s="37" t="s">
        <v>4569</v>
      </c>
      <c r="G418" s="37" t="s">
        <v>4566</v>
      </c>
      <c r="H418" s="37"/>
      <c r="I418" s="37" t="s">
        <v>981</v>
      </c>
      <c r="J418" s="37" t="s">
        <v>121</v>
      </c>
      <c r="K418" s="40" t="s">
        <v>4567</v>
      </c>
      <c r="L418" s="37" t="s">
        <v>64</v>
      </c>
      <c r="M418" s="37" t="s">
        <v>4568</v>
      </c>
      <c r="N418" s="37"/>
      <c r="O418" s="37" t="s">
        <v>4054</v>
      </c>
      <c r="P418" s="37" t="s">
        <v>188</v>
      </c>
      <c r="Q418" s="37" t="s">
        <v>71</v>
      </c>
      <c r="R418" s="37"/>
      <c r="S418" s="37"/>
      <c r="T418" s="37" t="s">
        <v>158</v>
      </c>
      <c r="U418" s="37" t="s">
        <v>182</v>
      </c>
      <c r="V418" s="37" t="s">
        <v>72</v>
      </c>
      <c r="W418" s="37" t="s">
        <v>78</v>
      </c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</row>
    <row r="419" spans="1:37">
      <c r="A419" s="37"/>
      <c r="B419" s="37"/>
      <c r="C419" s="37"/>
      <c r="D419" s="37" t="s">
        <v>307</v>
      </c>
      <c r="E419" s="37" t="s">
        <v>4101</v>
      </c>
      <c r="F419" s="37" t="s">
        <v>4104</v>
      </c>
      <c r="G419" s="37" t="s">
        <v>4102</v>
      </c>
      <c r="H419" s="37"/>
      <c r="I419" s="37" t="s">
        <v>964</v>
      </c>
      <c r="J419" s="37" t="s">
        <v>125</v>
      </c>
      <c r="K419" s="40" t="s">
        <v>4190</v>
      </c>
      <c r="L419" s="37" t="s">
        <v>64</v>
      </c>
      <c r="M419" s="37" t="s">
        <v>4103</v>
      </c>
      <c r="N419" s="37" t="s">
        <v>4192</v>
      </c>
      <c r="O419" s="37" t="s">
        <v>4054</v>
      </c>
      <c r="P419" s="37" t="s">
        <v>188</v>
      </c>
      <c r="Q419" s="37" t="s">
        <v>126</v>
      </c>
      <c r="R419" s="37"/>
      <c r="S419" s="37"/>
      <c r="T419" s="37"/>
      <c r="U419" s="37"/>
      <c r="V419" s="37" t="s">
        <v>77</v>
      </c>
      <c r="W419" s="37" t="s">
        <v>73</v>
      </c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</row>
    <row r="420" spans="1:37">
      <c r="A420" s="37"/>
      <c r="B420" s="37"/>
      <c r="C420" s="37"/>
      <c r="D420" s="37" t="s">
        <v>2335</v>
      </c>
      <c r="E420" s="37" t="s">
        <v>3218</v>
      </c>
      <c r="F420" s="37" t="s">
        <v>3223</v>
      </c>
      <c r="G420" s="37" t="s">
        <v>3219</v>
      </c>
      <c r="H420" s="37" t="s">
        <v>3220</v>
      </c>
      <c r="I420" s="37" t="s">
        <v>191</v>
      </c>
      <c r="J420" s="37" t="s">
        <v>75</v>
      </c>
      <c r="K420" s="40" t="s">
        <v>3480</v>
      </c>
      <c r="L420" s="37" t="s">
        <v>64</v>
      </c>
      <c r="M420" s="37" t="s">
        <v>3221</v>
      </c>
      <c r="N420" s="37" t="s">
        <v>3222</v>
      </c>
      <c r="O420" s="37" t="s">
        <v>4054</v>
      </c>
      <c r="P420" s="37" t="s">
        <v>188</v>
      </c>
      <c r="Q420" s="37" t="s">
        <v>10</v>
      </c>
      <c r="R420" s="37"/>
      <c r="S420" s="37"/>
      <c r="T420" s="37" t="s">
        <v>69</v>
      </c>
      <c r="U420" s="37" t="s">
        <v>182</v>
      </c>
      <c r="V420" s="37" t="s">
        <v>77</v>
      </c>
      <c r="W420" s="37" t="s">
        <v>73</v>
      </c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</row>
    <row r="421" spans="1:37">
      <c r="A421" s="37"/>
      <c r="B421" s="37"/>
      <c r="C421" s="37"/>
      <c r="D421" s="37" t="s">
        <v>5119</v>
      </c>
      <c r="E421" s="37" t="s">
        <v>2504</v>
      </c>
      <c r="F421" s="37" t="s">
        <v>5121</v>
      </c>
      <c r="G421" s="37" t="s">
        <v>5292</v>
      </c>
      <c r="H421" s="37"/>
      <c r="I421" s="37" t="s">
        <v>152</v>
      </c>
      <c r="J421" s="37" t="s">
        <v>153</v>
      </c>
      <c r="K421" s="40" t="s">
        <v>154</v>
      </c>
      <c r="L421" s="37" t="s">
        <v>64</v>
      </c>
      <c r="M421" s="37" t="s">
        <v>5120</v>
      </c>
      <c r="N421" s="37"/>
      <c r="O421" s="37" t="s">
        <v>4054</v>
      </c>
      <c r="P421" s="37" t="s">
        <v>422</v>
      </c>
      <c r="Q421" s="37" t="s">
        <v>16</v>
      </c>
      <c r="R421" s="37"/>
      <c r="S421" s="37"/>
      <c r="T421" s="37"/>
      <c r="U421" s="37"/>
      <c r="V421" s="37" t="s">
        <v>72</v>
      </c>
      <c r="W421" s="37" t="s">
        <v>110</v>
      </c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</row>
    <row r="422" spans="1:37">
      <c r="A422" s="37"/>
      <c r="B422" s="37"/>
      <c r="C422" s="37"/>
      <c r="D422" s="37" t="s">
        <v>5061</v>
      </c>
      <c r="E422" s="37" t="s">
        <v>3178</v>
      </c>
      <c r="F422" s="37" t="s">
        <v>5065</v>
      </c>
      <c r="G422" s="37" t="s">
        <v>5062</v>
      </c>
      <c r="H422" s="37"/>
      <c r="I422" s="37" t="s">
        <v>265</v>
      </c>
      <c r="J422" s="37" t="s">
        <v>75</v>
      </c>
      <c r="K422" s="40" t="s">
        <v>437</v>
      </c>
      <c r="L422" s="37" t="s">
        <v>64</v>
      </c>
      <c r="M422" s="37" t="s">
        <v>5063</v>
      </c>
      <c r="N422" s="37"/>
      <c r="O422" s="37" t="s">
        <v>4054</v>
      </c>
      <c r="P422" s="37" t="s">
        <v>156</v>
      </c>
      <c r="Q422" s="37" t="s">
        <v>10</v>
      </c>
      <c r="R422" s="37" t="s">
        <v>5064</v>
      </c>
      <c r="S422" s="37"/>
      <c r="T422" s="37" t="s">
        <v>69</v>
      </c>
      <c r="U422" s="37" t="s">
        <v>87</v>
      </c>
      <c r="V422" s="37" t="s">
        <v>72</v>
      </c>
      <c r="W422" s="37" t="s">
        <v>89</v>
      </c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</row>
    <row r="423" spans="1:37">
      <c r="A423" s="37"/>
      <c r="B423" s="37"/>
      <c r="C423" s="37"/>
      <c r="D423" s="37" t="s">
        <v>524</v>
      </c>
      <c r="E423" s="37" t="s">
        <v>2638</v>
      </c>
      <c r="F423" s="37" t="s">
        <v>4564</v>
      </c>
      <c r="G423" s="37" t="s">
        <v>4559</v>
      </c>
      <c r="H423" s="37" t="s">
        <v>4560</v>
      </c>
      <c r="I423" s="37" t="s">
        <v>4561</v>
      </c>
      <c r="J423" s="37" t="s">
        <v>324</v>
      </c>
      <c r="K423" s="40" t="s">
        <v>4562</v>
      </c>
      <c r="L423" s="37" t="s">
        <v>64</v>
      </c>
      <c r="M423" s="37" t="s">
        <v>4563</v>
      </c>
      <c r="N423" s="37"/>
      <c r="O423" s="37" t="s">
        <v>4054</v>
      </c>
      <c r="P423" s="37" t="s">
        <v>188</v>
      </c>
      <c r="Q423" s="37" t="s">
        <v>65</v>
      </c>
      <c r="R423" s="37"/>
      <c r="S423" s="37"/>
      <c r="T423" s="37" t="s">
        <v>66</v>
      </c>
      <c r="U423" s="37" t="s">
        <v>185</v>
      </c>
      <c r="V423" s="37" t="s">
        <v>88</v>
      </c>
      <c r="W423" s="37" t="s">
        <v>89</v>
      </c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</row>
    <row r="424" spans="1:37">
      <c r="A424" s="37"/>
      <c r="B424" s="37"/>
      <c r="C424" s="37"/>
      <c r="D424" s="37" t="s">
        <v>6116</v>
      </c>
      <c r="E424" s="37" t="s">
        <v>6117</v>
      </c>
      <c r="F424" s="37" t="s">
        <v>6118</v>
      </c>
      <c r="G424" s="37" t="s">
        <v>6119</v>
      </c>
      <c r="H424" s="37"/>
      <c r="I424" s="37" t="s">
        <v>4532</v>
      </c>
      <c r="J424" s="37" t="s">
        <v>75</v>
      </c>
      <c r="K424" s="40" t="s">
        <v>2203</v>
      </c>
      <c r="L424" s="37" t="s">
        <v>64</v>
      </c>
      <c r="M424" s="37" t="s">
        <v>6120</v>
      </c>
      <c r="N424" s="37"/>
      <c r="O424" s="37" t="s">
        <v>4054</v>
      </c>
      <c r="P424" s="37" t="s">
        <v>156</v>
      </c>
      <c r="Q424" s="37" t="s">
        <v>10</v>
      </c>
      <c r="R424" s="37"/>
      <c r="S424" s="37"/>
      <c r="T424" s="37"/>
      <c r="U424" s="37"/>
      <c r="V424" s="37" t="s">
        <v>77</v>
      </c>
      <c r="W424" s="37" t="s">
        <v>110</v>
      </c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</row>
    <row r="425" spans="1:37">
      <c r="A425" s="37"/>
      <c r="B425" s="37"/>
      <c r="C425" s="37"/>
      <c r="D425" s="37" t="s">
        <v>2260</v>
      </c>
      <c r="E425" s="37" t="s">
        <v>1562</v>
      </c>
      <c r="F425" s="37" t="s">
        <v>4932</v>
      </c>
      <c r="G425" s="37" t="s">
        <v>1003</v>
      </c>
      <c r="H425" s="37"/>
      <c r="I425" s="37" t="s">
        <v>265</v>
      </c>
      <c r="J425" s="37" t="s">
        <v>75</v>
      </c>
      <c r="K425" s="40" t="s">
        <v>437</v>
      </c>
      <c r="L425" s="37" t="s">
        <v>64</v>
      </c>
      <c r="M425" s="37" t="s">
        <v>4931</v>
      </c>
      <c r="N425" s="37"/>
      <c r="O425" s="37" t="s">
        <v>4054</v>
      </c>
      <c r="P425" s="37" t="s">
        <v>156</v>
      </c>
      <c r="Q425" s="37" t="s">
        <v>10</v>
      </c>
      <c r="R425" s="37" t="s">
        <v>4284</v>
      </c>
      <c r="S425" s="37"/>
      <c r="T425" s="37"/>
      <c r="U425" s="37" t="s">
        <v>87</v>
      </c>
      <c r="V425" s="37" t="s">
        <v>72</v>
      </c>
      <c r="W425" s="37" t="s">
        <v>99</v>
      </c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</row>
    <row r="426" spans="1:37">
      <c r="A426" s="37"/>
      <c r="B426" s="37"/>
      <c r="C426" s="37"/>
      <c r="D426" s="37" t="s">
        <v>444</v>
      </c>
      <c r="E426" s="37" t="s">
        <v>2771</v>
      </c>
      <c r="F426" s="37" t="s">
        <v>2776</v>
      </c>
      <c r="G426" s="37" t="s">
        <v>2772</v>
      </c>
      <c r="H426" s="37"/>
      <c r="I426" s="37" t="s">
        <v>2773</v>
      </c>
      <c r="J426" s="37" t="s">
        <v>75</v>
      </c>
      <c r="K426" s="40" t="s">
        <v>2592</v>
      </c>
      <c r="L426" s="37" t="s">
        <v>64</v>
      </c>
      <c r="M426" s="37" t="s">
        <v>2774</v>
      </c>
      <c r="N426" s="37" t="s">
        <v>2775</v>
      </c>
      <c r="O426" s="37" t="s">
        <v>4054</v>
      </c>
      <c r="P426" s="37" t="s">
        <v>156</v>
      </c>
      <c r="Q426" s="37" t="s">
        <v>10</v>
      </c>
      <c r="R426" s="37"/>
      <c r="S426" s="37"/>
      <c r="T426" s="37" t="s">
        <v>66</v>
      </c>
      <c r="U426" s="37" t="s">
        <v>189</v>
      </c>
      <c r="V426" s="37" t="s">
        <v>88</v>
      </c>
      <c r="W426" s="37" t="s">
        <v>78</v>
      </c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</row>
    <row r="427" spans="1:37">
      <c r="A427" s="37"/>
      <c r="B427" s="37"/>
      <c r="C427" s="37"/>
      <c r="D427" s="37" t="s">
        <v>117</v>
      </c>
      <c r="E427" s="37" t="s">
        <v>3470</v>
      </c>
      <c r="F427" s="37" t="s">
        <v>3473</v>
      </c>
      <c r="G427" s="37" t="s">
        <v>3471</v>
      </c>
      <c r="H427" s="37"/>
      <c r="I427" s="37" t="s">
        <v>420</v>
      </c>
      <c r="J427" s="37" t="s">
        <v>75</v>
      </c>
      <c r="K427" s="40" t="s">
        <v>1648</v>
      </c>
      <c r="L427" s="37" t="s">
        <v>64</v>
      </c>
      <c r="M427" s="37" t="s">
        <v>3472</v>
      </c>
      <c r="N427" s="37"/>
      <c r="O427" s="37" t="s">
        <v>4054</v>
      </c>
      <c r="P427" s="37" t="s">
        <v>188</v>
      </c>
      <c r="Q427" s="37" t="s">
        <v>10</v>
      </c>
      <c r="R427" s="37"/>
      <c r="S427" s="37"/>
      <c r="T427" s="37"/>
      <c r="U427" s="37"/>
      <c r="V427" s="37" t="s">
        <v>77</v>
      </c>
      <c r="W427" s="37" t="s">
        <v>204</v>
      </c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</row>
    <row r="428" spans="1:37">
      <c r="A428" s="37"/>
      <c r="B428" s="37"/>
      <c r="C428" s="37"/>
      <c r="D428" s="37" t="s">
        <v>286</v>
      </c>
      <c r="E428" s="37" t="s">
        <v>5505</v>
      </c>
      <c r="F428" s="37" t="s">
        <v>5508</v>
      </c>
      <c r="G428" s="37" t="s">
        <v>5506</v>
      </c>
      <c r="H428" s="37"/>
      <c r="I428" s="37" t="s">
        <v>186</v>
      </c>
      <c r="J428" s="37" t="s">
        <v>75</v>
      </c>
      <c r="K428" s="40" t="s">
        <v>1330</v>
      </c>
      <c r="L428" s="37" t="s">
        <v>64</v>
      </c>
      <c r="M428" s="37" t="s">
        <v>5507</v>
      </c>
      <c r="N428" s="37"/>
      <c r="O428" s="37" t="s">
        <v>6121</v>
      </c>
      <c r="P428" s="37" t="s">
        <v>1332</v>
      </c>
      <c r="Q428" s="37" t="s">
        <v>10</v>
      </c>
      <c r="R428" s="37"/>
      <c r="S428" s="37"/>
      <c r="T428" s="37" t="s">
        <v>158</v>
      </c>
      <c r="U428" s="37"/>
      <c r="V428" s="37" t="s">
        <v>72</v>
      </c>
      <c r="W428" s="37" t="s">
        <v>4430</v>
      </c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</row>
    <row r="429" spans="1:37">
      <c r="A429" s="37"/>
      <c r="B429" s="37"/>
      <c r="C429" s="37"/>
      <c r="D429" s="37" t="s">
        <v>702</v>
      </c>
      <c r="E429" s="37" t="s">
        <v>1624</v>
      </c>
      <c r="F429" s="37" t="s">
        <v>1633</v>
      </c>
      <c r="G429" s="37" t="s">
        <v>1630</v>
      </c>
      <c r="H429" s="37"/>
      <c r="I429" s="37" t="s">
        <v>82</v>
      </c>
      <c r="J429" s="37" t="s">
        <v>83</v>
      </c>
      <c r="K429" s="40" t="s">
        <v>1631</v>
      </c>
      <c r="L429" s="37" t="s">
        <v>64</v>
      </c>
      <c r="M429" s="37" t="s">
        <v>1632</v>
      </c>
      <c r="N429" s="37"/>
      <c r="O429" s="37" t="s">
        <v>6121</v>
      </c>
      <c r="P429" s="37" t="s">
        <v>1332</v>
      </c>
      <c r="Q429" s="37" t="s">
        <v>14</v>
      </c>
      <c r="R429" s="37"/>
      <c r="S429" s="37"/>
      <c r="T429" s="37" t="s">
        <v>69</v>
      </c>
      <c r="U429" s="37" t="s">
        <v>87</v>
      </c>
      <c r="V429" s="37" t="s">
        <v>67</v>
      </c>
      <c r="W429" s="37" t="s">
        <v>73</v>
      </c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</row>
    <row r="430" spans="1:37">
      <c r="A430" s="37"/>
      <c r="B430" s="37"/>
      <c r="C430" s="37"/>
      <c r="D430" s="37" t="s">
        <v>4924</v>
      </c>
      <c r="E430" s="37" t="s">
        <v>1867</v>
      </c>
      <c r="F430" s="37" t="s">
        <v>4928</v>
      </c>
      <c r="G430" s="37" t="s">
        <v>4925</v>
      </c>
      <c r="H430" s="37"/>
      <c r="I430" s="37" t="s">
        <v>82</v>
      </c>
      <c r="J430" s="37" t="s">
        <v>83</v>
      </c>
      <c r="K430" s="40" t="s">
        <v>1631</v>
      </c>
      <c r="L430" s="37" t="s">
        <v>64</v>
      </c>
      <c r="M430" s="37" t="s">
        <v>4926</v>
      </c>
      <c r="N430" s="37" t="s">
        <v>4927</v>
      </c>
      <c r="O430" s="37" t="s">
        <v>6121</v>
      </c>
      <c r="P430" s="37" t="s">
        <v>1332</v>
      </c>
      <c r="Q430" s="37" t="s">
        <v>14</v>
      </c>
      <c r="R430" s="37"/>
      <c r="S430" s="37"/>
      <c r="T430" s="37" t="s">
        <v>144</v>
      </c>
      <c r="U430" s="37" t="s">
        <v>109</v>
      </c>
      <c r="V430" s="37" t="s">
        <v>72</v>
      </c>
      <c r="W430" s="37" t="s">
        <v>69</v>
      </c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</row>
    <row r="431" spans="1:37">
      <c r="A431" s="37"/>
      <c r="B431" s="37"/>
      <c r="C431" s="37"/>
      <c r="D431" s="37" t="s">
        <v>2528</v>
      </c>
      <c r="E431" s="37" t="s">
        <v>4878</v>
      </c>
      <c r="F431" s="37" t="s">
        <v>4884</v>
      </c>
      <c r="G431" s="37" t="s">
        <v>4879</v>
      </c>
      <c r="H431" s="37" t="s">
        <v>4880</v>
      </c>
      <c r="I431" s="37" t="s">
        <v>843</v>
      </c>
      <c r="J431" s="37" t="s">
        <v>75</v>
      </c>
      <c r="K431" s="40" t="s">
        <v>4881</v>
      </c>
      <c r="L431" s="37" t="s">
        <v>64</v>
      </c>
      <c r="M431" s="37" t="s">
        <v>4882</v>
      </c>
      <c r="N431" s="37" t="s">
        <v>4883</v>
      </c>
      <c r="O431" s="37" t="s">
        <v>6121</v>
      </c>
      <c r="P431" s="37" t="s">
        <v>1332</v>
      </c>
      <c r="Q431" s="37" t="s">
        <v>10</v>
      </c>
      <c r="R431" s="37"/>
      <c r="S431" s="37"/>
      <c r="T431" s="37" t="s">
        <v>69</v>
      </c>
      <c r="U431" s="37" t="s">
        <v>69</v>
      </c>
      <c r="V431" s="37" t="s">
        <v>72</v>
      </c>
      <c r="W431" s="37" t="s">
        <v>89</v>
      </c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</row>
    <row r="432" spans="1:37">
      <c r="A432" s="37"/>
      <c r="B432" s="37"/>
      <c r="C432" s="37"/>
      <c r="D432" s="37" t="s">
        <v>412</v>
      </c>
      <c r="E432" s="37" t="s">
        <v>4891</v>
      </c>
      <c r="F432" s="37" t="s">
        <v>4894</v>
      </c>
      <c r="G432" s="37" t="s">
        <v>4892</v>
      </c>
      <c r="H432" s="37"/>
      <c r="I432" s="37" t="s">
        <v>193</v>
      </c>
      <c r="J432" s="37" t="s">
        <v>153</v>
      </c>
      <c r="K432" s="40" t="s">
        <v>194</v>
      </c>
      <c r="L432" s="37" t="s">
        <v>64</v>
      </c>
      <c r="M432" s="37" t="s">
        <v>4893</v>
      </c>
      <c r="N432" s="37"/>
      <c r="O432" s="37" t="s">
        <v>6121</v>
      </c>
      <c r="P432" s="37" t="s">
        <v>1332</v>
      </c>
      <c r="Q432" s="37" t="s">
        <v>16</v>
      </c>
      <c r="R432" s="37"/>
      <c r="S432" s="37"/>
      <c r="T432" s="37" t="s">
        <v>115</v>
      </c>
      <c r="U432" s="37" t="s">
        <v>189</v>
      </c>
      <c r="V432" s="37" t="s">
        <v>72</v>
      </c>
      <c r="W432" s="37" t="s">
        <v>135</v>
      </c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</row>
    <row r="433" spans="1:37">
      <c r="A433" s="37"/>
      <c r="B433" s="37"/>
      <c r="C433" s="37"/>
      <c r="D433" s="37" t="s">
        <v>3643</v>
      </c>
      <c r="E433" s="37" t="s">
        <v>3644</v>
      </c>
      <c r="F433" s="37" t="s">
        <v>3648</v>
      </c>
      <c r="G433" s="37" t="s">
        <v>3645</v>
      </c>
      <c r="H433" s="37"/>
      <c r="I433" s="37" t="s">
        <v>1318</v>
      </c>
      <c r="J433" s="37" t="s">
        <v>83</v>
      </c>
      <c r="K433" s="40" t="s">
        <v>1631</v>
      </c>
      <c r="L433" s="37" t="s">
        <v>64</v>
      </c>
      <c r="M433" s="37" t="s">
        <v>3646</v>
      </c>
      <c r="N433" s="37" t="s">
        <v>3647</v>
      </c>
      <c r="O433" s="37" t="s">
        <v>6121</v>
      </c>
      <c r="P433" s="37" t="s">
        <v>1332</v>
      </c>
      <c r="Q433" s="37" t="s">
        <v>14</v>
      </c>
      <c r="R433" s="37"/>
      <c r="S433" s="37"/>
      <c r="T433" s="37" t="s">
        <v>115</v>
      </c>
      <c r="U433" s="37" t="s">
        <v>87</v>
      </c>
      <c r="V433" s="37" t="s">
        <v>77</v>
      </c>
      <c r="W433" s="37" t="s">
        <v>99</v>
      </c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</row>
    <row r="434" spans="1:37">
      <c r="A434" s="37"/>
      <c r="B434" s="37"/>
      <c r="C434" s="37"/>
      <c r="D434" s="37" t="s">
        <v>445</v>
      </c>
      <c r="E434" s="37" t="s">
        <v>2245</v>
      </c>
      <c r="F434" s="37" t="s">
        <v>6122</v>
      </c>
      <c r="G434" s="37" t="s">
        <v>6123</v>
      </c>
      <c r="H434" s="37"/>
      <c r="I434" s="37" t="s">
        <v>745</v>
      </c>
      <c r="J434" s="37" t="s">
        <v>200</v>
      </c>
      <c r="K434" s="40" t="s">
        <v>6124</v>
      </c>
      <c r="L434" s="37" t="s">
        <v>64</v>
      </c>
      <c r="M434" s="37" t="s">
        <v>6125</v>
      </c>
      <c r="N434" s="37" t="s">
        <v>6126</v>
      </c>
      <c r="O434" s="37" t="s">
        <v>6121</v>
      </c>
      <c r="P434" s="37" t="s">
        <v>1332</v>
      </c>
      <c r="Q434" s="37" t="s">
        <v>18</v>
      </c>
      <c r="R434" s="37"/>
      <c r="S434" s="37"/>
      <c r="T434" s="37"/>
      <c r="U434" s="37"/>
      <c r="V434" s="37" t="s">
        <v>77</v>
      </c>
      <c r="W434" s="37" t="s">
        <v>73</v>
      </c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</row>
    <row r="435" spans="1:37">
      <c r="A435" s="37" t="s">
        <v>2411</v>
      </c>
      <c r="B435" s="37"/>
      <c r="C435" s="37"/>
      <c r="D435" s="37" t="s">
        <v>2412</v>
      </c>
      <c r="E435" s="37" t="s">
        <v>2413</v>
      </c>
      <c r="F435" s="37" t="s">
        <v>2417</v>
      </c>
      <c r="G435" s="37" t="s">
        <v>2414</v>
      </c>
      <c r="H435" s="37"/>
      <c r="I435" s="37" t="s">
        <v>193</v>
      </c>
      <c r="J435" s="37" t="s">
        <v>153</v>
      </c>
      <c r="K435" s="40" t="s">
        <v>194</v>
      </c>
      <c r="L435" s="37" t="s">
        <v>64</v>
      </c>
      <c r="M435" s="37" t="s">
        <v>2415</v>
      </c>
      <c r="N435" s="37" t="s">
        <v>2416</v>
      </c>
      <c r="O435" s="37" t="s">
        <v>6121</v>
      </c>
      <c r="P435" s="37" t="s">
        <v>1332</v>
      </c>
      <c r="Q435" s="37" t="s">
        <v>16</v>
      </c>
      <c r="R435" s="37"/>
      <c r="S435" s="37"/>
      <c r="T435" s="37" t="s">
        <v>66</v>
      </c>
      <c r="U435" s="37" t="s">
        <v>145</v>
      </c>
      <c r="V435" s="37" t="s">
        <v>77</v>
      </c>
      <c r="W435" s="37" t="s">
        <v>135</v>
      </c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</row>
    <row r="436" spans="1:37">
      <c r="A436" s="37"/>
      <c r="B436" s="37"/>
      <c r="C436" s="37"/>
      <c r="D436" s="37" t="s">
        <v>909</v>
      </c>
      <c r="E436" s="37" t="s">
        <v>2504</v>
      </c>
      <c r="F436" s="37" t="s">
        <v>2914</v>
      </c>
      <c r="G436" s="37" t="s">
        <v>2911</v>
      </c>
      <c r="H436" s="37"/>
      <c r="I436" s="37" t="s">
        <v>1921</v>
      </c>
      <c r="J436" s="37" t="s">
        <v>475</v>
      </c>
      <c r="K436" s="40" t="s">
        <v>2912</v>
      </c>
      <c r="L436" s="37" t="s">
        <v>64</v>
      </c>
      <c r="M436" s="37" t="s">
        <v>2913</v>
      </c>
      <c r="N436" s="37"/>
      <c r="O436" s="37" t="s">
        <v>6121</v>
      </c>
      <c r="P436" s="37" t="s">
        <v>1332</v>
      </c>
      <c r="Q436" s="37" t="s">
        <v>98</v>
      </c>
      <c r="R436" s="37"/>
      <c r="S436" s="37"/>
      <c r="T436" s="37" t="s">
        <v>115</v>
      </c>
      <c r="U436" s="37"/>
      <c r="V436" s="37" t="s">
        <v>72</v>
      </c>
      <c r="W436" s="37" t="s">
        <v>99</v>
      </c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</row>
    <row r="437" spans="1:37">
      <c r="A437" s="37"/>
      <c r="B437" s="37"/>
      <c r="C437" s="37"/>
      <c r="D437" s="37" t="s">
        <v>1327</v>
      </c>
      <c r="E437" s="37" t="s">
        <v>1321</v>
      </c>
      <c r="F437" s="37" t="s">
        <v>1333</v>
      </c>
      <c r="G437" s="37" t="s">
        <v>1328</v>
      </c>
      <c r="H437" s="37" t="s">
        <v>1329</v>
      </c>
      <c r="I437" s="37" t="s">
        <v>843</v>
      </c>
      <c r="J437" s="37" t="s">
        <v>75</v>
      </c>
      <c r="K437" s="40" t="s">
        <v>1330</v>
      </c>
      <c r="L437" s="37" t="s">
        <v>64</v>
      </c>
      <c r="M437" s="37" t="s">
        <v>1331</v>
      </c>
      <c r="N437" s="37"/>
      <c r="O437" s="37" t="s">
        <v>6121</v>
      </c>
      <c r="P437" s="37" t="s">
        <v>1332</v>
      </c>
      <c r="Q437" s="37" t="s">
        <v>10</v>
      </c>
      <c r="R437" s="37"/>
      <c r="S437" s="37"/>
      <c r="T437" s="37" t="s">
        <v>144</v>
      </c>
      <c r="U437" s="37"/>
      <c r="V437" s="37" t="s">
        <v>77</v>
      </c>
      <c r="W437" s="37" t="s">
        <v>135</v>
      </c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</row>
    <row r="438" spans="1:37">
      <c r="A438" s="37"/>
      <c r="B438" s="37"/>
      <c r="C438" s="37"/>
      <c r="D438" s="37" t="s">
        <v>79</v>
      </c>
      <c r="E438" s="37" t="s">
        <v>4840</v>
      </c>
      <c r="F438" s="37" t="s">
        <v>4844</v>
      </c>
      <c r="G438" s="37" t="s">
        <v>4841</v>
      </c>
      <c r="H438" s="37"/>
      <c r="I438" s="37" t="s">
        <v>387</v>
      </c>
      <c r="J438" s="37" t="s">
        <v>334</v>
      </c>
      <c r="K438" s="40" t="s">
        <v>4842</v>
      </c>
      <c r="L438" s="37" t="s">
        <v>64</v>
      </c>
      <c r="M438" s="37" t="s">
        <v>4843</v>
      </c>
      <c r="N438" s="37"/>
      <c r="O438" s="37" t="s">
        <v>6121</v>
      </c>
      <c r="P438" s="37" t="s">
        <v>1332</v>
      </c>
      <c r="Q438" s="37" t="s">
        <v>16</v>
      </c>
      <c r="R438" s="37"/>
      <c r="S438" s="37"/>
      <c r="T438" s="37"/>
      <c r="U438" s="37"/>
      <c r="V438" s="37" t="s">
        <v>72</v>
      </c>
      <c r="W438" s="37" t="s">
        <v>89</v>
      </c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</row>
    <row r="439" spans="1:37">
      <c r="A439" s="37"/>
      <c r="B439" s="37"/>
      <c r="C439" s="37"/>
      <c r="D439" s="37" t="s">
        <v>416</v>
      </c>
      <c r="E439" s="37" t="s">
        <v>2638</v>
      </c>
      <c r="F439" s="37" t="s">
        <v>4772</v>
      </c>
      <c r="G439" s="37" t="s">
        <v>4770</v>
      </c>
      <c r="H439" s="37"/>
      <c r="I439" s="37" t="s">
        <v>843</v>
      </c>
      <c r="J439" s="37" t="s">
        <v>75</v>
      </c>
      <c r="K439" s="40" t="s">
        <v>1330</v>
      </c>
      <c r="L439" s="37" t="s">
        <v>64</v>
      </c>
      <c r="M439" s="37" t="s">
        <v>4771</v>
      </c>
      <c r="N439" s="37"/>
      <c r="O439" s="37" t="s">
        <v>6121</v>
      </c>
      <c r="P439" s="37" t="s">
        <v>1332</v>
      </c>
      <c r="Q439" s="37" t="s">
        <v>10</v>
      </c>
      <c r="R439" s="37"/>
      <c r="S439" s="37"/>
      <c r="T439" s="37"/>
      <c r="U439" s="37"/>
      <c r="V439" s="37" t="s">
        <v>88</v>
      </c>
      <c r="W439" s="37" t="s">
        <v>89</v>
      </c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</row>
    <row r="440" spans="1:37">
      <c r="A440" s="37"/>
      <c r="B440" s="37"/>
      <c r="C440" s="37"/>
      <c r="D440" s="37" t="s">
        <v>6127</v>
      </c>
      <c r="E440" s="37" t="s">
        <v>6128</v>
      </c>
      <c r="F440" s="37" t="s">
        <v>6129</v>
      </c>
      <c r="G440" s="37" t="s">
        <v>6130</v>
      </c>
      <c r="H440" s="37"/>
      <c r="I440" s="37" t="s">
        <v>193</v>
      </c>
      <c r="J440" s="37" t="s">
        <v>153</v>
      </c>
      <c r="K440" s="40" t="s">
        <v>194</v>
      </c>
      <c r="L440" s="37" t="s">
        <v>64</v>
      </c>
      <c r="M440" s="37" t="s">
        <v>6131</v>
      </c>
      <c r="N440" s="37" t="s">
        <v>6132</v>
      </c>
      <c r="O440" s="37" t="s">
        <v>1387</v>
      </c>
      <c r="P440" s="37" t="s">
        <v>123</v>
      </c>
      <c r="Q440" s="37" t="s">
        <v>16</v>
      </c>
      <c r="R440" s="37"/>
      <c r="S440" s="37"/>
      <c r="T440" s="37" t="s">
        <v>66</v>
      </c>
      <c r="U440" s="37" t="s">
        <v>254</v>
      </c>
      <c r="V440" s="37" t="s">
        <v>77</v>
      </c>
      <c r="W440" s="37" t="s">
        <v>69</v>
      </c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</row>
    <row r="441" spans="1:37">
      <c r="A441" s="37"/>
      <c r="B441" s="37"/>
      <c r="C441" s="37"/>
      <c r="D441" s="37" t="s">
        <v>101</v>
      </c>
      <c r="E441" s="37" t="s">
        <v>3071</v>
      </c>
      <c r="F441" s="37" t="s">
        <v>3469</v>
      </c>
      <c r="G441" s="37" t="s">
        <v>119</v>
      </c>
      <c r="H441" s="37"/>
      <c r="I441" s="37" t="s">
        <v>120</v>
      </c>
      <c r="J441" s="37" t="s">
        <v>121</v>
      </c>
      <c r="K441" s="40" t="s">
        <v>122</v>
      </c>
      <c r="L441" s="37" t="s">
        <v>64</v>
      </c>
      <c r="M441" s="37" t="s">
        <v>3468</v>
      </c>
      <c r="N441" s="37"/>
      <c r="O441" s="37" t="s">
        <v>1387</v>
      </c>
      <c r="P441" s="37" t="s">
        <v>123</v>
      </c>
      <c r="Q441" s="37" t="s">
        <v>14</v>
      </c>
      <c r="R441" s="37"/>
      <c r="S441" s="37"/>
      <c r="T441" s="37" t="s">
        <v>69</v>
      </c>
      <c r="U441" s="37" t="s">
        <v>971</v>
      </c>
      <c r="V441" s="37" t="s">
        <v>72</v>
      </c>
      <c r="W441" s="37" t="s">
        <v>69</v>
      </c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</row>
    <row r="442" spans="1:37">
      <c r="A442" s="37"/>
      <c r="B442" s="37"/>
      <c r="C442" s="37"/>
      <c r="D442" s="37" t="s">
        <v>1651</v>
      </c>
      <c r="E442" s="37" t="s">
        <v>1150</v>
      </c>
      <c r="F442" s="37" t="s">
        <v>1152</v>
      </c>
      <c r="G442" s="37" t="s">
        <v>235</v>
      </c>
      <c r="H442" s="37"/>
      <c r="I442" s="37" t="s">
        <v>191</v>
      </c>
      <c r="J442" s="37" t="s">
        <v>121</v>
      </c>
      <c r="K442" s="40" t="s">
        <v>192</v>
      </c>
      <c r="L442" s="37" t="s">
        <v>64</v>
      </c>
      <c r="M442" s="37" t="s">
        <v>1151</v>
      </c>
      <c r="N442" s="37"/>
      <c r="O442" s="37" t="s">
        <v>1387</v>
      </c>
      <c r="P442" s="37" t="s">
        <v>123</v>
      </c>
      <c r="Q442" s="37" t="s">
        <v>14</v>
      </c>
      <c r="R442" s="37"/>
      <c r="S442" s="37"/>
      <c r="T442" s="37" t="s">
        <v>69</v>
      </c>
      <c r="U442" s="37" t="s">
        <v>254</v>
      </c>
      <c r="V442" s="37" t="s">
        <v>72</v>
      </c>
      <c r="W442" s="37" t="s">
        <v>69</v>
      </c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</row>
    <row r="443" spans="1:37">
      <c r="A443" s="37"/>
      <c r="B443" s="37"/>
      <c r="C443" s="37"/>
      <c r="D443" s="37" t="s">
        <v>2367</v>
      </c>
      <c r="E443" s="37" t="s">
        <v>1548</v>
      </c>
      <c r="F443" s="37" t="s">
        <v>4195</v>
      </c>
      <c r="G443" s="37" t="s">
        <v>1513</v>
      </c>
      <c r="H443" s="37"/>
      <c r="I443" s="37" t="s">
        <v>691</v>
      </c>
      <c r="J443" s="37" t="s">
        <v>125</v>
      </c>
      <c r="K443" s="40" t="s">
        <v>3723</v>
      </c>
      <c r="L443" s="37" t="s">
        <v>64</v>
      </c>
      <c r="M443" s="37" t="s">
        <v>4194</v>
      </c>
      <c r="N443" s="37"/>
      <c r="O443" s="37" t="s">
        <v>1387</v>
      </c>
      <c r="P443" s="37" t="s">
        <v>123</v>
      </c>
      <c r="Q443" s="37" t="s">
        <v>126</v>
      </c>
      <c r="R443" s="37"/>
      <c r="S443" s="37"/>
      <c r="T443" s="37" t="s">
        <v>69</v>
      </c>
      <c r="U443" s="37" t="s">
        <v>971</v>
      </c>
      <c r="V443" s="37" t="s">
        <v>72</v>
      </c>
      <c r="W443" s="37" t="s">
        <v>69</v>
      </c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</row>
    <row r="444" spans="1:37">
      <c r="A444" s="37"/>
      <c r="B444" s="37"/>
      <c r="C444" s="37"/>
      <c r="D444" s="37" t="s">
        <v>1590</v>
      </c>
      <c r="E444" s="37" t="s">
        <v>3032</v>
      </c>
      <c r="F444" s="37" t="s">
        <v>3033</v>
      </c>
      <c r="G444" s="37" t="s">
        <v>235</v>
      </c>
      <c r="H444" s="37"/>
      <c r="I444" s="37" t="s">
        <v>191</v>
      </c>
      <c r="J444" s="37" t="s">
        <v>121</v>
      </c>
      <c r="K444" s="40" t="s">
        <v>192</v>
      </c>
      <c r="L444" s="37" t="s">
        <v>64</v>
      </c>
      <c r="M444" s="37" t="s">
        <v>3031</v>
      </c>
      <c r="N444" s="37"/>
      <c r="O444" s="37" t="s">
        <v>1387</v>
      </c>
      <c r="P444" s="37" t="s">
        <v>123</v>
      </c>
      <c r="Q444" s="37" t="s">
        <v>14</v>
      </c>
      <c r="R444" s="37"/>
      <c r="S444" s="37"/>
      <c r="T444" s="37" t="s">
        <v>69</v>
      </c>
      <c r="U444" s="37" t="s">
        <v>971</v>
      </c>
      <c r="V444" s="37" t="s">
        <v>72</v>
      </c>
      <c r="W444" s="37" t="s">
        <v>69</v>
      </c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</row>
    <row r="445" spans="1:37">
      <c r="A445" s="37"/>
      <c r="B445" s="37"/>
      <c r="C445" s="37"/>
      <c r="D445" s="37" t="s">
        <v>2582</v>
      </c>
      <c r="E445" s="37" t="s">
        <v>1758</v>
      </c>
      <c r="F445" s="37" t="s">
        <v>1760</v>
      </c>
      <c r="G445" s="37" t="s">
        <v>235</v>
      </c>
      <c r="H445" s="37"/>
      <c r="I445" s="37" t="s">
        <v>191</v>
      </c>
      <c r="J445" s="37" t="s">
        <v>121</v>
      </c>
      <c r="K445" s="40" t="s">
        <v>192</v>
      </c>
      <c r="L445" s="37" t="s">
        <v>64</v>
      </c>
      <c r="M445" s="37" t="s">
        <v>1759</v>
      </c>
      <c r="N445" s="37"/>
      <c r="O445" s="37" t="s">
        <v>1387</v>
      </c>
      <c r="P445" s="37" t="s">
        <v>123</v>
      </c>
      <c r="Q445" s="37" t="s">
        <v>14</v>
      </c>
      <c r="R445" s="37"/>
      <c r="S445" s="37"/>
      <c r="T445" s="37" t="s">
        <v>69</v>
      </c>
      <c r="U445" s="37" t="s">
        <v>971</v>
      </c>
      <c r="V445" s="37" t="s">
        <v>72</v>
      </c>
      <c r="W445" s="37" t="s">
        <v>69</v>
      </c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</row>
    <row r="446" spans="1:37">
      <c r="A446" s="37"/>
      <c r="B446" s="37"/>
      <c r="C446" s="37"/>
      <c r="D446" s="37" t="s">
        <v>390</v>
      </c>
      <c r="E446" s="37" t="s">
        <v>3338</v>
      </c>
      <c r="F446" s="37" t="s">
        <v>3340</v>
      </c>
      <c r="G446" s="37" t="s">
        <v>1380</v>
      </c>
      <c r="H446" s="37"/>
      <c r="I446" s="37" t="s">
        <v>82</v>
      </c>
      <c r="J446" s="37" t="s">
        <v>83</v>
      </c>
      <c r="K446" s="40" t="s">
        <v>1195</v>
      </c>
      <c r="L446" s="37" t="s">
        <v>64</v>
      </c>
      <c r="M446" s="37" t="s">
        <v>3339</v>
      </c>
      <c r="N446" s="37"/>
      <c r="O446" s="37" t="s">
        <v>1387</v>
      </c>
      <c r="P446" s="37" t="s">
        <v>513</v>
      </c>
      <c r="Q446" s="37" t="s">
        <v>14</v>
      </c>
      <c r="R446" s="37"/>
      <c r="S446" s="37"/>
      <c r="T446" s="37" t="s">
        <v>69</v>
      </c>
      <c r="U446" s="37" t="s">
        <v>971</v>
      </c>
      <c r="V446" s="37" t="s">
        <v>72</v>
      </c>
      <c r="W446" s="37" t="s">
        <v>69</v>
      </c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</row>
    <row r="447" spans="1:37">
      <c r="A447" s="37" t="s">
        <v>164</v>
      </c>
      <c r="B447" s="37"/>
      <c r="C447" s="37"/>
      <c r="D447" s="37" t="s">
        <v>3356</v>
      </c>
      <c r="E447" s="37" t="s">
        <v>3357</v>
      </c>
      <c r="F447" s="37" t="s">
        <v>3360</v>
      </c>
      <c r="G447" s="37" t="s">
        <v>1380</v>
      </c>
      <c r="H447" s="37" t="s">
        <v>3358</v>
      </c>
      <c r="I447" s="37" t="s">
        <v>82</v>
      </c>
      <c r="J447" s="37" t="s">
        <v>83</v>
      </c>
      <c r="K447" s="40" t="s">
        <v>1014</v>
      </c>
      <c r="L447" s="37" t="s">
        <v>64</v>
      </c>
      <c r="M447" s="37" t="s">
        <v>3359</v>
      </c>
      <c r="N447" s="37"/>
      <c r="O447" s="37" t="s">
        <v>1387</v>
      </c>
      <c r="P447" s="37" t="s">
        <v>513</v>
      </c>
      <c r="Q447" s="37" t="s">
        <v>71</v>
      </c>
      <c r="R447" s="37"/>
      <c r="S447" s="37"/>
      <c r="T447" s="37" t="s">
        <v>69</v>
      </c>
      <c r="U447" s="37"/>
      <c r="V447" s="37" t="s">
        <v>72</v>
      </c>
      <c r="W447" s="37" t="s">
        <v>69</v>
      </c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</row>
    <row r="448" spans="1:37">
      <c r="A448" s="37"/>
      <c r="B448" s="37"/>
      <c r="C448" s="37"/>
      <c r="D448" s="37" t="s">
        <v>62</v>
      </c>
      <c r="E448" s="37" t="s">
        <v>3275</v>
      </c>
      <c r="F448" s="37" t="s">
        <v>3277</v>
      </c>
      <c r="G448" s="37" t="s">
        <v>1594</v>
      </c>
      <c r="H448" s="37"/>
      <c r="I448" s="37" t="s">
        <v>82</v>
      </c>
      <c r="J448" s="37" t="s">
        <v>83</v>
      </c>
      <c r="K448" s="40" t="s">
        <v>1014</v>
      </c>
      <c r="L448" s="37" t="s">
        <v>64</v>
      </c>
      <c r="M448" s="37" t="s">
        <v>3276</v>
      </c>
      <c r="N448" s="37"/>
      <c r="O448" s="37" t="s">
        <v>1387</v>
      </c>
      <c r="P448" s="37" t="s">
        <v>202</v>
      </c>
      <c r="Q448" s="37" t="s">
        <v>71</v>
      </c>
      <c r="R448" s="37" t="s">
        <v>3412</v>
      </c>
      <c r="S448" s="37"/>
      <c r="T448" s="37" t="s">
        <v>66</v>
      </c>
      <c r="U448" s="37" t="s">
        <v>254</v>
      </c>
      <c r="V448" s="37" t="s">
        <v>67</v>
      </c>
      <c r="W448" s="37" t="s">
        <v>348</v>
      </c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</row>
    <row r="449" spans="1:37">
      <c r="A449" s="37"/>
      <c r="B449" s="37"/>
      <c r="C449" s="37"/>
      <c r="D449" s="37" t="s">
        <v>482</v>
      </c>
      <c r="E449" s="37" t="s">
        <v>3198</v>
      </c>
      <c r="F449" s="37" t="s">
        <v>3200</v>
      </c>
      <c r="G449" s="37" t="s">
        <v>235</v>
      </c>
      <c r="H449" s="37"/>
      <c r="I449" s="37" t="s">
        <v>191</v>
      </c>
      <c r="J449" s="37" t="s">
        <v>121</v>
      </c>
      <c r="K449" s="40" t="s">
        <v>192</v>
      </c>
      <c r="L449" s="37" t="s">
        <v>64</v>
      </c>
      <c r="M449" s="37" t="s">
        <v>3199</v>
      </c>
      <c r="N449" s="37"/>
      <c r="O449" s="37" t="s">
        <v>1387</v>
      </c>
      <c r="P449" s="37" t="s">
        <v>123</v>
      </c>
      <c r="Q449" s="37" t="s">
        <v>14</v>
      </c>
      <c r="R449" s="37"/>
      <c r="S449" s="37"/>
      <c r="T449" s="37" t="s">
        <v>69</v>
      </c>
      <c r="U449" s="37" t="s">
        <v>971</v>
      </c>
      <c r="V449" s="37" t="s">
        <v>72</v>
      </c>
      <c r="W449" s="37" t="s">
        <v>69</v>
      </c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</row>
    <row r="450" spans="1:37">
      <c r="A450" s="37"/>
      <c r="B450" s="37"/>
      <c r="C450" s="37"/>
      <c r="D450" s="37" t="s">
        <v>416</v>
      </c>
      <c r="E450" s="37" t="s">
        <v>2487</v>
      </c>
      <c r="F450" s="37" t="s">
        <v>3835</v>
      </c>
      <c r="G450" s="37" t="s">
        <v>235</v>
      </c>
      <c r="H450" s="37"/>
      <c r="I450" s="37" t="s">
        <v>191</v>
      </c>
      <c r="J450" s="37" t="s">
        <v>121</v>
      </c>
      <c r="K450" s="40" t="s">
        <v>3833</v>
      </c>
      <c r="L450" s="37" t="s">
        <v>64</v>
      </c>
      <c r="M450" s="37" t="s">
        <v>3834</v>
      </c>
      <c r="N450" s="37"/>
      <c r="O450" s="37" t="s">
        <v>1387</v>
      </c>
      <c r="P450" s="37" t="s">
        <v>123</v>
      </c>
      <c r="Q450" s="37" t="s">
        <v>71</v>
      </c>
      <c r="R450" s="37"/>
      <c r="S450" s="37"/>
      <c r="T450" s="37" t="s">
        <v>69</v>
      </c>
      <c r="U450" s="37" t="s">
        <v>971</v>
      </c>
      <c r="V450" s="37" t="s">
        <v>72</v>
      </c>
      <c r="W450" s="37" t="s">
        <v>69</v>
      </c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</row>
    <row r="451" spans="1:37">
      <c r="A451" s="37"/>
      <c r="B451" s="37"/>
      <c r="C451" s="37"/>
      <c r="D451" s="37" t="s">
        <v>3240</v>
      </c>
      <c r="E451" s="37" t="s">
        <v>3241</v>
      </c>
      <c r="F451" s="37" t="s">
        <v>3243</v>
      </c>
      <c r="G451" s="37" t="s">
        <v>235</v>
      </c>
      <c r="H451" s="37" t="s">
        <v>430</v>
      </c>
      <c r="I451" s="37" t="s">
        <v>191</v>
      </c>
      <c r="J451" s="37" t="s">
        <v>121</v>
      </c>
      <c r="K451" s="40" t="s">
        <v>192</v>
      </c>
      <c r="L451" s="37" t="s">
        <v>64</v>
      </c>
      <c r="M451" s="37" t="s">
        <v>3242</v>
      </c>
      <c r="N451" s="37"/>
      <c r="O451" s="37" t="s">
        <v>1387</v>
      </c>
      <c r="P451" s="37" t="s">
        <v>123</v>
      </c>
      <c r="Q451" s="37" t="s">
        <v>14</v>
      </c>
      <c r="R451" s="37"/>
      <c r="S451" s="37"/>
      <c r="T451" s="37"/>
      <c r="U451" s="37"/>
      <c r="V451" s="37" t="s">
        <v>72</v>
      </c>
      <c r="W451" s="37" t="s">
        <v>348</v>
      </c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</row>
    <row r="452" spans="1:37">
      <c r="A452" s="37"/>
      <c r="B452" s="37"/>
      <c r="C452" s="37"/>
      <c r="D452" s="37" t="s">
        <v>1815</v>
      </c>
      <c r="E452" s="37" t="s">
        <v>2579</v>
      </c>
      <c r="F452" s="37" t="s">
        <v>2581</v>
      </c>
      <c r="G452" s="37" t="s">
        <v>318</v>
      </c>
      <c r="H452" s="37"/>
      <c r="I452" s="37" t="s">
        <v>319</v>
      </c>
      <c r="J452" s="37" t="s">
        <v>320</v>
      </c>
      <c r="K452" s="40" t="s">
        <v>3795</v>
      </c>
      <c r="L452" s="37" t="s">
        <v>64</v>
      </c>
      <c r="M452" s="37" t="s">
        <v>2580</v>
      </c>
      <c r="N452" s="37"/>
      <c r="O452" s="37" t="s">
        <v>1387</v>
      </c>
      <c r="P452" s="37" t="s">
        <v>123</v>
      </c>
      <c r="Q452" s="37" t="s">
        <v>4</v>
      </c>
      <c r="R452" s="37"/>
      <c r="S452" s="37"/>
      <c r="T452" s="37" t="s">
        <v>69</v>
      </c>
      <c r="U452" s="37" t="s">
        <v>971</v>
      </c>
      <c r="V452" s="37" t="s">
        <v>72</v>
      </c>
      <c r="W452" s="37" t="s">
        <v>69</v>
      </c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</row>
    <row r="453" spans="1:37">
      <c r="A453" s="37"/>
      <c r="B453" s="37"/>
      <c r="C453" s="37"/>
      <c r="D453" s="37" t="s">
        <v>5499</v>
      </c>
      <c r="E453" s="37" t="s">
        <v>5500</v>
      </c>
      <c r="F453" s="37" t="s">
        <v>5504</v>
      </c>
      <c r="G453" s="37" t="s">
        <v>1285</v>
      </c>
      <c r="H453" s="37" t="s">
        <v>5501</v>
      </c>
      <c r="I453" s="37" t="s">
        <v>191</v>
      </c>
      <c r="J453" s="37" t="s">
        <v>121</v>
      </c>
      <c r="K453" s="40" t="s">
        <v>5502</v>
      </c>
      <c r="L453" s="37" t="s">
        <v>64</v>
      </c>
      <c r="M453" s="37" t="s">
        <v>5503</v>
      </c>
      <c r="N453" s="37"/>
      <c r="O453" s="37" t="s">
        <v>1387</v>
      </c>
      <c r="P453" s="37" t="s">
        <v>123</v>
      </c>
      <c r="Q453" s="37" t="s">
        <v>71</v>
      </c>
      <c r="R453" s="37"/>
      <c r="S453" s="37"/>
      <c r="T453" s="37"/>
      <c r="U453" s="37"/>
      <c r="V453" s="37" t="s">
        <v>72</v>
      </c>
      <c r="W453" s="37" t="s">
        <v>73</v>
      </c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</row>
    <row r="454" spans="1:37">
      <c r="A454" s="37"/>
      <c r="B454" s="37"/>
      <c r="C454" s="37"/>
      <c r="D454" s="37" t="s">
        <v>993</v>
      </c>
      <c r="E454" s="37" t="s">
        <v>5216</v>
      </c>
      <c r="F454" s="37" t="s">
        <v>5218</v>
      </c>
      <c r="G454" s="37" t="s">
        <v>235</v>
      </c>
      <c r="H454" s="37"/>
      <c r="I454" s="37" t="s">
        <v>191</v>
      </c>
      <c r="J454" s="37" t="s">
        <v>121</v>
      </c>
      <c r="K454" s="40" t="s">
        <v>192</v>
      </c>
      <c r="L454" s="37" t="s">
        <v>64</v>
      </c>
      <c r="M454" s="37" t="s">
        <v>5217</v>
      </c>
      <c r="N454" s="37"/>
      <c r="O454" s="37" t="s">
        <v>1387</v>
      </c>
      <c r="P454" s="37" t="s">
        <v>123</v>
      </c>
      <c r="Q454" s="37" t="s">
        <v>14</v>
      </c>
      <c r="R454" s="37"/>
      <c r="S454" s="37"/>
      <c r="T454" s="37"/>
      <c r="U454" s="37" t="s">
        <v>254</v>
      </c>
      <c r="V454" s="37" t="s">
        <v>72</v>
      </c>
      <c r="W454" s="37" t="s">
        <v>195</v>
      </c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</row>
    <row r="455" spans="1:37">
      <c r="A455" s="37"/>
      <c r="B455" s="37"/>
      <c r="C455" s="37"/>
      <c r="D455" s="37" t="s">
        <v>670</v>
      </c>
      <c r="E455" s="37" t="s">
        <v>1049</v>
      </c>
      <c r="F455" s="37" t="s">
        <v>5630</v>
      </c>
      <c r="G455" s="37" t="s">
        <v>235</v>
      </c>
      <c r="H455" s="37"/>
      <c r="I455" s="37" t="s">
        <v>191</v>
      </c>
      <c r="J455" s="37" t="s">
        <v>121</v>
      </c>
      <c r="K455" s="40" t="s">
        <v>192</v>
      </c>
      <c r="L455" s="37" t="s">
        <v>64</v>
      </c>
      <c r="M455" s="37" t="s">
        <v>5629</v>
      </c>
      <c r="N455" s="37"/>
      <c r="O455" s="37" t="s">
        <v>1387</v>
      </c>
      <c r="P455" s="37" t="s">
        <v>123</v>
      </c>
      <c r="Q455" s="37" t="s">
        <v>14</v>
      </c>
      <c r="R455" s="37"/>
      <c r="S455" s="37"/>
      <c r="T455" s="37" t="s">
        <v>69</v>
      </c>
      <c r="U455" s="37" t="s">
        <v>69</v>
      </c>
      <c r="V455" s="37" t="s">
        <v>72</v>
      </c>
      <c r="W455" s="37" t="s">
        <v>73</v>
      </c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</row>
    <row r="456" spans="1:37">
      <c r="A456" s="37"/>
      <c r="B456" s="37"/>
      <c r="C456" s="37"/>
      <c r="D456" s="37" t="s">
        <v>972</v>
      </c>
      <c r="E456" s="37" t="s">
        <v>2925</v>
      </c>
      <c r="F456" s="37" t="s">
        <v>2927</v>
      </c>
      <c r="G456" s="37" t="s">
        <v>235</v>
      </c>
      <c r="H456" s="37" t="s">
        <v>1074</v>
      </c>
      <c r="I456" s="37" t="s">
        <v>191</v>
      </c>
      <c r="J456" s="37" t="s">
        <v>121</v>
      </c>
      <c r="K456" s="40" t="s">
        <v>192</v>
      </c>
      <c r="L456" s="37" t="s">
        <v>64</v>
      </c>
      <c r="M456" s="37" t="s">
        <v>2926</v>
      </c>
      <c r="N456" s="37"/>
      <c r="O456" s="37" t="s">
        <v>1387</v>
      </c>
      <c r="P456" s="37" t="s">
        <v>123</v>
      </c>
      <c r="Q456" s="37" t="s">
        <v>14</v>
      </c>
      <c r="R456" s="37"/>
      <c r="S456" s="37"/>
      <c r="T456" s="37" t="s">
        <v>115</v>
      </c>
      <c r="U456" s="37" t="s">
        <v>87</v>
      </c>
      <c r="V456" s="37" t="s">
        <v>72</v>
      </c>
      <c r="W456" s="37" t="s">
        <v>195</v>
      </c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</row>
    <row r="457" spans="1:37">
      <c r="A457" s="37"/>
      <c r="B457" s="37"/>
      <c r="C457" s="37"/>
      <c r="D457" s="37" t="s">
        <v>3268</v>
      </c>
      <c r="E457" s="37" t="s">
        <v>3269</v>
      </c>
      <c r="F457" s="37" t="s">
        <v>3271</v>
      </c>
      <c r="G457" s="37" t="s">
        <v>235</v>
      </c>
      <c r="H457" s="37"/>
      <c r="I457" s="37" t="s">
        <v>191</v>
      </c>
      <c r="J457" s="37" t="s">
        <v>121</v>
      </c>
      <c r="K457" s="40" t="s">
        <v>192</v>
      </c>
      <c r="L457" s="37" t="s">
        <v>64</v>
      </c>
      <c r="M457" s="37" t="s">
        <v>3270</v>
      </c>
      <c r="N457" s="37"/>
      <c r="O457" s="37" t="s">
        <v>1387</v>
      </c>
      <c r="P457" s="37" t="s">
        <v>123</v>
      </c>
      <c r="Q457" s="37" t="s">
        <v>14</v>
      </c>
      <c r="R457" s="37"/>
      <c r="S457" s="37"/>
      <c r="T457" s="37" t="s">
        <v>69</v>
      </c>
      <c r="U457" s="37" t="s">
        <v>971</v>
      </c>
      <c r="V457" s="37" t="s">
        <v>72</v>
      </c>
      <c r="W457" s="37" t="s">
        <v>69</v>
      </c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</row>
    <row r="458" spans="1:37">
      <c r="A458" s="37"/>
      <c r="B458" s="37"/>
      <c r="C458" s="37"/>
      <c r="D458" s="37" t="s">
        <v>1590</v>
      </c>
      <c r="E458" s="37" t="s">
        <v>2236</v>
      </c>
      <c r="F458" s="37" t="s">
        <v>2241</v>
      </c>
      <c r="G458" s="37" t="s">
        <v>2239</v>
      </c>
      <c r="H458" s="37"/>
      <c r="I458" s="37" t="s">
        <v>191</v>
      </c>
      <c r="J458" s="37" t="s">
        <v>121</v>
      </c>
      <c r="K458" s="40" t="s">
        <v>192</v>
      </c>
      <c r="L458" s="37" t="s">
        <v>64</v>
      </c>
      <c r="M458" s="37" t="s">
        <v>2240</v>
      </c>
      <c r="N458" s="37"/>
      <c r="O458" s="37" t="s">
        <v>1387</v>
      </c>
      <c r="P458" s="37" t="s">
        <v>123</v>
      </c>
      <c r="Q458" s="37" t="s">
        <v>14</v>
      </c>
      <c r="R458" s="37"/>
      <c r="S458" s="37"/>
      <c r="T458" s="37"/>
      <c r="U458" s="37"/>
      <c r="V458" s="37" t="s">
        <v>72</v>
      </c>
      <c r="W458" s="37" t="s">
        <v>195</v>
      </c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</row>
    <row r="459" spans="1:37">
      <c r="A459" s="37"/>
      <c r="B459" s="37"/>
      <c r="C459" s="37"/>
      <c r="D459" s="37" t="s">
        <v>1673</v>
      </c>
      <c r="E459" s="37" t="s">
        <v>2578</v>
      </c>
      <c r="F459" s="37" t="s">
        <v>3547</v>
      </c>
      <c r="G459" s="37" t="s">
        <v>235</v>
      </c>
      <c r="H459" s="37"/>
      <c r="I459" s="37" t="s">
        <v>191</v>
      </c>
      <c r="J459" s="37" t="s">
        <v>121</v>
      </c>
      <c r="K459" s="40" t="s">
        <v>3833</v>
      </c>
      <c r="L459" s="37" t="s">
        <v>64</v>
      </c>
      <c r="M459" s="37" t="s">
        <v>3546</v>
      </c>
      <c r="N459" s="37"/>
      <c r="O459" s="37" t="s">
        <v>1387</v>
      </c>
      <c r="P459" s="37" t="s">
        <v>123</v>
      </c>
      <c r="Q459" s="37" t="s">
        <v>71</v>
      </c>
      <c r="R459" s="37"/>
      <c r="S459" s="37"/>
      <c r="T459" s="37" t="s">
        <v>69</v>
      </c>
      <c r="U459" s="37" t="s">
        <v>254</v>
      </c>
      <c r="V459" s="37" t="s">
        <v>72</v>
      </c>
      <c r="W459" s="37" t="s">
        <v>69</v>
      </c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</row>
    <row r="460" spans="1:37">
      <c r="A460" s="37"/>
      <c r="B460" s="37"/>
      <c r="C460" s="37"/>
      <c r="D460" s="37" t="s">
        <v>197</v>
      </c>
      <c r="E460" s="37" t="s">
        <v>179</v>
      </c>
      <c r="F460" s="37" t="s">
        <v>5019</v>
      </c>
      <c r="G460" s="37" t="s">
        <v>235</v>
      </c>
      <c r="H460" s="37" t="s">
        <v>5017</v>
      </c>
      <c r="I460" s="37" t="s">
        <v>191</v>
      </c>
      <c r="J460" s="37" t="s">
        <v>121</v>
      </c>
      <c r="K460" s="40" t="s">
        <v>192</v>
      </c>
      <c r="L460" s="37" t="s">
        <v>64</v>
      </c>
      <c r="M460" s="37" t="s">
        <v>5018</v>
      </c>
      <c r="N460" s="37"/>
      <c r="O460" s="37" t="s">
        <v>1387</v>
      </c>
      <c r="P460" s="37" t="s">
        <v>123</v>
      </c>
      <c r="Q460" s="37" t="s">
        <v>14</v>
      </c>
      <c r="R460" s="37"/>
      <c r="S460" s="37"/>
      <c r="T460" s="37"/>
      <c r="U460" s="37"/>
      <c r="V460" s="37" t="s">
        <v>72</v>
      </c>
      <c r="W460" s="37" t="s">
        <v>195</v>
      </c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</row>
    <row r="461" spans="1:37">
      <c r="A461" s="37"/>
      <c r="B461" s="37"/>
      <c r="C461" s="37"/>
      <c r="D461" s="37" t="s">
        <v>282</v>
      </c>
      <c r="E461" s="37" t="s">
        <v>763</v>
      </c>
      <c r="F461" s="37" t="s">
        <v>2700</v>
      </c>
      <c r="G461" s="37" t="s">
        <v>2698</v>
      </c>
      <c r="H461" s="37"/>
      <c r="I461" s="37" t="s">
        <v>354</v>
      </c>
      <c r="J461" s="37" t="s">
        <v>75</v>
      </c>
      <c r="K461" s="40" t="s">
        <v>2379</v>
      </c>
      <c r="L461" s="37" t="s">
        <v>64</v>
      </c>
      <c r="M461" s="37" t="s">
        <v>2699</v>
      </c>
      <c r="N461" s="37"/>
      <c r="O461" s="37" t="s">
        <v>1387</v>
      </c>
      <c r="P461" s="37" t="s">
        <v>123</v>
      </c>
      <c r="Q461" s="37" t="s">
        <v>10</v>
      </c>
      <c r="R461" s="37"/>
      <c r="S461" s="37"/>
      <c r="T461" s="37"/>
      <c r="U461" s="37" t="s">
        <v>145</v>
      </c>
      <c r="V461" s="37" t="s">
        <v>67</v>
      </c>
      <c r="W461" s="37" t="s">
        <v>195</v>
      </c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</row>
    <row r="462" spans="1:37">
      <c r="A462" s="37"/>
      <c r="B462" s="37"/>
      <c r="C462" s="37"/>
      <c r="D462" s="37" t="s">
        <v>211</v>
      </c>
      <c r="E462" s="37" t="s">
        <v>79</v>
      </c>
      <c r="F462" s="37" t="s">
        <v>4749</v>
      </c>
      <c r="G462" s="37" t="s">
        <v>1122</v>
      </c>
      <c r="H462" s="37" t="s">
        <v>4747</v>
      </c>
      <c r="I462" s="37" t="s">
        <v>803</v>
      </c>
      <c r="J462" s="37" t="s">
        <v>121</v>
      </c>
      <c r="K462" s="40" t="s">
        <v>804</v>
      </c>
      <c r="L462" s="37" t="s">
        <v>64</v>
      </c>
      <c r="M462" s="37" t="s">
        <v>4748</v>
      </c>
      <c r="N462" s="37"/>
      <c r="O462" s="37" t="s">
        <v>1387</v>
      </c>
      <c r="P462" s="37" t="s">
        <v>513</v>
      </c>
      <c r="Q462" s="37" t="s">
        <v>14</v>
      </c>
      <c r="R462" s="37"/>
      <c r="S462" s="37"/>
      <c r="T462" s="37" t="s">
        <v>115</v>
      </c>
      <c r="U462" s="37" t="s">
        <v>109</v>
      </c>
      <c r="V462" s="37" t="s">
        <v>72</v>
      </c>
      <c r="W462" s="37" t="s">
        <v>131</v>
      </c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</row>
    <row r="463" spans="1:37">
      <c r="A463" s="37"/>
      <c r="B463" s="37"/>
      <c r="C463" s="37"/>
      <c r="D463" s="37" t="s">
        <v>233</v>
      </c>
      <c r="E463" s="37" t="s">
        <v>234</v>
      </c>
      <c r="F463" s="37" t="s">
        <v>237</v>
      </c>
      <c r="G463" s="37" t="s">
        <v>235</v>
      </c>
      <c r="H463" s="37"/>
      <c r="I463" s="37" t="s">
        <v>191</v>
      </c>
      <c r="J463" s="37" t="s">
        <v>121</v>
      </c>
      <c r="K463" s="40" t="s">
        <v>192</v>
      </c>
      <c r="L463" s="37" t="s">
        <v>64</v>
      </c>
      <c r="M463" s="37" t="s">
        <v>236</v>
      </c>
      <c r="N463" s="37"/>
      <c r="O463" s="37" t="s">
        <v>1387</v>
      </c>
      <c r="P463" s="37" t="s">
        <v>123</v>
      </c>
      <c r="Q463" s="37" t="s">
        <v>14</v>
      </c>
      <c r="R463" s="37"/>
      <c r="S463" s="37"/>
      <c r="T463" s="37"/>
      <c r="U463" s="37"/>
      <c r="V463" s="37" t="s">
        <v>72</v>
      </c>
      <c r="W463" s="37" t="s">
        <v>89</v>
      </c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</row>
    <row r="464" spans="1:37">
      <c r="A464" s="37"/>
      <c r="B464" s="37"/>
      <c r="C464" s="37"/>
      <c r="D464" s="37" t="s">
        <v>5485</v>
      </c>
      <c r="E464" s="37" t="s">
        <v>5486</v>
      </c>
      <c r="F464" s="37" t="s">
        <v>5489</v>
      </c>
      <c r="G464" s="37" t="s">
        <v>235</v>
      </c>
      <c r="H464" s="37" t="s">
        <v>5487</v>
      </c>
      <c r="I464" s="37" t="s">
        <v>191</v>
      </c>
      <c r="J464" s="37" t="s">
        <v>121</v>
      </c>
      <c r="K464" s="40" t="s">
        <v>192</v>
      </c>
      <c r="L464" s="37" t="s">
        <v>64</v>
      </c>
      <c r="M464" s="37" t="s">
        <v>5488</v>
      </c>
      <c r="N464" s="37"/>
      <c r="O464" s="37" t="s">
        <v>1387</v>
      </c>
      <c r="P464" s="37" t="s">
        <v>123</v>
      </c>
      <c r="Q464" s="37" t="s">
        <v>14</v>
      </c>
      <c r="R464" s="37"/>
      <c r="S464" s="37"/>
      <c r="T464" s="37"/>
      <c r="U464" s="37"/>
      <c r="V464" s="37" t="s">
        <v>72</v>
      </c>
      <c r="W464" s="37" t="s">
        <v>110</v>
      </c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</row>
    <row r="465" spans="1:37">
      <c r="A465" s="37"/>
      <c r="B465" s="37"/>
      <c r="C465" s="37"/>
      <c r="D465" s="37" t="s">
        <v>216</v>
      </c>
      <c r="E465" s="37" t="s">
        <v>5490</v>
      </c>
      <c r="F465" s="37" t="s">
        <v>5492</v>
      </c>
      <c r="G465" s="37" t="s">
        <v>235</v>
      </c>
      <c r="H465" s="37" t="s">
        <v>1074</v>
      </c>
      <c r="I465" s="37" t="s">
        <v>191</v>
      </c>
      <c r="J465" s="37" t="s">
        <v>121</v>
      </c>
      <c r="K465" s="40" t="s">
        <v>192</v>
      </c>
      <c r="L465" s="37" t="s">
        <v>64</v>
      </c>
      <c r="M465" s="37" t="s">
        <v>5491</v>
      </c>
      <c r="N465" s="37"/>
      <c r="O465" s="37" t="s">
        <v>1387</v>
      </c>
      <c r="P465" s="37" t="s">
        <v>123</v>
      </c>
      <c r="Q465" s="37" t="s">
        <v>14</v>
      </c>
      <c r="R465" s="37"/>
      <c r="S465" s="37"/>
      <c r="T465" s="37" t="s">
        <v>115</v>
      </c>
      <c r="U465" s="37"/>
      <c r="V465" s="37" t="s">
        <v>72</v>
      </c>
      <c r="W465" s="37" t="s">
        <v>195</v>
      </c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</row>
    <row r="466" spans="1:37">
      <c r="A466" s="37"/>
      <c r="B466" s="37"/>
      <c r="C466" s="37"/>
      <c r="D466" s="37" t="s">
        <v>272</v>
      </c>
      <c r="E466" s="37" t="s">
        <v>273</v>
      </c>
      <c r="F466" s="37" t="s">
        <v>280</v>
      </c>
      <c r="G466" s="37" t="s">
        <v>274</v>
      </c>
      <c r="H466" s="37" t="s">
        <v>275</v>
      </c>
      <c r="I466" s="37" t="s">
        <v>276</v>
      </c>
      <c r="J466" s="37" t="s">
        <v>70</v>
      </c>
      <c r="K466" s="40" t="s">
        <v>277</v>
      </c>
      <c r="L466" s="37" t="s">
        <v>64</v>
      </c>
      <c r="M466" s="37" t="s">
        <v>278</v>
      </c>
      <c r="N466" s="37"/>
      <c r="O466" s="37" t="s">
        <v>1387</v>
      </c>
      <c r="P466" s="37" t="s">
        <v>123</v>
      </c>
      <c r="Q466" s="37" t="s">
        <v>71</v>
      </c>
      <c r="R466" s="37"/>
      <c r="S466" s="37"/>
      <c r="T466" s="37"/>
      <c r="U466" s="37" t="s">
        <v>254</v>
      </c>
      <c r="V466" s="37" t="s">
        <v>72</v>
      </c>
      <c r="W466" s="37" t="s">
        <v>89</v>
      </c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</row>
    <row r="467" spans="1:37">
      <c r="A467" s="37"/>
      <c r="B467" s="37"/>
      <c r="C467" s="37"/>
      <c r="D467" s="37" t="s">
        <v>1120</v>
      </c>
      <c r="E467" s="37" t="s">
        <v>3778</v>
      </c>
      <c r="F467" s="37" t="s">
        <v>3780</v>
      </c>
      <c r="G467" s="37" t="s">
        <v>736</v>
      </c>
      <c r="H467" s="37" t="s">
        <v>737</v>
      </c>
      <c r="I467" s="37" t="s">
        <v>92</v>
      </c>
      <c r="J467" s="37" t="s">
        <v>93</v>
      </c>
      <c r="K467" s="40" t="s">
        <v>738</v>
      </c>
      <c r="L467" s="37" t="s">
        <v>64</v>
      </c>
      <c r="M467" s="37" t="s">
        <v>3779</v>
      </c>
      <c r="N467" s="37"/>
      <c r="O467" s="37" t="s">
        <v>1387</v>
      </c>
      <c r="P467" s="37" t="s">
        <v>123</v>
      </c>
      <c r="Q467" s="37" t="s">
        <v>98</v>
      </c>
      <c r="R467" s="37"/>
      <c r="S467" s="37"/>
      <c r="T467" s="37" t="s">
        <v>115</v>
      </c>
      <c r="U467" s="37" t="s">
        <v>109</v>
      </c>
      <c r="V467" s="37" t="s">
        <v>72</v>
      </c>
      <c r="W467" s="37" t="s">
        <v>69</v>
      </c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</row>
    <row r="468" spans="1:37">
      <c r="A468" s="37"/>
      <c r="B468" s="37"/>
      <c r="C468" s="37"/>
      <c r="D468" s="37" t="s">
        <v>308</v>
      </c>
      <c r="E468" s="37" t="s">
        <v>309</v>
      </c>
      <c r="F468" s="37" t="s">
        <v>317</v>
      </c>
      <c r="G468" s="37" t="s">
        <v>310</v>
      </c>
      <c r="H468" s="37" t="s">
        <v>311</v>
      </c>
      <c r="I468" s="37" t="s">
        <v>312</v>
      </c>
      <c r="J468" s="37" t="s">
        <v>313</v>
      </c>
      <c r="K468" s="40" t="s">
        <v>314</v>
      </c>
      <c r="L468" s="37" t="s">
        <v>64</v>
      </c>
      <c r="M468" s="37" t="s">
        <v>315</v>
      </c>
      <c r="N468" s="37"/>
      <c r="O468" s="37" t="s">
        <v>1387</v>
      </c>
      <c r="P468" s="37" t="s">
        <v>123</v>
      </c>
      <c r="Q468" s="37" t="s">
        <v>316</v>
      </c>
      <c r="R468" s="37"/>
      <c r="S468" s="37"/>
      <c r="T468" s="37"/>
      <c r="U468" s="37" t="s">
        <v>145</v>
      </c>
      <c r="V468" s="37" t="s">
        <v>72</v>
      </c>
      <c r="W468" s="37" t="s">
        <v>73</v>
      </c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</row>
    <row r="469" spans="1:37">
      <c r="A469" s="37"/>
      <c r="B469" s="37"/>
      <c r="C469" s="37"/>
      <c r="D469" s="37" t="s">
        <v>3174</v>
      </c>
      <c r="E469" s="37" t="s">
        <v>3175</v>
      </c>
      <c r="F469" s="37" t="s">
        <v>3177</v>
      </c>
      <c r="G469" s="37" t="s">
        <v>235</v>
      </c>
      <c r="H469" s="37" t="s">
        <v>1074</v>
      </c>
      <c r="I469" s="37" t="s">
        <v>191</v>
      </c>
      <c r="J469" s="37" t="s">
        <v>121</v>
      </c>
      <c r="K469" s="40" t="s">
        <v>192</v>
      </c>
      <c r="L469" s="37" t="s">
        <v>64</v>
      </c>
      <c r="M469" s="37" t="s">
        <v>3176</v>
      </c>
      <c r="N469" s="37"/>
      <c r="O469" s="37" t="s">
        <v>1387</v>
      </c>
      <c r="P469" s="37" t="s">
        <v>123</v>
      </c>
      <c r="Q469" s="37" t="s">
        <v>14</v>
      </c>
      <c r="R469" s="37"/>
      <c r="S469" s="37"/>
      <c r="T469" s="37"/>
      <c r="U469" s="37"/>
      <c r="V469" s="37" t="s">
        <v>72</v>
      </c>
      <c r="W469" s="37" t="s">
        <v>195</v>
      </c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</row>
    <row r="470" spans="1:37">
      <c r="A470" s="37"/>
      <c r="B470" s="37"/>
      <c r="C470" s="37"/>
      <c r="D470" s="37" t="s">
        <v>90</v>
      </c>
      <c r="E470" s="37" t="s">
        <v>365</v>
      </c>
      <c r="F470" s="37" t="s">
        <v>368</v>
      </c>
      <c r="G470" s="37" t="s">
        <v>235</v>
      </c>
      <c r="H470" s="37" t="s">
        <v>366</v>
      </c>
      <c r="I470" s="37" t="s">
        <v>191</v>
      </c>
      <c r="J470" s="37" t="s">
        <v>121</v>
      </c>
      <c r="K470" s="40" t="s">
        <v>192</v>
      </c>
      <c r="L470" s="37" t="s">
        <v>64</v>
      </c>
      <c r="M470" s="37" t="s">
        <v>367</v>
      </c>
      <c r="N470" s="37"/>
      <c r="O470" s="37" t="s">
        <v>1387</v>
      </c>
      <c r="P470" s="37" t="s">
        <v>123</v>
      </c>
      <c r="Q470" s="37" t="s">
        <v>14</v>
      </c>
      <c r="R470" s="37"/>
      <c r="S470" s="37"/>
      <c r="T470" s="37"/>
      <c r="U470" s="37"/>
      <c r="V470" s="37" t="s">
        <v>72</v>
      </c>
      <c r="W470" s="37" t="s">
        <v>110</v>
      </c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</row>
    <row r="471" spans="1:37">
      <c r="A471" s="37" t="s">
        <v>1317</v>
      </c>
      <c r="B471" s="37"/>
      <c r="C471" s="37"/>
      <c r="D471" s="37" t="s">
        <v>974</v>
      </c>
      <c r="E471" s="37" t="s">
        <v>5429</v>
      </c>
      <c r="F471" s="37" t="s">
        <v>5432</v>
      </c>
      <c r="G471" s="37" t="s">
        <v>3396</v>
      </c>
      <c r="H471" s="37" t="s">
        <v>2386</v>
      </c>
      <c r="I471" s="37" t="s">
        <v>342</v>
      </c>
      <c r="J471" s="37" t="s">
        <v>256</v>
      </c>
      <c r="K471" s="40" t="s">
        <v>343</v>
      </c>
      <c r="L471" s="37" t="s">
        <v>64</v>
      </c>
      <c r="M471" s="37" t="s">
        <v>5430</v>
      </c>
      <c r="N471" s="37" t="s">
        <v>5431</v>
      </c>
      <c r="O471" s="37" t="s">
        <v>1387</v>
      </c>
      <c r="P471" s="37" t="s">
        <v>123</v>
      </c>
      <c r="Q471" s="37" t="s">
        <v>17</v>
      </c>
      <c r="R471" s="37"/>
      <c r="S471" s="37"/>
      <c r="T471" s="37" t="s">
        <v>69</v>
      </c>
      <c r="U471" s="37"/>
      <c r="V471" s="37" t="s">
        <v>72</v>
      </c>
      <c r="W471" s="37" t="s">
        <v>89</v>
      </c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</row>
    <row r="472" spans="1:37">
      <c r="A472" s="37"/>
      <c r="B472" s="37"/>
      <c r="C472" s="37"/>
      <c r="D472" s="37" t="s">
        <v>881</v>
      </c>
      <c r="E472" s="37" t="s">
        <v>423</v>
      </c>
      <c r="F472" s="37" t="s">
        <v>5437</v>
      </c>
      <c r="G472" s="37" t="s">
        <v>5433</v>
      </c>
      <c r="H472" s="37"/>
      <c r="I472" s="37" t="s">
        <v>5434</v>
      </c>
      <c r="J472" s="37" t="s">
        <v>121</v>
      </c>
      <c r="K472" s="40" t="s">
        <v>5435</v>
      </c>
      <c r="L472" s="37" t="s">
        <v>64</v>
      </c>
      <c r="M472" s="37" t="s">
        <v>5436</v>
      </c>
      <c r="N472" s="37"/>
      <c r="O472" s="37" t="s">
        <v>1387</v>
      </c>
      <c r="P472" s="37" t="s">
        <v>123</v>
      </c>
      <c r="Q472" s="37" t="s">
        <v>71</v>
      </c>
      <c r="R472" s="37"/>
      <c r="S472" s="37"/>
      <c r="T472" s="37" t="s">
        <v>69</v>
      </c>
      <c r="U472" s="37"/>
      <c r="V472" s="37" t="s">
        <v>72</v>
      </c>
      <c r="W472" s="37" t="s">
        <v>89</v>
      </c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</row>
    <row r="473" spans="1:37">
      <c r="A473" s="37"/>
      <c r="B473" s="37"/>
      <c r="C473" s="37"/>
      <c r="D473" s="37" t="s">
        <v>101</v>
      </c>
      <c r="E473" s="37" t="s">
        <v>439</v>
      </c>
      <c r="F473" s="37" t="s">
        <v>5438</v>
      </c>
      <c r="G473" s="37" t="s">
        <v>235</v>
      </c>
      <c r="H473" s="37"/>
      <c r="I473" s="37" t="s">
        <v>191</v>
      </c>
      <c r="J473" s="37" t="s">
        <v>121</v>
      </c>
      <c r="K473" s="40" t="s">
        <v>192</v>
      </c>
      <c r="L473" s="37" t="s">
        <v>64</v>
      </c>
      <c r="M473" s="37" t="s">
        <v>919</v>
      </c>
      <c r="N473" s="37"/>
      <c r="O473" s="37" t="s">
        <v>1387</v>
      </c>
      <c r="P473" s="37" t="s">
        <v>123</v>
      </c>
      <c r="Q473" s="37" t="s">
        <v>14</v>
      </c>
      <c r="R473" s="37"/>
      <c r="S473" s="37"/>
      <c r="T473" s="37"/>
      <c r="U473" s="37"/>
      <c r="V473" s="37" t="s">
        <v>72</v>
      </c>
      <c r="W473" s="37" t="s">
        <v>69</v>
      </c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</row>
    <row r="474" spans="1:37">
      <c r="A474" s="37"/>
      <c r="B474" s="37"/>
      <c r="C474" s="37"/>
      <c r="D474" s="37" t="s">
        <v>448</v>
      </c>
      <c r="E474" s="37" t="s">
        <v>449</v>
      </c>
      <c r="F474" s="37" t="s">
        <v>453</v>
      </c>
      <c r="G474" s="37" t="s">
        <v>450</v>
      </c>
      <c r="H474" s="37"/>
      <c r="I474" s="37" t="s">
        <v>420</v>
      </c>
      <c r="J474" s="37" t="s">
        <v>75</v>
      </c>
      <c r="K474" s="40" t="s">
        <v>451</v>
      </c>
      <c r="L474" s="37" t="s">
        <v>64</v>
      </c>
      <c r="M474" s="37" t="s">
        <v>452</v>
      </c>
      <c r="N474" s="37"/>
      <c r="O474" s="37" t="s">
        <v>1387</v>
      </c>
      <c r="P474" s="37" t="s">
        <v>123</v>
      </c>
      <c r="Q474" s="37" t="s">
        <v>10</v>
      </c>
      <c r="R474" s="37"/>
      <c r="S474" s="37"/>
      <c r="T474" s="37" t="s">
        <v>115</v>
      </c>
      <c r="U474" s="37" t="s">
        <v>87</v>
      </c>
      <c r="V474" s="37" t="s">
        <v>72</v>
      </c>
      <c r="W474" s="37" t="s">
        <v>195</v>
      </c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</row>
    <row r="475" spans="1:37">
      <c r="A475" s="37"/>
      <c r="B475" s="37"/>
      <c r="C475" s="37"/>
      <c r="D475" s="37" t="s">
        <v>509</v>
      </c>
      <c r="E475" s="37" t="s">
        <v>476</v>
      </c>
      <c r="F475" s="37" t="s">
        <v>5446</v>
      </c>
      <c r="G475" s="37" t="s">
        <v>757</v>
      </c>
      <c r="H475" s="37"/>
      <c r="I475" s="37" t="s">
        <v>560</v>
      </c>
      <c r="J475" s="37" t="s">
        <v>200</v>
      </c>
      <c r="K475" s="40" t="s">
        <v>758</v>
      </c>
      <c r="L475" s="37" t="s">
        <v>64</v>
      </c>
      <c r="M475" s="37" t="s">
        <v>5445</v>
      </c>
      <c r="N475" s="37"/>
      <c r="O475" s="37" t="s">
        <v>1387</v>
      </c>
      <c r="P475" s="37" t="s">
        <v>123</v>
      </c>
      <c r="Q475" s="37" t="s">
        <v>18</v>
      </c>
      <c r="R475" s="37"/>
      <c r="S475" s="37"/>
      <c r="T475" s="37" t="s">
        <v>158</v>
      </c>
      <c r="U475" s="37" t="s">
        <v>87</v>
      </c>
      <c r="V475" s="37" t="s">
        <v>72</v>
      </c>
      <c r="W475" s="37" t="s">
        <v>110</v>
      </c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</row>
    <row r="476" spans="1:37">
      <c r="A476" s="37"/>
      <c r="B476" s="37"/>
      <c r="C476" s="37"/>
      <c r="D476" s="37" t="s">
        <v>481</v>
      </c>
      <c r="E476" s="37" t="s">
        <v>6133</v>
      </c>
      <c r="F476" s="37" t="s">
        <v>6134</v>
      </c>
      <c r="G476" s="37" t="s">
        <v>235</v>
      </c>
      <c r="H476" s="37" t="s">
        <v>5290</v>
      </c>
      <c r="I476" s="37" t="s">
        <v>191</v>
      </c>
      <c r="J476" s="37" t="s">
        <v>121</v>
      </c>
      <c r="K476" s="40" t="s">
        <v>192</v>
      </c>
      <c r="L476" s="37" t="s">
        <v>64</v>
      </c>
      <c r="M476" s="37" t="s">
        <v>6135</v>
      </c>
      <c r="N476" s="37" t="s">
        <v>6136</v>
      </c>
      <c r="O476" s="37" t="s">
        <v>1387</v>
      </c>
      <c r="P476" s="37" t="s">
        <v>123</v>
      </c>
      <c r="Q476" s="37" t="s">
        <v>14</v>
      </c>
      <c r="R476" s="37"/>
      <c r="S476" s="37"/>
      <c r="T476" s="37" t="s">
        <v>66</v>
      </c>
      <c r="U476" s="37" t="s">
        <v>254</v>
      </c>
      <c r="V476" s="37" t="s">
        <v>88</v>
      </c>
      <c r="W476" s="37" t="s">
        <v>89</v>
      </c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</row>
    <row r="477" spans="1:37">
      <c r="A477" s="37"/>
      <c r="B477" s="37"/>
      <c r="C477" s="37"/>
      <c r="D477" s="37" t="s">
        <v>5447</v>
      </c>
      <c r="E477" s="37" t="s">
        <v>5448</v>
      </c>
      <c r="F477" s="37" t="s">
        <v>5451</v>
      </c>
      <c r="G477" s="37" t="s">
        <v>218</v>
      </c>
      <c r="H477" s="37" t="s">
        <v>5449</v>
      </c>
      <c r="I477" s="37" t="s">
        <v>82</v>
      </c>
      <c r="J477" s="37" t="s">
        <v>83</v>
      </c>
      <c r="K477" s="40" t="s">
        <v>220</v>
      </c>
      <c r="L477" s="37" t="s">
        <v>64</v>
      </c>
      <c r="M477" s="37" t="s">
        <v>5450</v>
      </c>
      <c r="N477" s="37"/>
      <c r="O477" s="37" t="s">
        <v>1387</v>
      </c>
      <c r="P477" s="37" t="s">
        <v>221</v>
      </c>
      <c r="Q477" s="37" t="s">
        <v>14</v>
      </c>
      <c r="R477" s="37"/>
      <c r="S477" s="37"/>
      <c r="T477" s="37"/>
      <c r="U477" s="37"/>
      <c r="V477" s="37" t="s">
        <v>72</v>
      </c>
      <c r="W477" s="37" t="s">
        <v>195</v>
      </c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</row>
    <row r="478" spans="1:37">
      <c r="A478" s="37"/>
      <c r="B478" s="37"/>
      <c r="C478" s="37"/>
      <c r="D478" s="37" t="s">
        <v>5452</v>
      </c>
      <c r="E478" s="37" t="s">
        <v>5453</v>
      </c>
      <c r="F478" s="37" t="s">
        <v>5455</v>
      </c>
      <c r="G478" s="37" t="s">
        <v>235</v>
      </c>
      <c r="H478" s="37"/>
      <c r="I478" s="37" t="s">
        <v>454</v>
      </c>
      <c r="J478" s="37" t="s">
        <v>121</v>
      </c>
      <c r="K478" s="40" t="s">
        <v>192</v>
      </c>
      <c r="L478" s="37" t="s">
        <v>64</v>
      </c>
      <c r="M478" s="37" t="s">
        <v>5454</v>
      </c>
      <c r="N478" s="37"/>
      <c r="O478" s="37" t="s">
        <v>1387</v>
      </c>
      <c r="P478" s="37" t="s">
        <v>123</v>
      </c>
      <c r="Q478" s="37" t="s">
        <v>14</v>
      </c>
      <c r="R478" s="37"/>
      <c r="S478" s="37"/>
      <c r="T478" s="37"/>
      <c r="U478" s="37"/>
      <c r="V478" s="37" t="s">
        <v>72</v>
      </c>
      <c r="W478" s="37" t="s">
        <v>89</v>
      </c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</row>
    <row r="479" spans="1:37">
      <c r="A479" s="37"/>
      <c r="B479" s="37"/>
      <c r="C479" s="37"/>
      <c r="D479" s="37" t="s">
        <v>1183</v>
      </c>
      <c r="E479" s="37" t="s">
        <v>5001</v>
      </c>
      <c r="F479" s="37" t="s">
        <v>5003</v>
      </c>
      <c r="G479" s="37" t="s">
        <v>2949</v>
      </c>
      <c r="H479" s="37"/>
      <c r="I479" s="37" t="s">
        <v>82</v>
      </c>
      <c r="J479" s="37" t="s">
        <v>83</v>
      </c>
      <c r="K479" s="40" t="s">
        <v>1014</v>
      </c>
      <c r="L479" s="37" t="s">
        <v>64</v>
      </c>
      <c r="M479" s="37" t="s">
        <v>5002</v>
      </c>
      <c r="N479" s="37"/>
      <c r="O479" s="37" t="s">
        <v>1387</v>
      </c>
      <c r="P479" s="37" t="s">
        <v>513</v>
      </c>
      <c r="Q479" s="37" t="s">
        <v>71</v>
      </c>
      <c r="R479" s="37"/>
      <c r="S479" s="37"/>
      <c r="T479" s="37" t="s">
        <v>115</v>
      </c>
      <c r="U479" s="37" t="s">
        <v>87</v>
      </c>
      <c r="V479" s="37" t="s">
        <v>72</v>
      </c>
      <c r="W479" s="37" t="s">
        <v>69</v>
      </c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</row>
    <row r="480" spans="1:37">
      <c r="A480" s="37"/>
      <c r="B480" s="37"/>
      <c r="C480" s="37"/>
      <c r="D480" s="37" t="s">
        <v>492</v>
      </c>
      <c r="E480" s="37" t="s">
        <v>533</v>
      </c>
      <c r="F480" s="37" t="s">
        <v>536</v>
      </c>
      <c r="G480" s="37" t="s">
        <v>534</v>
      </c>
      <c r="H480" s="37"/>
      <c r="I480" s="37" t="s">
        <v>193</v>
      </c>
      <c r="J480" s="37" t="s">
        <v>153</v>
      </c>
      <c r="K480" s="40" t="s">
        <v>194</v>
      </c>
      <c r="L480" s="37" t="s">
        <v>64</v>
      </c>
      <c r="M480" s="37" t="s">
        <v>535</v>
      </c>
      <c r="N480" s="37"/>
      <c r="O480" s="37" t="s">
        <v>1387</v>
      </c>
      <c r="P480" s="37" t="s">
        <v>123</v>
      </c>
      <c r="Q480" s="37" t="s">
        <v>16</v>
      </c>
      <c r="R480" s="37"/>
      <c r="S480" s="37"/>
      <c r="T480" s="37" t="s">
        <v>158</v>
      </c>
      <c r="U480" s="37" t="s">
        <v>185</v>
      </c>
      <c r="V480" s="37" t="s">
        <v>72</v>
      </c>
      <c r="W480" s="37" t="s">
        <v>89</v>
      </c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</row>
    <row r="481" spans="1:37">
      <c r="A481" s="37"/>
      <c r="B481" s="37"/>
      <c r="C481" s="37"/>
      <c r="D481" s="37" t="s">
        <v>854</v>
      </c>
      <c r="E481" s="37" t="s">
        <v>3111</v>
      </c>
      <c r="F481" s="37" t="s">
        <v>3113</v>
      </c>
      <c r="G481" s="37" t="s">
        <v>3494</v>
      </c>
      <c r="H481" s="37"/>
      <c r="I481" s="37" t="s">
        <v>82</v>
      </c>
      <c r="J481" s="37" t="s">
        <v>83</v>
      </c>
      <c r="K481" s="40" t="s">
        <v>1195</v>
      </c>
      <c r="L481" s="37" t="s">
        <v>64</v>
      </c>
      <c r="M481" s="37" t="s">
        <v>3112</v>
      </c>
      <c r="N481" s="37"/>
      <c r="O481" s="37" t="s">
        <v>1387</v>
      </c>
      <c r="P481" s="37" t="s">
        <v>513</v>
      </c>
      <c r="Q481" s="37" t="s">
        <v>14</v>
      </c>
      <c r="R481" s="37"/>
      <c r="S481" s="37"/>
      <c r="T481" s="37" t="s">
        <v>69</v>
      </c>
      <c r="U481" s="37" t="s">
        <v>971</v>
      </c>
      <c r="V481" s="37" t="s">
        <v>72</v>
      </c>
      <c r="W481" s="37" t="s">
        <v>69</v>
      </c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</row>
    <row r="482" spans="1:37">
      <c r="A482" s="37"/>
      <c r="B482" s="37"/>
      <c r="C482" s="37"/>
      <c r="D482" s="37" t="s">
        <v>283</v>
      </c>
      <c r="E482" s="37" t="s">
        <v>559</v>
      </c>
      <c r="F482" s="37" t="s">
        <v>3115</v>
      </c>
      <c r="G482" s="37" t="s">
        <v>119</v>
      </c>
      <c r="H482" s="37"/>
      <c r="I482" s="37" t="s">
        <v>120</v>
      </c>
      <c r="J482" s="37" t="s">
        <v>121</v>
      </c>
      <c r="K482" s="40" t="s">
        <v>122</v>
      </c>
      <c r="L482" s="37" t="s">
        <v>64</v>
      </c>
      <c r="M482" s="37" t="s">
        <v>3114</v>
      </c>
      <c r="N482" s="37"/>
      <c r="O482" s="37" t="s">
        <v>1387</v>
      </c>
      <c r="P482" s="37" t="s">
        <v>123</v>
      </c>
      <c r="Q482" s="37" t="s">
        <v>14</v>
      </c>
      <c r="R482" s="37"/>
      <c r="S482" s="37"/>
      <c r="T482" s="37"/>
      <c r="U482" s="37"/>
      <c r="V482" s="37" t="s">
        <v>88</v>
      </c>
      <c r="W482" s="37" t="s">
        <v>89</v>
      </c>
      <c r="X482" s="25"/>
      <c r="Y482" s="25"/>
      <c r="Z482" s="25"/>
      <c r="AA482" s="25"/>
      <c r="AB482" s="25"/>
      <c r="AC482" s="25"/>
      <c r="AD482" s="25"/>
      <c r="AE482" s="25"/>
      <c r="AF482" s="26"/>
      <c r="AG482" s="25"/>
      <c r="AH482" s="25"/>
      <c r="AI482" s="25"/>
      <c r="AJ482" s="25"/>
      <c r="AK482" s="25"/>
    </row>
    <row r="483" spans="1:37">
      <c r="A483" s="37"/>
      <c r="B483" s="37"/>
      <c r="C483" s="37"/>
      <c r="D483" s="37" t="s">
        <v>360</v>
      </c>
      <c r="E483" s="37" t="s">
        <v>559</v>
      </c>
      <c r="F483" s="37" t="s">
        <v>5465</v>
      </c>
      <c r="G483" s="37" t="s">
        <v>5463</v>
      </c>
      <c r="H483" s="37"/>
      <c r="I483" s="37" t="s">
        <v>342</v>
      </c>
      <c r="J483" s="37" t="s">
        <v>256</v>
      </c>
      <c r="K483" s="40" t="s">
        <v>343</v>
      </c>
      <c r="L483" s="37" t="s">
        <v>64</v>
      </c>
      <c r="M483" s="37" t="s">
        <v>5464</v>
      </c>
      <c r="N483" s="37"/>
      <c r="O483" s="37" t="s">
        <v>1387</v>
      </c>
      <c r="P483" s="37" t="s">
        <v>123</v>
      </c>
      <c r="Q483" s="37" t="s">
        <v>17</v>
      </c>
      <c r="R483" s="37"/>
      <c r="S483" s="37"/>
      <c r="T483" s="37" t="s">
        <v>115</v>
      </c>
      <c r="U483" s="37" t="s">
        <v>254</v>
      </c>
      <c r="V483" s="37" t="s">
        <v>72</v>
      </c>
      <c r="W483" s="37" t="s">
        <v>78</v>
      </c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</row>
    <row r="484" spans="1:37">
      <c r="A484" s="37"/>
      <c r="B484" s="37"/>
      <c r="C484" s="37"/>
      <c r="D484" s="37" t="s">
        <v>5466</v>
      </c>
      <c r="E484" s="37" t="s">
        <v>5467</v>
      </c>
      <c r="F484" s="37" t="s">
        <v>5472</v>
      </c>
      <c r="G484" s="37" t="s">
        <v>5468</v>
      </c>
      <c r="H484" s="37"/>
      <c r="I484" s="37" t="s">
        <v>5469</v>
      </c>
      <c r="J484" s="37" t="s">
        <v>200</v>
      </c>
      <c r="K484" s="40" t="s">
        <v>5470</v>
      </c>
      <c r="L484" s="37" t="s">
        <v>64</v>
      </c>
      <c r="M484" s="37" t="s">
        <v>5471</v>
      </c>
      <c r="N484" s="37"/>
      <c r="O484" s="37" t="s">
        <v>1387</v>
      </c>
      <c r="P484" s="37" t="s">
        <v>123</v>
      </c>
      <c r="Q484" s="37" t="s">
        <v>18</v>
      </c>
      <c r="R484" s="37"/>
      <c r="S484" s="37"/>
      <c r="T484" s="37" t="s">
        <v>69</v>
      </c>
      <c r="U484" s="37" t="s">
        <v>109</v>
      </c>
      <c r="V484" s="37" t="s">
        <v>88</v>
      </c>
      <c r="W484" s="37" t="s">
        <v>89</v>
      </c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</row>
    <row r="485" spans="1:37">
      <c r="A485" s="37"/>
      <c r="B485" s="37"/>
      <c r="C485" s="37"/>
      <c r="D485" s="37" t="s">
        <v>581</v>
      </c>
      <c r="E485" s="37" t="s">
        <v>582</v>
      </c>
      <c r="F485" s="37" t="s">
        <v>588</v>
      </c>
      <c r="G485" s="37" t="s">
        <v>583</v>
      </c>
      <c r="H485" s="37" t="s">
        <v>584</v>
      </c>
      <c r="I485" s="37" t="s">
        <v>585</v>
      </c>
      <c r="J485" s="37" t="s">
        <v>153</v>
      </c>
      <c r="K485" s="40" t="s">
        <v>586</v>
      </c>
      <c r="L485" s="37" t="s">
        <v>64</v>
      </c>
      <c r="M485" s="37" t="s">
        <v>587</v>
      </c>
      <c r="N485" s="37"/>
      <c r="O485" s="37" t="s">
        <v>1387</v>
      </c>
      <c r="P485" s="37" t="s">
        <v>123</v>
      </c>
      <c r="Q485" s="37" t="s">
        <v>16</v>
      </c>
      <c r="R485" s="37"/>
      <c r="S485" s="37"/>
      <c r="T485" s="37" t="s">
        <v>115</v>
      </c>
      <c r="U485" s="37" t="s">
        <v>87</v>
      </c>
      <c r="V485" s="37" t="s">
        <v>72</v>
      </c>
      <c r="W485" s="37" t="s">
        <v>195</v>
      </c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</row>
    <row r="486" spans="1:37">
      <c r="A486" s="37"/>
      <c r="B486" s="37"/>
      <c r="C486" s="37"/>
      <c r="D486" s="37" t="s">
        <v>602</v>
      </c>
      <c r="E486" s="37" t="s">
        <v>603</v>
      </c>
      <c r="F486" s="37" t="s">
        <v>606</v>
      </c>
      <c r="G486" s="37" t="s">
        <v>235</v>
      </c>
      <c r="H486" s="37" t="s">
        <v>604</v>
      </c>
      <c r="I486" s="37" t="s">
        <v>191</v>
      </c>
      <c r="J486" s="37" t="s">
        <v>121</v>
      </c>
      <c r="K486" s="40" t="s">
        <v>192</v>
      </c>
      <c r="L486" s="37" t="s">
        <v>64</v>
      </c>
      <c r="M486" s="37" t="s">
        <v>605</v>
      </c>
      <c r="N486" s="37"/>
      <c r="O486" s="37" t="s">
        <v>1387</v>
      </c>
      <c r="P486" s="37" t="s">
        <v>123</v>
      </c>
      <c r="Q486" s="37" t="s">
        <v>14</v>
      </c>
      <c r="R486" s="37"/>
      <c r="S486" s="37"/>
      <c r="T486" s="37" t="s">
        <v>158</v>
      </c>
      <c r="U486" s="37"/>
      <c r="V486" s="37" t="s">
        <v>72</v>
      </c>
      <c r="W486" s="37" t="s">
        <v>195</v>
      </c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</row>
    <row r="487" spans="1:37">
      <c r="A487" s="37"/>
      <c r="B487" s="37"/>
      <c r="C487" s="37"/>
      <c r="D487" s="37" t="s">
        <v>90</v>
      </c>
      <c r="E487" s="37" t="s">
        <v>616</v>
      </c>
      <c r="F487" s="37" t="s">
        <v>620</v>
      </c>
      <c r="G487" s="37" t="s">
        <v>617</v>
      </c>
      <c r="H487" s="37" t="s">
        <v>618</v>
      </c>
      <c r="I487" s="37" t="s">
        <v>191</v>
      </c>
      <c r="J487" s="37" t="s">
        <v>121</v>
      </c>
      <c r="K487" s="40" t="s">
        <v>192</v>
      </c>
      <c r="L487" s="37" t="s">
        <v>64</v>
      </c>
      <c r="M487" s="37" t="s">
        <v>619</v>
      </c>
      <c r="N487" s="37"/>
      <c r="O487" s="37" t="s">
        <v>1387</v>
      </c>
      <c r="P487" s="37" t="s">
        <v>123</v>
      </c>
      <c r="Q487" s="37" t="s">
        <v>14</v>
      </c>
      <c r="R487" s="37"/>
      <c r="S487" s="37"/>
      <c r="T487" s="37" t="s">
        <v>66</v>
      </c>
      <c r="U487" s="37" t="s">
        <v>254</v>
      </c>
      <c r="V487" s="37" t="s">
        <v>72</v>
      </c>
      <c r="W487" s="37" t="s">
        <v>89</v>
      </c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</row>
    <row r="488" spans="1:37">
      <c r="A488" s="37"/>
      <c r="B488" s="37"/>
      <c r="C488" s="37"/>
      <c r="D488" s="37" t="s">
        <v>651</v>
      </c>
      <c r="E488" s="37" t="s">
        <v>652</v>
      </c>
      <c r="F488" s="37" t="s">
        <v>659</v>
      </c>
      <c r="G488" s="37" t="s">
        <v>653</v>
      </c>
      <c r="H488" s="37" t="s">
        <v>654</v>
      </c>
      <c r="I488" s="37" t="s">
        <v>655</v>
      </c>
      <c r="J488" s="37" t="s">
        <v>93</v>
      </c>
      <c r="K488" s="40" t="s">
        <v>656</v>
      </c>
      <c r="L488" s="37" t="s">
        <v>64</v>
      </c>
      <c r="M488" s="37" t="s">
        <v>657</v>
      </c>
      <c r="N488" s="37" t="s">
        <v>658</v>
      </c>
      <c r="O488" s="37" t="s">
        <v>1387</v>
      </c>
      <c r="P488" s="37" t="s">
        <v>123</v>
      </c>
      <c r="Q488" s="37" t="s">
        <v>98</v>
      </c>
      <c r="R488" s="37"/>
      <c r="S488" s="37"/>
      <c r="T488" s="37" t="s">
        <v>115</v>
      </c>
      <c r="U488" s="37" t="s">
        <v>145</v>
      </c>
      <c r="V488" s="37" t="s">
        <v>72</v>
      </c>
      <c r="W488" s="37" t="s">
        <v>195</v>
      </c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</row>
    <row r="489" spans="1:37">
      <c r="A489" s="37"/>
      <c r="B489" s="37"/>
      <c r="C489" s="37"/>
      <c r="D489" s="37" t="s">
        <v>685</v>
      </c>
      <c r="E489" s="37" t="s">
        <v>686</v>
      </c>
      <c r="F489" s="37" t="s">
        <v>688</v>
      </c>
      <c r="G489" s="37" t="s">
        <v>119</v>
      </c>
      <c r="H489" s="37"/>
      <c r="I489" s="37" t="s">
        <v>120</v>
      </c>
      <c r="J489" s="37" t="s">
        <v>121</v>
      </c>
      <c r="K489" s="40" t="s">
        <v>122</v>
      </c>
      <c r="L489" s="37" t="s">
        <v>64</v>
      </c>
      <c r="M489" s="37" t="s">
        <v>687</v>
      </c>
      <c r="N489" s="37" t="s">
        <v>687</v>
      </c>
      <c r="O489" s="37" t="s">
        <v>1387</v>
      </c>
      <c r="P489" s="37" t="s">
        <v>513</v>
      </c>
      <c r="Q489" s="37" t="s">
        <v>14</v>
      </c>
      <c r="R489" s="37"/>
      <c r="S489" s="37"/>
      <c r="T489" s="37" t="s">
        <v>115</v>
      </c>
      <c r="U489" s="37" t="s">
        <v>109</v>
      </c>
      <c r="V489" s="37" t="s">
        <v>88</v>
      </c>
      <c r="W489" s="37" t="s">
        <v>110</v>
      </c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</row>
    <row r="490" spans="1:37">
      <c r="A490" s="37"/>
      <c r="B490" s="37"/>
      <c r="C490" s="37"/>
      <c r="D490" s="37" t="s">
        <v>412</v>
      </c>
      <c r="E490" s="37" t="s">
        <v>3503</v>
      </c>
      <c r="F490" s="37" t="s">
        <v>3505</v>
      </c>
      <c r="G490" s="37" t="s">
        <v>235</v>
      </c>
      <c r="H490" s="37"/>
      <c r="I490" s="37" t="s">
        <v>191</v>
      </c>
      <c r="J490" s="37" t="s">
        <v>121</v>
      </c>
      <c r="K490" s="40" t="s">
        <v>192</v>
      </c>
      <c r="L490" s="37" t="s">
        <v>64</v>
      </c>
      <c r="M490" s="37" t="s">
        <v>3504</v>
      </c>
      <c r="N490" s="37"/>
      <c r="O490" s="37" t="s">
        <v>1387</v>
      </c>
      <c r="P490" s="37" t="s">
        <v>123</v>
      </c>
      <c r="Q490" s="37" t="s">
        <v>14</v>
      </c>
      <c r="R490" s="37"/>
      <c r="S490" s="37"/>
      <c r="T490" s="37" t="s">
        <v>144</v>
      </c>
      <c r="U490" s="37"/>
      <c r="V490" s="37" t="s">
        <v>72</v>
      </c>
      <c r="W490" s="37" t="s">
        <v>110</v>
      </c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</row>
    <row r="491" spans="1:37">
      <c r="A491" s="37"/>
      <c r="B491" s="37"/>
      <c r="C491" s="37"/>
      <c r="D491" s="37" t="s">
        <v>272</v>
      </c>
      <c r="E491" s="37" t="s">
        <v>5680</v>
      </c>
      <c r="F491" s="37" t="s">
        <v>5683</v>
      </c>
      <c r="G491" s="37" t="s">
        <v>5681</v>
      </c>
      <c r="H491" s="37"/>
      <c r="I491" s="37" t="s">
        <v>560</v>
      </c>
      <c r="J491" s="37" t="s">
        <v>200</v>
      </c>
      <c r="K491" s="40" t="s">
        <v>758</v>
      </c>
      <c r="L491" s="37" t="s">
        <v>64</v>
      </c>
      <c r="M491" s="37" t="s">
        <v>5682</v>
      </c>
      <c r="N491" s="37"/>
      <c r="O491" s="37" t="s">
        <v>1387</v>
      </c>
      <c r="P491" s="37" t="s">
        <v>123</v>
      </c>
      <c r="Q491" s="37" t="s">
        <v>18</v>
      </c>
      <c r="R491" s="37"/>
      <c r="S491" s="37"/>
      <c r="T491" s="37" t="s">
        <v>69</v>
      </c>
      <c r="U491" s="37" t="s">
        <v>87</v>
      </c>
      <c r="V491" s="37" t="s">
        <v>67</v>
      </c>
      <c r="W491" s="37" t="s">
        <v>89</v>
      </c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</row>
    <row r="492" spans="1:37">
      <c r="A492" s="37"/>
      <c r="B492" s="37"/>
      <c r="C492" s="37"/>
      <c r="D492" s="37" t="s">
        <v>509</v>
      </c>
      <c r="E492" s="37" t="s">
        <v>719</v>
      </c>
      <c r="F492" s="37" t="s">
        <v>726</v>
      </c>
      <c r="G492" s="37" t="s">
        <v>235</v>
      </c>
      <c r="H492" s="37" t="s">
        <v>723</v>
      </c>
      <c r="I492" s="37" t="s">
        <v>191</v>
      </c>
      <c r="J492" s="37" t="s">
        <v>121</v>
      </c>
      <c r="K492" s="40" t="s">
        <v>724</v>
      </c>
      <c r="L492" s="37" t="s">
        <v>64</v>
      </c>
      <c r="M492" s="37" t="s">
        <v>725</v>
      </c>
      <c r="N492" s="37"/>
      <c r="O492" s="37" t="s">
        <v>1387</v>
      </c>
      <c r="P492" s="37" t="s">
        <v>123</v>
      </c>
      <c r="Q492" s="37" t="s">
        <v>14</v>
      </c>
      <c r="R492" s="37"/>
      <c r="S492" s="37"/>
      <c r="T492" s="37"/>
      <c r="U492" s="37"/>
      <c r="V492" s="37" t="s">
        <v>72</v>
      </c>
      <c r="W492" s="37" t="s">
        <v>69</v>
      </c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</row>
    <row r="493" spans="1:37">
      <c r="A493" s="37"/>
      <c r="B493" s="37"/>
      <c r="C493" s="37"/>
      <c r="D493" s="37" t="s">
        <v>90</v>
      </c>
      <c r="E493" s="37" t="s">
        <v>3130</v>
      </c>
      <c r="F493" s="37" t="s">
        <v>3133</v>
      </c>
      <c r="G493" s="37" t="s">
        <v>3131</v>
      </c>
      <c r="H493" s="37"/>
      <c r="I493" s="37" t="s">
        <v>276</v>
      </c>
      <c r="J493" s="37" t="s">
        <v>70</v>
      </c>
      <c r="K493" s="40" t="s">
        <v>277</v>
      </c>
      <c r="L493" s="37" t="s">
        <v>64</v>
      </c>
      <c r="M493" s="37" t="s">
        <v>3132</v>
      </c>
      <c r="N493" s="37"/>
      <c r="O493" s="37" t="s">
        <v>1387</v>
      </c>
      <c r="P493" s="37" t="s">
        <v>123</v>
      </c>
      <c r="Q493" s="37" t="s">
        <v>71</v>
      </c>
      <c r="R493" s="37"/>
      <c r="S493" s="37"/>
      <c r="T493" s="37" t="s">
        <v>158</v>
      </c>
      <c r="U493" s="37" t="s">
        <v>87</v>
      </c>
      <c r="V493" s="37" t="s">
        <v>77</v>
      </c>
      <c r="W493" s="37" t="s">
        <v>195</v>
      </c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</row>
    <row r="494" spans="1:37">
      <c r="A494" s="37"/>
      <c r="B494" s="37"/>
      <c r="C494" s="37"/>
      <c r="D494" s="37" t="s">
        <v>415</v>
      </c>
      <c r="E494" s="37" t="s">
        <v>743</v>
      </c>
      <c r="F494" s="37" t="s">
        <v>3512</v>
      </c>
      <c r="G494" s="37" t="s">
        <v>235</v>
      </c>
      <c r="H494" s="37"/>
      <c r="I494" s="37" t="s">
        <v>191</v>
      </c>
      <c r="J494" s="37" t="s">
        <v>121</v>
      </c>
      <c r="K494" s="40" t="s">
        <v>192</v>
      </c>
      <c r="L494" s="37" t="s">
        <v>64</v>
      </c>
      <c r="M494" s="37" t="s">
        <v>3511</v>
      </c>
      <c r="N494" s="37"/>
      <c r="O494" s="37" t="s">
        <v>1387</v>
      </c>
      <c r="P494" s="37" t="s">
        <v>123</v>
      </c>
      <c r="Q494" s="37" t="s">
        <v>14</v>
      </c>
      <c r="R494" s="37"/>
      <c r="S494" s="37"/>
      <c r="T494" s="37" t="s">
        <v>69</v>
      </c>
      <c r="U494" s="37" t="s">
        <v>254</v>
      </c>
      <c r="V494" s="37" t="s">
        <v>72</v>
      </c>
      <c r="W494" s="37" t="s">
        <v>69</v>
      </c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</row>
    <row r="495" spans="1:37">
      <c r="A495" s="37"/>
      <c r="B495" s="37"/>
      <c r="C495" s="37"/>
      <c r="D495" s="37" t="s">
        <v>5398</v>
      </c>
      <c r="E495" s="37" t="s">
        <v>5399</v>
      </c>
      <c r="F495" s="37" t="s">
        <v>5401</v>
      </c>
      <c r="G495" s="37" t="s">
        <v>235</v>
      </c>
      <c r="H495" s="37" t="s">
        <v>1074</v>
      </c>
      <c r="I495" s="37" t="s">
        <v>191</v>
      </c>
      <c r="J495" s="37" t="s">
        <v>121</v>
      </c>
      <c r="K495" s="40" t="s">
        <v>192</v>
      </c>
      <c r="L495" s="37" t="s">
        <v>64</v>
      </c>
      <c r="M495" s="37" t="s">
        <v>5400</v>
      </c>
      <c r="N495" s="37"/>
      <c r="O495" s="37" t="s">
        <v>1387</v>
      </c>
      <c r="P495" s="37" t="s">
        <v>123</v>
      </c>
      <c r="Q495" s="37" t="s">
        <v>14</v>
      </c>
      <c r="R495" s="37"/>
      <c r="S495" s="37"/>
      <c r="T495" s="37" t="s">
        <v>66</v>
      </c>
      <c r="U495" s="37" t="s">
        <v>254</v>
      </c>
      <c r="V495" s="37" t="s">
        <v>72</v>
      </c>
      <c r="W495" s="37" t="s">
        <v>195</v>
      </c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</row>
    <row r="496" spans="1:37">
      <c r="A496" s="37"/>
      <c r="B496" s="37"/>
      <c r="C496" s="37"/>
      <c r="D496" s="37" t="s">
        <v>1541</v>
      </c>
      <c r="E496" s="37" t="s">
        <v>3141</v>
      </c>
      <c r="F496" s="37" t="s">
        <v>4028</v>
      </c>
      <c r="G496" s="37" t="s">
        <v>1380</v>
      </c>
      <c r="H496" s="37"/>
      <c r="I496" s="37" t="s">
        <v>82</v>
      </c>
      <c r="J496" s="37" t="s">
        <v>83</v>
      </c>
      <c r="K496" s="40" t="s">
        <v>1014</v>
      </c>
      <c r="L496" s="37" t="s">
        <v>64</v>
      </c>
      <c r="M496" s="37" t="s">
        <v>4027</v>
      </c>
      <c r="N496" s="37"/>
      <c r="O496" s="37" t="s">
        <v>1387</v>
      </c>
      <c r="P496" s="37" t="s">
        <v>513</v>
      </c>
      <c r="Q496" s="37" t="s">
        <v>71</v>
      </c>
      <c r="R496" s="37"/>
      <c r="S496" s="37"/>
      <c r="T496" s="37" t="s">
        <v>69</v>
      </c>
      <c r="U496" s="37" t="s">
        <v>109</v>
      </c>
      <c r="V496" s="37" t="s">
        <v>72</v>
      </c>
      <c r="W496" s="37" t="s">
        <v>110</v>
      </c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</row>
    <row r="497" spans="1:37">
      <c r="A497" s="37"/>
      <c r="B497" s="37"/>
      <c r="C497" s="37"/>
      <c r="D497" s="37" t="s">
        <v>763</v>
      </c>
      <c r="E497" s="37" t="s">
        <v>764</v>
      </c>
      <c r="F497" s="37" t="s">
        <v>766</v>
      </c>
      <c r="G497" s="37" t="s">
        <v>755</v>
      </c>
      <c r="H497" s="37"/>
      <c r="I497" s="37" t="s">
        <v>556</v>
      </c>
      <c r="J497" s="37" t="s">
        <v>200</v>
      </c>
      <c r="K497" s="40" t="s">
        <v>557</v>
      </c>
      <c r="L497" s="37" t="s">
        <v>64</v>
      </c>
      <c r="M497" s="37" t="s">
        <v>765</v>
      </c>
      <c r="N497" s="37"/>
      <c r="O497" s="37" t="s">
        <v>1387</v>
      </c>
      <c r="P497" s="37" t="s">
        <v>123</v>
      </c>
      <c r="Q497" s="37" t="s">
        <v>18</v>
      </c>
      <c r="R497" s="37"/>
      <c r="S497" s="37"/>
      <c r="T497" s="37" t="s">
        <v>69</v>
      </c>
      <c r="U497" s="37"/>
      <c r="V497" s="37" t="s">
        <v>72</v>
      </c>
      <c r="W497" s="37" t="s">
        <v>69</v>
      </c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</row>
    <row r="498" spans="1:37">
      <c r="A498" s="37"/>
      <c r="B498" s="37"/>
      <c r="C498" s="37"/>
      <c r="D498" s="37" t="s">
        <v>799</v>
      </c>
      <c r="E498" s="37" t="s">
        <v>781</v>
      </c>
      <c r="F498" s="37" t="s">
        <v>802</v>
      </c>
      <c r="G498" s="37" t="s">
        <v>800</v>
      </c>
      <c r="H498" s="37"/>
      <c r="I498" s="37" t="s">
        <v>120</v>
      </c>
      <c r="J498" s="37" t="s">
        <v>121</v>
      </c>
      <c r="K498" s="40" t="s">
        <v>122</v>
      </c>
      <c r="L498" s="37" t="s">
        <v>64</v>
      </c>
      <c r="M498" s="37" t="s">
        <v>801</v>
      </c>
      <c r="N498" s="37"/>
      <c r="O498" s="37" t="s">
        <v>1387</v>
      </c>
      <c r="P498" s="37" t="s">
        <v>123</v>
      </c>
      <c r="Q498" s="37" t="s">
        <v>14</v>
      </c>
      <c r="R498" s="37"/>
      <c r="S498" s="37"/>
      <c r="T498" s="37" t="s">
        <v>144</v>
      </c>
      <c r="U498" s="37" t="s">
        <v>109</v>
      </c>
      <c r="V498" s="37" t="s">
        <v>72</v>
      </c>
      <c r="W498" s="37" t="s">
        <v>110</v>
      </c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</row>
    <row r="499" spans="1:37">
      <c r="A499" s="37"/>
      <c r="B499" s="37"/>
      <c r="C499" s="37"/>
      <c r="D499" s="37" t="s">
        <v>810</v>
      </c>
      <c r="E499" s="37" t="s">
        <v>811</v>
      </c>
      <c r="F499" s="37" t="s">
        <v>814</v>
      </c>
      <c r="G499" s="37" t="s">
        <v>347</v>
      </c>
      <c r="H499" s="37" t="s">
        <v>812</v>
      </c>
      <c r="I499" s="37" t="s">
        <v>342</v>
      </c>
      <c r="J499" s="37" t="s">
        <v>256</v>
      </c>
      <c r="K499" s="40" t="s">
        <v>343</v>
      </c>
      <c r="L499" s="37" t="s">
        <v>64</v>
      </c>
      <c r="M499" s="37" t="s">
        <v>813</v>
      </c>
      <c r="N499" s="37"/>
      <c r="O499" s="37" t="s">
        <v>1387</v>
      </c>
      <c r="P499" s="37" t="s">
        <v>123</v>
      </c>
      <c r="Q499" s="37" t="s">
        <v>17</v>
      </c>
      <c r="R499" s="37"/>
      <c r="S499" s="37"/>
      <c r="T499" s="37"/>
      <c r="U499" s="37"/>
      <c r="V499" s="37" t="s">
        <v>88</v>
      </c>
      <c r="W499" s="37" t="s">
        <v>89</v>
      </c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</row>
    <row r="500" spans="1:37">
      <c r="A500" s="37"/>
      <c r="B500" s="37"/>
      <c r="C500" s="37"/>
      <c r="D500" s="37" t="s">
        <v>482</v>
      </c>
      <c r="E500" s="37" t="s">
        <v>816</v>
      </c>
      <c r="F500" s="37" t="s">
        <v>4033</v>
      </c>
      <c r="G500" s="37" t="s">
        <v>3142</v>
      </c>
      <c r="H500" s="37" t="s">
        <v>562</v>
      </c>
      <c r="I500" s="37" t="s">
        <v>82</v>
      </c>
      <c r="J500" s="37" t="s">
        <v>83</v>
      </c>
      <c r="K500" s="40" t="s">
        <v>201</v>
      </c>
      <c r="L500" s="37" t="s">
        <v>64</v>
      </c>
      <c r="M500" s="37" t="s">
        <v>3143</v>
      </c>
      <c r="N500" s="37"/>
      <c r="O500" s="37" t="s">
        <v>1387</v>
      </c>
      <c r="P500" s="37" t="s">
        <v>123</v>
      </c>
      <c r="Q500" s="37" t="s">
        <v>14</v>
      </c>
      <c r="R500" s="37"/>
      <c r="S500" s="37"/>
      <c r="T500" s="37" t="s">
        <v>69</v>
      </c>
      <c r="U500" s="37" t="s">
        <v>87</v>
      </c>
      <c r="V500" s="37" t="s">
        <v>72</v>
      </c>
      <c r="W500" s="37" t="s">
        <v>195</v>
      </c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</row>
    <row r="501" spans="1:37">
      <c r="A501" s="37"/>
      <c r="B501" s="37"/>
      <c r="C501" s="37"/>
      <c r="D501" s="37" t="s">
        <v>823</v>
      </c>
      <c r="E501" s="37" t="s">
        <v>824</v>
      </c>
      <c r="F501" s="37" t="s">
        <v>827</v>
      </c>
      <c r="G501" s="37" t="s">
        <v>235</v>
      </c>
      <c r="H501" s="37" t="s">
        <v>825</v>
      </c>
      <c r="I501" s="37" t="s">
        <v>191</v>
      </c>
      <c r="J501" s="37" t="s">
        <v>121</v>
      </c>
      <c r="K501" s="40" t="s">
        <v>192</v>
      </c>
      <c r="L501" s="37" t="s">
        <v>64</v>
      </c>
      <c r="M501" s="37" t="s">
        <v>826</v>
      </c>
      <c r="N501" s="37"/>
      <c r="O501" s="37" t="s">
        <v>1387</v>
      </c>
      <c r="P501" s="37" t="s">
        <v>123</v>
      </c>
      <c r="Q501" s="37" t="s">
        <v>14</v>
      </c>
      <c r="R501" s="37"/>
      <c r="S501" s="37"/>
      <c r="T501" s="37" t="s">
        <v>144</v>
      </c>
      <c r="U501" s="37" t="s">
        <v>109</v>
      </c>
      <c r="V501" s="37" t="s">
        <v>72</v>
      </c>
      <c r="W501" s="37" t="s">
        <v>69</v>
      </c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</row>
    <row r="502" spans="1:37">
      <c r="A502" s="37"/>
      <c r="B502" s="37"/>
      <c r="C502" s="37"/>
      <c r="D502" s="37" t="s">
        <v>869</v>
      </c>
      <c r="E502" s="37" t="s">
        <v>835</v>
      </c>
      <c r="F502" s="37" t="s">
        <v>4710</v>
      </c>
      <c r="G502" s="37" t="s">
        <v>1829</v>
      </c>
      <c r="H502" s="37" t="s">
        <v>4708</v>
      </c>
      <c r="I502" s="37" t="s">
        <v>1027</v>
      </c>
      <c r="J502" s="37" t="s">
        <v>121</v>
      </c>
      <c r="K502" s="40" t="s">
        <v>192</v>
      </c>
      <c r="L502" s="37" t="s">
        <v>64</v>
      </c>
      <c r="M502" s="37" t="s">
        <v>4709</v>
      </c>
      <c r="N502" s="37"/>
      <c r="O502" s="37" t="s">
        <v>1387</v>
      </c>
      <c r="P502" s="37" t="s">
        <v>123</v>
      </c>
      <c r="Q502" s="37" t="s">
        <v>14</v>
      </c>
      <c r="R502" s="37"/>
      <c r="S502" s="37"/>
      <c r="T502" s="37"/>
      <c r="U502" s="37"/>
      <c r="V502" s="37" t="s">
        <v>72</v>
      </c>
      <c r="W502" s="37" t="s">
        <v>756</v>
      </c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</row>
    <row r="503" spans="1:37">
      <c r="A503" s="37"/>
      <c r="B503" s="37"/>
      <c r="C503" s="37"/>
      <c r="D503" s="37" t="s">
        <v>555</v>
      </c>
      <c r="E503" s="37" t="s">
        <v>835</v>
      </c>
      <c r="F503" s="37" t="s">
        <v>3148</v>
      </c>
      <c r="G503" s="37" t="s">
        <v>2324</v>
      </c>
      <c r="H503" s="37" t="s">
        <v>3146</v>
      </c>
      <c r="I503" s="37" t="s">
        <v>1127</v>
      </c>
      <c r="J503" s="37" t="s">
        <v>313</v>
      </c>
      <c r="K503" s="40" t="s">
        <v>314</v>
      </c>
      <c r="L503" s="37" t="s">
        <v>64</v>
      </c>
      <c r="M503" s="37" t="s">
        <v>3147</v>
      </c>
      <c r="N503" s="37"/>
      <c r="O503" s="37" t="s">
        <v>1387</v>
      </c>
      <c r="P503" s="37" t="s">
        <v>123</v>
      </c>
      <c r="Q503" s="37" t="s">
        <v>316</v>
      </c>
      <c r="R503" s="37"/>
      <c r="S503" s="37"/>
      <c r="T503" s="37" t="s">
        <v>115</v>
      </c>
      <c r="U503" s="37"/>
      <c r="V503" s="37" t="s">
        <v>72</v>
      </c>
      <c r="W503" s="37" t="s">
        <v>195</v>
      </c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</row>
    <row r="504" spans="1:37">
      <c r="A504" s="37"/>
      <c r="B504" s="37"/>
      <c r="C504" s="37"/>
      <c r="D504" s="37" t="s">
        <v>415</v>
      </c>
      <c r="E504" s="37" t="s">
        <v>838</v>
      </c>
      <c r="F504" s="37" t="s">
        <v>840</v>
      </c>
      <c r="G504" s="37" t="s">
        <v>352</v>
      </c>
      <c r="H504" s="37"/>
      <c r="I504" s="37" t="s">
        <v>354</v>
      </c>
      <c r="J504" s="37" t="s">
        <v>75</v>
      </c>
      <c r="K504" s="40" t="s">
        <v>747</v>
      </c>
      <c r="L504" s="37" t="s">
        <v>64</v>
      </c>
      <c r="M504" s="37" t="s">
        <v>839</v>
      </c>
      <c r="N504" s="37"/>
      <c r="O504" s="37" t="s">
        <v>1387</v>
      </c>
      <c r="P504" s="37" t="s">
        <v>123</v>
      </c>
      <c r="Q504" s="37" t="s">
        <v>10</v>
      </c>
      <c r="R504" s="37"/>
      <c r="S504" s="37"/>
      <c r="T504" s="37" t="s">
        <v>69</v>
      </c>
      <c r="U504" s="37" t="s">
        <v>971</v>
      </c>
      <c r="V504" s="37" t="s">
        <v>72</v>
      </c>
      <c r="W504" s="37" t="s">
        <v>69</v>
      </c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</row>
    <row r="505" spans="1:37">
      <c r="A505" s="37"/>
      <c r="B505" s="37"/>
      <c r="C505" s="37"/>
      <c r="D505" s="37" t="s">
        <v>5418</v>
      </c>
      <c r="E505" s="37" t="s">
        <v>5419</v>
      </c>
      <c r="F505" s="37" t="s">
        <v>5423</v>
      </c>
      <c r="G505" s="37" t="s">
        <v>5420</v>
      </c>
      <c r="H505" s="37"/>
      <c r="I505" s="37" t="s">
        <v>5421</v>
      </c>
      <c r="J505" s="37" t="s">
        <v>200</v>
      </c>
      <c r="K505" s="40" t="s">
        <v>3171</v>
      </c>
      <c r="L505" s="37" t="s">
        <v>64</v>
      </c>
      <c r="M505" s="37" t="s">
        <v>5422</v>
      </c>
      <c r="N505" s="37"/>
      <c r="O505" s="37" t="s">
        <v>1387</v>
      </c>
      <c r="P505" s="37" t="s">
        <v>123</v>
      </c>
      <c r="Q505" s="37" t="s">
        <v>18</v>
      </c>
      <c r="R505" s="37"/>
      <c r="S505" s="37"/>
      <c r="T505" s="37" t="s">
        <v>144</v>
      </c>
      <c r="U505" s="37" t="s">
        <v>109</v>
      </c>
      <c r="V505" s="37" t="s">
        <v>72</v>
      </c>
      <c r="W505" s="37" t="s">
        <v>110</v>
      </c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</row>
    <row r="506" spans="1:37">
      <c r="A506" s="37"/>
      <c r="B506" s="37"/>
      <c r="C506" s="37"/>
      <c r="D506" s="37" t="s">
        <v>380</v>
      </c>
      <c r="E506" s="37" t="s">
        <v>870</v>
      </c>
      <c r="F506" s="37" t="s">
        <v>873</v>
      </c>
      <c r="G506" s="37" t="s">
        <v>328</v>
      </c>
      <c r="H506" s="37" t="s">
        <v>871</v>
      </c>
      <c r="I506" s="37" t="s">
        <v>92</v>
      </c>
      <c r="J506" s="37" t="s">
        <v>93</v>
      </c>
      <c r="K506" s="40" t="s">
        <v>329</v>
      </c>
      <c r="L506" s="37" t="s">
        <v>64</v>
      </c>
      <c r="M506" s="37" t="s">
        <v>872</v>
      </c>
      <c r="N506" s="37"/>
      <c r="O506" s="37" t="s">
        <v>1387</v>
      </c>
      <c r="P506" s="37" t="s">
        <v>123</v>
      </c>
      <c r="Q506" s="37" t="s">
        <v>98</v>
      </c>
      <c r="R506" s="37"/>
      <c r="S506" s="37"/>
      <c r="T506" s="37"/>
      <c r="U506" s="37"/>
      <c r="V506" s="37" t="s">
        <v>72</v>
      </c>
      <c r="W506" s="37" t="s">
        <v>195</v>
      </c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</row>
    <row r="507" spans="1:37">
      <c r="A507" s="37"/>
      <c r="B507" s="37"/>
      <c r="C507" s="37"/>
      <c r="D507" s="37" t="s">
        <v>882</v>
      </c>
      <c r="E507" s="37" t="s">
        <v>883</v>
      </c>
      <c r="F507" s="37" t="s">
        <v>887</v>
      </c>
      <c r="G507" s="37" t="s">
        <v>884</v>
      </c>
      <c r="H507" s="37" t="s">
        <v>885</v>
      </c>
      <c r="I507" s="37" t="s">
        <v>92</v>
      </c>
      <c r="J507" s="37" t="s">
        <v>93</v>
      </c>
      <c r="K507" s="40" t="s">
        <v>738</v>
      </c>
      <c r="L507" s="37" t="s">
        <v>64</v>
      </c>
      <c r="M507" s="37" t="s">
        <v>886</v>
      </c>
      <c r="N507" s="37"/>
      <c r="O507" s="37" t="s">
        <v>1387</v>
      </c>
      <c r="P507" s="37" t="s">
        <v>123</v>
      </c>
      <c r="Q507" s="37" t="s">
        <v>98</v>
      </c>
      <c r="R507" s="37"/>
      <c r="S507" s="37"/>
      <c r="T507" s="37"/>
      <c r="U507" s="37"/>
      <c r="V507" s="37" t="s">
        <v>72</v>
      </c>
      <c r="W507" s="37" t="s">
        <v>89</v>
      </c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</row>
    <row r="508" spans="1:37">
      <c r="A508" s="37" t="s">
        <v>359</v>
      </c>
      <c r="B508" s="37"/>
      <c r="C508" s="37"/>
      <c r="D508" s="37" t="s">
        <v>888</v>
      </c>
      <c r="E508" s="37" t="s">
        <v>889</v>
      </c>
      <c r="F508" s="37" t="s">
        <v>895</v>
      </c>
      <c r="G508" s="37" t="s">
        <v>890</v>
      </c>
      <c r="H508" s="37" t="s">
        <v>891</v>
      </c>
      <c r="I508" s="37" t="s">
        <v>891</v>
      </c>
      <c r="J508" s="37" t="s">
        <v>121</v>
      </c>
      <c r="K508" s="40" t="s">
        <v>892</v>
      </c>
      <c r="L508" s="37" t="s">
        <v>64</v>
      </c>
      <c r="M508" s="37" t="s">
        <v>893</v>
      </c>
      <c r="N508" s="37"/>
      <c r="O508" s="37" t="s">
        <v>1387</v>
      </c>
      <c r="P508" s="37" t="s">
        <v>123</v>
      </c>
      <c r="Q508" s="37" t="s">
        <v>14</v>
      </c>
      <c r="R508" s="37"/>
      <c r="S508" s="37"/>
      <c r="T508" s="37" t="s">
        <v>158</v>
      </c>
      <c r="U508" s="37" t="s">
        <v>254</v>
      </c>
      <c r="V508" s="37" t="s">
        <v>72</v>
      </c>
      <c r="W508" s="37" t="s">
        <v>195</v>
      </c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</row>
    <row r="509" spans="1:37">
      <c r="A509" s="37"/>
      <c r="B509" s="37"/>
      <c r="C509" s="37"/>
      <c r="D509" s="37" t="s">
        <v>286</v>
      </c>
      <c r="E509" s="37" t="s">
        <v>5659</v>
      </c>
      <c r="F509" s="37" t="s">
        <v>5661</v>
      </c>
      <c r="G509" s="37" t="s">
        <v>530</v>
      </c>
      <c r="H509" s="37" t="s">
        <v>1814</v>
      </c>
      <c r="I509" s="37" t="s">
        <v>650</v>
      </c>
      <c r="J509" s="37" t="s">
        <v>324</v>
      </c>
      <c r="K509" s="40" t="s">
        <v>531</v>
      </c>
      <c r="L509" s="37" t="s">
        <v>64</v>
      </c>
      <c r="M509" s="37" t="s">
        <v>5660</v>
      </c>
      <c r="N509" s="37"/>
      <c r="O509" s="37" t="s">
        <v>1387</v>
      </c>
      <c r="P509" s="37" t="s">
        <v>123</v>
      </c>
      <c r="Q509" s="37" t="s">
        <v>65</v>
      </c>
      <c r="R509" s="37"/>
      <c r="S509" s="37"/>
      <c r="T509" s="37" t="s">
        <v>69</v>
      </c>
      <c r="U509" s="37" t="s">
        <v>145</v>
      </c>
      <c r="V509" s="37" t="s">
        <v>72</v>
      </c>
      <c r="W509" s="37" t="s">
        <v>89</v>
      </c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</row>
    <row r="510" spans="1:37">
      <c r="A510" s="37"/>
      <c r="B510" s="37"/>
      <c r="C510" s="37"/>
      <c r="D510" s="37" t="s">
        <v>527</v>
      </c>
      <c r="E510" s="37" t="s">
        <v>3067</v>
      </c>
      <c r="F510" s="37" t="s">
        <v>3070</v>
      </c>
      <c r="G510" s="37" t="s">
        <v>3068</v>
      </c>
      <c r="H510" s="37"/>
      <c r="I510" s="37" t="s">
        <v>276</v>
      </c>
      <c r="J510" s="37" t="s">
        <v>70</v>
      </c>
      <c r="K510" s="40" t="s">
        <v>277</v>
      </c>
      <c r="L510" s="37" t="s">
        <v>64</v>
      </c>
      <c r="M510" s="37" t="s">
        <v>3069</v>
      </c>
      <c r="N510" s="37"/>
      <c r="O510" s="37" t="s">
        <v>1387</v>
      </c>
      <c r="P510" s="37" t="s">
        <v>123</v>
      </c>
      <c r="Q510" s="37" t="s">
        <v>71</v>
      </c>
      <c r="R510" s="37"/>
      <c r="S510" s="37"/>
      <c r="T510" s="37" t="s">
        <v>66</v>
      </c>
      <c r="U510" s="37" t="s">
        <v>254</v>
      </c>
      <c r="V510" s="37" t="s">
        <v>77</v>
      </c>
      <c r="W510" s="37" t="s">
        <v>110</v>
      </c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</row>
    <row r="511" spans="1:37">
      <c r="A511" s="37"/>
      <c r="B511" s="37"/>
      <c r="C511" s="37"/>
      <c r="D511" s="37" t="s">
        <v>955</v>
      </c>
      <c r="E511" s="37" t="s">
        <v>961</v>
      </c>
      <c r="F511" s="37" t="s">
        <v>967</v>
      </c>
      <c r="G511" s="37" t="s">
        <v>962</v>
      </c>
      <c r="H511" s="37" t="s">
        <v>963</v>
      </c>
      <c r="I511" s="37" t="s">
        <v>964</v>
      </c>
      <c r="J511" s="37" t="s">
        <v>125</v>
      </c>
      <c r="K511" s="40" t="s">
        <v>965</v>
      </c>
      <c r="L511" s="37" t="s">
        <v>64</v>
      </c>
      <c r="M511" s="37" t="s">
        <v>966</v>
      </c>
      <c r="N511" s="37"/>
      <c r="O511" s="37" t="s">
        <v>1387</v>
      </c>
      <c r="P511" s="37" t="s">
        <v>123</v>
      </c>
      <c r="Q511" s="37" t="s">
        <v>126</v>
      </c>
      <c r="R511" s="37"/>
      <c r="S511" s="37"/>
      <c r="T511" s="37" t="s">
        <v>115</v>
      </c>
      <c r="U511" s="37" t="s">
        <v>145</v>
      </c>
      <c r="V511" s="37" t="s">
        <v>72</v>
      </c>
      <c r="W511" s="37" t="s">
        <v>195</v>
      </c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</row>
    <row r="512" spans="1:37">
      <c r="A512" s="37"/>
      <c r="B512" s="37"/>
      <c r="C512" s="37"/>
      <c r="D512" s="37" t="s">
        <v>974</v>
      </c>
      <c r="E512" s="37" t="s">
        <v>975</v>
      </c>
      <c r="F512" s="37" t="s">
        <v>979</v>
      </c>
      <c r="G512" s="37" t="s">
        <v>976</v>
      </c>
      <c r="H512" s="37" t="s">
        <v>977</v>
      </c>
      <c r="I512" s="37" t="s">
        <v>191</v>
      </c>
      <c r="J512" s="37" t="s">
        <v>121</v>
      </c>
      <c r="K512" s="40" t="s">
        <v>192</v>
      </c>
      <c r="L512" s="37" t="s">
        <v>64</v>
      </c>
      <c r="M512" s="37" t="s">
        <v>978</v>
      </c>
      <c r="N512" s="37"/>
      <c r="O512" s="37" t="s">
        <v>1387</v>
      </c>
      <c r="P512" s="37" t="s">
        <v>123</v>
      </c>
      <c r="Q512" s="37" t="s">
        <v>14</v>
      </c>
      <c r="R512" s="37"/>
      <c r="S512" s="37"/>
      <c r="T512" s="37" t="s">
        <v>144</v>
      </c>
      <c r="U512" s="37" t="s">
        <v>109</v>
      </c>
      <c r="V512" s="37" t="s">
        <v>72</v>
      </c>
      <c r="W512" s="37" t="s">
        <v>110</v>
      </c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</row>
    <row r="513" spans="1:37">
      <c r="A513" s="37"/>
      <c r="B513" s="37"/>
      <c r="C513" s="37"/>
      <c r="D513" s="37" t="s">
        <v>426</v>
      </c>
      <c r="E513" s="37" t="s">
        <v>984</v>
      </c>
      <c r="F513" s="37" t="s">
        <v>986</v>
      </c>
      <c r="G513" s="37" t="s">
        <v>119</v>
      </c>
      <c r="H513" s="37"/>
      <c r="I513" s="37" t="s">
        <v>120</v>
      </c>
      <c r="J513" s="37" t="s">
        <v>121</v>
      </c>
      <c r="K513" s="40" t="s">
        <v>122</v>
      </c>
      <c r="L513" s="37" t="s">
        <v>64</v>
      </c>
      <c r="M513" s="37" t="s">
        <v>985</v>
      </c>
      <c r="N513" s="37"/>
      <c r="O513" s="37" t="s">
        <v>1387</v>
      </c>
      <c r="P513" s="37" t="s">
        <v>123</v>
      </c>
      <c r="Q513" s="37" t="s">
        <v>14</v>
      </c>
      <c r="R513" s="37"/>
      <c r="S513" s="37"/>
      <c r="T513" s="37" t="s">
        <v>115</v>
      </c>
      <c r="U513" s="37" t="s">
        <v>109</v>
      </c>
      <c r="V513" s="37" t="s">
        <v>77</v>
      </c>
      <c r="W513" s="37" t="s">
        <v>73</v>
      </c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</row>
    <row r="514" spans="1:37">
      <c r="A514" s="37" t="s">
        <v>250</v>
      </c>
      <c r="B514" s="37"/>
      <c r="C514" s="37"/>
      <c r="D514" s="37" t="s">
        <v>307</v>
      </c>
      <c r="E514" s="37" t="s">
        <v>5372</v>
      </c>
      <c r="F514" s="37" t="s">
        <v>5375</v>
      </c>
      <c r="G514" s="37" t="s">
        <v>5373</v>
      </c>
      <c r="H514" s="37"/>
      <c r="I514" s="37" t="s">
        <v>191</v>
      </c>
      <c r="J514" s="37" t="s">
        <v>121</v>
      </c>
      <c r="K514" s="40" t="s">
        <v>192</v>
      </c>
      <c r="L514" s="37" t="s">
        <v>64</v>
      </c>
      <c r="M514" s="37" t="s">
        <v>5374</v>
      </c>
      <c r="N514" s="37"/>
      <c r="O514" s="37" t="s">
        <v>1387</v>
      </c>
      <c r="P514" s="37" t="s">
        <v>123</v>
      </c>
      <c r="Q514" s="37" t="s">
        <v>14</v>
      </c>
      <c r="R514" s="37"/>
      <c r="S514" s="37"/>
      <c r="T514" s="37" t="s">
        <v>69</v>
      </c>
      <c r="U514" s="37" t="s">
        <v>87</v>
      </c>
      <c r="V514" s="37" t="s">
        <v>72</v>
      </c>
      <c r="W514" s="37" t="s">
        <v>89</v>
      </c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</row>
    <row r="515" spans="1:37">
      <c r="A515" s="37"/>
      <c r="B515" s="37"/>
      <c r="C515" s="37"/>
      <c r="D515" s="37" t="s">
        <v>841</v>
      </c>
      <c r="E515" s="37" t="s">
        <v>1026</v>
      </c>
      <c r="F515" s="37" t="s">
        <v>1029</v>
      </c>
      <c r="G515" s="37" t="s">
        <v>235</v>
      </c>
      <c r="H515" s="37"/>
      <c r="I515" s="37" t="s">
        <v>1027</v>
      </c>
      <c r="J515" s="37" t="s">
        <v>121</v>
      </c>
      <c r="K515" s="40" t="s">
        <v>192</v>
      </c>
      <c r="L515" s="37" t="s">
        <v>64</v>
      </c>
      <c r="M515" s="37" t="s">
        <v>1028</v>
      </c>
      <c r="N515" s="37"/>
      <c r="O515" s="37" t="s">
        <v>1387</v>
      </c>
      <c r="P515" s="37" t="s">
        <v>123</v>
      </c>
      <c r="Q515" s="37" t="s">
        <v>14</v>
      </c>
      <c r="R515" s="37"/>
      <c r="S515" s="37"/>
      <c r="T515" s="37"/>
      <c r="U515" s="37"/>
      <c r="V515" s="37" t="s">
        <v>72</v>
      </c>
      <c r="W515" s="37" t="s">
        <v>69</v>
      </c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</row>
    <row r="516" spans="1:37">
      <c r="A516" s="37"/>
      <c r="B516" s="37"/>
      <c r="C516" s="37"/>
      <c r="D516" s="37" t="s">
        <v>1039</v>
      </c>
      <c r="E516" s="37" t="s">
        <v>1040</v>
      </c>
      <c r="F516" s="37" t="s">
        <v>1042</v>
      </c>
      <c r="G516" s="37" t="s">
        <v>235</v>
      </c>
      <c r="H516" s="37"/>
      <c r="I516" s="37" t="s">
        <v>1027</v>
      </c>
      <c r="J516" s="37" t="s">
        <v>121</v>
      </c>
      <c r="K516" s="40" t="s">
        <v>192</v>
      </c>
      <c r="L516" s="37" t="s">
        <v>64</v>
      </c>
      <c r="M516" s="37" t="s">
        <v>1041</v>
      </c>
      <c r="N516" s="37"/>
      <c r="O516" s="37" t="s">
        <v>1387</v>
      </c>
      <c r="P516" s="37" t="s">
        <v>123</v>
      </c>
      <c r="Q516" s="37" t="s">
        <v>14</v>
      </c>
      <c r="R516" s="37"/>
      <c r="S516" s="37"/>
      <c r="T516" s="37"/>
      <c r="U516" s="37"/>
      <c r="V516" s="37" t="s">
        <v>72</v>
      </c>
      <c r="W516" s="37" t="s">
        <v>69</v>
      </c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</row>
    <row r="517" spans="1:37">
      <c r="A517" s="37"/>
      <c r="B517" s="37"/>
      <c r="C517" s="37"/>
      <c r="D517" s="37" t="s">
        <v>905</v>
      </c>
      <c r="E517" s="37" t="s">
        <v>3475</v>
      </c>
      <c r="F517" s="37" t="s">
        <v>3478</v>
      </c>
      <c r="G517" s="37" t="s">
        <v>3476</v>
      </c>
      <c r="H517" s="37"/>
      <c r="I517" s="37" t="s">
        <v>276</v>
      </c>
      <c r="J517" s="37" t="s">
        <v>70</v>
      </c>
      <c r="K517" s="40" t="s">
        <v>277</v>
      </c>
      <c r="L517" s="37" t="s">
        <v>64</v>
      </c>
      <c r="M517" s="37" t="s">
        <v>3477</v>
      </c>
      <c r="N517" s="37"/>
      <c r="O517" s="37" t="s">
        <v>1387</v>
      </c>
      <c r="P517" s="37" t="s">
        <v>513</v>
      </c>
      <c r="Q517" s="37" t="s">
        <v>71</v>
      </c>
      <c r="R517" s="37"/>
      <c r="S517" s="37"/>
      <c r="T517" s="37"/>
      <c r="U517" s="37" t="s">
        <v>109</v>
      </c>
      <c r="V517" s="37" t="s">
        <v>72</v>
      </c>
      <c r="W517" s="37" t="s">
        <v>89</v>
      </c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</row>
    <row r="518" spans="1:37">
      <c r="A518" s="37"/>
      <c r="B518" s="37"/>
      <c r="C518" s="37"/>
      <c r="D518" s="37" t="s">
        <v>380</v>
      </c>
      <c r="E518" s="37" t="s">
        <v>5381</v>
      </c>
      <c r="F518" s="37" t="s">
        <v>5383</v>
      </c>
      <c r="G518" s="37" t="s">
        <v>1380</v>
      </c>
      <c r="H518" s="37"/>
      <c r="I518" s="37" t="s">
        <v>82</v>
      </c>
      <c r="J518" s="37" t="s">
        <v>83</v>
      </c>
      <c r="K518" s="40" t="s">
        <v>1014</v>
      </c>
      <c r="L518" s="37" t="s">
        <v>64</v>
      </c>
      <c r="M518" s="37" t="s">
        <v>5382</v>
      </c>
      <c r="N518" s="37"/>
      <c r="O518" s="37" t="s">
        <v>1387</v>
      </c>
      <c r="P518" s="37" t="s">
        <v>513</v>
      </c>
      <c r="Q518" s="37" t="s">
        <v>71</v>
      </c>
      <c r="R518" s="37"/>
      <c r="S518" s="37"/>
      <c r="T518" s="37" t="s">
        <v>115</v>
      </c>
      <c r="U518" s="37" t="s">
        <v>109</v>
      </c>
      <c r="V518" s="37" t="s">
        <v>72</v>
      </c>
      <c r="W518" s="37" t="s">
        <v>73</v>
      </c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</row>
    <row r="519" spans="1:37">
      <c r="A519" s="37"/>
      <c r="B519" s="37"/>
      <c r="C519" s="37"/>
      <c r="D519" s="37" t="s">
        <v>251</v>
      </c>
      <c r="E519" s="37" t="s">
        <v>4259</v>
      </c>
      <c r="F519" s="37" t="s">
        <v>4263</v>
      </c>
      <c r="G519" s="37" t="s">
        <v>4260</v>
      </c>
      <c r="H519" s="37"/>
      <c r="I519" s="37" t="s">
        <v>342</v>
      </c>
      <c r="J519" s="37" t="s">
        <v>256</v>
      </c>
      <c r="K519" s="40" t="s">
        <v>4261</v>
      </c>
      <c r="L519" s="37" t="s">
        <v>64</v>
      </c>
      <c r="M519" s="37" t="s">
        <v>4262</v>
      </c>
      <c r="N519" s="37"/>
      <c r="O519" s="37" t="s">
        <v>1387</v>
      </c>
      <c r="P519" s="37" t="s">
        <v>123</v>
      </c>
      <c r="Q519" s="37" t="s">
        <v>17</v>
      </c>
      <c r="R519" s="37"/>
      <c r="S519" s="37"/>
      <c r="T519" s="37"/>
      <c r="U519" s="37"/>
      <c r="V519" s="37" t="s">
        <v>72</v>
      </c>
      <c r="W519" s="37" t="s">
        <v>195</v>
      </c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</row>
    <row r="520" spans="1:37">
      <c r="A520" s="37"/>
      <c r="B520" s="37"/>
      <c r="C520" s="37"/>
      <c r="D520" s="37" t="s">
        <v>1120</v>
      </c>
      <c r="E520" s="37" t="s">
        <v>1121</v>
      </c>
      <c r="F520" s="37" t="s">
        <v>1126</v>
      </c>
      <c r="G520" s="37" t="s">
        <v>1122</v>
      </c>
      <c r="H520" s="37"/>
      <c r="I520" s="37" t="s">
        <v>1123</v>
      </c>
      <c r="J520" s="37" t="s">
        <v>121</v>
      </c>
      <c r="K520" s="40" t="s">
        <v>804</v>
      </c>
      <c r="L520" s="37" t="s">
        <v>64</v>
      </c>
      <c r="M520" s="37" t="s">
        <v>1124</v>
      </c>
      <c r="N520" s="37"/>
      <c r="O520" s="37" t="s">
        <v>1387</v>
      </c>
      <c r="P520" s="37" t="s">
        <v>513</v>
      </c>
      <c r="Q520" s="37" t="s">
        <v>14</v>
      </c>
      <c r="R520" s="37"/>
      <c r="S520" s="37" t="s">
        <v>1125</v>
      </c>
      <c r="T520" s="37" t="s">
        <v>69</v>
      </c>
      <c r="U520" s="37" t="s">
        <v>254</v>
      </c>
      <c r="V520" s="37" t="s">
        <v>72</v>
      </c>
      <c r="W520" s="37" t="s">
        <v>89</v>
      </c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</row>
    <row r="521" spans="1:37">
      <c r="A521" s="37"/>
      <c r="B521" s="37"/>
      <c r="C521" s="37"/>
      <c r="D521" s="37" t="s">
        <v>1144</v>
      </c>
      <c r="E521" s="37" t="s">
        <v>1145</v>
      </c>
      <c r="F521" s="37" t="s">
        <v>1149</v>
      </c>
      <c r="G521" s="37" t="s">
        <v>1146</v>
      </c>
      <c r="H521" s="37" t="s">
        <v>1147</v>
      </c>
      <c r="I521" s="37" t="s">
        <v>276</v>
      </c>
      <c r="J521" s="37" t="s">
        <v>70</v>
      </c>
      <c r="K521" s="40" t="s">
        <v>277</v>
      </c>
      <c r="L521" s="37" t="s">
        <v>64</v>
      </c>
      <c r="M521" s="37" t="s">
        <v>1148</v>
      </c>
      <c r="N521" s="37"/>
      <c r="O521" s="37" t="s">
        <v>1387</v>
      </c>
      <c r="P521" s="37" t="s">
        <v>123</v>
      </c>
      <c r="Q521" s="37" t="s">
        <v>71</v>
      </c>
      <c r="R521" s="37"/>
      <c r="S521" s="37"/>
      <c r="T521" s="37"/>
      <c r="U521" s="37"/>
      <c r="V521" s="37" t="s">
        <v>77</v>
      </c>
      <c r="W521" s="37" t="s">
        <v>99</v>
      </c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</row>
    <row r="522" spans="1:37">
      <c r="A522" s="37"/>
      <c r="B522" s="37"/>
      <c r="C522" s="37"/>
      <c r="D522" s="37" t="s">
        <v>1189</v>
      </c>
      <c r="E522" s="37" t="s">
        <v>547</v>
      </c>
      <c r="F522" s="37" t="s">
        <v>1193</v>
      </c>
      <c r="G522" s="37" t="s">
        <v>1190</v>
      </c>
      <c r="H522" s="37"/>
      <c r="I522" s="37" t="s">
        <v>207</v>
      </c>
      <c r="J522" s="37" t="s">
        <v>208</v>
      </c>
      <c r="K522" s="40" t="s">
        <v>1191</v>
      </c>
      <c r="L522" s="37" t="s">
        <v>64</v>
      </c>
      <c r="M522" s="37" t="s">
        <v>1192</v>
      </c>
      <c r="N522" s="37"/>
      <c r="O522" s="37" t="s">
        <v>1387</v>
      </c>
      <c r="P522" s="37" t="s">
        <v>123</v>
      </c>
      <c r="Q522" s="37" t="s">
        <v>18</v>
      </c>
      <c r="R522" s="37"/>
      <c r="S522" s="37"/>
      <c r="T522" s="37" t="s">
        <v>158</v>
      </c>
      <c r="U522" s="37" t="s">
        <v>69</v>
      </c>
      <c r="V522" s="37" t="s">
        <v>72</v>
      </c>
      <c r="W522" s="37" t="s">
        <v>89</v>
      </c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</row>
    <row r="523" spans="1:37">
      <c r="A523" s="37"/>
      <c r="B523" s="37"/>
      <c r="C523" s="37"/>
      <c r="D523" s="37" t="s">
        <v>1227</v>
      </c>
      <c r="E523" s="37" t="s">
        <v>1228</v>
      </c>
      <c r="F523" s="37" t="s">
        <v>1231</v>
      </c>
      <c r="G523" s="37" t="s">
        <v>235</v>
      </c>
      <c r="H523" s="37"/>
      <c r="I523" s="37" t="s">
        <v>191</v>
      </c>
      <c r="J523" s="37" t="s">
        <v>121</v>
      </c>
      <c r="K523" s="40" t="s">
        <v>1229</v>
      </c>
      <c r="L523" s="37" t="s">
        <v>64</v>
      </c>
      <c r="M523" s="37" t="s">
        <v>1230</v>
      </c>
      <c r="N523" s="37"/>
      <c r="O523" s="37" t="s">
        <v>1387</v>
      </c>
      <c r="P523" s="37" t="s">
        <v>123</v>
      </c>
      <c r="Q523" s="37" t="s">
        <v>14</v>
      </c>
      <c r="R523" s="37"/>
      <c r="S523" s="37"/>
      <c r="T523" s="37" t="s">
        <v>158</v>
      </c>
      <c r="U523" s="37" t="s">
        <v>185</v>
      </c>
      <c r="V523" s="37" t="s">
        <v>72</v>
      </c>
      <c r="W523" s="37" t="s">
        <v>195</v>
      </c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</row>
    <row r="524" spans="1:37">
      <c r="A524" s="37"/>
      <c r="B524" s="37"/>
      <c r="C524" s="37"/>
      <c r="D524" s="37" t="s">
        <v>4462</v>
      </c>
      <c r="E524" s="37" t="s">
        <v>1232</v>
      </c>
      <c r="F524" s="37" t="s">
        <v>4465</v>
      </c>
      <c r="G524" s="37" t="s">
        <v>534</v>
      </c>
      <c r="H524" s="37" t="s">
        <v>4463</v>
      </c>
      <c r="I524" s="37" t="s">
        <v>193</v>
      </c>
      <c r="J524" s="37" t="s">
        <v>153</v>
      </c>
      <c r="K524" s="40" t="s">
        <v>194</v>
      </c>
      <c r="L524" s="37" t="s">
        <v>64</v>
      </c>
      <c r="M524" s="37" t="s">
        <v>4464</v>
      </c>
      <c r="N524" s="37"/>
      <c r="O524" s="37" t="s">
        <v>1387</v>
      </c>
      <c r="P524" s="37" t="s">
        <v>513</v>
      </c>
      <c r="Q524" s="37" t="s">
        <v>16</v>
      </c>
      <c r="R524" s="37"/>
      <c r="S524" s="37"/>
      <c r="T524" s="37" t="s">
        <v>115</v>
      </c>
      <c r="U524" s="37"/>
      <c r="V524" s="37" t="s">
        <v>77</v>
      </c>
      <c r="W524" s="37" t="s">
        <v>110</v>
      </c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</row>
    <row r="525" spans="1:37">
      <c r="A525" s="37"/>
      <c r="B525" s="37"/>
      <c r="C525" s="37"/>
      <c r="D525" s="37" t="s">
        <v>1286</v>
      </c>
      <c r="E525" s="37" t="s">
        <v>1287</v>
      </c>
      <c r="F525" s="37" t="s">
        <v>1290</v>
      </c>
      <c r="G525" s="37" t="s">
        <v>1288</v>
      </c>
      <c r="H525" s="37"/>
      <c r="I525" s="37" t="s">
        <v>82</v>
      </c>
      <c r="J525" s="37" t="s">
        <v>83</v>
      </c>
      <c r="K525" s="40" t="s">
        <v>201</v>
      </c>
      <c r="L525" s="37" t="s">
        <v>64</v>
      </c>
      <c r="M525" s="37" t="s">
        <v>1289</v>
      </c>
      <c r="N525" s="37"/>
      <c r="O525" s="37" t="s">
        <v>1387</v>
      </c>
      <c r="P525" s="37" t="s">
        <v>123</v>
      </c>
      <c r="Q525" s="37" t="s">
        <v>14</v>
      </c>
      <c r="R525" s="37"/>
      <c r="S525" s="37"/>
      <c r="T525" s="37"/>
      <c r="U525" s="37"/>
      <c r="V525" s="37" t="s">
        <v>72</v>
      </c>
      <c r="W525" s="37" t="s">
        <v>195</v>
      </c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</row>
    <row r="526" spans="1:37">
      <c r="A526" s="37"/>
      <c r="B526" s="37"/>
      <c r="C526" s="37"/>
      <c r="D526" s="37" t="s">
        <v>689</v>
      </c>
      <c r="E526" s="37" t="s">
        <v>1299</v>
      </c>
      <c r="F526" s="37" t="s">
        <v>5348</v>
      </c>
      <c r="G526" s="37" t="s">
        <v>5346</v>
      </c>
      <c r="H526" s="37"/>
      <c r="I526" s="37" t="s">
        <v>191</v>
      </c>
      <c r="J526" s="37" t="s">
        <v>121</v>
      </c>
      <c r="K526" s="40" t="s">
        <v>192</v>
      </c>
      <c r="L526" s="37" t="s">
        <v>64</v>
      </c>
      <c r="M526" s="37" t="s">
        <v>5347</v>
      </c>
      <c r="N526" s="37"/>
      <c r="O526" s="37" t="s">
        <v>1387</v>
      </c>
      <c r="P526" s="37" t="s">
        <v>123</v>
      </c>
      <c r="Q526" s="37" t="s">
        <v>14</v>
      </c>
      <c r="R526" s="37"/>
      <c r="S526" s="37"/>
      <c r="T526" s="37"/>
      <c r="U526" s="37"/>
      <c r="V526" s="37" t="s">
        <v>72</v>
      </c>
      <c r="W526" s="37" t="s">
        <v>195</v>
      </c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</row>
    <row r="527" spans="1:37">
      <c r="A527" s="37"/>
      <c r="B527" s="37"/>
      <c r="C527" s="37"/>
      <c r="D527" s="37" t="s">
        <v>1313</v>
      </c>
      <c r="E527" s="37" t="s">
        <v>1314</v>
      </c>
      <c r="F527" s="37" t="s">
        <v>1316</v>
      </c>
      <c r="G527" s="37" t="s">
        <v>119</v>
      </c>
      <c r="H527" s="37"/>
      <c r="I527" s="37" t="s">
        <v>120</v>
      </c>
      <c r="J527" s="37" t="s">
        <v>121</v>
      </c>
      <c r="K527" s="40" t="s">
        <v>122</v>
      </c>
      <c r="L527" s="37" t="s">
        <v>64</v>
      </c>
      <c r="M527" s="37" t="s">
        <v>1315</v>
      </c>
      <c r="N527" s="37"/>
      <c r="O527" s="37" t="s">
        <v>1387</v>
      </c>
      <c r="P527" s="37" t="s">
        <v>123</v>
      </c>
      <c r="Q527" s="37" t="s">
        <v>14</v>
      </c>
      <c r="R527" s="37"/>
      <c r="S527" s="37"/>
      <c r="T527" s="37" t="s">
        <v>158</v>
      </c>
      <c r="U527" s="37" t="s">
        <v>87</v>
      </c>
      <c r="V527" s="37" t="s">
        <v>72</v>
      </c>
      <c r="W527" s="37" t="s">
        <v>195</v>
      </c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</row>
    <row r="528" spans="1:37">
      <c r="A528" s="37"/>
      <c r="B528" s="37"/>
      <c r="C528" s="37"/>
      <c r="D528" s="37" t="s">
        <v>1335</v>
      </c>
      <c r="E528" s="37" t="s">
        <v>1336</v>
      </c>
      <c r="F528" s="37" t="s">
        <v>1340</v>
      </c>
      <c r="G528" s="37" t="s">
        <v>1337</v>
      </c>
      <c r="H528" s="37"/>
      <c r="I528" s="37" t="s">
        <v>1338</v>
      </c>
      <c r="J528" s="37" t="s">
        <v>121</v>
      </c>
      <c r="K528" s="40" t="s">
        <v>122</v>
      </c>
      <c r="L528" s="37" t="s">
        <v>64</v>
      </c>
      <c r="M528" s="37" t="s">
        <v>1339</v>
      </c>
      <c r="N528" s="37"/>
      <c r="O528" s="37" t="s">
        <v>1387</v>
      </c>
      <c r="P528" s="37" t="s">
        <v>513</v>
      </c>
      <c r="Q528" s="37" t="s">
        <v>14</v>
      </c>
      <c r="R528" s="37"/>
      <c r="S528" s="37"/>
      <c r="T528" s="37" t="s">
        <v>144</v>
      </c>
      <c r="U528" s="37"/>
      <c r="V528" s="37" t="s">
        <v>72</v>
      </c>
      <c r="W528" s="37" t="s">
        <v>89</v>
      </c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</row>
    <row r="529" spans="1:37">
      <c r="A529" s="37"/>
      <c r="B529" s="37"/>
      <c r="C529" s="37"/>
      <c r="D529" s="37" t="s">
        <v>5349</v>
      </c>
      <c r="E529" s="37" t="s">
        <v>5350</v>
      </c>
      <c r="F529" s="37" t="s">
        <v>5352</v>
      </c>
      <c r="G529" s="37" t="s">
        <v>274</v>
      </c>
      <c r="H529" s="37"/>
      <c r="I529" s="37" t="s">
        <v>276</v>
      </c>
      <c r="J529" s="37" t="s">
        <v>70</v>
      </c>
      <c r="K529" s="40" t="s">
        <v>277</v>
      </c>
      <c r="L529" s="37" t="s">
        <v>64</v>
      </c>
      <c r="M529" s="37" t="s">
        <v>5351</v>
      </c>
      <c r="N529" s="37"/>
      <c r="O529" s="37" t="s">
        <v>1387</v>
      </c>
      <c r="P529" s="37" t="s">
        <v>123</v>
      </c>
      <c r="Q529" s="37" t="s">
        <v>71</v>
      </c>
      <c r="R529" s="37"/>
      <c r="S529" s="37"/>
      <c r="T529" s="37" t="s">
        <v>66</v>
      </c>
      <c r="U529" s="37"/>
      <c r="V529" s="37" t="s">
        <v>72</v>
      </c>
      <c r="W529" s="37" t="s">
        <v>89</v>
      </c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</row>
    <row r="530" spans="1:37">
      <c r="A530" s="37"/>
      <c r="B530" s="37"/>
      <c r="C530" s="37"/>
      <c r="D530" s="37" t="s">
        <v>1353</v>
      </c>
      <c r="E530" s="37" t="s">
        <v>1354</v>
      </c>
      <c r="F530" s="37" t="s">
        <v>1356</v>
      </c>
      <c r="G530" s="37" t="s">
        <v>119</v>
      </c>
      <c r="H530" s="37"/>
      <c r="I530" s="37" t="s">
        <v>120</v>
      </c>
      <c r="J530" s="37" t="s">
        <v>121</v>
      </c>
      <c r="K530" s="40" t="s">
        <v>122</v>
      </c>
      <c r="L530" s="37" t="s">
        <v>64</v>
      </c>
      <c r="M530" s="37" t="s">
        <v>1355</v>
      </c>
      <c r="N530" s="37"/>
      <c r="O530" s="37" t="s">
        <v>1387</v>
      </c>
      <c r="P530" s="37" t="s">
        <v>123</v>
      </c>
      <c r="Q530" s="37" t="s">
        <v>14</v>
      </c>
      <c r="R530" s="37"/>
      <c r="S530" s="37"/>
      <c r="T530" s="37" t="s">
        <v>69</v>
      </c>
      <c r="U530" s="37" t="s">
        <v>87</v>
      </c>
      <c r="V530" s="37" t="s">
        <v>88</v>
      </c>
      <c r="W530" s="37" t="s">
        <v>110</v>
      </c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</row>
    <row r="531" spans="1:37">
      <c r="A531" s="37"/>
      <c r="B531" s="37"/>
      <c r="C531" s="37"/>
      <c r="D531" s="37" t="s">
        <v>444</v>
      </c>
      <c r="E531" s="37" t="s">
        <v>1357</v>
      </c>
      <c r="F531" s="37" t="s">
        <v>1363</v>
      </c>
      <c r="G531" s="37" t="s">
        <v>1358</v>
      </c>
      <c r="H531" s="37" t="s">
        <v>1359</v>
      </c>
      <c r="I531" s="37" t="s">
        <v>1360</v>
      </c>
      <c r="J531" s="37" t="s">
        <v>200</v>
      </c>
      <c r="K531" s="40" t="s">
        <v>1361</v>
      </c>
      <c r="L531" s="37" t="s">
        <v>64</v>
      </c>
      <c r="M531" s="37" t="s">
        <v>1362</v>
      </c>
      <c r="N531" s="37"/>
      <c r="O531" s="37" t="s">
        <v>1387</v>
      </c>
      <c r="P531" s="37" t="s">
        <v>123</v>
      </c>
      <c r="Q531" s="37" t="s">
        <v>18</v>
      </c>
      <c r="R531" s="37"/>
      <c r="S531" s="37"/>
      <c r="T531" s="37"/>
      <c r="U531" s="37"/>
      <c r="V531" s="37" t="s">
        <v>77</v>
      </c>
      <c r="W531" s="37" t="s">
        <v>135</v>
      </c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</row>
    <row r="532" spans="1:37">
      <c r="A532" s="37" t="s">
        <v>2202</v>
      </c>
      <c r="B532" s="37"/>
      <c r="C532" s="37"/>
      <c r="D532" s="37" t="s">
        <v>211</v>
      </c>
      <c r="E532" s="37" t="s">
        <v>1372</v>
      </c>
      <c r="F532" s="37" t="s">
        <v>5355</v>
      </c>
      <c r="G532" s="37" t="s">
        <v>2324</v>
      </c>
      <c r="H532" s="37"/>
      <c r="I532" s="37" t="s">
        <v>312</v>
      </c>
      <c r="J532" s="37" t="s">
        <v>313</v>
      </c>
      <c r="K532" s="40" t="s">
        <v>314</v>
      </c>
      <c r="L532" s="37" t="s">
        <v>64</v>
      </c>
      <c r="M532" s="37" t="s">
        <v>5354</v>
      </c>
      <c r="N532" s="37"/>
      <c r="O532" s="37" t="s">
        <v>1387</v>
      </c>
      <c r="P532" s="37" t="s">
        <v>123</v>
      </c>
      <c r="Q532" s="37" t="s">
        <v>316</v>
      </c>
      <c r="R532" s="37"/>
      <c r="S532" s="37"/>
      <c r="T532" s="37" t="s">
        <v>115</v>
      </c>
      <c r="U532" s="37" t="s">
        <v>109</v>
      </c>
      <c r="V532" s="37" t="s">
        <v>72</v>
      </c>
      <c r="W532" s="37" t="s">
        <v>195</v>
      </c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</row>
    <row r="533" spans="1:37">
      <c r="A533" s="37"/>
      <c r="B533" s="37"/>
      <c r="C533" s="37"/>
      <c r="D533" s="37" t="s">
        <v>444</v>
      </c>
      <c r="E533" s="37" t="s">
        <v>1419</v>
      </c>
      <c r="F533" s="37" t="s">
        <v>1422</v>
      </c>
      <c r="G533" s="37" t="s">
        <v>1420</v>
      </c>
      <c r="H533" s="37"/>
      <c r="I533" s="37" t="s">
        <v>191</v>
      </c>
      <c r="J533" s="37" t="s">
        <v>121</v>
      </c>
      <c r="K533" s="40" t="s">
        <v>192</v>
      </c>
      <c r="L533" s="37" t="s">
        <v>64</v>
      </c>
      <c r="M533" s="37" t="s">
        <v>1421</v>
      </c>
      <c r="N533" s="37"/>
      <c r="O533" s="37" t="s">
        <v>1387</v>
      </c>
      <c r="P533" s="37" t="s">
        <v>123</v>
      </c>
      <c r="Q533" s="37" t="s">
        <v>14</v>
      </c>
      <c r="R533" s="37"/>
      <c r="S533" s="37"/>
      <c r="T533" s="37"/>
      <c r="U533" s="37"/>
      <c r="V533" s="37" t="s">
        <v>72</v>
      </c>
      <c r="W533" s="37" t="s">
        <v>69</v>
      </c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</row>
    <row r="534" spans="1:37">
      <c r="A534" s="37"/>
      <c r="B534" s="37"/>
      <c r="C534" s="37"/>
      <c r="D534" s="37" t="s">
        <v>545</v>
      </c>
      <c r="E534" s="37" t="s">
        <v>1426</v>
      </c>
      <c r="F534" s="37" t="s">
        <v>1435</v>
      </c>
      <c r="G534" s="37" t="s">
        <v>119</v>
      </c>
      <c r="H534" s="37" t="s">
        <v>1433</v>
      </c>
      <c r="I534" s="37" t="s">
        <v>120</v>
      </c>
      <c r="J534" s="37" t="s">
        <v>121</v>
      </c>
      <c r="K534" s="40" t="s">
        <v>122</v>
      </c>
      <c r="L534" s="37" t="s">
        <v>64</v>
      </c>
      <c r="M534" s="37" t="s">
        <v>1434</v>
      </c>
      <c r="N534" s="37"/>
      <c r="O534" s="37" t="s">
        <v>1387</v>
      </c>
      <c r="P534" s="37" t="s">
        <v>123</v>
      </c>
      <c r="Q534" s="37" t="s">
        <v>14</v>
      </c>
      <c r="R534" s="37"/>
      <c r="S534" s="37"/>
      <c r="T534" s="37"/>
      <c r="U534" s="37"/>
      <c r="V534" s="37" t="s">
        <v>88</v>
      </c>
      <c r="W534" s="37" t="s">
        <v>348</v>
      </c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</row>
    <row r="535" spans="1:37">
      <c r="A535" s="37"/>
      <c r="B535" s="37"/>
      <c r="C535" s="37"/>
      <c r="D535" s="37" t="s">
        <v>555</v>
      </c>
      <c r="E535" s="37" t="s">
        <v>1448</v>
      </c>
      <c r="F535" s="37" t="s">
        <v>1449</v>
      </c>
      <c r="G535" s="37" t="s">
        <v>617</v>
      </c>
      <c r="H535" s="37" t="s">
        <v>618</v>
      </c>
      <c r="I535" s="37" t="s">
        <v>191</v>
      </c>
      <c r="J535" s="37" t="s">
        <v>121</v>
      </c>
      <c r="K535" s="40" t="s">
        <v>724</v>
      </c>
      <c r="L535" s="37" t="s">
        <v>64</v>
      </c>
      <c r="M535" s="37" t="s">
        <v>4241</v>
      </c>
      <c r="N535" s="37"/>
      <c r="O535" s="37" t="s">
        <v>1387</v>
      </c>
      <c r="P535" s="37" t="s">
        <v>123</v>
      </c>
      <c r="Q535" s="37" t="s">
        <v>14</v>
      </c>
      <c r="R535" s="37"/>
      <c r="S535" s="37"/>
      <c r="T535" s="37" t="s">
        <v>66</v>
      </c>
      <c r="U535" s="37" t="s">
        <v>254</v>
      </c>
      <c r="V535" s="37" t="s">
        <v>88</v>
      </c>
      <c r="W535" s="37" t="s">
        <v>110</v>
      </c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</row>
    <row r="536" spans="1:37">
      <c r="A536" s="37" t="s">
        <v>112</v>
      </c>
      <c r="B536" s="37"/>
      <c r="C536" s="37"/>
      <c r="D536" s="37" t="s">
        <v>1456</v>
      </c>
      <c r="E536" s="37" t="s">
        <v>1455</v>
      </c>
      <c r="F536" s="37" t="s">
        <v>1460</v>
      </c>
      <c r="G536" s="37" t="s">
        <v>235</v>
      </c>
      <c r="H536" s="37" t="s">
        <v>1457</v>
      </c>
      <c r="I536" s="37" t="s">
        <v>191</v>
      </c>
      <c r="J536" s="37" t="s">
        <v>121</v>
      </c>
      <c r="K536" s="40" t="s">
        <v>192</v>
      </c>
      <c r="L536" s="37" t="s">
        <v>64</v>
      </c>
      <c r="M536" s="37" t="s">
        <v>1458</v>
      </c>
      <c r="N536" s="37" t="s">
        <v>1459</v>
      </c>
      <c r="O536" s="37" t="s">
        <v>1387</v>
      </c>
      <c r="P536" s="37" t="s">
        <v>123</v>
      </c>
      <c r="Q536" s="37" t="s">
        <v>14</v>
      </c>
      <c r="R536" s="37"/>
      <c r="S536" s="37"/>
      <c r="T536" s="37" t="s">
        <v>66</v>
      </c>
      <c r="U536" s="37" t="s">
        <v>109</v>
      </c>
      <c r="V536" s="37" t="s">
        <v>72</v>
      </c>
      <c r="W536" s="37" t="s">
        <v>99</v>
      </c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</row>
    <row r="537" spans="1:37">
      <c r="A537" s="37"/>
      <c r="B537" s="37"/>
      <c r="C537" s="37"/>
      <c r="D537" s="37" t="s">
        <v>2692</v>
      </c>
      <c r="E537" s="37" t="s">
        <v>4242</v>
      </c>
      <c r="F537" s="37" t="s">
        <v>4244</v>
      </c>
      <c r="G537" s="37" t="s">
        <v>2290</v>
      </c>
      <c r="H537" s="37" t="s">
        <v>812</v>
      </c>
      <c r="I537" s="37" t="s">
        <v>342</v>
      </c>
      <c r="J537" s="37" t="s">
        <v>256</v>
      </c>
      <c r="K537" s="40" t="s">
        <v>343</v>
      </c>
      <c r="L537" s="37" t="s">
        <v>64</v>
      </c>
      <c r="M537" s="37" t="s">
        <v>4243</v>
      </c>
      <c r="N537" s="37"/>
      <c r="O537" s="37" t="s">
        <v>1387</v>
      </c>
      <c r="P537" s="37" t="s">
        <v>123</v>
      </c>
      <c r="Q537" s="37" t="s">
        <v>17</v>
      </c>
      <c r="R537" s="37"/>
      <c r="S537" s="37"/>
      <c r="T537" s="37"/>
      <c r="U537" s="37"/>
      <c r="V537" s="37" t="s">
        <v>72</v>
      </c>
      <c r="W537" s="37" t="s">
        <v>195</v>
      </c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</row>
    <row r="538" spans="1:37">
      <c r="A538" s="37"/>
      <c r="B538" s="37"/>
      <c r="C538" s="37"/>
      <c r="D538" s="37" t="s">
        <v>349</v>
      </c>
      <c r="E538" s="37" t="s">
        <v>3684</v>
      </c>
      <c r="F538" s="37" t="s">
        <v>3687</v>
      </c>
      <c r="G538" s="37" t="s">
        <v>235</v>
      </c>
      <c r="H538" s="37" t="s">
        <v>3685</v>
      </c>
      <c r="I538" s="37" t="s">
        <v>191</v>
      </c>
      <c r="J538" s="37" t="s">
        <v>121</v>
      </c>
      <c r="K538" s="40" t="s">
        <v>192</v>
      </c>
      <c r="L538" s="37" t="s">
        <v>64</v>
      </c>
      <c r="M538" s="37" t="s">
        <v>3686</v>
      </c>
      <c r="N538" s="37"/>
      <c r="O538" s="37" t="s">
        <v>1387</v>
      </c>
      <c r="P538" s="37" t="s">
        <v>123</v>
      </c>
      <c r="Q538" s="37" t="s">
        <v>14</v>
      </c>
      <c r="R538" s="37"/>
      <c r="S538" s="37"/>
      <c r="T538" s="37" t="s">
        <v>69</v>
      </c>
      <c r="U538" s="37" t="s">
        <v>109</v>
      </c>
      <c r="V538" s="37" t="s">
        <v>72</v>
      </c>
      <c r="W538" s="37" t="s">
        <v>89</v>
      </c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</row>
    <row r="539" spans="1:37">
      <c r="A539" s="37"/>
      <c r="B539" s="37"/>
      <c r="C539" s="37"/>
      <c r="D539" s="37" t="s">
        <v>282</v>
      </c>
      <c r="E539" s="37" t="s">
        <v>1471</v>
      </c>
      <c r="F539" s="37" t="s">
        <v>5320</v>
      </c>
      <c r="G539" s="37" t="s">
        <v>235</v>
      </c>
      <c r="H539" s="37"/>
      <c r="I539" s="37" t="s">
        <v>191</v>
      </c>
      <c r="J539" s="37" t="s">
        <v>121</v>
      </c>
      <c r="K539" s="40" t="s">
        <v>192</v>
      </c>
      <c r="L539" s="37" t="s">
        <v>64</v>
      </c>
      <c r="M539" s="37" t="s">
        <v>5319</v>
      </c>
      <c r="N539" s="37"/>
      <c r="O539" s="37" t="s">
        <v>1387</v>
      </c>
      <c r="P539" s="37" t="s">
        <v>123</v>
      </c>
      <c r="Q539" s="37" t="s">
        <v>14</v>
      </c>
      <c r="R539" s="37"/>
      <c r="S539" s="37"/>
      <c r="T539" s="37" t="s">
        <v>66</v>
      </c>
      <c r="U539" s="37" t="s">
        <v>254</v>
      </c>
      <c r="V539" s="37" t="s">
        <v>88</v>
      </c>
      <c r="W539" s="37" t="s">
        <v>89</v>
      </c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</row>
    <row r="540" spans="1:37">
      <c r="A540" s="37"/>
      <c r="B540" s="37"/>
      <c r="C540" s="37"/>
      <c r="D540" s="37" t="s">
        <v>1495</v>
      </c>
      <c r="E540" s="37" t="s">
        <v>1471</v>
      </c>
      <c r="F540" s="37" t="s">
        <v>3984</v>
      </c>
      <c r="G540" s="37" t="s">
        <v>3982</v>
      </c>
      <c r="H540" s="37"/>
      <c r="I540" s="37" t="s">
        <v>92</v>
      </c>
      <c r="J540" s="37" t="s">
        <v>93</v>
      </c>
      <c r="K540" s="40" t="s">
        <v>738</v>
      </c>
      <c r="L540" s="37" t="s">
        <v>64</v>
      </c>
      <c r="M540" s="37" t="s">
        <v>3983</v>
      </c>
      <c r="N540" s="37"/>
      <c r="O540" s="37" t="s">
        <v>1387</v>
      </c>
      <c r="P540" s="37" t="s">
        <v>123</v>
      </c>
      <c r="Q540" s="37" t="s">
        <v>98</v>
      </c>
      <c r="R540" s="37"/>
      <c r="S540" s="37"/>
      <c r="T540" s="37"/>
      <c r="U540" s="37" t="s">
        <v>87</v>
      </c>
      <c r="V540" s="37" t="s">
        <v>88</v>
      </c>
      <c r="W540" s="37" t="s">
        <v>89</v>
      </c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</row>
    <row r="541" spans="1:37">
      <c r="A541" s="37"/>
      <c r="B541" s="37"/>
      <c r="C541" s="37"/>
      <c r="D541" s="37" t="s">
        <v>843</v>
      </c>
      <c r="E541" s="37" t="s">
        <v>1518</v>
      </c>
      <c r="F541" s="37" t="s">
        <v>5649</v>
      </c>
      <c r="G541" s="37" t="s">
        <v>736</v>
      </c>
      <c r="H541" s="37"/>
      <c r="I541" s="37" t="s">
        <v>92</v>
      </c>
      <c r="J541" s="37" t="s">
        <v>93</v>
      </c>
      <c r="K541" s="40" t="s">
        <v>738</v>
      </c>
      <c r="L541" s="37" t="s">
        <v>64</v>
      </c>
      <c r="M541" s="37" t="s">
        <v>3985</v>
      </c>
      <c r="N541" s="37"/>
      <c r="O541" s="37" t="s">
        <v>1387</v>
      </c>
      <c r="P541" s="37" t="s">
        <v>123</v>
      </c>
      <c r="Q541" s="37" t="s">
        <v>98</v>
      </c>
      <c r="R541" s="37"/>
      <c r="S541" s="37"/>
      <c r="T541" s="37" t="s">
        <v>115</v>
      </c>
      <c r="U541" s="37" t="s">
        <v>109</v>
      </c>
      <c r="V541" s="37" t="s">
        <v>72</v>
      </c>
      <c r="W541" s="37" t="s">
        <v>110</v>
      </c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</row>
    <row r="542" spans="1:37">
      <c r="A542" s="37"/>
      <c r="B542" s="37"/>
      <c r="C542" s="37"/>
      <c r="D542" s="37" t="s">
        <v>360</v>
      </c>
      <c r="E542" s="37" t="s">
        <v>1528</v>
      </c>
      <c r="F542" s="37" t="s">
        <v>1530</v>
      </c>
      <c r="G542" s="37" t="s">
        <v>235</v>
      </c>
      <c r="H542" s="37" t="s">
        <v>2441</v>
      </c>
      <c r="I542" s="37" t="s">
        <v>191</v>
      </c>
      <c r="J542" s="37" t="s">
        <v>121</v>
      </c>
      <c r="K542" s="40" t="s">
        <v>192</v>
      </c>
      <c r="L542" s="37" t="s">
        <v>64</v>
      </c>
      <c r="M542" s="37" t="s">
        <v>1529</v>
      </c>
      <c r="N542" s="37"/>
      <c r="O542" s="37" t="s">
        <v>1387</v>
      </c>
      <c r="P542" s="37" t="s">
        <v>123</v>
      </c>
      <c r="Q542" s="37" t="s">
        <v>14</v>
      </c>
      <c r="R542" s="37"/>
      <c r="S542" s="37"/>
      <c r="T542" s="37"/>
      <c r="U542" s="37"/>
      <c r="V542" s="37" t="s">
        <v>72</v>
      </c>
      <c r="W542" s="37" t="s">
        <v>261</v>
      </c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</row>
    <row r="543" spans="1:37">
      <c r="A543" s="37"/>
      <c r="B543" s="37"/>
      <c r="C543" s="37"/>
      <c r="D543" s="37" t="s">
        <v>523</v>
      </c>
      <c r="E543" s="37" t="s">
        <v>1535</v>
      </c>
      <c r="F543" s="37" t="s">
        <v>1537</v>
      </c>
      <c r="G543" s="37" t="s">
        <v>352</v>
      </c>
      <c r="H543" s="37"/>
      <c r="I543" s="37" t="s">
        <v>354</v>
      </c>
      <c r="J543" s="37" t="s">
        <v>75</v>
      </c>
      <c r="K543" s="40" t="s">
        <v>355</v>
      </c>
      <c r="L543" s="37" t="s">
        <v>64</v>
      </c>
      <c r="M543" s="37" t="s">
        <v>1536</v>
      </c>
      <c r="N543" s="37"/>
      <c r="O543" s="37" t="s">
        <v>1387</v>
      </c>
      <c r="P543" s="37" t="s">
        <v>123</v>
      </c>
      <c r="Q543" s="37" t="s">
        <v>10</v>
      </c>
      <c r="R543" s="37"/>
      <c r="S543" s="37"/>
      <c r="T543" s="37" t="s">
        <v>66</v>
      </c>
      <c r="U543" s="37" t="s">
        <v>254</v>
      </c>
      <c r="V543" s="37" t="s">
        <v>77</v>
      </c>
      <c r="W543" s="37" t="s">
        <v>110</v>
      </c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</row>
    <row r="544" spans="1:37">
      <c r="A544" s="37"/>
      <c r="B544" s="37"/>
      <c r="C544" s="37"/>
      <c r="D544" s="37" t="s">
        <v>1709</v>
      </c>
      <c r="E544" s="37" t="s">
        <v>1535</v>
      </c>
      <c r="F544" s="37" t="s">
        <v>4663</v>
      </c>
      <c r="G544" s="37" t="s">
        <v>4659</v>
      </c>
      <c r="H544" s="37" t="s">
        <v>4660</v>
      </c>
      <c r="I544" s="37" t="s">
        <v>420</v>
      </c>
      <c r="J544" s="37" t="s">
        <v>75</v>
      </c>
      <c r="K544" s="40" t="s">
        <v>451</v>
      </c>
      <c r="L544" s="37" t="s">
        <v>64</v>
      </c>
      <c r="M544" s="37" t="s">
        <v>4661</v>
      </c>
      <c r="N544" s="37" t="s">
        <v>4662</v>
      </c>
      <c r="O544" s="37" t="s">
        <v>1387</v>
      </c>
      <c r="P544" s="37" t="s">
        <v>123</v>
      </c>
      <c r="Q544" s="37" t="s">
        <v>10</v>
      </c>
      <c r="R544" s="37"/>
      <c r="S544" s="37"/>
      <c r="T544" s="37" t="s">
        <v>158</v>
      </c>
      <c r="U544" s="37" t="s">
        <v>87</v>
      </c>
      <c r="V544" s="37" t="s">
        <v>72</v>
      </c>
      <c r="W544" s="37" t="s">
        <v>69</v>
      </c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</row>
    <row r="545" spans="1:37">
      <c r="A545" s="37"/>
      <c r="B545" s="37"/>
      <c r="C545" s="37"/>
      <c r="D545" s="37" t="s">
        <v>62</v>
      </c>
      <c r="E545" s="37" t="s">
        <v>1548</v>
      </c>
      <c r="F545" s="37" t="s">
        <v>1550</v>
      </c>
      <c r="G545" s="37" t="s">
        <v>235</v>
      </c>
      <c r="H545" s="37"/>
      <c r="I545" s="37" t="s">
        <v>191</v>
      </c>
      <c r="J545" s="37" t="s">
        <v>121</v>
      </c>
      <c r="K545" s="40" t="s">
        <v>192</v>
      </c>
      <c r="L545" s="37" t="s">
        <v>64</v>
      </c>
      <c r="M545" s="37" t="s">
        <v>1549</v>
      </c>
      <c r="N545" s="37"/>
      <c r="O545" s="37" t="s">
        <v>1387</v>
      </c>
      <c r="P545" s="37" t="s">
        <v>123</v>
      </c>
      <c r="Q545" s="37" t="s">
        <v>14</v>
      </c>
      <c r="R545" s="37"/>
      <c r="S545" s="37"/>
      <c r="T545" s="37"/>
      <c r="U545" s="37"/>
      <c r="V545" s="37" t="s">
        <v>72</v>
      </c>
      <c r="W545" s="37" t="s">
        <v>69</v>
      </c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</row>
    <row r="546" spans="1:37">
      <c r="A546" s="37"/>
      <c r="B546" s="37"/>
      <c r="C546" s="37"/>
      <c r="D546" s="37" t="s">
        <v>646</v>
      </c>
      <c r="E546" s="37" t="s">
        <v>1556</v>
      </c>
      <c r="F546" s="37" t="s">
        <v>1560</v>
      </c>
      <c r="G546" s="37" t="s">
        <v>1557</v>
      </c>
      <c r="H546" s="37"/>
      <c r="I546" s="37" t="s">
        <v>92</v>
      </c>
      <c r="J546" s="37" t="s">
        <v>93</v>
      </c>
      <c r="K546" s="40" t="s">
        <v>1558</v>
      </c>
      <c r="L546" s="37" t="s">
        <v>64</v>
      </c>
      <c r="M546" s="37" t="s">
        <v>1559</v>
      </c>
      <c r="N546" s="37"/>
      <c r="O546" s="37" t="s">
        <v>1387</v>
      </c>
      <c r="P546" s="37" t="s">
        <v>123</v>
      </c>
      <c r="Q546" s="37" t="s">
        <v>98</v>
      </c>
      <c r="R546" s="37"/>
      <c r="S546" s="37"/>
      <c r="T546" s="37"/>
      <c r="U546" s="37"/>
      <c r="V546" s="37" t="s">
        <v>72</v>
      </c>
      <c r="W546" s="37" t="s">
        <v>69</v>
      </c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</row>
    <row r="547" spans="1:37">
      <c r="A547" s="37" t="s">
        <v>250</v>
      </c>
      <c r="B547" s="37"/>
      <c r="C547" s="37"/>
      <c r="D547" s="37" t="s">
        <v>524</v>
      </c>
      <c r="E547" s="37" t="s">
        <v>1575</v>
      </c>
      <c r="F547" s="37" t="s">
        <v>1581</v>
      </c>
      <c r="G547" s="37" t="s">
        <v>1576</v>
      </c>
      <c r="H547" s="37"/>
      <c r="I547" s="37" t="s">
        <v>1577</v>
      </c>
      <c r="J547" s="37" t="s">
        <v>425</v>
      </c>
      <c r="K547" s="40" t="s">
        <v>1578</v>
      </c>
      <c r="L547" s="37" t="s">
        <v>64</v>
      </c>
      <c r="M547" s="37" t="s">
        <v>1579</v>
      </c>
      <c r="N547" s="37" t="s">
        <v>1580</v>
      </c>
      <c r="O547" s="37" t="s">
        <v>1387</v>
      </c>
      <c r="P547" s="37" t="s">
        <v>123</v>
      </c>
      <c r="Q547" s="37" t="s">
        <v>98</v>
      </c>
      <c r="R547" s="37"/>
      <c r="S547" s="37"/>
      <c r="T547" s="37" t="s">
        <v>115</v>
      </c>
      <c r="U547" s="37" t="s">
        <v>87</v>
      </c>
      <c r="V547" s="37" t="s">
        <v>72</v>
      </c>
      <c r="W547" s="37" t="s">
        <v>195</v>
      </c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</row>
    <row r="548" spans="1:37">
      <c r="A548" s="37"/>
      <c r="B548" s="37"/>
      <c r="C548" s="37"/>
      <c r="D548" s="37" t="s">
        <v>5282</v>
      </c>
      <c r="E548" s="37" t="s">
        <v>5283</v>
      </c>
      <c r="F548" s="37" t="s">
        <v>5286</v>
      </c>
      <c r="G548" s="37" t="s">
        <v>2299</v>
      </c>
      <c r="H548" s="37" t="s">
        <v>5284</v>
      </c>
      <c r="I548" s="37" t="s">
        <v>342</v>
      </c>
      <c r="J548" s="37" t="s">
        <v>256</v>
      </c>
      <c r="K548" s="40" t="s">
        <v>343</v>
      </c>
      <c r="L548" s="37" t="s">
        <v>64</v>
      </c>
      <c r="M548" s="37" t="s">
        <v>5285</v>
      </c>
      <c r="N548" s="37"/>
      <c r="O548" s="37" t="s">
        <v>1387</v>
      </c>
      <c r="P548" s="37" t="s">
        <v>123</v>
      </c>
      <c r="Q548" s="37" t="s">
        <v>17</v>
      </c>
      <c r="R548" s="37"/>
      <c r="S548" s="37"/>
      <c r="T548" s="37"/>
      <c r="U548" s="37"/>
      <c r="V548" s="37" t="s">
        <v>77</v>
      </c>
      <c r="W548" s="37" t="s">
        <v>195</v>
      </c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</row>
    <row r="549" spans="1:37">
      <c r="A549" s="37" t="s">
        <v>3409</v>
      </c>
      <c r="B549" s="37"/>
      <c r="C549" s="37"/>
      <c r="D549" s="37" t="s">
        <v>649</v>
      </c>
      <c r="E549" s="37" t="s">
        <v>1616</v>
      </c>
      <c r="F549" s="37" t="s">
        <v>3927</v>
      </c>
      <c r="G549" s="37" t="s">
        <v>352</v>
      </c>
      <c r="H549" s="37" t="s">
        <v>3410</v>
      </c>
      <c r="I549" s="37" t="s">
        <v>354</v>
      </c>
      <c r="J549" s="37" t="s">
        <v>75</v>
      </c>
      <c r="K549" s="40" t="s">
        <v>355</v>
      </c>
      <c r="L549" s="37" t="s">
        <v>64</v>
      </c>
      <c r="M549" s="37" t="s">
        <v>3411</v>
      </c>
      <c r="N549" s="37"/>
      <c r="O549" s="37" t="s">
        <v>1387</v>
      </c>
      <c r="P549" s="37" t="s">
        <v>513</v>
      </c>
      <c r="Q549" s="37" t="s">
        <v>10</v>
      </c>
      <c r="R549" s="37"/>
      <c r="S549" s="37"/>
      <c r="T549" s="37" t="s">
        <v>158</v>
      </c>
      <c r="U549" s="37" t="s">
        <v>87</v>
      </c>
      <c r="V549" s="37" t="s">
        <v>72</v>
      </c>
      <c r="W549" s="37" t="s">
        <v>195</v>
      </c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</row>
    <row r="550" spans="1:37">
      <c r="A550" s="37"/>
      <c r="B550" s="37"/>
      <c r="C550" s="37"/>
      <c r="D550" s="37" t="s">
        <v>4641</v>
      </c>
      <c r="E550" s="37" t="s">
        <v>1647</v>
      </c>
      <c r="F550" s="37" t="s">
        <v>4647</v>
      </c>
      <c r="G550" s="37" t="s">
        <v>4642</v>
      </c>
      <c r="H550" s="37" t="s">
        <v>4643</v>
      </c>
      <c r="I550" s="37" t="s">
        <v>4644</v>
      </c>
      <c r="J550" s="37" t="s">
        <v>121</v>
      </c>
      <c r="K550" s="40" t="s">
        <v>4645</v>
      </c>
      <c r="L550" s="37" t="s">
        <v>64</v>
      </c>
      <c r="M550" s="37" t="s">
        <v>4646</v>
      </c>
      <c r="N550" s="37"/>
      <c r="O550" s="37" t="s">
        <v>1387</v>
      </c>
      <c r="P550" s="37" t="s">
        <v>123</v>
      </c>
      <c r="Q550" s="37" t="s">
        <v>14</v>
      </c>
      <c r="R550" s="37"/>
      <c r="S550" s="37"/>
      <c r="T550" s="37" t="s">
        <v>69</v>
      </c>
      <c r="U550" s="37"/>
      <c r="V550" s="37" t="s">
        <v>72</v>
      </c>
      <c r="W550" s="37" t="s">
        <v>195</v>
      </c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</row>
    <row r="551" spans="1:37">
      <c r="A551" s="37"/>
      <c r="B551" s="37"/>
      <c r="C551" s="37"/>
      <c r="D551" s="37" t="s">
        <v>649</v>
      </c>
      <c r="E551" s="37" t="s">
        <v>1647</v>
      </c>
      <c r="F551" s="37" t="s">
        <v>3949</v>
      </c>
      <c r="G551" s="37" t="s">
        <v>235</v>
      </c>
      <c r="H551" s="37"/>
      <c r="I551" s="37" t="s">
        <v>191</v>
      </c>
      <c r="J551" s="37" t="s">
        <v>121</v>
      </c>
      <c r="K551" s="40" t="s">
        <v>192</v>
      </c>
      <c r="L551" s="37" t="s">
        <v>64</v>
      </c>
      <c r="M551" s="37" t="s">
        <v>3948</v>
      </c>
      <c r="N551" s="37"/>
      <c r="O551" s="37" t="s">
        <v>1387</v>
      </c>
      <c r="P551" s="37" t="s">
        <v>123</v>
      </c>
      <c r="Q551" s="37" t="s">
        <v>14</v>
      </c>
      <c r="R551" s="37"/>
      <c r="S551" s="37"/>
      <c r="T551" s="37" t="s">
        <v>66</v>
      </c>
      <c r="U551" s="37" t="s">
        <v>109</v>
      </c>
      <c r="V551" s="37" t="s">
        <v>72</v>
      </c>
      <c r="W551" s="37" t="s">
        <v>195</v>
      </c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</row>
    <row r="552" spans="1:37">
      <c r="A552" s="37"/>
      <c r="B552" s="37"/>
      <c r="C552" s="37"/>
      <c r="D552" s="37" t="s">
        <v>1538</v>
      </c>
      <c r="E552" s="37" t="s">
        <v>1647</v>
      </c>
      <c r="F552" s="37" t="s">
        <v>3663</v>
      </c>
      <c r="G552" s="37" t="s">
        <v>1525</v>
      </c>
      <c r="H552" s="37" t="s">
        <v>3661</v>
      </c>
      <c r="I552" s="37" t="s">
        <v>342</v>
      </c>
      <c r="J552" s="37" t="s">
        <v>256</v>
      </c>
      <c r="K552" s="40" t="s">
        <v>343</v>
      </c>
      <c r="L552" s="37" t="s">
        <v>64</v>
      </c>
      <c r="M552" s="37" t="s">
        <v>3662</v>
      </c>
      <c r="N552" s="37"/>
      <c r="O552" s="37" t="s">
        <v>1387</v>
      </c>
      <c r="P552" s="37" t="s">
        <v>123</v>
      </c>
      <c r="Q552" s="37" t="s">
        <v>17</v>
      </c>
      <c r="R552" s="37"/>
      <c r="S552" s="37"/>
      <c r="T552" s="37"/>
      <c r="U552" s="37" t="s">
        <v>87</v>
      </c>
      <c r="V552" s="37" t="s">
        <v>72</v>
      </c>
      <c r="W552" s="37" t="s">
        <v>195</v>
      </c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</row>
    <row r="553" spans="1:37">
      <c r="A553" s="37"/>
      <c r="B553" s="37"/>
      <c r="C553" s="37"/>
      <c r="D553" s="37" t="s">
        <v>578</v>
      </c>
      <c r="E553" s="37" t="s">
        <v>2763</v>
      </c>
      <c r="F553" s="37" t="s">
        <v>2765</v>
      </c>
      <c r="G553" s="37" t="s">
        <v>119</v>
      </c>
      <c r="H553" s="37"/>
      <c r="I553" s="37" t="s">
        <v>120</v>
      </c>
      <c r="J553" s="37" t="s">
        <v>121</v>
      </c>
      <c r="K553" s="40" t="s">
        <v>122</v>
      </c>
      <c r="L553" s="37" t="s">
        <v>64</v>
      </c>
      <c r="M553" s="37" t="s">
        <v>2764</v>
      </c>
      <c r="N553" s="37"/>
      <c r="O553" s="37" t="s">
        <v>1387</v>
      </c>
      <c r="P553" s="37" t="s">
        <v>123</v>
      </c>
      <c r="Q553" s="37" t="s">
        <v>14</v>
      </c>
      <c r="R553" s="37"/>
      <c r="S553" s="37"/>
      <c r="T553" s="37" t="s">
        <v>69</v>
      </c>
      <c r="U553" s="37" t="s">
        <v>87</v>
      </c>
      <c r="V553" s="37" t="s">
        <v>88</v>
      </c>
      <c r="W553" s="37" t="s">
        <v>89</v>
      </c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</row>
    <row r="554" spans="1:37">
      <c r="A554" s="37"/>
      <c r="B554" s="37"/>
      <c r="C554" s="37"/>
      <c r="D554" s="37" t="s">
        <v>6137</v>
      </c>
      <c r="E554" s="37" t="s">
        <v>6138</v>
      </c>
      <c r="F554" s="37" t="s">
        <v>6139</v>
      </c>
      <c r="G554" s="37" t="s">
        <v>6140</v>
      </c>
      <c r="H554" s="37"/>
      <c r="I554" s="37" t="s">
        <v>6141</v>
      </c>
      <c r="J554" s="37" t="s">
        <v>83</v>
      </c>
      <c r="K554" s="40" t="s">
        <v>6142</v>
      </c>
      <c r="L554" s="37" t="s">
        <v>64</v>
      </c>
      <c r="M554" s="37" t="s">
        <v>6143</v>
      </c>
      <c r="N554" s="37"/>
      <c r="O554" s="37" t="s">
        <v>1387</v>
      </c>
      <c r="P554" s="37" t="s">
        <v>221</v>
      </c>
      <c r="Q554" s="37" t="s">
        <v>14</v>
      </c>
      <c r="R554" s="37"/>
      <c r="S554" s="37"/>
      <c r="T554" s="37" t="s">
        <v>66</v>
      </c>
      <c r="U554" s="37"/>
      <c r="V554" s="37" t="s">
        <v>88</v>
      </c>
      <c r="W554" s="37" t="s">
        <v>204</v>
      </c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</row>
    <row r="555" spans="1:37">
      <c r="A555" s="37"/>
      <c r="B555" s="37"/>
      <c r="C555" s="37"/>
      <c r="D555" s="37" t="s">
        <v>1699</v>
      </c>
      <c r="E555" s="37" t="s">
        <v>1700</v>
      </c>
      <c r="F555" s="37" t="s">
        <v>1702</v>
      </c>
      <c r="G555" s="37" t="s">
        <v>757</v>
      </c>
      <c r="H555" s="37"/>
      <c r="I555" s="37" t="s">
        <v>560</v>
      </c>
      <c r="J555" s="37" t="s">
        <v>200</v>
      </c>
      <c r="K555" s="40" t="s">
        <v>758</v>
      </c>
      <c r="L555" s="37" t="s">
        <v>64</v>
      </c>
      <c r="M555" s="37" t="s">
        <v>1701</v>
      </c>
      <c r="N555" s="37"/>
      <c r="O555" s="37" t="s">
        <v>1387</v>
      </c>
      <c r="P555" s="37" t="s">
        <v>123</v>
      </c>
      <c r="Q555" s="37" t="s">
        <v>18</v>
      </c>
      <c r="R555" s="37"/>
      <c r="S555" s="37"/>
      <c r="T555" s="37"/>
      <c r="U555" s="37" t="s">
        <v>254</v>
      </c>
      <c r="V555" s="37" t="s">
        <v>72</v>
      </c>
      <c r="W555" s="37" t="s">
        <v>69</v>
      </c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</row>
    <row r="556" spans="1:37">
      <c r="A556" s="37"/>
      <c r="B556" s="37"/>
      <c r="C556" s="37"/>
      <c r="D556" s="37" t="s">
        <v>216</v>
      </c>
      <c r="E556" s="37" t="s">
        <v>1706</v>
      </c>
      <c r="F556" s="37" t="s">
        <v>1708</v>
      </c>
      <c r="G556" s="37" t="s">
        <v>617</v>
      </c>
      <c r="H556" s="37"/>
      <c r="I556" s="37" t="s">
        <v>191</v>
      </c>
      <c r="J556" s="37" t="s">
        <v>121</v>
      </c>
      <c r="K556" s="40" t="s">
        <v>192</v>
      </c>
      <c r="L556" s="37" t="s">
        <v>64</v>
      </c>
      <c r="M556" s="37" t="s">
        <v>1707</v>
      </c>
      <c r="N556" s="37"/>
      <c r="O556" s="37" t="s">
        <v>1387</v>
      </c>
      <c r="P556" s="37" t="s">
        <v>123</v>
      </c>
      <c r="Q556" s="37" t="s">
        <v>14</v>
      </c>
      <c r="R556" s="37"/>
      <c r="S556" s="37"/>
      <c r="T556" s="37"/>
      <c r="U556" s="37"/>
      <c r="V556" s="37" t="s">
        <v>72</v>
      </c>
      <c r="W556" s="37" t="s">
        <v>110</v>
      </c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</row>
    <row r="557" spans="1:37">
      <c r="A557" s="37"/>
      <c r="B557" s="37"/>
      <c r="C557" s="37"/>
      <c r="D557" s="37" t="s">
        <v>1714</v>
      </c>
      <c r="E557" s="37" t="s">
        <v>1713</v>
      </c>
      <c r="F557" s="37" t="s">
        <v>1716</v>
      </c>
      <c r="G557" s="37" t="s">
        <v>235</v>
      </c>
      <c r="H557" s="37"/>
      <c r="I557" s="37" t="s">
        <v>191</v>
      </c>
      <c r="J557" s="37" t="s">
        <v>121</v>
      </c>
      <c r="K557" s="40" t="s">
        <v>192</v>
      </c>
      <c r="L557" s="37" t="s">
        <v>64</v>
      </c>
      <c r="M557" s="37" t="s">
        <v>1715</v>
      </c>
      <c r="N557" s="37"/>
      <c r="O557" s="37" t="s">
        <v>1387</v>
      </c>
      <c r="P557" s="37" t="s">
        <v>123</v>
      </c>
      <c r="Q557" s="37" t="s">
        <v>14</v>
      </c>
      <c r="R557" s="37"/>
      <c r="S557" s="37"/>
      <c r="T557" s="37"/>
      <c r="U557" s="37"/>
      <c r="V557" s="37" t="s">
        <v>72</v>
      </c>
      <c r="W557" s="37" t="s">
        <v>69</v>
      </c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</row>
    <row r="558" spans="1:37">
      <c r="A558" s="37"/>
      <c r="B558" s="37"/>
      <c r="C558" s="37"/>
      <c r="D558" s="37" t="s">
        <v>1717</v>
      </c>
      <c r="E558" s="37" t="s">
        <v>1718</v>
      </c>
      <c r="F558" s="37" t="s">
        <v>1721</v>
      </c>
      <c r="G558" s="37" t="s">
        <v>318</v>
      </c>
      <c r="H558" s="37" t="s">
        <v>1719</v>
      </c>
      <c r="I558" s="37" t="s">
        <v>319</v>
      </c>
      <c r="J558" s="37" t="s">
        <v>320</v>
      </c>
      <c r="K558" s="40" t="s">
        <v>321</v>
      </c>
      <c r="L558" s="37" t="s">
        <v>64</v>
      </c>
      <c r="M558" s="37" t="s">
        <v>1720</v>
      </c>
      <c r="N558" s="37"/>
      <c r="O558" s="37" t="s">
        <v>1387</v>
      </c>
      <c r="P558" s="37" t="s">
        <v>123</v>
      </c>
      <c r="Q558" s="37" t="s">
        <v>4</v>
      </c>
      <c r="R558" s="37"/>
      <c r="S558" s="37"/>
      <c r="T558" s="37"/>
      <c r="U558" s="37"/>
      <c r="V558" s="37" t="s">
        <v>77</v>
      </c>
      <c r="W558" s="37" t="s">
        <v>73</v>
      </c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</row>
    <row r="559" spans="1:37">
      <c r="A559" s="37"/>
      <c r="B559" s="37"/>
      <c r="C559" s="37"/>
      <c r="D559" s="37" t="s">
        <v>272</v>
      </c>
      <c r="E559" s="37" t="s">
        <v>1730</v>
      </c>
      <c r="F559" s="37" t="s">
        <v>1747</v>
      </c>
      <c r="G559" s="37" t="s">
        <v>1744</v>
      </c>
      <c r="H559" s="37" t="s">
        <v>1745</v>
      </c>
      <c r="I559" s="37" t="s">
        <v>265</v>
      </c>
      <c r="J559" s="37" t="s">
        <v>75</v>
      </c>
      <c r="K559" s="40" t="s">
        <v>1079</v>
      </c>
      <c r="L559" s="37" t="s">
        <v>64</v>
      </c>
      <c r="M559" s="37" t="s">
        <v>1746</v>
      </c>
      <c r="N559" s="37"/>
      <c r="O559" s="37" t="s">
        <v>1387</v>
      </c>
      <c r="P559" s="37" t="s">
        <v>123</v>
      </c>
      <c r="Q559" s="37" t="s">
        <v>10</v>
      </c>
      <c r="R559" s="37"/>
      <c r="S559" s="37"/>
      <c r="T559" s="37" t="s">
        <v>158</v>
      </c>
      <c r="U559" s="37" t="s">
        <v>87</v>
      </c>
      <c r="V559" s="37" t="s">
        <v>72</v>
      </c>
      <c r="W559" s="37" t="s">
        <v>195</v>
      </c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</row>
    <row r="560" spans="1:37">
      <c r="A560" s="37" t="s">
        <v>5302</v>
      </c>
      <c r="B560" s="37"/>
      <c r="C560" s="37"/>
      <c r="D560" s="37" t="s">
        <v>117</v>
      </c>
      <c r="E560" s="37" t="s">
        <v>5303</v>
      </c>
      <c r="F560" s="37" t="s">
        <v>5309</v>
      </c>
      <c r="G560" s="37" t="s">
        <v>5304</v>
      </c>
      <c r="H560" s="37"/>
      <c r="I560" s="37" t="s">
        <v>5305</v>
      </c>
      <c r="J560" s="37" t="s">
        <v>70</v>
      </c>
      <c r="K560" s="40" t="s">
        <v>5306</v>
      </c>
      <c r="L560" s="37" t="s">
        <v>64</v>
      </c>
      <c r="M560" s="37" t="s">
        <v>5307</v>
      </c>
      <c r="N560" s="37" t="s">
        <v>5308</v>
      </c>
      <c r="O560" s="37" t="s">
        <v>1387</v>
      </c>
      <c r="P560" s="37" t="s">
        <v>123</v>
      </c>
      <c r="Q560" s="37" t="s">
        <v>71</v>
      </c>
      <c r="R560" s="37"/>
      <c r="S560" s="37"/>
      <c r="T560" s="37" t="s">
        <v>69</v>
      </c>
      <c r="U560" s="37" t="s">
        <v>145</v>
      </c>
      <c r="V560" s="37" t="s">
        <v>72</v>
      </c>
      <c r="W560" s="37" t="s">
        <v>69</v>
      </c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</row>
    <row r="561" spans="1:37">
      <c r="A561" s="37"/>
      <c r="B561" s="37"/>
      <c r="C561" s="37"/>
      <c r="D561" s="37" t="s">
        <v>3960</v>
      </c>
      <c r="E561" s="37" t="s">
        <v>1752</v>
      </c>
      <c r="F561" s="37" t="s">
        <v>1755</v>
      </c>
      <c r="G561" s="37" t="s">
        <v>119</v>
      </c>
      <c r="H561" s="37"/>
      <c r="I561" s="37" t="s">
        <v>120</v>
      </c>
      <c r="J561" s="37" t="s">
        <v>121</v>
      </c>
      <c r="K561" s="40" t="s">
        <v>122</v>
      </c>
      <c r="L561" s="37" t="s">
        <v>64</v>
      </c>
      <c r="M561" s="37" t="s">
        <v>1753</v>
      </c>
      <c r="N561" s="37" t="s">
        <v>1754</v>
      </c>
      <c r="O561" s="37" t="s">
        <v>1387</v>
      </c>
      <c r="P561" s="37" t="s">
        <v>123</v>
      </c>
      <c r="Q561" s="37" t="s">
        <v>14</v>
      </c>
      <c r="R561" s="37"/>
      <c r="S561" s="37"/>
      <c r="T561" s="37" t="s">
        <v>66</v>
      </c>
      <c r="U561" s="37" t="s">
        <v>254</v>
      </c>
      <c r="V561" s="37" t="s">
        <v>88</v>
      </c>
      <c r="W561" s="37" t="s">
        <v>89</v>
      </c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</row>
    <row r="562" spans="1:37">
      <c r="A562" s="37"/>
      <c r="B562" s="37"/>
      <c r="C562" s="37"/>
      <c r="D562" s="37" t="s">
        <v>1372</v>
      </c>
      <c r="E562" s="37" t="s">
        <v>3387</v>
      </c>
      <c r="F562" s="37" t="s">
        <v>3389</v>
      </c>
      <c r="G562" s="37" t="s">
        <v>235</v>
      </c>
      <c r="H562" s="37" t="s">
        <v>1030</v>
      </c>
      <c r="I562" s="37" t="s">
        <v>191</v>
      </c>
      <c r="J562" s="37" t="s">
        <v>121</v>
      </c>
      <c r="K562" s="40" t="s">
        <v>192</v>
      </c>
      <c r="L562" s="37" t="s">
        <v>64</v>
      </c>
      <c r="M562" s="37" t="s">
        <v>3388</v>
      </c>
      <c r="N562" s="37"/>
      <c r="O562" s="37" t="s">
        <v>1387</v>
      </c>
      <c r="P562" s="37" t="s">
        <v>123</v>
      </c>
      <c r="Q562" s="37" t="s">
        <v>14</v>
      </c>
      <c r="R562" s="37"/>
      <c r="S562" s="37"/>
      <c r="T562" s="37"/>
      <c r="U562" s="37"/>
      <c r="V562" s="37" t="s">
        <v>72</v>
      </c>
      <c r="W562" s="37" t="s">
        <v>73</v>
      </c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</row>
    <row r="563" spans="1:37">
      <c r="A563" s="37"/>
      <c r="B563" s="37"/>
      <c r="C563" s="37"/>
      <c r="D563" s="37" t="s">
        <v>3961</v>
      </c>
      <c r="E563" s="37" t="s">
        <v>3962</v>
      </c>
      <c r="F563" s="37" t="s">
        <v>3964</v>
      </c>
      <c r="G563" s="37" t="s">
        <v>1304</v>
      </c>
      <c r="H563" s="37" t="s">
        <v>1437</v>
      </c>
      <c r="I563" s="37" t="s">
        <v>92</v>
      </c>
      <c r="J563" s="37" t="s">
        <v>93</v>
      </c>
      <c r="K563" s="40" t="s">
        <v>329</v>
      </c>
      <c r="L563" s="37" t="s">
        <v>64</v>
      </c>
      <c r="M563" s="37" t="s">
        <v>3963</v>
      </c>
      <c r="N563" s="37"/>
      <c r="O563" s="37" t="s">
        <v>1387</v>
      </c>
      <c r="P563" s="37" t="s">
        <v>123</v>
      </c>
      <c r="Q563" s="37" t="s">
        <v>98</v>
      </c>
      <c r="R563" s="37"/>
      <c r="S563" s="37"/>
      <c r="T563" s="37" t="s">
        <v>69</v>
      </c>
      <c r="U563" s="37"/>
      <c r="V563" s="37" t="s">
        <v>72</v>
      </c>
      <c r="W563" s="37" t="s">
        <v>89</v>
      </c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</row>
    <row r="564" spans="1:37">
      <c r="A564" s="37"/>
      <c r="B564" s="37"/>
      <c r="C564" s="37"/>
      <c r="D564" s="37" t="s">
        <v>3688</v>
      </c>
      <c r="E564" s="37" t="s">
        <v>4176</v>
      </c>
      <c r="F564" s="37" t="s">
        <v>4179</v>
      </c>
      <c r="G564" s="37" t="s">
        <v>2828</v>
      </c>
      <c r="H564" s="37" t="s">
        <v>4177</v>
      </c>
      <c r="I564" s="37" t="s">
        <v>82</v>
      </c>
      <c r="J564" s="37" t="s">
        <v>83</v>
      </c>
      <c r="K564" s="40" t="s">
        <v>220</v>
      </c>
      <c r="L564" s="37" t="s">
        <v>64</v>
      </c>
      <c r="M564" s="37" t="s">
        <v>4178</v>
      </c>
      <c r="N564" s="37"/>
      <c r="O564" s="37" t="s">
        <v>1387</v>
      </c>
      <c r="P564" s="37" t="s">
        <v>513</v>
      </c>
      <c r="Q564" s="37" t="s">
        <v>14</v>
      </c>
      <c r="R564" s="37"/>
      <c r="S564" s="37"/>
      <c r="T564" s="37" t="s">
        <v>69</v>
      </c>
      <c r="U564" s="37"/>
      <c r="V564" s="37" t="s">
        <v>72</v>
      </c>
      <c r="W564" s="37" t="s">
        <v>348</v>
      </c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</row>
    <row r="565" spans="1:37">
      <c r="A565" s="37"/>
      <c r="B565" s="37"/>
      <c r="C565" s="37"/>
      <c r="D565" s="37" t="s">
        <v>286</v>
      </c>
      <c r="E565" s="37" t="s">
        <v>5310</v>
      </c>
      <c r="F565" s="37" t="s">
        <v>5312</v>
      </c>
      <c r="G565" s="37" t="s">
        <v>3616</v>
      </c>
      <c r="H565" s="37" t="s">
        <v>1857</v>
      </c>
      <c r="I565" s="37" t="s">
        <v>193</v>
      </c>
      <c r="J565" s="37" t="s">
        <v>153</v>
      </c>
      <c r="K565" s="40" t="s">
        <v>194</v>
      </c>
      <c r="L565" s="37" t="s">
        <v>64</v>
      </c>
      <c r="M565" s="37" t="s">
        <v>5311</v>
      </c>
      <c r="N565" s="37"/>
      <c r="O565" s="37" t="s">
        <v>1387</v>
      </c>
      <c r="P565" s="37" t="s">
        <v>123</v>
      </c>
      <c r="Q565" s="37" t="s">
        <v>16</v>
      </c>
      <c r="R565" s="37"/>
      <c r="S565" s="37"/>
      <c r="T565" s="37" t="s">
        <v>144</v>
      </c>
      <c r="U565" s="37" t="s">
        <v>109</v>
      </c>
      <c r="V565" s="37" t="s">
        <v>72</v>
      </c>
      <c r="W565" s="37" t="s">
        <v>78</v>
      </c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</row>
    <row r="566" spans="1:37">
      <c r="A566" s="37"/>
      <c r="B566" s="37"/>
      <c r="C566" s="37"/>
      <c r="D566" s="37" t="s">
        <v>1772</v>
      </c>
      <c r="E566" s="37" t="s">
        <v>1773</v>
      </c>
      <c r="F566" s="37" t="s">
        <v>1778</v>
      </c>
      <c r="G566" s="37" t="s">
        <v>1774</v>
      </c>
      <c r="H566" s="37" t="s">
        <v>1775</v>
      </c>
      <c r="I566" s="37" t="s">
        <v>560</v>
      </c>
      <c r="J566" s="37" t="s">
        <v>200</v>
      </c>
      <c r="K566" s="40" t="s">
        <v>1776</v>
      </c>
      <c r="L566" s="37" t="s">
        <v>64</v>
      </c>
      <c r="M566" s="37" t="s">
        <v>1777</v>
      </c>
      <c r="N566" s="37"/>
      <c r="O566" s="37" t="s">
        <v>1387</v>
      </c>
      <c r="P566" s="37" t="s">
        <v>123</v>
      </c>
      <c r="Q566" s="37" t="s">
        <v>18</v>
      </c>
      <c r="R566" s="37"/>
      <c r="S566" s="37"/>
      <c r="T566" s="37" t="s">
        <v>69</v>
      </c>
      <c r="U566" s="37"/>
      <c r="V566" s="37" t="s">
        <v>72</v>
      </c>
      <c r="W566" s="37" t="s">
        <v>110</v>
      </c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</row>
    <row r="567" spans="1:37">
      <c r="A567" s="37"/>
      <c r="B567" s="37"/>
      <c r="C567" s="37"/>
      <c r="D567" s="37" t="s">
        <v>4357</v>
      </c>
      <c r="E567" s="37" t="s">
        <v>5250</v>
      </c>
      <c r="F567" s="37" t="s">
        <v>5252</v>
      </c>
      <c r="G567" s="37" t="s">
        <v>534</v>
      </c>
      <c r="H567" s="37" t="s">
        <v>1857</v>
      </c>
      <c r="I567" s="37" t="s">
        <v>193</v>
      </c>
      <c r="J567" s="37" t="s">
        <v>153</v>
      </c>
      <c r="K567" s="40" t="s">
        <v>194</v>
      </c>
      <c r="L567" s="37" t="s">
        <v>64</v>
      </c>
      <c r="M567" s="37" t="s">
        <v>5251</v>
      </c>
      <c r="N567" s="37"/>
      <c r="O567" s="37" t="s">
        <v>1387</v>
      </c>
      <c r="P567" s="37" t="s">
        <v>123</v>
      </c>
      <c r="Q567" s="37" t="s">
        <v>16</v>
      </c>
      <c r="R567" s="37"/>
      <c r="S567" s="37"/>
      <c r="T567" s="37" t="s">
        <v>144</v>
      </c>
      <c r="U567" s="37" t="s">
        <v>145</v>
      </c>
      <c r="V567" s="37" t="s">
        <v>77</v>
      </c>
      <c r="W567" s="37" t="s">
        <v>195</v>
      </c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</row>
    <row r="568" spans="1:37">
      <c r="A568" s="37"/>
      <c r="B568" s="37"/>
      <c r="C568" s="37"/>
      <c r="D568" s="37" t="s">
        <v>1795</v>
      </c>
      <c r="E568" s="37" t="s">
        <v>1389</v>
      </c>
      <c r="F568" s="37" t="s">
        <v>1797</v>
      </c>
      <c r="G568" s="37" t="s">
        <v>530</v>
      </c>
      <c r="H568" s="37"/>
      <c r="I568" s="37" t="s">
        <v>650</v>
      </c>
      <c r="J568" s="37" t="s">
        <v>324</v>
      </c>
      <c r="K568" s="40" t="s">
        <v>531</v>
      </c>
      <c r="L568" s="37" t="s">
        <v>64</v>
      </c>
      <c r="M568" s="37" t="s">
        <v>1796</v>
      </c>
      <c r="N568" s="37"/>
      <c r="O568" s="37" t="s">
        <v>1387</v>
      </c>
      <c r="P568" s="37" t="s">
        <v>123</v>
      </c>
      <c r="Q568" s="37" t="s">
        <v>65</v>
      </c>
      <c r="R568" s="37"/>
      <c r="S568" s="37"/>
      <c r="T568" s="37" t="s">
        <v>66</v>
      </c>
      <c r="U568" s="37" t="s">
        <v>254</v>
      </c>
      <c r="V568" s="37" t="s">
        <v>72</v>
      </c>
      <c r="W568" s="37" t="s">
        <v>89</v>
      </c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</row>
    <row r="569" spans="1:37">
      <c r="A569" s="37"/>
      <c r="B569" s="37"/>
      <c r="C569" s="37"/>
      <c r="D569" s="37" t="s">
        <v>272</v>
      </c>
      <c r="E569" s="37" t="s">
        <v>1389</v>
      </c>
      <c r="F569" s="37" t="s">
        <v>5254</v>
      </c>
      <c r="G569" s="37" t="s">
        <v>235</v>
      </c>
      <c r="H569" s="37"/>
      <c r="I569" s="37" t="s">
        <v>191</v>
      </c>
      <c r="J569" s="37" t="s">
        <v>121</v>
      </c>
      <c r="K569" s="40" t="s">
        <v>192</v>
      </c>
      <c r="L569" s="37" t="s">
        <v>64</v>
      </c>
      <c r="M569" s="37" t="s">
        <v>5253</v>
      </c>
      <c r="N569" s="37"/>
      <c r="O569" s="37" t="s">
        <v>1387</v>
      </c>
      <c r="P569" s="37" t="s">
        <v>123</v>
      </c>
      <c r="Q569" s="37" t="s">
        <v>14</v>
      </c>
      <c r="R569" s="37"/>
      <c r="S569" s="37"/>
      <c r="T569" s="37"/>
      <c r="U569" s="37"/>
      <c r="V569" s="37" t="s">
        <v>72</v>
      </c>
      <c r="W569" s="37" t="s">
        <v>89</v>
      </c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</row>
    <row r="570" spans="1:37">
      <c r="A570" s="37"/>
      <c r="B570" s="37"/>
      <c r="C570" s="37"/>
      <c r="D570" s="37" t="s">
        <v>349</v>
      </c>
      <c r="E570" s="37" t="s">
        <v>1389</v>
      </c>
      <c r="F570" s="37" t="s">
        <v>1790</v>
      </c>
      <c r="G570" s="37" t="s">
        <v>1788</v>
      </c>
      <c r="H570" s="37"/>
      <c r="I570" s="37" t="s">
        <v>560</v>
      </c>
      <c r="J570" s="37" t="s">
        <v>200</v>
      </c>
      <c r="K570" s="40" t="s">
        <v>758</v>
      </c>
      <c r="L570" s="37" t="s">
        <v>64</v>
      </c>
      <c r="M570" s="37" t="s">
        <v>1789</v>
      </c>
      <c r="N570" s="37"/>
      <c r="O570" s="37" t="s">
        <v>1387</v>
      </c>
      <c r="P570" s="37" t="s">
        <v>123</v>
      </c>
      <c r="Q570" s="37" t="s">
        <v>18</v>
      </c>
      <c r="R570" s="37"/>
      <c r="S570" s="37"/>
      <c r="T570" s="37"/>
      <c r="U570" s="37"/>
      <c r="V570" s="37" t="s">
        <v>118</v>
      </c>
      <c r="W570" s="37" t="s">
        <v>89</v>
      </c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</row>
    <row r="571" spans="1:37">
      <c r="A571" s="37"/>
      <c r="B571" s="37"/>
      <c r="C571" s="37"/>
      <c r="D571" s="37" t="s">
        <v>1824</v>
      </c>
      <c r="E571" s="37" t="s">
        <v>1825</v>
      </c>
      <c r="F571" s="37" t="s">
        <v>1828</v>
      </c>
      <c r="G571" s="37" t="s">
        <v>235</v>
      </c>
      <c r="H571" s="37" t="s">
        <v>1826</v>
      </c>
      <c r="I571" s="37" t="s">
        <v>191</v>
      </c>
      <c r="J571" s="37" t="s">
        <v>121</v>
      </c>
      <c r="K571" s="40" t="s">
        <v>192</v>
      </c>
      <c r="L571" s="37" t="s">
        <v>64</v>
      </c>
      <c r="M571" s="37" t="s">
        <v>1827</v>
      </c>
      <c r="N571" s="37"/>
      <c r="O571" s="37" t="s">
        <v>1387</v>
      </c>
      <c r="P571" s="37" t="s">
        <v>123</v>
      </c>
      <c r="Q571" s="37" t="s">
        <v>14</v>
      </c>
      <c r="R571" s="37"/>
      <c r="S571" s="37"/>
      <c r="T571" s="37"/>
      <c r="U571" s="37"/>
      <c r="V571" s="37" t="s">
        <v>72</v>
      </c>
      <c r="W571" s="37" t="s">
        <v>69</v>
      </c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</row>
    <row r="572" spans="1:37">
      <c r="A572" s="37"/>
      <c r="B572" s="37"/>
      <c r="C572" s="37"/>
      <c r="D572" s="37" t="s">
        <v>198</v>
      </c>
      <c r="E572" s="37" t="s">
        <v>1825</v>
      </c>
      <c r="F572" s="37" t="s">
        <v>1831</v>
      </c>
      <c r="G572" s="37" t="s">
        <v>1829</v>
      </c>
      <c r="H572" s="37"/>
      <c r="I572" s="37" t="s">
        <v>191</v>
      </c>
      <c r="J572" s="37" t="s">
        <v>121</v>
      </c>
      <c r="K572" s="40" t="s">
        <v>192</v>
      </c>
      <c r="L572" s="37" t="s">
        <v>64</v>
      </c>
      <c r="M572" s="37" t="s">
        <v>1830</v>
      </c>
      <c r="N572" s="37"/>
      <c r="O572" s="37" t="s">
        <v>1387</v>
      </c>
      <c r="P572" s="37" t="s">
        <v>123</v>
      </c>
      <c r="Q572" s="37" t="s">
        <v>14</v>
      </c>
      <c r="R572" s="37"/>
      <c r="S572" s="37"/>
      <c r="T572" s="37"/>
      <c r="U572" s="37" t="s">
        <v>189</v>
      </c>
      <c r="V572" s="37" t="s">
        <v>72</v>
      </c>
      <c r="W572" s="37" t="s">
        <v>89</v>
      </c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</row>
    <row r="573" spans="1:37">
      <c r="A573" s="37"/>
      <c r="B573" s="37"/>
      <c r="C573" s="37"/>
      <c r="D573" s="37" t="s">
        <v>1703</v>
      </c>
      <c r="E573" s="37" t="s">
        <v>1832</v>
      </c>
      <c r="F573" s="37" t="s">
        <v>1835</v>
      </c>
      <c r="G573" s="37" t="s">
        <v>1833</v>
      </c>
      <c r="H573" s="37"/>
      <c r="I573" s="37" t="s">
        <v>650</v>
      </c>
      <c r="J573" s="37" t="s">
        <v>324</v>
      </c>
      <c r="K573" s="40" t="s">
        <v>531</v>
      </c>
      <c r="L573" s="37" t="s">
        <v>64</v>
      </c>
      <c r="M573" s="37" t="s">
        <v>1834</v>
      </c>
      <c r="N573" s="37"/>
      <c r="O573" s="37" t="s">
        <v>1387</v>
      </c>
      <c r="P573" s="37" t="s">
        <v>123</v>
      </c>
      <c r="Q573" s="37" t="s">
        <v>65</v>
      </c>
      <c r="R573" s="37"/>
      <c r="S573" s="37"/>
      <c r="T573" s="37" t="s">
        <v>66</v>
      </c>
      <c r="U573" s="37" t="s">
        <v>109</v>
      </c>
      <c r="V573" s="37" t="s">
        <v>72</v>
      </c>
      <c r="W573" s="37" t="s">
        <v>195</v>
      </c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</row>
    <row r="574" spans="1:37">
      <c r="A574" s="37"/>
      <c r="B574" s="37"/>
      <c r="C574" s="37"/>
      <c r="D574" s="37" t="s">
        <v>555</v>
      </c>
      <c r="E574" s="37" t="s">
        <v>5631</v>
      </c>
      <c r="F574" s="37" t="s">
        <v>5632</v>
      </c>
      <c r="G574" s="37" t="s">
        <v>6144</v>
      </c>
      <c r="H574" s="37"/>
      <c r="I574" s="37" t="s">
        <v>6145</v>
      </c>
      <c r="J574" s="37" t="s">
        <v>121</v>
      </c>
      <c r="K574" s="40" t="s">
        <v>3102</v>
      </c>
      <c r="L574" s="37" t="s">
        <v>64</v>
      </c>
      <c r="M574" s="37" t="s">
        <v>6146</v>
      </c>
      <c r="N574" s="37"/>
      <c r="O574" s="37" t="s">
        <v>1387</v>
      </c>
      <c r="P574" s="37" t="s">
        <v>123</v>
      </c>
      <c r="Q574" s="37" t="s">
        <v>14</v>
      </c>
      <c r="R574" s="37"/>
      <c r="S574" s="37"/>
      <c r="T574" s="37"/>
      <c r="U574" s="37"/>
      <c r="V574" s="37" t="s">
        <v>72</v>
      </c>
      <c r="W574" s="37" t="s">
        <v>110</v>
      </c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</row>
    <row r="575" spans="1:37">
      <c r="A575" s="37"/>
      <c r="B575" s="37"/>
      <c r="C575" s="37"/>
      <c r="D575" s="37" t="s">
        <v>555</v>
      </c>
      <c r="E575" s="37" t="s">
        <v>1861</v>
      </c>
      <c r="F575" s="37" t="s">
        <v>1863</v>
      </c>
      <c r="G575" s="37" t="s">
        <v>534</v>
      </c>
      <c r="H575" s="37" t="s">
        <v>1857</v>
      </c>
      <c r="I575" s="37" t="s">
        <v>193</v>
      </c>
      <c r="J575" s="37" t="s">
        <v>153</v>
      </c>
      <c r="K575" s="40" t="s">
        <v>194</v>
      </c>
      <c r="L575" s="37" t="s">
        <v>64</v>
      </c>
      <c r="M575" s="37" t="s">
        <v>1862</v>
      </c>
      <c r="N575" s="37"/>
      <c r="O575" s="37" t="s">
        <v>1387</v>
      </c>
      <c r="P575" s="37" t="s">
        <v>123</v>
      </c>
      <c r="Q575" s="37" t="s">
        <v>16</v>
      </c>
      <c r="R575" s="37"/>
      <c r="S575" s="37"/>
      <c r="T575" s="37" t="s">
        <v>66</v>
      </c>
      <c r="U575" s="37" t="s">
        <v>254</v>
      </c>
      <c r="V575" s="37" t="s">
        <v>77</v>
      </c>
      <c r="W575" s="37" t="s">
        <v>195</v>
      </c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</row>
    <row r="576" spans="1:37">
      <c r="A576" s="37"/>
      <c r="B576" s="37"/>
      <c r="C576" s="37"/>
      <c r="D576" s="37" t="s">
        <v>2289</v>
      </c>
      <c r="E576" s="37" t="s">
        <v>5262</v>
      </c>
      <c r="F576" s="37" t="s">
        <v>5265</v>
      </c>
      <c r="G576" s="37" t="s">
        <v>3396</v>
      </c>
      <c r="H576" s="37"/>
      <c r="I576" s="37" t="s">
        <v>5263</v>
      </c>
      <c r="J576" s="37" t="s">
        <v>256</v>
      </c>
      <c r="K576" s="40" t="s">
        <v>343</v>
      </c>
      <c r="L576" s="37" t="s">
        <v>64</v>
      </c>
      <c r="M576" s="37" t="s">
        <v>5264</v>
      </c>
      <c r="N576" s="37"/>
      <c r="O576" s="37" t="s">
        <v>1387</v>
      </c>
      <c r="P576" s="37" t="s">
        <v>123</v>
      </c>
      <c r="Q576" s="37" t="s">
        <v>17</v>
      </c>
      <c r="R576" s="37"/>
      <c r="S576" s="37"/>
      <c r="T576" s="37" t="s">
        <v>115</v>
      </c>
      <c r="U576" s="37" t="s">
        <v>87</v>
      </c>
      <c r="V576" s="37" t="s">
        <v>72</v>
      </c>
      <c r="W576" s="37" t="s">
        <v>195</v>
      </c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</row>
    <row r="577" spans="1:37">
      <c r="A577" s="37"/>
      <c r="B577" s="37"/>
      <c r="C577" s="37"/>
      <c r="D577" s="37" t="s">
        <v>1864</v>
      </c>
      <c r="E577" s="37" t="s">
        <v>1865</v>
      </c>
      <c r="F577" s="38" t="s">
        <v>5739</v>
      </c>
      <c r="G577" s="37" t="s">
        <v>347</v>
      </c>
      <c r="H577" s="37"/>
      <c r="I577" s="37" t="s">
        <v>342</v>
      </c>
      <c r="J577" s="37" t="s">
        <v>256</v>
      </c>
      <c r="K577" s="40" t="s">
        <v>343</v>
      </c>
      <c r="L577" s="37" t="s">
        <v>64</v>
      </c>
      <c r="M577" s="37" t="s">
        <v>1866</v>
      </c>
      <c r="N577" s="37"/>
      <c r="O577" s="37" t="s">
        <v>1387</v>
      </c>
      <c r="P577" s="37" t="s">
        <v>123</v>
      </c>
      <c r="Q577" s="37" t="s">
        <v>17</v>
      </c>
      <c r="R577" s="37"/>
      <c r="S577" s="37"/>
      <c r="T577" s="37"/>
      <c r="U577" s="37"/>
      <c r="V577" s="37" t="s">
        <v>72</v>
      </c>
      <c r="W577" s="37" t="s">
        <v>89</v>
      </c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</row>
    <row r="578" spans="1:37">
      <c r="A578" s="37"/>
      <c r="B578" s="37"/>
      <c r="C578" s="37"/>
      <c r="D578" s="37" t="s">
        <v>1869</v>
      </c>
      <c r="E578" s="37" t="s">
        <v>1870</v>
      </c>
      <c r="F578" s="37" t="s">
        <v>1872</v>
      </c>
      <c r="G578" s="37" t="s">
        <v>1470</v>
      </c>
      <c r="H578" s="37" t="s">
        <v>1685</v>
      </c>
      <c r="I578" s="37" t="s">
        <v>193</v>
      </c>
      <c r="J578" s="37" t="s">
        <v>153</v>
      </c>
      <c r="K578" s="40" t="s">
        <v>194</v>
      </c>
      <c r="L578" s="37" t="s">
        <v>64</v>
      </c>
      <c r="M578" s="37" t="s">
        <v>1871</v>
      </c>
      <c r="N578" s="37"/>
      <c r="O578" s="37" t="s">
        <v>1387</v>
      </c>
      <c r="P578" s="37" t="s">
        <v>123</v>
      </c>
      <c r="Q578" s="37" t="s">
        <v>16</v>
      </c>
      <c r="R578" s="37"/>
      <c r="S578" s="37"/>
      <c r="T578" s="37" t="s">
        <v>158</v>
      </c>
      <c r="U578" s="37"/>
      <c r="V578" s="37" t="s">
        <v>77</v>
      </c>
      <c r="W578" s="37" t="s">
        <v>69</v>
      </c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</row>
    <row r="579" spans="1:37">
      <c r="A579" s="37"/>
      <c r="B579" s="37"/>
      <c r="C579" s="37"/>
      <c r="D579" s="37" t="s">
        <v>1888</v>
      </c>
      <c r="E579" s="37" t="s">
        <v>1889</v>
      </c>
      <c r="F579" s="37" t="s">
        <v>1891</v>
      </c>
      <c r="G579" s="37" t="s">
        <v>235</v>
      </c>
      <c r="H579" s="37"/>
      <c r="I579" s="37" t="s">
        <v>191</v>
      </c>
      <c r="J579" s="37" t="s">
        <v>121</v>
      </c>
      <c r="K579" s="40" t="s">
        <v>192</v>
      </c>
      <c r="L579" s="37" t="s">
        <v>64</v>
      </c>
      <c r="M579" s="37" t="s">
        <v>1890</v>
      </c>
      <c r="N579" s="37"/>
      <c r="O579" s="37" t="s">
        <v>1387</v>
      </c>
      <c r="P579" s="37" t="s">
        <v>123</v>
      </c>
      <c r="Q579" s="37" t="s">
        <v>14</v>
      </c>
      <c r="R579" s="37"/>
      <c r="S579" s="37"/>
      <c r="T579" s="37" t="s">
        <v>69</v>
      </c>
      <c r="U579" s="37" t="s">
        <v>189</v>
      </c>
      <c r="V579" s="37" t="s">
        <v>72</v>
      </c>
      <c r="W579" s="37" t="s">
        <v>89</v>
      </c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</row>
    <row r="580" spans="1:37">
      <c r="A580" s="37"/>
      <c r="B580" s="37"/>
      <c r="C580" s="37"/>
      <c r="D580" s="37" t="s">
        <v>2582</v>
      </c>
      <c r="E580" s="37" t="s">
        <v>3909</v>
      </c>
      <c r="F580" s="37" t="s">
        <v>3912</v>
      </c>
      <c r="G580" s="37" t="s">
        <v>235</v>
      </c>
      <c r="H580" s="37" t="s">
        <v>3910</v>
      </c>
      <c r="I580" s="37" t="s">
        <v>191</v>
      </c>
      <c r="J580" s="37" t="s">
        <v>121</v>
      </c>
      <c r="K580" s="40" t="s">
        <v>192</v>
      </c>
      <c r="L580" s="37" t="s">
        <v>64</v>
      </c>
      <c r="M580" s="37" t="s">
        <v>3911</v>
      </c>
      <c r="N580" s="37"/>
      <c r="O580" s="37" t="s">
        <v>1387</v>
      </c>
      <c r="P580" s="37" t="s">
        <v>123</v>
      </c>
      <c r="Q580" s="37" t="s">
        <v>14</v>
      </c>
      <c r="R580" s="37"/>
      <c r="S580" s="37"/>
      <c r="T580" s="37" t="s">
        <v>69</v>
      </c>
      <c r="U580" s="37" t="s">
        <v>109</v>
      </c>
      <c r="V580" s="37" t="s">
        <v>72</v>
      </c>
      <c r="W580" s="37" t="s">
        <v>195</v>
      </c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</row>
    <row r="581" spans="1:37">
      <c r="A581" s="37"/>
      <c r="B581" s="37"/>
      <c r="C581" s="37"/>
      <c r="D581" s="37" t="s">
        <v>666</v>
      </c>
      <c r="E581" s="37" t="s">
        <v>1905</v>
      </c>
      <c r="F581" s="37" t="s">
        <v>1908</v>
      </c>
      <c r="G581" s="37" t="s">
        <v>235</v>
      </c>
      <c r="H581" s="37" t="s">
        <v>1906</v>
      </c>
      <c r="I581" s="37" t="s">
        <v>191</v>
      </c>
      <c r="J581" s="37" t="s">
        <v>121</v>
      </c>
      <c r="K581" s="40" t="s">
        <v>192</v>
      </c>
      <c r="L581" s="37" t="s">
        <v>64</v>
      </c>
      <c r="M581" s="37" t="s">
        <v>1907</v>
      </c>
      <c r="N581" s="37"/>
      <c r="O581" s="37" t="s">
        <v>1387</v>
      </c>
      <c r="P581" s="37" t="s">
        <v>123</v>
      </c>
      <c r="Q581" s="37" t="s">
        <v>14</v>
      </c>
      <c r="R581" s="37"/>
      <c r="S581" s="37"/>
      <c r="T581" s="37" t="s">
        <v>144</v>
      </c>
      <c r="U581" s="37"/>
      <c r="V581" s="37" t="s">
        <v>72</v>
      </c>
      <c r="W581" s="37" t="s">
        <v>110</v>
      </c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</row>
    <row r="582" spans="1:37">
      <c r="A582" s="37"/>
      <c r="B582" s="37"/>
      <c r="C582" s="37"/>
      <c r="D582" s="37" t="s">
        <v>1675</v>
      </c>
      <c r="E582" s="37" t="s">
        <v>4878</v>
      </c>
      <c r="F582" s="37" t="s">
        <v>5277</v>
      </c>
      <c r="G582" s="37" t="s">
        <v>5275</v>
      </c>
      <c r="H582" s="37"/>
      <c r="I582" s="37" t="s">
        <v>92</v>
      </c>
      <c r="J582" s="37" t="s">
        <v>93</v>
      </c>
      <c r="K582" s="40" t="s">
        <v>738</v>
      </c>
      <c r="L582" s="37" t="s">
        <v>64</v>
      </c>
      <c r="M582" s="37" t="s">
        <v>5276</v>
      </c>
      <c r="N582" s="37"/>
      <c r="O582" s="37" t="s">
        <v>1387</v>
      </c>
      <c r="P582" s="37" t="s">
        <v>123</v>
      </c>
      <c r="Q582" s="37" t="s">
        <v>98</v>
      </c>
      <c r="R582" s="37"/>
      <c r="S582" s="37"/>
      <c r="T582" s="37"/>
      <c r="U582" s="37" t="s">
        <v>109</v>
      </c>
      <c r="V582" s="37" t="s">
        <v>88</v>
      </c>
      <c r="W582" s="37" t="s">
        <v>89</v>
      </c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</row>
    <row r="583" spans="1:37">
      <c r="A583" s="37"/>
      <c r="B583" s="37"/>
      <c r="C583" s="37"/>
      <c r="D583" s="37" t="s">
        <v>2091</v>
      </c>
      <c r="E583" s="37" t="s">
        <v>5278</v>
      </c>
      <c r="F583" s="37" t="s">
        <v>5281</v>
      </c>
      <c r="G583" s="37" t="s">
        <v>5279</v>
      </c>
      <c r="H583" s="37"/>
      <c r="I583" s="37" t="s">
        <v>650</v>
      </c>
      <c r="J583" s="37" t="s">
        <v>324</v>
      </c>
      <c r="K583" s="40" t="s">
        <v>531</v>
      </c>
      <c r="L583" s="37" t="s">
        <v>64</v>
      </c>
      <c r="M583" s="37" t="s">
        <v>5280</v>
      </c>
      <c r="N583" s="37"/>
      <c r="O583" s="37" t="s">
        <v>1387</v>
      </c>
      <c r="P583" s="37" t="s">
        <v>123</v>
      </c>
      <c r="Q583" s="37" t="s">
        <v>65</v>
      </c>
      <c r="R583" s="37"/>
      <c r="S583" s="37"/>
      <c r="T583" s="37" t="s">
        <v>69</v>
      </c>
      <c r="U583" s="37" t="s">
        <v>254</v>
      </c>
      <c r="V583" s="37" t="s">
        <v>72</v>
      </c>
      <c r="W583" s="37" t="s">
        <v>195</v>
      </c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</row>
    <row r="584" spans="1:37">
      <c r="A584" s="37"/>
      <c r="B584" s="37"/>
      <c r="C584" s="37"/>
      <c r="D584" s="37" t="s">
        <v>5394</v>
      </c>
      <c r="E584" s="37" t="s">
        <v>5188</v>
      </c>
      <c r="F584" s="37" t="s">
        <v>5191</v>
      </c>
      <c r="G584" s="37" t="s">
        <v>235</v>
      </c>
      <c r="H584" s="37" t="s">
        <v>5189</v>
      </c>
      <c r="I584" s="37" t="s">
        <v>191</v>
      </c>
      <c r="J584" s="37" t="s">
        <v>121</v>
      </c>
      <c r="K584" s="40" t="s">
        <v>192</v>
      </c>
      <c r="L584" s="37" t="s">
        <v>64</v>
      </c>
      <c r="M584" s="37" t="s">
        <v>5190</v>
      </c>
      <c r="N584" s="37"/>
      <c r="O584" s="37" t="s">
        <v>1387</v>
      </c>
      <c r="P584" s="37" t="s">
        <v>123</v>
      </c>
      <c r="Q584" s="37" t="s">
        <v>14</v>
      </c>
      <c r="R584" s="37"/>
      <c r="S584" s="37"/>
      <c r="T584" s="37" t="s">
        <v>66</v>
      </c>
      <c r="U584" s="37" t="s">
        <v>254</v>
      </c>
      <c r="V584" s="37" t="s">
        <v>88</v>
      </c>
      <c r="W584" s="37" t="s">
        <v>89</v>
      </c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</row>
    <row r="585" spans="1:37">
      <c r="A585" s="37"/>
      <c r="B585" s="37"/>
      <c r="C585" s="37"/>
      <c r="D585" s="37" t="s">
        <v>4885</v>
      </c>
      <c r="E585" s="37" t="s">
        <v>4886</v>
      </c>
      <c r="F585" s="37" t="s">
        <v>4890</v>
      </c>
      <c r="G585" s="37" t="s">
        <v>4887</v>
      </c>
      <c r="H585" s="37"/>
      <c r="I585" s="37" t="s">
        <v>556</v>
      </c>
      <c r="J585" s="37" t="s">
        <v>200</v>
      </c>
      <c r="K585" s="40" t="s">
        <v>557</v>
      </c>
      <c r="L585" s="37" t="s">
        <v>64</v>
      </c>
      <c r="M585" s="37" t="s">
        <v>4888</v>
      </c>
      <c r="N585" s="37" t="s">
        <v>4889</v>
      </c>
      <c r="O585" s="37" t="s">
        <v>1387</v>
      </c>
      <c r="P585" s="37" t="s">
        <v>123</v>
      </c>
      <c r="Q585" s="37" t="s">
        <v>18</v>
      </c>
      <c r="R585" s="37"/>
      <c r="S585" s="37"/>
      <c r="T585" s="37" t="s">
        <v>158</v>
      </c>
      <c r="U585" s="37" t="s">
        <v>182</v>
      </c>
      <c r="V585" s="37" t="s">
        <v>72</v>
      </c>
      <c r="W585" s="37" t="s">
        <v>73</v>
      </c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</row>
    <row r="586" spans="1:37">
      <c r="A586" s="37"/>
      <c r="B586" s="37"/>
      <c r="C586" s="37"/>
      <c r="D586" s="37" t="s">
        <v>286</v>
      </c>
      <c r="E586" s="37" t="s">
        <v>2986</v>
      </c>
      <c r="F586" s="37" t="s">
        <v>5193</v>
      </c>
      <c r="G586" s="37" t="s">
        <v>1798</v>
      </c>
      <c r="H586" s="37"/>
      <c r="I586" s="37" t="s">
        <v>354</v>
      </c>
      <c r="J586" s="37" t="s">
        <v>75</v>
      </c>
      <c r="K586" s="40" t="s">
        <v>355</v>
      </c>
      <c r="L586" s="37" t="s">
        <v>64</v>
      </c>
      <c r="M586" s="37" t="s">
        <v>5192</v>
      </c>
      <c r="N586" s="37"/>
      <c r="O586" s="37" t="s">
        <v>1387</v>
      </c>
      <c r="P586" s="37" t="s">
        <v>123</v>
      </c>
      <c r="Q586" s="37" t="s">
        <v>10</v>
      </c>
      <c r="R586" s="37"/>
      <c r="S586" s="37"/>
      <c r="T586" s="37" t="s">
        <v>69</v>
      </c>
      <c r="U586" s="37"/>
      <c r="V586" s="37" t="s">
        <v>72</v>
      </c>
      <c r="W586" s="37" t="s">
        <v>89</v>
      </c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</row>
    <row r="587" spans="1:37">
      <c r="A587" s="37"/>
      <c r="B587" s="37"/>
      <c r="C587" s="37"/>
      <c r="D587" s="37" t="s">
        <v>1136</v>
      </c>
      <c r="E587" s="37" t="s">
        <v>1929</v>
      </c>
      <c r="F587" s="37" t="s">
        <v>1932</v>
      </c>
      <c r="G587" s="37" t="s">
        <v>1930</v>
      </c>
      <c r="H587" s="37" t="s">
        <v>1719</v>
      </c>
      <c r="I587" s="37" t="s">
        <v>319</v>
      </c>
      <c r="J587" s="37" t="s">
        <v>320</v>
      </c>
      <c r="K587" s="40" t="s">
        <v>321</v>
      </c>
      <c r="L587" s="37" t="s">
        <v>64</v>
      </c>
      <c r="M587" s="37" t="s">
        <v>1931</v>
      </c>
      <c r="N587" s="37"/>
      <c r="O587" s="37" t="s">
        <v>1387</v>
      </c>
      <c r="P587" s="37" t="s">
        <v>123</v>
      </c>
      <c r="Q587" s="37" t="s">
        <v>4</v>
      </c>
      <c r="R587" s="37"/>
      <c r="S587" s="37"/>
      <c r="T587" s="37" t="s">
        <v>158</v>
      </c>
      <c r="U587" s="37"/>
      <c r="V587" s="37" t="s">
        <v>72</v>
      </c>
      <c r="W587" s="37" t="s">
        <v>69</v>
      </c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</row>
    <row r="588" spans="1:37">
      <c r="A588" s="37"/>
      <c r="B588" s="37"/>
      <c r="C588" s="37"/>
      <c r="D588" s="37" t="s">
        <v>1941</v>
      </c>
      <c r="E588" s="37" t="s">
        <v>1942</v>
      </c>
      <c r="F588" s="37" t="s">
        <v>1945</v>
      </c>
      <c r="G588" s="37" t="s">
        <v>235</v>
      </c>
      <c r="H588" s="37" t="s">
        <v>1943</v>
      </c>
      <c r="I588" s="37" t="s">
        <v>191</v>
      </c>
      <c r="J588" s="37" t="s">
        <v>121</v>
      </c>
      <c r="K588" s="40" t="s">
        <v>192</v>
      </c>
      <c r="L588" s="37" t="s">
        <v>64</v>
      </c>
      <c r="M588" s="37" t="s">
        <v>1944</v>
      </c>
      <c r="N588" s="37"/>
      <c r="O588" s="37" t="s">
        <v>1387</v>
      </c>
      <c r="P588" s="37" t="s">
        <v>123</v>
      </c>
      <c r="Q588" s="37" t="s">
        <v>14</v>
      </c>
      <c r="R588" s="37"/>
      <c r="S588" s="37"/>
      <c r="T588" s="37" t="s">
        <v>69</v>
      </c>
      <c r="U588" s="37" t="s">
        <v>145</v>
      </c>
      <c r="V588" s="37" t="s">
        <v>72</v>
      </c>
      <c r="W588" s="37" t="s">
        <v>73</v>
      </c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</row>
    <row r="589" spans="1:37">
      <c r="A589" s="37"/>
      <c r="B589" s="37"/>
      <c r="C589" s="37"/>
      <c r="D589" s="37" t="s">
        <v>2401</v>
      </c>
      <c r="E589" s="37" t="s">
        <v>1946</v>
      </c>
      <c r="F589" s="37" t="s">
        <v>5204</v>
      </c>
      <c r="G589" s="37" t="s">
        <v>119</v>
      </c>
      <c r="H589" s="37"/>
      <c r="I589" s="37" t="s">
        <v>120</v>
      </c>
      <c r="J589" s="37" t="s">
        <v>121</v>
      </c>
      <c r="K589" s="40" t="s">
        <v>192</v>
      </c>
      <c r="L589" s="37" t="s">
        <v>64</v>
      </c>
      <c r="M589" s="37" t="s">
        <v>5203</v>
      </c>
      <c r="N589" s="37"/>
      <c r="O589" s="37" t="s">
        <v>1387</v>
      </c>
      <c r="P589" s="37" t="s">
        <v>123</v>
      </c>
      <c r="Q589" s="37" t="s">
        <v>14</v>
      </c>
      <c r="R589" s="37"/>
      <c r="S589" s="37"/>
      <c r="T589" s="37"/>
      <c r="U589" s="37"/>
      <c r="V589" s="37" t="s">
        <v>72</v>
      </c>
      <c r="W589" s="37" t="s">
        <v>69</v>
      </c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</row>
    <row r="590" spans="1:37">
      <c r="A590" s="37"/>
      <c r="B590" s="37"/>
      <c r="C590" s="37"/>
      <c r="D590" s="37" t="s">
        <v>940</v>
      </c>
      <c r="E590" s="37" t="s">
        <v>5205</v>
      </c>
      <c r="F590" s="37" t="s">
        <v>5207</v>
      </c>
      <c r="G590" s="37" t="s">
        <v>2727</v>
      </c>
      <c r="H590" s="37"/>
      <c r="I590" s="37" t="s">
        <v>276</v>
      </c>
      <c r="J590" s="37" t="s">
        <v>70</v>
      </c>
      <c r="K590" s="40" t="s">
        <v>277</v>
      </c>
      <c r="L590" s="37" t="s">
        <v>64</v>
      </c>
      <c r="M590" s="37" t="s">
        <v>5206</v>
      </c>
      <c r="N590" s="37"/>
      <c r="O590" s="37" t="s">
        <v>1387</v>
      </c>
      <c r="P590" s="37" t="s">
        <v>123</v>
      </c>
      <c r="Q590" s="37" t="s">
        <v>71</v>
      </c>
      <c r="R590" s="37"/>
      <c r="S590" s="37"/>
      <c r="T590" s="37" t="s">
        <v>158</v>
      </c>
      <c r="U590" s="37" t="s">
        <v>254</v>
      </c>
      <c r="V590" s="37" t="s">
        <v>72</v>
      </c>
      <c r="W590" s="37" t="s">
        <v>99</v>
      </c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</row>
    <row r="591" spans="1:37">
      <c r="A591" s="37"/>
      <c r="B591" s="37"/>
      <c r="C591" s="37"/>
      <c r="D591" s="37" t="s">
        <v>912</v>
      </c>
      <c r="E591" s="37" t="s">
        <v>2987</v>
      </c>
      <c r="F591" s="37" t="s">
        <v>2989</v>
      </c>
      <c r="G591" s="37" t="s">
        <v>235</v>
      </c>
      <c r="H591" s="37"/>
      <c r="I591" s="37" t="s">
        <v>191</v>
      </c>
      <c r="J591" s="37" t="s">
        <v>121</v>
      </c>
      <c r="K591" s="40" t="s">
        <v>192</v>
      </c>
      <c r="L591" s="37" t="s">
        <v>64</v>
      </c>
      <c r="M591" s="37" t="s">
        <v>2988</v>
      </c>
      <c r="N591" s="37"/>
      <c r="O591" s="37" t="s">
        <v>1387</v>
      </c>
      <c r="P591" s="37" t="s">
        <v>123</v>
      </c>
      <c r="Q591" s="37" t="s">
        <v>14</v>
      </c>
      <c r="R591" s="37"/>
      <c r="S591" s="37"/>
      <c r="T591" s="37" t="s">
        <v>66</v>
      </c>
      <c r="U591" s="37" t="s">
        <v>109</v>
      </c>
      <c r="V591" s="37" t="s">
        <v>72</v>
      </c>
      <c r="W591" s="37" t="s">
        <v>195</v>
      </c>
      <c r="X591" s="25"/>
      <c r="Y591" s="25"/>
      <c r="Z591" s="25"/>
      <c r="AA591" s="25"/>
      <c r="AB591" s="25"/>
      <c r="AC591" s="25"/>
      <c r="AD591" s="25"/>
      <c r="AE591" s="25"/>
      <c r="AF591" s="26"/>
      <c r="AG591" s="25"/>
      <c r="AH591" s="25"/>
      <c r="AI591" s="25"/>
      <c r="AJ591" s="25"/>
      <c r="AK591" s="25"/>
    </row>
    <row r="592" spans="1:37">
      <c r="A592" s="37" t="s">
        <v>780</v>
      </c>
      <c r="B592" s="37"/>
      <c r="C592" s="37"/>
      <c r="D592" s="37" t="s">
        <v>707</v>
      </c>
      <c r="E592" s="37" t="s">
        <v>1959</v>
      </c>
      <c r="F592" s="37" t="s">
        <v>1965</v>
      </c>
      <c r="G592" s="37" t="s">
        <v>1960</v>
      </c>
      <c r="H592" s="37"/>
      <c r="I592" s="37" t="s">
        <v>1961</v>
      </c>
      <c r="J592" s="37" t="s">
        <v>256</v>
      </c>
      <c r="K592" s="40" t="s">
        <v>1962</v>
      </c>
      <c r="L592" s="37" t="s">
        <v>64</v>
      </c>
      <c r="M592" s="37" t="s">
        <v>1963</v>
      </c>
      <c r="N592" s="37" t="s">
        <v>1964</v>
      </c>
      <c r="O592" s="37" t="s">
        <v>1387</v>
      </c>
      <c r="P592" s="37" t="s">
        <v>123</v>
      </c>
      <c r="Q592" s="37" t="s">
        <v>17</v>
      </c>
      <c r="R592" s="37"/>
      <c r="S592" s="37"/>
      <c r="T592" s="37" t="s">
        <v>115</v>
      </c>
      <c r="U592" s="37" t="s">
        <v>87</v>
      </c>
      <c r="V592" s="37" t="s">
        <v>72</v>
      </c>
      <c r="W592" s="37" t="s">
        <v>78</v>
      </c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</row>
    <row r="593" spans="1:37">
      <c r="A593" s="37"/>
      <c r="B593" s="37"/>
      <c r="C593" s="37"/>
      <c r="D593" s="37" t="s">
        <v>539</v>
      </c>
      <c r="E593" s="37" t="s">
        <v>4907</v>
      </c>
      <c r="F593" s="37" t="s">
        <v>5221</v>
      </c>
      <c r="G593" s="37" t="s">
        <v>5219</v>
      </c>
      <c r="H593" s="37"/>
      <c r="I593" s="37" t="s">
        <v>420</v>
      </c>
      <c r="J593" s="37" t="s">
        <v>75</v>
      </c>
      <c r="K593" s="40" t="s">
        <v>451</v>
      </c>
      <c r="L593" s="37" t="s">
        <v>64</v>
      </c>
      <c r="M593" s="37" t="s">
        <v>5220</v>
      </c>
      <c r="N593" s="37"/>
      <c r="O593" s="37" t="s">
        <v>1387</v>
      </c>
      <c r="P593" s="37" t="s">
        <v>123</v>
      </c>
      <c r="Q593" s="37" t="s">
        <v>10</v>
      </c>
      <c r="R593" s="37"/>
      <c r="S593" s="37"/>
      <c r="T593" s="37" t="s">
        <v>66</v>
      </c>
      <c r="U593" s="37" t="s">
        <v>87</v>
      </c>
      <c r="V593" s="37" t="s">
        <v>88</v>
      </c>
      <c r="W593" s="37" t="s">
        <v>89</v>
      </c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</row>
    <row r="594" spans="1:37">
      <c r="A594" s="37"/>
      <c r="B594" s="37"/>
      <c r="C594" s="37"/>
      <c r="D594" s="37" t="s">
        <v>799</v>
      </c>
      <c r="E594" s="37" t="s">
        <v>1996</v>
      </c>
      <c r="F594" s="37" t="s">
        <v>1998</v>
      </c>
      <c r="G594" s="37" t="s">
        <v>119</v>
      </c>
      <c r="H594" s="37"/>
      <c r="I594" s="37" t="s">
        <v>120</v>
      </c>
      <c r="J594" s="37" t="s">
        <v>121</v>
      </c>
      <c r="K594" s="40" t="s">
        <v>122</v>
      </c>
      <c r="L594" s="37" t="s">
        <v>64</v>
      </c>
      <c r="M594" s="37" t="s">
        <v>1997</v>
      </c>
      <c r="N594" s="37"/>
      <c r="O594" s="37" t="s">
        <v>1387</v>
      </c>
      <c r="P594" s="37" t="s">
        <v>123</v>
      </c>
      <c r="Q594" s="37" t="s">
        <v>14</v>
      </c>
      <c r="R594" s="37"/>
      <c r="S594" s="37"/>
      <c r="T594" s="37" t="s">
        <v>144</v>
      </c>
      <c r="U594" s="37" t="s">
        <v>87</v>
      </c>
      <c r="V594" s="37" t="s">
        <v>72</v>
      </c>
      <c r="W594" s="37" t="s">
        <v>110</v>
      </c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</row>
    <row r="595" spans="1:37">
      <c r="A595" s="37"/>
      <c r="B595" s="37"/>
      <c r="C595" s="37"/>
      <c r="D595" s="37" t="s">
        <v>286</v>
      </c>
      <c r="E595" s="37" t="s">
        <v>2001</v>
      </c>
      <c r="F595" s="37" t="s">
        <v>2003</v>
      </c>
      <c r="G595" s="37" t="s">
        <v>119</v>
      </c>
      <c r="H595" s="37"/>
      <c r="I595" s="37" t="s">
        <v>120</v>
      </c>
      <c r="J595" s="37" t="s">
        <v>121</v>
      </c>
      <c r="K595" s="40" t="s">
        <v>122</v>
      </c>
      <c r="L595" s="37" t="s">
        <v>64</v>
      </c>
      <c r="M595" s="37" t="s">
        <v>2002</v>
      </c>
      <c r="N595" s="37"/>
      <c r="O595" s="37" t="s">
        <v>1387</v>
      </c>
      <c r="P595" s="37" t="s">
        <v>123</v>
      </c>
      <c r="Q595" s="37" t="s">
        <v>14</v>
      </c>
      <c r="R595" s="37"/>
      <c r="S595" s="37"/>
      <c r="T595" s="37" t="s">
        <v>115</v>
      </c>
      <c r="U595" s="37" t="s">
        <v>109</v>
      </c>
      <c r="V595" s="37" t="s">
        <v>72</v>
      </c>
      <c r="W595" s="37" t="s">
        <v>69</v>
      </c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</row>
    <row r="596" spans="1:37">
      <c r="A596" s="37"/>
      <c r="B596" s="37"/>
      <c r="C596" s="37"/>
      <c r="D596" s="37" t="s">
        <v>525</v>
      </c>
      <c r="E596" s="37" t="s">
        <v>2004</v>
      </c>
      <c r="F596" s="37" t="s">
        <v>2006</v>
      </c>
      <c r="G596" s="37" t="s">
        <v>328</v>
      </c>
      <c r="H596" s="37"/>
      <c r="I596" s="37" t="s">
        <v>92</v>
      </c>
      <c r="J596" s="37" t="s">
        <v>93</v>
      </c>
      <c r="K596" s="40" t="s">
        <v>329</v>
      </c>
      <c r="L596" s="37" t="s">
        <v>64</v>
      </c>
      <c r="M596" s="37" t="s">
        <v>2005</v>
      </c>
      <c r="N596" s="37"/>
      <c r="O596" s="37" t="s">
        <v>1387</v>
      </c>
      <c r="P596" s="37" t="s">
        <v>123</v>
      </c>
      <c r="Q596" s="37" t="s">
        <v>98</v>
      </c>
      <c r="R596" s="37"/>
      <c r="S596" s="37"/>
      <c r="T596" s="37"/>
      <c r="U596" s="37"/>
      <c r="V596" s="37" t="s">
        <v>67</v>
      </c>
      <c r="W596" s="37" t="s">
        <v>110</v>
      </c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</row>
    <row r="597" spans="1:37">
      <c r="A597" s="37"/>
      <c r="B597" s="37"/>
      <c r="C597" s="37"/>
      <c r="D597" s="37" t="s">
        <v>6147</v>
      </c>
      <c r="E597" s="37" t="s">
        <v>6148</v>
      </c>
      <c r="F597" s="37" t="s">
        <v>6149</v>
      </c>
      <c r="G597" s="37" t="s">
        <v>6150</v>
      </c>
      <c r="H597" s="37"/>
      <c r="I597" s="37" t="s">
        <v>82</v>
      </c>
      <c r="J597" s="37" t="s">
        <v>83</v>
      </c>
      <c r="K597" s="40" t="s">
        <v>6151</v>
      </c>
      <c r="L597" s="37" t="s">
        <v>64</v>
      </c>
      <c r="M597" s="37" t="s">
        <v>6152</v>
      </c>
      <c r="N597" s="37"/>
      <c r="O597" s="37" t="s">
        <v>1387</v>
      </c>
      <c r="P597" s="37" t="s">
        <v>513</v>
      </c>
      <c r="Q597" s="37" t="s">
        <v>14</v>
      </c>
      <c r="R597" s="37"/>
      <c r="S597" s="37"/>
      <c r="T597" s="37"/>
      <c r="U597" s="37"/>
      <c r="V597" s="37" t="s">
        <v>72</v>
      </c>
      <c r="W597" s="37" t="s">
        <v>69</v>
      </c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</row>
    <row r="598" spans="1:37">
      <c r="A598" s="37"/>
      <c r="B598" s="37"/>
      <c r="C598" s="37"/>
      <c r="D598" s="37" t="s">
        <v>695</v>
      </c>
      <c r="E598" s="37" t="s">
        <v>2032</v>
      </c>
      <c r="F598" s="37" t="s">
        <v>2033</v>
      </c>
      <c r="G598" s="37" t="s">
        <v>318</v>
      </c>
      <c r="H598" s="37"/>
      <c r="I598" s="37" t="s">
        <v>319</v>
      </c>
      <c r="J598" s="37" t="s">
        <v>320</v>
      </c>
      <c r="K598" s="40" t="s">
        <v>321</v>
      </c>
      <c r="L598" s="37" t="s">
        <v>64</v>
      </c>
      <c r="M598" s="37" t="s">
        <v>6153</v>
      </c>
      <c r="N598" s="37"/>
      <c r="O598" s="37" t="s">
        <v>1387</v>
      </c>
      <c r="P598" s="37" t="s">
        <v>123</v>
      </c>
      <c r="Q598" s="37" t="s">
        <v>4</v>
      </c>
      <c r="R598" s="37"/>
      <c r="S598" s="37"/>
      <c r="T598" s="37"/>
      <c r="U598" s="37"/>
      <c r="V598" s="37" t="s">
        <v>72</v>
      </c>
      <c r="W598" s="37" t="s">
        <v>89</v>
      </c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</row>
    <row r="599" spans="1:37">
      <c r="A599" s="37"/>
      <c r="B599" s="37"/>
      <c r="C599" s="37"/>
      <c r="D599" s="37" t="s">
        <v>799</v>
      </c>
      <c r="E599" s="37" t="s">
        <v>3013</v>
      </c>
      <c r="F599" s="37" t="s">
        <v>3016</v>
      </c>
      <c r="G599" s="37" t="s">
        <v>3014</v>
      </c>
      <c r="H599" s="37"/>
      <c r="I599" s="37" t="s">
        <v>1756</v>
      </c>
      <c r="J599" s="37" t="s">
        <v>93</v>
      </c>
      <c r="K599" s="40" t="s">
        <v>2306</v>
      </c>
      <c r="L599" s="37" t="s">
        <v>64</v>
      </c>
      <c r="M599" s="37" t="s">
        <v>3015</v>
      </c>
      <c r="N599" s="37"/>
      <c r="O599" s="37" t="s">
        <v>1387</v>
      </c>
      <c r="P599" s="37" t="s">
        <v>123</v>
      </c>
      <c r="Q599" s="37" t="s">
        <v>98</v>
      </c>
      <c r="R599" s="37"/>
      <c r="S599" s="37"/>
      <c r="T599" s="37" t="s">
        <v>144</v>
      </c>
      <c r="U599" s="37" t="s">
        <v>87</v>
      </c>
      <c r="V599" s="37" t="s">
        <v>72</v>
      </c>
      <c r="W599" s="37" t="s">
        <v>195</v>
      </c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</row>
    <row r="600" spans="1:37">
      <c r="A600" s="37"/>
      <c r="B600" s="37"/>
      <c r="C600" s="37"/>
      <c r="D600" s="37" t="s">
        <v>955</v>
      </c>
      <c r="E600" s="37" t="s">
        <v>5171</v>
      </c>
      <c r="F600" s="37" t="s">
        <v>5173</v>
      </c>
      <c r="G600" s="37" t="s">
        <v>1285</v>
      </c>
      <c r="H600" s="37"/>
      <c r="I600" s="37" t="s">
        <v>454</v>
      </c>
      <c r="J600" s="37" t="s">
        <v>121</v>
      </c>
      <c r="K600" s="40" t="s">
        <v>192</v>
      </c>
      <c r="L600" s="37" t="s">
        <v>64</v>
      </c>
      <c r="M600" s="37" t="s">
        <v>5172</v>
      </c>
      <c r="N600" s="37"/>
      <c r="O600" s="37" t="s">
        <v>1387</v>
      </c>
      <c r="P600" s="37" t="s">
        <v>123</v>
      </c>
      <c r="Q600" s="37" t="s">
        <v>14</v>
      </c>
      <c r="R600" s="37"/>
      <c r="S600" s="37"/>
      <c r="T600" s="37"/>
      <c r="U600" s="37"/>
      <c r="V600" s="37" t="s">
        <v>72</v>
      </c>
      <c r="W600" s="37" t="s">
        <v>89</v>
      </c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</row>
    <row r="601" spans="1:37">
      <c r="A601" s="37"/>
      <c r="B601" s="37"/>
      <c r="C601" s="37"/>
      <c r="D601" s="37" t="s">
        <v>539</v>
      </c>
      <c r="E601" s="37" t="s">
        <v>2065</v>
      </c>
      <c r="F601" s="37" t="s">
        <v>3355</v>
      </c>
      <c r="G601" s="37" t="s">
        <v>3353</v>
      </c>
      <c r="H601" s="37"/>
      <c r="I601" s="37" t="s">
        <v>420</v>
      </c>
      <c r="J601" s="37" t="s">
        <v>75</v>
      </c>
      <c r="K601" s="40" t="s">
        <v>698</v>
      </c>
      <c r="L601" s="37" t="s">
        <v>64</v>
      </c>
      <c r="M601" s="37" t="s">
        <v>699</v>
      </c>
      <c r="N601" s="37" t="s">
        <v>3354</v>
      </c>
      <c r="O601" s="37" t="s">
        <v>1387</v>
      </c>
      <c r="P601" s="37" t="s">
        <v>221</v>
      </c>
      <c r="Q601" s="37" t="s">
        <v>10</v>
      </c>
      <c r="R601" s="37"/>
      <c r="S601" s="37"/>
      <c r="T601" s="37" t="s">
        <v>66</v>
      </c>
      <c r="U601" s="37" t="s">
        <v>145</v>
      </c>
      <c r="V601" s="37" t="s">
        <v>72</v>
      </c>
      <c r="W601" s="37" t="s">
        <v>135</v>
      </c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</row>
    <row r="602" spans="1:37">
      <c r="A602" s="37"/>
      <c r="B602" s="37"/>
      <c r="C602" s="37"/>
      <c r="D602" s="37" t="s">
        <v>183</v>
      </c>
      <c r="E602" s="37" t="s">
        <v>2932</v>
      </c>
      <c r="F602" s="37" t="s">
        <v>2934</v>
      </c>
      <c r="G602" s="37" t="s">
        <v>235</v>
      </c>
      <c r="H602" s="37"/>
      <c r="I602" s="37" t="s">
        <v>191</v>
      </c>
      <c r="J602" s="37" t="s">
        <v>121</v>
      </c>
      <c r="K602" s="40" t="s">
        <v>192</v>
      </c>
      <c r="L602" s="37" t="s">
        <v>64</v>
      </c>
      <c r="M602" s="37" t="s">
        <v>2933</v>
      </c>
      <c r="N602" s="37"/>
      <c r="O602" s="37" t="s">
        <v>1387</v>
      </c>
      <c r="P602" s="37" t="s">
        <v>123</v>
      </c>
      <c r="Q602" s="37" t="s">
        <v>14</v>
      </c>
      <c r="R602" s="37"/>
      <c r="S602" s="37"/>
      <c r="T602" s="37" t="s">
        <v>69</v>
      </c>
      <c r="U602" s="37" t="s">
        <v>254</v>
      </c>
      <c r="V602" s="37" t="s">
        <v>72</v>
      </c>
      <c r="W602" s="37" t="s">
        <v>69</v>
      </c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</row>
    <row r="603" spans="1:37">
      <c r="A603" s="37" t="s">
        <v>112</v>
      </c>
      <c r="B603" s="37"/>
      <c r="C603" s="37"/>
      <c r="D603" s="37" t="s">
        <v>1574</v>
      </c>
      <c r="E603" s="37" t="s">
        <v>2092</v>
      </c>
      <c r="F603" s="37" t="s">
        <v>2094</v>
      </c>
      <c r="G603" s="37" t="s">
        <v>1513</v>
      </c>
      <c r="H603" s="37"/>
      <c r="I603" s="37" t="s">
        <v>691</v>
      </c>
      <c r="J603" s="37" t="s">
        <v>125</v>
      </c>
      <c r="K603" s="40" t="s">
        <v>1440</v>
      </c>
      <c r="L603" s="37" t="s">
        <v>64</v>
      </c>
      <c r="M603" s="37" t="s">
        <v>2093</v>
      </c>
      <c r="N603" s="37"/>
      <c r="O603" s="37" t="s">
        <v>1387</v>
      </c>
      <c r="P603" s="37" t="s">
        <v>123</v>
      </c>
      <c r="Q603" s="37" t="s">
        <v>126</v>
      </c>
      <c r="R603" s="37"/>
      <c r="S603" s="37"/>
      <c r="T603" s="37" t="s">
        <v>69</v>
      </c>
      <c r="U603" s="37" t="s">
        <v>87</v>
      </c>
      <c r="V603" s="37" t="s">
        <v>72</v>
      </c>
      <c r="W603" s="37" t="s">
        <v>195</v>
      </c>
      <c r="X603" s="25"/>
      <c r="Y603" s="25"/>
      <c r="Z603" s="25"/>
      <c r="AA603" s="25"/>
      <c r="AB603" s="25"/>
      <c r="AC603" s="25"/>
      <c r="AD603" s="25"/>
      <c r="AE603" s="25"/>
      <c r="AF603" s="26"/>
      <c r="AG603" s="25"/>
      <c r="AH603" s="25"/>
      <c r="AI603" s="25"/>
      <c r="AJ603" s="25"/>
      <c r="AK603" s="25"/>
    </row>
    <row r="604" spans="1:37">
      <c r="A604" s="37"/>
      <c r="B604" s="37"/>
      <c r="C604" s="37"/>
      <c r="D604" s="37" t="s">
        <v>1073</v>
      </c>
      <c r="E604" s="37" t="s">
        <v>2103</v>
      </c>
      <c r="F604" s="37" t="s">
        <v>2106</v>
      </c>
      <c r="G604" s="37" t="s">
        <v>2104</v>
      </c>
      <c r="H604" s="37"/>
      <c r="I604" s="37" t="s">
        <v>420</v>
      </c>
      <c r="J604" s="37" t="s">
        <v>75</v>
      </c>
      <c r="K604" s="40" t="s">
        <v>2105</v>
      </c>
      <c r="L604" s="37" t="s">
        <v>64</v>
      </c>
      <c r="M604" s="37" t="s">
        <v>699</v>
      </c>
      <c r="N604" s="37"/>
      <c r="O604" s="37" t="s">
        <v>1387</v>
      </c>
      <c r="P604" s="37" t="s">
        <v>221</v>
      </c>
      <c r="Q604" s="37" t="s">
        <v>10</v>
      </c>
      <c r="R604" s="37"/>
      <c r="S604" s="37"/>
      <c r="T604" s="37" t="s">
        <v>69</v>
      </c>
      <c r="U604" s="37"/>
      <c r="V604" s="37" t="s">
        <v>72</v>
      </c>
      <c r="W604" s="37" t="s">
        <v>69</v>
      </c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</row>
    <row r="605" spans="1:37">
      <c r="A605" s="37"/>
      <c r="B605" s="37"/>
      <c r="C605" s="37"/>
      <c r="D605" s="37" t="s">
        <v>955</v>
      </c>
      <c r="E605" s="37" t="s">
        <v>2109</v>
      </c>
      <c r="F605" s="37" t="s">
        <v>2112</v>
      </c>
      <c r="G605" s="37" t="s">
        <v>942</v>
      </c>
      <c r="H605" s="37" t="s">
        <v>2110</v>
      </c>
      <c r="I605" s="37" t="s">
        <v>120</v>
      </c>
      <c r="J605" s="37" t="s">
        <v>121</v>
      </c>
      <c r="K605" s="40" t="s">
        <v>122</v>
      </c>
      <c r="L605" s="37" t="s">
        <v>64</v>
      </c>
      <c r="M605" s="37" t="s">
        <v>2111</v>
      </c>
      <c r="N605" s="37"/>
      <c r="O605" s="37" t="s">
        <v>1387</v>
      </c>
      <c r="P605" s="37" t="s">
        <v>123</v>
      </c>
      <c r="Q605" s="37" t="s">
        <v>14</v>
      </c>
      <c r="R605" s="37"/>
      <c r="S605" s="37"/>
      <c r="T605" s="37" t="s">
        <v>66</v>
      </c>
      <c r="U605" s="37" t="s">
        <v>254</v>
      </c>
      <c r="V605" s="37" t="s">
        <v>88</v>
      </c>
      <c r="W605" s="37" t="s">
        <v>110</v>
      </c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</row>
    <row r="606" spans="1:37">
      <c r="A606" s="37"/>
      <c r="B606" s="37"/>
      <c r="C606" s="37"/>
      <c r="D606" s="37" t="s">
        <v>5603</v>
      </c>
      <c r="E606" s="37" t="s">
        <v>5604</v>
      </c>
      <c r="F606" s="37" t="s">
        <v>5606</v>
      </c>
      <c r="G606" s="37" t="s">
        <v>1798</v>
      </c>
      <c r="H606" s="37" t="s">
        <v>5509</v>
      </c>
      <c r="I606" s="37" t="s">
        <v>354</v>
      </c>
      <c r="J606" s="37" t="s">
        <v>75</v>
      </c>
      <c r="K606" s="40" t="s">
        <v>355</v>
      </c>
      <c r="L606" s="37" t="s">
        <v>64</v>
      </c>
      <c r="M606" s="37" t="s">
        <v>5605</v>
      </c>
      <c r="N606" s="37"/>
      <c r="O606" s="37" t="s">
        <v>1387</v>
      </c>
      <c r="P606" s="37" t="s">
        <v>123</v>
      </c>
      <c r="Q606" s="37" t="s">
        <v>10</v>
      </c>
      <c r="R606" s="37"/>
      <c r="S606" s="37"/>
      <c r="T606" s="37"/>
      <c r="U606" s="37"/>
      <c r="V606" s="37" t="s">
        <v>72</v>
      </c>
      <c r="W606" s="37" t="s">
        <v>195</v>
      </c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</row>
    <row r="607" spans="1:37">
      <c r="A607" s="37"/>
      <c r="B607" s="37"/>
      <c r="C607" s="37"/>
      <c r="D607" s="37" t="s">
        <v>448</v>
      </c>
      <c r="E607" s="37" t="s">
        <v>2128</v>
      </c>
      <c r="F607" s="37" t="s">
        <v>2131</v>
      </c>
      <c r="G607" s="37" t="s">
        <v>1525</v>
      </c>
      <c r="H607" s="37" t="s">
        <v>2129</v>
      </c>
      <c r="I607" s="37" t="s">
        <v>342</v>
      </c>
      <c r="J607" s="37" t="s">
        <v>256</v>
      </c>
      <c r="K607" s="40" t="s">
        <v>343</v>
      </c>
      <c r="L607" s="37" t="s">
        <v>64</v>
      </c>
      <c r="M607" s="37" t="s">
        <v>2130</v>
      </c>
      <c r="N607" s="37"/>
      <c r="O607" s="37" t="s">
        <v>1387</v>
      </c>
      <c r="P607" s="37" t="s">
        <v>513</v>
      </c>
      <c r="Q607" s="37" t="s">
        <v>17</v>
      </c>
      <c r="R607" s="37"/>
      <c r="S607" s="37"/>
      <c r="T607" s="37" t="s">
        <v>69</v>
      </c>
      <c r="U607" s="37" t="s">
        <v>254</v>
      </c>
      <c r="V607" s="37" t="s">
        <v>72</v>
      </c>
      <c r="W607" s="37" t="s">
        <v>89</v>
      </c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</row>
    <row r="608" spans="1:37">
      <c r="A608" s="37"/>
      <c r="B608" s="37"/>
      <c r="C608" s="37"/>
      <c r="D608" s="37" t="s">
        <v>484</v>
      </c>
      <c r="E608" s="37" t="s">
        <v>6154</v>
      </c>
      <c r="F608" s="37" t="s">
        <v>6155</v>
      </c>
      <c r="G608" s="37" t="s">
        <v>6144</v>
      </c>
      <c r="H608" s="37" t="s">
        <v>2243</v>
      </c>
      <c r="I608" s="37" t="s">
        <v>139</v>
      </c>
      <c r="J608" s="37" t="s">
        <v>121</v>
      </c>
      <c r="K608" s="40" t="s">
        <v>3102</v>
      </c>
      <c r="L608" s="37" t="s">
        <v>64</v>
      </c>
      <c r="M608" s="37" t="s">
        <v>6156</v>
      </c>
      <c r="N608" s="37"/>
      <c r="O608" s="37" t="s">
        <v>1387</v>
      </c>
      <c r="P608" s="37" t="s">
        <v>123</v>
      </c>
      <c r="Q608" s="37" t="s">
        <v>14</v>
      </c>
      <c r="R608" s="37"/>
      <c r="S608" s="37"/>
      <c r="T608" s="37"/>
      <c r="U608" s="37" t="s">
        <v>69</v>
      </c>
      <c r="V608" s="37" t="s">
        <v>72</v>
      </c>
      <c r="W608" s="37" t="s">
        <v>756</v>
      </c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</row>
    <row r="609" spans="1:37">
      <c r="A609" s="37"/>
      <c r="B609" s="37"/>
      <c r="C609" s="37"/>
      <c r="D609" s="37" t="s">
        <v>1941</v>
      </c>
      <c r="E609" s="37" t="s">
        <v>2801</v>
      </c>
      <c r="F609" s="37" t="s">
        <v>2936</v>
      </c>
      <c r="G609" s="37" t="s">
        <v>3009</v>
      </c>
      <c r="H609" s="37"/>
      <c r="I609" s="37" t="s">
        <v>191</v>
      </c>
      <c r="J609" s="37" t="s">
        <v>121</v>
      </c>
      <c r="K609" s="40" t="s">
        <v>192</v>
      </c>
      <c r="L609" s="37" t="s">
        <v>64</v>
      </c>
      <c r="M609" s="37" t="s">
        <v>2935</v>
      </c>
      <c r="N609" s="37"/>
      <c r="O609" s="37" t="s">
        <v>1387</v>
      </c>
      <c r="P609" s="37" t="s">
        <v>123</v>
      </c>
      <c r="Q609" s="37" t="s">
        <v>14</v>
      </c>
      <c r="R609" s="37"/>
      <c r="S609" s="37"/>
      <c r="T609" s="37"/>
      <c r="U609" s="37"/>
      <c r="V609" s="37" t="s">
        <v>72</v>
      </c>
      <c r="W609" s="37" t="s">
        <v>69</v>
      </c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</row>
    <row r="610" spans="1:37">
      <c r="A610" s="37"/>
      <c r="B610" s="37"/>
      <c r="C610" s="37"/>
      <c r="D610" s="37" t="s">
        <v>869</v>
      </c>
      <c r="E610" s="37" t="s">
        <v>2169</v>
      </c>
      <c r="F610" s="37" t="s">
        <v>2172</v>
      </c>
      <c r="G610" s="37" t="s">
        <v>2170</v>
      </c>
      <c r="H610" s="37" t="s">
        <v>258</v>
      </c>
      <c r="I610" s="37" t="s">
        <v>82</v>
      </c>
      <c r="J610" s="37" t="s">
        <v>83</v>
      </c>
      <c r="K610" s="40" t="s">
        <v>201</v>
      </c>
      <c r="L610" s="37" t="s">
        <v>64</v>
      </c>
      <c r="M610" s="37" t="s">
        <v>2171</v>
      </c>
      <c r="N610" s="37"/>
      <c r="O610" s="37" t="s">
        <v>1387</v>
      </c>
      <c r="P610" s="37" t="s">
        <v>123</v>
      </c>
      <c r="Q610" s="37" t="s">
        <v>14</v>
      </c>
      <c r="R610" s="37"/>
      <c r="S610" s="37"/>
      <c r="T610" s="37" t="s">
        <v>66</v>
      </c>
      <c r="U610" s="37" t="s">
        <v>254</v>
      </c>
      <c r="V610" s="37" t="s">
        <v>72</v>
      </c>
      <c r="W610" s="37" t="s">
        <v>110</v>
      </c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</row>
    <row r="611" spans="1:37">
      <c r="A611" s="37" t="s">
        <v>250</v>
      </c>
      <c r="B611" s="37"/>
      <c r="C611" s="37"/>
      <c r="D611" s="37" t="s">
        <v>2072</v>
      </c>
      <c r="E611" s="37" t="s">
        <v>5180</v>
      </c>
      <c r="F611" s="37" t="s">
        <v>5182</v>
      </c>
      <c r="G611" s="37" t="s">
        <v>1525</v>
      </c>
      <c r="H611" s="37" t="s">
        <v>2386</v>
      </c>
      <c r="I611" s="37" t="s">
        <v>342</v>
      </c>
      <c r="J611" s="37" t="s">
        <v>256</v>
      </c>
      <c r="K611" s="40" t="s">
        <v>343</v>
      </c>
      <c r="L611" s="37" t="s">
        <v>64</v>
      </c>
      <c r="M611" s="37" t="s">
        <v>5181</v>
      </c>
      <c r="N611" s="37" t="s">
        <v>5431</v>
      </c>
      <c r="O611" s="37" t="s">
        <v>1387</v>
      </c>
      <c r="P611" s="37" t="s">
        <v>123</v>
      </c>
      <c r="Q611" s="37" t="s">
        <v>17</v>
      </c>
      <c r="R611" s="37"/>
      <c r="S611" s="37"/>
      <c r="T611" s="37" t="s">
        <v>69</v>
      </c>
      <c r="U611" s="37"/>
      <c r="V611" s="37" t="s">
        <v>88</v>
      </c>
      <c r="W611" s="37" t="s">
        <v>89</v>
      </c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</row>
    <row r="612" spans="1:37">
      <c r="A612" s="37"/>
      <c r="B612" s="37"/>
      <c r="C612" s="37"/>
      <c r="D612" s="37" t="s">
        <v>74</v>
      </c>
      <c r="E612" s="37" t="s">
        <v>4393</v>
      </c>
      <c r="F612" s="37" t="s">
        <v>4395</v>
      </c>
      <c r="G612" s="37" t="s">
        <v>235</v>
      </c>
      <c r="H612" s="37"/>
      <c r="I612" s="37" t="s">
        <v>191</v>
      </c>
      <c r="J612" s="37" t="s">
        <v>121</v>
      </c>
      <c r="K612" s="40" t="s">
        <v>192</v>
      </c>
      <c r="L612" s="37" t="s">
        <v>64</v>
      </c>
      <c r="M612" s="37" t="s">
        <v>4394</v>
      </c>
      <c r="N612" s="37"/>
      <c r="O612" s="37" t="s">
        <v>1387</v>
      </c>
      <c r="P612" s="37" t="s">
        <v>123</v>
      </c>
      <c r="Q612" s="37" t="s">
        <v>14</v>
      </c>
      <c r="R612" s="37"/>
      <c r="S612" s="37"/>
      <c r="T612" s="37"/>
      <c r="U612" s="37"/>
      <c r="V612" s="37" t="s">
        <v>72</v>
      </c>
      <c r="W612" s="37" t="s">
        <v>195</v>
      </c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</row>
    <row r="613" spans="1:37">
      <c r="A613" s="37"/>
      <c r="B613" s="37"/>
      <c r="C613" s="37"/>
      <c r="D613" s="37" t="s">
        <v>2204</v>
      </c>
      <c r="E613" s="37" t="s">
        <v>2205</v>
      </c>
      <c r="F613" s="37" t="s">
        <v>2208</v>
      </c>
      <c r="G613" s="37" t="s">
        <v>2206</v>
      </c>
      <c r="H613" s="37"/>
      <c r="I613" s="37" t="s">
        <v>193</v>
      </c>
      <c r="J613" s="37" t="s">
        <v>153</v>
      </c>
      <c r="K613" s="40" t="s">
        <v>194</v>
      </c>
      <c r="L613" s="37" t="s">
        <v>64</v>
      </c>
      <c r="M613" s="37" t="s">
        <v>2207</v>
      </c>
      <c r="N613" s="37"/>
      <c r="O613" s="37" t="s">
        <v>1387</v>
      </c>
      <c r="P613" s="37" t="s">
        <v>123</v>
      </c>
      <c r="Q613" s="37" t="s">
        <v>16</v>
      </c>
      <c r="R613" s="37"/>
      <c r="S613" s="37"/>
      <c r="T613" s="37" t="s">
        <v>66</v>
      </c>
      <c r="U613" s="37" t="s">
        <v>254</v>
      </c>
      <c r="V613" s="37" t="s">
        <v>72</v>
      </c>
      <c r="W613" s="37" t="s">
        <v>195</v>
      </c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</row>
    <row r="614" spans="1:37">
      <c r="A614" s="37"/>
      <c r="B614" s="37"/>
      <c r="C614" s="37"/>
      <c r="D614" s="37" t="s">
        <v>539</v>
      </c>
      <c r="E614" s="37" t="s">
        <v>2955</v>
      </c>
      <c r="F614" s="37" t="s">
        <v>2956</v>
      </c>
      <c r="G614" s="37" t="s">
        <v>3337</v>
      </c>
      <c r="H614" s="37"/>
      <c r="I614" s="37" t="s">
        <v>1219</v>
      </c>
      <c r="J614" s="37" t="s">
        <v>75</v>
      </c>
      <c r="K614" s="40" t="s">
        <v>355</v>
      </c>
      <c r="L614" s="37" t="s">
        <v>64</v>
      </c>
      <c r="M614" s="37" t="s">
        <v>5187</v>
      </c>
      <c r="N614" s="37"/>
      <c r="O614" s="37" t="s">
        <v>1387</v>
      </c>
      <c r="P614" s="37" t="s">
        <v>123</v>
      </c>
      <c r="Q614" s="37" t="s">
        <v>10</v>
      </c>
      <c r="R614" s="37"/>
      <c r="S614" s="37"/>
      <c r="T614" s="37" t="s">
        <v>66</v>
      </c>
      <c r="U614" s="37" t="s">
        <v>254</v>
      </c>
      <c r="V614" s="37" t="s">
        <v>118</v>
      </c>
      <c r="W614" s="37" t="s">
        <v>69</v>
      </c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</row>
    <row r="615" spans="1:37">
      <c r="A615" s="37"/>
      <c r="B615" s="37"/>
      <c r="C615" s="37"/>
      <c r="D615" s="37" t="s">
        <v>844</v>
      </c>
      <c r="E615" s="37" t="s">
        <v>2222</v>
      </c>
      <c r="F615" s="37" t="s">
        <v>6157</v>
      </c>
      <c r="G615" s="37" t="s">
        <v>6158</v>
      </c>
      <c r="H615" s="37"/>
      <c r="I615" s="37" t="s">
        <v>354</v>
      </c>
      <c r="J615" s="37" t="s">
        <v>75</v>
      </c>
      <c r="K615" s="40" t="s">
        <v>355</v>
      </c>
      <c r="L615" s="37" t="s">
        <v>64</v>
      </c>
      <c r="M615" s="37" t="s">
        <v>6159</v>
      </c>
      <c r="N615" s="37"/>
      <c r="O615" s="37" t="s">
        <v>1387</v>
      </c>
      <c r="P615" s="37" t="s">
        <v>123</v>
      </c>
      <c r="Q615" s="37" t="s">
        <v>10</v>
      </c>
      <c r="R615" s="37"/>
      <c r="S615" s="37"/>
      <c r="T615" s="37"/>
      <c r="U615" s="37"/>
      <c r="V615" s="37" t="s">
        <v>88</v>
      </c>
      <c r="W615" s="37" t="s">
        <v>89</v>
      </c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</row>
    <row r="616" spans="1:37">
      <c r="A616" s="37"/>
      <c r="B616" s="37"/>
      <c r="C616" s="37"/>
      <c r="D616" s="37" t="s">
        <v>160</v>
      </c>
      <c r="E616" s="37" t="s">
        <v>5122</v>
      </c>
      <c r="F616" s="37" t="s">
        <v>5124</v>
      </c>
      <c r="G616" s="37" t="s">
        <v>119</v>
      </c>
      <c r="H616" s="37"/>
      <c r="I616" s="37" t="s">
        <v>120</v>
      </c>
      <c r="J616" s="37" t="s">
        <v>121</v>
      </c>
      <c r="K616" s="40" t="s">
        <v>122</v>
      </c>
      <c r="L616" s="37" t="s">
        <v>64</v>
      </c>
      <c r="M616" s="37" t="s">
        <v>5123</v>
      </c>
      <c r="N616" s="37"/>
      <c r="O616" s="37" t="s">
        <v>1387</v>
      </c>
      <c r="P616" s="37" t="s">
        <v>123</v>
      </c>
      <c r="Q616" s="37" t="s">
        <v>14</v>
      </c>
      <c r="R616" s="37"/>
      <c r="S616" s="37"/>
      <c r="T616" s="37" t="s">
        <v>115</v>
      </c>
      <c r="U616" s="37" t="s">
        <v>87</v>
      </c>
      <c r="V616" s="37" t="s">
        <v>72</v>
      </c>
      <c r="W616" s="37" t="s">
        <v>195</v>
      </c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</row>
    <row r="617" spans="1:37">
      <c r="A617" s="37"/>
      <c r="B617" s="37"/>
      <c r="C617" s="37"/>
      <c r="D617" s="37" t="s">
        <v>2224</v>
      </c>
      <c r="E617" s="37" t="s">
        <v>2225</v>
      </c>
      <c r="F617" s="37" t="s">
        <v>2229</v>
      </c>
      <c r="G617" s="37" t="s">
        <v>2226</v>
      </c>
      <c r="H617" s="37" t="s">
        <v>2227</v>
      </c>
      <c r="I617" s="37" t="s">
        <v>454</v>
      </c>
      <c r="J617" s="37" t="s">
        <v>121</v>
      </c>
      <c r="K617" s="40" t="s">
        <v>192</v>
      </c>
      <c r="L617" s="37" t="s">
        <v>64</v>
      </c>
      <c r="M617" s="37" t="s">
        <v>2228</v>
      </c>
      <c r="N617" s="37"/>
      <c r="O617" s="37" t="s">
        <v>1387</v>
      </c>
      <c r="P617" s="37" t="s">
        <v>123</v>
      </c>
      <c r="Q617" s="37" t="s">
        <v>14</v>
      </c>
      <c r="R617" s="37"/>
      <c r="S617" s="37"/>
      <c r="T617" s="37" t="s">
        <v>69</v>
      </c>
      <c r="U617" s="37" t="s">
        <v>189</v>
      </c>
      <c r="V617" s="37" t="s">
        <v>72</v>
      </c>
      <c r="W617" s="37" t="s">
        <v>69</v>
      </c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</row>
    <row r="618" spans="1:37">
      <c r="A618" s="37"/>
      <c r="B618" s="37"/>
      <c r="C618" s="37"/>
      <c r="D618" s="37" t="s">
        <v>955</v>
      </c>
      <c r="E618" s="37" t="s">
        <v>4396</v>
      </c>
      <c r="F618" s="37" t="s">
        <v>4398</v>
      </c>
      <c r="G618" s="37" t="s">
        <v>235</v>
      </c>
      <c r="H618" s="37"/>
      <c r="I618" s="37" t="s">
        <v>191</v>
      </c>
      <c r="J618" s="37" t="s">
        <v>121</v>
      </c>
      <c r="K618" s="40" t="s">
        <v>192</v>
      </c>
      <c r="L618" s="37" t="s">
        <v>64</v>
      </c>
      <c r="M618" s="37" t="s">
        <v>4397</v>
      </c>
      <c r="N618" s="37"/>
      <c r="O618" s="37" t="s">
        <v>1387</v>
      </c>
      <c r="P618" s="37" t="s">
        <v>123</v>
      </c>
      <c r="Q618" s="37" t="s">
        <v>14</v>
      </c>
      <c r="R618" s="37"/>
      <c r="S618" s="37"/>
      <c r="T618" s="37" t="s">
        <v>66</v>
      </c>
      <c r="U618" s="37" t="s">
        <v>254</v>
      </c>
      <c r="V618" s="37" t="s">
        <v>77</v>
      </c>
      <c r="W618" s="37" t="s">
        <v>78</v>
      </c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</row>
    <row r="619" spans="1:37">
      <c r="A619" s="37"/>
      <c r="B619" s="37"/>
      <c r="C619" s="37"/>
      <c r="D619" s="37" t="s">
        <v>2235</v>
      </c>
      <c r="E619" s="37" t="s">
        <v>2236</v>
      </c>
      <c r="F619" s="37" t="s">
        <v>2238</v>
      </c>
      <c r="G619" s="37" t="s">
        <v>755</v>
      </c>
      <c r="H619" s="37"/>
      <c r="I619" s="37" t="s">
        <v>556</v>
      </c>
      <c r="J619" s="37" t="s">
        <v>200</v>
      </c>
      <c r="K619" s="40" t="s">
        <v>557</v>
      </c>
      <c r="L619" s="37" t="s">
        <v>64</v>
      </c>
      <c r="M619" s="37" t="s">
        <v>2237</v>
      </c>
      <c r="N619" s="37"/>
      <c r="O619" s="37" t="s">
        <v>1387</v>
      </c>
      <c r="P619" s="37" t="s">
        <v>123</v>
      </c>
      <c r="Q619" s="37" t="s">
        <v>18</v>
      </c>
      <c r="R619" s="37"/>
      <c r="S619" s="37"/>
      <c r="T619" s="37" t="s">
        <v>158</v>
      </c>
      <c r="U619" s="37" t="s">
        <v>185</v>
      </c>
      <c r="V619" s="37" t="s">
        <v>72</v>
      </c>
      <c r="W619" s="37" t="s">
        <v>89</v>
      </c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</row>
    <row r="620" spans="1:37">
      <c r="A620" s="37"/>
      <c r="B620" s="37"/>
      <c r="C620" s="37"/>
      <c r="D620" s="37" t="s">
        <v>5138</v>
      </c>
      <c r="E620" s="37" t="s">
        <v>3278</v>
      </c>
      <c r="F620" s="37" t="s">
        <v>5141</v>
      </c>
      <c r="G620" s="37" t="s">
        <v>5139</v>
      </c>
      <c r="H620" s="37" t="s">
        <v>4463</v>
      </c>
      <c r="I620" s="37" t="s">
        <v>193</v>
      </c>
      <c r="J620" s="37" t="s">
        <v>153</v>
      </c>
      <c r="K620" s="40" t="s">
        <v>194</v>
      </c>
      <c r="L620" s="37" t="s">
        <v>64</v>
      </c>
      <c r="M620" s="37" t="s">
        <v>5140</v>
      </c>
      <c r="N620" s="37"/>
      <c r="O620" s="37" t="s">
        <v>1387</v>
      </c>
      <c r="P620" s="37" t="s">
        <v>202</v>
      </c>
      <c r="Q620" s="37" t="s">
        <v>16</v>
      </c>
      <c r="R620" s="37" t="s">
        <v>1483</v>
      </c>
      <c r="S620" s="37"/>
      <c r="T620" s="37" t="s">
        <v>69</v>
      </c>
      <c r="U620" s="37" t="s">
        <v>145</v>
      </c>
      <c r="V620" s="37" t="s">
        <v>72</v>
      </c>
      <c r="W620" s="37" t="s">
        <v>110</v>
      </c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</row>
    <row r="621" spans="1:37">
      <c r="A621" s="37"/>
      <c r="B621" s="37"/>
      <c r="C621" s="37"/>
      <c r="D621" s="37" t="s">
        <v>5142</v>
      </c>
      <c r="E621" s="37" t="s">
        <v>5143</v>
      </c>
      <c r="F621" s="37" t="s">
        <v>5146</v>
      </c>
      <c r="G621" s="37" t="s">
        <v>5144</v>
      </c>
      <c r="H621" s="37"/>
      <c r="I621" s="37" t="s">
        <v>82</v>
      </c>
      <c r="J621" s="37" t="s">
        <v>83</v>
      </c>
      <c r="K621" s="40" t="s">
        <v>201</v>
      </c>
      <c r="L621" s="37" t="s">
        <v>64</v>
      </c>
      <c r="M621" s="37" t="s">
        <v>5145</v>
      </c>
      <c r="N621" s="37"/>
      <c r="O621" s="37" t="s">
        <v>1387</v>
      </c>
      <c r="P621" s="37" t="s">
        <v>123</v>
      </c>
      <c r="Q621" s="37" t="s">
        <v>14</v>
      </c>
      <c r="R621" s="37"/>
      <c r="S621" s="37"/>
      <c r="T621" s="37" t="s">
        <v>115</v>
      </c>
      <c r="U621" s="37" t="s">
        <v>109</v>
      </c>
      <c r="V621" s="37" t="s">
        <v>88</v>
      </c>
      <c r="W621" s="37" t="s">
        <v>69</v>
      </c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</row>
    <row r="622" spans="1:37">
      <c r="A622" s="37"/>
      <c r="B622" s="37"/>
      <c r="C622" s="37"/>
      <c r="D622" s="37" t="s">
        <v>2275</v>
      </c>
      <c r="E622" s="37" t="s">
        <v>2276</v>
      </c>
      <c r="F622" s="37" t="s">
        <v>2279</v>
      </c>
      <c r="G622" s="37" t="s">
        <v>530</v>
      </c>
      <c r="H622" s="37" t="s">
        <v>2277</v>
      </c>
      <c r="I622" s="37" t="s">
        <v>650</v>
      </c>
      <c r="J622" s="37" t="s">
        <v>324</v>
      </c>
      <c r="K622" s="40" t="s">
        <v>531</v>
      </c>
      <c r="L622" s="37" t="s">
        <v>64</v>
      </c>
      <c r="M622" s="37" t="s">
        <v>2278</v>
      </c>
      <c r="N622" s="37"/>
      <c r="O622" s="37" t="s">
        <v>1387</v>
      </c>
      <c r="P622" s="37" t="s">
        <v>123</v>
      </c>
      <c r="Q622" s="37" t="s">
        <v>65</v>
      </c>
      <c r="R622" s="37"/>
      <c r="S622" s="37"/>
      <c r="T622" s="37" t="s">
        <v>69</v>
      </c>
      <c r="U622" s="37" t="s">
        <v>145</v>
      </c>
      <c r="V622" s="37" t="s">
        <v>72</v>
      </c>
      <c r="W622" s="37" t="s">
        <v>195</v>
      </c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</row>
    <row r="623" spans="1:37">
      <c r="A623" s="37" t="s">
        <v>2280</v>
      </c>
      <c r="B623" s="37"/>
      <c r="C623" s="37"/>
      <c r="D623" s="37" t="s">
        <v>2281</v>
      </c>
      <c r="E623" s="37" t="s">
        <v>2282</v>
      </c>
      <c r="F623" s="37" t="s">
        <v>2287</v>
      </c>
      <c r="G623" s="37" t="s">
        <v>2283</v>
      </c>
      <c r="H623" s="37"/>
      <c r="I623" s="37" t="s">
        <v>2284</v>
      </c>
      <c r="J623" s="37" t="s">
        <v>673</v>
      </c>
      <c r="K623" s="40" t="s">
        <v>2285</v>
      </c>
      <c r="L623" s="37" t="s">
        <v>64</v>
      </c>
      <c r="M623" s="37" t="s">
        <v>2286</v>
      </c>
      <c r="N623" s="37"/>
      <c r="O623" s="37" t="s">
        <v>1387</v>
      </c>
      <c r="P623" s="37" t="s">
        <v>123</v>
      </c>
      <c r="Q623" s="37" t="s">
        <v>98</v>
      </c>
      <c r="R623" s="37"/>
      <c r="S623" s="37"/>
      <c r="T623" s="37" t="s">
        <v>66</v>
      </c>
      <c r="U623" s="37" t="s">
        <v>109</v>
      </c>
      <c r="V623" s="37" t="s">
        <v>88</v>
      </c>
      <c r="W623" s="37" t="s">
        <v>89</v>
      </c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</row>
    <row r="624" spans="1:37">
      <c r="A624" s="37"/>
      <c r="B624" s="37"/>
      <c r="C624" s="37"/>
      <c r="D624" s="37" t="s">
        <v>2708</v>
      </c>
      <c r="E624" s="37" t="s">
        <v>3569</v>
      </c>
      <c r="F624" s="37" t="s">
        <v>3570</v>
      </c>
      <c r="G624" s="37" t="s">
        <v>352</v>
      </c>
      <c r="H624" s="37"/>
      <c r="I624" s="37" t="s">
        <v>354</v>
      </c>
      <c r="J624" s="37" t="s">
        <v>75</v>
      </c>
      <c r="K624" s="40" t="s">
        <v>747</v>
      </c>
      <c r="L624" s="37" t="s">
        <v>64</v>
      </c>
      <c r="M624" s="37" t="s">
        <v>3861</v>
      </c>
      <c r="N624" s="37"/>
      <c r="O624" s="37" t="s">
        <v>1387</v>
      </c>
      <c r="P624" s="37" t="s">
        <v>202</v>
      </c>
      <c r="Q624" s="37" t="s">
        <v>10</v>
      </c>
      <c r="R624" s="37"/>
      <c r="S624" s="37"/>
      <c r="T624" s="37" t="s">
        <v>69</v>
      </c>
      <c r="U624" s="37" t="s">
        <v>254</v>
      </c>
      <c r="V624" s="37" t="s">
        <v>72</v>
      </c>
      <c r="W624" s="37" t="s">
        <v>69</v>
      </c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</row>
    <row r="625" spans="1:37">
      <c r="A625" s="37"/>
      <c r="B625" s="37"/>
      <c r="C625" s="37"/>
      <c r="D625" s="37" t="s">
        <v>2072</v>
      </c>
      <c r="E625" s="37" t="s">
        <v>3290</v>
      </c>
      <c r="F625" s="37" t="s">
        <v>3293</v>
      </c>
      <c r="G625" s="37" t="s">
        <v>3291</v>
      </c>
      <c r="H625" s="37"/>
      <c r="I625" s="37" t="s">
        <v>191</v>
      </c>
      <c r="J625" s="37" t="s">
        <v>121</v>
      </c>
      <c r="K625" s="40" t="s">
        <v>192</v>
      </c>
      <c r="L625" s="37" t="s">
        <v>64</v>
      </c>
      <c r="M625" s="37" t="s">
        <v>3292</v>
      </c>
      <c r="N625" s="37"/>
      <c r="O625" s="37" t="s">
        <v>1387</v>
      </c>
      <c r="P625" s="37" t="s">
        <v>123</v>
      </c>
      <c r="Q625" s="37" t="s">
        <v>14</v>
      </c>
      <c r="R625" s="37"/>
      <c r="S625" s="37"/>
      <c r="T625" s="37" t="s">
        <v>158</v>
      </c>
      <c r="U625" s="37"/>
      <c r="V625" s="37" t="s">
        <v>72</v>
      </c>
      <c r="W625" s="37" t="s">
        <v>89</v>
      </c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</row>
    <row r="626" spans="1:37">
      <c r="A626" s="37"/>
      <c r="B626" s="37"/>
      <c r="C626" s="37"/>
      <c r="D626" s="37" t="s">
        <v>2881</v>
      </c>
      <c r="E626" s="37" t="s">
        <v>2882</v>
      </c>
      <c r="F626" s="37" t="s">
        <v>2884</v>
      </c>
      <c r="G626" s="37" t="s">
        <v>235</v>
      </c>
      <c r="H626" s="37" t="s">
        <v>1074</v>
      </c>
      <c r="I626" s="37" t="s">
        <v>191</v>
      </c>
      <c r="J626" s="37" t="s">
        <v>121</v>
      </c>
      <c r="K626" s="40" t="s">
        <v>3102</v>
      </c>
      <c r="L626" s="37" t="s">
        <v>64</v>
      </c>
      <c r="M626" s="37" t="s">
        <v>2883</v>
      </c>
      <c r="N626" s="37"/>
      <c r="O626" s="37" t="s">
        <v>1387</v>
      </c>
      <c r="P626" s="37" t="s">
        <v>123</v>
      </c>
      <c r="Q626" s="37" t="s">
        <v>14</v>
      </c>
      <c r="R626" s="37"/>
      <c r="S626" s="37"/>
      <c r="T626" s="37"/>
      <c r="U626" s="37"/>
      <c r="V626" s="37" t="s">
        <v>77</v>
      </c>
      <c r="W626" s="37" t="s">
        <v>195</v>
      </c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</row>
    <row r="627" spans="1:37">
      <c r="A627" s="37"/>
      <c r="B627" s="37"/>
      <c r="C627" s="37"/>
      <c r="D627" s="37" t="s">
        <v>2300</v>
      </c>
      <c r="E627" s="37" t="s">
        <v>3806</v>
      </c>
      <c r="F627" s="37" t="s">
        <v>3808</v>
      </c>
      <c r="G627" s="37" t="s">
        <v>274</v>
      </c>
      <c r="H627" s="37" t="s">
        <v>279</v>
      </c>
      <c r="I627" s="37" t="s">
        <v>276</v>
      </c>
      <c r="J627" s="37" t="s">
        <v>70</v>
      </c>
      <c r="K627" s="40" t="s">
        <v>277</v>
      </c>
      <c r="L627" s="37" t="s">
        <v>64</v>
      </c>
      <c r="M627" s="37" t="s">
        <v>3807</v>
      </c>
      <c r="N627" s="37"/>
      <c r="O627" s="37" t="s">
        <v>1387</v>
      </c>
      <c r="P627" s="37" t="s">
        <v>123</v>
      </c>
      <c r="Q627" s="37" t="s">
        <v>71</v>
      </c>
      <c r="R627" s="37"/>
      <c r="S627" s="37"/>
      <c r="T627" s="37" t="s">
        <v>115</v>
      </c>
      <c r="U627" s="37" t="s">
        <v>87</v>
      </c>
      <c r="V627" s="37" t="s">
        <v>88</v>
      </c>
      <c r="W627" s="37" t="s">
        <v>89</v>
      </c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</row>
    <row r="628" spans="1:37">
      <c r="A628" s="37"/>
      <c r="B628" s="37"/>
      <c r="C628" s="37"/>
      <c r="D628" s="37" t="s">
        <v>5159</v>
      </c>
      <c r="E628" s="37" t="s">
        <v>5160</v>
      </c>
      <c r="F628" s="37" t="s">
        <v>5165</v>
      </c>
      <c r="G628" s="37" t="s">
        <v>5161</v>
      </c>
      <c r="H628" s="37"/>
      <c r="I628" s="37" t="s">
        <v>5162</v>
      </c>
      <c r="J628" s="37" t="s">
        <v>474</v>
      </c>
      <c r="K628" s="40" t="s">
        <v>5163</v>
      </c>
      <c r="L628" s="37" t="s">
        <v>64</v>
      </c>
      <c r="M628" s="37" t="s">
        <v>5164</v>
      </c>
      <c r="N628" s="37"/>
      <c r="O628" s="37" t="s">
        <v>1387</v>
      </c>
      <c r="P628" s="37" t="s">
        <v>123</v>
      </c>
      <c r="Q628" s="37" t="s">
        <v>316</v>
      </c>
      <c r="R628" s="37"/>
      <c r="S628" s="37"/>
      <c r="T628" s="37"/>
      <c r="U628" s="37"/>
      <c r="V628" s="37" t="s">
        <v>72</v>
      </c>
      <c r="W628" s="37" t="s">
        <v>69</v>
      </c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</row>
    <row r="629" spans="1:37">
      <c r="A629" s="37"/>
      <c r="B629" s="37"/>
      <c r="C629" s="37"/>
      <c r="D629" s="37" t="s">
        <v>2885</v>
      </c>
      <c r="E629" s="37" t="s">
        <v>2886</v>
      </c>
      <c r="F629" s="37" t="s">
        <v>2891</v>
      </c>
      <c r="G629" s="37" t="s">
        <v>2887</v>
      </c>
      <c r="H629" s="37" t="s">
        <v>2888</v>
      </c>
      <c r="I629" s="37" t="s">
        <v>193</v>
      </c>
      <c r="J629" s="37" t="s">
        <v>153</v>
      </c>
      <c r="K629" s="40" t="s">
        <v>2889</v>
      </c>
      <c r="L629" s="37" t="s">
        <v>64</v>
      </c>
      <c r="M629" s="37" t="s">
        <v>2890</v>
      </c>
      <c r="N629" s="37"/>
      <c r="O629" s="37" t="s">
        <v>1387</v>
      </c>
      <c r="P629" s="37" t="s">
        <v>123</v>
      </c>
      <c r="Q629" s="37" t="s">
        <v>16</v>
      </c>
      <c r="R629" s="37"/>
      <c r="S629" s="37"/>
      <c r="T629" s="37"/>
      <c r="U629" s="37"/>
      <c r="V629" s="37" t="s">
        <v>72</v>
      </c>
      <c r="W629" s="37" t="s">
        <v>195</v>
      </c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</row>
    <row r="630" spans="1:37">
      <c r="A630" s="37"/>
      <c r="B630" s="37"/>
      <c r="C630" s="37"/>
      <c r="D630" s="37" t="s">
        <v>4128</v>
      </c>
      <c r="E630" s="37" t="s">
        <v>231</v>
      </c>
      <c r="F630" s="37" t="s">
        <v>4130</v>
      </c>
      <c r="G630" s="37" t="s">
        <v>235</v>
      </c>
      <c r="H630" s="37"/>
      <c r="I630" s="37" t="s">
        <v>191</v>
      </c>
      <c r="J630" s="37" t="s">
        <v>121</v>
      </c>
      <c r="K630" s="40" t="s">
        <v>192</v>
      </c>
      <c r="L630" s="37" t="s">
        <v>64</v>
      </c>
      <c r="M630" s="37" t="s">
        <v>4129</v>
      </c>
      <c r="N630" s="37"/>
      <c r="O630" s="37" t="s">
        <v>1387</v>
      </c>
      <c r="P630" s="37" t="s">
        <v>123</v>
      </c>
      <c r="Q630" s="37" t="s">
        <v>14</v>
      </c>
      <c r="R630" s="37"/>
      <c r="S630" s="37"/>
      <c r="T630" s="37" t="s">
        <v>115</v>
      </c>
      <c r="U630" s="37" t="s">
        <v>254</v>
      </c>
      <c r="V630" s="37" t="s">
        <v>72</v>
      </c>
      <c r="W630" s="37" t="s">
        <v>89</v>
      </c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</row>
    <row r="631" spans="1:37">
      <c r="A631" s="37"/>
      <c r="B631" s="37"/>
      <c r="C631" s="37"/>
      <c r="D631" s="37" t="s">
        <v>412</v>
      </c>
      <c r="E631" s="37" t="s">
        <v>2336</v>
      </c>
      <c r="F631" s="37" t="s">
        <v>2338</v>
      </c>
      <c r="G631" s="37" t="s">
        <v>235</v>
      </c>
      <c r="H631" s="37"/>
      <c r="I631" s="37" t="s">
        <v>191</v>
      </c>
      <c r="J631" s="37" t="s">
        <v>121</v>
      </c>
      <c r="K631" s="40" t="s">
        <v>192</v>
      </c>
      <c r="L631" s="37" t="s">
        <v>64</v>
      </c>
      <c r="M631" s="37" t="s">
        <v>2337</v>
      </c>
      <c r="N631" s="37"/>
      <c r="O631" s="37" t="s">
        <v>1387</v>
      </c>
      <c r="P631" s="37" t="s">
        <v>123</v>
      </c>
      <c r="Q631" s="37" t="s">
        <v>14</v>
      </c>
      <c r="R631" s="37"/>
      <c r="S631" s="37"/>
      <c r="T631" s="37"/>
      <c r="U631" s="37"/>
      <c r="V631" s="37" t="s">
        <v>72</v>
      </c>
      <c r="W631" s="37" t="s">
        <v>69</v>
      </c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</row>
    <row r="632" spans="1:37">
      <c r="A632" s="37"/>
      <c r="B632" s="37"/>
      <c r="C632" s="37"/>
      <c r="D632" s="37" t="s">
        <v>2393</v>
      </c>
      <c r="E632" s="37" t="s">
        <v>4131</v>
      </c>
      <c r="F632" s="37" t="s">
        <v>4135</v>
      </c>
      <c r="G632" s="37" t="s">
        <v>4132</v>
      </c>
      <c r="H632" s="37"/>
      <c r="I632" s="37" t="s">
        <v>354</v>
      </c>
      <c r="J632" s="37" t="s">
        <v>75</v>
      </c>
      <c r="K632" s="40" t="s">
        <v>355</v>
      </c>
      <c r="L632" s="37" t="s">
        <v>64</v>
      </c>
      <c r="M632" s="37" t="s">
        <v>4133</v>
      </c>
      <c r="N632" s="37" t="s">
        <v>4134</v>
      </c>
      <c r="O632" s="37" t="s">
        <v>1387</v>
      </c>
      <c r="P632" s="37" t="s">
        <v>123</v>
      </c>
      <c r="Q632" s="37" t="s">
        <v>10</v>
      </c>
      <c r="R632" s="37"/>
      <c r="S632" s="37"/>
      <c r="T632" s="37" t="s">
        <v>66</v>
      </c>
      <c r="U632" s="37" t="s">
        <v>254</v>
      </c>
      <c r="V632" s="37" t="s">
        <v>118</v>
      </c>
      <c r="W632" s="37" t="s">
        <v>261</v>
      </c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</row>
    <row r="633" spans="1:37">
      <c r="A633" s="37"/>
      <c r="B633" s="37"/>
      <c r="C633" s="37"/>
      <c r="D633" s="37" t="s">
        <v>955</v>
      </c>
      <c r="E633" s="37" t="s">
        <v>2343</v>
      </c>
      <c r="F633" s="37" t="s">
        <v>2346</v>
      </c>
      <c r="G633" s="37" t="s">
        <v>235</v>
      </c>
      <c r="H633" s="37" t="s">
        <v>2344</v>
      </c>
      <c r="I633" s="37" t="s">
        <v>191</v>
      </c>
      <c r="J633" s="37" t="s">
        <v>121</v>
      </c>
      <c r="K633" s="40" t="s">
        <v>192</v>
      </c>
      <c r="L633" s="37" t="s">
        <v>64</v>
      </c>
      <c r="M633" s="37" t="s">
        <v>2345</v>
      </c>
      <c r="N633" s="37"/>
      <c r="O633" s="37" t="s">
        <v>1387</v>
      </c>
      <c r="P633" s="37" t="s">
        <v>123</v>
      </c>
      <c r="Q633" s="37" t="s">
        <v>14</v>
      </c>
      <c r="R633" s="37"/>
      <c r="S633" s="37"/>
      <c r="T633" s="37" t="s">
        <v>66</v>
      </c>
      <c r="U633" s="37"/>
      <c r="V633" s="37" t="s">
        <v>72</v>
      </c>
      <c r="W633" s="37" t="s">
        <v>99</v>
      </c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</row>
    <row r="634" spans="1:37">
      <c r="A634" s="37"/>
      <c r="B634" s="37"/>
      <c r="C634" s="37"/>
      <c r="D634" s="37" t="s">
        <v>539</v>
      </c>
      <c r="E634" s="37" t="s">
        <v>3295</v>
      </c>
      <c r="F634" s="37" t="s">
        <v>3298</v>
      </c>
      <c r="G634" s="37" t="s">
        <v>218</v>
      </c>
      <c r="H634" s="37"/>
      <c r="I634" s="37" t="s">
        <v>82</v>
      </c>
      <c r="J634" s="37" t="s">
        <v>83</v>
      </c>
      <c r="K634" s="40" t="s">
        <v>220</v>
      </c>
      <c r="L634" s="37" t="s">
        <v>64</v>
      </c>
      <c r="M634" s="37" t="s">
        <v>3296</v>
      </c>
      <c r="N634" s="37" t="s">
        <v>3297</v>
      </c>
      <c r="O634" s="37" t="s">
        <v>1387</v>
      </c>
      <c r="P634" s="37" t="s">
        <v>202</v>
      </c>
      <c r="Q634" s="37" t="s">
        <v>14</v>
      </c>
      <c r="R634" s="37" t="s">
        <v>641</v>
      </c>
      <c r="S634" s="37"/>
      <c r="T634" s="37" t="s">
        <v>66</v>
      </c>
      <c r="U634" s="37" t="s">
        <v>254</v>
      </c>
      <c r="V634" s="37" t="s">
        <v>77</v>
      </c>
      <c r="W634" s="37" t="s">
        <v>99</v>
      </c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</row>
    <row r="635" spans="1:37">
      <c r="A635" s="37"/>
      <c r="B635" s="37"/>
      <c r="C635" s="37"/>
      <c r="D635" s="37" t="s">
        <v>2347</v>
      </c>
      <c r="E635" s="37" t="s">
        <v>2348</v>
      </c>
      <c r="F635" s="37" t="s">
        <v>2350</v>
      </c>
      <c r="G635" s="37" t="s">
        <v>235</v>
      </c>
      <c r="H635" s="37"/>
      <c r="I635" s="37" t="s">
        <v>191</v>
      </c>
      <c r="J635" s="37" t="s">
        <v>121</v>
      </c>
      <c r="K635" s="40" t="s">
        <v>192</v>
      </c>
      <c r="L635" s="37" t="s">
        <v>64</v>
      </c>
      <c r="M635" s="37" t="s">
        <v>2349</v>
      </c>
      <c r="N635" s="37"/>
      <c r="O635" s="37" t="s">
        <v>1387</v>
      </c>
      <c r="P635" s="37" t="s">
        <v>123</v>
      </c>
      <c r="Q635" s="37" t="s">
        <v>14</v>
      </c>
      <c r="R635" s="37"/>
      <c r="S635" s="37"/>
      <c r="T635" s="37"/>
      <c r="U635" s="37"/>
      <c r="V635" s="37" t="s">
        <v>72</v>
      </c>
      <c r="W635" s="37" t="s">
        <v>69</v>
      </c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</row>
    <row r="636" spans="1:37">
      <c r="A636" s="37"/>
      <c r="B636" s="37"/>
      <c r="C636" s="37"/>
      <c r="D636" s="37" t="s">
        <v>3408</v>
      </c>
      <c r="E636" s="37" t="s">
        <v>6160</v>
      </c>
      <c r="F636" s="37" t="s">
        <v>6161</v>
      </c>
      <c r="G636" s="37" t="s">
        <v>6162</v>
      </c>
      <c r="H636" s="37"/>
      <c r="I636" s="37" t="s">
        <v>191</v>
      </c>
      <c r="J636" s="37" t="s">
        <v>121</v>
      </c>
      <c r="K636" s="40" t="s">
        <v>192</v>
      </c>
      <c r="L636" s="37" t="s">
        <v>64</v>
      </c>
      <c r="M636" s="37" t="s">
        <v>6163</v>
      </c>
      <c r="N636" s="37"/>
      <c r="O636" s="37" t="s">
        <v>1387</v>
      </c>
      <c r="P636" s="37" t="s">
        <v>123</v>
      </c>
      <c r="Q636" s="37" t="s">
        <v>14</v>
      </c>
      <c r="R636" s="37"/>
      <c r="S636" s="37"/>
      <c r="T636" s="37"/>
      <c r="U636" s="37"/>
      <c r="V636" s="37" t="s">
        <v>72</v>
      </c>
      <c r="W636" s="37" t="s">
        <v>73</v>
      </c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</row>
    <row r="637" spans="1:37">
      <c r="A637" s="37"/>
      <c r="B637" s="37"/>
      <c r="C637" s="37"/>
      <c r="D637" s="37" t="s">
        <v>2567</v>
      </c>
      <c r="E637" s="37" t="s">
        <v>5087</v>
      </c>
      <c r="F637" s="37" t="s">
        <v>5091</v>
      </c>
      <c r="G637" s="37" t="s">
        <v>5088</v>
      </c>
      <c r="H637" s="37"/>
      <c r="I637" s="37" t="s">
        <v>191</v>
      </c>
      <c r="J637" s="37" t="s">
        <v>121</v>
      </c>
      <c r="K637" s="40" t="s">
        <v>192</v>
      </c>
      <c r="L637" s="37" t="s">
        <v>64</v>
      </c>
      <c r="M637" s="37" t="s">
        <v>5089</v>
      </c>
      <c r="N637" s="37" t="s">
        <v>5090</v>
      </c>
      <c r="O637" s="37" t="s">
        <v>1387</v>
      </c>
      <c r="P637" s="37" t="s">
        <v>123</v>
      </c>
      <c r="Q637" s="37" t="s">
        <v>14</v>
      </c>
      <c r="R637" s="37"/>
      <c r="S637" s="37"/>
      <c r="T637" s="37" t="s">
        <v>66</v>
      </c>
      <c r="U637" s="37" t="s">
        <v>254</v>
      </c>
      <c r="V637" s="37" t="s">
        <v>72</v>
      </c>
      <c r="W637" s="37" t="s">
        <v>195</v>
      </c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</row>
    <row r="638" spans="1:37">
      <c r="A638" s="37"/>
      <c r="B638" s="37"/>
      <c r="C638" s="37"/>
      <c r="D638" s="37" t="s">
        <v>2334</v>
      </c>
      <c r="E638" s="37" t="s">
        <v>2352</v>
      </c>
      <c r="F638" s="37" t="s">
        <v>2354</v>
      </c>
      <c r="G638" s="37" t="s">
        <v>119</v>
      </c>
      <c r="H638" s="37"/>
      <c r="I638" s="37" t="s">
        <v>120</v>
      </c>
      <c r="J638" s="37" t="s">
        <v>121</v>
      </c>
      <c r="K638" s="40" t="s">
        <v>122</v>
      </c>
      <c r="L638" s="37" t="s">
        <v>64</v>
      </c>
      <c r="M638" s="37" t="s">
        <v>2353</v>
      </c>
      <c r="N638" s="37"/>
      <c r="O638" s="37" t="s">
        <v>1387</v>
      </c>
      <c r="P638" s="37" t="s">
        <v>123</v>
      </c>
      <c r="Q638" s="37" t="s">
        <v>14</v>
      </c>
      <c r="R638" s="37"/>
      <c r="S638" s="37"/>
      <c r="T638" s="37" t="s">
        <v>69</v>
      </c>
      <c r="U638" s="37"/>
      <c r="V638" s="37" t="s">
        <v>72</v>
      </c>
      <c r="W638" s="37" t="s">
        <v>110</v>
      </c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</row>
    <row r="639" spans="1:37">
      <c r="A639" s="37"/>
      <c r="B639" s="37"/>
      <c r="C639" s="37"/>
      <c r="D639" s="37" t="s">
        <v>2382</v>
      </c>
      <c r="E639" s="37" t="s">
        <v>2372</v>
      </c>
      <c r="F639" s="37" t="s">
        <v>2384</v>
      </c>
      <c r="G639" s="37" t="s">
        <v>119</v>
      </c>
      <c r="H639" s="37"/>
      <c r="I639" s="37" t="s">
        <v>120</v>
      </c>
      <c r="J639" s="37" t="s">
        <v>121</v>
      </c>
      <c r="K639" s="40" t="s">
        <v>122</v>
      </c>
      <c r="L639" s="37" t="s">
        <v>64</v>
      </c>
      <c r="M639" s="37" t="s">
        <v>2383</v>
      </c>
      <c r="N639" s="37"/>
      <c r="O639" s="37" t="s">
        <v>1387</v>
      </c>
      <c r="P639" s="37" t="s">
        <v>123</v>
      </c>
      <c r="Q639" s="37" t="s">
        <v>14</v>
      </c>
      <c r="R639" s="37"/>
      <c r="S639" s="37"/>
      <c r="T639" s="37" t="s">
        <v>115</v>
      </c>
      <c r="U639" s="37" t="s">
        <v>87</v>
      </c>
      <c r="V639" s="37" t="s">
        <v>72</v>
      </c>
      <c r="W639" s="37" t="s">
        <v>110</v>
      </c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</row>
    <row r="640" spans="1:37">
      <c r="A640" s="37"/>
      <c r="B640" s="37"/>
      <c r="C640" s="37"/>
      <c r="D640" s="37" t="s">
        <v>1270</v>
      </c>
      <c r="E640" s="37" t="s">
        <v>2372</v>
      </c>
      <c r="F640" s="37" t="s">
        <v>2381</v>
      </c>
      <c r="G640" s="37" t="s">
        <v>2378</v>
      </c>
      <c r="H640" s="37"/>
      <c r="I640" s="37" t="s">
        <v>1893</v>
      </c>
      <c r="J640" s="37" t="s">
        <v>75</v>
      </c>
      <c r="K640" s="40" t="s">
        <v>2379</v>
      </c>
      <c r="L640" s="37" t="s">
        <v>64</v>
      </c>
      <c r="M640" s="37" t="s">
        <v>2380</v>
      </c>
      <c r="N640" s="37"/>
      <c r="O640" s="37" t="s">
        <v>1387</v>
      </c>
      <c r="P640" s="37" t="s">
        <v>123</v>
      </c>
      <c r="Q640" s="37" t="s">
        <v>10</v>
      </c>
      <c r="R640" s="37"/>
      <c r="S640" s="37"/>
      <c r="T640" s="37" t="s">
        <v>69</v>
      </c>
      <c r="U640" s="37" t="s">
        <v>145</v>
      </c>
      <c r="V640" s="37" t="s">
        <v>72</v>
      </c>
      <c r="W640" s="37" t="s">
        <v>89</v>
      </c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</row>
    <row r="641" spans="1:37">
      <c r="A641" s="37"/>
      <c r="B641" s="37"/>
      <c r="C641" s="37"/>
      <c r="D641" s="37" t="s">
        <v>101</v>
      </c>
      <c r="E641" s="37" t="s">
        <v>2385</v>
      </c>
      <c r="F641" s="37" t="s">
        <v>2388</v>
      </c>
      <c r="G641" s="37" t="s">
        <v>1525</v>
      </c>
      <c r="H641" s="37" t="s">
        <v>2386</v>
      </c>
      <c r="I641" s="37" t="s">
        <v>342</v>
      </c>
      <c r="J641" s="37" t="s">
        <v>256</v>
      </c>
      <c r="K641" s="40" t="s">
        <v>343</v>
      </c>
      <c r="L641" s="37" t="s">
        <v>64</v>
      </c>
      <c r="M641" s="37" t="s">
        <v>2387</v>
      </c>
      <c r="N641" s="37"/>
      <c r="O641" s="37" t="s">
        <v>1387</v>
      </c>
      <c r="P641" s="37" t="s">
        <v>123</v>
      </c>
      <c r="Q641" s="37" t="s">
        <v>17</v>
      </c>
      <c r="R641" s="37"/>
      <c r="S641" s="37"/>
      <c r="T641" s="37"/>
      <c r="U641" s="37" t="s">
        <v>87</v>
      </c>
      <c r="V641" s="37" t="s">
        <v>77</v>
      </c>
      <c r="W641" s="37" t="s">
        <v>195</v>
      </c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</row>
    <row r="642" spans="1:37">
      <c r="A642" s="37"/>
      <c r="B642" s="37"/>
      <c r="C642" s="37"/>
      <c r="D642" s="37" t="s">
        <v>702</v>
      </c>
      <c r="E642" s="37" t="s">
        <v>2390</v>
      </c>
      <c r="F642" s="37" t="s">
        <v>2392</v>
      </c>
      <c r="G642" s="37" t="s">
        <v>1513</v>
      </c>
      <c r="H642" s="37"/>
      <c r="I642" s="37" t="s">
        <v>691</v>
      </c>
      <c r="J642" s="37" t="s">
        <v>125</v>
      </c>
      <c r="K642" s="40" t="s">
        <v>1440</v>
      </c>
      <c r="L642" s="37" t="s">
        <v>64</v>
      </c>
      <c r="M642" s="37" t="s">
        <v>2391</v>
      </c>
      <c r="N642" s="37"/>
      <c r="O642" s="37" t="s">
        <v>1387</v>
      </c>
      <c r="P642" s="37" t="s">
        <v>123</v>
      </c>
      <c r="Q642" s="37" t="s">
        <v>126</v>
      </c>
      <c r="R642" s="37"/>
      <c r="S642" s="37"/>
      <c r="T642" s="37" t="s">
        <v>158</v>
      </c>
      <c r="U642" s="37" t="s">
        <v>87</v>
      </c>
      <c r="V642" s="37" t="s">
        <v>72</v>
      </c>
      <c r="W642" s="37" t="s">
        <v>195</v>
      </c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</row>
    <row r="643" spans="1:37">
      <c r="A643" s="37"/>
      <c r="B643" s="37"/>
      <c r="C643" s="37"/>
      <c r="D643" s="37" t="s">
        <v>473</v>
      </c>
      <c r="E643" s="37" t="s">
        <v>2397</v>
      </c>
      <c r="F643" s="37" t="s">
        <v>2400</v>
      </c>
      <c r="G643" s="37" t="s">
        <v>235</v>
      </c>
      <c r="H643" s="37" t="s">
        <v>2398</v>
      </c>
      <c r="I643" s="37" t="s">
        <v>191</v>
      </c>
      <c r="J643" s="37" t="s">
        <v>121</v>
      </c>
      <c r="K643" s="40" t="s">
        <v>192</v>
      </c>
      <c r="L643" s="37" t="s">
        <v>64</v>
      </c>
      <c r="M643" s="37" t="s">
        <v>2399</v>
      </c>
      <c r="N643" s="37"/>
      <c r="O643" s="37" t="s">
        <v>1387</v>
      </c>
      <c r="P643" s="37" t="s">
        <v>123</v>
      </c>
      <c r="Q643" s="37" t="s">
        <v>14</v>
      </c>
      <c r="R643" s="37"/>
      <c r="S643" s="37"/>
      <c r="T643" s="37" t="s">
        <v>66</v>
      </c>
      <c r="U643" s="37" t="s">
        <v>254</v>
      </c>
      <c r="V643" s="37" t="s">
        <v>88</v>
      </c>
      <c r="W643" s="37" t="s">
        <v>89</v>
      </c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</row>
    <row r="644" spans="1:37">
      <c r="A644" s="37"/>
      <c r="B644" s="37"/>
      <c r="C644" s="37"/>
      <c r="D644" s="37" t="s">
        <v>2426</v>
      </c>
      <c r="E644" s="37" t="s">
        <v>2427</v>
      </c>
      <c r="F644" s="37" t="s">
        <v>2429</v>
      </c>
      <c r="G644" s="37" t="s">
        <v>1076</v>
      </c>
      <c r="H644" s="37" t="s">
        <v>1077</v>
      </c>
      <c r="I644" s="37" t="s">
        <v>420</v>
      </c>
      <c r="J644" s="37" t="s">
        <v>75</v>
      </c>
      <c r="K644" s="40" t="s">
        <v>2053</v>
      </c>
      <c r="L644" s="37" t="s">
        <v>64</v>
      </c>
      <c r="M644" s="37" t="s">
        <v>2428</v>
      </c>
      <c r="N644" s="37" t="s">
        <v>2101</v>
      </c>
      <c r="O644" s="37" t="s">
        <v>1387</v>
      </c>
      <c r="P644" s="37" t="s">
        <v>123</v>
      </c>
      <c r="Q644" s="37" t="s">
        <v>10</v>
      </c>
      <c r="R644" s="37"/>
      <c r="S644" s="37"/>
      <c r="T644" s="37" t="s">
        <v>158</v>
      </c>
      <c r="U644" s="37" t="s">
        <v>145</v>
      </c>
      <c r="V644" s="37" t="s">
        <v>72</v>
      </c>
      <c r="W644" s="37" t="s">
        <v>261</v>
      </c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</row>
    <row r="645" spans="1:37">
      <c r="A645" s="37"/>
      <c r="B645" s="37"/>
      <c r="C645" s="37"/>
      <c r="D645" s="37" t="s">
        <v>160</v>
      </c>
      <c r="E645" s="37" t="s">
        <v>2430</v>
      </c>
      <c r="F645" s="37" t="s">
        <v>2433</v>
      </c>
      <c r="G645" s="37" t="s">
        <v>2431</v>
      </c>
      <c r="H645" s="37" t="s">
        <v>1849</v>
      </c>
      <c r="I645" s="37" t="s">
        <v>92</v>
      </c>
      <c r="J645" s="37" t="s">
        <v>93</v>
      </c>
      <c r="K645" s="40" t="s">
        <v>329</v>
      </c>
      <c r="L645" s="37" t="s">
        <v>64</v>
      </c>
      <c r="M645" s="37" t="s">
        <v>2432</v>
      </c>
      <c r="N645" s="37"/>
      <c r="O645" s="37" t="s">
        <v>1387</v>
      </c>
      <c r="P645" s="37" t="s">
        <v>123</v>
      </c>
      <c r="Q645" s="37" t="s">
        <v>98</v>
      </c>
      <c r="R645" s="37"/>
      <c r="S645" s="37"/>
      <c r="T645" s="37"/>
      <c r="U645" s="37" t="s">
        <v>87</v>
      </c>
      <c r="V645" s="37" t="s">
        <v>72</v>
      </c>
      <c r="W645" s="37" t="s">
        <v>195</v>
      </c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</row>
    <row r="646" spans="1:37">
      <c r="A646" s="37"/>
      <c r="B646" s="37"/>
      <c r="C646" s="37"/>
      <c r="D646" s="37" t="s">
        <v>3214</v>
      </c>
      <c r="E646" s="37" t="s">
        <v>3215</v>
      </c>
      <c r="F646" s="37" t="s">
        <v>3217</v>
      </c>
      <c r="G646" s="37" t="s">
        <v>274</v>
      </c>
      <c r="H646" s="37" t="s">
        <v>279</v>
      </c>
      <c r="I646" s="37" t="s">
        <v>276</v>
      </c>
      <c r="J646" s="37" t="s">
        <v>70</v>
      </c>
      <c r="K646" s="40" t="s">
        <v>277</v>
      </c>
      <c r="L646" s="37" t="s">
        <v>64</v>
      </c>
      <c r="M646" s="37" t="s">
        <v>3216</v>
      </c>
      <c r="N646" s="37"/>
      <c r="O646" s="37" t="s">
        <v>1387</v>
      </c>
      <c r="P646" s="37" t="s">
        <v>123</v>
      </c>
      <c r="Q646" s="37" t="s">
        <v>71</v>
      </c>
      <c r="R646" s="37"/>
      <c r="S646" s="37"/>
      <c r="T646" s="37"/>
      <c r="U646" s="37"/>
      <c r="V646" s="37" t="s">
        <v>72</v>
      </c>
      <c r="W646" s="37" t="s">
        <v>195</v>
      </c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</row>
    <row r="647" spans="1:37">
      <c r="A647" s="37"/>
      <c r="B647" s="37"/>
      <c r="C647" s="37"/>
      <c r="D647" s="37" t="s">
        <v>2445</v>
      </c>
      <c r="E647" s="37" t="s">
        <v>2446</v>
      </c>
      <c r="F647" s="37" t="s">
        <v>2449</v>
      </c>
      <c r="G647" s="37" t="s">
        <v>2447</v>
      </c>
      <c r="H647" s="37"/>
      <c r="I647" s="37" t="s">
        <v>836</v>
      </c>
      <c r="J647" s="37" t="s">
        <v>153</v>
      </c>
      <c r="K647" s="40" t="s">
        <v>837</v>
      </c>
      <c r="L647" s="37" t="s">
        <v>64</v>
      </c>
      <c r="M647" s="37" t="s">
        <v>2448</v>
      </c>
      <c r="N647" s="37"/>
      <c r="O647" s="37" t="s">
        <v>1387</v>
      </c>
      <c r="P647" s="37" t="s">
        <v>123</v>
      </c>
      <c r="Q647" s="37" t="s">
        <v>16</v>
      </c>
      <c r="R647" s="37"/>
      <c r="S647" s="37"/>
      <c r="T647" s="37" t="s">
        <v>69</v>
      </c>
      <c r="U647" s="37" t="s">
        <v>87</v>
      </c>
      <c r="V647" s="37" t="s">
        <v>88</v>
      </c>
      <c r="W647" s="37" t="s">
        <v>89</v>
      </c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</row>
    <row r="648" spans="1:37">
      <c r="A648" s="37"/>
      <c r="B648" s="37"/>
      <c r="C648" s="37"/>
      <c r="D648" s="37" t="s">
        <v>851</v>
      </c>
      <c r="E648" s="37" t="s">
        <v>2900</v>
      </c>
      <c r="F648" s="37" t="s">
        <v>2902</v>
      </c>
      <c r="G648" s="37" t="s">
        <v>119</v>
      </c>
      <c r="H648" s="37"/>
      <c r="I648" s="37" t="s">
        <v>120</v>
      </c>
      <c r="J648" s="37" t="s">
        <v>121</v>
      </c>
      <c r="K648" s="40" t="s">
        <v>122</v>
      </c>
      <c r="L648" s="37" t="s">
        <v>64</v>
      </c>
      <c r="M648" s="37" t="s">
        <v>2901</v>
      </c>
      <c r="N648" s="37"/>
      <c r="O648" s="37" t="s">
        <v>1387</v>
      </c>
      <c r="P648" s="37" t="s">
        <v>123</v>
      </c>
      <c r="Q648" s="37" t="s">
        <v>14</v>
      </c>
      <c r="R648" s="37"/>
      <c r="S648" s="37"/>
      <c r="T648" s="37" t="s">
        <v>69</v>
      </c>
      <c r="U648" s="37" t="s">
        <v>109</v>
      </c>
      <c r="V648" s="37" t="s">
        <v>72</v>
      </c>
      <c r="W648" s="37" t="s">
        <v>89</v>
      </c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</row>
    <row r="649" spans="1:37">
      <c r="A649" s="37"/>
      <c r="B649" s="37"/>
      <c r="C649" s="37"/>
      <c r="D649" s="37" t="s">
        <v>1275</v>
      </c>
      <c r="E649" s="37" t="s">
        <v>5105</v>
      </c>
      <c r="F649" s="37" t="s">
        <v>5107</v>
      </c>
      <c r="G649" s="37" t="s">
        <v>119</v>
      </c>
      <c r="H649" s="37"/>
      <c r="I649" s="37" t="s">
        <v>120</v>
      </c>
      <c r="J649" s="37" t="s">
        <v>121</v>
      </c>
      <c r="K649" s="40" t="s">
        <v>122</v>
      </c>
      <c r="L649" s="37" t="s">
        <v>64</v>
      </c>
      <c r="M649" s="37" t="s">
        <v>5106</v>
      </c>
      <c r="N649" s="37"/>
      <c r="O649" s="37" t="s">
        <v>1387</v>
      </c>
      <c r="P649" s="37" t="s">
        <v>123</v>
      </c>
      <c r="Q649" s="37" t="s">
        <v>14</v>
      </c>
      <c r="R649" s="37"/>
      <c r="S649" s="37"/>
      <c r="T649" s="37"/>
      <c r="U649" s="37"/>
      <c r="V649" s="37" t="s">
        <v>72</v>
      </c>
      <c r="W649" s="37" t="s">
        <v>195</v>
      </c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</row>
    <row r="650" spans="1:37">
      <c r="A650" s="37"/>
      <c r="B650" s="37"/>
      <c r="C650" s="37"/>
      <c r="D650" s="37" t="s">
        <v>649</v>
      </c>
      <c r="E650" s="37" t="s">
        <v>2452</v>
      </c>
      <c r="F650" s="37" t="s">
        <v>2454</v>
      </c>
      <c r="G650" s="37" t="s">
        <v>119</v>
      </c>
      <c r="H650" s="37"/>
      <c r="I650" s="37" t="s">
        <v>120</v>
      </c>
      <c r="J650" s="37" t="s">
        <v>121</v>
      </c>
      <c r="K650" s="40" t="s">
        <v>122</v>
      </c>
      <c r="L650" s="37" t="s">
        <v>64</v>
      </c>
      <c r="M650" s="37" t="s">
        <v>2453</v>
      </c>
      <c r="N650" s="37"/>
      <c r="O650" s="37" t="s">
        <v>1387</v>
      </c>
      <c r="P650" s="37" t="s">
        <v>123</v>
      </c>
      <c r="Q650" s="37" t="s">
        <v>14</v>
      </c>
      <c r="R650" s="37"/>
      <c r="S650" s="37"/>
      <c r="T650" s="37" t="s">
        <v>158</v>
      </c>
      <c r="U650" s="37" t="s">
        <v>87</v>
      </c>
      <c r="V650" s="37" t="s">
        <v>72</v>
      </c>
      <c r="W650" s="37" t="s">
        <v>110</v>
      </c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</row>
    <row r="651" spans="1:37">
      <c r="A651" s="37"/>
      <c r="B651" s="37"/>
      <c r="C651" s="37"/>
      <c r="D651" s="37" t="s">
        <v>532</v>
      </c>
      <c r="E651" s="37" t="s">
        <v>2457</v>
      </c>
      <c r="F651" s="37" t="s">
        <v>2461</v>
      </c>
      <c r="G651" s="37" t="s">
        <v>2458</v>
      </c>
      <c r="H651" s="37" t="s">
        <v>2459</v>
      </c>
      <c r="I651" s="37" t="s">
        <v>193</v>
      </c>
      <c r="J651" s="37" t="s">
        <v>153</v>
      </c>
      <c r="K651" s="40" t="s">
        <v>194</v>
      </c>
      <c r="L651" s="37" t="s">
        <v>64</v>
      </c>
      <c r="M651" s="37" t="s">
        <v>2460</v>
      </c>
      <c r="N651" s="37"/>
      <c r="O651" s="37" t="s">
        <v>1387</v>
      </c>
      <c r="P651" s="37" t="s">
        <v>123</v>
      </c>
      <c r="Q651" s="37" t="s">
        <v>16</v>
      </c>
      <c r="R651" s="37"/>
      <c r="S651" s="37"/>
      <c r="T651" s="37" t="s">
        <v>115</v>
      </c>
      <c r="U651" s="37" t="s">
        <v>87</v>
      </c>
      <c r="V651" s="37" t="s">
        <v>77</v>
      </c>
      <c r="W651" s="37" t="s">
        <v>195</v>
      </c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</row>
    <row r="652" spans="1:37">
      <c r="A652" s="37"/>
      <c r="B652" s="37"/>
      <c r="C652" s="37"/>
      <c r="D652" s="37" t="s">
        <v>211</v>
      </c>
      <c r="E652" s="37" t="s">
        <v>2464</v>
      </c>
      <c r="F652" s="37" t="s">
        <v>2467</v>
      </c>
      <c r="G652" s="37" t="s">
        <v>2465</v>
      </c>
      <c r="H652" s="37" t="s">
        <v>2010</v>
      </c>
      <c r="I652" s="37" t="s">
        <v>2011</v>
      </c>
      <c r="J652" s="37" t="s">
        <v>320</v>
      </c>
      <c r="K652" s="40" t="s">
        <v>2012</v>
      </c>
      <c r="L652" s="37" t="s">
        <v>64</v>
      </c>
      <c r="M652" s="37" t="s">
        <v>2466</v>
      </c>
      <c r="N652" s="37"/>
      <c r="O652" s="37" t="s">
        <v>1387</v>
      </c>
      <c r="P652" s="37" t="s">
        <v>123</v>
      </c>
      <c r="Q652" s="37" t="s">
        <v>4</v>
      </c>
      <c r="R652" s="37"/>
      <c r="S652" s="37"/>
      <c r="T652" s="37"/>
      <c r="U652" s="37"/>
      <c r="V652" s="37" t="s">
        <v>72</v>
      </c>
      <c r="W652" s="37" t="s">
        <v>89</v>
      </c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</row>
    <row r="653" spans="1:37">
      <c r="A653" s="37"/>
      <c r="B653" s="37"/>
      <c r="C653" s="37"/>
      <c r="D653" s="37" t="s">
        <v>4008</v>
      </c>
      <c r="E653" s="37" t="s">
        <v>4342</v>
      </c>
      <c r="F653" s="37" t="s">
        <v>4345</v>
      </c>
      <c r="G653" s="37" t="s">
        <v>4343</v>
      </c>
      <c r="H653" s="37"/>
      <c r="I653" s="37" t="s">
        <v>191</v>
      </c>
      <c r="J653" s="37" t="s">
        <v>121</v>
      </c>
      <c r="K653" s="40" t="s">
        <v>192</v>
      </c>
      <c r="L653" s="37" t="s">
        <v>64</v>
      </c>
      <c r="M653" s="37" t="s">
        <v>4344</v>
      </c>
      <c r="N653" s="37"/>
      <c r="O653" s="37" t="s">
        <v>1387</v>
      </c>
      <c r="P653" s="37" t="s">
        <v>123</v>
      </c>
      <c r="Q653" s="37" t="s">
        <v>14</v>
      </c>
      <c r="R653" s="37"/>
      <c r="S653" s="37"/>
      <c r="T653" s="37" t="s">
        <v>158</v>
      </c>
      <c r="U653" s="37" t="s">
        <v>87</v>
      </c>
      <c r="V653" s="37" t="s">
        <v>72</v>
      </c>
      <c r="W653" s="37" t="s">
        <v>195</v>
      </c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</row>
    <row r="654" spans="1:37">
      <c r="A654" s="37"/>
      <c r="B654" s="37"/>
      <c r="C654" s="37"/>
      <c r="D654" s="37" t="s">
        <v>930</v>
      </c>
      <c r="E654" s="37" t="s">
        <v>2468</v>
      </c>
      <c r="F654" s="37" t="s">
        <v>2470</v>
      </c>
      <c r="G654" s="37" t="s">
        <v>235</v>
      </c>
      <c r="H654" s="37" t="s">
        <v>3224</v>
      </c>
      <c r="I654" s="37" t="s">
        <v>191</v>
      </c>
      <c r="J654" s="37" t="s">
        <v>121</v>
      </c>
      <c r="K654" s="40" t="s">
        <v>192</v>
      </c>
      <c r="L654" s="37" t="s">
        <v>64</v>
      </c>
      <c r="M654" s="37" t="s">
        <v>2469</v>
      </c>
      <c r="N654" s="37"/>
      <c r="O654" s="37" t="s">
        <v>1387</v>
      </c>
      <c r="P654" s="37" t="s">
        <v>123</v>
      </c>
      <c r="Q654" s="37" t="s">
        <v>14</v>
      </c>
      <c r="R654" s="37"/>
      <c r="S654" s="37"/>
      <c r="T654" s="37"/>
      <c r="U654" s="37" t="s">
        <v>69</v>
      </c>
      <c r="V654" s="37" t="s">
        <v>72</v>
      </c>
      <c r="W654" s="37" t="s">
        <v>89</v>
      </c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</row>
    <row r="655" spans="1:37">
      <c r="A655" s="37"/>
      <c r="B655" s="37"/>
      <c r="C655" s="37"/>
      <c r="D655" s="37" t="s">
        <v>286</v>
      </c>
      <c r="E655" s="37" t="s">
        <v>2471</v>
      </c>
      <c r="F655" s="37" t="s">
        <v>2473</v>
      </c>
      <c r="G655" s="37" t="s">
        <v>235</v>
      </c>
      <c r="H655" s="37"/>
      <c r="I655" s="37" t="s">
        <v>191</v>
      </c>
      <c r="J655" s="37" t="s">
        <v>121</v>
      </c>
      <c r="K655" s="40" t="s">
        <v>192</v>
      </c>
      <c r="L655" s="37" t="s">
        <v>64</v>
      </c>
      <c r="M655" s="37" t="s">
        <v>2472</v>
      </c>
      <c r="N655" s="37"/>
      <c r="O655" s="37" t="s">
        <v>1387</v>
      </c>
      <c r="P655" s="37" t="s">
        <v>123</v>
      </c>
      <c r="Q655" s="37" t="s">
        <v>14</v>
      </c>
      <c r="R655" s="37"/>
      <c r="S655" s="37"/>
      <c r="T655" s="37"/>
      <c r="U655" s="37"/>
      <c r="V655" s="37" t="s">
        <v>72</v>
      </c>
      <c r="W655" s="37" t="s">
        <v>69</v>
      </c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</row>
    <row r="656" spans="1:37">
      <c r="A656" s="37"/>
      <c r="B656" s="37"/>
      <c r="C656" s="37"/>
      <c r="D656" s="37" t="s">
        <v>3225</v>
      </c>
      <c r="E656" s="37" t="s">
        <v>3226</v>
      </c>
      <c r="F656" s="37" t="s">
        <v>3230</v>
      </c>
      <c r="G656" s="37" t="s">
        <v>3227</v>
      </c>
      <c r="H656" s="37" t="s">
        <v>3228</v>
      </c>
      <c r="I656" s="37" t="s">
        <v>270</v>
      </c>
      <c r="J656" s="37" t="s">
        <v>121</v>
      </c>
      <c r="K656" s="40" t="s">
        <v>2186</v>
      </c>
      <c r="L656" s="37" t="s">
        <v>64</v>
      </c>
      <c r="M656" s="37" t="s">
        <v>3229</v>
      </c>
      <c r="N656" s="37"/>
      <c r="O656" s="37" t="s">
        <v>1387</v>
      </c>
      <c r="P656" s="37" t="s">
        <v>123</v>
      </c>
      <c r="Q656" s="37" t="s">
        <v>71</v>
      </c>
      <c r="R656" s="37"/>
      <c r="S656" s="37"/>
      <c r="T656" s="37" t="s">
        <v>69</v>
      </c>
      <c r="U656" s="37"/>
      <c r="V656" s="37" t="s">
        <v>72</v>
      </c>
      <c r="W656" s="37" t="s">
        <v>195</v>
      </c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</row>
    <row r="657" spans="1:37">
      <c r="A657" s="37"/>
      <c r="B657" s="37"/>
      <c r="C657" s="37"/>
      <c r="D657" s="37" t="s">
        <v>4572</v>
      </c>
      <c r="E657" s="37" t="s">
        <v>2487</v>
      </c>
      <c r="F657" s="37" t="s">
        <v>4575</v>
      </c>
      <c r="G657" s="37" t="s">
        <v>617</v>
      </c>
      <c r="H657" s="37" t="s">
        <v>4573</v>
      </c>
      <c r="I657" s="37" t="s">
        <v>1027</v>
      </c>
      <c r="J657" s="37" t="s">
        <v>121</v>
      </c>
      <c r="K657" s="40" t="s">
        <v>192</v>
      </c>
      <c r="L657" s="37" t="s">
        <v>64</v>
      </c>
      <c r="M657" s="37" t="s">
        <v>4574</v>
      </c>
      <c r="N657" s="37"/>
      <c r="O657" s="37" t="s">
        <v>1387</v>
      </c>
      <c r="P657" s="37" t="s">
        <v>123</v>
      </c>
      <c r="Q657" s="37" t="s">
        <v>14</v>
      </c>
      <c r="R657" s="37"/>
      <c r="S657" s="37"/>
      <c r="T657" s="37"/>
      <c r="U657" s="37"/>
      <c r="V657" s="37" t="s">
        <v>72</v>
      </c>
      <c r="W657" s="37" t="s">
        <v>756</v>
      </c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</row>
    <row r="658" spans="1:37">
      <c r="A658" s="37"/>
      <c r="B658" s="37"/>
      <c r="C658" s="37"/>
      <c r="D658" s="37" t="s">
        <v>844</v>
      </c>
      <c r="E658" s="37" t="s">
        <v>2488</v>
      </c>
      <c r="F658" s="37" t="s">
        <v>2491</v>
      </c>
      <c r="G658" s="37" t="s">
        <v>347</v>
      </c>
      <c r="H658" s="37" t="s">
        <v>2489</v>
      </c>
      <c r="I658" s="37" t="s">
        <v>342</v>
      </c>
      <c r="J658" s="37" t="s">
        <v>256</v>
      </c>
      <c r="K658" s="40" t="s">
        <v>343</v>
      </c>
      <c r="L658" s="37" t="s">
        <v>64</v>
      </c>
      <c r="M658" s="37" t="s">
        <v>2490</v>
      </c>
      <c r="N658" s="37"/>
      <c r="O658" s="37" t="s">
        <v>1387</v>
      </c>
      <c r="P658" s="37" t="s">
        <v>123</v>
      </c>
      <c r="Q658" s="37" t="s">
        <v>17</v>
      </c>
      <c r="R658" s="37"/>
      <c r="S658" s="37"/>
      <c r="T658" s="37"/>
      <c r="U658" s="37"/>
      <c r="V658" s="37" t="s">
        <v>88</v>
      </c>
      <c r="W658" s="37" t="s">
        <v>89</v>
      </c>
      <c r="X658" s="25"/>
      <c r="Y658" s="25"/>
      <c r="Z658" s="25"/>
      <c r="AA658" s="25"/>
      <c r="AB658" s="25"/>
      <c r="AC658" s="25"/>
      <c r="AD658" s="25"/>
      <c r="AE658" s="25"/>
      <c r="AF658" s="26"/>
      <c r="AG658" s="25"/>
      <c r="AH658" s="25"/>
      <c r="AI658" s="25"/>
      <c r="AJ658" s="25"/>
      <c r="AK658" s="25"/>
    </row>
    <row r="659" spans="1:37">
      <c r="A659" s="37"/>
      <c r="B659" s="37"/>
      <c r="C659" s="37"/>
      <c r="D659" s="37" t="s">
        <v>2334</v>
      </c>
      <c r="E659" s="37" t="s">
        <v>2492</v>
      </c>
      <c r="F659" s="37" t="s">
        <v>2496</v>
      </c>
      <c r="G659" s="37" t="s">
        <v>2493</v>
      </c>
      <c r="H659" s="37"/>
      <c r="I659" s="37" t="s">
        <v>420</v>
      </c>
      <c r="J659" s="37" t="s">
        <v>75</v>
      </c>
      <c r="K659" s="40" t="s">
        <v>2494</v>
      </c>
      <c r="L659" s="37" t="s">
        <v>64</v>
      </c>
      <c r="M659" s="37" t="s">
        <v>2495</v>
      </c>
      <c r="N659" s="37"/>
      <c r="O659" s="37" t="s">
        <v>1387</v>
      </c>
      <c r="P659" s="37" t="s">
        <v>123</v>
      </c>
      <c r="Q659" s="37" t="s">
        <v>10</v>
      </c>
      <c r="R659" s="37"/>
      <c r="S659" s="37"/>
      <c r="T659" s="37" t="s">
        <v>158</v>
      </c>
      <c r="U659" s="37" t="s">
        <v>87</v>
      </c>
      <c r="V659" s="37" t="s">
        <v>72</v>
      </c>
      <c r="W659" s="37" t="s">
        <v>89</v>
      </c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</row>
    <row r="660" spans="1:37">
      <c r="A660" s="37" t="s">
        <v>112</v>
      </c>
      <c r="B660" s="37"/>
      <c r="C660" s="37"/>
      <c r="D660" s="37" t="s">
        <v>303</v>
      </c>
      <c r="E660" s="37" t="s">
        <v>532</v>
      </c>
      <c r="F660" s="37" t="s">
        <v>3235</v>
      </c>
      <c r="G660" s="37" t="s">
        <v>3232</v>
      </c>
      <c r="H660" s="37"/>
      <c r="I660" s="37" t="s">
        <v>191</v>
      </c>
      <c r="J660" s="37" t="s">
        <v>121</v>
      </c>
      <c r="K660" s="40" t="s">
        <v>192</v>
      </c>
      <c r="L660" s="37" t="s">
        <v>64</v>
      </c>
      <c r="M660" s="37" t="s">
        <v>3233</v>
      </c>
      <c r="N660" s="37" t="s">
        <v>3234</v>
      </c>
      <c r="O660" s="37" t="s">
        <v>1387</v>
      </c>
      <c r="P660" s="37" t="s">
        <v>123</v>
      </c>
      <c r="Q660" s="37" t="s">
        <v>14</v>
      </c>
      <c r="R660" s="37"/>
      <c r="S660" s="37"/>
      <c r="T660" s="37" t="s">
        <v>66</v>
      </c>
      <c r="U660" s="37" t="s">
        <v>109</v>
      </c>
      <c r="V660" s="37" t="s">
        <v>72</v>
      </c>
      <c r="W660" s="37" t="s">
        <v>261</v>
      </c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</row>
    <row r="661" spans="1:37">
      <c r="A661" s="37"/>
      <c r="B661" s="37"/>
      <c r="C661" s="37"/>
      <c r="D661" s="37" t="s">
        <v>929</v>
      </c>
      <c r="E661" s="37" t="s">
        <v>532</v>
      </c>
      <c r="F661" s="37" t="s">
        <v>2822</v>
      </c>
      <c r="G661" s="37" t="s">
        <v>2820</v>
      </c>
      <c r="H661" s="37"/>
      <c r="I661" s="37" t="s">
        <v>354</v>
      </c>
      <c r="J661" s="37" t="s">
        <v>75</v>
      </c>
      <c r="K661" s="40" t="s">
        <v>355</v>
      </c>
      <c r="L661" s="37" t="s">
        <v>64</v>
      </c>
      <c r="M661" s="37" t="s">
        <v>2821</v>
      </c>
      <c r="N661" s="37"/>
      <c r="O661" s="37" t="s">
        <v>1387</v>
      </c>
      <c r="P661" s="37" t="s">
        <v>123</v>
      </c>
      <c r="Q661" s="37" t="s">
        <v>10</v>
      </c>
      <c r="R661" s="37"/>
      <c r="S661" s="37"/>
      <c r="T661" s="37" t="s">
        <v>69</v>
      </c>
      <c r="U661" s="37" t="s">
        <v>254</v>
      </c>
      <c r="V661" s="37" t="s">
        <v>88</v>
      </c>
      <c r="W661" s="37" t="s">
        <v>89</v>
      </c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</row>
    <row r="662" spans="1:37">
      <c r="A662" s="37"/>
      <c r="B662" s="37"/>
      <c r="C662" s="37"/>
      <c r="D662" s="37" t="s">
        <v>1257</v>
      </c>
      <c r="E662" s="37" t="s">
        <v>2504</v>
      </c>
      <c r="F662" s="37" t="s">
        <v>5118</v>
      </c>
      <c r="G662" s="37" t="s">
        <v>1380</v>
      </c>
      <c r="H662" s="37" t="s">
        <v>5116</v>
      </c>
      <c r="I662" s="37" t="s">
        <v>82</v>
      </c>
      <c r="J662" s="37" t="s">
        <v>83</v>
      </c>
      <c r="K662" s="40" t="s">
        <v>1014</v>
      </c>
      <c r="L662" s="37" t="s">
        <v>64</v>
      </c>
      <c r="M662" s="37" t="s">
        <v>5117</v>
      </c>
      <c r="N662" s="37"/>
      <c r="O662" s="37" t="s">
        <v>1387</v>
      </c>
      <c r="P662" s="37" t="s">
        <v>513</v>
      </c>
      <c r="Q662" s="37" t="s">
        <v>71</v>
      </c>
      <c r="R662" s="37"/>
      <c r="S662" s="37"/>
      <c r="T662" s="37" t="s">
        <v>158</v>
      </c>
      <c r="U662" s="37" t="s">
        <v>109</v>
      </c>
      <c r="V662" s="37" t="s">
        <v>72</v>
      </c>
      <c r="W662" s="37" t="s">
        <v>69</v>
      </c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</row>
    <row r="663" spans="1:37">
      <c r="A663" s="37" t="s">
        <v>1317</v>
      </c>
      <c r="B663" s="37"/>
      <c r="C663" s="37"/>
      <c r="D663" s="37" t="s">
        <v>380</v>
      </c>
      <c r="E663" s="37" t="s">
        <v>2525</v>
      </c>
      <c r="F663" s="37" t="s">
        <v>2527</v>
      </c>
      <c r="G663" s="37" t="s">
        <v>736</v>
      </c>
      <c r="H663" s="37"/>
      <c r="I663" s="37" t="s">
        <v>92</v>
      </c>
      <c r="J663" s="37" t="s">
        <v>93</v>
      </c>
      <c r="K663" s="40" t="s">
        <v>738</v>
      </c>
      <c r="L663" s="37" t="s">
        <v>64</v>
      </c>
      <c r="M663" s="37" t="s">
        <v>2526</v>
      </c>
      <c r="N663" s="37"/>
      <c r="O663" s="37" t="s">
        <v>1387</v>
      </c>
      <c r="P663" s="37" t="s">
        <v>123</v>
      </c>
      <c r="Q663" s="37" t="s">
        <v>98</v>
      </c>
      <c r="R663" s="37"/>
      <c r="S663" s="37"/>
      <c r="T663" s="37" t="s">
        <v>158</v>
      </c>
      <c r="U663" s="37" t="s">
        <v>145</v>
      </c>
      <c r="V663" s="37" t="s">
        <v>72</v>
      </c>
      <c r="W663" s="37" t="s">
        <v>89</v>
      </c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</row>
    <row r="664" spans="1:37">
      <c r="A664" s="37"/>
      <c r="B664" s="37"/>
      <c r="C664" s="37"/>
      <c r="D664" s="37" t="s">
        <v>909</v>
      </c>
      <c r="E664" s="37" t="s">
        <v>5043</v>
      </c>
      <c r="F664" s="37" t="s">
        <v>5046</v>
      </c>
      <c r="G664" s="37" t="s">
        <v>5044</v>
      </c>
      <c r="H664" s="37"/>
      <c r="I664" s="37" t="s">
        <v>342</v>
      </c>
      <c r="J664" s="37" t="s">
        <v>256</v>
      </c>
      <c r="K664" s="40" t="s">
        <v>3697</v>
      </c>
      <c r="L664" s="37" t="s">
        <v>64</v>
      </c>
      <c r="M664" s="37" t="s">
        <v>5045</v>
      </c>
      <c r="N664" s="37"/>
      <c r="O664" s="37" t="s">
        <v>1387</v>
      </c>
      <c r="P664" s="37" t="s">
        <v>123</v>
      </c>
      <c r="Q664" s="37" t="s">
        <v>17</v>
      </c>
      <c r="R664" s="37"/>
      <c r="S664" s="37"/>
      <c r="T664" s="37" t="s">
        <v>69</v>
      </c>
      <c r="U664" s="37"/>
      <c r="V664" s="37" t="s">
        <v>72</v>
      </c>
      <c r="W664" s="37" t="s">
        <v>89</v>
      </c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</row>
    <row r="665" spans="1:37">
      <c r="A665" s="37"/>
      <c r="B665" s="37"/>
      <c r="C665" s="37"/>
      <c r="D665" s="37" t="s">
        <v>1353</v>
      </c>
      <c r="E665" s="37" t="s">
        <v>5050</v>
      </c>
      <c r="F665" s="37" t="s">
        <v>5052</v>
      </c>
      <c r="G665" s="37" t="s">
        <v>235</v>
      </c>
      <c r="H665" s="37"/>
      <c r="I665" s="37" t="s">
        <v>191</v>
      </c>
      <c r="J665" s="37" t="s">
        <v>121</v>
      </c>
      <c r="K665" s="40" t="s">
        <v>192</v>
      </c>
      <c r="L665" s="37" t="s">
        <v>64</v>
      </c>
      <c r="M665" s="37" t="s">
        <v>5051</v>
      </c>
      <c r="N665" s="37"/>
      <c r="O665" s="37" t="s">
        <v>1387</v>
      </c>
      <c r="P665" s="37" t="s">
        <v>123</v>
      </c>
      <c r="Q665" s="37" t="s">
        <v>14</v>
      </c>
      <c r="R665" s="37"/>
      <c r="S665" s="37"/>
      <c r="T665" s="37"/>
      <c r="U665" s="37"/>
      <c r="V665" s="37" t="s">
        <v>72</v>
      </c>
      <c r="W665" s="37" t="s">
        <v>69</v>
      </c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</row>
    <row r="666" spans="1:37">
      <c r="A666" s="37"/>
      <c r="B666" s="37"/>
      <c r="C666" s="37"/>
      <c r="D666" s="37" t="s">
        <v>211</v>
      </c>
      <c r="E666" s="37" t="s">
        <v>4078</v>
      </c>
      <c r="F666" s="37" t="s">
        <v>4082</v>
      </c>
      <c r="G666" s="37" t="s">
        <v>4079</v>
      </c>
      <c r="H666" s="37" t="s">
        <v>4080</v>
      </c>
      <c r="I666" s="37" t="s">
        <v>82</v>
      </c>
      <c r="J666" s="37" t="s">
        <v>83</v>
      </c>
      <c r="K666" s="40" t="s">
        <v>1014</v>
      </c>
      <c r="L666" s="37" t="s">
        <v>64</v>
      </c>
      <c r="M666" s="37" t="s">
        <v>4081</v>
      </c>
      <c r="N666" s="37"/>
      <c r="O666" s="37" t="s">
        <v>1387</v>
      </c>
      <c r="P666" s="37" t="s">
        <v>202</v>
      </c>
      <c r="Q666" s="37" t="s">
        <v>71</v>
      </c>
      <c r="R666" s="37" t="s">
        <v>3998</v>
      </c>
      <c r="S666" s="37"/>
      <c r="T666" s="37" t="s">
        <v>66</v>
      </c>
      <c r="U666" s="37" t="s">
        <v>109</v>
      </c>
      <c r="V666" s="37" t="s">
        <v>72</v>
      </c>
      <c r="W666" s="37" t="s">
        <v>110</v>
      </c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</row>
    <row r="667" spans="1:37">
      <c r="A667" s="37"/>
      <c r="B667" s="37"/>
      <c r="C667" s="37"/>
      <c r="D667" s="37" t="s">
        <v>380</v>
      </c>
      <c r="E667" s="37" t="s">
        <v>3178</v>
      </c>
      <c r="F667" s="37" t="s">
        <v>6164</v>
      </c>
      <c r="G667" s="37" t="s">
        <v>6165</v>
      </c>
      <c r="H667" s="37"/>
      <c r="I667" s="37" t="s">
        <v>420</v>
      </c>
      <c r="J667" s="37" t="s">
        <v>75</v>
      </c>
      <c r="K667" s="40" t="s">
        <v>698</v>
      </c>
      <c r="L667" s="37" t="s">
        <v>64</v>
      </c>
      <c r="M667" s="37" t="s">
        <v>6166</v>
      </c>
      <c r="N667" s="37"/>
      <c r="O667" s="37" t="s">
        <v>1387</v>
      </c>
      <c r="P667" s="37" t="s">
        <v>221</v>
      </c>
      <c r="Q667" s="37" t="s">
        <v>10</v>
      </c>
      <c r="R667" s="37"/>
      <c r="S667" s="37"/>
      <c r="T667" s="37"/>
      <c r="U667" s="37"/>
      <c r="V667" s="37" t="s">
        <v>72</v>
      </c>
      <c r="W667" s="37" t="s">
        <v>135</v>
      </c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</row>
    <row r="668" spans="1:37">
      <c r="A668" s="37"/>
      <c r="B668" s="37"/>
      <c r="C668" s="37"/>
      <c r="D668" s="37" t="s">
        <v>909</v>
      </c>
      <c r="E668" s="37" t="s">
        <v>5066</v>
      </c>
      <c r="F668" s="37" t="s">
        <v>5068</v>
      </c>
      <c r="G668" s="37" t="s">
        <v>617</v>
      </c>
      <c r="H668" s="37" t="s">
        <v>618</v>
      </c>
      <c r="I668" s="37" t="s">
        <v>191</v>
      </c>
      <c r="J668" s="37" t="s">
        <v>121</v>
      </c>
      <c r="K668" s="40" t="s">
        <v>192</v>
      </c>
      <c r="L668" s="37" t="s">
        <v>64</v>
      </c>
      <c r="M668" s="37" t="s">
        <v>5067</v>
      </c>
      <c r="N668" s="37"/>
      <c r="O668" s="37" t="s">
        <v>1387</v>
      </c>
      <c r="P668" s="37" t="s">
        <v>123</v>
      </c>
      <c r="Q668" s="37" t="s">
        <v>14</v>
      </c>
      <c r="R668" s="37"/>
      <c r="S668" s="37"/>
      <c r="T668" s="37" t="s">
        <v>66</v>
      </c>
      <c r="U668" s="37" t="s">
        <v>254</v>
      </c>
      <c r="V668" s="37" t="s">
        <v>72</v>
      </c>
      <c r="W668" s="37" t="s">
        <v>89</v>
      </c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</row>
    <row r="669" spans="1:37">
      <c r="A669" s="37"/>
      <c r="B669" s="37"/>
      <c r="C669" s="37"/>
      <c r="D669" s="37" t="s">
        <v>199</v>
      </c>
      <c r="E669" s="37" t="s">
        <v>2568</v>
      </c>
      <c r="F669" s="37" t="s">
        <v>2569</v>
      </c>
      <c r="G669" s="37" t="s">
        <v>1146</v>
      </c>
      <c r="H669" s="37"/>
      <c r="I669" s="37" t="s">
        <v>276</v>
      </c>
      <c r="J669" s="37" t="s">
        <v>70</v>
      </c>
      <c r="K669" s="40" t="s">
        <v>277</v>
      </c>
      <c r="L669" s="37" t="s">
        <v>64</v>
      </c>
      <c r="M669" s="37" t="s">
        <v>5545</v>
      </c>
      <c r="N669" s="37"/>
      <c r="O669" s="37" t="s">
        <v>1387</v>
      </c>
      <c r="P669" s="37" t="s">
        <v>123</v>
      </c>
      <c r="Q669" s="37" t="s">
        <v>71</v>
      </c>
      <c r="R669" s="37"/>
      <c r="S669" s="37"/>
      <c r="T669" s="37"/>
      <c r="U669" s="37"/>
      <c r="V669" s="37" t="s">
        <v>72</v>
      </c>
      <c r="W669" s="37" t="s">
        <v>89</v>
      </c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</row>
    <row r="670" spans="1:37">
      <c r="A670" s="37"/>
      <c r="B670" s="37"/>
      <c r="C670" s="37"/>
      <c r="D670" s="37" t="s">
        <v>1233</v>
      </c>
      <c r="E670" s="37" t="s">
        <v>2590</v>
      </c>
      <c r="F670" s="37" t="s">
        <v>2597</v>
      </c>
      <c r="G670" s="37" t="s">
        <v>2593</v>
      </c>
      <c r="H670" s="37"/>
      <c r="I670" s="37" t="s">
        <v>2594</v>
      </c>
      <c r="J670" s="37" t="s">
        <v>125</v>
      </c>
      <c r="K670" s="40" t="s">
        <v>1440</v>
      </c>
      <c r="L670" s="37" t="s">
        <v>64</v>
      </c>
      <c r="M670" s="37" t="s">
        <v>2595</v>
      </c>
      <c r="N670" s="37" t="s">
        <v>2596</v>
      </c>
      <c r="O670" s="37" t="s">
        <v>1387</v>
      </c>
      <c r="P670" s="37" t="s">
        <v>123</v>
      </c>
      <c r="Q670" s="37" t="s">
        <v>126</v>
      </c>
      <c r="R670" s="37"/>
      <c r="S670" s="37"/>
      <c r="T670" s="37" t="s">
        <v>66</v>
      </c>
      <c r="U670" s="37" t="s">
        <v>254</v>
      </c>
      <c r="V670" s="37" t="s">
        <v>88</v>
      </c>
      <c r="W670" s="37" t="s">
        <v>89</v>
      </c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</row>
    <row r="671" spans="1:37">
      <c r="A671" s="37"/>
      <c r="B671" s="37"/>
      <c r="C671" s="37"/>
      <c r="D671" s="37" t="s">
        <v>2626</v>
      </c>
      <c r="E671" s="37" t="s">
        <v>2621</v>
      </c>
      <c r="F671" s="37" t="s">
        <v>2628</v>
      </c>
      <c r="G671" s="37" t="s">
        <v>1470</v>
      </c>
      <c r="H671" s="37" t="s">
        <v>1857</v>
      </c>
      <c r="I671" s="37" t="s">
        <v>193</v>
      </c>
      <c r="J671" s="37" t="s">
        <v>153</v>
      </c>
      <c r="K671" s="40" t="s">
        <v>194</v>
      </c>
      <c r="L671" s="37" t="s">
        <v>64</v>
      </c>
      <c r="M671" s="37" t="s">
        <v>2627</v>
      </c>
      <c r="N671" s="37"/>
      <c r="O671" s="37" t="s">
        <v>1387</v>
      </c>
      <c r="P671" s="37" t="s">
        <v>123</v>
      </c>
      <c r="Q671" s="37" t="s">
        <v>16</v>
      </c>
      <c r="R671" s="37"/>
      <c r="S671" s="37"/>
      <c r="T671" s="37"/>
      <c r="U671" s="37" t="s">
        <v>145</v>
      </c>
      <c r="V671" s="37" t="s">
        <v>72</v>
      </c>
      <c r="W671" s="37" t="s">
        <v>195</v>
      </c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</row>
    <row r="672" spans="1:37">
      <c r="A672" s="37"/>
      <c r="B672" s="37"/>
      <c r="C672" s="37"/>
      <c r="D672" s="37" t="s">
        <v>2644</v>
      </c>
      <c r="E672" s="37" t="s">
        <v>2638</v>
      </c>
      <c r="F672" s="37" t="s">
        <v>2647</v>
      </c>
      <c r="G672" s="37" t="s">
        <v>2645</v>
      </c>
      <c r="H672" s="37"/>
      <c r="I672" s="37" t="s">
        <v>92</v>
      </c>
      <c r="J672" s="37" t="s">
        <v>93</v>
      </c>
      <c r="K672" s="40" t="s">
        <v>329</v>
      </c>
      <c r="L672" s="37" t="s">
        <v>64</v>
      </c>
      <c r="M672" s="37" t="s">
        <v>2646</v>
      </c>
      <c r="N672" s="37"/>
      <c r="O672" s="37" t="s">
        <v>1387</v>
      </c>
      <c r="P672" s="37" t="s">
        <v>123</v>
      </c>
      <c r="Q672" s="37" t="s">
        <v>98</v>
      </c>
      <c r="R672" s="37"/>
      <c r="S672" s="37"/>
      <c r="T672" s="37" t="s">
        <v>66</v>
      </c>
      <c r="U672" s="37" t="s">
        <v>109</v>
      </c>
      <c r="V672" s="37" t="s">
        <v>67</v>
      </c>
      <c r="W672" s="37" t="s">
        <v>110</v>
      </c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</row>
    <row r="673" spans="1:37">
      <c r="A673" s="37"/>
      <c r="B673" s="37"/>
      <c r="C673" s="37"/>
      <c r="D673" s="37" t="s">
        <v>349</v>
      </c>
      <c r="E673" s="37" t="s">
        <v>5032</v>
      </c>
      <c r="F673" s="37" t="s">
        <v>5034</v>
      </c>
      <c r="G673" s="37" t="s">
        <v>119</v>
      </c>
      <c r="H673" s="37"/>
      <c r="I673" s="37" t="s">
        <v>120</v>
      </c>
      <c r="J673" s="37" t="s">
        <v>121</v>
      </c>
      <c r="K673" s="40" t="s">
        <v>122</v>
      </c>
      <c r="L673" s="37" t="s">
        <v>64</v>
      </c>
      <c r="M673" s="37" t="s">
        <v>5033</v>
      </c>
      <c r="N673" s="37"/>
      <c r="O673" s="37" t="s">
        <v>1387</v>
      </c>
      <c r="P673" s="37" t="s">
        <v>123</v>
      </c>
      <c r="Q673" s="37" t="s">
        <v>14</v>
      </c>
      <c r="R673" s="37" t="s">
        <v>894</v>
      </c>
      <c r="S673" s="37"/>
      <c r="T673" s="37" t="s">
        <v>66</v>
      </c>
      <c r="U673" s="37" t="s">
        <v>254</v>
      </c>
      <c r="V673" s="37" t="s">
        <v>72</v>
      </c>
      <c r="W673" s="37" t="s">
        <v>195</v>
      </c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</row>
    <row r="674" spans="1:37">
      <c r="A674" s="37"/>
      <c r="B674" s="37"/>
      <c r="C674" s="37"/>
      <c r="D674" s="37" t="s">
        <v>3537</v>
      </c>
      <c r="E674" s="37" t="s">
        <v>3538</v>
      </c>
      <c r="F674" s="37" t="s">
        <v>3541</v>
      </c>
      <c r="G674" s="37" t="s">
        <v>3539</v>
      </c>
      <c r="H674" s="37"/>
      <c r="I674" s="37" t="s">
        <v>354</v>
      </c>
      <c r="J674" s="37" t="s">
        <v>75</v>
      </c>
      <c r="K674" s="40" t="s">
        <v>355</v>
      </c>
      <c r="L674" s="37" t="s">
        <v>64</v>
      </c>
      <c r="M674" s="37" t="s">
        <v>3540</v>
      </c>
      <c r="N674" s="37"/>
      <c r="O674" s="37" t="s">
        <v>1387</v>
      </c>
      <c r="P674" s="37" t="s">
        <v>123</v>
      </c>
      <c r="Q674" s="37" t="s">
        <v>10</v>
      </c>
      <c r="R674" s="37"/>
      <c r="S674" s="37"/>
      <c r="T674" s="37"/>
      <c r="U674" s="37"/>
      <c r="V674" s="37" t="s">
        <v>88</v>
      </c>
      <c r="W674" s="37" t="s">
        <v>89</v>
      </c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</row>
    <row r="675" spans="1:37">
      <c r="A675" s="37"/>
      <c r="B675" s="37"/>
      <c r="C675" s="37"/>
      <c r="D675" s="37" t="s">
        <v>444</v>
      </c>
      <c r="E675" s="37" t="s">
        <v>2651</v>
      </c>
      <c r="F675" s="37" t="s">
        <v>2653</v>
      </c>
      <c r="G675" s="37" t="s">
        <v>235</v>
      </c>
      <c r="H675" s="37"/>
      <c r="I675" s="37" t="s">
        <v>191</v>
      </c>
      <c r="J675" s="37" t="s">
        <v>121</v>
      </c>
      <c r="K675" s="40" t="s">
        <v>192</v>
      </c>
      <c r="L675" s="37" t="s">
        <v>64</v>
      </c>
      <c r="M675" s="37" t="s">
        <v>2652</v>
      </c>
      <c r="N675" s="37"/>
      <c r="O675" s="37" t="s">
        <v>1387</v>
      </c>
      <c r="P675" s="37" t="s">
        <v>123</v>
      </c>
      <c r="Q675" s="37" t="s">
        <v>14</v>
      </c>
      <c r="R675" s="37"/>
      <c r="S675" s="37"/>
      <c r="T675" s="37"/>
      <c r="U675" s="37"/>
      <c r="V675" s="37" t="s">
        <v>72</v>
      </c>
      <c r="W675" s="37" t="s">
        <v>69</v>
      </c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</row>
    <row r="676" spans="1:37">
      <c r="A676" s="37"/>
      <c r="B676" s="37"/>
      <c r="C676" s="37"/>
      <c r="D676" s="37" t="s">
        <v>6167</v>
      </c>
      <c r="E676" s="37" t="s">
        <v>6168</v>
      </c>
      <c r="F676" s="37" t="s">
        <v>2655</v>
      </c>
      <c r="G676" s="37" t="s">
        <v>6169</v>
      </c>
      <c r="H676" s="37"/>
      <c r="I676" s="37" t="s">
        <v>655</v>
      </c>
      <c r="J676" s="37" t="s">
        <v>93</v>
      </c>
      <c r="K676" s="40" t="s">
        <v>738</v>
      </c>
      <c r="L676" s="37" t="s">
        <v>64</v>
      </c>
      <c r="M676" s="37" t="s">
        <v>658</v>
      </c>
      <c r="N676" s="37"/>
      <c r="O676" s="37" t="s">
        <v>1387</v>
      </c>
      <c r="P676" s="37" t="s">
        <v>123</v>
      </c>
      <c r="Q676" s="37" t="s">
        <v>98</v>
      </c>
      <c r="R676" s="37"/>
      <c r="S676" s="37"/>
      <c r="T676" s="37"/>
      <c r="U676" s="37"/>
      <c r="V676" s="37" t="s">
        <v>72</v>
      </c>
      <c r="W676" s="37" t="s">
        <v>69</v>
      </c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</row>
    <row r="677" spans="1:37">
      <c r="A677" s="37" t="s">
        <v>3409</v>
      </c>
      <c r="B677" s="37"/>
      <c r="C677" s="37"/>
      <c r="D677" s="37" t="s">
        <v>1275</v>
      </c>
      <c r="E677" s="37" t="s">
        <v>5035</v>
      </c>
      <c r="F677" s="37" t="s">
        <v>5038</v>
      </c>
      <c r="G677" s="37" t="s">
        <v>352</v>
      </c>
      <c r="H677" s="37" t="s">
        <v>5036</v>
      </c>
      <c r="I677" s="37" t="s">
        <v>354</v>
      </c>
      <c r="J677" s="37" t="s">
        <v>75</v>
      </c>
      <c r="K677" s="40" t="s">
        <v>355</v>
      </c>
      <c r="L677" s="37" t="s">
        <v>64</v>
      </c>
      <c r="M677" s="37" t="s">
        <v>5037</v>
      </c>
      <c r="N677" s="37"/>
      <c r="O677" s="37" t="s">
        <v>1387</v>
      </c>
      <c r="P677" s="37" t="s">
        <v>123</v>
      </c>
      <c r="Q677" s="37" t="s">
        <v>10</v>
      </c>
      <c r="R677" s="37"/>
      <c r="S677" s="37"/>
      <c r="T677" s="37" t="s">
        <v>115</v>
      </c>
      <c r="U677" s="37" t="s">
        <v>254</v>
      </c>
      <c r="V677" s="37" t="s">
        <v>88</v>
      </c>
      <c r="W677" s="37" t="s">
        <v>195</v>
      </c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</row>
    <row r="678" spans="1:37">
      <c r="A678" s="37"/>
      <c r="B678" s="37"/>
      <c r="C678" s="37"/>
      <c r="D678" s="37" t="s">
        <v>695</v>
      </c>
      <c r="E678" s="37" t="s">
        <v>4780</v>
      </c>
      <c r="F678" s="37" t="s">
        <v>4784</v>
      </c>
      <c r="G678" s="37" t="s">
        <v>4781</v>
      </c>
      <c r="H678" s="37" t="s">
        <v>4782</v>
      </c>
      <c r="I678" s="37" t="s">
        <v>560</v>
      </c>
      <c r="J678" s="37" t="s">
        <v>200</v>
      </c>
      <c r="K678" s="40" t="s">
        <v>3007</v>
      </c>
      <c r="L678" s="37" t="s">
        <v>64</v>
      </c>
      <c r="M678" s="37" t="s">
        <v>4783</v>
      </c>
      <c r="N678" s="37"/>
      <c r="O678" s="37" t="s">
        <v>1387</v>
      </c>
      <c r="P678" s="37" t="s">
        <v>123</v>
      </c>
      <c r="Q678" s="37" t="s">
        <v>18</v>
      </c>
      <c r="R678" s="37"/>
      <c r="S678" s="37"/>
      <c r="T678" s="37"/>
      <c r="U678" s="37" t="s">
        <v>87</v>
      </c>
      <c r="V678" s="37" t="s">
        <v>72</v>
      </c>
      <c r="W678" s="37" t="s">
        <v>78</v>
      </c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</row>
    <row r="679" spans="1:37">
      <c r="A679" s="37" t="s">
        <v>1334</v>
      </c>
      <c r="B679" s="37"/>
      <c r="C679" s="37"/>
      <c r="D679" s="37" t="s">
        <v>2685</v>
      </c>
      <c r="E679" s="37" t="s">
        <v>2686</v>
      </c>
      <c r="F679" s="37" t="s">
        <v>2691</v>
      </c>
      <c r="G679" s="37" t="s">
        <v>2687</v>
      </c>
      <c r="H679" s="37"/>
      <c r="I679" s="37" t="s">
        <v>2688</v>
      </c>
      <c r="J679" s="37" t="s">
        <v>196</v>
      </c>
      <c r="K679" s="40" t="s">
        <v>2689</v>
      </c>
      <c r="L679" s="37" t="s">
        <v>64</v>
      </c>
      <c r="M679" s="37" t="s">
        <v>2690</v>
      </c>
      <c r="N679" s="37"/>
      <c r="O679" s="37" t="s">
        <v>1387</v>
      </c>
      <c r="P679" s="37" t="s">
        <v>123</v>
      </c>
      <c r="Q679" s="37" t="s">
        <v>98</v>
      </c>
      <c r="R679" s="37"/>
      <c r="S679" s="37"/>
      <c r="T679" s="37" t="s">
        <v>69</v>
      </c>
      <c r="U679" s="37" t="s">
        <v>87</v>
      </c>
      <c r="V679" s="37" t="s">
        <v>72</v>
      </c>
      <c r="W679" s="37" t="s">
        <v>89</v>
      </c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</row>
    <row r="680" spans="1:37">
      <c r="A680" s="37"/>
      <c r="B680" s="37"/>
      <c r="C680" s="37"/>
      <c r="D680" s="37" t="s">
        <v>5039</v>
      </c>
      <c r="E680" s="37" t="s">
        <v>5040</v>
      </c>
      <c r="F680" s="37" t="s">
        <v>5042</v>
      </c>
      <c r="G680" s="37" t="s">
        <v>318</v>
      </c>
      <c r="H680" s="37" t="s">
        <v>1719</v>
      </c>
      <c r="I680" s="37" t="s">
        <v>319</v>
      </c>
      <c r="J680" s="37" t="s">
        <v>320</v>
      </c>
      <c r="K680" s="40" t="s">
        <v>321</v>
      </c>
      <c r="L680" s="37" t="s">
        <v>64</v>
      </c>
      <c r="M680" s="37" t="s">
        <v>5041</v>
      </c>
      <c r="N680" s="37"/>
      <c r="O680" s="37" t="s">
        <v>1387</v>
      </c>
      <c r="P680" s="37" t="s">
        <v>123</v>
      </c>
      <c r="Q680" s="37" t="s">
        <v>4</v>
      </c>
      <c r="R680" s="37"/>
      <c r="S680" s="37"/>
      <c r="T680" s="37"/>
      <c r="U680" s="37"/>
      <c r="V680" s="37" t="s">
        <v>72</v>
      </c>
      <c r="W680" s="37" t="s">
        <v>69</v>
      </c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</row>
    <row r="681" spans="1:37">
      <c r="A681" s="37"/>
      <c r="B681" s="37"/>
      <c r="C681" s="37"/>
      <c r="D681" s="37" t="s">
        <v>3632</v>
      </c>
      <c r="E681" s="37" t="s">
        <v>4312</v>
      </c>
      <c r="F681" s="37" t="s">
        <v>4317</v>
      </c>
      <c r="G681" s="37" t="s">
        <v>4313</v>
      </c>
      <c r="H681" s="37" t="s">
        <v>4314</v>
      </c>
      <c r="I681" s="37" t="s">
        <v>265</v>
      </c>
      <c r="J681" s="37" t="s">
        <v>75</v>
      </c>
      <c r="K681" s="40" t="s">
        <v>4315</v>
      </c>
      <c r="L681" s="37" t="s">
        <v>64</v>
      </c>
      <c r="M681" s="37" t="s">
        <v>4316</v>
      </c>
      <c r="N681" s="37"/>
      <c r="O681" s="37" t="s">
        <v>1387</v>
      </c>
      <c r="P681" s="37" t="s">
        <v>221</v>
      </c>
      <c r="Q681" s="37" t="s">
        <v>10</v>
      </c>
      <c r="R681" s="37"/>
      <c r="S681" s="37"/>
      <c r="T681" s="37" t="s">
        <v>144</v>
      </c>
      <c r="U681" s="37" t="s">
        <v>87</v>
      </c>
      <c r="V681" s="37" t="s">
        <v>67</v>
      </c>
      <c r="W681" s="37" t="s">
        <v>204</v>
      </c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</row>
    <row r="682" spans="1:37">
      <c r="A682" s="37"/>
      <c r="B682" s="37"/>
      <c r="C682" s="37"/>
      <c r="D682" s="37" t="s">
        <v>251</v>
      </c>
      <c r="E682" s="37" t="s">
        <v>249</v>
      </c>
      <c r="F682" s="37" t="s">
        <v>255</v>
      </c>
      <c r="G682" s="37" t="s">
        <v>235</v>
      </c>
      <c r="H682" s="37" t="s">
        <v>252</v>
      </c>
      <c r="I682" s="37" t="s">
        <v>191</v>
      </c>
      <c r="J682" s="37" t="s">
        <v>121</v>
      </c>
      <c r="K682" s="40" t="s">
        <v>192</v>
      </c>
      <c r="L682" s="37" t="s">
        <v>64</v>
      </c>
      <c r="M682" s="37" t="s">
        <v>253</v>
      </c>
      <c r="N682" s="37"/>
      <c r="O682" s="37" t="s">
        <v>1387</v>
      </c>
      <c r="P682" s="37" t="s">
        <v>123</v>
      </c>
      <c r="Q682" s="37" t="s">
        <v>14</v>
      </c>
      <c r="R682" s="37"/>
      <c r="S682" s="37"/>
      <c r="T682" s="37" t="s">
        <v>69</v>
      </c>
      <c r="U682" s="37" t="s">
        <v>254</v>
      </c>
      <c r="V682" s="37" t="s">
        <v>72</v>
      </c>
      <c r="W682" s="37" t="s">
        <v>69</v>
      </c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</row>
    <row r="683" spans="1:37">
      <c r="A683" s="37"/>
      <c r="B683" s="37"/>
      <c r="C683" s="37"/>
      <c r="D683" s="37" t="s">
        <v>303</v>
      </c>
      <c r="E683" s="37" t="s">
        <v>304</v>
      </c>
      <c r="F683" s="37" t="s">
        <v>306</v>
      </c>
      <c r="G683" s="37" t="s">
        <v>235</v>
      </c>
      <c r="H683" s="37"/>
      <c r="I683" s="37" t="s">
        <v>191</v>
      </c>
      <c r="J683" s="37" t="s">
        <v>121</v>
      </c>
      <c r="K683" s="40" t="s">
        <v>192</v>
      </c>
      <c r="L683" s="37" t="s">
        <v>64</v>
      </c>
      <c r="M683" s="37" t="s">
        <v>305</v>
      </c>
      <c r="N683" s="37"/>
      <c r="O683" s="37" t="s">
        <v>1387</v>
      </c>
      <c r="P683" s="37" t="s">
        <v>123</v>
      </c>
      <c r="Q683" s="37" t="s">
        <v>14</v>
      </c>
      <c r="R683" s="37"/>
      <c r="S683" s="37"/>
      <c r="T683" s="37"/>
      <c r="U683" s="37"/>
      <c r="V683" s="37" t="s">
        <v>72</v>
      </c>
      <c r="W683" s="37" t="s">
        <v>69</v>
      </c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</row>
    <row r="684" spans="1:37">
      <c r="A684" s="37"/>
      <c r="B684" s="37"/>
      <c r="C684" s="37"/>
      <c r="D684" s="37" t="s">
        <v>325</v>
      </c>
      <c r="E684" s="37" t="s">
        <v>323</v>
      </c>
      <c r="F684" s="37" t="s">
        <v>327</v>
      </c>
      <c r="G684" s="37" t="s">
        <v>119</v>
      </c>
      <c r="H684" s="37"/>
      <c r="I684" s="37" t="s">
        <v>120</v>
      </c>
      <c r="J684" s="37" t="s">
        <v>121</v>
      </c>
      <c r="K684" s="40" t="s">
        <v>122</v>
      </c>
      <c r="L684" s="37" t="s">
        <v>64</v>
      </c>
      <c r="M684" s="37" t="s">
        <v>326</v>
      </c>
      <c r="N684" s="37"/>
      <c r="O684" s="37" t="s">
        <v>1387</v>
      </c>
      <c r="P684" s="37" t="s">
        <v>123</v>
      </c>
      <c r="Q684" s="37" t="s">
        <v>14</v>
      </c>
      <c r="R684" s="37"/>
      <c r="S684" s="37"/>
      <c r="T684" s="37" t="s">
        <v>144</v>
      </c>
      <c r="U684" s="37"/>
      <c r="V684" s="37" t="s">
        <v>72</v>
      </c>
      <c r="W684" s="37" t="s">
        <v>110</v>
      </c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</row>
    <row r="685" spans="1:37">
      <c r="A685" s="37"/>
      <c r="B685" s="37"/>
      <c r="C685" s="37"/>
      <c r="D685" s="37" t="s">
        <v>339</v>
      </c>
      <c r="E685" s="37" t="s">
        <v>340</v>
      </c>
      <c r="F685" s="37" t="s">
        <v>346</v>
      </c>
      <c r="G685" s="37" t="s">
        <v>2290</v>
      </c>
      <c r="H685" s="37"/>
      <c r="I685" s="37" t="s">
        <v>342</v>
      </c>
      <c r="J685" s="37" t="s">
        <v>256</v>
      </c>
      <c r="K685" s="40" t="s">
        <v>343</v>
      </c>
      <c r="L685" s="37" t="s">
        <v>64</v>
      </c>
      <c r="M685" s="37" t="s">
        <v>344</v>
      </c>
      <c r="N685" s="37" t="s">
        <v>345</v>
      </c>
      <c r="O685" s="37" t="s">
        <v>1387</v>
      </c>
      <c r="P685" s="37" t="s">
        <v>123</v>
      </c>
      <c r="Q685" s="37" t="s">
        <v>17</v>
      </c>
      <c r="R685" s="37"/>
      <c r="S685" s="37"/>
      <c r="T685" s="37" t="s">
        <v>115</v>
      </c>
      <c r="U685" s="37" t="s">
        <v>189</v>
      </c>
      <c r="V685" s="37" t="s">
        <v>72</v>
      </c>
      <c r="W685" s="37" t="s">
        <v>73</v>
      </c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</row>
    <row r="686" spans="1:37">
      <c r="A686" s="37"/>
      <c r="B686" s="37"/>
      <c r="C686" s="37"/>
      <c r="D686" s="37" t="s">
        <v>350</v>
      </c>
      <c r="E686" s="37" t="s">
        <v>351</v>
      </c>
      <c r="F686" s="37" t="s">
        <v>357</v>
      </c>
      <c r="G686" s="37" t="s">
        <v>352</v>
      </c>
      <c r="H686" s="37" t="s">
        <v>353</v>
      </c>
      <c r="I686" s="37" t="s">
        <v>354</v>
      </c>
      <c r="J686" s="37" t="s">
        <v>75</v>
      </c>
      <c r="K686" s="40" t="s">
        <v>355</v>
      </c>
      <c r="L686" s="37" t="s">
        <v>64</v>
      </c>
      <c r="M686" s="37" t="s">
        <v>356</v>
      </c>
      <c r="N686" s="37"/>
      <c r="O686" s="37" t="s">
        <v>1387</v>
      </c>
      <c r="P686" s="37" t="s">
        <v>123</v>
      </c>
      <c r="Q686" s="37" t="s">
        <v>10</v>
      </c>
      <c r="R686" s="37"/>
      <c r="S686" s="37"/>
      <c r="T686" s="37" t="s">
        <v>69</v>
      </c>
      <c r="U686" s="37" t="s">
        <v>145</v>
      </c>
      <c r="V686" s="37" t="s">
        <v>77</v>
      </c>
      <c r="W686" s="37" t="s">
        <v>69</v>
      </c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</row>
    <row r="687" spans="1:37">
      <c r="A687" s="37" t="s">
        <v>359</v>
      </c>
      <c r="B687" s="37"/>
      <c r="C687" s="37"/>
      <c r="D687" s="37" t="s">
        <v>360</v>
      </c>
      <c r="E687" s="37" t="s">
        <v>6170</v>
      </c>
      <c r="F687" s="37" t="s">
        <v>6171</v>
      </c>
      <c r="G687" s="37" t="s">
        <v>6172</v>
      </c>
      <c r="H687" s="37" t="s">
        <v>6173</v>
      </c>
      <c r="I687" s="37" t="s">
        <v>82</v>
      </c>
      <c r="J687" s="37" t="s">
        <v>83</v>
      </c>
      <c r="K687" s="40" t="s">
        <v>201</v>
      </c>
      <c r="L687" s="37" t="s">
        <v>64</v>
      </c>
      <c r="M687" s="37" t="s">
        <v>6174</v>
      </c>
      <c r="N687" s="37"/>
      <c r="O687" s="37" t="s">
        <v>1387</v>
      </c>
      <c r="P687" s="37" t="s">
        <v>123</v>
      </c>
      <c r="Q687" s="37" t="s">
        <v>14</v>
      </c>
      <c r="R687" s="37"/>
      <c r="S687" s="37"/>
      <c r="T687" s="37" t="s">
        <v>144</v>
      </c>
      <c r="U687" s="37" t="s">
        <v>254</v>
      </c>
      <c r="V687" s="37" t="s">
        <v>72</v>
      </c>
      <c r="W687" s="37" t="s">
        <v>89</v>
      </c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</row>
    <row r="688" spans="1:37">
      <c r="A688" s="37"/>
      <c r="B688" s="37"/>
      <c r="C688" s="37"/>
      <c r="D688" s="37" t="s">
        <v>742</v>
      </c>
      <c r="E688" s="37" t="s">
        <v>364</v>
      </c>
      <c r="F688" s="37" t="s">
        <v>5498</v>
      </c>
      <c r="G688" s="37" t="s">
        <v>235</v>
      </c>
      <c r="H688" s="37"/>
      <c r="I688" s="37" t="s">
        <v>191</v>
      </c>
      <c r="J688" s="37" t="s">
        <v>121</v>
      </c>
      <c r="K688" s="40" t="s">
        <v>5496</v>
      </c>
      <c r="L688" s="37" t="s">
        <v>64</v>
      </c>
      <c r="M688" s="37" t="s">
        <v>5497</v>
      </c>
      <c r="N688" s="37"/>
      <c r="O688" s="37" t="s">
        <v>1387</v>
      </c>
      <c r="P688" s="37" t="s">
        <v>123</v>
      </c>
      <c r="Q688" s="37" t="s">
        <v>14</v>
      </c>
      <c r="R688" s="37"/>
      <c r="S688" s="37"/>
      <c r="T688" s="37" t="s">
        <v>158</v>
      </c>
      <c r="U688" s="37"/>
      <c r="V688" s="37" t="s">
        <v>72</v>
      </c>
      <c r="W688" s="37" t="s">
        <v>110</v>
      </c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</row>
    <row r="689" spans="1:37">
      <c r="A689" s="37"/>
      <c r="B689" s="37"/>
      <c r="C689" s="37"/>
      <c r="D689" s="37" t="s">
        <v>972</v>
      </c>
      <c r="E689" s="37" t="s">
        <v>4068</v>
      </c>
      <c r="F689" s="37" t="s">
        <v>4073</v>
      </c>
      <c r="G689" s="37" t="s">
        <v>4069</v>
      </c>
      <c r="H689" s="37"/>
      <c r="I689" s="37" t="s">
        <v>4070</v>
      </c>
      <c r="J689" s="37" t="s">
        <v>200</v>
      </c>
      <c r="K689" s="40" t="s">
        <v>4071</v>
      </c>
      <c r="L689" s="37" t="s">
        <v>64</v>
      </c>
      <c r="M689" s="37" t="s">
        <v>4072</v>
      </c>
      <c r="N689" s="37"/>
      <c r="O689" s="37" t="s">
        <v>1387</v>
      </c>
      <c r="P689" s="37" t="s">
        <v>123</v>
      </c>
      <c r="Q689" s="37" t="s">
        <v>18</v>
      </c>
      <c r="R689" s="37"/>
      <c r="S689" s="37"/>
      <c r="T689" s="37" t="s">
        <v>69</v>
      </c>
      <c r="U689" s="37" t="s">
        <v>87</v>
      </c>
      <c r="V689" s="37" t="s">
        <v>72</v>
      </c>
      <c r="W689" s="37" t="s">
        <v>195</v>
      </c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</row>
    <row r="690" spans="1:37">
      <c r="A690" s="37"/>
      <c r="B690" s="37"/>
      <c r="C690" s="37"/>
      <c r="D690" s="37" t="s">
        <v>5425</v>
      </c>
      <c r="E690" s="37" t="s">
        <v>5426</v>
      </c>
      <c r="F690" s="37" t="s">
        <v>5428</v>
      </c>
      <c r="G690" s="37" t="s">
        <v>942</v>
      </c>
      <c r="H690" s="37"/>
      <c r="I690" s="37" t="s">
        <v>120</v>
      </c>
      <c r="J690" s="37" t="s">
        <v>121</v>
      </c>
      <c r="K690" s="40" t="s">
        <v>122</v>
      </c>
      <c r="L690" s="37" t="s">
        <v>64</v>
      </c>
      <c r="M690" s="37" t="s">
        <v>5427</v>
      </c>
      <c r="N690" s="37"/>
      <c r="O690" s="37" t="s">
        <v>1387</v>
      </c>
      <c r="P690" s="37" t="s">
        <v>123</v>
      </c>
      <c r="Q690" s="37" t="s">
        <v>14</v>
      </c>
      <c r="R690" s="37"/>
      <c r="S690" s="37"/>
      <c r="T690" s="37"/>
      <c r="U690" s="37"/>
      <c r="V690" s="37" t="s">
        <v>72</v>
      </c>
      <c r="W690" s="37" t="s">
        <v>110</v>
      </c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</row>
    <row r="691" spans="1:37">
      <c r="A691" s="37"/>
      <c r="B691" s="37"/>
      <c r="C691" s="37"/>
      <c r="D691" s="37" t="s">
        <v>2701</v>
      </c>
      <c r="E691" s="37" t="s">
        <v>2702</v>
      </c>
      <c r="F691" s="37" t="s">
        <v>2707</v>
      </c>
      <c r="G691" s="37" t="s">
        <v>2431</v>
      </c>
      <c r="H691" s="37" t="s">
        <v>2703</v>
      </c>
      <c r="I691" s="37" t="s">
        <v>2704</v>
      </c>
      <c r="J691" s="37" t="s">
        <v>93</v>
      </c>
      <c r="K691" s="40" t="s">
        <v>2705</v>
      </c>
      <c r="L691" s="37" t="s">
        <v>64</v>
      </c>
      <c r="M691" s="37" t="s">
        <v>2706</v>
      </c>
      <c r="N691" s="37"/>
      <c r="O691" s="37" t="s">
        <v>1387</v>
      </c>
      <c r="P691" s="37" t="s">
        <v>123</v>
      </c>
      <c r="Q691" s="37" t="s">
        <v>98</v>
      </c>
      <c r="R691" s="37"/>
      <c r="S691" s="37"/>
      <c r="T691" s="37" t="s">
        <v>66</v>
      </c>
      <c r="U691" s="37" t="s">
        <v>109</v>
      </c>
      <c r="V691" s="37" t="s">
        <v>72</v>
      </c>
      <c r="W691" s="37" t="s">
        <v>69</v>
      </c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</row>
    <row r="692" spans="1:37">
      <c r="A692" s="37"/>
      <c r="B692" s="37"/>
      <c r="C692" s="37"/>
      <c r="D692" s="37" t="s">
        <v>464</v>
      </c>
      <c r="E692" s="37" t="s">
        <v>510</v>
      </c>
      <c r="F692" s="37" t="s">
        <v>514</v>
      </c>
      <c r="G692" s="37" t="s">
        <v>511</v>
      </c>
      <c r="H692" s="37"/>
      <c r="I692" s="37" t="s">
        <v>191</v>
      </c>
      <c r="J692" s="37" t="s">
        <v>121</v>
      </c>
      <c r="K692" s="40" t="s">
        <v>192</v>
      </c>
      <c r="L692" s="37" t="s">
        <v>64</v>
      </c>
      <c r="M692" s="37" t="s">
        <v>512</v>
      </c>
      <c r="N692" s="37"/>
      <c r="O692" s="37" t="s">
        <v>1387</v>
      </c>
      <c r="P692" s="37" t="s">
        <v>513</v>
      </c>
      <c r="Q692" s="37" t="s">
        <v>14</v>
      </c>
      <c r="R692" s="37"/>
      <c r="S692" s="37"/>
      <c r="T692" s="37" t="s">
        <v>115</v>
      </c>
      <c r="U692" s="37"/>
      <c r="V692" s="37" t="s">
        <v>72</v>
      </c>
      <c r="W692" s="37" t="s">
        <v>99</v>
      </c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</row>
    <row r="693" spans="1:37">
      <c r="A693" s="37"/>
      <c r="B693" s="37"/>
      <c r="C693" s="37"/>
      <c r="D693" s="37" t="s">
        <v>360</v>
      </c>
      <c r="E693" s="37" t="s">
        <v>4523</v>
      </c>
      <c r="F693" s="37" t="s">
        <v>4525</v>
      </c>
      <c r="G693" s="37" t="s">
        <v>235</v>
      </c>
      <c r="H693" s="37"/>
      <c r="I693" s="37" t="s">
        <v>191</v>
      </c>
      <c r="J693" s="37" t="s">
        <v>121</v>
      </c>
      <c r="K693" s="40" t="s">
        <v>192</v>
      </c>
      <c r="L693" s="37" t="s">
        <v>64</v>
      </c>
      <c r="M693" s="37" t="s">
        <v>4524</v>
      </c>
      <c r="N693" s="37"/>
      <c r="O693" s="37" t="s">
        <v>1387</v>
      </c>
      <c r="P693" s="37" t="s">
        <v>123</v>
      </c>
      <c r="Q693" s="37" t="s">
        <v>14</v>
      </c>
      <c r="R693" s="37"/>
      <c r="S693" s="37"/>
      <c r="T693" s="37" t="s">
        <v>66</v>
      </c>
      <c r="U693" s="37" t="s">
        <v>254</v>
      </c>
      <c r="V693" s="37" t="s">
        <v>72</v>
      </c>
      <c r="W693" s="37" t="s">
        <v>89</v>
      </c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</row>
    <row r="694" spans="1:37">
      <c r="A694" s="37"/>
      <c r="B694" s="37"/>
      <c r="C694" s="37"/>
      <c r="D694" s="37" t="s">
        <v>843</v>
      </c>
      <c r="E694" s="37" t="s">
        <v>543</v>
      </c>
      <c r="F694" s="37" t="s">
        <v>3110</v>
      </c>
      <c r="G694" s="37" t="s">
        <v>3107</v>
      </c>
      <c r="H694" s="37"/>
      <c r="I694" s="37" t="s">
        <v>1424</v>
      </c>
      <c r="J694" s="37" t="s">
        <v>983</v>
      </c>
      <c r="K694" s="40" t="s">
        <v>3108</v>
      </c>
      <c r="L694" s="37" t="s">
        <v>64</v>
      </c>
      <c r="M694" s="37" t="s">
        <v>3109</v>
      </c>
      <c r="N694" s="37"/>
      <c r="O694" s="37" t="s">
        <v>1387</v>
      </c>
      <c r="P694" s="37" t="s">
        <v>123</v>
      </c>
      <c r="Q694" s="37" t="s">
        <v>98</v>
      </c>
      <c r="R694" s="37"/>
      <c r="S694" s="37"/>
      <c r="T694" s="37" t="s">
        <v>66</v>
      </c>
      <c r="U694" s="37" t="s">
        <v>87</v>
      </c>
      <c r="V694" s="37" t="s">
        <v>88</v>
      </c>
      <c r="W694" s="37" t="s">
        <v>89</v>
      </c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</row>
    <row r="695" spans="1:37">
      <c r="A695" s="37"/>
      <c r="B695" s="37"/>
      <c r="C695" s="37"/>
      <c r="D695" s="37" t="s">
        <v>742</v>
      </c>
      <c r="E695" s="37" t="s">
        <v>5720</v>
      </c>
      <c r="F695" s="37" t="s">
        <v>5724</v>
      </c>
      <c r="G695" s="37" t="s">
        <v>5721</v>
      </c>
      <c r="H695" s="37"/>
      <c r="I695" s="37" t="s">
        <v>1577</v>
      </c>
      <c r="J695" s="37" t="s">
        <v>425</v>
      </c>
      <c r="K695" s="40" t="s">
        <v>5722</v>
      </c>
      <c r="L695" s="37" t="s">
        <v>64</v>
      </c>
      <c r="M695" s="37" t="s">
        <v>5723</v>
      </c>
      <c r="N695" s="37"/>
      <c r="O695" s="37" t="s">
        <v>1387</v>
      </c>
      <c r="P695" s="37" t="s">
        <v>123</v>
      </c>
      <c r="Q695" s="37" t="s">
        <v>98</v>
      </c>
      <c r="R695" s="37"/>
      <c r="S695" s="37"/>
      <c r="T695" s="37"/>
      <c r="U695" s="37"/>
      <c r="V695" s="37" t="s">
        <v>88</v>
      </c>
      <c r="W695" s="37" t="s">
        <v>89</v>
      </c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</row>
    <row r="696" spans="1:37">
      <c r="A696" s="37"/>
      <c r="B696" s="37"/>
      <c r="C696" s="37"/>
      <c r="D696" s="37" t="s">
        <v>2288</v>
      </c>
      <c r="E696" s="37" t="s">
        <v>4307</v>
      </c>
      <c r="F696" s="37" t="s">
        <v>4309</v>
      </c>
      <c r="G696" s="37" t="s">
        <v>3513</v>
      </c>
      <c r="H696" s="37"/>
      <c r="I696" s="37" t="s">
        <v>276</v>
      </c>
      <c r="J696" s="37" t="s">
        <v>70</v>
      </c>
      <c r="K696" s="40" t="s">
        <v>3514</v>
      </c>
      <c r="L696" s="37" t="s">
        <v>64</v>
      </c>
      <c r="M696" s="37" t="s">
        <v>4308</v>
      </c>
      <c r="N696" s="37"/>
      <c r="O696" s="37" t="s">
        <v>1387</v>
      </c>
      <c r="P696" s="37" t="s">
        <v>123</v>
      </c>
      <c r="Q696" s="37" t="s">
        <v>71</v>
      </c>
      <c r="R696" s="37"/>
      <c r="S696" s="37"/>
      <c r="T696" s="37" t="s">
        <v>69</v>
      </c>
      <c r="U696" s="37" t="s">
        <v>69</v>
      </c>
      <c r="V696" s="37" t="s">
        <v>72</v>
      </c>
      <c r="W696" s="37" t="s">
        <v>69</v>
      </c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</row>
    <row r="697" spans="1:37">
      <c r="A697" s="37"/>
      <c r="B697" s="37"/>
      <c r="C697" s="37"/>
      <c r="D697" s="37" t="s">
        <v>3118</v>
      </c>
      <c r="E697" s="37" t="s">
        <v>3119</v>
      </c>
      <c r="F697" s="37" t="s">
        <v>3123</v>
      </c>
      <c r="G697" s="37" t="s">
        <v>3120</v>
      </c>
      <c r="H697" s="37" t="s">
        <v>3121</v>
      </c>
      <c r="I697" s="37" t="s">
        <v>319</v>
      </c>
      <c r="J697" s="37" t="s">
        <v>320</v>
      </c>
      <c r="K697" s="40" t="s">
        <v>321</v>
      </c>
      <c r="L697" s="37" t="s">
        <v>64</v>
      </c>
      <c r="M697" s="37" t="s">
        <v>3122</v>
      </c>
      <c r="N697" s="37"/>
      <c r="O697" s="37" t="s">
        <v>1387</v>
      </c>
      <c r="P697" s="37" t="s">
        <v>123</v>
      </c>
      <c r="Q697" s="37" t="s">
        <v>4</v>
      </c>
      <c r="R697" s="37"/>
      <c r="S697" s="37"/>
      <c r="T697" s="37"/>
      <c r="U697" s="37"/>
      <c r="V697" s="37" t="s">
        <v>72</v>
      </c>
      <c r="W697" s="37" t="s">
        <v>89</v>
      </c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</row>
    <row r="698" spans="1:37">
      <c r="A698" s="37"/>
      <c r="B698" s="37"/>
      <c r="C698" s="37"/>
      <c r="D698" s="37" t="s">
        <v>689</v>
      </c>
      <c r="E698" s="37" t="s">
        <v>686</v>
      </c>
      <c r="F698" s="37" t="s">
        <v>694</v>
      </c>
      <c r="G698" s="37" t="s">
        <v>690</v>
      </c>
      <c r="H698" s="37"/>
      <c r="I698" s="37" t="s">
        <v>691</v>
      </c>
      <c r="J698" s="37" t="s">
        <v>125</v>
      </c>
      <c r="K698" s="40" t="s">
        <v>692</v>
      </c>
      <c r="L698" s="37" t="s">
        <v>64</v>
      </c>
      <c r="M698" s="37" t="s">
        <v>693</v>
      </c>
      <c r="N698" s="37"/>
      <c r="O698" s="37" t="s">
        <v>1387</v>
      </c>
      <c r="P698" s="37" t="s">
        <v>513</v>
      </c>
      <c r="Q698" s="37" t="s">
        <v>126</v>
      </c>
      <c r="R698" s="37"/>
      <c r="S698" s="37"/>
      <c r="T698" s="37" t="s">
        <v>69</v>
      </c>
      <c r="U698" s="37"/>
      <c r="V698" s="37" t="s">
        <v>88</v>
      </c>
      <c r="W698" s="37" t="s">
        <v>89</v>
      </c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</row>
    <row r="699" spans="1:37">
      <c r="A699" s="37"/>
      <c r="B699" s="37"/>
      <c r="C699" s="37"/>
      <c r="D699" s="37" t="s">
        <v>718</v>
      </c>
      <c r="E699" s="37" t="s">
        <v>719</v>
      </c>
      <c r="F699" s="37" t="s">
        <v>722</v>
      </c>
      <c r="G699" s="37" t="s">
        <v>218</v>
      </c>
      <c r="H699" s="37" t="s">
        <v>720</v>
      </c>
      <c r="I699" s="37" t="s">
        <v>82</v>
      </c>
      <c r="J699" s="37" t="s">
        <v>83</v>
      </c>
      <c r="K699" s="40" t="s">
        <v>220</v>
      </c>
      <c r="L699" s="37" t="s">
        <v>64</v>
      </c>
      <c r="M699" s="37" t="s">
        <v>721</v>
      </c>
      <c r="N699" s="37"/>
      <c r="O699" s="37" t="s">
        <v>1387</v>
      </c>
      <c r="P699" s="37" t="s">
        <v>221</v>
      </c>
      <c r="Q699" s="37" t="s">
        <v>14</v>
      </c>
      <c r="R699" s="37"/>
      <c r="S699" s="37"/>
      <c r="T699" s="37"/>
      <c r="U699" s="37"/>
      <c r="V699" s="37" t="s">
        <v>72</v>
      </c>
      <c r="W699" s="37" t="s">
        <v>135</v>
      </c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</row>
    <row r="700" spans="1:37">
      <c r="A700" s="37"/>
      <c r="B700" s="37"/>
      <c r="C700" s="37"/>
      <c r="D700" s="37" t="s">
        <v>646</v>
      </c>
      <c r="E700" s="37" t="s">
        <v>735</v>
      </c>
      <c r="F700" s="37" t="s">
        <v>740</v>
      </c>
      <c r="G700" s="37" t="s">
        <v>736</v>
      </c>
      <c r="H700" s="37" t="s">
        <v>737</v>
      </c>
      <c r="I700" s="37" t="s">
        <v>92</v>
      </c>
      <c r="J700" s="37" t="s">
        <v>93</v>
      </c>
      <c r="K700" s="40" t="s">
        <v>738</v>
      </c>
      <c r="L700" s="37" t="s">
        <v>64</v>
      </c>
      <c r="M700" s="37" t="s">
        <v>739</v>
      </c>
      <c r="N700" s="37"/>
      <c r="O700" s="37" t="s">
        <v>1387</v>
      </c>
      <c r="P700" s="37" t="s">
        <v>123</v>
      </c>
      <c r="Q700" s="37" t="s">
        <v>98</v>
      </c>
      <c r="R700" s="37"/>
      <c r="S700" s="37"/>
      <c r="T700" s="37" t="s">
        <v>66</v>
      </c>
      <c r="U700" s="37" t="s">
        <v>254</v>
      </c>
      <c r="V700" s="37" t="s">
        <v>88</v>
      </c>
      <c r="W700" s="37" t="s">
        <v>89</v>
      </c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</row>
    <row r="701" spans="1:37">
      <c r="A701" s="37" t="s">
        <v>6175</v>
      </c>
      <c r="B701" s="37"/>
      <c r="C701" s="37"/>
      <c r="D701" s="37" t="s">
        <v>6176</v>
      </c>
      <c r="E701" s="37" t="s">
        <v>6177</v>
      </c>
      <c r="F701" s="37" t="s">
        <v>6178</v>
      </c>
      <c r="G701" s="37" t="s">
        <v>6179</v>
      </c>
      <c r="H701" s="37" t="s">
        <v>6180</v>
      </c>
      <c r="I701" s="37" t="s">
        <v>454</v>
      </c>
      <c r="J701" s="37" t="s">
        <v>121</v>
      </c>
      <c r="K701" s="40" t="s">
        <v>192</v>
      </c>
      <c r="L701" s="37" t="s">
        <v>64</v>
      </c>
      <c r="M701" s="37" t="s">
        <v>6181</v>
      </c>
      <c r="N701" s="37"/>
      <c r="O701" s="37" t="s">
        <v>1387</v>
      </c>
      <c r="P701" s="37" t="s">
        <v>123</v>
      </c>
      <c r="Q701" s="37" t="s">
        <v>14</v>
      </c>
      <c r="R701" s="37"/>
      <c r="S701" s="37"/>
      <c r="T701" s="37"/>
      <c r="U701" s="37"/>
      <c r="V701" s="37" t="s">
        <v>72</v>
      </c>
      <c r="W701" s="37" t="s">
        <v>756</v>
      </c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</row>
    <row r="702" spans="1:37">
      <c r="A702" s="37"/>
      <c r="B702" s="37"/>
      <c r="C702" s="37"/>
      <c r="D702" s="37" t="s">
        <v>5407</v>
      </c>
      <c r="E702" s="37" t="s">
        <v>5408</v>
      </c>
      <c r="F702" s="37" t="s">
        <v>5411</v>
      </c>
      <c r="G702" s="37" t="s">
        <v>5409</v>
      </c>
      <c r="H702" s="37"/>
      <c r="I702" s="37" t="s">
        <v>276</v>
      </c>
      <c r="J702" s="37" t="s">
        <v>70</v>
      </c>
      <c r="K702" s="40" t="s">
        <v>277</v>
      </c>
      <c r="L702" s="37" t="s">
        <v>64</v>
      </c>
      <c r="M702" s="37" t="s">
        <v>5410</v>
      </c>
      <c r="N702" s="37"/>
      <c r="O702" s="37" t="s">
        <v>1387</v>
      </c>
      <c r="P702" s="37" t="s">
        <v>123</v>
      </c>
      <c r="Q702" s="37" t="s">
        <v>71</v>
      </c>
      <c r="R702" s="37"/>
      <c r="S702" s="37"/>
      <c r="T702" s="37" t="s">
        <v>144</v>
      </c>
      <c r="U702" s="37"/>
      <c r="V702" s="37" t="s">
        <v>72</v>
      </c>
      <c r="W702" s="37" t="s">
        <v>69</v>
      </c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</row>
    <row r="703" spans="1:37">
      <c r="A703" s="37"/>
      <c r="B703" s="37"/>
      <c r="C703" s="37"/>
      <c r="D703" s="37" t="s">
        <v>5698</v>
      </c>
      <c r="E703" s="37" t="s">
        <v>5699</v>
      </c>
      <c r="F703" s="37" t="s">
        <v>5701</v>
      </c>
      <c r="G703" s="37" t="s">
        <v>3494</v>
      </c>
      <c r="H703" s="37"/>
      <c r="I703" s="37" t="s">
        <v>564</v>
      </c>
      <c r="J703" s="37" t="s">
        <v>83</v>
      </c>
      <c r="K703" s="40" t="s">
        <v>1014</v>
      </c>
      <c r="L703" s="37" t="s">
        <v>64</v>
      </c>
      <c r="M703" s="37" t="s">
        <v>5700</v>
      </c>
      <c r="N703" s="37"/>
      <c r="O703" s="37" t="s">
        <v>1387</v>
      </c>
      <c r="P703" s="37" t="s">
        <v>513</v>
      </c>
      <c r="Q703" s="37" t="s">
        <v>71</v>
      </c>
      <c r="R703" s="37"/>
      <c r="S703" s="37"/>
      <c r="T703" s="37"/>
      <c r="U703" s="37"/>
      <c r="V703" s="37" t="s">
        <v>72</v>
      </c>
      <c r="W703" s="37" t="s">
        <v>89</v>
      </c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</row>
    <row r="704" spans="1:37">
      <c r="A704" s="37"/>
      <c r="B704" s="37"/>
      <c r="C704" s="37"/>
      <c r="D704" s="37" t="s">
        <v>370</v>
      </c>
      <c r="E704" s="37" t="s">
        <v>3145</v>
      </c>
      <c r="F704" s="37" t="s">
        <v>4288</v>
      </c>
      <c r="G704" s="37" t="s">
        <v>4286</v>
      </c>
      <c r="H704" s="37"/>
      <c r="I704" s="37" t="s">
        <v>265</v>
      </c>
      <c r="J704" s="37" t="s">
        <v>75</v>
      </c>
      <c r="K704" s="40" t="s">
        <v>1079</v>
      </c>
      <c r="L704" s="37" t="s">
        <v>64</v>
      </c>
      <c r="M704" s="37" t="s">
        <v>4287</v>
      </c>
      <c r="N704" s="37"/>
      <c r="O704" s="37" t="s">
        <v>1387</v>
      </c>
      <c r="P704" s="37" t="s">
        <v>221</v>
      </c>
      <c r="Q704" s="37" t="s">
        <v>10</v>
      </c>
      <c r="R704" s="37"/>
      <c r="S704" s="37"/>
      <c r="T704" s="37"/>
      <c r="U704" s="37"/>
      <c r="V704" s="37" t="s">
        <v>72</v>
      </c>
      <c r="W704" s="37" t="s">
        <v>204</v>
      </c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</row>
    <row r="705" spans="1:37">
      <c r="A705" s="37"/>
      <c r="B705" s="37"/>
      <c r="C705" s="37"/>
      <c r="D705" s="37" t="s">
        <v>113</v>
      </c>
      <c r="E705" s="37" t="s">
        <v>845</v>
      </c>
      <c r="F705" s="37" t="s">
        <v>3158</v>
      </c>
      <c r="G705" s="37" t="s">
        <v>347</v>
      </c>
      <c r="H705" s="37"/>
      <c r="I705" s="37" t="s">
        <v>342</v>
      </c>
      <c r="J705" s="37" t="s">
        <v>256</v>
      </c>
      <c r="K705" s="40" t="s">
        <v>343</v>
      </c>
      <c r="L705" s="37" t="s">
        <v>64</v>
      </c>
      <c r="M705" s="37" t="s">
        <v>3157</v>
      </c>
      <c r="N705" s="37"/>
      <c r="O705" s="37" t="s">
        <v>1387</v>
      </c>
      <c r="P705" s="37" t="s">
        <v>123</v>
      </c>
      <c r="Q705" s="37" t="s">
        <v>17</v>
      </c>
      <c r="R705" s="37"/>
      <c r="S705" s="37"/>
      <c r="T705" s="37" t="s">
        <v>158</v>
      </c>
      <c r="U705" s="37" t="s">
        <v>87</v>
      </c>
      <c r="V705" s="37" t="s">
        <v>72</v>
      </c>
      <c r="W705" s="37" t="s">
        <v>69</v>
      </c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</row>
    <row r="706" spans="1:37">
      <c r="A706" s="37"/>
      <c r="B706" s="37"/>
      <c r="C706" s="37"/>
      <c r="D706" s="37" t="s">
        <v>2757</v>
      </c>
      <c r="E706" s="37" t="s">
        <v>847</v>
      </c>
      <c r="F706" s="37" t="s">
        <v>3724</v>
      </c>
      <c r="G706" s="37" t="s">
        <v>1285</v>
      </c>
      <c r="H706" s="37"/>
      <c r="I706" s="37" t="s">
        <v>191</v>
      </c>
      <c r="J706" s="37" t="s">
        <v>121</v>
      </c>
      <c r="K706" s="40" t="s">
        <v>192</v>
      </c>
      <c r="L706" s="37" t="s">
        <v>64</v>
      </c>
      <c r="M706" s="37" t="s">
        <v>5424</v>
      </c>
      <c r="N706" s="37"/>
      <c r="O706" s="37" t="s">
        <v>1387</v>
      </c>
      <c r="P706" s="37" t="s">
        <v>123</v>
      </c>
      <c r="Q706" s="37" t="s">
        <v>14</v>
      </c>
      <c r="R706" s="37"/>
      <c r="S706" s="37"/>
      <c r="T706" s="37"/>
      <c r="U706" s="37" t="s">
        <v>185</v>
      </c>
      <c r="V706" s="37" t="s">
        <v>72</v>
      </c>
      <c r="W706" s="37" t="s">
        <v>261</v>
      </c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</row>
    <row r="707" spans="1:37">
      <c r="A707" s="37"/>
      <c r="B707" s="37"/>
      <c r="C707" s="37"/>
      <c r="D707" s="37" t="s">
        <v>360</v>
      </c>
      <c r="E707" s="37" t="s">
        <v>860</v>
      </c>
      <c r="F707" s="37" t="s">
        <v>5704</v>
      </c>
      <c r="G707" s="37" t="s">
        <v>3072</v>
      </c>
      <c r="H707" s="37" t="s">
        <v>5702</v>
      </c>
      <c r="I707" s="37" t="s">
        <v>454</v>
      </c>
      <c r="J707" s="37" t="s">
        <v>121</v>
      </c>
      <c r="K707" s="40" t="s">
        <v>192</v>
      </c>
      <c r="L707" s="37" t="s">
        <v>64</v>
      </c>
      <c r="M707" s="37" t="s">
        <v>5703</v>
      </c>
      <c r="N707" s="37"/>
      <c r="O707" s="37" t="s">
        <v>1387</v>
      </c>
      <c r="P707" s="37" t="s">
        <v>123</v>
      </c>
      <c r="Q707" s="37" t="s">
        <v>14</v>
      </c>
      <c r="R707" s="37"/>
      <c r="S707" s="37"/>
      <c r="T707" s="37" t="s">
        <v>69</v>
      </c>
      <c r="U707" s="37"/>
      <c r="V707" s="37" t="s">
        <v>72</v>
      </c>
      <c r="W707" s="37" t="s">
        <v>89</v>
      </c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</row>
    <row r="708" spans="1:37">
      <c r="A708" s="37"/>
      <c r="B708" s="37"/>
      <c r="C708" s="37"/>
      <c r="D708" s="37" t="s">
        <v>272</v>
      </c>
      <c r="E708" s="37" t="s">
        <v>941</v>
      </c>
      <c r="F708" s="37" t="s">
        <v>943</v>
      </c>
      <c r="G708" s="37" t="s">
        <v>119</v>
      </c>
      <c r="H708" s="37"/>
      <c r="I708" s="37" t="s">
        <v>120</v>
      </c>
      <c r="J708" s="37" t="s">
        <v>121</v>
      </c>
      <c r="K708" s="40" t="s">
        <v>122</v>
      </c>
      <c r="L708" s="37" t="s">
        <v>64</v>
      </c>
      <c r="M708" s="37" t="s">
        <v>5364</v>
      </c>
      <c r="N708" s="37"/>
      <c r="O708" s="37" t="s">
        <v>1387</v>
      </c>
      <c r="P708" s="37" t="s">
        <v>123</v>
      </c>
      <c r="Q708" s="37" t="s">
        <v>14</v>
      </c>
      <c r="R708" s="37"/>
      <c r="S708" s="37"/>
      <c r="T708" s="37" t="s">
        <v>66</v>
      </c>
      <c r="U708" s="37"/>
      <c r="V708" s="37" t="s">
        <v>88</v>
      </c>
      <c r="W708" s="37" t="s">
        <v>348</v>
      </c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</row>
    <row r="709" spans="1:37">
      <c r="A709" s="37"/>
      <c r="B709" s="37"/>
      <c r="C709" s="37"/>
      <c r="D709" s="37" t="s">
        <v>968</v>
      </c>
      <c r="E709" s="37" t="s">
        <v>969</v>
      </c>
      <c r="F709" s="37" t="s">
        <v>4965</v>
      </c>
      <c r="G709" s="37" t="s">
        <v>561</v>
      </c>
      <c r="H709" s="37" t="s">
        <v>4963</v>
      </c>
      <c r="I709" s="37" t="s">
        <v>556</v>
      </c>
      <c r="J709" s="37" t="s">
        <v>200</v>
      </c>
      <c r="K709" s="40" t="s">
        <v>557</v>
      </c>
      <c r="L709" s="37" t="s">
        <v>64</v>
      </c>
      <c r="M709" s="37" t="s">
        <v>970</v>
      </c>
      <c r="N709" s="37" t="s">
        <v>4964</v>
      </c>
      <c r="O709" s="37" t="s">
        <v>1387</v>
      </c>
      <c r="P709" s="37" t="s">
        <v>123</v>
      </c>
      <c r="Q709" s="37" t="s">
        <v>18</v>
      </c>
      <c r="R709" s="37"/>
      <c r="S709" s="37"/>
      <c r="T709" s="37" t="s">
        <v>69</v>
      </c>
      <c r="U709" s="37" t="s">
        <v>109</v>
      </c>
      <c r="V709" s="37" t="s">
        <v>77</v>
      </c>
      <c r="W709" s="37" t="s">
        <v>89</v>
      </c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</row>
    <row r="710" spans="1:37">
      <c r="A710" s="37"/>
      <c r="B710" s="37"/>
      <c r="C710" s="37"/>
      <c r="D710" s="37" t="s">
        <v>5384</v>
      </c>
      <c r="E710" s="37" t="s">
        <v>5385</v>
      </c>
      <c r="F710" s="37" t="s">
        <v>5388</v>
      </c>
      <c r="G710" s="37" t="s">
        <v>5386</v>
      </c>
      <c r="H710" s="37"/>
      <c r="I710" s="37" t="s">
        <v>191</v>
      </c>
      <c r="J710" s="37" t="s">
        <v>121</v>
      </c>
      <c r="K710" s="40" t="s">
        <v>192</v>
      </c>
      <c r="L710" s="37" t="s">
        <v>64</v>
      </c>
      <c r="M710" s="37" t="s">
        <v>5387</v>
      </c>
      <c r="N710" s="37"/>
      <c r="O710" s="37" t="s">
        <v>1387</v>
      </c>
      <c r="P710" s="37" t="s">
        <v>123</v>
      </c>
      <c r="Q710" s="37" t="s">
        <v>14</v>
      </c>
      <c r="R710" s="37"/>
      <c r="S710" s="37"/>
      <c r="T710" s="37" t="s">
        <v>115</v>
      </c>
      <c r="U710" s="37" t="s">
        <v>109</v>
      </c>
      <c r="V710" s="37" t="s">
        <v>72</v>
      </c>
      <c r="W710" s="37" t="s">
        <v>69</v>
      </c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</row>
    <row r="711" spans="1:37">
      <c r="A711" s="37"/>
      <c r="B711" s="37"/>
      <c r="C711" s="37"/>
      <c r="D711" s="37" t="s">
        <v>2335</v>
      </c>
      <c r="E711" s="37" t="s">
        <v>5389</v>
      </c>
      <c r="F711" s="37" t="s">
        <v>5392</v>
      </c>
      <c r="G711" s="37" t="s">
        <v>5390</v>
      </c>
      <c r="H711" s="37"/>
      <c r="I711" s="37" t="s">
        <v>191</v>
      </c>
      <c r="J711" s="37" t="s">
        <v>121</v>
      </c>
      <c r="K711" s="40" t="s">
        <v>192</v>
      </c>
      <c r="L711" s="37" t="s">
        <v>64</v>
      </c>
      <c r="M711" s="37" t="s">
        <v>5391</v>
      </c>
      <c r="N711" s="37"/>
      <c r="O711" s="37" t="s">
        <v>1387</v>
      </c>
      <c r="P711" s="37" t="s">
        <v>123</v>
      </c>
      <c r="Q711" s="37" t="s">
        <v>14</v>
      </c>
      <c r="R711" s="37"/>
      <c r="S711" s="37"/>
      <c r="T711" s="37" t="s">
        <v>66</v>
      </c>
      <c r="U711" s="37" t="s">
        <v>971</v>
      </c>
      <c r="V711" s="37" t="s">
        <v>88</v>
      </c>
      <c r="W711" s="37" t="s">
        <v>348</v>
      </c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</row>
    <row r="712" spans="1:37">
      <c r="A712" s="37"/>
      <c r="B712" s="37"/>
      <c r="C712" s="37"/>
      <c r="D712" s="37" t="s">
        <v>1533</v>
      </c>
      <c r="E712" s="37" t="s">
        <v>4258</v>
      </c>
      <c r="F712" s="37" t="s">
        <v>5393</v>
      </c>
      <c r="G712" s="37" t="s">
        <v>2808</v>
      </c>
      <c r="H712" s="37" t="s">
        <v>1482</v>
      </c>
      <c r="I712" s="37" t="s">
        <v>420</v>
      </c>
      <c r="J712" s="37" t="s">
        <v>75</v>
      </c>
      <c r="K712" s="40" t="s">
        <v>698</v>
      </c>
      <c r="L712" s="37" t="s">
        <v>64</v>
      </c>
      <c r="M712" s="37" t="s">
        <v>699</v>
      </c>
      <c r="N712" s="37" t="s">
        <v>3354</v>
      </c>
      <c r="O712" s="37" t="s">
        <v>1387</v>
      </c>
      <c r="P712" s="37" t="s">
        <v>221</v>
      </c>
      <c r="Q712" s="37" t="s">
        <v>10</v>
      </c>
      <c r="R712" s="37"/>
      <c r="S712" s="37"/>
      <c r="T712" s="37" t="s">
        <v>69</v>
      </c>
      <c r="U712" s="37" t="s">
        <v>109</v>
      </c>
      <c r="V712" s="37" t="s">
        <v>72</v>
      </c>
      <c r="W712" s="37" t="s">
        <v>135</v>
      </c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</row>
    <row r="713" spans="1:37">
      <c r="A713" s="37"/>
      <c r="B713" s="37"/>
      <c r="C713" s="37"/>
      <c r="D713" s="37" t="s">
        <v>3624</v>
      </c>
      <c r="E713" s="37" t="s">
        <v>5342</v>
      </c>
      <c r="F713" s="37" t="s">
        <v>5344</v>
      </c>
      <c r="G713" s="37" t="s">
        <v>1774</v>
      </c>
      <c r="H713" s="37" t="s">
        <v>5343</v>
      </c>
      <c r="I713" s="37" t="s">
        <v>560</v>
      </c>
      <c r="J713" s="37" t="s">
        <v>200</v>
      </c>
      <c r="K713" s="40" t="s">
        <v>1776</v>
      </c>
      <c r="L713" s="37" t="s">
        <v>64</v>
      </c>
      <c r="M713" s="37" t="s">
        <v>2373</v>
      </c>
      <c r="N713" s="37"/>
      <c r="O713" s="37" t="s">
        <v>1387</v>
      </c>
      <c r="P713" s="37" t="s">
        <v>123</v>
      </c>
      <c r="Q713" s="37" t="s">
        <v>18</v>
      </c>
      <c r="R713" s="37"/>
      <c r="S713" s="37"/>
      <c r="T713" s="37" t="s">
        <v>144</v>
      </c>
      <c r="U713" s="37"/>
      <c r="V713" s="37" t="s">
        <v>72</v>
      </c>
      <c r="W713" s="37" t="s">
        <v>110</v>
      </c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</row>
    <row r="714" spans="1:37">
      <c r="A714" s="37"/>
      <c r="B714" s="37"/>
      <c r="C714" s="37"/>
      <c r="D714" s="37" t="s">
        <v>1130</v>
      </c>
      <c r="E714" s="37" t="s">
        <v>1131</v>
      </c>
      <c r="F714" s="37" t="s">
        <v>1134</v>
      </c>
      <c r="G714" s="37" t="s">
        <v>1132</v>
      </c>
      <c r="H714" s="37"/>
      <c r="I714" s="37" t="s">
        <v>420</v>
      </c>
      <c r="J714" s="37" t="s">
        <v>75</v>
      </c>
      <c r="K714" s="40" t="s">
        <v>451</v>
      </c>
      <c r="L714" s="37" t="s">
        <v>64</v>
      </c>
      <c r="M714" s="37" t="s">
        <v>1133</v>
      </c>
      <c r="N714" s="37"/>
      <c r="O714" s="37" t="s">
        <v>1387</v>
      </c>
      <c r="P714" s="37" t="s">
        <v>123</v>
      </c>
      <c r="Q714" s="37" t="s">
        <v>10</v>
      </c>
      <c r="R714" s="37"/>
      <c r="S714" s="37"/>
      <c r="T714" s="37"/>
      <c r="U714" s="37" t="s">
        <v>87</v>
      </c>
      <c r="V714" s="37" t="s">
        <v>72</v>
      </c>
      <c r="W714" s="37" t="s">
        <v>89</v>
      </c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</row>
    <row r="715" spans="1:37">
      <c r="A715" s="37"/>
      <c r="B715" s="37"/>
      <c r="C715" s="37"/>
      <c r="D715" s="37" t="s">
        <v>124</v>
      </c>
      <c r="E715" s="37" t="s">
        <v>1203</v>
      </c>
      <c r="F715" s="37" t="s">
        <v>1206</v>
      </c>
      <c r="G715" s="37" t="s">
        <v>235</v>
      </c>
      <c r="H715" s="37" t="s">
        <v>3432</v>
      </c>
      <c r="I715" s="37" t="s">
        <v>191</v>
      </c>
      <c r="J715" s="37" t="s">
        <v>121</v>
      </c>
      <c r="K715" s="40" t="s">
        <v>192</v>
      </c>
      <c r="L715" s="37" t="s">
        <v>64</v>
      </c>
      <c r="M715" s="37" t="s">
        <v>1205</v>
      </c>
      <c r="N715" s="37"/>
      <c r="O715" s="37" t="s">
        <v>1387</v>
      </c>
      <c r="P715" s="37" t="s">
        <v>123</v>
      </c>
      <c r="Q715" s="37" t="s">
        <v>14</v>
      </c>
      <c r="R715" s="37"/>
      <c r="S715" s="37"/>
      <c r="T715" s="37" t="s">
        <v>69</v>
      </c>
      <c r="U715" s="37" t="s">
        <v>109</v>
      </c>
      <c r="V715" s="37" t="s">
        <v>72</v>
      </c>
      <c r="W715" s="37" t="s">
        <v>69</v>
      </c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</row>
    <row r="716" spans="1:37">
      <c r="A716" s="37"/>
      <c r="B716" s="37"/>
      <c r="C716" s="37"/>
      <c r="D716" s="37" t="s">
        <v>1214</v>
      </c>
      <c r="E716" s="37" t="s">
        <v>1215</v>
      </c>
      <c r="F716" s="37" t="s">
        <v>1217</v>
      </c>
      <c r="G716" s="37" t="s">
        <v>235</v>
      </c>
      <c r="H716" s="37"/>
      <c r="I716" s="37" t="s">
        <v>191</v>
      </c>
      <c r="J716" s="37" t="s">
        <v>121</v>
      </c>
      <c r="K716" s="40" t="s">
        <v>192</v>
      </c>
      <c r="L716" s="37" t="s">
        <v>64</v>
      </c>
      <c r="M716" s="37" t="s">
        <v>1216</v>
      </c>
      <c r="N716" s="37"/>
      <c r="O716" s="37" t="s">
        <v>1387</v>
      </c>
      <c r="P716" s="37" t="s">
        <v>123</v>
      </c>
      <c r="Q716" s="37" t="s">
        <v>14</v>
      </c>
      <c r="R716" s="37"/>
      <c r="S716" s="37"/>
      <c r="T716" s="37"/>
      <c r="U716" s="37"/>
      <c r="V716" s="37" t="s">
        <v>72</v>
      </c>
      <c r="W716" s="37" t="s">
        <v>89</v>
      </c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</row>
    <row r="717" spans="1:37">
      <c r="A717" s="37"/>
      <c r="B717" s="37"/>
      <c r="C717" s="37"/>
      <c r="D717" s="37" t="s">
        <v>1341</v>
      </c>
      <c r="E717" s="37" t="s">
        <v>1342</v>
      </c>
      <c r="F717" s="37" t="s">
        <v>1346</v>
      </c>
      <c r="G717" s="37" t="s">
        <v>1343</v>
      </c>
      <c r="H717" s="37" t="s">
        <v>1344</v>
      </c>
      <c r="I717" s="37" t="s">
        <v>82</v>
      </c>
      <c r="J717" s="37" t="s">
        <v>83</v>
      </c>
      <c r="K717" s="40" t="s">
        <v>1195</v>
      </c>
      <c r="L717" s="37" t="s">
        <v>64</v>
      </c>
      <c r="M717" s="37" t="s">
        <v>1345</v>
      </c>
      <c r="N717" s="37"/>
      <c r="O717" s="37" t="s">
        <v>1387</v>
      </c>
      <c r="P717" s="37" t="s">
        <v>513</v>
      </c>
      <c r="Q717" s="37" t="s">
        <v>14</v>
      </c>
      <c r="R717" s="37"/>
      <c r="S717" s="37"/>
      <c r="T717" s="37"/>
      <c r="U717" s="37"/>
      <c r="V717" s="37" t="s">
        <v>77</v>
      </c>
      <c r="W717" s="37" t="s">
        <v>99</v>
      </c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</row>
    <row r="718" spans="1:37">
      <c r="A718" s="37"/>
      <c r="B718" s="37"/>
      <c r="C718" s="37"/>
      <c r="D718" s="37" t="s">
        <v>4234</v>
      </c>
      <c r="E718" s="37" t="s">
        <v>1374</v>
      </c>
      <c r="F718" s="37" t="s">
        <v>4236</v>
      </c>
      <c r="G718" s="37" t="s">
        <v>119</v>
      </c>
      <c r="H718" s="37"/>
      <c r="I718" s="37" t="s">
        <v>120</v>
      </c>
      <c r="J718" s="37" t="s">
        <v>121</v>
      </c>
      <c r="K718" s="40" t="s">
        <v>122</v>
      </c>
      <c r="L718" s="37" t="s">
        <v>64</v>
      </c>
      <c r="M718" s="37" t="s">
        <v>4235</v>
      </c>
      <c r="N718" s="37"/>
      <c r="O718" s="37" t="s">
        <v>1387</v>
      </c>
      <c r="P718" s="37" t="s">
        <v>123</v>
      </c>
      <c r="Q718" s="37" t="s">
        <v>14</v>
      </c>
      <c r="R718" s="37"/>
      <c r="S718" s="37"/>
      <c r="T718" s="37" t="s">
        <v>69</v>
      </c>
      <c r="U718" s="37" t="s">
        <v>109</v>
      </c>
      <c r="V718" s="37" t="s">
        <v>72</v>
      </c>
      <c r="W718" s="37" t="s">
        <v>110</v>
      </c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</row>
    <row r="719" spans="1:37">
      <c r="A719" s="37"/>
      <c r="B719" s="37"/>
      <c r="C719" s="37"/>
      <c r="D719" s="37" t="s">
        <v>213</v>
      </c>
      <c r="E719" s="37" t="s">
        <v>1391</v>
      </c>
      <c r="F719" s="37" t="s">
        <v>1395</v>
      </c>
      <c r="G719" s="37" t="s">
        <v>352</v>
      </c>
      <c r="H719" s="37"/>
      <c r="I719" s="37" t="s">
        <v>1392</v>
      </c>
      <c r="J719" s="37" t="s">
        <v>75</v>
      </c>
      <c r="K719" s="40" t="s">
        <v>355</v>
      </c>
      <c r="L719" s="37" t="s">
        <v>64</v>
      </c>
      <c r="M719" s="37" t="s">
        <v>1393</v>
      </c>
      <c r="N719" s="37"/>
      <c r="O719" s="37" t="s">
        <v>1387</v>
      </c>
      <c r="P719" s="37" t="s">
        <v>202</v>
      </c>
      <c r="Q719" s="37" t="s">
        <v>10</v>
      </c>
      <c r="R719" s="37" t="s">
        <v>1394</v>
      </c>
      <c r="S719" s="37"/>
      <c r="T719" s="37"/>
      <c r="U719" s="37"/>
      <c r="V719" s="37" t="s">
        <v>72</v>
      </c>
      <c r="W719" s="37" t="s">
        <v>69</v>
      </c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</row>
    <row r="720" spans="1:37">
      <c r="A720" s="37"/>
      <c r="B720" s="37"/>
      <c r="C720" s="37"/>
      <c r="D720" s="37" t="s">
        <v>955</v>
      </c>
      <c r="E720" s="37" t="s">
        <v>1400</v>
      </c>
      <c r="F720" s="37" t="s">
        <v>1405</v>
      </c>
      <c r="G720" s="37" t="s">
        <v>1401</v>
      </c>
      <c r="H720" s="37"/>
      <c r="I720" s="37" t="s">
        <v>1402</v>
      </c>
      <c r="J720" s="37" t="s">
        <v>200</v>
      </c>
      <c r="K720" s="40" t="s">
        <v>1403</v>
      </c>
      <c r="L720" s="37" t="s">
        <v>64</v>
      </c>
      <c r="M720" s="37" t="s">
        <v>1404</v>
      </c>
      <c r="N720" s="37"/>
      <c r="O720" s="37" t="s">
        <v>1387</v>
      </c>
      <c r="P720" s="37" t="s">
        <v>123</v>
      </c>
      <c r="Q720" s="37" t="s">
        <v>18</v>
      </c>
      <c r="R720" s="37"/>
      <c r="S720" s="37"/>
      <c r="T720" s="37"/>
      <c r="U720" s="37"/>
      <c r="V720" s="37" t="s">
        <v>72</v>
      </c>
      <c r="W720" s="37" t="s">
        <v>110</v>
      </c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</row>
    <row r="721" spans="1:37">
      <c r="A721" s="37"/>
      <c r="B721" s="37"/>
      <c r="C721" s="37"/>
      <c r="D721" s="37" t="s">
        <v>1013</v>
      </c>
      <c r="E721" s="37" t="s">
        <v>1406</v>
      </c>
      <c r="F721" s="37" t="s">
        <v>1410</v>
      </c>
      <c r="G721" s="37" t="s">
        <v>1407</v>
      </c>
      <c r="H721" s="37"/>
      <c r="I721" s="37" t="s">
        <v>354</v>
      </c>
      <c r="J721" s="37" t="s">
        <v>75</v>
      </c>
      <c r="K721" s="40" t="s">
        <v>355</v>
      </c>
      <c r="L721" s="37" t="s">
        <v>64</v>
      </c>
      <c r="M721" s="37" t="s">
        <v>1408</v>
      </c>
      <c r="N721" s="37" t="s">
        <v>1409</v>
      </c>
      <c r="O721" s="37" t="s">
        <v>1387</v>
      </c>
      <c r="P721" s="37" t="s">
        <v>123</v>
      </c>
      <c r="Q721" s="37" t="s">
        <v>10</v>
      </c>
      <c r="R721" s="37"/>
      <c r="S721" s="37"/>
      <c r="T721" s="37" t="s">
        <v>158</v>
      </c>
      <c r="U721" s="37" t="s">
        <v>87</v>
      </c>
      <c r="V721" s="37" t="s">
        <v>72</v>
      </c>
      <c r="W721" s="37" t="s">
        <v>69</v>
      </c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</row>
    <row r="722" spans="1:37">
      <c r="A722" s="37"/>
      <c r="B722" s="37"/>
      <c r="C722" s="37"/>
      <c r="D722" s="37" t="s">
        <v>940</v>
      </c>
      <c r="E722" s="37" t="s">
        <v>2798</v>
      </c>
      <c r="F722" s="37" t="s">
        <v>5648</v>
      </c>
      <c r="G722" s="37" t="s">
        <v>3072</v>
      </c>
      <c r="H722" s="37" t="s">
        <v>5646</v>
      </c>
      <c r="I722" s="37" t="s">
        <v>191</v>
      </c>
      <c r="J722" s="37" t="s">
        <v>121</v>
      </c>
      <c r="K722" s="40" t="s">
        <v>192</v>
      </c>
      <c r="L722" s="37" t="s">
        <v>64</v>
      </c>
      <c r="M722" s="37" t="s">
        <v>5647</v>
      </c>
      <c r="N722" s="37"/>
      <c r="O722" s="37" t="s">
        <v>1387</v>
      </c>
      <c r="P722" s="37" t="s">
        <v>123</v>
      </c>
      <c r="Q722" s="37" t="s">
        <v>14</v>
      </c>
      <c r="R722" s="37" t="s">
        <v>894</v>
      </c>
      <c r="S722" s="37"/>
      <c r="T722" s="37" t="s">
        <v>66</v>
      </c>
      <c r="U722" s="37" t="s">
        <v>254</v>
      </c>
      <c r="V722" s="37" t="s">
        <v>88</v>
      </c>
      <c r="W722" s="37" t="s">
        <v>89</v>
      </c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</row>
    <row r="723" spans="1:37">
      <c r="A723" s="37"/>
      <c r="B723" s="37"/>
      <c r="C723" s="37"/>
      <c r="D723" s="37" t="s">
        <v>113</v>
      </c>
      <c r="E723" s="37" t="s">
        <v>1480</v>
      </c>
      <c r="F723" s="37" t="s">
        <v>5323</v>
      </c>
      <c r="G723" s="37" t="s">
        <v>1798</v>
      </c>
      <c r="H723" s="37" t="s">
        <v>5321</v>
      </c>
      <c r="I723" s="37" t="s">
        <v>354</v>
      </c>
      <c r="J723" s="37" t="s">
        <v>75</v>
      </c>
      <c r="K723" s="40" t="s">
        <v>355</v>
      </c>
      <c r="L723" s="37" t="s">
        <v>64</v>
      </c>
      <c r="M723" s="37" t="s">
        <v>5322</v>
      </c>
      <c r="N723" s="37"/>
      <c r="O723" s="37" t="s">
        <v>1387</v>
      </c>
      <c r="P723" s="37" t="s">
        <v>221</v>
      </c>
      <c r="Q723" s="37" t="s">
        <v>10</v>
      </c>
      <c r="R723" s="37"/>
      <c r="S723" s="37"/>
      <c r="T723" s="37" t="s">
        <v>69</v>
      </c>
      <c r="U723" s="37" t="s">
        <v>254</v>
      </c>
      <c r="V723" s="37" t="s">
        <v>72</v>
      </c>
      <c r="W723" s="37" t="s">
        <v>69</v>
      </c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</row>
    <row r="724" spans="1:37">
      <c r="A724" s="37"/>
      <c r="B724" s="37"/>
      <c r="C724" s="37"/>
      <c r="D724" s="37" t="s">
        <v>1511</v>
      </c>
      <c r="E724" s="37" t="s">
        <v>1512</v>
      </c>
      <c r="F724" s="37" t="s">
        <v>1516</v>
      </c>
      <c r="G724" s="37" t="s">
        <v>1513</v>
      </c>
      <c r="H724" s="37"/>
      <c r="I724" s="37" t="s">
        <v>691</v>
      </c>
      <c r="J724" s="37" t="s">
        <v>125</v>
      </c>
      <c r="K724" s="40" t="s">
        <v>1440</v>
      </c>
      <c r="L724" s="37" t="s">
        <v>64</v>
      </c>
      <c r="M724" s="37" t="s">
        <v>1514</v>
      </c>
      <c r="N724" s="37" t="s">
        <v>1515</v>
      </c>
      <c r="O724" s="37" t="s">
        <v>1387</v>
      </c>
      <c r="P724" s="37" t="s">
        <v>123</v>
      </c>
      <c r="Q724" s="37" t="s">
        <v>126</v>
      </c>
      <c r="R724" s="37"/>
      <c r="S724" s="37"/>
      <c r="T724" s="37" t="s">
        <v>158</v>
      </c>
      <c r="U724" s="37" t="s">
        <v>109</v>
      </c>
      <c r="V724" s="37" t="s">
        <v>72</v>
      </c>
      <c r="W724" s="37" t="s">
        <v>195</v>
      </c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</row>
    <row r="725" spans="1:37">
      <c r="A725" s="37"/>
      <c r="B725" s="37"/>
      <c r="C725" s="37"/>
      <c r="D725" s="37" t="s">
        <v>216</v>
      </c>
      <c r="E725" s="37" t="s">
        <v>1521</v>
      </c>
      <c r="F725" s="37" t="s">
        <v>1523</v>
      </c>
      <c r="G725" s="37" t="s">
        <v>235</v>
      </c>
      <c r="H725" s="37"/>
      <c r="I725" s="37" t="s">
        <v>191</v>
      </c>
      <c r="J725" s="37" t="s">
        <v>121</v>
      </c>
      <c r="K725" s="40" t="s">
        <v>192</v>
      </c>
      <c r="L725" s="37" t="s">
        <v>64</v>
      </c>
      <c r="M725" s="37" t="s">
        <v>1522</v>
      </c>
      <c r="N725" s="37"/>
      <c r="O725" s="37" t="s">
        <v>1387</v>
      </c>
      <c r="P725" s="37" t="s">
        <v>123</v>
      </c>
      <c r="Q725" s="37" t="s">
        <v>14</v>
      </c>
      <c r="R725" s="37"/>
      <c r="S725" s="37"/>
      <c r="T725" s="37"/>
      <c r="U725" s="37"/>
      <c r="V725" s="37" t="s">
        <v>72</v>
      </c>
      <c r="W725" s="37" t="s">
        <v>69</v>
      </c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</row>
    <row r="726" spans="1:37">
      <c r="A726" s="37"/>
      <c r="B726" s="37"/>
      <c r="C726" s="37"/>
      <c r="D726" s="37" t="s">
        <v>5324</v>
      </c>
      <c r="E726" s="37" t="s">
        <v>5325</v>
      </c>
      <c r="F726" s="37" t="s">
        <v>1527</v>
      </c>
      <c r="G726" s="37" t="s">
        <v>2299</v>
      </c>
      <c r="H726" s="37"/>
      <c r="I726" s="37" t="s">
        <v>342</v>
      </c>
      <c r="J726" s="37" t="s">
        <v>256</v>
      </c>
      <c r="K726" s="40" t="s">
        <v>343</v>
      </c>
      <c r="L726" s="37" t="s">
        <v>64</v>
      </c>
      <c r="M726" s="37" t="s">
        <v>1526</v>
      </c>
      <c r="N726" s="37"/>
      <c r="O726" s="37" t="s">
        <v>1387</v>
      </c>
      <c r="P726" s="37" t="s">
        <v>123</v>
      </c>
      <c r="Q726" s="37" t="s">
        <v>17</v>
      </c>
      <c r="R726" s="37"/>
      <c r="S726" s="37"/>
      <c r="T726" s="37"/>
      <c r="U726" s="37"/>
      <c r="V726" s="37" t="s">
        <v>88</v>
      </c>
      <c r="W726" s="37" t="s">
        <v>89</v>
      </c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</row>
    <row r="727" spans="1:37">
      <c r="A727" s="37"/>
      <c r="B727" s="37"/>
      <c r="C727" s="37"/>
      <c r="D727" s="37" t="s">
        <v>471</v>
      </c>
      <c r="E727" s="37" t="s">
        <v>1540</v>
      </c>
      <c r="F727" s="37" t="s">
        <v>2756</v>
      </c>
      <c r="G727" s="37" t="s">
        <v>2753</v>
      </c>
      <c r="H727" s="37"/>
      <c r="I727" s="37" t="s">
        <v>354</v>
      </c>
      <c r="J727" s="37" t="s">
        <v>75</v>
      </c>
      <c r="K727" s="40" t="s">
        <v>355</v>
      </c>
      <c r="L727" s="37" t="s">
        <v>64</v>
      </c>
      <c r="M727" s="37" t="s">
        <v>2754</v>
      </c>
      <c r="N727" s="37" t="s">
        <v>2755</v>
      </c>
      <c r="O727" s="37" t="s">
        <v>1387</v>
      </c>
      <c r="P727" s="37" t="s">
        <v>123</v>
      </c>
      <c r="Q727" s="37" t="s">
        <v>10</v>
      </c>
      <c r="R727" s="37"/>
      <c r="S727" s="37"/>
      <c r="T727" s="37" t="s">
        <v>66</v>
      </c>
      <c r="U727" s="37" t="s">
        <v>109</v>
      </c>
      <c r="V727" s="37" t="s">
        <v>72</v>
      </c>
      <c r="W727" s="37" t="s">
        <v>78</v>
      </c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</row>
    <row r="728" spans="1:37">
      <c r="A728" s="37"/>
      <c r="B728" s="37"/>
      <c r="C728" s="37"/>
      <c r="D728" s="37" t="s">
        <v>5331</v>
      </c>
      <c r="E728" s="37" t="s">
        <v>5332</v>
      </c>
      <c r="F728" s="37" t="s">
        <v>5334</v>
      </c>
      <c r="G728" s="37" t="s">
        <v>2808</v>
      </c>
      <c r="H728" s="37"/>
      <c r="I728" s="37" t="s">
        <v>420</v>
      </c>
      <c r="J728" s="37" t="s">
        <v>75</v>
      </c>
      <c r="K728" s="40" t="s">
        <v>698</v>
      </c>
      <c r="L728" s="37" t="s">
        <v>64</v>
      </c>
      <c r="M728" s="37" t="s">
        <v>5333</v>
      </c>
      <c r="N728" s="37"/>
      <c r="O728" s="37" t="s">
        <v>1387</v>
      </c>
      <c r="P728" s="37" t="s">
        <v>221</v>
      </c>
      <c r="Q728" s="37" t="s">
        <v>10</v>
      </c>
      <c r="R728" s="37"/>
      <c r="S728" s="37"/>
      <c r="T728" s="37" t="s">
        <v>69</v>
      </c>
      <c r="U728" s="37" t="s">
        <v>185</v>
      </c>
      <c r="V728" s="37" t="s">
        <v>72</v>
      </c>
      <c r="W728" s="37" t="s">
        <v>135</v>
      </c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</row>
    <row r="729" spans="1:37">
      <c r="A729" s="37"/>
      <c r="B729" s="37"/>
      <c r="C729" s="37"/>
      <c r="D729" s="37" t="s">
        <v>509</v>
      </c>
      <c r="E729" s="37" t="s">
        <v>4451</v>
      </c>
      <c r="F729" s="37" t="s">
        <v>4455</v>
      </c>
      <c r="G729" s="37" t="s">
        <v>4452</v>
      </c>
      <c r="H729" s="37" t="s">
        <v>1074</v>
      </c>
      <c r="I729" s="37" t="s">
        <v>161</v>
      </c>
      <c r="J729" s="37" t="s">
        <v>162</v>
      </c>
      <c r="K729" s="40" t="s">
        <v>4453</v>
      </c>
      <c r="L729" s="37" t="s">
        <v>64</v>
      </c>
      <c r="M729" s="37" t="s">
        <v>4454</v>
      </c>
      <c r="N729" s="37"/>
      <c r="O729" s="37" t="s">
        <v>1387</v>
      </c>
      <c r="P729" s="37" t="s">
        <v>123</v>
      </c>
      <c r="Q729" s="37" t="s">
        <v>16</v>
      </c>
      <c r="R729" s="37"/>
      <c r="S729" s="37"/>
      <c r="T729" s="37"/>
      <c r="U729" s="37"/>
      <c r="V729" s="37" t="s">
        <v>72</v>
      </c>
      <c r="W729" s="37" t="s">
        <v>195</v>
      </c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</row>
    <row r="730" spans="1:37">
      <c r="A730" s="37"/>
      <c r="B730" s="37"/>
      <c r="C730" s="37"/>
      <c r="D730" s="37" t="s">
        <v>1592</v>
      </c>
      <c r="E730" s="37" t="s">
        <v>1593</v>
      </c>
      <c r="F730" s="37" t="s">
        <v>1596</v>
      </c>
      <c r="G730" s="37" t="s">
        <v>1594</v>
      </c>
      <c r="H730" s="37"/>
      <c r="I730" s="37" t="s">
        <v>82</v>
      </c>
      <c r="J730" s="37" t="s">
        <v>83</v>
      </c>
      <c r="K730" s="40" t="s">
        <v>1014</v>
      </c>
      <c r="L730" s="37" t="s">
        <v>64</v>
      </c>
      <c r="M730" s="37" t="s">
        <v>1595</v>
      </c>
      <c r="N730" s="37"/>
      <c r="O730" s="37" t="s">
        <v>1387</v>
      </c>
      <c r="P730" s="37" t="s">
        <v>513</v>
      </c>
      <c r="Q730" s="37" t="s">
        <v>71</v>
      </c>
      <c r="R730" s="37"/>
      <c r="S730" s="37"/>
      <c r="T730" s="37" t="s">
        <v>66</v>
      </c>
      <c r="U730" s="37" t="s">
        <v>971</v>
      </c>
      <c r="V730" s="37" t="s">
        <v>72</v>
      </c>
      <c r="W730" s="37" t="s">
        <v>89</v>
      </c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</row>
    <row r="731" spans="1:37">
      <c r="A731" s="37"/>
      <c r="B731" s="37"/>
      <c r="C731" s="37"/>
      <c r="D731" s="37" t="s">
        <v>1602</v>
      </c>
      <c r="E731" s="37" t="s">
        <v>1603</v>
      </c>
      <c r="F731" s="37" t="s">
        <v>1608</v>
      </c>
      <c r="G731" s="37" t="s">
        <v>1604</v>
      </c>
      <c r="H731" s="37"/>
      <c r="I731" s="37" t="s">
        <v>1605</v>
      </c>
      <c r="J731" s="37" t="s">
        <v>105</v>
      </c>
      <c r="K731" s="40" t="s">
        <v>1606</v>
      </c>
      <c r="L731" s="37" t="s">
        <v>64</v>
      </c>
      <c r="M731" s="37" t="s">
        <v>1607</v>
      </c>
      <c r="N731" s="37"/>
      <c r="O731" s="37" t="s">
        <v>1387</v>
      </c>
      <c r="P731" s="37" t="s">
        <v>513</v>
      </c>
      <c r="Q731" s="37" t="s">
        <v>71</v>
      </c>
      <c r="R731" s="37"/>
      <c r="S731" s="37"/>
      <c r="T731" s="37"/>
      <c r="U731" s="37"/>
      <c r="V731" s="37" t="s">
        <v>67</v>
      </c>
      <c r="W731" s="37" t="s">
        <v>195</v>
      </c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</row>
    <row r="732" spans="1:37">
      <c r="A732" s="37"/>
      <c r="B732" s="37"/>
      <c r="C732" s="37"/>
      <c r="D732" s="37" t="s">
        <v>646</v>
      </c>
      <c r="E732" s="37" t="s">
        <v>1221</v>
      </c>
      <c r="F732" s="37" t="s">
        <v>6182</v>
      </c>
      <c r="G732" s="37" t="s">
        <v>6183</v>
      </c>
      <c r="H732" s="37"/>
      <c r="I732" s="37" t="s">
        <v>6184</v>
      </c>
      <c r="J732" s="37" t="s">
        <v>93</v>
      </c>
      <c r="K732" s="40" t="s">
        <v>6185</v>
      </c>
      <c r="L732" s="37" t="s">
        <v>64</v>
      </c>
      <c r="M732" s="37" t="s">
        <v>6186</v>
      </c>
      <c r="N732" s="37"/>
      <c r="O732" s="37" t="s">
        <v>1387</v>
      </c>
      <c r="P732" s="37" t="s">
        <v>202</v>
      </c>
      <c r="Q732" s="37" t="s">
        <v>98</v>
      </c>
      <c r="R732" s="37"/>
      <c r="S732" s="37"/>
      <c r="T732" s="37"/>
      <c r="U732" s="37"/>
      <c r="V732" s="37" t="s">
        <v>72</v>
      </c>
      <c r="W732" s="37" t="s">
        <v>195</v>
      </c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</row>
    <row r="733" spans="1:37">
      <c r="A733" s="37"/>
      <c r="B733" s="37"/>
      <c r="C733" s="37"/>
      <c r="D733" s="37" t="s">
        <v>1619</v>
      </c>
      <c r="E733" s="37" t="s">
        <v>1620</v>
      </c>
      <c r="F733" s="37" t="s">
        <v>1622</v>
      </c>
      <c r="G733" s="37" t="s">
        <v>235</v>
      </c>
      <c r="H733" s="37"/>
      <c r="I733" s="37" t="s">
        <v>191</v>
      </c>
      <c r="J733" s="37" t="s">
        <v>121</v>
      </c>
      <c r="K733" s="40" t="s">
        <v>192</v>
      </c>
      <c r="L733" s="37" t="s">
        <v>64</v>
      </c>
      <c r="M733" s="37" t="s">
        <v>1621</v>
      </c>
      <c r="N733" s="37"/>
      <c r="O733" s="37" t="s">
        <v>1387</v>
      </c>
      <c r="P733" s="37" t="s">
        <v>123</v>
      </c>
      <c r="Q733" s="37" t="s">
        <v>14</v>
      </c>
      <c r="R733" s="37"/>
      <c r="S733" s="37"/>
      <c r="T733" s="37" t="s">
        <v>144</v>
      </c>
      <c r="U733" s="37"/>
      <c r="V733" s="37" t="s">
        <v>72</v>
      </c>
      <c r="W733" s="37" t="s">
        <v>110</v>
      </c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</row>
    <row r="734" spans="1:37">
      <c r="A734" s="37"/>
      <c r="B734" s="37"/>
      <c r="C734" s="37"/>
      <c r="D734" s="37" t="s">
        <v>5288</v>
      </c>
      <c r="E734" s="37" t="s">
        <v>1659</v>
      </c>
      <c r="F734" s="37" t="s">
        <v>5291</v>
      </c>
      <c r="G734" s="37" t="s">
        <v>235</v>
      </c>
      <c r="H734" s="37" t="s">
        <v>3910</v>
      </c>
      <c r="I734" s="37" t="s">
        <v>191</v>
      </c>
      <c r="J734" s="37" t="s">
        <v>121</v>
      </c>
      <c r="K734" s="40" t="s">
        <v>192</v>
      </c>
      <c r="L734" s="37" t="s">
        <v>64</v>
      </c>
      <c r="M734" s="37" t="s">
        <v>5289</v>
      </c>
      <c r="N734" s="37"/>
      <c r="O734" s="37" t="s">
        <v>1387</v>
      </c>
      <c r="P734" s="37" t="s">
        <v>123</v>
      </c>
      <c r="Q734" s="37" t="s">
        <v>14</v>
      </c>
      <c r="R734" s="37"/>
      <c r="S734" s="37"/>
      <c r="T734" s="37"/>
      <c r="U734" s="37" t="s">
        <v>254</v>
      </c>
      <c r="V734" s="37" t="s">
        <v>72</v>
      </c>
      <c r="W734" s="37" t="s">
        <v>195</v>
      </c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</row>
    <row r="735" spans="1:37">
      <c r="A735" s="37"/>
      <c r="B735" s="37"/>
      <c r="C735" s="37"/>
      <c r="D735" s="37" t="s">
        <v>1438</v>
      </c>
      <c r="E735" s="37" t="s">
        <v>1659</v>
      </c>
      <c r="F735" s="37" t="s">
        <v>1672</v>
      </c>
      <c r="G735" s="37" t="s">
        <v>1669</v>
      </c>
      <c r="H735" s="37" t="s">
        <v>1670</v>
      </c>
      <c r="I735" s="37" t="s">
        <v>191</v>
      </c>
      <c r="J735" s="37" t="s">
        <v>121</v>
      </c>
      <c r="K735" s="40" t="s">
        <v>192</v>
      </c>
      <c r="L735" s="37" t="s">
        <v>64</v>
      </c>
      <c r="M735" s="37" t="s">
        <v>1671</v>
      </c>
      <c r="N735" s="37"/>
      <c r="O735" s="37" t="s">
        <v>1387</v>
      </c>
      <c r="P735" s="37" t="s">
        <v>123</v>
      </c>
      <c r="Q735" s="37" t="s">
        <v>14</v>
      </c>
      <c r="R735" s="37"/>
      <c r="S735" s="37"/>
      <c r="T735" s="37"/>
      <c r="U735" s="37"/>
      <c r="V735" s="37" t="s">
        <v>88</v>
      </c>
      <c r="W735" s="37" t="s">
        <v>89</v>
      </c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</row>
    <row r="736" spans="1:37">
      <c r="A736" s="37"/>
      <c r="B736" s="37"/>
      <c r="C736" s="37"/>
      <c r="D736" s="37" t="s">
        <v>1136</v>
      </c>
      <c r="E736" s="37" t="s">
        <v>1659</v>
      </c>
      <c r="F736" s="37" t="s">
        <v>1668</v>
      </c>
      <c r="G736" s="37" t="s">
        <v>1664</v>
      </c>
      <c r="H736" s="37"/>
      <c r="I736" s="37" t="s">
        <v>1665</v>
      </c>
      <c r="J736" s="37" t="s">
        <v>334</v>
      </c>
      <c r="K736" s="40" t="s">
        <v>1666</v>
      </c>
      <c r="L736" s="37" t="s">
        <v>64</v>
      </c>
      <c r="M736" s="37" t="s">
        <v>1667</v>
      </c>
      <c r="N736" s="37"/>
      <c r="O736" s="37" t="s">
        <v>1387</v>
      </c>
      <c r="P736" s="37" t="s">
        <v>123</v>
      </c>
      <c r="Q736" s="37" t="s">
        <v>16</v>
      </c>
      <c r="R736" s="37"/>
      <c r="S736" s="37"/>
      <c r="T736" s="37" t="s">
        <v>69</v>
      </c>
      <c r="U736" s="37" t="s">
        <v>145</v>
      </c>
      <c r="V736" s="37" t="s">
        <v>72</v>
      </c>
      <c r="W736" s="37" t="s">
        <v>73</v>
      </c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</row>
    <row r="737" spans="1:37">
      <c r="A737" s="37" t="s">
        <v>112</v>
      </c>
      <c r="B737" s="37"/>
      <c r="C737" s="37"/>
      <c r="D737" s="37" t="s">
        <v>160</v>
      </c>
      <c r="E737" s="37" t="s">
        <v>215</v>
      </c>
      <c r="F737" s="37" t="s">
        <v>5301</v>
      </c>
      <c r="G737" s="37" t="s">
        <v>5295</v>
      </c>
      <c r="H737" s="37" t="s">
        <v>5296</v>
      </c>
      <c r="I737" s="37" t="s">
        <v>5297</v>
      </c>
      <c r="J737" s="37" t="s">
        <v>200</v>
      </c>
      <c r="K737" s="40" t="s">
        <v>5298</v>
      </c>
      <c r="L737" s="37" t="s">
        <v>64</v>
      </c>
      <c r="M737" s="37" t="s">
        <v>5299</v>
      </c>
      <c r="N737" s="37" t="s">
        <v>5300</v>
      </c>
      <c r="O737" s="37" t="s">
        <v>1387</v>
      </c>
      <c r="P737" s="37" t="s">
        <v>221</v>
      </c>
      <c r="Q737" s="37" t="s">
        <v>18</v>
      </c>
      <c r="R737" s="37"/>
      <c r="S737" s="37"/>
      <c r="T737" s="37" t="s">
        <v>144</v>
      </c>
      <c r="U737" s="37" t="s">
        <v>254</v>
      </c>
      <c r="V737" s="37" t="s">
        <v>72</v>
      </c>
      <c r="W737" s="37" t="s">
        <v>195</v>
      </c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</row>
    <row r="738" spans="1:37">
      <c r="A738" s="37"/>
      <c r="B738" s="37"/>
      <c r="C738" s="37"/>
      <c r="D738" s="37" t="s">
        <v>1709</v>
      </c>
      <c r="E738" s="37" t="s">
        <v>1710</v>
      </c>
      <c r="F738" s="37" t="s">
        <v>1712</v>
      </c>
      <c r="G738" s="37" t="s">
        <v>1146</v>
      </c>
      <c r="H738" s="37" t="s">
        <v>279</v>
      </c>
      <c r="I738" s="37" t="s">
        <v>276</v>
      </c>
      <c r="J738" s="37" t="s">
        <v>70</v>
      </c>
      <c r="K738" s="40" t="s">
        <v>277</v>
      </c>
      <c r="L738" s="37" t="s">
        <v>64</v>
      </c>
      <c r="M738" s="37" t="s">
        <v>1711</v>
      </c>
      <c r="N738" s="37"/>
      <c r="O738" s="37" t="s">
        <v>1387</v>
      </c>
      <c r="P738" s="37" t="s">
        <v>123</v>
      </c>
      <c r="Q738" s="37" t="s">
        <v>71</v>
      </c>
      <c r="R738" s="37"/>
      <c r="S738" s="37"/>
      <c r="T738" s="37"/>
      <c r="U738" s="37"/>
      <c r="V738" s="37" t="s">
        <v>77</v>
      </c>
      <c r="W738" s="37" t="s">
        <v>195</v>
      </c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</row>
    <row r="739" spans="1:37">
      <c r="A739" s="37"/>
      <c r="B739" s="37"/>
      <c r="C739" s="37"/>
      <c r="D739" s="37" t="s">
        <v>231</v>
      </c>
      <c r="E739" s="37" t="s">
        <v>1722</v>
      </c>
      <c r="F739" s="37" t="s">
        <v>1727</v>
      </c>
      <c r="G739" s="37" t="s">
        <v>1723</v>
      </c>
      <c r="H739" s="37" t="s">
        <v>1724</v>
      </c>
      <c r="I739" s="37" t="s">
        <v>191</v>
      </c>
      <c r="J739" s="37" t="s">
        <v>121</v>
      </c>
      <c r="K739" s="40" t="s">
        <v>192</v>
      </c>
      <c r="L739" s="37" t="s">
        <v>64</v>
      </c>
      <c r="M739" s="37" t="s">
        <v>1725</v>
      </c>
      <c r="N739" s="37" t="s">
        <v>1726</v>
      </c>
      <c r="O739" s="37" t="s">
        <v>1387</v>
      </c>
      <c r="P739" s="37" t="s">
        <v>123</v>
      </c>
      <c r="Q739" s="37" t="s">
        <v>14</v>
      </c>
      <c r="R739" s="37"/>
      <c r="S739" s="37"/>
      <c r="T739" s="37" t="s">
        <v>66</v>
      </c>
      <c r="U739" s="37" t="s">
        <v>109</v>
      </c>
      <c r="V739" s="37" t="s">
        <v>72</v>
      </c>
      <c r="W739" s="37" t="s">
        <v>78</v>
      </c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</row>
    <row r="740" spans="1:37">
      <c r="A740" s="37"/>
      <c r="B740" s="37"/>
      <c r="C740" s="37"/>
      <c r="D740" s="37" t="s">
        <v>555</v>
      </c>
      <c r="E740" s="37" t="s">
        <v>4184</v>
      </c>
      <c r="F740" s="37" t="s">
        <v>4187</v>
      </c>
      <c r="G740" s="37" t="s">
        <v>4185</v>
      </c>
      <c r="H740" s="37"/>
      <c r="I740" s="37" t="s">
        <v>265</v>
      </c>
      <c r="J740" s="37" t="s">
        <v>75</v>
      </c>
      <c r="K740" s="40" t="s">
        <v>1079</v>
      </c>
      <c r="L740" s="37" t="s">
        <v>64</v>
      </c>
      <c r="M740" s="37" t="s">
        <v>4186</v>
      </c>
      <c r="N740" s="37"/>
      <c r="O740" s="37" t="s">
        <v>1387</v>
      </c>
      <c r="P740" s="37" t="s">
        <v>221</v>
      </c>
      <c r="Q740" s="37" t="s">
        <v>10</v>
      </c>
      <c r="R740" s="37"/>
      <c r="S740" s="37"/>
      <c r="T740" s="37" t="s">
        <v>66</v>
      </c>
      <c r="U740" s="37" t="s">
        <v>185</v>
      </c>
      <c r="V740" s="37" t="s">
        <v>72</v>
      </c>
      <c r="W740" s="37" t="s">
        <v>204</v>
      </c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</row>
    <row r="741" spans="1:37">
      <c r="A741" s="37"/>
      <c r="B741" s="37"/>
      <c r="C741" s="37"/>
      <c r="D741" s="37" t="s">
        <v>861</v>
      </c>
      <c r="E741" s="37" t="s">
        <v>5242</v>
      </c>
      <c r="F741" s="37" t="s">
        <v>5245</v>
      </c>
      <c r="G741" s="37" t="s">
        <v>5243</v>
      </c>
      <c r="H741" s="37"/>
      <c r="I741" s="37" t="s">
        <v>354</v>
      </c>
      <c r="J741" s="37" t="s">
        <v>75</v>
      </c>
      <c r="K741" s="40" t="s">
        <v>355</v>
      </c>
      <c r="L741" s="37" t="s">
        <v>64</v>
      </c>
      <c r="M741" s="37" t="s">
        <v>5244</v>
      </c>
      <c r="N741" s="37"/>
      <c r="O741" s="37" t="s">
        <v>1387</v>
      </c>
      <c r="P741" s="37" t="s">
        <v>221</v>
      </c>
      <c r="Q741" s="37" t="s">
        <v>10</v>
      </c>
      <c r="R741" s="37"/>
      <c r="S741" s="37"/>
      <c r="T741" s="37"/>
      <c r="U741" s="37"/>
      <c r="V741" s="37" t="s">
        <v>88</v>
      </c>
      <c r="W741" s="37" t="s">
        <v>89</v>
      </c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</row>
    <row r="742" spans="1:37">
      <c r="A742" s="37"/>
      <c r="B742" s="37"/>
      <c r="C742" s="37"/>
      <c r="D742" s="37" t="s">
        <v>649</v>
      </c>
      <c r="E742" s="37" t="s">
        <v>5246</v>
      </c>
      <c r="F742" s="37" t="s">
        <v>5249</v>
      </c>
      <c r="G742" s="37" t="s">
        <v>5247</v>
      </c>
      <c r="H742" s="37"/>
      <c r="I742" s="37" t="s">
        <v>82</v>
      </c>
      <c r="J742" s="37" t="s">
        <v>83</v>
      </c>
      <c r="K742" s="40" t="s">
        <v>201</v>
      </c>
      <c r="L742" s="37" t="s">
        <v>64</v>
      </c>
      <c r="M742" s="37" t="s">
        <v>5248</v>
      </c>
      <c r="N742" s="37"/>
      <c r="O742" s="37" t="s">
        <v>1387</v>
      </c>
      <c r="P742" s="37" t="s">
        <v>123</v>
      </c>
      <c r="Q742" s="37" t="s">
        <v>14</v>
      </c>
      <c r="R742" s="37"/>
      <c r="S742" s="37"/>
      <c r="T742" s="37" t="s">
        <v>69</v>
      </c>
      <c r="U742" s="37" t="s">
        <v>109</v>
      </c>
      <c r="V742" s="37" t="s">
        <v>72</v>
      </c>
      <c r="W742" s="37" t="s">
        <v>69</v>
      </c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</row>
    <row r="743" spans="1:37">
      <c r="A743" s="37"/>
      <c r="B743" s="37"/>
      <c r="C743" s="37"/>
      <c r="D743" s="37" t="s">
        <v>4625</v>
      </c>
      <c r="E743" s="37" t="s">
        <v>4626</v>
      </c>
      <c r="F743" s="37" t="s">
        <v>4628</v>
      </c>
      <c r="G743" s="37" t="s">
        <v>235</v>
      </c>
      <c r="H743" s="37"/>
      <c r="I743" s="37" t="s">
        <v>191</v>
      </c>
      <c r="J743" s="37" t="s">
        <v>121</v>
      </c>
      <c r="K743" s="40" t="s">
        <v>192</v>
      </c>
      <c r="L743" s="37" t="s">
        <v>64</v>
      </c>
      <c r="M743" s="37" t="s">
        <v>4627</v>
      </c>
      <c r="N743" s="37"/>
      <c r="O743" s="37" t="s">
        <v>1387</v>
      </c>
      <c r="P743" s="37" t="s">
        <v>123</v>
      </c>
      <c r="Q743" s="37" t="s">
        <v>14</v>
      </c>
      <c r="R743" s="37"/>
      <c r="S743" s="37"/>
      <c r="T743" s="37"/>
      <c r="U743" s="37"/>
      <c r="V743" s="37" t="s">
        <v>72</v>
      </c>
      <c r="W743" s="37" t="s">
        <v>89</v>
      </c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</row>
    <row r="744" spans="1:37">
      <c r="A744" s="37"/>
      <c r="B744" s="37"/>
      <c r="C744" s="37"/>
      <c r="D744" s="37" t="s">
        <v>307</v>
      </c>
      <c r="E744" s="37" t="s">
        <v>3395</v>
      </c>
      <c r="F744" s="37" t="s">
        <v>3399</v>
      </c>
      <c r="G744" s="37" t="s">
        <v>3396</v>
      </c>
      <c r="H744" s="37" t="s">
        <v>3397</v>
      </c>
      <c r="I744" s="37" t="s">
        <v>342</v>
      </c>
      <c r="J744" s="37" t="s">
        <v>256</v>
      </c>
      <c r="K744" s="40" t="s">
        <v>343</v>
      </c>
      <c r="L744" s="37" t="s">
        <v>64</v>
      </c>
      <c r="M744" s="37" t="s">
        <v>3398</v>
      </c>
      <c r="N744" s="37"/>
      <c r="O744" s="37" t="s">
        <v>1387</v>
      </c>
      <c r="P744" s="37" t="s">
        <v>123</v>
      </c>
      <c r="Q744" s="37" t="s">
        <v>17</v>
      </c>
      <c r="R744" s="37"/>
      <c r="S744" s="37"/>
      <c r="T744" s="37"/>
      <c r="U744" s="37" t="s">
        <v>87</v>
      </c>
      <c r="V744" s="37" t="s">
        <v>77</v>
      </c>
      <c r="W744" s="37" t="s">
        <v>89</v>
      </c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</row>
    <row r="745" spans="1:37">
      <c r="A745" s="37"/>
      <c r="B745" s="37"/>
      <c r="C745" s="37"/>
      <c r="D745" s="37" t="s">
        <v>1534</v>
      </c>
      <c r="E745" s="37" t="s">
        <v>1897</v>
      </c>
      <c r="F745" s="37" t="s">
        <v>5274</v>
      </c>
      <c r="G745" s="37" t="s">
        <v>5272</v>
      </c>
      <c r="H745" s="37"/>
      <c r="I745" s="37" t="s">
        <v>191</v>
      </c>
      <c r="J745" s="37" t="s">
        <v>121</v>
      </c>
      <c r="K745" s="40" t="s">
        <v>192</v>
      </c>
      <c r="L745" s="37" t="s">
        <v>64</v>
      </c>
      <c r="M745" s="37" t="s">
        <v>5273</v>
      </c>
      <c r="N745" s="37"/>
      <c r="O745" s="37" t="s">
        <v>1387</v>
      </c>
      <c r="P745" s="37" t="s">
        <v>202</v>
      </c>
      <c r="Q745" s="37" t="s">
        <v>14</v>
      </c>
      <c r="R745" s="37"/>
      <c r="S745" s="37"/>
      <c r="T745" s="37"/>
      <c r="U745" s="37"/>
      <c r="V745" s="37" t="s">
        <v>72</v>
      </c>
      <c r="W745" s="37" t="s">
        <v>69</v>
      </c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</row>
    <row r="746" spans="1:37">
      <c r="A746" s="37"/>
      <c r="B746" s="37"/>
      <c r="C746" s="37"/>
      <c r="D746" s="37" t="s">
        <v>1461</v>
      </c>
      <c r="E746" s="37" t="s">
        <v>1947</v>
      </c>
      <c r="F746" s="37" t="s">
        <v>1950</v>
      </c>
      <c r="G746" s="37" t="s">
        <v>1948</v>
      </c>
      <c r="H746" s="37"/>
      <c r="I746" s="37" t="s">
        <v>82</v>
      </c>
      <c r="J746" s="37" t="s">
        <v>83</v>
      </c>
      <c r="K746" s="40" t="s">
        <v>201</v>
      </c>
      <c r="L746" s="37" t="s">
        <v>64</v>
      </c>
      <c r="M746" s="37" t="s">
        <v>1949</v>
      </c>
      <c r="N746" s="37"/>
      <c r="O746" s="37" t="s">
        <v>1387</v>
      </c>
      <c r="P746" s="37" t="s">
        <v>123</v>
      </c>
      <c r="Q746" s="37" t="s">
        <v>14</v>
      </c>
      <c r="R746" s="37"/>
      <c r="S746" s="37"/>
      <c r="T746" s="37"/>
      <c r="U746" s="37"/>
      <c r="V746" s="37" t="s">
        <v>118</v>
      </c>
      <c r="W746" s="37" t="s">
        <v>69</v>
      </c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</row>
    <row r="747" spans="1:37">
      <c r="A747" s="37"/>
      <c r="B747" s="37"/>
      <c r="C747" s="37"/>
      <c r="D747" s="37" t="s">
        <v>473</v>
      </c>
      <c r="E747" s="37" t="s">
        <v>2791</v>
      </c>
      <c r="F747" s="37" t="s">
        <v>2795</v>
      </c>
      <c r="G747" s="37" t="s">
        <v>2792</v>
      </c>
      <c r="H747" s="37"/>
      <c r="I747" s="37" t="s">
        <v>2793</v>
      </c>
      <c r="J747" s="37" t="s">
        <v>121</v>
      </c>
      <c r="K747" s="40" t="s">
        <v>804</v>
      </c>
      <c r="L747" s="37" t="s">
        <v>64</v>
      </c>
      <c r="M747" s="37" t="s">
        <v>2794</v>
      </c>
      <c r="N747" s="37"/>
      <c r="O747" s="37" t="s">
        <v>1387</v>
      </c>
      <c r="P747" s="37" t="s">
        <v>513</v>
      </c>
      <c r="Q747" s="37" t="s">
        <v>14</v>
      </c>
      <c r="R747" s="37"/>
      <c r="S747" s="37"/>
      <c r="T747" s="37" t="s">
        <v>66</v>
      </c>
      <c r="U747" s="37" t="s">
        <v>254</v>
      </c>
      <c r="V747" s="37" t="s">
        <v>72</v>
      </c>
      <c r="W747" s="37" t="s">
        <v>89</v>
      </c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</row>
    <row r="748" spans="1:37">
      <c r="A748" s="37"/>
      <c r="B748" s="37"/>
      <c r="C748" s="37"/>
      <c r="D748" s="37" t="s">
        <v>759</v>
      </c>
      <c r="E748" s="37" t="s">
        <v>1996</v>
      </c>
      <c r="F748" s="37" t="s">
        <v>3655</v>
      </c>
      <c r="G748" s="37" t="s">
        <v>3651</v>
      </c>
      <c r="H748" s="37" t="s">
        <v>3652</v>
      </c>
      <c r="I748" s="37" t="s">
        <v>312</v>
      </c>
      <c r="J748" s="37" t="s">
        <v>313</v>
      </c>
      <c r="K748" s="40" t="s">
        <v>3653</v>
      </c>
      <c r="L748" s="37" t="s">
        <v>64</v>
      </c>
      <c r="M748" s="37" t="s">
        <v>3654</v>
      </c>
      <c r="N748" s="37"/>
      <c r="O748" s="37" t="s">
        <v>1387</v>
      </c>
      <c r="P748" s="37" t="s">
        <v>123</v>
      </c>
      <c r="Q748" s="37" t="s">
        <v>316</v>
      </c>
      <c r="R748" s="37"/>
      <c r="S748" s="37"/>
      <c r="T748" s="37"/>
      <c r="U748" s="37"/>
      <c r="V748" s="37" t="s">
        <v>88</v>
      </c>
      <c r="W748" s="37" t="s">
        <v>89</v>
      </c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</row>
    <row r="749" spans="1:37">
      <c r="A749" s="37"/>
      <c r="B749" s="37"/>
      <c r="C749" s="37"/>
      <c r="D749" s="37" t="s">
        <v>3008</v>
      </c>
      <c r="E749" s="37" t="s">
        <v>2000</v>
      </c>
      <c r="F749" s="37" t="s">
        <v>3012</v>
      </c>
      <c r="G749" s="37" t="s">
        <v>3009</v>
      </c>
      <c r="H749" s="37"/>
      <c r="I749" s="37" t="s">
        <v>191</v>
      </c>
      <c r="J749" s="37" t="s">
        <v>121</v>
      </c>
      <c r="K749" s="40" t="s">
        <v>192</v>
      </c>
      <c r="L749" s="37" t="s">
        <v>64</v>
      </c>
      <c r="M749" s="37" t="s">
        <v>3010</v>
      </c>
      <c r="N749" s="37" t="s">
        <v>3011</v>
      </c>
      <c r="O749" s="37" t="s">
        <v>1387</v>
      </c>
      <c r="P749" s="37" t="s">
        <v>123</v>
      </c>
      <c r="Q749" s="37" t="s">
        <v>14</v>
      </c>
      <c r="R749" s="37"/>
      <c r="S749" s="37"/>
      <c r="T749" s="37" t="s">
        <v>144</v>
      </c>
      <c r="U749" s="37" t="s">
        <v>109</v>
      </c>
      <c r="V749" s="37" t="s">
        <v>72</v>
      </c>
      <c r="W749" s="37" t="s">
        <v>195</v>
      </c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</row>
    <row r="750" spans="1:37">
      <c r="A750" s="37"/>
      <c r="B750" s="37"/>
      <c r="C750" s="37"/>
      <c r="D750" s="37" t="s">
        <v>2023</v>
      </c>
      <c r="E750" s="37" t="s">
        <v>2024</v>
      </c>
      <c r="F750" s="37" t="s">
        <v>2029</v>
      </c>
      <c r="G750" s="37" t="s">
        <v>2025</v>
      </c>
      <c r="H750" s="37"/>
      <c r="I750" s="37" t="s">
        <v>2026</v>
      </c>
      <c r="J750" s="37" t="s">
        <v>334</v>
      </c>
      <c r="K750" s="40" t="s">
        <v>2027</v>
      </c>
      <c r="L750" s="37" t="s">
        <v>64</v>
      </c>
      <c r="M750" s="37" t="s">
        <v>2028</v>
      </c>
      <c r="N750" s="37"/>
      <c r="O750" s="37" t="s">
        <v>1387</v>
      </c>
      <c r="P750" s="37" t="s">
        <v>123</v>
      </c>
      <c r="Q750" s="37" t="s">
        <v>16</v>
      </c>
      <c r="R750" s="37"/>
      <c r="S750" s="37"/>
      <c r="T750" s="37" t="s">
        <v>69</v>
      </c>
      <c r="U750" s="37" t="s">
        <v>182</v>
      </c>
      <c r="V750" s="37" t="s">
        <v>72</v>
      </c>
      <c r="W750" s="37" t="s">
        <v>69</v>
      </c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</row>
    <row r="751" spans="1:37">
      <c r="A751" s="37"/>
      <c r="B751" s="37"/>
      <c r="C751" s="37"/>
      <c r="D751" s="37" t="s">
        <v>117</v>
      </c>
      <c r="E751" s="37" t="s">
        <v>5235</v>
      </c>
      <c r="F751" s="37" t="s">
        <v>5240</v>
      </c>
      <c r="G751" s="37" t="s">
        <v>5236</v>
      </c>
      <c r="H751" s="37"/>
      <c r="I751" s="37" t="s">
        <v>5237</v>
      </c>
      <c r="J751" s="37" t="s">
        <v>70</v>
      </c>
      <c r="K751" s="40" t="s">
        <v>5238</v>
      </c>
      <c r="L751" s="37" t="s">
        <v>64</v>
      </c>
      <c r="M751" s="37" t="s">
        <v>5239</v>
      </c>
      <c r="N751" s="37"/>
      <c r="O751" s="37" t="s">
        <v>1387</v>
      </c>
      <c r="P751" s="37" t="s">
        <v>123</v>
      </c>
      <c r="Q751" s="37" t="s">
        <v>71</v>
      </c>
      <c r="R751" s="37"/>
      <c r="S751" s="37"/>
      <c r="T751" s="37"/>
      <c r="U751" s="37"/>
      <c r="V751" s="37" t="s">
        <v>72</v>
      </c>
      <c r="W751" s="37" t="s">
        <v>110</v>
      </c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</row>
    <row r="752" spans="1:37">
      <c r="A752" s="37"/>
      <c r="B752" s="37"/>
      <c r="C752" s="37"/>
      <c r="D752" s="37" t="s">
        <v>5596</v>
      </c>
      <c r="E752" s="37" t="s">
        <v>5597</v>
      </c>
      <c r="F752" s="37" t="s">
        <v>5602</v>
      </c>
      <c r="G752" s="37" t="s">
        <v>5598</v>
      </c>
      <c r="H752" s="37"/>
      <c r="I752" s="37" t="s">
        <v>5599</v>
      </c>
      <c r="J752" s="37" t="s">
        <v>105</v>
      </c>
      <c r="K752" s="40" t="s">
        <v>5600</v>
      </c>
      <c r="L752" s="37" t="s">
        <v>64</v>
      </c>
      <c r="M752" s="37" t="s">
        <v>5601</v>
      </c>
      <c r="N752" s="37"/>
      <c r="O752" s="37" t="s">
        <v>1387</v>
      </c>
      <c r="P752" s="37" t="s">
        <v>123</v>
      </c>
      <c r="Q752" s="37" t="s">
        <v>14</v>
      </c>
      <c r="R752" s="37"/>
      <c r="S752" s="37"/>
      <c r="T752" s="37" t="s">
        <v>69</v>
      </c>
      <c r="U752" s="37"/>
      <c r="V752" s="37" t="s">
        <v>72</v>
      </c>
      <c r="W752" s="37" t="s">
        <v>69</v>
      </c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</row>
    <row r="753" spans="1:37">
      <c r="A753" s="37"/>
      <c r="B753" s="37"/>
      <c r="C753" s="37"/>
      <c r="D753" s="37" t="s">
        <v>1985</v>
      </c>
      <c r="E753" s="37" t="s">
        <v>5510</v>
      </c>
      <c r="F753" s="37" t="s">
        <v>5513</v>
      </c>
      <c r="G753" s="37" t="s">
        <v>5511</v>
      </c>
      <c r="H753" s="37"/>
      <c r="I753" s="37" t="s">
        <v>497</v>
      </c>
      <c r="J753" s="37" t="s">
        <v>498</v>
      </c>
      <c r="K753" s="40" t="s">
        <v>1262</v>
      </c>
      <c r="L753" s="37" t="s">
        <v>64</v>
      </c>
      <c r="M753" s="37" t="s">
        <v>5512</v>
      </c>
      <c r="N753" s="37" t="s">
        <v>4662</v>
      </c>
      <c r="O753" s="37" t="s">
        <v>1387</v>
      </c>
      <c r="P753" s="37" t="s">
        <v>123</v>
      </c>
      <c r="Q753" s="37" t="s">
        <v>10</v>
      </c>
      <c r="R753" s="37"/>
      <c r="S753" s="37"/>
      <c r="T753" s="37" t="s">
        <v>66</v>
      </c>
      <c r="U753" s="37" t="s">
        <v>87</v>
      </c>
      <c r="V753" s="37" t="s">
        <v>72</v>
      </c>
      <c r="W753" s="37" t="s">
        <v>78</v>
      </c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</row>
    <row r="754" spans="1:37">
      <c r="A754" s="37"/>
      <c r="B754" s="37"/>
      <c r="C754" s="37"/>
      <c r="D754" s="37" t="s">
        <v>1888</v>
      </c>
      <c r="E754" s="37" t="s">
        <v>2080</v>
      </c>
      <c r="F754" s="37" t="s">
        <v>5175</v>
      </c>
      <c r="G754" s="37" t="s">
        <v>341</v>
      </c>
      <c r="H754" s="37"/>
      <c r="I754" s="37" t="s">
        <v>342</v>
      </c>
      <c r="J754" s="37" t="s">
        <v>256</v>
      </c>
      <c r="K754" s="40" t="s">
        <v>343</v>
      </c>
      <c r="L754" s="37" t="s">
        <v>64</v>
      </c>
      <c r="M754" s="37" t="s">
        <v>5174</v>
      </c>
      <c r="N754" s="37"/>
      <c r="O754" s="37" t="s">
        <v>1387</v>
      </c>
      <c r="P754" s="37" t="s">
        <v>123</v>
      </c>
      <c r="Q754" s="37" t="s">
        <v>17</v>
      </c>
      <c r="R754" s="37"/>
      <c r="S754" s="37"/>
      <c r="T754" s="37" t="s">
        <v>66</v>
      </c>
      <c r="U754" s="37" t="s">
        <v>87</v>
      </c>
      <c r="V754" s="37" t="s">
        <v>88</v>
      </c>
      <c r="W754" s="37" t="s">
        <v>89</v>
      </c>
      <c r="X754" s="25"/>
      <c r="Y754" s="25"/>
      <c r="Z754" s="25"/>
      <c r="AA754" s="25"/>
      <c r="AB754" s="25"/>
      <c r="AC754" s="25"/>
      <c r="AD754" s="25"/>
      <c r="AE754" s="25"/>
      <c r="AF754" s="26"/>
      <c r="AG754" s="25"/>
      <c r="AH754" s="25"/>
      <c r="AI754" s="25"/>
      <c r="AJ754" s="25"/>
      <c r="AK754" s="25"/>
    </row>
    <row r="755" spans="1:37">
      <c r="A755" s="37" t="s">
        <v>250</v>
      </c>
      <c r="B755" s="37"/>
      <c r="C755" s="37"/>
      <c r="D755" s="37" t="s">
        <v>1353</v>
      </c>
      <c r="E755" s="37" t="s">
        <v>2081</v>
      </c>
      <c r="F755" s="37" t="s">
        <v>2086</v>
      </c>
      <c r="G755" s="37" t="s">
        <v>2082</v>
      </c>
      <c r="H755" s="37" t="s">
        <v>2083</v>
      </c>
      <c r="I755" s="37" t="s">
        <v>553</v>
      </c>
      <c r="J755" s="37" t="s">
        <v>200</v>
      </c>
      <c r="K755" s="40" t="s">
        <v>554</v>
      </c>
      <c r="L755" s="37" t="s">
        <v>64</v>
      </c>
      <c r="M755" s="37" t="s">
        <v>2084</v>
      </c>
      <c r="N755" s="37" t="s">
        <v>2085</v>
      </c>
      <c r="O755" s="37" t="s">
        <v>1387</v>
      </c>
      <c r="P755" s="37" t="s">
        <v>123</v>
      </c>
      <c r="Q755" s="37" t="s">
        <v>18</v>
      </c>
      <c r="R755" s="37"/>
      <c r="S755" s="37"/>
      <c r="T755" s="37" t="s">
        <v>115</v>
      </c>
      <c r="U755" s="37" t="s">
        <v>87</v>
      </c>
      <c r="V755" s="37" t="s">
        <v>72</v>
      </c>
      <c r="W755" s="37" t="s">
        <v>195</v>
      </c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</row>
    <row r="756" spans="1:37">
      <c r="A756" s="37"/>
      <c r="B756" s="37"/>
      <c r="C756" s="37"/>
      <c r="D756" s="37" t="s">
        <v>4603</v>
      </c>
      <c r="E756" s="37" t="s">
        <v>4604</v>
      </c>
      <c r="F756" s="37" t="s">
        <v>4606</v>
      </c>
      <c r="G756" s="37" t="s">
        <v>119</v>
      </c>
      <c r="H756" s="37"/>
      <c r="I756" s="37" t="s">
        <v>120</v>
      </c>
      <c r="J756" s="37" t="s">
        <v>121</v>
      </c>
      <c r="K756" s="40" t="s">
        <v>122</v>
      </c>
      <c r="L756" s="37" t="s">
        <v>64</v>
      </c>
      <c r="M756" s="37" t="s">
        <v>4605</v>
      </c>
      <c r="N756" s="37"/>
      <c r="O756" s="37" t="s">
        <v>1387</v>
      </c>
      <c r="P756" s="37" t="s">
        <v>123</v>
      </c>
      <c r="Q756" s="37" t="s">
        <v>14</v>
      </c>
      <c r="R756" s="37"/>
      <c r="S756" s="37"/>
      <c r="T756" s="37" t="s">
        <v>158</v>
      </c>
      <c r="U756" s="37" t="s">
        <v>109</v>
      </c>
      <c r="V756" s="37" t="s">
        <v>72</v>
      </c>
      <c r="W756" s="37" t="s">
        <v>110</v>
      </c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</row>
    <row r="757" spans="1:37">
      <c r="A757" s="37" t="s">
        <v>112</v>
      </c>
      <c r="B757" s="37"/>
      <c r="C757" s="37"/>
      <c r="D757" s="37" t="s">
        <v>90</v>
      </c>
      <c r="E757" s="37" t="s">
        <v>2098</v>
      </c>
      <c r="F757" s="37" t="s">
        <v>2102</v>
      </c>
      <c r="G757" s="37" t="s">
        <v>2099</v>
      </c>
      <c r="H757" s="37" t="s">
        <v>1077</v>
      </c>
      <c r="I757" s="37" t="s">
        <v>420</v>
      </c>
      <c r="J757" s="37" t="s">
        <v>75</v>
      </c>
      <c r="K757" s="40" t="s">
        <v>451</v>
      </c>
      <c r="L757" s="37" t="s">
        <v>64</v>
      </c>
      <c r="M757" s="37" t="s">
        <v>2100</v>
      </c>
      <c r="N757" s="37" t="s">
        <v>2101</v>
      </c>
      <c r="O757" s="37" t="s">
        <v>1387</v>
      </c>
      <c r="P757" s="37" t="s">
        <v>123</v>
      </c>
      <c r="Q757" s="37" t="s">
        <v>10</v>
      </c>
      <c r="R757" s="37"/>
      <c r="S757" s="37"/>
      <c r="T757" s="37" t="s">
        <v>144</v>
      </c>
      <c r="U757" s="37" t="s">
        <v>87</v>
      </c>
      <c r="V757" s="37" t="s">
        <v>72</v>
      </c>
      <c r="W757" s="37" t="s">
        <v>89</v>
      </c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</row>
    <row r="758" spans="1:37">
      <c r="A758" s="37"/>
      <c r="B758" s="37"/>
      <c r="C758" s="37"/>
      <c r="D758" s="37" t="s">
        <v>2800</v>
      </c>
      <c r="E758" s="37" t="s">
        <v>2801</v>
      </c>
      <c r="F758" s="37" t="s">
        <v>2806</v>
      </c>
      <c r="G758" s="37" t="s">
        <v>2802</v>
      </c>
      <c r="H758" s="37" t="s">
        <v>2803</v>
      </c>
      <c r="I758" s="37" t="s">
        <v>92</v>
      </c>
      <c r="J758" s="37" t="s">
        <v>93</v>
      </c>
      <c r="K758" s="40" t="s">
        <v>2804</v>
      </c>
      <c r="L758" s="37" t="s">
        <v>64</v>
      </c>
      <c r="M758" s="37" t="s">
        <v>2805</v>
      </c>
      <c r="N758" s="37"/>
      <c r="O758" s="37" t="s">
        <v>1387</v>
      </c>
      <c r="P758" s="37" t="s">
        <v>123</v>
      </c>
      <c r="Q758" s="37" t="s">
        <v>98</v>
      </c>
      <c r="R758" s="37"/>
      <c r="S758" s="37"/>
      <c r="T758" s="37"/>
      <c r="U758" s="37"/>
      <c r="V758" s="37" t="s">
        <v>88</v>
      </c>
      <c r="W758" s="37" t="s">
        <v>89</v>
      </c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</row>
    <row r="759" spans="1:37">
      <c r="A759" s="37"/>
      <c r="B759" s="37"/>
      <c r="C759" s="37"/>
      <c r="D759" s="37" t="s">
        <v>5176</v>
      </c>
      <c r="E759" s="37" t="s">
        <v>5177</v>
      </c>
      <c r="F759" s="37" t="s">
        <v>5179</v>
      </c>
      <c r="G759" s="37" t="s">
        <v>235</v>
      </c>
      <c r="H759" s="37"/>
      <c r="I759" s="37" t="s">
        <v>191</v>
      </c>
      <c r="J759" s="37" t="s">
        <v>121</v>
      </c>
      <c r="K759" s="40" t="s">
        <v>192</v>
      </c>
      <c r="L759" s="37" t="s">
        <v>64</v>
      </c>
      <c r="M759" s="37" t="s">
        <v>5178</v>
      </c>
      <c r="N759" s="37"/>
      <c r="O759" s="37" t="s">
        <v>1387</v>
      </c>
      <c r="P759" s="37" t="s">
        <v>123</v>
      </c>
      <c r="Q759" s="37" t="s">
        <v>14</v>
      </c>
      <c r="R759" s="37"/>
      <c r="S759" s="37"/>
      <c r="T759" s="37"/>
      <c r="U759" s="37"/>
      <c r="V759" s="37" t="s">
        <v>72</v>
      </c>
      <c r="W759" s="37" t="s">
        <v>89</v>
      </c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</row>
    <row r="760" spans="1:37">
      <c r="A760" s="37"/>
      <c r="B760" s="37"/>
      <c r="C760" s="37"/>
      <c r="D760" s="37" t="s">
        <v>938</v>
      </c>
      <c r="E760" s="37" t="s">
        <v>2166</v>
      </c>
      <c r="F760" s="37" t="s">
        <v>2168</v>
      </c>
      <c r="G760" s="37" t="s">
        <v>318</v>
      </c>
      <c r="H760" s="37" t="s">
        <v>1719</v>
      </c>
      <c r="I760" s="37" t="s">
        <v>319</v>
      </c>
      <c r="J760" s="37" t="s">
        <v>320</v>
      </c>
      <c r="K760" s="40" t="s">
        <v>321</v>
      </c>
      <c r="L760" s="37" t="s">
        <v>64</v>
      </c>
      <c r="M760" s="37" t="s">
        <v>2167</v>
      </c>
      <c r="N760" s="37"/>
      <c r="O760" s="37" t="s">
        <v>1387</v>
      </c>
      <c r="P760" s="37" t="s">
        <v>123</v>
      </c>
      <c r="Q760" s="37" t="s">
        <v>4</v>
      </c>
      <c r="R760" s="37"/>
      <c r="S760" s="37"/>
      <c r="T760" s="37" t="s">
        <v>69</v>
      </c>
      <c r="U760" s="37" t="s">
        <v>145</v>
      </c>
      <c r="V760" s="37" t="s">
        <v>88</v>
      </c>
      <c r="W760" s="37" t="s">
        <v>89</v>
      </c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</row>
    <row r="761" spans="1:37">
      <c r="A761" s="37"/>
      <c r="B761" s="37"/>
      <c r="C761" s="37"/>
      <c r="D761" s="37" t="s">
        <v>2947</v>
      </c>
      <c r="E761" s="37" t="s">
        <v>2948</v>
      </c>
      <c r="F761" s="37" t="s">
        <v>2952</v>
      </c>
      <c r="G761" s="37" t="s">
        <v>2949</v>
      </c>
      <c r="H761" s="37" t="s">
        <v>2950</v>
      </c>
      <c r="I761" s="37" t="s">
        <v>82</v>
      </c>
      <c r="J761" s="37" t="s">
        <v>83</v>
      </c>
      <c r="K761" s="40" t="s">
        <v>1014</v>
      </c>
      <c r="L761" s="37" t="s">
        <v>64</v>
      </c>
      <c r="M761" s="37" t="s">
        <v>2951</v>
      </c>
      <c r="N761" s="37"/>
      <c r="O761" s="37" t="s">
        <v>1387</v>
      </c>
      <c r="P761" s="37" t="s">
        <v>513</v>
      </c>
      <c r="Q761" s="37" t="s">
        <v>71</v>
      </c>
      <c r="R761" s="37"/>
      <c r="S761" s="37"/>
      <c r="T761" s="37" t="s">
        <v>69</v>
      </c>
      <c r="U761" s="37"/>
      <c r="V761" s="37" t="s">
        <v>72</v>
      </c>
      <c r="W761" s="37" t="s">
        <v>69</v>
      </c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</row>
    <row r="762" spans="1:37">
      <c r="A762" s="37" t="s">
        <v>164</v>
      </c>
      <c r="B762" s="37"/>
      <c r="C762" s="37"/>
      <c r="D762" s="37" t="s">
        <v>2216</v>
      </c>
      <c r="E762" s="37" t="s">
        <v>2215</v>
      </c>
      <c r="F762" s="37" t="s">
        <v>2220</v>
      </c>
      <c r="G762" s="37" t="s">
        <v>2217</v>
      </c>
      <c r="H762" s="37"/>
      <c r="I762" s="37" t="s">
        <v>2026</v>
      </c>
      <c r="J762" s="37" t="s">
        <v>334</v>
      </c>
      <c r="K762" s="40" t="s">
        <v>2027</v>
      </c>
      <c r="L762" s="37" t="s">
        <v>64</v>
      </c>
      <c r="M762" s="37" t="s">
        <v>2218</v>
      </c>
      <c r="N762" s="37" t="s">
        <v>2219</v>
      </c>
      <c r="O762" s="37" t="s">
        <v>1387</v>
      </c>
      <c r="P762" s="37" t="s">
        <v>123</v>
      </c>
      <c r="Q762" s="37" t="s">
        <v>16</v>
      </c>
      <c r="R762" s="37"/>
      <c r="S762" s="37"/>
      <c r="T762" s="37" t="s">
        <v>69</v>
      </c>
      <c r="U762" s="37" t="s">
        <v>87</v>
      </c>
      <c r="V762" s="37" t="s">
        <v>72</v>
      </c>
      <c r="W762" s="37" t="s">
        <v>89</v>
      </c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</row>
    <row r="763" spans="1:37">
      <c r="A763" s="37"/>
      <c r="B763" s="37"/>
      <c r="C763" s="37"/>
      <c r="D763" s="37" t="s">
        <v>1284</v>
      </c>
      <c r="E763" s="37" t="s">
        <v>2296</v>
      </c>
      <c r="F763" s="37" t="s">
        <v>2298</v>
      </c>
      <c r="G763" s="37" t="s">
        <v>119</v>
      </c>
      <c r="H763" s="37"/>
      <c r="I763" s="37" t="s">
        <v>120</v>
      </c>
      <c r="J763" s="37" t="s">
        <v>121</v>
      </c>
      <c r="K763" s="40" t="s">
        <v>122</v>
      </c>
      <c r="L763" s="37" t="s">
        <v>64</v>
      </c>
      <c r="M763" s="37" t="s">
        <v>2297</v>
      </c>
      <c r="N763" s="37" t="s">
        <v>2297</v>
      </c>
      <c r="O763" s="37" t="s">
        <v>1387</v>
      </c>
      <c r="P763" s="37" t="s">
        <v>123</v>
      </c>
      <c r="Q763" s="37" t="s">
        <v>14</v>
      </c>
      <c r="R763" s="37"/>
      <c r="S763" s="37"/>
      <c r="T763" s="37" t="s">
        <v>66</v>
      </c>
      <c r="U763" s="37" t="s">
        <v>109</v>
      </c>
      <c r="V763" s="37" t="s">
        <v>72</v>
      </c>
      <c r="W763" s="37" t="s">
        <v>89</v>
      </c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</row>
    <row r="764" spans="1:37">
      <c r="A764" s="37"/>
      <c r="B764" s="37"/>
      <c r="C764" s="37"/>
      <c r="D764" s="37" t="s">
        <v>1590</v>
      </c>
      <c r="E764" s="37" t="s">
        <v>2301</v>
      </c>
      <c r="F764" s="37" t="s">
        <v>2305</v>
      </c>
      <c r="G764" s="37" t="s">
        <v>2302</v>
      </c>
      <c r="H764" s="37" t="s">
        <v>2303</v>
      </c>
      <c r="I764" s="37" t="s">
        <v>312</v>
      </c>
      <c r="J764" s="37" t="s">
        <v>313</v>
      </c>
      <c r="K764" s="40" t="s">
        <v>314</v>
      </c>
      <c r="L764" s="37" t="s">
        <v>64</v>
      </c>
      <c r="M764" s="37" t="s">
        <v>2304</v>
      </c>
      <c r="N764" s="37"/>
      <c r="O764" s="37" t="s">
        <v>1387</v>
      </c>
      <c r="P764" s="37" t="s">
        <v>221</v>
      </c>
      <c r="Q764" s="37" t="s">
        <v>316</v>
      </c>
      <c r="R764" s="37"/>
      <c r="S764" s="37"/>
      <c r="T764" s="37"/>
      <c r="U764" s="37" t="s">
        <v>109</v>
      </c>
      <c r="V764" s="37" t="s">
        <v>72</v>
      </c>
      <c r="W764" s="37" t="s">
        <v>135</v>
      </c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</row>
    <row r="765" spans="1:37">
      <c r="A765" s="37"/>
      <c r="B765" s="37"/>
      <c r="C765" s="37"/>
      <c r="D765" s="37" t="s">
        <v>3875</v>
      </c>
      <c r="E765" s="37" t="s">
        <v>3876</v>
      </c>
      <c r="F765" s="37" t="s">
        <v>3879</v>
      </c>
      <c r="G765" s="37" t="s">
        <v>3877</v>
      </c>
      <c r="H765" s="37"/>
      <c r="I765" s="37" t="s">
        <v>191</v>
      </c>
      <c r="J765" s="37" t="s">
        <v>121</v>
      </c>
      <c r="K765" s="40" t="s">
        <v>192</v>
      </c>
      <c r="L765" s="37" t="s">
        <v>64</v>
      </c>
      <c r="M765" s="37" t="s">
        <v>3878</v>
      </c>
      <c r="N765" s="37"/>
      <c r="O765" s="37" t="s">
        <v>1387</v>
      </c>
      <c r="P765" s="37" t="s">
        <v>123</v>
      </c>
      <c r="Q765" s="37" t="s">
        <v>14</v>
      </c>
      <c r="R765" s="37"/>
      <c r="S765" s="37"/>
      <c r="T765" s="37"/>
      <c r="U765" s="37"/>
      <c r="V765" s="37" t="s">
        <v>72</v>
      </c>
      <c r="W765" s="37" t="s">
        <v>69</v>
      </c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</row>
    <row r="766" spans="1:37">
      <c r="A766" s="37"/>
      <c r="B766" s="37"/>
      <c r="C766" s="37"/>
      <c r="D766" s="37" t="s">
        <v>238</v>
      </c>
      <c r="E766" s="37" t="s">
        <v>2355</v>
      </c>
      <c r="F766" s="37" t="s">
        <v>2358</v>
      </c>
      <c r="G766" s="37" t="s">
        <v>2356</v>
      </c>
      <c r="H766" s="37"/>
      <c r="I766" s="37" t="s">
        <v>191</v>
      </c>
      <c r="J766" s="37" t="s">
        <v>121</v>
      </c>
      <c r="K766" s="40" t="s">
        <v>192</v>
      </c>
      <c r="L766" s="37" t="s">
        <v>64</v>
      </c>
      <c r="M766" s="37" t="s">
        <v>2357</v>
      </c>
      <c r="N766" s="37"/>
      <c r="O766" s="37" t="s">
        <v>1387</v>
      </c>
      <c r="P766" s="37" t="s">
        <v>123</v>
      </c>
      <c r="Q766" s="37" t="s">
        <v>14</v>
      </c>
      <c r="R766" s="37"/>
      <c r="S766" s="37"/>
      <c r="T766" s="37"/>
      <c r="U766" s="37"/>
      <c r="V766" s="37" t="s">
        <v>72</v>
      </c>
      <c r="W766" s="37" t="s">
        <v>69</v>
      </c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</row>
    <row r="767" spans="1:37">
      <c r="A767" s="37"/>
      <c r="B767" s="37"/>
      <c r="C767" s="37"/>
      <c r="D767" s="37" t="s">
        <v>1538</v>
      </c>
      <c r="E767" s="37" t="s">
        <v>2372</v>
      </c>
      <c r="F767" s="37" t="s">
        <v>5104</v>
      </c>
      <c r="G767" s="37" t="s">
        <v>1930</v>
      </c>
      <c r="H767" s="37" t="s">
        <v>5102</v>
      </c>
      <c r="I767" s="37" t="s">
        <v>319</v>
      </c>
      <c r="J767" s="37" t="s">
        <v>320</v>
      </c>
      <c r="K767" s="40" t="s">
        <v>321</v>
      </c>
      <c r="L767" s="37" t="s">
        <v>64</v>
      </c>
      <c r="M767" s="37" t="s">
        <v>5103</v>
      </c>
      <c r="N767" s="37"/>
      <c r="O767" s="37" t="s">
        <v>1387</v>
      </c>
      <c r="P767" s="37" t="s">
        <v>123</v>
      </c>
      <c r="Q767" s="37" t="s">
        <v>4</v>
      </c>
      <c r="R767" s="37"/>
      <c r="S767" s="37"/>
      <c r="T767" s="37"/>
      <c r="U767" s="37"/>
      <c r="V767" s="37" t="s">
        <v>72</v>
      </c>
      <c r="W767" s="37" t="s">
        <v>69</v>
      </c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</row>
    <row r="768" spans="1:37">
      <c r="A768" s="37"/>
      <c r="B768" s="37"/>
      <c r="C768" s="37"/>
      <c r="D768" s="37" t="s">
        <v>2910</v>
      </c>
      <c r="E768" s="37" t="s">
        <v>2372</v>
      </c>
      <c r="F768" s="37" t="s">
        <v>4100</v>
      </c>
      <c r="G768" s="37" t="s">
        <v>4097</v>
      </c>
      <c r="H768" s="37" t="s">
        <v>4098</v>
      </c>
      <c r="I768" s="37" t="s">
        <v>92</v>
      </c>
      <c r="J768" s="37" t="s">
        <v>93</v>
      </c>
      <c r="K768" s="40" t="s">
        <v>329</v>
      </c>
      <c r="L768" s="37" t="s">
        <v>64</v>
      </c>
      <c r="M768" s="37" t="s">
        <v>4099</v>
      </c>
      <c r="N768" s="37"/>
      <c r="O768" s="37" t="s">
        <v>1387</v>
      </c>
      <c r="P768" s="37" t="s">
        <v>221</v>
      </c>
      <c r="Q768" s="37" t="s">
        <v>98</v>
      </c>
      <c r="R768" s="37"/>
      <c r="S768" s="37"/>
      <c r="T768" s="37" t="s">
        <v>115</v>
      </c>
      <c r="U768" s="37" t="s">
        <v>185</v>
      </c>
      <c r="V768" s="37" t="s">
        <v>77</v>
      </c>
      <c r="W768" s="37" t="s">
        <v>89</v>
      </c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</row>
    <row r="769" spans="1:37">
      <c r="A769" s="37"/>
      <c r="B769" s="37"/>
      <c r="C769" s="37"/>
      <c r="D769" s="37" t="s">
        <v>149</v>
      </c>
      <c r="E769" s="37" t="s">
        <v>6187</v>
      </c>
      <c r="F769" s="37" t="s">
        <v>6188</v>
      </c>
      <c r="G769" s="37" t="s">
        <v>1380</v>
      </c>
      <c r="H769" s="37"/>
      <c r="I769" s="37" t="s">
        <v>82</v>
      </c>
      <c r="J769" s="37" t="s">
        <v>83</v>
      </c>
      <c r="K769" s="40" t="s">
        <v>1014</v>
      </c>
      <c r="L769" s="37" t="s">
        <v>64</v>
      </c>
      <c r="M769" s="37" t="s">
        <v>6189</v>
      </c>
      <c r="N769" s="37"/>
      <c r="O769" s="37" t="s">
        <v>1387</v>
      </c>
      <c r="P769" s="37" t="s">
        <v>513</v>
      </c>
      <c r="Q769" s="37" t="s">
        <v>71</v>
      </c>
      <c r="R769" s="37"/>
      <c r="S769" s="37"/>
      <c r="T769" s="37"/>
      <c r="U769" s="37"/>
      <c r="V769" s="37" t="s">
        <v>72</v>
      </c>
      <c r="W769" s="37" t="s">
        <v>89</v>
      </c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</row>
    <row r="770" spans="1:37">
      <c r="A770" s="37"/>
      <c r="B770" s="37"/>
      <c r="C770" s="37"/>
      <c r="D770" s="37" t="s">
        <v>199</v>
      </c>
      <c r="E770" s="37" t="s">
        <v>5112</v>
      </c>
      <c r="F770" s="37" t="s">
        <v>5115</v>
      </c>
      <c r="G770" s="37" t="s">
        <v>5113</v>
      </c>
      <c r="H770" s="37"/>
      <c r="I770" s="37" t="s">
        <v>193</v>
      </c>
      <c r="J770" s="37" t="s">
        <v>153</v>
      </c>
      <c r="K770" s="40" t="s">
        <v>194</v>
      </c>
      <c r="L770" s="37" t="s">
        <v>64</v>
      </c>
      <c r="M770" s="37" t="s">
        <v>5114</v>
      </c>
      <c r="N770" s="37"/>
      <c r="O770" s="37" t="s">
        <v>1387</v>
      </c>
      <c r="P770" s="37" t="s">
        <v>221</v>
      </c>
      <c r="Q770" s="37" t="s">
        <v>16</v>
      </c>
      <c r="R770" s="37"/>
      <c r="S770" s="37"/>
      <c r="T770" s="37"/>
      <c r="U770" s="37"/>
      <c r="V770" s="37" t="s">
        <v>72</v>
      </c>
      <c r="W770" s="37" t="s">
        <v>69</v>
      </c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</row>
    <row r="771" spans="1:37">
      <c r="A771" s="37" t="s">
        <v>232</v>
      </c>
      <c r="B771" s="37"/>
      <c r="C771" s="37"/>
      <c r="D771" s="37" t="s">
        <v>282</v>
      </c>
      <c r="E771" s="37" t="s">
        <v>3785</v>
      </c>
      <c r="F771" s="37" t="s">
        <v>3788</v>
      </c>
      <c r="G771" s="37" t="s">
        <v>3786</v>
      </c>
      <c r="H771" s="37"/>
      <c r="I771" s="37" t="s">
        <v>92</v>
      </c>
      <c r="J771" s="37" t="s">
        <v>93</v>
      </c>
      <c r="K771" s="40" t="s">
        <v>738</v>
      </c>
      <c r="L771" s="37" t="s">
        <v>64</v>
      </c>
      <c r="M771" s="37" t="s">
        <v>3787</v>
      </c>
      <c r="N771" s="37"/>
      <c r="O771" s="37" t="s">
        <v>1387</v>
      </c>
      <c r="P771" s="37" t="s">
        <v>123</v>
      </c>
      <c r="Q771" s="37" t="s">
        <v>98</v>
      </c>
      <c r="R771" s="37"/>
      <c r="S771" s="37"/>
      <c r="T771" s="37" t="s">
        <v>66</v>
      </c>
      <c r="U771" s="37" t="s">
        <v>109</v>
      </c>
      <c r="V771" s="37" t="s">
        <v>88</v>
      </c>
      <c r="W771" s="37" t="s">
        <v>89</v>
      </c>
      <c r="X771" s="25"/>
      <c r="Y771" s="25"/>
      <c r="Z771" s="25"/>
      <c r="AA771" s="25"/>
      <c r="AB771" s="25"/>
      <c r="AC771" s="25"/>
      <c r="AD771" s="25"/>
      <c r="AE771" s="25"/>
      <c r="AF771" s="26"/>
      <c r="AG771" s="25"/>
      <c r="AH771" s="25"/>
      <c r="AI771" s="25"/>
      <c r="AJ771" s="25"/>
      <c r="AK771" s="25"/>
    </row>
    <row r="772" spans="1:37">
      <c r="A772" s="37"/>
      <c r="B772" s="37"/>
      <c r="C772" s="37"/>
      <c r="D772" s="37" t="s">
        <v>2091</v>
      </c>
      <c r="E772" s="37" t="s">
        <v>2514</v>
      </c>
      <c r="F772" s="37" t="s">
        <v>2517</v>
      </c>
      <c r="G772" s="37" t="s">
        <v>119</v>
      </c>
      <c r="H772" s="37" t="s">
        <v>2515</v>
      </c>
      <c r="I772" s="37" t="s">
        <v>120</v>
      </c>
      <c r="J772" s="37" t="s">
        <v>121</v>
      </c>
      <c r="K772" s="40" t="s">
        <v>122</v>
      </c>
      <c r="L772" s="37" t="s">
        <v>64</v>
      </c>
      <c r="M772" s="37" t="s">
        <v>2516</v>
      </c>
      <c r="N772" s="37"/>
      <c r="O772" s="37" t="s">
        <v>1387</v>
      </c>
      <c r="P772" s="37" t="s">
        <v>123</v>
      </c>
      <c r="Q772" s="37" t="s">
        <v>14</v>
      </c>
      <c r="R772" s="37"/>
      <c r="S772" s="37"/>
      <c r="T772" s="37" t="s">
        <v>66</v>
      </c>
      <c r="U772" s="37"/>
      <c r="V772" s="37" t="s">
        <v>88</v>
      </c>
      <c r="W772" s="37" t="s">
        <v>110</v>
      </c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</row>
    <row r="773" spans="1:37">
      <c r="A773" s="37"/>
      <c r="B773" s="37"/>
      <c r="C773" s="37"/>
      <c r="D773" s="37" t="s">
        <v>3236</v>
      </c>
      <c r="E773" s="37" t="s">
        <v>2532</v>
      </c>
      <c r="F773" s="37" t="s">
        <v>3239</v>
      </c>
      <c r="G773" s="37" t="s">
        <v>3237</v>
      </c>
      <c r="H773" s="37"/>
      <c r="I773" s="37" t="s">
        <v>191</v>
      </c>
      <c r="J773" s="37" t="s">
        <v>121</v>
      </c>
      <c r="K773" s="40" t="s">
        <v>192</v>
      </c>
      <c r="L773" s="37" t="s">
        <v>64</v>
      </c>
      <c r="M773" s="37" t="s">
        <v>3238</v>
      </c>
      <c r="N773" s="37"/>
      <c r="O773" s="37" t="s">
        <v>1387</v>
      </c>
      <c r="P773" s="37" t="s">
        <v>123</v>
      </c>
      <c r="Q773" s="37" t="s">
        <v>14</v>
      </c>
      <c r="R773" s="37"/>
      <c r="S773" s="37"/>
      <c r="T773" s="37"/>
      <c r="U773" s="37"/>
      <c r="V773" s="37" t="s">
        <v>72</v>
      </c>
      <c r="W773" s="37" t="s">
        <v>195</v>
      </c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</row>
    <row r="774" spans="1:37">
      <c r="A774" s="37"/>
      <c r="B774" s="37"/>
      <c r="C774" s="37"/>
      <c r="D774" s="37" t="s">
        <v>2144</v>
      </c>
      <c r="E774" s="37" t="s">
        <v>2533</v>
      </c>
      <c r="F774" s="37" t="s">
        <v>2536</v>
      </c>
      <c r="G774" s="37" t="s">
        <v>2534</v>
      </c>
      <c r="H774" s="37" t="s">
        <v>1437</v>
      </c>
      <c r="I774" s="37" t="s">
        <v>92</v>
      </c>
      <c r="J774" s="37" t="s">
        <v>93</v>
      </c>
      <c r="K774" s="40" t="s">
        <v>738</v>
      </c>
      <c r="L774" s="37" t="s">
        <v>64</v>
      </c>
      <c r="M774" s="37" t="s">
        <v>2535</v>
      </c>
      <c r="N774" s="37"/>
      <c r="O774" s="37" t="s">
        <v>1387</v>
      </c>
      <c r="P774" s="37" t="s">
        <v>123</v>
      </c>
      <c r="Q774" s="37" t="s">
        <v>98</v>
      </c>
      <c r="R774" s="37"/>
      <c r="S774" s="37"/>
      <c r="T774" s="37"/>
      <c r="U774" s="37" t="s">
        <v>145</v>
      </c>
      <c r="V774" s="37" t="s">
        <v>118</v>
      </c>
      <c r="W774" s="37" t="s">
        <v>89</v>
      </c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</row>
    <row r="775" spans="1:37">
      <c r="A775" s="37" t="s">
        <v>322</v>
      </c>
      <c r="B775" s="37"/>
      <c r="C775" s="37"/>
      <c r="D775" s="37" t="s">
        <v>524</v>
      </c>
      <c r="E775" s="37" t="s">
        <v>2540</v>
      </c>
      <c r="F775" s="37" t="s">
        <v>3250</v>
      </c>
      <c r="G775" s="37" t="s">
        <v>1669</v>
      </c>
      <c r="H775" s="37" t="s">
        <v>2243</v>
      </c>
      <c r="I775" s="37" t="s">
        <v>191</v>
      </c>
      <c r="J775" s="37" t="s">
        <v>121</v>
      </c>
      <c r="K775" s="40" t="s">
        <v>192</v>
      </c>
      <c r="L775" s="37" t="s">
        <v>64</v>
      </c>
      <c r="M775" s="37" t="s">
        <v>3249</v>
      </c>
      <c r="N775" s="37"/>
      <c r="O775" s="37" t="s">
        <v>1387</v>
      </c>
      <c r="P775" s="37" t="s">
        <v>123</v>
      </c>
      <c r="Q775" s="37" t="s">
        <v>14</v>
      </c>
      <c r="R775" s="37"/>
      <c r="S775" s="37"/>
      <c r="T775" s="37"/>
      <c r="U775" s="37" t="s">
        <v>109</v>
      </c>
      <c r="V775" s="37" t="s">
        <v>88</v>
      </c>
      <c r="W775" s="37" t="s">
        <v>89</v>
      </c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</row>
    <row r="776" spans="1:37">
      <c r="A776" s="37"/>
      <c r="B776" s="37"/>
      <c r="C776" s="37"/>
      <c r="D776" s="37" t="s">
        <v>525</v>
      </c>
      <c r="E776" s="37" t="s">
        <v>5058</v>
      </c>
      <c r="F776" s="37" t="s">
        <v>5060</v>
      </c>
      <c r="G776" s="37" t="s">
        <v>235</v>
      </c>
      <c r="H776" s="37"/>
      <c r="I776" s="37" t="s">
        <v>191</v>
      </c>
      <c r="J776" s="37" t="s">
        <v>121</v>
      </c>
      <c r="K776" s="40" t="s">
        <v>192</v>
      </c>
      <c r="L776" s="37" t="s">
        <v>64</v>
      </c>
      <c r="M776" s="37" t="s">
        <v>5059</v>
      </c>
      <c r="N776" s="37"/>
      <c r="O776" s="37" t="s">
        <v>1387</v>
      </c>
      <c r="P776" s="37" t="s">
        <v>123</v>
      </c>
      <c r="Q776" s="37" t="s">
        <v>14</v>
      </c>
      <c r="R776" s="37"/>
      <c r="S776" s="37"/>
      <c r="T776" s="37"/>
      <c r="U776" s="37"/>
      <c r="V776" s="37" t="s">
        <v>72</v>
      </c>
      <c r="W776" s="37" t="s">
        <v>89</v>
      </c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</row>
    <row r="777" spans="1:37">
      <c r="A777" s="37"/>
      <c r="B777" s="37"/>
      <c r="C777" s="37"/>
      <c r="D777" s="37" t="s">
        <v>1112</v>
      </c>
      <c r="E777" s="37" t="s">
        <v>6190</v>
      </c>
      <c r="F777" s="37" t="s">
        <v>6191</v>
      </c>
      <c r="G777" s="37" t="s">
        <v>6192</v>
      </c>
      <c r="H777" s="37"/>
      <c r="I777" s="37" t="s">
        <v>191</v>
      </c>
      <c r="J777" s="37" t="s">
        <v>121</v>
      </c>
      <c r="K777" s="40" t="s">
        <v>4645</v>
      </c>
      <c r="L777" s="37" t="s">
        <v>64</v>
      </c>
      <c r="M777" s="37" t="s">
        <v>6193</v>
      </c>
      <c r="N777" s="37"/>
      <c r="O777" s="37" t="s">
        <v>1387</v>
      </c>
      <c r="P777" s="37" t="s">
        <v>123</v>
      </c>
      <c r="Q777" s="37" t="s">
        <v>14</v>
      </c>
      <c r="R777" s="37"/>
      <c r="S777" s="37"/>
      <c r="T777" s="37"/>
      <c r="U777" s="37"/>
      <c r="V777" s="37" t="s">
        <v>88</v>
      </c>
      <c r="W777" s="37" t="s">
        <v>89</v>
      </c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</row>
    <row r="778" spans="1:37">
      <c r="A778" s="37"/>
      <c r="B778" s="37"/>
      <c r="C778" s="37"/>
      <c r="D778" s="37" t="s">
        <v>539</v>
      </c>
      <c r="E778" s="37" t="s">
        <v>5069</v>
      </c>
      <c r="F778" s="37" t="s">
        <v>5072</v>
      </c>
      <c r="G778" s="37" t="s">
        <v>235</v>
      </c>
      <c r="H778" s="37" t="s">
        <v>5070</v>
      </c>
      <c r="I778" s="37" t="s">
        <v>191</v>
      </c>
      <c r="J778" s="37" t="s">
        <v>121</v>
      </c>
      <c r="K778" s="40" t="s">
        <v>192</v>
      </c>
      <c r="L778" s="37" t="s">
        <v>64</v>
      </c>
      <c r="M778" s="37" t="s">
        <v>5071</v>
      </c>
      <c r="N778" s="37"/>
      <c r="O778" s="37" t="s">
        <v>1387</v>
      </c>
      <c r="P778" s="37" t="s">
        <v>123</v>
      </c>
      <c r="Q778" s="37" t="s">
        <v>14</v>
      </c>
      <c r="R778" s="37"/>
      <c r="S778" s="37"/>
      <c r="T778" s="37"/>
      <c r="U778" s="37"/>
      <c r="V778" s="37" t="s">
        <v>72</v>
      </c>
      <c r="W778" s="37" t="s">
        <v>89</v>
      </c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</row>
    <row r="779" spans="1:37">
      <c r="A779" s="37"/>
      <c r="B779" s="37"/>
      <c r="C779" s="37"/>
      <c r="D779" s="37" t="s">
        <v>2604</v>
      </c>
      <c r="E779" s="37" t="s">
        <v>2605</v>
      </c>
      <c r="F779" s="37" t="s">
        <v>2610</v>
      </c>
      <c r="G779" s="37" t="s">
        <v>2606</v>
      </c>
      <c r="H779" s="37"/>
      <c r="I779" s="37" t="s">
        <v>2607</v>
      </c>
      <c r="J779" s="37" t="s">
        <v>114</v>
      </c>
      <c r="K779" s="40" t="s">
        <v>2608</v>
      </c>
      <c r="L779" s="37" t="s">
        <v>64</v>
      </c>
      <c r="M779" s="37" t="s">
        <v>2609</v>
      </c>
      <c r="N779" s="37"/>
      <c r="O779" s="37" t="s">
        <v>1387</v>
      </c>
      <c r="P779" s="37" t="s">
        <v>123</v>
      </c>
      <c r="Q779" s="37" t="s">
        <v>16</v>
      </c>
      <c r="R779" s="37"/>
      <c r="S779" s="37"/>
      <c r="T779" s="37" t="s">
        <v>69</v>
      </c>
      <c r="U779" s="37" t="s">
        <v>145</v>
      </c>
      <c r="V779" s="37" t="s">
        <v>72</v>
      </c>
      <c r="W779" s="37" t="s">
        <v>89</v>
      </c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</row>
    <row r="780" spans="1:37">
      <c r="A780" s="37"/>
      <c r="B780" s="37"/>
      <c r="C780" s="37"/>
      <c r="D780" s="37" t="s">
        <v>648</v>
      </c>
      <c r="E780" s="37" t="s">
        <v>2618</v>
      </c>
      <c r="F780" s="37" t="s">
        <v>3186</v>
      </c>
      <c r="G780" s="37" t="s">
        <v>235</v>
      </c>
      <c r="H780" s="37"/>
      <c r="I780" s="37" t="s">
        <v>191</v>
      </c>
      <c r="J780" s="37" t="s">
        <v>121</v>
      </c>
      <c r="K780" s="40" t="s">
        <v>192</v>
      </c>
      <c r="L780" s="37" t="s">
        <v>64</v>
      </c>
      <c r="M780" s="37" t="s">
        <v>3185</v>
      </c>
      <c r="N780" s="37"/>
      <c r="O780" s="37" t="s">
        <v>1387</v>
      </c>
      <c r="P780" s="37" t="s">
        <v>123</v>
      </c>
      <c r="Q780" s="37" t="s">
        <v>14</v>
      </c>
      <c r="R780" s="37"/>
      <c r="S780" s="37"/>
      <c r="T780" s="37"/>
      <c r="U780" s="37"/>
      <c r="V780" s="37" t="s">
        <v>88</v>
      </c>
      <c r="W780" s="37" t="s">
        <v>89</v>
      </c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</row>
    <row r="781" spans="1:37">
      <c r="A781" s="37"/>
      <c r="B781" s="37"/>
      <c r="C781" s="37"/>
      <c r="D781" s="37" t="s">
        <v>1888</v>
      </c>
      <c r="E781" s="37" t="s">
        <v>5074</v>
      </c>
      <c r="F781" s="37" t="s">
        <v>5077</v>
      </c>
      <c r="G781" s="37" t="s">
        <v>2949</v>
      </c>
      <c r="H781" s="37" t="s">
        <v>5075</v>
      </c>
      <c r="I781" s="37" t="s">
        <v>82</v>
      </c>
      <c r="J781" s="37" t="s">
        <v>83</v>
      </c>
      <c r="K781" s="40" t="s">
        <v>1014</v>
      </c>
      <c r="L781" s="37" t="s">
        <v>64</v>
      </c>
      <c r="M781" s="37" t="s">
        <v>5076</v>
      </c>
      <c r="N781" s="37"/>
      <c r="O781" s="37" t="s">
        <v>1387</v>
      </c>
      <c r="P781" s="37" t="s">
        <v>513</v>
      </c>
      <c r="Q781" s="37" t="s">
        <v>71</v>
      </c>
      <c r="R781" s="37"/>
      <c r="S781" s="37"/>
      <c r="T781" s="37" t="s">
        <v>69</v>
      </c>
      <c r="U781" s="37"/>
      <c r="V781" s="37" t="s">
        <v>72</v>
      </c>
      <c r="W781" s="37" t="s">
        <v>89</v>
      </c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</row>
    <row r="782" spans="1:37">
      <c r="A782" s="37"/>
      <c r="B782" s="37"/>
      <c r="C782" s="37"/>
      <c r="D782" s="37" t="s">
        <v>509</v>
      </c>
      <c r="E782" s="37" t="s">
        <v>2638</v>
      </c>
      <c r="F782" s="37" t="s">
        <v>5079</v>
      </c>
      <c r="G782" s="37" t="s">
        <v>119</v>
      </c>
      <c r="H782" s="37"/>
      <c r="I782" s="37" t="s">
        <v>120</v>
      </c>
      <c r="J782" s="37" t="s">
        <v>121</v>
      </c>
      <c r="K782" s="40" t="s">
        <v>122</v>
      </c>
      <c r="L782" s="37" t="s">
        <v>64</v>
      </c>
      <c r="M782" s="37" t="s">
        <v>5078</v>
      </c>
      <c r="N782" s="37"/>
      <c r="O782" s="37" t="s">
        <v>1387</v>
      </c>
      <c r="P782" s="37" t="s">
        <v>123</v>
      </c>
      <c r="Q782" s="37" t="s">
        <v>14</v>
      </c>
      <c r="R782" s="37"/>
      <c r="S782" s="37"/>
      <c r="T782" s="37" t="s">
        <v>144</v>
      </c>
      <c r="U782" s="37"/>
      <c r="V782" s="37" t="s">
        <v>72</v>
      </c>
      <c r="W782" s="37" t="s">
        <v>110</v>
      </c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</row>
    <row r="783" spans="1:37">
      <c r="A783" s="37"/>
      <c r="B783" s="37"/>
      <c r="C783" s="37"/>
      <c r="D783" s="37" t="s">
        <v>5520</v>
      </c>
      <c r="E783" s="37" t="s">
        <v>2638</v>
      </c>
      <c r="F783" s="37" t="s">
        <v>5522</v>
      </c>
      <c r="G783" s="37" t="s">
        <v>2290</v>
      </c>
      <c r="H783" s="37"/>
      <c r="I783" s="37" t="s">
        <v>342</v>
      </c>
      <c r="J783" s="37" t="s">
        <v>256</v>
      </c>
      <c r="K783" s="40" t="s">
        <v>4443</v>
      </c>
      <c r="L783" s="37" t="s">
        <v>64</v>
      </c>
      <c r="M783" s="37" t="s">
        <v>5521</v>
      </c>
      <c r="N783" s="37"/>
      <c r="O783" s="37" t="s">
        <v>1387</v>
      </c>
      <c r="P783" s="37" t="s">
        <v>123</v>
      </c>
      <c r="Q783" s="37" t="s">
        <v>17</v>
      </c>
      <c r="R783" s="37"/>
      <c r="S783" s="37"/>
      <c r="T783" s="37" t="s">
        <v>144</v>
      </c>
      <c r="U783" s="37"/>
      <c r="V783" s="37" t="s">
        <v>72</v>
      </c>
      <c r="W783" s="37" t="s">
        <v>89</v>
      </c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</row>
    <row r="784" spans="1:37">
      <c r="A784" s="37"/>
      <c r="B784" s="37"/>
      <c r="C784" s="37"/>
      <c r="D784" s="37" t="s">
        <v>473</v>
      </c>
      <c r="E784" s="37" t="s">
        <v>2638</v>
      </c>
      <c r="F784" s="37" t="s">
        <v>5526</v>
      </c>
      <c r="G784" s="37" t="s">
        <v>5523</v>
      </c>
      <c r="H784" s="37"/>
      <c r="I784" s="37" t="s">
        <v>691</v>
      </c>
      <c r="J784" s="37" t="s">
        <v>125</v>
      </c>
      <c r="K784" s="40" t="s">
        <v>1440</v>
      </c>
      <c r="L784" s="37" t="s">
        <v>64</v>
      </c>
      <c r="M784" s="37" t="s">
        <v>5524</v>
      </c>
      <c r="N784" s="37"/>
      <c r="O784" s="37" t="s">
        <v>1387</v>
      </c>
      <c r="P784" s="37" t="s">
        <v>202</v>
      </c>
      <c r="Q784" s="37" t="s">
        <v>126</v>
      </c>
      <c r="R784" s="37" t="s">
        <v>5525</v>
      </c>
      <c r="S784" s="37"/>
      <c r="T784" s="37" t="s">
        <v>158</v>
      </c>
      <c r="U784" s="37"/>
      <c r="V784" s="37" t="s">
        <v>72</v>
      </c>
      <c r="W784" s="37" t="s">
        <v>69</v>
      </c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</row>
    <row r="785" spans="1:37">
      <c r="A785" s="37"/>
      <c r="B785" s="37"/>
      <c r="C785" s="37"/>
      <c r="D785" s="37" t="s">
        <v>635</v>
      </c>
      <c r="E785" s="37" t="s">
        <v>5528</v>
      </c>
      <c r="F785" s="37" t="s">
        <v>5530</v>
      </c>
      <c r="G785" s="37" t="s">
        <v>235</v>
      </c>
      <c r="H785" s="37"/>
      <c r="I785" s="37" t="s">
        <v>191</v>
      </c>
      <c r="J785" s="37" t="s">
        <v>121</v>
      </c>
      <c r="K785" s="40" t="s">
        <v>192</v>
      </c>
      <c r="L785" s="37" t="s">
        <v>64</v>
      </c>
      <c r="M785" s="37" t="s">
        <v>5529</v>
      </c>
      <c r="N785" s="37"/>
      <c r="O785" s="37" t="s">
        <v>1387</v>
      </c>
      <c r="P785" s="37" t="s">
        <v>123</v>
      </c>
      <c r="Q785" s="37" t="s">
        <v>14</v>
      </c>
      <c r="R785" s="37"/>
      <c r="S785" s="37"/>
      <c r="T785" s="37" t="s">
        <v>66</v>
      </c>
      <c r="U785" s="37" t="s">
        <v>109</v>
      </c>
      <c r="V785" s="37" t="s">
        <v>72</v>
      </c>
      <c r="W785" s="37" t="s">
        <v>69</v>
      </c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</row>
    <row r="786" spans="1:37">
      <c r="A786" s="37"/>
      <c r="B786" s="37"/>
      <c r="C786" s="37"/>
      <c r="D786" s="37" t="s">
        <v>3474</v>
      </c>
      <c r="E786" s="37" t="s">
        <v>5493</v>
      </c>
      <c r="F786" s="37" t="s">
        <v>5495</v>
      </c>
      <c r="G786" s="37" t="s">
        <v>2949</v>
      </c>
      <c r="H786" s="37"/>
      <c r="I786" s="37" t="s">
        <v>82</v>
      </c>
      <c r="J786" s="37" t="s">
        <v>83</v>
      </c>
      <c r="K786" s="40" t="s">
        <v>1195</v>
      </c>
      <c r="L786" s="37" t="s">
        <v>64</v>
      </c>
      <c r="M786" s="37" t="s">
        <v>5494</v>
      </c>
      <c r="N786" s="37"/>
      <c r="O786" s="37" t="s">
        <v>1387</v>
      </c>
      <c r="P786" s="37" t="s">
        <v>513</v>
      </c>
      <c r="Q786" s="37" t="s">
        <v>14</v>
      </c>
      <c r="R786" s="37"/>
      <c r="S786" s="37"/>
      <c r="T786" s="37"/>
      <c r="U786" s="37" t="s">
        <v>109</v>
      </c>
      <c r="V786" s="37" t="s">
        <v>72</v>
      </c>
      <c r="W786" s="37" t="s">
        <v>89</v>
      </c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</row>
    <row r="787" spans="1:37">
      <c r="A787" s="37"/>
      <c r="B787" s="37"/>
      <c r="C787" s="37"/>
      <c r="D787" s="37" t="s">
        <v>5711</v>
      </c>
      <c r="E787" s="37" t="s">
        <v>5712</v>
      </c>
      <c r="F787" s="37" t="s">
        <v>5715</v>
      </c>
      <c r="G787" s="37" t="s">
        <v>5713</v>
      </c>
      <c r="H787" s="37"/>
      <c r="I787" s="37" t="s">
        <v>691</v>
      </c>
      <c r="J787" s="37" t="s">
        <v>125</v>
      </c>
      <c r="K787" s="40" t="s">
        <v>1440</v>
      </c>
      <c r="L787" s="37" t="s">
        <v>64</v>
      </c>
      <c r="M787" s="37" t="s">
        <v>5714</v>
      </c>
      <c r="N787" s="37"/>
      <c r="O787" s="37" t="s">
        <v>1387</v>
      </c>
      <c r="P787" s="37" t="s">
        <v>221</v>
      </c>
      <c r="Q787" s="37" t="s">
        <v>126</v>
      </c>
      <c r="R787" s="37"/>
      <c r="S787" s="37"/>
      <c r="T787" s="37"/>
      <c r="U787" s="37"/>
      <c r="V787" s="37" t="s">
        <v>72</v>
      </c>
      <c r="W787" s="37" t="s">
        <v>73</v>
      </c>
      <c r="X787" s="25"/>
      <c r="Y787" s="25"/>
      <c r="Z787" s="25"/>
      <c r="AA787" s="25"/>
      <c r="AB787" s="25"/>
      <c r="AC787" s="25"/>
      <c r="AD787" s="25"/>
      <c r="AE787" s="25"/>
      <c r="AF787" s="26"/>
      <c r="AG787" s="25"/>
      <c r="AH787" s="25"/>
      <c r="AI787" s="25"/>
      <c r="AJ787" s="25"/>
      <c r="AK787" s="25"/>
    </row>
    <row r="788" spans="1:37">
      <c r="A788" s="37"/>
      <c r="B788" s="37"/>
      <c r="C788" s="37"/>
      <c r="D788" s="37" t="s">
        <v>695</v>
      </c>
      <c r="E788" s="37" t="s">
        <v>696</v>
      </c>
      <c r="F788" s="37" t="s">
        <v>700</v>
      </c>
      <c r="G788" s="37" t="s">
        <v>697</v>
      </c>
      <c r="H788" s="37"/>
      <c r="I788" s="37" t="s">
        <v>420</v>
      </c>
      <c r="J788" s="37" t="s">
        <v>75</v>
      </c>
      <c r="K788" s="40" t="s">
        <v>698</v>
      </c>
      <c r="L788" s="37" t="s">
        <v>64</v>
      </c>
      <c r="M788" s="37" t="s">
        <v>699</v>
      </c>
      <c r="N788" s="37"/>
      <c r="O788" s="37" t="s">
        <v>1387</v>
      </c>
      <c r="P788" s="37" t="s">
        <v>221</v>
      </c>
      <c r="Q788" s="37" t="s">
        <v>10</v>
      </c>
      <c r="R788" s="37"/>
      <c r="S788" s="37"/>
      <c r="T788" s="37"/>
      <c r="U788" s="37" t="s">
        <v>145</v>
      </c>
      <c r="V788" s="37" t="s">
        <v>72</v>
      </c>
      <c r="W788" s="37" t="s">
        <v>204</v>
      </c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</row>
    <row r="789" spans="1:37">
      <c r="A789" s="37"/>
      <c r="B789" s="37"/>
      <c r="C789" s="37"/>
      <c r="D789" s="37" t="s">
        <v>6194</v>
      </c>
      <c r="E789" s="37" t="s">
        <v>6195</v>
      </c>
      <c r="F789" s="37" t="s">
        <v>6196</v>
      </c>
      <c r="G789" s="37" t="s">
        <v>6197</v>
      </c>
      <c r="H789" s="37"/>
      <c r="I789" s="37" t="s">
        <v>420</v>
      </c>
      <c r="J789" s="37" t="s">
        <v>75</v>
      </c>
      <c r="K789" s="40" t="s">
        <v>451</v>
      </c>
      <c r="L789" s="37" t="s">
        <v>64</v>
      </c>
      <c r="M789" s="37" t="s">
        <v>6198</v>
      </c>
      <c r="N789" s="37"/>
      <c r="O789" s="37" t="s">
        <v>1387</v>
      </c>
      <c r="P789" s="37" t="s">
        <v>123</v>
      </c>
      <c r="Q789" s="37" t="s">
        <v>10</v>
      </c>
      <c r="R789" s="37"/>
      <c r="S789" s="37"/>
      <c r="T789" s="37"/>
      <c r="U789" s="37"/>
      <c r="V789" s="37" t="s">
        <v>72</v>
      </c>
      <c r="W789" s="37" t="s">
        <v>261</v>
      </c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</row>
    <row r="790" spans="1:37">
      <c r="A790" s="37"/>
      <c r="B790" s="37"/>
      <c r="C790" s="37"/>
      <c r="D790" s="37" t="s">
        <v>2440</v>
      </c>
      <c r="E790" s="37" t="s">
        <v>6199</v>
      </c>
      <c r="F790" s="37" t="s">
        <v>6200</v>
      </c>
      <c r="G790" s="37" t="s">
        <v>1076</v>
      </c>
      <c r="H790" s="37"/>
      <c r="I790" s="37" t="s">
        <v>420</v>
      </c>
      <c r="J790" s="37" t="s">
        <v>75</v>
      </c>
      <c r="K790" s="40" t="s">
        <v>451</v>
      </c>
      <c r="L790" s="37" t="s">
        <v>64</v>
      </c>
      <c r="M790" s="37" t="s">
        <v>6201</v>
      </c>
      <c r="N790" s="37"/>
      <c r="O790" s="37" t="s">
        <v>1387</v>
      </c>
      <c r="P790" s="37" t="s">
        <v>123</v>
      </c>
      <c r="Q790" s="37" t="s">
        <v>10</v>
      </c>
      <c r="R790" s="37"/>
      <c r="S790" s="37"/>
      <c r="T790" s="37" t="s">
        <v>69</v>
      </c>
      <c r="U790" s="37"/>
      <c r="V790" s="37" t="s">
        <v>72</v>
      </c>
      <c r="W790" s="37" t="s">
        <v>261</v>
      </c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</row>
    <row r="791" spans="1:37">
      <c r="A791" s="37"/>
      <c r="B791" s="37"/>
      <c r="C791" s="37"/>
      <c r="D791" s="37" t="s">
        <v>484</v>
      </c>
      <c r="E791" s="37" t="s">
        <v>5327</v>
      </c>
      <c r="F791" s="37" t="s">
        <v>5330</v>
      </c>
      <c r="G791" s="37" t="s">
        <v>5328</v>
      </c>
      <c r="H791" s="37"/>
      <c r="I791" s="37" t="s">
        <v>82</v>
      </c>
      <c r="J791" s="37" t="s">
        <v>83</v>
      </c>
      <c r="K791" s="40" t="s">
        <v>220</v>
      </c>
      <c r="L791" s="37" t="s">
        <v>64</v>
      </c>
      <c r="M791" s="37" t="s">
        <v>5329</v>
      </c>
      <c r="N791" s="37"/>
      <c r="O791" s="37" t="s">
        <v>1387</v>
      </c>
      <c r="P791" s="37" t="s">
        <v>513</v>
      </c>
      <c r="Q791" s="37" t="s">
        <v>14</v>
      </c>
      <c r="R791" s="37"/>
      <c r="S791" s="37"/>
      <c r="T791" s="37"/>
      <c r="U791" s="37"/>
      <c r="V791" s="37" t="s">
        <v>72</v>
      </c>
      <c r="W791" s="37" t="s">
        <v>576</v>
      </c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</row>
    <row r="792" spans="1:37">
      <c r="A792" s="37" t="s">
        <v>1194</v>
      </c>
      <c r="B792" s="37"/>
      <c r="C792" s="37"/>
      <c r="D792" s="37" t="s">
        <v>955</v>
      </c>
      <c r="E792" s="37" t="s">
        <v>6202</v>
      </c>
      <c r="F792" s="37" t="s">
        <v>6203</v>
      </c>
      <c r="G792" s="37" t="s">
        <v>6204</v>
      </c>
      <c r="H792" s="37"/>
      <c r="I792" s="37" t="s">
        <v>420</v>
      </c>
      <c r="J792" s="37" t="s">
        <v>75</v>
      </c>
      <c r="K792" s="40" t="s">
        <v>6205</v>
      </c>
      <c r="L792" s="37" t="s">
        <v>64</v>
      </c>
      <c r="M792" s="37" t="s">
        <v>6206</v>
      </c>
      <c r="N792" s="37"/>
      <c r="O792" s="37" t="s">
        <v>1387</v>
      </c>
      <c r="P792" s="37" t="s">
        <v>123</v>
      </c>
      <c r="Q792" s="37" t="s">
        <v>10</v>
      </c>
      <c r="R792" s="37"/>
      <c r="S792" s="37"/>
      <c r="T792" s="37" t="s">
        <v>66</v>
      </c>
      <c r="U792" s="37" t="s">
        <v>185</v>
      </c>
      <c r="V792" s="37" t="s">
        <v>77</v>
      </c>
      <c r="W792" s="37" t="s">
        <v>261</v>
      </c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</row>
    <row r="793" spans="1:37">
      <c r="A793" s="37"/>
      <c r="B793" s="37"/>
      <c r="C793" s="37"/>
      <c r="D793" s="37" t="s">
        <v>742</v>
      </c>
      <c r="E793" s="37" t="s">
        <v>4158</v>
      </c>
      <c r="F793" s="37" t="s">
        <v>4161</v>
      </c>
      <c r="G793" s="37" t="s">
        <v>4159</v>
      </c>
      <c r="H793" s="37"/>
      <c r="I793" s="37" t="s">
        <v>276</v>
      </c>
      <c r="J793" s="37" t="s">
        <v>70</v>
      </c>
      <c r="K793" s="40" t="s">
        <v>277</v>
      </c>
      <c r="L793" s="37" t="s">
        <v>64</v>
      </c>
      <c r="M793" s="37" t="s">
        <v>4160</v>
      </c>
      <c r="N793" s="37"/>
      <c r="O793" s="37" t="s">
        <v>1387</v>
      </c>
      <c r="P793" s="37" t="s">
        <v>123</v>
      </c>
      <c r="Q793" s="37" t="s">
        <v>71</v>
      </c>
      <c r="R793" s="37"/>
      <c r="S793" s="37"/>
      <c r="T793" s="37"/>
      <c r="U793" s="37"/>
      <c r="V793" s="37" t="s">
        <v>72</v>
      </c>
      <c r="W793" s="37" t="s">
        <v>195</v>
      </c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</row>
    <row r="794" spans="1:37">
      <c r="A794" s="37"/>
      <c r="B794" s="37"/>
      <c r="C794" s="37"/>
      <c r="D794" s="37" t="s">
        <v>4885</v>
      </c>
      <c r="E794" s="37" t="s">
        <v>5224</v>
      </c>
      <c r="F794" s="37" t="s">
        <v>5228</v>
      </c>
      <c r="G794" s="37" t="s">
        <v>5225</v>
      </c>
      <c r="H794" s="37"/>
      <c r="I794" s="37" t="s">
        <v>1868</v>
      </c>
      <c r="J794" s="37" t="s">
        <v>474</v>
      </c>
      <c r="K794" s="40" t="s">
        <v>1981</v>
      </c>
      <c r="L794" s="37" t="s">
        <v>64</v>
      </c>
      <c r="M794" s="37" t="s">
        <v>5226</v>
      </c>
      <c r="N794" s="37" t="s">
        <v>5227</v>
      </c>
      <c r="O794" s="37" t="s">
        <v>1387</v>
      </c>
      <c r="P794" s="37" t="s">
        <v>123</v>
      </c>
      <c r="Q794" s="37" t="s">
        <v>316</v>
      </c>
      <c r="R794" s="37"/>
      <c r="S794" s="37"/>
      <c r="T794" s="37" t="s">
        <v>69</v>
      </c>
      <c r="U794" s="37" t="s">
        <v>87</v>
      </c>
      <c r="V794" s="37" t="s">
        <v>77</v>
      </c>
      <c r="W794" s="37" t="s">
        <v>69</v>
      </c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</row>
    <row r="795" spans="1:37">
      <c r="A795" s="37" t="s">
        <v>112</v>
      </c>
      <c r="B795" s="37"/>
      <c r="C795" s="37"/>
      <c r="D795" s="37" t="s">
        <v>1813</v>
      </c>
      <c r="E795" s="37" t="s">
        <v>5618</v>
      </c>
      <c r="F795" s="37" t="s">
        <v>5621</v>
      </c>
      <c r="G795" s="37" t="s">
        <v>5619</v>
      </c>
      <c r="H795" s="37"/>
      <c r="I795" s="37" t="s">
        <v>82</v>
      </c>
      <c r="J795" s="37" t="s">
        <v>83</v>
      </c>
      <c r="K795" s="40" t="s">
        <v>1195</v>
      </c>
      <c r="L795" s="37" t="s">
        <v>64</v>
      </c>
      <c r="M795" s="37" t="s">
        <v>5620</v>
      </c>
      <c r="N795" s="37"/>
      <c r="O795" s="37" t="s">
        <v>1387</v>
      </c>
      <c r="P795" s="37" t="s">
        <v>513</v>
      </c>
      <c r="Q795" s="37" t="s">
        <v>14</v>
      </c>
      <c r="R795" s="37"/>
      <c r="S795" s="37"/>
      <c r="T795" s="37" t="s">
        <v>66</v>
      </c>
      <c r="U795" s="37" t="s">
        <v>254</v>
      </c>
      <c r="V795" s="37" t="s">
        <v>72</v>
      </c>
      <c r="W795" s="37" t="s">
        <v>69</v>
      </c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</row>
    <row r="796" spans="1:37">
      <c r="A796" s="37"/>
      <c r="B796" s="37"/>
      <c r="C796" s="37"/>
      <c r="D796" s="37" t="s">
        <v>286</v>
      </c>
      <c r="E796" s="37" t="s">
        <v>6207</v>
      </c>
      <c r="F796" s="37" t="s">
        <v>6208</v>
      </c>
      <c r="G796" s="37" t="s">
        <v>6209</v>
      </c>
      <c r="H796" s="37"/>
      <c r="I796" s="37" t="s">
        <v>82</v>
      </c>
      <c r="J796" s="37" t="s">
        <v>83</v>
      </c>
      <c r="K796" s="40" t="s">
        <v>1014</v>
      </c>
      <c r="L796" s="37" t="s">
        <v>64</v>
      </c>
      <c r="M796" s="37" t="s">
        <v>3112</v>
      </c>
      <c r="N796" s="37"/>
      <c r="O796" s="37" t="s">
        <v>1387</v>
      </c>
      <c r="P796" s="37" t="s">
        <v>513</v>
      </c>
      <c r="Q796" s="37" t="s">
        <v>71</v>
      </c>
      <c r="R796" s="37"/>
      <c r="S796" s="37"/>
      <c r="T796" s="37" t="s">
        <v>158</v>
      </c>
      <c r="U796" s="37" t="s">
        <v>971</v>
      </c>
      <c r="V796" s="37" t="s">
        <v>72</v>
      </c>
      <c r="W796" s="37" t="s">
        <v>89</v>
      </c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</row>
    <row r="797" spans="1:37">
      <c r="A797" s="37"/>
      <c r="B797" s="37"/>
      <c r="C797" s="37"/>
      <c r="D797" s="37" t="s">
        <v>799</v>
      </c>
      <c r="E797" s="37" t="s">
        <v>5132</v>
      </c>
      <c r="F797" s="37" t="s">
        <v>5137</v>
      </c>
      <c r="G797" s="37" t="s">
        <v>5133</v>
      </c>
      <c r="H797" s="37" t="s">
        <v>5134</v>
      </c>
      <c r="I797" s="37" t="s">
        <v>312</v>
      </c>
      <c r="J797" s="37" t="s">
        <v>313</v>
      </c>
      <c r="K797" s="40" t="s">
        <v>314</v>
      </c>
      <c r="L797" s="37" t="s">
        <v>64</v>
      </c>
      <c r="M797" s="37" t="s">
        <v>5135</v>
      </c>
      <c r="N797" s="37" t="s">
        <v>5136</v>
      </c>
      <c r="O797" s="37" t="s">
        <v>1387</v>
      </c>
      <c r="P797" s="37" t="s">
        <v>123</v>
      </c>
      <c r="Q797" s="37" t="s">
        <v>316</v>
      </c>
      <c r="R797" s="37"/>
      <c r="S797" s="37"/>
      <c r="T797" s="37" t="s">
        <v>69</v>
      </c>
      <c r="U797" s="37" t="s">
        <v>87</v>
      </c>
      <c r="V797" s="37" t="s">
        <v>72</v>
      </c>
      <c r="W797" s="37" t="s">
        <v>69</v>
      </c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</row>
    <row r="798" spans="1:37">
      <c r="A798" s="37"/>
      <c r="B798" s="37" t="s">
        <v>1387</v>
      </c>
      <c r="C798" s="37"/>
      <c r="D798" s="37" t="s">
        <v>742</v>
      </c>
      <c r="E798" s="37" t="s">
        <v>6210</v>
      </c>
      <c r="F798" s="37"/>
      <c r="G798" s="37" t="s">
        <v>6211</v>
      </c>
      <c r="H798" s="37"/>
      <c r="I798" s="37" t="s">
        <v>6211</v>
      </c>
      <c r="J798" s="37" t="s">
        <v>93</v>
      </c>
      <c r="K798" s="40" t="s">
        <v>6211</v>
      </c>
      <c r="L798" s="37" t="s">
        <v>64</v>
      </c>
      <c r="M798" s="37" t="s">
        <v>6211</v>
      </c>
      <c r="N798" s="37"/>
      <c r="O798" s="37" t="s">
        <v>1387</v>
      </c>
      <c r="P798" s="37" t="s">
        <v>513</v>
      </c>
      <c r="Q798" s="37" t="s">
        <v>98</v>
      </c>
      <c r="R798" s="37"/>
      <c r="S798" s="37"/>
      <c r="T798" s="37"/>
      <c r="U798" s="37"/>
      <c r="V798" s="37" t="s">
        <v>72</v>
      </c>
      <c r="W798" s="37" t="s">
        <v>69</v>
      </c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</row>
    <row r="799" spans="1:37">
      <c r="A799" s="37" t="s">
        <v>164</v>
      </c>
      <c r="B799" s="37"/>
      <c r="C799" s="37"/>
      <c r="D799" s="37" t="s">
        <v>448</v>
      </c>
      <c r="E799" s="37" t="s">
        <v>6212</v>
      </c>
      <c r="F799" s="37" t="s">
        <v>6213</v>
      </c>
      <c r="G799" s="37" t="s">
        <v>6214</v>
      </c>
      <c r="H799" s="37" t="s">
        <v>5501</v>
      </c>
      <c r="I799" s="37" t="s">
        <v>82</v>
      </c>
      <c r="J799" s="37" t="s">
        <v>83</v>
      </c>
      <c r="K799" s="40" t="s">
        <v>1014</v>
      </c>
      <c r="L799" s="37" t="s">
        <v>64</v>
      </c>
      <c r="M799" s="37" t="s">
        <v>6215</v>
      </c>
      <c r="N799" s="37"/>
      <c r="O799" s="37" t="s">
        <v>1387</v>
      </c>
      <c r="P799" s="37" t="s">
        <v>513</v>
      </c>
      <c r="Q799" s="37" t="s">
        <v>71</v>
      </c>
      <c r="R799" s="37"/>
      <c r="S799" s="37"/>
      <c r="T799" s="37" t="s">
        <v>115</v>
      </c>
      <c r="U799" s="37" t="s">
        <v>87</v>
      </c>
      <c r="V799" s="37" t="s">
        <v>118</v>
      </c>
      <c r="W799" s="37" t="s">
        <v>110</v>
      </c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</row>
    <row r="800" spans="1:37">
      <c r="A800" s="37"/>
      <c r="B800" s="37"/>
      <c r="C800" s="37"/>
      <c r="D800" s="37" t="s">
        <v>2718</v>
      </c>
      <c r="E800" s="37" t="s">
        <v>6216</v>
      </c>
      <c r="F800" s="37" t="s">
        <v>6217</v>
      </c>
      <c r="G800" s="37" t="s">
        <v>6218</v>
      </c>
      <c r="H800" s="37"/>
      <c r="I800" s="37" t="s">
        <v>420</v>
      </c>
      <c r="J800" s="37" t="s">
        <v>75</v>
      </c>
      <c r="K800" s="40" t="s">
        <v>451</v>
      </c>
      <c r="L800" s="37" t="s">
        <v>64</v>
      </c>
      <c r="M800" s="37" t="s">
        <v>6219</v>
      </c>
      <c r="N800" s="37"/>
      <c r="O800" s="37" t="s">
        <v>1387</v>
      </c>
      <c r="P800" s="37" t="s">
        <v>202</v>
      </c>
      <c r="Q800" s="37" t="s">
        <v>10</v>
      </c>
      <c r="R800" s="37"/>
      <c r="S800" s="37"/>
      <c r="T800" s="37"/>
      <c r="U800" s="37" t="s">
        <v>145</v>
      </c>
      <c r="V800" s="37" t="s">
        <v>67</v>
      </c>
      <c r="W800" s="37" t="s">
        <v>261</v>
      </c>
      <c r="X800" s="25"/>
      <c r="Y800" s="25"/>
      <c r="Z800" s="25"/>
      <c r="AA800" s="25"/>
      <c r="AB800" s="25"/>
      <c r="AC800" s="25"/>
      <c r="AD800" s="25"/>
      <c r="AE800" s="25"/>
      <c r="AF800" s="26"/>
      <c r="AG800" s="25"/>
      <c r="AH800" s="25"/>
      <c r="AI800" s="25"/>
      <c r="AJ800" s="25"/>
      <c r="AK800" s="25"/>
    </row>
    <row r="801" spans="1:37">
      <c r="A801" s="37" t="s">
        <v>4750</v>
      </c>
      <c r="B801" s="37"/>
      <c r="C801" s="37"/>
      <c r="D801" s="37" t="s">
        <v>1423</v>
      </c>
      <c r="E801" s="37" t="s">
        <v>2087</v>
      </c>
      <c r="F801" s="37" t="s">
        <v>4755</v>
      </c>
      <c r="G801" s="37" t="s">
        <v>4751</v>
      </c>
      <c r="H801" s="37"/>
      <c r="I801" s="37" t="s">
        <v>4752</v>
      </c>
      <c r="J801" s="37" t="s">
        <v>208</v>
      </c>
      <c r="K801" s="40" t="s">
        <v>4753</v>
      </c>
      <c r="L801" s="37" t="s">
        <v>64</v>
      </c>
      <c r="M801" s="37" t="s">
        <v>4754</v>
      </c>
      <c r="N801" s="37"/>
      <c r="O801" s="37" t="s">
        <v>1387</v>
      </c>
      <c r="P801" s="37" t="s">
        <v>123</v>
      </c>
      <c r="Q801" s="37" t="s">
        <v>18</v>
      </c>
      <c r="R801" s="37"/>
      <c r="S801" s="37"/>
      <c r="T801" s="37" t="s">
        <v>115</v>
      </c>
      <c r="U801" s="37" t="s">
        <v>145</v>
      </c>
      <c r="V801" s="37" t="s">
        <v>72</v>
      </c>
      <c r="W801" s="37" t="s">
        <v>73</v>
      </c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</row>
    <row r="802" spans="1:37">
      <c r="A802" s="37"/>
      <c r="B802" s="37"/>
      <c r="C802" s="37"/>
      <c r="D802" s="37" t="s">
        <v>1823</v>
      </c>
      <c r="E802" s="37" t="s">
        <v>3794</v>
      </c>
      <c r="F802" s="37" t="s">
        <v>5533</v>
      </c>
      <c r="G802" s="37" t="s">
        <v>2949</v>
      </c>
      <c r="H802" s="37" t="s">
        <v>5531</v>
      </c>
      <c r="I802" s="37" t="s">
        <v>82</v>
      </c>
      <c r="J802" s="37" t="s">
        <v>83</v>
      </c>
      <c r="K802" s="40" t="s">
        <v>1195</v>
      </c>
      <c r="L802" s="37" t="s">
        <v>64</v>
      </c>
      <c r="M802" s="37" t="s">
        <v>5532</v>
      </c>
      <c r="N802" s="37"/>
      <c r="O802" s="37" t="s">
        <v>1387</v>
      </c>
      <c r="P802" s="37" t="s">
        <v>513</v>
      </c>
      <c r="Q802" s="37" t="s">
        <v>14</v>
      </c>
      <c r="R802" s="37"/>
      <c r="S802" s="37"/>
      <c r="T802" s="37" t="s">
        <v>66</v>
      </c>
      <c r="U802" s="37" t="s">
        <v>109</v>
      </c>
      <c r="V802" s="37" t="s">
        <v>72</v>
      </c>
      <c r="W802" s="37" t="s">
        <v>348</v>
      </c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</row>
    <row r="803" spans="1:37">
      <c r="A803" s="37" t="s">
        <v>1317</v>
      </c>
      <c r="B803" s="37"/>
      <c r="C803" s="37"/>
      <c r="D803" s="37" t="s">
        <v>1479</v>
      </c>
      <c r="E803" s="37" t="s">
        <v>5053</v>
      </c>
      <c r="F803" s="37" t="s">
        <v>5056</v>
      </c>
      <c r="G803" s="37" t="s">
        <v>5054</v>
      </c>
      <c r="H803" s="37"/>
      <c r="I803" s="37" t="s">
        <v>82</v>
      </c>
      <c r="J803" s="37" t="s">
        <v>83</v>
      </c>
      <c r="K803" s="40" t="s">
        <v>220</v>
      </c>
      <c r="L803" s="37" t="s">
        <v>64</v>
      </c>
      <c r="M803" s="37" t="s">
        <v>5055</v>
      </c>
      <c r="N803" s="37"/>
      <c r="O803" s="37" t="s">
        <v>1387</v>
      </c>
      <c r="P803" s="37" t="s">
        <v>221</v>
      </c>
      <c r="Q803" s="37" t="s">
        <v>14</v>
      </c>
      <c r="R803" s="37"/>
      <c r="S803" s="37"/>
      <c r="T803" s="37" t="s">
        <v>66</v>
      </c>
      <c r="U803" s="37" t="s">
        <v>109</v>
      </c>
      <c r="V803" s="37" t="s">
        <v>72</v>
      </c>
      <c r="W803" s="37" t="s">
        <v>135</v>
      </c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</row>
    <row r="804" spans="1:37">
      <c r="A804" s="37"/>
      <c r="B804" s="37"/>
      <c r="C804" s="37"/>
      <c r="D804" s="37" t="s">
        <v>1368</v>
      </c>
      <c r="E804" s="37" t="s">
        <v>3160</v>
      </c>
      <c r="F804" s="37" t="s">
        <v>3165</v>
      </c>
      <c r="G804" s="37" t="s">
        <v>3161</v>
      </c>
      <c r="H804" s="37" t="s">
        <v>3162</v>
      </c>
      <c r="I804" s="37" t="s">
        <v>92</v>
      </c>
      <c r="J804" s="37" t="s">
        <v>93</v>
      </c>
      <c r="K804" s="40" t="s">
        <v>3163</v>
      </c>
      <c r="L804" s="37" t="s">
        <v>64</v>
      </c>
      <c r="M804" s="37" t="s">
        <v>3164</v>
      </c>
      <c r="N804" s="37"/>
      <c r="O804" s="37" t="s">
        <v>6220</v>
      </c>
      <c r="P804" s="37" t="s">
        <v>2666</v>
      </c>
      <c r="Q804" s="37" t="s">
        <v>98</v>
      </c>
      <c r="R804" s="37"/>
      <c r="S804" s="37"/>
      <c r="T804" s="37" t="s">
        <v>144</v>
      </c>
      <c r="U804" s="37" t="s">
        <v>87</v>
      </c>
      <c r="V804" s="37" t="s">
        <v>72</v>
      </c>
      <c r="W804" s="37" t="s">
        <v>89</v>
      </c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</row>
    <row r="805" spans="1:37">
      <c r="A805" s="37"/>
      <c r="B805" s="37"/>
      <c r="C805" s="37"/>
      <c r="D805" s="37" t="s">
        <v>399</v>
      </c>
      <c r="E805" s="37" t="s">
        <v>400</v>
      </c>
      <c r="F805" s="37" t="s">
        <v>405</v>
      </c>
      <c r="G805" s="37" t="s">
        <v>6221</v>
      </c>
      <c r="H805" s="37" t="s">
        <v>6222</v>
      </c>
      <c r="I805" s="37" t="s">
        <v>401</v>
      </c>
      <c r="J805" s="37" t="s">
        <v>208</v>
      </c>
      <c r="K805" s="40" t="s">
        <v>402</v>
      </c>
      <c r="L805" s="37" t="s">
        <v>64</v>
      </c>
      <c r="M805" s="37" t="s">
        <v>403</v>
      </c>
      <c r="N805" s="37"/>
      <c r="O805" s="37" t="s">
        <v>6220</v>
      </c>
      <c r="P805" s="37" t="s">
        <v>404</v>
      </c>
      <c r="Q805" s="37" t="s">
        <v>18</v>
      </c>
      <c r="R805" s="37"/>
      <c r="S805" s="37"/>
      <c r="T805" s="37"/>
      <c r="U805" s="37" t="s">
        <v>185</v>
      </c>
      <c r="V805" s="37" t="s">
        <v>77</v>
      </c>
      <c r="W805" s="37" t="s">
        <v>99</v>
      </c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</row>
    <row r="806" spans="1:37">
      <c r="A806" s="37"/>
      <c r="B806" s="37"/>
      <c r="C806" s="37"/>
      <c r="D806" s="37" t="s">
        <v>4290</v>
      </c>
      <c r="E806" s="37" t="s">
        <v>4291</v>
      </c>
      <c r="F806" s="37" t="s">
        <v>4298</v>
      </c>
      <c r="G806" s="37" t="s">
        <v>4292</v>
      </c>
      <c r="H806" s="37" t="s">
        <v>4293</v>
      </c>
      <c r="I806" s="37" t="s">
        <v>1318</v>
      </c>
      <c r="J806" s="37" t="s">
        <v>83</v>
      </c>
      <c r="K806" s="40" t="s">
        <v>4294</v>
      </c>
      <c r="L806" s="37" t="s">
        <v>64</v>
      </c>
      <c r="M806" s="37" t="s">
        <v>4295</v>
      </c>
      <c r="N806" s="37" t="s">
        <v>4296</v>
      </c>
      <c r="O806" s="37" t="s">
        <v>6220</v>
      </c>
      <c r="P806" s="37" t="s">
        <v>260</v>
      </c>
      <c r="Q806" s="37" t="s">
        <v>14</v>
      </c>
      <c r="R806" s="37" t="s">
        <v>4297</v>
      </c>
      <c r="S806" s="37" t="s">
        <v>5462</v>
      </c>
      <c r="T806" s="37" t="s">
        <v>115</v>
      </c>
      <c r="U806" s="37" t="s">
        <v>254</v>
      </c>
      <c r="V806" s="37" t="s">
        <v>88</v>
      </c>
      <c r="W806" s="37" t="s">
        <v>99</v>
      </c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</row>
    <row r="807" spans="1:37">
      <c r="A807" s="37"/>
      <c r="B807" s="37"/>
      <c r="C807" s="37"/>
      <c r="D807" s="37" t="s">
        <v>768</v>
      </c>
      <c r="E807" s="37" t="s">
        <v>769</v>
      </c>
      <c r="F807" s="37" t="s">
        <v>774</v>
      </c>
      <c r="G807" s="37" t="s">
        <v>770</v>
      </c>
      <c r="H807" s="37"/>
      <c r="I807" s="37" t="s">
        <v>226</v>
      </c>
      <c r="J807" s="37" t="s">
        <v>214</v>
      </c>
      <c r="K807" s="40" t="s">
        <v>771</v>
      </c>
      <c r="L807" s="37" t="s">
        <v>64</v>
      </c>
      <c r="M807" s="37" t="s">
        <v>772</v>
      </c>
      <c r="N807" s="37" t="s">
        <v>773</v>
      </c>
      <c r="O807" s="37" t="s">
        <v>6220</v>
      </c>
      <c r="P807" s="37" t="s">
        <v>404</v>
      </c>
      <c r="Q807" s="37" t="s">
        <v>10</v>
      </c>
      <c r="R807" s="37"/>
      <c r="S807" s="37"/>
      <c r="T807" s="37" t="s">
        <v>69</v>
      </c>
      <c r="U807" s="37"/>
      <c r="V807" s="37" t="s">
        <v>77</v>
      </c>
      <c r="W807" s="37" t="s">
        <v>110</v>
      </c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</row>
    <row r="808" spans="1:37">
      <c r="A808" s="37"/>
      <c r="B808" s="37"/>
      <c r="C808" s="37"/>
      <c r="D808" s="37" t="s">
        <v>3725</v>
      </c>
      <c r="E808" s="37" t="s">
        <v>3726</v>
      </c>
      <c r="F808" s="37" t="s">
        <v>3732</v>
      </c>
      <c r="G808" s="37" t="s">
        <v>3727</v>
      </c>
      <c r="H808" s="37" t="s">
        <v>3728</v>
      </c>
      <c r="I808" s="37" t="s">
        <v>843</v>
      </c>
      <c r="J808" s="37" t="s">
        <v>75</v>
      </c>
      <c r="K808" s="40" t="s">
        <v>1330</v>
      </c>
      <c r="L808" s="37" t="s">
        <v>64</v>
      </c>
      <c r="M808" s="37" t="s">
        <v>3729</v>
      </c>
      <c r="N808" s="37" t="s">
        <v>3730</v>
      </c>
      <c r="O808" s="37" t="s">
        <v>6220</v>
      </c>
      <c r="P808" s="37" t="s">
        <v>260</v>
      </c>
      <c r="Q808" s="37" t="s">
        <v>10</v>
      </c>
      <c r="R808" s="37" t="s">
        <v>3731</v>
      </c>
      <c r="S808" s="37"/>
      <c r="T808" s="37" t="s">
        <v>69</v>
      </c>
      <c r="U808" s="37" t="s">
        <v>116</v>
      </c>
      <c r="V808" s="37" t="s">
        <v>72</v>
      </c>
      <c r="W808" s="37" t="s">
        <v>73</v>
      </c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</row>
    <row r="809" spans="1:37">
      <c r="A809" s="37"/>
      <c r="B809" s="37"/>
      <c r="C809" s="37"/>
      <c r="D809" s="37" t="s">
        <v>1235</v>
      </c>
      <c r="E809" s="37" t="s">
        <v>1232</v>
      </c>
      <c r="F809" s="37" t="s">
        <v>1240</v>
      </c>
      <c r="G809" s="37" t="s">
        <v>1236</v>
      </c>
      <c r="H809" s="37"/>
      <c r="I809" s="37" t="s">
        <v>226</v>
      </c>
      <c r="J809" s="37" t="s">
        <v>214</v>
      </c>
      <c r="K809" s="40" t="s">
        <v>1237</v>
      </c>
      <c r="L809" s="37" t="s">
        <v>64</v>
      </c>
      <c r="M809" s="37" t="s">
        <v>1238</v>
      </c>
      <c r="N809" s="37" t="s">
        <v>1239</v>
      </c>
      <c r="O809" s="37" t="s">
        <v>6220</v>
      </c>
      <c r="P809" s="37" t="s">
        <v>404</v>
      </c>
      <c r="Q809" s="37" t="s">
        <v>10</v>
      </c>
      <c r="R809" s="37"/>
      <c r="S809" s="37"/>
      <c r="T809" s="37" t="s">
        <v>69</v>
      </c>
      <c r="U809" s="37" t="s">
        <v>189</v>
      </c>
      <c r="V809" s="37" t="s">
        <v>72</v>
      </c>
      <c r="W809" s="37" t="s">
        <v>73</v>
      </c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</row>
    <row r="810" spans="1:37">
      <c r="A810" s="37"/>
      <c r="B810" s="37"/>
      <c r="C810" s="37"/>
      <c r="D810" s="37" t="s">
        <v>1568</v>
      </c>
      <c r="E810" s="37" t="s">
        <v>1569</v>
      </c>
      <c r="F810" s="37" t="s">
        <v>1572</v>
      </c>
      <c r="G810" s="37" t="s">
        <v>1570</v>
      </c>
      <c r="H810" s="37"/>
      <c r="I810" s="37" t="s">
        <v>226</v>
      </c>
      <c r="J810" s="37" t="s">
        <v>214</v>
      </c>
      <c r="K810" s="40" t="s">
        <v>1237</v>
      </c>
      <c r="L810" s="37" t="s">
        <v>64</v>
      </c>
      <c r="M810" s="37" t="s">
        <v>1571</v>
      </c>
      <c r="N810" s="37"/>
      <c r="O810" s="37" t="s">
        <v>6220</v>
      </c>
      <c r="P810" s="37" t="s">
        <v>404</v>
      </c>
      <c r="Q810" s="37" t="s">
        <v>10</v>
      </c>
      <c r="R810" s="37"/>
      <c r="S810" s="37"/>
      <c r="T810" s="37"/>
      <c r="U810" s="37"/>
      <c r="V810" s="37" t="s">
        <v>72</v>
      </c>
      <c r="W810" s="37" t="s">
        <v>69</v>
      </c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</row>
    <row r="811" spans="1:37">
      <c r="A811" s="37"/>
      <c r="B811" s="37"/>
      <c r="C811" s="37"/>
      <c r="D811" s="37" t="s">
        <v>3965</v>
      </c>
      <c r="E811" s="37" t="s">
        <v>3966</v>
      </c>
      <c r="F811" s="37" t="s">
        <v>3970</v>
      </c>
      <c r="G811" s="37" t="s">
        <v>2835</v>
      </c>
      <c r="H811" s="37" t="s">
        <v>3967</v>
      </c>
      <c r="I811" s="37" t="s">
        <v>639</v>
      </c>
      <c r="J811" s="37" t="s">
        <v>105</v>
      </c>
      <c r="K811" s="40" t="s">
        <v>2837</v>
      </c>
      <c r="L811" s="37" t="s">
        <v>64</v>
      </c>
      <c r="M811" s="37" t="s">
        <v>3968</v>
      </c>
      <c r="N811" s="37"/>
      <c r="O811" s="37" t="s">
        <v>6220</v>
      </c>
      <c r="P811" s="37" t="s">
        <v>260</v>
      </c>
      <c r="Q811" s="37" t="s">
        <v>14</v>
      </c>
      <c r="R811" s="37" t="s">
        <v>3969</v>
      </c>
      <c r="S811" s="37"/>
      <c r="T811" s="37"/>
      <c r="U811" s="37"/>
      <c r="V811" s="37" t="s">
        <v>118</v>
      </c>
      <c r="W811" s="37" t="s">
        <v>756</v>
      </c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</row>
    <row r="812" spans="1:37">
      <c r="A812" s="37"/>
      <c r="B812" s="37"/>
      <c r="C812" s="37"/>
      <c r="D812" s="37" t="s">
        <v>1083</v>
      </c>
      <c r="E812" s="37" t="s">
        <v>2979</v>
      </c>
      <c r="F812" s="37" t="s">
        <v>2985</v>
      </c>
      <c r="G812" s="37" t="s">
        <v>2980</v>
      </c>
      <c r="H812" s="37"/>
      <c r="I812" s="37" t="s">
        <v>2981</v>
      </c>
      <c r="J812" s="37" t="s">
        <v>162</v>
      </c>
      <c r="K812" s="40" t="s">
        <v>2982</v>
      </c>
      <c r="L812" s="37" t="s">
        <v>64</v>
      </c>
      <c r="M812" s="37" t="s">
        <v>2983</v>
      </c>
      <c r="N812" s="37" t="s">
        <v>2984</v>
      </c>
      <c r="O812" s="37" t="s">
        <v>6220</v>
      </c>
      <c r="P812" s="37" t="s">
        <v>404</v>
      </c>
      <c r="Q812" s="37" t="s">
        <v>16</v>
      </c>
      <c r="R812" s="37"/>
      <c r="S812" s="37"/>
      <c r="T812" s="37" t="s">
        <v>69</v>
      </c>
      <c r="U812" s="37" t="s">
        <v>145</v>
      </c>
      <c r="V812" s="37" t="s">
        <v>72</v>
      </c>
      <c r="W812" s="37" t="s">
        <v>110</v>
      </c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</row>
    <row r="813" spans="1:37">
      <c r="A813" s="37" t="s">
        <v>112</v>
      </c>
      <c r="B813" s="37"/>
      <c r="C813" s="37"/>
      <c r="D813" s="37" t="s">
        <v>303</v>
      </c>
      <c r="E813" s="37" t="s">
        <v>1898</v>
      </c>
      <c r="F813" s="37" t="s">
        <v>1903</v>
      </c>
      <c r="G813" s="37" t="s">
        <v>1899</v>
      </c>
      <c r="H813" s="37"/>
      <c r="I813" s="37" t="s">
        <v>639</v>
      </c>
      <c r="J813" s="37" t="s">
        <v>105</v>
      </c>
      <c r="K813" s="40" t="s">
        <v>640</v>
      </c>
      <c r="L813" s="37" t="s">
        <v>64</v>
      </c>
      <c r="M813" s="37" t="s">
        <v>1900</v>
      </c>
      <c r="N813" s="37" t="s">
        <v>1901</v>
      </c>
      <c r="O813" s="37" t="s">
        <v>6220</v>
      </c>
      <c r="P813" s="37" t="s">
        <v>260</v>
      </c>
      <c r="Q813" s="37" t="s">
        <v>14</v>
      </c>
      <c r="R813" s="37" t="s">
        <v>1902</v>
      </c>
      <c r="S813" s="37"/>
      <c r="T813" s="37" t="s">
        <v>66</v>
      </c>
      <c r="U813" s="37" t="s">
        <v>109</v>
      </c>
      <c r="V813" s="37" t="s">
        <v>77</v>
      </c>
      <c r="W813" s="37" t="s">
        <v>78</v>
      </c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</row>
    <row r="814" spans="1:37">
      <c r="A814" s="37"/>
      <c r="B814" s="37"/>
      <c r="C814" s="37"/>
      <c r="D814" s="37" t="s">
        <v>3635</v>
      </c>
      <c r="E814" s="37" t="s">
        <v>3636</v>
      </c>
      <c r="F814" s="37" t="s">
        <v>3642</v>
      </c>
      <c r="G814" s="37" t="s">
        <v>3637</v>
      </c>
      <c r="H814" s="37"/>
      <c r="I814" s="37" t="s">
        <v>3638</v>
      </c>
      <c r="J814" s="37" t="s">
        <v>83</v>
      </c>
      <c r="K814" s="40" t="s">
        <v>259</v>
      </c>
      <c r="L814" s="37" t="s">
        <v>64</v>
      </c>
      <c r="M814" s="37" t="s">
        <v>3639</v>
      </c>
      <c r="N814" s="37" t="s">
        <v>3640</v>
      </c>
      <c r="O814" s="37" t="s">
        <v>6220</v>
      </c>
      <c r="P814" s="37" t="s">
        <v>260</v>
      </c>
      <c r="Q814" s="37" t="s">
        <v>14</v>
      </c>
      <c r="R814" s="37" t="s">
        <v>3641</v>
      </c>
      <c r="S814" s="37"/>
      <c r="T814" s="37"/>
      <c r="U814" s="37"/>
      <c r="V814" s="37" t="s">
        <v>118</v>
      </c>
      <c r="W814" s="37" t="s">
        <v>110</v>
      </c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</row>
    <row r="815" spans="1:37">
      <c r="A815" s="37"/>
      <c r="B815" s="37"/>
      <c r="C815" s="37"/>
      <c r="D815" s="37" t="s">
        <v>1113</v>
      </c>
      <c r="E815" s="37" t="s">
        <v>1915</v>
      </c>
      <c r="F815" s="37" t="s">
        <v>1920</v>
      </c>
      <c r="G815" s="37" t="s">
        <v>1916</v>
      </c>
      <c r="H815" s="37" t="s">
        <v>1917</v>
      </c>
      <c r="I815" s="37" t="s">
        <v>1683</v>
      </c>
      <c r="J815" s="37" t="s">
        <v>498</v>
      </c>
      <c r="K815" s="40" t="s">
        <v>1684</v>
      </c>
      <c r="L815" s="37" t="s">
        <v>64</v>
      </c>
      <c r="M815" s="37" t="s">
        <v>1918</v>
      </c>
      <c r="N815" s="37" t="s">
        <v>1919</v>
      </c>
      <c r="O815" s="37" t="s">
        <v>6220</v>
      </c>
      <c r="P815" s="37" t="s">
        <v>404</v>
      </c>
      <c r="Q815" s="37" t="s">
        <v>10</v>
      </c>
      <c r="R815" s="37"/>
      <c r="S815" s="37"/>
      <c r="T815" s="37" t="s">
        <v>66</v>
      </c>
      <c r="U815" s="37" t="s">
        <v>69</v>
      </c>
      <c r="V815" s="37" t="s">
        <v>72</v>
      </c>
      <c r="W815" s="37" t="s">
        <v>135</v>
      </c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</row>
    <row r="816" spans="1:37">
      <c r="A816" s="37"/>
      <c r="B816" s="37"/>
      <c r="C816" s="37"/>
      <c r="D816" s="37" t="s">
        <v>779</v>
      </c>
      <c r="E816" s="37" t="s">
        <v>2270</v>
      </c>
      <c r="F816" s="37" t="s">
        <v>2274</v>
      </c>
      <c r="G816" s="37" t="s">
        <v>856</v>
      </c>
      <c r="H816" s="37" t="s">
        <v>2271</v>
      </c>
      <c r="I816" s="37" t="s">
        <v>776</v>
      </c>
      <c r="J816" s="37" t="s">
        <v>105</v>
      </c>
      <c r="K816" s="40" t="s">
        <v>777</v>
      </c>
      <c r="L816" s="37" t="s">
        <v>64</v>
      </c>
      <c r="M816" s="37" t="s">
        <v>2272</v>
      </c>
      <c r="N816" s="37"/>
      <c r="O816" s="37" t="s">
        <v>6220</v>
      </c>
      <c r="P816" s="37" t="s">
        <v>260</v>
      </c>
      <c r="Q816" s="37" t="s">
        <v>71</v>
      </c>
      <c r="R816" s="37" t="s">
        <v>2273</v>
      </c>
      <c r="S816" s="37"/>
      <c r="T816" s="37" t="s">
        <v>66</v>
      </c>
      <c r="U816" s="37" t="s">
        <v>109</v>
      </c>
      <c r="V816" s="37" t="s">
        <v>72</v>
      </c>
      <c r="W816" s="37" t="s">
        <v>110</v>
      </c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</row>
    <row r="817" spans="1:37">
      <c r="A817" s="37"/>
      <c r="B817" s="37"/>
      <c r="C817" s="37"/>
      <c r="D817" s="37" t="s">
        <v>3827</v>
      </c>
      <c r="E817" s="37" t="s">
        <v>3828</v>
      </c>
      <c r="F817" s="37" t="s">
        <v>3832</v>
      </c>
      <c r="G817" s="37" t="s">
        <v>3829</v>
      </c>
      <c r="H817" s="37"/>
      <c r="I817" s="37" t="s">
        <v>639</v>
      </c>
      <c r="J817" s="37" t="s">
        <v>105</v>
      </c>
      <c r="K817" s="40" t="s">
        <v>640</v>
      </c>
      <c r="L817" s="37" t="s">
        <v>64</v>
      </c>
      <c r="M817" s="37" t="s">
        <v>3830</v>
      </c>
      <c r="N817" s="37" t="s">
        <v>3831</v>
      </c>
      <c r="O817" s="37" t="s">
        <v>6220</v>
      </c>
      <c r="P817" s="37" t="s">
        <v>260</v>
      </c>
      <c r="Q817" s="37" t="s">
        <v>14</v>
      </c>
      <c r="R817" s="37" t="s">
        <v>3483</v>
      </c>
      <c r="S817" s="37"/>
      <c r="T817" s="37" t="s">
        <v>66</v>
      </c>
      <c r="U817" s="37" t="s">
        <v>176</v>
      </c>
      <c r="V817" s="37" t="s">
        <v>118</v>
      </c>
      <c r="W817" s="37" t="s">
        <v>756</v>
      </c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</row>
    <row r="818" spans="1:37">
      <c r="A818" s="37"/>
      <c r="B818" s="37"/>
      <c r="C818" s="37"/>
      <c r="D818" s="37" t="s">
        <v>921</v>
      </c>
      <c r="E818" s="37" t="s">
        <v>2834</v>
      </c>
      <c r="F818" s="37" t="s">
        <v>2840</v>
      </c>
      <c r="G818" s="37" t="s">
        <v>2835</v>
      </c>
      <c r="H818" s="37" t="s">
        <v>2836</v>
      </c>
      <c r="I818" s="37" t="s">
        <v>639</v>
      </c>
      <c r="J818" s="37" t="s">
        <v>105</v>
      </c>
      <c r="K818" s="40" t="s">
        <v>2837</v>
      </c>
      <c r="L818" s="37" t="s">
        <v>64</v>
      </c>
      <c r="M818" s="37" t="s">
        <v>2838</v>
      </c>
      <c r="N818" s="37"/>
      <c r="O818" s="37" t="s">
        <v>6220</v>
      </c>
      <c r="P818" s="37" t="s">
        <v>260</v>
      </c>
      <c r="Q818" s="37" t="s">
        <v>14</v>
      </c>
      <c r="R818" s="37" t="s">
        <v>2839</v>
      </c>
      <c r="S818" s="37"/>
      <c r="T818" s="37"/>
      <c r="U818" s="37"/>
      <c r="V818" s="37" t="s">
        <v>88</v>
      </c>
      <c r="W818" s="37" t="s">
        <v>110</v>
      </c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</row>
    <row r="819" spans="1:37">
      <c r="A819" s="37"/>
      <c r="B819" s="37"/>
      <c r="C819" s="37"/>
      <c r="D819" s="37" t="s">
        <v>5728</v>
      </c>
      <c r="E819" s="37" t="s">
        <v>5729</v>
      </c>
      <c r="F819" s="37" t="s">
        <v>5732</v>
      </c>
      <c r="G819" s="37" t="s">
        <v>5730</v>
      </c>
      <c r="H819" s="37"/>
      <c r="I819" s="37" t="s">
        <v>82</v>
      </c>
      <c r="J819" s="37" t="s">
        <v>83</v>
      </c>
      <c r="K819" s="40" t="s">
        <v>259</v>
      </c>
      <c r="L819" s="37" t="s">
        <v>64</v>
      </c>
      <c r="M819" s="37" t="s">
        <v>5731</v>
      </c>
      <c r="N819" s="37"/>
      <c r="O819" s="37" t="s">
        <v>6220</v>
      </c>
      <c r="P819" s="37" t="s">
        <v>260</v>
      </c>
      <c r="Q819" s="37" t="s">
        <v>14</v>
      </c>
      <c r="R819" s="37" t="s">
        <v>1378</v>
      </c>
      <c r="S819" s="37"/>
      <c r="T819" s="37" t="s">
        <v>66</v>
      </c>
      <c r="U819" s="37" t="s">
        <v>145</v>
      </c>
      <c r="V819" s="37" t="s">
        <v>72</v>
      </c>
      <c r="W819" s="37" t="s">
        <v>261</v>
      </c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</row>
    <row r="820" spans="1:37">
      <c r="A820" s="37"/>
      <c r="B820" s="37"/>
      <c r="C820" s="37"/>
      <c r="D820" s="37" t="s">
        <v>418</v>
      </c>
      <c r="E820" s="37" t="s">
        <v>503</v>
      </c>
      <c r="F820" s="37" t="s">
        <v>508</v>
      </c>
      <c r="G820" s="37" t="s">
        <v>504</v>
      </c>
      <c r="H820" s="37"/>
      <c r="I820" s="37" t="s">
        <v>505</v>
      </c>
      <c r="J820" s="37" t="s">
        <v>425</v>
      </c>
      <c r="K820" s="40" t="s">
        <v>506</v>
      </c>
      <c r="L820" s="37" t="s">
        <v>64</v>
      </c>
      <c r="M820" s="37" t="s">
        <v>507</v>
      </c>
      <c r="N820" s="37"/>
      <c r="O820" s="37" t="s">
        <v>6220</v>
      </c>
      <c r="P820" s="37" t="s">
        <v>260</v>
      </c>
      <c r="Q820" s="37" t="s">
        <v>98</v>
      </c>
      <c r="R820" s="37"/>
      <c r="S820" s="37"/>
      <c r="T820" s="37" t="s">
        <v>66</v>
      </c>
      <c r="U820" s="37" t="s">
        <v>185</v>
      </c>
      <c r="V820" s="37" t="s">
        <v>77</v>
      </c>
      <c r="W820" s="37" t="s">
        <v>261</v>
      </c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</row>
    <row r="821" spans="1:37">
      <c r="A821" s="37"/>
      <c r="B821" s="37"/>
      <c r="C821" s="37"/>
      <c r="D821" s="37" t="s">
        <v>854</v>
      </c>
      <c r="E821" s="37" t="s">
        <v>855</v>
      </c>
      <c r="F821" s="37" t="s">
        <v>859</v>
      </c>
      <c r="G821" s="37" t="s">
        <v>856</v>
      </c>
      <c r="H821" s="37"/>
      <c r="I821" s="37" t="s">
        <v>776</v>
      </c>
      <c r="J821" s="37" t="s">
        <v>105</v>
      </c>
      <c r="K821" s="40" t="s">
        <v>777</v>
      </c>
      <c r="L821" s="37" t="s">
        <v>64</v>
      </c>
      <c r="M821" s="37" t="s">
        <v>857</v>
      </c>
      <c r="N821" s="37"/>
      <c r="O821" s="37" t="s">
        <v>6220</v>
      </c>
      <c r="P821" s="37" t="s">
        <v>260</v>
      </c>
      <c r="Q821" s="37" t="s">
        <v>71</v>
      </c>
      <c r="R821" s="37" t="s">
        <v>858</v>
      </c>
      <c r="S821" s="37"/>
      <c r="T821" s="37"/>
      <c r="U821" s="37" t="s">
        <v>87</v>
      </c>
      <c r="V821" s="37" t="s">
        <v>72</v>
      </c>
      <c r="W821" s="37" t="s">
        <v>110</v>
      </c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</row>
    <row r="822" spans="1:37">
      <c r="A822" s="37"/>
      <c r="B822" s="37"/>
      <c r="C822" s="37"/>
      <c r="D822" s="37" t="s">
        <v>444</v>
      </c>
      <c r="E822" s="37" t="s">
        <v>6223</v>
      </c>
      <c r="F822" s="37" t="s">
        <v>6224</v>
      </c>
      <c r="G822" s="37" t="s">
        <v>6225</v>
      </c>
      <c r="H822" s="37"/>
      <c r="I822" s="37" t="s">
        <v>6226</v>
      </c>
      <c r="J822" s="37" t="s">
        <v>1399</v>
      </c>
      <c r="K822" s="40" t="s">
        <v>6227</v>
      </c>
      <c r="L822" s="37" t="s">
        <v>64</v>
      </c>
      <c r="M822" s="37" t="s">
        <v>6228</v>
      </c>
      <c r="N822" s="37"/>
      <c r="O822" s="37" t="s">
        <v>6220</v>
      </c>
      <c r="P822" s="37" t="s">
        <v>2666</v>
      </c>
      <c r="Q822" s="37" t="s">
        <v>71</v>
      </c>
      <c r="R822" s="37"/>
      <c r="S822" s="37"/>
      <c r="T822" s="37" t="s">
        <v>115</v>
      </c>
      <c r="U822" s="37" t="s">
        <v>87</v>
      </c>
      <c r="V822" s="37" t="s">
        <v>67</v>
      </c>
      <c r="W822" s="37" t="s">
        <v>110</v>
      </c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</row>
    <row r="823" spans="1:37">
      <c r="A823" s="37" t="s">
        <v>112</v>
      </c>
      <c r="B823" s="37"/>
      <c r="C823" s="37"/>
      <c r="D823" s="37" t="s">
        <v>303</v>
      </c>
      <c r="E823" s="37" t="s">
        <v>1321</v>
      </c>
      <c r="F823" s="37" t="s">
        <v>1326</v>
      </c>
      <c r="G823" s="37" t="s">
        <v>1322</v>
      </c>
      <c r="H823" s="37"/>
      <c r="I823" s="37" t="s">
        <v>639</v>
      </c>
      <c r="J823" s="37" t="s">
        <v>105</v>
      </c>
      <c r="K823" s="40" t="s">
        <v>1323</v>
      </c>
      <c r="L823" s="37" t="s">
        <v>64</v>
      </c>
      <c r="M823" s="37" t="s">
        <v>1324</v>
      </c>
      <c r="N823" s="37"/>
      <c r="O823" s="37" t="s">
        <v>6220</v>
      </c>
      <c r="P823" s="37" t="s">
        <v>1325</v>
      </c>
      <c r="Q823" s="37" t="s">
        <v>14</v>
      </c>
      <c r="R823" s="37"/>
      <c r="S823" s="37"/>
      <c r="T823" s="37" t="s">
        <v>69</v>
      </c>
      <c r="U823" s="37"/>
      <c r="V823" s="37" t="s">
        <v>88</v>
      </c>
      <c r="W823" s="37" t="s">
        <v>89</v>
      </c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</row>
    <row r="824" spans="1:37">
      <c r="A824" s="37"/>
      <c r="B824" s="37"/>
      <c r="C824" s="37"/>
      <c r="D824" s="37" t="s">
        <v>3049</v>
      </c>
      <c r="E824" s="37" t="s">
        <v>1364</v>
      </c>
      <c r="F824" s="37" t="s">
        <v>3052</v>
      </c>
      <c r="G824" s="37" t="s">
        <v>3050</v>
      </c>
      <c r="H824" s="37"/>
      <c r="I824" s="37" t="s">
        <v>92</v>
      </c>
      <c r="J824" s="37" t="s">
        <v>93</v>
      </c>
      <c r="K824" s="40" t="s">
        <v>3163</v>
      </c>
      <c r="L824" s="37" t="s">
        <v>64</v>
      </c>
      <c r="M824" s="37" t="s">
        <v>3051</v>
      </c>
      <c r="N824" s="37"/>
      <c r="O824" s="37" t="s">
        <v>6220</v>
      </c>
      <c r="P824" s="37" t="s">
        <v>2666</v>
      </c>
      <c r="Q824" s="37" t="s">
        <v>98</v>
      </c>
      <c r="R824" s="37"/>
      <c r="S824" s="37"/>
      <c r="T824" s="37" t="s">
        <v>69</v>
      </c>
      <c r="U824" s="37" t="s">
        <v>87</v>
      </c>
      <c r="V824" s="37" t="s">
        <v>72</v>
      </c>
      <c r="W824" s="37" t="s">
        <v>69</v>
      </c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</row>
    <row r="825" spans="1:37">
      <c r="A825" s="37"/>
      <c r="B825" s="37"/>
      <c r="C825" s="37"/>
      <c r="D825" s="37" t="s">
        <v>1375</v>
      </c>
      <c r="E825" s="37" t="s">
        <v>1374</v>
      </c>
      <c r="F825" s="37" t="s">
        <v>1379</v>
      </c>
      <c r="G825" s="37" t="s">
        <v>1376</v>
      </c>
      <c r="H825" s="37"/>
      <c r="I825" s="37" t="s">
        <v>82</v>
      </c>
      <c r="J825" s="37" t="s">
        <v>83</v>
      </c>
      <c r="K825" s="40" t="s">
        <v>1245</v>
      </c>
      <c r="L825" s="37" t="s">
        <v>64</v>
      </c>
      <c r="M825" s="37" t="s">
        <v>1377</v>
      </c>
      <c r="N825" s="37"/>
      <c r="O825" s="37" t="s">
        <v>6220</v>
      </c>
      <c r="P825" s="37" t="s">
        <v>260</v>
      </c>
      <c r="Q825" s="37" t="s">
        <v>14</v>
      </c>
      <c r="R825" s="37" t="s">
        <v>1378</v>
      </c>
      <c r="S825" s="37"/>
      <c r="T825" s="37"/>
      <c r="U825" s="37"/>
      <c r="V825" s="37" t="s">
        <v>72</v>
      </c>
      <c r="W825" s="37" t="s">
        <v>261</v>
      </c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</row>
    <row r="826" spans="1:37">
      <c r="A826" s="37"/>
      <c r="B826" s="37"/>
      <c r="C826" s="37"/>
      <c r="D826" s="37" t="s">
        <v>1214</v>
      </c>
      <c r="E826" s="37" t="s">
        <v>1464</v>
      </c>
      <c r="F826" s="37" t="s">
        <v>1469</v>
      </c>
      <c r="G826" s="37" t="s">
        <v>1465</v>
      </c>
      <c r="H826" s="37" t="s">
        <v>1466</v>
      </c>
      <c r="I826" s="37" t="s">
        <v>82</v>
      </c>
      <c r="J826" s="37" t="s">
        <v>83</v>
      </c>
      <c r="K826" s="40" t="s">
        <v>1245</v>
      </c>
      <c r="L826" s="37" t="s">
        <v>64</v>
      </c>
      <c r="M826" s="37" t="s">
        <v>1467</v>
      </c>
      <c r="N826" s="37" t="s">
        <v>1468</v>
      </c>
      <c r="O826" s="37" t="s">
        <v>6220</v>
      </c>
      <c r="P826" s="37" t="s">
        <v>260</v>
      </c>
      <c r="Q826" s="37" t="s">
        <v>14</v>
      </c>
      <c r="R826" s="37"/>
      <c r="S826" s="37"/>
      <c r="T826" s="37"/>
      <c r="U826" s="37" t="s">
        <v>182</v>
      </c>
      <c r="V826" s="37" t="s">
        <v>72</v>
      </c>
      <c r="W826" s="37" t="s">
        <v>261</v>
      </c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</row>
    <row r="827" spans="1:37">
      <c r="A827" s="37"/>
      <c r="B827" s="37"/>
      <c r="C827" s="37"/>
      <c r="D827" s="37" t="s">
        <v>448</v>
      </c>
      <c r="E827" s="37" t="s">
        <v>1221</v>
      </c>
      <c r="F827" s="37" t="s">
        <v>4207</v>
      </c>
      <c r="G827" s="37" t="s">
        <v>998</v>
      </c>
      <c r="H827" s="37" t="s">
        <v>4204</v>
      </c>
      <c r="I827" s="37" t="s">
        <v>999</v>
      </c>
      <c r="J827" s="37" t="s">
        <v>105</v>
      </c>
      <c r="K827" s="40" t="s">
        <v>1000</v>
      </c>
      <c r="L827" s="37" t="s">
        <v>64</v>
      </c>
      <c r="M827" s="37" t="s">
        <v>4205</v>
      </c>
      <c r="N827" s="37" t="s">
        <v>4206</v>
      </c>
      <c r="O827" s="37" t="s">
        <v>6220</v>
      </c>
      <c r="P827" s="37" t="s">
        <v>260</v>
      </c>
      <c r="Q827" s="37" t="s">
        <v>14</v>
      </c>
      <c r="R827" s="37" t="s">
        <v>1902</v>
      </c>
      <c r="S827" s="37"/>
      <c r="T827" s="37" t="s">
        <v>66</v>
      </c>
      <c r="U827" s="37" t="s">
        <v>145</v>
      </c>
      <c r="V827" s="37" t="s">
        <v>118</v>
      </c>
      <c r="W827" s="37" t="s">
        <v>99</v>
      </c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</row>
    <row r="828" spans="1:37">
      <c r="A828" s="37"/>
      <c r="B828" s="37"/>
      <c r="C828" s="37"/>
      <c r="D828" s="37" t="s">
        <v>199</v>
      </c>
      <c r="E828" s="37" t="s">
        <v>1647</v>
      </c>
      <c r="F828" s="37" t="s">
        <v>4209</v>
      </c>
      <c r="G828" s="37" t="s">
        <v>998</v>
      </c>
      <c r="H828" s="37"/>
      <c r="I828" s="37" t="s">
        <v>999</v>
      </c>
      <c r="J828" s="37" t="s">
        <v>105</v>
      </c>
      <c r="K828" s="40" t="s">
        <v>3905</v>
      </c>
      <c r="L828" s="37" t="s">
        <v>64</v>
      </c>
      <c r="M828" s="37" t="s">
        <v>4208</v>
      </c>
      <c r="N828" s="37"/>
      <c r="O828" s="37" t="s">
        <v>6220</v>
      </c>
      <c r="P828" s="37" t="s">
        <v>260</v>
      </c>
      <c r="Q828" s="37" t="s">
        <v>14</v>
      </c>
      <c r="R828" s="37" t="s">
        <v>1902</v>
      </c>
      <c r="S828" s="37"/>
      <c r="T828" s="37" t="s">
        <v>158</v>
      </c>
      <c r="U828" s="37" t="s">
        <v>87</v>
      </c>
      <c r="V828" s="37" t="s">
        <v>72</v>
      </c>
      <c r="W828" s="37" t="s">
        <v>756</v>
      </c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</row>
    <row r="829" spans="1:37">
      <c r="A829" s="37"/>
      <c r="B829" s="37"/>
      <c r="C829" s="37"/>
      <c r="D829" s="37" t="s">
        <v>1653</v>
      </c>
      <c r="E829" s="37" t="s">
        <v>1654</v>
      </c>
      <c r="F829" s="37" t="s">
        <v>1658</v>
      </c>
      <c r="G829" s="37" t="s">
        <v>1655</v>
      </c>
      <c r="H829" s="37"/>
      <c r="I829" s="37" t="s">
        <v>226</v>
      </c>
      <c r="J829" s="37" t="s">
        <v>214</v>
      </c>
      <c r="K829" s="40" t="s">
        <v>1237</v>
      </c>
      <c r="L829" s="37" t="s">
        <v>64</v>
      </c>
      <c r="M829" s="37" t="s">
        <v>1656</v>
      </c>
      <c r="N829" s="37" t="s">
        <v>1657</v>
      </c>
      <c r="O829" s="37" t="s">
        <v>6220</v>
      </c>
      <c r="P829" s="37" t="s">
        <v>404</v>
      </c>
      <c r="Q829" s="37" t="s">
        <v>10</v>
      </c>
      <c r="R829" s="37"/>
      <c r="S829" s="37"/>
      <c r="T829" s="37" t="s">
        <v>158</v>
      </c>
      <c r="U829" s="37" t="s">
        <v>182</v>
      </c>
      <c r="V829" s="37" t="s">
        <v>77</v>
      </c>
      <c r="W829" s="37" t="s">
        <v>73</v>
      </c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</row>
    <row r="830" spans="1:37">
      <c r="A830" s="37"/>
      <c r="B830" s="37"/>
      <c r="C830" s="37"/>
      <c r="D830" s="37" t="s">
        <v>448</v>
      </c>
      <c r="E830" s="37" t="s">
        <v>1732</v>
      </c>
      <c r="F830" s="37" t="s">
        <v>3675</v>
      </c>
      <c r="G830" s="37" t="s">
        <v>856</v>
      </c>
      <c r="H830" s="37"/>
      <c r="I830" s="37" t="s">
        <v>776</v>
      </c>
      <c r="J830" s="37" t="s">
        <v>105</v>
      </c>
      <c r="K830" s="40" t="s">
        <v>6229</v>
      </c>
      <c r="L830" s="37" t="s">
        <v>64</v>
      </c>
      <c r="M830" s="37" t="s">
        <v>3673</v>
      </c>
      <c r="N830" s="37"/>
      <c r="O830" s="37" t="s">
        <v>6220</v>
      </c>
      <c r="P830" s="37" t="s">
        <v>260</v>
      </c>
      <c r="Q830" s="37" t="s">
        <v>71</v>
      </c>
      <c r="R830" s="37" t="s">
        <v>3674</v>
      </c>
      <c r="S830" s="37"/>
      <c r="T830" s="37"/>
      <c r="U830" s="37"/>
      <c r="V830" s="37" t="s">
        <v>72</v>
      </c>
      <c r="W830" s="37" t="s">
        <v>69</v>
      </c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</row>
    <row r="831" spans="1:37">
      <c r="A831" s="37"/>
      <c r="B831" s="37"/>
      <c r="C831" s="37"/>
      <c r="D831" s="37" t="s">
        <v>1703</v>
      </c>
      <c r="E831" s="37" t="s">
        <v>1853</v>
      </c>
      <c r="F831" s="37" t="s">
        <v>1856</v>
      </c>
      <c r="G831" s="37" t="s">
        <v>770</v>
      </c>
      <c r="H831" s="37"/>
      <c r="I831" s="37" t="s">
        <v>226</v>
      </c>
      <c r="J831" s="37" t="s">
        <v>214</v>
      </c>
      <c r="K831" s="40" t="s">
        <v>1237</v>
      </c>
      <c r="L831" s="37" t="s">
        <v>64</v>
      </c>
      <c r="M831" s="37" t="s">
        <v>1854</v>
      </c>
      <c r="N831" s="37" t="s">
        <v>1855</v>
      </c>
      <c r="O831" s="37" t="s">
        <v>6220</v>
      </c>
      <c r="P831" s="37" t="s">
        <v>404</v>
      </c>
      <c r="Q831" s="37" t="s">
        <v>10</v>
      </c>
      <c r="R831" s="37"/>
      <c r="S831" s="37"/>
      <c r="T831" s="37" t="s">
        <v>158</v>
      </c>
      <c r="U831" s="37" t="s">
        <v>145</v>
      </c>
      <c r="V831" s="37" t="s">
        <v>72</v>
      </c>
      <c r="W831" s="37" t="s">
        <v>99</v>
      </c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</row>
    <row r="832" spans="1:37">
      <c r="A832" s="37"/>
      <c r="B832" s="37"/>
      <c r="C832" s="37"/>
      <c r="D832" s="37" t="s">
        <v>1623</v>
      </c>
      <c r="E832" s="37" t="s">
        <v>2976</v>
      </c>
      <c r="F832" s="37" t="s">
        <v>2978</v>
      </c>
      <c r="G832" s="37" t="s">
        <v>775</v>
      </c>
      <c r="H832" s="37"/>
      <c r="I832" s="37" t="s">
        <v>776</v>
      </c>
      <c r="J832" s="37" t="s">
        <v>105</v>
      </c>
      <c r="K832" s="40" t="s">
        <v>777</v>
      </c>
      <c r="L832" s="37" t="s">
        <v>64</v>
      </c>
      <c r="M832" s="37" t="s">
        <v>2977</v>
      </c>
      <c r="N832" s="37"/>
      <c r="O832" s="37" t="s">
        <v>6220</v>
      </c>
      <c r="P832" s="37" t="s">
        <v>260</v>
      </c>
      <c r="Q832" s="37" t="s">
        <v>71</v>
      </c>
      <c r="R832" s="37" t="s">
        <v>778</v>
      </c>
      <c r="S832" s="37"/>
      <c r="T832" s="37" t="s">
        <v>115</v>
      </c>
      <c r="U832" s="37" t="s">
        <v>254</v>
      </c>
      <c r="V832" s="37" t="s">
        <v>72</v>
      </c>
      <c r="W832" s="37" t="s">
        <v>110</v>
      </c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</row>
    <row r="833" spans="1:37">
      <c r="A833" s="37" t="s">
        <v>112</v>
      </c>
      <c r="B833" s="37"/>
      <c r="C833" s="37"/>
      <c r="D833" s="37" t="s">
        <v>482</v>
      </c>
      <c r="E833" s="37" t="s">
        <v>3903</v>
      </c>
      <c r="F833" s="37" t="s">
        <v>3908</v>
      </c>
      <c r="G833" s="37" t="s">
        <v>3904</v>
      </c>
      <c r="H833" s="37"/>
      <c r="I833" s="37" t="s">
        <v>999</v>
      </c>
      <c r="J833" s="37" t="s">
        <v>105</v>
      </c>
      <c r="K833" s="40" t="s">
        <v>3905</v>
      </c>
      <c r="L833" s="37" t="s">
        <v>64</v>
      </c>
      <c r="M833" s="37" t="s">
        <v>3906</v>
      </c>
      <c r="N833" s="37" t="s">
        <v>3907</v>
      </c>
      <c r="O833" s="37" t="s">
        <v>6220</v>
      </c>
      <c r="P833" s="37" t="s">
        <v>260</v>
      </c>
      <c r="Q833" s="37" t="s">
        <v>14</v>
      </c>
      <c r="R833" s="37" t="s">
        <v>1902</v>
      </c>
      <c r="S833" s="37"/>
      <c r="T833" s="37" t="s">
        <v>115</v>
      </c>
      <c r="U833" s="37" t="s">
        <v>109</v>
      </c>
      <c r="V833" s="37" t="s">
        <v>72</v>
      </c>
      <c r="W833" s="37" t="s">
        <v>99</v>
      </c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</row>
    <row r="834" spans="1:37">
      <c r="A834" s="37"/>
      <c r="B834" s="37"/>
      <c r="C834" s="37"/>
      <c r="D834" s="37" t="s">
        <v>4629</v>
      </c>
      <c r="E834" s="37" t="s">
        <v>1898</v>
      </c>
      <c r="F834" s="37" t="s">
        <v>4633</v>
      </c>
      <c r="G834" s="37" t="s">
        <v>4630</v>
      </c>
      <c r="H834" s="37" t="s">
        <v>2829</v>
      </c>
      <c r="I834" s="37" t="s">
        <v>420</v>
      </c>
      <c r="J834" s="37" t="s">
        <v>75</v>
      </c>
      <c r="K834" s="40" t="s">
        <v>451</v>
      </c>
      <c r="L834" s="37" t="s">
        <v>64</v>
      </c>
      <c r="M834" s="37" t="s">
        <v>4631</v>
      </c>
      <c r="N834" s="37" t="s">
        <v>4632</v>
      </c>
      <c r="O834" s="37" t="s">
        <v>6220</v>
      </c>
      <c r="P834" s="37" t="s">
        <v>1325</v>
      </c>
      <c r="Q834" s="37" t="s">
        <v>10</v>
      </c>
      <c r="R834" s="37"/>
      <c r="S834" s="37"/>
      <c r="T834" s="37" t="s">
        <v>66</v>
      </c>
      <c r="U834" s="37" t="s">
        <v>87</v>
      </c>
      <c r="V834" s="37" t="s">
        <v>72</v>
      </c>
      <c r="W834" s="37" t="s">
        <v>69</v>
      </c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</row>
    <row r="835" spans="1:37">
      <c r="A835" s="37"/>
      <c r="B835" s="37"/>
      <c r="C835" s="37"/>
      <c r="D835" s="37" t="s">
        <v>707</v>
      </c>
      <c r="E835" s="37" t="s">
        <v>4876</v>
      </c>
      <c r="F835" s="37" t="s">
        <v>4877</v>
      </c>
      <c r="G835" s="37" t="s">
        <v>4630</v>
      </c>
      <c r="H835" s="37" t="s">
        <v>2829</v>
      </c>
      <c r="I835" s="37" t="s">
        <v>420</v>
      </c>
      <c r="J835" s="37" t="s">
        <v>75</v>
      </c>
      <c r="K835" s="40" t="s">
        <v>451</v>
      </c>
      <c r="L835" s="37" t="s">
        <v>64</v>
      </c>
      <c r="M835" s="37" t="s">
        <v>4631</v>
      </c>
      <c r="N835" s="37"/>
      <c r="O835" s="37" t="s">
        <v>6220</v>
      </c>
      <c r="P835" s="37" t="s">
        <v>1325</v>
      </c>
      <c r="Q835" s="37" t="s">
        <v>10</v>
      </c>
      <c r="R835" s="37"/>
      <c r="S835" s="37"/>
      <c r="T835" s="37" t="s">
        <v>66</v>
      </c>
      <c r="U835" s="37"/>
      <c r="V835" s="37" t="s">
        <v>72</v>
      </c>
      <c r="W835" s="37" t="s">
        <v>69</v>
      </c>
      <c r="X835" s="25"/>
      <c r="Y835" s="25"/>
      <c r="Z835" s="25"/>
      <c r="AA835" s="25"/>
      <c r="AB835" s="25"/>
      <c r="AC835" s="25"/>
      <c r="AD835" s="25"/>
      <c r="AE835" s="25"/>
      <c r="AF835" s="26"/>
      <c r="AG835" s="25"/>
      <c r="AH835" s="25"/>
      <c r="AI835" s="25"/>
      <c r="AJ835" s="25"/>
      <c r="AK835" s="25"/>
    </row>
    <row r="836" spans="1:37">
      <c r="A836" s="37"/>
      <c r="B836" s="37"/>
      <c r="C836" s="37"/>
      <c r="D836" s="37" t="s">
        <v>993</v>
      </c>
      <c r="E836" s="37" t="s">
        <v>5208</v>
      </c>
      <c r="F836" s="37" t="s">
        <v>5212</v>
      </c>
      <c r="G836" s="37" t="s">
        <v>5209</v>
      </c>
      <c r="H836" s="37"/>
      <c r="I836" s="37" t="s">
        <v>843</v>
      </c>
      <c r="J836" s="37" t="s">
        <v>75</v>
      </c>
      <c r="K836" s="40" t="s">
        <v>5210</v>
      </c>
      <c r="L836" s="37" t="s">
        <v>64</v>
      </c>
      <c r="M836" s="37" t="s">
        <v>4423</v>
      </c>
      <c r="N836" s="37"/>
      <c r="O836" s="37" t="s">
        <v>6220</v>
      </c>
      <c r="P836" s="37" t="s">
        <v>260</v>
      </c>
      <c r="Q836" s="37" t="s">
        <v>10</v>
      </c>
      <c r="R836" s="37" t="s">
        <v>5211</v>
      </c>
      <c r="S836" s="37"/>
      <c r="T836" s="37" t="s">
        <v>115</v>
      </c>
      <c r="U836" s="37" t="s">
        <v>254</v>
      </c>
      <c r="V836" s="37" t="s">
        <v>118</v>
      </c>
      <c r="W836" s="37" t="s">
        <v>348</v>
      </c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</row>
    <row r="837" spans="1:37">
      <c r="A837" s="37"/>
      <c r="B837" s="37"/>
      <c r="C837" s="37"/>
      <c r="D837" s="37" t="s">
        <v>842</v>
      </c>
      <c r="E837" s="37" t="s">
        <v>4902</v>
      </c>
      <c r="F837" s="37" t="s">
        <v>4906</v>
      </c>
      <c r="G837" s="37" t="s">
        <v>4903</v>
      </c>
      <c r="H837" s="37" t="s">
        <v>4904</v>
      </c>
      <c r="I837" s="37" t="s">
        <v>639</v>
      </c>
      <c r="J837" s="37" t="s">
        <v>105</v>
      </c>
      <c r="K837" s="40" t="s">
        <v>2837</v>
      </c>
      <c r="L837" s="37" t="s">
        <v>64</v>
      </c>
      <c r="M837" s="37" t="s">
        <v>4905</v>
      </c>
      <c r="N837" s="37"/>
      <c r="O837" s="37" t="s">
        <v>6220</v>
      </c>
      <c r="P837" s="37" t="s">
        <v>260</v>
      </c>
      <c r="Q837" s="37" t="s">
        <v>14</v>
      </c>
      <c r="R837" s="37"/>
      <c r="S837" s="37"/>
      <c r="T837" s="37" t="s">
        <v>115</v>
      </c>
      <c r="U837" s="37" t="s">
        <v>254</v>
      </c>
      <c r="V837" s="37" t="s">
        <v>88</v>
      </c>
      <c r="W837" s="37" t="s">
        <v>69</v>
      </c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</row>
    <row r="838" spans="1:37">
      <c r="A838" s="37"/>
      <c r="B838" s="37"/>
      <c r="C838" s="37"/>
      <c r="D838" s="37" t="s">
        <v>464</v>
      </c>
      <c r="E838" s="37" t="s">
        <v>3602</v>
      </c>
      <c r="F838" s="37" t="s">
        <v>3604</v>
      </c>
      <c r="G838" s="37" t="s">
        <v>856</v>
      </c>
      <c r="H838" s="37"/>
      <c r="I838" s="37" t="s">
        <v>776</v>
      </c>
      <c r="J838" s="37" t="s">
        <v>105</v>
      </c>
      <c r="K838" s="40" t="s">
        <v>777</v>
      </c>
      <c r="L838" s="37" t="s">
        <v>64</v>
      </c>
      <c r="M838" s="37" t="s">
        <v>3603</v>
      </c>
      <c r="N838" s="37"/>
      <c r="O838" s="37" t="s">
        <v>6220</v>
      </c>
      <c r="P838" s="37" t="s">
        <v>260</v>
      </c>
      <c r="Q838" s="37" t="s">
        <v>71</v>
      </c>
      <c r="R838" s="37"/>
      <c r="S838" s="37"/>
      <c r="T838" s="37" t="s">
        <v>66</v>
      </c>
      <c r="U838" s="37" t="s">
        <v>109</v>
      </c>
      <c r="V838" s="37" t="s">
        <v>88</v>
      </c>
      <c r="W838" s="37" t="s">
        <v>756</v>
      </c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</row>
    <row r="839" spans="1:37">
      <c r="A839" s="37"/>
      <c r="B839" s="37"/>
      <c r="C839" s="37"/>
      <c r="D839" s="37" t="s">
        <v>117</v>
      </c>
      <c r="E839" s="37" t="s">
        <v>2660</v>
      </c>
      <c r="F839" s="37" t="s">
        <v>2667</v>
      </c>
      <c r="G839" s="37" t="s">
        <v>2661</v>
      </c>
      <c r="H839" s="37" t="s">
        <v>2662</v>
      </c>
      <c r="I839" s="37" t="s">
        <v>2663</v>
      </c>
      <c r="J839" s="37" t="s">
        <v>105</v>
      </c>
      <c r="K839" s="40" t="s">
        <v>2664</v>
      </c>
      <c r="L839" s="37" t="s">
        <v>64</v>
      </c>
      <c r="M839" s="37" t="s">
        <v>2665</v>
      </c>
      <c r="N839" s="37"/>
      <c r="O839" s="37" t="s">
        <v>6220</v>
      </c>
      <c r="P839" s="37" t="s">
        <v>2666</v>
      </c>
      <c r="Q839" s="37" t="s">
        <v>71</v>
      </c>
      <c r="R839" s="37"/>
      <c r="S839" s="37"/>
      <c r="T839" s="37"/>
      <c r="U839" s="37"/>
      <c r="V839" s="37" t="s">
        <v>88</v>
      </c>
      <c r="W839" s="37" t="s">
        <v>195</v>
      </c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</row>
    <row r="840" spans="1:37">
      <c r="A840" s="37"/>
      <c r="B840" s="37"/>
      <c r="C840" s="37"/>
      <c r="D840" s="37" t="s">
        <v>525</v>
      </c>
      <c r="E840" s="37" t="s">
        <v>2682</v>
      </c>
      <c r="F840" s="37" t="s">
        <v>2684</v>
      </c>
      <c r="G840" s="37" t="s">
        <v>856</v>
      </c>
      <c r="H840" s="37"/>
      <c r="I840" s="37" t="s">
        <v>776</v>
      </c>
      <c r="J840" s="37" t="s">
        <v>105</v>
      </c>
      <c r="K840" s="40" t="s">
        <v>777</v>
      </c>
      <c r="L840" s="37" t="s">
        <v>64</v>
      </c>
      <c r="M840" s="37" t="s">
        <v>2683</v>
      </c>
      <c r="N840" s="37"/>
      <c r="O840" s="37" t="s">
        <v>6220</v>
      </c>
      <c r="P840" s="37" t="s">
        <v>260</v>
      </c>
      <c r="Q840" s="37" t="s">
        <v>71</v>
      </c>
      <c r="R840" s="37"/>
      <c r="S840" s="37"/>
      <c r="T840" s="37"/>
      <c r="U840" s="37" t="s">
        <v>87</v>
      </c>
      <c r="V840" s="37" t="s">
        <v>72</v>
      </c>
      <c r="W840" s="37" t="s">
        <v>110</v>
      </c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</row>
    <row r="841" spans="1:37">
      <c r="A841" s="37"/>
      <c r="B841" s="37"/>
      <c r="C841" s="37"/>
      <c r="D841" s="37" t="s">
        <v>1462</v>
      </c>
      <c r="E841" s="37" t="s">
        <v>2289</v>
      </c>
      <c r="F841" s="37" t="s">
        <v>2295</v>
      </c>
      <c r="G841" s="37" t="s">
        <v>2291</v>
      </c>
      <c r="H841" s="37"/>
      <c r="I841" s="37" t="s">
        <v>843</v>
      </c>
      <c r="J841" s="37" t="s">
        <v>75</v>
      </c>
      <c r="K841" s="40" t="s">
        <v>1330</v>
      </c>
      <c r="L841" s="37" t="s">
        <v>64</v>
      </c>
      <c r="M841" s="37" t="s">
        <v>2292</v>
      </c>
      <c r="N841" s="37" t="s">
        <v>2293</v>
      </c>
      <c r="O841" s="37" t="s">
        <v>6220</v>
      </c>
      <c r="P841" s="37" t="s">
        <v>260</v>
      </c>
      <c r="Q841" s="37" t="s">
        <v>10</v>
      </c>
      <c r="R841" s="37" t="s">
        <v>2294</v>
      </c>
      <c r="S841" s="37"/>
      <c r="T841" s="37" t="s">
        <v>66</v>
      </c>
      <c r="U841" s="37" t="s">
        <v>87</v>
      </c>
      <c r="V841" s="37" t="s">
        <v>77</v>
      </c>
      <c r="W841" s="37" t="s">
        <v>89</v>
      </c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</row>
    <row r="842" spans="1:37">
      <c r="A842" s="37"/>
      <c r="B842" s="37"/>
      <c r="C842" s="37"/>
      <c r="D842" s="37" t="s">
        <v>286</v>
      </c>
      <c r="E842" s="37" t="s">
        <v>287</v>
      </c>
      <c r="F842" s="37" t="s">
        <v>294</v>
      </c>
      <c r="G842" s="37" t="s">
        <v>288</v>
      </c>
      <c r="H842" s="37" t="s">
        <v>289</v>
      </c>
      <c r="I842" s="37" t="s">
        <v>82</v>
      </c>
      <c r="J842" s="37" t="s">
        <v>83</v>
      </c>
      <c r="K842" s="40" t="s">
        <v>290</v>
      </c>
      <c r="L842" s="37" t="s">
        <v>64</v>
      </c>
      <c r="M842" s="37" t="s">
        <v>291</v>
      </c>
      <c r="N842" s="37"/>
      <c r="O842" s="37" t="s">
        <v>6230</v>
      </c>
      <c r="P842" s="37" t="s">
        <v>292</v>
      </c>
      <c r="Q842" s="37" t="s">
        <v>14</v>
      </c>
      <c r="R842" s="37" t="s">
        <v>293</v>
      </c>
      <c r="S842" s="37"/>
      <c r="T842" s="37" t="s">
        <v>66</v>
      </c>
      <c r="U842" s="37" t="s">
        <v>109</v>
      </c>
      <c r="V842" s="37" t="s">
        <v>72</v>
      </c>
      <c r="W842" s="37" t="s">
        <v>99</v>
      </c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</row>
    <row r="843" spans="1:37">
      <c r="A843" s="37"/>
      <c r="B843" s="37"/>
      <c r="C843" s="37"/>
      <c r="D843" s="37" t="s">
        <v>955</v>
      </c>
      <c r="E843" s="37" t="s">
        <v>2709</v>
      </c>
      <c r="F843" s="37" t="s">
        <v>2713</v>
      </c>
      <c r="G843" s="37" t="s">
        <v>2710</v>
      </c>
      <c r="H843" s="37" t="s">
        <v>2711</v>
      </c>
      <c r="I843" s="37" t="s">
        <v>82</v>
      </c>
      <c r="J843" s="37" t="s">
        <v>83</v>
      </c>
      <c r="K843" s="40" t="s">
        <v>290</v>
      </c>
      <c r="L843" s="37" t="s">
        <v>64</v>
      </c>
      <c r="M843" s="37" t="s">
        <v>2712</v>
      </c>
      <c r="N843" s="37"/>
      <c r="O843" s="37" t="s">
        <v>6230</v>
      </c>
      <c r="P843" s="37" t="s">
        <v>292</v>
      </c>
      <c r="Q843" s="37" t="s">
        <v>14</v>
      </c>
      <c r="R843" s="37"/>
      <c r="S843" s="37"/>
      <c r="T843" s="37" t="s">
        <v>69</v>
      </c>
      <c r="U843" s="37" t="s">
        <v>109</v>
      </c>
      <c r="V843" s="37" t="s">
        <v>72</v>
      </c>
      <c r="W843" s="37" t="s">
        <v>89</v>
      </c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</row>
    <row r="844" spans="1:37">
      <c r="A844" s="37"/>
      <c r="B844" s="37"/>
      <c r="C844" s="37"/>
      <c r="D844" s="37" t="s">
        <v>2317</v>
      </c>
      <c r="E844" s="37" t="s">
        <v>5480</v>
      </c>
      <c r="F844" s="37" t="s">
        <v>5484</v>
      </c>
      <c r="G844" s="37" t="s">
        <v>5481</v>
      </c>
      <c r="H844" s="37"/>
      <c r="I844" s="37" t="s">
        <v>226</v>
      </c>
      <c r="J844" s="37" t="s">
        <v>214</v>
      </c>
      <c r="K844" s="40" t="s">
        <v>1234</v>
      </c>
      <c r="L844" s="37" t="s">
        <v>64</v>
      </c>
      <c r="M844" s="37" t="s">
        <v>5482</v>
      </c>
      <c r="N844" s="37" t="s">
        <v>5483</v>
      </c>
      <c r="O844" s="37" t="s">
        <v>631</v>
      </c>
      <c r="P844" s="37" t="s">
        <v>647</v>
      </c>
      <c r="Q844" s="37" t="s">
        <v>10</v>
      </c>
      <c r="R844" s="37"/>
      <c r="S844" s="37"/>
      <c r="T844" s="37"/>
      <c r="U844" s="37"/>
      <c r="V844" s="37" t="s">
        <v>67</v>
      </c>
      <c r="W844" s="37" t="s">
        <v>89</v>
      </c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</row>
    <row r="845" spans="1:37">
      <c r="A845" s="37"/>
      <c r="B845" s="37"/>
      <c r="C845" s="37"/>
      <c r="D845" s="37" t="s">
        <v>555</v>
      </c>
      <c r="E845" s="37" t="s">
        <v>4063</v>
      </c>
      <c r="F845" s="37" t="s">
        <v>4066</v>
      </c>
      <c r="G845" s="37" t="s">
        <v>4064</v>
      </c>
      <c r="H845" s="37"/>
      <c r="I845" s="37" t="s">
        <v>420</v>
      </c>
      <c r="J845" s="37" t="s">
        <v>75</v>
      </c>
      <c r="K845" s="40" t="s">
        <v>698</v>
      </c>
      <c r="L845" s="37" t="s">
        <v>64</v>
      </c>
      <c r="M845" s="37" t="s">
        <v>4065</v>
      </c>
      <c r="N845" s="37"/>
      <c r="O845" s="37" t="s">
        <v>631</v>
      </c>
      <c r="P845" s="37" t="s">
        <v>878</v>
      </c>
      <c r="Q845" s="37" t="s">
        <v>10</v>
      </c>
      <c r="R845" s="37"/>
      <c r="S845" s="37"/>
      <c r="T845" s="37" t="s">
        <v>115</v>
      </c>
      <c r="U845" s="37"/>
      <c r="V845" s="37" t="s">
        <v>118</v>
      </c>
      <c r="W845" s="37" t="s">
        <v>110</v>
      </c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</row>
    <row r="846" spans="1:37">
      <c r="A846" s="37"/>
      <c r="B846" s="37"/>
      <c r="C846" s="37"/>
      <c r="D846" s="37" t="s">
        <v>532</v>
      </c>
      <c r="E846" s="37" t="s">
        <v>351</v>
      </c>
      <c r="F846" s="37" t="s">
        <v>6231</v>
      </c>
      <c r="G846" s="37" t="s">
        <v>6232</v>
      </c>
      <c r="H846" s="37"/>
      <c r="I846" s="37" t="s">
        <v>401</v>
      </c>
      <c r="J846" s="37" t="s">
        <v>208</v>
      </c>
      <c r="K846" s="40" t="s">
        <v>6233</v>
      </c>
      <c r="L846" s="37" t="s">
        <v>64</v>
      </c>
      <c r="M846" s="37" t="s">
        <v>6234</v>
      </c>
      <c r="N846" s="37"/>
      <c r="O846" s="37" t="s">
        <v>631</v>
      </c>
      <c r="P846" s="37" t="s">
        <v>647</v>
      </c>
      <c r="Q846" s="37" t="s">
        <v>18</v>
      </c>
      <c r="R846" s="37"/>
      <c r="S846" s="37"/>
      <c r="T846" s="37" t="s">
        <v>69</v>
      </c>
      <c r="U846" s="37"/>
      <c r="V846" s="37" t="s">
        <v>67</v>
      </c>
      <c r="W846" s="37" t="s">
        <v>89</v>
      </c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</row>
    <row r="847" spans="1:37">
      <c r="A847" s="37"/>
      <c r="B847" s="37"/>
      <c r="C847" s="37"/>
      <c r="D847" s="37" t="s">
        <v>6235</v>
      </c>
      <c r="E847" s="37" t="s">
        <v>630</v>
      </c>
      <c r="F847" s="37" t="s">
        <v>6236</v>
      </c>
      <c r="G847" s="37" t="s">
        <v>6237</v>
      </c>
      <c r="H847" s="37"/>
      <c r="I847" s="37" t="s">
        <v>6238</v>
      </c>
      <c r="J847" s="37" t="s">
        <v>121</v>
      </c>
      <c r="K847" s="40" t="s">
        <v>6239</v>
      </c>
      <c r="L847" s="37" t="s">
        <v>64</v>
      </c>
      <c r="M847" s="37" t="s">
        <v>6240</v>
      </c>
      <c r="N847" s="37" t="s">
        <v>6241</v>
      </c>
      <c r="O847" s="37" t="s">
        <v>631</v>
      </c>
      <c r="P847" s="37" t="s">
        <v>632</v>
      </c>
      <c r="Q847" s="37" t="s">
        <v>71</v>
      </c>
      <c r="R847" s="37"/>
      <c r="S847" s="37"/>
      <c r="T847" s="37" t="s">
        <v>69</v>
      </c>
      <c r="U847" s="37" t="s">
        <v>116</v>
      </c>
      <c r="V847" s="37" t="s">
        <v>67</v>
      </c>
      <c r="W847" s="37" t="s">
        <v>97</v>
      </c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</row>
    <row r="848" spans="1:37">
      <c r="A848" s="37"/>
      <c r="B848" s="37"/>
      <c r="C848" s="37"/>
      <c r="D848" s="37" t="s">
        <v>742</v>
      </c>
      <c r="E848" s="37" t="s">
        <v>874</v>
      </c>
      <c r="F848" s="37" t="s">
        <v>880</v>
      </c>
      <c r="G848" s="37" t="s">
        <v>875</v>
      </c>
      <c r="H848" s="37"/>
      <c r="I848" s="37" t="s">
        <v>427</v>
      </c>
      <c r="J848" s="37" t="s">
        <v>256</v>
      </c>
      <c r="K848" s="40" t="s">
        <v>682</v>
      </c>
      <c r="L848" s="37" t="s">
        <v>64</v>
      </c>
      <c r="M848" s="37" t="s">
        <v>876</v>
      </c>
      <c r="N848" s="37" t="s">
        <v>877</v>
      </c>
      <c r="O848" s="37" t="s">
        <v>631</v>
      </c>
      <c r="P848" s="37" t="s">
        <v>878</v>
      </c>
      <c r="Q848" s="37" t="s">
        <v>17</v>
      </c>
      <c r="R848" s="37" t="s">
        <v>879</v>
      </c>
      <c r="S848" s="37"/>
      <c r="T848" s="37" t="s">
        <v>66</v>
      </c>
      <c r="U848" s="37"/>
      <c r="V848" s="37" t="s">
        <v>67</v>
      </c>
      <c r="W848" s="37" t="s">
        <v>89</v>
      </c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</row>
    <row r="849" spans="1:37">
      <c r="A849" s="37"/>
      <c r="B849" s="37"/>
      <c r="C849" s="37"/>
      <c r="D849" s="37" t="s">
        <v>1091</v>
      </c>
      <c r="E849" s="37" t="s">
        <v>1092</v>
      </c>
      <c r="F849" s="37" t="s">
        <v>1098</v>
      </c>
      <c r="G849" s="37" t="s">
        <v>1093</v>
      </c>
      <c r="H849" s="37"/>
      <c r="I849" s="37" t="s">
        <v>427</v>
      </c>
      <c r="J849" s="37" t="s">
        <v>256</v>
      </c>
      <c r="K849" s="40" t="s">
        <v>682</v>
      </c>
      <c r="L849" s="37" t="s">
        <v>64</v>
      </c>
      <c r="M849" s="37" t="s">
        <v>1094</v>
      </c>
      <c r="N849" s="37" t="s">
        <v>1095</v>
      </c>
      <c r="O849" s="37" t="s">
        <v>631</v>
      </c>
      <c r="P849" s="37" t="s">
        <v>1096</v>
      </c>
      <c r="Q849" s="37" t="s">
        <v>17</v>
      </c>
      <c r="R849" s="37" t="s">
        <v>1097</v>
      </c>
      <c r="S849" s="37"/>
      <c r="T849" s="37"/>
      <c r="U849" s="37" t="s">
        <v>254</v>
      </c>
      <c r="V849" s="37" t="s">
        <v>88</v>
      </c>
      <c r="W849" s="37" t="s">
        <v>99</v>
      </c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</row>
    <row r="850" spans="1:37">
      <c r="A850" s="37"/>
      <c r="B850" s="37"/>
      <c r="C850" s="37"/>
      <c r="D850" s="37" t="s">
        <v>921</v>
      </c>
      <c r="E850" s="37" t="s">
        <v>1099</v>
      </c>
      <c r="F850" s="37" t="s">
        <v>1105</v>
      </c>
      <c r="G850" s="37" t="s">
        <v>1100</v>
      </c>
      <c r="H850" s="37" t="s">
        <v>1101</v>
      </c>
      <c r="I850" s="37" t="s">
        <v>537</v>
      </c>
      <c r="J850" s="37" t="s">
        <v>425</v>
      </c>
      <c r="K850" s="40" t="s">
        <v>1102</v>
      </c>
      <c r="L850" s="37" t="s">
        <v>64</v>
      </c>
      <c r="M850" s="37" t="s">
        <v>1103</v>
      </c>
      <c r="N850" s="37" t="s">
        <v>1104</v>
      </c>
      <c r="O850" s="37" t="s">
        <v>631</v>
      </c>
      <c r="P850" s="37" t="s">
        <v>647</v>
      </c>
      <c r="Q850" s="37" t="s">
        <v>98</v>
      </c>
      <c r="R850" s="37"/>
      <c r="S850" s="37"/>
      <c r="T850" s="37" t="s">
        <v>69</v>
      </c>
      <c r="U850" s="37" t="s">
        <v>87</v>
      </c>
      <c r="V850" s="37" t="s">
        <v>118</v>
      </c>
      <c r="W850" s="37" t="s">
        <v>89</v>
      </c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</row>
    <row r="851" spans="1:37">
      <c r="A851" s="37"/>
      <c r="B851" s="37"/>
      <c r="C851" s="37"/>
      <c r="D851" s="37" t="s">
        <v>994</v>
      </c>
      <c r="E851" s="37" t="s">
        <v>3100</v>
      </c>
      <c r="F851" s="37" t="s">
        <v>3104</v>
      </c>
      <c r="G851" s="37" t="s">
        <v>3101</v>
      </c>
      <c r="H851" s="37"/>
      <c r="I851" s="37" t="s">
        <v>139</v>
      </c>
      <c r="J851" s="37" t="s">
        <v>121</v>
      </c>
      <c r="K851" s="40" t="s">
        <v>3102</v>
      </c>
      <c r="L851" s="37" t="s">
        <v>64</v>
      </c>
      <c r="M851" s="37" t="s">
        <v>3103</v>
      </c>
      <c r="N851" s="37"/>
      <c r="O851" s="37" t="s">
        <v>631</v>
      </c>
      <c r="P851" s="37" t="s">
        <v>632</v>
      </c>
      <c r="Q851" s="37" t="s">
        <v>14</v>
      </c>
      <c r="R851" s="37"/>
      <c r="S851" s="37"/>
      <c r="T851" s="37" t="s">
        <v>66</v>
      </c>
      <c r="U851" s="37"/>
      <c r="V851" s="37" t="s">
        <v>118</v>
      </c>
      <c r="W851" s="37" t="s">
        <v>99</v>
      </c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</row>
    <row r="852" spans="1:37">
      <c r="A852" s="37"/>
      <c r="B852" s="37"/>
      <c r="C852" s="37"/>
      <c r="D852" s="37" t="s">
        <v>1425</v>
      </c>
      <c r="E852" s="37" t="s">
        <v>1426</v>
      </c>
      <c r="F852" s="37" t="s">
        <v>1432</v>
      </c>
      <c r="G852" s="37" t="s">
        <v>1427</v>
      </c>
      <c r="H852" s="37" t="s">
        <v>1428</v>
      </c>
      <c r="I852" s="37" t="s">
        <v>423</v>
      </c>
      <c r="J852" s="37" t="s">
        <v>153</v>
      </c>
      <c r="K852" s="40" t="s">
        <v>1429</v>
      </c>
      <c r="L852" s="37" t="s">
        <v>64</v>
      </c>
      <c r="M852" s="37" t="s">
        <v>1430</v>
      </c>
      <c r="N852" s="37"/>
      <c r="O852" s="37" t="s">
        <v>631</v>
      </c>
      <c r="P852" s="37" t="s">
        <v>878</v>
      </c>
      <c r="Q852" s="37" t="s">
        <v>16</v>
      </c>
      <c r="R852" s="37"/>
      <c r="S852" s="37"/>
      <c r="T852" s="37" t="s">
        <v>66</v>
      </c>
      <c r="U852" s="37"/>
      <c r="V852" s="37" t="s">
        <v>118</v>
      </c>
      <c r="W852" s="37" t="s">
        <v>89</v>
      </c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</row>
    <row r="853" spans="1:37">
      <c r="A853" s="37"/>
      <c r="B853" s="37"/>
      <c r="C853" s="37"/>
      <c r="D853" s="37" t="s">
        <v>702</v>
      </c>
      <c r="E853" s="37" t="s">
        <v>4216</v>
      </c>
      <c r="F853" s="37" t="s">
        <v>4220</v>
      </c>
      <c r="G853" s="37" t="s">
        <v>4217</v>
      </c>
      <c r="H853" s="37"/>
      <c r="I853" s="37" t="s">
        <v>1850</v>
      </c>
      <c r="J853" s="37" t="s">
        <v>1851</v>
      </c>
      <c r="K853" s="40" t="s">
        <v>2785</v>
      </c>
      <c r="L853" s="37" t="s">
        <v>64</v>
      </c>
      <c r="M853" s="37" t="s">
        <v>4218</v>
      </c>
      <c r="N853" s="37" t="s">
        <v>4219</v>
      </c>
      <c r="O853" s="37" t="s">
        <v>631</v>
      </c>
      <c r="P853" s="37" t="s">
        <v>632</v>
      </c>
      <c r="Q853" s="37" t="s">
        <v>98</v>
      </c>
      <c r="R853" s="37"/>
      <c r="S853" s="37"/>
      <c r="T853" s="37"/>
      <c r="U853" s="37"/>
      <c r="V853" s="37" t="s">
        <v>67</v>
      </c>
      <c r="W853" s="37" t="s">
        <v>89</v>
      </c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</row>
    <row r="854" spans="1:37">
      <c r="A854" s="37"/>
      <c r="B854" s="37"/>
      <c r="C854" s="37"/>
      <c r="D854" s="37" t="s">
        <v>1261</v>
      </c>
      <c r="E854" s="37" t="s">
        <v>6242</v>
      </c>
      <c r="F854" s="37" t="s">
        <v>6243</v>
      </c>
      <c r="G854" s="37" t="s">
        <v>6244</v>
      </c>
      <c r="H854" s="37"/>
      <c r="I854" s="37" t="s">
        <v>1850</v>
      </c>
      <c r="J854" s="37" t="s">
        <v>1851</v>
      </c>
      <c r="K854" s="40" t="s">
        <v>2785</v>
      </c>
      <c r="L854" s="37" t="s">
        <v>64</v>
      </c>
      <c r="M854" s="37" t="s">
        <v>6245</v>
      </c>
      <c r="N854" s="37"/>
      <c r="O854" s="37" t="s">
        <v>631</v>
      </c>
      <c r="P854" s="37" t="s">
        <v>647</v>
      </c>
      <c r="Q854" s="37" t="s">
        <v>98</v>
      </c>
      <c r="R854" s="37"/>
      <c r="S854" s="37"/>
      <c r="T854" s="37" t="s">
        <v>66</v>
      </c>
      <c r="U854" s="37"/>
      <c r="V854" s="37" t="s">
        <v>67</v>
      </c>
      <c r="W854" s="37" t="s">
        <v>89</v>
      </c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</row>
    <row r="855" spans="1:37">
      <c r="A855" s="37"/>
      <c r="B855" s="37"/>
      <c r="C855" s="37"/>
      <c r="D855" s="37" t="s">
        <v>1799</v>
      </c>
      <c r="E855" s="37" t="s">
        <v>1800</v>
      </c>
      <c r="F855" s="37" t="s">
        <v>1806</v>
      </c>
      <c r="G855" s="37" t="s">
        <v>1801</v>
      </c>
      <c r="H855" s="37" t="s">
        <v>1802</v>
      </c>
      <c r="I855" s="37" t="s">
        <v>1803</v>
      </c>
      <c r="J855" s="37" t="s">
        <v>153</v>
      </c>
      <c r="K855" s="40" t="s">
        <v>1804</v>
      </c>
      <c r="L855" s="37" t="s">
        <v>64</v>
      </c>
      <c r="M855" s="37" t="s">
        <v>1805</v>
      </c>
      <c r="N855" s="37"/>
      <c r="O855" s="37" t="s">
        <v>631</v>
      </c>
      <c r="P855" s="37" t="s">
        <v>632</v>
      </c>
      <c r="Q855" s="37" t="s">
        <v>16</v>
      </c>
      <c r="R855" s="37"/>
      <c r="S855" s="37"/>
      <c r="T855" s="37" t="s">
        <v>158</v>
      </c>
      <c r="U855" s="37" t="s">
        <v>116</v>
      </c>
      <c r="V855" s="37" t="s">
        <v>72</v>
      </c>
      <c r="W855" s="37" t="s">
        <v>73</v>
      </c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</row>
    <row r="856" spans="1:37">
      <c r="A856" s="37"/>
      <c r="B856" s="37"/>
      <c r="C856" s="37"/>
      <c r="D856" s="37" t="s">
        <v>1223</v>
      </c>
      <c r="E856" s="37" t="s">
        <v>1841</v>
      </c>
      <c r="F856" s="37" t="s">
        <v>1843</v>
      </c>
      <c r="G856" s="37" t="s">
        <v>1100</v>
      </c>
      <c r="H856" s="37" t="s">
        <v>1101</v>
      </c>
      <c r="I856" s="37" t="s">
        <v>537</v>
      </c>
      <c r="J856" s="37" t="s">
        <v>425</v>
      </c>
      <c r="K856" s="40" t="s">
        <v>1102</v>
      </c>
      <c r="L856" s="37" t="s">
        <v>64</v>
      </c>
      <c r="M856" s="37" t="s">
        <v>1842</v>
      </c>
      <c r="N856" s="37" t="s">
        <v>1104</v>
      </c>
      <c r="O856" s="37" t="s">
        <v>631</v>
      </c>
      <c r="P856" s="37" t="s">
        <v>647</v>
      </c>
      <c r="Q856" s="37" t="s">
        <v>98</v>
      </c>
      <c r="R856" s="37"/>
      <c r="S856" s="37"/>
      <c r="T856" s="37" t="s">
        <v>69</v>
      </c>
      <c r="U856" s="37" t="s">
        <v>130</v>
      </c>
      <c r="V856" s="37" t="s">
        <v>72</v>
      </c>
      <c r="W856" s="37" t="s">
        <v>89</v>
      </c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</row>
    <row r="857" spans="1:37">
      <c r="A857" s="37"/>
      <c r="B857" s="37"/>
      <c r="C857" s="37"/>
      <c r="D857" s="37" t="s">
        <v>282</v>
      </c>
      <c r="E857" s="37" t="s">
        <v>2777</v>
      </c>
      <c r="F857" s="37" t="s">
        <v>2781</v>
      </c>
      <c r="G857" s="37" t="s">
        <v>2778</v>
      </c>
      <c r="H857" s="37"/>
      <c r="I857" s="37" t="s">
        <v>2323</v>
      </c>
      <c r="J857" s="37" t="s">
        <v>1365</v>
      </c>
      <c r="K857" s="40" t="s">
        <v>2779</v>
      </c>
      <c r="L857" s="37" t="s">
        <v>64</v>
      </c>
      <c r="M857" s="37" t="s">
        <v>2780</v>
      </c>
      <c r="N857" s="37"/>
      <c r="O857" s="37" t="s">
        <v>631</v>
      </c>
      <c r="P857" s="37" t="s">
        <v>647</v>
      </c>
      <c r="Q857" s="37" t="s">
        <v>17</v>
      </c>
      <c r="R857" s="37"/>
      <c r="S857" s="37"/>
      <c r="T857" s="37"/>
      <c r="U857" s="37"/>
      <c r="V857" s="37" t="s">
        <v>88</v>
      </c>
      <c r="W857" s="37" t="s">
        <v>89</v>
      </c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</row>
    <row r="858" spans="1:37">
      <c r="A858" s="37"/>
      <c r="B858" s="37"/>
      <c r="C858" s="37"/>
      <c r="D858" s="37" t="s">
        <v>2782</v>
      </c>
      <c r="E858" s="37" t="s">
        <v>2783</v>
      </c>
      <c r="F858" s="37" t="s">
        <v>2787</v>
      </c>
      <c r="G858" s="37" t="s">
        <v>2784</v>
      </c>
      <c r="H858" s="37"/>
      <c r="I858" s="37" t="s">
        <v>1850</v>
      </c>
      <c r="J858" s="37" t="s">
        <v>1851</v>
      </c>
      <c r="K858" s="40" t="s">
        <v>2785</v>
      </c>
      <c r="L858" s="37" t="s">
        <v>64</v>
      </c>
      <c r="M858" s="37" t="s">
        <v>2786</v>
      </c>
      <c r="N858" s="37"/>
      <c r="O858" s="37" t="s">
        <v>631</v>
      </c>
      <c r="P858" s="37" t="s">
        <v>647</v>
      </c>
      <c r="Q858" s="37" t="s">
        <v>98</v>
      </c>
      <c r="R858" s="37"/>
      <c r="S858" s="37"/>
      <c r="T858" s="37" t="s">
        <v>66</v>
      </c>
      <c r="U858" s="37" t="s">
        <v>116</v>
      </c>
      <c r="V858" s="37" t="s">
        <v>67</v>
      </c>
      <c r="W858" s="37" t="s">
        <v>99</v>
      </c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</row>
    <row r="859" spans="1:37">
      <c r="A859" s="37"/>
      <c r="B859" s="37"/>
      <c r="C859" s="37"/>
      <c r="D859" s="37" t="s">
        <v>101</v>
      </c>
      <c r="E859" s="37" t="s">
        <v>3312</v>
      </c>
      <c r="F859" s="37" t="s">
        <v>3314</v>
      </c>
      <c r="G859" s="37" t="s">
        <v>3313</v>
      </c>
      <c r="H859" s="37"/>
      <c r="I859" s="37" t="s">
        <v>420</v>
      </c>
      <c r="J859" s="37" t="s">
        <v>75</v>
      </c>
      <c r="K859" s="40" t="s">
        <v>698</v>
      </c>
      <c r="L859" s="37" t="s">
        <v>64</v>
      </c>
      <c r="M859" s="37" t="s">
        <v>1242</v>
      </c>
      <c r="N859" s="37"/>
      <c r="O859" s="37" t="s">
        <v>631</v>
      </c>
      <c r="P859" s="37" t="s">
        <v>632</v>
      </c>
      <c r="Q859" s="37" t="s">
        <v>10</v>
      </c>
      <c r="R859" s="37"/>
      <c r="S859" s="37"/>
      <c r="T859" s="37" t="s">
        <v>158</v>
      </c>
      <c r="U859" s="37" t="s">
        <v>69</v>
      </c>
      <c r="V859" s="37" t="s">
        <v>72</v>
      </c>
      <c r="W859" s="37" t="s">
        <v>69</v>
      </c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</row>
    <row r="860" spans="1:37">
      <c r="A860" s="37"/>
      <c r="B860" s="37"/>
      <c r="C860" s="37"/>
      <c r="D860" s="37" t="s">
        <v>1073</v>
      </c>
      <c r="E860" s="37" t="s">
        <v>3330</v>
      </c>
      <c r="F860" s="37" t="s">
        <v>3336</v>
      </c>
      <c r="G860" s="37" t="s">
        <v>3331</v>
      </c>
      <c r="H860" s="37" t="s">
        <v>1074</v>
      </c>
      <c r="I860" s="37" t="s">
        <v>427</v>
      </c>
      <c r="J860" s="37" t="s">
        <v>256</v>
      </c>
      <c r="K860" s="40" t="s">
        <v>3332</v>
      </c>
      <c r="L860" s="37" t="s">
        <v>64</v>
      </c>
      <c r="M860" s="37" t="s">
        <v>3333</v>
      </c>
      <c r="N860" s="37" t="s">
        <v>3334</v>
      </c>
      <c r="O860" s="37" t="s">
        <v>631</v>
      </c>
      <c r="P860" s="37" t="s">
        <v>632</v>
      </c>
      <c r="Q860" s="37" t="s">
        <v>17</v>
      </c>
      <c r="R860" s="37"/>
      <c r="S860" s="37"/>
      <c r="T860" s="37" t="s">
        <v>69</v>
      </c>
      <c r="U860" s="37" t="s">
        <v>69</v>
      </c>
      <c r="V860" s="37" t="s">
        <v>67</v>
      </c>
      <c r="W860" s="37" t="s">
        <v>69</v>
      </c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</row>
    <row r="861" spans="1:37">
      <c r="A861" s="37" t="s">
        <v>210</v>
      </c>
      <c r="B861" s="37"/>
      <c r="C861" s="37"/>
      <c r="D861" s="37" t="s">
        <v>3555</v>
      </c>
      <c r="E861" s="37" t="s">
        <v>2245</v>
      </c>
      <c r="F861" s="37" t="s">
        <v>3559</v>
      </c>
      <c r="G861" s="37" t="s">
        <v>3096</v>
      </c>
      <c r="H861" s="37" t="s">
        <v>3556</v>
      </c>
      <c r="I861" s="37" t="s">
        <v>420</v>
      </c>
      <c r="J861" s="37" t="s">
        <v>75</v>
      </c>
      <c r="K861" s="40" t="s">
        <v>698</v>
      </c>
      <c r="L861" s="37" t="s">
        <v>64</v>
      </c>
      <c r="M861" s="37" t="s">
        <v>3557</v>
      </c>
      <c r="N861" s="37" t="s">
        <v>3558</v>
      </c>
      <c r="O861" s="37" t="s">
        <v>631</v>
      </c>
      <c r="P861" s="37" t="s">
        <v>1096</v>
      </c>
      <c r="Q861" s="37" t="s">
        <v>10</v>
      </c>
      <c r="R861" s="37" t="s">
        <v>3335</v>
      </c>
      <c r="S861" s="37" t="s">
        <v>210</v>
      </c>
      <c r="T861" s="37" t="s">
        <v>115</v>
      </c>
      <c r="U861" s="37" t="s">
        <v>116</v>
      </c>
      <c r="V861" s="37" t="s">
        <v>118</v>
      </c>
      <c r="W861" s="37" t="s">
        <v>73</v>
      </c>
      <c r="X861" s="25"/>
      <c r="Y861" s="25"/>
      <c r="Z861" s="25"/>
      <c r="AA861" s="25"/>
      <c r="AB861" s="25"/>
      <c r="AC861" s="25"/>
      <c r="AD861" s="25"/>
      <c r="AE861" s="25"/>
      <c r="AF861" s="26"/>
      <c r="AG861" s="25"/>
      <c r="AH861" s="25"/>
      <c r="AI861" s="25"/>
      <c r="AJ861" s="25"/>
      <c r="AK861" s="25"/>
    </row>
    <row r="862" spans="1:37">
      <c r="A862" s="37"/>
      <c r="B862" s="37"/>
      <c r="C862" s="37"/>
      <c r="D862" s="37" t="s">
        <v>4358</v>
      </c>
      <c r="E862" s="37" t="s">
        <v>4359</v>
      </c>
      <c r="F862" s="37" t="s">
        <v>4363</v>
      </c>
      <c r="G862" s="37" t="s">
        <v>4360</v>
      </c>
      <c r="H862" s="37"/>
      <c r="I862" s="37" t="s">
        <v>420</v>
      </c>
      <c r="J862" s="37" t="s">
        <v>75</v>
      </c>
      <c r="K862" s="40" t="s">
        <v>698</v>
      </c>
      <c r="L862" s="37" t="s">
        <v>64</v>
      </c>
      <c r="M862" s="37" t="s">
        <v>4361</v>
      </c>
      <c r="N862" s="37" t="s">
        <v>4362</v>
      </c>
      <c r="O862" s="37" t="s">
        <v>631</v>
      </c>
      <c r="P862" s="37" t="s">
        <v>632</v>
      </c>
      <c r="Q862" s="37" t="s">
        <v>10</v>
      </c>
      <c r="R862" s="37"/>
      <c r="S862" s="37"/>
      <c r="T862" s="37"/>
      <c r="U862" s="37"/>
      <c r="V862" s="37" t="s">
        <v>72</v>
      </c>
      <c r="W862" s="37" t="s">
        <v>73</v>
      </c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</row>
    <row r="863" spans="1:37">
      <c r="A863" s="37"/>
      <c r="B863" s="37"/>
      <c r="C863" s="37"/>
      <c r="D863" s="37" t="s">
        <v>3572</v>
      </c>
      <c r="E863" s="37" t="s">
        <v>2322</v>
      </c>
      <c r="F863" s="37" t="s">
        <v>3576</v>
      </c>
      <c r="G863" s="37" t="s">
        <v>3766</v>
      </c>
      <c r="H863" s="37" t="s">
        <v>3767</v>
      </c>
      <c r="I863" s="37" t="s">
        <v>3768</v>
      </c>
      <c r="J863" s="37" t="s">
        <v>1143</v>
      </c>
      <c r="K863" s="40" t="s">
        <v>3573</v>
      </c>
      <c r="L863" s="37" t="s">
        <v>64</v>
      </c>
      <c r="M863" s="37" t="s">
        <v>3574</v>
      </c>
      <c r="N863" s="37" t="s">
        <v>3575</v>
      </c>
      <c r="O863" s="37" t="s">
        <v>631</v>
      </c>
      <c r="P863" s="37" t="s">
        <v>647</v>
      </c>
      <c r="Q863" s="37" t="s">
        <v>4</v>
      </c>
      <c r="R863" s="37"/>
      <c r="S863" s="37"/>
      <c r="T863" s="37"/>
      <c r="U863" s="37"/>
      <c r="V863" s="37" t="s">
        <v>67</v>
      </c>
      <c r="W863" s="37" t="s">
        <v>89</v>
      </c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</row>
    <row r="864" spans="1:37">
      <c r="A864" s="37"/>
      <c r="B864" s="37"/>
      <c r="C864" s="37"/>
      <c r="D864" s="37" t="s">
        <v>2362</v>
      </c>
      <c r="E864" s="37" t="s">
        <v>2363</v>
      </c>
      <c r="F864" s="37" t="s">
        <v>2366</v>
      </c>
      <c r="G864" s="37" t="s">
        <v>1801</v>
      </c>
      <c r="H864" s="37"/>
      <c r="I864" s="37" t="s">
        <v>1803</v>
      </c>
      <c r="J864" s="37" t="s">
        <v>153</v>
      </c>
      <c r="K864" s="40" t="s">
        <v>1804</v>
      </c>
      <c r="L864" s="37" t="s">
        <v>64</v>
      </c>
      <c r="M864" s="37" t="s">
        <v>2364</v>
      </c>
      <c r="N864" s="37" t="s">
        <v>2365</v>
      </c>
      <c r="O864" s="37" t="s">
        <v>631</v>
      </c>
      <c r="P864" s="37" t="s">
        <v>632</v>
      </c>
      <c r="Q864" s="37" t="s">
        <v>16</v>
      </c>
      <c r="R864" s="37"/>
      <c r="S864" s="37"/>
      <c r="T864" s="37" t="s">
        <v>115</v>
      </c>
      <c r="U864" s="37"/>
      <c r="V864" s="37" t="s">
        <v>118</v>
      </c>
      <c r="W864" s="37" t="s">
        <v>89</v>
      </c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</row>
    <row r="865" spans="1:37">
      <c r="A865" s="37"/>
      <c r="B865" s="37"/>
      <c r="C865" s="37"/>
      <c r="D865" s="37" t="s">
        <v>211</v>
      </c>
      <c r="E865" s="37" t="s">
        <v>2434</v>
      </c>
      <c r="F865" s="37" t="s">
        <v>2439</v>
      </c>
      <c r="G865" s="37" t="s">
        <v>1241</v>
      </c>
      <c r="H865" s="37" t="s">
        <v>2435</v>
      </c>
      <c r="I865" s="37" t="s">
        <v>2436</v>
      </c>
      <c r="J865" s="37" t="s">
        <v>256</v>
      </c>
      <c r="K865" s="40" t="s">
        <v>682</v>
      </c>
      <c r="L865" s="37" t="s">
        <v>64</v>
      </c>
      <c r="M865" s="37" t="s">
        <v>2437</v>
      </c>
      <c r="N865" s="37" t="s">
        <v>2438</v>
      </c>
      <c r="O865" s="37" t="s">
        <v>631</v>
      </c>
      <c r="P865" s="37" t="s">
        <v>632</v>
      </c>
      <c r="Q865" s="37" t="s">
        <v>17</v>
      </c>
      <c r="R865" s="37"/>
      <c r="S865" s="37"/>
      <c r="T865" s="37" t="s">
        <v>69</v>
      </c>
      <c r="U865" s="37" t="s">
        <v>116</v>
      </c>
      <c r="V865" s="37" t="s">
        <v>77</v>
      </c>
      <c r="W865" s="37" t="s">
        <v>89</v>
      </c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</row>
    <row r="866" spans="1:37">
      <c r="A866" s="37"/>
      <c r="B866" s="37"/>
      <c r="C866" s="37"/>
      <c r="D866" s="37" t="s">
        <v>905</v>
      </c>
      <c r="E866" s="37" t="s">
        <v>2621</v>
      </c>
      <c r="F866" s="37" t="s">
        <v>2861</v>
      </c>
      <c r="G866" s="37" t="s">
        <v>3101</v>
      </c>
      <c r="H866" s="37"/>
      <c r="I866" s="37" t="s">
        <v>139</v>
      </c>
      <c r="J866" s="37" t="s">
        <v>121</v>
      </c>
      <c r="K866" s="40" t="s">
        <v>3102</v>
      </c>
      <c r="L866" s="37" t="s">
        <v>64</v>
      </c>
      <c r="M866" s="37" t="s">
        <v>2859</v>
      </c>
      <c r="N866" s="37" t="s">
        <v>2860</v>
      </c>
      <c r="O866" s="37" t="s">
        <v>631</v>
      </c>
      <c r="P866" s="37" t="s">
        <v>632</v>
      </c>
      <c r="Q866" s="37" t="s">
        <v>14</v>
      </c>
      <c r="R866" s="37"/>
      <c r="S866" s="37"/>
      <c r="T866" s="37" t="s">
        <v>144</v>
      </c>
      <c r="U866" s="37" t="s">
        <v>116</v>
      </c>
      <c r="V866" s="37" t="s">
        <v>118</v>
      </c>
      <c r="W866" s="37" t="s">
        <v>89</v>
      </c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</row>
    <row r="867" spans="1:37">
      <c r="A867" s="37"/>
      <c r="B867" s="37"/>
      <c r="C867" s="37"/>
      <c r="D867" s="37" t="s">
        <v>494</v>
      </c>
      <c r="E867" s="37" t="s">
        <v>6246</v>
      </c>
      <c r="F867" s="37" t="s">
        <v>6247</v>
      </c>
      <c r="G867" s="37" t="s">
        <v>6248</v>
      </c>
      <c r="H867" s="37"/>
      <c r="I867" s="37" t="s">
        <v>6249</v>
      </c>
      <c r="J867" s="37" t="s">
        <v>230</v>
      </c>
      <c r="K867" s="40" t="s">
        <v>6250</v>
      </c>
      <c r="L867" s="37" t="s">
        <v>64</v>
      </c>
      <c r="M867" s="37" t="s">
        <v>6251</v>
      </c>
      <c r="N867" s="37" t="s">
        <v>6252</v>
      </c>
      <c r="O867" s="37" t="s">
        <v>631</v>
      </c>
      <c r="P867" s="37" t="s">
        <v>647</v>
      </c>
      <c r="Q867" s="37" t="s">
        <v>10</v>
      </c>
      <c r="R867" s="37"/>
      <c r="S867" s="37"/>
      <c r="T867" s="37" t="s">
        <v>115</v>
      </c>
      <c r="U867" s="37" t="s">
        <v>69</v>
      </c>
      <c r="V867" s="37" t="s">
        <v>72</v>
      </c>
      <c r="W867" s="37" t="s">
        <v>89</v>
      </c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</row>
    <row r="868" spans="1:37">
      <c r="A868" s="37"/>
      <c r="B868" s="37"/>
      <c r="C868" s="37"/>
      <c r="D868" s="37" t="s">
        <v>483</v>
      </c>
      <c r="E868" s="37" t="s">
        <v>4534</v>
      </c>
      <c r="F868" s="37" t="s">
        <v>4539</v>
      </c>
      <c r="G868" s="37" t="s">
        <v>4535</v>
      </c>
      <c r="H868" s="37"/>
      <c r="I868" s="37" t="s">
        <v>4536</v>
      </c>
      <c r="J868" s="37" t="s">
        <v>673</v>
      </c>
      <c r="K868" s="40" t="s">
        <v>4537</v>
      </c>
      <c r="L868" s="37" t="s">
        <v>64</v>
      </c>
      <c r="M868" s="37" t="s">
        <v>4538</v>
      </c>
      <c r="N868" s="37"/>
      <c r="O868" s="37" t="s">
        <v>631</v>
      </c>
      <c r="P868" s="37" t="s">
        <v>647</v>
      </c>
      <c r="Q868" s="37" t="s">
        <v>98</v>
      </c>
      <c r="R868" s="37"/>
      <c r="S868" s="37"/>
      <c r="T868" s="37"/>
      <c r="U868" s="37"/>
      <c r="V868" s="37" t="s">
        <v>118</v>
      </c>
      <c r="W868" s="37" t="s">
        <v>89</v>
      </c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</row>
    <row r="869" spans="1:37">
      <c r="A869" s="37"/>
      <c r="B869" s="37"/>
      <c r="C869" s="37"/>
      <c r="D869" s="37" t="s">
        <v>678</v>
      </c>
      <c r="E869" s="37" t="s">
        <v>679</v>
      </c>
      <c r="F869" s="37" t="s">
        <v>684</v>
      </c>
      <c r="G869" s="37" t="s">
        <v>680</v>
      </c>
      <c r="H869" s="37" t="s">
        <v>681</v>
      </c>
      <c r="I869" s="37" t="s">
        <v>427</v>
      </c>
      <c r="J869" s="37" t="s">
        <v>256</v>
      </c>
      <c r="K869" s="40" t="s">
        <v>682</v>
      </c>
      <c r="L869" s="37" t="s">
        <v>64</v>
      </c>
      <c r="M869" s="37" t="s">
        <v>683</v>
      </c>
      <c r="N869" s="37"/>
      <c r="O869" s="37" t="s">
        <v>631</v>
      </c>
      <c r="P869" s="37" t="s">
        <v>632</v>
      </c>
      <c r="Q869" s="37" t="s">
        <v>17</v>
      </c>
      <c r="R869" s="37"/>
      <c r="S869" s="37"/>
      <c r="T869" s="37"/>
      <c r="U869" s="37"/>
      <c r="V869" s="37" t="s">
        <v>77</v>
      </c>
      <c r="W869" s="37" t="s">
        <v>89</v>
      </c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</row>
    <row r="870" spans="1:37">
      <c r="A870" s="37"/>
      <c r="B870" s="37"/>
      <c r="C870" s="37"/>
      <c r="D870" s="37" t="s">
        <v>415</v>
      </c>
      <c r="E870" s="37" t="s">
        <v>3149</v>
      </c>
      <c r="F870" s="37" t="s">
        <v>3156</v>
      </c>
      <c r="G870" s="37" t="s">
        <v>3150</v>
      </c>
      <c r="H870" s="37" t="s">
        <v>3151</v>
      </c>
      <c r="I870" s="37" t="s">
        <v>760</v>
      </c>
      <c r="J870" s="37" t="s">
        <v>425</v>
      </c>
      <c r="K870" s="40" t="s">
        <v>3152</v>
      </c>
      <c r="L870" s="37" t="s">
        <v>64</v>
      </c>
      <c r="M870" s="37" t="s">
        <v>3153</v>
      </c>
      <c r="N870" s="37" t="s">
        <v>3154</v>
      </c>
      <c r="O870" s="37" t="s">
        <v>631</v>
      </c>
      <c r="P870" s="37" t="s">
        <v>632</v>
      </c>
      <c r="Q870" s="37" t="s">
        <v>98</v>
      </c>
      <c r="R870" s="37"/>
      <c r="S870" s="37" t="s">
        <v>3155</v>
      </c>
      <c r="T870" s="37"/>
      <c r="U870" s="37"/>
      <c r="V870" s="37" t="s">
        <v>88</v>
      </c>
      <c r="W870" s="37" t="s">
        <v>89</v>
      </c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</row>
    <row r="871" spans="1:37">
      <c r="A871" s="37" t="s">
        <v>250</v>
      </c>
      <c r="B871" s="37"/>
      <c r="C871" s="37"/>
      <c r="D871" s="37" t="s">
        <v>577</v>
      </c>
      <c r="E871" s="37" t="s">
        <v>975</v>
      </c>
      <c r="F871" s="37" t="s">
        <v>3743</v>
      </c>
      <c r="G871" s="37" t="s">
        <v>3739</v>
      </c>
      <c r="H871" s="37"/>
      <c r="I871" s="37" t="s">
        <v>431</v>
      </c>
      <c r="J871" s="37" t="s">
        <v>425</v>
      </c>
      <c r="K871" s="40" t="s">
        <v>3740</v>
      </c>
      <c r="L871" s="37" t="s">
        <v>64</v>
      </c>
      <c r="M871" s="37" t="s">
        <v>3741</v>
      </c>
      <c r="N871" s="37" t="s">
        <v>3742</v>
      </c>
      <c r="O871" s="37" t="s">
        <v>631</v>
      </c>
      <c r="P871" s="37" t="s">
        <v>632</v>
      </c>
      <c r="Q871" s="37" t="s">
        <v>98</v>
      </c>
      <c r="R871" s="37"/>
      <c r="S871" s="37"/>
      <c r="T871" s="37" t="s">
        <v>66</v>
      </c>
      <c r="U871" s="37" t="s">
        <v>130</v>
      </c>
      <c r="V871" s="37" t="s">
        <v>118</v>
      </c>
      <c r="W871" s="37" t="s">
        <v>89</v>
      </c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</row>
    <row r="872" spans="1:37">
      <c r="A872" s="37"/>
      <c r="B872" s="37"/>
      <c r="C872" s="37"/>
      <c r="D872" s="37" t="s">
        <v>370</v>
      </c>
      <c r="E872" s="37" t="s">
        <v>4692</v>
      </c>
      <c r="F872" s="37" t="s">
        <v>4697</v>
      </c>
      <c r="G872" s="37" t="s">
        <v>4693</v>
      </c>
      <c r="H872" s="37" t="s">
        <v>4694</v>
      </c>
      <c r="I872" s="37" t="s">
        <v>2565</v>
      </c>
      <c r="J872" s="37" t="s">
        <v>2566</v>
      </c>
      <c r="K872" s="40" t="s">
        <v>4695</v>
      </c>
      <c r="L872" s="37" t="s">
        <v>64</v>
      </c>
      <c r="M872" s="37" t="s">
        <v>4696</v>
      </c>
      <c r="N872" s="37"/>
      <c r="O872" s="37" t="s">
        <v>631</v>
      </c>
      <c r="P872" s="37" t="s">
        <v>632</v>
      </c>
      <c r="Q872" s="37" t="s">
        <v>126</v>
      </c>
      <c r="R872" s="37"/>
      <c r="S872" s="37"/>
      <c r="T872" s="37" t="s">
        <v>66</v>
      </c>
      <c r="U872" s="37" t="s">
        <v>116</v>
      </c>
      <c r="V872" s="37" t="s">
        <v>88</v>
      </c>
      <c r="W872" s="37" t="s">
        <v>89</v>
      </c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</row>
    <row r="873" spans="1:37">
      <c r="A873" s="37"/>
      <c r="B873" s="37"/>
      <c r="C873" s="37"/>
      <c r="D873" s="37" t="s">
        <v>702</v>
      </c>
      <c r="E873" s="37" t="s">
        <v>1050</v>
      </c>
      <c r="F873" s="37" t="s">
        <v>1055</v>
      </c>
      <c r="G873" s="37" t="s">
        <v>1051</v>
      </c>
      <c r="H873" s="37"/>
      <c r="I873" s="37" t="s">
        <v>1052</v>
      </c>
      <c r="J873" s="37" t="s">
        <v>334</v>
      </c>
      <c r="K873" s="40" t="s">
        <v>1053</v>
      </c>
      <c r="L873" s="37" t="s">
        <v>64</v>
      </c>
      <c r="M873" s="37" t="s">
        <v>1054</v>
      </c>
      <c r="N873" s="37"/>
      <c r="O873" s="37" t="s">
        <v>631</v>
      </c>
      <c r="P873" s="37" t="s">
        <v>632</v>
      </c>
      <c r="Q873" s="37" t="s">
        <v>16</v>
      </c>
      <c r="R873" s="37"/>
      <c r="S873" s="37"/>
      <c r="T873" s="37" t="s">
        <v>69</v>
      </c>
      <c r="U873" s="37"/>
      <c r="V873" s="37" t="s">
        <v>67</v>
      </c>
      <c r="W873" s="37" t="s">
        <v>73</v>
      </c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</row>
    <row r="874" spans="1:37">
      <c r="A874" s="37"/>
      <c r="B874" s="37"/>
      <c r="C874" s="37"/>
      <c r="D874" s="37" t="s">
        <v>251</v>
      </c>
      <c r="E874" s="37" t="s">
        <v>3698</v>
      </c>
      <c r="F874" s="37" t="s">
        <v>3700</v>
      </c>
      <c r="G874" s="37" t="s">
        <v>2872</v>
      </c>
      <c r="H874" s="37" t="s">
        <v>2829</v>
      </c>
      <c r="I874" s="37" t="s">
        <v>2313</v>
      </c>
      <c r="J874" s="37" t="s">
        <v>425</v>
      </c>
      <c r="K874" s="40" t="s">
        <v>2873</v>
      </c>
      <c r="L874" s="37" t="s">
        <v>64</v>
      </c>
      <c r="M874" s="37" t="s">
        <v>3699</v>
      </c>
      <c r="N874" s="37" t="s">
        <v>2875</v>
      </c>
      <c r="O874" s="37" t="s">
        <v>631</v>
      </c>
      <c r="P874" s="37" t="s">
        <v>632</v>
      </c>
      <c r="Q874" s="37" t="s">
        <v>98</v>
      </c>
      <c r="R874" s="37"/>
      <c r="S874" s="37"/>
      <c r="T874" s="37"/>
      <c r="U874" s="37"/>
      <c r="V874" s="37" t="s">
        <v>77</v>
      </c>
      <c r="W874" s="37" t="s">
        <v>89</v>
      </c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</row>
    <row r="875" spans="1:37">
      <c r="A875" s="37"/>
      <c r="B875" s="37"/>
      <c r="C875" s="37"/>
      <c r="D875" s="37" t="s">
        <v>905</v>
      </c>
      <c r="E875" s="37" t="s">
        <v>3701</v>
      </c>
      <c r="F875" s="37" t="s">
        <v>3705</v>
      </c>
      <c r="G875" s="37" t="s">
        <v>3702</v>
      </c>
      <c r="H875" s="37"/>
      <c r="I875" s="37" t="s">
        <v>760</v>
      </c>
      <c r="J875" s="37" t="s">
        <v>425</v>
      </c>
      <c r="K875" s="40" t="s">
        <v>3152</v>
      </c>
      <c r="L875" s="37" t="s">
        <v>64</v>
      </c>
      <c r="M875" s="37" t="s">
        <v>3703</v>
      </c>
      <c r="N875" s="37" t="s">
        <v>3704</v>
      </c>
      <c r="O875" s="37" t="s">
        <v>631</v>
      </c>
      <c r="P875" s="37" t="s">
        <v>632</v>
      </c>
      <c r="Q875" s="37" t="s">
        <v>98</v>
      </c>
      <c r="R875" s="37"/>
      <c r="S875" s="37"/>
      <c r="T875" s="37"/>
      <c r="U875" s="37"/>
      <c r="V875" s="37" t="s">
        <v>77</v>
      </c>
      <c r="W875" s="37" t="s">
        <v>69</v>
      </c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</row>
    <row r="876" spans="1:37">
      <c r="A876" s="37"/>
      <c r="B876" s="37"/>
      <c r="C876" s="37"/>
      <c r="D876" s="37" t="s">
        <v>3079</v>
      </c>
      <c r="E876" s="37" t="s">
        <v>1075</v>
      </c>
      <c r="F876" s="37" t="s">
        <v>3086</v>
      </c>
      <c r="G876" s="37" t="s">
        <v>3080</v>
      </c>
      <c r="H876" s="37"/>
      <c r="I876" s="37" t="s">
        <v>3081</v>
      </c>
      <c r="J876" s="37" t="s">
        <v>1851</v>
      </c>
      <c r="K876" s="40" t="s">
        <v>3082</v>
      </c>
      <c r="L876" s="37" t="s">
        <v>64</v>
      </c>
      <c r="M876" s="37" t="s">
        <v>3083</v>
      </c>
      <c r="N876" s="37" t="s">
        <v>3084</v>
      </c>
      <c r="O876" s="37" t="s">
        <v>631</v>
      </c>
      <c r="P876" s="37" t="s">
        <v>1096</v>
      </c>
      <c r="Q876" s="37" t="s">
        <v>98</v>
      </c>
      <c r="R876" s="37" t="s">
        <v>2484</v>
      </c>
      <c r="S876" s="37" t="s">
        <v>3085</v>
      </c>
      <c r="T876" s="37" t="s">
        <v>69</v>
      </c>
      <c r="U876" s="37" t="s">
        <v>116</v>
      </c>
      <c r="V876" s="37" t="s">
        <v>67</v>
      </c>
      <c r="W876" s="37" t="s">
        <v>99</v>
      </c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</row>
    <row r="877" spans="1:37">
      <c r="A877" s="37"/>
      <c r="B877" s="37"/>
      <c r="C877" s="37"/>
      <c r="D877" s="37" t="s">
        <v>702</v>
      </c>
      <c r="E877" s="37" t="s">
        <v>3087</v>
      </c>
      <c r="F877" s="37" t="s">
        <v>3093</v>
      </c>
      <c r="G877" s="37" t="s">
        <v>3088</v>
      </c>
      <c r="H877" s="37" t="s">
        <v>982</v>
      </c>
      <c r="I877" s="37" t="s">
        <v>3089</v>
      </c>
      <c r="J877" s="37" t="s">
        <v>1851</v>
      </c>
      <c r="K877" s="40" t="s">
        <v>3090</v>
      </c>
      <c r="L877" s="37" t="s">
        <v>64</v>
      </c>
      <c r="M877" s="37" t="s">
        <v>3091</v>
      </c>
      <c r="N877" s="37" t="s">
        <v>3092</v>
      </c>
      <c r="O877" s="37" t="s">
        <v>631</v>
      </c>
      <c r="P877" s="37" t="s">
        <v>1096</v>
      </c>
      <c r="Q877" s="37" t="s">
        <v>98</v>
      </c>
      <c r="R877" s="37" t="s">
        <v>3085</v>
      </c>
      <c r="S877" s="37"/>
      <c r="T877" s="37" t="s">
        <v>69</v>
      </c>
      <c r="U877" s="37" t="s">
        <v>116</v>
      </c>
      <c r="V877" s="37" t="s">
        <v>67</v>
      </c>
      <c r="W877" s="37" t="s">
        <v>99</v>
      </c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</row>
    <row r="878" spans="1:37">
      <c r="A878" s="37"/>
      <c r="B878" s="37"/>
      <c r="C878" s="37"/>
      <c r="D878" s="37" t="s">
        <v>3094</v>
      </c>
      <c r="E878" s="37" t="s">
        <v>3095</v>
      </c>
      <c r="F878" s="37" t="s">
        <v>3099</v>
      </c>
      <c r="G878" s="37" t="s">
        <v>3096</v>
      </c>
      <c r="H878" s="37" t="s">
        <v>3097</v>
      </c>
      <c r="I878" s="37" t="s">
        <v>420</v>
      </c>
      <c r="J878" s="37" t="s">
        <v>75</v>
      </c>
      <c r="K878" s="40" t="s">
        <v>698</v>
      </c>
      <c r="L878" s="37" t="s">
        <v>64</v>
      </c>
      <c r="M878" s="37" t="s">
        <v>3098</v>
      </c>
      <c r="N878" s="37"/>
      <c r="O878" s="37" t="s">
        <v>631</v>
      </c>
      <c r="P878" s="37" t="s">
        <v>632</v>
      </c>
      <c r="Q878" s="37" t="s">
        <v>10</v>
      </c>
      <c r="R878" s="37"/>
      <c r="S878" s="37"/>
      <c r="T878" s="37"/>
      <c r="U878" s="37"/>
      <c r="V878" s="37" t="s">
        <v>88</v>
      </c>
      <c r="W878" s="37" t="s">
        <v>135</v>
      </c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</row>
    <row r="879" spans="1:37">
      <c r="A879" s="37"/>
      <c r="B879" s="37"/>
      <c r="C879" s="37"/>
      <c r="D879" s="37" t="s">
        <v>3434</v>
      </c>
      <c r="E879" s="37" t="s">
        <v>3435</v>
      </c>
      <c r="F879" s="37" t="s">
        <v>3438</v>
      </c>
      <c r="G879" s="37" t="s">
        <v>3436</v>
      </c>
      <c r="H879" s="37" t="s">
        <v>3437</v>
      </c>
      <c r="I879" s="37" t="s">
        <v>420</v>
      </c>
      <c r="J879" s="37" t="s">
        <v>75</v>
      </c>
      <c r="K879" s="40" t="s">
        <v>698</v>
      </c>
      <c r="L879" s="37" t="s">
        <v>64</v>
      </c>
      <c r="M879" s="37" t="s">
        <v>2809</v>
      </c>
      <c r="N879" s="37" t="s">
        <v>2898</v>
      </c>
      <c r="O879" s="37" t="s">
        <v>631</v>
      </c>
      <c r="P879" s="37" t="s">
        <v>878</v>
      </c>
      <c r="Q879" s="37" t="s">
        <v>10</v>
      </c>
      <c r="R879" s="37"/>
      <c r="S879" s="37" t="s">
        <v>2484</v>
      </c>
      <c r="T879" s="37" t="s">
        <v>66</v>
      </c>
      <c r="U879" s="37" t="s">
        <v>69</v>
      </c>
      <c r="V879" s="37" t="s">
        <v>118</v>
      </c>
      <c r="W879" s="37" t="s">
        <v>73</v>
      </c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</row>
    <row r="880" spans="1:37">
      <c r="A880" s="37"/>
      <c r="B880" s="37"/>
      <c r="C880" s="37"/>
      <c r="D880" s="37" t="s">
        <v>3676</v>
      </c>
      <c r="E880" s="37" t="s">
        <v>4466</v>
      </c>
      <c r="F880" s="37" t="s">
        <v>4468</v>
      </c>
      <c r="G880" s="37" t="s">
        <v>4535</v>
      </c>
      <c r="H880" s="37"/>
      <c r="I880" s="37" t="s">
        <v>4536</v>
      </c>
      <c r="J880" s="37" t="s">
        <v>673</v>
      </c>
      <c r="K880" s="40" t="s">
        <v>4537</v>
      </c>
      <c r="L880" s="37" t="s">
        <v>64</v>
      </c>
      <c r="M880" s="37" t="s">
        <v>4467</v>
      </c>
      <c r="N880" s="37"/>
      <c r="O880" s="37" t="s">
        <v>631</v>
      </c>
      <c r="P880" s="37" t="s">
        <v>647</v>
      </c>
      <c r="Q880" s="37" t="s">
        <v>98</v>
      </c>
      <c r="R880" s="37"/>
      <c r="S880" s="37"/>
      <c r="T880" s="37"/>
      <c r="U880" s="37"/>
      <c r="V880" s="37" t="s">
        <v>118</v>
      </c>
      <c r="W880" s="37" t="s">
        <v>99</v>
      </c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</row>
    <row r="881" spans="1:37">
      <c r="A881" s="37" t="s">
        <v>673</v>
      </c>
      <c r="B881" s="37"/>
      <c r="C881" s="37"/>
      <c r="D881" s="37" t="s">
        <v>6253</v>
      </c>
      <c r="E881" s="37" t="s">
        <v>6254</v>
      </c>
      <c r="F881" s="37" t="s">
        <v>6255</v>
      </c>
      <c r="G881" s="37" t="s">
        <v>6256</v>
      </c>
      <c r="H881" s="37"/>
      <c r="I881" s="37" t="s">
        <v>981</v>
      </c>
      <c r="J881" s="37" t="s">
        <v>121</v>
      </c>
      <c r="K881" s="40" t="s">
        <v>6257</v>
      </c>
      <c r="L881" s="37" t="s">
        <v>64</v>
      </c>
      <c r="M881" s="37" t="s">
        <v>6258</v>
      </c>
      <c r="N881" s="37"/>
      <c r="O881" s="37" t="s">
        <v>631</v>
      </c>
      <c r="P881" s="37" t="s">
        <v>632</v>
      </c>
      <c r="Q881" s="37" t="s">
        <v>71</v>
      </c>
      <c r="R881" s="37"/>
      <c r="S881" s="37"/>
      <c r="T881" s="37" t="s">
        <v>69</v>
      </c>
      <c r="U881" s="37"/>
      <c r="V881" s="37" t="s">
        <v>118</v>
      </c>
      <c r="W881" s="37" t="s">
        <v>89</v>
      </c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</row>
    <row r="882" spans="1:37">
      <c r="A882" s="37"/>
      <c r="B882" s="37"/>
      <c r="C882" s="37"/>
      <c r="D882" s="37" t="s">
        <v>1703</v>
      </c>
      <c r="E882" s="37" t="s">
        <v>6259</v>
      </c>
      <c r="F882" s="37" t="s">
        <v>6260</v>
      </c>
      <c r="G882" s="37" t="s">
        <v>6261</v>
      </c>
      <c r="H882" s="37"/>
      <c r="I882" s="37" t="s">
        <v>420</v>
      </c>
      <c r="J882" s="37" t="s">
        <v>75</v>
      </c>
      <c r="K882" s="40" t="s">
        <v>1648</v>
      </c>
      <c r="L882" s="37" t="s">
        <v>64</v>
      </c>
      <c r="M882" s="37" t="s">
        <v>6262</v>
      </c>
      <c r="N882" s="37"/>
      <c r="O882" s="37" t="s">
        <v>631</v>
      </c>
      <c r="P882" s="37" t="s">
        <v>1096</v>
      </c>
      <c r="Q882" s="37" t="s">
        <v>10</v>
      </c>
      <c r="R882" s="37" t="s">
        <v>6263</v>
      </c>
      <c r="S882" s="37"/>
      <c r="T882" s="37"/>
      <c r="U882" s="37"/>
      <c r="V882" s="37" t="s">
        <v>67</v>
      </c>
      <c r="W882" s="37" t="s">
        <v>99</v>
      </c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</row>
    <row r="883" spans="1:37">
      <c r="A883" s="37"/>
      <c r="B883" s="37"/>
      <c r="C883" s="37"/>
      <c r="D883" s="37" t="s">
        <v>529</v>
      </c>
      <c r="E883" s="37" t="s">
        <v>3525</v>
      </c>
      <c r="F883" s="37" t="s">
        <v>3531</v>
      </c>
      <c r="G883" s="37" t="s">
        <v>3526</v>
      </c>
      <c r="H883" s="37" t="s">
        <v>3527</v>
      </c>
      <c r="I883" s="37" t="s">
        <v>3528</v>
      </c>
      <c r="J883" s="37" t="s">
        <v>425</v>
      </c>
      <c r="K883" s="40" t="s">
        <v>3529</v>
      </c>
      <c r="L883" s="37" t="s">
        <v>64</v>
      </c>
      <c r="M883" s="37" t="s">
        <v>3530</v>
      </c>
      <c r="N883" s="37"/>
      <c r="O883" s="37" t="s">
        <v>631</v>
      </c>
      <c r="P883" s="37" t="s">
        <v>1096</v>
      </c>
      <c r="Q883" s="37" t="s">
        <v>98</v>
      </c>
      <c r="R883" s="37" t="s">
        <v>1431</v>
      </c>
      <c r="S883" s="37"/>
      <c r="T883" s="37"/>
      <c r="U883" s="37"/>
      <c r="V883" s="37" t="s">
        <v>67</v>
      </c>
      <c r="W883" s="37" t="s">
        <v>89</v>
      </c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</row>
    <row r="884" spans="1:37">
      <c r="A884" s="37"/>
      <c r="B884" s="37"/>
      <c r="C884" s="37"/>
      <c r="D884" s="37" t="s">
        <v>649</v>
      </c>
      <c r="E884" s="37" t="s">
        <v>1551</v>
      </c>
      <c r="F884" s="37" t="s">
        <v>1555</v>
      </c>
      <c r="G884" s="37" t="s">
        <v>1552</v>
      </c>
      <c r="H884" s="37" t="s">
        <v>1553</v>
      </c>
      <c r="I884" s="37" t="s">
        <v>427</v>
      </c>
      <c r="J884" s="37" t="s">
        <v>256</v>
      </c>
      <c r="K884" s="40" t="s">
        <v>682</v>
      </c>
      <c r="L884" s="37" t="s">
        <v>64</v>
      </c>
      <c r="M884" s="37" t="s">
        <v>1554</v>
      </c>
      <c r="N884" s="37"/>
      <c r="O884" s="37" t="s">
        <v>631</v>
      </c>
      <c r="P884" s="37" t="s">
        <v>878</v>
      </c>
      <c r="Q884" s="37" t="s">
        <v>17</v>
      </c>
      <c r="R884" s="37"/>
      <c r="S884" s="37"/>
      <c r="T884" s="37"/>
      <c r="U884" s="37"/>
      <c r="V884" s="37" t="s">
        <v>67</v>
      </c>
      <c r="W884" s="37" t="s">
        <v>135</v>
      </c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</row>
    <row r="885" spans="1:37">
      <c r="A885" s="37"/>
      <c r="B885" s="37"/>
      <c r="C885" s="37"/>
      <c r="D885" s="37" t="s">
        <v>1484</v>
      </c>
      <c r="E885" s="37" t="s">
        <v>1591</v>
      </c>
      <c r="F885" s="37" t="s">
        <v>4637</v>
      </c>
      <c r="G885" s="37" t="s">
        <v>4634</v>
      </c>
      <c r="H885" s="37" t="s">
        <v>4635</v>
      </c>
      <c r="I885" s="37" t="s">
        <v>420</v>
      </c>
      <c r="J885" s="37" t="s">
        <v>75</v>
      </c>
      <c r="K885" s="40" t="s">
        <v>4636</v>
      </c>
      <c r="L885" s="37" t="s">
        <v>64</v>
      </c>
      <c r="M885" s="37" t="s">
        <v>3996</v>
      </c>
      <c r="N885" s="37"/>
      <c r="O885" s="37" t="s">
        <v>631</v>
      </c>
      <c r="P885" s="37" t="s">
        <v>632</v>
      </c>
      <c r="Q885" s="37" t="s">
        <v>10</v>
      </c>
      <c r="R885" s="37"/>
      <c r="S885" s="37"/>
      <c r="T885" s="37"/>
      <c r="U885" s="37"/>
      <c r="V885" s="37" t="s">
        <v>88</v>
      </c>
      <c r="W885" s="37" t="s">
        <v>89</v>
      </c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</row>
    <row r="886" spans="1:37">
      <c r="A886" s="37"/>
      <c r="B886" s="37"/>
      <c r="C886" s="37"/>
      <c r="D886" s="37" t="s">
        <v>997</v>
      </c>
      <c r="E886" s="37" t="s">
        <v>444</v>
      </c>
      <c r="F886" s="37" t="s">
        <v>3695</v>
      </c>
      <c r="G886" s="37" t="s">
        <v>3692</v>
      </c>
      <c r="H886" s="37"/>
      <c r="I886" s="37" t="s">
        <v>760</v>
      </c>
      <c r="J886" s="37" t="s">
        <v>425</v>
      </c>
      <c r="K886" s="40" t="s">
        <v>3152</v>
      </c>
      <c r="L886" s="37" t="s">
        <v>64</v>
      </c>
      <c r="M886" s="37" t="s">
        <v>3693</v>
      </c>
      <c r="N886" s="37" t="s">
        <v>3694</v>
      </c>
      <c r="O886" s="37" t="s">
        <v>631</v>
      </c>
      <c r="P886" s="37" t="s">
        <v>632</v>
      </c>
      <c r="Q886" s="37" t="s">
        <v>98</v>
      </c>
      <c r="R886" s="37"/>
      <c r="S886" s="37"/>
      <c r="T886" s="37" t="s">
        <v>158</v>
      </c>
      <c r="U886" s="37"/>
      <c r="V886" s="37" t="s">
        <v>77</v>
      </c>
      <c r="W886" s="37" t="s">
        <v>89</v>
      </c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</row>
    <row r="887" spans="1:37">
      <c r="A887" s="37"/>
      <c r="B887" s="37"/>
      <c r="C887" s="37"/>
      <c r="D887" s="37" t="s">
        <v>2910</v>
      </c>
      <c r="E887" s="37" t="s">
        <v>4619</v>
      </c>
      <c r="F887" s="37" t="s">
        <v>4624</v>
      </c>
      <c r="G887" s="37" t="s">
        <v>4620</v>
      </c>
      <c r="H887" s="37"/>
      <c r="I887" s="37" t="s">
        <v>4621</v>
      </c>
      <c r="J887" s="37" t="s">
        <v>2211</v>
      </c>
      <c r="K887" s="40" t="s">
        <v>4622</v>
      </c>
      <c r="L887" s="37" t="s">
        <v>64</v>
      </c>
      <c r="M887" s="37" t="s">
        <v>4623</v>
      </c>
      <c r="N887" s="37"/>
      <c r="O887" s="37" t="s">
        <v>631</v>
      </c>
      <c r="P887" s="37" t="s">
        <v>632</v>
      </c>
      <c r="Q887" s="37" t="s">
        <v>17</v>
      </c>
      <c r="R887" s="37"/>
      <c r="S887" s="37"/>
      <c r="T887" s="37" t="s">
        <v>115</v>
      </c>
      <c r="U887" s="37"/>
      <c r="V887" s="37" t="s">
        <v>88</v>
      </c>
      <c r="W887" s="37" t="s">
        <v>89</v>
      </c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</row>
    <row r="888" spans="1:37">
      <c r="A888" s="37"/>
      <c r="B888" s="37"/>
      <c r="C888" s="37"/>
      <c r="D888" s="37" t="s">
        <v>3041</v>
      </c>
      <c r="E888" s="37" t="s">
        <v>3042</v>
      </c>
      <c r="F888" s="37" t="s">
        <v>3044</v>
      </c>
      <c r="G888" s="37" t="s">
        <v>3150</v>
      </c>
      <c r="H888" s="37" t="s">
        <v>3151</v>
      </c>
      <c r="I888" s="37" t="s">
        <v>760</v>
      </c>
      <c r="J888" s="37" t="s">
        <v>425</v>
      </c>
      <c r="K888" s="40" t="s">
        <v>3152</v>
      </c>
      <c r="L888" s="37" t="s">
        <v>64</v>
      </c>
      <c r="M888" s="37" t="s">
        <v>3043</v>
      </c>
      <c r="N888" s="37"/>
      <c r="O888" s="37" t="s">
        <v>631</v>
      </c>
      <c r="P888" s="37" t="s">
        <v>632</v>
      </c>
      <c r="Q888" s="37" t="s">
        <v>98</v>
      </c>
      <c r="R888" s="37"/>
      <c r="S888" s="37" t="s">
        <v>3155</v>
      </c>
      <c r="T888" s="37"/>
      <c r="U888" s="37"/>
      <c r="V888" s="37" t="s">
        <v>77</v>
      </c>
      <c r="W888" s="37" t="s">
        <v>110</v>
      </c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</row>
    <row r="889" spans="1:37">
      <c r="A889" s="37" t="s">
        <v>322</v>
      </c>
      <c r="B889" s="37"/>
      <c r="C889" s="37"/>
      <c r="D889" s="37" t="s">
        <v>1807</v>
      </c>
      <c r="E889" s="37" t="s">
        <v>1808</v>
      </c>
      <c r="F889" s="37" t="s">
        <v>1812</v>
      </c>
      <c r="G889" s="37" t="s">
        <v>1809</v>
      </c>
      <c r="H889" s="37"/>
      <c r="I889" s="37" t="s">
        <v>193</v>
      </c>
      <c r="J889" s="37" t="s">
        <v>153</v>
      </c>
      <c r="K889" s="40" t="s">
        <v>194</v>
      </c>
      <c r="L889" s="37" t="s">
        <v>64</v>
      </c>
      <c r="M889" s="37" t="s">
        <v>1810</v>
      </c>
      <c r="N889" s="37" t="s">
        <v>1811</v>
      </c>
      <c r="O889" s="37" t="s">
        <v>631</v>
      </c>
      <c r="P889" s="37" t="s">
        <v>647</v>
      </c>
      <c r="Q889" s="37" t="s">
        <v>16</v>
      </c>
      <c r="R889" s="37"/>
      <c r="S889" s="37"/>
      <c r="T889" s="37" t="s">
        <v>69</v>
      </c>
      <c r="U889" s="37"/>
      <c r="V889" s="37" t="s">
        <v>118</v>
      </c>
      <c r="W889" s="37" t="s">
        <v>89</v>
      </c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</row>
    <row r="890" spans="1:37">
      <c r="A890" s="37"/>
      <c r="B890" s="37"/>
      <c r="C890" s="37"/>
      <c r="D890" s="37" t="s">
        <v>6264</v>
      </c>
      <c r="E890" s="37" t="s">
        <v>3885</v>
      </c>
      <c r="F890" s="37" t="s">
        <v>6265</v>
      </c>
      <c r="G890" s="37" t="s">
        <v>6248</v>
      </c>
      <c r="H890" s="37"/>
      <c r="I890" s="37" t="s">
        <v>6249</v>
      </c>
      <c r="J890" s="37" t="s">
        <v>230</v>
      </c>
      <c r="K890" s="40" t="s">
        <v>6250</v>
      </c>
      <c r="L890" s="37" t="s">
        <v>64</v>
      </c>
      <c r="M890" s="37" t="s">
        <v>6251</v>
      </c>
      <c r="N890" s="37" t="s">
        <v>6252</v>
      </c>
      <c r="O890" s="37" t="s">
        <v>631</v>
      </c>
      <c r="P890" s="37" t="s">
        <v>647</v>
      </c>
      <c r="Q890" s="37" t="s">
        <v>10</v>
      </c>
      <c r="R890" s="37"/>
      <c r="S890" s="37"/>
      <c r="T890" s="37" t="s">
        <v>115</v>
      </c>
      <c r="U890" s="37" t="s">
        <v>69</v>
      </c>
      <c r="V890" s="37" t="s">
        <v>72</v>
      </c>
      <c r="W890" s="37" t="s">
        <v>89</v>
      </c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</row>
    <row r="891" spans="1:37">
      <c r="A891" s="37"/>
      <c r="B891" s="37"/>
      <c r="C891" s="37"/>
      <c r="D891" s="37" t="s">
        <v>6266</v>
      </c>
      <c r="E891" s="37" t="s">
        <v>1049</v>
      </c>
      <c r="F891" s="37" t="s">
        <v>6267</v>
      </c>
      <c r="G891" s="37" t="s">
        <v>6268</v>
      </c>
      <c r="H891" s="37"/>
      <c r="I891" s="37" t="s">
        <v>420</v>
      </c>
      <c r="J891" s="37" t="s">
        <v>75</v>
      </c>
      <c r="K891" s="40" t="s">
        <v>1061</v>
      </c>
      <c r="L891" s="37" t="s">
        <v>64</v>
      </c>
      <c r="M891" s="37" t="s">
        <v>3566</v>
      </c>
      <c r="N891" s="37"/>
      <c r="O891" s="37" t="s">
        <v>631</v>
      </c>
      <c r="P891" s="37" t="s">
        <v>647</v>
      </c>
      <c r="Q891" s="37" t="s">
        <v>10</v>
      </c>
      <c r="R891" s="37"/>
      <c r="S891" s="37"/>
      <c r="T891" s="37"/>
      <c r="U891" s="37"/>
      <c r="V891" s="37" t="s">
        <v>72</v>
      </c>
      <c r="W891" s="37" t="s">
        <v>131</v>
      </c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</row>
    <row r="892" spans="1:37">
      <c r="A892" s="37"/>
      <c r="B892" s="37"/>
      <c r="C892" s="37"/>
      <c r="D892" s="37" t="s">
        <v>2037</v>
      </c>
      <c r="E892" s="37" t="s">
        <v>2036</v>
      </c>
      <c r="F892" s="37" t="s">
        <v>2042</v>
      </c>
      <c r="G892" s="37" t="s">
        <v>2038</v>
      </c>
      <c r="H892" s="37" t="s">
        <v>2039</v>
      </c>
      <c r="I892" s="37" t="s">
        <v>2040</v>
      </c>
      <c r="J892" s="37" t="s">
        <v>334</v>
      </c>
      <c r="K892" s="40" t="s">
        <v>1053</v>
      </c>
      <c r="L892" s="37" t="s">
        <v>64</v>
      </c>
      <c r="M892" s="37" t="s">
        <v>2041</v>
      </c>
      <c r="N892" s="37"/>
      <c r="O892" s="37" t="s">
        <v>631</v>
      </c>
      <c r="P892" s="37" t="s">
        <v>632</v>
      </c>
      <c r="Q892" s="37" t="s">
        <v>16</v>
      </c>
      <c r="R892" s="37"/>
      <c r="S892" s="37"/>
      <c r="T892" s="37"/>
      <c r="U892" s="37"/>
      <c r="V892" s="37" t="s">
        <v>118</v>
      </c>
      <c r="W892" s="37" t="s">
        <v>89</v>
      </c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</row>
    <row r="893" spans="1:37">
      <c r="A893" s="37"/>
      <c r="B893" s="37"/>
      <c r="C893" s="37"/>
      <c r="D893" s="37" t="s">
        <v>525</v>
      </c>
      <c r="E893" s="37" t="s">
        <v>5592</v>
      </c>
      <c r="F893" s="37" t="s">
        <v>5595</v>
      </c>
      <c r="G893" s="37" t="s">
        <v>5593</v>
      </c>
      <c r="H893" s="37" t="s">
        <v>4913</v>
      </c>
      <c r="I893" s="37" t="s">
        <v>226</v>
      </c>
      <c r="J893" s="37" t="s">
        <v>214</v>
      </c>
      <c r="K893" s="40" t="s">
        <v>1234</v>
      </c>
      <c r="L893" s="37" t="s">
        <v>64</v>
      </c>
      <c r="M893" s="37" t="s">
        <v>5594</v>
      </c>
      <c r="N893" s="37"/>
      <c r="O893" s="37" t="s">
        <v>631</v>
      </c>
      <c r="P893" s="37" t="s">
        <v>632</v>
      </c>
      <c r="Q893" s="37" t="s">
        <v>10</v>
      </c>
      <c r="R893" s="37"/>
      <c r="S893" s="37"/>
      <c r="T893" s="37"/>
      <c r="U893" s="37"/>
      <c r="V893" s="37" t="s">
        <v>118</v>
      </c>
      <c r="W893" s="37" t="s">
        <v>110</v>
      </c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</row>
    <row r="894" spans="1:37">
      <c r="A894" s="37"/>
      <c r="B894" s="37"/>
      <c r="C894" s="37"/>
      <c r="D894" s="37" t="s">
        <v>2121</v>
      </c>
      <c r="E894" s="37" t="s">
        <v>3605</v>
      </c>
      <c r="F894" s="37" t="s">
        <v>3607</v>
      </c>
      <c r="G894" s="37" t="s">
        <v>1481</v>
      </c>
      <c r="H894" s="37" t="s">
        <v>3606</v>
      </c>
      <c r="I894" s="37" t="s">
        <v>420</v>
      </c>
      <c r="J894" s="37" t="s">
        <v>75</v>
      </c>
      <c r="K894" s="40" t="s">
        <v>698</v>
      </c>
      <c r="L894" s="37" t="s">
        <v>64</v>
      </c>
      <c r="M894" s="37" t="s">
        <v>2809</v>
      </c>
      <c r="N894" s="37" t="s">
        <v>2898</v>
      </c>
      <c r="O894" s="37" t="s">
        <v>631</v>
      </c>
      <c r="P894" s="37" t="s">
        <v>878</v>
      </c>
      <c r="Q894" s="37" t="s">
        <v>10</v>
      </c>
      <c r="R894" s="37"/>
      <c r="S894" s="37"/>
      <c r="T894" s="37"/>
      <c r="U894" s="37"/>
      <c r="V894" s="37" t="s">
        <v>67</v>
      </c>
      <c r="W894" s="37" t="s">
        <v>89</v>
      </c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</row>
    <row r="895" spans="1:37">
      <c r="A895" s="37"/>
      <c r="B895" s="37"/>
      <c r="C895" s="37"/>
      <c r="D895" s="37" t="s">
        <v>1847</v>
      </c>
      <c r="E895" s="37" t="s">
        <v>2114</v>
      </c>
      <c r="F895" s="37" t="s">
        <v>4143</v>
      </c>
      <c r="G895" s="37" t="s">
        <v>4140</v>
      </c>
      <c r="H895" s="37" t="s">
        <v>4141</v>
      </c>
      <c r="I895" s="37" t="s">
        <v>420</v>
      </c>
      <c r="J895" s="37" t="s">
        <v>75</v>
      </c>
      <c r="K895" s="40" t="s">
        <v>1061</v>
      </c>
      <c r="L895" s="37" t="s">
        <v>64</v>
      </c>
      <c r="M895" s="37" t="s">
        <v>3566</v>
      </c>
      <c r="N895" s="37" t="s">
        <v>4142</v>
      </c>
      <c r="O895" s="37" t="s">
        <v>631</v>
      </c>
      <c r="P895" s="37" t="s">
        <v>647</v>
      </c>
      <c r="Q895" s="37" t="s">
        <v>10</v>
      </c>
      <c r="R895" s="37"/>
      <c r="S895" s="37"/>
      <c r="T895" s="37" t="s">
        <v>144</v>
      </c>
      <c r="U895" s="37" t="s">
        <v>116</v>
      </c>
      <c r="V895" s="37" t="s">
        <v>72</v>
      </c>
      <c r="W895" s="37" t="s">
        <v>110</v>
      </c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</row>
    <row r="896" spans="1:37">
      <c r="A896" s="37"/>
      <c r="B896" s="37"/>
      <c r="C896" s="37"/>
      <c r="D896" s="37" t="s">
        <v>2132</v>
      </c>
      <c r="E896" s="37" t="s">
        <v>2136</v>
      </c>
      <c r="F896" s="37" t="s">
        <v>2139</v>
      </c>
      <c r="G896" s="37" t="s">
        <v>2137</v>
      </c>
      <c r="H896" s="37" t="s">
        <v>1074</v>
      </c>
      <c r="I896" s="37" t="s">
        <v>420</v>
      </c>
      <c r="J896" s="37" t="s">
        <v>75</v>
      </c>
      <c r="K896" s="40" t="s">
        <v>2138</v>
      </c>
      <c r="L896" s="37" t="s">
        <v>64</v>
      </c>
      <c r="M896" s="37" t="s">
        <v>6269</v>
      </c>
      <c r="N896" s="37"/>
      <c r="O896" s="37" t="s">
        <v>631</v>
      </c>
      <c r="P896" s="37" t="s">
        <v>1096</v>
      </c>
      <c r="Q896" s="37" t="s">
        <v>10</v>
      </c>
      <c r="R896" s="37" t="s">
        <v>6270</v>
      </c>
      <c r="S896" s="37"/>
      <c r="T896" s="37" t="s">
        <v>69</v>
      </c>
      <c r="U896" s="37"/>
      <c r="V896" s="37" t="s">
        <v>88</v>
      </c>
      <c r="W896" s="37" t="s">
        <v>110</v>
      </c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</row>
    <row r="897" spans="1:37">
      <c r="A897" s="37"/>
      <c r="B897" s="37"/>
      <c r="C897" s="37"/>
      <c r="D897" s="37" t="s">
        <v>436</v>
      </c>
      <c r="E897" s="37" t="s">
        <v>2957</v>
      </c>
      <c r="F897" s="37" t="s">
        <v>3631</v>
      </c>
      <c r="G897" s="37" t="s">
        <v>3625</v>
      </c>
      <c r="H897" s="37" t="s">
        <v>3626</v>
      </c>
      <c r="I897" s="37" t="s">
        <v>3627</v>
      </c>
      <c r="J897" s="37" t="s">
        <v>425</v>
      </c>
      <c r="K897" s="40" t="s">
        <v>3628</v>
      </c>
      <c r="L897" s="37" t="s">
        <v>64</v>
      </c>
      <c r="M897" s="37" t="s">
        <v>3629</v>
      </c>
      <c r="N897" s="37" t="s">
        <v>3630</v>
      </c>
      <c r="O897" s="37" t="s">
        <v>631</v>
      </c>
      <c r="P897" s="37" t="s">
        <v>632</v>
      </c>
      <c r="Q897" s="37" t="s">
        <v>98</v>
      </c>
      <c r="R897" s="37"/>
      <c r="S897" s="37"/>
      <c r="T897" s="37"/>
      <c r="U897" s="37" t="s">
        <v>69</v>
      </c>
      <c r="V897" s="37" t="s">
        <v>77</v>
      </c>
      <c r="W897" s="37" t="s">
        <v>73</v>
      </c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</row>
    <row r="898" spans="1:37">
      <c r="A898" s="37"/>
      <c r="B898" s="37"/>
      <c r="C898" s="37"/>
      <c r="D898" s="37" t="s">
        <v>386</v>
      </c>
      <c r="E898" s="37" t="s">
        <v>3564</v>
      </c>
      <c r="F898" s="37" t="s">
        <v>3852</v>
      </c>
      <c r="G898" s="37" t="s">
        <v>2137</v>
      </c>
      <c r="H898" s="37" t="s">
        <v>430</v>
      </c>
      <c r="I898" s="37" t="s">
        <v>420</v>
      </c>
      <c r="J898" s="37" t="s">
        <v>75</v>
      </c>
      <c r="K898" s="40" t="s">
        <v>1648</v>
      </c>
      <c r="L898" s="37" t="s">
        <v>64</v>
      </c>
      <c r="M898" s="37" t="s">
        <v>3851</v>
      </c>
      <c r="N898" s="37"/>
      <c r="O898" s="37" t="s">
        <v>631</v>
      </c>
      <c r="P898" s="37" t="s">
        <v>878</v>
      </c>
      <c r="Q898" s="37" t="s">
        <v>10</v>
      </c>
      <c r="R898" s="37" t="s">
        <v>4060</v>
      </c>
      <c r="S898" s="37"/>
      <c r="T898" s="37" t="s">
        <v>158</v>
      </c>
      <c r="U898" s="37" t="s">
        <v>69</v>
      </c>
      <c r="V898" s="37" t="s">
        <v>118</v>
      </c>
      <c r="W898" s="37" t="s">
        <v>73</v>
      </c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</row>
    <row r="899" spans="1:37">
      <c r="A899" s="37"/>
      <c r="B899" s="37"/>
      <c r="C899" s="37"/>
      <c r="D899" s="37" t="s">
        <v>1418</v>
      </c>
      <c r="E899" s="37" t="s">
        <v>2234</v>
      </c>
      <c r="F899" s="37" t="s">
        <v>3568</v>
      </c>
      <c r="G899" s="37" t="s">
        <v>3565</v>
      </c>
      <c r="H899" s="37"/>
      <c r="I899" s="37" t="s">
        <v>420</v>
      </c>
      <c r="J899" s="37" t="s">
        <v>75</v>
      </c>
      <c r="K899" s="40" t="s">
        <v>1061</v>
      </c>
      <c r="L899" s="37" t="s">
        <v>64</v>
      </c>
      <c r="M899" s="37" t="s">
        <v>3566</v>
      </c>
      <c r="N899" s="37" t="s">
        <v>3567</v>
      </c>
      <c r="O899" s="37" t="s">
        <v>631</v>
      </c>
      <c r="P899" s="37" t="s">
        <v>647</v>
      </c>
      <c r="Q899" s="37" t="s">
        <v>10</v>
      </c>
      <c r="R899" s="37"/>
      <c r="S899" s="37"/>
      <c r="T899" s="37" t="s">
        <v>69</v>
      </c>
      <c r="U899" s="37"/>
      <c r="V899" s="37" t="s">
        <v>67</v>
      </c>
      <c r="W899" s="37" t="s">
        <v>89</v>
      </c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</row>
    <row r="900" spans="1:37">
      <c r="A900" s="37"/>
      <c r="B900" s="37"/>
      <c r="C900" s="37"/>
      <c r="D900" s="37" t="s">
        <v>2204</v>
      </c>
      <c r="E900" s="37" t="s">
        <v>1493</v>
      </c>
      <c r="F900" s="37" t="s">
        <v>3883</v>
      </c>
      <c r="G900" s="37" t="s">
        <v>3880</v>
      </c>
      <c r="H900" s="37"/>
      <c r="I900" s="37" t="s">
        <v>420</v>
      </c>
      <c r="J900" s="37" t="s">
        <v>75</v>
      </c>
      <c r="K900" s="40" t="s">
        <v>698</v>
      </c>
      <c r="L900" s="37" t="s">
        <v>64</v>
      </c>
      <c r="M900" s="37" t="s">
        <v>3881</v>
      </c>
      <c r="N900" s="37"/>
      <c r="O900" s="37" t="s">
        <v>631</v>
      </c>
      <c r="P900" s="37" t="s">
        <v>1096</v>
      </c>
      <c r="Q900" s="37" t="s">
        <v>10</v>
      </c>
      <c r="R900" s="37" t="s">
        <v>3882</v>
      </c>
      <c r="S900" s="37"/>
      <c r="T900" s="37" t="s">
        <v>158</v>
      </c>
      <c r="U900" s="37"/>
      <c r="V900" s="37" t="s">
        <v>72</v>
      </c>
      <c r="W900" s="37" t="s">
        <v>110</v>
      </c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</row>
    <row r="901" spans="1:37">
      <c r="A901" s="37"/>
      <c r="B901" s="37"/>
      <c r="C901" s="37"/>
      <c r="D901" s="37" t="s">
        <v>4372</v>
      </c>
      <c r="E901" s="37" t="s">
        <v>4197</v>
      </c>
      <c r="F901" s="37" t="s">
        <v>4376</v>
      </c>
      <c r="G901" s="37" t="s">
        <v>4373</v>
      </c>
      <c r="H901" s="37"/>
      <c r="I901" s="37" t="s">
        <v>4374</v>
      </c>
      <c r="J901" s="37" t="s">
        <v>324</v>
      </c>
      <c r="K901" s="40" t="s">
        <v>4327</v>
      </c>
      <c r="L901" s="37" t="s">
        <v>64</v>
      </c>
      <c r="M901" s="37" t="s">
        <v>4375</v>
      </c>
      <c r="N901" s="37"/>
      <c r="O901" s="37" t="s">
        <v>631</v>
      </c>
      <c r="P901" s="37" t="s">
        <v>632</v>
      </c>
      <c r="Q901" s="37" t="s">
        <v>65</v>
      </c>
      <c r="R901" s="37"/>
      <c r="S901" s="37"/>
      <c r="T901" s="37" t="s">
        <v>66</v>
      </c>
      <c r="U901" s="37"/>
      <c r="V901" s="37" t="s">
        <v>77</v>
      </c>
      <c r="W901" s="37" t="s">
        <v>89</v>
      </c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</row>
    <row r="902" spans="1:37">
      <c r="A902" s="37"/>
      <c r="B902" s="37"/>
      <c r="C902" s="37"/>
      <c r="D902" s="37" t="s">
        <v>2893</v>
      </c>
      <c r="E902" s="37" t="s">
        <v>3587</v>
      </c>
      <c r="F902" s="37" t="s">
        <v>3590</v>
      </c>
      <c r="G902" s="37" t="s">
        <v>3588</v>
      </c>
      <c r="H902" s="37"/>
      <c r="I902" s="37" t="s">
        <v>3074</v>
      </c>
      <c r="J902" s="37" t="s">
        <v>425</v>
      </c>
      <c r="K902" s="40" t="s">
        <v>3075</v>
      </c>
      <c r="L902" s="37" t="s">
        <v>64</v>
      </c>
      <c r="M902" s="37" t="s">
        <v>3589</v>
      </c>
      <c r="N902" s="37"/>
      <c r="O902" s="37" t="s">
        <v>631</v>
      </c>
      <c r="P902" s="37" t="s">
        <v>632</v>
      </c>
      <c r="Q902" s="37" t="s">
        <v>98</v>
      </c>
      <c r="R902" s="37"/>
      <c r="S902" s="37"/>
      <c r="T902" s="37"/>
      <c r="U902" s="37"/>
      <c r="V902" s="37" t="s">
        <v>72</v>
      </c>
      <c r="W902" s="37" t="s">
        <v>89</v>
      </c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</row>
    <row r="903" spans="1:37">
      <c r="A903" s="37"/>
      <c r="B903" s="37"/>
      <c r="C903" s="37"/>
      <c r="D903" s="37" t="s">
        <v>213</v>
      </c>
      <c r="E903" s="37" t="s">
        <v>2894</v>
      </c>
      <c r="F903" s="37" t="s">
        <v>2897</v>
      </c>
      <c r="G903" s="37" t="s">
        <v>2895</v>
      </c>
      <c r="H903" s="37"/>
      <c r="I903" s="37" t="s">
        <v>497</v>
      </c>
      <c r="J903" s="37" t="s">
        <v>498</v>
      </c>
      <c r="K903" s="40" t="s">
        <v>1262</v>
      </c>
      <c r="L903" s="37" t="s">
        <v>64</v>
      </c>
      <c r="M903" s="37" t="s">
        <v>2896</v>
      </c>
      <c r="N903" s="37"/>
      <c r="O903" s="37" t="s">
        <v>631</v>
      </c>
      <c r="P903" s="37" t="s">
        <v>647</v>
      </c>
      <c r="Q903" s="37" t="s">
        <v>10</v>
      </c>
      <c r="R903" s="37"/>
      <c r="S903" s="37"/>
      <c r="T903" s="37" t="s">
        <v>69</v>
      </c>
      <c r="U903" s="37"/>
      <c r="V903" s="37" t="s">
        <v>77</v>
      </c>
      <c r="W903" s="37" t="s">
        <v>89</v>
      </c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</row>
    <row r="904" spans="1:37">
      <c r="A904" s="37"/>
      <c r="B904" s="37"/>
      <c r="C904" s="37"/>
      <c r="D904" s="37" t="s">
        <v>1799</v>
      </c>
      <c r="E904" s="37" t="s">
        <v>2443</v>
      </c>
      <c r="F904" s="37" t="s">
        <v>2899</v>
      </c>
      <c r="G904" s="37" t="s">
        <v>3096</v>
      </c>
      <c r="H904" s="37" t="s">
        <v>3097</v>
      </c>
      <c r="I904" s="37" t="s">
        <v>420</v>
      </c>
      <c r="J904" s="37" t="s">
        <v>75</v>
      </c>
      <c r="K904" s="40" t="s">
        <v>698</v>
      </c>
      <c r="L904" s="37" t="s">
        <v>64</v>
      </c>
      <c r="M904" s="37" t="s">
        <v>2809</v>
      </c>
      <c r="N904" s="37" t="s">
        <v>2898</v>
      </c>
      <c r="O904" s="37" t="s">
        <v>631</v>
      </c>
      <c r="P904" s="37" t="s">
        <v>632</v>
      </c>
      <c r="Q904" s="37" t="s">
        <v>10</v>
      </c>
      <c r="R904" s="37"/>
      <c r="S904" s="37"/>
      <c r="T904" s="37" t="s">
        <v>115</v>
      </c>
      <c r="U904" s="37"/>
      <c r="V904" s="37" t="s">
        <v>118</v>
      </c>
      <c r="W904" s="37" t="s">
        <v>99</v>
      </c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</row>
    <row r="905" spans="1:37">
      <c r="A905" s="37"/>
      <c r="B905" s="37"/>
      <c r="C905" s="37"/>
      <c r="D905" s="37" t="s">
        <v>1381</v>
      </c>
      <c r="E905" s="37" t="s">
        <v>2816</v>
      </c>
      <c r="F905" s="37" t="s">
        <v>2819</v>
      </c>
      <c r="G905" s="37" t="s">
        <v>2817</v>
      </c>
      <c r="H905" s="37"/>
      <c r="I905" s="37" t="s">
        <v>420</v>
      </c>
      <c r="J905" s="37" t="s">
        <v>75</v>
      </c>
      <c r="K905" s="40" t="s">
        <v>698</v>
      </c>
      <c r="L905" s="37" t="s">
        <v>64</v>
      </c>
      <c r="M905" s="37" t="s">
        <v>2796</v>
      </c>
      <c r="N905" s="37" t="s">
        <v>2797</v>
      </c>
      <c r="O905" s="37" t="s">
        <v>631</v>
      </c>
      <c r="P905" s="37" t="s">
        <v>878</v>
      </c>
      <c r="Q905" s="37" t="s">
        <v>10</v>
      </c>
      <c r="R905" s="37" t="s">
        <v>2818</v>
      </c>
      <c r="S905" s="37"/>
      <c r="T905" s="37" t="s">
        <v>115</v>
      </c>
      <c r="U905" s="37" t="s">
        <v>116</v>
      </c>
      <c r="V905" s="37" t="s">
        <v>77</v>
      </c>
      <c r="W905" s="37" t="s">
        <v>99</v>
      </c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</row>
    <row r="906" spans="1:37">
      <c r="A906" s="37"/>
      <c r="B906" s="37"/>
      <c r="C906" s="37"/>
      <c r="D906" s="37" t="s">
        <v>4067</v>
      </c>
      <c r="E906" s="37" t="s">
        <v>2487</v>
      </c>
      <c r="F906" s="37" t="s">
        <v>6271</v>
      </c>
      <c r="G906" s="37" t="s">
        <v>6268</v>
      </c>
      <c r="H906" s="37"/>
      <c r="I906" s="37" t="s">
        <v>420</v>
      </c>
      <c r="J906" s="37" t="s">
        <v>75</v>
      </c>
      <c r="K906" s="40" t="s">
        <v>1061</v>
      </c>
      <c r="L906" s="37" t="s">
        <v>64</v>
      </c>
      <c r="M906" s="37" t="s">
        <v>3566</v>
      </c>
      <c r="N906" s="37"/>
      <c r="O906" s="37" t="s">
        <v>631</v>
      </c>
      <c r="P906" s="37" t="s">
        <v>647</v>
      </c>
      <c r="Q906" s="37" t="s">
        <v>10</v>
      </c>
      <c r="R906" s="37"/>
      <c r="S906" s="37"/>
      <c r="T906" s="37" t="s">
        <v>66</v>
      </c>
      <c r="U906" s="37"/>
      <c r="V906" s="37" t="s">
        <v>88</v>
      </c>
      <c r="W906" s="37" t="s">
        <v>348</v>
      </c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</row>
    <row r="907" spans="1:37">
      <c r="A907" s="37"/>
      <c r="B907" s="37"/>
      <c r="C907" s="37"/>
      <c r="D907" s="37" t="s">
        <v>1416</v>
      </c>
      <c r="E907" s="37" t="s">
        <v>2915</v>
      </c>
      <c r="F907" s="37" t="s">
        <v>2919</v>
      </c>
      <c r="G907" s="37" t="s">
        <v>2916</v>
      </c>
      <c r="H907" s="37"/>
      <c r="I907" s="37" t="s">
        <v>2917</v>
      </c>
      <c r="J907" s="37" t="s">
        <v>121</v>
      </c>
      <c r="K907" s="40" t="s">
        <v>2186</v>
      </c>
      <c r="L907" s="37" t="s">
        <v>64</v>
      </c>
      <c r="M907" s="37" t="s">
        <v>2918</v>
      </c>
      <c r="N907" s="37"/>
      <c r="O907" s="37" t="s">
        <v>631</v>
      </c>
      <c r="P907" s="37" t="s">
        <v>632</v>
      </c>
      <c r="Q907" s="37" t="s">
        <v>71</v>
      </c>
      <c r="R907" s="37"/>
      <c r="S907" s="37"/>
      <c r="T907" s="37"/>
      <c r="U907" s="37"/>
      <c r="V907" s="37" t="s">
        <v>67</v>
      </c>
      <c r="W907" s="37" t="s">
        <v>89</v>
      </c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</row>
    <row r="908" spans="1:37">
      <c r="A908" s="37"/>
      <c r="B908" s="37"/>
      <c r="C908" s="37"/>
      <c r="D908" s="37" t="s">
        <v>4805</v>
      </c>
      <c r="E908" s="37" t="s">
        <v>4806</v>
      </c>
      <c r="F908" s="37" t="s">
        <v>4808</v>
      </c>
      <c r="G908" s="37" t="s">
        <v>2483</v>
      </c>
      <c r="H908" s="37" t="s">
        <v>2573</v>
      </c>
      <c r="I908" s="37" t="s">
        <v>560</v>
      </c>
      <c r="J908" s="37" t="s">
        <v>200</v>
      </c>
      <c r="K908" s="40" t="s">
        <v>3007</v>
      </c>
      <c r="L908" s="37" t="s">
        <v>64</v>
      </c>
      <c r="M908" s="37" t="s">
        <v>4807</v>
      </c>
      <c r="N908" s="37"/>
      <c r="O908" s="37" t="s">
        <v>631</v>
      </c>
      <c r="P908" s="37" t="s">
        <v>632</v>
      </c>
      <c r="Q908" s="37" t="s">
        <v>18</v>
      </c>
      <c r="R908" s="37"/>
      <c r="S908" s="37"/>
      <c r="T908" s="37" t="s">
        <v>158</v>
      </c>
      <c r="U908" s="37"/>
      <c r="V908" s="37" t="s">
        <v>77</v>
      </c>
      <c r="W908" s="37" t="s">
        <v>89</v>
      </c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</row>
    <row r="909" spans="1:37">
      <c r="A909" s="37"/>
      <c r="B909" s="37"/>
      <c r="C909" s="37"/>
      <c r="D909" s="37" t="s">
        <v>2870</v>
      </c>
      <c r="E909" s="37" t="s">
        <v>2871</v>
      </c>
      <c r="F909" s="37" t="s">
        <v>2876</v>
      </c>
      <c r="G909" s="37" t="s">
        <v>2872</v>
      </c>
      <c r="H909" s="37" t="s">
        <v>2829</v>
      </c>
      <c r="I909" s="37" t="s">
        <v>2313</v>
      </c>
      <c r="J909" s="37" t="s">
        <v>425</v>
      </c>
      <c r="K909" s="40" t="s">
        <v>2873</v>
      </c>
      <c r="L909" s="37" t="s">
        <v>64</v>
      </c>
      <c r="M909" s="37" t="s">
        <v>2874</v>
      </c>
      <c r="N909" s="37" t="s">
        <v>2875</v>
      </c>
      <c r="O909" s="37" t="s">
        <v>631</v>
      </c>
      <c r="P909" s="37" t="s">
        <v>632</v>
      </c>
      <c r="Q909" s="37" t="s">
        <v>98</v>
      </c>
      <c r="R909" s="37"/>
      <c r="S909" s="37" t="s">
        <v>3155</v>
      </c>
      <c r="T909" s="37"/>
      <c r="U909" s="37"/>
      <c r="V909" s="37" t="s">
        <v>72</v>
      </c>
      <c r="W909" s="37" t="s">
        <v>73</v>
      </c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</row>
    <row r="910" spans="1:37">
      <c r="A910" s="37"/>
      <c r="B910" s="37"/>
      <c r="C910" s="37"/>
      <c r="D910" s="37" t="s">
        <v>6272</v>
      </c>
      <c r="E910" s="37" t="s">
        <v>6273</v>
      </c>
      <c r="F910" s="37" t="s">
        <v>6274</v>
      </c>
      <c r="G910" s="37" t="s">
        <v>6275</v>
      </c>
      <c r="H910" s="37"/>
      <c r="I910" s="37" t="s">
        <v>420</v>
      </c>
      <c r="J910" s="37" t="s">
        <v>75</v>
      </c>
      <c r="K910" s="40" t="s">
        <v>1648</v>
      </c>
      <c r="L910" s="37" t="s">
        <v>64</v>
      </c>
      <c r="M910" s="37" t="s">
        <v>6276</v>
      </c>
      <c r="N910" s="37"/>
      <c r="O910" s="37" t="s">
        <v>631</v>
      </c>
      <c r="P910" s="37" t="s">
        <v>1096</v>
      </c>
      <c r="Q910" s="37" t="s">
        <v>10</v>
      </c>
      <c r="R910" s="37"/>
      <c r="S910" s="37"/>
      <c r="T910" s="37" t="s">
        <v>66</v>
      </c>
      <c r="U910" s="37" t="s">
        <v>116</v>
      </c>
      <c r="V910" s="37" t="s">
        <v>118</v>
      </c>
      <c r="W910" s="37" t="s">
        <v>89</v>
      </c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</row>
    <row r="911" spans="1:37">
      <c r="A911" s="37"/>
      <c r="B911" s="37"/>
      <c r="C911" s="37"/>
      <c r="D911" s="37" t="s">
        <v>539</v>
      </c>
      <c r="E911" s="37" t="s">
        <v>4044</v>
      </c>
      <c r="F911" s="37" t="s">
        <v>4046</v>
      </c>
      <c r="G911" s="37" t="s">
        <v>2137</v>
      </c>
      <c r="H911" s="37" t="s">
        <v>430</v>
      </c>
      <c r="I911" s="37" t="s">
        <v>420</v>
      </c>
      <c r="J911" s="37" t="s">
        <v>75</v>
      </c>
      <c r="K911" s="40" t="s">
        <v>1648</v>
      </c>
      <c r="L911" s="37" t="s">
        <v>64</v>
      </c>
      <c r="M911" s="37" t="s">
        <v>4045</v>
      </c>
      <c r="N911" s="37"/>
      <c r="O911" s="37" t="s">
        <v>631</v>
      </c>
      <c r="P911" s="37" t="s">
        <v>1096</v>
      </c>
      <c r="Q911" s="37" t="s">
        <v>10</v>
      </c>
      <c r="R911" s="37" t="s">
        <v>4060</v>
      </c>
      <c r="S911" s="37"/>
      <c r="T911" s="37"/>
      <c r="U911" s="37"/>
      <c r="V911" s="37" t="s">
        <v>118</v>
      </c>
      <c r="W911" s="37" t="s">
        <v>89</v>
      </c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</row>
    <row r="912" spans="1:37">
      <c r="A912" s="37"/>
      <c r="B912" s="37"/>
      <c r="C912" s="37"/>
      <c r="D912" s="37" t="s">
        <v>1078</v>
      </c>
      <c r="E912" s="37" t="s">
        <v>1232</v>
      </c>
      <c r="F912" s="37" t="s">
        <v>4021</v>
      </c>
      <c r="G912" s="37" t="s">
        <v>3345</v>
      </c>
      <c r="H912" s="37"/>
      <c r="I912" s="37" t="s">
        <v>420</v>
      </c>
      <c r="J912" s="37" t="s">
        <v>75</v>
      </c>
      <c r="K912" s="40" t="s">
        <v>698</v>
      </c>
      <c r="L912" s="37" t="s">
        <v>64</v>
      </c>
      <c r="M912" s="37" t="s">
        <v>4020</v>
      </c>
      <c r="N912" s="37" t="s">
        <v>3346</v>
      </c>
      <c r="O912" s="37" t="s">
        <v>631</v>
      </c>
      <c r="P912" s="37" t="s">
        <v>632</v>
      </c>
      <c r="Q912" s="37" t="s">
        <v>10</v>
      </c>
      <c r="R912" s="37"/>
      <c r="S912" s="37"/>
      <c r="T912" s="37" t="s">
        <v>69</v>
      </c>
      <c r="U912" s="37" t="s">
        <v>69</v>
      </c>
      <c r="V912" s="37" t="s">
        <v>72</v>
      </c>
      <c r="W912" s="37" t="s">
        <v>69</v>
      </c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</row>
    <row r="913" spans="1:37">
      <c r="A913" s="37"/>
      <c r="B913" s="37"/>
      <c r="C913" s="37"/>
      <c r="D913" s="37" t="s">
        <v>3993</v>
      </c>
      <c r="E913" s="37" t="s">
        <v>3994</v>
      </c>
      <c r="F913" s="37" t="s">
        <v>3997</v>
      </c>
      <c r="G913" s="37" t="s">
        <v>3545</v>
      </c>
      <c r="H913" s="37" t="s">
        <v>3995</v>
      </c>
      <c r="I913" s="37" t="s">
        <v>420</v>
      </c>
      <c r="J913" s="37" t="s">
        <v>75</v>
      </c>
      <c r="K913" s="40" t="s">
        <v>698</v>
      </c>
      <c r="L913" s="37" t="s">
        <v>64</v>
      </c>
      <c r="M913" s="37" t="s">
        <v>3996</v>
      </c>
      <c r="N913" s="37"/>
      <c r="O913" s="37" t="s">
        <v>631</v>
      </c>
      <c r="P913" s="37" t="s">
        <v>632</v>
      </c>
      <c r="Q913" s="37" t="s">
        <v>10</v>
      </c>
      <c r="R913" s="37"/>
      <c r="S913" s="37"/>
      <c r="T913" s="37" t="s">
        <v>66</v>
      </c>
      <c r="U913" s="37" t="s">
        <v>116</v>
      </c>
      <c r="V913" s="37" t="s">
        <v>72</v>
      </c>
      <c r="W913" s="37" t="s">
        <v>135</v>
      </c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</row>
    <row r="914" spans="1:37">
      <c r="A914" s="37"/>
      <c r="B914" s="37"/>
      <c r="C914" s="37"/>
      <c r="D914" s="37" t="s">
        <v>2091</v>
      </c>
      <c r="E914" s="37" t="s">
        <v>6277</v>
      </c>
      <c r="F914" s="37" t="s">
        <v>6278</v>
      </c>
      <c r="G914" s="37" t="s">
        <v>6279</v>
      </c>
      <c r="H914" s="37"/>
      <c r="I914" s="37" t="s">
        <v>420</v>
      </c>
      <c r="J914" s="37" t="s">
        <v>75</v>
      </c>
      <c r="K914" s="40" t="s">
        <v>698</v>
      </c>
      <c r="L914" s="37" t="s">
        <v>64</v>
      </c>
      <c r="M914" s="37" t="s">
        <v>6280</v>
      </c>
      <c r="N914" s="37"/>
      <c r="O914" s="37" t="s">
        <v>631</v>
      </c>
      <c r="P914" s="37" t="s">
        <v>632</v>
      </c>
      <c r="Q914" s="37" t="s">
        <v>10</v>
      </c>
      <c r="R914" s="37"/>
      <c r="S914" s="37"/>
      <c r="T914" s="37" t="s">
        <v>69</v>
      </c>
      <c r="U914" s="37" t="s">
        <v>69</v>
      </c>
      <c r="V914" s="37" t="s">
        <v>72</v>
      </c>
      <c r="W914" s="37" t="s">
        <v>110</v>
      </c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</row>
    <row r="915" spans="1:37">
      <c r="A915" s="37" t="s">
        <v>3898</v>
      </c>
      <c r="B915" s="37"/>
      <c r="C915" s="37"/>
      <c r="D915" s="37" t="s">
        <v>997</v>
      </c>
      <c r="E915" s="37" t="s">
        <v>3899</v>
      </c>
      <c r="F915" s="37" t="s">
        <v>3901</v>
      </c>
      <c r="G915" s="37" t="s">
        <v>3900</v>
      </c>
      <c r="H915" s="37"/>
      <c r="I915" s="37" t="s">
        <v>420</v>
      </c>
      <c r="J915" s="37" t="s">
        <v>75</v>
      </c>
      <c r="K915" s="40" t="s">
        <v>698</v>
      </c>
      <c r="L915" s="37" t="s">
        <v>64</v>
      </c>
      <c r="M915" s="37" t="s">
        <v>1242</v>
      </c>
      <c r="N915" s="37"/>
      <c r="O915" s="37" t="s">
        <v>631</v>
      </c>
      <c r="P915" s="37" t="s">
        <v>632</v>
      </c>
      <c r="Q915" s="37" t="s">
        <v>10</v>
      </c>
      <c r="R915" s="37"/>
      <c r="S915" s="37"/>
      <c r="T915" s="37" t="s">
        <v>69</v>
      </c>
      <c r="U915" s="37"/>
      <c r="V915" s="37" t="s">
        <v>72</v>
      </c>
      <c r="W915" s="37" t="s">
        <v>576</v>
      </c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</row>
    <row r="916" spans="1:37">
      <c r="A916" s="37"/>
      <c r="B916" s="37"/>
      <c r="C916" s="37"/>
      <c r="D916" s="37" t="s">
        <v>6281</v>
      </c>
      <c r="E916" s="37" t="s">
        <v>2674</v>
      </c>
      <c r="F916" s="37" t="s">
        <v>6282</v>
      </c>
      <c r="G916" s="37" t="s">
        <v>6283</v>
      </c>
      <c r="H916" s="37" t="s">
        <v>6284</v>
      </c>
      <c r="I916" s="37" t="s">
        <v>420</v>
      </c>
      <c r="J916" s="37" t="s">
        <v>75</v>
      </c>
      <c r="K916" s="40" t="s">
        <v>698</v>
      </c>
      <c r="L916" s="37" t="s">
        <v>64</v>
      </c>
      <c r="M916" s="37" t="s">
        <v>6285</v>
      </c>
      <c r="N916" s="37" t="s">
        <v>6286</v>
      </c>
      <c r="O916" s="37" t="s">
        <v>631</v>
      </c>
      <c r="P916" s="37" t="s">
        <v>632</v>
      </c>
      <c r="Q916" s="37" t="s">
        <v>10</v>
      </c>
      <c r="R916" s="37"/>
      <c r="S916" s="37"/>
      <c r="T916" s="37" t="s">
        <v>66</v>
      </c>
      <c r="U916" s="37" t="s">
        <v>69</v>
      </c>
      <c r="V916" s="37" t="s">
        <v>67</v>
      </c>
      <c r="W916" s="37" t="s">
        <v>99</v>
      </c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</row>
    <row r="917" spans="1:37">
      <c r="A917" s="37"/>
      <c r="B917" s="37"/>
      <c r="C917" s="37"/>
      <c r="D917" s="37" t="s">
        <v>415</v>
      </c>
      <c r="E917" s="37" t="s">
        <v>1504</v>
      </c>
      <c r="F917" s="37" t="s">
        <v>1509</v>
      </c>
      <c r="G917" s="37" t="s">
        <v>1505</v>
      </c>
      <c r="H917" s="37"/>
      <c r="I917" s="37" t="s">
        <v>1506</v>
      </c>
      <c r="J917" s="37" t="s">
        <v>369</v>
      </c>
      <c r="K917" s="40" t="s">
        <v>1507</v>
      </c>
      <c r="L917" s="37" t="s">
        <v>64</v>
      </c>
      <c r="M917" s="37" t="s">
        <v>1508</v>
      </c>
      <c r="N917" s="37"/>
      <c r="O917" s="37" t="s">
        <v>6287</v>
      </c>
      <c r="P917" s="37" t="s">
        <v>469</v>
      </c>
      <c r="Q917" s="37" t="s">
        <v>98</v>
      </c>
      <c r="R917" s="37"/>
      <c r="S917" s="37"/>
      <c r="T917" s="37" t="s">
        <v>144</v>
      </c>
      <c r="U917" s="37" t="s">
        <v>109</v>
      </c>
      <c r="V917" s="37" t="s">
        <v>72</v>
      </c>
      <c r="W917" s="37" t="s">
        <v>110</v>
      </c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</row>
    <row r="918" spans="1:37">
      <c r="A918" s="37"/>
      <c r="B918" s="37"/>
      <c r="C918" s="37"/>
      <c r="D918" s="37" t="s">
        <v>1203</v>
      </c>
      <c r="E918" s="37" t="s">
        <v>6288</v>
      </c>
      <c r="F918" s="37" t="s">
        <v>6289</v>
      </c>
      <c r="G918" s="37" t="s">
        <v>3791</v>
      </c>
      <c r="H918" s="37" t="s">
        <v>6290</v>
      </c>
      <c r="I918" s="37" t="s">
        <v>3373</v>
      </c>
      <c r="J918" s="37" t="s">
        <v>105</v>
      </c>
      <c r="K918" s="40" t="s">
        <v>3203</v>
      </c>
      <c r="L918" s="37" t="s">
        <v>64</v>
      </c>
      <c r="M918" s="37" t="s">
        <v>6291</v>
      </c>
      <c r="N918" s="37"/>
      <c r="O918" s="37" t="s">
        <v>6287</v>
      </c>
      <c r="P918" s="37" t="s">
        <v>469</v>
      </c>
      <c r="Q918" s="37" t="s">
        <v>14</v>
      </c>
      <c r="R918" s="37"/>
      <c r="S918" s="37" t="s">
        <v>6287</v>
      </c>
      <c r="T918" s="37"/>
      <c r="U918" s="37"/>
      <c r="V918" s="37" t="s">
        <v>72</v>
      </c>
      <c r="W918" s="37" t="s">
        <v>99</v>
      </c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</row>
    <row r="919" spans="1:37">
      <c r="A919" s="37"/>
      <c r="B919" s="37"/>
      <c r="C919" s="37"/>
      <c r="D919" s="37" t="s">
        <v>1510</v>
      </c>
      <c r="E919" s="37" t="s">
        <v>4911</v>
      </c>
      <c r="F919" s="37" t="s">
        <v>4915</v>
      </c>
      <c r="G919" s="37" t="s">
        <v>4912</v>
      </c>
      <c r="H919" s="37" t="s">
        <v>4913</v>
      </c>
      <c r="I919" s="37" t="s">
        <v>1282</v>
      </c>
      <c r="J919" s="37" t="s">
        <v>105</v>
      </c>
      <c r="K919" s="40" t="s">
        <v>1283</v>
      </c>
      <c r="L919" s="37" t="s">
        <v>64</v>
      </c>
      <c r="M919" s="37" t="s">
        <v>4914</v>
      </c>
      <c r="N919" s="37"/>
      <c r="O919" s="37" t="s">
        <v>6287</v>
      </c>
      <c r="P919" s="37" t="s">
        <v>469</v>
      </c>
      <c r="Q919" s="37" t="s">
        <v>14</v>
      </c>
      <c r="R919" s="37"/>
      <c r="S919" s="37"/>
      <c r="T919" s="37" t="s">
        <v>66</v>
      </c>
      <c r="U919" s="37"/>
      <c r="V919" s="37" t="s">
        <v>88</v>
      </c>
      <c r="W919" s="37" t="s">
        <v>99</v>
      </c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</row>
    <row r="920" spans="1:37">
      <c r="A920" s="37" t="s">
        <v>250</v>
      </c>
      <c r="B920" s="37"/>
      <c r="C920" s="37"/>
      <c r="D920" s="37" t="s">
        <v>190</v>
      </c>
      <c r="E920" s="37" t="s">
        <v>1894</v>
      </c>
      <c r="F920" s="37" t="s">
        <v>1896</v>
      </c>
      <c r="G920" s="37" t="s">
        <v>806</v>
      </c>
      <c r="H920" s="37"/>
      <c r="I920" s="37" t="s">
        <v>416</v>
      </c>
      <c r="J920" s="37" t="s">
        <v>75</v>
      </c>
      <c r="K920" s="40" t="s">
        <v>807</v>
      </c>
      <c r="L920" s="37" t="s">
        <v>64</v>
      </c>
      <c r="M920" s="37" t="s">
        <v>1895</v>
      </c>
      <c r="N920" s="37"/>
      <c r="O920" s="37" t="s">
        <v>6287</v>
      </c>
      <c r="P920" s="37" t="s">
        <v>469</v>
      </c>
      <c r="Q920" s="37" t="s">
        <v>10</v>
      </c>
      <c r="R920" s="37"/>
      <c r="S920" s="37"/>
      <c r="T920" s="37" t="s">
        <v>66</v>
      </c>
      <c r="U920" s="37" t="s">
        <v>185</v>
      </c>
      <c r="V920" s="37" t="s">
        <v>72</v>
      </c>
      <c r="W920" s="37" t="s">
        <v>78</v>
      </c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</row>
    <row r="921" spans="1:37">
      <c r="A921" s="37"/>
      <c r="B921" s="37"/>
      <c r="C921" s="37"/>
      <c r="D921" s="37" t="s">
        <v>415</v>
      </c>
      <c r="E921" s="37" t="s">
        <v>2446</v>
      </c>
      <c r="F921" s="37" t="s">
        <v>4838</v>
      </c>
      <c r="G921" s="37" t="s">
        <v>4834</v>
      </c>
      <c r="H921" s="37" t="s">
        <v>4835</v>
      </c>
      <c r="I921" s="37" t="s">
        <v>82</v>
      </c>
      <c r="J921" s="37" t="s">
        <v>83</v>
      </c>
      <c r="K921" s="40" t="s">
        <v>106</v>
      </c>
      <c r="L921" s="37" t="s">
        <v>64</v>
      </c>
      <c r="M921" s="37" t="s">
        <v>4836</v>
      </c>
      <c r="N921" s="37" t="s">
        <v>4837</v>
      </c>
      <c r="O921" s="37" t="s">
        <v>6287</v>
      </c>
      <c r="P921" s="37" t="s">
        <v>469</v>
      </c>
      <c r="Q921" s="37" t="s">
        <v>14</v>
      </c>
      <c r="R921" s="37"/>
      <c r="S921" s="37"/>
      <c r="T921" s="37" t="s">
        <v>69</v>
      </c>
      <c r="U921" s="37" t="s">
        <v>145</v>
      </c>
      <c r="V921" s="37" t="s">
        <v>72</v>
      </c>
      <c r="W921" s="37" t="s">
        <v>99</v>
      </c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</row>
    <row r="922" spans="1:37">
      <c r="A922" s="37"/>
      <c r="B922" s="37"/>
      <c r="C922" s="37"/>
      <c r="D922" s="37" t="s">
        <v>3789</v>
      </c>
      <c r="E922" s="37" t="s">
        <v>3790</v>
      </c>
      <c r="F922" s="37" t="s">
        <v>3793</v>
      </c>
      <c r="G922" s="37" t="s">
        <v>3791</v>
      </c>
      <c r="H922" s="37"/>
      <c r="I922" s="37" t="s">
        <v>3373</v>
      </c>
      <c r="J922" s="37" t="s">
        <v>105</v>
      </c>
      <c r="K922" s="40" t="s">
        <v>3203</v>
      </c>
      <c r="L922" s="37" t="s">
        <v>64</v>
      </c>
      <c r="M922" s="37" t="s">
        <v>3792</v>
      </c>
      <c r="N922" s="37"/>
      <c r="O922" s="37" t="s">
        <v>6287</v>
      </c>
      <c r="P922" s="37" t="s">
        <v>469</v>
      </c>
      <c r="Q922" s="37" t="s">
        <v>14</v>
      </c>
      <c r="R922" s="37"/>
      <c r="S922" s="37" t="s">
        <v>6287</v>
      </c>
      <c r="T922" s="37" t="s">
        <v>69</v>
      </c>
      <c r="U922" s="37" t="s">
        <v>185</v>
      </c>
      <c r="V922" s="37" t="s">
        <v>67</v>
      </c>
      <c r="W922" s="37" t="s">
        <v>110</v>
      </c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</row>
    <row r="923" spans="1:37">
      <c r="A923" s="37"/>
      <c r="B923" s="37"/>
      <c r="C923" s="37"/>
      <c r="D923" s="37" t="s">
        <v>2107</v>
      </c>
      <c r="E923" s="37" t="s">
        <v>2538</v>
      </c>
      <c r="F923" s="37" t="s">
        <v>4548</v>
      </c>
      <c r="G923" s="37" t="s">
        <v>4546</v>
      </c>
      <c r="H923" s="37"/>
      <c r="I923" s="37" t="s">
        <v>3373</v>
      </c>
      <c r="J923" s="37" t="s">
        <v>105</v>
      </c>
      <c r="K923" s="40" t="s">
        <v>3203</v>
      </c>
      <c r="L923" s="37" t="s">
        <v>64</v>
      </c>
      <c r="M923" s="37" t="s">
        <v>4547</v>
      </c>
      <c r="N923" s="37"/>
      <c r="O923" s="37" t="s">
        <v>6287</v>
      </c>
      <c r="P923" s="37" t="s">
        <v>469</v>
      </c>
      <c r="Q923" s="37" t="s">
        <v>14</v>
      </c>
      <c r="R923" s="37"/>
      <c r="S923" s="37"/>
      <c r="T923" s="37"/>
      <c r="U923" s="37"/>
      <c r="V923" s="37" t="s">
        <v>72</v>
      </c>
      <c r="W923" s="37" t="s">
        <v>110</v>
      </c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</row>
    <row r="924" spans="1:37">
      <c r="A924" s="37"/>
      <c r="B924" s="37"/>
      <c r="C924" s="37"/>
      <c r="D924" s="37" t="s">
        <v>117</v>
      </c>
      <c r="E924" s="37" t="s">
        <v>2598</v>
      </c>
      <c r="F924" s="37" t="s">
        <v>2602</v>
      </c>
      <c r="G924" s="37" t="s">
        <v>2599</v>
      </c>
      <c r="H924" s="37" t="s">
        <v>2600</v>
      </c>
      <c r="I924" s="37" t="s">
        <v>672</v>
      </c>
      <c r="J924" s="37" t="s">
        <v>673</v>
      </c>
      <c r="K924" s="40" t="s">
        <v>674</v>
      </c>
      <c r="L924" s="37" t="s">
        <v>64</v>
      </c>
      <c r="M924" s="37" t="s">
        <v>2601</v>
      </c>
      <c r="N924" s="37"/>
      <c r="O924" s="37" t="s">
        <v>6287</v>
      </c>
      <c r="P924" s="37" t="s">
        <v>469</v>
      </c>
      <c r="Q924" s="37" t="s">
        <v>98</v>
      </c>
      <c r="R924" s="37"/>
      <c r="S924" s="37"/>
      <c r="T924" s="37" t="s">
        <v>144</v>
      </c>
      <c r="U924" s="37" t="s">
        <v>145</v>
      </c>
      <c r="V924" s="37" t="s">
        <v>88</v>
      </c>
      <c r="W924" s="37" t="s">
        <v>89</v>
      </c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</row>
    <row r="925" spans="1:37">
      <c r="A925" s="37"/>
      <c r="B925" s="37"/>
      <c r="C925" s="37"/>
      <c r="D925" s="37" t="s">
        <v>464</v>
      </c>
      <c r="E925" s="37" t="s">
        <v>465</v>
      </c>
      <c r="F925" s="37" t="s">
        <v>470</v>
      </c>
      <c r="G925" s="37" t="s">
        <v>466</v>
      </c>
      <c r="H925" s="37"/>
      <c r="I925" s="37" t="s">
        <v>82</v>
      </c>
      <c r="J925" s="37" t="s">
        <v>83</v>
      </c>
      <c r="K925" s="40" t="s">
        <v>467</v>
      </c>
      <c r="L925" s="37" t="s">
        <v>64</v>
      </c>
      <c r="M925" s="37" t="s">
        <v>468</v>
      </c>
      <c r="N925" s="37"/>
      <c r="O925" s="37" t="s">
        <v>6287</v>
      </c>
      <c r="P925" s="37" t="s">
        <v>469</v>
      </c>
      <c r="Q925" s="37" t="s">
        <v>14</v>
      </c>
      <c r="R925" s="37"/>
      <c r="S925" s="37"/>
      <c r="T925" s="37"/>
      <c r="U925" s="37"/>
      <c r="V925" s="37" t="s">
        <v>72</v>
      </c>
      <c r="W925" s="37" t="s">
        <v>261</v>
      </c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</row>
    <row r="926" spans="1:37">
      <c r="A926" s="37"/>
      <c r="B926" s="37"/>
      <c r="C926" s="37"/>
      <c r="D926" s="37" t="s">
        <v>1941</v>
      </c>
      <c r="E926" s="37" t="s">
        <v>3761</v>
      </c>
      <c r="F926" s="37" t="s">
        <v>3764</v>
      </c>
      <c r="G926" s="37" t="s">
        <v>806</v>
      </c>
      <c r="H926" s="37" t="s">
        <v>3762</v>
      </c>
      <c r="I926" s="37" t="s">
        <v>416</v>
      </c>
      <c r="J926" s="37" t="s">
        <v>75</v>
      </c>
      <c r="K926" s="40" t="s">
        <v>807</v>
      </c>
      <c r="L926" s="37" t="s">
        <v>64</v>
      </c>
      <c r="M926" s="37" t="s">
        <v>3763</v>
      </c>
      <c r="N926" s="37"/>
      <c r="O926" s="37" t="s">
        <v>6287</v>
      </c>
      <c r="P926" s="37" t="s">
        <v>469</v>
      </c>
      <c r="Q926" s="37" t="s">
        <v>10</v>
      </c>
      <c r="R926" s="37"/>
      <c r="S926" s="37"/>
      <c r="T926" s="37" t="s">
        <v>115</v>
      </c>
      <c r="U926" s="37"/>
      <c r="V926" s="37" t="s">
        <v>88</v>
      </c>
      <c r="W926" s="37" t="s">
        <v>89</v>
      </c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</row>
    <row r="927" spans="1:37">
      <c r="A927" s="37"/>
      <c r="B927" s="37"/>
      <c r="C927" s="37"/>
      <c r="D927" s="37" t="s">
        <v>710</v>
      </c>
      <c r="E927" s="37" t="s">
        <v>711</v>
      </c>
      <c r="F927" s="37" t="s">
        <v>716</v>
      </c>
      <c r="G927" s="37" t="s">
        <v>712</v>
      </c>
      <c r="H927" s="37"/>
      <c r="I927" s="37" t="s">
        <v>713</v>
      </c>
      <c r="J927" s="37" t="s">
        <v>200</v>
      </c>
      <c r="K927" s="40" t="s">
        <v>714</v>
      </c>
      <c r="L927" s="37" t="s">
        <v>64</v>
      </c>
      <c r="M927" s="37" t="s">
        <v>715</v>
      </c>
      <c r="N927" s="37"/>
      <c r="O927" s="37" t="s">
        <v>6287</v>
      </c>
      <c r="P927" s="37" t="s">
        <v>469</v>
      </c>
      <c r="Q927" s="37" t="s">
        <v>18</v>
      </c>
      <c r="R927" s="37"/>
      <c r="S927" s="37"/>
      <c r="T927" s="37" t="s">
        <v>144</v>
      </c>
      <c r="U927" s="37" t="s">
        <v>109</v>
      </c>
      <c r="V927" s="37" t="s">
        <v>72</v>
      </c>
      <c r="W927" s="37" t="s">
        <v>135</v>
      </c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</row>
    <row r="928" spans="1:37">
      <c r="A928" s="37"/>
      <c r="B928" s="37"/>
      <c r="C928" s="37"/>
      <c r="D928" s="37" t="s">
        <v>2757</v>
      </c>
      <c r="E928" s="37" t="s">
        <v>2714</v>
      </c>
      <c r="F928" s="37" t="s">
        <v>5397</v>
      </c>
      <c r="G928" s="37" t="s">
        <v>4546</v>
      </c>
      <c r="H928" s="37"/>
      <c r="I928" s="37" t="s">
        <v>3373</v>
      </c>
      <c r="J928" s="37" t="s">
        <v>105</v>
      </c>
      <c r="K928" s="40" t="s">
        <v>1283</v>
      </c>
      <c r="L928" s="37" t="s">
        <v>64</v>
      </c>
      <c r="M928" s="37" t="s">
        <v>5395</v>
      </c>
      <c r="N928" s="37" t="s">
        <v>5396</v>
      </c>
      <c r="O928" s="37" t="s">
        <v>6287</v>
      </c>
      <c r="P928" s="37" t="s">
        <v>469</v>
      </c>
      <c r="Q928" s="37" t="s">
        <v>14</v>
      </c>
      <c r="R928" s="37"/>
      <c r="S928" s="37"/>
      <c r="T928" s="37"/>
      <c r="U928" s="37" t="s">
        <v>182</v>
      </c>
      <c r="V928" s="37" t="s">
        <v>77</v>
      </c>
      <c r="W928" s="37" t="s">
        <v>78</v>
      </c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</row>
    <row r="929" spans="1:37">
      <c r="A929" s="37"/>
      <c r="B929" s="37"/>
      <c r="C929" s="37"/>
      <c r="D929" s="37" t="s">
        <v>211</v>
      </c>
      <c r="E929" s="37" t="s">
        <v>805</v>
      </c>
      <c r="F929" s="37" t="s">
        <v>809</v>
      </c>
      <c r="G929" s="37" t="s">
        <v>806</v>
      </c>
      <c r="H929" s="37"/>
      <c r="I929" s="37" t="s">
        <v>416</v>
      </c>
      <c r="J929" s="37" t="s">
        <v>75</v>
      </c>
      <c r="K929" s="40" t="s">
        <v>807</v>
      </c>
      <c r="L929" s="37" t="s">
        <v>64</v>
      </c>
      <c r="M929" s="37" t="s">
        <v>808</v>
      </c>
      <c r="N929" s="37"/>
      <c r="O929" s="37" t="s">
        <v>6287</v>
      </c>
      <c r="P929" s="37" t="s">
        <v>469</v>
      </c>
      <c r="Q929" s="37" t="s">
        <v>10</v>
      </c>
      <c r="R929" s="37"/>
      <c r="S929" s="37"/>
      <c r="T929" s="37" t="s">
        <v>66</v>
      </c>
      <c r="U929" s="37" t="s">
        <v>145</v>
      </c>
      <c r="V929" s="37" t="s">
        <v>88</v>
      </c>
      <c r="W929" s="37" t="s">
        <v>89</v>
      </c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</row>
    <row r="930" spans="1:37">
      <c r="A930" s="37"/>
      <c r="B930" s="37"/>
      <c r="C930" s="37"/>
      <c r="D930" s="37" t="s">
        <v>846</v>
      </c>
      <c r="E930" s="37" t="s">
        <v>847</v>
      </c>
      <c r="F930" s="37" t="s">
        <v>850</v>
      </c>
      <c r="G930" s="37" t="s">
        <v>712</v>
      </c>
      <c r="H930" s="37"/>
      <c r="I930" s="37" t="s">
        <v>713</v>
      </c>
      <c r="J930" s="37" t="s">
        <v>200</v>
      </c>
      <c r="K930" s="40" t="s">
        <v>848</v>
      </c>
      <c r="L930" s="37" t="s">
        <v>64</v>
      </c>
      <c r="M930" s="37" t="s">
        <v>849</v>
      </c>
      <c r="N930" s="37"/>
      <c r="O930" s="37" t="s">
        <v>6287</v>
      </c>
      <c r="P930" s="37" t="s">
        <v>469</v>
      </c>
      <c r="Q930" s="37" t="s">
        <v>18</v>
      </c>
      <c r="R930" s="37"/>
      <c r="S930" s="37"/>
      <c r="T930" s="37" t="s">
        <v>69</v>
      </c>
      <c r="U930" s="37" t="s">
        <v>87</v>
      </c>
      <c r="V930" s="37" t="s">
        <v>72</v>
      </c>
      <c r="W930" s="37" t="s">
        <v>99</v>
      </c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</row>
    <row r="931" spans="1:37">
      <c r="A931" s="37"/>
      <c r="B931" s="37"/>
      <c r="C931" s="37"/>
      <c r="D931" s="37" t="s">
        <v>183</v>
      </c>
      <c r="E931" s="37" t="s">
        <v>1081</v>
      </c>
      <c r="F931" s="37" t="s">
        <v>4011</v>
      </c>
      <c r="G931" s="37" t="s">
        <v>4009</v>
      </c>
      <c r="H931" s="37"/>
      <c r="I931" s="37" t="s">
        <v>1848</v>
      </c>
      <c r="J931" s="37" t="s">
        <v>214</v>
      </c>
      <c r="K931" s="40" t="s">
        <v>2497</v>
      </c>
      <c r="L931" s="37" t="s">
        <v>64</v>
      </c>
      <c r="M931" s="37" t="s">
        <v>4010</v>
      </c>
      <c r="N931" s="37"/>
      <c r="O931" s="37" t="s">
        <v>6287</v>
      </c>
      <c r="P931" s="37" t="s">
        <v>469</v>
      </c>
      <c r="Q931" s="37" t="s">
        <v>10</v>
      </c>
      <c r="R931" s="37"/>
      <c r="S931" s="37"/>
      <c r="T931" s="37"/>
      <c r="U931" s="37"/>
      <c r="V931" s="37" t="s">
        <v>72</v>
      </c>
      <c r="W931" s="37" t="s">
        <v>78</v>
      </c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</row>
    <row r="932" spans="1:37">
      <c r="A932" s="37"/>
      <c r="B932" s="37"/>
      <c r="C932" s="37"/>
      <c r="D932" s="37" t="s">
        <v>1157</v>
      </c>
      <c r="E932" s="37" t="s">
        <v>3712</v>
      </c>
      <c r="F932" s="37" t="s">
        <v>3714</v>
      </c>
      <c r="G932" s="37" t="s">
        <v>806</v>
      </c>
      <c r="H932" s="37"/>
      <c r="I932" s="37" t="s">
        <v>416</v>
      </c>
      <c r="J932" s="37" t="s">
        <v>75</v>
      </c>
      <c r="K932" s="40" t="s">
        <v>807</v>
      </c>
      <c r="L932" s="37" t="s">
        <v>64</v>
      </c>
      <c r="M932" s="37" t="s">
        <v>3713</v>
      </c>
      <c r="N932" s="37"/>
      <c r="O932" s="37" t="s">
        <v>6287</v>
      </c>
      <c r="P932" s="37" t="s">
        <v>469</v>
      </c>
      <c r="Q932" s="37" t="s">
        <v>10</v>
      </c>
      <c r="R932" s="37"/>
      <c r="S932" s="37"/>
      <c r="T932" s="37" t="s">
        <v>115</v>
      </c>
      <c r="U932" s="37" t="s">
        <v>145</v>
      </c>
      <c r="V932" s="37" t="s">
        <v>72</v>
      </c>
      <c r="W932" s="37" t="s">
        <v>89</v>
      </c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</row>
    <row r="933" spans="1:37">
      <c r="A933" s="37"/>
      <c r="B933" s="37"/>
      <c r="C933" s="37"/>
      <c r="D933" s="37" t="s">
        <v>695</v>
      </c>
      <c r="E933" s="37" t="s">
        <v>1153</v>
      </c>
      <c r="F933" s="37" t="s">
        <v>1156</v>
      </c>
      <c r="G933" s="37" t="s">
        <v>466</v>
      </c>
      <c r="H933" s="37"/>
      <c r="I933" s="37" t="s">
        <v>82</v>
      </c>
      <c r="J933" s="37" t="s">
        <v>83</v>
      </c>
      <c r="K933" s="40" t="s">
        <v>467</v>
      </c>
      <c r="L933" s="37" t="s">
        <v>64</v>
      </c>
      <c r="M933" s="37" t="s">
        <v>1154</v>
      </c>
      <c r="N933" s="37" t="s">
        <v>1155</v>
      </c>
      <c r="O933" s="37" t="s">
        <v>6287</v>
      </c>
      <c r="P933" s="37" t="s">
        <v>469</v>
      </c>
      <c r="Q933" s="37" t="s">
        <v>14</v>
      </c>
      <c r="R933" s="37"/>
      <c r="S933" s="37"/>
      <c r="T933" s="37"/>
      <c r="U933" s="37" t="s">
        <v>109</v>
      </c>
      <c r="V933" s="37" t="s">
        <v>72</v>
      </c>
      <c r="W933" s="37" t="s">
        <v>69</v>
      </c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</row>
    <row r="934" spans="1:37">
      <c r="A934" s="37"/>
      <c r="B934" s="37"/>
      <c r="C934" s="37"/>
      <c r="D934" s="37" t="s">
        <v>5985</v>
      </c>
      <c r="E934" s="37" t="s">
        <v>1258</v>
      </c>
      <c r="F934" s="37" t="s">
        <v>6292</v>
      </c>
      <c r="G934" s="37" t="s">
        <v>6293</v>
      </c>
      <c r="H934" s="37"/>
      <c r="I934" s="37" t="s">
        <v>416</v>
      </c>
      <c r="J934" s="37" t="s">
        <v>75</v>
      </c>
      <c r="K934" s="40" t="s">
        <v>807</v>
      </c>
      <c r="L934" s="37" t="s">
        <v>64</v>
      </c>
      <c r="M934" s="37" t="s">
        <v>6294</v>
      </c>
      <c r="N934" s="37"/>
      <c r="O934" s="37" t="s">
        <v>6287</v>
      </c>
      <c r="P934" s="37" t="s">
        <v>469</v>
      </c>
      <c r="Q934" s="37" t="s">
        <v>10</v>
      </c>
      <c r="R934" s="37"/>
      <c r="S934" s="37"/>
      <c r="T934" s="37"/>
      <c r="U934" s="37"/>
      <c r="V934" s="37" t="s">
        <v>72</v>
      </c>
      <c r="W934" s="37" t="s">
        <v>110</v>
      </c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</row>
    <row r="935" spans="1:37">
      <c r="A935" s="37" t="s">
        <v>1334</v>
      </c>
      <c r="B935" s="37"/>
      <c r="C935" s="37"/>
      <c r="D935" s="37" t="s">
        <v>1353</v>
      </c>
      <c r="E935" s="37" t="s">
        <v>6295</v>
      </c>
      <c r="F935" s="37" t="s">
        <v>6296</v>
      </c>
      <c r="G935" s="37" t="s">
        <v>6297</v>
      </c>
      <c r="H935" s="37"/>
      <c r="I935" s="37" t="s">
        <v>3373</v>
      </c>
      <c r="J935" s="37" t="s">
        <v>105</v>
      </c>
      <c r="K935" s="40" t="s">
        <v>1283</v>
      </c>
      <c r="L935" s="37" t="s">
        <v>64</v>
      </c>
      <c r="M935" s="37" t="s">
        <v>6298</v>
      </c>
      <c r="N935" s="37"/>
      <c r="O935" s="37" t="s">
        <v>6287</v>
      </c>
      <c r="P935" s="37" t="s">
        <v>469</v>
      </c>
      <c r="Q935" s="37" t="s">
        <v>14</v>
      </c>
      <c r="R935" s="37"/>
      <c r="S935" s="37"/>
      <c r="T935" s="37"/>
      <c r="U935" s="37" t="s">
        <v>145</v>
      </c>
      <c r="V935" s="37" t="s">
        <v>88</v>
      </c>
      <c r="W935" s="37" t="s">
        <v>89</v>
      </c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</row>
    <row r="936" spans="1:37">
      <c r="A936" s="37"/>
      <c r="B936" s="37"/>
      <c r="C936" s="37"/>
      <c r="D936" s="37" t="s">
        <v>4180</v>
      </c>
      <c r="E936" s="37" t="s">
        <v>4181</v>
      </c>
      <c r="F936" s="37" t="s">
        <v>4183</v>
      </c>
      <c r="G936" s="37" t="s">
        <v>806</v>
      </c>
      <c r="H936" s="37"/>
      <c r="I936" s="37" t="s">
        <v>416</v>
      </c>
      <c r="J936" s="37" t="s">
        <v>75</v>
      </c>
      <c r="K936" s="40" t="s">
        <v>807</v>
      </c>
      <c r="L936" s="37" t="s">
        <v>64</v>
      </c>
      <c r="M936" s="37" t="s">
        <v>4182</v>
      </c>
      <c r="N936" s="37"/>
      <c r="O936" s="37" t="s">
        <v>6287</v>
      </c>
      <c r="P936" s="37" t="s">
        <v>469</v>
      </c>
      <c r="Q936" s="37" t="s">
        <v>10</v>
      </c>
      <c r="R936" s="37"/>
      <c r="S936" s="37"/>
      <c r="T936" s="37"/>
      <c r="U936" s="37"/>
      <c r="V936" s="37" t="s">
        <v>88</v>
      </c>
      <c r="W936" s="37" t="s">
        <v>89</v>
      </c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</row>
    <row r="937" spans="1:37">
      <c r="A937" s="37"/>
      <c r="B937" s="37"/>
      <c r="C937" s="37"/>
      <c r="D937" s="37" t="s">
        <v>1836</v>
      </c>
      <c r="E937" s="37" t="s">
        <v>1609</v>
      </c>
      <c r="F937" s="37" t="s">
        <v>1840</v>
      </c>
      <c r="G937" s="37" t="s">
        <v>1837</v>
      </c>
      <c r="H937" s="37"/>
      <c r="I937" s="37" t="s">
        <v>926</v>
      </c>
      <c r="J937" s="37" t="s">
        <v>369</v>
      </c>
      <c r="K937" s="40" t="s">
        <v>927</v>
      </c>
      <c r="L937" s="37" t="s">
        <v>64</v>
      </c>
      <c r="M937" s="37" t="s">
        <v>1838</v>
      </c>
      <c r="N937" s="37" t="s">
        <v>1839</v>
      </c>
      <c r="O937" s="37" t="s">
        <v>6287</v>
      </c>
      <c r="P937" s="37" t="s">
        <v>469</v>
      </c>
      <c r="Q937" s="37" t="s">
        <v>98</v>
      </c>
      <c r="R937" s="37"/>
      <c r="S937" s="37"/>
      <c r="T937" s="37" t="s">
        <v>66</v>
      </c>
      <c r="U937" s="37" t="s">
        <v>87</v>
      </c>
      <c r="V937" s="37" t="s">
        <v>88</v>
      </c>
      <c r="W937" s="37" t="s">
        <v>89</v>
      </c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</row>
    <row r="938" spans="1:37">
      <c r="A938" s="37"/>
      <c r="B938" s="37"/>
      <c r="C938" s="37"/>
      <c r="D938" s="37" t="s">
        <v>6299</v>
      </c>
      <c r="E938" s="37" t="s">
        <v>6300</v>
      </c>
      <c r="F938" s="38" t="s">
        <v>5739</v>
      </c>
      <c r="G938" s="37" t="s">
        <v>6301</v>
      </c>
      <c r="H938" s="37"/>
      <c r="I938" s="37" t="s">
        <v>416</v>
      </c>
      <c r="J938" s="37" t="s">
        <v>75</v>
      </c>
      <c r="K938" s="40" t="s">
        <v>6302</v>
      </c>
      <c r="L938" s="37" t="s">
        <v>64</v>
      </c>
      <c r="M938" s="37" t="s">
        <v>6303</v>
      </c>
      <c r="N938" s="37"/>
      <c r="O938" s="37" t="s">
        <v>6287</v>
      </c>
      <c r="P938" s="37" t="s">
        <v>469</v>
      </c>
      <c r="Q938" s="37" t="s">
        <v>10</v>
      </c>
      <c r="R938" s="37"/>
      <c r="S938" s="37"/>
      <c r="T938" s="37"/>
      <c r="U938" s="37" t="s">
        <v>182</v>
      </c>
      <c r="V938" s="37" t="s">
        <v>72</v>
      </c>
      <c r="W938" s="37" t="s">
        <v>89</v>
      </c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</row>
    <row r="939" spans="1:37">
      <c r="A939" s="37"/>
      <c r="B939" s="37"/>
      <c r="C939" s="37"/>
      <c r="D939" s="37" t="s">
        <v>955</v>
      </c>
      <c r="E939" s="37" t="s">
        <v>6304</v>
      </c>
      <c r="F939" s="37" t="s">
        <v>6305</v>
      </c>
      <c r="G939" s="37" t="s">
        <v>806</v>
      </c>
      <c r="H939" s="37"/>
      <c r="I939" s="37" t="s">
        <v>416</v>
      </c>
      <c r="J939" s="37" t="s">
        <v>75</v>
      </c>
      <c r="K939" s="40" t="s">
        <v>807</v>
      </c>
      <c r="L939" s="37" t="s">
        <v>64</v>
      </c>
      <c r="M939" s="37" t="s">
        <v>6306</v>
      </c>
      <c r="N939" s="37"/>
      <c r="O939" s="37" t="s">
        <v>6287</v>
      </c>
      <c r="P939" s="37" t="s">
        <v>469</v>
      </c>
      <c r="Q939" s="37" t="s">
        <v>10</v>
      </c>
      <c r="R939" s="37"/>
      <c r="S939" s="37"/>
      <c r="T939" s="37"/>
      <c r="U939" s="37" t="s">
        <v>145</v>
      </c>
      <c r="V939" s="37" t="s">
        <v>72</v>
      </c>
      <c r="W939" s="37" t="s">
        <v>78</v>
      </c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</row>
    <row r="940" spans="1:37">
      <c r="A940" s="37"/>
      <c r="B940" s="37"/>
      <c r="C940" s="37"/>
      <c r="D940" s="37" t="s">
        <v>5119</v>
      </c>
      <c r="E940" s="37" t="s">
        <v>6307</v>
      </c>
      <c r="F940" s="37" t="s">
        <v>6308</v>
      </c>
      <c r="G940" s="37" t="s">
        <v>925</v>
      </c>
      <c r="H940" s="37"/>
      <c r="I940" s="37" t="s">
        <v>6309</v>
      </c>
      <c r="J940" s="37" t="s">
        <v>369</v>
      </c>
      <c r="K940" s="40" t="s">
        <v>6310</v>
      </c>
      <c r="L940" s="37" t="s">
        <v>64</v>
      </c>
      <c r="M940" s="37" t="s">
        <v>6311</v>
      </c>
      <c r="N940" s="37"/>
      <c r="O940" s="37" t="s">
        <v>6287</v>
      </c>
      <c r="P940" s="37" t="s">
        <v>469</v>
      </c>
      <c r="Q940" s="37" t="s">
        <v>98</v>
      </c>
      <c r="R940" s="37"/>
      <c r="S940" s="37"/>
      <c r="T940" s="37"/>
      <c r="U940" s="37"/>
      <c r="V940" s="37" t="s">
        <v>88</v>
      </c>
      <c r="W940" s="37" t="s">
        <v>110</v>
      </c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</row>
    <row r="941" spans="1:37">
      <c r="A941" s="37"/>
      <c r="B941" s="37"/>
      <c r="C941" s="37"/>
      <c r="D941" s="37" t="s">
        <v>3134</v>
      </c>
      <c r="E941" s="37" t="s">
        <v>3371</v>
      </c>
      <c r="F941" s="37" t="s">
        <v>3376</v>
      </c>
      <c r="G941" s="37" t="s">
        <v>3372</v>
      </c>
      <c r="H941" s="37"/>
      <c r="I941" s="37" t="s">
        <v>3373</v>
      </c>
      <c r="J941" s="37" t="s">
        <v>105</v>
      </c>
      <c r="K941" s="40" t="s">
        <v>3374</v>
      </c>
      <c r="L941" s="37" t="s">
        <v>64</v>
      </c>
      <c r="M941" s="37" t="s">
        <v>3375</v>
      </c>
      <c r="N941" s="37"/>
      <c r="O941" s="37" t="s">
        <v>6287</v>
      </c>
      <c r="P941" s="37" t="s">
        <v>469</v>
      </c>
      <c r="Q941" s="37" t="s">
        <v>71</v>
      </c>
      <c r="R941" s="37"/>
      <c r="S941" s="37"/>
      <c r="T941" s="37" t="s">
        <v>69</v>
      </c>
      <c r="U941" s="37" t="s">
        <v>254</v>
      </c>
      <c r="V941" s="37" t="s">
        <v>72</v>
      </c>
      <c r="W941" s="37" t="s">
        <v>110</v>
      </c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</row>
    <row r="942" spans="1:37">
      <c r="A942" s="37" t="s">
        <v>112</v>
      </c>
      <c r="B942" s="37"/>
      <c r="C942" s="37"/>
      <c r="D942" s="37" t="s">
        <v>509</v>
      </c>
      <c r="E942" s="37" t="s">
        <v>6312</v>
      </c>
      <c r="F942" s="37" t="s">
        <v>6313</v>
      </c>
      <c r="G942" s="37" t="s">
        <v>6314</v>
      </c>
      <c r="H942" s="37"/>
      <c r="I942" s="37" t="s">
        <v>416</v>
      </c>
      <c r="J942" s="37" t="s">
        <v>75</v>
      </c>
      <c r="K942" s="40" t="s">
        <v>807</v>
      </c>
      <c r="L942" s="37" t="s">
        <v>64</v>
      </c>
      <c r="M942" s="37" t="s">
        <v>6315</v>
      </c>
      <c r="N942" s="37"/>
      <c r="O942" s="37" t="s">
        <v>6287</v>
      </c>
      <c r="P942" s="37" t="s">
        <v>469</v>
      </c>
      <c r="Q942" s="37" t="s">
        <v>10</v>
      </c>
      <c r="R942" s="37"/>
      <c r="S942" s="37"/>
      <c r="T942" s="37" t="s">
        <v>115</v>
      </c>
      <c r="U942" s="37" t="s">
        <v>254</v>
      </c>
      <c r="V942" s="37" t="s">
        <v>72</v>
      </c>
      <c r="W942" s="37" t="s">
        <v>110</v>
      </c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</row>
    <row r="943" spans="1:37">
      <c r="A943" s="37"/>
      <c r="B943" s="37"/>
      <c r="C943" s="37"/>
      <c r="D943" s="37" t="s">
        <v>4074</v>
      </c>
      <c r="E943" s="37" t="s">
        <v>4075</v>
      </c>
      <c r="F943" s="37" t="s">
        <v>4077</v>
      </c>
      <c r="G943" s="37" t="s">
        <v>806</v>
      </c>
      <c r="H943" s="37"/>
      <c r="I943" s="37" t="s">
        <v>416</v>
      </c>
      <c r="J943" s="37" t="s">
        <v>75</v>
      </c>
      <c r="K943" s="40" t="s">
        <v>807</v>
      </c>
      <c r="L943" s="37" t="s">
        <v>64</v>
      </c>
      <c r="M943" s="37" t="s">
        <v>4076</v>
      </c>
      <c r="N943" s="37"/>
      <c r="O943" s="37" t="s">
        <v>6287</v>
      </c>
      <c r="P943" s="37" t="s">
        <v>469</v>
      </c>
      <c r="Q943" s="37" t="s">
        <v>10</v>
      </c>
      <c r="R943" s="37"/>
      <c r="S943" s="37"/>
      <c r="T943" s="37" t="s">
        <v>66</v>
      </c>
      <c r="U943" s="37" t="s">
        <v>145</v>
      </c>
      <c r="V943" s="37" t="s">
        <v>88</v>
      </c>
      <c r="W943" s="37" t="s">
        <v>89</v>
      </c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</row>
    <row r="944" spans="1:37">
      <c r="A944" s="37"/>
      <c r="B944" s="37"/>
      <c r="C944" s="37"/>
      <c r="D944" s="37" t="s">
        <v>2639</v>
      </c>
      <c r="E944" s="37" t="s">
        <v>2638</v>
      </c>
      <c r="F944" s="37" t="s">
        <v>2643</v>
      </c>
      <c r="G944" s="37" t="s">
        <v>466</v>
      </c>
      <c r="H944" s="37" t="s">
        <v>2640</v>
      </c>
      <c r="I944" s="37" t="s">
        <v>82</v>
      </c>
      <c r="J944" s="37" t="s">
        <v>83</v>
      </c>
      <c r="K944" s="40" t="s">
        <v>2641</v>
      </c>
      <c r="L944" s="37" t="s">
        <v>64</v>
      </c>
      <c r="M944" s="37" t="s">
        <v>2642</v>
      </c>
      <c r="N944" s="37"/>
      <c r="O944" s="37" t="s">
        <v>6287</v>
      </c>
      <c r="P944" s="37" t="s">
        <v>469</v>
      </c>
      <c r="Q944" s="37" t="s">
        <v>71</v>
      </c>
      <c r="R944" s="37"/>
      <c r="S944" s="37"/>
      <c r="T944" s="37" t="s">
        <v>66</v>
      </c>
      <c r="U944" s="37" t="s">
        <v>254</v>
      </c>
      <c r="V944" s="37" t="s">
        <v>88</v>
      </c>
      <c r="W944" s="37" t="s">
        <v>204</v>
      </c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</row>
    <row r="945" spans="1:37">
      <c r="A945" s="37"/>
      <c r="B945" s="37"/>
      <c r="C945" s="37"/>
      <c r="D945" s="37" t="s">
        <v>330</v>
      </c>
      <c r="E945" s="37" t="s">
        <v>331</v>
      </c>
      <c r="F945" s="37" t="s">
        <v>338</v>
      </c>
      <c r="G945" s="37" t="s">
        <v>332</v>
      </c>
      <c r="H945" s="37"/>
      <c r="I945" s="37" t="s">
        <v>333</v>
      </c>
      <c r="J945" s="37" t="s">
        <v>334</v>
      </c>
      <c r="K945" s="40" t="s">
        <v>335</v>
      </c>
      <c r="L945" s="37" t="s">
        <v>64</v>
      </c>
      <c r="M945" s="37" t="s">
        <v>336</v>
      </c>
      <c r="N945" s="37"/>
      <c r="O945" s="37" t="s">
        <v>6316</v>
      </c>
      <c r="P945" s="37" t="s">
        <v>337</v>
      </c>
      <c r="Q945" s="37" t="s">
        <v>16</v>
      </c>
      <c r="R945" s="37"/>
      <c r="S945" s="37"/>
      <c r="T945" s="37"/>
      <c r="U945" s="37"/>
      <c r="V945" s="37" t="s">
        <v>77</v>
      </c>
      <c r="W945" s="37" t="s">
        <v>73</v>
      </c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</row>
    <row r="946" spans="1:37">
      <c r="A946" s="37"/>
      <c r="B946" s="37"/>
      <c r="C946" s="37"/>
      <c r="D946" s="37" t="s">
        <v>577</v>
      </c>
      <c r="E946" s="37" t="s">
        <v>597</v>
      </c>
      <c r="F946" s="37" t="s">
        <v>601</v>
      </c>
      <c r="G946" s="37" t="s">
        <v>598</v>
      </c>
      <c r="H946" s="37"/>
      <c r="I946" s="37" t="s">
        <v>333</v>
      </c>
      <c r="J946" s="37" t="s">
        <v>334</v>
      </c>
      <c r="K946" s="40" t="s">
        <v>599</v>
      </c>
      <c r="L946" s="37" t="s">
        <v>64</v>
      </c>
      <c r="M946" s="37" t="s">
        <v>600</v>
      </c>
      <c r="N946" s="37"/>
      <c r="O946" s="37" t="s">
        <v>6316</v>
      </c>
      <c r="P946" s="37" t="s">
        <v>337</v>
      </c>
      <c r="Q946" s="37" t="s">
        <v>16</v>
      </c>
      <c r="R946" s="37"/>
      <c r="S946" s="37"/>
      <c r="T946" s="37"/>
      <c r="U946" s="37"/>
      <c r="V946" s="37" t="s">
        <v>77</v>
      </c>
      <c r="W946" s="37" t="s">
        <v>73</v>
      </c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</row>
    <row r="947" spans="1:37">
      <c r="A947" s="37"/>
      <c r="B947" s="37"/>
      <c r="C947" s="37"/>
      <c r="D947" s="37" t="s">
        <v>1423</v>
      </c>
      <c r="E947" s="37" t="s">
        <v>4947</v>
      </c>
      <c r="F947" s="37" t="s">
        <v>4950</v>
      </c>
      <c r="G947" s="37" t="s">
        <v>4948</v>
      </c>
      <c r="H947" s="37"/>
      <c r="I947" s="37" t="s">
        <v>4087</v>
      </c>
      <c r="J947" s="37" t="s">
        <v>75</v>
      </c>
      <c r="K947" s="40" t="s">
        <v>4088</v>
      </c>
      <c r="L947" s="37" t="s">
        <v>64</v>
      </c>
      <c r="M947" s="37" t="s">
        <v>4949</v>
      </c>
      <c r="N947" s="37"/>
      <c r="O947" s="37" t="s">
        <v>6316</v>
      </c>
      <c r="P947" s="37" t="s">
        <v>337</v>
      </c>
      <c r="Q947" s="37" t="s">
        <v>10</v>
      </c>
      <c r="R947" s="37"/>
      <c r="S947" s="37"/>
      <c r="T947" s="37"/>
      <c r="U947" s="37" t="s">
        <v>145</v>
      </c>
      <c r="V947" s="37" t="s">
        <v>67</v>
      </c>
      <c r="W947" s="37" t="s">
        <v>135</v>
      </c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</row>
    <row r="948" spans="1:37">
      <c r="A948" s="37"/>
      <c r="B948" s="37"/>
      <c r="C948" s="37"/>
      <c r="D948" s="37" t="s">
        <v>1613</v>
      </c>
      <c r="E948" s="37" t="s">
        <v>1221</v>
      </c>
      <c r="F948" s="37" t="s">
        <v>1615</v>
      </c>
      <c r="G948" s="37" t="s">
        <v>332</v>
      </c>
      <c r="H948" s="37"/>
      <c r="I948" s="37" t="s">
        <v>333</v>
      </c>
      <c r="J948" s="37" t="s">
        <v>334</v>
      </c>
      <c r="K948" s="40" t="s">
        <v>335</v>
      </c>
      <c r="L948" s="37" t="s">
        <v>64</v>
      </c>
      <c r="M948" s="37" t="s">
        <v>1614</v>
      </c>
      <c r="N948" s="37"/>
      <c r="O948" s="37" t="s">
        <v>6316</v>
      </c>
      <c r="P948" s="37" t="s">
        <v>337</v>
      </c>
      <c r="Q948" s="37" t="s">
        <v>16</v>
      </c>
      <c r="R948" s="37"/>
      <c r="S948" s="37"/>
      <c r="T948" s="37"/>
      <c r="U948" s="37"/>
      <c r="V948" s="37" t="s">
        <v>118</v>
      </c>
      <c r="W948" s="37" t="s">
        <v>73</v>
      </c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</row>
    <row r="949" spans="1:37">
      <c r="A949" s="37"/>
      <c r="B949" s="37"/>
      <c r="C949" s="37"/>
      <c r="D949" s="37" t="s">
        <v>2153</v>
      </c>
      <c r="E949" s="37" t="s">
        <v>2154</v>
      </c>
      <c r="F949" s="37" t="s">
        <v>6317</v>
      </c>
      <c r="G949" s="37" t="s">
        <v>6318</v>
      </c>
      <c r="H949" s="37"/>
      <c r="I949" s="37" t="s">
        <v>1994</v>
      </c>
      <c r="J949" s="37" t="s">
        <v>105</v>
      </c>
      <c r="K949" s="40" t="s">
        <v>1995</v>
      </c>
      <c r="L949" s="37" t="s">
        <v>64</v>
      </c>
      <c r="M949" s="37" t="s">
        <v>2155</v>
      </c>
      <c r="N949" s="37"/>
      <c r="O949" s="37" t="s">
        <v>6316</v>
      </c>
      <c r="P949" s="37" t="s">
        <v>337</v>
      </c>
      <c r="Q949" s="37" t="s">
        <v>14</v>
      </c>
      <c r="R949" s="37"/>
      <c r="S949" s="37"/>
      <c r="T949" s="37"/>
      <c r="U949" s="37"/>
      <c r="V949" s="37" t="s">
        <v>72</v>
      </c>
      <c r="W949" s="37" t="s">
        <v>576</v>
      </c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</row>
    <row r="950" spans="1:37">
      <c r="A950" s="37"/>
      <c r="B950" s="37"/>
      <c r="C950" s="37"/>
      <c r="D950" s="37" t="s">
        <v>563</v>
      </c>
      <c r="E950" s="37" t="s">
        <v>2638</v>
      </c>
      <c r="F950" s="37" t="s">
        <v>6319</v>
      </c>
      <c r="G950" s="37" t="s">
        <v>6320</v>
      </c>
      <c r="H950" s="37"/>
      <c r="I950" s="37" t="s">
        <v>6321</v>
      </c>
      <c r="J950" s="37" t="s">
        <v>93</v>
      </c>
      <c r="K950" s="40" t="s">
        <v>6322</v>
      </c>
      <c r="L950" s="37" t="s">
        <v>64</v>
      </c>
      <c r="M950" s="37" t="s">
        <v>6323</v>
      </c>
      <c r="N950" s="37"/>
      <c r="O950" s="37" t="s">
        <v>6316</v>
      </c>
      <c r="P950" s="37" t="s">
        <v>337</v>
      </c>
      <c r="Q950" s="37" t="s">
        <v>98</v>
      </c>
      <c r="R950" s="37"/>
      <c r="S950" s="37"/>
      <c r="T950" s="37"/>
      <c r="U950" s="37" t="s">
        <v>87</v>
      </c>
      <c r="V950" s="37" t="s">
        <v>72</v>
      </c>
      <c r="W950" s="37" t="s">
        <v>69</v>
      </c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</row>
    <row r="951" spans="1:37">
      <c r="A951" s="37"/>
      <c r="B951" s="37"/>
      <c r="C951" s="37"/>
      <c r="D951" s="37" t="s">
        <v>717</v>
      </c>
      <c r="E951" s="37" t="s">
        <v>400</v>
      </c>
      <c r="F951" s="38" t="s">
        <v>5739</v>
      </c>
      <c r="G951" s="37" t="s">
        <v>6324</v>
      </c>
      <c r="H951" s="37" t="s">
        <v>6325</v>
      </c>
      <c r="I951" s="37" t="s">
        <v>4599</v>
      </c>
      <c r="J951" s="37" t="s">
        <v>208</v>
      </c>
      <c r="K951" s="40" t="s">
        <v>4600</v>
      </c>
      <c r="L951" s="37" t="s">
        <v>64</v>
      </c>
      <c r="M951" s="37" t="s">
        <v>4989</v>
      </c>
      <c r="N951" s="37" t="s">
        <v>4602</v>
      </c>
      <c r="O951" s="37" t="s">
        <v>789</v>
      </c>
      <c r="P951" s="37" t="s">
        <v>789</v>
      </c>
      <c r="Q951" s="37" t="s">
        <v>18</v>
      </c>
      <c r="R951" s="37"/>
      <c r="S951" s="37" t="s">
        <v>5705</v>
      </c>
      <c r="T951" s="37" t="s">
        <v>115</v>
      </c>
      <c r="U951" s="37"/>
      <c r="V951" s="37" t="s">
        <v>72</v>
      </c>
      <c r="W951" s="37" t="s">
        <v>135</v>
      </c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</row>
    <row r="952" spans="1:37">
      <c r="A952" s="37"/>
      <c r="B952" s="37"/>
      <c r="C952" s="37"/>
      <c r="D952" s="37" t="s">
        <v>3087</v>
      </c>
      <c r="E952" s="37" t="s">
        <v>6326</v>
      </c>
      <c r="F952" s="38" t="s">
        <v>5739</v>
      </c>
      <c r="G952" s="37" t="s">
        <v>6327</v>
      </c>
      <c r="H952" s="37"/>
      <c r="I952" s="37" t="s">
        <v>2159</v>
      </c>
      <c r="J952" s="37" t="s">
        <v>208</v>
      </c>
      <c r="K952" s="40" t="s">
        <v>2160</v>
      </c>
      <c r="L952" s="37" t="s">
        <v>64</v>
      </c>
      <c r="M952" s="37" t="s">
        <v>6328</v>
      </c>
      <c r="N952" s="37"/>
      <c r="O952" s="37" t="s">
        <v>789</v>
      </c>
      <c r="P952" s="37" t="s">
        <v>789</v>
      </c>
      <c r="Q952" s="37" t="s">
        <v>18</v>
      </c>
      <c r="R952" s="37"/>
      <c r="S952" s="37"/>
      <c r="T952" s="37"/>
      <c r="U952" s="37"/>
      <c r="V952" s="37" t="s">
        <v>72</v>
      </c>
      <c r="W952" s="37" t="s">
        <v>68</v>
      </c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</row>
    <row r="953" spans="1:37">
      <c r="A953" s="37"/>
      <c r="B953" s="37"/>
      <c r="C953" s="37"/>
      <c r="D953" s="37" t="s">
        <v>1016</v>
      </c>
      <c r="E953" s="37" t="s">
        <v>1017</v>
      </c>
      <c r="F953" s="37" t="s">
        <v>1022</v>
      </c>
      <c r="G953" s="37" t="s">
        <v>1018</v>
      </c>
      <c r="H953" s="37"/>
      <c r="I953" s="37" t="s">
        <v>1019</v>
      </c>
      <c r="J953" s="37" t="s">
        <v>200</v>
      </c>
      <c r="K953" s="40" t="s">
        <v>1020</v>
      </c>
      <c r="L953" s="37" t="s">
        <v>64</v>
      </c>
      <c r="M953" s="37" t="s">
        <v>1021</v>
      </c>
      <c r="N953" s="37"/>
      <c r="O953" s="37" t="s">
        <v>789</v>
      </c>
      <c r="P953" s="37" t="s">
        <v>789</v>
      </c>
      <c r="Q953" s="37" t="s">
        <v>18</v>
      </c>
      <c r="R953" s="37"/>
      <c r="S953" s="37"/>
      <c r="T953" s="37" t="s">
        <v>69</v>
      </c>
      <c r="U953" s="37"/>
      <c r="V953" s="37" t="s">
        <v>77</v>
      </c>
      <c r="W953" s="37" t="s">
        <v>99</v>
      </c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</row>
    <row r="954" spans="1:37">
      <c r="A954" s="37"/>
      <c r="B954" s="37"/>
      <c r="C954" s="37"/>
      <c r="D954" s="37" t="s">
        <v>6329</v>
      </c>
      <c r="E954" s="37" t="s">
        <v>1436</v>
      </c>
      <c r="F954" s="37" t="s">
        <v>6330</v>
      </c>
      <c r="G954" s="37" t="s">
        <v>6331</v>
      </c>
      <c r="H954" s="37"/>
      <c r="I954" s="37" t="s">
        <v>6332</v>
      </c>
      <c r="J954" s="37" t="s">
        <v>125</v>
      </c>
      <c r="K954" s="40" t="s">
        <v>6333</v>
      </c>
      <c r="L954" s="37" t="s">
        <v>64</v>
      </c>
      <c r="M954" s="37" t="s">
        <v>6334</v>
      </c>
      <c r="N954" s="37"/>
      <c r="O954" s="37" t="s">
        <v>789</v>
      </c>
      <c r="P954" s="37" t="s">
        <v>789</v>
      </c>
      <c r="Q954" s="37" t="s">
        <v>126</v>
      </c>
      <c r="R954" s="37"/>
      <c r="S954" s="37"/>
      <c r="T954" s="37" t="s">
        <v>69</v>
      </c>
      <c r="U954" s="37"/>
      <c r="V954" s="37" t="s">
        <v>72</v>
      </c>
      <c r="W954" s="37" t="s">
        <v>73</v>
      </c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</row>
    <row r="955" spans="1:37">
      <c r="A955" s="37"/>
      <c r="B955" s="37"/>
      <c r="C955" s="37"/>
      <c r="D955" s="37" t="s">
        <v>2920</v>
      </c>
      <c r="E955" s="37" t="s">
        <v>2921</v>
      </c>
      <c r="F955" s="37" t="s">
        <v>2924</v>
      </c>
      <c r="G955" s="37" t="s">
        <v>2789</v>
      </c>
      <c r="H955" s="37"/>
      <c r="I955" s="37" t="s">
        <v>1913</v>
      </c>
      <c r="J955" s="37" t="s">
        <v>498</v>
      </c>
      <c r="K955" s="40" t="s">
        <v>1914</v>
      </c>
      <c r="L955" s="37" t="s">
        <v>64</v>
      </c>
      <c r="M955" s="37" t="s">
        <v>2922</v>
      </c>
      <c r="N955" s="37"/>
      <c r="O955" s="37" t="s">
        <v>789</v>
      </c>
      <c r="P955" s="37" t="s">
        <v>789</v>
      </c>
      <c r="Q955" s="37" t="s">
        <v>10</v>
      </c>
      <c r="R955" s="37"/>
      <c r="S955" s="37" t="s">
        <v>2923</v>
      </c>
      <c r="T955" s="37"/>
      <c r="U955" s="37"/>
      <c r="V955" s="37" t="s">
        <v>72</v>
      </c>
      <c r="W955" s="37" t="s">
        <v>99</v>
      </c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</row>
    <row r="956" spans="1:37">
      <c r="A956" s="37"/>
      <c r="B956" s="37"/>
      <c r="C956" s="37"/>
      <c r="D956" s="37" t="s">
        <v>2141</v>
      </c>
      <c r="E956" s="37" t="s">
        <v>2142</v>
      </c>
      <c r="F956" s="37" t="s">
        <v>2143</v>
      </c>
      <c r="G956" s="37" t="s">
        <v>1935</v>
      </c>
      <c r="H956" s="37"/>
      <c r="I956" s="37" t="s">
        <v>1936</v>
      </c>
      <c r="J956" s="37" t="s">
        <v>114</v>
      </c>
      <c r="K956" s="40" t="s">
        <v>1937</v>
      </c>
      <c r="L956" s="37" t="s">
        <v>64</v>
      </c>
      <c r="M956" s="37" t="s">
        <v>1938</v>
      </c>
      <c r="N956" s="37" t="s">
        <v>1939</v>
      </c>
      <c r="O956" s="37" t="s">
        <v>789</v>
      </c>
      <c r="P956" s="37" t="s">
        <v>789</v>
      </c>
      <c r="Q956" s="37" t="s">
        <v>16</v>
      </c>
      <c r="R956" s="37"/>
      <c r="S956" s="37"/>
      <c r="T956" s="37" t="s">
        <v>66</v>
      </c>
      <c r="U956" s="37" t="s">
        <v>69</v>
      </c>
      <c r="V956" s="37" t="s">
        <v>67</v>
      </c>
      <c r="W956" s="37" t="s">
        <v>89</v>
      </c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</row>
    <row r="957" spans="1:37">
      <c r="A957" s="37"/>
      <c r="B957" s="37"/>
      <c r="C957" s="37"/>
      <c r="D957" s="37" t="s">
        <v>2474</v>
      </c>
      <c r="E957" s="37" t="s">
        <v>2475</v>
      </c>
      <c r="F957" s="37" t="s">
        <v>2482</v>
      </c>
      <c r="G957" s="37" t="s">
        <v>2476</v>
      </c>
      <c r="H957" s="37" t="s">
        <v>2477</v>
      </c>
      <c r="I957" s="37" t="s">
        <v>2478</v>
      </c>
      <c r="J957" s="37" t="s">
        <v>214</v>
      </c>
      <c r="K957" s="40" t="s">
        <v>2479</v>
      </c>
      <c r="L957" s="37" t="s">
        <v>64</v>
      </c>
      <c r="M957" s="37" t="s">
        <v>2480</v>
      </c>
      <c r="N957" s="37" t="s">
        <v>2481</v>
      </c>
      <c r="O957" s="37" t="s">
        <v>789</v>
      </c>
      <c r="P957" s="37" t="s">
        <v>789</v>
      </c>
      <c r="Q957" s="37" t="s">
        <v>10</v>
      </c>
      <c r="R957" s="37"/>
      <c r="S957" s="37"/>
      <c r="T957" s="37" t="s">
        <v>158</v>
      </c>
      <c r="U957" s="37"/>
      <c r="V957" s="37" t="s">
        <v>72</v>
      </c>
      <c r="W957" s="37" t="s">
        <v>756</v>
      </c>
      <c r="X957" s="25"/>
      <c r="Y957" s="25"/>
      <c r="Z957" s="25"/>
      <c r="AA957" s="25"/>
      <c r="AB957" s="25"/>
      <c r="AC957" s="25"/>
      <c r="AD957" s="25"/>
      <c r="AE957" s="25"/>
      <c r="AF957" s="26"/>
      <c r="AG957" s="25"/>
      <c r="AH957" s="25"/>
      <c r="AI957" s="25"/>
      <c r="AJ957" s="25"/>
      <c r="AK957" s="25"/>
    </row>
    <row r="958" spans="1:37">
      <c r="A958" s="37"/>
      <c r="B958" s="37"/>
      <c r="C958" s="37"/>
      <c r="D958" s="37" t="s">
        <v>3696</v>
      </c>
      <c r="E958" s="37" t="s">
        <v>4809</v>
      </c>
      <c r="F958" s="38" t="s">
        <v>5739</v>
      </c>
      <c r="G958" s="37" t="s">
        <v>4598</v>
      </c>
      <c r="H958" s="37"/>
      <c r="I958" s="37" t="s">
        <v>4599</v>
      </c>
      <c r="J958" s="37" t="s">
        <v>208</v>
      </c>
      <c r="K958" s="40" t="s">
        <v>4600</v>
      </c>
      <c r="L958" s="37" t="s">
        <v>64</v>
      </c>
      <c r="M958" s="37" t="s">
        <v>4601</v>
      </c>
      <c r="N958" s="37"/>
      <c r="O958" s="37" t="s">
        <v>789</v>
      </c>
      <c r="P958" s="37" t="s">
        <v>789</v>
      </c>
      <c r="Q958" s="37" t="s">
        <v>18</v>
      </c>
      <c r="R958" s="37"/>
      <c r="S958" s="37"/>
      <c r="T958" s="37" t="s">
        <v>115</v>
      </c>
      <c r="U958" s="37"/>
      <c r="V958" s="37" t="s">
        <v>72</v>
      </c>
      <c r="W958" s="37" t="s">
        <v>135</v>
      </c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</row>
    <row r="959" spans="1:37">
      <c r="A959" s="37"/>
      <c r="B959" s="37"/>
      <c r="C959" s="37"/>
      <c r="D959" s="37" t="s">
        <v>386</v>
      </c>
      <c r="E959" s="37" t="s">
        <v>671</v>
      </c>
      <c r="F959" s="37" t="s">
        <v>3129</v>
      </c>
      <c r="G959" s="37" t="s">
        <v>3124</v>
      </c>
      <c r="H959" s="37"/>
      <c r="I959" s="37" t="s">
        <v>3125</v>
      </c>
      <c r="J959" s="37" t="s">
        <v>200</v>
      </c>
      <c r="K959" s="40" t="s">
        <v>3126</v>
      </c>
      <c r="L959" s="37" t="s">
        <v>64</v>
      </c>
      <c r="M959" s="37" t="s">
        <v>3127</v>
      </c>
      <c r="N959" s="37" t="s">
        <v>3128</v>
      </c>
      <c r="O959" s="37" t="s">
        <v>789</v>
      </c>
      <c r="P959" s="37" t="s">
        <v>789</v>
      </c>
      <c r="Q959" s="37" t="s">
        <v>18</v>
      </c>
      <c r="R959" s="37"/>
      <c r="S959" s="37"/>
      <c r="T959" s="37" t="s">
        <v>66</v>
      </c>
      <c r="U959" s="37"/>
      <c r="V959" s="37" t="s">
        <v>77</v>
      </c>
      <c r="W959" s="37" t="s">
        <v>99</v>
      </c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</row>
    <row r="960" spans="1:37">
      <c r="A960" s="37" t="s">
        <v>2715</v>
      </c>
      <c r="B960" s="37"/>
      <c r="C960" s="37"/>
      <c r="D960" s="37" t="s">
        <v>445</v>
      </c>
      <c r="E960" s="37" t="s">
        <v>2715</v>
      </c>
      <c r="F960" s="37" t="s">
        <v>5686</v>
      </c>
      <c r="G960" s="37" t="s">
        <v>5684</v>
      </c>
      <c r="H960" s="37"/>
      <c r="I960" s="37" t="s">
        <v>1159</v>
      </c>
      <c r="J960" s="37" t="s">
        <v>214</v>
      </c>
      <c r="K960" s="40" t="s">
        <v>1160</v>
      </c>
      <c r="L960" s="37" t="s">
        <v>64</v>
      </c>
      <c r="M960" s="37" t="s">
        <v>5685</v>
      </c>
      <c r="N960" s="37"/>
      <c r="O960" s="37" t="s">
        <v>789</v>
      </c>
      <c r="P960" s="37" t="s">
        <v>789</v>
      </c>
      <c r="Q960" s="37" t="s">
        <v>10</v>
      </c>
      <c r="R960" s="37"/>
      <c r="S960" s="37" t="s">
        <v>2716</v>
      </c>
      <c r="T960" s="37" t="s">
        <v>66</v>
      </c>
      <c r="U960" s="37"/>
      <c r="V960" s="37" t="s">
        <v>72</v>
      </c>
      <c r="W960" s="37" t="s">
        <v>89</v>
      </c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</row>
    <row r="961" spans="1:37">
      <c r="A961" s="37" t="s">
        <v>782</v>
      </c>
      <c r="B961" s="37"/>
      <c r="C961" s="37"/>
      <c r="D961" s="37" t="s">
        <v>783</v>
      </c>
      <c r="E961" s="37" t="s">
        <v>781</v>
      </c>
      <c r="F961" s="37" t="s">
        <v>790</v>
      </c>
      <c r="G961" s="37" t="s">
        <v>784</v>
      </c>
      <c r="H961" s="37"/>
      <c r="I961" s="37" t="s">
        <v>785</v>
      </c>
      <c r="J961" s="37" t="s">
        <v>498</v>
      </c>
      <c r="K961" s="40" t="s">
        <v>786</v>
      </c>
      <c r="L961" s="37" t="s">
        <v>64</v>
      </c>
      <c r="M961" s="37" t="s">
        <v>787</v>
      </c>
      <c r="N961" s="37" t="s">
        <v>788</v>
      </c>
      <c r="O961" s="37" t="s">
        <v>789</v>
      </c>
      <c r="P961" s="37" t="s">
        <v>789</v>
      </c>
      <c r="Q961" s="37" t="s">
        <v>10</v>
      </c>
      <c r="R961" s="37" t="s">
        <v>782</v>
      </c>
      <c r="S961" s="37" t="s">
        <v>782</v>
      </c>
      <c r="T961" s="37" t="s">
        <v>69</v>
      </c>
      <c r="U961" s="37" t="s">
        <v>116</v>
      </c>
      <c r="V961" s="37" t="s">
        <v>72</v>
      </c>
      <c r="W961" s="37" t="s">
        <v>261</v>
      </c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</row>
    <row r="962" spans="1:37">
      <c r="A962" s="37"/>
      <c r="B962" s="37"/>
      <c r="C962" s="37"/>
      <c r="D962" s="37" t="s">
        <v>815</v>
      </c>
      <c r="E962" s="37" t="s">
        <v>816</v>
      </c>
      <c r="F962" s="37" t="s">
        <v>822</v>
      </c>
      <c r="G962" s="37" t="s">
        <v>817</v>
      </c>
      <c r="H962" s="37"/>
      <c r="I962" s="37" t="s">
        <v>818</v>
      </c>
      <c r="J962" s="37" t="s">
        <v>498</v>
      </c>
      <c r="K962" s="40" t="s">
        <v>819</v>
      </c>
      <c r="L962" s="37" t="s">
        <v>64</v>
      </c>
      <c r="M962" s="37" t="s">
        <v>820</v>
      </c>
      <c r="N962" s="37" t="s">
        <v>821</v>
      </c>
      <c r="O962" s="37" t="s">
        <v>789</v>
      </c>
      <c r="P962" s="37" t="s">
        <v>789</v>
      </c>
      <c r="Q962" s="37" t="s">
        <v>10</v>
      </c>
      <c r="R962" s="37"/>
      <c r="S962" s="37"/>
      <c r="T962" s="37"/>
      <c r="U962" s="37"/>
      <c r="V962" s="37" t="s">
        <v>67</v>
      </c>
      <c r="W962" s="37" t="s">
        <v>89</v>
      </c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</row>
    <row r="963" spans="1:37">
      <c r="A963" s="37"/>
      <c r="B963" s="37"/>
      <c r="C963" s="37"/>
      <c r="D963" s="37" t="s">
        <v>1472</v>
      </c>
      <c r="E963" s="37" t="s">
        <v>1471</v>
      </c>
      <c r="F963" s="37" t="s">
        <v>1478</v>
      </c>
      <c r="G963" s="37" t="s">
        <v>1473</v>
      </c>
      <c r="H963" s="37"/>
      <c r="I963" s="37" t="s">
        <v>1474</v>
      </c>
      <c r="J963" s="37" t="s">
        <v>200</v>
      </c>
      <c r="K963" s="40" t="s">
        <v>1475</v>
      </c>
      <c r="L963" s="37" t="s">
        <v>64</v>
      </c>
      <c r="M963" s="37" t="s">
        <v>1476</v>
      </c>
      <c r="N963" s="37"/>
      <c r="O963" s="37" t="s">
        <v>789</v>
      </c>
      <c r="P963" s="37" t="s">
        <v>789</v>
      </c>
      <c r="Q963" s="37" t="s">
        <v>18</v>
      </c>
      <c r="R963" s="37" t="s">
        <v>1477</v>
      </c>
      <c r="S963" s="37" t="s">
        <v>1477</v>
      </c>
      <c r="T963" s="37" t="s">
        <v>115</v>
      </c>
      <c r="U963" s="37"/>
      <c r="V963" s="37" t="s">
        <v>72</v>
      </c>
      <c r="W963" s="37" t="s">
        <v>261</v>
      </c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</row>
    <row r="964" spans="1:37">
      <c r="A964" s="37"/>
      <c r="B964" s="37"/>
      <c r="C964" s="37"/>
      <c r="D964" s="37" t="s">
        <v>2637</v>
      </c>
      <c r="E964" s="37" t="s">
        <v>1556</v>
      </c>
      <c r="F964" s="37" t="s">
        <v>4668</v>
      </c>
      <c r="G964" s="37" t="s">
        <v>4664</v>
      </c>
      <c r="H964" s="37"/>
      <c r="I964" s="37" t="s">
        <v>4665</v>
      </c>
      <c r="J964" s="37" t="s">
        <v>675</v>
      </c>
      <c r="K964" s="40" t="s">
        <v>4666</v>
      </c>
      <c r="L964" s="37" t="s">
        <v>64</v>
      </c>
      <c r="M964" s="37" t="s">
        <v>4667</v>
      </c>
      <c r="N964" s="37"/>
      <c r="O964" s="37" t="s">
        <v>789</v>
      </c>
      <c r="P964" s="37" t="s">
        <v>789</v>
      </c>
      <c r="Q964" s="37" t="s">
        <v>16</v>
      </c>
      <c r="R964" s="37"/>
      <c r="S964" s="37"/>
      <c r="T964" s="37" t="s">
        <v>66</v>
      </c>
      <c r="U964" s="37"/>
      <c r="V964" s="37" t="s">
        <v>118</v>
      </c>
      <c r="W964" s="37" t="s">
        <v>89</v>
      </c>
      <c r="X964" s="25"/>
      <c r="Y964" s="25"/>
      <c r="Z964" s="25"/>
      <c r="AA964" s="25"/>
      <c r="AB964" s="25"/>
      <c r="AC964" s="25"/>
      <c r="AD964" s="25"/>
      <c r="AE964" s="25"/>
      <c r="AF964" s="26"/>
      <c r="AG964" s="25"/>
      <c r="AH964" s="25"/>
      <c r="AI964" s="25"/>
      <c r="AJ964" s="25"/>
      <c r="AK964" s="25"/>
    </row>
    <row r="965" spans="1:37">
      <c r="A965" s="37"/>
      <c r="B965" s="37"/>
      <c r="C965" s="37"/>
      <c r="D965" s="37" t="s">
        <v>799</v>
      </c>
      <c r="E965" s="37" t="s">
        <v>1221</v>
      </c>
      <c r="F965" s="38" t="s">
        <v>5739</v>
      </c>
      <c r="G965" s="37" t="s">
        <v>4943</v>
      </c>
      <c r="H965" s="37"/>
      <c r="I965" s="37" t="s">
        <v>3184</v>
      </c>
      <c r="J965" s="37" t="s">
        <v>244</v>
      </c>
      <c r="K965" s="40" t="s">
        <v>4944</v>
      </c>
      <c r="L965" s="37" t="s">
        <v>64</v>
      </c>
      <c r="M965" s="37" t="s">
        <v>4945</v>
      </c>
      <c r="N965" s="37" t="s">
        <v>4946</v>
      </c>
      <c r="O965" s="37" t="s">
        <v>789</v>
      </c>
      <c r="P965" s="37" t="s">
        <v>789</v>
      </c>
      <c r="Q965" s="37" t="s">
        <v>18</v>
      </c>
      <c r="R965" s="37"/>
      <c r="S965" s="37"/>
      <c r="T965" s="37" t="s">
        <v>115</v>
      </c>
      <c r="U965" s="37" t="s">
        <v>69</v>
      </c>
      <c r="V965" s="37" t="s">
        <v>77</v>
      </c>
      <c r="W965" s="37" t="s">
        <v>99</v>
      </c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</row>
    <row r="966" spans="1:37">
      <c r="A966" s="37"/>
      <c r="B966" s="37"/>
      <c r="C966" s="37"/>
      <c r="D966" s="37" t="s">
        <v>3413</v>
      </c>
      <c r="E966" s="37" t="s">
        <v>3414</v>
      </c>
      <c r="F966" s="37" t="s">
        <v>3418</v>
      </c>
      <c r="G966" s="37" t="s">
        <v>3415</v>
      </c>
      <c r="H966" s="37"/>
      <c r="I966" s="37" t="s">
        <v>3416</v>
      </c>
      <c r="J966" s="37" t="s">
        <v>208</v>
      </c>
      <c r="K966" s="40" t="s">
        <v>2160</v>
      </c>
      <c r="L966" s="37" t="s">
        <v>64</v>
      </c>
      <c r="M966" s="37" t="s">
        <v>3417</v>
      </c>
      <c r="N966" s="37"/>
      <c r="O966" s="37" t="s">
        <v>789</v>
      </c>
      <c r="P966" s="37" t="s">
        <v>789</v>
      </c>
      <c r="Q966" s="37" t="s">
        <v>18</v>
      </c>
      <c r="R966" s="37"/>
      <c r="S966" s="37"/>
      <c r="T966" s="37"/>
      <c r="U966" s="37"/>
      <c r="V966" s="37" t="s">
        <v>118</v>
      </c>
      <c r="W966" s="37" t="s">
        <v>99</v>
      </c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</row>
    <row r="967" spans="1:37">
      <c r="A967" s="37"/>
      <c r="B967" s="37"/>
      <c r="C967" s="37"/>
      <c r="D967" s="37" t="s">
        <v>1320</v>
      </c>
      <c r="E967" s="37" t="s">
        <v>1844</v>
      </c>
      <c r="F967" s="37" t="s">
        <v>4923</v>
      </c>
      <c r="G967" s="37" t="s">
        <v>1190</v>
      </c>
      <c r="H967" s="37"/>
      <c r="I967" s="37" t="s">
        <v>207</v>
      </c>
      <c r="J967" s="37" t="s">
        <v>208</v>
      </c>
      <c r="K967" s="40" t="s">
        <v>1191</v>
      </c>
      <c r="L967" s="37" t="s">
        <v>64</v>
      </c>
      <c r="M967" s="37" t="s">
        <v>4921</v>
      </c>
      <c r="N967" s="37" t="s">
        <v>4922</v>
      </c>
      <c r="O967" s="37" t="s">
        <v>789</v>
      </c>
      <c r="P967" s="37" t="s">
        <v>789</v>
      </c>
      <c r="Q967" s="37" t="s">
        <v>18</v>
      </c>
      <c r="R967" s="37"/>
      <c r="S967" s="37"/>
      <c r="T967" s="37" t="s">
        <v>69</v>
      </c>
      <c r="U967" s="37"/>
      <c r="V967" s="37" t="s">
        <v>88</v>
      </c>
      <c r="W967" s="37" t="s">
        <v>89</v>
      </c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</row>
    <row r="968" spans="1:37">
      <c r="A968" s="37"/>
      <c r="B968" s="37"/>
      <c r="C968" s="37"/>
      <c r="D968" s="37" t="s">
        <v>578</v>
      </c>
      <c r="E968" s="37" t="s">
        <v>4415</v>
      </c>
      <c r="F968" s="37" t="s">
        <v>4422</v>
      </c>
      <c r="G968" s="37" t="s">
        <v>4416</v>
      </c>
      <c r="H968" s="37" t="s">
        <v>4417</v>
      </c>
      <c r="I968" s="37" t="s">
        <v>4418</v>
      </c>
      <c r="J968" s="37" t="s">
        <v>114</v>
      </c>
      <c r="K968" s="40" t="s">
        <v>4419</v>
      </c>
      <c r="L968" s="37" t="s">
        <v>64</v>
      </c>
      <c r="M968" s="37" t="s">
        <v>4420</v>
      </c>
      <c r="N968" s="37" t="s">
        <v>4421</v>
      </c>
      <c r="O968" s="37" t="s">
        <v>789</v>
      </c>
      <c r="P968" s="37" t="s">
        <v>789</v>
      </c>
      <c r="Q968" s="37" t="s">
        <v>16</v>
      </c>
      <c r="R968" s="37"/>
      <c r="S968" s="37"/>
      <c r="T968" s="37" t="s">
        <v>144</v>
      </c>
      <c r="U968" s="37"/>
      <c r="V968" s="37" t="s">
        <v>77</v>
      </c>
      <c r="W968" s="37" t="s">
        <v>89</v>
      </c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</row>
    <row r="969" spans="1:37">
      <c r="A969" s="37"/>
      <c r="B969" s="37"/>
      <c r="C969" s="37"/>
      <c r="D969" s="37" t="s">
        <v>3400</v>
      </c>
      <c r="E969" s="37" t="s">
        <v>3401</v>
      </c>
      <c r="F969" s="37" t="s">
        <v>3403</v>
      </c>
      <c r="G969" s="37" t="s">
        <v>3415</v>
      </c>
      <c r="H969" s="37"/>
      <c r="I969" s="37" t="s">
        <v>3416</v>
      </c>
      <c r="J969" s="37" t="s">
        <v>208</v>
      </c>
      <c r="K969" s="40" t="s">
        <v>3402</v>
      </c>
      <c r="L969" s="37" t="s">
        <v>64</v>
      </c>
      <c r="M969" s="37" t="s">
        <v>3417</v>
      </c>
      <c r="N969" s="37"/>
      <c r="O969" s="37" t="s">
        <v>789</v>
      </c>
      <c r="P969" s="37" t="s">
        <v>789</v>
      </c>
      <c r="Q969" s="37" t="s">
        <v>18</v>
      </c>
      <c r="R969" s="37"/>
      <c r="S969" s="37"/>
      <c r="T969" s="37"/>
      <c r="U969" s="37"/>
      <c r="V969" s="37" t="s">
        <v>67</v>
      </c>
      <c r="W969" s="37" t="s">
        <v>73</v>
      </c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</row>
    <row r="970" spans="1:37">
      <c r="A970" s="37"/>
      <c r="B970" s="37"/>
      <c r="C970" s="37"/>
      <c r="D970" s="37" t="s">
        <v>286</v>
      </c>
      <c r="E970" s="37" t="s">
        <v>1934</v>
      </c>
      <c r="F970" s="37" t="s">
        <v>1940</v>
      </c>
      <c r="G970" s="37" t="s">
        <v>1935</v>
      </c>
      <c r="H970" s="37"/>
      <c r="I970" s="37" t="s">
        <v>1936</v>
      </c>
      <c r="J970" s="37" t="s">
        <v>114</v>
      </c>
      <c r="K970" s="40" t="s">
        <v>1937</v>
      </c>
      <c r="L970" s="37" t="s">
        <v>64</v>
      </c>
      <c r="M970" s="37" t="s">
        <v>1938</v>
      </c>
      <c r="N970" s="37" t="s">
        <v>1939</v>
      </c>
      <c r="O970" s="37" t="s">
        <v>789</v>
      </c>
      <c r="P970" s="37" t="s">
        <v>789</v>
      </c>
      <c r="Q970" s="37" t="s">
        <v>16</v>
      </c>
      <c r="R970" s="37"/>
      <c r="S970" s="37"/>
      <c r="T970" s="37" t="s">
        <v>115</v>
      </c>
      <c r="U970" s="37" t="s">
        <v>69</v>
      </c>
      <c r="V970" s="37" t="s">
        <v>77</v>
      </c>
      <c r="W970" s="37" t="s">
        <v>69</v>
      </c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</row>
    <row r="971" spans="1:37">
      <c r="A971" s="37"/>
      <c r="B971" s="37"/>
      <c r="C971" s="37"/>
      <c r="D971" s="37" t="s">
        <v>2133</v>
      </c>
      <c r="E971" s="37" t="s">
        <v>2134</v>
      </c>
      <c r="F971" s="37" t="s">
        <v>2135</v>
      </c>
      <c r="G971" s="37" t="s">
        <v>817</v>
      </c>
      <c r="H971" s="37"/>
      <c r="I971" s="37" t="s">
        <v>818</v>
      </c>
      <c r="J971" s="37" t="s">
        <v>498</v>
      </c>
      <c r="K971" s="40" t="s">
        <v>819</v>
      </c>
      <c r="L971" s="37" t="s">
        <v>64</v>
      </c>
      <c r="M971" s="37" t="s">
        <v>820</v>
      </c>
      <c r="N971" s="37" t="s">
        <v>821</v>
      </c>
      <c r="O971" s="37" t="s">
        <v>789</v>
      </c>
      <c r="P971" s="37" t="s">
        <v>789</v>
      </c>
      <c r="Q971" s="37" t="s">
        <v>10</v>
      </c>
      <c r="R971" s="37"/>
      <c r="S971" s="37"/>
      <c r="T971" s="37"/>
      <c r="U971" s="37"/>
      <c r="V971" s="37" t="s">
        <v>67</v>
      </c>
      <c r="W971" s="37" t="s">
        <v>89</v>
      </c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</row>
    <row r="972" spans="1:37">
      <c r="A972" s="37"/>
      <c r="B972" s="37"/>
      <c r="C972" s="37"/>
      <c r="D972" s="37" t="s">
        <v>415</v>
      </c>
      <c r="E972" s="37" t="s">
        <v>2953</v>
      </c>
      <c r="F972" s="37" t="s">
        <v>2954</v>
      </c>
      <c r="G972" s="37" t="s">
        <v>3124</v>
      </c>
      <c r="H972" s="37"/>
      <c r="I972" s="37" t="s">
        <v>3125</v>
      </c>
      <c r="J972" s="37" t="s">
        <v>200</v>
      </c>
      <c r="K972" s="40" t="s">
        <v>3126</v>
      </c>
      <c r="L972" s="37" t="s">
        <v>64</v>
      </c>
      <c r="M972" s="37" t="s">
        <v>3127</v>
      </c>
      <c r="N972" s="37" t="s">
        <v>3128</v>
      </c>
      <c r="O972" s="37" t="s">
        <v>789</v>
      </c>
      <c r="P972" s="37" t="s">
        <v>789</v>
      </c>
      <c r="Q972" s="37" t="s">
        <v>18</v>
      </c>
      <c r="R972" s="37"/>
      <c r="S972" s="37"/>
      <c r="T972" s="37" t="s">
        <v>115</v>
      </c>
      <c r="U972" s="37"/>
      <c r="V972" s="37" t="s">
        <v>77</v>
      </c>
      <c r="W972" s="37" t="s">
        <v>99</v>
      </c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</row>
    <row r="973" spans="1:37">
      <c r="A973" s="37"/>
      <c r="B973" s="37"/>
      <c r="C973" s="37"/>
      <c r="D973" s="37" t="s">
        <v>436</v>
      </c>
      <c r="E973" s="37" t="s">
        <v>4854</v>
      </c>
      <c r="F973" s="38" t="s">
        <v>5739</v>
      </c>
      <c r="G973" s="37" t="s">
        <v>4943</v>
      </c>
      <c r="H973" s="37"/>
      <c r="I973" s="37" t="s">
        <v>3184</v>
      </c>
      <c r="J973" s="37" t="s">
        <v>244</v>
      </c>
      <c r="K973" s="40" t="s">
        <v>4944</v>
      </c>
      <c r="L973" s="37" t="s">
        <v>64</v>
      </c>
      <c r="M973" s="37" t="s">
        <v>4855</v>
      </c>
      <c r="N973" s="37" t="s">
        <v>4946</v>
      </c>
      <c r="O973" s="37" t="s">
        <v>789</v>
      </c>
      <c r="P973" s="37" t="s">
        <v>789</v>
      </c>
      <c r="Q973" s="37" t="s">
        <v>18</v>
      </c>
      <c r="R973" s="37"/>
      <c r="S973" s="37"/>
      <c r="T973" s="37" t="s">
        <v>66</v>
      </c>
      <c r="U973" s="37"/>
      <c r="V973" s="37" t="s">
        <v>67</v>
      </c>
      <c r="W973" s="37" t="s">
        <v>69</v>
      </c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</row>
    <row r="974" spans="1:37">
      <c r="A974" s="37"/>
      <c r="B974" s="37"/>
      <c r="C974" s="37"/>
      <c r="D974" s="37" t="s">
        <v>3817</v>
      </c>
      <c r="E974" s="37" t="s">
        <v>3818</v>
      </c>
      <c r="F974" s="37" t="s">
        <v>3826</v>
      </c>
      <c r="G974" s="37" t="s">
        <v>3819</v>
      </c>
      <c r="H974" s="37"/>
      <c r="I974" s="37" t="s">
        <v>3820</v>
      </c>
      <c r="J974" s="37" t="s">
        <v>214</v>
      </c>
      <c r="K974" s="40" t="s">
        <v>3821</v>
      </c>
      <c r="L974" s="37" t="s">
        <v>64</v>
      </c>
      <c r="M974" s="37" t="s">
        <v>3822</v>
      </c>
      <c r="N974" s="37" t="s">
        <v>3823</v>
      </c>
      <c r="O974" s="37" t="s">
        <v>789</v>
      </c>
      <c r="P974" s="37" t="s">
        <v>789</v>
      </c>
      <c r="Q974" s="37" t="s">
        <v>10</v>
      </c>
      <c r="R974" s="37" t="s">
        <v>3824</v>
      </c>
      <c r="S974" s="37" t="s">
        <v>3825</v>
      </c>
      <c r="T974" s="37" t="s">
        <v>69</v>
      </c>
      <c r="U974" s="37"/>
      <c r="V974" s="37" t="s">
        <v>67</v>
      </c>
      <c r="W974" s="37" t="s">
        <v>73</v>
      </c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</row>
    <row r="975" spans="1:37">
      <c r="A975" s="37"/>
      <c r="B975" s="37"/>
      <c r="C975" s="37"/>
      <c r="D975" s="37" t="s">
        <v>4819</v>
      </c>
      <c r="E975" s="37" t="s">
        <v>4820</v>
      </c>
      <c r="F975" s="37" t="s">
        <v>4822</v>
      </c>
      <c r="G975" s="37" t="s">
        <v>4444</v>
      </c>
      <c r="H975" s="37"/>
      <c r="I975" s="37" t="s">
        <v>1641</v>
      </c>
      <c r="J975" s="37" t="s">
        <v>574</v>
      </c>
      <c r="K975" s="40" t="s">
        <v>4445</v>
      </c>
      <c r="L975" s="37" t="s">
        <v>64</v>
      </c>
      <c r="M975" s="37" t="s">
        <v>4821</v>
      </c>
      <c r="N975" s="37"/>
      <c r="O975" s="37" t="s">
        <v>789</v>
      </c>
      <c r="P975" s="37" t="s">
        <v>789</v>
      </c>
      <c r="Q975" s="37" t="s">
        <v>126</v>
      </c>
      <c r="R975" s="37"/>
      <c r="S975" s="37" t="s">
        <v>4446</v>
      </c>
      <c r="T975" s="37" t="s">
        <v>158</v>
      </c>
      <c r="U975" s="37"/>
      <c r="V975" s="37" t="s">
        <v>72</v>
      </c>
      <c r="W975" s="37" t="s">
        <v>73</v>
      </c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</row>
    <row r="976" spans="1:37">
      <c r="A976" s="37"/>
      <c r="B976" s="37"/>
      <c r="C976" s="37"/>
      <c r="D976" s="37" t="s">
        <v>339</v>
      </c>
      <c r="E976" s="37" t="s">
        <v>2788</v>
      </c>
      <c r="F976" s="37" t="s">
        <v>2790</v>
      </c>
      <c r="G976" s="37" t="s">
        <v>2789</v>
      </c>
      <c r="H976" s="37"/>
      <c r="I976" s="37" t="s">
        <v>1913</v>
      </c>
      <c r="J976" s="37" t="s">
        <v>498</v>
      </c>
      <c r="K976" s="40" t="s">
        <v>1914</v>
      </c>
      <c r="L976" s="37" t="s">
        <v>64</v>
      </c>
      <c r="M976" s="37" t="s">
        <v>6335</v>
      </c>
      <c r="N976" s="37"/>
      <c r="O976" s="37" t="s">
        <v>789</v>
      </c>
      <c r="P976" s="37" t="s">
        <v>789</v>
      </c>
      <c r="Q976" s="37" t="s">
        <v>10</v>
      </c>
      <c r="R976" s="37"/>
      <c r="S976" s="37"/>
      <c r="T976" s="37"/>
      <c r="U976" s="37"/>
      <c r="V976" s="37" t="s">
        <v>77</v>
      </c>
      <c r="W976" s="37" t="s">
        <v>89</v>
      </c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</row>
    <row r="977" spans="1:37">
      <c r="A977" s="37"/>
      <c r="B977" s="37"/>
      <c r="C977" s="37"/>
      <c r="D977" s="37" t="s">
        <v>3073</v>
      </c>
      <c r="E977" s="37" t="s">
        <v>4276</v>
      </c>
      <c r="F977" s="37" t="s">
        <v>4280</v>
      </c>
      <c r="G977" s="37" t="s">
        <v>2929</v>
      </c>
      <c r="H977" s="37"/>
      <c r="I977" s="37" t="s">
        <v>639</v>
      </c>
      <c r="J977" s="37" t="s">
        <v>105</v>
      </c>
      <c r="K977" s="40" t="s">
        <v>640</v>
      </c>
      <c r="L977" s="37" t="s">
        <v>64</v>
      </c>
      <c r="M977" s="37" t="s">
        <v>4277</v>
      </c>
      <c r="N977" s="37"/>
      <c r="O977" s="37" t="s">
        <v>69</v>
      </c>
      <c r="P977" s="37" t="s">
        <v>69</v>
      </c>
      <c r="Q977" s="37" t="s">
        <v>14</v>
      </c>
      <c r="R977" s="37" t="s">
        <v>4278</v>
      </c>
      <c r="S977" s="37" t="s">
        <v>4279</v>
      </c>
      <c r="T977" s="37" t="s">
        <v>69</v>
      </c>
      <c r="U977" s="37" t="s">
        <v>116</v>
      </c>
      <c r="V977" s="37" t="s">
        <v>77</v>
      </c>
      <c r="W977" s="37" t="s">
        <v>89</v>
      </c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</row>
    <row r="978" spans="1:37">
      <c r="A978" s="37"/>
      <c r="B978" s="37"/>
      <c r="C978" s="37"/>
      <c r="D978" s="37" t="s">
        <v>272</v>
      </c>
      <c r="E978" s="37" t="s">
        <v>847</v>
      </c>
      <c r="F978" s="37" t="s">
        <v>4716</v>
      </c>
      <c r="G978" s="37" t="s">
        <v>4711</v>
      </c>
      <c r="H978" s="37" t="s">
        <v>4712</v>
      </c>
      <c r="I978" s="37" t="s">
        <v>4713</v>
      </c>
      <c r="J978" s="37" t="s">
        <v>162</v>
      </c>
      <c r="K978" s="40" t="s">
        <v>4175</v>
      </c>
      <c r="L978" s="37" t="s">
        <v>64</v>
      </c>
      <c r="M978" s="37" t="s">
        <v>4714</v>
      </c>
      <c r="N978" s="37"/>
      <c r="O978" s="37" t="s">
        <v>69</v>
      </c>
      <c r="P978" s="37" t="s">
        <v>69</v>
      </c>
      <c r="Q978" s="37" t="s">
        <v>16</v>
      </c>
      <c r="R978" s="37" t="s">
        <v>1388</v>
      </c>
      <c r="S978" s="37" t="s">
        <v>4715</v>
      </c>
      <c r="T978" s="37" t="s">
        <v>69</v>
      </c>
      <c r="U978" s="37"/>
      <c r="V978" s="37" t="s">
        <v>72</v>
      </c>
      <c r="W978" s="37" t="s">
        <v>73</v>
      </c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</row>
    <row r="979" spans="1:37">
      <c r="A979" s="37"/>
      <c r="B979" s="37"/>
      <c r="C979" s="37"/>
      <c r="D979" s="37" t="s">
        <v>339</v>
      </c>
      <c r="E979" s="37" t="s">
        <v>6336</v>
      </c>
      <c r="F979" s="37" t="s">
        <v>6337</v>
      </c>
      <c r="G979" s="37" t="s">
        <v>6338</v>
      </c>
      <c r="H979" s="37"/>
      <c r="I979" s="37" t="s">
        <v>6339</v>
      </c>
      <c r="J979" s="37" t="s">
        <v>334</v>
      </c>
      <c r="K979" s="40" t="s">
        <v>6340</v>
      </c>
      <c r="L979" s="37" t="s">
        <v>64</v>
      </c>
      <c r="M979" s="37" t="s">
        <v>6341</v>
      </c>
      <c r="N979" s="37"/>
      <c r="O979" s="37" t="s">
        <v>69</v>
      </c>
      <c r="P979" s="37" t="s">
        <v>69</v>
      </c>
      <c r="Q979" s="37" t="s">
        <v>16</v>
      </c>
      <c r="R979" s="37"/>
      <c r="S979" s="37"/>
      <c r="T979" s="37"/>
      <c r="U979" s="37"/>
      <c r="V979" s="37" t="s">
        <v>67</v>
      </c>
      <c r="W979" s="37" t="s">
        <v>110</v>
      </c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</row>
    <row r="980" spans="1:37">
      <c r="A980" s="37"/>
      <c r="B980" s="37"/>
      <c r="C980" s="37"/>
      <c r="D980" s="37" t="s">
        <v>861</v>
      </c>
      <c r="E980" s="37" t="s">
        <v>1243</v>
      </c>
      <c r="F980" s="37" t="s">
        <v>1250</v>
      </c>
      <c r="G980" s="37" t="s">
        <v>1244</v>
      </c>
      <c r="H980" s="37"/>
      <c r="I980" s="37" t="s">
        <v>82</v>
      </c>
      <c r="J980" s="37" t="s">
        <v>83</v>
      </c>
      <c r="K980" s="40" t="s">
        <v>1245</v>
      </c>
      <c r="L980" s="37" t="s">
        <v>64</v>
      </c>
      <c r="M980" s="37" t="s">
        <v>1246</v>
      </c>
      <c r="N980" s="37" t="s">
        <v>1247</v>
      </c>
      <c r="O980" s="37" t="s">
        <v>69</v>
      </c>
      <c r="P980" s="37" t="s">
        <v>69</v>
      </c>
      <c r="Q980" s="37" t="s">
        <v>14</v>
      </c>
      <c r="R980" s="37" t="s">
        <v>1248</v>
      </c>
      <c r="S980" s="37" t="s">
        <v>1249</v>
      </c>
      <c r="T980" s="37" t="s">
        <v>66</v>
      </c>
      <c r="U980" s="37" t="s">
        <v>145</v>
      </c>
      <c r="V980" s="37" t="s">
        <v>77</v>
      </c>
      <c r="W980" s="37" t="s">
        <v>73</v>
      </c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</row>
    <row r="981" spans="1:37">
      <c r="A981" s="37"/>
      <c r="B981" s="37"/>
      <c r="C981" s="37"/>
      <c r="D981" s="37" t="s">
        <v>282</v>
      </c>
      <c r="E981" s="37" t="s">
        <v>4447</v>
      </c>
      <c r="F981" s="37" t="s">
        <v>4450</v>
      </c>
      <c r="G981" s="37" t="s">
        <v>4448</v>
      </c>
      <c r="H981" s="37" t="s">
        <v>2717</v>
      </c>
      <c r="I981" s="37" t="s">
        <v>1732</v>
      </c>
      <c r="J981" s="37" t="s">
        <v>153</v>
      </c>
      <c r="K981" s="40" t="s">
        <v>1733</v>
      </c>
      <c r="L981" s="37" t="s">
        <v>64</v>
      </c>
      <c r="M981" s="37" t="s">
        <v>4449</v>
      </c>
      <c r="N981" s="37"/>
      <c r="O981" s="37" t="s">
        <v>69</v>
      </c>
      <c r="P981" s="37" t="s">
        <v>69</v>
      </c>
      <c r="Q981" s="37" t="s">
        <v>16</v>
      </c>
      <c r="R981" s="37" t="s">
        <v>4278</v>
      </c>
      <c r="S981" s="37" t="s">
        <v>4278</v>
      </c>
      <c r="T981" s="37" t="s">
        <v>115</v>
      </c>
      <c r="U981" s="37" t="s">
        <v>182</v>
      </c>
      <c r="V981" s="37" t="s">
        <v>77</v>
      </c>
      <c r="W981" s="37" t="s">
        <v>110</v>
      </c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</row>
    <row r="982" spans="1:37">
      <c r="A982" s="37" t="s">
        <v>112</v>
      </c>
      <c r="B982" s="37"/>
      <c r="C982" s="37"/>
      <c r="D982" s="37" t="s">
        <v>955</v>
      </c>
      <c r="E982" s="37" t="s">
        <v>6342</v>
      </c>
      <c r="F982" s="37" t="s">
        <v>6343</v>
      </c>
      <c r="G982" s="37" t="s">
        <v>6344</v>
      </c>
      <c r="H982" s="37"/>
      <c r="I982" s="37" t="s">
        <v>82</v>
      </c>
      <c r="J982" s="37" t="s">
        <v>83</v>
      </c>
      <c r="K982" s="40" t="s">
        <v>1970</v>
      </c>
      <c r="L982" s="37" t="s">
        <v>64</v>
      </c>
      <c r="M982" s="37" t="s">
        <v>6345</v>
      </c>
      <c r="N982" s="37"/>
      <c r="O982" s="37" t="s">
        <v>69</v>
      </c>
      <c r="P982" s="37" t="s">
        <v>69</v>
      </c>
      <c r="Q982" s="37" t="s">
        <v>14</v>
      </c>
      <c r="R982" s="37" t="s">
        <v>6346</v>
      </c>
      <c r="S982" s="37" t="s">
        <v>1249</v>
      </c>
      <c r="T982" s="37" t="s">
        <v>66</v>
      </c>
      <c r="U982" s="37"/>
      <c r="V982" s="37" t="s">
        <v>118</v>
      </c>
      <c r="W982" s="37" t="s">
        <v>99</v>
      </c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</row>
    <row r="983" spans="1:37">
      <c r="A983" s="37"/>
      <c r="B983" s="37"/>
      <c r="C983" s="37"/>
      <c r="D983" s="37" t="s">
        <v>1660</v>
      </c>
      <c r="E983" s="37" t="s">
        <v>1659</v>
      </c>
      <c r="F983" s="37" t="s">
        <v>1663</v>
      </c>
      <c r="G983" s="37" t="s">
        <v>1057</v>
      </c>
      <c r="H983" s="37"/>
      <c r="I983" s="37" t="s">
        <v>82</v>
      </c>
      <c r="J983" s="37" t="s">
        <v>83</v>
      </c>
      <c r="K983" s="40" t="s">
        <v>908</v>
      </c>
      <c r="L983" s="37" t="s">
        <v>64</v>
      </c>
      <c r="M983" s="37" t="s">
        <v>1661</v>
      </c>
      <c r="N983" s="37" t="s">
        <v>1662</v>
      </c>
      <c r="O983" s="37" t="s">
        <v>69</v>
      </c>
      <c r="P983" s="37" t="s">
        <v>69</v>
      </c>
      <c r="Q983" s="37" t="s">
        <v>14</v>
      </c>
      <c r="R983" s="37"/>
      <c r="S983" s="37" t="s">
        <v>907</v>
      </c>
      <c r="T983" s="37" t="s">
        <v>66</v>
      </c>
      <c r="U983" s="37" t="s">
        <v>185</v>
      </c>
      <c r="V983" s="37" t="s">
        <v>72</v>
      </c>
      <c r="W983" s="37" t="s">
        <v>73</v>
      </c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</row>
    <row r="984" spans="1:37">
      <c r="A984" s="37"/>
      <c r="B984" s="37"/>
      <c r="C984" s="37"/>
      <c r="D984" s="37" t="s">
        <v>286</v>
      </c>
      <c r="E984" s="37" t="s">
        <v>1730</v>
      </c>
      <c r="F984" s="37" t="s">
        <v>1736</v>
      </c>
      <c r="G984" s="37" t="s">
        <v>1731</v>
      </c>
      <c r="H984" s="37"/>
      <c r="I984" s="37" t="s">
        <v>1732</v>
      </c>
      <c r="J984" s="37" t="s">
        <v>153</v>
      </c>
      <c r="K984" s="40" t="s">
        <v>1733</v>
      </c>
      <c r="L984" s="37" t="s">
        <v>64</v>
      </c>
      <c r="M984" s="37" t="s">
        <v>1734</v>
      </c>
      <c r="N984" s="37"/>
      <c r="O984" s="37" t="s">
        <v>69</v>
      </c>
      <c r="P984" s="37" t="s">
        <v>69</v>
      </c>
      <c r="Q984" s="37" t="s">
        <v>16</v>
      </c>
      <c r="R984" s="37"/>
      <c r="S984" s="37" t="s">
        <v>1735</v>
      </c>
      <c r="T984" s="37" t="s">
        <v>69</v>
      </c>
      <c r="U984" s="37" t="s">
        <v>87</v>
      </c>
      <c r="V984" s="37" t="s">
        <v>67</v>
      </c>
      <c r="W984" s="37" t="s">
        <v>110</v>
      </c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</row>
    <row r="985" spans="1:37">
      <c r="A985" s="37"/>
      <c r="B985" s="37"/>
      <c r="C985" s="37"/>
      <c r="D985" s="37" t="s">
        <v>1612</v>
      </c>
      <c r="E985" s="37" t="s">
        <v>1817</v>
      </c>
      <c r="F985" s="37" t="s">
        <v>1822</v>
      </c>
      <c r="G985" s="37" t="s">
        <v>1818</v>
      </c>
      <c r="H985" s="37"/>
      <c r="I985" s="37" t="s">
        <v>82</v>
      </c>
      <c r="J985" s="37" t="s">
        <v>83</v>
      </c>
      <c r="K985" s="40" t="s">
        <v>1819</v>
      </c>
      <c r="L985" s="37" t="s">
        <v>64</v>
      </c>
      <c r="M985" s="37" t="s">
        <v>1820</v>
      </c>
      <c r="N985" s="37"/>
      <c r="O985" s="37" t="s">
        <v>69</v>
      </c>
      <c r="P985" s="37" t="s">
        <v>69</v>
      </c>
      <c r="Q985" s="37" t="s">
        <v>14</v>
      </c>
      <c r="R985" s="37" t="s">
        <v>1821</v>
      </c>
      <c r="S985" s="37" t="s">
        <v>5259</v>
      </c>
      <c r="T985" s="37"/>
      <c r="U985" s="37"/>
      <c r="V985" s="37" t="s">
        <v>72</v>
      </c>
      <c r="W985" s="37" t="s">
        <v>99</v>
      </c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</row>
    <row r="986" spans="1:37">
      <c r="A986" s="37"/>
      <c r="B986" s="37"/>
      <c r="C986" s="37"/>
      <c r="D986" s="37" t="s">
        <v>3434</v>
      </c>
      <c r="E986" s="37" t="s">
        <v>1909</v>
      </c>
      <c r="F986" s="37" t="s">
        <v>1911</v>
      </c>
      <c r="G986" s="37" t="s">
        <v>6347</v>
      </c>
      <c r="H986" s="37"/>
      <c r="I986" s="37" t="s">
        <v>191</v>
      </c>
      <c r="J986" s="37" t="s">
        <v>75</v>
      </c>
      <c r="K986" s="40" t="s">
        <v>6348</v>
      </c>
      <c r="L986" s="37" t="s">
        <v>64</v>
      </c>
      <c r="M986" s="37" t="s">
        <v>1910</v>
      </c>
      <c r="N986" s="37" t="s">
        <v>2019</v>
      </c>
      <c r="O986" s="37" t="s">
        <v>69</v>
      </c>
      <c r="P986" s="37" t="s">
        <v>69</v>
      </c>
      <c r="Q986" s="37" t="s">
        <v>10</v>
      </c>
      <c r="R986" s="37"/>
      <c r="S986" s="37" t="s">
        <v>4278</v>
      </c>
      <c r="T986" s="37" t="s">
        <v>66</v>
      </c>
      <c r="U986" s="37" t="s">
        <v>145</v>
      </c>
      <c r="V986" s="37" t="s">
        <v>72</v>
      </c>
      <c r="W986" s="37" t="s">
        <v>135</v>
      </c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</row>
    <row r="987" spans="1:37">
      <c r="A987" s="37"/>
      <c r="B987" s="37"/>
      <c r="C987" s="37"/>
      <c r="D987" s="37" t="s">
        <v>1922</v>
      </c>
      <c r="E987" s="37" t="s">
        <v>1923</v>
      </c>
      <c r="F987" s="37" t="s">
        <v>1927</v>
      </c>
      <c r="G987" s="37" t="s">
        <v>1924</v>
      </c>
      <c r="H987" s="37"/>
      <c r="I987" s="37" t="s">
        <v>82</v>
      </c>
      <c r="J987" s="37" t="s">
        <v>83</v>
      </c>
      <c r="K987" s="40" t="s">
        <v>643</v>
      </c>
      <c r="L987" s="37" t="s">
        <v>64</v>
      </c>
      <c r="M987" s="37" t="s">
        <v>1925</v>
      </c>
      <c r="N987" s="37" t="s">
        <v>1926</v>
      </c>
      <c r="O987" s="37" t="s">
        <v>69</v>
      </c>
      <c r="P987" s="37" t="s">
        <v>69</v>
      </c>
      <c r="Q987" s="37" t="s">
        <v>14</v>
      </c>
      <c r="R987" s="37" t="s">
        <v>852</v>
      </c>
      <c r="S987" s="37" t="s">
        <v>6349</v>
      </c>
      <c r="T987" s="37" t="s">
        <v>66</v>
      </c>
      <c r="U987" s="37" t="s">
        <v>182</v>
      </c>
      <c r="V987" s="37" t="s">
        <v>77</v>
      </c>
      <c r="W987" s="37" t="s">
        <v>99</v>
      </c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</row>
    <row r="988" spans="1:37">
      <c r="A988" s="37" t="s">
        <v>1966</v>
      </c>
      <c r="B988" s="37"/>
      <c r="C988" s="37"/>
      <c r="D988" s="37" t="s">
        <v>308</v>
      </c>
      <c r="E988" s="37" t="s">
        <v>1967</v>
      </c>
      <c r="F988" s="37" t="s">
        <v>1974</v>
      </c>
      <c r="G988" s="37" t="s">
        <v>1968</v>
      </c>
      <c r="H988" s="37"/>
      <c r="I988" s="37" t="s">
        <v>1969</v>
      </c>
      <c r="J988" s="37" t="s">
        <v>83</v>
      </c>
      <c r="K988" s="40" t="s">
        <v>1970</v>
      </c>
      <c r="L988" s="37" t="s">
        <v>64</v>
      </c>
      <c r="M988" s="37" t="s">
        <v>1971</v>
      </c>
      <c r="N988" s="37" t="s">
        <v>1972</v>
      </c>
      <c r="O988" s="37" t="s">
        <v>69</v>
      </c>
      <c r="P988" s="37" t="s">
        <v>69</v>
      </c>
      <c r="Q988" s="37" t="s">
        <v>14</v>
      </c>
      <c r="R988" s="37" t="s">
        <v>1973</v>
      </c>
      <c r="S988" s="37" t="s">
        <v>1249</v>
      </c>
      <c r="T988" s="37" t="s">
        <v>69</v>
      </c>
      <c r="U988" s="37" t="s">
        <v>182</v>
      </c>
      <c r="V988" s="37" t="s">
        <v>67</v>
      </c>
      <c r="W988" s="37" t="s">
        <v>89</v>
      </c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</row>
    <row r="989" spans="1:37">
      <c r="A989" s="37"/>
      <c r="B989" s="37"/>
      <c r="C989" s="37"/>
      <c r="D989" s="37" t="s">
        <v>6350</v>
      </c>
      <c r="E989" s="37" t="s">
        <v>6351</v>
      </c>
      <c r="F989" s="37" t="s">
        <v>6352</v>
      </c>
      <c r="G989" s="37" t="s">
        <v>6353</v>
      </c>
      <c r="H989" s="37" t="s">
        <v>2010</v>
      </c>
      <c r="I989" s="37" t="s">
        <v>2011</v>
      </c>
      <c r="J989" s="37" t="s">
        <v>320</v>
      </c>
      <c r="K989" s="40" t="s">
        <v>2012</v>
      </c>
      <c r="L989" s="37" t="s">
        <v>64</v>
      </c>
      <c r="M989" s="37" t="s">
        <v>6354</v>
      </c>
      <c r="N989" s="37"/>
      <c r="O989" s="37" t="s">
        <v>69</v>
      </c>
      <c r="P989" s="37" t="s">
        <v>69</v>
      </c>
      <c r="Q989" s="37" t="s">
        <v>4</v>
      </c>
      <c r="R989" s="37" t="s">
        <v>1387</v>
      </c>
      <c r="S989" s="37" t="s">
        <v>6355</v>
      </c>
      <c r="T989" s="37" t="s">
        <v>158</v>
      </c>
      <c r="U989" s="37"/>
      <c r="V989" s="37" t="s">
        <v>72</v>
      </c>
      <c r="W989" s="37" t="s">
        <v>110</v>
      </c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</row>
    <row r="990" spans="1:37">
      <c r="A990" s="37"/>
      <c r="B990" s="37"/>
      <c r="C990" s="37"/>
      <c r="D990" s="37" t="s">
        <v>1398</v>
      </c>
      <c r="E990" s="37" t="s">
        <v>2015</v>
      </c>
      <c r="F990" s="37" t="s">
        <v>2020</v>
      </c>
      <c r="G990" s="37" t="s">
        <v>2016</v>
      </c>
      <c r="H990" s="37"/>
      <c r="I990" s="37" t="s">
        <v>191</v>
      </c>
      <c r="J990" s="37" t="s">
        <v>75</v>
      </c>
      <c r="K990" s="40" t="s">
        <v>2017</v>
      </c>
      <c r="L990" s="37" t="s">
        <v>64</v>
      </c>
      <c r="M990" s="37" t="s">
        <v>2018</v>
      </c>
      <c r="N990" s="37" t="s">
        <v>2019</v>
      </c>
      <c r="O990" s="37" t="s">
        <v>69</v>
      </c>
      <c r="P990" s="37" t="s">
        <v>69</v>
      </c>
      <c r="Q990" s="37" t="s">
        <v>10</v>
      </c>
      <c r="R990" s="37"/>
      <c r="S990" s="37" t="s">
        <v>4278</v>
      </c>
      <c r="T990" s="37" t="s">
        <v>69</v>
      </c>
      <c r="U990" s="37" t="s">
        <v>130</v>
      </c>
      <c r="V990" s="37" t="s">
        <v>72</v>
      </c>
      <c r="W990" s="37" t="s">
        <v>135</v>
      </c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</row>
    <row r="991" spans="1:37">
      <c r="A991" s="37"/>
      <c r="B991" s="37"/>
      <c r="C991" s="37"/>
      <c r="D991" s="37" t="s">
        <v>2115</v>
      </c>
      <c r="E991" s="37" t="s">
        <v>4144</v>
      </c>
      <c r="F991" s="37" t="s">
        <v>2120</v>
      </c>
      <c r="G991" s="37" t="s">
        <v>2116</v>
      </c>
      <c r="H991" s="37" t="s">
        <v>1074</v>
      </c>
      <c r="I991" s="37" t="s">
        <v>82</v>
      </c>
      <c r="J991" s="37" t="s">
        <v>83</v>
      </c>
      <c r="K991" s="40" t="s">
        <v>910</v>
      </c>
      <c r="L991" s="37" t="s">
        <v>64</v>
      </c>
      <c r="M991" s="37" t="s">
        <v>2117</v>
      </c>
      <c r="N991" s="37" t="s">
        <v>2118</v>
      </c>
      <c r="O991" s="37" t="s">
        <v>69</v>
      </c>
      <c r="P991" s="37" t="s">
        <v>69</v>
      </c>
      <c r="Q991" s="37" t="s">
        <v>14</v>
      </c>
      <c r="R991" s="37" t="s">
        <v>2119</v>
      </c>
      <c r="S991" s="37" t="s">
        <v>5607</v>
      </c>
      <c r="T991" s="37" t="s">
        <v>144</v>
      </c>
      <c r="U991" s="37" t="s">
        <v>254</v>
      </c>
      <c r="V991" s="37" t="s">
        <v>88</v>
      </c>
      <c r="W991" s="37" t="s">
        <v>89</v>
      </c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</row>
    <row r="992" spans="1:37">
      <c r="A992" s="37"/>
      <c r="B992" s="37"/>
      <c r="C992" s="37"/>
      <c r="D992" s="37" t="s">
        <v>2230</v>
      </c>
      <c r="E992" s="37" t="s">
        <v>2231</v>
      </c>
      <c r="F992" s="38" t="s">
        <v>5739</v>
      </c>
      <c r="G992" s="37" t="s">
        <v>614</v>
      </c>
      <c r="H992" s="37"/>
      <c r="I992" s="37" t="s">
        <v>615</v>
      </c>
      <c r="J992" s="37" t="s">
        <v>105</v>
      </c>
      <c r="K992" s="40" t="s">
        <v>184</v>
      </c>
      <c r="L992" s="37" t="s">
        <v>64</v>
      </c>
      <c r="M992" s="37" t="s">
        <v>1220</v>
      </c>
      <c r="N992" s="37"/>
      <c r="O992" s="37" t="s">
        <v>69</v>
      </c>
      <c r="P992" s="37" t="s">
        <v>69</v>
      </c>
      <c r="Q992" s="37" t="s">
        <v>71</v>
      </c>
      <c r="R992" s="37"/>
      <c r="S992" s="37" t="s">
        <v>2232</v>
      </c>
      <c r="T992" s="37" t="s">
        <v>69</v>
      </c>
      <c r="U992" s="37" t="s">
        <v>116</v>
      </c>
      <c r="V992" s="37" t="s">
        <v>77</v>
      </c>
      <c r="W992" s="37" t="s">
        <v>69</v>
      </c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</row>
    <row r="993" spans="1:37">
      <c r="A993" s="37"/>
      <c r="B993" s="37"/>
      <c r="C993" s="37"/>
      <c r="D993" s="37" t="s">
        <v>6356</v>
      </c>
      <c r="E993" s="37" t="s">
        <v>2300</v>
      </c>
      <c r="F993" s="37" t="s">
        <v>6357</v>
      </c>
      <c r="G993" s="37" t="s">
        <v>6358</v>
      </c>
      <c r="H993" s="37"/>
      <c r="I993" s="37" t="s">
        <v>6359</v>
      </c>
      <c r="J993" s="37" t="s">
        <v>153</v>
      </c>
      <c r="K993" s="40" t="s">
        <v>6360</v>
      </c>
      <c r="L993" s="37" t="s">
        <v>64</v>
      </c>
      <c r="M993" s="37" t="s">
        <v>6361</v>
      </c>
      <c r="N993" s="37"/>
      <c r="O993" s="37" t="s">
        <v>69</v>
      </c>
      <c r="P993" s="37" t="s">
        <v>69</v>
      </c>
      <c r="Q993" s="37" t="s">
        <v>16</v>
      </c>
      <c r="R993" s="37"/>
      <c r="S993" s="37"/>
      <c r="T993" s="37"/>
      <c r="U993" s="37"/>
      <c r="V993" s="37" t="s">
        <v>72</v>
      </c>
      <c r="W993" s="37" t="s">
        <v>69</v>
      </c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</row>
    <row r="994" spans="1:37">
      <c r="A994" s="37" t="s">
        <v>6362</v>
      </c>
      <c r="B994" s="37"/>
      <c r="C994" s="37"/>
      <c r="D994" s="37" t="s">
        <v>539</v>
      </c>
      <c r="E994" s="37" t="s">
        <v>231</v>
      </c>
      <c r="F994" s="37" t="s">
        <v>6363</v>
      </c>
      <c r="G994" s="37" t="s">
        <v>6364</v>
      </c>
      <c r="H994" s="37"/>
      <c r="I994" s="37" t="s">
        <v>104</v>
      </c>
      <c r="J994" s="37" t="s">
        <v>105</v>
      </c>
      <c r="K994" s="40" t="s">
        <v>106</v>
      </c>
      <c r="L994" s="37" t="s">
        <v>64</v>
      </c>
      <c r="M994" s="37" t="s">
        <v>6365</v>
      </c>
      <c r="N994" s="37" t="s">
        <v>6366</v>
      </c>
      <c r="O994" s="37" t="s">
        <v>69</v>
      </c>
      <c r="P994" s="37" t="s">
        <v>69</v>
      </c>
      <c r="Q994" s="37" t="s">
        <v>14</v>
      </c>
      <c r="R994" s="37" t="s">
        <v>6367</v>
      </c>
      <c r="S994" s="37" t="s">
        <v>1249</v>
      </c>
      <c r="T994" s="37" t="s">
        <v>66</v>
      </c>
      <c r="U994" s="37" t="s">
        <v>185</v>
      </c>
      <c r="V994" s="37" t="s">
        <v>67</v>
      </c>
      <c r="W994" s="37" t="s">
        <v>69</v>
      </c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</row>
    <row r="995" spans="1:37">
      <c r="A995" s="37"/>
      <c r="B995" s="37"/>
      <c r="C995" s="37"/>
      <c r="D995" s="37" t="s">
        <v>1284</v>
      </c>
      <c r="E995" s="37" t="s">
        <v>6368</v>
      </c>
      <c r="F995" s="37" t="s">
        <v>6369</v>
      </c>
      <c r="G995" s="37" t="s">
        <v>6370</v>
      </c>
      <c r="H995" s="37"/>
      <c r="I995" s="37" t="s">
        <v>6371</v>
      </c>
      <c r="J995" s="37" t="s">
        <v>121</v>
      </c>
      <c r="K995" s="40" t="s">
        <v>6372</v>
      </c>
      <c r="L995" s="37" t="s">
        <v>64</v>
      </c>
      <c r="M995" s="37" t="s">
        <v>6373</v>
      </c>
      <c r="N995" s="37"/>
      <c r="O995" s="37" t="s">
        <v>69</v>
      </c>
      <c r="P995" s="37" t="s">
        <v>69</v>
      </c>
      <c r="Q995" s="37" t="s">
        <v>14</v>
      </c>
      <c r="R995" s="37"/>
      <c r="S995" s="37" t="s">
        <v>6374</v>
      </c>
      <c r="T995" s="37"/>
      <c r="U995" s="37"/>
      <c r="V995" s="37" t="s">
        <v>72</v>
      </c>
      <c r="W995" s="37" t="s">
        <v>69</v>
      </c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</row>
    <row r="996" spans="1:37">
      <c r="A996" s="37"/>
      <c r="B996" s="37"/>
      <c r="C996" s="37"/>
      <c r="D996" s="37" t="s">
        <v>2402</v>
      </c>
      <c r="E996" s="37" t="s">
        <v>2403</v>
      </c>
      <c r="F996" s="37" t="s">
        <v>2410</v>
      </c>
      <c r="G996" s="37" t="s">
        <v>2404</v>
      </c>
      <c r="H996" s="37" t="s">
        <v>2360</v>
      </c>
      <c r="I996" s="37" t="s">
        <v>2405</v>
      </c>
      <c r="J996" s="37" t="s">
        <v>114</v>
      </c>
      <c r="K996" s="40" t="s">
        <v>2406</v>
      </c>
      <c r="L996" s="37" t="s">
        <v>64</v>
      </c>
      <c r="M996" s="37" t="s">
        <v>2407</v>
      </c>
      <c r="N996" s="37" t="s">
        <v>2408</v>
      </c>
      <c r="O996" s="37" t="s">
        <v>69</v>
      </c>
      <c r="P996" s="37" t="s">
        <v>69</v>
      </c>
      <c r="Q996" s="37" t="s">
        <v>16</v>
      </c>
      <c r="R996" s="37" t="s">
        <v>2409</v>
      </c>
      <c r="S996" s="37" t="s">
        <v>1015</v>
      </c>
      <c r="T996" s="37"/>
      <c r="U996" s="37" t="s">
        <v>69</v>
      </c>
      <c r="V996" s="37" t="s">
        <v>72</v>
      </c>
      <c r="W996" s="37" t="s">
        <v>69</v>
      </c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</row>
    <row r="997" spans="1:37">
      <c r="A997" s="37"/>
      <c r="B997" s="37"/>
      <c r="C997" s="37"/>
      <c r="D997" s="37" t="s">
        <v>2549</v>
      </c>
      <c r="E997" s="37" t="s">
        <v>2550</v>
      </c>
      <c r="F997" s="37" t="s">
        <v>2553</v>
      </c>
      <c r="G997" s="37" t="s">
        <v>2116</v>
      </c>
      <c r="H997" s="37" t="s">
        <v>1074</v>
      </c>
      <c r="I997" s="37" t="s">
        <v>82</v>
      </c>
      <c r="J997" s="37" t="s">
        <v>83</v>
      </c>
      <c r="K997" s="40" t="s">
        <v>910</v>
      </c>
      <c r="L997" s="37" t="s">
        <v>64</v>
      </c>
      <c r="M997" s="37" t="s">
        <v>2551</v>
      </c>
      <c r="N997" s="37" t="s">
        <v>2118</v>
      </c>
      <c r="O997" s="37" t="s">
        <v>69</v>
      </c>
      <c r="P997" s="37" t="s">
        <v>69</v>
      </c>
      <c r="Q997" s="37" t="s">
        <v>14</v>
      </c>
      <c r="R997" s="37" t="s">
        <v>2552</v>
      </c>
      <c r="S997" s="37" t="s">
        <v>5057</v>
      </c>
      <c r="T997" s="37"/>
      <c r="U997" s="37"/>
      <c r="V997" s="37" t="s">
        <v>88</v>
      </c>
      <c r="W997" s="37" t="s">
        <v>89</v>
      </c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</row>
    <row r="998" spans="1:37">
      <c r="A998" s="37"/>
      <c r="B998" s="37"/>
      <c r="C998" s="37"/>
      <c r="D998" s="37" t="s">
        <v>1703</v>
      </c>
      <c r="E998" s="37" t="s">
        <v>6375</v>
      </c>
      <c r="F998" s="38" t="s">
        <v>5739</v>
      </c>
      <c r="G998" s="37" t="s">
        <v>6376</v>
      </c>
      <c r="H998" s="37"/>
      <c r="I998" s="37" t="s">
        <v>6377</v>
      </c>
      <c r="J998" s="37" t="s">
        <v>230</v>
      </c>
      <c r="K998" s="40" t="s">
        <v>6378</v>
      </c>
      <c r="L998" s="37" t="s">
        <v>64</v>
      </c>
      <c r="M998" s="37" t="s">
        <v>6379</v>
      </c>
      <c r="N998" s="37"/>
      <c r="O998" s="37" t="s">
        <v>69</v>
      </c>
      <c r="P998" s="37" t="s">
        <v>69</v>
      </c>
      <c r="Q998" s="37" t="s">
        <v>10</v>
      </c>
      <c r="R998" s="37" t="s">
        <v>6380</v>
      </c>
      <c r="S998" s="37" t="s">
        <v>6380</v>
      </c>
      <c r="T998" s="37" t="s">
        <v>69</v>
      </c>
      <c r="U998" s="37"/>
      <c r="V998" s="37" t="s">
        <v>67</v>
      </c>
      <c r="W998" s="37" t="s">
        <v>69</v>
      </c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</row>
    <row r="999" spans="1:37">
      <c r="A999" s="37"/>
      <c r="B999" s="37"/>
      <c r="C999" s="37"/>
      <c r="D999" s="37" t="s">
        <v>2156</v>
      </c>
      <c r="E999" s="37" t="s">
        <v>2571</v>
      </c>
      <c r="F999" s="37" t="s">
        <v>2577</v>
      </c>
      <c r="G999" s="37" t="s">
        <v>2572</v>
      </c>
      <c r="H999" s="37" t="s">
        <v>2573</v>
      </c>
      <c r="I999" s="37" t="s">
        <v>191</v>
      </c>
      <c r="J999" s="37" t="s">
        <v>121</v>
      </c>
      <c r="K999" s="40" t="s">
        <v>1229</v>
      </c>
      <c r="L999" s="37" t="s">
        <v>64</v>
      </c>
      <c r="M999" s="37" t="s">
        <v>2574</v>
      </c>
      <c r="N999" s="37" t="s">
        <v>2575</v>
      </c>
      <c r="O999" s="37" t="s">
        <v>69</v>
      </c>
      <c r="P999" s="37" t="s">
        <v>69</v>
      </c>
      <c r="Q999" s="37" t="s">
        <v>14</v>
      </c>
      <c r="R999" s="37" t="s">
        <v>2576</v>
      </c>
      <c r="S999" s="37" t="s">
        <v>6381</v>
      </c>
      <c r="T999" s="37" t="s">
        <v>115</v>
      </c>
      <c r="U999" s="37" t="s">
        <v>116</v>
      </c>
      <c r="V999" s="37" t="s">
        <v>67</v>
      </c>
      <c r="W999" s="37" t="s">
        <v>69</v>
      </c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</row>
    <row r="1000" spans="1:37">
      <c r="A1000" s="37"/>
      <c r="B1000" s="37"/>
      <c r="C1000" s="37"/>
      <c r="D1000" s="37" t="s">
        <v>1887</v>
      </c>
      <c r="E1000" s="37" t="s">
        <v>82</v>
      </c>
      <c r="F1000" s="37" t="s">
        <v>3551</v>
      </c>
      <c r="G1000" s="37" t="s">
        <v>3548</v>
      </c>
      <c r="H1000" s="37" t="s">
        <v>3549</v>
      </c>
      <c r="I1000" s="37" t="s">
        <v>82</v>
      </c>
      <c r="J1000" s="37" t="s">
        <v>83</v>
      </c>
      <c r="K1000" s="40" t="s">
        <v>2125</v>
      </c>
      <c r="L1000" s="37" t="s">
        <v>64</v>
      </c>
      <c r="M1000" s="37" t="s">
        <v>3550</v>
      </c>
      <c r="N1000" s="37"/>
      <c r="O1000" s="37" t="s">
        <v>69</v>
      </c>
      <c r="P1000" s="37" t="s">
        <v>69</v>
      </c>
      <c r="Q1000" s="37" t="s">
        <v>14</v>
      </c>
      <c r="R1000" s="37" t="s">
        <v>2179</v>
      </c>
      <c r="S1000" s="37" t="s">
        <v>5613</v>
      </c>
      <c r="T1000" s="37"/>
      <c r="U1000" s="37" t="s">
        <v>87</v>
      </c>
      <c r="V1000" s="37" t="s">
        <v>88</v>
      </c>
      <c r="W1000" s="37" t="s">
        <v>89</v>
      </c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</row>
    <row r="1001" spans="1:37">
      <c r="A1001" s="37"/>
      <c r="B1001" s="37"/>
      <c r="C1001" s="37"/>
      <c r="D1001" s="37" t="s">
        <v>2718</v>
      </c>
      <c r="E1001" s="37" t="s">
        <v>2638</v>
      </c>
      <c r="F1001" s="37" t="s">
        <v>6382</v>
      </c>
      <c r="G1001" s="37" t="s">
        <v>6383</v>
      </c>
      <c r="H1001" s="37"/>
      <c r="I1001" s="37" t="s">
        <v>6384</v>
      </c>
      <c r="J1001" s="37" t="s">
        <v>6385</v>
      </c>
      <c r="K1001" s="40" t="s">
        <v>6386</v>
      </c>
      <c r="L1001" s="37" t="s">
        <v>64</v>
      </c>
      <c r="M1001" s="37" t="s">
        <v>6387</v>
      </c>
      <c r="N1001" s="37"/>
      <c r="O1001" s="37" t="s">
        <v>69</v>
      </c>
      <c r="P1001" s="37" t="s">
        <v>69</v>
      </c>
      <c r="Q1001" s="37" t="s">
        <v>4</v>
      </c>
      <c r="R1001" s="37" t="s">
        <v>1015</v>
      </c>
      <c r="S1001" s="37" t="s">
        <v>6388</v>
      </c>
      <c r="T1001" s="37"/>
      <c r="U1001" s="37"/>
      <c r="V1001" s="37" t="s">
        <v>72</v>
      </c>
      <c r="W1001" s="37" t="s">
        <v>69</v>
      </c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</row>
    <row r="1002" spans="1:37">
      <c r="A1002" s="37"/>
      <c r="B1002" s="37"/>
      <c r="C1002" s="37"/>
      <c r="D1002" s="37" t="s">
        <v>211</v>
      </c>
      <c r="E1002" s="37" t="s">
        <v>6389</v>
      </c>
      <c r="F1002" s="37" t="s">
        <v>6390</v>
      </c>
      <c r="G1002" s="37" t="s">
        <v>6391</v>
      </c>
      <c r="H1002" s="37" t="s">
        <v>6392</v>
      </c>
      <c r="I1002" s="37" t="s">
        <v>6393</v>
      </c>
      <c r="J1002" s="37" t="s">
        <v>83</v>
      </c>
      <c r="K1002" s="40" t="s">
        <v>6394</v>
      </c>
      <c r="L1002" s="37" t="s">
        <v>64</v>
      </c>
      <c r="M1002" s="37" t="s">
        <v>6395</v>
      </c>
      <c r="N1002" s="37"/>
      <c r="O1002" s="37" t="s">
        <v>69</v>
      </c>
      <c r="P1002" s="37" t="s">
        <v>69</v>
      </c>
      <c r="Q1002" s="37" t="s">
        <v>14</v>
      </c>
      <c r="R1002" s="37" t="s">
        <v>6396</v>
      </c>
      <c r="S1002" s="37" t="s">
        <v>6397</v>
      </c>
      <c r="T1002" s="37"/>
      <c r="U1002" s="37"/>
      <c r="V1002" s="37" t="s">
        <v>72</v>
      </c>
      <c r="W1002" s="37" t="s">
        <v>135</v>
      </c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</row>
    <row r="1003" spans="1:37">
      <c r="A1003" s="37"/>
      <c r="B1003" s="37"/>
      <c r="C1003" s="37"/>
      <c r="D1003" s="37" t="s">
        <v>2757</v>
      </c>
      <c r="E1003" s="37" t="s">
        <v>6398</v>
      </c>
      <c r="F1003" s="37" t="s">
        <v>6399</v>
      </c>
      <c r="G1003" s="37" t="s">
        <v>6400</v>
      </c>
      <c r="H1003" s="37" t="s">
        <v>6401</v>
      </c>
      <c r="I1003" s="37" t="s">
        <v>82</v>
      </c>
      <c r="J1003" s="37" t="s">
        <v>83</v>
      </c>
      <c r="K1003" s="40" t="s">
        <v>910</v>
      </c>
      <c r="L1003" s="37" t="s">
        <v>64</v>
      </c>
      <c r="M1003" s="37" t="s">
        <v>6402</v>
      </c>
      <c r="N1003" s="37"/>
      <c r="O1003" s="37" t="s">
        <v>69</v>
      </c>
      <c r="P1003" s="37" t="s">
        <v>69</v>
      </c>
      <c r="Q1003" s="37" t="s">
        <v>14</v>
      </c>
      <c r="R1003" s="37" t="s">
        <v>6403</v>
      </c>
      <c r="S1003" s="37" t="s">
        <v>6404</v>
      </c>
      <c r="T1003" s="37"/>
      <c r="U1003" s="37"/>
      <c r="V1003" s="37" t="s">
        <v>72</v>
      </c>
      <c r="W1003" s="37" t="s">
        <v>576</v>
      </c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</row>
    <row r="1004" spans="1:37">
      <c r="A1004" s="37" t="s">
        <v>112</v>
      </c>
      <c r="B1004" s="37"/>
      <c r="C1004" s="37"/>
      <c r="D1004" s="37" t="s">
        <v>370</v>
      </c>
      <c r="E1004" s="37" t="s">
        <v>371</v>
      </c>
      <c r="F1004" s="37" t="s">
        <v>375</v>
      </c>
      <c r="G1004" s="37" t="s">
        <v>372</v>
      </c>
      <c r="H1004" s="37"/>
      <c r="I1004" s="37" t="s">
        <v>191</v>
      </c>
      <c r="J1004" s="37" t="s">
        <v>121</v>
      </c>
      <c r="K1004" s="40" t="s">
        <v>192</v>
      </c>
      <c r="L1004" s="37" t="s">
        <v>64</v>
      </c>
      <c r="M1004" s="37" t="s">
        <v>373</v>
      </c>
      <c r="N1004" s="37"/>
      <c r="O1004" s="37" t="s">
        <v>69</v>
      </c>
      <c r="P1004" s="37" t="s">
        <v>69</v>
      </c>
      <c r="Q1004" s="37" t="s">
        <v>14</v>
      </c>
      <c r="R1004" s="37"/>
      <c r="S1004" s="37" t="s">
        <v>374</v>
      </c>
      <c r="T1004" s="37" t="s">
        <v>69</v>
      </c>
      <c r="U1004" s="37" t="s">
        <v>145</v>
      </c>
      <c r="V1004" s="37" t="s">
        <v>72</v>
      </c>
      <c r="W1004" s="37" t="s">
        <v>69</v>
      </c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</row>
    <row r="1005" spans="1:37">
      <c r="A1005" s="37"/>
      <c r="B1005" s="37"/>
      <c r="C1005" s="37"/>
      <c r="D1005" s="37" t="s">
        <v>515</v>
      </c>
      <c r="E1005" s="37" t="s">
        <v>516</v>
      </c>
      <c r="F1005" s="37" t="s">
        <v>522</v>
      </c>
      <c r="G1005" s="37" t="s">
        <v>517</v>
      </c>
      <c r="H1005" s="37"/>
      <c r="I1005" s="37" t="s">
        <v>518</v>
      </c>
      <c r="J1005" s="37" t="s">
        <v>114</v>
      </c>
      <c r="K1005" s="40" t="s">
        <v>519</v>
      </c>
      <c r="L1005" s="37" t="s">
        <v>64</v>
      </c>
      <c r="M1005" s="37" t="s">
        <v>520</v>
      </c>
      <c r="N1005" s="37"/>
      <c r="O1005" s="37" t="s">
        <v>69</v>
      </c>
      <c r="P1005" s="37" t="s">
        <v>69</v>
      </c>
      <c r="Q1005" s="37" t="s">
        <v>16</v>
      </c>
      <c r="R1005" s="37" t="s">
        <v>521</v>
      </c>
      <c r="S1005" s="37" t="s">
        <v>1015</v>
      </c>
      <c r="T1005" s="37" t="s">
        <v>69</v>
      </c>
      <c r="U1005" s="37"/>
      <c r="V1005" s="37" t="s">
        <v>72</v>
      </c>
      <c r="W1005" s="37" t="s">
        <v>69</v>
      </c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</row>
    <row r="1006" spans="1:37">
      <c r="A1006" s="37"/>
      <c r="B1006" s="37"/>
      <c r="C1006" s="37"/>
      <c r="D1006" s="37" t="s">
        <v>2603</v>
      </c>
      <c r="E1006" s="37" t="s">
        <v>559</v>
      </c>
      <c r="F1006" s="37" t="s">
        <v>6405</v>
      </c>
      <c r="G1006" s="37" t="s">
        <v>6406</v>
      </c>
      <c r="H1006" s="37" t="s">
        <v>6407</v>
      </c>
      <c r="I1006" s="37" t="s">
        <v>6408</v>
      </c>
      <c r="J1006" s="37" t="s">
        <v>105</v>
      </c>
      <c r="K1006" s="40" t="s">
        <v>6409</v>
      </c>
      <c r="L1006" s="37" t="s">
        <v>64</v>
      </c>
      <c r="M1006" s="37" t="s">
        <v>6410</v>
      </c>
      <c r="N1006" s="37"/>
      <c r="O1006" s="37" t="s">
        <v>69</v>
      </c>
      <c r="P1006" s="37" t="s">
        <v>69</v>
      </c>
      <c r="Q1006" s="37" t="s">
        <v>14</v>
      </c>
      <c r="R1006" s="37"/>
      <c r="S1006" s="37" t="s">
        <v>6411</v>
      </c>
      <c r="T1006" s="37" t="s">
        <v>69</v>
      </c>
      <c r="U1006" s="37"/>
      <c r="V1006" s="37" t="s">
        <v>72</v>
      </c>
      <c r="W1006" s="37" t="s">
        <v>69</v>
      </c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</row>
    <row r="1007" spans="1:37">
      <c r="A1007" s="37"/>
      <c r="B1007" s="37"/>
      <c r="C1007" s="37"/>
      <c r="D1007" s="37" t="s">
        <v>4481</v>
      </c>
      <c r="E1007" s="37" t="s">
        <v>4482</v>
      </c>
      <c r="F1007" s="37" t="s">
        <v>4486</v>
      </c>
      <c r="G1007" s="37" t="s">
        <v>4483</v>
      </c>
      <c r="H1007" s="37" t="s">
        <v>2576</v>
      </c>
      <c r="I1007" s="37" t="s">
        <v>191</v>
      </c>
      <c r="J1007" s="37" t="s">
        <v>121</v>
      </c>
      <c r="K1007" s="40" t="s">
        <v>1229</v>
      </c>
      <c r="L1007" s="37" t="s">
        <v>64</v>
      </c>
      <c r="M1007" s="37" t="s">
        <v>4484</v>
      </c>
      <c r="N1007" s="37"/>
      <c r="O1007" s="37" t="s">
        <v>69</v>
      </c>
      <c r="P1007" s="37" t="s">
        <v>69</v>
      </c>
      <c r="Q1007" s="37" t="s">
        <v>14</v>
      </c>
      <c r="R1007" s="37"/>
      <c r="S1007" s="37" t="s">
        <v>4485</v>
      </c>
      <c r="T1007" s="37" t="s">
        <v>69</v>
      </c>
      <c r="U1007" s="37" t="s">
        <v>203</v>
      </c>
      <c r="V1007" s="37" t="s">
        <v>67</v>
      </c>
      <c r="W1007" s="37" t="s">
        <v>73</v>
      </c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</row>
    <row r="1008" spans="1:37">
      <c r="A1008" s="37" t="s">
        <v>413</v>
      </c>
      <c r="B1008" s="37"/>
      <c r="C1008" s="37"/>
      <c r="D1008" s="37" t="s">
        <v>539</v>
      </c>
      <c r="E1008" s="37" t="s">
        <v>1056</v>
      </c>
      <c r="F1008" s="37" t="s">
        <v>1060</v>
      </c>
      <c r="G1008" s="37" t="s">
        <v>5678</v>
      </c>
      <c r="H1008" s="37"/>
      <c r="I1008" s="37" t="s">
        <v>82</v>
      </c>
      <c r="J1008" s="37" t="s">
        <v>83</v>
      </c>
      <c r="K1008" s="40" t="s">
        <v>908</v>
      </c>
      <c r="L1008" s="37" t="s">
        <v>64</v>
      </c>
      <c r="M1008" s="37" t="s">
        <v>1058</v>
      </c>
      <c r="N1008" s="37" t="s">
        <v>1059</v>
      </c>
      <c r="O1008" s="37" t="s">
        <v>69</v>
      </c>
      <c r="P1008" s="37" t="s">
        <v>69</v>
      </c>
      <c r="Q1008" s="37" t="s">
        <v>14</v>
      </c>
      <c r="R1008" s="37" t="s">
        <v>443</v>
      </c>
      <c r="S1008" s="37" t="s">
        <v>5679</v>
      </c>
      <c r="T1008" s="37" t="s">
        <v>69</v>
      </c>
      <c r="U1008" s="37" t="s">
        <v>145</v>
      </c>
      <c r="V1008" s="37" t="s">
        <v>77</v>
      </c>
      <c r="W1008" s="37" t="s">
        <v>73</v>
      </c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</row>
    <row r="1009" spans="1:37">
      <c r="A1009" s="37" t="s">
        <v>250</v>
      </c>
      <c r="B1009" s="37"/>
      <c r="C1009" s="37"/>
      <c r="D1009" s="37" t="s">
        <v>1472</v>
      </c>
      <c r="E1009" s="37" t="s">
        <v>6412</v>
      </c>
      <c r="F1009" s="37" t="s">
        <v>6413</v>
      </c>
      <c r="G1009" s="37" t="s">
        <v>6414</v>
      </c>
      <c r="H1009" s="37" t="s">
        <v>6415</v>
      </c>
      <c r="I1009" s="37" t="s">
        <v>416</v>
      </c>
      <c r="J1009" s="37" t="s">
        <v>75</v>
      </c>
      <c r="K1009" s="40" t="s">
        <v>6416</v>
      </c>
      <c r="L1009" s="37" t="s">
        <v>64</v>
      </c>
      <c r="M1009" s="37" t="s">
        <v>6417</v>
      </c>
      <c r="N1009" s="37" t="s">
        <v>6418</v>
      </c>
      <c r="O1009" s="37" t="s">
        <v>69</v>
      </c>
      <c r="P1009" s="37" t="s">
        <v>69</v>
      </c>
      <c r="Q1009" s="37" t="s">
        <v>10</v>
      </c>
      <c r="R1009" s="37"/>
      <c r="S1009" s="37"/>
      <c r="T1009" s="37"/>
      <c r="U1009" s="37"/>
      <c r="V1009" s="37" t="s">
        <v>67</v>
      </c>
      <c r="W1009" s="37" t="s">
        <v>135</v>
      </c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</row>
    <row r="1010" spans="1:37">
      <c r="A1010" s="37" t="s">
        <v>6175</v>
      </c>
      <c r="B1010" s="37"/>
      <c r="C1010" s="37"/>
      <c r="D1010" s="37" t="s">
        <v>6419</v>
      </c>
      <c r="E1010" s="37" t="s">
        <v>6420</v>
      </c>
      <c r="F1010" s="37" t="s">
        <v>6421</v>
      </c>
      <c r="G1010" s="37" t="s">
        <v>6422</v>
      </c>
      <c r="H1010" s="37"/>
      <c r="I1010" s="37" t="s">
        <v>655</v>
      </c>
      <c r="J1010" s="37" t="s">
        <v>93</v>
      </c>
      <c r="K1010" s="40" t="s">
        <v>6423</v>
      </c>
      <c r="L1010" s="37" t="s">
        <v>64</v>
      </c>
      <c r="M1010" s="37" t="s">
        <v>6424</v>
      </c>
      <c r="N1010" s="37"/>
      <c r="O1010" s="37" t="s">
        <v>69</v>
      </c>
      <c r="P1010" s="37" t="s">
        <v>69</v>
      </c>
      <c r="Q1010" s="37" t="s">
        <v>98</v>
      </c>
      <c r="R1010" s="37" t="s">
        <v>6425</v>
      </c>
      <c r="S1010" s="37" t="s">
        <v>6425</v>
      </c>
      <c r="T1010" s="37"/>
      <c r="U1010" s="37"/>
      <c r="V1010" s="37" t="s">
        <v>88</v>
      </c>
      <c r="W1010" s="37" t="s">
        <v>178</v>
      </c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</row>
    <row r="1011" spans="1:37">
      <c r="A1011" s="37"/>
      <c r="B1011" s="37"/>
      <c r="C1011" s="37"/>
      <c r="D1011" s="37" t="s">
        <v>1183</v>
      </c>
      <c r="E1011" s="37" t="s">
        <v>1184</v>
      </c>
      <c r="F1011" s="37" t="s">
        <v>1188</v>
      </c>
      <c r="G1011" s="37" t="s">
        <v>1057</v>
      </c>
      <c r="H1011" s="37"/>
      <c r="I1011" s="37" t="s">
        <v>82</v>
      </c>
      <c r="J1011" s="37" t="s">
        <v>83</v>
      </c>
      <c r="K1011" s="40" t="s">
        <v>908</v>
      </c>
      <c r="L1011" s="37" t="s">
        <v>64</v>
      </c>
      <c r="M1011" s="37" t="s">
        <v>1185</v>
      </c>
      <c r="N1011" s="37" t="s">
        <v>1186</v>
      </c>
      <c r="O1011" s="37" t="s">
        <v>69</v>
      </c>
      <c r="P1011" s="37" t="s">
        <v>69</v>
      </c>
      <c r="Q1011" s="37" t="s">
        <v>14</v>
      </c>
      <c r="R1011" s="37"/>
      <c r="S1011" s="37" t="s">
        <v>1187</v>
      </c>
      <c r="T1011" s="37" t="s">
        <v>69</v>
      </c>
      <c r="U1011" s="37"/>
      <c r="V1011" s="37" t="s">
        <v>72</v>
      </c>
      <c r="W1011" s="37" t="s">
        <v>69</v>
      </c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</row>
    <row r="1012" spans="1:37">
      <c r="A1012" s="37" t="s">
        <v>164</v>
      </c>
      <c r="B1012" s="37"/>
      <c r="C1012" s="37"/>
      <c r="D1012" s="37" t="s">
        <v>929</v>
      </c>
      <c r="E1012" s="37" t="s">
        <v>1277</v>
      </c>
      <c r="F1012" s="37" t="s">
        <v>1281</v>
      </c>
      <c r="G1012" s="37" t="s">
        <v>1278</v>
      </c>
      <c r="H1012" s="37"/>
      <c r="I1012" s="37" t="s">
        <v>518</v>
      </c>
      <c r="J1012" s="37" t="s">
        <v>114</v>
      </c>
      <c r="K1012" s="40" t="s">
        <v>519</v>
      </c>
      <c r="L1012" s="37" t="s">
        <v>64</v>
      </c>
      <c r="M1012" s="37" t="s">
        <v>1279</v>
      </c>
      <c r="N1012" s="37"/>
      <c r="O1012" s="37" t="s">
        <v>69</v>
      </c>
      <c r="P1012" s="37" t="s">
        <v>69</v>
      </c>
      <c r="Q1012" s="37" t="s">
        <v>16</v>
      </c>
      <c r="R1012" s="37" t="s">
        <v>1280</v>
      </c>
      <c r="S1012" s="37" t="s">
        <v>1015</v>
      </c>
      <c r="T1012" s="37" t="s">
        <v>158</v>
      </c>
      <c r="U1012" s="37"/>
      <c r="V1012" s="37" t="s">
        <v>72</v>
      </c>
      <c r="W1012" s="37" t="s">
        <v>69</v>
      </c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</row>
    <row r="1013" spans="1:37">
      <c r="A1013" s="37"/>
      <c r="B1013" s="37"/>
      <c r="C1013" s="37"/>
      <c r="D1013" s="37" t="s">
        <v>1757</v>
      </c>
      <c r="E1013" s="37" t="s">
        <v>6426</v>
      </c>
      <c r="F1013" s="37" t="s">
        <v>6427</v>
      </c>
      <c r="G1013" s="37" t="s">
        <v>6428</v>
      </c>
      <c r="H1013" s="37"/>
      <c r="I1013" s="37" t="s">
        <v>4087</v>
      </c>
      <c r="J1013" s="37" t="s">
        <v>75</v>
      </c>
      <c r="K1013" s="40" t="s">
        <v>6429</v>
      </c>
      <c r="L1013" s="37" t="s">
        <v>64</v>
      </c>
      <c r="M1013" s="37" t="s">
        <v>6430</v>
      </c>
      <c r="N1013" s="37" t="s">
        <v>6431</v>
      </c>
      <c r="O1013" s="37" t="s">
        <v>69</v>
      </c>
      <c r="P1013" s="37" t="s">
        <v>69</v>
      </c>
      <c r="Q1013" s="37" t="s">
        <v>10</v>
      </c>
      <c r="R1013" s="37"/>
      <c r="S1013" s="37" t="s">
        <v>6432</v>
      </c>
      <c r="T1013" s="37" t="s">
        <v>158</v>
      </c>
      <c r="U1013" s="37" t="s">
        <v>69</v>
      </c>
      <c r="V1013" s="37" t="s">
        <v>72</v>
      </c>
      <c r="W1013" s="37" t="s">
        <v>69</v>
      </c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</row>
    <row r="1014" spans="1:37">
      <c r="A1014" s="37"/>
      <c r="B1014" s="37"/>
      <c r="C1014" s="37"/>
      <c r="D1014" s="37" t="s">
        <v>1517</v>
      </c>
      <c r="E1014" s="37" t="s">
        <v>1518</v>
      </c>
      <c r="F1014" s="37" t="s">
        <v>1520</v>
      </c>
      <c r="G1014" s="37" t="s">
        <v>1209</v>
      </c>
      <c r="H1014" s="37" t="s">
        <v>1074</v>
      </c>
      <c r="I1014" s="37" t="s">
        <v>1210</v>
      </c>
      <c r="J1014" s="37" t="s">
        <v>114</v>
      </c>
      <c r="K1014" s="40" t="s">
        <v>1211</v>
      </c>
      <c r="L1014" s="37" t="s">
        <v>64</v>
      </c>
      <c r="M1014" s="37" t="s">
        <v>1519</v>
      </c>
      <c r="N1014" s="37"/>
      <c r="O1014" s="37" t="s">
        <v>69</v>
      </c>
      <c r="P1014" s="37" t="s">
        <v>69</v>
      </c>
      <c r="Q1014" s="37" t="s">
        <v>16</v>
      </c>
      <c r="R1014" s="37" t="s">
        <v>521</v>
      </c>
      <c r="S1014" s="37" t="s">
        <v>1015</v>
      </c>
      <c r="T1014" s="37" t="s">
        <v>158</v>
      </c>
      <c r="U1014" s="37"/>
      <c r="V1014" s="37" t="s">
        <v>72</v>
      </c>
      <c r="W1014" s="37" t="s">
        <v>89</v>
      </c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</row>
    <row r="1015" spans="1:37">
      <c r="A1015" s="37" t="s">
        <v>6433</v>
      </c>
      <c r="B1015" s="37"/>
      <c r="C1015" s="37"/>
      <c r="D1015" s="37" t="s">
        <v>4641</v>
      </c>
      <c r="E1015" s="37" t="s">
        <v>1635</v>
      </c>
      <c r="F1015" s="38" t="s">
        <v>5739</v>
      </c>
      <c r="G1015" s="37" t="s">
        <v>6434</v>
      </c>
      <c r="H1015" s="37"/>
      <c r="I1015" s="37" t="s">
        <v>6435</v>
      </c>
      <c r="J1015" s="37" t="s">
        <v>75</v>
      </c>
      <c r="K1015" s="40" t="s">
        <v>6436</v>
      </c>
      <c r="L1015" s="37" t="s">
        <v>64</v>
      </c>
      <c r="M1015" s="37" t="s">
        <v>6437</v>
      </c>
      <c r="N1015" s="37"/>
      <c r="O1015" s="37" t="s">
        <v>69</v>
      </c>
      <c r="P1015" s="37" t="s">
        <v>69</v>
      </c>
      <c r="Q1015" s="37" t="s">
        <v>10</v>
      </c>
      <c r="R1015" s="37" t="s">
        <v>6438</v>
      </c>
      <c r="S1015" s="37" t="s">
        <v>6439</v>
      </c>
      <c r="T1015" s="37" t="s">
        <v>69</v>
      </c>
      <c r="U1015" s="37"/>
      <c r="V1015" s="37" t="s">
        <v>72</v>
      </c>
      <c r="W1015" s="37" t="s">
        <v>110</v>
      </c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</row>
    <row r="1016" spans="1:37">
      <c r="A1016" s="37"/>
      <c r="B1016" s="37"/>
      <c r="C1016" s="37"/>
      <c r="D1016" s="37" t="s">
        <v>1638</v>
      </c>
      <c r="E1016" s="37" t="s">
        <v>1639</v>
      </c>
      <c r="F1016" s="37" t="s">
        <v>1645</v>
      </c>
      <c r="G1016" s="37" t="s">
        <v>1640</v>
      </c>
      <c r="H1016" s="37" t="s">
        <v>1128</v>
      </c>
      <c r="I1016" s="37" t="s">
        <v>1641</v>
      </c>
      <c r="J1016" s="37" t="s">
        <v>574</v>
      </c>
      <c r="K1016" s="40" t="s">
        <v>1642</v>
      </c>
      <c r="L1016" s="37" t="s">
        <v>64</v>
      </c>
      <c r="M1016" s="37" t="s">
        <v>1643</v>
      </c>
      <c r="N1016" s="37"/>
      <c r="O1016" s="37" t="s">
        <v>69</v>
      </c>
      <c r="P1016" s="37" t="s">
        <v>69</v>
      </c>
      <c r="Q1016" s="37" t="s">
        <v>126</v>
      </c>
      <c r="R1016" s="37" t="s">
        <v>1644</v>
      </c>
      <c r="S1016" s="37" t="s">
        <v>1644</v>
      </c>
      <c r="T1016" s="37"/>
      <c r="U1016" s="37"/>
      <c r="V1016" s="37" t="s">
        <v>77</v>
      </c>
      <c r="W1016" s="37" t="s">
        <v>73</v>
      </c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</row>
    <row r="1017" spans="1:37">
      <c r="A1017" s="37" t="s">
        <v>6440</v>
      </c>
      <c r="B1017" s="37"/>
      <c r="C1017" s="37"/>
      <c r="D1017" s="37" t="s">
        <v>6441</v>
      </c>
      <c r="E1017" s="37" t="s">
        <v>6442</v>
      </c>
      <c r="F1017" s="37" t="s">
        <v>6443</v>
      </c>
      <c r="G1017" s="37" t="s">
        <v>6444</v>
      </c>
      <c r="H1017" s="37"/>
      <c r="I1017" s="37" t="s">
        <v>6445</v>
      </c>
      <c r="J1017" s="37" t="s">
        <v>75</v>
      </c>
      <c r="K1017" s="40" t="s">
        <v>6446</v>
      </c>
      <c r="L1017" s="37" t="s">
        <v>6447</v>
      </c>
      <c r="M1017" s="37" t="s">
        <v>6448</v>
      </c>
      <c r="N1017" s="37"/>
      <c r="O1017" s="37" t="s">
        <v>69</v>
      </c>
      <c r="P1017" s="37" t="s">
        <v>69</v>
      </c>
      <c r="Q1017" s="37" t="s">
        <v>18</v>
      </c>
      <c r="R1017" s="37" t="s">
        <v>6449</v>
      </c>
      <c r="S1017" s="37"/>
      <c r="T1017" s="37" t="s">
        <v>66</v>
      </c>
      <c r="U1017" s="37"/>
      <c r="V1017" s="37" t="s">
        <v>88</v>
      </c>
      <c r="W1017" s="37" t="s">
        <v>89</v>
      </c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</row>
    <row r="1018" spans="1:37">
      <c r="A1018" s="37"/>
      <c r="B1018" s="37"/>
      <c r="C1018" s="37"/>
      <c r="D1018" s="37" t="s">
        <v>1261</v>
      </c>
      <c r="E1018" s="37" t="s">
        <v>6450</v>
      </c>
      <c r="F1018" s="38" t="s">
        <v>5739</v>
      </c>
      <c r="G1018" s="37" t="s">
        <v>6451</v>
      </c>
      <c r="H1018" s="37"/>
      <c r="I1018" s="37" t="s">
        <v>6452</v>
      </c>
      <c r="J1018" s="37" t="s">
        <v>425</v>
      </c>
      <c r="K1018" s="40" t="s">
        <v>761</v>
      </c>
      <c r="L1018" s="37" t="s">
        <v>64</v>
      </c>
      <c r="M1018" s="37" t="s">
        <v>6453</v>
      </c>
      <c r="N1018" s="37"/>
      <c r="O1018" s="37" t="s">
        <v>69</v>
      </c>
      <c r="P1018" s="37" t="s">
        <v>69</v>
      </c>
      <c r="Q1018" s="37" t="s">
        <v>98</v>
      </c>
      <c r="R1018" s="37"/>
      <c r="S1018" s="37" t="s">
        <v>6454</v>
      </c>
      <c r="T1018" s="37"/>
      <c r="U1018" s="37"/>
      <c r="V1018" s="37" t="s">
        <v>77</v>
      </c>
      <c r="W1018" s="37" t="s">
        <v>69</v>
      </c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</row>
    <row r="1019" spans="1:37">
      <c r="A1019" s="37"/>
      <c r="B1019" s="37"/>
      <c r="C1019" s="37"/>
      <c r="D1019" s="37" t="s">
        <v>1699</v>
      </c>
      <c r="E1019" s="37" t="s">
        <v>1880</v>
      </c>
      <c r="F1019" s="37" t="s">
        <v>1886</v>
      </c>
      <c r="G1019" s="37" t="s">
        <v>1881</v>
      </c>
      <c r="H1019" s="37"/>
      <c r="I1019" s="37" t="s">
        <v>1882</v>
      </c>
      <c r="J1019" s="37" t="s">
        <v>200</v>
      </c>
      <c r="K1019" s="40" t="s">
        <v>1883</v>
      </c>
      <c r="L1019" s="37" t="s">
        <v>64</v>
      </c>
      <c r="M1019" s="37" t="s">
        <v>1884</v>
      </c>
      <c r="N1019" s="37"/>
      <c r="O1019" s="37" t="s">
        <v>69</v>
      </c>
      <c r="P1019" s="37" t="s">
        <v>69</v>
      </c>
      <c r="Q1019" s="37" t="s">
        <v>18</v>
      </c>
      <c r="R1019" s="37" t="s">
        <v>1885</v>
      </c>
      <c r="S1019" s="37" t="s">
        <v>5271</v>
      </c>
      <c r="T1019" s="37" t="s">
        <v>66</v>
      </c>
      <c r="U1019" s="37"/>
      <c r="V1019" s="37" t="s">
        <v>67</v>
      </c>
      <c r="W1019" s="37" t="s">
        <v>69</v>
      </c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</row>
    <row r="1020" spans="1:37">
      <c r="A1020" s="37"/>
      <c r="B1020" s="37"/>
      <c r="C1020" s="37"/>
      <c r="D1020" s="37" t="s">
        <v>464</v>
      </c>
      <c r="E1020" s="37" t="s">
        <v>1897</v>
      </c>
      <c r="F1020" s="37" t="s">
        <v>4875</v>
      </c>
      <c r="G1020" s="37" t="s">
        <v>4870</v>
      </c>
      <c r="H1020" s="37"/>
      <c r="I1020" s="37" t="s">
        <v>191</v>
      </c>
      <c r="J1020" s="37" t="s">
        <v>75</v>
      </c>
      <c r="K1020" s="40" t="s">
        <v>4871</v>
      </c>
      <c r="L1020" s="37" t="s">
        <v>64</v>
      </c>
      <c r="M1020" s="37" t="s">
        <v>4872</v>
      </c>
      <c r="N1020" s="37" t="s">
        <v>4873</v>
      </c>
      <c r="O1020" s="37" t="s">
        <v>69</v>
      </c>
      <c r="P1020" s="37" t="s">
        <v>69</v>
      </c>
      <c r="Q1020" s="37" t="s">
        <v>10</v>
      </c>
      <c r="R1020" s="37" t="s">
        <v>4874</v>
      </c>
      <c r="S1020" s="37" t="s">
        <v>4278</v>
      </c>
      <c r="T1020" s="37" t="s">
        <v>69</v>
      </c>
      <c r="U1020" s="37" t="s">
        <v>130</v>
      </c>
      <c r="V1020" s="37" t="s">
        <v>77</v>
      </c>
      <c r="W1020" s="37" t="s">
        <v>89</v>
      </c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</row>
    <row r="1021" spans="1:37">
      <c r="A1021" s="37"/>
      <c r="B1021" s="37"/>
      <c r="C1021" s="37"/>
      <c r="D1021" s="37" t="s">
        <v>1078</v>
      </c>
      <c r="E1021" s="37" t="s">
        <v>3917</v>
      </c>
      <c r="F1021" s="37" t="s">
        <v>6455</v>
      </c>
      <c r="G1021" s="37" t="s">
        <v>6456</v>
      </c>
      <c r="H1021" s="37"/>
      <c r="I1021" s="37" t="s">
        <v>6457</v>
      </c>
      <c r="J1021" s="37" t="s">
        <v>75</v>
      </c>
      <c r="K1021" s="40" t="s">
        <v>6458</v>
      </c>
      <c r="L1021" s="37" t="s">
        <v>64</v>
      </c>
      <c r="M1021" s="37" t="s">
        <v>6459</v>
      </c>
      <c r="N1021" s="37"/>
      <c r="O1021" s="37" t="s">
        <v>69</v>
      </c>
      <c r="P1021" s="37" t="s">
        <v>69</v>
      </c>
      <c r="Q1021" s="37" t="s">
        <v>10</v>
      </c>
      <c r="R1021" s="37" t="s">
        <v>580</v>
      </c>
      <c r="S1021" s="37" t="s">
        <v>6460</v>
      </c>
      <c r="T1021" s="37"/>
      <c r="U1021" s="37"/>
      <c r="V1021" s="37" t="s">
        <v>67</v>
      </c>
      <c r="W1021" s="37" t="s">
        <v>69</v>
      </c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</row>
    <row r="1022" spans="1:37">
      <c r="A1022" s="37"/>
      <c r="B1022" s="37"/>
      <c r="C1022" s="37"/>
      <c r="D1022" s="37" t="s">
        <v>211</v>
      </c>
      <c r="E1022" s="37" t="s">
        <v>6461</v>
      </c>
      <c r="F1022" s="37" t="s">
        <v>6462</v>
      </c>
      <c r="G1022" s="37" t="s">
        <v>6463</v>
      </c>
      <c r="H1022" s="37" t="s">
        <v>2243</v>
      </c>
      <c r="I1022" s="37" t="s">
        <v>82</v>
      </c>
      <c r="J1022" s="37" t="s">
        <v>83</v>
      </c>
      <c r="K1022" s="40" t="s">
        <v>910</v>
      </c>
      <c r="L1022" s="37" t="s">
        <v>64</v>
      </c>
      <c r="M1022" s="37" t="s">
        <v>6464</v>
      </c>
      <c r="N1022" s="37"/>
      <c r="O1022" s="37" t="s">
        <v>69</v>
      </c>
      <c r="P1022" s="37" t="s">
        <v>69</v>
      </c>
      <c r="Q1022" s="37" t="s">
        <v>14</v>
      </c>
      <c r="R1022" s="37"/>
      <c r="S1022" s="37"/>
      <c r="T1022" s="37" t="s">
        <v>69</v>
      </c>
      <c r="U1022" s="37" t="s">
        <v>69</v>
      </c>
      <c r="V1022" s="37" t="s">
        <v>72</v>
      </c>
      <c r="W1022" s="37" t="s">
        <v>69</v>
      </c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</row>
    <row r="1023" spans="1:37">
      <c r="A1023" s="37"/>
      <c r="B1023" s="37"/>
      <c r="C1023" s="37"/>
      <c r="D1023" s="37" t="s">
        <v>1276</v>
      </c>
      <c r="E1023" s="37" t="s">
        <v>3305</v>
      </c>
      <c r="F1023" s="37" t="s">
        <v>3311</v>
      </c>
      <c r="G1023" s="37" t="s">
        <v>3306</v>
      </c>
      <c r="H1023" s="37" t="s">
        <v>3307</v>
      </c>
      <c r="I1023" s="37" t="s">
        <v>3308</v>
      </c>
      <c r="J1023" s="37" t="s">
        <v>105</v>
      </c>
      <c r="K1023" s="40" t="s">
        <v>640</v>
      </c>
      <c r="L1023" s="37" t="s">
        <v>64</v>
      </c>
      <c r="M1023" s="37" t="s">
        <v>3309</v>
      </c>
      <c r="N1023" s="37"/>
      <c r="O1023" s="37" t="s">
        <v>69</v>
      </c>
      <c r="P1023" s="37" t="s">
        <v>69</v>
      </c>
      <c r="Q1023" s="37" t="s">
        <v>14</v>
      </c>
      <c r="R1023" s="37" t="s">
        <v>3310</v>
      </c>
      <c r="S1023" s="37" t="s">
        <v>5622</v>
      </c>
      <c r="T1023" s="37"/>
      <c r="U1023" s="37" t="s">
        <v>109</v>
      </c>
      <c r="V1023" s="37" t="s">
        <v>88</v>
      </c>
      <c r="W1023" s="37" t="s">
        <v>110</v>
      </c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</row>
    <row r="1024" spans="1:37">
      <c r="A1024" s="37"/>
      <c r="B1024" s="37"/>
      <c r="C1024" s="37"/>
      <c r="D1024" s="37" t="s">
        <v>124</v>
      </c>
      <c r="E1024" s="37" t="s">
        <v>6465</v>
      </c>
      <c r="F1024" s="37" t="s">
        <v>6466</v>
      </c>
      <c r="G1024" s="37" t="s">
        <v>6467</v>
      </c>
      <c r="H1024" s="37"/>
      <c r="I1024" s="37" t="s">
        <v>297</v>
      </c>
      <c r="J1024" s="37" t="s">
        <v>75</v>
      </c>
      <c r="K1024" s="40" t="s">
        <v>298</v>
      </c>
      <c r="L1024" s="37" t="s">
        <v>64</v>
      </c>
      <c r="M1024" s="37" t="s">
        <v>6468</v>
      </c>
      <c r="N1024" s="37"/>
      <c r="O1024" s="37" t="s">
        <v>69</v>
      </c>
      <c r="P1024" s="37" t="s">
        <v>69</v>
      </c>
      <c r="Q1024" s="37" t="s">
        <v>10</v>
      </c>
      <c r="R1024" s="37"/>
      <c r="S1024" s="37"/>
      <c r="T1024" s="37" t="s">
        <v>66</v>
      </c>
      <c r="U1024" s="37"/>
      <c r="V1024" s="37" t="s">
        <v>118</v>
      </c>
      <c r="W1024" s="37" t="s">
        <v>204</v>
      </c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</row>
    <row r="1025" spans="1:37">
      <c r="A1025" s="37"/>
      <c r="B1025" s="37"/>
      <c r="C1025" s="37"/>
      <c r="D1025" s="37" t="s">
        <v>286</v>
      </c>
      <c r="E1025" s="37" t="s">
        <v>2000</v>
      </c>
      <c r="F1025" s="37" t="s">
        <v>6469</v>
      </c>
      <c r="G1025" s="37" t="s">
        <v>6470</v>
      </c>
      <c r="H1025" s="37" t="s">
        <v>6471</v>
      </c>
      <c r="I1025" s="37" t="s">
        <v>82</v>
      </c>
      <c r="J1025" s="37" t="s">
        <v>83</v>
      </c>
      <c r="K1025" s="40" t="s">
        <v>6472</v>
      </c>
      <c r="L1025" s="37" t="s">
        <v>64</v>
      </c>
      <c r="M1025" s="37" t="s">
        <v>6473</v>
      </c>
      <c r="N1025" s="37"/>
      <c r="O1025" s="37" t="s">
        <v>69</v>
      </c>
      <c r="P1025" s="37" t="s">
        <v>69</v>
      </c>
      <c r="Q1025" s="37" t="s">
        <v>14</v>
      </c>
      <c r="R1025" s="37"/>
      <c r="S1025" s="37"/>
      <c r="T1025" s="37"/>
      <c r="U1025" s="37"/>
      <c r="V1025" s="37" t="s">
        <v>72</v>
      </c>
      <c r="W1025" s="37" t="s">
        <v>69</v>
      </c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</row>
    <row r="1026" spans="1:37">
      <c r="A1026" s="37"/>
      <c r="B1026" s="37"/>
      <c r="C1026" s="37"/>
      <c r="D1026" s="37" t="s">
        <v>6474</v>
      </c>
      <c r="E1026" s="37" t="s">
        <v>6475</v>
      </c>
      <c r="F1026" s="38" t="s">
        <v>5739</v>
      </c>
      <c r="G1026" s="37" t="s">
        <v>6476</v>
      </c>
      <c r="H1026" s="37"/>
      <c r="I1026" s="37" t="s">
        <v>662</v>
      </c>
      <c r="J1026" s="37" t="s">
        <v>324</v>
      </c>
      <c r="K1026" s="40" t="s">
        <v>6477</v>
      </c>
      <c r="L1026" s="37" t="s">
        <v>64</v>
      </c>
      <c r="M1026" s="37" t="s">
        <v>6478</v>
      </c>
      <c r="N1026" s="37"/>
      <c r="O1026" s="37" t="s">
        <v>69</v>
      </c>
      <c r="P1026" s="37" t="s">
        <v>69</v>
      </c>
      <c r="Q1026" s="37" t="s">
        <v>65</v>
      </c>
      <c r="R1026" s="37"/>
      <c r="S1026" s="37" t="s">
        <v>6479</v>
      </c>
      <c r="T1026" s="37"/>
      <c r="U1026" s="37"/>
      <c r="V1026" s="37" t="s">
        <v>118</v>
      </c>
      <c r="W1026" s="37" t="s">
        <v>69</v>
      </c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</row>
    <row r="1027" spans="1:37">
      <c r="A1027" s="37" t="s">
        <v>673</v>
      </c>
      <c r="B1027" s="37"/>
      <c r="C1027" s="37"/>
      <c r="D1027" s="37" t="s">
        <v>6480</v>
      </c>
      <c r="E1027" s="37" t="s">
        <v>6481</v>
      </c>
      <c r="F1027" s="37" t="s">
        <v>6482</v>
      </c>
      <c r="G1027" s="37" t="s">
        <v>6483</v>
      </c>
      <c r="H1027" s="37"/>
      <c r="I1027" s="37" t="s">
        <v>6484</v>
      </c>
      <c r="J1027" s="37" t="s">
        <v>75</v>
      </c>
      <c r="K1027" s="40" t="s">
        <v>6446</v>
      </c>
      <c r="L1027" s="37" t="s">
        <v>6447</v>
      </c>
      <c r="M1027" s="37" t="s">
        <v>6485</v>
      </c>
      <c r="N1027" s="37" t="s">
        <v>6486</v>
      </c>
      <c r="O1027" s="37" t="s">
        <v>69</v>
      </c>
      <c r="P1027" s="37" t="s">
        <v>69</v>
      </c>
      <c r="Q1027" s="37" t="s">
        <v>18</v>
      </c>
      <c r="R1027" s="37" t="s">
        <v>6487</v>
      </c>
      <c r="S1027" s="37"/>
      <c r="T1027" s="37" t="s">
        <v>69</v>
      </c>
      <c r="U1027" s="37"/>
      <c r="V1027" s="37" t="s">
        <v>88</v>
      </c>
      <c r="W1027" s="37" t="s">
        <v>89</v>
      </c>
      <c r="X1027" s="25"/>
      <c r="Y1027" s="25"/>
      <c r="Z1027" s="25"/>
      <c r="AA1027" s="25"/>
      <c r="AB1027" s="25"/>
      <c r="AC1027" s="25"/>
      <c r="AD1027" s="25"/>
      <c r="AE1027" s="25"/>
      <c r="AF1027" s="25"/>
      <c r="AG1027" s="25"/>
      <c r="AH1027" s="25"/>
      <c r="AI1027" s="25"/>
      <c r="AJ1027" s="25"/>
      <c r="AK1027" s="25"/>
    </row>
    <row r="1028" spans="1:37">
      <c r="A1028" s="37"/>
      <c r="B1028" s="37"/>
      <c r="C1028" s="37"/>
      <c r="D1028" s="37" t="s">
        <v>483</v>
      </c>
      <c r="E1028" s="37" t="s">
        <v>6488</v>
      </c>
      <c r="F1028" s="37" t="s">
        <v>6489</v>
      </c>
      <c r="G1028" s="37" t="s">
        <v>6490</v>
      </c>
      <c r="H1028" s="37"/>
      <c r="I1028" s="37" t="s">
        <v>3319</v>
      </c>
      <c r="J1028" s="37" t="s">
        <v>6385</v>
      </c>
      <c r="K1028" s="40" t="s">
        <v>6491</v>
      </c>
      <c r="L1028" s="37" t="s">
        <v>64</v>
      </c>
      <c r="M1028" s="37" t="s">
        <v>6492</v>
      </c>
      <c r="N1028" s="37"/>
      <c r="O1028" s="37" t="s">
        <v>69</v>
      </c>
      <c r="P1028" s="37" t="s">
        <v>69</v>
      </c>
      <c r="Q1028" s="37" t="s">
        <v>4</v>
      </c>
      <c r="R1028" s="37"/>
      <c r="S1028" s="37"/>
      <c r="T1028" s="37"/>
      <c r="U1028" s="37"/>
      <c r="V1028" s="37" t="s">
        <v>72</v>
      </c>
      <c r="W1028" s="37" t="s">
        <v>756</v>
      </c>
      <c r="X1028" s="25"/>
      <c r="Y1028" s="25"/>
      <c r="Z1028" s="25"/>
      <c r="AA1028" s="25"/>
      <c r="AB1028" s="25"/>
      <c r="AC1028" s="25"/>
      <c r="AD1028" s="25"/>
      <c r="AE1028" s="25"/>
      <c r="AF1028" s="25"/>
      <c r="AG1028" s="25"/>
      <c r="AH1028" s="25"/>
      <c r="AI1028" s="25"/>
      <c r="AJ1028" s="25"/>
      <c r="AK1028" s="25"/>
    </row>
    <row r="1029" spans="1:37">
      <c r="A1029" s="37"/>
      <c r="B1029" s="37"/>
      <c r="C1029" s="37"/>
      <c r="D1029" s="37" t="s">
        <v>709</v>
      </c>
      <c r="E1029" s="37" t="s">
        <v>2124</v>
      </c>
      <c r="F1029" s="37" t="s">
        <v>2127</v>
      </c>
      <c r="G1029" s="37" t="s">
        <v>6493</v>
      </c>
      <c r="H1029" s="37"/>
      <c r="I1029" s="37" t="s">
        <v>82</v>
      </c>
      <c r="J1029" s="37" t="s">
        <v>83</v>
      </c>
      <c r="K1029" s="40" t="s">
        <v>2125</v>
      </c>
      <c r="L1029" s="37" t="s">
        <v>64</v>
      </c>
      <c r="M1029" s="37" t="s">
        <v>2126</v>
      </c>
      <c r="N1029" s="37"/>
      <c r="O1029" s="37" t="s">
        <v>69</v>
      </c>
      <c r="P1029" s="37" t="s">
        <v>69</v>
      </c>
      <c r="Q1029" s="37" t="s">
        <v>14</v>
      </c>
      <c r="R1029" s="37" t="s">
        <v>6494</v>
      </c>
      <c r="S1029" s="37" t="s">
        <v>6495</v>
      </c>
      <c r="T1029" s="37" t="s">
        <v>115</v>
      </c>
      <c r="U1029" s="37" t="s">
        <v>145</v>
      </c>
      <c r="V1029" s="37" t="s">
        <v>77</v>
      </c>
      <c r="W1029" s="37" t="s">
        <v>73</v>
      </c>
      <c r="X1029" s="25"/>
      <c r="Y1029" s="25"/>
      <c r="Z1029" s="25"/>
      <c r="AA1029" s="25"/>
      <c r="AB1029" s="25"/>
      <c r="AC1029" s="25"/>
      <c r="AD1029" s="25"/>
      <c r="AE1029" s="25"/>
      <c r="AF1029" s="25"/>
      <c r="AG1029" s="25"/>
      <c r="AH1029" s="25"/>
      <c r="AI1029" s="25"/>
      <c r="AJ1029" s="25"/>
      <c r="AK1029" s="25"/>
    </row>
    <row r="1030" spans="1:37">
      <c r="A1030" s="37"/>
      <c r="B1030" s="37"/>
      <c r="C1030" s="37"/>
      <c r="D1030" s="37" t="s">
        <v>2757</v>
      </c>
      <c r="E1030" s="37" t="s">
        <v>6496</v>
      </c>
      <c r="F1030" s="37" t="s">
        <v>6497</v>
      </c>
      <c r="G1030" s="37" t="s">
        <v>6498</v>
      </c>
      <c r="H1030" s="37" t="s">
        <v>2021</v>
      </c>
      <c r="I1030" s="37" t="s">
        <v>650</v>
      </c>
      <c r="J1030" s="37" t="s">
        <v>324</v>
      </c>
      <c r="K1030" s="40" t="s">
        <v>6499</v>
      </c>
      <c r="L1030" s="37" t="s">
        <v>64</v>
      </c>
      <c r="M1030" s="37" t="s">
        <v>6500</v>
      </c>
      <c r="N1030" s="37"/>
      <c r="O1030" s="37" t="s">
        <v>69</v>
      </c>
      <c r="P1030" s="37" t="s">
        <v>69</v>
      </c>
      <c r="Q1030" s="37" t="s">
        <v>65</v>
      </c>
      <c r="R1030" s="37"/>
      <c r="S1030" s="37"/>
      <c r="T1030" s="37"/>
      <c r="U1030" s="37"/>
      <c r="V1030" s="37" t="s">
        <v>72</v>
      </c>
      <c r="W1030" s="37" t="s">
        <v>69</v>
      </c>
      <c r="X1030" s="25"/>
      <c r="Y1030" s="25"/>
      <c r="Z1030" s="25"/>
      <c r="AA1030" s="25"/>
      <c r="AB1030" s="25"/>
      <c r="AC1030" s="25"/>
      <c r="AD1030" s="25"/>
      <c r="AE1030" s="25"/>
      <c r="AF1030" s="25"/>
      <c r="AG1030" s="25"/>
      <c r="AH1030" s="25"/>
      <c r="AI1030" s="25"/>
      <c r="AJ1030" s="25"/>
      <c r="AK1030" s="25"/>
    </row>
    <row r="1031" spans="1:37">
      <c r="A1031" s="37"/>
      <c r="B1031" s="37"/>
      <c r="C1031" s="37"/>
      <c r="D1031" s="37" t="s">
        <v>380</v>
      </c>
      <c r="E1031" s="37" t="s">
        <v>6501</v>
      </c>
      <c r="F1031" s="37" t="s">
        <v>6502</v>
      </c>
      <c r="G1031" s="37" t="s">
        <v>6503</v>
      </c>
      <c r="H1031" s="37" t="s">
        <v>6504</v>
      </c>
      <c r="I1031" s="37" t="s">
        <v>276</v>
      </c>
      <c r="J1031" s="37" t="s">
        <v>70</v>
      </c>
      <c r="K1031" s="40" t="s">
        <v>6505</v>
      </c>
      <c r="L1031" s="37" t="s">
        <v>64</v>
      </c>
      <c r="M1031" s="37" t="s">
        <v>6506</v>
      </c>
      <c r="N1031" s="37"/>
      <c r="O1031" s="37" t="s">
        <v>69</v>
      </c>
      <c r="P1031" s="37" t="s">
        <v>69</v>
      </c>
      <c r="Q1031" s="37" t="s">
        <v>71</v>
      </c>
      <c r="R1031" s="37" t="s">
        <v>6507</v>
      </c>
      <c r="S1031" s="37" t="s">
        <v>6507</v>
      </c>
      <c r="T1031" s="37" t="s">
        <v>69</v>
      </c>
      <c r="U1031" s="37" t="s">
        <v>116</v>
      </c>
      <c r="V1031" s="37" t="s">
        <v>72</v>
      </c>
      <c r="W1031" s="37" t="s">
        <v>69</v>
      </c>
      <c r="X1031" s="25"/>
      <c r="Y1031" s="25"/>
      <c r="Z1031" s="25"/>
      <c r="AA1031" s="25"/>
      <c r="AB1031" s="25"/>
      <c r="AC1031" s="25"/>
      <c r="AD1031" s="25"/>
      <c r="AE1031" s="25"/>
      <c r="AF1031" s="25"/>
      <c r="AG1031" s="25"/>
      <c r="AH1031" s="25"/>
      <c r="AI1031" s="25"/>
      <c r="AJ1031" s="25"/>
      <c r="AK1031" s="25"/>
    </row>
    <row r="1032" spans="1:37">
      <c r="A1032" s="37"/>
      <c r="B1032" s="37"/>
      <c r="C1032" s="37"/>
      <c r="D1032" s="37" t="s">
        <v>2958</v>
      </c>
      <c r="E1032" s="37" t="s">
        <v>2234</v>
      </c>
      <c r="F1032" s="37" t="s">
        <v>2961</v>
      </c>
      <c r="G1032" s="37" t="s">
        <v>1057</v>
      </c>
      <c r="H1032" s="37"/>
      <c r="I1032" s="37" t="s">
        <v>82</v>
      </c>
      <c r="J1032" s="37" t="s">
        <v>83</v>
      </c>
      <c r="K1032" s="40" t="s">
        <v>908</v>
      </c>
      <c r="L1032" s="37" t="s">
        <v>64</v>
      </c>
      <c r="M1032" s="37" t="s">
        <v>2959</v>
      </c>
      <c r="N1032" s="37" t="s">
        <v>2960</v>
      </c>
      <c r="O1032" s="37" t="s">
        <v>69</v>
      </c>
      <c r="P1032" s="37" t="s">
        <v>69</v>
      </c>
      <c r="Q1032" s="37" t="s">
        <v>14</v>
      </c>
      <c r="R1032" s="37"/>
      <c r="S1032" s="37" t="s">
        <v>907</v>
      </c>
      <c r="T1032" s="37" t="s">
        <v>66</v>
      </c>
      <c r="U1032" s="37" t="s">
        <v>182</v>
      </c>
      <c r="V1032" s="37" t="s">
        <v>77</v>
      </c>
      <c r="W1032" s="37" t="s">
        <v>73</v>
      </c>
      <c r="X1032" s="25"/>
      <c r="Y1032" s="25"/>
      <c r="Z1032" s="25"/>
      <c r="AA1032" s="25"/>
      <c r="AB1032" s="25"/>
      <c r="AC1032" s="25"/>
      <c r="AD1032" s="25"/>
      <c r="AE1032" s="25"/>
      <c r="AF1032" s="25"/>
      <c r="AG1032" s="25"/>
      <c r="AH1032" s="25"/>
      <c r="AI1032" s="25"/>
      <c r="AJ1032" s="25"/>
      <c r="AK1032" s="25"/>
    </row>
    <row r="1033" spans="1:37">
      <c r="A1033" s="37" t="s">
        <v>1317</v>
      </c>
      <c r="B1033" s="37"/>
      <c r="C1033" s="37"/>
      <c r="D1033" s="37" t="s">
        <v>1226</v>
      </c>
      <c r="E1033" s="37" t="s">
        <v>3813</v>
      </c>
      <c r="F1033" s="37" t="s">
        <v>3816</v>
      </c>
      <c r="G1033" s="37" t="s">
        <v>1640</v>
      </c>
      <c r="H1033" s="37" t="s">
        <v>1128</v>
      </c>
      <c r="I1033" s="37" t="s">
        <v>1641</v>
      </c>
      <c r="J1033" s="37" t="s">
        <v>574</v>
      </c>
      <c r="K1033" s="40" t="s">
        <v>1642</v>
      </c>
      <c r="L1033" s="37" t="s">
        <v>64</v>
      </c>
      <c r="M1033" s="37" t="s">
        <v>1643</v>
      </c>
      <c r="N1033" s="37" t="s">
        <v>3814</v>
      </c>
      <c r="O1033" s="37" t="s">
        <v>69</v>
      </c>
      <c r="P1033" s="37" t="s">
        <v>69</v>
      </c>
      <c r="Q1033" s="37" t="s">
        <v>126</v>
      </c>
      <c r="R1033" s="37" t="s">
        <v>3815</v>
      </c>
      <c r="S1033" s="37" t="s">
        <v>1644</v>
      </c>
      <c r="T1033" s="37" t="s">
        <v>115</v>
      </c>
      <c r="U1033" s="37" t="s">
        <v>145</v>
      </c>
      <c r="V1033" s="37" t="s">
        <v>72</v>
      </c>
      <c r="W1033" s="37" t="s">
        <v>110</v>
      </c>
      <c r="X1033" s="25"/>
      <c r="Y1033" s="25"/>
      <c r="Z1033" s="25"/>
      <c r="AA1033" s="25"/>
      <c r="AB1033" s="25"/>
      <c r="AC1033" s="25"/>
      <c r="AD1033" s="25"/>
      <c r="AE1033" s="25"/>
      <c r="AF1033" s="25"/>
      <c r="AG1033" s="25"/>
      <c r="AH1033" s="25"/>
      <c r="AI1033" s="25"/>
      <c r="AJ1033" s="25"/>
      <c r="AK1033" s="25"/>
    </row>
    <row r="1034" spans="1:37">
      <c r="A1034" s="37"/>
      <c r="B1034" s="37"/>
      <c r="C1034" s="37"/>
      <c r="D1034" s="37" t="s">
        <v>1590</v>
      </c>
      <c r="E1034" s="37" t="s">
        <v>2418</v>
      </c>
      <c r="F1034" s="37" t="s">
        <v>2425</v>
      </c>
      <c r="G1034" s="37" t="s">
        <v>2419</v>
      </c>
      <c r="H1034" s="37"/>
      <c r="I1034" s="37" t="s">
        <v>2420</v>
      </c>
      <c r="J1034" s="37" t="s">
        <v>128</v>
      </c>
      <c r="K1034" s="40" t="s">
        <v>2421</v>
      </c>
      <c r="L1034" s="37" t="s">
        <v>64</v>
      </c>
      <c r="M1034" s="37" t="s">
        <v>2422</v>
      </c>
      <c r="N1034" s="37" t="s">
        <v>2423</v>
      </c>
      <c r="O1034" s="37" t="s">
        <v>69</v>
      </c>
      <c r="P1034" s="37" t="s">
        <v>69</v>
      </c>
      <c r="Q1034" s="37" t="s">
        <v>126</v>
      </c>
      <c r="R1034" s="37" t="s">
        <v>2424</v>
      </c>
      <c r="S1034" s="37" t="s">
        <v>6508</v>
      </c>
      <c r="T1034" s="37" t="s">
        <v>158</v>
      </c>
      <c r="U1034" s="37" t="s">
        <v>69</v>
      </c>
      <c r="V1034" s="37" t="s">
        <v>72</v>
      </c>
      <c r="W1034" s="37" t="s">
        <v>69</v>
      </c>
      <c r="X1034" s="25"/>
      <c r="Y1034" s="25"/>
      <c r="Z1034" s="25"/>
      <c r="AA1034" s="25"/>
      <c r="AB1034" s="25"/>
      <c r="AC1034" s="25"/>
      <c r="AD1034" s="25"/>
      <c r="AE1034" s="25"/>
      <c r="AF1034" s="25"/>
      <c r="AG1034" s="25"/>
      <c r="AH1034" s="25"/>
      <c r="AI1034" s="25"/>
      <c r="AJ1034" s="25"/>
      <c r="AK1034" s="25"/>
    </row>
    <row r="1035" spans="1:37">
      <c r="A1035" s="37" t="s">
        <v>1729</v>
      </c>
      <c r="B1035" s="37"/>
      <c r="C1035" s="37"/>
      <c r="D1035" s="37" t="s">
        <v>117</v>
      </c>
      <c r="E1035" s="37" t="s">
        <v>4792</v>
      </c>
      <c r="F1035" s="38" t="s">
        <v>5739</v>
      </c>
      <c r="G1035" s="37" t="s">
        <v>4793</v>
      </c>
      <c r="H1035" s="37"/>
      <c r="I1035" s="37" t="s">
        <v>4794</v>
      </c>
      <c r="J1035" s="37" t="s">
        <v>93</v>
      </c>
      <c r="K1035" s="40" t="s">
        <v>4795</v>
      </c>
      <c r="L1035" s="37" t="s">
        <v>64</v>
      </c>
      <c r="M1035" s="37" t="s">
        <v>4796</v>
      </c>
      <c r="N1035" s="37"/>
      <c r="O1035" s="37" t="s">
        <v>69</v>
      </c>
      <c r="P1035" s="37" t="s">
        <v>69</v>
      </c>
      <c r="Q1035" s="37" t="s">
        <v>98</v>
      </c>
      <c r="R1035" s="37"/>
      <c r="S1035" s="37" t="s">
        <v>5111</v>
      </c>
      <c r="T1035" s="37"/>
      <c r="U1035" s="37"/>
      <c r="V1035" s="37" t="s">
        <v>72</v>
      </c>
      <c r="W1035" s="37" t="s">
        <v>68</v>
      </c>
      <c r="X1035" s="25"/>
      <c r="Y1035" s="25"/>
      <c r="Z1035" s="25"/>
      <c r="AA1035" s="25"/>
      <c r="AB1035" s="25"/>
      <c r="AC1035" s="25"/>
      <c r="AD1035" s="25"/>
      <c r="AE1035" s="25"/>
      <c r="AF1035" s="25"/>
      <c r="AG1035" s="25"/>
      <c r="AH1035" s="25"/>
      <c r="AI1035" s="25"/>
      <c r="AJ1035" s="25"/>
      <c r="AK1035" s="25"/>
    </row>
    <row r="1036" spans="1:37">
      <c r="A1036" s="37"/>
      <c r="B1036" s="37"/>
      <c r="C1036" s="37"/>
      <c r="D1036" s="37" t="s">
        <v>577</v>
      </c>
      <c r="E1036" s="37" t="s">
        <v>2504</v>
      </c>
      <c r="F1036" s="37" t="s">
        <v>2506</v>
      </c>
      <c r="G1036" s="37" t="s">
        <v>2505</v>
      </c>
      <c r="H1036" s="37"/>
      <c r="I1036" s="37" t="s">
        <v>82</v>
      </c>
      <c r="J1036" s="37" t="s">
        <v>83</v>
      </c>
      <c r="K1036" s="40" t="s">
        <v>2125</v>
      </c>
      <c r="L1036" s="37" t="s">
        <v>64</v>
      </c>
      <c r="M1036" s="37" t="s">
        <v>6509</v>
      </c>
      <c r="N1036" s="37"/>
      <c r="O1036" s="37" t="s">
        <v>69</v>
      </c>
      <c r="P1036" s="37" t="s">
        <v>69</v>
      </c>
      <c r="Q1036" s="37" t="s">
        <v>14</v>
      </c>
      <c r="R1036" s="37"/>
      <c r="S1036" s="37" t="s">
        <v>6510</v>
      </c>
      <c r="T1036" s="37"/>
      <c r="U1036" s="37"/>
      <c r="V1036" s="37" t="s">
        <v>72</v>
      </c>
      <c r="W1036" s="37" t="s">
        <v>69</v>
      </c>
      <c r="X1036" s="25"/>
      <c r="Y1036" s="25"/>
      <c r="Z1036" s="25"/>
      <c r="AA1036" s="25"/>
      <c r="AB1036" s="25"/>
      <c r="AC1036" s="25"/>
      <c r="AD1036" s="25"/>
      <c r="AE1036" s="25"/>
      <c r="AF1036" s="26"/>
      <c r="AG1036" s="25"/>
      <c r="AH1036" s="25"/>
      <c r="AI1036" s="25"/>
      <c r="AJ1036" s="25"/>
      <c r="AK1036" s="25"/>
    </row>
    <row r="1037" spans="1:37">
      <c r="A1037" s="37"/>
      <c r="B1037" s="37"/>
      <c r="C1037" s="37"/>
      <c r="D1037" s="37" t="s">
        <v>2198</v>
      </c>
      <c r="E1037" s="37" t="s">
        <v>2518</v>
      </c>
      <c r="F1037" s="37" t="s">
        <v>2524</v>
      </c>
      <c r="G1037" s="37" t="s">
        <v>2519</v>
      </c>
      <c r="H1037" s="37" t="s">
        <v>2520</v>
      </c>
      <c r="I1037" s="37" t="s">
        <v>454</v>
      </c>
      <c r="J1037" s="37" t="s">
        <v>121</v>
      </c>
      <c r="K1037" s="40" t="s">
        <v>2108</v>
      </c>
      <c r="L1037" s="37" t="s">
        <v>64</v>
      </c>
      <c r="M1037" s="37" t="s">
        <v>2521</v>
      </c>
      <c r="N1037" s="37"/>
      <c r="O1037" s="37" t="s">
        <v>69</v>
      </c>
      <c r="P1037" s="37" t="s">
        <v>69</v>
      </c>
      <c r="Q1037" s="37" t="s">
        <v>14</v>
      </c>
      <c r="R1037" s="37" t="s">
        <v>2522</v>
      </c>
      <c r="S1037" s="37" t="s">
        <v>2523</v>
      </c>
      <c r="T1037" s="37"/>
      <c r="U1037" s="37" t="s">
        <v>182</v>
      </c>
      <c r="V1037" s="37" t="s">
        <v>67</v>
      </c>
      <c r="W1037" s="37" t="s">
        <v>89</v>
      </c>
      <c r="X1037" s="25"/>
      <c r="Y1037" s="25"/>
      <c r="Z1037" s="25"/>
      <c r="AA1037" s="25"/>
      <c r="AB1037" s="25"/>
      <c r="AC1037" s="25"/>
      <c r="AD1037" s="25"/>
      <c r="AE1037" s="25"/>
      <c r="AF1037" s="25"/>
      <c r="AG1037" s="25"/>
      <c r="AH1037" s="25"/>
      <c r="AI1037" s="25"/>
      <c r="AJ1037" s="25"/>
      <c r="AK1037" s="25"/>
    </row>
    <row r="1038" spans="1:37">
      <c r="A1038" s="37"/>
      <c r="B1038" s="37"/>
      <c r="C1038" s="37"/>
      <c r="D1038" s="37" t="s">
        <v>2539</v>
      </c>
      <c r="E1038" s="37" t="s">
        <v>2540</v>
      </c>
      <c r="F1038" s="37" t="s">
        <v>2542</v>
      </c>
      <c r="G1038" s="37" t="s">
        <v>1881</v>
      </c>
      <c r="H1038" s="37"/>
      <c r="I1038" s="37" t="s">
        <v>1882</v>
      </c>
      <c r="J1038" s="37" t="s">
        <v>200</v>
      </c>
      <c r="K1038" s="40" t="s">
        <v>1883</v>
      </c>
      <c r="L1038" s="37" t="s">
        <v>64</v>
      </c>
      <c r="M1038" s="37" t="s">
        <v>1884</v>
      </c>
      <c r="N1038" s="37"/>
      <c r="O1038" s="37" t="s">
        <v>69</v>
      </c>
      <c r="P1038" s="37" t="s">
        <v>69</v>
      </c>
      <c r="Q1038" s="37" t="s">
        <v>18</v>
      </c>
      <c r="R1038" s="37" t="s">
        <v>2541</v>
      </c>
      <c r="S1038" s="37" t="s">
        <v>5271</v>
      </c>
      <c r="T1038" s="37" t="s">
        <v>66</v>
      </c>
      <c r="U1038" s="37"/>
      <c r="V1038" s="37" t="s">
        <v>77</v>
      </c>
      <c r="W1038" s="37" t="s">
        <v>69</v>
      </c>
      <c r="X1038" s="25"/>
      <c r="Y1038" s="25"/>
      <c r="Z1038" s="25"/>
      <c r="AA1038" s="25"/>
      <c r="AB1038" s="25"/>
      <c r="AC1038" s="25"/>
      <c r="AD1038" s="25"/>
      <c r="AE1038" s="25"/>
      <c r="AF1038" s="25"/>
      <c r="AG1038" s="25"/>
      <c r="AH1038" s="25"/>
      <c r="AI1038" s="25"/>
      <c r="AJ1038" s="25"/>
      <c r="AK1038" s="25"/>
    </row>
    <row r="1039" spans="1:37">
      <c r="A1039" s="37"/>
      <c r="B1039" s="37"/>
      <c r="C1039" s="37"/>
      <c r="D1039" s="37" t="s">
        <v>3179</v>
      </c>
      <c r="E1039" s="37" t="s">
        <v>2578</v>
      </c>
      <c r="F1039" s="37" t="s">
        <v>3181</v>
      </c>
      <c r="G1039" s="37" t="s">
        <v>2030</v>
      </c>
      <c r="H1039" s="37"/>
      <c r="I1039" s="37" t="s">
        <v>82</v>
      </c>
      <c r="J1039" s="37" t="s">
        <v>83</v>
      </c>
      <c r="K1039" s="40" t="s">
        <v>2031</v>
      </c>
      <c r="L1039" s="37" t="s">
        <v>64</v>
      </c>
      <c r="M1039" s="37" t="s">
        <v>3180</v>
      </c>
      <c r="N1039" s="37"/>
      <c r="O1039" s="37" t="s">
        <v>69</v>
      </c>
      <c r="P1039" s="37" t="s">
        <v>69</v>
      </c>
      <c r="Q1039" s="37" t="s">
        <v>14</v>
      </c>
      <c r="R1039" s="37" t="s">
        <v>1373</v>
      </c>
      <c r="S1039" s="37" t="s">
        <v>5073</v>
      </c>
      <c r="T1039" s="37" t="s">
        <v>66</v>
      </c>
      <c r="U1039" s="37" t="s">
        <v>109</v>
      </c>
      <c r="V1039" s="37" t="s">
        <v>88</v>
      </c>
      <c r="W1039" s="37" t="s">
        <v>89</v>
      </c>
      <c r="X1039" s="25"/>
      <c r="Y1039" s="25"/>
      <c r="Z1039" s="25"/>
      <c r="AA1039" s="25"/>
      <c r="AB1039" s="25"/>
      <c r="AC1039" s="25"/>
      <c r="AD1039" s="25"/>
      <c r="AE1039" s="25"/>
      <c r="AF1039" s="25"/>
      <c r="AG1039" s="25"/>
      <c r="AH1039" s="25"/>
      <c r="AI1039" s="25"/>
      <c r="AJ1039" s="25"/>
      <c r="AK1039" s="25"/>
    </row>
    <row r="1040" spans="1:37">
      <c r="A1040" s="37" t="s">
        <v>6511</v>
      </c>
      <c r="B1040" s="37"/>
      <c r="C1040" s="37"/>
      <c r="D1040" s="37" t="s">
        <v>1783</v>
      </c>
      <c r="E1040" s="37" t="s">
        <v>6512</v>
      </c>
      <c r="F1040" s="37" t="s">
        <v>6513</v>
      </c>
      <c r="G1040" s="37" t="s">
        <v>6514</v>
      </c>
      <c r="H1040" s="37"/>
      <c r="I1040" s="37" t="s">
        <v>420</v>
      </c>
      <c r="J1040" s="37" t="s">
        <v>75</v>
      </c>
      <c r="K1040" s="40" t="s">
        <v>6515</v>
      </c>
      <c r="L1040" s="37" t="s">
        <v>64</v>
      </c>
      <c r="M1040" s="37" t="s">
        <v>6516</v>
      </c>
      <c r="N1040" s="37"/>
      <c r="O1040" s="37" t="s">
        <v>69</v>
      </c>
      <c r="P1040" s="37" t="s">
        <v>69</v>
      </c>
      <c r="Q1040" s="37" t="s">
        <v>10</v>
      </c>
      <c r="R1040" s="37"/>
      <c r="S1040" s="37" t="s">
        <v>6517</v>
      </c>
      <c r="T1040" s="37" t="s">
        <v>158</v>
      </c>
      <c r="U1040" s="37"/>
      <c r="V1040" s="37" t="s">
        <v>67</v>
      </c>
      <c r="W1040" s="37" t="s">
        <v>89</v>
      </c>
      <c r="X1040" s="25"/>
      <c r="Y1040" s="25"/>
      <c r="Z1040" s="25"/>
      <c r="AA1040" s="25"/>
      <c r="AB1040" s="25"/>
      <c r="AC1040" s="25"/>
      <c r="AD1040" s="25"/>
      <c r="AE1040" s="25"/>
      <c r="AF1040" s="25"/>
      <c r="AG1040" s="25"/>
      <c r="AH1040" s="25"/>
      <c r="AI1040" s="25"/>
      <c r="AJ1040" s="25"/>
      <c r="AK1040" s="25"/>
    </row>
    <row r="1041" spans="1:37">
      <c r="A1041" s="37"/>
      <c r="B1041" s="37"/>
      <c r="C1041" s="37"/>
      <c r="D1041" s="37" t="s">
        <v>272</v>
      </c>
      <c r="E1041" s="37" t="s">
        <v>481</v>
      </c>
      <c r="F1041" s="37" t="s">
        <v>2588</v>
      </c>
      <c r="G1041" s="37" t="s">
        <v>2584</v>
      </c>
      <c r="H1041" s="37"/>
      <c r="I1041" s="37" t="s">
        <v>1605</v>
      </c>
      <c r="J1041" s="37" t="s">
        <v>196</v>
      </c>
      <c r="K1041" s="40" t="s">
        <v>2585</v>
      </c>
      <c r="L1041" s="37" t="s">
        <v>64</v>
      </c>
      <c r="M1041" s="37" t="s">
        <v>2586</v>
      </c>
      <c r="N1041" s="37"/>
      <c r="O1041" s="37" t="s">
        <v>69</v>
      </c>
      <c r="P1041" s="37" t="s">
        <v>69</v>
      </c>
      <c r="Q1041" s="37" t="s">
        <v>98</v>
      </c>
      <c r="R1041" s="37"/>
      <c r="S1041" s="37" t="s">
        <v>2587</v>
      </c>
      <c r="T1041" s="37" t="s">
        <v>66</v>
      </c>
      <c r="U1041" s="37" t="s">
        <v>69</v>
      </c>
      <c r="V1041" s="37" t="s">
        <v>88</v>
      </c>
      <c r="W1041" s="37" t="s">
        <v>110</v>
      </c>
      <c r="X1041" s="25"/>
      <c r="Y1041" s="25"/>
      <c r="Z1041" s="25"/>
      <c r="AA1041" s="25"/>
      <c r="AB1041" s="25"/>
      <c r="AC1041" s="25"/>
      <c r="AD1041" s="25"/>
      <c r="AE1041" s="25"/>
      <c r="AF1041" s="25"/>
      <c r="AG1041" s="25"/>
      <c r="AH1041" s="25"/>
      <c r="AI1041" s="25"/>
      <c r="AJ1041" s="25"/>
      <c r="AK1041" s="25"/>
    </row>
    <row r="1042" spans="1:37">
      <c r="A1042" s="37"/>
      <c r="B1042" s="37"/>
      <c r="C1042" s="37"/>
      <c r="D1042" s="37" t="s">
        <v>3789</v>
      </c>
      <c r="E1042" s="37" t="s">
        <v>82</v>
      </c>
      <c r="F1042" s="37" t="s">
        <v>4085</v>
      </c>
      <c r="G1042" s="37" t="s">
        <v>2505</v>
      </c>
      <c r="H1042" s="37"/>
      <c r="I1042" s="37" t="s">
        <v>82</v>
      </c>
      <c r="J1042" s="37" t="s">
        <v>93</v>
      </c>
      <c r="K1042" s="40" t="s">
        <v>2125</v>
      </c>
      <c r="L1042" s="37" t="s">
        <v>64</v>
      </c>
      <c r="M1042" s="37" t="s">
        <v>4083</v>
      </c>
      <c r="N1042" s="37"/>
      <c r="O1042" s="37" t="s">
        <v>69</v>
      </c>
      <c r="P1042" s="37" t="s">
        <v>69</v>
      </c>
      <c r="Q1042" s="37" t="s">
        <v>14</v>
      </c>
      <c r="R1042" s="37" t="s">
        <v>4084</v>
      </c>
      <c r="S1042" s="37" t="s">
        <v>5613</v>
      </c>
      <c r="T1042" s="37"/>
      <c r="U1042" s="37" t="s">
        <v>145</v>
      </c>
      <c r="V1042" s="37" t="s">
        <v>88</v>
      </c>
      <c r="W1042" s="37" t="s">
        <v>89</v>
      </c>
      <c r="X1042" s="25"/>
      <c r="Y1042" s="25"/>
      <c r="Z1042" s="25"/>
      <c r="AA1042" s="25"/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</row>
    <row r="1043" spans="1:37">
      <c r="A1043" s="37"/>
      <c r="B1043" s="37"/>
      <c r="C1043" s="37"/>
      <c r="D1043" s="37" t="s">
        <v>257</v>
      </c>
      <c r="E1043" s="37" t="s">
        <v>6518</v>
      </c>
      <c r="F1043" s="37" t="s">
        <v>6519</v>
      </c>
      <c r="G1043" s="37" t="s">
        <v>3328</v>
      </c>
      <c r="H1043" s="37"/>
      <c r="I1043" s="37" t="s">
        <v>610</v>
      </c>
      <c r="J1043" s="37" t="s">
        <v>394</v>
      </c>
      <c r="K1043" s="40" t="s">
        <v>6520</v>
      </c>
      <c r="L1043" s="37" t="s">
        <v>64</v>
      </c>
      <c r="M1043" s="37" t="s">
        <v>1875</v>
      </c>
      <c r="N1043" s="37"/>
      <c r="O1043" s="37" t="s">
        <v>69</v>
      </c>
      <c r="P1043" s="37" t="s">
        <v>69</v>
      </c>
      <c r="Q1043" s="37" t="s">
        <v>10</v>
      </c>
      <c r="R1043" s="37" t="s">
        <v>6521</v>
      </c>
      <c r="S1043" s="37" t="s">
        <v>1878</v>
      </c>
      <c r="T1043" s="37" t="s">
        <v>66</v>
      </c>
      <c r="U1043" s="37"/>
      <c r="V1043" s="37" t="s">
        <v>67</v>
      </c>
      <c r="W1043" s="37" t="s">
        <v>69</v>
      </c>
      <c r="X1043" s="25"/>
      <c r="Y1043" s="25"/>
      <c r="Z1043" s="25"/>
      <c r="AA1043" s="25"/>
      <c r="AB1043" s="25"/>
      <c r="AC1043" s="25"/>
      <c r="AD1043" s="25"/>
      <c r="AE1043" s="25"/>
      <c r="AF1043" s="25"/>
      <c r="AG1043" s="25"/>
      <c r="AH1043" s="25"/>
      <c r="AI1043" s="25"/>
      <c r="AJ1043" s="25"/>
      <c r="AK1043" s="25"/>
    </row>
    <row r="1044" spans="1:37">
      <c r="A1044" s="37"/>
      <c r="B1044" s="37"/>
      <c r="C1044" s="37"/>
      <c r="D1044" s="37" t="s">
        <v>6522</v>
      </c>
      <c r="E1044" s="37" t="s">
        <v>6523</v>
      </c>
      <c r="F1044" s="37" t="s">
        <v>6524</v>
      </c>
      <c r="G1044" s="37" t="s">
        <v>6525</v>
      </c>
      <c r="H1044" s="37"/>
      <c r="I1044" s="37" t="s">
        <v>82</v>
      </c>
      <c r="J1044" s="37" t="s">
        <v>83</v>
      </c>
      <c r="K1044" s="40" t="s">
        <v>6526</v>
      </c>
      <c r="L1044" s="37" t="s">
        <v>64</v>
      </c>
      <c r="M1044" s="37" t="s">
        <v>6527</v>
      </c>
      <c r="N1044" s="37"/>
      <c r="O1044" s="37" t="s">
        <v>69</v>
      </c>
      <c r="P1044" s="37" t="s">
        <v>69</v>
      </c>
      <c r="Q1044" s="37" t="s">
        <v>14</v>
      </c>
      <c r="R1044" s="37"/>
      <c r="S1044" s="37"/>
      <c r="T1044" s="37"/>
      <c r="U1044" s="37" t="s">
        <v>116</v>
      </c>
      <c r="V1044" s="37" t="s">
        <v>72</v>
      </c>
      <c r="W1044" s="37" t="s">
        <v>69</v>
      </c>
      <c r="X1044" s="25"/>
      <c r="Y1044" s="25"/>
      <c r="Z1044" s="25"/>
      <c r="AA1044" s="25"/>
      <c r="AB1044" s="25"/>
      <c r="AC1044" s="25"/>
      <c r="AD1044" s="25"/>
      <c r="AE1044" s="25"/>
      <c r="AF1044" s="25"/>
      <c r="AG1044" s="25"/>
      <c r="AH1044" s="25"/>
      <c r="AI1044" s="25"/>
      <c r="AJ1044" s="25"/>
      <c r="AK1044" s="25"/>
    </row>
    <row r="1045" spans="1:37">
      <c r="A1045" s="37" t="s">
        <v>6528</v>
      </c>
      <c r="B1045" s="37"/>
      <c r="C1045" s="37"/>
      <c r="D1045" s="37" t="s">
        <v>6529</v>
      </c>
      <c r="E1045" s="37" t="s">
        <v>6530</v>
      </c>
      <c r="F1045" s="38" t="s">
        <v>5739</v>
      </c>
      <c r="G1045" s="37" t="s">
        <v>6531</v>
      </c>
      <c r="H1045" s="37"/>
      <c r="I1045" s="37" t="s">
        <v>6532</v>
      </c>
      <c r="J1045" s="37" t="s">
        <v>75</v>
      </c>
      <c r="K1045" s="40" t="s">
        <v>1816</v>
      </c>
      <c r="L1045" s="37" t="s">
        <v>64</v>
      </c>
      <c r="M1045" s="37" t="s">
        <v>6533</v>
      </c>
      <c r="N1045" s="37"/>
      <c r="O1045" s="37" t="s">
        <v>69</v>
      </c>
      <c r="P1045" s="37" t="s">
        <v>69</v>
      </c>
      <c r="Q1045" s="37" t="s">
        <v>10</v>
      </c>
      <c r="R1045" s="37" t="s">
        <v>6534</v>
      </c>
      <c r="S1045" s="37" t="s">
        <v>6535</v>
      </c>
      <c r="T1045" s="37" t="s">
        <v>66</v>
      </c>
      <c r="U1045" s="37"/>
      <c r="V1045" s="37" t="s">
        <v>72</v>
      </c>
      <c r="W1045" s="37" t="s">
        <v>178</v>
      </c>
      <c r="X1045" s="25"/>
      <c r="Y1045" s="25"/>
      <c r="Z1045" s="25"/>
      <c r="AA1045" s="25"/>
      <c r="AB1045" s="25"/>
      <c r="AC1045" s="25"/>
      <c r="AD1045" s="25"/>
      <c r="AE1045" s="25"/>
      <c r="AF1045" s="25"/>
      <c r="AG1045" s="25"/>
      <c r="AH1045" s="25"/>
      <c r="AI1045" s="25"/>
      <c r="AJ1045" s="25"/>
      <c r="AK1045" s="25"/>
    </row>
    <row r="1046" spans="1:37">
      <c r="A1046" s="37"/>
      <c r="B1046" s="37"/>
      <c r="C1046" s="37"/>
      <c r="D1046" s="37" t="s">
        <v>555</v>
      </c>
      <c r="E1046" s="37" t="s">
        <v>6536</v>
      </c>
      <c r="F1046" s="37" t="s">
        <v>6537</v>
      </c>
      <c r="G1046" s="37" t="s">
        <v>6538</v>
      </c>
      <c r="H1046" s="37"/>
      <c r="I1046" s="37" t="s">
        <v>3315</v>
      </c>
      <c r="J1046" s="37" t="s">
        <v>214</v>
      </c>
      <c r="K1046" s="40" t="s">
        <v>3189</v>
      </c>
      <c r="L1046" s="37" t="s">
        <v>64</v>
      </c>
      <c r="M1046" s="37" t="s">
        <v>6539</v>
      </c>
      <c r="N1046" s="37"/>
      <c r="O1046" s="37" t="s">
        <v>69</v>
      </c>
      <c r="P1046" s="37" t="s">
        <v>69</v>
      </c>
      <c r="Q1046" s="37" t="s">
        <v>10</v>
      </c>
      <c r="R1046" s="37"/>
      <c r="S1046" s="37" t="s">
        <v>6540</v>
      </c>
      <c r="T1046" s="37"/>
      <c r="U1046" s="37"/>
      <c r="V1046" s="37" t="s">
        <v>72</v>
      </c>
      <c r="W1046" s="37" t="s">
        <v>69</v>
      </c>
      <c r="X1046" s="25"/>
      <c r="Y1046" s="25"/>
      <c r="Z1046" s="25"/>
      <c r="AA1046" s="25"/>
      <c r="AB1046" s="25"/>
      <c r="AC1046" s="25"/>
      <c r="AD1046" s="25"/>
      <c r="AE1046" s="25"/>
      <c r="AF1046" s="25"/>
      <c r="AG1046" s="25"/>
      <c r="AH1046" s="25"/>
      <c r="AI1046" s="25"/>
      <c r="AJ1046" s="25"/>
      <c r="AK1046" s="25"/>
    </row>
    <row r="1047" spans="1:37">
      <c r="A1047" s="37"/>
      <c r="B1047" s="37"/>
      <c r="C1047" s="37"/>
      <c r="D1047" s="37" t="s">
        <v>579</v>
      </c>
      <c r="E1047" s="37" t="s">
        <v>6541</v>
      </c>
      <c r="F1047" s="37" t="s">
        <v>6542</v>
      </c>
      <c r="G1047" s="37" t="s">
        <v>6543</v>
      </c>
      <c r="H1047" s="37"/>
      <c r="I1047" s="37" t="s">
        <v>556</v>
      </c>
      <c r="J1047" s="37" t="s">
        <v>200</v>
      </c>
      <c r="K1047" s="40" t="s">
        <v>6544</v>
      </c>
      <c r="L1047" s="37" t="s">
        <v>64</v>
      </c>
      <c r="M1047" s="37" t="s">
        <v>6545</v>
      </c>
      <c r="N1047" s="37" t="s">
        <v>6546</v>
      </c>
      <c r="O1047" s="37" t="s">
        <v>69</v>
      </c>
      <c r="P1047" s="37" t="s">
        <v>69</v>
      </c>
      <c r="Q1047" s="37" t="s">
        <v>18</v>
      </c>
      <c r="R1047" s="37"/>
      <c r="S1047" s="37"/>
      <c r="T1047" s="37"/>
      <c r="U1047" s="37"/>
      <c r="V1047" s="37" t="s">
        <v>72</v>
      </c>
      <c r="W1047" s="37" t="s">
        <v>69</v>
      </c>
      <c r="X1047" s="25"/>
      <c r="Y1047" s="25"/>
      <c r="Z1047" s="25"/>
      <c r="AA1047" s="25"/>
      <c r="AB1047" s="25"/>
      <c r="AC1047" s="25"/>
      <c r="AD1047" s="25"/>
      <c r="AE1047" s="25"/>
      <c r="AF1047" s="25"/>
      <c r="AG1047" s="25"/>
      <c r="AH1047" s="25"/>
      <c r="AI1047" s="25"/>
      <c r="AJ1047" s="25"/>
      <c r="AK1047" s="25"/>
    </row>
    <row r="1048" spans="1:37">
      <c r="A1048" s="37"/>
      <c r="B1048" s="37"/>
      <c r="C1048" s="37"/>
      <c r="D1048" s="37" t="s">
        <v>3258</v>
      </c>
      <c r="E1048" s="37" t="s">
        <v>6547</v>
      </c>
      <c r="F1048" s="37" t="s">
        <v>6548</v>
      </c>
      <c r="G1048" s="37" t="s">
        <v>6549</v>
      </c>
      <c r="H1048" s="37"/>
      <c r="I1048" s="37" t="s">
        <v>420</v>
      </c>
      <c r="J1048" s="37" t="s">
        <v>75</v>
      </c>
      <c r="K1048" s="40" t="s">
        <v>6550</v>
      </c>
      <c r="L1048" s="37" t="s">
        <v>64</v>
      </c>
      <c r="M1048" s="37" t="s">
        <v>6551</v>
      </c>
      <c r="N1048" s="37"/>
      <c r="O1048" s="37" t="s">
        <v>69</v>
      </c>
      <c r="P1048" s="37" t="s">
        <v>69</v>
      </c>
      <c r="Q1048" s="37" t="s">
        <v>10</v>
      </c>
      <c r="R1048" s="37" t="s">
        <v>6552</v>
      </c>
      <c r="S1048" s="37" t="s">
        <v>6552</v>
      </c>
      <c r="T1048" s="37" t="s">
        <v>66</v>
      </c>
      <c r="U1048" s="37"/>
      <c r="V1048" s="37" t="s">
        <v>72</v>
      </c>
      <c r="W1048" s="37" t="s">
        <v>69</v>
      </c>
      <c r="X1048" s="25"/>
      <c r="Y1048" s="25"/>
      <c r="Z1048" s="25"/>
      <c r="AA1048" s="25"/>
      <c r="AB1048" s="25"/>
      <c r="AC1048" s="25"/>
      <c r="AD1048" s="25"/>
      <c r="AE1048" s="25"/>
      <c r="AF1048" s="25"/>
      <c r="AG1048" s="25"/>
      <c r="AH1048" s="25"/>
      <c r="AI1048" s="25"/>
      <c r="AJ1048" s="25"/>
      <c r="AK1048" s="25"/>
    </row>
    <row r="1049" spans="1:37">
      <c r="A1049" s="37" t="s">
        <v>6553</v>
      </c>
      <c r="B1049" s="37"/>
      <c r="C1049" s="37"/>
      <c r="D1049" s="37" t="s">
        <v>525</v>
      </c>
      <c r="E1049" s="37" t="s">
        <v>6554</v>
      </c>
      <c r="F1049" s="37" t="s">
        <v>6555</v>
      </c>
      <c r="G1049" s="37" t="s">
        <v>6556</v>
      </c>
      <c r="H1049" s="37"/>
      <c r="I1049" s="37" t="s">
        <v>420</v>
      </c>
      <c r="J1049" s="37" t="s">
        <v>75</v>
      </c>
      <c r="K1049" s="40" t="s">
        <v>901</v>
      </c>
      <c r="L1049" s="37" t="s">
        <v>64</v>
      </c>
      <c r="M1049" s="37" t="s">
        <v>6557</v>
      </c>
      <c r="N1049" s="37" t="s">
        <v>6558</v>
      </c>
      <c r="O1049" s="37" t="s">
        <v>69</v>
      </c>
      <c r="P1049" s="37" t="s">
        <v>69</v>
      </c>
      <c r="Q1049" s="37" t="s">
        <v>10</v>
      </c>
      <c r="R1049" s="37" t="s">
        <v>6559</v>
      </c>
      <c r="S1049" s="37" t="s">
        <v>6559</v>
      </c>
      <c r="T1049" s="37" t="s">
        <v>66</v>
      </c>
      <c r="U1049" s="37" t="s">
        <v>69</v>
      </c>
      <c r="V1049" s="37" t="s">
        <v>118</v>
      </c>
      <c r="W1049" s="37" t="s">
        <v>89</v>
      </c>
      <c r="X1049" s="25"/>
      <c r="Y1049" s="25"/>
      <c r="Z1049" s="25"/>
      <c r="AA1049" s="25"/>
      <c r="AB1049" s="25"/>
      <c r="AC1049" s="25"/>
      <c r="AD1049" s="25"/>
      <c r="AE1049" s="25"/>
      <c r="AF1049" s="25"/>
      <c r="AG1049" s="25"/>
      <c r="AH1049" s="25"/>
      <c r="AI1049" s="25"/>
      <c r="AJ1049" s="25"/>
      <c r="AK1049" s="25"/>
    </row>
    <row r="1050" spans="1:37">
      <c r="A1050" s="37"/>
      <c r="B1050" s="37"/>
      <c r="C1050" s="37"/>
      <c r="D1050" s="37" t="s">
        <v>2528</v>
      </c>
      <c r="E1050" s="37" t="s">
        <v>6560</v>
      </c>
      <c r="F1050" s="37" t="s">
        <v>6561</v>
      </c>
      <c r="G1050" s="37" t="s">
        <v>6562</v>
      </c>
      <c r="H1050" s="37"/>
      <c r="I1050" s="37" t="s">
        <v>420</v>
      </c>
      <c r="J1050" s="37" t="s">
        <v>75</v>
      </c>
      <c r="K1050" s="40" t="s">
        <v>2849</v>
      </c>
      <c r="L1050" s="37" t="s">
        <v>64</v>
      </c>
      <c r="M1050" s="37" t="s">
        <v>6563</v>
      </c>
      <c r="N1050" s="37"/>
      <c r="O1050" s="37" t="s">
        <v>69</v>
      </c>
      <c r="P1050" s="37" t="s">
        <v>69</v>
      </c>
      <c r="Q1050" s="37" t="s">
        <v>10</v>
      </c>
      <c r="R1050" s="37" t="s">
        <v>6564</v>
      </c>
      <c r="S1050" s="37" t="s">
        <v>6565</v>
      </c>
      <c r="T1050" s="37"/>
      <c r="U1050" s="37"/>
      <c r="V1050" s="37" t="s">
        <v>72</v>
      </c>
      <c r="W1050" s="37" t="s">
        <v>756</v>
      </c>
      <c r="X1050" s="25"/>
      <c r="Y1050" s="25"/>
      <c r="Z1050" s="25"/>
      <c r="AA1050" s="25"/>
      <c r="AB1050" s="25"/>
      <c r="AC1050" s="25"/>
      <c r="AD1050" s="25"/>
      <c r="AE1050" s="25"/>
      <c r="AF1050" s="25"/>
      <c r="AG1050" s="25"/>
      <c r="AH1050" s="25"/>
      <c r="AI1050" s="25"/>
      <c r="AJ1050" s="25"/>
      <c r="AK1050" s="25"/>
    </row>
    <row r="1051" spans="1:37">
      <c r="A1051" s="37" t="s">
        <v>112</v>
      </c>
      <c r="B1051" s="37"/>
      <c r="C1051" s="37"/>
      <c r="D1051" s="37" t="s">
        <v>482</v>
      </c>
      <c r="E1051" s="37" t="s">
        <v>2928</v>
      </c>
      <c r="F1051" s="37" t="s">
        <v>2931</v>
      </c>
      <c r="G1051" s="37" t="s">
        <v>2929</v>
      </c>
      <c r="H1051" s="37"/>
      <c r="I1051" s="37" t="s">
        <v>639</v>
      </c>
      <c r="J1051" s="37" t="s">
        <v>105</v>
      </c>
      <c r="K1051" s="40" t="s">
        <v>640</v>
      </c>
      <c r="L1051" s="37" t="s">
        <v>64</v>
      </c>
      <c r="M1051" s="37" t="s">
        <v>2930</v>
      </c>
      <c r="N1051" s="37"/>
      <c r="O1051" s="37" t="s">
        <v>69</v>
      </c>
      <c r="P1051" s="37" t="s">
        <v>69</v>
      </c>
      <c r="Q1051" s="37" t="s">
        <v>14</v>
      </c>
      <c r="R1051" s="37" t="s">
        <v>210</v>
      </c>
      <c r="S1051" s="37" t="s">
        <v>5622</v>
      </c>
      <c r="T1051" s="37" t="s">
        <v>69</v>
      </c>
      <c r="U1051" s="37" t="s">
        <v>87</v>
      </c>
      <c r="V1051" s="37" t="s">
        <v>72</v>
      </c>
      <c r="W1051" s="37" t="s">
        <v>110</v>
      </c>
      <c r="X1051" s="25"/>
      <c r="Y1051" s="25"/>
      <c r="Z1051" s="25"/>
      <c r="AA1051" s="25"/>
      <c r="AB1051" s="25"/>
      <c r="AC1051" s="25"/>
      <c r="AD1051" s="25"/>
      <c r="AE1051" s="25"/>
      <c r="AF1051" s="25"/>
      <c r="AG1051" s="25"/>
      <c r="AH1051" s="25"/>
      <c r="AI1051" s="25"/>
      <c r="AJ1051" s="25"/>
      <c r="AK1051" s="25"/>
    </row>
    <row r="1052" spans="1:37">
      <c r="A1052" s="37"/>
      <c r="B1052" s="37"/>
      <c r="C1052" s="37"/>
      <c r="D1052" s="37" t="s">
        <v>702</v>
      </c>
      <c r="E1052" s="37" t="s">
        <v>987</v>
      </c>
      <c r="F1052" s="37" t="s">
        <v>992</v>
      </c>
      <c r="G1052" s="37" t="s">
        <v>988</v>
      </c>
      <c r="H1052" s="37"/>
      <c r="I1052" s="37" t="s">
        <v>82</v>
      </c>
      <c r="J1052" s="37" t="s">
        <v>83</v>
      </c>
      <c r="K1052" s="40" t="s">
        <v>989</v>
      </c>
      <c r="L1052" s="37" t="s">
        <v>64</v>
      </c>
      <c r="M1052" s="37" t="s">
        <v>990</v>
      </c>
      <c r="N1052" s="37"/>
      <c r="O1052" s="37" t="s">
        <v>6566</v>
      </c>
      <c r="P1052" s="37" t="s">
        <v>991</v>
      </c>
      <c r="Q1052" s="37" t="s">
        <v>14</v>
      </c>
      <c r="R1052" s="37"/>
      <c r="S1052" s="37"/>
      <c r="T1052" s="37"/>
      <c r="U1052" s="37"/>
      <c r="V1052" s="37" t="s">
        <v>88</v>
      </c>
      <c r="W1052" s="37" t="s">
        <v>89</v>
      </c>
      <c r="X1052" s="25"/>
      <c r="Y1052" s="25"/>
      <c r="Z1052" s="25"/>
      <c r="AA1052" s="25"/>
      <c r="AB1052" s="25"/>
      <c r="AC1052" s="25"/>
      <c r="AD1052" s="25"/>
      <c r="AE1052" s="25"/>
      <c r="AF1052" s="25"/>
      <c r="AG1052" s="25"/>
      <c r="AH1052" s="25"/>
      <c r="AI1052" s="25"/>
      <c r="AJ1052" s="25"/>
      <c r="AK1052" s="25"/>
    </row>
    <row r="1053" spans="1:37">
      <c r="A1053" s="37" t="s">
        <v>1334</v>
      </c>
      <c r="B1053" s="37"/>
      <c r="C1053" s="37"/>
      <c r="D1053" s="37" t="s">
        <v>702</v>
      </c>
      <c r="E1053" s="37" t="s">
        <v>6567</v>
      </c>
      <c r="F1053" s="37" t="s">
        <v>6568</v>
      </c>
      <c r="G1053" s="37" t="s">
        <v>6569</v>
      </c>
      <c r="H1053" s="37"/>
      <c r="I1053" s="37" t="s">
        <v>6570</v>
      </c>
      <c r="J1053" s="37" t="s">
        <v>70</v>
      </c>
      <c r="K1053" s="40" t="s">
        <v>6571</v>
      </c>
      <c r="L1053" s="37" t="s">
        <v>64</v>
      </c>
      <c r="M1053" s="37" t="s">
        <v>6572</v>
      </c>
      <c r="N1053" s="37" t="s">
        <v>6573</v>
      </c>
      <c r="O1053" s="37" t="s">
        <v>6566</v>
      </c>
      <c r="P1053" s="37" t="s">
        <v>991</v>
      </c>
      <c r="Q1053" s="37" t="s">
        <v>71</v>
      </c>
      <c r="R1053" s="37"/>
      <c r="S1053" s="37"/>
      <c r="T1053" s="37" t="s">
        <v>66</v>
      </c>
      <c r="U1053" s="37" t="s">
        <v>109</v>
      </c>
      <c r="V1053" s="37" t="s">
        <v>77</v>
      </c>
      <c r="W1053" s="37" t="s">
        <v>131</v>
      </c>
      <c r="X1053" s="25"/>
      <c r="Y1053" s="25"/>
      <c r="Z1053" s="25"/>
      <c r="AA1053" s="25"/>
      <c r="AB1053" s="25"/>
      <c r="AC1053" s="25"/>
      <c r="AD1053" s="25"/>
      <c r="AE1053" s="25"/>
      <c r="AF1053" s="25"/>
      <c r="AG1053" s="25"/>
      <c r="AH1053" s="25"/>
      <c r="AI1053" s="25"/>
      <c r="AJ1053" s="25"/>
      <c r="AK1053" s="25"/>
    </row>
    <row r="1054" spans="1:37">
      <c r="A1054" s="37"/>
      <c r="B1054" s="37"/>
      <c r="C1054" s="37"/>
      <c r="D1054" s="37" t="s">
        <v>921</v>
      </c>
      <c r="E1054" s="37" t="s">
        <v>1624</v>
      </c>
      <c r="F1054" s="37" t="s">
        <v>1626</v>
      </c>
      <c r="G1054" s="37" t="s">
        <v>988</v>
      </c>
      <c r="H1054" s="37"/>
      <c r="I1054" s="37" t="s">
        <v>82</v>
      </c>
      <c r="J1054" s="37" t="s">
        <v>83</v>
      </c>
      <c r="K1054" s="40" t="s">
        <v>989</v>
      </c>
      <c r="L1054" s="37" t="s">
        <v>64</v>
      </c>
      <c r="M1054" s="37" t="s">
        <v>1625</v>
      </c>
      <c r="N1054" s="37"/>
      <c r="O1054" s="37" t="s">
        <v>6566</v>
      </c>
      <c r="P1054" s="37" t="s">
        <v>991</v>
      </c>
      <c r="Q1054" s="37" t="s">
        <v>14</v>
      </c>
      <c r="R1054" s="37"/>
      <c r="S1054" s="37"/>
      <c r="T1054" s="37"/>
      <c r="U1054" s="37"/>
      <c r="V1054" s="37" t="s">
        <v>88</v>
      </c>
      <c r="W1054" s="37" t="s">
        <v>99</v>
      </c>
      <c r="X1054" s="25"/>
      <c r="Y1054" s="25"/>
      <c r="Z1054" s="25"/>
      <c r="AA1054" s="25"/>
      <c r="AB1054" s="25"/>
      <c r="AC1054" s="25"/>
      <c r="AD1054" s="25"/>
      <c r="AE1054" s="25"/>
      <c r="AF1054" s="25"/>
      <c r="AG1054" s="25"/>
      <c r="AH1054" s="25"/>
      <c r="AI1054" s="25"/>
      <c r="AJ1054" s="25"/>
      <c r="AK1054" s="25"/>
    </row>
    <row r="1055" spans="1:37">
      <c r="A1055" s="37"/>
      <c r="B1055" s="37"/>
      <c r="C1055" s="37"/>
      <c r="D1055" s="37" t="s">
        <v>1627</v>
      </c>
      <c r="E1055" s="37" t="s">
        <v>1624</v>
      </c>
      <c r="F1055" s="37" t="s">
        <v>1629</v>
      </c>
      <c r="G1055" s="37" t="s">
        <v>988</v>
      </c>
      <c r="H1055" s="37"/>
      <c r="I1055" s="37" t="s">
        <v>82</v>
      </c>
      <c r="J1055" s="37" t="s">
        <v>83</v>
      </c>
      <c r="K1055" s="40" t="s">
        <v>989</v>
      </c>
      <c r="L1055" s="37" t="s">
        <v>64</v>
      </c>
      <c r="M1055" s="37" t="s">
        <v>1628</v>
      </c>
      <c r="N1055" s="37"/>
      <c r="O1055" s="37" t="s">
        <v>6566</v>
      </c>
      <c r="P1055" s="37" t="s">
        <v>991</v>
      </c>
      <c r="Q1055" s="37" t="s">
        <v>14</v>
      </c>
      <c r="R1055" s="37"/>
      <c r="S1055" s="37"/>
      <c r="T1055" s="37"/>
      <c r="U1055" s="37"/>
      <c r="V1055" s="37" t="s">
        <v>88</v>
      </c>
      <c r="W1055" s="37" t="s">
        <v>99</v>
      </c>
      <c r="X1055" s="25"/>
      <c r="Y1055" s="25"/>
      <c r="Z1055" s="25"/>
      <c r="AA1055" s="25"/>
      <c r="AB1055" s="25"/>
      <c r="AC1055" s="25"/>
      <c r="AD1055" s="25"/>
      <c r="AE1055" s="25"/>
      <c r="AF1055" s="25"/>
      <c r="AG1055" s="25"/>
      <c r="AH1055" s="25"/>
      <c r="AI1055" s="25"/>
      <c r="AJ1055" s="25"/>
      <c r="AK1055" s="25"/>
    </row>
    <row r="1056" spans="1:37">
      <c r="A1056" s="37"/>
      <c r="B1056" s="37"/>
      <c r="C1056" s="37"/>
      <c r="D1056" s="37" t="s">
        <v>216</v>
      </c>
      <c r="E1056" s="37" t="s">
        <v>2554</v>
      </c>
      <c r="F1056" s="37" t="s">
        <v>2558</v>
      </c>
      <c r="G1056" s="37" t="s">
        <v>2555</v>
      </c>
      <c r="H1056" s="37" t="s">
        <v>2556</v>
      </c>
      <c r="I1056" s="37" t="s">
        <v>258</v>
      </c>
      <c r="J1056" s="37" t="s">
        <v>83</v>
      </c>
      <c r="K1056" s="40" t="s">
        <v>989</v>
      </c>
      <c r="L1056" s="37" t="s">
        <v>64</v>
      </c>
      <c r="M1056" s="37" t="s">
        <v>2557</v>
      </c>
      <c r="N1056" s="37"/>
      <c r="O1056" s="37" t="s">
        <v>6566</v>
      </c>
      <c r="P1056" s="37" t="s">
        <v>991</v>
      </c>
      <c r="Q1056" s="37" t="s">
        <v>14</v>
      </c>
      <c r="R1056" s="37"/>
      <c r="S1056" s="37"/>
      <c r="T1056" s="37"/>
      <c r="U1056" s="37"/>
      <c r="V1056" s="37" t="s">
        <v>77</v>
      </c>
      <c r="W1056" s="37" t="s">
        <v>89</v>
      </c>
      <c r="X1056" s="25"/>
      <c r="Y1056" s="25"/>
      <c r="Z1056" s="25"/>
      <c r="AA1056" s="25"/>
      <c r="AB1056" s="25"/>
      <c r="AC1056" s="25"/>
      <c r="AD1056" s="25"/>
      <c r="AE1056" s="25"/>
      <c r="AF1056" s="25"/>
      <c r="AG1056" s="25"/>
      <c r="AH1056" s="25"/>
      <c r="AI1056" s="25"/>
      <c r="AJ1056" s="25"/>
      <c r="AK1056" s="25"/>
    </row>
    <row r="1057" spans="1:37">
      <c r="A1057" s="37"/>
      <c r="B1057" s="37"/>
      <c r="C1057" s="37"/>
      <c r="D1057" s="37" t="s">
        <v>2692</v>
      </c>
      <c r="E1057" s="37" t="s">
        <v>6574</v>
      </c>
      <c r="F1057" s="37" t="s">
        <v>6575</v>
      </c>
      <c r="G1057" s="37" t="s">
        <v>6576</v>
      </c>
      <c r="H1057" s="37"/>
      <c r="I1057" s="37" t="s">
        <v>6570</v>
      </c>
      <c r="J1057" s="37" t="s">
        <v>70</v>
      </c>
      <c r="K1057" s="40" t="s">
        <v>6577</v>
      </c>
      <c r="L1057" s="37" t="s">
        <v>64</v>
      </c>
      <c r="M1057" s="37" t="s">
        <v>6572</v>
      </c>
      <c r="N1057" s="37"/>
      <c r="O1057" s="37" t="s">
        <v>6566</v>
      </c>
      <c r="P1057" s="37" t="s">
        <v>991</v>
      </c>
      <c r="Q1057" s="37" t="s">
        <v>71</v>
      </c>
      <c r="R1057" s="37"/>
      <c r="S1057" s="37"/>
      <c r="T1057" s="37" t="s">
        <v>115</v>
      </c>
      <c r="U1057" s="37"/>
      <c r="V1057" s="37" t="s">
        <v>77</v>
      </c>
      <c r="W1057" s="37" t="s">
        <v>131</v>
      </c>
      <c r="X1057" s="25"/>
      <c r="Y1057" s="25"/>
      <c r="Z1057" s="25"/>
      <c r="AA1057" s="25"/>
      <c r="AB1057" s="25"/>
      <c r="AC1057" s="25"/>
      <c r="AD1057" s="25"/>
      <c r="AE1057" s="25"/>
      <c r="AF1057" s="25"/>
      <c r="AG1057" s="25"/>
      <c r="AH1057" s="25"/>
      <c r="AI1057" s="25"/>
      <c r="AJ1057" s="25"/>
      <c r="AK1057" s="25"/>
    </row>
    <row r="1058" spans="1:37">
      <c r="A1058" s="37"/>
      <c r="B1058" s="37"/>
      <c r="C1058" s="37"/>
      <c r="D1058" s="37" t="s">
        <v>386</v>
      </c>
      <c r="E1058" s="37" t="s">
        <v>4526</v>
      </c>
      <c r="F1058" s="37" t="s">
        <v>4531</v>
      </c>
      <c r="G1058" s="37" t="s">
        <v>4527</v>
      </c>
      <c r="H1058" s="37"/>
      <c r="I1058" s="37" t="s">
        <v>82</v>
      </c>
      <c r="J1058" s="37" t="s">
        <v>83</v>
      </c>
      <c r="K1058" s="40" t="s">
        <v>4528</v>
      </c>
      <c r="L1058" s="37" t="s">
        <v>64</v>
      </c>
      <c r="M1058" s="37" t="s">
        <v>4529</v>
      </c>
      <c r="N1058" s="37" t="s">
        <v>4530</v>
      </c>
      <c r="O1058" s="37" t="s">
        <v>6578</v>
      </c>
      <c r="P1058" s="37" t="s">
        <v>2396</v>
      </c>
      <c r="Q1058" s="37" t="s">
        <v>14</v>
      </c>
      <c r="R1058" s="37"/>
      <c r="S1058" s="37"/>
      <c r="T1058" s="37" t="s">
        <v>144</v>
      </c>
      <c r="U1058" s="37" t="s">
        <v>145</v>
      </c>
      <c r="V1058" s="37" t="s">
        <v>77</v>
      </c>
      <c r="W1058" s="37" t="s">
        <v>89</v>
      </c>
      <c r="X1058" s="25"/>
      <c r="Y1058" s="25"/>
      <c r="Z1058" s="25"/>
      <c r="AA1058" s="25"/>
      <c r="AB1058" s="25"/>
      <c r="AC1058" s="25"/>
      <c r="AD1058" s="25"/>
      <c r="AE1058" s="25"/>
      <c r="AF1058" s="25"/>
      <c r="AG1058" s="25"/>
      <c r="AH1058" s="25"/>
      <c r="AI1058" s="25"/>
      <c r="AJ1058" s="25"/>
      <c r="AK1058" s="25"/>
    </row>
    <row r="1059" spans="1:37">
      <c r="A1059" s="37"/>
      <c r="B1059" s="37"/>
      <c r="C1059" s="37"/>
      <c r="D1059" s="37" t="s">
        <v>238</v>
      </c>
      <c r="E1059" s="37" t="s">
        <v>1813</v>
      </c>
      <c r="F1059" s="37" t="s">
        <v>4920</v>
      </c>
      <c r="G1059" s="37" t="s">
        <v>4916</v>
      </c>
      <c r="H1059" s="37" t="s">
        <v>4917</v>
      </c>
      <c r="I1059" s="37" t="s">
        <v>354</v>
      </c>
      <c r="J1059" s="37" t="s">
        <v>75</v>
      </c>
      <c r="K1059" s="40" t="s">
        <v>4918</v>
      </c>
      <c r="L1059" s="37" t="s">
        <v>64</v>
      </c>
      <c r="M1059" s="37" t="s">
        <v>4919</v>
      </c>
      <c r="N1059" s="37"/>
      <c r="O1059" s="37" t="s">
        <v>6578</v>
      </c>
      <c r="P1059" s="37" t="s">
        <v>2396</v>
      </c>
      <c r="Q1059" s="37" t="s">
        <v>10</v>
      </c>
      <c r="R1059" s="37"/>
      <c r="S1059" s="37"/>
      <c r="T1059" s="37"/>
      <c r="U1059" s="37"/>
      <c r="V1059" s="37" t="s">
        <v>72</v>
      </c>
      <c r="W1059" s="37" t="s">
        <v>89</v>
      </c>
      <c r="X1059" s="25"/>
      <c r="Y1059" s="25"/>
      <c r="Z1059" s="25"/>
      <c r="AA1059" s="25"/>
      <c r="AB1059" s="25"/>
      <c r="AC1059" s="25"/>
      <c r="AD1059" s="25"/>
      <c r="AE1059" s="25"/>
      <c r="AF1059" s="25"/>
      <c r="AG1059" s="25"/>
      <c r="AH1059" s="25"/>
      <c r="AI1059" s="25"/>
      <c r="AJ1059" s="25"/>
      <c r="AK1059" s="25"/>
    </row>
    <row r="1060" spans="1:37">
      <c r="A1060" s="37"/>
      <c r="B1060" s="37"/>
      <c r="C1060" s="37"/>
      <c r="D1060" s="37" t="s">
        <v>2852</v>
      </c>
      <c r="E1060" s="37" t="s">
        <v>4168</v>
      </c>
      <c r="F1060" s="37" t="s">
        <v>4173</v>
      </c>
      <c r="G1060" s="37" t="s">
        <v>4169</v>
      </c>
      <c r="H1060" s="37" t="s">
        <v>4170</v>
      </c>
      <c r="I1060" s="37" t="s">
        <v>4170</v>
      </c>
      <c r="J1060" s="37" t="s">
        <v>105</v>
      </c>
      <c r="K1060" s="40" t="s">
        <v>3294</v>
      </c>
      <c r="L1060" s="37" t="s">
        <v>64</v>
      </c>
      <c r="M1060" s="37" t="s">
        <v>4171</v>
      </c>
      <c r="N1060" s="37" t="s">
        <v>4172</v>
      </c>
      <c r="O1060" s="37" t="s">
        <v>6579</v>
      </c>
      <c r="P1060" s="37" t="s">
        <v>2697</v>
      </c>
      <c r="Q1060" s="37" t="s">
        <v>71</v>
      </c>
      <c r="R1060" s="37"/>
      <c r="S1060" s="37"/>
      <c r="T1060" s="37" t="s">
        <v>69</v>
      </c>
      <c r="U1060" s="37" t="s">
        <v>109</v>
      </c>
      <c r="V1060" s="37" t="s">
        <v>72</v>
      </c>
      <c r="W1060" s="37" t="s">
        <v>110</v>
      </c>
      <c r="X1060" s="25"/>
      <c r="Y1060" s="25"/>
      <c r="Z1060" s="25"/>
      <c r="AA1060" s="25"/>
      <c r="AB1060" s="25"/>
      <c r="AC1060" s="25"/>
      <c r="AD1060" s="25"/>
      <c r="AE1060" s="25"/>
      <c r="AF1060" s="25"/>
      <c r="AG1060" s="25"/>
      <c r="AH1060" s="25"/>
      <c r="AI1060" s="25"/>
      <c r="AJ1060" s="25"/>
      <c r="AK1060" s="25"/>
    </row>
    <row r="1061" spans="1:37">
      <c r="A1061" s="37"/>
      <c r="B1061" s="37"/>
      <c r="C1061" s="37"/>
      <c r="D1061" s="37" t="s">
        <v>4136</v>
      </c>
      <c r="E1061" s="37" t="s">
        <v>2892</v>
      </c>
      <c r="F1061" s="37" t="s">
        <v>4139</v>
      </c>
      <c r="G1061" s="37" t="s">
        <v>4137</v>
      </c>
      <c r="H1061" s="37"/>
      <c r="I1061" s="37" t="s">
        <v>420</v>
      </c>
      <c r="J1061" s="37" t="s">
        <v>75</v>
      </c>
      <c r="K1061" s="40" t="s">
        <v>2105</v>
      </c>
      <c r="L1061" s="37" t="s">
        <v>64</v>
      </c>
      <c r="M1061" s="37" t="s">
        <v>4138</v>
      </c>
      <c r="N1061" s="37"/>
      <c r="O1061" s="37" t="s">
        <v>6579</v>
      </c>
      <c r="P1061" s="37" t="s">
        <v>2697</v>
      </c>
      <c r="Q1061" s="37" t="s">
        <v>10</v>
      </c>
      <c r="R1061" s="37"/>
      <c r="S1061" s="37"/>
      <c r="T1061" s="37"/>
      <c r="U1061" s="37"/>
      <c r="V1061" s="37" t="s">
        <v>67</v>
      </c>
      <c r="W1061" s="37" t="s">
        <v>89</v>
      </c>
      <c r="X1061" s="25"/>
      <c r="Y1061" s="25"/>
      <c r="Z1061" s="25"/>
      <c r="AA1061" s="25"/>
      <c r="AB1061" s="25"/>
      <c r="AC1061" s="25"/>
      <c r="AD1061" s="25"/>
      <c r="AE1061" s="25"/>
      <c r="AF1061" s="26"/>
      <c r="AG1061" s="25"/>
      <c r="AH1061" s="25"/>
      <c r="AI1061" s="25"/>
      <c r="AJ1061" s="25"/>
      <c r="AK1061" s="25"/>
    </row>
    <row r="1062" spans="1:37">
      <c r="A1062" s="37"/>
      <c r="B1062" s="37"/>
      <c r="C1062" s="37"/>
      <c r="D1062" s="37" t="s">
        <v>223</v>
      </c>
      <c r="E1062" s="37" t="s">
        <v>2372</v>
      </c>
      <c r="F1062" s="37" t="s">
        <v>3601</v>
      </c>
      <c r="G1062" s="37" t="s">
        <v>3598</v>
      </c>
      <c r="H1062" s="37"/>
      <c r="I1062" s="37" t="s">
        <v>193</v>
      </c>
      <c r="J1062" s="37" t="s">
        <v>153</v>
      </c>
      <c r="K1062" s="40" t="s">
        <v>2014</v>
      </c>
      <c r="L1062" s="37" t="s">
        <v>64</v>
      </c>
      <c r="M1062" s="37" t="s">
        <v>3599</v>
      </c>
      <c r="N1062" s="37" t="s">
        <v>3600</v>
      </c>
      <c r="O1062" s="37" t="s">
        <v>6579</v>
      </c>
      <c r="P1062" s="37" t="s">
        <v>2697</v>
      </c>
      <c r="Q1062" s="37" t="s">
        <v>16</v>
      </c>
      <c r="R1062" s="37"/>
      <c r="S1062" s="37"/>
      <c r="T1062" s="37" t="s">
        <v>66</v>
      </c>
      <c r="U1062" s="37" t="s">
        <v>109</v>
      </c>
      <c r="V1062" s="37" t="s">
        <v>88</v>
      </c>
      <c r="W1062" s="37" t="s">
        <v>135</v>
      </c>
      <c r="X1062" s="25"/>
      <c r="Y1062" s="25"/>
      <c r="Z1062" s="25"/>
      <c r="AA1062" s="25"/>
      <c r="AB1062" s="25"/>
      <c r="AC1062" s="25"/>
      <c r="AD1062" s="25"/>
      <c r="AE1062" s="25"/>
      <c r="AF1062" s="25"/>
      <c r="AG1062" s="25"/>
      <c r="AH1062" s="25"/>
      <c r="AI1062" s="25"/>
      <c r="AJ1062" s="25"/>
      <c r="AK1062" s="25"/>
    </row>
    <row r="1063" spans="1:37">
      <c r="A1063" s="37"/>
      <c r="B1063" s="37"/>
      <c r="C1063" s="37"/>
      <c r="D1063" s="37" t="s">
        <v>6580</v>
      </c>
      <c r="E1063" s="37" t="s">
        <v>6581</v>
      </c>
      <c r="F1063" s="37" t="s">
        <v>6582</v>
      </c>
      <c r="G1063" s="37" t="s">
        <v>2104</v>
      </c>
      <c r="H1063" s="37"/>
      <c r="I1063" s="37" t="s">
        <v>420</v>
      </c>
      <c r="J1063" s="37" t="s">
        <v>75</v>
      </c>
      <c r="K1063" s="40" t="s">
        <v>698</v>
      </c>
      <c r="L1063" s="37" t="s">
        <v>64</v>
      </c>
      <c r="M1063" s="37" t="s">
        <v>6583</v>
      </c>
      <c r="N1063" s="37"/>
      <c r="O1063" s="37" t="s">
        <v>6579</v>
      </c>
      <c r="P1063" s="37" t="s">
        <v>2697</v>
      </c>
      <c r="Q1063" s="37" t="s">
        <v>10</v>
      </c>
      <c r="R1063" s="37"/>
      <c r="S1063" s="37"/>
      <c r="T1063" s="37"/>
      <c r="U1063" s="37"/>
      <c r="V1063" s="37" t="s">
        <v>77</v>
      </c>
      <c r="W1063" s="37" t="s">
        <v>195</v>
      </c>
      <c r="X1063" s="25"/>
      <c r="Y1063" s="25"/>
      <c r="Z1063" s="25"/>
      <c r="AA1063" s="25"/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</row>
    <row r="1064" spans="1:37">
      <c r="A1064" s="37"/>
      <c r="B1064" s="37"/>
      <c r="C1064" s="37"/>
      <c r="D1064" s="37" t="s">
        <v>448</v>
      </c>
      <c r="E1064" s="37" t="s">
        <v>4765</v>
      </c>
      <c r="F1064" s="37" t="s">
        <v>4768</v>
      </c>
      <c r="G1064" s="37" t="s">
        <v>4766</v>
      </c>
      <c r="H1064" s="37"/>
      <c r="I1064" s="37" t="s">
        <v>420</v>
      </c>
      <c r="J1064" s="37" t="s">
        <v>75</v>
      </c>
      <c r="K1064" s="40" t="s">
        <v>451</v>
      </c>
      <c r="L1064" s="37" t="s">
        <v>64</v>
      </c>
      <c r="M1064" s="37" t="s">
        <v>4767</v>
      </c>
      <c r="N1064" s="37"/>
      <c r="O1064" s="37" t="s">
        <v>6579</v>
      </c>
      <c r="P1064" s="37" t="s">
        <v>2697</v>
      </c>
      <c r="Q1064" s="37" t="s">
        <v>10</v>
      </c>
      <c r="R1064" s="37"/>
      <c r="S1064" s="37"/>
      <c r="T1064" s="37" t="s">
        <v>158</v>
      </c>
      <c r="U1064" s="37" t="s">
        <v>767</v>
      </c>
      <c r="V1064" s="37" t="s">
        <v>77</v>
      </c>
      <c r="W1064" s="37" t="s">
        <v>73</v>
      </c>
      <c r="X1064" s="25"/>
      <c r="Y1064" s="25"/>
      <c r="Z1064" s="25"/>
      <c r="AA1064" s="25"/>
      <c r="AB1064" s="25"/>
      <c r="AC1064" s="25"/>
      <c r="AD1064" s="25"/>
      <c r="AE1064" s="25"/>
      <c r="AF1064" s="25"/>
      <c r="AG1064" s="25"/>
      <c r="AH1064" s="25"/>
      <c r="AI1064" s="25"/>
      <c r="AJ1064" s="25"/>
      <c r="AK1064" s="25"/>
    </row>
    <row r="1065" spans="1:37">
      <c r="A1065" s="37"/>
      <c r="B1065" s="37"/>
      <c r="C1065" s="37"/>
      <c r="D1065" s="37" t="s">
        <v>524</v>
      </c>
      <c r="E1065" s="37" t="s">
        <v>6584</v>
      </c>
      <c r="F1065" s="37" t="s">
        <v>6585</v>
      </c>
      <c r="G1065" s="37" t="s">
        <v>6586</v>
      </c>
      <c r="H1065" s="37"/>
      <c r="I1065" s="37" t="s">
        <v>420</v>
      </c>
      <c r="J1065" s="37" t="s">
        <v>75</v>
      </c>
      <c r="K1065" s="40" t="s">
        <v>458</v>
      </c>
      <c r="L1065" s="37" t="s">
        <v>64</v>
      </c>
      <c r="M1065" s="37" t="s">
        <v>6587</v>
      </c>
      <c r="N1065" s="37"/>
      <c r="O1065" s="37" t="s">
        <v>6579</v>
      </c>
      <c r="P1065" s="37" t="s">
        <v>2697</v>
      </c>
      <c r="Q1065" s="37" t="s">
        <v>10</v>
      </c>
      <c r="R1065" s="37"/>
      <c r="S1065" s="37"/>
      <c r="T1065" s="37"/>
      <c r="U1065" s="37"/>
      <c r="V1065" s="37" t="s">
        <v>72</v>
      </c>
      <c r="W1065" s="37" t="s">
        <v>195</v>
      </c>
      <c r="X1065" s="25"/>
      <c r="Y1065" s="25"/>
      <c r="Z1065" s="25"/>
      <c r="AA1065" s="25"/>
      <c r="AB1065" s="25"/>
      <c r="AC1065" s="25"/>
      <c r="AD1065" s="25"/>
      <c r="AE1065" s="25"/>
      <c r="AF1065" s="25"/>
      <c r="AG1065" s="25"/>
      <c r="AH1065" s="25"/>
      <c r="AI1065" s="25"/>
      <c r="AJ1065" s="25"/>
      <c r="AK1065" s="25"/>
    </row>
    <row r="1066" spans="1:37">
      <c r="A1066" s="37"/>
      <c r="B1066" s="37"/>
      <c r="C1066" s="37"/>
      <c r="D1066" s="37" t="s">
        <v>6588</v>
      </c>
      <c r="E1066" s="37" t="s">
        <v>6589</v>
      </c>
      <c r="F1066" s="37" t="s">
        <v>6590</v>
      </c>
      <c r="G1066" s="37" t="s">
        <v>3096</v>
      </c>
      <c r="H1066" s="37"/>
      <c r="I1066" s="37" t="s">
        <v>5993</v>
      </c>
      <c r="J1066" s="37" t="s">
        <v>75</v>
      </c>
      <c r="K1066" s="40" t="s">
        <v>698</v>
      </c>
      <c r="L1066" s="37" t="s">
        <v>64</v>
      </c>
      <c r="M1066" s="37" t="s">
        <v>6591</v>
      </c>
      <c r="N1066" s="37"/>
      <c r="O1066" s="37" t="s">
        <v>6579</v>
      </c>
      <c r="P1066" s="37" t="s">
        <v>2697</v>
      </c>
      <c r="Q1066" s="37" t="s">
        <v>10</v>
      </c>
      <c r="R1066" s="37"/>
      <c r="S1066" s="37"/>
      <c r="T1066" s="37"/>
      <c r="U1066" s="37"/>
      <c r="V1066" s="37" t="s">
        <v>72</v>
      </c>
      <c r="W1066" s="37" t="s">
        <v>69</v>
      </c>
      <c r="X1066" s="25"/>
      <c r="Y1066" s="25"/>
      <c r="Z1066" s="25"/>
      <c r="AA1066" s="25"/>
      <c r="AB1066" s="25"/>
      <c r="AC1066" s="25"/>
      <c r="AD1066" s="25"/>
      <c r="AE1066" s="25"/>
      <c r="AF1066" s="25"/>
      <c r="AG1066" s="25"/>
      <c r="AH1066" s="25"/>
      <c r="AI1066" s="25"/>
      <c r="AJ1066" s="25"/>
      <c r="AK1066" s="25"/>
    </row>
    <row r="1067" spans="1:37">
      <c r="A1067" s="37"/>
      <c r="B1067" s="37"/>
      <c r="C1067" s="37"/>
      <c r="D1067" s="37" t="s">
        <v>6592</v>
      </c>
      <c r="E1067" s="37" t="s">
        <v>6593</v>
      </c>
      <c r="F1067" s="37" t="s">
        <v>6594</v>
      </c>
      <c r="G1067" s="37" t="s">
        <v>6595</v>
      </c>
      <c r="H1067" s="37"/>
      <c r="I1067" s="37" t="s">
        <v>420</v>
      </c>
      <c r="J1067" s="37" t="s">
        <v>75</v>
      </c>
      <c r="K1067" s="40" t="s">
        <v>458</v>
      </c>
      <c r="L1067" s="37" t="s">
        <v>64</v>
      </c>
      <c r="M1067" s="37" t="s">
        <v>6596</v>
      </c>
      <c r="N1067" s="37"/>
      <c r="O1067" s="37" t="s">
        <v>6579</v>
      </c>
      <c r="P1067" s="37" t="s">
        <v>2697</v>
      </c>
      <c r="Q1067" s="37" t="s">
        <v>10</v>
      </c>
      <c r="R1067" s="37"/>
      <c r="S1067" s="37"/>
      <c r="T1067" s="37"/>
      <c r="U1067" s="37"/>
      <c r="V1067" s="37" t="s">
        <v>72</v>
      </c>
      <c r="W1067" s="37" t="s">
        <v>195</v>
      </c>
      <c r="X1067" s="25"/>
      <c r="Y1067" s="25"/>
      <c r="Z1067" s="25"/>
      <c r="AA1067" s="25"/>
      <c r="AB1067" s="25"/>
      <c r="AC1067" s="25"/>
      <c r="AD1067" s="25"/>
      <c r="AE1067" s="25"/>
      <c r="AF1067" s="25"/>
      <c r="AG1067" s="25"/>
      <c r="AH1067" s="25"/>
      <c r="AI1067" s="25"/>
      <c r="AJ1067" s="25"/>
      <c r="AK1067" s="25"/>
    </row>
    <row r="1068" spans="1:37">
      <c r="A1068" s="37" t="s">
        <v>6597</v>
      </c>
      <c r="B1068" s="37"/>
      <c r="C1068" s="37"/>
      <c r="D1068" s="37" t="s">
        <v>6598</v>
      </c>
      <c r="E1068" s="37" t="s">
        <v>6599</v>
      </c>
      <c r="F1068" s="37" t="s">
        <v>6600</v>
      </c>
      <c r="G1068" s="37" t="s">
        <v>3096</v>
      </c>
      <c r="H1068" s="37"/>
      <c r="I1068" s="37" t="s">
        <v>5993</v>
      </c>
      <c r="J1068" s="37" t="s">
        <v>75</v>
      </c>
      <c r="K1068" s="40" t="s">
        <v>698</v>
      </c>
      <c r="L1068" s="37" t="s">
        <v>64</v>
      </c>
      <c r="M1068" s="37" t="s">
        <v>6601</v>
      </c>
      <c r="N1068" s="37"/>
      <c r="O1068" s="37" t="s">
        <v>6579</v>
      </c>
      <c r="P1068" s="37" t="s">
        <v>2697</v>
      </c>
      <c r="Q1068" s="37" t="s">
        <v>10</v>
      </c>
      <c r="R1068" s="37"/>
      <c r="S1068" s="37"/>
      <c r="T1068" s="37" t="s">
        <v>69</v>
      </c>
      <c r="U1068" s="37"/>
      <c r="V1068" s="37" t="s">
        <v>72</v>
      </c>
      <c r="W1068" s="37" t="s">
        <v>69</v>
      </c>
      <c r="X1068" s="25"/>
      <c r="Y1068" s="25"/>
      <c r="Z1068" s="25"/>
      <c r="AA1068" s="25"/>
      <c r="AB1068" s="25"/>
      <c r="AC1068" s="25"/>
      <c r="AD1068" s="25"/>
      <c r="AE1068" s="25"/>
      <c r="AF1068" s="25"/>
      <c r="AG1068" s="25"/>
      <c r="AH1068" s="25"/>
      <c r="AI1068" s="25"/>
      <c r="AJ1068" s="25"/>
      <c r="AK1068" s="25"/>
    </row>
    <row r="1069" spans="1:37">
      <c r="A1069" s="37"/>
      <c r="B1069" s="37"/>
      <c r="C1069" s="37"/>
      <c r="D1069" s="37" t="s">
        <v>90</v>
      </c>
      <c r="E1069" s="37" t="s">
        <v>80</v>
      </c>
      <c r="F1069" s="37" t="s">
        <v>100</v>
      </c>
      <c r="G1069" s="37" t="s">
        <v>91</v>
      </c>
      <c r="H1069" s="37"/>
      <c r="I1069" s="37" t="s">
        <v>92</v>
      </c>
      <c r="J1069" s="37" t="s">
        <v>93</v>
      </c>
      <c r="K1069" s="40" t="s">
        <v>94</v>
      </c>
      <c r="L1069" s="37" t="s">
        <v>64</v>
      </c>
      <c r="M1069" s="37" t="s">
        <v>95</v>
      </c>
      <c r="N1069" s="37"/>
      <c r="O1069" s="37" t="s">
        <v>96</v>
      </c>
      <c r="P1069" s="37" t="s">
        <v>97</v>
      </c>
      <c r="Q1069" s="37" t="s">
        <v>98</v>
      </c>
      <c r="R1069" s="37"/>
      <c r="S1069" s="37"/>
      <c r="T1069" s="37"/>
      <c r="U1069" s="37"/>
      <c r="V1069" s="37" t="s">
        <v>88</v>
      </c>
      <c r="W1069" s="37" t="s">
        <v>99</v>
      </c>
      <c r="X1069" s="25"/>
      <c r="Y1069" s="25"/>
      <c r="Z1069" s="25"/>
      <c r="AA1069" s="25"/>
      <c r="AB1069" s="25"/>
      <c r="AC1069" s="25"/>
      <c r="AD1069" s="25"/>
      <c r="AE1069" s="25"/>
      <c r="AF1069" s="25"/>
      <c r="AG1069" s="25"/>
      <c r="AH1069" s="25"/>
      <c r="AI1069" s="25"/>
      <c r="AJ1069" s="25"/>
      <c r="AK1069" s="25"/>
    </row>
    <row r="1070" spans="1:37">
      <c r="A1070" s="37"/>
      <c r="B1070" s="37"/>
      <c r="C1070" s="37"/>
      <c r="D1070" s="37" t="s">
        <v>494</v>
      </c>
      <c r="E1070" s="37" t="s">
        <v>495</v>
      </c>
      <c r="F1070" s="37" t="s">
        <v>502</v>
      </c>
      <c r="G1070" s="37" t="s">
        <v>496</v>
      </c>
      <c r="H1070" s="37"/>
      <c r="I1070" s="37" t="s">
        <v>497</v>
      </c>
      <c r="J1070" s="37" t="s">
        <v>498</v>
      </c>
      <c r="K1070" s="40" t="s">
        <v>499</v>
      </c>
      <c r="L1070" s="37" t="s">
        <v>64</v>
      </c>
      <c r="M1070" s="37" t="s">
        <v>500</v>
      </c>
      <c r="N1070" s="37" t="s">
        <v>501</v>
      </c>
      <c r="O1070" s="37" t="s">
        <v>96</v>
      </c>
      <c r="P1070" s="37" t="s">
        <v>268</v>
      </c>
      <c r="Q1070" s="37" t="s">
        <v>10</v>
      </c>
      <c r="R1070" s="37"/>
      <c r="S1070" s="37"/>
      <c r="T1070" s="37" t="s">
        <v>69</v>
      </c>
      <c r="U1070" s="37"/>
      <c r="V1070" s="37" t="s">
        <v>72</v>
      </c>
      <c r="W1070" s="37" t="s">
        <v>69</v>
      </c>
      <c r="X1070" s="25"/>
      <c r="Y1070" s="25"/>
      <c r="Z1070" s="25"/>
      <c r="AA1070" s="25"/>
      <c r="AB1070" s="25"/>
      <c r="AC1070" s="25"/>
      <c r="AD1070" s="25"/>
      <c r="AE1070" s="25"/>
      <c r="AF1070" s="25"/>
      <c r="AG1070" s="25"/>
      <c r="AH1070" s="25"/>
      <c r="AI1070" s="25"/>
      <c r="AJ1070" s="25"/>
      <c r="AK1070" s="25"/>
    </row>
    <row r="1071" spans="1:37">
      <c r="A1071" s="37"/>
      <c r="B1071" s="37"/>
      <c r="C1071" s="37"/>
      <c r="D1071" s="37" t="s">
        <v>3750</v>
      </c>
      <c r="E1071" s="37" t="s">
        <v>3751</v>
      </c>
      <c r="F1071" s="37" t="s">
        <v>3757</v>
      </c>
      <c r="G1071" s="37" t="s">
        <v>3752</v>
      </c>
      <c r="H1071" s="37"/>
      <c r="I1071" s="37" t="s">
        <v>3753</v>
      </c>
      <c r="J1071" s="37" t="s">
        <v>75</v>
      </c>
      <c r="K1071" s="40" t="s">
        <v>3754</v>
      </c>
      <c r="L1071" s="37" t="s">
        <v>64</v>
      </c>
      <c r="M1071" s="37" t="s">
        <v>3755</v>
      </c>
      <c r="N1071" s="37"/>
      <c r="O1071" s="37" t="s">
        <v>96</v>
      </c>
      <c r="P1071" s="37" t="s">
        <v>595</v>
      </c>
      <c r="Q1071" s="37" t="s">
        <v>10</v>
      </c>
      <c r="R1071" s="37"/>
      <c r="S1071" s="37" t="s">
        <v>3756</v>
      </c>
      <c r="T1071" s="37"/>
      <c r="U1071" s="37"/>
      <c r="V1071" s="37" t="s">
        <v>77</v>
      </c>
      <c r="W1071" s="37" t="s">
        <v>73</v>
      </c>
      <c r="X1071" s="25"/>
      <c r="Y1071" s="25"/>
      <c r="Z1071" s="25"/>
      <c r="AA1071" s="25"/>
      <c r="AB1071" s="25"/>
      <c r="AC1071" s="25"/>
      <c r="AD1071" s="25"/>
      <c r="AE1071" s="25"/>
      <c r="AF1071" s="25"/>
      <c r="AG1071" s="25"/>
      <c r="AH1071" s="25"/>
      <c r="AI1071" s="25"/>
      <c r="AJ1071" s="25"/>
      <c r="AK1071" s="25"/>
    </row>
    <row r="1072" spans="1:37">
      <c r="A1072" s="37"/>
      <c r="B1072" s="37"/>
      <c r="C1072" s="37"/>
      <c r="D1072" s="37" t="s">
        <v>527</v>
      </c>
      <c r="E1072" s="37" t="s">
        <v>589</v>
      </c>
      <c r="F1072" s="38" t="s">
        <v>5739</v>
      </c>
      <c r="G1072" s="37" t="s">
        <v>590</v>
      </c>
      <c r="H1072" s="37"/>
      <c r="I1072" s="37" t="s">
        <v>591</v>
      </c>
      <c r="J1072" s="37" t="s">
        <v>75</v>
      </c>
      <c r="K1072" s="40" t="s">
        <v>592</v>
      </c>
      <c r="L1072" s="37" t="s">
        <v>64</v>
      </c>
      <c r="M1072" s="37" t="s">
        <v>593</v>
      </c>
      <c r="N1072" s="37"/>
      <c r="O1072" s="37" t="s">
        <v>96</v>
      </c>
      <c r="P1072" s="37" t="s">
        <v>97</v>
      </c>
      <c r="Q1072" s="37" t="s">
        <v>10</v>
      </c>
      <c r="R1072" s="37"/>
      <c r="S1072" s="37" t="s">
        <v>6602</v>
      </c>
      <c r="T1072" s="37"/>
      <c r="U1072" s="37"/>
      <c r="V1072" s="37" t="s">
        <v>77</v>
      </c>
      <c r="W1072" s="37" t="s">
        <v>97</v>
      </c>
      <c r="X1072" s="25"/>
      <c r="Y1072" s="25"/>
      <c r="Z1072" s="25"/>
      <c r="AA1072" s="25"/>
      <c r="AB1072" s="25"/>
      <c r="AC1072" s="25"/>
      <c r="AD1072" s="25"/>
      <c r="AE1072" s="25"/>
      <c r="AF1072" s="25"/>
      <c r="AG1072" s="25"/>
      <c r="AH1072" s="25"/>
      <c r="AI1072" s="25"/>
      <c r="AJ1072" s="25"/>
      <c r="AK1072" s="25"/>
    </row>
    <row r="1073" spans="1:37">
      <c r="A1073" s="37"/>
      <c r="B1073" s="37"/>
      <c r="C1073" s="37"/>
      <c r="D1073" s="37" t="s">
        <v>594</v>
      </c>
      <c r="E1073" s="37" t="s">
        <v>589</v>
      </c>
      <c r="F1073" s="38" t="s">
        <v>5739</v>
      </c>
      <c r="G1073" s="37" t="s">
        <v>590</v>
      </c>
      <c r="H1073" s="37"/>
      <c r="I1073" s="37" t="s">
        <v>591</v>
      </c>
      <c r="J1073" s="37" t="s">
        <v>75</v>
      </c>
      <c r="K1073" s="40" t="s">
        <v>592</v>
      </c>
      <c r="L1073" s="37" t="s">
        <v>64</v>
      </c>
      <c r="M1073" s="37" t="s">
        <v>593</v>
      </c>
      <c r="N1073" s="37"/>
      <c r="O1073" s="37" t="s">
        <v>96</v>
      </c>
      <c r="P1073" s="37" t="s">
        <v>595</v>
      </c>
      <c r="Q1073" s="37" t="s">
        <v>10</v>
      </c>
      <c r="R1073" s="37"/>
      <c r="S1073" s="37" t="s">
        <v>596</v>
      </c>
      <c r="T1073" s="37"/>
      <c r="U1073" s="37"/>
      <c r="V1073" s="37" t="s">
        <v>77</v>
      </c>
      <c r="W1073" s="37" t="s">
        <v>97</v>
      </c>
      <c r="X1073" s="25"/>
      <c r="Y1073" s="25"/>
      <c r="Z1073" s="25"/>
      <c r="AA1073" s="25"/>
      <c r="AB1073" s="25"/>
      <c r="AC1073" s="25"/>
      <c r="AD1073" s="25"/>
      <c r="AE1073" s="25"/>
      <c r="AF1073" s="25"/>
      <c r="AG1073" s="25"/>
      <c r="AH1073" s="25"/>
      <c r="AI1073" s="25"/>
      <c r="AJ1073" s="25"/>
      <c r="AK1073" s="25"/>
    </row>
    <row r="1074" spans="1:37">
      <c r="A1074" s="37" t="s">
        <v>633</v>
      </c>
      <c r="B1074" s="37"/>
      <c r="C1074" s="37"/>
      <c r="D1074" s="37" t="s">
        <v>444</v>
      </c>
      <c r="E1074" s="37" t="s">
        <v>630</v>
      </c>
      <c r="F1074" s="37" t="s">
        <v>6603</v>
      </c>
      <c r="G1074" s="37" t="s">
        <v>6604</v>
      </c>
      <c r="H1074" s="37"/>
      <c r="I1074" s="37" t="s">
        <v>6605</v>
      </c>
      <c r="J1074" s="37" t="s">
        <v>121</v>
      </c>
      <c r="K1074" s="40" t="s">
        <v>6606</v>
      </c>
      <c r="L1074" s="37" t="s">
        <v>64</v>
      </c>
      <c r="M1074" s="37" t="s">
        <v>6607</v>
      </c>
      <c r="N1074" s="37"/>
      <c r="O1074" s="37" t="s">
        <v>96</v>
      </c>
      <c r="P1074" s="37" t="s">
        <v>97</v>
      </c>
      <c r="Q1074" s="37" t="s">
        <v>71</v>
      </c>
      <c r="R1074" s="37"/>
      <c r="S1074" s="37"/>
      <c r="T1074" s="37" t="s">
        <v>158</v>
      </c>
      <c r="U1074" s="37" t="s">
        <v>69</v>
      </c>
      <c r="V1074" s="37" t="s">
        <v>72</v>
      </c>
      <c r="W1074" s="37" t="s">
        <v>97</v>
      </c>
      <c r="X1074" s="25"/>
      <c r="Y1074" s="25"/>
      <c r="Z1074" s="25"/>
      <c r="AA1074" s="25"/>
      <c r="AB1074" s="25"/>
      <c r="AC1074" s="25"/>
      <c r="AD1074" s="25"/>
      <c r="AE1074" s="25"/>
      <c r="AF1074" s="25"/>
      <c r="AG1074" s="25"/>
      <c r="AH1074" s="25"/>
      <c r="AI1074" s="25"/>
      <c r="AJ1074" s="25"/>
      <c r="AK1074" s="25"/>
    </row>
    <row r="1075" spans="1:37">
      <c r="A1075" s="37" t="s">
        <v>250</v>
      </c>
      <c r="B1075" s="37"/>
      <c r="C1075" s="37"/>
      <c r="D1075" s="37" t="s">
        <v>1275</v>
      </c>
      <c r="E1075" s="37" t="s">
        <v>4494</v>
      </c>
      <c r="F1075" s="37" t="s">
        <v>6608</v>
      </c>
      <c r="G1075" s="37" t="s">
        <v>4495</v>
      </c>
      <c r="H1075" s="37"/>
      <c r="I1075" s="37" t="s">
        <v>4496</v>
      </c>
      <c r="J1075" s="37" t="s">
        <v>230</v>
      </c>
      <c r="K1075" s="40" t="s">
        <v>4497</v>
      </c>
      <c r="L1075" s="37" t="s">
        <v>64</v>
      </c>
      <c r="M1075" s="37" t="s">
        <v>4498</v>
      </c>
      <c r="N1075" s="37" t="s">
        <v>4499</v>
      </c>
      <c r="O1075" s="37" t="s">
        <v>96</v>
      </c>
      <c r="P1075" s="37" t="s">
        <v>268</v>
      </c>
      <c r="Q1075" s="37" t="s">
        <v>10</v>
      </c>
      <c r="R1075" s="37"/>
      <c r="S1075" s="37" t="s">
        <v>4500</v>
      </c>
      <c r="T1075" s="37" t="s">
        <v>158</v>
      </c>
      <c r="U1075" s="37" t="s">
        <v>116</v>
      </c>
      <c r="V1075" s="37" t="s">
        <v>72</v>
      </c>
      <c r="W1075" s="37" t="s">
        <v>756</v>
      </c>
      <c r="X1075" s="25"/>
      <c r="Y1075" s="25"/>
      <c r="Z1075" s="25"/>
      <c r="AA1075" s="25"/>
      <c r="AB1075" s="25"/>
      <c r="AC1075" s="25"/>
      <c r="AD1075" s="25"/>
      <c r="AE1075" s="25"/>
      <c r="AF1075" s="25"/>
      <c r="AG1075" s="25"/>
      <c r="AH1075" s="25"/>
      <c r="AI1075" s="25"/>
      <c r="AJ1075" s="25"/>
      <c r="AK1075" s="25"/>
    </row>
    <row r="1076" spans="1:37">
      <c r="A1076" s="37"/>
      <c r="B1076" s="37"/>
      <c r="C1076" s="37"/>
      <c r="D1076" s="37" t="s">
        <v>74</v>
      </c>
      <c r="E1076" s="37" t="s">
        <v>781</v>
      </c>
      <c r="F1076" s="37" t="s">
        <v>798</v>
      </c>
      <c r="G1076" s="37" t="s">
        <v>792</v>
      </c>
      <c r="H1076" s="37" t="s">
        <v>793</v>
      </c>
      <c r="I1076" s="37" t="s">
        <v>794</v>
      </c>
      <c r="J1076" s="37" t="s">
        <v>196</v>
      </c>
      <c r="K1076" s="40" t="s">
        <v>795</v>
      </c>
      <c r="L1076" s="37" t="s">
        <v>64</v>
      </c>
      <c r="M1076" s="37" t="s">
        <v>796</v>
      </c>
      <c r="N1076" s="37" t="s">
        <v>797</v>
      </c>
      <c r="O1076" s="37" t="s">
        <v>96</v>
      </c>
      <c r="P1076" s="37" t="s">
        <v>97</v>
      </c>
      <c r="Q1076" s="37" t="s">
        <v>98</v>
      </c>
      <c r="R1076" s="37"/>
      <c r="S1076" s="37"/>
      <c r="T1076" s="37" t="s">
        <v>66</v>
      </c>
      <c r="U1076" s="37"/>
      <c r="V1076" s="37" t="s">
        <v>77</v>
      </c>
      <c r="W1076" s="37" t="s">
        <v>78</v>
      </c>
      <c r="X1076" s="25"/>
      <c r="Y1076" s="25"/>
      <c r="Z1076" s="25"/>
      <c r="AA1076" s="25"/>
      <c r="AB1076" s="25"/>
      <c r="AC1076" s="25"/>
      <c r="AD1076" s="25"/>
      <c r="AE1076" s="25"/>
      <c r="AF1076" s="25"/>
      <c r="AG1076" s="25"/>
      <c r="AH1076" s="25"/>
      <c r="AI1076" s="25"/>
      <c r="AJ1076" s="25"/>
      <c r="AK1076" s="25"/>
    </row>
    <row r="1077" spans="1:37">
      <c r="A1077" s="37"/>
      <c r="B1077" s="37"/>
      <c r="C1077" s="37"/>
      <c r="D1077" s="37" t="s">
        <v>921</v>
      </c>
      <c r="E1077" s="37" t="s">
        <v>922</v>
      </c>
      <c r="F1077" s="37" t="s">
        <v>924</v>
      </c>
      <c r="G1077" s="37" t="s">
        <v>91</v>
      </c>
      <c r="H1077" s="37"/>
      <c r="I1077" s="37" t="s">
        <v>92</v>
      </c>
      <c r="J1077" s="37" t="s">
        <v>93</v>
      </c>
      <c r="K1077" s="40" t="s">
        <v>94</v>
      </c>
      <c r="L1077" s="37" t="s">
        <v>64</v>
      </c>
      <c r="M1077" s="37" t="s">
        <v>923</v>
      </c>
      <c r="N1077" s="37"/>
      <c r="O1077" s="37" t="s">
        <v>96</v>
      </c>
      <c r="P1077" s="37" t="s">
        <v>268</v>
      </c>
      <c r="Q1077" s="37" t="s">
        <v>98</v>
      </c>
      <c r="R1077" s="37"/>
      <c r="S1077" s="37" t="s">
        <v>5357</v>
      </c>
      <c r="T1077" s="37"/>
      <c r="U1077" s="37"/>
      <c r="V1077" s="37" t="s">
        <v>72</v>
      </c>
      <c r="W1077" s="37" t="s">
        <v>69</v>
      </c>
      <c r="X1077" s="25"/>
      <c r="Y1077" s="25"/>
      <c r="Z1077" s="25"/>
      <c r="AA1077" s="25"/>
      <c r="AB1077" s="25"/>
      <c r="AC1077" s="25"/>
      <c r="AD1077" s="25"/>
      <c r="AE1077" s="25"/>
      <c r="AF1077" s="25"/>
      <c r="AG1077" s="25"/>
      <c r="AH1077" s="25"/>
      <c r="AI1077" s="25"/>
      <c r="AJ1077" s="25"/>
      <c r="AK1077" s="25"/>
    </row>
    <row r="1078" spans="1:37">
      <c r="A1078" s="37"/>
      <c r="B1078" s="37"/>
      <c r="C1078" s="37"/>
      <c r="D1078" s="37" t="s">
        <v>940</v>
      </c>
      <c r="E1078" s="37" t="s">
        <v>5662</v>
      </c>
      <c r="F1078" s="37" t="s">
        <v>5669</v>
      </c>
      <c r="G1078" s="37" t="s">
        <v>5663</v>
      </c>
      <c r="H1078" s="37"/>
      <c r="I1078" s="37" t="s">
        <v>206</v>
      </c>
      <c r="J1078" s="37" t="s">
        <v>673</v>
      </c>
      <c r="K1078" s="40" t="s">
        <v>5664</v>
      </c>
      <c r="L1078" s="37" t="s">
        <v>64</v>
      </c>
      <c r="M1078" s="37" t="s">
        <v>5665</v>
      </c>
      <c r="N1078" s="37" t="s">
        <v>5666</v>
      </c>
      <c r="O1078" s="37" t="s">
        <v>96</v>
      </c>
      <c r="P1078" s="37" t="s">
        <v>268</v>
      </c>
      <c r="Q1078" s="37" t="s">
        <v>98</v>
      </c>
      <c r="R1078" s="37" t="s">
        <v>5667</v>
      </c>
      <c r="S1078" s="37" t="s">
        <v>5668</v>
      </c>
      <c r="T1078" s="37"/>
      <c r="U1078" s="37"/>
      <c r="V1078" s="37" t="s">
        <v>118</v>
      </c>
      <c r="W1078" s="37" t="s">
        <v>2140</v>
      </c>
      <c r="X1078" s="25"/>
      <c r="Y1078" s="25"/>
      <c r="Z1078" s="25"/>
      <c r="AA1078" s="25"/>
      <c r="AB1078" s="25"/>
      <c r="AC1078" s="25"/>
      <c r="AD1078" s="25"/>
      <c r="AE1078" s="25"/>
      <c r="AF1078" s="25"/>
      <c r="AG1078" s="25"/>
      <c r="AH1078" s="25"/>
      <c r="AI1078" s="25"/>
      <c r="AJ1078" s="25"/>
      <c r="AK1078" s="25"/>
    </row>
    <row r="1079" spans="1:37">
      <c r="A1079" s="37"/>
      <c r="B1079" s="37"/>
      <c r="C1079" s="37"/>
      <c r="D1079" s="37" t="s">
        <v>957</v>
      </c>
      <c r="E1079" s="37" t="s">
        <v>958</v>
      </c>
      <c r="F1079" s="37" t="s">
        <v>959</v>
      </c>
      <c r="G1079" s="37" t="s">
        <v>703</v>
      </c>
      <c r="H1079" s="37"/>
      <c r="I1079" s="37" t="s">
        <v>704</v>
      </c>
      <c r="J1079" s="37" t="s">
        <v>114</v>
      </c>
      <c r="K1079" s="40" t="s">
        <v>705</v>
      </c>
      <c r="L1079" s="37" t="s">
        <v>64</v>
      </c>
      <c r="M1079" s="37" t="s">
        <v>706</v>
      </c>
      <c r="N1079" s="37"/>
      <c r="O1079" s="37" t="s">
        <v>96</v>
      </c>
      <c r="P1079" s="37" t="s">
        <v>595</v>
      </c>
      <c r="Q1079" s="37" t="s">
        <v>16</v>
      </c>
      <c r="R1079" s="37"/>
      <c r="S1079" s="37"/>
      <c r="T1079" s="37" t="s">
        <v>66</v>
      </c>
      <c r="U1079" s="37" t="s">
        <v>69</v>
      </c>
      <c r="V1079" s="37" t="s">
        <v>88</v>
      </c>
      <c r="W1079" s="37" t="s">
        <v>69</v>
      </c>
      <c r="X1079" s="25"/>
      <c r="Y1079" s="25"/>
      <c r="Z1079" s="25"/>
      <c r="AA1079" s="25"/>
      <c r="AB1079" s="25"/>
      <c r="AC1079" s="25"/>
      <c r="AD1079" s="25"/>
      <c r="AE1079" s="25"/>
      <c r="AF1079" s="25"/>
      <c r="AG1079" s="25"/>
      <c r="AH1079" s="25"/>
      <c r="AI1079" s="25"/>
      <c r="AJ1079" s="25"/>
      <c r="AK1079" s="25"/>
    </row>
    <row r="1080" spans="1:37">
      <c r="A1080" s="37"/>
      <c r="B1080" s="37"/>
      <c r="C1080" s="37"/>
      <c r="D1080" s="37" t="s">
        <v>2462</v>
      </c>
      <c r="E1080" s="37" t="s">
        <v>6609</v>
      </c>
      <c r="F1080" s="38" t="s">
        <v>5739</v>
      </c>
      <c r="G1080" s="37" t="s">
        <v>6610</v>
      </c>
      <c r="H1080" s="37"/>
      <c r="I1080" s="37" t="s">
        <v>6611</v>
      </c>
      <c r="J1080" s="37" t="s">
        <v>148</v>
      </c>
      <c r="K1080" s="40" t="s">
        <v>5368</v>
      </c>
      <c r="L1080" s="37" t="s">
        <v>5369</v>
      </c>
      <c r="M1080" s="37" t="s">
        <v>6612</v>
      </c>
      <c r="N1080" s="37" t="s">
        <v>6613</v>
      </c>
      <c r="O1080" s="37" t="s">
        <v>96</v>
      </c>
      <c r="P1080" s="37" t="s">
        <v>480</v>
      </c>
      <c r="Q1080" s="37" t="s">
        <v>18</v>
      </c>
      <c r="R1080" s="37"/>
      <c r="S1080" s="37"/>
      <c r="T1080" s="37" t="s">
        <v>144</v>
      </c>
      <c r="U1080" s="37"/>
      <c r="V1080" s="37" t="s">
        <v>72</v>
      </c>
      <c r="W1080" s="37" t="s">
        <v>78</v>
      </c>
      <c r="X1080" s="25"/>
      <c r="Y1080" s="25"/>
      <c r="Z1080" s="25"/>
      <c r="AA1080" s="25"/>
      <c r="AB1080" s="25"/>
      <c r="AC1080" s="25"/>
      <c r="AD1080" s="25"/>
      <c r="AE1080" s="25"/>
      <c r="AF1080" s="25"/>
      <c r="AG1080" s="25"/>
      <c r="AH1080" s="25"/>
      <c r="AI1080" s="25"/>
      <c r="AJ1080" s="25"/>
      <c r="AK1080" s="25"/>
    </row>
    <row r="1081" spans="1:37">
      <c r="A1081" s="37" t="s">
        <v>250</v>
      </c>
      <c r="B1081" s="37"/>
      <c r="C1081" s="37"/>
      <c r="D1081" s="37" t="s">
        <v>851</v>
      </c>
      <c r="E1081" s="37" t="s">
        <v>3999</v>
      </c>
      <c r="F1081" s="37" t="s">
        <v>4006</v>
      </c>
      <c r="G1081" s="37" t="s">
        <v>4000</v>
      </c>
      <c r="H1081" s="37" t="s">
        <v>4001</v>
      </c>
      <c r="I1081" s="37" t="s">
        <v>4002</v>
      </c>
      <c r="J1081" s="37" t="s">
        <v>125</v>
      </c>
      <c r="K1081" s="40" t="s">
        <v>4003</v>
      </c>
      <c r="L1081" s="37" t="s">
        <v>64</v>
      </c>
      <c r="M1081" s="37" t="s">
        <v>4004</v>
      </c>
      <c r="N1081" s="37" t="s">
        <v>4005</v>
      </c>
      <c r="O1081" s="37" t="s">
        <v>96</v>
      </c>
      <c r="P1081" s="37" t="s">
        <v>268</v>
      </c>
      <c r="Q1081" s="37" t="s">
        <v>126</v>
      </c>
      <c r="R1081" s="37" t="s">
        <v>628</v>
      </c>
      <c r="S1081" s="37"/>
      <c r="T1081" s="37" t="s">
        <v>66</v>
      </c>
      <c r="U1081" s="37" t="s">
        <v>116</v>
      </c>
      <c r="V1081" s="37" t="s">
        <v>77</v>
      </c>
      <c r="W1081" s="37" t="s">
        <v>135</v>
      </c>
      <c r="X1081" s="25"/>
      <c r="Y1081" s="25"/>
      <c r="Z1081" s="25"/>
      <c r="AA1081" s="25"/>
      <c r="AB1081" s="25"/>
      <c r="AC1081" s="25"/>
      <c r="AD1081" s="25"/>
      <c r="AE1081" s="25"/>
      <c r="AF1081" s="25"/>
      <c r="AG1081" s="25"/>
      <c r="AH1081" s="25"/>
      <c r="AI1081" s="25"/>
      <c r="AJ1081" s="25"/>
      <c r="AK1081" s="25"/>
    </row>
    <row r="1082" spans="1:37">
      <c r="A1082" s="37"/>
      <c r="B1082" s="37"/>
      <c r="C1082" s="37"/>
      <c r="D1082" s="37" t="s">
        <v>1033</v>
      </c>
      <c r="E1082" s="37" t="s">
        <v>1034</v>
      </c>
      <c r="F1082" s="37" t="s">
        <v>1038</v>
      </c>
      <c r="G1082" s="37" t="s">
        <v>1035</v>
      </c>
      <c r="H1082" s="37"/>
      <c r="I1082" s="37" t="s">
        <v>92</v>
      </c>
      <c r="J1082" s="37" t="s">
        <v>93</v>
      </c>
      <c r="K1082" s="40" t="s">
        <v>1036</v>
      </c>
      <c r="L1082" s="37" t="s">
        <v>64</v>
      </c>
      <c r="M1082" s="37" t="s">
        <v>1037</v>
      </c>
      <c r="N1082" s="37"/>
      <c r="O1082" s="37" t="s">
        <v>96</v>
      </c>
      <c r="P1082" s="37" t="s">
        <v>97</v>
      </c>
      <c r="Q1082" s="37" t="s">
        <v>98</v>
      </c>
      <c r="R1082" s="37"/>
      <c r="S1082" s="37"/>
      <c r="T1082" s="37"/>
      <c r="U1082" s="37" t="s">
        <v>69</v>
      </c>
      <c r="V1082" s="37" t="s">
        <v>72</v>
      </c>
      <c r="W1082" s="37" t="s">
        <v>99</v>
      </c>
      <c r="X1082" s="25"/>
      <c r="Y1082" s="25"/>
      <c r="Z1082" s="25"/>
      <c r="AA1082" s="25"/>
      <c r="AB1082" s="25"/>
      <c r="AC1082" s="25"/>
      <c r="AD1082" s="25"/>
      <c r="AE1082" s="25"/>
      <c r="AF1082" s="25"/>
      <c r="AG1082" s="25"/>
      <c r="AH1082" s="25"/>
      <c r="AI1082" s="25"/>
      <c r="AJ1082" s="25"/>
      <c r="AK1082" s="25"/>
    </row>
    <row r="1083" spans="1:37">
      <c r="A1083" s="37"/>
      <c r="B1083" s="37"/>
      <c r="C1083" s="37"/>
      <c r="D1083" s="37" t="s">
        <v>1418</v>
      </c>
      <c r="E1083" s="37" t="s">
        <v>1092</v>
      </c>
      <c r="F1083" s="37" t="s">
        <v>4493</v>
      </c>
      <c r="G1083" s="37" t="s">
        <v>4487</v>
      </c>
      <c r="H1083" s="37" t="s">
        <v>4488</v>
      </c>
      <c r="I1083" s="37" t="s">
        <v>4489</v>
      </c>
      <c r="J1083" s="37" t="s">
        <v>214</v>
      </c>
      <c r="K1083" s="40" t="s">
        <v>4490</v>
      </c>
      <c r="L1083" s="37" t="s">
        <v>64</v>
      </c>
      <c r="M1083" s="37" t="s">
        <v>4491</v>
      </c>
      <c r="N1083" s="37" t="s">
        <v>4492</v>
      </c>
      <c r="O1083" s="37" t="s">
        <v>96</v>
      </c>
      <c r="P1083" s="37" t="s">
        <v>268</v>
      </c>
      <c r="Q1083" s="37" t="s">
        <v>10</v>
      </c>
      <c r="R1083" s="37"/>
      <c r="S1083" s="37"/>
      <c r="T1083" s="37" t="s">
        <v>144</v>
      </c>
      <c r="U1083" s="37"/>
      <c r="V1083" s="37" t="s">
        <v>72</v>
      </c>
      <c r="W1083" s="37" t="s">
        <v>89</v>
      </c>
      <c r="X1083" s="25"/>
      <c r="Y1083" s="25"/>
      <c r="Z1083" s="25"/>
      <c r="AA1083" s="25"/>
      <c r="AB1083" s="25"/>
      <c r="AC1083" s="25"/>
      <c r="AD1083" s="25"/>
      <c r="AE1083" s="25"/>
      <c r="AF1083" s="25"/>
      <c r="AG1083" s="25"/>
      <c r="AH1083" s="25"/>
      <c r="AI1083" s="25"/>
      <c r="AJ1083" s="25"/>
      <c r="AK1083" s="25"/>
    </row>
    <row r="1084" spans="1:37">
      <c r="A1084" s="37"/>
      <c r="B1084" s="37"/>
      <c r="C1084" s="37"/>
      <c r="D1084" s="37" t="s">
        <v>1164</v>
      </c>
      <c r="E1084" s="37" t="s">
        <v>1165</v>
      </c>
      <c r="F1084" s="37" t="s">
        <v>1173</v>
      </c>
      <c r="G1084" s="37" t="s">
        <v>1166</v>
      </c>
      <c r="H1084" s="37" t="s">
        <v>1167</v>
      </c>
      <c r="I1084" s="37" t="s">
        <v>1168</v>
      </c>
      <c r="J1084" s="37" t="s">
        <v>475</v>
      </c>
      <c r="K1084" s="40" t="s">
        <v>1169</v>
      </c>
      <c r="L1084" s="37" t="s">
        <v>64</v>
      </c>
      <c r="M1084" s="37" t="s">
        <v>1170</v>
      </c>
      <c r="N1084" s="37" t="s">
        <v>1171</v>
      </c>
      <c r="O1084" s="37" t="s">
        <v>96</v>
      </c>
      <c r="P1084" s="37" t="s">
        <v>268</v>
      </c>
      <c r="Q1084" s="37" t="s">
        <v>98</v>
      </c>
      <c r="R1084" s="37"/>
      <c r="S1084" s="37" t="s">
        <v>1172</v>
      </c>
      <c r="T1084" s="37" t="s">
        <v>66</v>
      </c>
      <c r="U1084" s="37"/>
      <c r="V1084" s="37" t="s">
        <v>67</v>
      </c>
      <c r="W1084" s="37" t="s">
        <v>69</v>
      </c>
      <c r="X1084" s="25"/>
      <c r="Y1084" s="25"/>
      <c r="Z1084" s="25"/>
      <c r="AA1084" s="25"/>
      <c r="AB1084" s="25"/>
      <c r="AC1084" s="25"/>
      <c r="AD1084" s="25"/>
      <c r="AE1084" s="25"/>
      <c r="AF1084" s="25"/>
      <c r="AG1084" s="25"/>
      <c r="AH1084" s="25"/>
      <c r="AI1084" s="25"/>
      <c r="AJ1084" s="25"/>
      <c r="AK1084" s="25"/>
    </row>
    <row r="1085" spans="1:37">
      <c r="A1085" s="37"/>
      <c r="B1085" s="37"/>
      <c r="C1085" s="37"/>
      <c r="D1085" s="37" t="s">
        <v>6614</v>
      </c>
      <c r="E1085" s="37" t="s">
        <v>6615</v>
      </c>
      <c r="F1085" s="37" t="s">
        <v>6616</v>
      </c>
      <c r="G1085" s="37" t="s">
        <v>6617</v>
      </c>
      <c r="H1085" s="37"/>
      <c r="I1085" s="37" t="s">
        <v>2743</v>
      </c>
      <c r="J1085" s="37" t="s">
        <v>127</v>
      </c>
      <c r="K1085" s="40" t="s">
        <v>6618</v>
      </c>
      <c r="L1085" s="37" t="s">
        <v>64</v>
      </c>
      <c r="M1085" s="37" t="s">
        <v>6619</v>
      </c>
      <c r="N1085" s="37" t="s">
        <v>2744</v>
      </c>
      <c r="O1085" s="37" t="s">
        <v>96</v>
      </c>
      <c r="P1085" s="37" t="s">
        <v>97</v>
      </c>
      <c r="Q1085" s="37" t="s">
        <v>316</v>
      </c>
      <c r="R1085" s="37" t="s">
        <v>205</v>
      </c>
      <c r="S1085" s="37" t="s">
        <v>6620</v>
      </c>
      <c r="T1085" s="37" t="s">
        <v>66</v>
      </c>
      <c r="U1085" s="37" t="s">
        <v>69</v>
      </c>
      <c r="V1085" s="37" t="s">
        <v>88</v>
      </c>
      <c r="W1085" s="37" t="s">
        <v>97</v>
      </c>
      <c r="X1085" s="25"/>
      <c r="Y1085" s="25"/>
      <c r="Z1085" s="25"/>
      <c r="AA1085" s="25"/>
      <c r="AB1085" s="25"/>
      <c r="AC1085" s="25"/>
      <c r="AD1085" s="25"/>
      <c r="AE1085" s="25"/>
      <c r="AF1085" s="25"/>
      <c r="AG1085" s="25"/>
      <c r="AH1085" s="25"/>
      <c r="AI1085" s="25"/>
      <c r="AJ1085" s="25"/>
      <c r="AK1085" s="25"/>
    </row>
    <row r="1086" spans="1:37">
      <c r="A1086" s="37"/>
      <c r="B1086" s="37"/>
      <c r="C1086" s="37"/>
      <c r="D1086" s="37" t="s">
        <v>2758</v>
      </c>
      <c r="E1086" s="37" t="s">
        <v>1647</v>
      </c>
      <c r="F1086" s="37" t="s">
        <v>2762</v>
      </c>
      <c r="G1086" s="37" t="s">
        <v>2759</v>
      </c>
      <c r="H1086" s="37"/>
      <c r="I1086" s="37" t="s">
        <v>2743</v>
      </c>
      <c r="J1086" s="37" t="s">
        <v>127</v>
      </c>
      <c r="K1086" s="40" t="s">
        <v>2760</v>
      </c>
      <c r="L1086" s="37" t="s">
        <v>64</v>
      </c>
      <c r="M1086" s="37" t="s">
        <v>2761</v>
      </c>
      <c r="N1086" s="37" t="s">
        <v>2744</v>
      </c>
      <c r="O1086" s="37" t="s">
        <v>96</v>
      </c>
      <c r="P1086" s="37" t="s">
        <v>97</v>
      </c>
      <c r="Q1086" s="37" t="s">
        <v>316</v>
      </c>
      <c r="R1086" s="37" t="s">
        <v>205</v>
      </c>
      <c r="S1086" s="37" t="s">
        <v>5287</v>
      </c>
      <c r="T1086" s="37" t="s">
        <v>69</v>
      </c>
      <c r="U1086" s="37"/>
      <c r="V1086" s="37" t="s">
        <v>88</v>
      </c>
      <c r="W1086" s="37" t="s">
        <v>99</v>
      </c>
      <c r="X1086" s="25"/>
      <c r="Y1086" s="25"/>
      <c r="Z1086" s="25"/>
      <c r="AA1086" s="25"/>
      <c r="AB1086" s="25"/>
      <c r="AC1086" s="25"/>
      <c r="AD1086" s="25"/>
      <c r="AE1086" s="25"/>
      <c r="AF1086" s="26"/>
      <c r="AG1086" s="25"/>
      <c r="AH1086" s="25"/>
      <c r="AI1086" s="25"/>
      <c r="AJ1086" s="25"/>
      <c r="AK1086" s="25"/>
    </row>
    <row r="1087" spans="1:37">
      <c r="A1087" s="37"/>
      <c r="B1087" s="37"/>
      <c r="C1087" s="37"/>
      <c r="D1087" s="37" t="s">
        <v>2649</v>
      </c>
      <c r="E1087" s="37" t="s">
        <v>1652</v>
      </c>
      <c r="F1087" s="37" t="s">
        <v>3419</v>
      </c>
      <c r="G1087" s="37" t="s">
        <v>5641</v>
      </c>
      <c r="H1087" s="37"/>
      <c r="I1087" s="37" t="s">
        <v>704</v>
      </c>
      <c r="J1087" s="37" t="s">
        <v>114</v>
      </c>
      <c r="K1087" s="40" t="s">
        <v>705</v>
      </c>
      <c r="L1087" s="37" t="s">
        <v>64</v>
      </c>
      <c r="M1087" s="37" t="s">
        <v>706</v>
      </c>
      <c r="N1087" s="37"/>
      <c r="O1087" s="37" t="s">
        <v>96</v>
      </c>
      <c r="P1087" s="37" t="s">
        <v>595</v>
      </c>
      <c r="Q1087" s="37" t="s">
        <v>16</v>
      </c>
      <c r="R1087" s="37"/>
      <c r="S1087" s="37"/>
      <c r="T1087" s="37"/>
      <c r="U1087" s="37" t="s">
        <v>69</v>
      </c>
      <c r="V1087" s="37" t="s">
        <v>72</v>
      </c>
      <c r="W1087" s="37" t="s">
        <v>69</v>
      </c>
      <c r="X1087" s="25"/>
      <c r="Y1087" s="25"/>
      <c r="Z1087" s="25"/>
      <c r="AA1087" s="25"/>
      <c r="AB1087" s="25"/>
      <c r="AC1087" s="25"/>
      <c r="AD1087" s="25"/>
      <c r="AE1087" s="25"/>
      <c r="AF1087" s="25"/>
      <c r="AG1087" s="25"/>
      <c r="AH1087" s="25"/>
      <c r="AI1087" s="25"/>
      <c r="AJ1087" s="25"/>
      <c r="AK1087" s="25"/>
    </row>
    <row r="1088" spans="1:37">
      <c r="A1088" s="37"/>
      <c r="B1088" s="37"/>
      <c r="C1088" s="37"/>
      <c r="D1088" s="37" t="s">
        <v>303</v>
      </c>
      <c r="E1088" s="37" t="s">
        <v>3955</v>
      </c>
      <c r="F1088" s="37" t="s">
        <v>3959</v>
      </c>
      <c r="G1088" s="37" t="s">
        <v>3956</v>
      </c>
      <c r="H1088" s="37"/>
      <c r="I1088" s="37" t="s">
        <v>843</v>
      </c>
      <c r="J1088" s="37" t="s">
        <v>75</v>
      </c>
      <c r="K1088" s="40" t="s">
        <v>3957</v>
      </c>
      <c r="L1088" s="37" t="s">
        <v>64</v>
      </c>
      <c r="M1088" s="37" t="s">
        <v>3958</v>
      </c>
      <c r="N1088" s="37" t="s">
        <v>3958</v>
      </c>
      <c r="O1088" s="37" t="s">
        <v>96</v>
      </c>
      <c r="P1088" s="37" t="s">
        <v>268</v>
      </c>
      <c r="Q1088" s="37" t="s">
        <v>10</v>
      </c>
      <c r="R1088" s="37"/>
      <c r="S1088" s="37"/>
      <c r="T1088" s="37" t="s">
        <v>115</v>
      </c>
      <c r="U1088" s="37"/>
      <c r="V1088" s="37" t="s">
        <v>72</v>
      </c>
      <c r="W1088" s="37" t="s">
        <v>195</v>
      </c>
      <c r="X1088" s="25"/>
      <c r="Y1088" s="25"/>
      <c r="Z1088" s="25"/>
      <c r="AA1088" s="25"/>
      <c r="AB1088" s="25"/>
      <c r="AC1088" s="25"/>
      <c r="AD1088" s="25"/>
      <c r="AE1088" s="25"/>
      <c r="AF1088" s="25"/>
      <c r="AG1088" s="25"/>
      <c r="AH1088" s="25"/>
      <c r="AI1088" s="25"/>
      <c r="AJ1088" s="25"/>
      <c r="AK1088" s="25"/>
    </row>
    <row r="1089" spans="1:37">
      <c r="A1089" s="37"/>
      <c r="B1089" s="37"/>
      <c r="C1089" s="37"/>
      <c r="D1089" s="37" t="s">
        <v>1769</v>
      </c>
      <c r="E1089" s="37" t="s">
        <v>1770</v>
      </c>
      <c r="F1089" s="37" t="s">
        <v>1771</v>
      </c>
      <c r="G1089" s="37" t="s">
        <v>829</v>
      </c>
      <c r="H1089" s="37"/>
      <c r="I1089" s="37" t="s">
        <v>830</v>
      </c>
      <c r="J1089" s="37" t="s">
        <v>200</v>
      </c>
      <c r="K1089" s="40" t="s">
        <v>831</v>
      </c>
      <c r="L1089" s="37" t="s">
        <v>64</v>
      </c>
      <c r="M1089" s="37" t="s">
        <v>6621</v>
      </c>
      <c r="N1089" s="37"/>
      <c r="O1089" s="37" t="s">
        <v>96</v>
      </c>
      <c r="P1089" s="37" t="s">
        <v>97</v>
      </c>
      <c r="Q1089" s="37" t="s">
        <v>18</v>
      </c>
      <c r="R1089" s="37"/>
      <c r="S1089" s="37"/>
      <c r="T1089" s="37" t="s">
        <v>66</v>
      </c>
      <c r="U1089" s="37"/>
      <c r="V1089" s="37" t="s">
        <v>118</v>
      </c>
      <c r="W1089" s="37" t="s">
        <v>99</v>
      </c>
      <c r="X1089" s="25"/>
      <c r="Y1089" s="25"/>
      <c r="Z1089" s="25"/>
      <c r="AA1089" s="25"/>
      <c r="AB1089" s="25"/>
      <c r="AC1089" s="25"/>
      <c r="AD1089" s="25"/>
      <c r="AE1089" s="25"/>
      <c r="AF1089" s="25"/>
      <c r="AG1089" s="25"/>
      <c r="AH1089" s="25"/>
      <c r="AI1089" s="25"/>
      <c r="AJ1089" s="25"/>
      <c r="AK1089" s="25"/>
    </row>
    <row r="1090" spans="1:37">
      <c r="A1090" s="37"/>
      <c r="B1090" s="37"/>
      <c r="C1090" s="37"/>
      <c r="D1090" s="37" t="s">
        <v>6622</v>
      </c>
      <c r="E1090" s="37" t="s">
        <v>6623</v>
      </c>
      <c r="F1090" s="37" t="s">
        <v>6624</v>
      </c>
      <c r="G1090" s="37" t="s">
        <v>6625</v>
      </c>
      <c r="H1090" s="37"/>
      <c r="I1090" s="37" t="s">
        <v>6626</v>
      </c>
      <c r="J1090" s="37" t="s">
        <v>6385</v>
      </c>
      <c r="K1090" s="40" t="s">
        <v>6627</v>
      </c>
      <c r="L1090" s="37" t="s">
        <v>64</v>
      </c>
      <c r="M1090" s="37" t="s">
        <v>6628</v>
      </c>
      <c r="N1090" s="37"/>
      <c r="O1090" s="37" t="s">
        <v>96</v>
      </c>
      <c r="P1090" s="37" t="s">
        <v>268</v>
      </c>
      <c r="Q1090" s="37" t="s">
        <v>4</v>
      </c>
      <c r="R1090" s="37"/>
      <c r="S1090" s="37" t="s">
        <v>6629</v>
      </c>
      <c r="T1090" s="37"/>
      <c r="U1090" s="37"/>
      <c r="V1090" s="37" t="s">
        <v>72</v>
      </c>
      <c r="W1090" s="37" t="s">
        <v>89</v>
      </c>
      <c r="X1090" s="25"/>
      <c r="Y1090" s="25"/>
      <c r="Z1090" s="25"/>
      <c r="AA1090" s="25"/>
      <c r="AB1090" s="25"/>
      <c r="AC1090" s="25"/>
      <c r="AD1090" s="25"/>
      <c r="AE1090" s="25"/>
      <c r="AF1090" s="25"/>
      <c r="AG1090" s="25"/>
      <c r="AH1090" s="25"/>
      <c r="AI1090" s="25"/>
      <c r="AJ1090" s="25"/>
      <c r="AK1090" s="25"/>
    </row>
    <row r="1091" spans="1:37">
      <c r="A1091" s="37"/>
      <c r="B1091" s="37"/>
      <c r="C1091" s="37"/>
      <c r="D1091" s="37" t="s">
        <v>4150</v>
      </c>
      <c r="E1091" s="37" t="s">
        <v>1897</v>
      </c>
      <c r="F1091" s="37" t="s">
        <v>4156</v>
      </c>
      <c r="G1091" s="37" t="s">
        <v>4151</v>
      </c>
      <c r="H1091" s="37"/>
      <c r="I1091" s="37" t="s">
        <v>226</v>
      </c>
      <c r="J1091" s="37" t="s">
        <v>214</v>
      </c>
      <c r="K1091" s="40" t="s">
        <v>4152</v>
      </c>
      <c r="L1091" s="37" t="s">
        <v>64</v>
      </c>
      <c r="M1091" s="37" t="s">
        <v>4153</v>
      </c>
      <c r="N1091" s="37" t="s">
        <v>4154</v>
      </c>
      <c r="O1091" s="37" t="s">
        <v>96</v>
      </c>
      <c r="P1091" s="37" t="s">
        <v>268</v>
      </c>
      <c r="Q1091" s="37" t="s">
        <v>10</v>
      </c>
      <c r="R1091" s="37" t="s">
        <v>4155</v>
      </c>
      <c r="S1091" s="37"/>
      <c r="T1091" s="37"/>
      <c r="U1091" s="37"/>
      <c r="V1091" s="37" t="s">
        <v>67</v>
      </c>
      <c r="W1091" s="37" t="s">
        <v>89</v>
      </c>
      <c r="X1091" s="25"/>
      <c r="Y1091" s="25"/>
      <c r="Z1091" s="25"/>
      <c r="AA1091" s="25"/>
      <c r="AB1091" s="25"/>
      <c r="AC1091" s="25"/>
      <c r="AD1091" s="25"/>
      <c r="AE1091" s="25"/>
      <c r="AF1091" s="25"/>
      <c r="AG1091" s="25"/>
      <c r="AH1091" s="25"/>
      <c r="AI1091" s="25"/>
      <c r="AJ1091" s="25"/>
      <c r="AK1091" s="25"/>
    </row>
    <row r="1092" spans="1:37">
      <c r="A1092" s="37"/>
      <c r="B1092" s="37"/>
      <c r="C1092" s="37"/>
      <c r="D1092" s="37" t="s">
        <v>1223</v>
      </c>
      <c r="E1092" s="37" t="s">
        <v>4895</v>
      </c>
      <c r="F1092" s="37" t="s">
        <v>4901</v>
      </c>
      <c r="G1092" s="37" t="s">
        <v>4896</v>
      </c>
      <c r="H1092" s="37" t="s">
        <v>4897</v>
      </c>
      <c r="I1092" s="37" t="s">
        <v>497</v>
      </c>
      <c r="J1092" s="37" t="s">
        <v>498</v>
      </c>
      <c r="K1092" s="40" t="s">
        <v>4898</v>
      </c>
      <c r="L1092" s="37" t="s">
        <v>64</v>
      </c>
      <c r="M1092" s="37" t="s">
        <v>4899</v>
      </c>
      <c r="N1092" s="37"/>
      <c r="O1092" s="37" t="s">
        <v>96</v>
      </c>
      <c r="P1092" s="37" t="s">
        <v>268</v>
      </c>
      <c r="Q1092" s="37" t="s">
        <v>10</v>
      </c>
      <c r="R1092" s="37"/>
      <c r="S1092" s="37" t="s">
        <v>4900</v>
      </c>
      <c r="T1092" s="37" t="s">
        <v>66</v>
      </c>
      <c r="U1092" s="37"/>
      <c r="V1092" s="37" t="s">
        <v>77</v>
      </c>
      <c r="W1092" s="37" t="s">
        <v>69</v>
      </c>
      <c r="X1092" s="25"/>
      <c r="Y1092" s="25"/>
      <c r="Z1092" s="25"/>
      <c r="AA1092" s="25"/>
      <c r="AB1092" s="25"/>
      <c r="AC1092" s="25"/>
      <c r="AD1092" s="25"/>
      <c r="AE1092" s="25"/>
      <c r="AF1092" s="25"/>
      <c r="AG1092" s="25"/>
      <c r="AH1092" s="25"/>
      <c r="AI1092" s="25"/>
      <c r="AJ1092" s="25"/>
      <c r="AK1092" s="25"/>
    </row>
    <row r="1093" spans="1:37">
      <c r="A1093" s="37"/>
      <c r="B1093" s="37"/>
      <c r="C1093" s="37"/>
      <c r="D1093" s="37" t="s">
        <v>1136</v>
      </c>
      <c r="E1093" s="37" t="s">
        <v>2080</v>
      </c>
      <c r="F1093" s="37" t="s">
        <v>3366</v>
      </c>
      <c r="G1093" s="37" t="s">
        <v>3361</v>
      </c>
      <c r="H1093" s="37"/>
      <c r="I1093" s="37" t="s">
        <v>3362</v>
      </c>
      <c r="J1093" s="37" t="s">
        <v>256</v>
      </c>
      <c r="K1093" s="40" t="s">
        <v>3363</v>
      </c>
      <c r="L1093" s="37" t="s">
        <v>64</v>
      </c>
      <c r="M1093" s="37" t="s">
        <v>3364</v>
      </c>
      <c r="N1093" s="37"/>
      <c r="O1093" s="37" t="s">
        <v>96</v>
      </c>
      <c r="P1093" s="37" t="s">
        <v>268</v>
      </c>
      <c r="Q1093" s="37" t="s">
        <v>17</v>
      </c>
      <c r="R1093" s="37" t="s">
        <v>3365</v>
      </c>
      <c r="S1093" s="37"/>
      <c r="T1093" s="37" t="s">
        <v>144</v>
      </c>
      <c r="U1093" s="37" t="s">
        <v>69</v>
      </c>
      <c r="V1093" s="37" t="s">
        <v>77</v>
      </c>
      <c r="W1093" s="37" t="s">
        <v>424</v>
      </c>
      <c r="X1093" s="25"/>
      <c r="Y1093" s="25"/>
      <c r="Z1093" s="25"/>
      <c r="AA1093" s="25"/>
      <c r="AB1093" s="25"/>
      <c r="AC1093" s="25"/>
      <c r="AD1093" s="25"/>
      <c r="AE1093" s="25"/>
      <c r="AF1093" s="25"/>
      <c r="AG1093" s="25"/>
      <c r="AH1093" s="25"/>
      <c r="AI1093" s="25"/>
      <c r="AJ1093" s="25"/>
      <c r="AK1093" s="25"/>
    </row>
    <row r="1094" spans="1:37">
      <c r="A1094" s="37"/>
      <c r="B1094" s="37"/>
      <c r="C1094" s="37"/>
      <c r="D1094" s="37" t="s">
        <v>2187</v>
      </c>
      <c r="E1094" s="37" t="s">
        <v>2188</v>
      </c>
      <c r="F1094" s="37" t="s">
        <v>2189</v>
      </c>
      <c r="G1094" s="37" t="s">
        <v>496</v>
      </c>
      <c r="H1094" s="37"/>
      <c r="I1094" s="37" t="s">
        <v>497</v>
      </c>
      <c r="J1094" s="37" t="s">
        <v>498</v>
      </c>
      <c r="K1094" s="40" t="s">
        <v>499</v>
      </c>
      <c r="L1094" s="37" t="s">
        <v>64</v>
      </c>
      <c r="M1094" s="37" t="s">
        <v>500</v>
      </c>
      <c r="N1094" s="37" t="s">
        <v>501</v>
      </c>
      <c r="O1094" s="37" t="s">
        <v>96</v>
      </c>
      <c r="P1094" s="37" t="s">
        <v>268</v>
      </c>
      <c r="Q1094" s="37" t="s">
        <v>10</v>
      </c>
      <c r="R1094" s="37"/>
      <c r="S1094" s="37"/>
      <c r="T1094" s="37" t="s">
        <v>66</v>
      </c>
      <c r="U1094" s="37"/>
      <c r="V1094" s="37" t="s">
        <v>72</v>
      </c>
      <c r="W1094" s="37" t="s">
        <v>69</v>
      </c>
      <c r="X1094" s="25"/>
      <c r="Y1094" s="25"/>
      <c r="Z1094" s="25"/>
      <c r="AA1094" s="25"/>
      <c r="AB1094" s="25"/>
      <c r="AC1094" s="25"/>
      <c r="AD1094" s="25"/>
      <c r="AE1094" s="25"/>
      <c r="AF1094" s="25"/>
      <c r="AG1094" s="25"/>
      <c r="AH1094" s="25"/>
      <c r="AI1094" s="25"/>
      <c r="AJ1094" s="25"/>
      <c r="AK1094" s="25"/>
    </row>
    <row r="1095" spans="1:37">
      <c r="A1095" s="37"/>
      <c r="B1095" s="37"/>
      <c r="C1095" s="37"/>
      <c r="D1095" s="37" t="s">
        <v>5577</v>
      </c>
      <c r="E1095" s="37" t="s">
        <v>5578</v>
      </c>
      <c r="F1095" s="37" t="s">
        <v>5584</v>
      </c>
      <c r="G1095" s="37" t="s">
        <v>5579</v>
      </c>
      <c r="H1095" s="37"/>
      <c r="I1095" s="37" t="s">
        <v>5580</v>
      </c>
      <c r="J1095" s="37" t="s">
        <v>148</v>
      </c>
      <c r="K1095" s="40" t="s">
        <v>5581</v>
      </c>
      <c r="L1095" s="37" t="s">
        <v>2485</v>
      </c>
      <c r="M1095" s="37" t="s">
        <v>5582</v>
      </c>
      <c r="N1095" s="37" t="s">
        <v>5583</v>
      </c>
      <c r="O1095" s="37" t="s">
        <v>96</v>
      </c>
      <c r="P1095" s="37" t="s">
        <v>595</v>
      </c>
      <c r="Q1095" s="37" t="s">
        <v>18</v>
      </c>
      <c r="R1095" s="37"/>
      <c r="S1095" s="37"/>
      <c r="T1095" s="37" t="s">
        <v>66</v>
      </c>
      <c r="U1095" s="37"/>
      <c r="V1095" s="37" t="s">
        <v>67</v>
      </c>
      <c r="W1095" s="37" t="s">
        <v>73</v>
      </c>
      <c r="X1095" s="25"/>
      <c r="Y1095" s="25"/>
      <c r="Z1095" s="25"/>
      <c r="AA1095" s="25"/>
      <c r="AB1095" s="25"/>
      <c r="AC1095" s="25"/>
      <c r="AD1095" s="25"/>
      <c r="AE1095" s="25"/>
      <c r="AF1095" s="26"/>
      <c r="AG1095" s="25"/>
      <c r="AH1095" s="25"/>
      <c r="AI1095" s="25"/>
      <c r="AJ1095" s="25"/>
      <c r="AK1095" s="25"/>
    </row>
    <row r="1096" spans="1:37">
      <c r="A1096" s="37"/>
      <c r="B1096" s="37"/>
      <c r="C1096" s="37"/>
      <c r="D1096" s="37" t="s">
        <v>2260</v>
      </c>
      <c r="E1096" s="37" t="s">
        <v>2259</v>
      </c>
      <c r="F1096" s="37" t="s">
        <v>2261</v>
      </c>
      <c r="G1096" s="37" t="s">
        <v>496</v>
      </c>
      <c r="H1096" s="37"/>
      <c r="I1096" s="37" t="s">
        <v>497</v>
      </c>
      <c r="J1096" s="37" t="s">
        <v>498</v>
      </c>
      <c r="K1096" s="40" t="s">
        <v>499</v>
      </c>
      <c r="L1096" s="37" t="s">
        <v>64</v>
      </c>
      <c r="M1096" s="37" t="s">
        <v>500</v>
      </c>
      <c r="N1096" s="37" t="s">
        <v>501</v>
      </c>
      <c r="O1096" s="37" t="s">
        <v>96</v>
      </c>
      <c r="P1096" s="37" t="s">
        <v>268</v>
      </c>
      <c r="Q1096" s="37" t="s">
        <v>10</v>
      </c>
      <c r="R1096" s="37"/>
      <c r="S1096" s="37"/>
      <c r="T1096" s="37" t="s">
        <v>69</v>
      </c>
      <c r="U1096" s="37"/>
      <c r="V1096" s="37" t="s">
        <v>72</v>
      </c>
      <c r="W1096" s="37" t="s">
        <v>69</v>
      </c>
      <c r="X1096" s="25"/>
      <c r="Y1096" s="25"/>
      <c r="Z1096" s="25"/>
      <c r="AA1096" s="25"/>
      <c r="AB1096" s="25"/>
      <c r="AC1096" s="25"/>
      <c r="AD1096" s="25"/>
      <c r="AE1096" s="25"/>
      <c r="AF1096" s="26"/>
      <c r="AG1096" s="25"/>
      <c r="AH1096" s="25"/>
      <c r="AI1096" s="25"/>
      <c r="AJ1096" s="25"/>
      <c r="AK1096" s="25"/>
    </row>
    <row r="1097" spans="1:37">
      <c r="A1097" s="37" t="s">
        <v>112</v>
      </c>
      <c r="B1097" s="37"/>
      <c r="C1097" s="37"/>
      <c r="D1097" s="37" t="s">
        <v>1113</v>
      </c>
      <c r="E1097" s="37" t="s">
        <v>6630</v>
      </c>
      <c r="F1097" s="38" t="s">
        <v>5739</v>
      </c>
      <c r="G1097" s="37" t="s">
        <v>6612</v>
      </c>
      <c r="H1097" s="37"/>
      <c r="I1097" s="37" t="s">
        <v>5367</v>
      </c>
      <c r="J1097" s="37" t="s">
        <v>948</v>
      </c>
      <c r="K1097" s="40" t="s">
        <v>5368</v>
      </c>
      <c r="L1097" s="37" t="s">
        <v>5369</v>
      </c>
      <c r="M1097" s="37" t="s">
        <v>6612</v>
      </c>
      <c r="N1097" s="37" t="s">
        <v>6613</v>
      </c>
      <c r="O1097" s="37" t="s">
        <v>96</v>
      </c>
      <c r="P1097" s="37" t="s">
        <v>268</v>
      </c>
      <c r="Q1097" s="37" t="s">
        <v>10</v>
      </c>
      <c r="R1097" s="37" t="s">
        <v>6631</v>
      </c>
      <c r="S1097" s="37" t="s">
        <v>6632</v>
      </c>
      <c r="T1097" s="37" t="s">
        <v>69</v>
      </c>
      <c r="U1097" s="37" t="s">
        <v>176</v>
      </c>
      <c r="V1097" s="37" t="s">
        <v>72</v>
      </c>
      <c r="W1097" s="37" t="s">
        <v>73</v>
      </c>
      <c r="X1097" s="25"/>
      <c r="Y1097" s="25"/>
      <c r="Z1097" s="25"/>
      <c r="AA1097" s="25"/>
      <c r="AB1097" s="25"/>
      <c r="AC1097" s="25"/>
      <c r="AD1097" s="25"/>
      <c r="AE1097" s="25"/>
      <c r="AF1097" s="25"/>
      <c r="AG1097" s="25"/>
      <c r="AH1097" s="25"/>
      <c r="AI1097" s="25"/>
      <c r="AJ1097" s="25"/>
      <c r="AK1097" s="25"/>
    </row>
    <row r="1098" spans="1:37">
      <c r="A1098" s="37"/>
      <c r="B1098" s="37"/>
      <c r="C1098" s="37"/>
      <c r="D1098" s="37" t="s">
        <v>851</v>
      </c>
      <c r="E1098" s="37" t="s">
        <v>4588</v>
      </c>
      <c r="F1098" s="37" t="s">
        <v>4591</v>
      </c>
      <c r="G1098" s="37" t="s">
        <v>477</v>
      </c>
      <c r="H1098" s="37"/>
      <c r="I1098" s="37" t="s">
        <v>478</v>
      </c>
      <c r="J1098" s="37" t="s">
        <v>75</v>
      </c>
      <c r="K1098" s="40" t="s">
        <v>479</v>
      </c>
      <c r="L1098" s="37" t="s">
        <v>64</v>
      </c>
      <c r="M1098" s="37" t="s">
        <v>4589</v>
      </c>
      <c r="N1098" s="37" t="s">
        <v>4590</v>
      </c>
      <c r="O1098" s="37" t="s">
        <v>96</v>
      </c>
      <c r="P1098" s="37" t="s">
        <v>595</v>
      </c>
      <c r="Q1098" s="37" t="s">
        <v>10</v>
      </c>
      <c r="R1098" s="37"/>
      <c r="S1098" s="37"/>
      <c r="T1098" s="37"/>
      <c r="U1098" s="37"/>
      <c r="V1098" s="37" t="s">
        <v>72</v>
      </c>
      <c r="W1098" s="37" t="s">
        <v>69</v>
      </c>
      <c r="X1098" s="25"/>
      <c r="Y1098" s="25"/>
      <c r="Z1098" s="25"/>
      <c r="AA1098" s="25"/>
      <c r="AB1098" s="25"/>
      <c r="AC1098" s="25"/>
      <c r="AD1098" s="25"/>
      <c r="AE1098" s="25"/>
      <c r="AF1098" s="25"/>
      <c r="AG1098" s="25"/>
      <c r="AH1098" s="25"/>
      <c r="AI1098" s="25"/>
      <c r="AJ1098" s="25"/>
      <c r="AK1098" s="25"/>
    </row>
    <row r="1099" spans="1:37">
      <c r="A1099" s="37"/>
      <c r="B1099" s="37"/>
      <c r="C1099" s="37"/>
      <c r="D1099" s="37" t="s">
        <v>229</v>
      </c>
      <c r="E1099" s="37" t="s">
        <v>6633</v>
      </c>
      <c r="F1099" s="37" t="s">
        <v>6634</v>
      </c>
      <c r="G1099" s="37" t="s">
        <v>6635</v>
      </c>
      <c r="H1099" s="37" t="s">
        <v>6636</v>
      </c>
      <c r="I1099" s="37" t="s">
        <v>92</v>
      </c>
      <c r="J1099" s="37" t="s">
        <v>93</v>
      </c>
      <c r="K1099" s="40" t="s">
        <v>94</v>
      </c>
      <c r="L1099" s="37" t="s">
        <v>64</v>
      </c>
      <c r="M1099" s="37" t="s">
        <v>6637</v>
      </c>
      <c r="N1099" s="37"/>
      <c r="O1099" s="37" t="s">
        <v>96</v>
      </c>
      <c r="P1099" s="37" t="s">
        <v>97</v>
      </c>
      <c r="Q1099" s="37" t="s">
        <v>98</v>
      </c>
      <c r="R1099" s="37" t="s">
        <v>6638</v>
      </c>
      <c r="S1099" s="37"/>
      <c r="T1099" s="37"/>
      <c r="U1099" s="37"/>
      <c r="V1099" s="37" t="s">
        <v>88</v>
      </c>
      <c r="W1099" s="37" t="s">
        <v>97</v>
      </c>
      <c r="X1099" s="25"/>
      <c r="Y1099" s="25"/>
      <c r="Z1099" s="25"/>
      <c r="AA1099" s="25"/>
      <c r="AB1099" s="25"/>
      <c r="AC1099" s="25"/>
      <c r="AD1099" s="25"/>
      <c r="AE1099" s="25"/>
      <c r="AF1099" s="25"/>
      <c r="AG1099" s="25"/>
      <c r="AH1099" s="25"/>
      <c r="AI1099" s="25"/>
      <c r="AJ1099" s="25"/>
      <c r="AK1099" s="25"/>
    </row>
    <row r="1100" spans="1:37">
      <c r="A1100" s="37"/>
      <c r="B1100" s="37"/>
      <c r="C1100" s="37"/>
      <c r="D1100" s="37" t="s">
        <v>546</v>
      </c>
      <c r="E1100" s="37" t="s">
        <v>5550</v>
      </c>
      <c r="F1100" s="37" t="s">
        <v>5553</v>
      </c>
      <c r="G1100" s="37" t="s">
        <v>5663</v>
      </c>
      <c r="H1100" s="37"/>
      <c r="I1100" s="37" t="s">
        <v>206</v>
      </c>
      <c r="J1100" s="37" t="s">
        <v>673</v>
      </c>
      <c r="K1100" s="40" t="s">
        <v>5664</v>
      </c>
      <c r="L1100" s="37" t="s">
        <v>64</v>
      </c>
      <c r="M1100" s="37" t="s">
        <v>5551</v>
      </c>
      <c r="N1100" s="37" t="s">
        <v>5552</v>
      </c>
      <c r="O1100" s="37" t="s">
        <v>96</v>
      </c>
      <c r="P1100" s="37" t="s">
        <v>268</v>
      </c>
      <c r="Q1100" s="37" t="s">
        <v>98</v>
      </c>
      <c r="R1100" s="37" t="s">
        <v>5667</v>
      </c>
      <c r="S1100" s="37" t="s">
        <v>5668</v>
      </c>
      <c r="T1100" s="37"/>
      <c r="U1100" s="37"/>
      <c r="V1100" s="37" t="s">
        <v>67</v>
      </c>
      <c r="W1100" s="37" t="s">
        <v>2140</v>
      </c>
      <c r="X1100" s="25"/>
      <c r="Y1100" s="25"/>
      <c r="Z1100" s="25"/>
      <c r="AA1100" s="25"/>
      <c r="AB1100" s="25"/>
      <c r="AC1100" s="25"/>
      <c r="AD1100" s="25"/>
      <c r="AE1100" s="25"/>
      <c r="AF1100" s="25"/>
      <c r="AG1100" s="25"/>
      <c r="AH1100" s="25"/>
      <c r="AI1100" s="25"/>
      <c r="AJ1100" s="25"/>
      <c r="AK1100" s="25"/>
    </row>
    <row r="1101" spans="1:37">
      <c r="A1101" s="37"/>
      <c r="B1101" s="37"/>
      <c r="C1101" s="37"/>
      <c r="D1101" s="37" t="s">
        <v>1016</v>
      </c>
      <c r="E1101" s="37" t="s">
        <v>6639</v>
      </c>
      <c r="F1101" s="37" t="s">
        <v>6640</v>
      </c>
      <c r="G1101" s="37" t="s">
        <v>1035</v>
      </c>
      <c r="H1101" s="37"/>
      <c r="I1101" s="37" t="s">
        <v>92</v>
      </c>
      <c r="J1101" s="37" t="s">
        <v>93</v>
      </c>
      <c r="K1101" s="40" t="s">
        <v>94</v>
      </c>
      <c r="L1101" s="37" t="s">
        <v>64</v>
      </c>
      <c r="M1101" s="37" t="s">
        <v>6637</v>
      </c>
      <c r="N1101" s="37"/>
      <c r="O1101" s="37" t="s">
        <v>96</v>
      </c>
      <c r="P1101" s="37" t="s">
        <v>97</v>
      </c>
      <c r="Q1101" s="37" t="s">
        <v>98</v>
      </c>
      <c r="R1101" s="37" t="s">
        <v>6641</v>
      </c>
      <c r="S1101" s="37"/>
      <c r="T1101" s="37"/>
      <c r="U1101" s="37"/>
      <c r="V1101" s="37" t="s">
        <v>67</v>
      </c>
      <c r="W1101" s="37" t="s">
        <v>97</v>
      </c>
      <c r="X1101" s="25"/>
      <c r="Y1101" s="25"/>
      <c r="Z1101" s="25"/>
      <c r="AA1101" s="25"/>
      <c r="AB1101" s="25"/>
      <c r="AC1101" s="25"/>
      <c r="AD1101" s="25"/>
      <c r="AE1101" s="25"/>
      <c r="AF1101" s="25"/>
      <c r="AG1101" s="25"/>
      <c r="AH1101" s="25"/>
      <c r="AI1101" s="25"/>
      <c r="AJ1101" s="25"/>
      <c r="AK1101" s="25"/>
    </row>
    <row r="1102" spans="1:37">
      <c r="A1102" s="37"/>
      <c r="B1102" s="37"/>
      <c r="C1102" s="37"/>
      <c r="D1102" s="37" t="s">
        <v>1780</v>
      </c>
      <c r="E1102" s="37" t="s">
        <v>5456</v>
      </c>
      <c r="F1102" s="37" t="s">
        <v>5461</v>
      </c>
      <c r="G1102" s="37" t="s">
        <v>5457</v>
      </c>
      <c r="H1102" s="37"/>
      <c r="I1102" s="37" t="s">
        <v>431</v>
      </c>
      <c r="J1102" s="37" t="s">
        <v>425</v>
      </c>
      <c r="K1102" s="40" t="s">
        <v>5458</v>
      </c>
      <c r="L1102" s="37" t="s">
        <v>64</v>
      </c>
      <c r="M1102" s="37" t="s">
        <v>5459</v>
      </c>
      <c r="N1102" s="37" t="s">
        <v>5460</v>
      </c>
      <c r="O1102" s="37" t="s">
        <v>96</v>
      </c>
      <c r="P1102" s="37" t="s">
        <v>595</v>
      </c>
      <c r="Q1102" s="37" t="s">
        <v>98</v>
      </c>
      <c r="R1102" s="37"/>
      <c r="S1102" s="37"/>
      <c r="T1102" s="37" t="s">
        <v>69</v>
      </c>
      <c r="U1102" s="37" t="s">
        <v>69</v>
      </c>
      <c r="V1102" s="37" t="s">
        <v>72</v>
      </c>
      <c r="W1102" s="37" t="s">
        <v>73</v>
      </c>
      <c r="X1102" s="25"/>
      <c r="Y1102" s="25"/>
      <c r="Z1102" s="25"/>
      <c r="AA1102" s="25"/>
      <c r="AB1102" s="25"/>
      <c r="AC1102" s="25"/>
      <c r="AD1102" s="25"/>
      <c r="AE1102" s="25"/>
      <c r="AF1102" s="25"/>
      <c r="AG1102" s="25"/>
      <c r="AH1102" s="25"/>
      <c r="AI1102" s="25"/>
      <c r="AJ1102" s="25"/>
      <c r="AK1102" s="25"/>
    </row>
    <row r="1103" spans="1:37">
      <c r="A1103" s="37"/>
      <c r="B1103" s="37"/>
      <c r="C1103" s="37"/>
      <c r="D1103" s="37" t="s">
        <v>3555</v>
      </c>
      <c r="E1103" s="37" t="s">
        <v>543</v>
      </c>
      <c r="F1103" s="37" t="s">
        <v>5007</v>
      </c>
      <c r="G1103" s="37" t="s">
        <v>477</v>
      </c>
      <c r="H1103" s="37"/>
      <c r="I1103" s="37" t="s">
        <v>478</v>
      </c>
      <c r="J1103" s="37" t="s">
        <v>75</v>
      </c>
      <c r="K1103" s="40" t="s">
        <v>5004</v>
      </c>
      <c r="L1103" s="37" t="s">
        <v>64</v>
      </c>
      <c r="M1103" s="37" t="s">
        <v>5005</v>
      </c>
      <c r="N1103" s="37" t="s">
        <v>5006</v>
      </c>
      <c r="O1103" s="37" t="s">
        <v>96</v>
      </c>
      <c r="P1103" s="37" t="s">
        <v>268</v>
      </c>
      <c r="Q1103" s="37" t="s">
        <v>10</v>
      </c>
      <c r="R1103" s="37" t="s">
        <v>4992</v>
      </c>
      <c r="S1103" s="37"/>
      <c r="T1103" s="37" t="s">
        <v>69</v>
      </c>
      <c r="U1103" s="37"/>
      <c r="V1103" s="37" t="s">
        <v>77</v>
      </c>
      <c r="W1103" s="37" t="s">
        <v>73</v>
      </c>
      <c r="X1103" s="25"/>
      <c r="Y1103" s="25"/>
      <c r="Z1103" s="25"/>
      <c r="AA1103" s="25"/>
      <c r="AB1103" s="25"/>
      <c r="AC1103" s="25"/>
      <c r="AD1103" s="25"/>
      <c r="AE1103" s="25"/>
      <c r="AF1103" s="25"/>
      <c r="AG1103" s="25"/>
      <c r="AH1103" s="25"/>
      <c r="AI1103" s="25"/>
      <c r="AJ1103" s="25"/>
      <c r="AK1103" s="25"/>
    </row>
    <row r="1104" spans="1:37">
      <c r="A1104" s="37"/>
      <c r="B1104" s="37"/>
      <c r="C1104" s="37"/>
      <c r="D1104" s="37" t="s">
        <v>2745</v>
      </c>
      <c r="E1104" s="37" t="s">
        <v>5716</v>
      </c>
      <c r="F1104" s="37" t="s">
        <v>5719</v>
      </c>
      <c r="G1104" s="37" t="s">
        <v>477</v>
      </c>
      <c r="H1104" s="37"/>
      <c r="I1104" s="37" t="s">
        <v>478</v>
      </c>
      <c r="J1104" s="37" t="s">
        <v>75</v>
      </c>
      <c r="K1104" s="40" t="s">
        <v>479</v>
      </c>
      <c r="L1104" s="37" t="s">
        <v>64</v>
      </c>
      <c r="M1104" s="37" t="s">
        <v>5717</v>
      </c>
      <c r="N1104" s="37"/>
      <c r="O1104" s="37" t="s">
        <v>96</v>
      </c>
      <c r="P1104" s="37" t="s">
        <v>268</v>
      </c>
      <c r="Q1104" s="37" t="s">
        <v>10</v>
      </c>
      <c r="R1104" s="37" t="s">
        <v>5718</v>
      </c>
      <c r="S1104" s="37" t="s">
        <v>4992</v>
      </c>
      <c r="T1104" s="37" t="s">
        <v>69</v>
      </c>
      <c r="U1104" s="37"/>
      <c r="V1104" s="37" t="s">
        <v>72</v>
      </c>
      <c r="W1104" s="37" t="s">
        <v>69</v>
      </c>
      <c r="X1104" s="25"/>
      <c r="Y1104" s="25"/>
      <c r="Z1104" s="25"/>
      <c r="AA1104" s="25"/>
      <c r="AB1104" s="25"/>
      <c r="AC1104" s="25"/>
      <c r="AD1104" s="25"/>
      <c r="AE1104" s="25"/>
      <c r="AF1104" s="25"/>
      <c r="AG1104" s="25"/>
      <c r="AH1104" s="25"/>
      <c r="AI1104" s="25"/>
      <c r="AJ1104" s="25"/>
      <c r="AK1104" s="25"/>
    </row>
    <row r="1105" spans="1:37">
      <c r="A1105" s="37"/>
      <c r="B1105" s="37"/>
      <c r="C1105" s="37"/>
      <c r="D1105" s="37" t="s">
        <v>6642</v>
      </c>
      <c r="E1105" s="37" t="s">
        <v>6643</v>
      </c>
      <c r="F1105" s="37" t="s">
        <v>6644</v>
      </c>
      <c r="G1105" s="37" t="s">
        <v>6556</v>
      </c>
      <c r="H1105" s="37"/>
      <c r="I1105" s="37" t="s">
        <v>420</v>
      </c>
      <c r="J1105" s="37" t="s">
        <v>75</v>
      </c>
      <c r="K1105" s="40" t="s">
        <v>901</v>
      </c>
      <c r="L1105" s="37" t="s">
        <v>64</v>
      </c>
      <c r="M1105" s="37" t="s">
        <v>6645</v>
      </c>
      <c r="N1105" s="37"/>
      <c r="O1105" s="37" t="s">
        <v>96</v>
      </c>
      <c r="P1105" s="37" t="s">
        <v>595</v>
      </c>
      <c r="Q1105" s="37" t="s">
        <v>10</v>
      </c>
      <c r="R1105" s="37"/>
      <c r="S1105" s="37" t="s">
        <v>6559</v>
      </c>
      <c r="T1105" s="37"/>
      <c r="U1105" s="37"/>
      <c r="V1105" s="37" t="s">
        <v>88</v>
      </c>
      <c r="W1105" s="37" t="s">
        <v>89</v>
      </c>
      <c r="X1105" s="25"/>
      <c r="Y1105" s="25"/>
      <c r="Z1105" s="25"/>
      <c r="AA1105" s="25"/>
      <c r="AB1105" s="25"/>
      <c r="AC1105" s="25"/>
      <c r="AD1105" s="25"/>
      <c r="AE1105" s="25"/>
      <c r="AF1105" s="25"/>
      <c r="AG1105" s="25"/>
      <c r="AH1105" s="25"/>
      <c r="AI1105" s="25"/>
      <c r="AJ1105" s="25"/>
      <c r="AK1105" s="25"/>
    </row>
    <row r="1106" spans="1:37">
      <c r="A1106" s="37"/>
      <c r="B1106" s="37"/>
      <c r="C1106" s="37"/>
      <c r="D1106" s="37" t="s">
        <v>607</v>
      </c>
      <c r="E1106" s="37" t="s">
        <v>608</v>
      </c>
      <c r="F1106" s="37" t="s">
        <v>613</v>
      </c>
      <c r="G1106" s="37" t="s">
        <v>609</v>
      </c>
      <c r="H1106" s="37"/>
      <c r="I1106" s="37" t="s">
        <v>610</v>
      </c>
      <c r="J1106" s="37" t="s">
        <v>394</v>
      </c>
      <c r="K1106" s="40" t="s">
        <v>611</v>
      </c>
      <c r="L1106" s="37" t="s">
        <v>64</v>
      </c>
      <c r="M1106" s="37" t="s">
        <v>612</v>
      </c>
      <c r="N1106" s="37"/>
      <c r="O1106" s="37" t="s">
        <v>96</v>
      </c>
      <c r="P1106" s="37" t="s">
        <v>480</v>
      </c>
      <c r="Q1106" s="37" t="s">
        <v>10</v>
      </c>
      <c r="R1106" s="37"/>
      <c r="S1106" s="37"/>
      <c r="T1106" s="37"/>
      <c r="U1106" s="37"/>
      <c r="V1106" s="37" t="s">
        <v>72</v>
      </c>
      <c r="W1106" s="37" t="s">
        <v>73</v>
      </c>
      <c r="X1106" s="25"/>
      <c r="Y1106" s="25"/>
      <c r="Z1106" s="25"/>
      <c r="AA1106" s="25"/>
      <c r="AB1106" s="25"/>
      <c r="AC1106" s="25"/>
      <c r="AD1106" s="25"/>
      <c r="AE1106" s="25"/>
      <c r="AF1106" s="25"/>
      <c r="AG1106" s="25"/>
      <c r="AH1106" s="25"/>
      <c r="AI1106" s="25"/>
      <c r="AJ1106" s="25"/>
      <c r="AK1106" s="25"/>
    </row>
    <row r="1107" spans="1:37">
      <c r="A1107" s="37"/>
      <c r="B1107" s="37"/>
      <c r="C1107" s="37"/>
      <c r="D1107" s="37" t="s">
        <v>621</v>
      </c>
      <c r="E1107" s="37" t="s">
        <v>622</v>
      </c>
      <c r="F1107" s="37" t="s">
        <v>629</v>
      </c>
      <c r="G1107" s="37" t="s">
        <v>623</v>
      </c>
      <c r="H1107" s="37"/>
      <c r="I1107" s="37" t="s">
        <v>624</v>
      </c>
      <c r="J1107" s="37" t="s">
        <v>125</v>
      </c>
      <c r="K1107" s="40" t="s">
        <v>625</v>
      </c>
      <c r="L1107" s="37" t="s">
        <v>64</v>
      </c>
      <c r="M1107" s="37" t="s">
        <v>626</v>
      </c>
      <c r="N1107" s="37" t="s">
        <v>627</v>
      </c>
      <c r="O1107" s="37" t="s">
        <v>96</v>
      </c>
      <c r="P1107" s="37" t="s">
        <v>595</v>
      </c>
      <c r="Q1107" s="37" t="s">
        <v>126</v>
      </c>
      <c r="R1107" s="37"/>
      <c r="S1107" s="37"/>
      <c r="T1107" s="37" t="s">
        <v>66</v>
      </c>
      <c r="U1107" s="37"/>
      <c r="V1107" s="37" t="s">
        <v>88</v>
      </c>
      <c r="W1107" s="37" t="s">
        <v>348</v>
      </c>
      <c r="X1107" s="25"/>
      <c r="Y1107" s="25"/>
      <c r="Z1107" s="25"/>
      <c r="AA1107" s="25"/>
      <c r="AB1107" s="25"/>
      <c r="AC1107" s="25"/>
      <c r="AD1107" s="25"/>
      <c r="AE1107" s="25"/>
      <c r="AF1107" s="25"/>
      <c r="AG1107" s="25"/>
      <c r="AH1107" s="25"/>
      <c r="AI1107" s="25"/>
      <c r="AJ1107" s="25"/>
      <c r="AK1107" s="25"/>
    </row>
    <row r="1108" spans="1:37">
      <c r="A1108" s="37"/>
      <c r="B1108" s="37"/>
      <c r="C1108" s="37"/>
      <c r="D1108" s="37" t="s">
        <v>728</v>
      </c>
      <c r="E1108" s="37" t="s">
        <v>727</v>
      </c>
      <c r="F1108" s="37" t="s">
        <v>734</v>
      </c>
      <c r="G1108" s="37" t="s">
        <v>729</v>
      </c>
      <c r="H1108" s="37"/>
      <c r="I1108" s="37" t="s">
        <v>82</v>
      </c>
      <c r="J1108" s="37" t="s">
        <v>83</v>
      </c>
      <c r="K1108" s="40" t="s">
        <v>730</v>
      </c>
      <c r="L1108" s="37" t="s">
        <v>64</v>
      </c>
      <c r="M1108" s="37" t="s">
        <v>731</v>
      </c>
      <c r="N1108" s="37"/>
      <c r="O1108" s="37" t="s">
        <v>96</v>
      </c>
      <c r="P1108" s="37" t="s">
        <v>97</v>
      </c>
      <c r="Q1108" s="37" t="s">
        <v>14</v>
      </c>
      <c r="R1108" s="37" t="s">
        <v>732</v>
      </c>
      <c r="S1108" s="37" t="s">
        <v>733</v>
      </c>
      <c r="T1108" s="37" t="s">
        <v>66</v>
      </c>
      <c r="U1108" s="37" t="s">
        <v>109</v>
      </c>
      <c r="V1108" s="37" t="s">
        <v>88</v>
      </c>
      <c r="W1108" s="37" t="s">
        <v>89</v>
      </c>
      <c r="X1108" s="25"/>
      <c r="Y1108" s="25"/>
      <c r="Z1108" s="25"/>
      <c r="AA1108" s="25"/>
      <c r="AB1108" s="25"/>
      <c r="AC1108" s="25"/>
      <c r="AD1108" s="25"/>
      <c r="AE1108" s="25"/>
      <c r="AF1108" s="25"/>
      <c r="AG1108" s="25"/>
      <c r="AH1108" s="25"/>
      <c r="AI1108" s="25"/>
      <c r="AJ1108" s="25"/>
      <c r="AK1108" s="25"/>
    </row>
    <row r="1109" spans="1:37">
      <c r="A1109" s="37"/>
      <c r="B1109" s="37"/>
      <c r="C1109" s="37"/>
      <c r="D1109" s="37" t="s">
        <v>211</v>
      </c>
      <c r="E1109" s="37" t="s">
        <v>828</v>
      </c>
      <c r="F1109" s="37" t="s">
        <v>834</v>
      </c>
      <c r="G1109" s="37" t="s">
        <v>829</v>
      </c>
      <c r="H1109" s="37"/>
      <c r="I1109" s="37" t="s">
        <v>830</v>
      </c>
      <c r="J1109" s="37" t="s">
        <v>200</v>
      </c>
      <c r="K1109" s="40" t="s">
        <v>831</v>
      </c>
      <c r="L1109" s="37" t="s">
        <v>64</v>
      </c>
      <c r="M1109" s="37" t="s">
        <v>832</v>
      </c>
      <c r="N1109" s="37" t="s">
        <v>833</v>
      </c>
      <c r="O1109" s="37" t="s">
        <v>96</v>
      </c>
      <c r="P1109" s="37" t="s">
        <v>97</v>
      </c>
      <c r="Q1109" s="37" t="s">
        <v>18</v>
      </c>
      <c r="R1109" s="37"/>
      <c r="S1109" s="37"/>
      <c r="T1109" s="37" t="s">
        <v>144</v>
      </c>
      <c r="U1109" s="37"/>
      <c r="V1109" s="37" t="s">
        <v>77</v>
      </c>
      <c r="W1109" s="37" t="s">
        <v>89</v>
      </c>
      <c r="X1109" s="25"/>
      <c r="Y1109" s="25"/>
      <c r="Z1109" s="25"/>
      <c r="AA1109" s="25"/>
      <c r="AB1109" s="25"/>
      <c r="AC1109" s="25"/>
      <c r="AD1109" s="25"/>
      <c r="AE1109" s="25"/>
      <c r="AF1109" s="25"/>
      <c r="AG1109" s="25"/>
      <c r="AH1109" s="25"/>
      <c r="AI1109" s="25"/>
      <c r="AJ1109" s="25"/>
      <c r="AK1109" s="25"/>
    </row>
    <row r="1110" spans="1:37">
      <c r="A1110" s="37"/>
      <c r="B1110" s="37"/>
      <c r="C1110" s="37"/>
      <c r="D1110" s="37" t="s">
        <v>5670</v>
      </c>
      <c r="E1110" s="37" t="s">
        <v>928</v>
      </c>
      <c r="F1110" s="37" t="s">
        <v>5672</v>
      </c>
      <c r="G1110" s="37" t="s">
        <v>477</v>
      </c>
      <c r="H1110" s="37"/>
      <c r="I1110" s="37" t="s">
        <v>478</v>
      </c>
      <c r="J1110" s="37" t="s">
        <v>75</v>
      </c>
      <c r="K1110" s="40" t="s">
        <v>479</v>
      </c>
      <c r="L1110" s="37" t="s">
        <v>64</v>
      </c>
      <c r="M1110" s="37" t="s">
        <v>5671</v>
      </c>
      <c r="N1110" s="37"/>
      <c r="O1110" s="37" t="s">
        <v>96</v>
      </c>
      <c r="P1110" s="37" t="s">
        <v>595</v>
      </c>
      <c r="Q1110" s="37" t="s">
        <v>10</v>
      </c>
      <c r="R1110" s="37"/>
      <c r="S1110" s="37" t="s">
        <v>595</v>
      </c>
      <c r="T1110" s="37"/>
      <c r="U1110" s="37"/>
      <c r="V1110" s="37" t="s">
        <v>67</v>
      </c>
      <c r="W1110" s="37" t="s">
        <v>348</v>
      </c>
      <c r="X1110" s="25"/>
      <c r="Y1110" s="25"/>
      <c r="Z1110" s="25"/>
      <c r="AA1110" s="25"/>
      <c r="AB1110" s="25"/>
      <c r="AC1110" s="25"/>
      <c r="AD1110" s="25"/>
      <c r="AE1110" s="25"/>
      <c r="AF1110" s="25"/>
      <c r="AG1110" s="25"/>
      <c r="AH1110" s="25"/>
      <c r="AI1110" s="25"/>
      <c r="AJ1110" s="25"/>
      <c r="AK1110" s="25"/>
    </row>
    <row r="1111" spans="1:37">
      <c r="A1111" s="37" t="s">
        <v>250</v>
      </c>
      <c r="B1111" s="37"/>
      <c r="C1111" s="37"/>
      <c r="D1111" s="37" t="s">
        <v>523</v>
      </c>
      <c r="E1111" s="37" t="s">
        <v>6646</v>
      </c>
      <c r="F1111" s="37" t="s">
        <v>6647</v>
      </c>
      <c r="G1111" s="37" t="s">
        <v>2855</v>
      </c>
      <c r="H1111" s="37"/>
      <c r="I1111" s="37" t="s">
        <v>420</v>
      </c>
      <c r="J1111" s="37" t="s">
        <v>75</v>
      </c>
      <c r="K1111" s="40" t="s">
        <v>3231</v>
      </c>
      <c r="L1111" s="37" t="s">
        <v>64</v>
      </c>
      <c r="M1111" s="37" t="s">
        <v>6648</v>
      </c>
      <c r="N1111" s="37" t="s">
        <v>6649</v>
      </c>
      <c r="O1111" s="37" t="s">
        <v>96</v>
      </c>
      <c r="P1111" s="37" t="s">
        <v>268</v>
      </c>
      <c r="Q1111" s="37" t="s">
        <v>10</v>
      </c>
      <c r="R1111" s="37" t="s">
        <v>4680</v>
      </c>
      <c r="S1111" s="37" t="s">
        <v>4680</v>
      </c>
      <c r="T1111" s="37" t="s">
        <v>69</v>
      </c>
      <c r="U1111" s="37" t="s">
        <v>116</v>
      </c>
      <c r="V1111" s="37" t="s">
        <v>72</v>
      </c>
      <c r="W1111" s="37" t="s">
        <v>78</v>
      </c>
      <c r="X1111" s="25"/>
      <c r="Y1111" s="25"/>
      <c r="Z1111" s="25"/>
      <c r="AA1111" s="25"/>
      <c r="AB1111" s="25"/>
      <c r="AC1111" s="25"/>
      <c r="AD1111" s="25"/>
      <c r="AE1111" s="25"/>
      <c r="AF1111" s="25"/>
      <c r="AG1111" s="25"/>
      <c r="AH1111" s="25"/>
      <c r="AI1111" s="25"/>
      <c r="AJ1111" s="25"/>
      <c r="AK1111" s="25"/>
    </row>
    <row r="1112" spans="1:37">
      <c r="A1112" s="37"/>
      <c r="B1112" s="37"/>
      <c r="C1112" s="37"/>
      <c r="D1112" s="37" t="s">
        <v>1039</v>
      </c>
      <c r="E1112" s="37" t="s">
        <v>5673</v>
      </c>
      <c r="F1112" s="37" t="s">
        <v>5677</v>
      </c>
      <c r="G1112" s="37" t="s">
        <v>5674</v>
      </c>
      <c r="H1112" s="37"/>
      <c r="I1112" s="37" t="s">
        <v>207</v>
      </c>
      <c r="J1112" s="37" t="s">
        <v>208</v>
      </c>
      <c r="K1112" s="40" t="s">
        <v>5675</v>
      </c>
      <c r="L1112" s="37" t="s">
        <v>64</v>
      </c>
      <c r="M1112" s="37" t="s">
        <v>5676</v>
      </c>
      <c r="N1112" s="37"/>
      <c r="O1112" s="37" t="s">
        <v>96</v>
      </c>
      <c r="P1112" s="37" t="s">
        <v>595</v>
      </c>
      <c r="Q1112" s="37" t="s">
        <v>18</v>
      </c>
      <c r="R1112" s="37"/>
      <c r="S1112" s="37"/>
      <c r="T1112" s="37" t="s">
        <v>158</v>
      </c>
      <c r="U1112" s="37"/>
      <c r="V1112" s="37" t="s">
        <v>72</v>
      </c>
      <c r="W1112" s="37" t="s">
        <v>69</v>
      </c>
      <c r="X1112" s="25"/>
      <c r="Y1112" s="25"/>
      <c r="Z1112" s="25"/>
      <c r="AA1112" s="25"/>
      <c r="AB1112" s="25"/>
      <c r="AC1112" s="25"/>
      <c r="AD1112" s="25"/>
      <c r="AE1112" s="25"/>
      <c r="AF1112" s="25"/>
      <c r="AG1112" s="25"/>
      <c r="AH1112" s="25"/>
      <c r="AI1112" s="25"/>
      <c r="AJ1112" s="25"/>
      <c r="AK1112" s="25"/>
    </row>
    <row r="1113" spans="1:37">
      <c r="A1113" s="37"/>
      <c r="B1113" s="37"/>
      <c r="C1113" s="37"/>
      <c r="D1113" s="37" t="s">
        <v>6650</v>
      </c>
      <c r="E1113" s="37" t="s">
        <v>6651</v>
      </c>
      <c r="F1113" s="37" t="s">
        <v>6652</v>
      </c>
      <c r="G1113" s="37" t="s">
        <v>6653</v>
      </c>
      <c r="H1113" s="37"/>
      <c r="I1113" s="37" t="s">
        <v>6654</v>
      </c>
      <c r="J1113" s="37" t="s">
        <v>425</v>
      </c>
      <c r="K1113" s="40" t="s">
        <v>6655</v>
      </c>
      <c r="L1113" s="37" t="s">
        <v>64</v>
      </c>
      <c r="M1113" s="37" t="s">
        <v>6656</v>
      </c>
      <c r="N1113" s="37"/>
      <c r="O1113" s="37" t="s">
        <v>96</v>
      </c>
      <c r="P1113" s="37" t="s">
        <v>268</v>
      </c>
      <c r="Q1113" s="37" t="s">
        <v>98</v>
      </c>
      <c r="R1113" s="37" t="s">
        <v>6657</v>
      </c>
      <c r="S1113" s="37"/>
      <c r="T1113" s="37"/>
      <c r="U1113" s="37"/>
      <c r="V1113" s="37" t="s">
        <v>72</v>
      </c>
      <c r="W1113" s="37" t="s">
        <v>73</v>
      </c>
      <c r="X1113" s="25"/>
      <c r="Y1113" s="25"/>
      <c r="Z1113" s="25"/>
      <c r="AA1113" s="25"/>
      <c r="AB1113" s="25"/>
      <c r="AC1113" s="25"/>
      <c r="AD1113" s="25"/>
      <c r="AE1113" s="25"/>
      <c r="AF1113" s="25"/>
      <c r="AG1113" s="25"/>
      <c r="AH1113" s="25"/>
      <c r="AI1113" s="25"/>
      <c r="AJ1113" s="25"/>
      <c r="AK1113" s="25"/>
    </row>
    <row r="1114" spans="1:37">
      <c r="A1114" s="37"/>
      <c r="B1114" s="37"/>
      <c r="C1114" s="37"/>
      <c r="D1114" s="37" t="s">
        <v>2141</v>
      </c>
      <c r="E1114" s="37" t="s">
        <v>4264</v>
      </c>
      <c r="F1114" s="37" t="s">
        <v>4268</v>
      </c>
      <c r="G1114" s="37" t="s">
        <v>4265</v>
      </c>
      <c r="H1114" s="37"/>
      <c r="I1114" s="37" t="s">
        <v>1832</v>
      </c>
      <c r="J1114" s="37" t="s">
        <v>1365</v>
      </c>
      <c r="K1114" s="40" t="s">
        <v>4266</v>
      </c>
      <c r="L1114" s="37" t="s">
        <v>64</v>
      </c>
      <c r="M1114" s="37" t="s">
        <v>4267</v>
      </c>
      <c r="N1114" s="37"/>
      <c r="O1114" s="37" t="s">
        <v>96</v>
      </c>
      <c r="P1114" s="37" t="s">
        <v>268</v>
      </c>
      <c r="Q1114" s="37" t="s">
        <v>17</v>
      </c>
      <c r="R1114" s="37"/>
      <c r="S1114" s="37"/>
      <c r="T1114" s="37"/>
      <c r="U1114" s="37"/>
      <c r="V1114" s="37" t="s">
        <v>118</v>
      </c>
      <c r="W1114" s="37" t="s">
        <v>89</v>
      </c>
      <c r="X1114" s="25"/>
      <c r="Y1114" s="25"/>
      <c r="Z1114" s="25"/>
      <c r="AA1114" s="25"/>
      <c r="AB1114" s="25"/>
      <c r="AC1114" s="25"/>
      <c r="AD1114" s="25"/>
      <c r="AE1114" s="25"/>
      <c r="AF1114" s="25"/>
      <c r="AG1114" s="25"/>
      <c r="AH1114" s="25"/>
      <c r="AI1114" s="25"/>
      <c r="AJ1114" s="25"/>
      <c r="AK1114" s="25"/>
    </row>
    <row r="1115" spans="1:37">
      <c r="A1115" s="37"/>
      <c r="B1115" s="37"/>
      <c r="C1115" s="37"/>
      <c r="D1115" s="37" t="s">
        <v>1207</v>
      </c>
      <c r="E1115" s="37" t="s">
        <v>1208</v>
      </c>
      <c r="F1115" s="37" t="s">
        <v>1213</v>
      </c>
      <c r="G1115" s="37" t="s">
        <v>1209</v>
      </c>
      <c r="H1115" s="37" t="s">
        <v>1074</v>
      </c>
      <c r="I1115" s="37" t="s">
        <v>1210</v>
      </c>
      <c r="J1115" s="37" t="s">
        <v>114</v>
      </c>
      <c r="K1115" s="40" t="s">
        <v>1211</v>
      </c>
      <c r="L1115" s="37" t="s">
        <v>64</v>
      </c>
      <c r="M1115" s="37" t="s">
        <v>1212</v>
      </c>
      <c r="N1115" s="37"/>
      <c r="O1115" s="37" t="s">
        <v>96</v>
      </c>
      <c r="P1115" s="37" t="s">
        <v>268</v>
      </c>
      <c r="Q1115" s="37" t="s">
        <v>16</v>
      </c>
      <c r="R1115" s="37"/>
      <c r="S1115" s="37" t="s">
        <v>521</v>
      </c>
      <c r="T1115" s="37"/>
      <c r="U1115" s="37" t="s">
        <v>69</v>
      </c>
      <c r="V1115" s="37" t="s">
        <v>72</v>
      </c>
      <c r="W1115" s="37" t="s">
        <v>89</v>
      </c>
      <c r="X1115" s="25"/>
      <c r="Y1115" s="25"/>
      <c r="Z1115" s="25"/>
      <c r="AA1115" s="25"/>
      <c r="AB1115" s="25"/>
      <c r="AC1115" s="25"/>
      <c r="AD1115" s="25"/>
      <c r="AE1115" s="25"/>
      <c r="AF1115" s="25"/>
      <c r="AG1115" s="25"/>
      <c r="AH1115" s="25"/>
      <c r="AI1115" s="25"/>
      <c r="AJ1115" s="25"/>
      <c r="AK1115" s="25"/>
    </row>
    <row r="1116" spans="1:37">
      <c r="A1116" s="37"/>
      <c r="B1116" s="37"/>
      <c r="C1116" s="37"/>
      <c r="D1116" s="37" t="s">
        <v>742</v>
      </c>
      <c r="E1116" s="37" t="s">
        <v>3978</v>
      </c>
      <c r="F1116" s="37" t="s">
        <v>3981</v>
      </c>
      <c r="G1116" s="37" t="s">
        <v>623</v>
      </c>
      <c r="H1116" s="37"/>
      <c r="I1116" s="37" t="s">
        <v>3979</v>
      </c>
      <c r="J1116" s="37" t="s">
        <v>125</v>
      </c>
      <c r="K1116" s="40" t="s">
        <v>625</v>
      </c>
      <c r="L1116" s="37" t="s">
        <v>64</v>
      </c>
      <c r="M1116" s="37" t="s">
        <v>3980</v>
      </c>
      <c r="N1116" s="37" t="s">
        <v>627</v>
      </c>
      <c r="O1116" s="37" t="s">
        <v>96</v>
      </c>
      <c r="P1116" s="37" t="s">
        <v>595</v>
      </c>
      <c r="Q1116" s="37" t="s">
        <v>126</v>
      </c>
      <c r="R1116" s="37"/>
      <c r="S1116" s="37" t="s">
        <v>5353</v>
      </c>
      <c r="T1116" s="37"/>
      <c r="U1116" s="37"/>
      <c r="V1116" s="37" t="s">
        <v>77</v>
      </c>
      <c r="W1116" s="37" t="s">
        <v>135</v>
      </c>
      <c r="X1116" s="25"/>
      <c r="Y1116" s="25"/>
      <c r="Z1116" s="25"/>
      <c r="AA1116" s="25"/>
      <c r="AB1116" s="25"/>
      <c r="AC1116" s="25"/>
      <c r="AD1116" s="25"/>
      <c r="AE1116" s="25"/>
      <c r="AF1116" s="25"/>
      <c r="AG1116" s="25"/>
      <c r="AH1116" s="25"/>
      <c r="AI1116" s="25"/>
      <c r="AJ1116" s="25"/>
      <c r="AK1116" s="25"/>
    </row>
    <row r="1117" spans="1:37">
      <c r="A1117" s="37"/>
      <c r="B1117" s="37"/>
      <c r="C1117" s="37"/>
      <c r="D1117" s="37" t="s">
        <v>6658</v>
      </c>
      <c r="E1117" s="37" t="s">
        <v>6659</v>
      </c>
      <c r="F1117" s="37" t="s">
        <v>6660</v>
      </c>
      <c r="G1117" s="37" t="s">
        <v>6661</v>
      </c>
      <c r="H1117" s="37" t="s">
        <v>4857</v>
      </c>
      <c r="I1117" s="37" t="s">
        <v>478</v>
      </c>
      <c r="J1117" s="37" t="s">
        <v>75</v>
      </c>
      <c r="K1117" s="40" t="s">
        <v>4858</v>
      </c>
      <c r="L1117" s="37" t="s">
        <v>64</v>
      </c>
      <c r="M1117" s="37" t="s">
        <v>6662</v>
      </c>
      <c r="N1117" s="37" t="s">
        <v>6663</v>
      </c>
      <c r="O1117" s="37" t="s">
        <v>96</v>
      </c>
      <c r="P1117" s="37" t="s">
        <v>595</v>
      </c>
      <c r="Q1117" s="37" t="s">
        <v>10</v>
      </c>
      <c r="R1117" s="37"/>
      <c r="S1117" s="37"/>
      <c r="T1117" s="37" t="s">
        <v>144</v>
      </c>
      <c r="U1117" s="37" t="s">
        <v>116</v>
      </c>
      <c r="V1117" s="37" t="s">
        <v>67</v>
      </c>
      <c r="W1117" s="37" t="s">
        <v>97</v>
      </c>
      <c r="X1117" s="25"/>
      <c r="Y1117" s="25"/>
      <c r="Z1117" s="25"/>
      <c r="AA1117" s="25"/>
      <c r="AB1117" s="25"/>
      <c r="AC1117" s="25"/>
      <c r="AD1117" s="25"/>
      <c r="AE1117" s="25"/>
      <c r="AF1117" s="25"/>
      <c r="AG1117" s="25"/>
      <c r="AH1117" s="25"/>
      <c r="AI1117" s="25"/>
      <c r="AJ1117" s="25"/>
      <c r="AK1117" s="25"/>
    </row>
    <row r="1118" spans="1:37">
      <c r="A1118" s="37"/>
      <c r="B1118" s="37"/>
      <c r="C1118" s="37"/>
      <c r="D1118" s="37" t="s">
        <v>728</v>
      </c>
      <c r="E1118" s="37" t="s">
        <v>1485</v>
      </c>
      <c r="F1118" s="37" t="s">
        <v>1492</v>
      </c>
      <c r="G1118" s="37" t="s">
        <v>1486</v>
      </c>
      <c r="H1118" s="37"/>
      <c r="I1118" s="37" t="s">
        <v>1487</v>
      </c>
      <c r="J1118" s="37" t="s">
        <v>425</v>
      </c>
      <c r="K1118" s="40" t="s">
        <v>1488</v>
      </c>
      <c r="L1118" s="37" t="s">
        <v>64</v>
      </c>
      <c r="M1118" s="37" t="s">
        <v>1489</v>
      </c>
      <c r="N1118" s="37"/>
      <c r="O1118" s="37" t="s">
        <v>96</v>
      </c>
      <c r="P1118" s="37" t="s">
        <v>268</v>
      </c>
      <c r="Q1118" s="37" t="s">
        <v>98</v>
      </c>
      <c r="R1118" s="37" t="s">
        <v>1490</v>
      </c>
      <c r="S1118" s="37" t="s">
        <v>1491</v>
      </c>
      <c r="T1118" s="37" t="s">
        <v>69</v>
      </c>
      <c r="U1118" s="37"/>
      <c r="V1118" s="37" t="s">
        <v>77</v>
      </c>
      <c r="W1118" s="37" t="s">
        <v>89</v>
      </c>
      <c r="X1118" s="25"/>
      <c r="Y1118" s="25"/>
      <c r="Z1118" s="25"/>
      <c r="AA1118" s="25"/>
      <c r="AB1118" s="25"/>
      <c r="AC1118" s="25"/>
      <c r="AD1118" s="25"/>
      <c r="AE1118" s="25"/>
      <c r="AF1118" s="25"/>
      <c r="AG1118" s="25"/>
      <c r="AH1118" s="25"/>
      <c r="AI1118" s="25"/>
      <c r="AJ1118" s="25"/>
      <c r="AK1118" s="25"/>
    </row>
    <row r="1119" spans="1:37">
      <c r="A1119" s="37"/>
      <c r="B1119" s="37"/>
      <c r="C1119" s="37"/>
      <c r="D1119" s="37" t="s">
        <v>1493</v>
      </c>
      <c r="E1119" s="37" t="s">
        <v>1485</v>
      </c>
      <c r="F1119" s="37" t="s">
        <v>1492</v>
      </c>
      <c r="G1119" s="37" t="s">
        <v>1486</v>
      </c>
      <c r="H1119" s="37"/>
      <c r="I1119" s="37" t="s">
        <v>1487</v>
      </c>
      <c r="J1119" s="37" t="s">
        <v>425</v>
      </c>
      <c r="K1119" s="40" t="s">
        <v>1488</v>
      </c>
      <c r="L1119" s="37" t="s">
        <v>64</v>
      </c>
      <c r="M1119" s="37" t="s">
        <v>1489</v>
      </c>
      <c r="N1119" s="37"/>
      <c r="O1119" s="37" t="s">
        <v>96</v>
      </c>
      <c r="P1119" s="37" t="s">
        <v>268</v>
      </c>
      <c r="Q1119" s="37" t="s">
        <v>98</v>
      </c>
      <c r="R1119" s="37" t="s">
        <v>1494</v>
      </c>
      <c r="S1119" s="37" t="s">
        <v>1491</v>
      </c>
      <c r="T1119" s="37" t="s">
        <v>69</v>
      </c>
      <c r="U1119" s="37"/>
      <c r="V1119" s="37" t="s">
        <v>72</v>
      </c>
      <c r="W1119" s="37" t="s">
        <v>69</v>
      </c>
      <c r="X1119" s="25"/>
      <c r="Y1119" s="25"/>
      <c r="Z1119" s="25"/>
      <c r="AA1119" s="25"/>
      <c r="AB1119" s="25"/>
      <c r="AC1119" s="25"/>
      <c r="AD1119" s="25"/>
      <c r="AE1119" s="25"/>
      <c r="AF1119" s="25"/>
      <c r="AG1119" s="25"/>
      <c r="AH1119" s="25"/>
      <c r="AI1119" s="25"/>
      <c r="AJ1119" s="25"/>
      <c r="AK1119" s="25"/>
    </row>
    <row r="1120" spans="1:37">
      <c r="A1120" s="37"/>
      <c r="B1120" s="37"/>
      <c r="C1120" s="37"/>
      <c r="D1120" s="37" t="s">
        <v>955</v>
      </c>
      <c r="E1120" s="37" t="s">
        <v>3058</v>
      </c>
      <c r="F1120" s="37" t="s">
        <v>3065</v>
      </c>
      <c r="G1120" s="37" t="s">
        <v>3059</v>
      </c>
      <c r="H1120" s="37"/>
      <c r="I1120" s="37" t="s">
        <v>3060</v>
      </c>
      <c r="J1120" s="37" t="s">
        <v>2566</v>
      </c>
      <c r="K1120" s="40" t="s">
        <v>3061</v>
      </c>
      <c r="L1120" s="37" t="s">
        <v>64</v>
      </c>
      <c r="M1120" s="37" t="s">
        <v>3062</v>
      </c>
      <c r="N1120" s="37" t="s">
        <v>3063</v>
      </c>
      <c r="O1120" s="37" t="s">
        <v>96</v>
      </c>
      <c r="P1120" s="37" t="s">
        <v>595</v>
      </c>
      <c r="Q1120" s="37" t="s">
        <v>126</v>
      </c>
      <c r="R1120" s="37" t="s">
        <v>3064</v>
      </c>
      <c r="S1120" s="37" t="s">
        <v>5326</v>
      </c>
      <c r="T1120" s="37" t="s">
        <v>66</v>
      </c>
      <c r="U1120" s="37" t="s">
        <v>116</v>
      </c>
      <c r="V1120" s="37" t="s">
        <v>77</v>
      </c>
      <c r="W1120" s="37" t="s">
        <v>2140</v>
      </c>
      <c r="X1120" s="25"/>
      <c r="Y1120" s="25"/>
      <c r="Z1120" s="25"/>
      <c r="AA1120" s="25"/>
      <c r="AB1120" s="25"/>
      <c r="AC1120" s="25"/>
      <c r="AD1120" s="25"/>
      <c r="AE1120" s="25"/>
      <c r="AF1120" s="25"/>
      <c r="AG1120" s="25"/>
      <c r="AH1120" s="25"/>
      <c r="AI1120" s="25"/>
      <c r="AJ1120" s="25"/>
      <c r="AK1120" s="25"/>
    </row>
    <row r="1121" spans="1:37">
      <c r="A1121" s="37"/>
      <c r="B1121" s="37"/>
      <c r="C1121" s="37"/>
      <c r="D1121" s="37" t="s">
        <v>5654</v>
      </c>
      <c r="E1121" s="37" t="s">
        <v>1582</v>
      </c>
      <c r="F1121" s="37" t="s">
        <v>5655</v>
      </c>
      <c r="G1121" s="37" t="s">
        <v>609</v>
      </c>
      <c r="H1121" s="37"/>
      <c r="I1121" s="37" t="s">
        <v>610</v>
      </c>
      <c r="J1121" s="37" t="s">
        <v>394</v>
      </c>
      <c r="K1121" s="40" t="s">
        <v>611</v>
      </c>
      <c r="L1121" s="37" t="s">
        <v>64</v>
      </c>
      <c r="M1121" s="37" t="s">
        <v>1875</v>
      </c>
      <c r="N1121" s="37"/>
      <c r="O1121" s="37" t="s">
        <v>96</v>
      </c>
      <c r="P1121" s="37" t="s">
        <v>480</v>
      </c>
      <c r="Q1121" s="37" t="s">
        <v>10</v>
      </c>
      <c r="R1121" s="37"/>
      <c r="S1121" s="37"/>
      <c r="T1121" s="37"/>
      <c r="U1121" s="37"/>
      <c r="V1121" s="37" t="s">
        <v>72</v>
      </c>
      <c r="W1121" s="37" t="s">
        <v>73</v>
      </c>
      <c r="X1121" s="25"/>
      <c r="Y1121" s="25"/>
      <c r="Z1121" s="25"/>
      <c r="AA1121" s="25"/>
      <c r="AB1121" s="25"/>
      <c r="AC1121" s="25"/>
      <c r="AD1121" s="25"/>
      <c r="AE1121" s="25"/>
      <c r="AF1121" s="25"/>
      <c r="AG1121" s="25"/>
      <c r="AH1121" s="25"/>
      <c r="AI1121" s="25"/>
      <c r="AJ1121" s="25"/>
      <c r="AK1121" s="25"/>
    </row>
    <row r="1122" spans="1:37">
      <c r="A1122" s="37"/>
      <c r="B1122" s="37"/>
      <c r="C1122" s="37"/>
      <c r="D1122" s="37" t="s">
        <v>532</v>
      </c>
      <c r="E1122" s="37" t="s">
        <v>4196</v>
      </c>
      <c r="F1122" s="37" t="s">
        <v>4937</v>
      </c>
      <c r="G1122" s="37" t="s">
        <v>4933</v>
      </c>
      <c r="H1122" s="37"/>
      <c r="I1122" s="37" t="s">
        <v>816</v>
      </c>
      <c r="J1122" s="37" t="s">
        <v>475</v>
      </c>
      <c r="K1122" s="40" t="s">
        <v>4934</v>
      </c>
      <c r="L1122" s="37" t="s">
        <v>64</v>
      </c>
      <c r="M1122" s="37" t="s">
        <v>4935</v>
      </c>
      <c r="N1122" s="37"/>
      <c r="O1122" s="37" t="s">
        <v>96</v>
      </c>
      <c r="P1122" s="37" t="s">
        <v>268</v>
      </c>
      <c r="Q1122" s="37" t="s">
        <v>98</v>
      </c>
      <c r="R1122" s="37"/>
      <c r="S1122" s="37" t="s">
        <v>4936</v>
      </c>
      <c r="T1122" s="37"/>
      <c r="U1122" s="37"/>
      <c r="V1122" s="37" t="s">
        <v>77</v>
      </c>
      <c r="W1122" s="37" t="s">
        <v>2140</v>
      </c>
      <c r="X1122" s="25"/>
      <c r="Y1122" s="25"/>
      <c r="Z1122" s="25"/>
      <c r="AA1122" s="25"/>
      <c r="AB1122" s="25"/>
      <c r="AC1122" s="25"/>
      <c r="AD1122" s="25"/>
      <c r="AE1122" s="25"/>
      <c r="AF1122" s="25"/>
      <c r="AG1122" s="25"/>
      <c r="AH1122" s="25"/>
      <c r="AI1122" s="25"/>
      <c r="AJ1122" s="25"/>
      <c r="AK1122" s="25"/>
    </row>
    <row r="1123" spans="1:37">
      <c r="A1123" s="37"/>
      <c r="B1123" s="37"/>
      <c r="C1123" s="37"/>
      <c r="D1123" s="37" t="s">
        <v>1823</v>
      </c>
      <c r="E1123" s="37" t="s">
        <v>3030</v>
      </c>
      <c r="F1123" s="37" t="s">
        <v>6664</v>
      </c>
      <c r="G1123" s="37" t="s">
        <v>6665</v>
      </c>
      <c r="H1123" s="37"/>
      <c r="I1123" s="37" t="s">
        <v>5993</v>
      </c>
      <c r="J1123" s="37" t="s">
        <v>75</v>
      </c>
      <c r="K1123" s="40" t="s">
        <v>6515</v>
      </c>
      <c r="L1123" s="37" t="s">
        <v>64</v>
      </c>
      <c r="M1123" s="37" t="s">
        <v>6666</v>
      </c>
      <c r="N1123" s="37"/>
      <c r="O1123" s="37" t="s">
        <v>96</v>
      </c>
      <c r="P1123" s="37" t="s">
        <v>268</v>
      </c>
      <c r="Q1123" s="37" t="s">
        <v>10</v>
      </c>
      <c r="R1123" s="37"/>
      <c r="S1123" s="37"/>
      <c r="T1123" s="37" t="s">
        <v>144</v>
      </c>
      <c r="U1123" s="37"/>
      <c r="V1123" s="37" t="s">
        <v>88</v>
      </c>
      <c r="W1123" s="37" t="s">
        <v>261</v>
      </c>
      <c r="X1123" s="25"/>
      <c r="Y1123" s="25"/>
      <c r="Z1123" s="25"/>
      <c r="AA1123" s="25"/>
      <c r="AB1123" s="25"/>
      <c r="AC1123" s="25"/>
      <c r="AD1123" s="25"/>
      <c r="AE1123" s="25"/>
      <c r="AF1123" s="25"/>
      <c r="AG1123" s="25"/>
      <c r="AH1123" s="25"/>
      <c r="AI1123" s="25"/>
      <c r="AJ1123" s="25"/>
      <c r="AK1123" s="25"/>
    </row>
    <row r="1124" spans="1:37">
      <c r="A1124" s="37"/>
      <c r="B1124" s="37"/>
      <c r="C1124" s="37"/>
      <c r="D1124" s="37" t="s">
        <v>6667</v>
      </c>
      <c r="E1124" s="37" t="s">
        <v>1713</v>
      </c>
      <c r="F1124" s="37" t="s">
        <v>6668</v>
      </c>
      <c r="G1124" s="37" t="s">
        <v>6669</v>
      </c>
      <c r="H1124" s="37"/>
      <c r="I1124" s="37" t="s">
        <v>478</v>
      </c>
      <c r="J1124" s="37" t="s">
        <v>75</v>
      </c>
      <c r="K1124" s="40" t="s">
        <v>6670</v>
      </c>
      <c r="L1124" s="37" t="s">
        <v>64</v>
      </c>
      <c r="M1124" s="37" t="s">
        <v>6671</v>
      </c>
      <c r="N1124" s="37"/>
      <c r="O1124" s="37" t="s">
        <v>96</v>
      </c>
      <c r="P1124" s="37" t="s">
        <v>595</v>
      </c>
      <c r="Q1124" s="37" t="s">
        <v>10</v>
      </c>
      <c r="R1124" s="37"/>
      <c r="S1124" s="37"/>
      <c r="T1124" s="37"/>
      <c r="U1124" s="37"/>
      <c r="V1124" s="37" t="s">
        <v>118</v>
      </c>
      <c r="W1124" s="37" t="s">
        <v>99</v>
      </c>
      <c r="X1124" s="25"/>
      <c r="Y1124" s="25"/>
      <c r="Z1124" s="25"/>
      <c r="AA1124" s="25"/>
      <c r="AB1124" s="25"/>
      <c r="AC1124" s="25"/>
      <c r="AD1124" s="25"/>
      <c r="AE1124" s="25"/>
      <c r="AF1124" s="25"/>
      <c r="AG1124" s="25"/>
      <c r="AH1124" s="25"/>
      <c r="AI1124" s="25"/>
      <c r="AJ1124" s="25"/>
      <c r="AK1124" s="25"/>
    </row>
    <row r="1125" spans="1:37">
      <c r="A1125" s="37"/>
      <c r="B1125" s="37"/>
      <c r="C1125" s="37"/>
      <c r="D1125" s="37" t="s">
        <v>3971</v>
      </c>
      <c r="E1125" s="37" t="s">
        <v>3972</v>
      </c>
      <c r="F1125" s="37" t="s">
        <v>3977</v>
      </c>
      <c r="G1125" s="37" t="s">
        <v>3973</v>
      </c>
      <c r="H1125" s="37"/>
      <c r="I1125" s="37" t="s">
        <v>3974</v>
      </c>
      <c r="J1125" s="37" t="s">
        <v>200</v>
      </c>
      <c r="K1125" s="40" t="s">
        <v>3975</v>
      </c>
      <c r="L1125" s="37" t="s">
        <v>64</v>
      </c>
      <c r="M1125" s="37" t="s">
        <v>3976</v>
      </c>
      <c r="N1125" s="37"/>
      <c r="O1125" s="37" t="s">
        <v>96</v>
      </c>
      <c r="P1125" s="37" t="s">
        <v>480</v>
      </c>
      <c r="Q1125" s="37" t="s">
        <v>18</v>
      </c>
      <c r="R1125" s="37"/>
      <c r="S1125" s="37"/>
      <c r="T1125" s="37"/>
      <c r="U1125" s="37"/>
      <c r="V1125" s="37" t="s">
        <v>77</v>
      </c>
      <c r="W1125" s="37" t="s">
        <v>99</v>
      </c>
      <c r="X1125" s="25"/>
      <c r="Y1125" s="25"/>
      <c r="Z1125" s="25"/>
      <c r="AA1125" s="25"/>
      <c r="AB1125" s="25"/>
      <c r="AC1125" s="25"/>
      <c r="AD1125" s="25"/>
      <c r="AE1125" s="25"/>
      <c r="AF1125" s="25"/>
      <c r="AG1125" s="25"/>
      <c r="AH1125" s="25"/>
      <c r="AI1125" s="25"/>
      <c r="AJ1125" s="25"/>
      <c r="AK1125" s="25"/>
    </row>
    <row r="1126" spans="1:37">
      <c r="A1126" s="37"/>
      <c r="B1126" s="37"/>
      <c r="C1126" s="37"/>
      <c r="D1126" s="37" t="s">
        <v>6672</v>
      </c>
      <c r="E1126" s="37" t="s">
        <v>6673</v>
      </c>
      <c r="F1126" s="37" t="s">
        <v>6674</v>
      </c>
      <c r="G1126" s="37" t="s">
        <v>6675</v>
      </c>
      <c r="H1126" s="37"/>
      <c r="I1126" s="37" t="s">
        <v>3753</v>
      </c>
      <c r="J1126" s="37" t="s">
        <v>75</v>
      </c>
      <c r="K1126" s="40" t="s">
        <v>6676</v>
      </c>
      <c r="L1126" s="37" t="s">
        <v>64</v>
      </c>
      <c r="M1126" s="37" t="s">
        <v>6677</v>
      </c>
      <c r="N1126" s="37"/>
      <c r="O1126" s="37" t="s">
        <v>96</v>
      </c>
      <c r="P1126" s="37" t="s">
        <v>595</v>
      </c>
      <c r="Q1126" s="37" t="s">
        <v>10</v>
      </c>
      <c r="R1126" s="37"/>
      <c r="S1126" s="37"/>
      <c r="T1126" s="37"/>
      <c r="U1126" s="37"/>
      <c r="V1126" s="37" t="s">
        <v>72</v>
      </c>
      <c r="W1126" s="37" t="s">
        <v>110</v>
      </c>
      <c r="X1126" s="25"/>
      <c r="Y1126" s="25"/>
      <c r="Z1126" s="25"/>
      <c r="AA1126" s="25"/>
      <c r="AB1126" s="25"/>
      <c r="AC1126" s="25"/>
      <c r="AD1126" s="25"/>
      <c r="AE1126" s="25"/>
      <c r="AF1126" s="25"/>
      <c r="AG1126" s="25"/>
      <c r="AH1126" s="25"/>
      <c r="AI1126" s="25"/>
      <c r="AJ1126" s="25"/>
      <c r="AK1126" s="25"/>
    </row>
    <row r="1127" spans="1:37">
      <c r="A1127" s="37"/>
      <c r="B1127" s="37"/>
      <c r="C1127" s="37"/>
      <c r="D1127" s="37" t="s">
        <v>1846</v>
      </c>
      <c r="E1127" s="37" t="s">
        <v>1873</v>
      </c>
      <c r="F1127" s="37" t="s">
        <v>1879</v>
      </c>
      <c r="G1127" s="37" t="s">
        <v>1874</v>
      </c>
      <c r="H1127" s="37"/>
      <c r="I1127" s="37" t="s">
        <v>610</v>
      </c>
      <c r="J1127" s="37" t="s">
        <v>394</v>
      </c>
      <c r="K1127" s="40" t="s">
        <v>611</v>
      </c>
      <c r="L1127" s="37" t="s">
        <v>64</v>
      </c>
      <c r="M1127" s="37" t="s">
        <v>1875</v>
      </c>
      <c r="N1127" s="37" t="s">
        <v>1876</v>
      </c>
      <c r="O1127" s="37" t="s">
        <v>96</v>
      </c>
      <c r="P1127" s="37" t="s">
        <v>268</v>
      </c>
      <c r="Q1127" s="37" t="s">
        <v>10</v>
      </c>
      <c r="R1127" s="37" t="s">
        <v>1877</v>
      </c>
      <c r="S1127" s="37"/>
      <c r="T1127" s="37" t="s">
        <v>115</v>
      </c>
      <c r="U1127" s="37"/>
      <c r="V1127" s="37" t="s">
        <v>72</v>
      </c>
      <c r="W1127" s="37" t="s">
        <v>195</v>
      </c>
      <c r="X1127" s="25"/>
      <c r="Y1127" s="25"/>
      <c r="Z1127" s="25"/>
      <c r="AA1127" s="25"/>
      <c r="AB1127" s="25"/>
      <c r="AC1127" s="25"/>
      <c r="AD1127" s="25"/>
      <c r="AE1127" s="25"/>
      <c r="AF1127" s="25"/>
      <c r="AG1127" s="25"/>
      <c r="AH1127" s="25"/>
      <c r="AI1127" s="25"/>
      <c r="AJ1127" s="25"/>
      <c r="AK1127" s="25"/>
    </row>
    <row r="1128" spans="1:37">
      <c r="A1128" s="37"/>
      <c r="B1128" s="37"/>
      <c r="C1128" s="37"/>
      <c r="D1128" s="37" t="s">
        <v>4364</v>
      </c>
      <c r="E1128" s="37" t="s">
        <v>6202</v>
      </c>
      <c r="F1128" s="37" t="s">
        <v>6678</v>
      </c>
      <c r="G1128" s="37" t="s">
        <v>6556</v>
      </c>
      <c r="H1128" s="37"/>
      <c r="I1128" s="37" t="s">
        <v>420</v>
      </c>
      <c r="J1128" s="37" t="s">
        <v>75</v>
      </c>
      <c r="K1128" s="40" t="s">
        <v>901</v>
      </c>
      <c r="L1128" s="37" t="s">
        <v>64</v>
      </c>
      <c r="M1128" s="37" t="s">
        <v>6679</v>
      </c>
      <c r="N1128" s="37"/>
      <c r="O1128" s="37" t="s">
        <v>96</v>
      </c>
      <c r="P1128" s="37" t="s">
        <v>595</v>
      </c>
      <c r="Q1128" s="37" t="s">
        <v>10</v>
      </c>
      <c r="R1128" s="37" t="s">
        <v>6680</v>
      </c>
      <c r="S1128" s="37" t="s">
        <v>6681</v>
      </c>
      <c r="T1128" s="37" t="s">
        <v>66</v>
      </c>
      <c r="U1128" s="37"/>
      <c r="V1128" s="37" t="s">
        <v>67</v>
      </c>
      <c r="W1128" s="37" t="s">
        <v>89</v>
      </c>
      <c r="X1128" s="25"/>
      <c r="Y1128" s="25"/>
      <c r="Z1128" s="25"/>
      <c r="AA1128" s="25"/>
      <c r="AB1128" s="25"/>
      <c r="AC1128" s="25"/>
      <c r="AD1128" s="25"/>
      <c r="AE1128" s="25"/>
      <c r="AF1128" s="25"/>
      <c r="AG1128" s="25"/>
      <c r="AH1128" s="25"/>
      <c r="AI1128" s="25"/>
      <c r="AJ1128" s="25"/>
      <c r="AK1128" s="25"/>
    </row>
    <row r="1129" spans="1:37">
      <c r="A1129" s="37" t="s">
        <v>112</v>
      </c>
      <c r="B1129" s="37"/>
      <c r="C1129" s="37"/>
      <c r="D1129" s="37" t="s">
        <v>1524</v>
      </c>
      <c r="E1129" s="37" t="s">
        <v>3913</v>
      </c>
      <c r="F1129" s="37" t="s">
        <v>3916</v>
      </c>
      <c r="G1129" s="37" t="s">
        <v>3914</v>
      </c>
      <c r="H1129" s="37" t="s">
        <v>4001</v>
      </c>
      <c r="I1129" s="37" t="s">
        <v>4002</v>
      </c>
      <c r="J1129" s="37" t="s">
        <v>125</v>
      </c>
      <c r="K1129" s="40" t="s">
        <v>4003</v>
      </c>
      <c r="L1129" s="37" t="s">
        <v>64</v>
      </c>
      <c r="M1129" s="37" t="s">
        <v>3915</v>
      </c>
      <c r="N1129" s="37" t="s">
        <v>4005</v>
      </c>
      <c r="O1129" s="37" t="s">
        <v>96</v>
      </c>
      <c r="P1129" s="37" t="s">
        <v>268</v>
      </c>
      <c r="Q1129" s="37" t="s">
        <v>126</v>
      </c>
      <c r="R1129" s="37" t="s">
        <v>628</v>
      </c>
      <c r="S1129" s="37"/>
      <c r="T1129" s="37" t="s">
        <v>69</v>
      </c>
      <c r="U1129" s="37" t="s">
        <v>116</v>
      </c>
      <c r="V1129" s="37" t="s">
        <v>72</v>
      </c>
      <c r="W1129" s="37" t="s">
        <v>78</v>
      </c>
      <c r="X1129" s="25"/>
      <c r="Y1129" s="25"/>
      <c r="Z1129" s="25"/>
      <c r="AA1129" s="25"/>
      <c r="AB1129" s="25"/>
      <c r="AC1129" s="25"/>
      <c r="AD1129" s="25"/>
      <c r="AE1129" s="25"/>
      <c r="AF1129" s="25"/>
      <c r="AG1129" s="25"/>
      <c r="AH1129" s="25"/>
      <c r="AI1129" s="25"/>
      <c r="AJ1129" s="25"/>
      <c r="AK1129" s="25"/>
    </row>
    <row r="1130" spans="1:37">
      <c r="A1130" s="37"/>
      <c r="B1130" s="37"/>
      <c r="C1130" s="37"/>
      <c r="D1130" s="37" t="s">
        <v>1368</v>
      </c>
      <c r="E1130" s="37" t="s">
        <v>5229</v>
      </c>
      <c r="F1130" s="37" t="s">
        <v>5234</v>
      </c>
      <c r="G1130" s="37" t="s">
        <v>5230</v>
      </c>
      <c r="H1130" s="37"/>
      <c r="I1130" s="37" t="s">
        <v>3319</v>
      </c>
      <c r="J1130" s="37" t="s">
        <v>973</v>
      </c>
      <c r="K1130" s="40" t="s">
        <v>5231</v>
      </c>
      <c r="L1130" s="37" t="s">
        <v>64</v>
      </c>
      <c r="M1130" s="37" t="s">
        <v>5232</v>
      </c>
      <c r="N1130" s="37"/>
      <c r="O1130" s="37" t="s">
        <v>96</v>
      </c>
      <c r="P1130" s="37" t="s">
        <v>268</v>
      </c>
      <c r="Q1130" s="37" t="s">
        <v>4</v>
      </c>
      <c r="R1130" s="37" t="s">
        <v>5233</v>
      </c>
      <c r="S1130" s="37"/>
      <c r="T1130" s="37"/>
      <c r="U1130" s="37"/>
      <c r="V1130" s="37" t="s">
        <v>77</v>
      </c>
      <c r="W1130" s="37" t="s">
        <v>89</v>
      </c>
      <c r="X1130" s="25"/>
      <c r="Y1130" s="25"/>
      <c r="Z1130" s="25"/>
      <c r="AA1130" s="25"/>
      <c r="AB1130" s="25"/>
      <c r="AC1130" s="25"/>
      <c r="AD1130" s="25"/>
      <c r="AE1130" s="25"/>
      <c r="AF1130" s="25"/>
      <c r="AG1130" s="25"/>
      <c r="AH1130" s="25"/>
      <c r="AI1130" s="25"/>
      <c r="AJ1130" s="25"/>
      <c r="AK1130" s="25"/>
    </row>
    <row r="1131" spans="1:37">
      <c r="A1131" s="37"/>
      <c r="B1131" s="37"/>
      <c r="C1131" s="37"/>
      <c r="D1131" s="37" t="s">
        <v>2620</v>
      </c>
      <c r="E1131" s="37" t="s">
        <v>3327</v>
      </c>
      <c r="F1131" s="37" t="s">
        <v>3329</v>
      </c>
      <c r="G1131" s="37" t="s">
        <v>3328</v>
      </c>
      <c r="H1131" s="37"/>
      <c r="I1131" s="37" t="s">
        <v>610</v>
      </c>
      <c r="J1131" s="37" t="s">
        <v>394</v>
      </c>
      <c r="K1131" s="40" t="s">
        <v>611</v>
      </c>
      <c r="L1131" s="37" t="s">
        <v>64</v>
      </c>
      <c r="M1131" s="37" t="s">
        <v>1875</v>
      </c>
      <c r="N1131" s="37" t="s">
        <v>1876</v>
      </c>
      <c r="O1131" s="37" t="s">
        <v>96</v>
      </c>
      <c r="P1131" s="37" t="s">
        <v>268</v>
      </c>
      <c r="Q1131" s="37" t="s">
        <v>10</v>
      </c>
      <c r="R1131" s="37" t="s">
        <v>1877</v>
      </c>
      <c r="S1131" s="37"/>
      <c r="T1131" s="37" t="s">
        <v>115</v>
      </c>
      <c r="U1131" s="37"/>
      <c r="V1131" s="37" t="s">
        <v>72</v>
      </c>
      <c r="W1131" s="37" t="s">
        <v>195</v>
      </c>
      <c r="X1131" s="25"/>
      <c r="Y1131" s="25"/>
      <c r="Z1131" s="25"/>
      <c r="AA1131" s="25"/>
      <c r="AB1131" s="25"/>
      <c r="AC1131" s="25"/>
      <c r="AD1131" s="25"/>
      <c r="AE1131" s="25"/>
      <c r="AF1131" s="25"/>
      <c r="AG1131" s="25"/>
      <c r="AH1131" s="25"/>
      <c r="AI1131" s="25"/>
      <c r="AJ1131" s="25"/>
      <c r="AK1131" s="25"/>
    </row>
    <row r="1132" spans="1:37">
      <c r="A1132" s="37"/>
      <c r="B1132" s="37"/>
      <c r="C1132" s="37"/>
      <c r="D1132" s="37" t="s">
        <v>1757</v>
      </c>
      <c r="E1132" s="37" t="s">
        <v>3891</v>
      </c>
      <c r="F1132" s="37" t="s">
        <v>3897</v>
      </c>
      <c r="G1132" s="37" t="s">
        <v>3892</v>
      </c>
      <c r="H1132" s="37" t="s">
        <v>3893</v>
      </c>
      <c r="I1132" s="37" t="s">
        <v>1832</v>
      </c>
      <c r="J1132" s="37" t="s">
        <v>1365</v>
      </c>
      <c r="K1132" s="40" t="s">
        <v>3894</v>
      </c>
      <c r="L1132" s="37" t="s">
        <v>64</v>
      </c>
      <c r="M1132" s="37" t="s">
        <v>3895</v>
      </c>
      <c r="N1132" s="37" t="s">
        <v>3896</v>
      </c>
      <c r="O1132" s="37" t="s">
        <v>96</v>
      </c>
      <c r="P1132" s="37" t="s">
        <v>595</v>
      </c>
      <c r="Q1132" s="37" t="s">
        <v>17</v>
      </c>
      <c r="R1132" s="37" t="s">
        <v>669</v>
      </c>
      <c r="S1132" s="37" t="s">
        <v>5241</v>
      </c>
      <c r="T1132" s="37" t="s">
        <v>69</v>
      </c>
      <c r="U1132" s="37" t="s">
        <v>69</v>
      </c>
      <c r="V1132" s="37" t="s">
        <v>88</v>
      </c>
      <c r="W1132" s="37" t="s">
        <v>2140</v>
      </c>
      <c r="X1132" s="25"/>
      <c r="Y1132" s="25"/>
      <c r="Z1132" s="25"/>
      <c r="AA1132" s="25"/>
      <c r="AB1132" s="25"/>
      <c r="AC1132" s="25"/>
      <c r="AD1132" s="25"/>
      <c r="AE1132" s="25"/>
      <c r="AF1132" s="25"/>
      <c r="AG1132" s="25"/>
      <c r="AH1132" s="25"/>
      <c r="AI1132" s="25"/>
      <c r="AJ1132" s="25"/>
      <c r="AK1132" s="25"/>
    </row>
    <row r="1133" spans="1:37">
      <c r="A1133" s="37" t="s">
        <v>271</v>
      </c>
      <c r="B1133" s="37"/>
      <c r="C1133" s="37"/>
      <c r="D1133" s="37" t="s">
        <v>2619</v>
      </c>
      <c r="E1133" s="37" t="s">
        <v>2236</v>
      </c>
      <c r="F1133" s="37" t="s">
        <v>5576</v>
      </c>
      <c r="G1133" s="37" t="s">
        <v>5125</v>
      </c>
      <c r="H1133" s="37" t="s">
        <v>5126</v>
      </c>
      <c r="I1133" s="37" t="s">
        <v>265</v>
      </c>
      <c r="J1133" s="37" t="s">
        <v>75</v>
      </c>
      <c r="K1133" s="40" t="s">
        <v>5127</v>
      </c>
      <c r="L1133" s="37" t="s">
        <v>64</v>
      </c>
      <c r="M1133" s="37" t="s">
        <v>5128</v>
      </c>
      <c r="N1133" s="37" t="s">
        <v>5129</v>
      </c>
      <c r="O1133" s="37" t="s">
        <v>96</v>
      </c>
      <c r="P1133" s="37" t="s">
        <v>595</v>
      </c>
      <c r="Q1133" s="37" t="s">
        <v>10</v>
      </c>
      <c r="R1133" s="37" t="s">
        <v>5130</v>
      </c>
      <c r="S1133" s="37" t="s">
        <v>5131</v>
      </c>
      <c r="T1133" s="37" t="s">
        <v>144</v>
      </c>
      <c r="U1133" s="37" t="s">
        <v>189</v>
      </c>
      <c r="V1133" s="37" t="s">
        <v>118</v>
      </c>
      <c r="W1133" s="37" t="s">
        <v>78</v>
      </c>
      <c r="X1133" s="25"/>
      <c r="Y1133" s="25"/>
      <c r="Z1133" s="25"/>
      <c r="AA1133" s="25"/>
      <c r="AB1133" s="25"/>
      <c r="AC1133" s="25"/>
      <c r="AD1133" s="25"/>
      <c r="AE1133" s="25"/>
      <c r="AF1133" s="25"/>
      <c r="AG1133" s="25"/>
      <c r="AH1133" s="25"/>
      <c r="AI1133" s="25"/>
      <c r="AJ1133" s="25"/>
      <c r="AK1133" s="25"/>
    </row>
    <row r="1134" spans="1:37">
      <c r="A1134" s="37"/>
      <c r="B1134" s="37"/>
      <c r="C1134" s="37"/>
      <c r="D1134" s="37" t="s">
        <v>3285</v>
      </c>
      <c r="E1134" s="37" t="s">
        <v>3286</v>
      </c>
      <c r="F1134" s="38" t="s">
        <v>5739</v>
      </c>
      <c r="G1134" s="37" t="s">
        <v>3287</v>
      </c>
      <c r="H1134" s="37"/>
      <c r="I1134" s="37" t="s">
        <v>354</v>
      </c>
      <c r="J1134" s="37" t="s">
        <v>75</v>
      </c>
      <c r="K1134" s="40" t="s">
        <v>355</v>
      </c>
      <c r="L1134" s="37" t="s">
        <v>64</v>
      </c>
      <c r="M1134" s="37" t="s">
        <v>3288</v>
      </c>
      <c r="N1134" s="37"/>
      <c r="O1134" s="37" t="s">
        <v>96</v>
      </c>
      <c r="P1134" s="37" t="s">
        <v>268</v>
      </c>
      <c r="Q1134" s="37" t="s">
        <v>10</v>
      </c>
      <c r="R1134" s="37" t="s">
        <v>3289</v>
      </c>
      <c r="S1134" s="37"/>
      <c r="T1134" s="37" t="s">
        <v>69</v>
      </c>
      <c r="U1134" s="37" t="s">
        <v>69</v>
      </c>
      <c r="V1134" s="37" t="s">
        <v>72</v>
      </c>
      <c r="W1134" s="37" t="s">
        <v>261</v>
      </c>
      <c r="X1134" s="25"/>
      <c r="Y1134" s="25"/>
      <c r="Z1134" s="25"/>
      <c r="AA1134" s="25"/>
      <c r="AB1134" s="25"/>
      <c r="AC1134" s="25"/>
      <c r="AD1134" s="25"/>
      <c r="AE1134" s="25"/>
      <c r="AF1134" s="25"/>
      <c r="AG1134" s="25"/>
      <c r="AH1134" s="25"/>
      <c r="AI1134" s="25"/>
      <c r="AJ1134" s="25"/>
      <c r="AK1134" s="25"/>
    </row>
    <row r="1135" spans="1:37">
      <c r="A1135" s="37"/>
      <c r="B1135" s="37"/>
      <c r="C1135" s="37"/>
      <c r="D1135" s="37" t="s">
        <v>2582</v>
      </c>
      <c r="E1135" s="37" t="s">
        <v>4829</v>
      </c>
      <c r="F1135" s="37" t="s">
        <v>4833</v>
      </c>
      <c r="G1135" s="37" t="s">
        <v>4830</v>
      </c>
      <c r="H1135" s="37" t="s">
        <v>2441</v>
      </c>
      <c r="I1135" s="37" t="s">
        <v>4335</v>
      </c>
      <c r="J1135" s="37" t="s">
        <v>127</v>
      </c>
      <c r="K1135" s="40" t="s">
        <v>4336</v>
      </c>
      <c r="L1135" s="37" t="s">
        <v>64</v>
      </c>
      <c r="M1135" s="37" t="s">
        <v>4831</v>
      </c>
      <c r="N1135" s="37" t="s">
        <v>4832</v>
      </c>
      <c r="O1135" s="37" t="s">
        <v>96</v>
      </c>
      <c r="P1135" s="37" t="s">
        <v>268</v>
      </c>
      <c r="Q1135" s="37" t="s">
        <v>316</v>
      </c>
      <c r="R1135" s="37"/>
      <c r="S1135" s="37"/>
      <c r="T1135" s="37" t="s">
        <v>69</v>
      </c>
      <c r="U1135" s="37" t="s">
        <v>116</v>
      </c>
      <c r="V1135" s="37" t="s">
        <v>72</v>
      </c>
      <c r="W1135" s="37" t="s">
        <v>69</v>
      </c>
      <c r="X1135" s="25"/>
      <c r="Y1135" s="25"/>
      <c r="Z1135" s="25"/>
      <c r="AA1135" s="25"/>
      <c r="AB1135" s="25"/>
      <c r="AC1135" s="25"/>
      <c r="AD1135" s="25"/>
      <c r="AE1135" s="25"/>
      <c r="AF1135" s="25"/>
      <c r="AG1135" s="25"/>
      <c r="AH1135" s="25"/>
      <c r="AI1135" s="25"/>
      <c r="AJ1135" s="25"/>
      <c r="AK1135" s="25"/>
    </row>
    <row r="1136" spans="1:37">
      <c r="A1136" s="37"/>
      <c r="B1136" s="37"/>
      <c r="C1136" s="37"/>
      <c r="D1136" s="37" t="s">
        <v>1975</v>
      </c>
      <c r="E1136" s="37" t="s">
        <v>6682</v>
      </c>
      <c r="F1136" s="37" t="s">
        <v>6683</v>
      </c>
      <c r="G1136" s="37" t="s">
        <v>6653</v>
      </c>
      <c r="H1136" s="37"/>
      <c r="I1136" s="37" t="s">
        <v>6654</v>
      </c>
      <c r="J1136" s="37" t="s">
        <v>425</v>
      </c>
      <c r="K1136" s="40" t="s">
        <v>6655</v>
      </c>
      <c r="L1136" s="37" t="s">
        <v>64</v>
      </c>
      <c r="M1136" s="37" t="s">
        <v>6656</v>
      </c>
      <c r="N1136" s="37"/>
      <c r="O1136" s="37" t="s">
        <v>96</v>
      </c>
      <c r="P1136" s="37" t="s">
        <v>268</v>
      </c>
      <c r="Q1136" s="37" t="s">
        <v>98</v>
      </c>
      <c r="R1136" s="37" t="s">
        <v>6657</v>
      </c>
      <c r="S1136" s="37"/>
      <c r="T1136" s="37"/>
      <c r="U1136" s="37"/>
      <c r="V1136" s="37" t="s">
        <v>67</v>
      </c>
      <c r="W1136" s="37" t="s">
        <v>73</v>
      </c>
      <c r="X1136" s="25"/>
      <c r="Y1136" s="25"/>
      <c r="Z1136" s="25"/>
      <c r="AA1136" s="25"/>
      <c r="AB1136" s="25"/>
      <c r="AC1136" s="25"/>
      <c r="AD1136" s="25"/>
      <c r="AE1136" s="25"/>
      <c r="AF1136" s="25"/>
      <c r="AG1136" s="25"/>
      <c r="AH1136" s="25"/>
      <c r="AI1136" s="25"/>
      <c r="AJ1136" s="25"/>
      <c r="AK1136" s="25"/>
    </row>
    <row r="1137" spans="1:37">
      <c r="A1137" s="37"/>
      <c r="B1137" s="37"/>
      <c r="C1137" s="37"/>
      <c r="D1137" s="37" t="s">
        <v>5567</v>
      </c>
      <c r="E1137" s="37" t="s">
        <v>5568</v>
      </c>
      <c r="F1137" s="37" t="s">
        <v>5575</v>
      </c>
      <c r="G1137" s="37" t="s">
        <v>5569</v>
      </c>
      <c r="H1137" s="37" t="s">
        <v>4797</v>
      </c>
      <c r="I1137" s="37" t="s">
        <v>5570</v>
      </c>
      <c r="J1137" s="37" t="s">
        <v>148</v>
      </c>
      <c r="K1137" s="40" t="s">
        <v>5571</v>
      </c>
      <c r="L1137" s="37" t="s">
        <v>5572</v>
      </c>
      <c r="M1137" s="37" t="s">
        <v>5573</v>
      </c>
      <c r="N1137" s="37" t="s">
        <v>5574</v>
      </c>
      <c r="O1137" s="37" t="s">
        <v>96</v>
      </c>
      <c r="P1137" s="37" t="s">
        <v>268</v>
      </c>
      <c r="Q1137" s="37" t="s">
        <v>18</v>
      </c>
      <c r="R1137" s="37"/>
      <c r="S1137" s="37"/>
      <c r="T1137" s="37" t="s">
        <v>66</v>
      </c>
      <c r="U1137" s="37"/>
      <c r="V1137" s="37" t="s">
        <v>67</v>
      </c>
      <c r="W1137" s="37" t="s">
        <v>89</v>
      </c>
      <c r="X1137" s="25"/>
      <c r="Y1137" s="25"/>
      <c r="Z1137" s="25"/>
      <c r="AA1137" s="25"/>
      <c r="AB1137" s="25"/>
      <c r="AC1137" s="25"/>
      <c r="AD1137" s="25"/>
      <c r="AE1137" s="25"/>
      <c r="AF1137" s="25"/>
      <c r="AG1137" s="25"/>
      <c r="AH1137" s="25"/>
      <c r="AI1137" s="25"/>
      <c r="AJ1137" s="25"/>
      <c r="AK1137" s="25"/>
    </row>
    <row r="1138" spans="1:37">
      <c r="A1138" s="37"/>
      <c r="B1138" s="37"/>
      <c r="C1138" s="37"/>
      <c r="D1138" s="37" t="s">
        <v>2630</v>
      </c>
      <c r="E1138" s="37" t="s">
        <v>4346</v>
      </c>
      <c r="F1138" s="37" t="s">
        <v>4349</v>
      </c>
      <c r="G1138" s="37" t="s">
        <v>609</v>
      </c>
      <c r="H1138" s="37"/>
      <c r="I1138" s="37" t="s">
        <v>610</v>
      </c>
      <c r="J1138" s="37" t="s">
        <v>394</v>
      </c>
      <c r="K1138" s="40" t="s">
        <v>611</v>
      </c>
      <c r="L1138" s="37" t="s">
        <v>64</v>
      </c>
      <c r="M1138" s="37" t="s">
        <v>4347</v>
      </c>
      <c r="N1138" s="37" t="s">
        <v>4348</v>
      </c>
      <c r="O1138" s="37" t="s">
        <v>96</v>
      </c>
      <c r="P1138" s="37" t="s">
        <v>480</v>
      </c>
      <c r="Q1138" s="37" t="s">
        <v>10</v>
      </c>
      <c r="R1138" s="37"/>
      <c r="S1138" s="37"/>
      <c r="T1138" s="37" t="s">
        <v>69</v>
      </c>
      <c r="U1138" s="37" t="s">
        <v>69</v>
      </c>
      <c r="V1138" s="37" t="s">
        <v>72</v>
      </c>
      <c r="W1138" s="37" t="s">
        <v>195</v>
      </c>
      <c r="X1138" s="25"/>
      <c r="Y1138" s="25"/>
      <c r="Z1138" s="25"/>
      <c r="AA1138" s="25"/>
      <c r="AB1138" s="25"/>
      <c r="AC1138" s="25"/>
      <c r="AD1138" s="25"/>
      <c r="AE1138" s="25"/>
      <c r="AF1138" s="25"/>
      <c r="AG1138" s="25"/>
      <c r="AH1138" s="25"/>
      <c r="AI1138" s="25"/>
      <c r="AJ1138" s="25"/>
      <c r="AK1138" s="25"/>
    </row>
    <row r="1139" spans="1:37">
      <c r="A1139" s="37"/>
      <c r="B1139" s="37"/>
      <c r="C1139" s="37"/>
      <c r="D1139" s="37" t="s">
        <v>1757</v>
      </c>
      <c r="E1139" s="37" t="s">
        <v>2583</v>
      </c>
      <c r="F1139" s="38" t="s">
        <v>5739</v>
      </c>
      <c r="G1139" s="37" t="s">
        <v>4549</v>
      </c>
      <c r="H1139" s="37"/>
      <c r="I1139" s="37" t="s">
        <v>4550</v>
      </c>
      <c r="J1139" s="37" t="s">
        <v>105</v>
      </c>
      <c r="K1139" s="40" t="s">
        <v>4551</v>
      </c>
      <c r="L1139" s="37" t="s">
        <v>64</v>
      </c>
      <c r="M1139" s="37" t="s">
        <v>4552</v>
      </c>
      <c r="N1139" s="37"/>
      <c r="O1139" s="37" t="s">
        <v>96</v>
      </c>
      <c r="P1139" s="37" t="s">
        <v>4553</v>
      </c>
      <c r="Q1139" s="37" t="s">
        <v>71</v>
      </c>
      <c r="R1139" s="37"/>
      <c r="S1139" s="37"/>
      <c r="T1139" s="37"/>
      <c r="U1139" s="37"/>
      <c r="V1139" s="37" t="s">
        <v>72</v>
      </c>
      <c r="W1139" s="37" t="s">
        <v>2680</v>
      </c>
      <c r="X1139" s="25"/>
      <c r="Y1139" s="25"/>
      <c r="Z1139" s="25"/>
      <c r="AA1139" s="25"/>
      <c r="AB1139" s="25"/>
      <c r="AC1139" s="25"/>
      <c r="AD1139" s="25"/>
      <c r="AE1139" s="25"/>
      <c r="AF1139" s="25"/>
      <c r="AG1139" s="25"/>
      <c r="AH1139" s="25"/>
      <c r="AI1139" s="25"/>
      <c r="AJ1139" s="25"/>
      <c r="AK1139" s="25"/>
    </row>
    <row r="1140" spans="1:37">
      <c r="A1140" s="37"/>
      <c r="B1140" s="37"/>
      <c r="C1140" s="37"/>
      <c r="D1140" s="37" t="s">
        <v>685</v>
      </c>
      <c r="E1140" s="37" t="s">
        <v>2590</v>
      </c>
      <c r="F1140" s="37" t="s">
        <v>2858</v>
      </c>
      <c r="G1140" s="37" t="s">
        <v>2855</v>
      </c>
      <c r="H1140" s="37"/>
      <c r="I1140" s="37" t="s">
        <v>420</v>
      </c>
      <c r="J1140" s="37" t="s">
        <v>75</v>
      </c>
      <c r="K1140" s="40" t="s">
        <v>2856</v>
      </c>
      <c r="L1140" s="37" t="s">
        <v>64</v>
      </c>
      <c r="M1140" s="37" t="s">
        <v>2857</v>
      </c>
      <c r="N1140" s="37"/>
      <c r="O1140" s="37" t="s">
        <v>96</v>
      </c>
      <c r="P1140" s="37" t="s">
        <v>268</v>
      </c>
      <c r="Q1140" s="37" t="s">
        <v>10</v>
      </c>
      <c r="R1140" s="37"/>
      <c r="S1140" s="37"/>
      <c r="T1140" s="37" t="s">
        <v>115</v>
      </c>
      <c r="U1140" s="37" t="s">
        <v>69</v>
      </c>
      <c r="V1140" s="37" t="s">
        <v>72</v>
      </c>
      <c r="W1140" s="37" t="s">
        <v>69</v>
      </c>
      <c r="X1140" s="25"/>
      <c r="Y1140" s="25"/>
      <c r="Z1140" s="25"/>
      <c r="AA1140" s="25"/>
      <c r="AB1140" s="25"/>
      <c r="AC1140" s="25"/>
      <c r="AD1140" s="25"/>
      <c r="AE1140" s="25"/>
      <c r="AF1140" s="25"/>
      <c r="AG1140" s="25"/>
      <c r="AH1140" s="25"/>
      <c r="AI1140" s="25"/>
      <c r="AJ1140" s="25"/>
      <c r="AK1140" s="25"/>
    </row>
    <row r="1141" spans="1:37">
      <c r="A1141" s="37"/>
      <c r="B1141" s="37"/>
      <c r="C1141" s="37"/>
      <c r="D1141" s="37" t="s">
        <v>2631</v>
      </c>
      <c r="E1141" s="37" t="s">
        <v>2632</v>
      </c>
      <c r="F1141" s="37" t="s">
        <v>2636</v>
      </c>
      <c r="G1141" s="37" t="s">
        <v>2633</v>
      </c>
      <c r="H1141" s="37"/>
      <c r="I1141" s="37" t="s">
        <v>2634</v>
      </c>
      <c r="J1141" s="37" t="s">
        <v>244</v>
      </c>
      <c r="K1141" s="40" t="s">
        <v>2635</v>
      </c>
      <c r="L1141" s="37" t="s">
        <v>64</v>
      </c>
      <c r="M1141" s="37" t="s">
        <v>6684</v>
      </c>
      <c r="N1141" s="37"/>
      <c r="O1141" s="37" t="s">
        <v>96</v>
      </c>
      <c r="P1141" s="37" t="s">
        <v>97</v>
      </c>
      <c r="Q1141" s="37" t="s">
        <v>18</v>
      </c>
      <c r="R1141" s="37"/>
      <c r="S1141" s="37"/>
      <c r="T1141" s="37" t="s">
        <v>66</v>
      </c>
      <c r="U1141" s="37"/>
      <c r="V1141" s="37" t="s">
        <v>88</v>
      </c>
      <c r="W1141" s="37" t="s">
        <v>89</v>
      </c>
      <c r="X1141" s="25"/>
      <c r="Y1141" s="25"/>
      <c r="Z1141" s="25"/>
      <c r="AA1141" s="25"/>
      <c r="AB1141" s="25"/>
      <c r="AC1141" s="25"/>
      <c r="AD1141" s="25"/>
      <c r="AE1141" s="25"/>
      <c r="AF1141" s="25"/>
      <c r="AG1141" s="25"/>
      <c r="AH1141" s="25"/>
      <c r="AI1141" s="25"/>
      <c r="AJ1141" s="25"/>
      <c r="AK1141" s="25"/>
    </row>
    <row r="1142" spans="1:37">
      <c r="A1142" s="37"/>
      <c r="B1142" s="37"/>
      <c r="C1142" s="37"/>
      <c r="D1142" s="37" t="s">
        <v>2673</v>
      </c>
      <c r="E1142" s="37" t="s">
        <v>2674</v>
      </c>
      <c r="F1142" s="37" t="s">
        <v>2681</v>
      </c>
      <c r="G1142" s="37" t="s">
        <v>2675</v>
      </c>
      <c r="H1142" s="37"/>
      <c r="I1142" s="37" t="s">
        <v>420</v>
      </c>
      <c r="J1142" s="37" t="s">
        <v>75</v>
      </c>
      <c r="K1142" s="40" t="s">
        <v>2676</v>
      </c>
      <c r="L1142" s="37" t="s">
        <v>64</v>
      </c>
      <c r="M1142" s="37" t="s">
        <v>2677</v>
      </c>
      <c r="N1142" s="37" t="s">
        <v>2678</v>
      </c>
      <c r="O1142" s="37" t="s">
        <v>96</v>
      </c>
      <c r="P1142" s="37" t="s">
        <v>2679</v>
      </c>
      <c r="Q1142" s="37" t="s">
        <v>10</v>
      </c>
      <c r="R1142" s="37"/>
      <c r="S1142" s="37"/>
      <c r="T1142" s="37" t="s">
        <v>115</v>
      </c>
      <c r="U1142" s="37" t="s">
        <v>116</v>
      </c>
      <c r="V1142" s="37" t="s">
        <v>77</v>
      </c>
      <c r="W1142" s="37" t="s">
        <v>2680</v>
      </c>
      <c r="X1142" s="25"/>
      <c r="Y1142" s="25"/>
      <c r="Z1142" s="25"/>
      <c r="AA1142" s="25"/>
      <c r="AB1142" s="25"/>
      <c r="AC1142" s="25"/>
      <c r="AD1142" s="25"/>
      <c r="AE1142" s="25"/>
      <c r="AF1142" s="25"/>
      <c r="AG1142" s="25"/>
      <c r="AH1142" s="25"/>
      <c r="AI1142" s="25"/>
      <c r="AJ1142" s="25"/>
      <c r="AK1142" s="25"/>
    </row>
    <row r="1143" spans="1:37">
      <c r="A1143" s="37"/>
      <c r="B1143" s="37"/>
      <c r="C1143" s="37"/>
      <c r="D1143" s="37" t="s">
        <v>262</v>
      </c>
      <c r="E1143" s="37" t="s">
        <v>263</v>
      </c>
      <c r="F1143" s="37" t="s">
        <v>269</v>
      </c>
      <c r="G1143" s="37" t="s">
        <v>264</v>
      </c>
      <c r="H1143" s="37"/>
      <c r="I1143" s="37" t="s">
        <v>265</v>
      </c>
      <c r="J1143" s="37" t="s">
        <v>75</v>
      </c>
      <c r="K1143" s="40" t="s">
        <v>266</v>
      </c>
      <c r="L1143" s="37" t="s">
        <v>64</v>
      </c>
      <c r="M1143" s="37" t="s">
        <v>267</v>
      </c>
      <c r="N1143" s="37"/>
      <c r="O1143" s="37" t="s">
        <v>96</v>
      </c>
      <c r="P1143" s="37" t="s">
        <v>268</v>
      </c>
      <c r="Q1143" s="37" t="s">
        <v>10</v>
      </c>
      <c r="R1143" s="37"/>
      <c r="S1143" s="37"/>
      <c r="T1143" s="37" t="s">
        <v>69</v>
      </c>
      <c r="U1143" s="37"/>
      <c r="V1143" s="37" t="s">
        <v>88</v>
      </c>
      <c r="W1143" s="37" t="s">
        <v>89</v>
      </c>
      <c r="X1143" s="25"/>
      <c r="Y1143" s="25"/>
      <c r="Z1143" s="25"/>
      <c r="AA1143" s="25"/>
      <c r="AB1143" s="25"/>
      <c r="AC1143" s="25"/>
      <c r="AD1143" s="25"/>
      <c r="AE1143" s="25"/>
      <c r="AF1143" s="25"/>
      <c r="AG1143" s="25"/>
      <c r="AH1143" s="25"/>
      <c r="AI1143" s="25"/>
      <c r="AJ1143" s="25"/>
      <c r="AK1143" s="25"/>
    </row>
    <row r="1144" spans="1:37">
      <c r="A1144" s="37"/>
      <c r="B1144" s="37"/>
      <c r="C1144" s="37"/>
      <c r="D1144" s="37" t="s">
        <v>763</v>
      </c>
      <c r="E1144" s="37" t="s">
        <v>4990</v>
      </c>
      <c r="F1144" s="37" t="s">
        <v>4993</v>
      </c>
      <c r="G1144" s="37" t="s">
        <v>477</v>
      </c>
      <c r="H1144" s="37"/>
      <c r="I1144" s="37" t="s">
        <v>478</v>
      </c>
      <c r="J1144" s="37" t="s">
        <v>75</v>
      </c>
      <c r="K1144" s="40" t="s">
        <v>479</v>
      </c>
      <c r="L1144" s="37" t="s">
        <v>64</v>
      </c>
      <c r="M1144" s="37" t="s">
        <v>4991</v>
      </c>
      <c r="N1144" s="37"/>
      <c r="O1144" s="37" t="s">
        <v>96</v>
      </c>
      <c r="P1144" s="37" t="s">
        <v>595</v>
      </c>
      <c r="Q1144" s="37" t="s">
        <v>10</v>
      </c>
      <c r="R1144" s="37"/>
      <c r="S1144" s="37" t="s">
        <v>4992</v>
      </c>
      <c r="T1144" s="37" t="s">
        <v>66</v>
      </c>
      <c r="U1144" s="37"/>
      <c r="V1144" s="37" t="s">
        <v>88</v>
      </c>
      <c r="W1144" s="37" t="s">
        <v>110</v>
      </c>
      <c r="X1144" s="25"/>
      <c r="Y1144" s="25"/>
      <c r="Z1144" s="25"/>
      <c r="AA1144" s="25"/>
      <c r="AB1144" s="25"/>
      <c r="AC1144" s="25"/>
      <c r="AD1144" s="25"/>
      <c r="AE1144" s="25"/>
      <c r="AF1144" s="25"/>
      <c r="AG1144" s="25"/>
      <c r="AH1144" s="25"/>
      <c r="AI1144" s="25"/>
      <c r="AJ1144" s="25"/>
      <c r="AK1144" s="25"/>
    </row>
    <row r="1145" spans="1:37">
      <c r="A1145" s="37"/>
      <c r="B1145" s="37"/>
      <c r="C1145" s="37"/>
      <c r="D1145" s="37" t="s">
        <v>2745</v>
      </c>
      <c r="E1145" s="37" t="s">
        <v>5691</v>
      </c>
      <c r="F1145" s="37" t="s">
        <v>5697</v>
      </c>
      <c r="G1145" s="37" t="s">
        <v>5692</v>
      </c>
      <c r="H1145" s="37"/>
      <c r="I1145" s="37" t="s">
        <v>5693</v>
      </c>
      <c r="J1145" s="37" t="s">
        <v>75</v>
      </c>
      <c r="K1145" s="40" t="s">
        <v>4636</v>
      </c>
      <c r="L1145" s="37" t="s">
        <v>64</v>
      </c>
      <c r="M1145" s="37" t="s">
        <v>5694</v>
      </c>
      <c r="N1145" s="37" t="s">
        <v>5695</v>
      </c>
      <c r="O1145" s="37" t="s">
        <v>96</v>
      </c>
      <c r="P1145" s="37" t="s">
        <v>268</v>
      </c>
      <c r="Q1145" s="37" t="s">
        <v>10</v>
      </c>
      <c r="R1145" s="37" t="s">
        <v>5696</v>
      </c>
      <c r="S1145" s="37"/>
      <c r="T1145" s="37"/>
      <c r="U1145" s="37"/>
      <c r="V1145" s="37" t="s">
        <v>72</v>
      </c>
      <c r="W1145" s="37" t="s">
        <v>69</v>
      </c>
      <c r="X1145" s="25"/>
      <c r="Y1145" s="25"/>
      <c r="Z1145" s="25"/>
      <c r="AA1145" s="25"/>
      <c r="AB1145" s="25"/>
      <c r="AC1145" s="25"/>
      <c r="AD1145" s="25"/>
      <c r="AE1145" s="25"/>
      <c r="AF1145" s="25"/>
      <c r="AG1145" s="25"/>
      <c r="AH1145" s="25"/>
      <c r="AI1145" s="25"/>
      <c r="AJ1145" s="25"/>
      <c r="AK1145" s="25"/>
    </row>
    <row r="1146" spans="1:37">
      <c r="A1146" s="37"/>
      <c r="B1146" s="37"/>
      <c r="C1146" s="37"/>
      <c r="D1146" s="37" t="s">
        <v>816</v>
      </c>
      <c r="E1146" s="37" t="s">
        <v>2440</v>
      </c>
      <c r="F1146" s="37" t="s">
        <v>4042</v>
      </c>
      <c r="G1146" s="37" t="s">
        <v>4040</v>
      </c>
      <c r="H1146" s="37"/>
      <c r="I1146" s="37" t="s">
        <v>265</v>
      </c>
      <c r="J1146" s="37" t="s">
        <v>75</v>
      </c>
      <c r="K1146" s="40" t="s">
        <v>437</v>
      </c>
      <c r="L1146" s="37" t="s">
        <v>64</v>
      </c>
      <c r="M1146" s="37" t="s">
        <v>4041</v>
      </c>
      <c r="N1146" s="37"/>
      <c r="O1146" s="37" t="s">
        <v>96</v>
      </c>
      <c r="P1146" s="37" t="s">
        <v>2679</v>
      </c>
      <c r="Q1146" s="37" t="s">
        <v>10</v>
      </c>
      <c r="R1146" s="37"/>
      <c r="S1146" s="37"/>
      <c r="T1146" s="37" t="s">
        <v>144</v>
      </c>
      <c r="U1146" s="37"/>
      <c r="V1146" s="37" t="s">
        <v>72</v>
      </c>
      <c r="W1146" s="37" t="s">
        <v>89</v>
      </c>
      <c r="X1146" s="25"/>
      <c r="Y1146" s="25"/>
      <c r="Z1146" s="25"/>
      <c r="AA1146" s="25"/>
      <c r="AB1146" s="25"/>
      <c r="AC1146" s="25"/>
      <c r="AD1146" s="25"/>
      <c r="AE1146" s="25"/>
      <c r="AF1146" s="25"/>
      <c r="AG1146" s="25"/>
      <c r="AH1146" s="25"/>
      <c r="AI1146" s="25"/>
      <c r="AJ1146" s="25"/>
      <c r="AK1146" s="25"/>
    </row>
    <row r="1147" spans="1:37">
      <c r="A1147" s="37"/>
      <c r="B1147" s="37"/>
      <c r="C1147" s="37"/>
      <c r="D1147" s="37" t="s">
        <v>1368</v>
      </c>
      <c r="E1147" s="37" t="s">
        <v>1369</v>
      </c>
      <c r="F1147" s="37" t="s">
        <v>1371</v>
      </c>
      <c r="G1147" s="37" t="s">
        <v>264</v>
      </c>
      <c r="H1147" s="37"/>
      <c r="I1147" s="37" t="s">
        <v>265</v>
      </c>
      <c r="J1147" s="37" t="s">
        <v>75</v>
      </c>
      <c r="K1147" s="40" t="s">
        <v>266</v>
      </c>
      <c r="L1147" s="37" t="s">
        <v>64</v>
      </c>
      <c r="M1147" s="37" t="s">
        <v>1370</v>
      </c>
      <c r="N1147" s="37"/>
      <c r="O1147" s="37" t="s">
        <v>96</v>
      </c>
      <c r="P1147" s="37" t="s">
        <v>268</v>
      </c>
      <c r="Q1147" s="37" t="s">
        <v>10</v>
      </c>
      <c r="R1147" s="37"/>
      <c r="S1147" s="37"/>
      <c r="T1147" s="37" t="s">
        <v>66</v>
      </c>
      <c r="U1147" s="37"/>
      <c r="V1147" s="37" t="s">
        <v>118</v>
      </c>
      <c r="W1147" s="37" t="s">
        <v>89</v>
      </c>
      <c r="X1147" s="25"/>
      <c r="Y1147" s="25"/>
      <c r="Z1147" s="25"/>
      <c r="AA1147" s="25"/>
      <c r="AB1147" s="25"/>
      <c r="AC1147" s="25"/>
      <c r="AD1147" s="25"/>
      <c r="AE1147" s="25"/>
      <c r="AF1147" s="25"/>
      <c r="AG1147" s="25"/>
      <c r="AH1147" s="25"/>
      <c r="AI1147" s="25"/>
      <c r="AJ1147" s="25"/>
      <c r="AK1147" s="25"/>
    </row>
    <row r="1148" spans="1:37">
      <c r="A1148" s="37"/>
      <c r="B1148" s="37"/>
      <c r="C1148" s="37"/>
      <c r="D1148" s="37" t="s">
        <v>1284</v>
      </c>
      <c r="E1148" s="37" t="s">
        <v>1400</v>
      </c>
      <c r="F1148" s="37" t="s">
        <v>6685</v>
      </c>
      <c r="G1148" s="37" t="s">
        <v>6686</v>
      </c>
      <c r="H1148" s="37"/>
      <c r="I1148" s="37" t="s">
        <v>1031</v>
      </c>
      <c r="J1148" s="37" t="s">
        <v>475</v>
      </c>
      <c r="K1148" s="40" t="s">
        <v>6687</v>
      </c>
      <c r="L1148" s="37" t="s">
        <v>64</v>
      </c>
      <c r="M1148" s="37" t="s">
        <v>6688</v>
      </c>
      <c r="N1148" s="37"/>
      <c r="O1148" s="37" t="s">
        <v>96</v>
      </c>
      <c r="P1148" s="37" t="s">
        <v>268</v>
      </c>
      <c r="Q1148" s="37" t="s">
        <v>98</v>
      </c>
      <c r="R1148" s="37" t="s">
        <v>894</v>
      </c>
      <c r="S1148" s="37"/>
      <c r="T1148" s="37" t="s">
        <v>69</v>
      </c>
      <c r="U1148" s="37"/>
      <c r="V1148" s="37" t="s">
        <v>72</v>
      </c>
      <c r="W1148" s="37" t="s">
        <v>110</v>
      </c>
      <c r="X1148" s="25"/>
      <c r="Y1148" s="25"/>
      <c r="Z1148" s="25"/>
      <c r="AA1148" s="25"/>
      <c r="AB1148" s="25"/>
      <c r="AC1148" s="25"/>
      <c r="AD1148" s="25"/>
      <c r="AE1148" s="25"/>
      <c r="AF1148" s="25"/>
      <c r="AG1148" s="25"/>
      <c r="AH1148" s="25"/>
      <c r="AI1148" s="25"/>
      <c r="AJ1148" s="25"/>
      <c r="AK1148" s="25"/>
    </row>
    <row r="1149" spans="1:37">
      <c r="A1149" s="37"/>
      <c r="B1149" s="37"/>
      <c r="C1149" s="37"/>
      <c r="D1149" s="37" t="s">
        <v>380</v>
      </c>
      <c r="E1149" s="37" t="s">
        <v>6689</v>
      </c>
      <c r="F1149" s="37" t="s">
        <v>6690</v>
      </c>
      <c r="G1149" s="37" t="s">
        <v>6691</v>
      </c>
      <c r="H1149" s="37"/>
      <c r="I1149" s="37" t="s">
        <v>420</v>
      </c>
      <c r="J1149" s="37" t="s">
        <v>75</v>
      </c>
      <c r="K1149" s="40" t="s">
        <v>458</v>
      </c>
      <c r="L1149" s="37" t="s">
        <v>64</v>
      </c>
      <c r="M1149" s="37" t="s">
        <v>6692</v>
      </c>
      <c r="N1149" s="37"/>
      <c r="O1149" s="37" t="s">
        <v>96</v>
      </c>
      <c r="P1149" s="37" t="s">
        <v>97</v>
      </c>
      <c r="Q1149" s="37" t="s">
        <v>10</v>
      </c>
      <c r="R1149" s="37"/>
      <c r="S1149" s="37"/>
      <c r="T1149" s="37" t="s">
        <v>115</v>
      </c>
      <c r="U1149" s="37"/>
      <c r="V1149" s="37" t="s">
        <v>77</v>
      </c>
      <c r="W1149" s="37" t="s">
        <v>97</v>
      </c>
      <c r="X1149" s="25"/>
      <c r="Y1149" s="25"/>
      <c r="Z1149" s="25"/>
      <c r="AA1149" s="25"/>
      <c r="AB1149" s="25"/>
      <c r="AC1149" s="25"/>
      <c r="AD1149" s="25"/>
      <c r="AE1149" s="25"/>
      <c r="AF1149" s="25"/>
      <c r="AG1149" s="25"/>
      <c r="AH1149" s="25"/>
      <c r="AI1149" s="25"/>
      <c r="AJ1149" s="25"/>
      <c r="AK1149" s="25"/>
    </row>
    <row r="1150" spans="1:37">
      <c r="A1150" s="37"/>
      <c r="B1150" s="37"/>
      <c r="C1150" s="37"/>
      <c r="D1150" s="37" t="s">
        <v>199</v>
      </c>
      <c r="E1150" s="37" t="s">
        <v>4856</v>
      </c>
      <c r="F1150" s="37" t="s">
        <v>4861</v>
      </c>
      <c r="G1150" s="37" t="s">
        <v>4857</v>
      </c>
      <c r="H1150" s="37" t="s">
        <v>477</v>
      </c>
      <c r="I1150" s="37" t="s">
        <v>478</v>
      </c>
      <c r="J1150" s="37" t="s">
        <v>75</v>
      </c>
      <c r="K1150" s="40" t="s">
        <v>4858</v>
      </c>
      <c r="L1150" s="37" t="s">
        <v>64</v>
      </c>
      <c r="M1150" s="37" t="s">
        <v>4859</v>
      </c>
      <c r="N1150" s="37" t="s">
        <v>4860</v>
      </c>
      <c r="O1150" s="37" t="s">
        <v>96</v>
      </c>
      <c r="P1150" s="37" t="s">
        <v>268</v>
      </c>
      <c r="Q1150" s="37" t="s">
        <v>10</v>
      </c>
      <c r="R1150" s="37" t="s">
        <v>4992</v>
      </c>
      <c r="S1150" s="37"/>
      <c r="T1150" s="37" t="s">
        <v>69</v>
      </c>
      <c r="U1150" s="37" t="s">
        <v>116</v>
      </c>
      <c r="V1150" s="37" t="s">
        <v>67</v>
      </c>
      <c r="W1150" s="37" t="s">
        <v>204</v>
      </c>
      <c r="X1150" s="25"/>
      <c r="Y1150" s="25"/>
      <c r="Z1150" s="25"/>
      <c r="AA1150" s="25"/>
      <c r="AB1150" s="25"/>
      <c r="AC1150" s="25"/>
      <c r="AD1150" s="25"/>
      <c r="AE1150" s="25"/>
      <c r="AF1150" s="25"/>
      <c r="AG1150" s="25"/>
      <c r="AH1150" s="25"/>
      <c r="AI1150" s="25"/>
      <c r="AJ1150" s="25"/>
      <c r="AK1150" s="25"/>
    </row>
    <row r="1151" spans="1:37">
      <c r="A1151" s="37"/>
      <c r="B1151" s="37"/>
      <c r="C1151" s="37"/>
      <c r="D1151" s="37" t="s">
        <v>1815</v>
      </c>
      <c r="E1151" s="37" t="s">
        <v>2087</v>
      </c>
      <c r="F1151" s="37" t="s">
        <v>2090</v>
      </c>
      <c r="G1151" s="37" t="s">
        <v>264</v>
      </c>
      <c r="H1151" s="37"/>
      <c r="I1151" s="37" t="s">
        <v>265</v>
      </c>
      <c r="J1151" s="37" t="s">
        <v>75</v>
      </c>
      <c r="K1151" s="40" t="s">
        <v>266</v>
      </c>
      <c r="L1151" s="37" t="s">
        <v>64</v>
      </c>
      <c r="M1151" s="37" t="s">
        <v>2088</v>
      </c>
      <c r="N1151" s="37"/>
      <c r="O1151" s="37" t="s">
        <v>96</v>
      </c>
      <c r="P1151" s="37" t="s">
        <v>268</v>
      </c>
      <c r="Q1151" s="37" t="s">
        <v>10</v>
      </c>
      <c r="R1151" s="37" t="s">
        <v>2089</v>
      </c>
      <c r="S1151" s="37" t="s">
        <v>2089</v>
      </c>
      <c r="T1151" s="37" t="s">
        <v>69</v>
      </c>
      <c r="U1151" s="37"/>
      <c r="V1151" s="37" t="s">
        <v>88</v>
      </c>
      <c r="W1151" s="37" t="s">
        <v>89</v>
      </c>
      <c r="X1151" s="25"/>
      <c r="Y1151" s="25"/>
      <c r="Z1151" s="25"/>
      <c r="AA1151" s="25"/>
      <c r="AB1151" s="25"/>
      <c r="AC1151" s="25"/>
      <c r="AD1151" s="25"/>
      <c r="AE1151" s="25"/>
      <c r="AF1151" s="25"/>
      <c r="AG1151" s="25"/>
      <c r="AH1151" s="25"/>
      <c r="AI1151" s="25"/>
      <c r="AJ1151" s="25"/>
      <c r="AK1151" s="25"/>
    </row>
    <row r="1152" spans="1:37">
      <c r="A1152" s="37" t="s">
        <v>538</v>
      </c>
      <c r="B1152" s="37"/>
      <c r="C1152" s="37"/>
      <c r="D1152" s="37" t="s">
        <v>1561</v>
      </c>
      <c r="E1152" s="37" t="s">
        <v>6693</v>
      </c>
      <c r="F1152" s="38" t="s">
        <v>5739</v>
      </c>
      <c r="G1152" s="37" t="s">
        <v>5614</v>
      </c>
      <c r="H1152" s="37"/>
      <c r="I1152" s="37" t="s">
        <v>5615</v>
      </c>
      <c r="J1152" s="37" t="s">
        <v>324</v>
      </c>
      <c r="K1152" s="40" t="s">
        <v>5616</v>
      </c>
      <c r="L1152" s="37" t="s">
        <v>64</v>
      </c>
      <c r="M1152" s="37" t="s">
        <v>5617</v>
      </c>
      <c r="N1152" s="37"/>
      <c r="O1152" s="37" t="s">
        <v>96</v>
      </c>
      <c r="P1152" s="37" t="s">
        <v>4553</v>
      </c>
      <c r="Q1152" s="37" t="s">
        <v>65</v>
      </c>
      <c r="R1152" s="37"/>
      <c r="S1152" s="37"/>
      <c r="T1152" s="37" t="s">
        <v>115</v>
      </c>
      <c r="U1152" s="37"/>
      <c r="V1152" s="37" t="s">
        <v>72</v>
      </c>
      <c r="W1152" s="37" t="s">
        <v>2680</v>
      </c>
      <c r="X1152" s="25"/>
      <c r="Y1152" s="25"/>
      <c r="Z1152" s="25"/>
      <c r="AA1152" s="25"/>
      <c r="AB1152" s="25"/>
      <c r="AC1152" s="25"/>
      <c r="AD1152" s="25"/>
      <c r="AE1152" s="25"/>
      <c r="AF1152" s="25"/>
      <c r="AG1152" s="25"/>
      <c r="AH1152" s="25"/>
      <c r="AI1152" s="25"/>
      <c r="AJ1152" s="25"/>
      <c r="AK1152" s="25"/>
    </row>
    <row r="1153" spans="1:37">
      <c r="A1153" s="37"/>
      <c r="B1153" s="37"/>
      <c r="C1153" s="37"/>
      <c r="D1153" s="37" t="s">
        <v>117</v>
      </c>
      <c r="E1153" s="37" t="s">
        <v>6694</v>
      </c>
      <c r="F1153" s="37" t="s">
        <v>6695</v>
      </c>
      <c r="G1153" s="37" t="s">
        <v>6696</v>
      </c>
      <c r="H1153" s="37"/>
      <c r="I1153" s="37" t="s">
        <v>420</v>
      </c>
      <c r="J1153" s="37" t="s">
        <v>75</v>
      </c>
      <c r="K1153" s="40" t="s">
        <v>6697</v>
      </c>
      <c r="L1153" s="37" t="s">
        <v>64</v>
      </c>
      <c r="M1153" s="37" t="s">
        <v>6698</v>
      </c>
      <c r="N1153" s="37"/>
      <c r="O1153" s="37" t="s">
        <v>96</v>
      </c>
      <c r="P1153" s="37" t="s">
        <v>268</v>
      </c>
      <c r="Q1153" s="37" t="s">
        <v>10</v>
      </c>
      <c r="R1153" s="37"/>
      <c r="S1153" s="37" t="s">
        <v>6699</v>
      </c>
      <c r="T1153" s="37" t="s">
        <v>66</v>
      </c>
      <c r="U1153" s="37"/>
      <c r="V1153" s="37" t="s">
        <v>88</v>
      </c>
      <c r="W1153" s="37" t="s">
        <v>69</v>
      </c>
      <c r="X1153" s="25"/>
      <c r="Y1153" s="25"/>
      <c r="Z1153" s="25"/>
      <c r="AA1153" s="25"/>
      <c r="AB1153" s="25"/>
      <c r="AC1153" s="25"/>
      <c r="AD1153" s="25"/>
      <c r="AE1153" s="25"/>
      <c r="AF1153" s="25"/>
      <c r="AG1153" s="25"/>
      <c r="AH1153" s="25"/>
      <c r="AI1153" s="25"/>
      <c r="AJ1153" s="25"/>
      <c r="AK1153" s="25"/>
    </row>
    <row r="1154" spans="1:37">
      <c r="A1154" s="37"/>
      <c r="B1154" s="37"/>
      <c r="C1154" s="37"/>
      <c r="D1154" s="37" t="s">
        <v>380</v>
      </c>
      <c r="E1154" s="37" t="s">
        <v>6700</v>
      </c>
      <c r="F1154" s="37" t="s">
        <v>6701</v>
      </c>
      <c r="G1154" s="37" t="s">
        <v>6702</v>
      </c>
      <c r="H1154" s="37"/>
      <c r="I1154" s="37" t="s">
        <v>420</v>
      </c>
      <c r="J1154" s="37" t="s">
        <v>75</v>
      </c>
      <c r="K1154" s="40" t="s">
        <v>6703</v>
      </c>
      <c r="L1154" s="37" t="s">
        <v>64</v>
      </c>
      <c r="M1154" s="37" t="s">
        <v>6704</v>
      </c>
      <c r="N1154" s="37"/>
      <c r="O1154" s="37" t="s">
        <v>96</v>
      </c>
      <c r="P1154" s="37" t="s">
        <v>268</v>
      </c>
      <c r="Q1154" s="37" t="s">
        <v>10</v>
      </c>
      <c r="R1154" s="37"/>
      <c r="S1154" s="37"/>
      <c r="T1154" s="37"/>
      <c r="U1154" s="37"/>
      <c r="V1154" s="37" t="s">
        <v>72</v>
      </c>
      <c r="W1154" s="37" t="s">
        <v>131</v>
      </c>
      <c r="X1154" s="25"/>
      <c r="Y1154" s="25"/>
      <c r="Z1154" s="25"/>
      <c r="AA1154" s="25"/>
      <c r="AB1154" s="25"/>
      <c r="AC1154" s="25"/>
      <c r="AD1154" s="25"/>
      <c r="AE1154" s="25"/>
      <c r="AF1154" s="25"/>
      <c r="AG1154" s="25"/>
      <c r="AH1154" s="25"/>
      <c r="AI1154" s="25"/>
      <c r="AJ1154" s="25"/>
      <c r="AK1154" s="25"/>
    </row>
    <row r="1155" spans="1:37">
      <c r="A1155" s="37"/>
      <c r="B1155" s="37"/>
      <c r="C1155" s="37"/>
      <c r="D1155" s="37" t="s">
        <v>2656</v>
      </c>
      <c r="E1155" s="37" t="s">
        <v>2657</v>
      </c>
      <c r="F1155" s="37" t="s">
        <v>2659</v>
      </c>
      <c r="G1155" s="37" t="s">
        <v>264</v>
      </c>
      <c r="H1155" s="37"/>
      <c r="I1155" s="37" t="s">
        <v>265</v>
      </c>
      <c r="J1155" s="37" t="s">
        <v>75</v>
      </c>
      <c r="K1155" s="40" t="s">
        <v>1079</v>
      </c>
      <c r="L1155" s="37" t="s">
        <v>64</v>
      </c>
      <c r="M1155" s="37" t="s">
        <v>2658</v>
      </c>
      <c r="N1155" s="37"/>
      <c r="O1155" s="37" t="s">
        <v>96</v>
      </c>
      <c r="P1155" s="37" t="s">
        <v>268</v>
      </c>
      <c r="Q1155" s="37" t="s">
        <v>10</v>
      </c>
      <c r="R1155" s="37"/>
      <c r="S1155" s="37"/>
      <c r="T1155" s="37" t="s">
        <v>66</v>
      </c>
      <c r="U1155" s="37"/>
      <c r="V1155" s="37" t="s">
        <v>88</v>
      </c>
      <c r="W1155" s="37" t="s">
        <v>89</v>
      </c>
      <c r="X1155" s="25"/>
      <c r="Y1155" s="25"/>
      <c r="Z1155" s="25"/>
      <c r="AA1155" s="25"/>
      <c r="AB1155" s="25"/>
      <c r="AC1155" s="25"/>
      <c r="AD1155" s="25"/>
      <c r="AE1155" s="25"/>
      <c r="AF1155" s="25"/>
      <c r="AG1155" s="25"/>
      <c r="AH1155" s="25"/>
      <c r="AI1155" s="25"/>
      <c r="AJ1155" s="25"/>
      <c r="AK1155" s="25"/>
    </row>
    <row r="1156" spans="1:37">
      <c r="A1156" s="37" t="s">
        <v>112</v>
      </c>
      <c r="B1156" s="37"/>
      <c r="C1156" s="37"/>
      <c r="D1156" s="37" t="s">
        <v>1257</v>
      </c>
      <c r="E1156" s="37" t="s">
        <v>5166</v>
      </c>
      <c r="F1156" s="37" t="s">
        <v>5170</v>
      </c>
      <c r="G1156" s="37" t="s">
        <v>477</v>
      </c>
      <c r="H1156" s="37"/>
      <c r="I1156" s="37" t="s">
        <v>478</v>
      </c>
      <c r="J1156" s="37" t="s">
        <v>75</v>
      </c>
      <c r="K1156" s="40" t="s">
        <v>5167</v>
      </c>
      <c r="L1156" s="37" t="s">
        <v>64</v>
      </c>
      <c r="M1156" s="37" t="s">
        <v>5168</v>
      </c>
      <c r="N1156" s="37"/>
      <c r="O1156" s="37" t="s">
        <v>96</v>
      </c>
      <c r="P1156" s="37" t="s">
        <v>595</v>
      </c>
      <c r="Q1156" s="37" t="s">
        <v>10</v>
      </c>
      <c r="R1156" s="37" t="s">
        <v>5169</v>
      </c>
      <c r="S1156" s="37" t="s">
        <v>4992</v>
      </c>
      <c r="T1156" s="37" t="s">
        <v>66</v>
      </c>
      <c r="U1156" s="37" t="s">
        <v>69</v>
      </c>
      <c r="V1156" s="37" t="s">
        <v>88</v>
      </c>
      <c r="W1156" s="37" t="s">
        <v>348</v>
      </c>
      <c r="X1156" s="25"/>
      <c r="Y1156" s="25"/>
      <c r="Z1156" s="25"/>
      <c r="AA1156" s="25"/>
      <c r="AB1156" s="25"/>
      <c r="AC1156" s="25"/>
      <c r="AD1156" s="25"/>
      <c r="AE1156" s="25"/>
      <c r="AF1156" s="25"/>
      <c r="AG1156" s="25"/>
      <c r="AH1156" s="25"/>
      <c r="AI1156" s="25"/>
      <c r="AJ1156" s="25"/>
      <c r="AK1156" s="25"/>
    </row>
    <row r="1157" spans="1:37">
      <c r="A1157" s="37"/>
      <c r="B1157" s="37"/>
      <c r="C1157" s="37"/>
      <c r="D1157" s="37" t="s">
        <v>6705</v>
      </c>
      <c r="E1157" s="37" t="s">
        <v>6706</v>
      </c>
      <c r="F1157" s="38" t="s">
        <v>5739</v>
      </c>
      <c r="G1157" s="37" t="s">
        <v>6707</v>
      </c>
      <c r="H1157" s="37" t="s">
        <v>5993</v>
      </c>
      <c r="I1157" s="37" t="s">
        <v>6708</v>
      </c>
      <c r="J1157" s="37" t="s">
        <v>75</v>
      </c>
      <c r="K1157" s="40" t="s">
        <v>458</v>
      </c>
      <c r="L1157" s="37" t="s">
        <v>64</v>
      </c>
      <c r="M1157" s="37" t="s">
        <v>6709</v>
      </c>
      <c r="N1157" s="37" t="s">
        <v>6709</v>
      </c>
      <c r="O1157" s="37" t="s">
        <v>575</v>
      </c>
      <c r="P1157" s="37" t="s">
        <v>575</v>
      </c>
      <c r="Q1157" s="37" t="s">
        <v>10</v>
      </c>
      <c r="R1157" s="37"/>
      <c r="S1157" s="37"/>
      <c r="T1157" s="37" t="s">
        <v>69</v>
      </c>
      <c r="U1157" s="37" t="s">
        <v>69</v>
      </c>
      <c r="V1157" s="37" t="s">
        <v>72</v>
      </c>
      <c r="W1157" s="37" t="s">
        <v>69</v>
      </c>
      <c r="X1157" s="25"/>
      <c r="Y1157" s="25"/>
      <c r="Z1157" s="25"/>
      <c r="AA1157" s="25"/>
      <c r="AB1157" s="25"/>
      <c r="AC1157" s="25"/>
      <c r="AD1157" s="25"/>
      <c r="AE1157" s="25"/>
      <c r="AF1157" s="25"/>
      <c r="AG1157" s="25"/>
      <c r="AH1157" s="25"/>
      <c r="AI1157" s="25"/>
      <c r="AJ1157" s="25"/>
      <c r="AK1157" s="25"/>
    </row>
    <row r="1158" spans="1:37">
      <c r="A1158" s="37"/>
      <c r="B1158" s="37"/>
      <c r="C1158" s="37"/>
      <c r="D1158" s="37" t="s">
        <v>748</v>
      </c>
      <c r="E1158" s="37" t="s">
        <v>749</v>
      </c>
      <c r="F1158" s="37" t="s">
        <v>754</v>
      </c>
      <c r="G1158" s="37" t="s">
        <v>750</v>
      </c>
      <c r="H1158" s="37"/>
      <c r="I1158" s="37" t="s">
        <v>82</v>
      </c>
      <c r="J1158" s="37" t="s">
        <v>83</v>
      </c>
      <c r="K1158" s="40" t="s">
        <v>751</v>
      </c>
      <c r="L1158" s="37" t="s">
        <v>64</v>
      </c>
      <c r="M1158" s="37" t="s">
        <v>752</v>
      </c>
      <c r="N1158" s="37"/>
      <c r="O1158" s="37" t="s">
        <v>575</v>
      </c>
      <c r="P1158" s="37" t="s">
        <v>575</v>
      </c>
      <c r="Q1158" s="37" t="s">
        <v>14</v>
      </c>
      <c r="R1158" s="37" t="s">
        <v>753</v>
      </c>
      <c r="S1158" s="37" t="s">
        <v>753</v>
      </c>
      <c r="T1158" s="37" t="s">
        <v>69</v>
      </c>
      <c r="U1158" s="37"/>
      <c r="V1158" s="37" t="s">
        <v>67</v>
      </c>
      <c r="W1158" s="37" t="s">
        <v>73</v>
      </c>
      <c r="X1158" s="25"/>
      <c r="Y1158" s="25"/>
      <c r="Z1158" s="25"/>
      <c r="AA1158" s="25"/>
      <c r="AB1158" s="25"/>
      <c r="AC1158" s="25"/>
      <c r="AD1158" s="25"/>
      <c r="AE1158" s="25"/>
      <c r="AF1158" s="25"/>
      <c r="AG1158" s="25"/>
      <c r="AH1158" s="25"/>
      <c r="AI1158" s="25"/>
      <c r="AJ1158" s="25"/>
      <c r="AK1158" s="25"/>
    </row>
    <row r="1159" spans="1:37">
      <c r="A1159" s="37"/>
      <c r="B1159" s="37"/>
      <c r="C1159" s="37"/>
      <c r="D1159" s="37" t="s">
        <v>6705</v>
      </c>
      <c r="E1159" s="37" t="s">
        <v>6706</v>
      </c>
      <c r="F1159" s="38" t="s">
        <v>5739</v>
      </c>
      <c r="G1159" s="37" t="s">
        <v>6707</v>
      </c>
      <c r="H1159" s="37" t="s">
        <v>5993</v>
      </c>
      <c r="I1159" s="37" t="s">
        <v>6708</v>
      </c>
      <c r="J1159" s="37" t="s">
        <v>75</v>
      </c>
      <c r="K1159" s="40" t="s">
        <v>458</v>
      </c>
      <c r="L1159" s="37" t="s">
        <v>64</v>
      </c>
      <c r="M1159" s="37" t="s">
        <v>6709</v>
      </c>
      <c r="N1159" s="37" t="s">
        <v>6709</v>
      </c>
      <c r="O1159" s="37" t="s">
        <v>575</v>
      </c>
      <c r="P1159" s="37" t="s">
        <v>575</v>
      </c>
      <c r="Q1159" s="37" t="s">
        <v>10</v>
      </c>
      <c r="R1159" s="37"/>
      <c r="S1159" s="37"/>
      <c r="T1159" s="37" t="s">
        <v>69</v>
      </c>
      <c r="U1159" s="37" t="s">
        <v>69</v>
      </c>
      <c r="V1159" s="37" t="s">
        <v>72</v>
      </c>
      <c r="W1159" s="37" t="s">
        <v>69</v>
      </c>
      <c r="X1159" s="25"/>
      <c r="Y1159" s="25"/>
      <c r="Z1159" s="25"/>
      <c r="AA1159" s="25"/>
      <c r="AB1159" s="25"/>
      <c r="AC1159" s="25"/>
      <c r="AD1159" s="25"/>
      <c r="AE1159" s="25"/>
      <c r="AF1159" s="25"/>
      <c r="AG1159" s="25"/>
      <c r="AH1159" s="25"/>
      <c r="AI1159" s="25"/>
      <c r="AJ1159" s="25"/>
      <c r="AK1159" s="25"/>
    </row>
    <row r="1160" spans="1:37">
      <c r="A1160" s="37"/>
      <c r="B1160" s="37"/>
      <c r="C1160" s="37"/>
      <c r="D1160" s="37" t="s">
        <v>2326</v>
      </c>
      <c r="E1160" s="37" t="s">
        <v>2327</v>
      </c>
      <c r="F1160" s="37" t="s">
        <v>2332</v>
      </c>
      <c r="G1160" s="37" t="s">
        <v>2328</v>
      </c>
      <c r="H1160" s="37" t="s">
        <v>2329</v>
      </c>
      <c r="I1160" s="37" t="s">
        <v>82</v>
      </c>
      <c r="J1160" s="37" t="s">
        <v>83</v>
      </c>
      <c r="K1160" s="40" t="s">
        <v>751</v>
      </c>
      <c r="L1160" s="37" t="s">
        <v>64</v>
      </c>
      <c r="M1160" s="37" t="s">
        <v>2330</v>
      </c>
      <c r="N1160" s="37" t="s">
        <v>2331</v>
      </c>
      <c r="O1160" s="37" t="s">
        <v>575</v>
      </c>
      <c r="P1160" s="37" t="s">
        <v>575</v>
      </c>
      <c r="Q1160" s="37" t="s">
        <v>14</v>
      </c>
      <c r="R1160" s="37"/>
      <c r="S1160" s="37" t="s">
        <v>753</v>
      </c>
      <c r="T1160" s="37" t="s">
        <v>115</v>
      </c>
      <c r="U1160" s="37"/>
      <c r="V1160" s="37" t="s">
        <v>77</v>
      </c>
      <c r="W1160" s="37" t="s">
        <v>89</v>
      </c>
      <c r="X1160" s="25"/>
      <c r="Y1160" s="25"/>
      <c r="Z1160" s="25"/>
      <c r="AA1160" s="25"/>
      <c r="AB1160" s="25"/>
      <c r="AC1160" s="25"/>
      <c r="AD1160" s="25"/>
      <c r="AE1160" s="25"/>
      <c r="AF1160" s="25"/>
      <c r="AG1160" s="25"/>
      <c r="AH1160" s="25"/>
      <c r="AI1160" s="25"/>
      <c r="AJ1160" s="25"/>
      <c r="AK1160" s="25"/>
    </row>
    <row r="1161" spans="1:37">
      <c r="A1161" s="37"/>
      <c r="B1161" s="37"/>
      <c r="C1161" s="37"/>
      <c r="D1161" s="37" t="s">
        <v>6710</v>
      </c>
      <c r="E1161" s="37" t="s">
        <v>6711</v>
      </c>
      <c r="F1161" s="38" t="s">
        <v>5739</v>
      </c>
      <c r="G1161" s="37" t="s">
        <v>6712</v>
      </c>
      <c r="H1161" s="37"/>
      <c r="I1161" s="37" t="s">
        <v>239</v>
      </c>
      <c r="J1161" s="37" t="s">
        <v>75</v>
      </c>
      <c r="K1161" s="40" t="s">
        <v>6713</v>
      </c>
      <c r="L1161" s="37" t="s">
        <v>64</v>
      </c>
      <c r="M1161" s="37" t="s">
        <v>6714</v>
      </c>
      <c r="N1161" s="37"/>
      <c r="O1161" s="37" t="s">
        <v>544</v>
      </c>
      <c r="P1161" s="37" t="s">
        <v>544</v>
      </c>
      <c r="Q1161" s="37" t="s">
        <v>10</v>
      </c>
      <c r="R1161" s="37"/>
      <c r="S1161" s="37"/>
      <c r="T1161" s="37"/>
      <c r="U1161" s="37"/>
      <c r="V1161" s="37" t="s">
        <v>72</v>
      </c>
      <c r="W1161" s="37" t="s">
        <v>69</v>
      </c>
      <c r="X1161" s="25"/>
      <c r="Y1161" s="25"/>
      <c r="Z1161" s="25"/>
      <c r="AA1161" s="25"/>
      <c r="AB1161" s="25"/>
      <c r="AC1161" s="25"/>
      <c r="AD1161" s="25"/>
      <c r="AE1161" s="25"/>
      <c r="AF1161" s="25"/>
      <c r="AG1161" s="25"/>
      <c r="AH1161" s="25"/>
      <c r="AI1161" s="25"/>
      <c r="AJ1161" s="25"/>
      <c r="AK1161" s="25"/>
    </row>
    <row r="1162" spans="1:37">
      <c r="A1162" s="37"/>
      <c r="B1162" s="37"/>
      <c r="C1162" s="37"/>
      <c r="D1162" s="37" t="s">
        <v>532</v>
      </c>
      <c r="E1162" s="37" t="s">
        <v>2173</v>
      </c>
      <c r="F1162" s="37" t="s">
        <v>2178</v>
      </c>
      <c r="G1162" s="37" t="s">
        <v>2174</v>
      </c>
      <c r="H1162" s="37"/>
      <c r="I1162" s="37" t="s">
        <v>2175</v>
      </c>
      <c r="J1162" s="37" t="s">
        <v>121</v>
      </c>
      <c r="K1162" s="40" t="s">
        <v>2176</v>
      </c>
      <c r="L1162" s="37" t="s">
        <v>64</v>
      </c>
      <c r="M1162" s="37" t="s">
        <v>2177</v>
      </c>
      <c r="N1162" s="37"/>
      <c r="O1162" s="37" t="s">
        <v>544</v>
      </c>
      <c r="P1162" s="37" t="s">
        <v>544</v>
      </c>
      <c r="Q1162" s="37" t="s">
        <v>71</v>
      </c>
      <c r="R1162" s="37"/>
      <c r="S1162" s="37"/>
      <c r="T1162" s="37" t="s">
        <v>66</v>
      </c>
      <c r="U1162" s="37"/>
      <c r="V1162" s="37" t="s">
        <v>88</v>
      </c>
      <c r="W1162" s="37" t="s">
        <v>89</v>
      </c>
      <c r="X1162" s="25"/>
      <c r="Y1162" s="25"/>
      <c r="Z1162" s="25"/>
      <c r="AA1162" s="25"/>
      <c r="AB1162" s="25"/>
      <c r="AC1162" s="25"/>
      <c r="AD1162" s="25"/>
      <c r="AE1162" s="25"/>
      <c r="AF1162" s="25"/>
      <c r="AG1162" s="25"/>
      <c r="AH1162" s="25"/>
      <c r="AI1162" s="25"/>
      <c r="AJ1162" s="25"/>
      <c r="AK1162" s="25"/>
    </row>
    <row r="1163" spans="1:37">
      <c r="A1163" s="37"/>
      <c r="B1163" s="37"/>
      <c r="C1163" s="37"/>
      <c r="D1163" s="37" t="s">
        <v>349</v>
      </c>
      <c r="E1163" s="37" t="s">
        <v>2559</v>
      </c>
      <c r="F1163" s="37" t="s">
        <v>2564</v>
      </c>
      <c r="G1163" s="37" t="s">
        <v>2560</v>
      </c>
      <c r="H1163" s="37" t="s">
        <v>2561</v>
      </c>
      <c r="I1163" s="37" t="s">
        <v>82</v>
      </c>
      <c r="J1163" s="37" t="s">
        <v>83</v>
      </c>
      <c r="K1163" s="40" t="s">
        <v>2562</v>
      </c>
      <c r="L1163" s="37" t="s">
        <v>64</v>
      </c>
      <c r="M1163" s="37" t="s">
        <v>2563</v>
      </c>
      <c r="N1163" s="37"/>
      <c r="O1163" s="37" t="s">
        <v>544</v>
      </c>
      <c r="P1163" s="37" t="s">
        <v>544</v>
      </c>
      <c r="Q1163" s="37" t="s">
        <v>14</v>
      </c>
      <c r="R1163" s="37"/>
      <c r="S1163" s="37"/>
      <c r="T1163" s="37"/>
      <c r="U1163" s="37"/>
      <c r="V1163" s="37" t="s">
        <v>72</v>
      </c>
      <c r="W1163" s="37" t="s">
        <v>69</v>
      </c>
      <c r="X1163" s="25"/>
      <c r="Y1163" s="25"/>
      <c r="Z1163" s="25"/>
      <c r="AA1163" s="25"/>
      <c r="AB1163" s="25"/>
      <c r="AC1163" s="25"/>
      <c r="AD1163" s="25"/>
      <c r="AE1163" s="25"/>
      <c r="AF1163" s="25"/>
      <c r="AG1163" s="25"/>
      <c r="AH1163" s="25"/>
      <c r="AI1163" s="25"/>
      <c r="AJ1163" s="25"/>
      <c r="AK1163" s="25"/>
    </row>
    <row r="1164" spans="1:37">
      <c r="A1164" s="37"/>
      <c r="B1164" s="37"/>
      <c r="C1164" s="37"/>
      <c r="D1164" s="37" t="s">
        <v>6715</v>
      </c>
      <c r="E1164" s="37" t="s">
        <v>6716</v>
      </c>
      <c r="F1164" s="37" t="s">
        <v>6717</v>
      </c>
      <c r="G1164" s="37" t="s">
        <v>6718</v>
      </c>
      <c r="H1164" s="37"/>
      <c r="I1164" s="37" t="s">
        <v>416</v>
      </c>
      <c r="J1164" s="37" t="s">
        <v>75</v>
      </c>
      <c r="K1164" s="40" t="s">
        <v>6719</v>
      </c>
      <c r="L1164" s="37" t="s">
        <v>64</v>
      </c>
      <c r="M1164" s="37" t="s">
        <v>6720</v>
      </c>
      <c r="N1164" s="37"/>
      <c r="O1164" s="37" t="s">
        <v>544</v>
      </c>
      <c r="P1164" s="37" t="s">
        <v>544</v>
      </c>
      <c r="Q1164" s="37" t="s">
        <v>10</v>
      </c>
      <c r="R1164" s="37"/>
      <c r="S1164" s="37"/>
      <c r="T1164" s="37" t="s">
        <v>66</v>
      </c>
      <c r="U1164" s="37" t="s">
        <v>254</v>
      </c>
      <c r="V1164" s="37" t="s">
        <v>77</v>
      </c>
      <c r="W1164" s="37" t="s">
        <v>97</v>
      </c>
      <c r="X1164" s="25"/>
      <c r="Y1164" s="25"/>
      <c r="Z1164" s="25"/>
      <c r="AA1164" s="25"/>
      <c r="AB1164" s="25"/>
      <c r="AC1164" s="25"/>
      <c r="AD1164" s="25"/>
      <c r="AE1164" s="25"/>
      <c r="AF1164" s="25"/>
      <c r="AG1164" s="25"/>
      <c r="AH1164" s="25"/>
      <c r="AI1164" s="25"/>
      <c r="AJ1164" s="25"/>
      <c r="AK1164" s="25"/>
    </row>
    <row r="1165" spans="1:37">
      <c r="A1165" s="37"/>
      <c r="B1165" s="37"/>
      <c r="C1165" s="37"/>
      <c r="D1165" s="37" t="s">
        <v>117</v>
      </c>
      <c r="E1165" s="37" t="s">
        <v>1624</v>
      </c>
      <c r="F1165" s="37" t="s">
        <v>4431</v>
      </c>
      <c r="G1165" s="37" t="s">
        <v>4427</v>
      </c>
      <c r="H1165" s="37"/>
      <c r="I1165" s="37" t="s">
        <v>420</v>
      </c>
      <c r="J1165" s="37" t="s">
        <v>75</v>
      </c>
      <c r="K1165" s="40" t="s">
        <v>2451</v>
      </c>
      <c r="L1165" s="37" t="s">
        <v>64</v>
      </c>
      <c r="M1165" s="37" t="s">
        <v>4428</v>
      </c>
      <c r="N1165" s="37" t="s">
        <v>4429</v>
      </c>
      <c r="O1165" s="37" t="s">
        <v>544</v>
      </c>
      <c r="P1165" s="37" t="s">
        <v>544</v>
      </c>
      <c r="Q1165" s="37" t="s">
        <v>10</v>
      </c>
      <c r="R1165" s="37"/>
      <c r="S1165" s="37"/>
      <c r="T1165" s="37" t="s">
        <v>115</v>
      </c>
      <c r="U1165" s="37" t="s">
        <v>116</v>
      </c>
      <c r="V1165" s="37" t="s">
        <v>72</v>
      </c>
      <c r="W1165" s="37" t="s">
        <v>4430</v>
      </c>
      <c r="X1165" s="25"/>
      <c r="Y1165" s="25"/>
      <c r="Z1165" s="25"/>
      <c r="AA1165" s="25"/>
      <c r="AB1165" s="25"/>
      <c r="AC1165" s="25"/>
      <c r="AD1165" s="25"/>
      <c r="AE1165" s="25"/>
      <c r="AF1165" s="25"/>
      <c r="AG1165" s="25"/>
      <c r="AH1165" s="25"/>
      <c r="AI1165" s="25"/>
      <c r="AJ1165" s="25"/>
      <c r="AK1165" s="25"/>
    </row>
    <row r="1166" spans="1:37">
      <c r="A1166" s="37"/>
      <c r="B1166" s="37"/>
      <c r="C1166" s="37"/>
      <c r="D1166" s="37" t="s">
        <v>6721</v>
      </c>
      <c r="E1166" s="37" t="s">
        <v>5772</v>
      </c>
      <c r="F1166" s="37" t="s">
        <v>6722</v>
      </c>
      <c r="G1166" s="37" t="s">
        <v>6723</v>
      </c>
      <c r="H1166" s="37"/>
      <c r="I1166" s="37" t="s">
        <v>82</v>
      </c>
      <c r="J1166" s="37" t="s">
        <v>83</v>
      </c>
      <c r="K1166" s="40" t="s">
        <v>2562</v>
      </c>
      <c r="L1166" s="37" t="s">
        <v>64</v>
      </c>
      <c r="M1166" s="37" t="s">
        <v>6724</v>
      </c>
      <c r="N1166" s="37"/>
      <c r="O1166" s="37" t="s">
        <v>544</v>
      </c>
      <c r="P1166" s="37" t="s">
        <v>544</v>
      </c>
      <c r="Q1166" s="37" t="s">
        <v>14</v>
      </c>
      <c r="R1166" s="37"/>
      <c r="S1166" s="37"/>
      <c r="T1166" s="37"/>
      <c r="U1166" s="37"/>
      <c r="V1166" s="37" t="s">
        <v>77</v>
      </c>
      <c r="W1166" s="37" t="s">
        <v>4430</v>
      </c>
      <c r="X1166" s="25"/>
      <c r="Y1166" s="25"/>
      <c r="Z1166" s="25"/>
      <c r="AA1166" s="25"/>
      <c r="AB1166" s="25"/>
      <c r="AC1166" s="25"/>
      <c r="AD1166" s="25"/>
      <c r="AE1166" s="25"/>
      <c r="AF1166" s="25"/>
      <c r="AG1166" s="25"/>
      <c r="AH1166" s="25"/>
      <c r="AI1166" s="25"/>
      <c r="AJ1166" s="25"/>
      <c r="AK1166" s="25"/>
    </row>
    <row r="1167" spans="1:37">
      <c r="A1167" s="39"/>
      <c r="B1167" s="37" t="s">
        <v>6725</v>
      </c>
      <c r="C1167" s="37" t="s">
        <v>6726</v>
      </c>
      <c r="D1167" s="37" t="s">
        <v>6727</v>
      </c>
      <c r="E1167" s="37" t="s">
        <v>6728</v>
      </c>
      <c r="F1167" s="37" t="s">
        <v>6729</v>
      </c>
      <c r="G1167" s="37" t="s">
        <v>6730</v>
      </c>
      <c r="H1167" s="37"/>
      <c r="I1167" s="37" t="s">
        <v>1396</v>
      </c>
      <c r="J1167" s="37" t="s">
        <v>105</v>
      </c>
      <c r="K1167" s="40" t="s">
        <v>1397</v>
      </c>
      <c r="L1167" s="37" t="s">
        <v>64</v>
      </c>
      <c r="M1167"/>
      <c r="N1167"/>
      <c r="X1167" s="25"/>
      <c r="Y1167" s="25"/>
      <c r="Z1167" s="25"/>
      <c r="AA1167" s="25"/>
      <c r="AB1167" s="25"/>
      <c r="AC1167" s="25"/>
      <c r="AD1167" s="25"/>
      <c r="AE1167" s="25"/>
      <c r="AF1167" s="25"/>
      <c r="AG1167" s="25"/>
      <c r="AH1167" s="25"/>
      <c r="AI1167" s="25"/>
      <c r="AJ1167" s="25"/>
      <c r="AK1167" s="25"/>
    </row>
    <row r="1168" spans="1:37">
      <c r="A1168" s="39"/>
      <c r="B1168" s="37" t="s">
        <v>6731</v>
      </c>
      <c r="C1168" s="37" t="s">
        <v>6732</v>
      </c>
      <c r="D1168" s="37" t="s">
        <v>113</v>
      </c>
      <c r="E1168" s="37" t="s">
        <v>6733</v>
      </c>
      <c r="F1168" s="37" t="s">
        <v>6734</v>
      </c>
      <c r="G1168" s="37" t="s">
        <v>6735</v>
      </c>
      <c r="H1168" s="37" t="s">
        <v>982</v>
      </c>
      <c r="I1168" s="37" t="s">
        <v>1850</v>
      </c>
      <c r="J1168" s="37" t="s">
        <v>1851</v>
      </c>
      <c r="K1168" s="40" t="s">
        <v>6736</v>
      </c>
      <c r="L1168" s="37" t="s">
        <v>64</v>
      </c>
      <c r="M1168"/>
      <c r="N1168"/>
      <c r="X1168" s="25"/>
      <c r="Y1168" s="25"/>
      <c r="Z1168" s="25"/>
      <c r="AA1168" s="25"/>
      <c r="AB1168" s="25"/>
      <c r="AC1168" s="25"/>
      <c r="AD1168" s="25"/>
      <c r="AE1168" s="25"/>
      <c r="AF1168" s="25"/>
      <c r="AG1168" s="25"/>
      <c r="AH1168" s="25"/>
      <c r="AI1168" s="25"/>
      <c r="AJ1168" s="25"/>
      <c r="AK1168" s="25"/>
    </row>
    <row r="1169" spans="1:37">
      <c r="A1169" s="39"/>
      <c r="B1169" s="37" t="s">
        <v>6737</v>
      </c>
      <c r="C1169" s="37" t="s">
        <v>6738</v>
      </c>
      <c r="D1169" s="37" t="s">
        <v>6739</v>
      </c>
      <c r="E1169" s="37" t="s">
        <v>6740</v>
      </c>
      <c r="F1169" s="37" t="s">
        <v>6741</v>
      </c>
      <c r="G1169" s="37" t="s">
        <v>6742</v>
      </c>
      <c r="H1169" s="37" t="s">
        <v>6743</v>
      </c>
      <c r="I1169" s="37" t="s">
        <v>1577</v>
      </c>
      <c r="J1169" s="37" t="s">
        <v>425</v>
      </c>
      <c r="K1169" s="40" t="s">
        <v>5722</v>
      </c>
      <c r="L1169" s="37" t="s">
        <v>64</v>
      </c>
      <c r="M1169"/>
      <c r="N1169"/>
      <c r="X1169" s="25"/>
      <c r="Y1169" s="25"/>
      <c r="Z1169" s="25"/>
      <c r="AA1169" s="25"/>
      <c r="AB1169" s="25"/>
      <c r="AC1169" s="25"/>
      <c r="AD1169" s="25"/>
      <c r="AE1169" s="25"/>
      <c r="AF1169" s="25"/>
      <c r="AG1169" s="25"/>
      <c r="AH1169" s="25"/>
      <c r="AI1169" s="25"/>
      <c r="AJ1169" s="25"/>
      <c r="AK1169" s="25"/>
    </row>
    <row r="1170" spans="1:37">
      <c r="A1170" s="39"/>
      <c r="B1170" s="37" t="s">
        <v>6744</v>
      </c>
      <c r="C1170" s="37" t="s">
        <v>6745</v>
      </c>
      <c r="D1170" s="37" t="s">
        <v>509</v>
      </c>
      <c r="E1170" s="37" t="s">
        <v>6746</v>
      </c>
      <c r="F1170" s="38" t="s">
        <v>5739</v>
      </c>
      <c r="G1170" s="37" t="s">
        <v>6747</v>
      </c>
      <c r="H1170" s="37"/>
      <c r="I1170" s="37" t="s">
        <v>265</v>
      </c>
      <c r="J1170" s="37" t="s">
        <v>75</v>
      </c>
      <c r="K1170" s="40" t="s">
        <v>3502</v>
      </c>
      <c r="L1170" s="37" t="s">
        <v>64</v>
      </c>
      <c r="M1170"/>
      <c r="N1170"/>
      <c r="X1170" s="25"/>
      <c r="Y1170" s="25"/>
      <c r="Z1170" s="25"/>
      <c r="AA1170" s="25"/>
      <c r="AB1170" s="25"/>
      <c r="AC1170" s="25"/>
      <c r="AD1170" s="25"/>
      <c r="AE1170" s="25"/>
      <c r="AF1170" s="25"/>
      <c r="AG1170" s="25"/>
      <c r="AH1170" s="25"/>
      <c r="AI1170" s="25"/>
      <c r="AJ1170" s="25"/>
      <c r="AK1170" s="25"/>
    </row>
    <row r="1171" spans="1:37">
      <c r="A1171" s="39"/>
      <c r="B1171" s="37" t="s">
        <v>6748</v>
      </c>
      <c r="C1171" s="37"/>
      <c r="D1171" s="37" t="s">
        <v>390</v>
      </c>
      <c r="E1171" s="37" t="s">
        <v>6749</v>
      </c>
      <c r="F1171" s="37" t="s">
        <v>6750</v>
      </c>
      <c r="G1171" s="37" t="s">
        <v>6751</v>
      </c>
      <c r="H1171" s="37"/>
      <c r="I1171" s="37" t="s">
        <v>6752</v>
      </c>
      <c r="J1171" s="37" t="s">
        <v>324</v>
      </c>
      <c r="K1171" s="40" t="s">
        <v>6753</v>
      </c>
      <c r="L1171" s="37" t="s">
        <v>64</v>
      </c>
      <c r="M1171"/>
      <c r="N1171"/>
      <c r="X1171" s="25"/>
      <c r="Y1171" s="25"/>
      <c r="Z1171" s="25"/>
      <c r="AA1171" s="25"/>
      <c r="AB1171" s="25"/>
      <c r="AC1171" s="25"/>
      <c r="AD1171" s="25"/>
      <c r="AE1171" s="25"/>
      <c r="AF1171" s="25"/>
      <c r="AG1171" s="25"/>
      <c r="AH1171" s="25"/>
      <c r="AI1171" s="25"/>
      <c r="AJ1171" s="25"/>
      <c r="AK1171" s="25"/>
    </row>
    <row r="1172" spans="1:37">
      <c r="A1172" s="39"/>
      <c r="B1172" s="37" t="s">
        <v>6754</v>
      </c>
      <c r="C1172" s="37" t="s">
        <v>6755</v>
      </c>
      <c r="D1172" s="37" t="s">
        <v>286</v>
      </c>
      <c r="E1172" s="37" t="s">
        <v>6756</v>
      </c>
      <c r="F1172" s="37" t="s">
        <v>6757</v>
      </c>
      <c r="G1172" s="37" t="s">
        <v>6758</v>
      </c>
      <c r="H1172" s="37"/>
      <c r="I1172" s="37" t="s">
        <v>3251</v>
      </c>
      <c r="J1172" s="37" t="s">
        <v>121</v>
      </c>
      <c r="K1172" s="40" t="s">
        <v>6759</v>
      </c>
      <c r="L1172" s="37" t="s">
        <v>64</v>
      </c>
      <c r="M1172"/>
      <c r="N1172"/>
      <c r="X1172" s="25"/>
      <c r="Y1172" s="25"/>
      <c r="Z1172" s="25"/>
      <c r="AA1172" s="25"/>
      <c r="AB1172" s="25"/>
      <c r="AC1172" s="25"/>
      <c r="AD1172" s="25"/>
      <c r="AE1172" s="25"/>
      <c r="AF1172" s="25"/>
      <c r="AG1172" s="25"/>
      <c r="AH1172" s="25"/>
      <c r="AI1172" s="25"/>
      <c r="AJ1172" s="25"/>
      <c r="AK1172" s="25"/>
    </row>
    <row r="1173" spans="1:37">
      <c r="A1173" s="39"/>
      <c r="B1173" s="37" t="s">
        <v>6760</v>
      </c>
      <c r="C1173" s="37" t="s">
        <v>6761</v>
      </c>
      <c r="D1173" s="37" t="s">
        <v>4629</v>
      </c>
      <c r="E1173" s="37" t="s">
        <v>6762</v>
      </c>
      <c r="F1173" s="37" t="s">
        <v>6763</v>
      </c>
      <c r="G1173" s="37" t="s">
        <v>6764</v>
      </c>
      <c r="H1173" s="37" t="s">
        <v>618</v>
      </c>
      <c r="I1173" s="37" t="s">
        <v>6371</v>
      </c>
      <c r="J1173" s="37" t="s">
        <v>121</v>
      </c>
      <c r="K1173" s="40" t="s">
        <v>6372</v>
      </c>
      <c r="L1173" s="37" t="s">
        <v>64</v>
      </c>
      <c r="M1173"/>
      <c r="N1173"/>
      <c r="X1173" s="25"/>
      <c r="Y1173" s="25"/>
      <c r="Z1173" s="25"/>
      <c r="AA1173" s="25"/>
      <c r="AB1173" s="25"/>
      <c r="AC1173" s="25"/>
      <c r="AD1173" s="25"/>
      <c r="AE1173" s="25"/>
      <c r="AF1173" s="25"/>
      <c r="AG1173" s="25"/>
      <c r="AH1173" s="25"/>
      <c r="AI1173" s="25"/>
      <c r="AJ1173" s="25"/>
      <c r="AK1173" s="25"/>
    </row>
    <row r="1174" spans="1:37">
      <c r="A1174" s="39"/>
      <c r="B1174" s="37" t="s">
        <v>6765</v>
      </c>
      <c r="C1174" s="37" t="s">
        <v>6766</v>
      </c>
      <c r="D1174" s="37" t="s">
        <v>689</v>
      </c>
      <c r="E1174" s="37" t="s">
        <v>6767</v>
      </c>
      <c r="F1174" s="37" t="s">
        <v>6768</v>
      </c>
      <c r="G1174" s="37" t="s">
        <v>6769</v>
      </c>
      <c r="H1174" s="37"/>
      <c r="I1174" s="37" t="s">
        <v>414</v>
      </c>
      <c r="J1174" s="37" t="s">
        <v>320</v>
      </c>
      <c r="K1174" s="40" t="s">
        <v>2395</v>
      </c>
      <c r="L1174" s="37" t="s">
        <v>64</v>
      </c>
      <c r="M1174"/>
      <c r="N1174"/>
      <c r="X1174" s="25"/>
      <c r="Y1174" s="25"/>
      <c r="Z1174" s="25"/>
      <c r="AA1174" s="25"/>
      <c r="AB1174" s="25"/>
      <c r="AC1174" s="25"/>
      <c r="AD1174" s="25"/>
      <c r="AE1174" s="25"/>
      <c r="AF1174" s="25"/>
      <c r="AG1174" s="25"/>
      <c r="AH1174" s="25"/>
      <c r="AI1174" s="25"/>
      <c r="AJ1174" s="25"/>
      <c r="AK1174" s="25"/>
    </row>
    <row r="1175" spans="1:37">
      <c r="A1175" s="39"/>
      <c r="B1175" s="37" t="s">
        <v>6770</v>
      </c>
      <c r="C1175" s="37" t="s">
        <v>6771</v>
      </c>
      <c r="D1175" s="37" t="s">
        <v>6772</v>
      </c>
      <c r="E1175" s="37" t="s">
        <v>6773</v>
      </c>
      <c r="F1175" s="37" t="s">
        <v>6774</v>
      </c>
      <c r="G1175" s="37" t="s">
        <v>6775</v>
      </c>
      <c r="H1175" s="37"/>
      <c r="I1175" s="37" t="s">
        <v>6776</v>
      </c>
      <c r="J1175" s="37" t="s">
        <v>200</v>
      </c>
      <c r="K1175" s="40" t="s">
        <v>6777</v>
      </c>
      <c r="L1175" s="37" t="s">
        <v>64</v>
      </c>
      <c r="M1175"/>
      <c r="N1175"/>
      <c r="X1175" s="25"/>
      <c r="Y1175" s="25"/>
      <c r="Z1175" s="25"/>
      <c r="AA1175" s="25"/>
      <c r="AB1175" s="25"/>
      <c r="AC1175" s="25"/>
      <c r="AD1175" s="25"/>
      <c r="AE1175" s="25"/>
      <c r="AF1175" s="25"/>
      <c r="AG1175" s="25"/>
      <c r="AH1175" s="25"/>
      <c r="AI1175" s="25"/>
      <c r="AJ1175" s="25"/>
      <c r="AK1175" s="25"/>
    </row>
    <row r="1176" spans="1:37">
      <c r="A1176" s="39"/>
      <c r="B1176" s="37" t="s">
        <v>6778</v>
      </c>
      <c r="C1176" s="37"/>
      <c r="D1176" s="37" t="s">
        <v>2626</v>
      </c>
      <c r="E1176" s="37" t="s">
        <v>6779</v>
      </c>
      <c r="F1176" s="37" t="s">
        <v>6780</v>
      </c>
      <c r="G1176" s="37" t="s">
        <v>6781</v>
      </c>
      <c r="H1176" s="37" t="s">
        <v>2243</v>
      </c>
      <c r="I1176" s="37" t="s">
        <v>6782</v>
      </c>
      <c r="J1176" s="37" t="s">
        <v>121</v>
      </c>
      <c r="K1176" s="40" t="s">
        <v>6783</v>
      </c>
      <c r="L1176" s="37" t="s">
        <v>64</v>
      </c>
      <c r="M1176"/>
      <c r="N1176"/>
      <c r="X1176" s="25"/>
      <c r="Y1176" s="25"/>
      <c r="Z1176" s="25"/>
      <c r="AA1176" s="25"/>
      <c r="AB1176" s="25"/>
      <c r="AC1176" s="25"/>
      <c r="AD1176" s="25"/>
      <c r="AE1176" s="25"/>
      <c r="AF1176" s="25"/>
      <c r="AG1176" s="25"/>
      <c r="AH1176" s="25"/>
      <c r="AI1176" s="25"/>
      <c r="AJ1176" s="25"/>
      <c r="AK1176" s="25"/>
    </row>
    <row r="1177" spans="1:37">
      <c r="A1177" s="39"/>
      <c r="B1177" s="37" t="s">
        <v>6784</v>
      </c>
      <c r="C1177" s="37" t="s">
        <v>6785</v>
      </c>
      <c r="D1177" s="37" t="s">
        <v>444</v>
      </c>
      <c r="E1177" s="37" t="s">
        <v>6786</v>
      </c>
      <c r="F1177" s="37" t="s">
        <v>6787</v>
      </c>
      <c r="G1177" s="37" t="s">
        <v>6788</v>
      </c>
      <c r="H1177" s="37"/>
      <c r="I1177" s="37" t="s">
        <v>6789</v>
      </c>
      <c r="J1177" s="37" t="s">
        <v>425</v>
      </c>
      <c r="K1177" s="40" t="s">
        <v>6790</v>
      </c>
      <c r="L1177" s="37" t="s">
        <v>64</v>
      </c>
      <c r="M1177"/>
      <c r="N1177"/>
      <c r="X1177" s="25"/>
      <c r="Y1177" s="25"/>
      <c r="Z1177" s="25"/>
      <c r="AA1177" s="25"/>
      <c r="AB1177" s="25"/>
      <c r="AC1177" s="25"/>
      <c r="AD1177" s="25"/>
      <c r="AE1177" s="25"/>
      <c r="AF1177" s="25"/>
      <c r="AG1177" s="25"/>
      <c r="AH1177" s="25"/>
      <c r="AI1177" s="25"/>
      <c r="AJ1177" s="25"/>
      <c r="AK1177" s="25"/>
    </row>
    <row r="1178" spans="1:37">
      <c r="A1178" s="39"/>
      <c r="B1178" s="37" t="s">
        <v>6791</v>
      </c>
      <c r="C1178" s="37" t="s">
        <v>6792</v>
      </c>
      <c r="D1178" s="37" t="s">
        <v>6793</v>
      </c>
      <c r="E1178" s="37" t="s">
        <v>6794</v>
      </c>
      <c r="F1178" s="37" t="s">
        <v>6795</v>
      </c>
      <c r="G1178" s="37" t="s">
        <v>6796</v>
      </c>
      <c r="H1178" s="37"/>
      <c r="I1178" s="37" t="s">
        <v>6797</v>
      </c>
      <c r="J1178" s="37" t="s">
        <v>334</v>
      </c>
      <c r="K1178" s="40" t="s">
        <v>6798</v>
      </c>
      <c r="L1178" s="37" t="s">
        <v>64</v>
      </c>
      <c r="M1178"/>
      <c r="N1178"/>
      <c r="X1178" s="25"/>
      <c r="Y1178" s="25"/>
      <c r="Z1178" s="25"/>
      <c r="AA1178" s="25"/>
      <c r="AB1178" s="25"/>
      <c r="AC1178" s="25"/>
      <c r="AD1178" s="25"/>
      <c r="AE1178" s="25"/>
      <c r="AF1178" s="25"/>
      <c r="AG1178" s="25"/>
      <c r="AH1178" s="25"/>
      <c r="AI1178" s="25"/>
      <c r="AJ1178" s="25"/>
      <c r="AK1178" s="25"/>
    </row>
    <row r="1179" spans="1:37">
      <c r="A1179" s="39"/>
      <c r="B1179" s="37" t="s">
        <v>6799</v>
      </c>
      <c r="C1179" s="37"/>
      <c r="D1179" s="37" t="s">
        <v>238</v>
      </c>
      <c r="E1179" s="37" t="s">
        <v>2000</v>
      </c>
      <c r="F1179" s="37" t="s">
        <v>6800</v>
      </c>
      <c r="G1179" s="37" t="s">
        <v>6801</v>
      </c>
      <c r="H1179" s="37"/>
      <c r="I1179" s="37" t="s">
        <v>2826</v>
      </c>
      <c r="J1179" s="37" t="s">
        <v>498</v>
      </c>
      <c r="K1179" s="40" t="s">
        <v>6802</v>
      </c>
      <c r="L1179" s="37" t="s">
        <v>64</v>
      </c>
      <c r="M1179"/>
      <c r="N1179"/>
      <c r="X1179" s="25"/>
      <c r="Y1179" s="25"/>
      <c r="Z1179" s="25"/>
      <c r="AA1179" s="25"/>
      <c r="AB1179" s="25"/>
      <c r="AC1179" s="25"/>
      <c r="AD1179" s="25"/>
      <c r="AE1179" s="25"/>
      <c r="AF1179" s="25"/>
      <c r="AG1179" s="25"/>
      <c r="AH1179" s="25"/>
      <c r="AI1179" s="25"/>
      <c r="AJ1179" s="25"/>
      <c r="AK1179" s="25"/>
    </row>
    <row r="1180" spans="1:37">
      <c r="A1180" s="39"/>
      <c r="B1180" s="37" t="s">
        <v>6803</v>
      </c>
      <c r="C1180" s="37" t="s">
        <v>6804</v>
      </c>
      <c r="D1180" s="37" t="s">
        <v>1573</v>
      </c>
      <c r="E1180" s="37" t="s">
        <v>6805</v>
      </c>
      <c r="F1180" s="37" t="s">
        <v>6806</v>
      </c>
      <c r="G1180" s="37" t="s">
        <v>6807</v>
      </c>
      <c r="H1180" s="37"/>
      <c r="I1180" s="37" t="s">
        <v>6808</v>
      </c>
      <c r="J1180" s="37" t="s">
        <v>75</v>
      </c>
      <c r="K1180" s="40" t="s">
        <v>6809</v>
      </c>
      <c r="L1180" s="37" t="s">
        <v>64</v>
      </c>
      <c r="M1180"/>
      <c r="N1180"/>
      <c r="X1180" s="25"/>
      <c r="Y1180" s="25"/>
      <c r="Z1180" s="25"/>
      <c r="AA1180" s="25"/>
      <c r="AB1180" s="25"/>
      <c r="AC1180" s="25"/>
      <c r="AD1180" s="25"/>
      <c r="AE1180" s="25"/>
      <c r="AF1180" s="25"/>
      <c r="AG1180" s="25"/>
      <c r="AH1180" s="25"/>
      <c r="AI1180" s="25"/>
      <c r="AJ1180" s="25"/>
      <c r="AK1180" s="25"/>
    </row>
    <row r="1181" spans="1:37">
      <c r="A1181" s="39"/>
      <c r="B1181" s="37" t="s">
        <v>6810</v>
      </c>
      <c r="C1181" s="37" t="s">
        <v>6811</v>
      </c>
      <c r="D1181" s="37" t="s">
        <v>6812</v>
      </c>
      <c r="E1181" s="37" t="s">
        <v>6813</v>
      </c>
      <c r="F1181" s="37" t="s">
        <v>6814</v>
      </c>
      <c r="G1181" s="37" t="s">
        <v>6815</v>
      </c>
      <c r="H1181" s="37"/>
      <c r="I1181" s="37" t="s">
        <v>3251</v>
      </c>
      <c r="J1181" s="37" t="s">
        <v>121</v>
      </c>
      <c r="K1181" s="40" t="s">
        <v>6759</v>
      </c>
      <c r="L1181" s="37" t="s">
        <v>64</v>
      </c>
      <c r="M1181"/>
      <c r="N1181"/>
      <c r="X1181" s="25"/>
      <c r="Y1181" s="25"/>
      <c r="Z1181" s="25"/>
      <c r="AA1181" s="25"/>
      <c r="AB1181" s="25"/>
      <c r="AC1181" s="25"/>
      <c r="AD1181" s="25"/>
      <c r="AE1181" s="25"/>
      <c r="AF1181" s="25"/>
      <c r="AG1181" s="25"/>
      <c r="AH1181" s="25"/>
      <c r="AI1181" s="25"/>
      <c r="AJ1181" s="25"/>
      <c r="AK1181" s="25"/>
    </row>
    <row r="1182" spans="1:37">
      <c r="A1182" s="39"/>
      <c r="B1182" s="37" t="s">
        <v>6816</v>
      </c>
      <c r="C1182" s="37"/>
      <c r="D1182" s="37" t="s">
        <v>1538</v>
      </c>
      <c r="E1182" s="37" t="s">
        <v>6817</v>
      </c>
      <c r="F1182" s="37" t="s">
        <v>6818</v>
      </c>
      <c r="G1182" s="37" t="s">
        <v>6819</v>
      </c>
      <c r="H1182" s="37" t="s">
        <v>1775</v>
      </c>
      <c r="I1182" s="37" t="s">
        <v>3251</v>
      </c>
      <c r="J1182" s="37" t="s">
        <v>121</v>
      </c>
      <c r="K1182" s="40" t="s">
        <v>6759</v>
      </c>
      <c r="L1182" s="37" t="s">
        <v>64</v>
      </c>
      <c r="M1182"/>
      <c r="N1182"/>
      <c r="X1182" s="25"/>
      <c r="Y1182" s="25"/>
      <c r="Z1182" s="25"/>
      <c r="AA1182" s="25"/>
      <c r="AB1182" s="25"/>
      <c r="AC1182" s="25"/>
      <c r="AD1182" s="25"/>
      <c r="AE1182" s="25"/>
      <c r="AF1182" s="25"/>
      <c r="AG1182" s="25"/>
      <c r="AH1182" s="25"/>
      <c r="AI1182" s="25"/>
      <c r="AJ1182" s="25"/>
      <c r="AK1182" s="25"/>
    </row>
    <row r="1183" spans="1:37">
      <c r="A1183" s="39"/>
      <c r="B1183" s="37" t="s">
        <v>6820</v>
      </c>
      <c r="C1183" s="37" t="s">
        <v>6821</v>
      </c>
      <c r="D1183" s="37" t="s">
        <v>6822</v>
      </c>
      <c r="E1183" s="37" t="s">
        <v>6823</v>
      </c>
      <c r="F1183" s="37" t="s">
        <v>6824</v>
      </c>
      <c r="G1183" s="37" t="s">
        <v>6825</v>
      </c>
      <c r="H1183" s="37"/>
      <c r="I1183" s="37" t="s">
        <v>6826</v>
      </c>
      <c r="J1183" s="37" t="s">
        <v>153</v>
      </c>
      <c r="K1183" s="40" t="s">
        <v>6827</v>
      </c>
      <c r="L1183" s="37" t="s">
        <v>64</v>
      </c>
      <c r="M1183"/>
      <c r="N1183"/>
      <c r="X1183" s="25"/>
      <c r="Y1183" s="25"/>
      <c r="Z1183" s="25"/>
      <c r="AA1183" s="25"/>
      <c r="AB1183" s="25"/>
      <c r="AC1183" s="25"/>
      <c r="AD1183" s="25"/>
      <c r="AE1183" s="25"/>
      <c r="AF1183" s="25"/>
      <c r="AG1183" s="25"/>
      <c r="AH1183" s="25"/>
      <c r="AI1183" s="25"/>
      <c r="AJ1183" s="25"/>
      <c r="AK1183" s="25"/>
    </row>
    <row r="1184" spans="1:37">
      <c r="A1184" s="39"/>
      <c r="B1184" s="37" t="s">
        <v>6828</v>
      </c>
      <c r="C1184" s="37" t="s">
        <v>6804</v>
      </c>
      <c r="D1184" s="37" t="s">
        <v>223</v>
      </c>
      <c r="E1184" s="37" t="s">
        <v>763</v>
      </c>
      <c r="F1184" s="37" t="s">
        <v>6829</v>
      </c>
      <c r="G1184" s="37" t="s">
        <v>6830</v>
      </c>
      <c r="H1184" s="37"/>
      <c r="I1184" s="37" t="s">
        <v>6831</v>
      </c>
      <c r="J1184" s="37" t="s">
        <v>121</v>
      </c>
      <c r="K1184" s="40" t="s">
        <v>6832</v>
      </c>
      <c r="L1184" s="37" t="s">
        <v>64</v>
      </c>
      <c r="M1184"/>
      <c r="N1184"/>
      <c r="X1184" s="25"/>
      <c r="Y1184" s="25"/>
      <c r="Z1184" s="25"/>
      <c r="AA1184" s="25"/>
      <c r="AB1184" s="25"/>
      <c r="AC1184" s="25"/>
      <c r="AD1184" s="25"/>
      <c r="AE1184" s="25"/>
      <c r="AF1184" s="25"/>
      <c r="AG1184" s="25"/>
      <c r="AH1184" s="25"/>
      <c r="AI1184" s="25"/>
      <c r="AJ1184" s="25"/>
      <c r="AK1184" s="25"/>
    </row>
    <row r="1185" spans="1:37">
      <c r="A1185" s="39"/>
      <c r="B1185" s="37" t="s">
        <v>6833</v>
      </c>
      <c r="C1185" s="37"/>
      <c r="D1185" s="37" t="s">
        <v>426</v>
      </c>
      <c r="E1185" s="37" t="s">
        <v>6834</v>
      </c>
      <c r="F1185" s="37" t="s">
        <v>6835</v>
      </c>
      <c r="G1185" s="37" t="s">
        <v>6836</v>
      </c>
      <c r="H1185" s="37"/>
      <c r="I1185" s="37" t="s">
        <v>6837</v>
      </c>
      <c r="J1185" s="37" t="s">
        <v>425</v>
      </c>
      <c r="K1185" s="40" t="s">
        <v>6838</v>
      </c>
      <c r="L1185" s="37" t="s">
        <v>64</v>
      </c>
      <c r="M1185"/>
      <c r="N1185"/>
      <c r="X1185" s="25"/>
      <c r="Y1185" s="25"/>
      <c r="Z1185" s="25"/>
      <c r="AA1185" s="25"/>
      <c r="AB1185" s="25"/>
      <c r="AC1185" s="25"/>
      <c r="AD1185" s="25"/>
      <c r="AE1185" s="25"/>
      <c r="AF1185" s="25"/>
      <c r="AG1185" s="25"/>
      <c r="AH1185" s="25"/>
      <c r="AI1185" s="25"/>
      <c r="AJ1185" s="25"/>
      <c r="AK1185" s="25"/>
    </row>
    <row r="1186" spans="1:37">
      <c r="A1186" s="39"/>
      <c r="B1186" s="37" t="s">
        <v>6833</v>
      </c>
      <c r="C1186" s="37"/>
      <c r="D1186" s="37" t="s">
        <v>6839</v>
      </c>
      <c r="E1186" s="37" t="s">
        <v>6840</v>
      </c>
      <c r="F1186" s="37" t="s">
        <v>6841</v>
      </c>
      <c r="G1186" s="37" t="s">
        <v>6842</v>
      </c>
      <c r="H1186" s="37"/>
      <c r="I1186" s="37" t="s">
        <v>6843</v>
      </c>
      <c r="J1186" s="37" t="s">
        <v>425</v>
      </c>
      <c r="K1186" s="40" t="s">
        <v>6838</v>
      </c>
      <c r="L1186" s="37" t="s">
        <v>64</v>
      </c>
      <c r="M1186"/>
      <c r="N1186"/>
      <c r="X1186" s="25"/>
      <c r="Y1186" s="25"/>
      <c r="Z1186" s="25"/>
      <c r="AA1186" s="25"/>
      <c r="AB1186" s="25"/>
      <c r="AC1186" s="25"/>
      <c r="AD1186" s="25"/>
      <c r="AE1186" s="25"/>
      <c r="AF1186" s="25"/>
      <c r="AG1186" s="25"/>
      <c r="AH1186" s="25"/>
      <c r="AI1186" s="25"/>
      <c r="AJ1186" s="25"/>
      <c r="AK1186" s="25"/>
    </row>
    <row r="1187" spans="1:37">
      <c r="A1187" s="39"/>
      <c r="B1187" s="37" t="s">
        <v>6844</v>
      </c>
      <c r="C1187" s="37"/>
      <c r="D1187" s="37" t="s">
        <v>6845</v>
      </c>
      <c r="E1187" s="37" t="s">
        <v>6846</v>
      </c>
      <c r="F1187" s="37" t="s">
        <v>6847</v>
      </c>
      <c r="G1187" s="37" t="s">
        <v>6848</v>
      </c>
      <c r="H1187" s="37" t="s">
        <v>6849</v>
      </c>
      <c r="I1187" s="37" t="s">
        <v>6850</v>
      </c>
      <c r="J1187" s="37"/>
      <c r="K1187" s="40" t="s">
        <v>6851</v>
      </c>
      <c r="L1187" s="37" t="s">
        <v>6852</v>
      </c>
      <c r="M1187"/>
      <c r="N1187"/>
      <c r="X1187" s="25"/>
      <c r="Y1187" s="25"/>
      <c r="Z1187" s="25"/>
      <c r="AA1187" s="25"/>
      <c r="AB1187" s="25"/>
      <c r="AC1187" s="25"/>
      <c r="AD1187" s="25"/>
      <c r="AE1187" s="25"/>
      <c r="AF1187" s="25"/>
      <c r="AG1187" s="25"/>
      <c r="AH1187" s="25"/>
      <c r="AI1187" s="25"/>
      <c r="AJ1187" s="25"/>
      <c r="AK1187" s="25"/>
    </row>
    <row r="1188" spans="1:37">
      <c r="A1188" s="39"/>
      <c r="B1188" s="37" t="s">
        <v>6844</v>
      </c>
      <c r="C1188" s="37"/>
      <c r="D1188" s="37" t="s">
        <v>6853</v>
      </c>
      <c r="E1188" s="37" t="s">
        <v>6854</v>
      </c>
      <c r="F1188" s="37" t="s">
        <v>6855</v>
      </c>
      <c r="G1188" s="37" t="s">
        <v>6856</v>
      </c>
      <c r="H1188" s="37" t="s">
        <v>6857</v>
      </c>
      <c r="I1188" s="37" t="s">
        <v>6858</v>
      </c>
      <c r="J1188" s="37"/>
      <c r="K1188" s="40" t="s">
        <v>6851</v>
      </c>
      <c r="L1188" s="37" t="s">
        <v>6852</v>
      </c>
      <c r="M1188"/>
      <c r="N1188"/>
      <c r="X1188" s="25"/>
      <c r="Y1188" s="25"/>
      <c r="Z1188" s="25"/>
      <c r="AA1188" s="25"/>
      <c r="AB1188" s="25"/>
      <c r="AC1188" s="25"/>
      <c r="AD1188" s="25"/>
      <c r="AE1188" s="25"/>
      <c r="AF1188" s="25"/>
      <c r="AG1188" s="25"/>
      <c r="AH1188" s="25"/>
      <c r="AI1188" s="25"/>
      <c r="AJ1188" s="25"/>
      <c r="AK1188" s="25"/>
    </row>
    <row r="1189" spans="1:37">
      <c r="A1189" s="39"/>
      <c r="B1189" s="37" t="s">
        <v>6859</v>
      </c>
      <c r="C1189" s="37" t="s">
        <v>6860</v>
      </c>
      <c r="D1189" s="37" t="s">
        <v>6861</v>
      </c>
      <c r="E1189" s="37" t="s">
        <v>6862</v>
      </c>
      <c r="F1189" s="38" t="s">
        <v>5739</v>
      </c>
      <c r="G1189" s="37" t="s">
        <v>6863</v>
      </c>
      <c r="H1189" s="37" t="s">
        <v>6864</v>
      </c>
      <c r="I1189" s="37" t="s">
        <v>6865</v>
      </c>
      <c r="J1189" s="37" t="s">
        <v>200</v>
      </c>
      <c r="K1189" s="40" t="s">
        <v>6866</v>
      </c>
      <c r="L1189" s="37" t="s">
        <v>64</v>
      </c>
      <c r="M1189"/>
      <c r="N1189"/>
      <c r="X1189" s="25"/>
      <c r="Y1189" s="25"/>
      <c r="Z1189" s="25"/>
      <c r="AA1189" s="25"/>
      <c r="AB1189" s="25"/>
      <c r="AC1189" s="25"/>
      <c r="AD1189" s="25"/>
      <c r="AE1189" s="25"/>
      <c r="AF1189" s="25"/>
      <c r="AG1189" s="25"/>
      <c r="AH1189" s="25"/>
      <c r="AI1189" s="25"/>
      <c r="AJ1189" s="25"/>
      <c r="AK1189" s="25"/>
    </row>
    <row r="1190" spans="1:37">
      <c r="A1190" s="39"/>
      <c r="B1190" s="37" t="s">
        <v>6867</v>
      </c>
      <c r="C1190" s="37" t="s">
        <v>6804</v>
      </c>
      <c r="D1190" s="37" t="s">
        <v>1025</v>
      </c>
      <c r="E1190" s="37" t="s">
        <v>6868</v>
      </c>
      <c r="F1190" s="37" t="s">
        <v>6869</v>
      </c>
      <c r="G1190" s="37" t="s">
        <v>6870</v>
      </c>
      <c r="H1190" s="37"/>
      <c r="I1190" s="37" t="s">
        <v>6871</v>
      </c>
      <c r="J1190" s="37" t="s">
        <v>75</v>
      </c>
      <c r="K1190" s="40" t="s">
        <v>4769</v>
      </c>
      <c r="L1190" s="37" t="s">
        <v>64</v>
      </c>
      <c r="M1190"/>
      <c r="N1190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</row>
    <row r="1191" spans="1:37">
      <c r="A1191" s="39"/>
      <c r="B1191" s="37" t="s">
        <v>6872</v>
      </c>
      <c r="C1191" s="37"/>
      <c r="D1191" s="37" t="s">
        <v>955</v>
      </c>
      <c r="E1191" s="37" t="s">
        <v>1647</v>
      </c>
      <c r="F1191" s="37" t="s">
        <v>6873</v>
      </c>
      <c r="G1191" s="37" t="s">
        <v>6874</v>
      </c>
      <c r="H1191" s="37" t="s">
        <v>6875</v>
      </c>
      <c r="I1191" s="37" t="s">
        <v>3251</v>
      </c>
      <c r="J1191" s="37" t="s">
        <v>121</v>
      </c>
      <c r="K1191" s="40" t="s">
        <v>6759</v>
      </c>
      <c r="L1191" s="37" t="s">
        <v>64</v>
      </c>
      <c r="M1191"/>
      <c r="N1191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</row>
    <row r="1192" spans="1:37">
      <c r="A1192" s="39"/>
      <c r="B1192" s="37" t="s">
        <v>6876</v>
      </c>
      <c r="C1192" s="37" t="s">
        <v>6877</v>
      </c>
      <c r="D1192" s="37" t="s">
        <v>211</v>
      </c>
      <c r="E1192" s="37" t="s">
        <v>6878</v>
      </c>
      <c r="F1192" s="37" t="s">
        <v>6879</v>
      </c>
      <c r="G1192" s="37" t="s">
        <v>6880</v>
      </c>
      <c r="H1192" s="37" t="s">
        <v>6881</v>
      </c>
      <c r="I1192" s="37" t="s">
        <v>6882</v>
      </c>
      <c r="J1192" s="37" t="s">
        <v>200</v>
      </c>
      <c r="K1192" s="40" t="s">
        <v>1776</v>
      </c>
      <c r="L1192" s="37" t="s">
        <v>64</v>
      </c>
      <c r="M1192"/>
      <c r="N1192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</row>
    <row r="1193" spans="1:37">
      <c r="A1193" s="39"/>
      <c r="B1193" s="37" t="s">
        <v>6883</v>
      </c>
      <c r="C1193" s="37" t="s">
        <v>6884</v>
      </c>
      <c r="D1193" s="37" t="s">
        <v>6885</v>
      </c>
      <c r="E1193" s="37" t="s">
        <v>6886</v>
      </c>
      <c r="F1193" s="37" t="s">
        <v>6887</v>
      </c>
      <c r="G1193" s="37" t="s">
        <v>6888</v>
      </c>
      <c r="H1193" s="37" t="s">
        <v>6889</v>
      </c>
      <c r="I1193" s="37" t="s">
        <v>639</v>
      </c>
      <c r="J1193" s="37" t="s">
        <v>105</v>
      </c>
      <c r="K1193" s="40" t="s">
        <v>1323</v>
      </c>
      <c r="L1193" s="37" t="s">
        <v>64</v>
      </c>
      <c r="M1193"/>
      <c r="N1193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</row>
    <row r="1194" spans="1:37">
      <c r="A1194" s="39"/>
      <c r="B1194" s="37" t="s">
        <v>6883</v>
      </c>
      <c r="C1194" s="37" t="s">
        <v>6890</v>
      </c>
      <c r="D1194" s="37" t="s">
        <v>4671</v>
      </c>
      <c r="E1194" s="37" t="s">
        <v>6642</v>
      </c>
      <c r="F1194" s="37" t="s">
        <v>6891</v>
      </c>
      <c r="G1194" s="37" t="s">
        <v>6888</v>
      </c>
      <c r="H1194" s="37" t="s">
        <v>6889</v>
      </c>
      <c r="I1194" s="37" t="s">
        <v>639</v>
      </c>
      <c r="J1194" s="37" t="s">
        <v>105</v>
      </c>
      <c r="K1194" s="40" t="s">
        <v>1323</v>
      </c>
      <c r="L1194" s="37" t="s">
        <v>64</v>
      </c>
      <c r="M1194"/>
      <c r="N1194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</row>
    <row r="1195" spans="1:37">
      <c r="A1195" s="39"/>
      <c r="B1195" s="37" t="s">
        <v>6892</v>
      </c>
      <c r="C1195" s="37" t="s">
        <v>6893</v>
      </c>
      <c r="D1195" s="37" t="s">
        <v>2910</v>
      </c>
      <c r="E1195" s="37" t="s">
        <v>6894</v>
      </c>
      <c r="F1195" s="37" t="s">
        <v>6895</v>
      </c>
      <c r="G1195" s="37" t="s">
        <v>6896</v>
      </c>
      <c r="H1195" s="37"/>
      <c r="I1195" s="37" t="s">
        <v>6897</v>
      </c>
      <c r="J1195" s="37" t="s">
        <v>313</v>
      </c>
      <c r="K1195" s="40" t="s">
        <v>6898</v>
      </c>
      <c r="L1195" s="37" t="s">
        <v>64</v>
      </c>
      <c r="M1195"/>
      <c r="N119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</row>
    <row r="1196" spans="1:37">
      <c r="A1196" s="39"/>
      <c r="B1196" s="37" t="s">
        <v>6899</v>
      </c>
      <c r="C1196" s="37" t="s">
        <v>6804</v>
      </c>
      <c r="D1196" s="37" t="s">
        <v>179</v>
      </c>
      <c r="E1196" s="37" t="s">
        <v>6900</v>
      </c>
      <c r="F1196" s="37" t="s">
        <v>6901</v>
      </c>
      <c r="G1196" s="37" t="s">
        <v>6902</v>
      </c>
      <c r="H1196" s="37"/>
      <c r="I1196" s="37" t="s">
        <v>6903</v>
      </c>
      <c r="J1196" s="37" t="s">
        <v>200</v>
      </c>
      <c r="K1196" s="40" t="s">
        <v>6904</v>
      </c>
      <c r="L1196" s="37" t="s">
        <v>64</v>
      </c>
      <c r="M1196"/>
      <c r="N1196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</row>
    <row r="1197" spans="1:37">
      <c r="A1197" s="39"/>
      <c r="B1197" s="37" t="s">
        <v>6905</v>
      </c>
      <c r="C1197" s="37" t="s">
        <v>6906</v>
      </c>
      <c r="D1197" s="37" t="s">
        <v>215</v>
      </c>
      <c r="E1197" s="37" t="s">
        <v>419</v>
      </c>
      <c r="F1197" s="37" t="s">
        <v>6907</v>
      </c>
      <c r="G1197" s="37" t="s">
        <v>6908</v>
      </c>
      <c r="H1197" s="37"/>
      <c r="I1197" s="37" t="s">
        <v>6909</v>
      </c>
      <c r="J1197" s="37" t="s">
        <v>93</v>
      </c>
      <c r="K1197" s="40" t="s">
        <v>6910</v>
      </c>
      <c r="L1197" s="37" t="s">
        <v>64</v>
      </c>
      <c r="M1197"/>
      <c r="N1197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</row>
    <row r="1198" spans="1:37">
      <c r="A1198" s="39"/>
      <c r="B1198" s="37" t="s">
        <v>6911</v>
      </c>
      <c r="C1198" s="37" t="s">
        <v>6804</v>
      </c>
      <c r="D1198" s="37" t="s">
        <v>6912</v>
      </c>
      <c r="E1198" s="37" t="s">
        <v>6913</v>
      </c>
      <c r="F1198" s="37" t="s">
        <v>6914</v>
      </c>
      <c r="G1198" s="37" t="s">
        <v>6915</v>
      </c>
      <c r="H1198" s="37" t="s">
        <v>3615</v>
      </c>
      <c r="I1198" s="37" t="s">
        <v>3087</v>
      </c>
      <c r="J1198" s="37" t="s">
        <v>983</v>
      </c>
      <c r="K1198" s="40" t="s">
        <v>6916</v>
      </c>
      <c r="L1198" s="37" t="s">
        <v>64</v>
      </c>
      <c r="M1198"/>
      <c r="N1198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</row>
    <row r="1199" spans="1:37">
      <c r="A1199" s="39"/>
      <c r="B1199" s="37" t="s">
        <v>6911</v>
      </c>
      <c r="C1199" s="37" t="s">
        <v>6917</v>
      </c>
      <c r="D1199" s="37" t="s">
        <v>6918</v>
      </c>
      <c r="E1199" s="37" t="s">
        <v>6913</v>
      </c>
      <c r="F1199" s="37" t="s">
        <v>6919</v>
      </c>
      <c r="G1199" s="37" t="s">
        <v>6915</v>
      </c>
      <c r="H1199" s="37" t="s">
        <v>3615</v>
      </c>
      <c r="I1199" s="37" t="s">
        <v>3087</v>
      </c>
      <c r="J1199" s="37" t="s">
        <v>983</v>
      </c>
      <c r="K1199" s="40" t="s">
        <v>6916</v>
      </c>
      <c r="L1199" s="37" t="s">
        <v>64</v>
      </c>
      <c r="M1199"/>
      <c r="N1199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</row>
    <row r="1200" spans="1:37">
      <c r="A1200" s="39"/>
      <c r="B1200" s="37" t="s">
        <v>6920</v>
      </c>
      <c r="C1200" s="37" t="s">
        <v>6921</v>
      </c>
      <c r="D1200" s="37" t="s">
        <v>1341</v>
      </c>
      <c r="E1200" s="37" t="s">
        <v>1779</v>
      </c>
      <c r="F1200" s="37" t="s">
        <v>6922</v>
      </c>
      <c r="G1200" s="37" t="s">
        <v>6923</v>
      </c>
      <c r="H1200" s="37"/>
      <c r="I1200" s="37" t="s">
        <v>191</v>
      </c>
      <c r="J1200" s="37" t="s">
        <v>121</v>
      </c>
      <c r="K1200" s="40" t="s">
        <v>2108</v>
      </c>
      <c r="L1200" s="37" t="s">
        <v>64</v>
      </c>
      <c r="M1200"/>
      <c r="N1200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</row>
    <row r="1201" spans="1:37">
      <c r="A1201" s="39"/>
      <c r="B1201" s="37" t="s">
        <v>6924</v>
      </c>
      <c r="C1201" s="37" t="s">
        <v>6726</v>
      </c>
      <c r="D1201" s="37" t="s">
        <v>532</v>
      </c>
      <c r="E1201" s="37" t="s">
        <v>6925</v>
      </c>
      <c r="F1201" s="37" t="s">
        <v>6926</v>
      </c>
      <c r="G1201" s="37" t="s">
        <v>6927</v>
      </c>
      <c r="H1201" s="37" t="s">
        <v>430</v>
      </c>
      <c r="I1201" s="37" t="s">
        <v>120</v>
      </c>
      <c r="J1201" s="37" t="s">
        <v>121</v>
      </c>
      <c r="K1201" s="40" t="s">
        <v>6928</v>
      </c>
      <c r="L1201" s="37" t="s">
        <v>64</v>
      </c>
      <c r="M1201"/>
      <c r="N1201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</row>
    <row r="1202" spans="1:37">
      <c r="A1202" s="39"/>
      <c r="B1202" s="37" t="s">
        <v>6929</v>
      </c>
      <c r="C1202" s="37" t="s">
        <v>6930</v>
      </c>
      <c r="D1202" s="37" t="s">
        <v>6931</v>
      </c>
      <c r="E1202" s="37" t="s">
        <v>2892</v>
      </c>
      <c r="F1202" s="37" t="s">
        <v>6932</v>
      </c>
      <c r="G1202" s="37" t="s">
        <v>6933</v>
      </c>
      <c r="H1202" s="37" t="s">
        <v>1074</v>
      </c>
      <c r="I1202" s="37" t="s">
        <v>6934</v>
      </c>
      <c r="J1202" s="37" t="s">
        <v>121</v>
      </c>
      <c r="K1202" s="40" t="s">
        <v>6935</v>
      </c>
      <c r="L1202" s="37" t="s">
        <v>64</v>
      </c>
      <c r="M1202"/>
      <c r="N1202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</row>
    <row r="1203" spans="1:37">
      <c r="A1203" s="39"/>
      <c r="B1203" s="37" t="s">
        <v>6936</v>
      </c>
      <c r="C1203" s="37" t="s">
        <v>6937</v>
      </c>
      <c r="D1203" s="37" t="s">
        <v>6938</v>
      </c>
      <c r="E1203" s="37" t="s">
        <v>6939</v>
      </c>
      <c r="F1203" s="37" t="s">
        <v>6940</v>
      </c>
      <c r="G1203" s="37" t="s">
        <v>6941</v>
      </c>
      <c r="H1203" s="37"/>
      <c r="I1203" s="37" t="s">
        <v>6782</v>
      </c>
      <c r="J1203" s="37" t="s">
        <v>121</v>
      </c>
      <c r="K1203" s="40" t="s">
        <v>6783</v>
      </c>
      <c r="L1203" s="37" t="s">
        <v>64</v>
      </c>
      <c r="M1203"/>
      <c r="N1203"/>
      <c r="X1203" s="25"/>
      <c r="Y1203" s="25"/>
      <c r="Z1203" s="25"/>
      <c r="AA1203" s="25"/>
      <c r="AB1203" s="25"/>
      <c r="AC1203" s="25"/>
      <c r="AD1203" s="25"/>
      <c r="AE1203" s="25"/>
      <c r="AF1203" s="25"/>
      <c r="AG1203" s="25"/>
      <c r="AH1203" s="25"/>
      <c r="AI1203" s="25"/>
      <c r="AJ1203" s="25"/>
      <c r="AK1203" s="25"/>
    </row>
    <row r="1204" spans="1:37">
      <c r="A1204" s="39"/>
      <c r="B1204" s="37" t="s">
        <v>6942</v>
      </c>
      <c r="C1204" s="37"/>
      <c r="D1204" s="37" t="s">
        <v>6943</v>
      </c>
      <c r="E1204" s="37" t="s">
        <v>6944</v>
      </c>
      <c r="F1204" s="37" t="s">
        <v>6945</v>
      </c>
      <c r="G1204" s="37" t="s">
        <v>6946</v>
      </c>
      <c r="H1204" s="37"/>
      <c r="I1204" s="37" t="s">
        <v>639</v>
      </c>
      <c r="J1204" s="37"/>
      <c r="K1204" s="40" t="s">
        <v>1323</v>
      </c>
      <c r="L1204" s="37" t="s">
        <v>64</v>
      </c>
      <c r="M1204"/>
      <c r="N1204"/>
      <c r="X1204" s="25"/>
      <c r="Y1204" s="25"/>
      <c r="Z1204" s="25"/>
      <c r="AA1204" s="25"/>
      <c r="AB1204" s="25"/>
      <c r="AC1204" s="25"/>
      <c r="AD1204" s="25"/>
      <c r="AE1204" s="25"/>
      <c r="AF1204" s="25"/>
      <c r="AG1204" s="25"/>
      <c r="AH1204" s="25"/>
      <c r="AI1204" s="25"/>
      <c r="AJ1204" s="25"/>
      <c r="AK1204" s="25"/>
    </row>
    <row r="1205" spans="1:37">
      <c r="A1205" s="39"/>
      <c r="B1205" s="37" t="s">
        <v>6947</v>
      </c>
      <c r="C1205" s="37" t="s">
        <v>2202</v>
      </c>
      <c r="D1205" s="37" t="s">
        <v>1757</v>
      </c>
      <c r="E1205" s="37" t="s">
        <v>816</v>
      </c>
      <c r="F1205" s="37" t="s">
        <v>6948</v>
      </c>
      <c r="G1205" s="37" t="s">
        <v>6949</v>
      </c>
      <c r="H1205" s="37" t="s">
        <v>618</v>
      </c>
      <c r="I1205" s="37" t="s">
        <v>6950</v>
      </c>
      <c r="J1205" s="37" t="s">
        <v>121</v>
      </c>
      <c r="K1205" s="40" t="s">
        <v>6951</v>
      </c>
      <c r="L1205" s="37" t="s">
        <v>64</v>
      </c>
      <c r="M1205"/>
      <c r="N1205"/>
      <c r="X1205" s="25"/>
      <c r="Y1205" s="25"/>
      <c r="Z1205" s="25"/>
      <c r="AA1205" s="25"/>
      <c r="AB1205" s="25"/>
      <c r="AC1205" s="25"/>
      <c r="AD1205" s="25"/>
      <c r="AE1205" s="25"/>
      <c r="AF1205" s="25"/>
      <c r="AG1205" s="25"/>
      <c r="AH1205" s="25"/>
      <c r="AI1205" s="25"/>
      <c r="AJ1205" s="25"/>
      <c r="AK1205" s="25"/>
    </row>
    <row r="1206" spans="1:37">
      <c r="A1206" s="39"/>
      <c r="B1206" s="37" t="s">
        <v>6952</v>
      </c>
      <c r="C1206" s="37" t="s">
        <v>6953</v>
      </c>
      <c r="D1206" s="37" t="s">
        <v>6954</v>
      </c>
      <c r="E1206" s="37" t="s">
        <v>6955</v>
      </c>
      <c r="F1206" s="37" t="s">
        <v>6956</v>
      </c>
      <c r="G1206" s="37" t="s">
        <v>6957</v>
      </c>
      <c r="H1206" s="37"/>
      <c r="I1206" s="37" t="s">
        <v>6958</v>
      </c>
      <c r="J1206" s="37" t="s">
        <v>121</v>
      </c>
      <c r="K1206" s="40" t="s">
        <v>6959</v>
      </c>
      <c r="L1206" s="37" t="s">
        <v>64</v>
      </c>
      <c r="M1206"/>
      <c r="N1206"/>
      <c r="X1206" s="25"/>
      <c r="Y1206" s="25"/>
      <c r="Z1206" s="25"/>
      <c r="AA1206" s="25"/>
      <c r="AB1206" s="25"/>
      <c r="AC1206" s="25"/>
      <c r="AD1206" s="25"/>
      <c r="AE1206" s="25"/>
      <c r="AF1206" s="25"/>
      <c r="AG1206" s="25"/>
      <c r="AH1206" s="25"/>
      <c r="AI1206" s="25"/>
      <c r="AJ1206" s="25"/>
      <c r="AK1206" s="25"/>
    </row>
    <row r="1207" spans="1:37">
      <c r="A1207" s="39"/>
      <c r="B1207" s="37" t="s">
        <v>6960</v>
      </c>
      <c r="C1207" s="37" t="s">
        <v>6961</v>
      </c>
      <c r="D1207" s="37" t="s">
        <v>1975</v>
      </c>
      <c r="E1207" s="37" t="s">
        <v>6962</v>
      </c>
      <c r="F1207" s="37" t="s">
        <v>6963</v>
      </c>
      <c r="G1207" s="37" t="s">
        <v>6964</v>
      </c>
      <c r="H1207" s="37" t="s">
        <v>5189</v>
      </c>
      <c r="I1207" s="37" t="s">
        <v>6965</v>
      </c>
      <c r="J1207" s="37" t="s">
        <v>153</v>
      </c>
      <c r="K1207" s="40" t="s">
        <v>6966</v>
      </c>
      <c r="L1207" s="37" t="s">
        <v>64</v>
      </c>
      <c r="M1207"/>
      <c r="N1207"/>
      <c r="X1207" s="25"/>
      <c r="Y1207" s="25"/>
      <c r="Z1207" s="25"/>
      <c r="AA1207" s="25"/>
      <c r="AB1207" s="25"/>
      <c r="AC1207" s="25"/>
      <c r="AD1207" s="25"/>
      <c r="AE1207" s="25"/>
      <c r="AF1207" s="25"/>
      <c r="AG1207" s="25"/>
      <c r="AH1207" s="25"/>
      <c r="AI1207" s="25"/>
      <c r="AJ1207" s="25"/>
      <c r="AK1207" s="25"/>
    </row>
    <row r="1208" spans="1:37">
      <c r="A1208" s="39"/>
      <c r="B1208" s="37" t="s">
        <v>6967</v>
      </c>
      <c r="C1208" s="37" t="s">
        <v>6968</v>
      </c>
      <c r="D1208" s="37" t="s">
        <v>272</v>
      </c>
      <c r="E1208" s="37" t="s">
        <v>6969</v>
      </c>
      <c r="F1208" s="37" t="s">
        <v>6970</v>
      </c>
      <c r="G1208" s="37" t="s">
        <v>6971</v>
      </c>
      <c r="H1208" s="37" t="s">
        <v>6972</v>
      </c>
      <c r="I1208" s="37" t="s">
        <v>6973</v>
      </c>
      <c r="J1208" s="37" t="s">
        <v>200</v>
      </c>
      <c r="K1208" s="40" t="s">
        <v>6974</v>
      </c>
      <c r="L1208" s="37" t="s">
        <v>64</v>
      </c>
      <c r="M1208"/>
      <c r="N1208"/>
      <c r="X1208" s="25"/>
      <c r="Y1208" s="25"/>
      <c r="Z1208" s="25"/>
      <c r="AA1208" s="25"/>
      <c r="AB1208" s="25"/>
      <c r="AC1208" s="25"/>
      <c r="AD1208" s="25"/>
      <c r="AE1208" s="25"/>
      <c r="AF1208" s="25"/>
      <c r="AG1208" s="25"/>
      <c r="AH1208" s="25"/>
      <c r="AI1208" s="25"/>
      <c r="AJ1208" s="25"/>
      <c r="AK1208" s="25"/>
    </row>
    <row r="1209" spans="1:37">
      <c r="A1209" s="39"/>
      <c r="B1209" s="37" t="s">
        <v>6975</v>
      </c>
      <c r="C1209" s="37" t="s">
        <v>6976</v>
      </c>
      <c r="D1209" s="37" t="s">
        <v>6977</v>
      </c>
      <c r="E1209" s="37" t="s">
        <v>6978</v>
      </c>
      <c r="F1209" s="37" t="s">
        <v>6979</v>
      </c>
      <c r="G1209" s="37" t="s">
        <v>6980</v>
      </c>
      <c r="H1209" s="37" t="s">
        <v>1074</v>
      </c>
      <c r="I1209" s="37" t="s">
        <v>1641</v>
      </c>
      <c r="J1209" s="37" t="s">
        <v>574</v>
      </c>
      <c r="K1209" s="40" t="s">
        <v>6981</v>
      </c>
      <c r="L1209" s="37" t="s">
        <v>64</v>
      </c>
      <c r="M1209"/>
      <c r="N1209"/>
      <c r="X1209" s="25"/>
      <c r="Y1209" s="25"/>
      <c r="Z1209" s="25"/>
      <c r="AA1209" s="25"/>
      <c r="AB1209" s="25"/>
      <c r="AC1209" s="25"/>
      <c r="AD1209" s="25"/>
      <c r="AE1209" s="25"/>
      <c r="AF1209" s="25"/>
      <c r="AG1209" s="25"/>
      <c r="AH1209" s="25"/>
      <c r="AI1209" s="25"/>
      <c r="AJ1209" s="25"/>
      <c r="AK1209" s="25"/>
    </row>
    <row r="1210" spans="1:37">
      <c r="A1210" s="39"/>
      <c r="B1210" s="37" t="s">
        <v>6975</v>
      </c>
      <c r="C1210" s="37"/>
      <c r="D1210" s="37" t="s">
        <v>2213</v>
      </c>
      <c r="E1210" s="37" t="s">
        <v>6982</v>
      </c>
      <c r="F1210" s="37" t="s">
        <v>6983</v>
      </c>
      <c r="G1210" s="37" t="s">
        <v>6984</v>
      </c>
      <c r="H1210" s="37"/>
      <c r="I1210" s="37" t="s">
        <v>6985</v>
      </c>
      <c r="J1210" s="37" t="s">
        <v>996</v>
      </c>
      <c r="K1210" s="40" t="s">
        <v>6986</v>
      </c>
      <c r="L1210" s="37" t="s">
        <v>64</v>
      </c>
      <c r="M1210"/>
      <c r="N1210"/>
      <c r="X1210" s="25"/>
      <c r="Y1210" s="25"/>
      <c r="Z1210" s="25"/>
      <c r="AA1210" s="25"/>
      <c r="AB1210" s="25"/>
      <c r="AC1210" s="25"/>
      <c r="AD1210" s="25"/>
      <c r="AE1210" s="25"/>
      <c r="AF1210" s="25"/>
      <c r="AG1210" s="25"/>
      <c r="AH1210" s="25"/>
      <c r="AI1210" s="25"/>
      <c r="AJ1210" s="25"/>
      <c r="AK1210" s="25"/>
    </row>
    <row r="1211" spans="1:37">
      <c r="A1211" s="39"/>
      <c r="B1211" s="37" t="s">
        <v>6987</v>
      </c>
      <c r="C1211" s="37" t="s">
        <v>6917</v>
      </c>
      <c r="D1211" s="37" t="s">
        <v>6988</v>
      </c>
      <c r="E1211" s="37" t="s">
        <v>6989</v>
      </c>
      <c r="F1211" s="37" t="s">
        <v>6990</v>
      </c>
      <c r="G1211" s="37" t="s">
        <v>6991</v>
      </c>
      <c r="H1211" s="37"/>
      <c r="I1211" s="37" t="s">
        <v>6831</v>
      </c>
      <c r="J1211" s="37" t="s">
        <v>121</v>
      </c>
      <c r="K1211" s="40" t="s">
        <v>6992</v>
      </c>
      <c r="L1211" s="37" t="s">
        <v>64</v>
      </c>
      <c r="M1211"/>
      <c r="N1211"/>
      <c r="X1211" s="25"/>
      <c r="Y1211" s="25"/>
      <c r="Z1211" s="25"/>
      <c r="AA1211" s="25"/>
      <c r="AB1211" s="25"/>
      <c r="AC1211" s="25"/>
      <c r="AD1211" s="25"/>
      <c r="AE1211" s="25"/>
      <c r="AF1211" s="25"/>
      <c r="AG1211" s="25"/>
      <c r="AH1211" s="25"/>
      <c r="AI1211" s="25"/>
      <c r="AJ1211" s="25"/>
      <c r="AK1211" s="25"/>
    </row>
    <row r="1212" spans="1:37">
      <c r="A1212" s="39"/>
      <c r="B1212" s="37" t="s">
        <v>6993</v>
      </c>
      <c r="C1212" s="37" t="s">
        <v>6994</v>
      </c>
      <c r="D1212" s="37" t="s">
        <v>6995</v>
      </c>
      <c r="E1212" s="37" t="s">
        <v>6996</v>
      </c>
      <c r="F1212" s="37" t="s">
        <v>6997</v>
      </c>
      <c r="G1212" s="37" t="s">
        <v>6998</v>
      </c>
      <c r="H1212" s="37"/>
      <c r="I1212" s="37" t="s">
        <v>6999</v>
      </c>
      <c r="J1212" s="37" t="s">
        <v>320</v>
      </c>
      <c r="K1212" s="40" t="s">
        <v>7000</v>
      </c>
      <c r="L1212" s="37" t="s">
        <v>64</v>
      </c>
      <c r="M1212"/>
      <c r="N1212"/>
      <c r="X1212" s="25"/>
      <c r="Y1212" s="25"/>
      <c r="Z1212" s="25"/>
      <c r="AA1212" s="25"/>
      <c r="AB1212" s="25"/>
      <c r="AC1212" s="25"/>
      <c r="AD1212" s="25"/>
      <c r="AE1212" s="25"/>
      <c r="AF1212" s="25"/>
      <c r="AG1212" s="25"/>
      <c r="AH1212" s="25"/>
      <c r="AI1212" s="25"/>
      <c r="AJ1212" s="25"/>
      <c r="AK1212" s="25"/>
    </row>
    <row r="1213" spans="1:37">
      <c r="A1213" s="39"/>
      <c r="B1213" s="37" t="s">
        <v>7001</v>
      </c>
      <c r="C1213" s="37" t="s">
        <v>7002</v>
      </c>
      <c r="D1213" s="37" t="s">
        <v>444</v>
      </c>
      <c r="E1213" s="37" t="s">
        <v>7003</v>
      </c>
      <c r="F1213" s="37" t="s">
        <v>7004</v>
      </c>
      <c r="G1213" s="37" t="s">
        <v>7005</v>
      </c>
      <c r="H1213" s="37" t="s">
        <v>7006</v>
      </c>
      <c r="I1213" s="37" t="s">
        <v>999</v>
      </c>
      <c r="J1213" s="37" t="s">
        <v>105</v>
      </c>
      <c r="K1213" s="40" t="s">
        <v>7007</v>
      </c>
      <c r="L1213" s="37" t="s">
        <v>64</v>
      </c>
      <c r="M1213"/>
      <c r="N1213"/>
      <c r="X1213" s="25"/>
      <c r="Y1213" s="25"/>
      <c r="Z1213" s="25"/>
      <c r="AA1213" s="25"/>
      <c r="AB1213" s="25"/>
      <c r="AC1213" s="25"/>
      <c r="AD1213" s="25"/>
      <c r="AE1213" s="25"/>
      <c r="AF1213" s="25"/>
      <c r="AG1213" s="25"/>
      <c r="AH1213" s="25"/>
      <c r="AI1213" s="25"/>
      <c r="AJ1213" s="25"/>
      <c r="AK1213" s="25"/>
    </row>
    <row r="1214" spans="1:37">
      <c r="A1214" s="39"/>
      <c r="B1214" s="37" t="s">
        <v>7001</v>
      </c>
      <c r="C1214" s="37" t="s">
        <v>6917</v>
      </c>
      <c r="D1214" s="37" t="s">
        <v>861</v>
      </c>
      <c r="E1214" s="37" t="s">
        <v>7008</v>
      </c>
      <c r="F1214" s="37" t="s">
        <v>7009</v>
      </c>
      <c r="G1214" s="37" t="s">
        <v>7005</v>
      </c>
      <c r="H1214" s="37" t="s">
        <v>7006</v>
      </c>
      <c r="I1214" s="37" t="s">
        <v>999</v>
      </c>
      <c r="J1214" s="37" t="s">
        <v>105</v>
      </c>
      <c r="K1214" s="40" t="s">
        <v>7010</v>
      </c>
      <c r="L1214" s="37" t="s">
        <v>64</v>
      </c>
      <c r="M1214"/>
      <c r="N1214"/>
      <c r="X1214" s="25"/>
      <c r="Y1214" s="25"/>
      <c r="Z1214" s="25"/>
      <c r="AA1214" s="25"/>
      <c r="AB1214" s="25"/>
      <c r="AC1214" s="25"/>
      <c r="AD1214" s="25"/>
      <c r="AE1214" s="25"/>
      <c r="AF1214" s="25"/>
      <c r="AG1214" s="25"/>
      <c r="AH1214" s="25"/>
      <c r="AI1214" s="25"/>
      <c r="AJ1214" s="25"/>
      <c r="AK1214" s="25"/>
    </row>
    <row r="1215" spans="1:37">
      <c r="A1215" s="39"/>
      <c r="B1215" s="37" t="s">
        <v>7011</v>
      </c>
      <c r="C1215" s="37" t="s">
        <v>7012</v>
      </c>
      <c r="D1215" s="37" t="s">
        <v>602</v>
      </c>
      <c r="E1215" s="37" t="s">
        <v>7013</v>
      </c>
      <c r="F1215" s="37" t="s">
        <v>7014</v>
      </c>
      <c r="G1215" s="37" t="s">
        <v>7015</v>
      </c>
      <c r="H1215" s="37"/>
      <c r="I1215" s="37" t="s">
        <v>853</v>
      </c>
      <c r="J1215" s="37" t="s">
        <v>125</v>
      </c>
      <c r="K1215" s="40" t="s">
        <v>7016</v>
      </c>
      <c r="L1215" s="37" t="s">
        <v>64</v>
      </c>
      <c r="M1215"/>
      <c r="N1215"/>
      <c r="X1215" s="25"/>
      <c r="Y1215" s="25"/>
      <c r="Z1215" s="25"/>
      <c r="AA1215" s="25"/>
      <c r="AB1215" s="25"/>
      <c r="AC1215" s="25"/>
      <c r="AD1215" s="25"/>
      <c r="AE1215" s="25"/>
      <c r="AF1215" s="25"/>
      <c r="AG1215" s="25"/>
      <c r="AH1215" s="25"/>
      <c r="AI1215" s="25"/>
      <c r="AJ1215" s="25"/>
      <c r="AK1215" s="25"/>
    </row>
    <row r="1216" spans="1:37">
      <c r="A1216" s="39"/>
      <c r="B1216" s="37" t="s">
        <v>7017</v>
      </c>
      <c r="C1216" s="37" t="s">
        <v>7018</v>
      </c>
      <c r="D1216" s="37" t="s">
        <v>360</v>
      </c>
      <c r="E1216" s="37" t="s">
        <v>7019</v>
      </c>
      <c r="F1216" s="37" t="s">
        <v>7020</v>
      </c>
      <c r="G1216" s="37" t="s">
        <v>7021</v>
      </c>
      <c r="H1216" s="37" t="s">
        <v>2829</v>
      </c>
      <c r="I1216" s="37" t="s">
        <v>1641</v>
      </c>
      <c r="J1216" s="37" t="s">
        <v>574</v>
      </c>
      <c r="K1216" s="40" t="s">
        <v>7022</v>
      </c>
      <c r="L1216" s="37" t="s">
        <v>64</v>
      </c>
      <c r="M1216"/>
      <c r="N1216"/>
      <c r="X1216" s="25"/>
      <c r="Y1216" s="25"/>
      <c r="Z1216" s="25"/>
      <c r="AA1216" s="25"/>
      <c r="AB1216" s="25"/>
      <c r="AC1216" s="25"/>
      <c r="AD1216" s="25"/>
      <c r="AE1216" s="25"/>
      <c r="AF1216" s="25"/>
      <c r="AG1216" s="25"/>
      <c r="AH1216" s="25"/>
      <c r="AI1216" s="25"/>
      <c r="AJ1216" s="25"/>
      <c r="AK1216" s="25"/>
    </row>
    <row r="1217" spans="1:37">
      <c r="A1217" s="39"/>
      <c r="B1217" s="37" t="s">
        <v>7023</v>
      </c>
      <c r="C1217" s="37" t="s">
        <v>7024</v>
      </c>
      <c r="D1217" s="37" t="s">
        <v>1112</v>
      </c>
      <c r="E1217" s="37" t="s">
        <v>7025</v>
      </c>
      <c r="F1217" s="37" t="s">
        <v>7026</v>
      </c>
      <c r="G1217" s="37" t="s">
        <v>7027</v>
      </c>
      <c r="H1217" s="37"/>
      <c r="I1217" s="37" t="s">
        <v>1641</v>
      </c>
      <c r="J1217" s="37" t="s">
        <v>574</v>
      </c>
      <c r="K1217" s="40" t="s">
        <v>7022</v>
      </c>
      <c r="L1217" s="37" t="s">
        <v>64</v>
      </c>
      <c r="M1217"/>
      <c r="N1217"/>
      <c r="X1217" s="25"/>
      <c r="Y1217" s="25"/>
      <c r="Z1217" s="25"/>
      <c r="AA1217" s="25"/>
      <c r="AB1217" s="25"/>
      <c r="AC1217" s="25"/>
      <c r="AD1217" s="25"/>
      <c r="AE1217" s="25"/>
      <c r="AF1217" s="25"/>
      <c r="AG1217" s="25"/>
      <c r="AH1217" s="25"/>
      <c r="AI1217" s="25"/>
      <c r="AJ1217" s="25"/>
      <c r="AK1217" s="25"/>
    </row>
    <row r="1218" spans="1:37">
      <c r="A1218" s="39"/>
      <c r="B1218" s="37" t="s">
        <v>7028</v>
      </c>
      <c r="C1218" s="37" t="s">
        <v>7029</v>
      </c>
      <c r="D1218" s="37" t="s">
        <v>577</v>
      </c>
      <c r="E1218" s="37" t="s">
        <v>7030</v>
      </c>
      <c r="F1218" s="37" t="s">
        <v>7031</v>
      </c>
      <c r="G1218" s="37" t="s">
        <v>7032</v>
      </c>
      <c r="H1218" s="37"/>
      <c r="I1218" s="37" t="s">
        <v>7033</v>
      </c>
      <c r="J1218" s="37" t="s">
        <v>125</v>
      </c>
      <c r="K1218" s="40" t="s">
        <v>7016</v>
      </c>
      <c r="L1218" s="37" t="s">
        <v>64</v>
      </c>
      <c r="M1218"/>
      <c r="N1218"/>
      <c r="X1218" s="25"/>
      <c r="Y1218" s="25"/>
      <c r="Z1218" s="25"/>
      <c r="AA1218" s="25"/>
      <c r="AB1218" s="25"/>
      <c r="AC1218" s="25"/>
      <c r="AD1218" s="25"/>
      <c r="AE1218" s="25"/>
      <c r="AF1218" s="25"/>
      <c r="AG1218" s="25"/>
      <c r="AH1218" s="25"/>
      <c r="AI1218" s="25"/>
      <c r="AJ1218" s="25"/>
      <c r="AK1218" s="25"/>
    </row>
    <row r="1219" spans="1:37">
      <c r="A1219" s="39"/>
      <c r="B1219" s="37" t="s">
        <v>7034</v>
      </c>
      <c r="C1219" s="37" t="s">
        <v>7035</v>
      </c>
      <c r="D1219" s="37" t="s">
        <v>1284</v>
      </c>
      <c r="E1219" s="37" t="s">
        <v>7036</v>
      </c>
      <c r="F1219" s="37" t="s">
        <v>7037</v>
      </c>
      <c r="G1219" s="37" t="s">
        <v>7038</v>
      </c>
      <c r="H1219" s="37"/>
      <c r="I1219" s="37" t="s">
        <v>7039</v>
      </c>
      <c r="J1219" s="37" t="s">
        <v>121</v>
      </c>
      <c r="K1219" s="40" t="s">
        <v>7040</v>
      </c>
      <c r="L1219" s="37" t="s">
        <v>64</v>
      </c>
      <c r="M1219"/>
      <c r="N1219"/>
      <c r="X1219" s="25"/>
      <c r="Y1219" s="25"/>
      <c r="Z1219" s="25"/>
      <c r="AA1219" s="25"/>
      <c r="AB1219" s="25"/>
      <c r="AC1219" s="25"/>
      <c r="AD1219" s="25"/>
      <c r="AE1219" s="25"/>
      <c r="AF1219" s="25"/>
      <c r="AG1219" s="25"/>
      <c r="AH1219" s="25"/>
      <c r="AI1219" s="25"/>
      <c r="AJ1219" s="25"/>
      <c r="AK1219" s="25"/>
    </row>
    <row r="1220" spans="1:37">
      <c r="A1220" s="39"/>
      <c r="B1220" s="37" t="s">
        <v>7034</v>
      </c>
      <c r="C1220" s="37" t="s">
        <v>7041</v>
      </c>
      <c r="D1220" s="37" t="s">
        <v>7042</v>
      </c>
      <c r="E1220" s="37" t="s">
        <v>7043</v>
      </c>
      <c r="F1220" s="37" t="s">
        <v>7044</v>
      </c>
      <c r="G1220" s="37" t="s">
        <v>7045</v>
      </c>
      <c r="H1220" s="37"/>
      <c r="I1220" s="37" t="s">
        <v>3319</v>
      </c>
      <c r="J1220" s="37" t="s">
        <v>1851</v>
      </c>
      <c r="K1220" s="40" t="s">
        <v>7046</v>
      </c>
      <c r="L1220" s="37" t="s">
        <v>64</v>
      </c>
      <c r="M1220"/>
      <c r="N1220"/>
      <c r="X1220" s="25"/>
      <c r="Y1220" s="25"/>
      <c r="Z1220" s="25"/>
      <c r="AA1220" s="25"/>
      <c r="AB1220" s="25"/>
      <c r="AC1220" s="25"/>
      <c r="AD1220" s="25"/>
      <c r="AE1220" s="25"/>
      <c r="AF1220" s="25"/>
      <c r="AG1220" s="25"/>
      <c r="AH1220" s="25"/>
      <c r="AI1220" s="25"/>
      <c r="AJ1220" s="25"/>
      <c r="AK1220" s="25"/>
    </row>
    <row r="1221" spans="1:37">
      <c r="A1221" s="39"/>
      <c r="B1221" s="37" t="s">
        <v>7047</v>
      </c>
      <c r="C1221" s="37" t="s">
        <v>6771</v>
      </c>
      <c r="D1221" s="37" t="s">
        <v>921</v>
      </c>
      <c r="E1221" s="37" t="s">
        <v>7048</v>
      </c>
      <c r="F1221" s="37" t="s">
        <v>7049</v>
      </c>
      <c r="G1221" s="37" t="s">
        <v>7050</v>
      </c>
      <c r="H1221" s="37" t="s">
        <v>7051</v>
      </c>
      <c r="I1221" s="37" t="s">
        <v>926</v>
      </c>
      <c r="J1221" s="37" t="s">
        <v>369</v>
      </c>
      <c r="K1221" s="40" t="s">
        <v>7052</v>
      </c>
      <c r="L1221" s="37" t="s">
        <v>64</v>
      </c>
      <c r="M1221"/>
      <c r="N1221"/>
      <c r="X1221" s="25"/>
      <c r="Y1221" s="25"/>
      <c r="Z1221" s="25"/>
      <c r="AA1221" s="25"/>
      <c r="AB1221" s="25"/>
      <c r="AC1221" s="25"/>
      <c r="AD1221" s="25"/>
      <c r="AE1221" s="25"/>
      <c r="AF1221" s="25"/>
      <c r="AG1221" s="25"/>
      <c r="AH1221" s="25"/>
      <c r="AI1221" s="25"/>
      <c r="AJ1221" s="25"/>
      <c r="AK1221" s="25"/>
    </row>
    <row r="1222" spans="1:37">
      <c r="A1222" s="39"/>
      <c r="B1222" s="37" t="s">
        <v>7053</v>
      </c>
      <c r="C1222" s="37" t="s">
        <v>7054</v>
      </c>
      <c r="D1222" s="37" t="s">
        <v>555</v>
      </c>
      <c r="E1222" s="37" t="s">
        <v>7055</v>
      </c>
      <c r="F1222" s="37" t="s">
        <v>7056</v>
      </c>
      <c r="G1222" s="37" t="s">
        <v>7057</v>
      </c>
      <c r="H1222" s="37"/>
      <c r="I1222" s="37" t="s">
        <v>3251</v>
      </c>
      <c r="J1222" s="37" t="s">
        <v>121</v>
      </c>
      <c r="K1222" s="40" t="s">
        <v>4968</v>
      </c>
      <c r="L1222" s="37" t="s">
        <v>64</v>
      </c>
      <c r="M1222"/>
      <c r="N1222"/>
      <c r="X1222" s="25"/>
      <c r="Y1222" s="25"/>
      <c r="Z1222" s="25"/>
      <c r="AA1222" s="25"/>
      <c r="AB1222" s="25"/>
      <c r="AC1222" s="25"/>
      <c r="AD1222" s="25"/>
      <c r="AE1222" s="25"/>
      <c r="AF1222" s="25"/>
      <c r="AG1222" s="25"/>
      <c r="AH1222" s="25"/>
      <c r="AI1222" s="25"/>
      <c r="AJ1222" s="25"/>
      <c r="AK1222" s="25"/>
    </row>
    <row r="1223" spans="1:37">
      <c r="A1223" s="39"/>
      <c r="B1223" s="37" t="s">
        <v>7058</v>
      </c>
      <c r="C1223" s="37"/>
      <c r="D1223" s="37" t="s">
        <v>2057</v>
      </c>
      <c r="E1223" s="37" t="s">
        <v>7059</v>
      </c>
      <c r="F1223" s="37" t="s">
        <v>7060</v>
      </c>
      <c r="G1223" s="37" t="s">
        <v>7061</v>
      </c>
      <c r="H1223" s="37" t="s">
        <v>7062</v>
      </c>
      <c r="I1223" s="37" t="s">
        <v>7063</v>
      </c>
      <c r="J1223" s="37" t="s">
        <v>121</v>
      </c>
      <c r="K1223" s="40" t="s">
        <v>7064</v>
      </c>
      <c r="L1223" s="37" t="s">
        <v>64</v>
      </c>
      <c r="M1223"/>
      <c r="N1223"/>
      <c r="X1223" s="25"/>
      <c r="Y1223" s="25"/>
      <c r="Z1223" s="25"/>
      <c r="AA1223" s="25"/>
      <c r="AB1223" s="25"/>
      <c r="AC1223" s="25"/>
      <c r="AD1223" s="25"/>
      <c r="AE1223" s="25"/>
      <c r="AF1223" s="25"/>
      <c r="AG1223" s="25"/>
      <c r="AH1223" s="25"/>
      <c r="AI1223" s="25"/>
      <c r="AJ1223" s="25"/>
      <c r="AK1223" s="25"/>
    </row>
    <row r="1224" spans="1:37">
      <c r="A1224" s="39"/>
      <c r="B1224" s="37" t="s">
        <v>7053</v>
      </c>
      <c r="C1224" s="37"/>
      <c r="D1224" s="37" t="s">
        <v>7065</v>
      </c>
      <c r="E1224" s="37" t="s">
        <v>1647</v>
      </c>
      <c r="F1224" s="37" t="s">
        <v>7066</v>
      </c>
      <c r="G1224" s="37" t="s">
        <v>7067</v>
      </c>
      <c r="H1224" s="37"/>
      <c r="I1224" s="37" t="s">
        <v>6831</v>
      </c>
      <c r="J1224" s="37" t="s">
        <v>121</v>
      </c>
      <c r="K1224" s="40" t="s">
        <v>7064</v>
      </c>
      <c r="L1224" s="37" t="s">
        <v>64</v>
      </c>
      <c r="M1224"/>
      <c r="N1224"/>
      <c r="X1224" s="25"/>
      <c r="Y1224" s="25"/>
      <c r="Z1224" s="25"/>
      <c r="AA1224" s="25"/>
      <c r="AB1224" s="25"/>
      <c r="AC1224" s="25"/>
      <c r="AD1224" s="25"/>
      <c r="AE1224" s="25"/>
      <c r="AF1224" s="26"/>
      <c r="AG1224" s="25"/>
      <c r="AH1224" s="25"/>
      <c r="AI1224" s="25"/>
      <c r="AJ1224" s="25"/>
      <c r="AK1224" s="25"/>
    </row>
    <row r="1225" spans="1:37">
      <c r="A1225" s="39"/>
      <c r="B1225" s="37" t="s">
        <v>7068</v>
      </c>
      <c r="C1225" s="37" t="s">
        <v>7069</v>
      </c>
      <c r="D1225" s="37" t="s">
        <v>791</v>
      </c>
      <c r="E1225" s="37" t="s">
        <v>1647</v>
      </c>
      <c r="F1225" s="37" t="s">
        <v>7070</v>
      </c>
      <c r="G1225" s="37" t="s">
        <v>7071</v>
      </c>
      <c r="H1225" s="37"/>
      <c r="I1225" s="37" t="s">
        <v>518</v>
      </c>
      <c r="J1225" s="37" t="s">
        <v>114</v>
      </c>
      <c r="K1225" s="40" t="s">
        <v>5656</v>
      </c>
      <c r="L1225" s="37" t="s">
        <v>64</v>
      </c>
      <c r="M1225"/>
      <c r="N1225"/>
      <c r="X1225" s="25"/>
      <c r="Y1225" s="25"/>
      <c r="Z1225" s="25"/>
      <c r="AA1225" s="25"/>
      <c r="AB1225" s="25"/>
      <c r="AC1225" s="25"/>
      <c r="AD1225" s="25"/>
      <c r="AE1225" s="25"/>
      <c r="AF1225" s="25"/>
      <c r="AG1225" s="25"/>
      <c r="AH1225" s="25"/>
      <c r="AI1225" s="25"/>
      <c r="AJ1225" s="25"/>
      <c r="AK1225" s="25"/>
    </row>
    <row r="1226" spans="1:37">
      <c r="A1226" s="39"/>
      <c r="B1226" s="37" t="s">
        <v>7068</v>
      </c>
      <c r="C1226" s="37" t="s">
        <v>7072</v>
      </c>
      <c r="D1226" s="37" t="s">
        <v>854</v>
      </c>
      <c r="E1226" s="37" t="s">
        <v>7073</v>
      </c>
      <c r="F1226" s="37" t="s">
        <v>7074</v>
      </c>
      <c r="G1226" s="37" t="s">
        <v>7071</v>
      </c>
      <c r="H1226" s="37"/>
      <c r="I1226" s="37" t="s">
        <v>518</v>
      </c>
      <c r="J1226" s="37" t="s">
        <v>114</v>
      </c>
      <c r="K1226" s="40" t="s">
        <v>5656</v>
      </c>
      <c r="L1226" s="37" t="s">
        <v>64</v>
      </c>
      <c r="M1226"/>
      <c r="N1226"/>
      <c r="X1226" s="25"/>
      <c r="Y1226" s="25"/>
      <c r="Z1226" s="25"/>
      <c r="AA1226" s="25"/>
      <c r="AB1226" s="25"/>
      <c r="AC1226" s="25"/>
      <c r="AD1226" s="25"/>
      <c r="AE1226" s="25"/>
      <c r="AF1226" s="25"/>
      <c r="AG1226" s="25"/>
      <c r="AH1226" s="25"/>
      <c r="AI1226" s="25"/>
      <c r="AJ1226" s="25"/>
      <c r="AK1226" s="25"/>
    </row>
    <row r="1227" spans="1:37">
      <c r="A1227" s="39"/>
      <c r="B1227" s="37" t="s">
        <v>7075</v>
      </c>
      <c r="C1227" s="37"/>
      <c r="D1227" s="37" t="s">
        <v>7076</v>
      </c>
      <c r="E1227" s="37" t="s">
        <v>7077</v>
      </c>
      <c r="F1227" s="38" t="s">
        <v>5739</v>
      </c>
      <c r="G1227" s="37" t="s">
        <v>7078</v>
      </c>
      <c r="H1227" s="37"/>
      <c r="I1227" s="37" t="s">
        <v>7079</v>
      </c>
      <c r="J1227" s="37" t="s">
        <v>75</v>
      </c>
      <c r="K1227" s="40" t="s">
        <v>7080</v>
      </c>
      <c r="L1227" s="37" t="s">
        <v>64</v>
      </c>
      <c r="M1227"/>
      <c r="N1227"/>
      <c r="X1227" s="25"/>
      <c r="Y1227" s="25"/>
      <c r="Z1227" s="25"/>
      <c r="AA1227" s="25"/>
      <c r="AB1227" s="25"/>
      <c r="AC1227" s="25"/>
      <c r="AD1227" s="25"/>
      <c r="AE1227" s="25"/>
      <c r="AF1227" s="25"/>
      <c r="AG1227" s="25"/>
      <c r="AH1227" s="25"/>
      <c r="AI1227" s="25"/>
      <c r="AJ1227" s="25"/>
      <c r="AK1227" s="25"/>
    </row>
    <row r="1228" spans="1:37">
      <c r="A1228" s="39"/>
      <c r="B1228" s="37" t="s">
        <v>7081</v>
      </c>
      <c r="C1228" s="37"/>
      <c r="D1228" s="37" t="s">
        <v>555</v>
      </c>
      <c r="E1228" s="37" t="s">
        <v>6694</v>
      </c>
      <c r="F1228" s="37" t="s">
        <v>7082</v>
      </c>
      <c r="G1228" s="37" t="s">
        <v>7083</v>
      </c>
      <c r="H1228" s="37"/>
      <c r="I1228" s="37" t="s">
        <v>4087</v>
      </c>
      <c r="J1228" s="37" t="s">
        <v>75</v>
      </c>
      <c r="K1228" s="40" t="s">
        <v>6429</v>
      </c>
      <c r="L1228" s="37" t="s">
        <v>64</v>
      </c>
      <c r="M1228"/>
      <c r="N1228"/>
      <c r="X1228" s="25"/>
      <c r="Y1228" s="25"/>
      <c r="Z1228" s="25"/>
      <c r="AA1228" s="25"/>
      <c r="AB1228" s="25"/>
      <c r="AC1228" s="25"/>
      <c r="AD1228" s="25"/>
      <c r="AE1228" s="25"/>
      <c r="AF1228" s="25"/>
      <c r="AG1228" s="25"/>
      <c r="AH1228" s="25"/>
      <c r="AI1228" s="25"/>
      <c r="AJ1228" s="25"/>
      <c r="AK1228" s="25"/>
    </row>
    <row r="1229" spans="1:37">
      <c r="A1229" s="39"/>
      <c r="B1229" s="37" t="s">
        <v>7084</v>
      </c>
      <c r="C1229" s="37" t="s">
        <v>7085</v>
      </c>
      <c r="D1229" s="37" t="s">
        <v>4587</v>
      </c>
      <c r="E1229" s="37" t="s">
        <v>7086</v>
      </c>
      <c r="F1229" s="37" t="s">
        <v>7087</v>
      </c>
      <c r="G1229" s="37" t="s">
        <v>7088</v>
      </c>
      <c r="H1229" s="37" t="s">
        <v>7089</v>
      </c>
      <c r="I1229" s="37" t="s">
        <v>1641</v>
      </c>
      <c r="J1229" s="37" t="s">
        <v>574</v>
      </c>
      <c r="K1229" s="40" t="s">
        <v>7022</v>
      </c>
      <c r="L1229" s="37" t="s">
        <v>64</v>
      </c>
      <c r="M1229"/>
      <c r="N1229"/>
      <c r="X1229" s="25"/>
      <c r="Y1229" s="25"/>
      <c r="Z1229" s="25"/>
      <c r="AA1229" s="25"/>
      <c r="AB1229" s="25"/>
      <c r="AC1229" s="25"/>
      <c r="AD1229" s="25"/>
      <c r="AE1229" s="25"/>
      <c r="AF1229" s="25"/>
      <c r="AG1229" s="25"/>
      <c r="AH1229" s="25"/>
      <c r="AI1229" s="25"/>
      <c r="AJ1229" s="25"/>
      <c r="AK1229" s="25"/>
    </row>
    <row r="1230" spans="1:37">
      <c r="A1230" s="39"/>
      <c r="B1230" s="37" t="s">
        <v>7084</v>
      </c>
      <c r="C1230" s="37" t="s">
        <v>7090</v>
      </c>
      <c r="D1230" s="37" t="s">
        <v>4127</v>
      </c>
      <c r="E1230" s="37" t="s">
        <v>7086</v>
      </c>
      <c r="F1230" s="37" t="s">
        <v>7091</v>
      </c>
      <c r="G1230" s="37" t="s">
        <v>7088</v>
      </c>
      <c r="H1230" s="37" t="s">
        <v>7089</v>
      </c>
      <c r="I1230" s="37" t="s">
        <v>1641</v>
      </c>
      <c r="J1230" s="37" t="s">
        <v>574</v>
      </c>
      <c r="K1230" s="40" t="s">
        <v>7022</v>
      </c>
      <c r="L1230" s="37" t="s">
        <v>64</v>
      </c>
      <c r="M1230"/>
      <c r="N1230"/>
      <c r="X1230" s="25"/>
      <c r="Y1230" s="25"/>
      <c r="Z1230" s="25"/>
      <c r="AA1230" s="25"/>
      <c r="AB1230" s="25"/>
      <c r="AC1230" s="25"/>
      <c r="AD1230" s="25"/>
      <c r="AE1230" s="25"/>
      <c r="AF1230" s="25"/>
      <c r="AG1230" s="25"/>
      <c r="AH1230" s="25"/>
      <c r="AI1230" s="25"/>
      <c r="AJ1230" s="25"/>
      <c r="AK1230" s="25"/>
    </row>
    <row r="1231" spans="1:37">
      <c r="A1231" s="39"/>
      <c r="B1231" s="37" t="s">
        <v>7084</v>
      </c>
      <c r="C1231" s="37" t="s">
        <v>6771</v>
      </c>
      <c r="D1231" s="37" t="s">
        <v>7092</v>
      </c>
      <c r="E1231" s="37" t="s">
        <v>7093</v>
      </c>
      <c r="F1231" s="37" t="s">
        <v>7094</v>
      </c>
      <c r="G1231" s="37" t="s">
        <v>7088</v>
      </c>
      <c r="H1231" s="37" t="s">
        <v>7089</v>
      </c>
      <c r="I1231" s="37" t="s">
        <v>1641</v>
      </c>
      <c r="J1231" s="37" t="s">
        <v>574</v>
      </c>
      <c r="K1231" s="40" t="s">
        <v>7022</v>
      </c>
      <c r="L1231" s="37" t="s">
        <v>64</v>
      </c>
      <c r="M1231"/>
      <c r="N1231"/>
      <c r="X1231" s="25"/>
      <c r="Y1231" s="25"/>
      <c r="Z1231" s="25"/>
      <c r="AA1231" s="25"/>
      <c r="AB1231" s="25"/>
      <c r="AC1231" s="25"/>
      <c r="AD1231" s="25"/>
      <c r="AE1231" s="25"/>
      <c r="AF1231" s="25"/>
      <c r="AG1231" s="25"/>
      <c r="AH1231" s="25"/>
      <c r="AI1231" s="25"/>
      <c r="AJ1231" s="25"/>
      <c r="AK1231" s="25"/>
    </row>
    <row r="1232" spans="1:37">
      <c r="A1232" s="39"/>
      <c r="B1232" s="37" t="s">
        <v>7095</v>
      </c>
      <c r="C1232" s="37" t="s">
        <v>7096</v>
      </c>
      <c r="D1232" s="37" t="s">
        <v>995</v>
      </c>
      <c r="E1232" s="37" t="s">
        <v>7097</v>
      </c>
      <c r="F1232" s="37" t="s">
        <v>7098</v>
      </c>
      <c r="G1232" s="37" t="s">
        <v>7099</v>
      </c>
      <c r="H1232" s="37"/>
      <c r="I1232" s="37" t="s">
        <v>7100</v>
      </c>
      <c r="J1232" s="37" t="s">
        <v>475</v>
      </c>
      <c r="K1232" s="40" t="s">
        <v>7101</v>
      </c>
      <c r="L1232" s="37" t="s">
        <v>64</v>
      </c>
      <c r="M1232"/>
      <c r="N1232"/>
      <c r="X1232" s="25"/>
      <c r="Y1232" s="25"/>
      <c r="Z1232" s="25"/>
      <c r="AA1232" s="25"/>
      <c r="AB1232" s="25"/>
      <c r="AC1232" s="25"/>
      <c r="AD1232" s="25"/>
      <c r="AE1232" s="25"/>
      <c r="AF1232" s="25"/>
      <c r="AG1232" s="25"/>
      <c r="AH1232" s="25"/>
      <c r="AI1232" s="25"/>
      <c r="AJ1232" s="25"/>
      <c r="AK1232" s="25"/>
    </row>
    <row r="1233" spans="1:37">
      <c r="A1233" s="39"/>
      <c r="B1233" s="37" t="s">
        <v>7102</v>
      </c>
      <c r="C1233" s="37" t="s">
        <v>6804</v>
      </c>
      <c r="D1233" s="37" t="s">
        <v>1129</v>
      </c>
      <c r="E1233" s="37" t="s">
        <v>3285</v>
      </c>
      <c r="F1233" s="37" t="s">
        <v>7103</v>
      </c>
      <c r="G1233" s="37" t="s">
        <v>7104</v>
      </c>
      <c r="H1233" s="37" t="s">
        <v>2243</v>
      </c>
      <c r="I1233" s="37" t="s">
        <v>7105</v>
      </c>
      <c r="J1233" s="37" t="s">
        <v>121</v>
      </c>
      <c r="K1233" s="40" t="s">
        <v>6472</v>
      </c>
      <c r="L1233" s="37" t="s">
        <v>64</v>
      </c>
      <c r="M1233"/>
      <c r="N1233"/>
      <c r="X1233" s="25"/>
      <c r="Y1233" s="25"/>
      <c r="Z1233" s="25"/>
      <c r="AA1233" s="25"/>
      <c r="AB1233" s="25"/>
      <c r="AC1233" s="25"/>
      <c r="AD1233" s="25"/>
      <c r="AE1233" s="25"/>
      <c r="AF1233" s="25"/>
      <c r="AG1233" s="25"/>
      <c r="AH1233" s="25"/>
      <c r="AI1233" s="25"/>
      <c r="AJ1233" s="25"/>
      <c r="AK1233" s="25"/>
    </row>
    <row r="1234" spans="1:37">
      <c r="A1234" s="39"/>
      <c r="B1234" s="37" t="s">
        <v>7106</v>
      </c>
      <c r="C1234" s="37" t="s">
        <v>7107</v>
      </c>
      <c r="D1234" s="37" t="s">
        <v>2444</v>
      </c>
      <c r="E1234" s="37" t="s">
        <v>1306</v>
      </c>
      <c r="F1234" s="37" t="s">
        <v>7108</v>
      </c>
      <c r="G1234" s="37" t="s">
        <v>7109</v>
      </c>
      <c r="H1234" s="37" t="s">
        <v>2243</v>
      </c>
      <c r="I1234" s="37" t="s">
        <v>7105</v>
      </c>
      <c r="J1234" s="37" t="s">
        <v>121</v>
      </c>
      <c r="K1234" s="40" t="s">
        <v>6472</v>
      </c>
      <c r="L1234" s="37" t="s">
        <v>64</v>
      </c>
      <c r="M1234"/>
      <c r="N1234"/>
      <c r="X1234" s="25"/>
      <c r="Y1234" s="25"/>
      <c r="Z1234" s="25"/>
      <c r="AA1234" s="25"/>
      <c r="AB1234" s="25"/>
      <c r="AC1234" s="25"/>
      <c r="AD1234" s="25"/>
      <c r="AE1234" s="25"/>
      <c r="AF1234" s="25"/>
      <c r="AG1234" s="25"/>
      <c r="AH1234" s="25"/>
      <c r="AI1234" s="25"/>
      <c r="AJ1234" s="25"/>
      <c r="AK1234" s="25"/>
    </row>
    <row r="1235" spans="1:37">
      <c r="A1235" s="39"/>
      <c r="B1235" s="37" t="s">
        <v>7110</v>
      </c>
      <c r="C1235" s="37" t="s">
        <v>7111</v>
      </c>
      <c r="D1235" s="37" t="s">
        <v>286</v>
      </c>
      <c r="E1235" s="37" t="s">
        <v>7112</v>
      </c>
      <c r="F1235" s="37" t="s">
        <v>7113</v>
      </c>
      <c r="G1235" s="37" t="s">
        <v>7114</v>
      </c>
      <c r="H1235" s="37"/>
      <c r="I1235" s="37" t="s">
        <v>7115</v>
      </c>
      <c r="J1235" s="37" t="s">
        <v>75</v>
      </c>
      <c r="K1235" s="40" t="s">
        <v>7116</v>
      </c>
      <c r="L1235" s="37" t="s">
        <v>64</v>
      </c>
      <c r="M1235"/>
      <c r="N1235"/>
      <c r="X1235" s="25"/>
      <c r="Y1235" s="25"/>
      <c r="Z1235" s="25"/>
      <c r="AA1235" s="25"/>
      <c r="AB1235" s="25"/>
      <c r="AC1235" s="25"/>
      <c r="AD1235" s="25"/>
      <c r="AE1235" s="25"/>
      <c r="AF1235" s="25"/>
      <c r="AG1235" s="25"/>
      <c r="AH1235" s="25"/>
      <c r="AI1235" s="25"/>
      <c r="AJ1235" s="25"/>
      <c r="AK1235" s="25"/>
    </row>
    <row r="1236" spans="1:37">
      <c r="A1236" s="39"/>
      <c r="B1236" s="37" t="s">
        <v>7117</v>
      </c>
      <c r="C1236" s="37" t="s">
        <v>6804</v>
      </c>
      <c r="D1236" s="37" t="s">
        <v>229</v>
      </c>
      <c r="E1236" s="37" t="s">
        <v>7118</v>
      </c>
      <c r="F1236" s="37" t="s">
        <v>7119</v>
      </c>
      <c r="G1236" s="37" t="s">
        <v>7120</v>
      </c>
      <c r="H1236" s="37"/>
      <c r="I1236" s="37" t="s">
        <v>312</v>
      </c>
      <c r="J1236" s="37" t="s">
        <v>313</v>
      </c>
      <c r="K1236" s="40" t="s">
        <v>7121</v>
      </c>
      <c r="L1236" s="37" t="s">
        <v>64</v>
      </c>
      <c r="M1236"/>
      <c r="N1236"/>
      <c r="X1236" s="25"/>
      <c r="Y1236" s="25"/>
      <c r="Z1236" s="25"/>
      <c r="AA1236" s="25"/>
      <c r="AB1236" s="25"/>
      <c r="AC1236" s="25"/>
      <c r="AD1236" s="25"/>
      <c r="AE1236" s="25"/>
      <c r="AF1236" s="25"/>
      <c r="AG1236" s="25"/>
      <c r="AH1236" s="25"/>
      <c r="AI1236" s="25"/>
      <c r="AJ1236" s="25"/>
      <c r="AK1236" s="25"/>
    </row>
    <row r="1237" spans="1:37">
      <c r="A1237" s="39"/>
      <c r="B1237" s="37" t="s">
        <v>7117</v>
      </c>
      <c r="C1237" s="37" t="s">
        <v>7122</v>
      </c>
      <c r="D1237" s="37" t="s">
        <v>2611</v>
      </c>
      <c r="E1237" s="37" t="s">
        <v>7123</v>
      </c>
      <c r="F1237" s="37" t="s">
        <v>7124</v>
      </c>
      <c r="G1237" s="37" t="s">
        <v>7120</v>
      </c>
      <c r="H1237" s="37"/>
      <c r="I1237" s="37" t="s">
        <v>312</v>
      </c>
      <c r="J1237" s="37" t="s">
        <v>313</v>
      </c>
      <c r="K1237" s="40" t="s">
        <v>7125</v>
      </c>
      <c r="L1237" s="37" t="s">
        <v>64</v>
      </c>
      <c r="M1237"/>
      <c r="N1237"/>
      <c r="X1237" s="25"/>
      <c r="Y1237" s="25"/>
      <c r="Z1237" s="25"/>
      <c r="AA1237" s="25"/>
      <c r="AB1237" s="25"/>
      <c r="AC1237" s="25"/>
      <c r="AD1237" s="25"/>
      <c r="AE1237" s="25"/>
      <c r="AF1237" s="25"/>
      <c r="AG1237" s="25"/>
      <c r="AH1237" s="25"/>
      <c r="AI1237" s="25"/>
      <c r="AJ1237" s="25"/>
      <c r="AK1237" s="25"/>
    </row>
    <row r="1238" spans="1:37">
      <c r="A1238" s="39"/>
      <c r="B1238" s="37" t="s">
        <v>7126</v>
      </c>
      <c r="C1238" s="37" t="s">
        <v>7127</v>
      </c>
      <c r="D1238" s="37" t="s">
        <v>229</v>
      </c>
      <c r="E1238" s="37" t="s">
        <v>7128</v>
      </c>
      <c r="F1238" s="37" t="s">
        <v>7129</v>
      </c>
      <c r="G1238" s="37" t="s">
        <v>7130</v>
      </c>
      <c r="H1238" s="37"/>
      <c r="I1238" s="37" t="s">
        <v>7131</v>
      </c>
      <c r="J1238" s="37" t="s">
        <v>7132</v>
      </c>
      <c r="K1238" s="40" t="s">
        <v>7133</v>
      </c>
      <c r="L1238" s="37" t="s">
        <v>64</v>
      </c>
      <c r="M1238"/>
      <c r="N1238"/>
      <c r="X1238" s="25"/>
      <c r="Y1238" s="25"/>
      <c r="Z1238" s="25"/>
      <c r="AA1238" s="25"/>
      <c r="AB1238" s="25"/>
      <c r="AC1238" s="25"/>
      <c r="AD1238" s="25"/>
      <c r="AE1238" s="25"/>
      <c r="AF1238" s="25"/>
      <c r="AG1238" s="25"/>
      <c r="AH1238" s="25"/>
      <c r="AI1238" s="25"/>
      <c r="AJ1238" s="25"/>
      <c r="AK1238" s="25"/>
    </row>
    <row r="1239" spans="1:37">
      <c r="A1239" s="39"/>
      <c r="B1239" s="37" t="s">
        <v>7134</v>
      </c>
      <c r="C1239" s="37" t="s">
        <v>7135</v>
      </c>
      <c r="D1239" s="37" t="s">
        <v>7136</v>
      </c>
      <c r="E1239" s="37" t="s">
        <v>7137</v>
      </c>
      <c r="F1239" s="37" t="s">
        <v>7138</v>
      </c>
      <c r="G1239" s="37" t="s">
        <v>7139</v>
      </c>
      <c r="H1239" s="37" t="s">
        <v>982</v>
      </c>
      <c r="I1239" s="37" t="s">
        <v>999</v>
      </c>
      <c r="J1239" s="37" t="s">
        <v>105</v>
      </c>
      <c r="K1239" s="40" t="s">
        <v>7007</v>
      </c>
      <c r="L1239" s="37" t="s">
        <v>64</v>
      </c>
      <c r="M1239"/>
      <c r="N1239"/>
      <c r="X1239" s="25"/>
      <c r="Y1239" s="25"/>
      <c r="Z1239" s="25"/>
      <c r="AA1239" s="25"/>
      <c r="AB1239" s="25"/>
      <c r="AC1239" s="25"/>
      <c r="AD1239" s="25"/>
      <c r="AE1239" s="25"/>
      <c r="AF1239" s="25"/>
      <c r="AG1239" s="25"/>
      <c r="AH1239" s="25"/>
      <c r="AI1239" s="25"/>
      <c r="AJ1239" s="25"/>
      <c r="AK1239" s="25"/>
    </row>
    <row r="1240" spans="1:37">
      <c r="A1240" s="39"/>
      <c r="B1240" s="37" t="s">
        <v>7140</v>
      </c>
      <c r="C1240" s="37" t="s">
        <v>7141</v>
      </c>
      <c r="D1240" s="37" t="s">
        <v>448</v>
      </c>
      <c r="E1240" s="37" t="s">
        <v>7142</v>
      </c>
      <c r="F1240" s="37" t="s">
        <v>7143</v>
      </c>
      <c r="G1240" s="37" t="s">
        <v>7144</v>
      </c>
      <c r="H1240" s="37"/>
      <c r="I1240" s="37" t="s">
        <v>7145</v>
      </c>
      <c r="J1240" s="37" t="s">
        <v>105</v>
      </c>
      <c r="K1240" s="40" t="s">
        <v>7146</v>
      </c>
      <c r="L1240" s="37" t="s">
        <v>64</v>
      </c>
      <c r="M1240"/>
      <c r="N1240"/>
      <c r="X1240" s="25"/>
      <c r="Y1240" s="25"/>
      <c r="Z1240" s="25"/>
      <c r="AA1240" s="25"/>
      <c r="AB1240" s="25"/>
      <c r="AC1240" s="25"/>
      <c r="AD1240" s="25"/>
      <c r="AE1240" s="25"/>
      <c r="AF1240" s="25"/>
      <c r="AG1240" s="25"/>
      <c r="AH1240" s="25"/>
      <c r="AI1240" s="25"/>
      <c r="AJ1240" s="25"/>
      <c r="AK1240" s="25"/>
    </row>
    <row r="1241" spans="1:37">
      <c r="A1241" s="39"/>
      <c r="B1241" s="37" t="s">
        <v>7140</v>
      </c>
      <c r="C1241" s="37" t="s">
        <v>7147</v>
      </c>
      <c r="D1241" s="37" t="s">
        <v>955</v>
      </c>
      <c r="E1241" s="37" t="s">
        <v>7148</v>
      </c>
      <c r="F1241" s="37" t="s">
        <v>7149</v>
      </c>
      <c r="G1241" s="37" t="s">
        <v>7144</v>
      </c>
      <c r="H1241" s="37"/>
      <c r="I1241" s="37" t="s">
        <v>7145</v>
      </c>
      <c r="J1241" s="37" t="s">
        <v>105</v>
      </c>
      <c r="K1241" s="40" t="s">
        <v>7146</v>
      </c>
      <c r="L1241" s="37" t="s">
        <v>64</v>
      </c>
      <c r="M1241"/>
      <c r="N1241"/>
      <c r="X1241" s="25"/>
      <c r="Y1241" s="25"/>
      <c r="Z1241" s="25"/>
      <c r="AA1241" s="25"/>
      <c r="AB1241" s="25"/>
      <c r="AC1241" s="25"/>
      <c r="AD1241" s="25"/>
      <c r="AE1241" s="25"/>
      <c r="AF1241" s="25"/>
      <c r="AG1241" s="25"/>
      <c r="AH1241" s="25"/>
      <c r="AI1241" s="25"/>
      <c r="AJ1241" s="25"/>
      <c r="AK1241" s="25"/>
    </row>
    <row r="1242" spans="1:37">
      <c r="A1242" s="39"/>
      <c r="B1242" s="37" t="s">
        <v>7150</v>
      </c>
      <c r="C1242" s="37"/>
      <c r="D1242" s="37" t="s">
        <v>471</v>
      </c>
      <c r="E1242" s="37" t="s">
        <v>2242</v>
      </c>
      <c r="F1242" s="37" t="s">
        <v>7151</v>
      </c>
      <c r="G1242" s="37" t="s">
        <v>7152</v>
      </c>
      <c r="H1242" s="37" t="s">
        <v>1074</v>
      </c>
      <c r="I1242" s="37" t="s">
        <v>420</v>
      </c>
      <c r="J1242" s="37" t="s">
        <v>75</v>
      </c>
      <c r="K1242" s="40" t="s">
        <v>7153</v>
      </c>
      <c r="L1242" s="37" t="s">
        <v>64</v>
      </c>
      <c r="M1242"/>
      <c r="N1242"/>
      <c r="X1242" s="25"/>
      <c r="Y1242" s="25"/>
      <c r="Z1242" s="25"/>
      <c r="AA1242" s="25"/>
      <c r="AB1242" s="25"/>
      <c r="AC1242" s="25"/>
      <c r="AD1242" s="25"/>
      <c r="AE1242" s="25"/>
      <c r="AF1242" s="25"/>
      <c r="AG1242" s="25"/>
      <c r="AH1242" s="25"/>
      <c r="AI1242" s="25"/>
      <c r="AJ1242" s="25"/>
      <c r="AK1242" s="25"/>
    </row>
    <row r="1243" spans="1:37">
      <c r="A1243" s="39"/>
      <c r="B1243" s="37" t="s">
        <v>7154</v>
      </c>
      <c r="C1243" s="37" t="s">
        <v>6804</v>
      </c>
      <c r="D1243" s="37" t="s">
        <v>974</v>
      </c>
      <c r="E1243" s="37" t="s">
        <v>2009</v>
      </c>
      <c r="F1243" s="37" t="s">
        <v>7155</v>
      </c>
      <c r="G1243" s="37" t="s">
        <v>7156</v>
      </c>
      <c r="H1243" s="37"/>
      <c r="I1243" s="37" t="s">
        <v>427</v>
      </c>
      <c r="J1243" s="37" t="s">
        <v>256</v>
      </c>
      <c r="K1243" s="40" t="s">
        <v>7157</v>
      </c>
      <c r="L1243" s="37" t="s">
        <v>64</v>
      </c>
      <c r="M1243"/>
      <c r="N1243"/>
      <c r="X1243" s="25"/>
      <c r="Y1243" s="25"/>
      <c r="Z1243" s="25"/>
      <c r="AA1243" s="25"/>
      <c r="AB1243" s="25"/>
      <c r="AC1243" s="25"/>
      <c r="AD1243" s="25"/>
      <c r="AE1243" s="25"/>
      <c r="AF1243" s="25"/>
      <c r="AG1243" s="25"/>
      <c r="AH1243" s="25"/>
      <c r="AI1243" s="25"/>
      <c r="AJ1243" s="25"/>
      <c r="AK1243" s="25"/>
    </row>
    <row r="1244" spans="1:37">
      <c r="A1244" s="39"/>
      <c r="B1244" s="37" t="s">
        <v>7158</v>
      </c>
      <c r="C1244" s="37" t="s">
        <v>6921</v>
      </c>
      <c r="D1244" s="37" t="s">
        <v>558</v>
      </c>
      <c r="E1244" s="37" t="s">
        <v>7159</v>
      </c>
      <c r="F1244" s="37" t="s">
        <v>7160</v>
      </c>
      <c r="G1244" s="37" t="s">
        <v>7161</v>
      </c>
      <c r="H1244" s="37" t="s">
        <v>3220</v>
      </c>
      <c r="I1244" s="37" t="s">
        <v>7162</v>
      </c>
      <c r="J1244" s="37" t="s">
        <v>121</v>
      </c>
      <c r="K1244" s="40" t="s">
        <v>6951</v>
      </c>
      <c r="L1244" s="37" t="s">
        <v>64</v>
      </c>
      <c r="M1244"/>
      <c r="N1244"/>
      <c r="X1244" s="25"/>
      <c r="Y1244" s="25"/>
      <c r="Z1244" s="25"/>
      <c r="AA1244" s="25"/>
      <c r="AB1244" s="25"/>
      <c r="AC1244" s="25"/>
      <c r="AD1244" s="25"/>
      <c r="AE1244" s="25"/>
      <c r="AF1244" s="25"/>
      <c r="AG1244" s="25"/>
      <c r="AH1244" s="25"/>
      <c r="AI1244" s="25"/>
      <c r="AJ1244" s="25"/>
      <c r="AK1244" s="25"/>
    </row>
    <row r="1245" spans="1:37">
      <c r="A1245" s="39"/>
      <c r="B1245" s="37" t="s">
        <v>7163</v>
      </c>
      <c r="C1245" s="37" t="s">
        <v>6771</v>
      </c>
      <c r="D1245" s="37" t="s">
        <v>428</v>
      </c>
      <c r="E1245" s="37" t="s">
        <v>7164</v>
      </c>
      <c r="F1245" s="37" t="s">
        <v>7165</v>
      </c>
      <c r="G1245" s="37" t="s">
        <v>7161</v>
      </c>
      <c r="H1245" s="37" t="s">
        <v>3220</v>
      </c>
      <c r="I1245" s="37" t="s">
        <v>7162</v>
      </c>
      <c r="J1245" s="37" t="s">
        <v>121</v>
      </c>
      <c r="K1245" s="40" t="s">
        <v>6951</v>
      </c>
      <c r="L1245" s="37" t="s">
        <v>64</v>
      </c>
      <c r="M1245"/>
      <c r="N1245"/>
      <c r="X1245" s="25"/>
      <c r="Y1245" s="25"/>
      <c r="Z1245" s="25"/>
      <c r="AA1245" s="25"/>
      <c r="AB1245" s="25"/>
      <c r="AC1245" s="25"/>
      <c r="AD1245" s="25"/>
      <c r="AE1245" s="25"/>
      <c r="AF1245" s="25"/>
      <c r="AG1245" s="25"/>
      <c r="AH1245" s="25"/>
      <c r="AI1245" s="25"/>
      <c r="AJ1245" s="25"/>
      <c r="AK1245" s="25"/>
    </row>
    <row r="1246" spans="1:37">
      <c r="A1246" s="39"/>
      <c r="B1246" s="37" t="s">
        <v>7163</v>
      </c>
      <c r="C1246" s="37" t="s">
        <v>7166</v>
      </c>
      <c r="D1246" s="37" t="s">
        <v>444</v>
      </c>
      <c r="E1246" s="37" t="s">
        <v>2114</v>
      </c>
      <c r="F1246" s="37" t="s">
        <v>7167</v>
      </c>
      <c r="G1246" s="37" t="s">
        <v>7168</v>
      </c>
      <c r="H1246" s="37"/>
      <c r="I1246" s="37" t="s">
        <v>7162</v>
      </c>
      <c r="J1246" s="37" t="s">
        <v>121</v>
      </c>
      <c r="K1246" s="40" t="s">
        <v>6951</v>
      </c>
      <c r="L1246" s="37" t="s">
        <v>64</v>
      </c>
      <c r="M1246"/>
      <c r="N1246"/>
      <c r="X1246" s="25"/>
      <c r="Y1246" s="25"/>
      <c r="Z1246" s="25"/>
      <c r="AA1246" s="25"/>
      <c r="AB1246" s="25"/>
      <c r="AC1246" s="25"/>
      <c r="AD1246" s="25"/>
      <c r="AE1246" s="25"/>
      <c r="AF1246" s="25"/>
      <c r="AG1246" s="25"/>
      <c r="AH1246" s="25"/>
      <c r="AI1246" s="25"/>
      <c r="AJ1246" s="25"/>
      <c r="AK1246" s="25"/>
    </row>
    <row r="1247" spans="1:37">
      <c r="A1247" s="39"/>
      <c r="B1247" s="37" t="s">
        <v>7169</v>
      </c>
      <c r="C1247" s="37" t="s">
        <v>7170</v>
      </c>
      <c r="D1247" s="37" t="s">
        <v>5119</v>
      </c>
      <c r="E1247" s="37" t="s">
        <v>7171</v>
      </c>
      <c r="F1247" s="37" t="s">
        <v>7172</v>
      </c>
      <c r="G1247" s="37" t="s">
        <v>7173</v>
      </c>
      <c r="H1247" s="37"/>
      <c r="I1247" s="37" t="s">
        <v>853</v>
      </c>
      <c r="J1247" s="37" t="s">
        <v>125</v>
      </c>
      <c r="K1247" s="40" t="s">
        <v>7174</v>
      </c>
      <c r="L1247" s="37" t="s">
        <v>64</v>
      </c>
      <c r="M1247"/>
      <c r="N1247"/>
      <c r="X1247" s="25"/>
      <c r="Y1247" s="25"/>
      <c r="Z1247" s="25"/>
      <c r="AA1247" s="25"/>
      <c r="AB1247" s="25"/>
      <c r="AC1247" s="25"/>
      <c r="AD1247" s="25"/>
      <c r="AE1247" s="25"/>
      <c r="AF1247" s="25"/>
      <c r="AG1247" s="25"/>
      <c r="AH1247" s="25"/>
      <c r="AI1247" s="25"/>
      <c r="AJ1247" s="25"/>
      <c r="AK1247" s="25"/>
    </row>
    <row r="1248" spans="1:37">
      <c r="A1248" s="39"/>
      <c r="B1248" s="37" t="s">
        <v>7169</v>
      </c>
      <c r="C1248" s="37"/>
      <c r="D1248" s="37" t="s">
        <v>7175</v>
      </c>
      <c r="E1248" s="37" t="s">
        <v>6740</v>
      </c>
      <c r="F1248" s="37" t="s">
        <v>7176</v>
      </c>
      <c r="G1248" s="37" t="s">
        <v>7177</v>
      </c>
      <c r="H1248" s="37" t="s">
        <v>7178</v>
      </c>
      <c r="I1248" s="37" t="s">
        <v>191</v>
      </c>
      <c r="J1248" s="37" t="s">
        <v>121</v>
      </c>
      <c r="K1248" s="40" t="s">
        <v>7179</v>
      </c>
      <c r="L1248" s="37" t="s">
        <v>64</v>
      </c>
      <c r="M1248"/>
      <c r="N1248"/>
      <c r="X1248" s="25"/>
      <c r="Y1248" s="25"/>
      <c r="Z1248" s="25"/>
      <c r="AA1248" s="25"/>
      <c r="AB1248" s="25"/>
      <c r="AC1248" s="25"/>
      <c r="AD1248" s="25"/>
      <c r="AE1248" s="25"/>
      <c r="AF1248" s="25"/>
      <c r="AG1248" s="25"/>
      <c r="AH1248" s="25"/>
      <c r="AI1248" s="25"/>
      <c r="AJ1248" s="25"/>
      <c r="AK1248" s="25"/>
    </row>
    <row r="1249" spans="1:37">
      <c r="A1249" s="39"/>
      <c r="B1249" s="37" t="s">
        <v>7169</v>
      </c>
      <c r="C1249" s="37" t="s">
        <v>7180</v>
      </c>
      <c r="D1249" s="37" t="s">
        <v>7181</v>
      </c>
      <c r="E1249" s="37" t="s">
        <v>7182</v>
      </c>
      <c r="F1249" s="37" t="s">
        <v>7183</v>
      </c>
      <c r="G1249" s="37" t="s">
        <v>7184</v>
      </c>
      <c r="H1249" s="37"/>
      <c r="I1249" s="37" t="s">
        <v>5261</v>
      </c>
      <c r="J1249" s="37" t="s">
        <v>121</v>
      </c>
      <c r="K1249" s="40" t="s">
        <v>7185</v>
      </c>
      <c r="L1249" s="37" t="s">
        <v>64</v>
      </c>
      <c r="M1249"/>
      <c r="N1249"/>
      <c r="X1249" s="25"/>
      <c r="Y1249" s="25"/>
      <c r="Z1249" s="25"/>
      <c r="AA1249" s="25"/>
      <c r="AB1249" s="25"/>
      <c r="AC1249" s="25"/>
      <c r="AD1249" s="25"/>
      <c r="AE1249" s="25"/>
      <c r="AF1249" s="25"/>
      <c r="AG1249" s="25"/>
      <c r="AH1249" s="25"/>
      <c r="AI1249" s="25"/>
      <c r="AJ1249" s="25"/>
      <c r="AK1249" s="25"/>
    </row>
    <row r="1250" spans="1:37">
      <c r="A1250" s="39"/>
      <c r="B1250" s="37" t="s">
        <v>7169</v>
      </c>
      <c r="C1250" s="37" t="s">
        <v>7186</v>
      </c>
      <c r="D1250" s="37" t="s">
        <v>2198</v>
      </c>
      <c r="E1250" s="37" t="s">
        <v>1813</v>
      </c>
      <c r="F1250" s="37" t="s">
        <v>7187</v>
      </c>
      <c r="G1250" s="37" t="s">
        <v>7177</v>
      </c>
      <c r="H1250" s="37" t="s">
        <v>7178</v>
      </c>
      <c r="I1250" s="37" t="s">
        <v>191</v>
      </c>
      <c r="J1250" s="37" t="s">
        <v>121</v>
      </c>
      <c r="K1250" s="40" t="s">
        <v>7179</v>
      </c>
      <c r="L1250" s="37" t="s">
        <v>64</v>
      </c>
      <c r="M1250"/>
      <c r="N1250"/>
      <c r="X1250" s="25"/>
      <c r="Y1250" s="25"/>
      <c r="Z1250" s="25"/>
      <c r="AA1250" s="25"/>
      <c r="AB1250" s="25"/>
      <c r="AC1250" s="25"/>
      <c r="AD1250" s="25"/>
      <c r="AE1250" s="25"/>
      <c r="AF1250" s="25"/>
      <c r="AG1250" s="25"/>
      <c r="AH1250" s="25"/>
      <c r="AI1250" s="25"/>
      <c r="AJ1250" s="25"/>
      <c r="AK1250" s="25"/>
    </row>
    <row r="1251" spans="1:37">
      <c r="A1251" s="39"/>
      <c r="B1251" s="37" t="s">
        <v>7188</v>
      </c>
      <c r="C1251" s="37" t="s">
        <v>7189</v>
      </c>
      <c r="D1251" s="37" t="s">
        <v>444</v>
      </c>
      <c r="E1251" s="37" t="s">
        <v>7190</v>
      </c>
      <c r="F1251" s="37" t="s">
        <v>7191</v>
      </c>
      <c r="G1251" s="37" t="s">
        <v>7177</v>
      </c>
      <c r="H1251" s="37"/>
      <c r="I1251" s="37" t="s">
        <v>191</v>
      </c>
      <c r="J1251" s="37" t="s">
        <v>121</v>
      </c>
      <c r="K1251" s="40" t="s">
        <v>7179</v>
      </c>
      <c r="L1251" s="37" t="s">
        <v>64</v>
      </c>
      <c r="M1251"/>
      <c r="N1251"/>
      <c r="X1251" s="25"/>
      <c r="Y1251" s="25"/>
      <c r="Z1251" s="25"/>
      <c r="AA1251" s="25"/>
      <c r="AB1251" s="25"/>
      <c r="AC1251" s="25"/>
      <c r="AD1251" s="25"/>
      <c r="AE1251" s="25"/>
      <c r="AF1251" s="25"/>
      <c r="AG1251" s="25"/>
      <c r="AH1251" s="25"/>
      <c r="AI1251" s="25"/>
      <c r="AJ1251" s="25"/>
      <c r="AK1251" s="25"/>
    </row>
    <row r="1252" spans="1:37">
      <c r="A1252" s="39"/>
      <c r="B1252" s="37" t="s">
        <v>7188</v>
      </c>
      <c r="C1252" s="37" t="s">
        <v>7192</v>
      </c>
      <c r="D1252" s="37" t="s">
        <v>7193</v>
      </c>
      <c r="E1252" s="37" t="s">
        <v>7194</v>
      </c>
      <c r="F1252" s="37" t="s">
        <v>7195</v>
      </c>
      <c r="G1252" s="37" t="s">
        <v>7196</v>
      </c>
      <c r="H1252" s="37"/>
      <c r="I1252" s="37" t="s">
        <v>191</v>
      </c>
      <c r="J1252" s="37" t="s">
        <v>121</v>
      </c>
      <c r="K1252" s="40" t="s">
        <v>7179</v>
      </c>
      <c r="L1252" s="37" t="s">
        <v>64</v>
      </c>
      <c r="M1252"/>
      <c r="N1252"/>
      <c r="X1252" s="25"/>
      <c r="Y1252" s="25"/>
      <c r="Z1252" s="25"/>
      <c r="AA1252" s="25"/>
      <c r="AB1252" s="25"/>
      <c r="AC1252" s="25"/>
      <c r="AD1252" s="25"/>
      <c r="AE1252" s="25"/>
      <c r="AF1252" s="25"/>
      <c r="AG1252" s="25"/>
      <c r="AH1252" s="25"/>
      <c r="AI1252" s="25"/>
      <c r="AJ1252" s="25"/>
      <c r="AK1252" s="25"/>
    </row>
    <row r="1253" spans="1:37">
      <c r="A1253" s="39"/>
      <c r="B1253" s="37" t="s">
        <v>7197</v>
      </c>
      <c r="C1253" s="37"/>
      <c r="D1253" s="37" t="s">
        <v>471</v>
      </c>
      <c r="E1253" s="37" t="s">
        <v>7198</v>
      </c>
      <c r="F1253" s="37" t="s">
        <v>7199</v>
      </c>
      <c r="G1253" s="37" t="s">
        <v>7200</v>
      </c>
      <c r="H1253" s="37"/>
      <c r="I1253" s="37" t="s">
        <v>6897</v>
      </c>
      <c r="J1253" s="37" t="s">
        <v>313</v>
      </c>
      <c r="K1253" s="40" t="s">
        <v>6898</v>
      </c>
      <c r="L1253" s="37" t="s">
        <v>64</v>
      </c>
      <c r="M1253"/>
      <c r="N1253"/>
      <c r="X1253" s="25"/>
      <c r="Y1253" s="25"/>
      <c r="Z1253" s="25"/>
      <c r="AA1253" s="25"/>
      <c r="AB1253" s="25"/>
      <c r="AC1253" s="25"/>
      <c r="AD1253" s="25"/>
      <c r="AE1253" s="25"/>
      <c r="AF1253" s="25"/>
      <c r="AG1253" s="25"/>
      <c r="AH1253" s="25"/>
      <c r="AI1253" s="25"/>
      <c r="AJ1253" s="25"/>
      <c r="AK1253" s="25"/>
    </row>
    <row r="1254" spans="1:37">
      <c r="A1254" s="39"/>
      <c r="B1254" s="37" t="s">
        <v>7201</v>
      </c>
      <c r="C1254" s="37" t="s">
        <v>6930</v>
      </c>
      <c r="D1254" s="37" t="s">
        <v>257</v>
      </c>
      <c r="E1254" s="37" t="s">
        <v>4196</v>
      </c>
      <c r="F1254" s="37" t="s">
        <v>7202</v>
      </c>
      <c r="G1254" s="37" t="s">
        <v>7203</v>
      </c>
      <c r="H1254" s="37" t="s">
        <v>3322</v>
      </c>
      <c r="I1254" s="37" t="s">
        <v>226</v>
      </c>
      <c r="J1254" s="37" t="s">
        <v>214</v>
      </c>
      <c r="K1254" s="40" t="s">
        <v>227</v>
      </c>
      <c r="L1254" s="37" t="s">
        <v>64</v>
      </c>
      <c r="M1254"/>
      <c r="N1254"/>
      <c r="X1254" s="25"/>
      <c r="Y1254" s="25"/>
      <c r="Z1254" s="25"/>
      <c r="AA1254" s="25"/>
      <c r="AB1254" s="25"/>
      <c r="AC1254" s="25"/>
      <c r="AD1254" s="25"/>
      <c r="AE1254" s="25"/>
      <c r="AF1254" s="25"/>
      <c r="AG1254" s="25"/>
      <c r="AH1254" s="25"/>
      <c r="AI1254" s="25"/>
      <c r="AJ1254" s="25"/>
      <c r="AK1254" s="25"/>
    </row>
    <row r="1255" spans="1:37">
      <c r="A1255" s="39"/>
      <c r="B1255" s="37" t="s">
        <v>7201</v>
      </c>
      <c r="C1255" s="37" t="s">
        <v>6930</v>
      </c>
      <c r="D1255" s="37" t="s">
        <v>7204</v>
      </c>
      <c r="E1255" s="37" t="s">
        <v>7205</v>
      </c>
      <c r="F1255" s="37" t="s">
        <v>7206</v>
      </c>
      <c r="G1255" s="37" t="s">
        <v>7207</v>
      </c>
      <c r="H1255" s="37"/>
      <c r="I1255" s="37" t="s">
        <v>226</v>
      </c>
      <c r="J1255" s="37" t="s">
        <v>214</v>
      </c>
      <c r="K1255" s="40" t="s">
        <v>227</v>
      </c>
      <c r="L1255" s="37" t="s">
        <v>64</v>
      </c>
      <c r="M1255"/>
      <c r="N1255"/>
      <c r="X1255" s="25"/>
      <c r="Y1255" s="25"/>
      <c r="Z1255" s="25"/>
      <c r="AA1255" s="25"/>
      <c r="AB1255" s="25"/>
      <c r="AC1255" s="25"/>
      <c r="AD1255" s="25"/>
      <c r="AE1255" s="25"/>
      <c r="AF1255" s="25"/>
      <c r="AG1255" s="25"/>
      <c r="AH1255" s="25"/>
      <c r="AI1255" s="25"/>
      <c r="AJ1255" s="25"/>
      <c r="AK1255" s="25"/>
    </row>
    <row r="1256" spans="1:37">
      <c r="A1256" s="39"/>
      <c r="B1256" s="37" t="s">
        <v>7208</v>
      </c>
      <c r="C1256" s="37" t="s">
        <v>7209</v>
      </c>
      <c r="D1256" s="37" t="s">
        <v>3028</v>
      </c>
      <c r="E1256" s="37" t="s">
        <v>1813</v>
      </c>
      <c r="F1256" s="37" t="s">
        <v>7210</v>
      </c>
      <c r="G1256" s="37" t="s">
        <v>7211</v>
      </c>
      <c r="H1256" s="37"/>
      <c r="I1256" s="37" t="s">
        <v>701</v>
      </c>
      <c r="J1256" s="37" t="s">
        <v>498</v>
      </c>
      <c r="K1256" s="40" t="s">
        <v>7212</v>
      </c>
      <c r="L1256" s="37" t="s">
        <v>64</v>
      </c>
      <c r="M1256"/>
      <c r="N1256"/>
      <c r="X1256" s="25"/>
      <c r="Y1256" s="25"/>
      <c r="Z1256" s="25"/>
      <c r="AA1256" s="25"/>
      <c r="AB1256" s="25"/>
      <c r="AC1256" s="25"/>
      <c r="AD1256" s="25"/>
      <c r="AE1256" s="25"/>
      <c r="AF1256" s="25"/>
      <c r="AG1256" s="25"/>
      <c r="AH1256" s="25"/>
      <c r="AI1256" s="25"/>
      <c r="AJ1256" s="25"/>
      <c r="AK1256" s="25"/>
    </row>
    <row r="1257" spans="1:37">
      <c r="A1257" s="39"/>
      <c r="B1257" s="37" t="s">
        <v>7213</v>
      </c>
      <c r="C1257" s="37" t="s">
        <v>7214</v>
      </c>
      <c r="D1257" s="37" t="s">
        <v>211</v>
      </c>
      <c r="E1257" s="37" t="s">
        <v>7215</v>
      </c>
      <c r="F1257" s="37" t="s">
        <v>7216</v>
      </c>
      <c r="G1257" s="37" t="s">
        <v>7217</v>
      </c>
      <c r="H1257" s="37"/>
      <c r="I1257" s="37" t="s">
        <v>1031</v>
      </c>
      <c r="J1257" s="37" t="s">
        <v>475</v>
      </c>
      <c r="K1257" s="40" t="s">
        <v>7218</v>
      </c>
      <c r="L1257" s="37" t="s">
        <v>64</v>
      </c>
      <c r="M1257"/>
      <c r="N1257"/>
      <c r="X1257" s="25"/>
      <c r="Y1257" s="25"/>
      <c r="Z1257" s="25"/>
      <c r="AA1257" s="25"/>
      <c r="AB1257" s="25"/>
      <c r="AC1257" s="25"/>
      <c r="AD1257" s="25"/>
      <c r="AE1257" s="25"/>
      <c r="AF1257" s="25"/>
      <c r="AG1257" s="25"/>
      <c r="AH1257" s="25"/>
      <c r="AI1257" s="25"/>
      <c r="AJ1257" s="25"/>
      <c r="AK1257" s="25"/>
    </row>
    <row r="1258" spans="1:37">
      <c r="A1258" s="39"/>
      <c r="B1258" s="37" t="s">
        <v>7219</v>
      </c>
      <c r="C1258" s="37" t="s">
        <v>7220</v>
      </c>
      <c r="D1258" s="37" t="s">
        <v>7221</v>
      </c>
      <c r="E1258" s="37" t="s">
        <v>7222</v>
      </c>
      <c r="F1258" s="37" t="s">
        <v>7223</v>
      </c>
      <c r="G1258" s="37" t="s">
        <v>7224</v>
      </c>
      <c r="H1258" s="37"/>
      <c r="I1258" s="37" t="s">
        <v>7225</v>
      </c>
      <c r="J1258" s="37" t="s">
        <v>105</v>
      </c>
      <c r="K1258" s="40" t="s">
        <v>1069</v>
      </c>
      <c r="L1258" s="37" t="s">
        <v>64</v>
      </c>
      <c r="M1258"/>
      <c r="N1258"/>
      <c r="X1258" s="25"/>
      <c r="Y1258" s="25"/>
      <c r="Z1258" s="25"/>
      <c r="AA1258" s="25"/>
      <c r="AB1258" s="25"/>
      <c r="AC1258" s="25"/>
      <c r="AD1258" s="25"/>
      <c r="AE1258" s="25"/>
      <c r="AF1258" s="25"/>
      <c r="AG1258" s="25"/>
      <c r="AH1258" s="25"/>
      <c r="AI1258" s="25"/>
      <c r="AJ1258" s="25"/>
      <c r="AK1258" s="25"/>
    </row>
    <row r="1259" spans="1:37">
      <c r="A1259" s="39"/>
      <c r="B1259" s="37" t="s">
        <v>7226</v>
      </c>
      <c r="C1259" s="37" t="s">
        <v>7096</v>
      </c>
      <c r="D1259" s="37" t="s">
        <v>955</v>
      </c>
      <c r="E1259" s="37" t="s">
        <v>7227</v>
      </c>
      <c r="F1259" s="37" t="s">
        <v>7228</v>
      </c>
      <c r="G1259" s="37" t="s">
        <v>7224</v>
      </c>
      <c r="H1259" s="37"/>
      <c r="I1259" s="37" t="s">
        <v>7225</v>
      </c>
      <c r="J1259" s="37" t="s">
        <v>105</v>
      </c>
      <c r="K1259" s="40" t="s">
        <v>1069</v>
      </c>
      <c r="L1259" s="37" t="s">
        <v>64</v>
      </c>
      <c r="M1259"/>
      <c r="N1259"/>
      <c r="X1259" s="25"/>
      <c r="Y1259" s="25"/>
      <c r="Z1259" s="25"/>
      <c r="AA1259" s="25"/>
      <c r="AB1259" s="25"/>
      <c r="AC1259" s="25"/>
      <c r="AD1259" s="25"/>
      <c r="AE1259" s="25"/>
      <c r="AF1259" s="25"/>
      <c r="AG1259" s="25"/>
      <c r="AH1259" s="25"/>
      <c r="AI1259" s="25"/>
      <c r="AJ1259" s="25"/>
      <c r="AK1259" s="25"/>
    </row>
    <row r="1260" spans="1:37">
      <c r="A1260" s="39"/>
      <c r="B1260" s="37" t="s">
        <v>7229</v>
      </c>
      <c r="C1260" s="37" t="s">
        <v>7230</v>
      </c>
      <c r="D1260" s="37" t="s">
        <v>1623</v>
      </c>
      <c r="E1260" s="37" t="s">
        <v>6207</v>
      </c>
      <c r="F1260" s="37" t="s">
        <v>7231</v>
      </c>
      <c r="G1260" s="37" t="s">
        <v>7232</v>
      </c>
      <c r="H1260" s="37"/>
      <c r="I1260" s="37" t="s">
        <v>5261</v>
      </c>
      <c r="J1260" s="37" t="s">
        <v>121</v>
      </c>
      <c r="K1260" s="40" t="s">
        <v>7233</v>
      </c>
      <c r="L1260" s="37" t="s">
        <v>64</v>
      </c>
      <c r="M1260"/>
      <c r="N1260"/>
      <c r="X1260" s="25"/>
      <c r="Y1260" s="25"/>
      <c r="Z1260" s="25"/>
      <c r="AA1260" s="25"/>
      <c r="AB1260" s="25"/>
      <c r="AC1260" s="25"/>
      <c r="AD1260" s="25"/>
      <c r="AE1260" s="25"/>
      <c r="AF1260" s="25"/>
      <c r="AG1260" s="25"/>
      <c r="AH1260" s="25"/>
      <c r="AI1260" s="25"/>
      <c r="AJ1260" s="25"/>
      <c r="AK1260" s="25"/>
    </row>
    <row r="1261" spans="1:37">
      <c r="A1261" s="39"/>
      <c r="B1261" s="37" t="s">
        <v>7234</v>
      </c>
      <c r="C1261" s="37" t="s">
        <v>7235</v>
      </c>
      <c r="D1261" s="37" t="s">
        <v>555</v>
      </c>
      <c r="E1261" s="37" t="s">
        <v>7236</v>
      </c>
      <c r="F1261" s="37" t="s">
        <v>7237</v>
      </c>
      <c r="G1261" s="37" t="s">
        <v>7238</v>
      </c>
      <c r="H1261" s="37"/>
      <c r="I1261" s="37" t="s">
        <v>843</v>
      </c>
      <c r="J1261" s="37" t="s">
        <v>75</v>
      </c>
      <c r="K1261" s="40" t="s">
        <v>7239</v>
      </c>
      <c r="L1261" s="37" t="s">
        <v>64</v>
      </c>
      <c r="M1261"/>
      <c r="N1261"/>
      <c r="X1261" s="25"/>
      <c r="Y1261" s="25"/>
      <c r="Z1261" s="25"/>
      <c r="AA1261" s="25"/>
      <c r="AB1261" s="25"/>
      <c r="AC1261" s="25"/>
      <c r="AD1261" s="25"/>
      <c r="AE1261" s="25"/>
      <c r="AF1261" s="25"/>
      <c r="AG1261" s="25"/>
      <c r="AH1261" s="25"/>
      <c r="AI1261" s="25"/>
      <c r="AJ1261" s="25"/>
      <c r="AK1261" s="25"/>
    </row>
    <row r="1262" spans="1:37">
      <c r="A1262" s="39"/>
      <c r="B1262" s="37" t="s">
        <v>7240</v>
      </c>
      <c r="C1262" s="37" t="s">
        <v>7241</v>
      </c>
      <c r="D1262" s="37" t="s">
        <v>211</v>
      </c>
      <c r="E1262" s="37" t="s">
        <v>2221</v>
      </c>
      <c r="F1262" s="37" t="s">
        <v>7242</v>
      </c>
      <c r="G1262" s="37" t="s">
        <v>7243</v>
      </c>
      <c r="H1262" s="37" t="s">
        <v>7244</v>
      </c>
      <c r="I1262" s="37" t="s">
        <v>191</v>
      </c>
      <c r="J1262" s="37" t="s">
        <v>121</v>
      </c>
      <c r="K1262" s="40" t="s">
        <v>7245</v>
      </c>
      <c r="L1262" s="37" t="s">
        <v>64</v>
      </c>
      <c r="M1262"/>
      <c r="N1262"/>
      <c r="X1262" s="25"/>
      <c r="Y1262" s="25"/>
      <c r="Z1262" s="25"/>
      <c r="AA1262" s="25"/>
      <c r="AB1262" s="25"/>
      <c r="AC1262" s="25"/>
      <c r="AD1262" s="25"/>
      <c r="AE1262" s="25"/>
      <c r="AF1262" s="25"/>
      <c r="AG1262" s="25"/>
      <c r="AH1262" s="25"/>
      <c r="AI1262" s="25"/>
      <c r="AJ1262" s="25"/>
      <c r="AK1262" s="25"/>
    </row>
    <row r="1263" spans="1:37">
      <c r="A1263" s="39"/>
      <c r="B1263" s="37" t="s">
        <v>7246</v>
      </c>
      <c r="C1263" s="37" t="s">
        <v>7247</v>
      </c>
      <c r="D1263" s="37" t="s">
        <v>1590</v>
      </c>
      <c r="E1263" s="37" t="s">
        <v>7248</v>
      </c>
      <c r="F1263" s="37" t="s">
        <v>7249</v>
      </c>
      <c r="G1263" s="37" t="s">
        <v>7250</v>
      </c>
      <c r="H1263" s="37"/>
      <c r="I1263" s="37" t="s">
        <v>999</v>
      </c>
      <c r="J1263" s="37" t="s">
        <v>105</v>
      </c>
      <c r="K1263" s="40"/>
      <c r="L1263" s="37" t="s">
        <v>64</v>
      </c>
      <c r="M1263"/>
      <c r="N1263"/>
      <c r="X1263" s="25"/>
      <c r="Y1263" s="25"/>
      <c r="Z1263" s="25"/>
      <c r="AA1263" s="25"/>
      <c r="AB1263" s="25"/>
      <c r="AC1263" s="25"/>
      <c r="AD1263" s="25"/>
      <c r="AE1263" s="25"/>
      <c r="AF1263" s="25"/>
      <c r="AG1263" s="25"/>
      <c r="AH1263" s="25"/>
      <c r="AI1263" s="25"/>
      <c r="AJ1263" s="25"/>
      <c r="AK1263" s="25"/>
    </row>
    <row r="1264" spans="1:37">
      <c r="A1264" s="39"/>
      <c r="B1264" s="37" t="s">
        <v>7251</v>
      </c>
      <c r="C1264" s="37" t="s">
        <v>7252</v>
      </c>
      <c r="D1264" s="37" t="s">
        <v>578</v>
      </c>
      <c r="E1264" s="37" t="s">
        <v>7253</v>
      </c>
      <c r="F1264" s="37" t="s">
        <v>7254</v>
      </c>
      <c r="G1264" s="37" t="s">
        <v>7255</v>
      </c>
      <c r="H1264" s="37"/>
      <c r="I1264" s="37" t="s">
        <v>387</v>
      </c>
      <c r="J1264" s="37" t="s">
        <v>334</v>
      </c>
      <c r="K1264" s="40" t="s">
        <v>7256</v>
      </c>
      <c r="L1264" s="37" t="s">
        <v>64</v>
      </c>
      <c r="M1264"/>
      <c r="N1264"/>
      <c r="X1264" s="25"/>
      <c r="Y1264" s="25"/>
      <c r="Z1264" s="25"/>
      <c r="AA1264" s="25"/>
      <c r="AB1264" s="25"/>
      <c r="AC1264" s="25"/>
      <c r="AD1264" s="25"/>
      <c r="AE1264" s="25"/>
      <c r="AF1264" s="25"/>
      <c r="AG1264" s="25"/>
      <c r="AH1264" s="25"/>
      <c r="AI1264" s="25"/>
      <c r="AJ1264" s="25"/>
      <c r="AK1264" s="25"/>
    </row>
    <row r="1265" spans="1:37">
      <c r="A1265" s="39"/>
      <c r="B1265" s="37" t="s">
        <v>7257</v>
      </c>
      <c r="C1265" s="37" t="s">
        <v>6921</v>
      </c>
      <c r="D1265" s="37" t="s">
        <v>1484</v>
      </c>
      <c r="E1265" s="37" t="s">
        <v>7258</v>
      </c>
      <c r="F1265" s="37" t="s">
        <v>7259</v>
      </c>
      <c r="G1265" s="37" t="s">
        <v>7260</v>
      </c>
      <c r="H1265" s="37"/>
      <c r="I1265" s="37" t="s">
        <v>668</v>
      </c>
      <c r="J1265" s="37" t="s">
        <v>153</v>
      </c>
      <c r="K1265" s="40" t="s">
        <v>7261</v>
      </c>
      <c r="L1265" s="37" t="s">
        <v>64</v>
      </c>
      <c r="M1265"/>
      <c r="N1265"/>
      <c r="X1265" s="25"/>
      <c r="Y1265" s="25"/>
      <c r="Z1265" s="25"/>
      <c r="AA1265" s="25"/>
      <c r="AB1265" s="25"/>
      <c r="AC1265" s="25"/>
      <c r="AD1265" s="25"/>
      <c r="AE1265" s="25"/>
      <c r="AF1265" s="25"/>
      <c r="AG1265" s="25"/>
      <c r="AH1265" s="25"/>
      <c r="AI1265" s="25"/>
      <c r="AJ1265" s="25"/>
      <c r="AK1265" s="25"/>
    </row>
    <row r="1266" spans="1:37">
      <c r="A1266" s="39"/>
      <c r="B1266" s="37" t="s">
        <v>7257</v>
      </c>
      <c r="C1266" s="37"/>
      <c r="D1266" s="37" t="s">
        <v>7262</v>
      </c>
      <c r="E1266" s="37" t="s">
        <v>7263</v>
      </c>
      <c r="F1266" s="37" t="s">
        <v>7264</v>
      </c>
      <c r="G1266" s="37" t="s">
        <v>7260</v>
      </c>
      <c r="H1266" s="37"/>
      <c r="I1266" s="37" t="s">
        <v>668</v>
      </c>
      <c r="J1266" s="37" t="s">
        <v>153</v>
      </c>
      <c r="K1266" s="40" t="s">
        <v>7261</v>
      </c>
      <c r="L1266" s="37" t="s">
        <v>64</v>
      </c>
      <c r="M1266"/>
      <c r="N1266"/>
      <c r="X1266" s="25"/>
      <c r="Y1266" s="25"/>
      <c r="Z1266" s="25"/>
      <c r="AA1266" s="25"/>
      <c r="AB1266" s="25"/>
      <c r="AC1266" s="25"/>
      <c r="AD1266" s="25"/>
      <c r="AE1266" s="25"/>
      <c r="AF1266" s="25"/>
      <c r="AG1266" s="25"/>
      <c r="AH1266" s="25"/>
      <c r="AI1266" s="25"/>
      <c r="AJ1266" s="25"/>
      <c r="AK1266" s="25"/>
    </row>
    <row r="1267" spans="1:37">
      <c r="A1267" s="39"/>
      <c r="B1267" s="37" t="s">
        <v>7265</v>
      </c>
      <c r="C1267" s="37" t="s">
        <v>7266</v>
      </c>
      <c r="D1267" s="37" t="s">
        <v>1493</v>
      </c>
      <c r="E1267" s="37" t="s">
        <v>7267</v>
      </c>
      <c r="F1267" s="37" t="s">
        <v>7268</v>
      </c>
      <c r="G1267" s="37" t="s">
        <v>7269</v>
      </c>
      <c r="H1267" s="37"/>
      <c r="I1267" s="37" t="s">
        <v>7270</v>
      </c>
      <c r="J1267" s="37" t="s">
        <v>83</v>
      </c>
      <c r="K1267" s="40" t="s">
        <v>4301</v>
      </c>
      <c r="L1267" s="37" t="s">
        <v>64</v>
      </c>
      <c r="M1267"/>
      <c r="N1267"/>
      <c r="X1267" s="25"/>
      <c r="Y1267" s="25"/>
      <c r="Z1267" s="25"/>
      <c r="AA1267" s="25"/>
      <c r="AB1267" s="25"/>
      <c r="AC1267" s="25"/>
      <c r="AD1267" s="25"/>
      <c r="AE1267" s="25"/>
      <c r="AF1267" s="25"/>
      <c r="AG1267" s="25"/>
      <c r="AH1267" s="25"/>
      <c r="AI1267" s="25"/>
      <c r="AJ1267" s="25"/>
      <c r="AK1267" s="25"/>
    </row>
    <row r="1268" spans="1:37">
      <c r="A1268" s="39"/>
      <c r="B1268" s="37" t="s">
        <v>7265</v>
      </c>
      <c r="C1268" s="37" t="s">
        <v>7271</v>
      </c>
      <c r="D1268" s="37" t="s">
        <v>2528</v>
      </c>
      <c r="E1268" s="37" t="s">
        <v>7272</v>
      </c>
      <c r="F1268" s="37" t="s">
        <v>7273</v>
      </c>
      <c r="G1268" s="37" t="s">
        <v>7274</v>
      </c>
      <c r="H1268" s="37"/>
      <c r="I1268" s="37" t="s">
        <v>82</v>
      </c>
      <c r="J1268" s="37" t="s">
        <v>83</v>
      </c>
      <c r="K1268" s="40" t="s">
        <v>4301</v>
      </c>
      <c r="L1268" s="37" t="s">
        <v>64</v>
      </c>
      <c r="M1268"/>
      <c r="N1268"/>
      <c r="X1268" s="25"/>
      <c r="Y1268" s="25"/>
      <c r="Z1268" s="25"/>
      <c r="AA1268" s="25"/>
      <c r="AB1268" s="25"/>
      <c r="AC1268" s="25"/>
      <c r="AD1268" s="25"/>
      <c r="AE1268" s="25"/>
      <c r="AF1268" s="25"/>
      <c r="AG1268" s="25"/>
      <c r="AH1268" s="25"/>
      <c r="AI1268" s="25"/>
      <c r="AJ1268" s="25"/>
      <c r="AK1268" s="25"/>
    </row>
    <row r="1269" spans="1:37">
      <c r="A1269" s="39"/>
      <c r="B1269" s="37" t="s">
        <v>7265</v>
      </c>
      <c r="C1269" s="37" t="s">
        <v>7275</v>
      </c>
      <c r="D1269" s="37" t="s">
        <v>921</v>
      </c>
      <c r="E1269" s="37" t="s">
        <v>7276</v>
      </c>
      <c r="F1269" s="37" t="s">
        <v>7277</v>
      </c>
      <c r="G1269" s="37" t="s">
        <v>7274</v>
      </c>
      <c r="H1269" s="37"/>
      <c r="I1269" s="37" t="s">
        <v>82</v>
      </c>
      <c r="J1269" s="37" t="s">
        <v>83</v>
      </c>
      <c r="K1269" s="40" t="s">
        <v>4301</v>
      </c>
      <c r="L1269" s="37" t="s">
        <v>64</v>
      </c>
      <c r="M1269"/>
      <c r="N1269"/>
      <c r="X1269" s="25"/>
      <c r="Y1269" s="25"/>
      <c r="Z1269" s="25"/>
      <c r="AA1269" s="25"/>
      <c r="AB1269" s="25"/>
      <c r="AC1269" s="25"/>
      <c r="AD1269" s="25"/>
      <c r="AE1269" s="25"/>
      <c r="AF1269" s="25"/>
      <c r="AG1269" s="25"/>
      <c r="AH1269" s="25"/>
      <c r="AI1269" s="25"/>
      <c r="AJ1269" s="25"/>
      <c r="AK1269" s="25"/>
    </row>
    <row r="1270" spans="1:37">
      <c r="A1270" s="39"/>
      <c r="B1270" s="37" t="s">
        <v>7265</v>
      </c>
      <c r="C1270" s="37" t="s">
        <v>6804</v>
      </c>
      <c r="D1270" s="37" t="s">
        <v>4289</v>
      </c>
      <c r="E1270" s="37" t="s">
        <v>7278</v>
      </c>
      <c r="F1270" s="37" t="s">
        <v>7279</v>
      </c>
      <c r="G1270" s="37" t="s">
        <v>7269</v>
      </c>
      <c r="H1270" s="37"/>
      <c r="I1270" s="37" t="s">
        <v>82</v>
      </c>
      <c r="J1270" s="37" t="s">
        <v>83</v>
      </c>
      <c r="K1270" s="40" t="s">
        <v>4301</v>
      </c>
      <c r="L1270" s="37" t="s">
        <v>64</v>
      </c>
      <c r="M1270"/>
      <c r="N1270"/>
      <c r="X1270" s="25"/>
      <c r="Y1270" s="25"/>
      <c r="Z1270" s="25"/>
      <c r="AA1270" s="25"/>
      <c r="AB1270" s="25"/>
      <c r="AC1270" s="25"/>
      <c r="AD1270" s="25"/>
      <c r="AE1270" s="25"/>
      <c r="AF1270" s="25"/>
      <c r="AG1270" s="25"/>
      <c r="AH1270" s="25"/>
      <c r="AI1270" s="25"/>
      <c r="AJ1270" s="25"/>
      <c r="AK1270" s="25"/>
    </row>
    <row r="1271" spans="1:37">
      <c r="A1271" s="39"/>
      <c r="B1271" s="37" t="s">
        <v>7265</v>
      </c>
      <c r="C1271" s="37" t="s">
        <v>7280</v>
      </c>
      <c r="D1271" s="37" t="s">
        <v>7281</v>
      </c>
      <c r="E1271" s="37" t="s">
        <v>7282</v>
      </c>
      <c r="F1271" s="37" t="s">
        <v>7283</v>
      </c>
      <c r="G1271" s="37" t="s">
        <v>7269</v>
      </c>
      <c r="H1271" s="37"/>
      <c r="I1271" s="37" t="s">
        <v>82</v>
      </c>
      <c r="J1271" s="37" t="s">
        <v>83</v>
      </c>
      <c r="K1271" s="40" t="s">
        <v>4301</v>
      </c>
      <c r="L1271" s="37" t="s">
        <v>64</v>
      </c>
      <c r="M1271"/>
      <c r="N1271"/>
      <c r="X1271" s="25"/>
      <c r="Y1271" s="25"/>
      <c r="Z1271" s="25"/>
      <c r="AA1271" s="25"/>
      <c r="AB1271" s="25"/>
      <c r="AC1271" s="25"/>
      <c r="AD1271" s="25"/>
      <c r="AE1271" s="25"/>
      <c r="AF1271" s="25"/>
      <c r="AG1271" s="25"/>
      <c r="AH1271" s="25"/>
      <c r="AI1271" s="25"/>
      <c r="AJ1271" s="25"/>
      <c r="AK1271" s="25"/>
    </row>
    <row r="1272" spans="1:37">
      <c r="A1272" s="39"/>
      <c r="B1272" s="37" t="s">
        <v>7265</v>
      </c>
      <c r="C1272" s="37" t="s">
        <v>7284</v>
      </c>
      <c r="D1272" s="37" t="s">
        <v>471</v>
      </c>
      <c r="E1272" s="37" t="s">
        <v>7285</v>
      </c>
      <c r="F1272" s="37" t="s">
        <v>7286</v>
      </c>
      <c r="G1272" s="37" t="s">
        <v>7287</v>
      </c>
      <c r="H1272" s="37"/>
      <c r="I1272" s="37" t="s">
        <v>82</v>
      </c>
      <c r="J1272" s="37" t="s">
        <v>83</v>
      </c>
      <c r="K1272" s="40" t="s">
        <v>4301</v>
      </c>
      <c r="L1272" s="37" t="s">
        <v>64</v>
      </c>
      <c r="M1272"/>
      <c r="N1272"/>
      <c r="X1272" s="25"/>
      <c r="Y1272" s="25"/>
      <c r="Z1272" s="25"/>
      <c r="AA1272" s="25"/>
      <c r="AB1272" s="25"/>
      <c r="AC1272" s="25"/>
      <c r="AD1272" s="25"/>
      <c r="AE1272" s="25"/>
      <c r="AF1272" s="25"/>
      <c r="AG1272" s="25"/>
      <c r="AH1272" s="25"/>
      <c r="AI1272" s="25"/>
      <c r="AJ1272" s="25"/>
      <c r="AK1272" s="25"/>
    </row>
    <row r="1273" spans="1:37">
      <c r="A1273" s="39"/>
      <c r="B1273" s="37" t="s">
        <v>7288</v>
      </c>
      <c r="C1273" s="37" t="s">
        <v>7289</v>
      </c>
      <c r="D1273" s="37" t="s">
        <v>2440</v>
      </c>
      <c r="E1273" s="37" t="s">
        <v>686</v>
      </c>
      <c r="F1273" s="37" t="s">
        <v>7290</v>
      </c>
      <c r="G1273" s="37" t="s">
        <v>7291</v>
      </c>
      <c r="H1273" s="37" t="s">
        <v>7292</v>
      </c>
      <c r="I1273" s="37" t="s">
        <v>420</v>
      </c>
      <c r="J1273" s="37" t="s">
        <v>75</v>
      </c>
      <c r="K1273" s="40" t="s">
        <v>901</v>
      </c>
      <c r="L1273" s="37" t="s">
        <v>64</v>
      </c>
      <c r="M1273"/>
      <c r="N1273"/>
      <c r="X1273" s="25"/>
      <c r="Y1273" s="25"/>
      <c r="Z1273" s="25"/>
      <c r="AA1273" s="25"/>
      <c r="AB1273" s="25"/>
      <c r="AC1273" s="25"/>
      <c r="AD1273" s="25"/>
      <c r="AE1273" s="25"/>
      <c r="AF1273" s="25"/>
      <c r="AG1273" s="25"/>
      <c r="AH1273" s="25"/>
      <c r="AI1273" s="25"/>
      <c r="AJ1273" s="25"/>
      <c r="AK1273" s="25"/>
    </row>
    <row r="1274" spans="1:37">
      <c r="A1274" s="39"/>
      <c r="B1274" s="37" t="s">
        <v>7288</v>
      </c>
      <c r="C1274" s="37" t="s">
        <v>7293</v>
      </c>
      <c r="D1274" s="37" t="s">
        <v>995</v>
      </c>
      <c r="E1274" s="37" t="s">
        <v>636</v>
      </c>
      <c r="F1274" s="37" t="s">
        <v>7294</v>
      </c>
      <c r="G1274" s="37" t="s">
        <v>7291</v>
      </c>
      <c r="H1274" s="37" t="s">
        <v>7292</v>
      </c>
      <c r="I1274" s="37" t="s">
        <v>420</v>
      </c>
      <c r="J1274" s="37" t="s">
        <v>75</v>
      </c>
      <c r="K1274" s="40" t="s">
        <v>901</v>
      </c>
      <c r="L1274" s="37" t="s">
        <v>64</v>
      </c>
      <c r="M1274"/>
      <c r="N1274"/>
      <c r="X1274" s="25"/>
      <c r="Y1274" s="25"/>
      <c r="Z1274" s="25"/>
      <c r="AA1274" s="25"/>
      <c r="AB1274" s="25"/>
      <c r="AC1274" s="25"/>
      <c r="AD1274" s="25"/>
      <c r="AE1274" s="25"/>
      <c r="AF1274" s="25"/>
      <c r="AG1274" s="25"/>
      <c r="AH1274" s="25"/>
      <c r="AI1274" s="25"/>
      <c r="AJ1274" s="25"/>
      <c r="AK1274" s="25"/>
    </row>
    <row r="1275" spans="1:37">
      <c r="A1275" s="39"/>
      <c r="B1275" s="37" t="s">
        <v>7288</v>
      </c>
      <c r="C1275" s="37" t="s">
        <v>7295</v>
      </c>
      <c r="D1275" s="37" t="s">
        <v>920</v>
      </c>
      <c r="E1275" s="37" t="s">
        <v>7296</v>
      </c>
      <c r="F1275" s="37" t="s">
        <v>7297</v>
      </c>
      <c r="G1275" s="37" t="s">
        <v>7298</v>
      </c>
      <c r="H1275" s="37" t="s">
        <v>7292</v>
      </c>
      <c r="I1275" s="37" t="s">
        <v>420</v>
      </c>
      <c r="J1275" s="37" t="s">
        <v>75</v>
      </c>
      <c r="K1275" s="40" t="s">
        <v>901</v>
      </c>
      <c r="L1275" s="37" t="s">
        <v>64</v>
      </c>
      <c r="M1275"/>
      <c r="N1275"/>
      <c r="X1275" s="25"/>
      <c r="Y1275" s="25"/>
      <c r="Z1275" s="25"/>
      <c r="AA1275" s="25"/>
      <c r="AB1275" s="25"/>
      <c r="AC1275" s="25"/>
      <c r="AD1275" s="25"/>
      <c r="AE1275" s="25"/>
      <c r="AF1275" s="25"/>
      <c r="AG1275" s="25"/>
      <c r="AH1275" s="25"/>
      <c r="AI1275" s="25"/>
      <c r="AJ1275" s="25"/>
      <c r="AK1275" s="25"/>
    </row>
    <row r="1276" spans="1:37">
      <c r="A1276" s="39"/>
      <c r="B1276" s="37" t="s">
        <v>7288</v>
      </c>
      <c r="C1276" s="37" t="s">
        <v>7293</v>
      </c>
      <c r="D1276" s="37" t="s">
        <v>6072</v>
      </c>
      <c r="E1276" s="37" t="s">
        <v>4044</v>
      </c>
      <c r="F1276" s="37" t="s">
        <v>7299</v>
      </c>
      <c r="G1276" s="37" t="s">
        <v>7291</v>
      </c>
      <c r="H1276" s="37" t="s">
        <v>7292</v>
      </c>
      <c r="I1276" s="37" t="s">
        <v>420</v>
      </c>
      <c r="J1276" s="37" t="s">
        <v>75</v>
      </c>
      <c r="K1276" s="40" t="s">
        <v>901</v>
      </c>
      <c r="L1276" s="37" t="s">
        <v>64</v>
      </c>
      <c r="M1276"/>
      <c r="N1276"/>
      <c r="X1276" s="25"/>
      <c r="Y1276" s="25"/>
      <c r="Z1276" s="25"/>
      <c r="AA1276" s="25"/>
      <c r="AB1276" s="25"/>
      <c r="AC1276" s="25"/>
      <c r="AD1276" s="25"/>
      <c r="AE1276" s="25"/>
      <c r="AF1276" s="25"/>
      <c r="AG1276" s="25"/>
      <c r="AH1276" s="25"/>
      <c r="AI1276" s="25"/>
      <c r="AJ1276" s="25"/>
      <c r="AK1276" s="25"/>
    </row>
    <row r="1277" spans="1:37">
      <c r="A1277" s="39"/>
      <c r="B1277" s="37" t="s">
        <v>7300</v>
      </c>
      <c r="C1277" s="37"/>
      <c r="D1277" s="37" t="s">
        <v>5520</v>
      </c>
      <c r="E1277" s="37" t="s">
        <v>132</v>
      </c>
      <c r="F1277" s="38" t="s">
        <v>5739</v>
      </c>
      <c r="G1277" s="37" t="s">
        <v>7301</v>
      </c>
      <c r="H1277" s="37"/>
      <c r="I1277" s="37" t="s">
        <v>7302</v>
      </c>
      <c r="J1277" s="37" t="s">
        <v>105</v>
      </c>
      <c r="K1277" s="40" t="s">
        <v>7303</v>
      </c>
      <c r="L1277" s="37" t="s">
        <v>64</v>
      </c>
      <c r="M1277"/>
      <c r="N1277"/>
      <c r="X1277" s="25"/>
      <c r="Y1277" s="25"/>
      <c r="Z1277" s="25"/>
      <c r="AA1277" s="25"/>
      <c r="AB1277" s="25"/>
      <c r="AC1277" s="25"/>
      <c r="AD1277" s="25"/>
      <c r="AE1277" s="25"/>
      <c r="AF1277" s="25"/>
      <c r="AG1277" s="25"/>
      <c r="AH1277" s="25"/>
      <c r="AI1277" s="25"/>
      <c r="AJ1277" s="25"/>
      <c r="AK1277" s="25"/>
    </row>
    <row r="1278" spans="1:37">
      <c r="A1278" s="39"/>
      <c r="B1278" s="37" t="s">
        <v>7300</v>
      </c>
      <c r="C1278" s="37"/>
      <c r="D1278" s="37" t="s">
        <v>995</v>
      </c>
      <c r="E1278" s="37" t="s">
        <v>7304</v>
      </c>
      <c r="F1278" s="37" t="s">
        <v>7305</v>
      </c>
      <c r="G1278" s="37" t="s">
        <v>7306</v>
      </c>
      <c r="H1278" s="37"/>
      <c r="I1278" s="37" t="s">
        <v>7307</v>
      </c>
      <c r="J1278" s="37" t="s">
        <v>105</v>
      </c>
      <c r="K1278" s="40" t="s">
        <v>7308</v>
      </c>
      <c r="L1278" s="37" t="s">
        <v>64</v>
      </c>
      <c r="M1278"/>
      <c r="N1278"/>
      <c r="X1278" s="25"/>
      <c r="Y1278" s="25"/>
      <c r="Z1278" s="25"/>
      <c r="AA1278" s="25"/>
      <c r="AB1278" s="25"/>
      <c r="AC1278" s="25"/>
      <c r="AD1278" s="25"/>
      <c r="AE1278" s="25"/>
      <c r="AF1278" s="25"/>
      <c r="AG1278" s="25"/>
      <c r="AH1278" s="25"/>
      <c r="AI1278" s="25"/>
      <c r="AJ1278" s="25"/>
      <c r="AK1278" s="25"/>
    </row>
    <row r="1279" spans="1:37">
      <c r="A1279" s="39"/>
      <c r="B1279" s="37" t="s">
        <v>7300</v>
      </c>
      <c r="C1279" s="37"/>
      <c r="D1279" s="37" t="s">
        <v>124</v>
      </c>
      <c r="E1279" s="37" t="s">
        <v>7309</v>
      </c>
      <c r="F1279" s="37" t="s">
        <v>7310</v>
      </c>
      <c r="G1279" s="37" t="s">
        <v>7301</v>
      </c>
      <c r="H1279" s="37"/>
      <c r="I1279" s="37" t="s">
        <v>7302</v>
      </c>
      <c r="J1279" s="37" t="s">
        <v>105</v>
      </c>
      <c r="K1279" s="40" t="s">
        <v>7308</v>
      </c>
      <c r="L1279" s="37" t="s">
        <v>64</v>
      </c>
      <c r="M1279"/>
      <c r="N1279"/>
      <c r="X1279" s="25"/>
      <c r="Y1279" s="25"/>
      <c r="Z1279" s="25"/>
      <c r="AA1279" s="25"/>
      <c r="AB1279" s="25"/>
      <c r="AC1279" s="25"/>
      <c r="AD1279" s="25"/>
      <c r="AE1279" s="25"/>
      <c r="AF1279" s="25"/>
      <c r="AG1279" s="25"/>
      <c r="AH1279" s="25"/>
      <c r="AI1279" s="25"/>
      <c r="AJ1279" s="25"/>
      <c r="AK1279" s="25"/>
    </row>
    <row r="1280" spans="1:37">
      <c r="A1280" s="39"/>
      <c r="B1280" s="37" t="s">
        <v>7311</v>
      </c>
      <c r="C1280" s="37"/>
      <c r="D1280" s="37" t="s">
        <v>539</v>
      </c>
      <c r="E1280" s="37" t="s">
        <v>7312</v>
      </c>
      <c r="F1280" s="37" t="s">
        <v>7313</v>
      </c>
      <c r="G1280" s="37" t="s">
        <v>7314</v>
      </c>
      <c r="H1280" s="37" t="s">
        <v>7315</v>
      </c>
      <c r="I1280" s="37" t="s">
        <v>421</v>
      </c>
      <c r="J1280" s="37" t="s">
        <v>230</v>
      </c>
      <c r="K1280" s="40" t="s">
        <v>7316</v>
      </c>
      <c r="L1280" s="37" t="s">
        <v>64</v>
      </c>
      <c r="M1280"/>
      <c r="N1280"/>
      <c r="X1280" s="25"/>
      <c r="Y1280" s="25"/>
      <c r="Z1280" s="25"/>
      <c r="AA1280" s="25"/>
      <c r="AB1280" s="25"/>
      <c r="AC1280" s="25"/>
      <c r="AD1280" s="25"/>
      <c r="AE1280" s="25"/>
      <c r="AF1280" s="25"/>
      <c r="AG1280" s="25"/>
      <c r="AH1280" s="25"/>
      <c r="AI1280" s="25"/>
      <c r="AJ1280" s="25"/>
      <c r="AK1280" s="25"/>
    </row>
    <row r="1281" spans="1:37">
      <c r="A1281" s="39"/>
      <c r="B1281" s="37" t="s">
        <v>7311</v>
      </c>
      <c r="C1281" s="37" t="s">
        <v>7317</v>
      </c>
      <c r="D1281" s="37" t="s">
        <v>3073</v>
      </c>
      <c r="E1281" s="37" t="s">
        <v>2080</v>
      </c>
      <c r="F1281" s="37" t="s">
        <v>7318</v>
      </c>
      <c r="G1281" s="37" t="s">
        <v>7314</v>
      </c>
      <c r="H1281" s="37" t="s">
        <v>7319</v>
      </c>
      <c r="I1281" s="37" t="s">
        <v>421</v>
      </c>
      <c r="J1281" s="37" t="s">
        <v>230</v>
      </c>
      <c r="K1281" s="40" t="s">
        <v>7316</v>
      </c>
      <c r="L1281" s="37" t="s">
        <v>64</v>
      </c>
      <c r="M1281"/>
      <c r="N1281"/>
      <c r="X1281" s="25"/>
      <c r="Y1281" s="25"/>
      <c r="Z1281" s="25"/>
      <c r="AA1281" s="25"/>
      <c r="AB1281" s="25"/>
      <c r="AC1281" s="25"/>
      <c r="AD1281" s="25"/>
      <c r="AE1281" s="25"/>
      <c r="AF1281" s="25"/>
      <c r="AG1281" s="25"/>
      <c r="AH1281" s="25"/>
      <c r="AI1281" s="25"/>
      <c r="AJ1281" s="25"/>
      <c r="AK1281" s="25"/>
    </row>
    <row r="1282" spans="1:37">
      <c r="A1282" s="39"/>
      <c r="B1282" s="37" t="s">
        <v>7320</v>
      </c>
      <c r="C1282" s="37" t="s">
        <v>7321</v>
      </c>
      <c r="D1282" s="37" t="s">
        <v>7322</v>
      </c>
      <c r="E1282" s="37" t="s">
        <v>1372</v>
      </c>
      <c r="F1282" s="37" t="s">
        <v>7323</v>
      </c>
      <c r="G1282" s="37" t="s">
        <v>7324</v>
      </c>
      <c r="H1282" s="37"/>
      <c r="I1282" s="37" t="s">
        <v>776</v>
      </c>
      <c r="J1282" s="37" t="s">
        <v>105</v>
      </c>
      <c r="K1282" s="40" t="s">
        <v>7325</v>
      </c>
      <c r="L1282" s="37" t="s">
        <v>64</v>
      </c>
      <c r="M1282"/>
      <c r="N1282"/>
      <c r="X1282" s="25"/>
      <c r="Y1282" s="25"/>
      <c r="Z1282" s="25"/>
      <c r="AA1282" s="25"/>
      <c r="AB1282" s="25"/>
      <c r="AC1282" s="25"/>
      <c r="AD1282" s="25"/>
      <c r="AE1282" s="25"/>
      <c r="AF1282" s="25"/>
      <c r="AG1282" s="25"/>
      <c r="AH1282" s="25"/>
      <c r="AI1282" s="25"/>
      <c r="AJ1282" s="25"/>
      <c r="AK1282" s="25"/>
    </row>
    <row r="1283" spans="1:37">
      <c r="A1283" s="39"/>
      <c r="B1283" s="37" t="s">
        <v>7326</v>
      </c>
      <c r="C1283" s="37" t="s">
        <v>7327</v>
      </c>
      <c r="D1283" s="37" t="s">
        <v>1975</v>
      </c>
      <c r="E1283" s="37" t="s">
        <v>7328</v>
      </c>
      <c r="F1283" s="37" t="s">
        <v>7329</v>
      </c>
      <c r="G1283" s="37" t="s">
        <v>7330</v>
      </c>
      <c r="H1283" s="37"/>
      <c r="I1283" s="37" t="s">
        <v>7105</v>
      </c>
      <c r="J1283" s="37" t="s">
        <v>121</v>
      </c>
      <c r="K1283" s="40" t="s">
        <v>6951</v>
      </c>
      <c r="L1283" s="37" t="s">
        <v>64</v>
      </c>
      <c r="M1283"/>
      <c r="N1283"/>
      <c r="X1283" s="25"/>
      <c r="Y1283" s="25"/>
      <c r="Z1283" s="25"/>
      <c r="AA1283" s="25"/>
      <c r="AB1283" s="25"/>
      <c r="AC1283" s="25"/>
      <c r="AD1283" s="25"/>
      <c r="AE1283" s="25"/>
      <c r="AF1283" s="25"/>
      <c r="AG1283" s="25"/>
      <c r="AH1283" s="25"/>
      <c r="AI1283" s="25"/>
      <c r="AJ1283" s="25"/>
      <c r="AK1283" s="25"/>
    </row>
    <row r="1284" spans="1:37">
      <c r="A1284" s="39"/>
      <c r="B1284" s="37" t="s">
        <v>7331</v>
      </c>
      <c r="C1284" s="37" t="s">
        <v>6804</v>
      </c>
      <c r="D1284" s="37" t="s">
        <v>799</v>
      </c>
      <c r="E1284" s="37" t="s">
        <v>7332</v>
      </c>
      <c r="F1284" s="37" t="s">
        <v>7333</v>
      </c>
      <c r="G1284" s="37" t="s">
        <v>7334</v>
      </c>
      <c r="H1284" s="37" t="s">
        <v>7335</v>
      </c>
      <c r="I1284" s="37" t="s">
        <v>7336</v>
      </c>
      <c r="J1284" s="37" t="s">
        <v>93</v>
      </c>
      <c r="K1284" s="40" t="s">
        <v>7337</v>
      </c>
      <c r="L1284" s="37" t="s">
        <v>64</v>
      </c>
      <c r="M1284"/>
      <c r="N1284"/>
      <c r="X1284" s="25"/>
      <c r="Y1284" s="25"/>
      <c r="Z1284" s="25"/>
      <c r="AA1284" s="25"/>
      <c r="AB1284" s="25"/>
      <c r="AC1284" s="25"/>
      <c r="AD1284" s="25"/>
      <c r="AE1284" s="25"/>
      <c r="AF1284" s="26"/>
      <c r="AG1284" s="25"/>
      <c r="AH1284" s="25"/>
      <c r="AI1284" s="25"/>
      <c r="AJ1284" s="25"/>
      <c r="AK1284" s="25"/>
    </row>
    <row r="1285" spans="1:37">
      <c r="A1285" s="39"/>
      <c r="B1285" s="37" t="s">
        <v>7338</v>
      </c>
      <c r="C1285" s="37" t="s">
        <v>7339</v>
      </c>
      <c r="D1285" s="37" t="s">
        <v>7340</v>
      </c>
      <c r="E1285" s="37" t="s">
        <v>7341</v>
      </c>
      <c r="F1285" s="37" t="s">
        <v>7342</v>
      </c>
      <c r="G1285" s="37" t="s">
        <v>7343</v>
      </c>
      <c r="H1285" s="37"/>
      <c r="I1285" s="37" t="s">
        <v>7344</v>
      </c>
      <c r="J1285" s="37" t="s">
        <v>93</v>
      </c>
      <c r="K1285" s="40" t="s">
        <v>7337</v>
      </c>
      <c r="L1285" s="37" t="s">
        <v>64</v>
      </c>
      <c r="M1285"/>
      <c r="N1285"/>
      <c r="X1285" s="25"/>
      <c r="Y1285" s="25"/>
      <c r="Z1285" s="25"/>
      <c r="AA1285" s="25"/>
      <c r="AB1285" s="25"/>
      <c r="AC1285" s="25"/>
      <c r="AD1285" s="25"/>
      <c r="AE1285" s="25"/>
      <c r="AF1285" s="25"/>
      <c r="AG1285" s="25"/>
      <c r="AH1285" s="25"/>
      <c r="AI1285" s="25"/>
      <c r="AJ1285" s="25"/>
      <c r="AK1285" s="25"/>
    </row>
    <row r="1286" spans="1:37">
      <c r="A1286" s="39"/>
      <c r="B1286" s="37" t="s">
        <v>7345</v>
      </c>
      <c r="C1286" s="37" t="s">
        <v>7346</v>
      </c>
      <c r="D1286" s="37" t="s">
        <v>179</v>
      </c>
      <c r="E1286" s="37" t="s">
        <v>7347</v>
      </c>
      <c r="F1286" s="37" t="s">
        <v>7348</v>
      </c>
      <c r="G1286" s="37" t="s">
        <v>7349</v>
      </c>
      <c r="H1286" s="37"/>
      <c r="I1286" s="37" t="s">
        <v>191</v>
      </c>
      <c r="J1286" s="37" t="s">
        <v>121</v>
      </c>
      <c r="K1286" s="40" t="s">
        <v>2108</v>
      </c>
      <c r="L1286" s="37" t="s">
        <v>64</v>
      </c>
      <c r="M1286"/>
      <c r="N1286"/>
      <c r="X1286" s="25"/>
      <c r="Y1286" s="25"/>
      <c r="Z1286" s="25"/>
      <c r="AA1286" s="25"/>
      <c r="AB1286" s="25"/>
      <c r="AC1286" s="25"/>
      <c r="AD1286" s="25"/>
      <c r="AE1286" s="25"/>
      <c r="AF1286" s="25"/>
      <c r="AG1286" s="25"/>
      <c r="AH1286" s="25"/>
      <c r="AI1286" s="25"/>
      <c r="AJ1286" s="25"/>
      <c r="AK1286" s="25"/>
    </row>
    <row r="1287" spans="1:37">
      <c r="A1287" s="39"/>
      <c r="B1287" s="37" t="s">
        <v>7350</v>
      </c>
      <c r="C1287" s="37" t="s">
        <v>7351</v>
      </c>
      <c r="D1287" s="37" t="s">
        <v>909</v>
      </c>
      <c r="E1287" s="37" t="s">
        <v>7352</v>
      </c>
      <c r="F1287" s="37" t="s">
        <v>7353</v>
      </c>
      <c r="G1287" s="37" t="s">
        <v>7354</v>
      </c>
      <c r="H1287" s="37" t="s">
        <v>7355</v>
      </c>
      <c r="I1287" s="37" t="s">
        <v>7162</v>
      </c>
      <c r="J1287" s="37" t="s">
        <v>121</v>
      </c>
      <c r="K1287" s="40" t="s">
        <v>6951</v>
      </c>
      <c r="L1287" s="37" t="s">
        <v>64</v>
      </c>
      <c r="M1287"/>
      <c r="N1287"/>
      <c r="X1287" s="25"/>
      <c r="Y1287" s="25"/>
      <c r="Z1287" s="25"/>
      <c r="AA1287" s="25"/>
      <c r="AB1287" s="25"/>
      <c r="AC1287" s="25"/>
      <c r="AD1287" s="25"/>
      <c r="AE1287" s="25"/>
      <c r="AF1287" s="25"/>
      <c r="AG1287" s="25"/>
      <c r="AH1287" s="25"/>
      <c r="AI1287" s="25"/>
      <c r="AJ1287" s="25"/>
      <c r="AK1287" s="25"/>
    </row>
    <row r="1288" spans="1:37">
      <c r="A1288" s="39"/>
      <c r="B1288" s="37" t="s">
        <v>7356</v>
      </c>
      <c r="C1288" s="37" t="s">
        <v>6877</v>
      </c>
      <c r="D1288" s="37" t="s">
        <v>7357</v>
      </c>
      <c r="E1288" s="37" t="s">
        <v>7358</v>
      </c>
      <c r="F1288" s="37" t="s">
        <v>7359</v>
      </c>
      <c r="G1288" s="37" t="s">
        <v>7360</v>
      </c>
      <c r="H1288" s="37"/>
      <c r="I1288" s="37" t="s">
        <v>7361</v>
      </c>
      <c r="J1288" s="37" t="s">
        <v>70</v>
      </c>
      <c r="K1288" s="40" t="s">
        <v>7362</v>
      </c>
      <c r="L1288" s="37" t="s">
        <v>64</v>
      </c>
      <c r="M1288"/>
      <c r="N1288"/>
      <c r="X1288" s="25"/>
      <c r="Y1288" s="25"/>
      <c r="Z1288" s="25"/>
      <c r="AA1288" s="25"/>
      <c r="AB1288" s="25"/>
      <c r="AC1288" s="25"/>
      <c r="AD1288" s="25"/>
      <c r="AE1288" s="25"/>
      <c r="AF1288" s="25"/>
      <c r="AG1288" s="25"/>
      <c r="AH1288" s="25"/>
      <c r="AI1288" s="25"/>
      <c r="AJ1288" s="25"/>
      <c r="AK1288" s="25"/>
    </row>
    <row r="1289" spans="1:37">
      <c r="A1289" s="39"/>
      <c r="B1289" s="37" t="s">
        <v>7363</v>
      </c>
      <c r="C1289" s="37" t="s">
        <v>6804</v>
      </c>
      <c r="D1289" s="37" t="s">
        <v>464</v>
      </c>
      <c r="E1289" s="37" t="s">
        <v>7364</v>
      </c>
      <c r="F1289" s="37" t="s">
        <v>7365</v>
      </c>
      <c r="G1289" s="37" t="s">
        <v>7366</v>
      </c>
      <c r="H1289" s="37"/>
      <c r="I1289" s="37" t="s">
        <v>994</v>
      </c>
      <c r="J1289" s="37" t="s">
        <v>105</v>
      </c>
      <c r="K1289" s="40" t="s">
        <v>7367</v>
      </c>
      <c r="L1289" s="37" t="s">
        <v>64</v>
      </c>
      <c r="M1289"/>
      <c r="N1289"/>
      <c r="X1289" s="25"/>
      <c r="Y1289" s="25"/>
      <c r="Z1289" s="25"/>
      <c r="AA1289" s="25"/>
      <c r="AB1289" s="25"/>
      <c r="AC1289" s="25"/>
      <c r="AD1289" s="25"/>
      <c r="AE1289" s="25"/>
      <c r="AF1289" s="25"/>
      <c r="AG1289" s="25"/>
      <c r="AH1289" s="25"/>
      <c r="AI1289" s="25"/>
      <c r="AJ1289" s="25"/>
      <c r="AK1289" s="25"/>
    </row>
    <row r="1290" spans="1:37">
      <c r="A1290" s="39"/>
      <c r="B1290" s="37" t="s">
        <v>7368</v>
      </c>
      <c r="C1290" s="37" t="s">
        <v>7369</v>
      </c>
      <c r="D1290" s="37" t="s">
        <v>1025</v>
      </c>
      <c r="E1290" s="37" t="s">
        <v>7370</v>
      </c>
      <c r="F1290" s="38" t="s">
        <v>5739</v>
      </c>
      <c r="G1290" s="37" t="s">
        <v>7371</v>
      </c>
      <c r="H1290" s="37"/>
      <c r="I1290" s="37" t="s">
        <v>7372</v>
      </c>
      <c r="J1290" s="37" t="s">
        <v>313</v>
      </c>
      <c r="K1290" s="40" t="s">
        <v>7373</v>
      </c>
      <c r="L1290" s="37" t="s">
        <v>64</v>
      </c>
      <c r="M1290"/>
      <c r="N1290"/>
      <c r="X1290" s="25"/>
      <c r="Y1290" s="25"/>
      <c r="Z1290" s="25"/>
      <c r="AA1290" s="25"/>
      <c r="AB1290" s="25"/>
      <c r="AC1290" s="25"/>
      <c r="AD1290" s="25"/>
      <c r="AE1290" s="25"/>
      <c r="AF1290" s="25"/>
      <c r="AG1290" s="25"/>
      <c r="AH1290" s="25"/>
      <c r="AI1290" s="25"/>
      <c r="AJ1290" s="25"/>
      <c r="AK1290" s="25"/>
    </row>
    <row r="1291" spans="1:37">
      <c r="A1291" s="39"/>
      <c r="B1291" s="37" t="s">
        <v>7374</v>
      </c>
      <c r="C1291" s="37" t="s">
        <v>6804</v>
      </c>
      <c r="D1291" s="37" t="s">
        <v>7375</v>
      </c>
      <c r="E1291" s="37" t="s">
        <v>7376</v>
      </c>
      <c r="F1291" s="37" t="s">
        <v>7377</v>
      </c>
      <c r="G1291" s="37" t="s">
        <v>7378</v>
      </c>
      <c r="H1291" s="37"/>
      <c r="I1291" s="37" t="s">
        <v>193</v>
      </c>
      <c r="J1291" s="37" t="s">
        <v>153</v>
      </c>
      <c r="K1291" s="40" t="s">
        <v>7379</v>
      </c>
      <c r="L1291" s="37" t="s">
        <v>64</v>
      </c>
      <c r="M1291"/>
      <c r="N1291"/>
      <c r="X1291" s="25"/>
      <c r="Y1291" s="25"/>
      <c r="Z1291" s="25"/>
      <c r="AA1291" s="25"/>
      <c r="AB1291" s="25"/>
      <c r="AC1291" s="25"/>
      <c r="AD1291" s="25"/>
      <c r="AE1291" s="25"/>
      <c r="AF1291" s="25"/>
      <c r="AG1291" s="25"/>
      <c r="AH1291" s="25"/>
      <c r="AI1291" s="25"/>
      <c r="AJ1291" s="25"/>
      <c r="AK1291" s="25"/>
    </row>
    <row r="1292" spans="1:37">
      <c r="A1292" s="39"/>
      <c r="B1292" s="37" t="s">
        <v>7380</v>
      </c>
      <c r="C1292" s="37" t="s">
        <v>7381</v>
      </c>
      <c r="D1292" s="37" t="s">
        <v>854</v>
      </c>
      <c r="E1292" s="37" t="s">
        <v>7382</v>
      </c>
      <c r="F1292" s="37" t="s">
        <v>7383</v>
      </c>
      <c r="G1292" s="37" t="s">
        <v>7384</v>
      </c>
      <c r="H1292" s="37"/>
      <c r="I1292" s="37" t="s">
        <v>427</v>
      </c>
      <c r="J1292" s="37" t="s">
        <v>256</v>
      </c>
      <c r="K1292" s="40" t="s">
        <v>7385</v>
      </c>
      <c r="L1292" s="37" t="s">
        <v>64</v>
      </c>
      <c r="M1292"/>
      <c r="N1292"/>
      <c r="X1292" s="25"/>
      <c r="Y1292" s="25"/>
      <c r="Z1292" s="25"/>
      <c r="AA1292" s="25"/>
      <c r="AB1292" s="25"/>
      <c r="AC1292" s="25"/>
      <c r="AD1292" s="25"/>
      <c r="AE1292" s="25"/>
      <c r="AF1292" s="25"/>
      <c r="AG1292" s="25"/>
      <c r="AH1292" s="25"/>
      <c r="AI1292" s="25"/>
      <c r="AJ1292" s="25"/>
      <c r="AK1292" s="25"/>
    </row>
    <row r="1293" spans="1:37">
      <c r="A1293" s="39"/>
      <c r="B1293" s="37" t="s">
        <v>7386</v>
      </c>
      <c r="C1293" s="37"/>
      <c r="D1293" s="37" t="s">
        <v>955</v>
      </c>
      <c r="E1293" s="37" t="s">
        <v>7387</v>
      </c>
      <c r="F1293" s="37" t="s">
        <v>7388</v>
      </c>
      <c r="G1293" s="37" t="s">
        <v>7389</v>
      </c>
      <c r="H1293" s="37"/>
      <c r="I1293" s="37" t="s">
        <v>7390</v>
      </c>
      <c r="J1293" s="37" t="s">
        <v>334</v>
      </c>
      <c r="K1293" s="40" t="s">
        <v>7391</v>
      </c>
      <c r="L1293" s="37" t="s">
        <v>64</v>
      </c>
      <c r="M1293"/>
      <c r="N1293"/>
      <c r="X1293" s="25"/>
      <c r="Y1293" s="25"/>
      <c r="Z1293" s="25"/>
      <c r="AA1293" s="25"/>
      <c r="AB1293" s="25"/>
      <c r="AC1293" s="25"/>
      <c r="AD1293" s="25"/>
      <c r="AE1293" s="25"/>
      <c r="AF1293" s="25"/>
      <c r="AG1293" s="25"/>
      <c r="AH1293" s="25"/>
      <c r="AI1293" s="25"/>
      <c r="AJ1293" s="25"/>
      <c r="AK1293" s="25"/>
    </row>
    <row r="1294" spans="1:37">
      <c r="A1294" s="39"/>
      <c r="B1294" s="37" t="s">
        <v>7392</v>
      </c>
      <c r="C1294" s="37"/>
      <c r="D1294" s="37" t="s">
        <v>1284</v>
      </c>
      <c r="E1294" s="37" t="s">
        <v>7393</v>
      </c>
      <c r="F1294" s="37" t="s">
        <v>7394</v>
      </c>
      <c r="G1294" s="37" t="s">
        <v>7395</v>
      </c>
      <c r="H1294" s="37"/>
      <c r="I1294" s="37" t="s">
        <v>7396</v>
      </c>
      <c r="J1294" s="37" t="s">
        <v>93</v>
      </c>
      <c r="K1294" s="40" t="s">
        <v>7397</v>
      </c>
      <c r="L1294" s="37" t="s">
        <v>64</v>
      </c>
      <c r="M1294"/>
      <c r="N1294"/>
      <c r="X1294" s="25"/>
      <c r="Y1294" s="25"/>
      <c r="Z1294" s="25"/>
      <c r="AA1294" s="25"/>
      <c r="AB1294" s="25"/>
      <c r="AC1294" s="25"/>
      <c r="AD1294" s="25"/>
      <c r="AE1294" s="25"/>
      <c r="AF1294" s="25"/>
      <c r="AG1294" s="25"/>
      <c r="AH1294" s="25"/>
      <c r="AI1294" s="25"/>
      <c r="AJ1294" s="25"/>
      <c r="AK1294" s="25"/>
    </row>
    <row r="1295" spans="1:37">
      <c r="A1295" s="39"/>
      <c r="B1295" s="37" t="s">
        <v>7398</v>
      </c>
      <c r="C1295" s="37" t="s">
        <v>7399</v>
      </c>
      <c r="D1295" s="37" t="s">
        <v>995</v>
      </c>
      <c r="E1295" s="37" t="s">
        <v>323</v>
      </c>
      <c r="F1295" s="37" t="s">
        <v>7400</v>
      </c>
      <c r="G1295" s="37" t="s">
        <v>7401</v>
      </c>
      <c r="H1295" s="37"/>
      <c r="I1295" s="37" t="s">
        <v>7402</v>
      </c>
      <c r="J1295" s="37" t="s">
        <v>105</v>
      </c>
      <c r="K1295" s="40" t="s">
        <v>1397</v>
      </c>
      <c r="L1295" s="37" t="s">
        <v>64</v>
      </c>
      <c r="M1295"/>
      <c r="N1295"/>
      <c r="X1295" s="25"/>
      <c r="Y1295" s="25"/>
      <c r="Z1295" s="25"/>
      <c r="AA1295" s="25"/>
      <c r="AB1295" s="25"/>
      <c r="AC1295" s="25"/>
      <c r="AD1295" s="25"/>
      <c r="AE1295" s="25"/>
      <c r="AF1295" s="25"/>
      <c r="AG1295" s="25"/>
      <c r="AH1295" s="25"/>
      <c r="AI1295" s="25"/>
      <c r="AJ1295" s="25"/>
      <c r="AK1295" s="25"/>
    </row>
    <row r="1296" spans="1:37">
      <c r="A1296" s="39"/>
      <c r="B1296" s="37" t="s">
        <v>7398</v>
      </c>
      <c r="C1296" s="37" t="s">
        <v>6917</v>
      </c>
      <c r="D1296" s="37" t="s">
        <v>7403</v>
      </c>
      <c r="E1296" s="37" t="s">
        <v>7404</v>
      </c>
      <c r="F1296" s="37" t="s">
        <v>7405</v>
      </c>
      <c r="G1296" s="37" t="s">
        <v>7406</v>
      </c>
      <c r="H1296" s="37"/>
      <c r="I1296" s="37" t="s">
        <v>1396</v>
      </c>
      <c r="J1296" s="37" t="s">
        <v>105</v>
      </c>
      <c r="K1296" s="40" t="s">
        <v>1397</v>
      </c>
      <c r="L1296" s="37" t="s">
        <v>64</v>
      </c>
      <c r="M1296"/>
      <c r="N1296"/>
      <c r="X1296" s="25"/>
      <c r="Y1296" s="25"/>
      <c r="Z1296" s="25"/>
      <c r="AA1296" s="25"/>
      <c r="AB1296" s="25"/>
      <c r="AC1296" s="25"/>
      <c r="AD1296" s="25"/>
      <c r="AE1296" s="25"/>
      <c r="AF1296" s="25"/>
      <c r="AG1296" s="25"/>
      <c r="AH1296" s="25"/>
      <c r="AI1296" s="25"/>
      <c r="AJ1296" s="25"/>
      <c r="AK1296" s="25"/>
    </row>
    <row r="1297" spans="1:37">
      <c r="A1297" s="39"/>
      <c r="B1297" s="37" t="s">
        <v>7407</v>
      </c>
      <c r="C1297" s="37" t="s">
        <v>7408</v>
      </c>
      <c r="D1297" s="37" t="s">
        <v>179</v>
      </c>
      <c r="E1297" s="37" t="s">
        <v>7409</v>
      </c>
      <c r="F1297" s="37" t="s">
        <v>7410</v>
      </c>
      <c r="G1297" s="37" t="s">
        <v>7411</v>
      </c>
      <c r="H1297" s="37"/>
      <c r="I1297" s="37" t="s">
        <v>420</v>
      </c>
      <c r="J1297" s="37" t="s">
        <v>75</v>
      </c>
      <c r="K1297" s="40" t="s">
        <v>3231</v>
      </c>
      <c r="L1297" s="37" t="s">
        <v>64</v>
      </c>
      <c r="M1297"/>
      <c r="N1297"/>
      <c r="X1297" s="25"/>
      <c r="Y1297" s="25"/>
      <c r="Z1297" s="25"/>
      <c r="AA1297" s="25"/>
      <c r="AB1297" s="25"/>
      <c r="AC1297" s="25"/>
      <c r="AD1297" s="25"/>
      <c r="AE1297" s="25"/>
      <c r="AF1297" s="25"/>
      <c r="AG1297" s="25"/>
      <c r="AH1297" s="25"/>
      <c r="AI1297" s="25"/>
      <c r="AJ1297" s="25"/>
      <c r="AK1297" s="25"/>
    </row>
    <row r="1298" spans="1:37">
      <c r="A1298" s="39"/>
      <c r="B1298" s="37" t="s">
        <v>7412</v>
      </c>
      <c r="C1298" s="37" t="s">
        <v>7413</v>
      </c>
      <c r="D1298" s="37" t="s">
        <v>5953</v>
      </c>
      <c r="E1298" s="37" t="s">
        <v>3175</v>
      </c>
      <c r="F1298" s="37" t="s">
        <v>7414</v>
      </c>
      <c r="G1298" s="37" t="s">
        <v>7415</v>
      </c>
      <c r="H1298" s="37" t="s">
        <v>7416</v>
      </c>
      <c r="I1298" s="37" t="s">
        <v>120</v>
      </c>
      <c r="J1298" s="37" t="s">
        <v>121</v>
      </c>
      <c r="K1298" s="40" t="s">
        <v>122</v>
      </c>
      <c r="L1298" s="37" t="s">
        <v>64</v>
      </c>
      <c r="M1298"/>
      <c r="N1298"/>
      <c r="X1298" s="25"/>
      <c r="Y1298" s="25"/>
      <c r="Z1298" s="25"/>
      <c r="AA1298" s="25"/>
      <c r="AB1298" s="25"/>
      <c r="AC1298" s="25"/>
      <c r="AD1298" s="25"/>
      <c r="AE1298" s="25"/>
      <c r="AF1298" s="25"/>
      <c r="AG1298" s="25"/>
      <c r="AH1298" s="25"/>
      <c r="AI1298" s="25"/>
      <c r="AJ1298" s="25"/>
      <c r="AK1298" s="25"/>
    </row>
    <row r="1299" spans="1:37">
      <c r="A1299" s="39"/>
      <c r="B1299" s="37" t="s">
        <v>7417</v>
      </c>
      <c r="C1299" s="37"/>
      <c r="D1299" s="37" t="s">
        <v>7418</v>
      </c>
      <c r="E1299" s="37" t="s">
        <v>7419</v>
      </c>
      <c r="F1299" s="37" t="s">
        <v>7420</v>
      </c>
      <c r="G1299" s="37" t="s">
        <v>7421</v>
      </c>
      <c r="H1299" s="37"/>
      <c r="I1299" s="37" t="s">
        <v>7422</v>
      </c>
      <c r="J1299" s="37"/>
      <c r="K1299" s="40" t="s">
        <v>7423</v>
      </c>
      <c r="L1299" s="37" t="s">
        <v>7424</v>
      </c>
      <c r="M1299"/>
      <c r="N1299"/>
      <c r="X1299" s="25"/>
      <c r="Y1299" s="25"/>
      <c r="Z1299" s="25"/>
      <c r="AA1299" s="25"/>
      <c r="AB1299" s="25"/>
      <c r="AC1299" s="25"/>
      <c r="AD1299" s="25"/>
      <c r="AE1299" s="25"/>
      <c r="AF1299" s="25"/>
      <c r="AG1299" s="25"/>
      <c r="AH1299" s="25"/>
      <c r="AI1299" s="25"/>
      <c r="AJ1299" s="25"/>
      <c r="AK1299" s="25"/>
    </row>
    <row r="1300" spans="1:37">
      <c r="A1300" s="39"/>
      <c r="B1300" s="37" t="s">
        <v>7417</v>
      </c>
      <c r="C1300" s="37" t="s">
        <v>7425</v>
      </c>
      <c r="D1300" s="37" t="s">
        <v>1533</v>
      </c>
      <c r="E1300" s="37" t="s">
        <v>7426</v>
      </c>
      <c r="F1300" s="37" t="s">
        <v>7427</v>
      </c>
      <c r="G1300" s="37" t="s">
        <v>7428</v>
      </c>
      <c r="H1300" s="37"/>
      <c r="I1300" s="37" t="s">
        <v>191</v>
      </c>
      <c r="J1300" s="37" t="s">
        <v>121</v>
      </c>
      <c r="K1300" s="40" t="s">
        <v>2108</v>
      </c>
      <c r="L1300" s="37" t="s">
        <v>64</v>
      </c>
      <c r="M1300"/>
      <c r="N1300"/>
      <c r="X1300" s="25"/>
      <c r="Y1300" s="25"/>
      <c r="Z1300" s="25"/>
      <c r="AA1300" s="25"/>
      <c r="AB1300" s="25"/>
      <c r="AC1300" s="25"/>
      <c r="AD1300" s="25"/>
      <c r="AE1300" s="25"/>
      <c r="AF1300" s="25"/>
      <c r="AG1300" s="25"/>
      <c r="AH1300" s="25"/>
      <c r="AI1300" s="25"/>
      <c r="AJ1300" s="25"/>
      <c r="AK1300" s="25"/>
    </row>
    <row r="1301" spans="1:37">
      <c r="A1301" s="39"/>
      <c r="B1301" s="37" t="s">
        <v>7417</v>
      </c>
      <c r="C1301" s="37"/>
      <c r="D1301" s="37" t="s">
        <v>974</v>
      </c>
      <c r="E1301" s="37" t="s">
        <v>2660</v>
      </c>
      <c r="F1301" s="37" t="s">
        <v>7429</v>
      </c>
      <c r="G1301" s="37" t="s">
        <v>7430</v>
      </c>
      <c r="H1301" s="37"/>
      <c r="I1301" s="37" t="s">
        <v>82</v>
      </c>
      <c r="J1301" s="37" t="s">
        <v>83</v>
      </c>
      <c r="K1301" s="40" t="s">
        <v>4294</v>
      </c>
      <c r="L1301" s="37" t="s">
        <v>64</v>
      </c>
      <c r="M1301"/>
      <c r="N1301"/>
      <c r="X1301" s="25"/>
      <c r="Y1301" s="25"/>
      <c r="Z1301" s="25"/>
      <c r="AA1301" s="25"/>
      <c r="AB1301" s="25"/>
      <c r="AC1301" s="25"/>
      <c r="AD1301" s="25"/>
      <c r="AE1301" s="25"/>
      <c r="AF1301" s="25"/>
      <c r="AG1301" s="25"/>
      <c r="AH1301" s="25"/>
      <c r="AI1301" s="25"/>
      <c r="AJ1301" s="25"/>
      <c r="AK1301" s="25"/>
    </row>
    <row r="1302" spans="1:37">
      <c r="A1302" s="39"/>
      <c r="B1302" s="37" t="s">
        <v>7431</v>
      </c>
      <c r="C1302" s="37" t="s">
        <v>7432</v>
      </c>
      <c r="D1302" s="37" t="s">
        <v>1368</v>
      </c>
      <c r="E1302" s="37" t="s">
        <v>2798</v>
      </c>
      <c r="F1302" s="37" t="s">
        <v>7433</v>
      </c>
      <c r="G1302" s="37" t="s">
        <v>7434</v>
      </c>
      <c r="H1302" s="37"/>
      <c r="I1302" s="37" t="s">
        <v>6831</v>
      </c>
      <c r="J1302" s="37" t="s">
        <v>121</v>
      </c>
      <c r="K1302" s="40" t="s">
        <v>7435</v>
      </c>
      <c r="L1302" s="37" t="s">
        <v>64</v>
      </c>
      <c r="M1302"/>
      <c r="N1302"/>
      <c r="X1302" s="25"/>
      <c r="Y1302" s="25"/>
      <c r="Z1302" s="25"/>
      <c r="AA1302" s="25"/>
      <c r="AB1302" s="25"/>
      <c r="AC1302" s="25"/>
      <c r="AD1302" s="25"/>
      <c r="AE1302" s="25"/>
      <c r="AF1302" s="25"/>
      <c r="AG1302" s="25"/>
      <c r="AH1302" s="25"/>
      <c r="AI1302" s="25"/>
      <c r="AJ1302" s="25"/>
      <c r="AK1302" s="25"/>
    </row>
    <row r="1303" spans="1:37">
      <c r="A1303" s="39"/>
      <c r="B1303" s="37" t="s">
        <v>7436</v>
      </c>
      <c r="C1303" s="37" t="s">
        <v>7437</v>
      </c>
      <c r="D1303" s="37" t="s">
        <v>1582</v>
      </c>
      <c r="E1303" s="37" t="s">
        <v>642</v>
      </c>
      <c r="F1303" s="37" t="s">
        <v>7438</v>
      </c>
      <c r="G1303" s="37" t="s">
        <v>7439</v>
      </c>
      <c r="H1303" s="37"/>
      <c r="I1303" s="37" t="s">
        <v>191</v>
      </c>
      <c r="J1303" s="37" t="s">
        <v>121</v>
      </c>
      <c r="K1303" s="40" t="s">
        <v>2108</v>
      </c>
      <c r="L1303" s="37" t="s">
        <v>64</v>
      </c>
      <c r="M1303"/>
      <c r="N1303"/>
      <c r="X1303" s="25"/>
      <c r="Y1303" s="25"/>
      <c r="Z1303" s="25"/>
      <c r="AA1303" s="25"/>
      <c r="AB1303" s="25"/>
      <c r="AC1303" s="25"/>
      <c r="AD1303" s="25"/>
      <c r="AE1303" s="25"/>
      <c r="AF1303" s="25"/>
      <c r="AG1303" s="25"/>
      <c r="AH1303" s="25"/>
      <c r="AI1303" s="25"/>
      <c r="AJ1303" s="25"/>
      <c r="AK1303" s="25"/>
    </row>
    <row r="1304" spans="1:37">
      <c r="A1304" s="39"/>
      <c r="B1304" s="37" t="s">
        <v>7440</v>
      </c>
      <c r="C1304" s="37" t="s">
        <v>7441</v>
      </c>
      <c r="D1304" s="37" t="s">
        <v>7442</v>
      </c>
      <c r="E1304" s="37" t="s">
        <v>2242</v>
      </c>
      <c r="F1304" s="37" t="s">
        <v>7443</v>
      </c>
      <c r="G1304" s="37" t="s">
        <v>7444</v>
      </c>
      <c r="H1304" s="37"/>
      <c r="I1304" s="37" t="s">
        <v>82</v>
      </c>
      <c r="J1304" s="37" t="s">
        <v>83</v>
      </c>
      <c r="K1304" s="40" t="s">
        <v>4294</v>
      </c>
      <c r="L1304" s="37" t="s">
        <v>64</v>
      </c>
      <c r="M1304"/>
      <c r="N1304"/>
      <c r="X1304" s="25"/>
      <c r="Y1304" s="25"/>
      <c r="Z1304" s="25"/>
      <c r="AA1304" s="25"/>
      <c r="AB1304" s="25"/>
      <c r="AC1304" s="25"/>
      <c r="AD1304" s="25"/>
      <c r="AE1304" s="25"/>
      <c r="AF1304" s="25"/>
      <c r="AG1304" s="25"/>
      <c r="AH1304" s="25"/>
      <c r="AI1304" s="25"/>
      <c r="AJ1304" s="25"/>
      <c r="AK1304" s="25"/>
    </row>
    <row r="1305" spans="1:37">
      <c r="A1305" s="39"/>
      <c r="B1305" s="37" t="s">
        <v>7445</v>
      </c>
      <c r="C1305" s="37"/>
      <c r="D1305" s="37" t="s">
        <v>2334</v>
      </c>
      <c r="E1305" s="37" t="s">
        <v>7446</v>
      </c>
      <c r="F1305" s="37" t="s">
        <v>7447</v>
      </c>
      <c r="G1305" s="37" t="s">
        <v>7448</v>
      </c>
      <c r="H1305" s="37" t="s">
        <v>3116</v>
      </c>
      <c r="I1305" s="37" t="s">
        <v>3251</v>
      </c>
      <c r="J1305" s="37" t="s">
        <v>121</v>
      </c>
      <c r="K1305" s="40" t="s">
        <v>4968</v>
      </c>
      <c r="L1305" s="37" t="s">
        <v>64</v>
      </c>
      <c r="M1305"/>
      <c r="N1305"/>
      <c r="X1305" s="25"/>
      <c r="Y1305" s="25"/>
      <c r="Z1305" s="25"/>
      <c r="AA1305" s="25"/>
      <c r="AB1305" s="25"/>
      <c r="AC1305" s="25"/>
      <c r="AD1305" s="25"/>
      <c r="AE1305" s="25"/>
      <c r="AF1305" s="25"/>
      <c r="AG1305" s="25"/>
      <c r="AH1305" s="25"/>
      <c r="AI1305" s="25"/>
      <c r="AJ1305" s="25"/>
      <c r="AK1305" s="25"/>
    </row>
    <row r="1306" spans="1:37">
      <c r="A1306" s="39"/>
      <c r="B1306" s="37" t="s">
        <v>7449</v>
      </c>
      <c r="C1306" s="37"/>
      <c r="D1306" s="37" t="s">
        <v>7450</v>
      </c>
      <c r="E1306" s="37" t="s">
        <v>7451</v>
      </c>
      <c r="F1306" s="37" t="s">
        <v>7452</v>
      </c>
      <c r="G1306" s="37" t="s">
        <v>7453</v>
      </c>
      <c r="H1306" s="37"/>
      <c r="I1306" s="37" t="s">
        <v>319</v>
      </c>
      <c r="J1306" s="37" t="s">
        <v>320</v>
      </c>
      <c r="K1306" s="40" t="s">
        <v>7454</v>
      </c>
      <c r="L1306" s="37" t="s">
        <v>64</v>
      </c>
      <c r="M1306"/>
      <c r="N1306"/>
      <c r="X1306" s="25"/>
      <c r="Y1306" s="25"/>
      <c r="Z1306" s="25"/>
      <c r="AA1306" s="25"/>
      <c r="AB1306" s="25"/>
      <c r="AC1306" s="25"/>
      <c r="AD1306" s="25"/>
      <c r="AE1306" s="25"/>
      <c r="AF1306" s="25"/>
      <c r="AG1306" s="25"/>
      <c r="AH1306" s="25"/>
      <c r="AI1306" s="25"/>
      <c r="AJ1306" s="25"/>
      <c r="AK1306" s="25"/>
    </row>
    <row r="1307" spans="1:37">
      <c r="A1307" s="39"/>
      <c r="B1307" s="37" t="s">
        <v>7449</v>
      </c>
      <c r="C1307" s="37" t="s">
        <v>7455</v>
      </c>
      <c r="D1307" s="37" t="s">
        <v>160</v>
      </c>
      <c r="E1307" s="37" t="s">
        <v>7456</v>
      </c>
      <c r="F1307" s="37" t="s">
        <v>7457</v>
      </c>
      <c r="G1307" s="37" t="s">
        <v>7458</v>
      </c>
      <c r="H1307" s="37"/>
      <c r="I1307" s="37" t="s">
        <v>7459</v>
      </c>
      <c r="J1307" s="37" t="s">
        <v>125</v>
      </c>
      <c r="K1307" s="40" t="s">
        <v>7460</v>
      </c>
      <c r="L1307" s="37" t="s">
        <v>64</v>
      </c>
      <c r="M1307"/>
      <c r="N1307"/>
      <c r="X1307" s="25"/>
      <c r="Y1307" s="25"/>
      <c r="Z1307" s="25"/>
      <c r="AA1307" s="25"/>
      <c r="AB1307" s="25"/>
      <c r="AC1307" s="25"/>
      <c r="AD1307" s="25"/>
      <c r="AE1307" s="25"/>
      <c r="AF1307" s="25"/>
      <c r="AG1307" s="25"/>
      <c r="AH1307" s="25"/>
      <c r="AI1307" s="25"/>
      <c r="AJ1307" s="25"/>
      <c r="AK1307" s="25"/>
    </row>
    <row r="1308" spans="1:37">
      <c r="A1308" s="39"/>
      <c r="B1308" s="37" t="s">
        <v>7449</v>
      </c>
      <c r="C1308" s="37" t="s">
        <v>7461</v>
      </c>
      <c r="D1308" s="37" t="s">
        <v>7462</v>
      </c>
      <c r="E1308" s="37" t="s">
        <v>6982</v>
      </c>
      <c r="F1308" s="37" t="s">
        <v>7463</v>
      </c>
      <c r="G1308" s="37" t="s">
        <v>7464</v>
      </c>
      <c r="H1308" s="37"/>
      <c r="I1308" s="37" t="s">
        <v>319</v>
      </c>
      <c r="J1308" s="37" t="s">
        <v>320</v>
      </c>
      <c r="K1308" s="40" t="s">
        <v>7454</v>
      </c>
      <c r="L1308" s="37" t="s">
        <v>64</v>
      </c>
      <c r="M1308"/>
      <c r="N1308"/>
      <c r="X1308" s="25"/>
      <c r="Y1308" s="25"/>
      <c r="Z1308" s="25"/>
      <c r="AA1308" s="25"/>
      <c r="AB1308" s="25"/>
      <c r="AC1308" s="25"/>
      <c r="AD1308" s="25"/>
      <c r="AE1308" s="25"/>
      <c r="AF1308" s="25"/>
      <c r="AG1308" s="25"/>
      <c r="AH1308" s="25"/>
      <c r="AI1308" s="25"/>
      <c r="AJ1308" s="25"/>
      <c r="AK1308" s="25"/>
    </row>
    <row r="1309" spans="1:37">
      <c r="A1309" s="39"/>
      <c r="B1309" s="37" t="s">
        <v>7465</v>
      </c>
      <c r="C1309" s="37" t="s">
        <v>7466</v>
      </c>
      <c r="D1309" s="37" t="s">
        <v>7467</v>
      </c>
      <c r="E1309" s="37" t="s">
        <v>7468</v>
      </c>
      <c r="F1309" s="37" t="s">
        <v>7469</v>
      </c>
      <c r="G1309" s="37" t="s">
        <v>7470</v>
      </c>
      <c r="H1309" s="37"/>
      <c r="I1309" s="37" t="s">
        <v>7471</v>
      </c>
      <c r="J1309" s="37" t="s">
        <v>70</v>
      </c>
      <c r="K1309" s="40" t="s">
        <v>7472</v>
      </c>
      <c r="L1309" s="37" t="s">
        <v>64</v>
      </c>
      <c r="M1309"/>
      <c r="N1309"/>
      <c r="X1309" s="25"/>
      <c r="Y1309" s="25"/>
      <c r="Z1309" s="25"/>
      <c r="AA1309" s="25"/>
      <c r="AB1309" s="25"/>
      <c r="AC1309" s="25"/>
      <c r="AD1309" s="25"/>
      <c r="AE1309" s="25"/>
      <c r="AF1309" s="25"/>
      <c r="AG1309" s="25"/>
      <c r="AH1309" s="25"/>
      <c r="AI1309" s="25"/>
      <c r="AJ1309" s="25"/>
      <c r="AK1309" s="25"/>
    </row>
    <row r="1310" spans="1:37">
      <c r="A1310" s="39"/>
      <c r="B1310" s="37" t="s">
        <v>7473</v>
      </c>
      <c r="C1310" s="37"/>
      <c r="D1310" s="37" t="s">
        <v>7474</v>
      </c>
      <c r="E1310" s="37" t="s">
        <v>1184</v>
      </c>
      <c r="F1310" s="37" t="s">
        <v>7475</v>
      </c>
      <c r="G1310" s="37" t="s">
        <v>7476</v>
      </c>
      <c r="H1310" s="37" t="s">
        <v>1849</v>
      </c>
      <c r="I1310" s="37" t="s">
        <v>1850</v>
      </c>
      <c r="J1310" s="37" t="s">
        <v>1851</v>
      </c>
      <c r="K1310" s="40" t="s">
        <v>7477</v>
      </c>
      <c r="L1310" s="37" t="s">
        <v>64</v>
      </c>
      <c r="M1310"/>
      <c r="N1310"/>
      <c r="X1310" s="25"/>
      <c r="Y1310" s="25"/>
      <c r="Z1310" s="25"/>
      <c r="AA1310" s="25"/>
      <c r="AB1310" s="25"/>
      <c r="AC1310" s="25"/>
      <c r="AD1310" s="25"/>
      <c r="AE1310" s="25"/>
      <c r="AF1310" s="25"/>
      <c r="AG1310" s="25"/>
      <c r="AH1310" s="25"/>
      <c r="AI1310" s="25"/>
      <c r="AJ1310" s="25"/>
      <c r="AK1310" s="25"/>
    </row>
    <row r="1311" spans="1:37">
      <c r="A1311" s="39"/>
      <c r="B1311" s="37" t="s">
        <v>7478</v>
      </c>
      <c r="C1311" s="37" t="s">
        <v>7479</v>
      </c>
      <c r="D1311" s="37" t="s">
        <v>7480</v>
      </c>
      <c r="E1311" s="37" t="s">
        <v>7481</v>
      </c>
      <c r="F1311" s="37" t="s">
        <v>7482</v>
      </c>
      <c r="G1311" s="37" t="s">
        <v>7483</v>
      </c>
      <c r="H1311" s="37" t="s">
        <v>4080</v>
      </c>
      <c r="I1311" s="37" t="s">
        <v>999</v>
      </c>
      <c r="J1311" s="37" t="s">
        <v>105</v>
      </c>
      <c r="K1311" s="40" t="s">
        <v>3905</v>
      </c>
      <c r="L1311" s="37" t="s">
        <v>64</v>
      </c>
      <c r="M1311"/>
      <c r="N1311"/>
      <c r="X1311" s="25"/>
      <c r="Y1311" s="25"/>
      <c r="Z1311" s="25"/>
      <c r="AA1311" s="25"/>
      <c r="AB1311" s="25"/>
      <c r="AC1311" s="25"/>
      <c r="AD1311" s="25"/>
      <c r="AE1311" s="25"/>
      <c r="AF1311" s="25"/>
      <c r="AG1311" s="25"/>
      <c r="AH1311" s="25"/>
      <c r="AI1311" s="25"/>
      <c r="AJ1311" s="25"/>
      <c r="AK1311" s="25"/>
    </row>
    <row r="1312" spans="1:37">
      <c r="A1312" s="39"/>
      <c r="B1312" s="37" t="s">
        <v>7484</v>
      </c>
      <c r="C1312" s="37" t="s">
        <v>7485</v>
      </c>
      <c r="D1312" s="37" t="s">
        <v>7486</v>
      </c>
      <c r="E1312" s="37" t="s">
        <v>7487</v>
      </c>
      <c r="F1312" s="37" t="s">
        <v>7488</v>
      </c>
      <c r="G1312" s="37" t="s">
        <v>7489</v>
      </c>
      <c r="H1312" s="37"/>
      <c r="I1312" s="37" t="s">
        <v>7490</v>
      </c>
      <c r="J1312" s="37" t="s">
        <v>75</v>
      </c>
      <c r="K1312" s="40"/>
      <c r="L1312" s="37" t="s">
        <v>64</v>
      </c>
      <c r="M1312"/>
      <c r="N1312"/>
      <c r="X1312" s="25"/>
      <c r="Y1312" s="25"/>
      <c r="Z1312" s="25"/>
      <c r="AA1312" s="25"/>
      <c r="AB1312" s="25"/>
      <c r="AC1312" s="25"/>
      <c r="AD1312" s="25"/>
      <c r="AE1312" s="25"/>
      <c r="AF1312" s="25"/>
      <c r="AG1312" s="25"/>
      <c r="AH1312" s="25"/>
      <c r="AI1312" s="25"/>
      <c r="AJ1312" s="25"/>
      <c r="AK1312" s="25"/>
    </row>
    <row r="1313" spans="1:37">
      <c r="A1313" s="39"/>
      <c r="B1313" s="37" t="s">
        <v>7491</v>
      </c>
      <c r="C1313" s="37"/>
      <c r="D1313" s="37" t="s">
        <v>7492</v>
      </c>
      <c r="E1313" s="37" t="s">
        <v>7493</v>
      </c>
      <c r="F1313" s="37" t="s">
        <v>7494</v>
      </c>
      <c r="G1313" s="37" t="s">
        <v>7495</v>
      </c>
      <c r="H1313" s="37"/>
      <c r="I1313" s="37" t="s">
        <v>1577</v>
      </c>
      <c r="J1313" s="37" t="s">
        <v>425</v>
      </c>
      <c r="K1313" s="40" t="s">
        <v>7496</v>
      </c>
      <c r="L1313" s="37" t="s">
        <v>64</v>
      </c>
      <c r="M1313"/>
      <c r="N1313"/>
      <c r="X1313" s="25"/>
      <c r="Y1313" s="25"/>
      <c r="Z1313" s="25"/>
      <c r="AA1313" s="25"/>
      <c r="AB1313" s="25"/>
      <c r="AC1313" s="25"/>
      <c r="AD1313" s="25"/>
      <c r="AE1313" s="25"/>
      <c r="AF1313" s="25"/>
      <c r="AG1313" s="25"/>
      <c r="AH1313" s="25"/>
      <c r="AI1313" s="25"/>
      <c r="AJ1313" s="25"/>
      <c r="AK1313" s="25"/>
    </row>
    <row r="1314" spans="1:37">
      <c r="A1314" s="39"/>
      <c r="B1314" s="37" t="s">
        <v>7497</v>
      </c>
      <c r="C1314" s="37" t="s">
        <v>7498</v>
      </c>
      <c r="D1314" s="37" t="s">
        <v>7499</v>
      </c>
      <c r="E1314" s="37" t="s">
        <v>82</v>
      </c>
      <c r="F1314" s="37" t="s">
        <v>7500</v>
      </c>
      <c r="G1314" s="37" t="s">
        <v>7501</v>
      </c>
      <c r="H1314" s="37" t="s">
        <v>7502</v>
      </c>
      <c r="I1314" s="37" t="s">
        <v>82</v>
      </c>
      <c r="J1314" s="37" t="s">
        <v>83</v>
      </c>
      <c r="K1314" s="40" t="s">
        <v>7503</v>
      </c>
      <c r="L1314" s="37" t="s">
        <v>64</v>
      </c>
      <c r="M1314"/>
      <c r="N1314"/>
      <c r="X1314" s="25"/>
      <c r="Y1314" s="25"/>
      <c r="Z1314" s="25"/>
      <c r="AA1314" s="25"/>
      <c r="AB1314" s="25"/>
      <c r="AC1314" s="25"/>
      <c r="AD1314" s="25"/>
      <c r="AE1314" s="25"/>
      <c r="AF1314" s="25"/>
      <c r="AG1314" s="25"/>
      <c r="AH1314" s="25"/>
      <c r="AI1314" s="25"/>
      <c r="AJ1314" s="25"/>
      <c r="AK1314" s="25"/>
    </row>
    <row r="1315" spans="1:37">
      <c r="A1315" s="39"/>
      <c r="B1315" s="37" t="s">
        <v>7504</v>
      </c>
      <c r="C1315" s="37" t="s">
        <v>6732</v>
      </c>
      <c r="D1315" s="37" t="s">
        <v>7505</v>
      </c>
      <c r="E1315" s="37" t="s">
        <v>7506</v>
      </c>
      <c r="F1315" s="37" t="s">
        <v>7507</v>
      </c>
      <c r="G1315" s="37" t="s">
        <v>7508</v>
      </c>
      <c r="H1315" s="37"/>
      <c r="I1315" s="37" t="s">
        <v>7509</v>
      </c>
      <c r="J1315" s="37" t="s">
        <v>75</v>
      </c>
      <c r="K1315" s="40" t="s">
        <v>7510</v>
      </c>
      <c r="L1315" s="37" t="s">
        <v>64</v>
      </c>
      <c r="M1315"/>
      <c r="N1315"/>
      <c r="X1315" s="25"/>
      <c r="Y1315" s="25"/>
      <c r="Z1315" s="25"/>
      <c r="AA1315" s="25"/>
      <c r="AB1315" s="25"/>
      <c r="AC1315" s="25"/>
      <c r="AD1315" s="25"/>
      <c r="AE1315" s="25"/>
      <c r="AF1315" s="25"/>
      <c r="AG1315" s="25"/>
      <c r="AH1315" s="25"/>
      <c r="AI1315" s="25"/>
      <c r="AJ1315" s="25"/>
      <c r="AK1315" s="25"/>
    </row>
    <row r="1316" spans="1:37">
      <c r="A1316" s="39"/>
      <c r="B1316" s="37" t="s">
        <v>7511</v>
      </c>
      <c r="C1316" s="37" t="s">
        <v>7512</v>
      </c>
      <c r="D1316" s="37" t="s">
        <v>229</v>
      </c>
      <c r="E1316" s="37" t="s">
        <v>1439</v>
      </c>
      <c r="F1316" s="37" t="s">
        <v>7513</v>
      </c>
      <c r="G1316" s="37" t="s">
        <v>7514</v>
      </c>
      <c r="H1316" s="37"/>
      <c r="I1316" s="37" t="s">
        <v>7515</v>
      </c>
      <c r="J1316" s="37" t="s">
        <v>105</v>
      </c>
      <c r="K1316" s="40" t="s">
        <v>7516</v>
      </c>
      <c r="L1316" s="37" t="s">
        <v>64</v>
      </c>
      <c r="M1316"/>
      <c r="N1316"/>
      <c r="X1316" s="25"/>
      <c r="Y1316" s="25"/>
      <c r="Z1316" s="25"/>
      <c r="AA1316" s="25"/>
      <c r="AB1316" s="25"/>
      <c r="AC1316" s="25"/>
      <c r="AD1316" s="25"/>
      <c r="AE1316" s="25"/>
      <c r="AF1316" s="25"/>
      <c r="AG1316" s="25"/>
      <c r="AH1316" s="25"/>
      <c r="AI1316" s="25"/>
      <c r="AJ1316" s="25"/>
      <c r="AK1316" s="25"/>
    </row>
    <row r="1317" spans="1:37">
      <c r="A1317" s="39"/>
      <c r="B1317" s="37" t="s">
        <v>7517</v>
      </c>
      <c r="C1317" s="37" t="s">
        <v>7518</v>
      </c>
      <c r="D1317" s="37" t="s">
        <v>233</v>
      </c>
      <c r="E1317" s="37" t="s">
        <v>331</v>
      </c>
      <c r="F1317" s="37" t="s">
        <v>7519</v>
      </c>
      <c r="G1317" s="37" t="s">
        <v>7520</v>
      </c>
      <c r="H1317" s="37"/>
      <c r="I1317" s="37" t="s">
        <v>7521</v>
      </c>
      <c r="J1317" s="37" t="s">
        <v>425</v>
      </c>
      <c r="K1317" s="40" t="s">
        <v>7522</v>
      </c>
      <c r="L1317" s="37" t="s">
        <v>64</v>
      </c>
      <c r="M1317"/>
      <c r="N1317"/>
      <c r="X1317" s="25"/>
      <c r="Y1317" s="25"/>
      <c r="Z1317" s="25"/>
      <c r="AA1317" s="25"/>
      <c r="AB1317" s="25"/>
      <c r="AC1317" s="25"/>
      <c r="AD1317" s="25"/>
      <c r="AE1317" s="25"/>
      <c r="AF1317" s="25"/>
      <c r="AG1317" s="25"/>
      <c r="AH1317" s="25"/>
      <c r="AI1317" s="25"/>
      <c r="AJ1317" s="25"/>
      <c r="AK1317" s="25"/>
    </row>
    <row r="1318" spans="1:37">
      <c r="A1318" s="39"/>
      <c r="B1318" s="37" t="s">
        <v>7523</v>
      </c>
      <c r="C1318" s="37"/>
      <c r="D1318" s="37" t="s">
        <v>7524</v>
      </c>
      <c r="E1318" s="37" t="s">
        <v>1647</v>
      </c>
      <c r="F1318" s="37" t="s">
        <v>7525</v>
      </c>
      <c r="G1318" s="37" t="s">
        <v>7526</v>
      </c>
      <c r="H1318" s="37"/>
      <c r="I1318" s="37" t="s">
        <v>191</v>
      </c>
      <c r="J1318" s="37" t="s">
        <v>121</v>
      </c>
      <c r="K1318" s="40" t="s">
        <v>192</v>
      </c>
      <c r="L1318" s="37" t="s">
        <v>64</v>
      </c>
      <c r="M1318"/>
      <c r="N1318"/>
      <c r="X1318" s="25"/>
      <c r="Y1318" s="25"/>
      <c r="Z1318" s="25"/>
      <c r="AA1318" s="25"/>
      <c r="AB1318" s="25"/>
      <c r="AC1318" s="25"/>
      <c r="AD1318" s="25"/>
      <c r="AE1318" s="25"/>
      <c r="AF1318" s="25"/>
      <c r="AG1318" s="25"/>
      <c r="AH1318" s="25"/>
      <c r="AI1318" s="25"/>
      <c r="AJ1318" s="25"/>
      <c r="AK1318" s="25"/>
    </row>
    <row r="1319" spans="1:37">
      <c r="A1319" s="39"/>
      <c r="B1319" s="37" t="s">
        <v>7527</v>
      </c>
      <c r="C1319" s="37" t="s">
        <v>7528</v>
      </c>
      <c r="D1319" s="37" t="s">
        <v>7529</v>
      </c>
      <c r="E1319" s="37" t="s">
        <v>1898</v>
      </c>
      <c r="F1319" s="37" t="s">
        <v>7530</v>
      </c>
      <c r="G1319" s="37" t="s">
        <v>7531</v>
      </c>
      <c r="H1319" s="37"/>
      <c r="I1319" s="37" t="s">
        <v>342</v>
      </c>
      <c r="J1319" s="37" t="s">
        <v>256</v>
      </c>
      <c r="K1319" s="40" t="s">
        <v>7532</v>
      </c>
      <c r="L1319" s="37" t="s">
        <v>64</v>
      </c>
      <c r="M1319"/>
      <c r="N1319"/>
      <c r="X1319" s="25"/>
      <c r="Y1319" s="25"/>
      <c r="Z1319" s="25"/>
      <c r="AA1319" s="25"/>
      <c r="AB1319" s="25"/>
      <c r="AC1319" s="25"/>
      <c r="AD1319" s="25"/>
      <c r="AE1319" s="25"/>
      <c r="AF1319" s="25"/>
      <c r="AG1319" s="25"/>
      <c r="AH1319" s="25"/>
      <c r="AI1319" s="25"/>
      <c r="AJ1319" s="25"/>
      <c r="AK1319" s="25"/>
    </row>
    <row r="1320" spans="1:37">
      <c r="A1320" s="39"/>
      <c r="B1320" s="37" t="s">
        <v>7527</v>
      </c>
      <c r="C1320" s="37" t="s">
        <v>7533</v>
      </c>
      <c r="D1320" s="37" t="s">
        <v>649</v>
      </c>
      <c r="E1320" s="37" t="s">
        <v>7534</v>
      </c>
      <c r="F1320" s="37" t="s">
        <v>7535</v>
      </c>
      <c r="G1320" s="37" t="s">
        <v>7531</v>
      </c>
      <c r="H1320" s="37"/>
      <c r="I1320" s="37" t="s">
        <v>342</v>
      </c>
      <c r="J1320" s="37" t="s">
        <v>256</v>
      </c>
      <c r="K1320" s="40" t="s">
        <v>7532</v>
      </c>
      <c r="L1320" s="37" t="s">
        <v>64</v>
      </c>
      <c r="M1320"/>
      <c r="N1320"/>
      <c r="X1320" s="25"/>
      <c r="Y1320" s="25"/>
      <c r="Z1320" s="25"/>
      <c r="AA1320" s="25"/>
      <c r="AB1320" s="25"/>
      <c r="AC1320" s="25"/>
      <c r="AD1320" s="25"/>
      <c r="AE1320" s="25"/>
      <c r="AF1320" s="25"/>
      <c r="AG1320" s="25"/>
      <c r="AH1320" s="25"/>
      <c r="AI1320" s="25"/>
      <c r="AJ1320" s="25"/>
      <c r="AK1320" s="25"/>
    </row>
    <row r="1321" spans="1:37">
      <c r="A1321" s="39"/>
      <c r="B1321" s="37" t="s">
        <v>7536</v>
      </c>
      <c r="C1321" s="37" t="s">
        <v>7537</v>
      </c>
      <c r="D1321" s="37" t="s">
        <v>272</v>
      </c>
      <c r="E1321" s="37" t="s">
        <v>7538</v>
      </c>
      <c r="F1321" s="37" t="s">
        <v>7539</v>
      </c>
      <c r="G1321" s="37" t="s">
        <v>7531</v>
      </c>
      <c r="H1321" s="37"/>
      <c r="I1321" s="37" t="s">
        <v>342</v>
      </c>
      <c r="J1321" s="37" t="s">
        <v>256</v>
      </c>
      <c r="K1321" s="40" t="s">
        <v>7532</v>
      </c>
      <c r="L1321" s="37" t="s">
        <v>64</v>
      </c>
      <c r="M1321"/>
      <c r="N1321"/>
      <c r="X1321" s="25"/>
      <c r="Y1321" s="25"/>
      <c r="Z1321" s="25"/>
      <c r="AA1321" s="25"/>
      <c r="AB1321" s="25"/>
      <c r="AC1321" s="25"/>
      <c r="AD1321" s="25"/>
      <c r="AE1321" s="25"/>
      <c r="AF1321" s="25"/>
      <c r="AG1321" s="25"/>
      <c r="AH1321" s="25"/>
      <c r="AI1321" s="25"/>
      <c r="AJ1321" s="25"/>
      <c r="AK1321" s="25"/>
    </row>
    <row r="1322" spans="1:37">
      <c r="A1322" s="39"/>
      <c r="B1322" s="37" t="s">
        <v>7540</v>
      </c>
      <c r="C1322" s="37"/>
      <c r="D1322" s="37" t="s">
        <v>7541</v>
      </c>
      <c r="E1322" s="37" t="s">
        <v>4089</v>
      </c>
      <c r="F1322" s="37" t="s">
        <v>7542</v>
      </c>
      <c r="G1322" s="37" t="s">
        <v>7543</v>
      </c>
      <c r="H1322" s="37"/>
      <c r="I1322" s="37" t="s">
        <v>7544</v>
      </c>
      <c r="J1322" s="37"/>
      <c r="K1322" s="40" t="s">
        <v>7545</v>
      </c>
      <c r="L1322" s="37" t="s">
        <v>64</v>
      </c>
      <c r="M1322"/>
      <c r="N1322"/>
      <c r="X1322" s="25"/>
      <c r="Y1322" s="25"/>
      <c r="Z1322" s="25"/>
      <c r="AA1322" s="25"/>
      <c r="AB1322" s="25"/>
      <c r="AC1322" s="25"/>
      <c r="AD1322" s="25"/>
      <c r="AE1322" s="25"/>
      <c r="AF1322" s="25"/>
      <c r="AG1322" s="25"/>
      <c r="AH1322" s="25"/>
      <c r="AI1322" s="25"/>
      <c r="AJ1322" s="25"/>
      <c r="AK1322" s="25"/>
    </row>
    <row r="1323" spans="1:37">
      <c r="A1323" s="39"/>
      <c r="B1323" s="37" t="s">
        <v>7546</v>
      </c>
      <c r="C1323" s="37" t="s">
        <v>7547</v>
      </c>
      <c r="D1323" s="37" t="s">
        <v>7548</v>
      </c>
      <c r="E1323" s="37" t="s">
        <v>7549</v>
      </c>
      <c r="F1323" s="37" t="s">
        <v>7550</v>
      </c>
      <c r="G1323" s="37" t="s">
        <v>7551</v>
      </c>
      <c r="H1323" s="37"/>
      <c r="I1323" s="37" t="s">
        <v>120</v>
      </c>
      <c r="J1323" s="37" t="s">
        <v>121</v>
      </c>
      <c r="K1323" s="40" t="s">
        <v>7552</v>
      </c>
      <c r="L1323" s="37" t="s">
        <v>64</v>
      </c>
      <c r="M1323"/>
      <c r="N1323"/>
      <c r="X1323" s="25"/>
      <c r="Y1323" s="25"/>
      <c r="Z1323" s="25"/>
      <c r="AA1323" s="25"/>
      <c r="AB1323" s="25"/>
      <c r="AC1323" s="25"/>
      <c r="AD1323" s="25"/>
      <c r="AE1323" s="25"/>
      <c r="AF1323" s="25"/>
      <c r="AG1323" s="25"/>
      <c r="AH1323" s="25"/>
      <c r="AI1323" s="25"/>
      <c r="AJ1323" s="25"/>
      <c r="AK1323" s="25"/>
    </row>
    <row r="1324" spans="1:37">
      <c r="A1324" s="39"/>
      <c r="B1324" s="37" t="s">
        <v>7546</v>
      </c>
      <c r="C1324" s="37" t="s">
        <v>7553</v>
      </c>
      <c r="D1324" s="37" t="s">
        <v>5260</v>
      </c>
      <c r="E1324" s="37" t="s">
        <v>7554</v>
      </c>
      <c r="F1324" s="37" t="s">
        <v>7555</v>
      </c>
      <c r="G1324" s="37" t="s">
        <v>7556</v>
      </c>
      <c r="H1324" s="37" t="s">
        <v>7557</v>
      </c>
      <c r="I1324" s="37" t="s">
        <v>7558</v>
      </c>
      <c r="J1324" s="37" t="s">
        <v>121</v>
      </c>
      <c r="K1324" s="40" t="s">
        <v>7559</v>
      </c>
      <c r="L1324" s="37" t="s">
        <v>64</v>
      </c>
      <c r="M1324"/>
      <c r="N1324"/>
      <c r="X1324" s="25"/>
      <c r="Y1324" s="25"/>
      <c r="Z1324" s="25"/>
      <c r="AA1324" s="25"/>
      <c r="AB1324" s="25"/>
      <c r="AC1324" s="25"/>
      <c r="AD1324" s="25"/>
      <c r="AE1324" s="25"/>
      <c r="AF1324" s="26"/>
      <c r="AG1324" s="25"/>
      <c r="AH1324" s="25"/>
      <c r="AI1324" s="25"/>
      <c r="AJ1324" s="25"/>
      <c r="AK1324" s="25"/>
    </row>
    <row r="1325" spans="1:37">
      <c r="A1325" s="39"/>
      <c r="B1325" s="37" t="s">
        <v>7560</v>
      </c>
      <c r="C1325" s="37" t="s">
        <v>7561</v>
      </c>
      <c r="D1325" s="37" t="s">
        <v>361</v>
      </c>
      <c r="E1325" s="37" t="s">
        <v>7562</v>
      </c>
      <c r="F1325" s="37" t="s">
        <v>7563</v>
      </c>
      <c r="G1325" s="37" t="s">
        <v>7564</v>
      </c>
      <c r="H1325" s="37"/>
      <c r="I1325" s="37" t="s">
        <v>7565</v>
      </c>
      <c r="J1325" s="37" t="s">
        <v>7566</v>
      </c>
      <c r="K1325" s="40" t="s">
        <v>7567</v>
      </c>
      <c r="L1325" s="37" t="s">
        <v>64</v>
      </c>
      <c r="M1325"/>
      <c r="N1325"/>
      <c r="X1325" s="25"/>
      <c r="Y1325" s="25"/>
      <c r="Z1325" s="25"/>
      <c r="AA1325" s="25"/>
      <c r="AB1325" s="25"/>
      <c r="AC1325" s="25"/>
      <c r="AD1325" s="25"/>
      <c r="AE1325" s="25"/>
      <c r="AF1325" s="25"/>
      <c r="AG1325" s="25"/>
      <c r="AH1325" s="25"/>
      <c r="AI1325" s="25"/>
      <c r="AJ1325" s="25"/>
      <c r="AK1325" s="25"/>
    </row>
    <row r="1326" spans="1:37">
      <c r="A1326" s="39"/>
      <c r="B1326" s="37" t="s">
        <v>7568</v>
      </c>
      <c r="C1326" s="37"/>
      <c r="D1326" s="37" t="s">
        <v>492</v>
      </c>
      <c r="E1326" s="37" t="s">
        <v>7569</v>
      </c>
      <c r="F1326" s="37" t="s">
        <v>7570</v>
      </c>
      <c r="G1326" s="37" t="s">
        <v>7571</v>
      </c>
      <c r="H1326" s="37" t="s">
        <v>2243</v>
      </c>
      <c r="I1326" s="37" t="s">
        <v>1219</v>
      </c>
      <c r="J1326" s="37" t="s">
        <v>75</v>
      </c>
      <c r="K1326" s="40" t="s">
        <v>355</v>
      </c>
      <c r="L1326" s="37" t="s">
        <v>64</v>
      </c>
      <c r="M1326"/>
      <c r="N1326"/>
      <c r="X1326" s="25"/>
      <c r="Y1326" s="25"/>
      <c r="Z1326" s="25"/>
      <c r="AA1326" s="25"/>
      <c r="AB1326" s="25"/>
      <c r="AC1326" s="25"/>
      <c r="AD1326" s="25"/>
      <c r="AE1326" s="25"/>
      <c r="AF1326" s="25"/>
      <c r="AG1326" s="25"/>
      <c r="AH1326" s="25"/>
      <c r="AI1326" s="25"/>
      <c r="AJ1326" s="25"/>
      <c r="AK1326" s="25"/>
    </row>
    <row r="1327" spans="1:37">
      <c r="A1327" s="39"/>
      <c r="B1327" s="37" t="s">
        <v>7572</v>
      </c>
      <c r="C1327" s="37" t="s">
        <v>7573</v>
      </c>
      <c r="D1327" s="37" t="s">
        <v>1136</v>
      </c>
      <c r="E1327" s="37" t="s">
        <v>7574</v>
      </c>
      <c r="F1327" s="37" t="s">
        <v>7575</v>
      </c>
      <c r="G1327" s="37" t="s">
        <v>7576</v>
      </c>
      <c r="H1327" s="37"/>
      <c r="I1327" s="37" t="s">
        <v>3251</v>
      </c>
      <c r="J1327" s="37" t="s">
        <v>121</v>
      </c>
      <c r="K1327" s="40" t="s">
        <v>6759</v>
      </c>
      <c r="L1327" s="37" t="s">
        <v>64</v>
      </c>
      <c r="M1327"/>
      <c r="N1327"/>
      <c r="X1327" s="25"/>
      <c r="Y1327" s="25"/>
      <c r="Z1327" s="25"/>
      <c r="AA1327" s="25"/>
      <c r="AB1327" s="25"/>
      <c r="AC1327" s="25"/>
      <c r="AD1327" s="25"/>
      <c r="AE1327" s="25"/>
      <c r="AF1327" s="25"/>
      <c r="AG1327" s="25"/>
      <c r="AH1327" s="25"/>
      <c r="AI1327" s="25"/>
      <c r="AJ1327" s="25"/>
      <c r="AK1327" s="25"/>
    </row>
    <row r="1328" spans="1:37">
      <c r="A1328" s="39"/>
      <c r="B1328" s="37" t="s">
        <v>7577</v>
      </c>
      <c r="C1328" s="37" t="s">
        <v>7578</v>
      </c>
      <c r="D1328" s="37" t="s">
        <v>211</v>
      </c>
      <c r="E1328" s="37" t="s">
        <v>7579</v>
      </c>
      <c r="F1328" s="37" t="s">
        <v>7580</v>
      </c>
      <c r="G1328" s="37" t="s">
        <v>7581</v>
      </c>
      <c r="H1328" s="37" t="s">
        <v>7582</v>
      </c>
      <c r="I1328" s="37" t="s">
        <v>7583</v>
      </c>
      <c r="J1328" s="37" t="s">
        <v>121</v>
      </c>
      <c r="K1328" s="40" t="s">
        <v>7584</v>
      </c>
      <c r="L1328" s="37" t="s">
        <v>64</v>
      </c>
      <c r="M1328"/>
      <c r="N1328"/>
      <c r="X1328" s="25"/>
      <c r="Y1328" s="25"/>
      <c r="Z1328" s="25"/>
      <c r="AA1328" s="25"/>
      <c r="AB1328" s="25"/>
      <c r="AC1328" s="25"/>
      <c r="AD1328" s="25"/>
      <c r="AE1328" s="25"/>
      <c r="AF1328" s="25"/>
      <c r="AG1328" s="25"/>
      <c r="AH1328" s="25"/>
      <c r="AI1328" s="25"/>
      <c r="AJ1328" s="25"/>
      <c r="AK1328" s="25"/>
    </row>
    <row r="1329" spans="1:37">
      <c r="A1329" s="39"/>
      <c r="B1329" s="37" t="s">
        <v>7577</v>
      </c>
      <c r="C1329" s="37" t="s">
        <v>7585</v>
      </c>
      <c r="D1329" s="37" t="s">
        <v>117</v>
      </c>
      <c r="E1329" s="37" t="s">
        <v>7586</v>
      </c>
      <c r="F1329" s="37" t="s">
        <v>7587</v>
      </c>
      <c r="G1329" s="37" t="s">
        <v>7581</v>
      </c>
      <c r="H1329" s="37" t="s">
        <v>7588</v>
      </c>
      <c r="I1329" s="37" t="s">
        <v>7589</v>
      </c>
      <c r="J1329" s="37" t="s">
        <v>121</v>
      </c>
      <c r="K1329" s="40" t="s">
        <v>7584</v>
      </c>
      <c r="L1329" s="37" t="s">
        <v>64</v>
      </c>
      <c r="M1329"/>
      <c r="N1329"/>
      <c r="X1329" s="25"/>
      <c r="Y1329" s="25"/>
      <c r="Z1329" s="25"/>
      <c r="AA1329" s="25"/>
      <c r="AB1329" s="25"/>
      <c r="AC1329" s="25"/>
      <c r="AD1329" s="25"/>
      <c r="AE1329" s="25"/>
      <c r="AF1329" s="25"/>
      <c r="AG1329" s="25"/>
      <c r="AH1329" s="25"/>
      <c r="AI1329" s="25"/>
      <c r="AJ1329" s="25"/>
      <c r="AK1329" s="25"/>
    </row>
    <row r="1330" spans="1:37">
      <c r="A1330" s="39"/>
      <c r="B1330" s="37" t="s">
        <v>7590</v>
      </c>
      <c r="C1330" s="37" t="s">
        <v>6738</v>
      </c>
      <c r="D1330" s="37" t="s">
        <v>471</v>
      </c>
      <c r="E1330" s="37" t="s">
        <v>1436</v>
      </c>
      <c r="F1330" s="37" t="s">
        <v>7591</v>
      </c>
      <c r="G1330" s="37" t="s">
        <v>7592</v>
      </c>
      <c r="H1330" s="37"/>
      <c r="I1330" s="37" t="s">
        <v>7079</v>
      </c>
      <c r="J1330" s="37" t="s">
        <v>75</v>
      </c>
      <c r="K1330" s="40" t="s">
        <v>7080</v>
      </c>
      <c r="L1330" s="37" t="s">
        <v>64</v>
      </c>
      <c r="M1330"/>
      <c r="N1330"/>
      <c r="X1330" s="25"/>
      <c r="Y1330" s="25"/>
      <c r="Z1330" s="25"/>
      <c r="AA1330" s="25"/>
      <c r="AB1330" s="25"/>
      <c r="AC1330" s="25"/>
      <c r="AD1330" s="25"/>
      <c r="AE1330" s="25"/>
      <c r="AF1330" s="25"/>
      <c r="AG1330" s="25"/>
      <c r="AH1330" s="25"/>
      <c r="AI1330" s="25"/>
      <c r="AJ1330" s="25"/>
      <c r="AK1330" s="25"/>
    </row>
    <row r="1331" spans="1:37">
      <c r="A1331" s="39"/>
      <c r="B1331" s="37" t="s">
        <v>7593</v>
      </c>
      <c r="C1331" s="37"/>
      <c r="D1331" s="37" t="s">
        <v>7594</v>
      </c>
      <c r="E1331" s="37" t="s">
        <v>6064</v>
      </c>
      <c r="F1331" s="37" t="s">
        <v>7595</v>
      </c>
      <c r="G1331" s="37" t="s">
        <v>7596</v>
      </c>
      <c r="H1331" s="37"/>
      <c r="I1331" s="37" t="s">
        <v>843</v>
      </c>
      <c r="J1331" s="37" t="s">
        <v>75</v>
      </c>
      <c r="K1331" s="40" t="s">
        <v>3957</v>
      </c>
      <c r="L1331" s="37" t="s">
        <v>64</v>
      </c>
      <c r="M1331"/>
      <c r="N1331"/>
      <c r="X1331" s="25"/>
      <c r="Y1331" s="25"/>
      <c r="Z1331" s="25"/>
      <c r="AA1331" s="25"/>
      <c r="AB1331" s="25"/>
      <c r="AC1331" s="25"/>
      <c r="AD1331" s="25"/>
      <c r="AE1331" s="25"/>
      <c r="AF1331" s="25"/>
      <c r="AG1331" s="25"/>
      <c r="AH1331" s="25"/>
      <c r="AI1331" s="25"/>
      <c r="AJ1331" s="25"/>
      <c r="AK1331" s="25"/>
    </row>
    <row r="1332" spans="1:37">
      <c r="A1332" s="39"/>
      <c r="B1332" s="37" t="s">
        <v>7593</v>
      </c>
      <c r="C1332" s="37" t="s">
        <v>6917</v>
      </c>
      <c r="D1332" s="37" t="s">
        <v>1846</v>
      </c>
      <c r="E1332" s="37" t="s">
        <v>7597</v>
      </c>
      <c r="F1332" s="37" t="s">
        <v>7595</v>
      </c>
      <c r="G1332" s="37" t="s">
        <v>7598</v>
      </c>
      <c r="H1332" s="37"/>
      <c r="I1332" s="37" t="s">
        <v>843</v>
      </c>
      <c r="J1332" s="37" t="s">
        <v>75</v>
      </c>
      <c r="K1332" s="40" t="s">
        <v>7599</v>
      </c>
      <c r="L1332" s="37" t="s">
        <v>64</v>
      </c>
      <c r="M1332"/>
      <c r="N1332"/>
      <c r="X1332" s="25"/>
      <c r="Y1332" s="25"/>
      <c r="Z1332" s="25"/>
      <c r="AA1332" s="25"/>
      <c r="AB1332" s="25"/>
      <c r="AC1332" s="25"/>
      <c r="AD1332" s="25"/>
      <c r="AE1332" s="25"/>
      <c r="AF1332" s="25"/>
      <c r="AG1332" s="25"/>
      <c r="AH1332" s="25"/>
      <c r="AI1332" s="25"/>
      <c r="AJ1332" s="25"/>
      <c r="AK1332" s="25"/>
    </row>
    <row r="1333" spans="1:37">
      <c r="A1333" s="39"/>
      <c r="B1333" s="37" t="s">
        <v>7600</v>
      </c>
      <c r="C1333" s="37"/>
      <c r="D1333" s="37" t="s">
        <v>7601</v>
      </c>
      <c r="E1333" s="37" t="s">
        <v>7602</v>
      </c>
      <c r="F1333" s="37" t="s">
        <v>7603</v>
      </c>
      <c r="G1333" s="37" t="s">
        <v>7604</v>
      </c>
      <c r="H1333" s="37"/>
      <c r="I1333" s="37" t="s">
        <v>7605</v>
      </c>
      <c r="J1333" s="37" t="s">
        <v>93</v>
      </c>
      <c r="K1333" s="40" t="s">
        <v>7606</v>
      </c>
      <c r="L1333" s="37" t="s">
        <v>64</v>
      </c>
      <c r="M1333"/>
      <c r="N1333"/>
      <c r="X1333" s="25"/>
      <c r="Y1333" s="25"/>
      <c r="Z1333" s="25"/>
      <c r="AA1333" s="25"/>
      <c r="AB1333" s="25"/>
      <c r="AC1333" s="25"/>
      <c r="AD1333" s="25"/>
      <c r="AE1333" s="25"/>
      <c r="AF1333" s="25"/>
      <c r="AG1333" s="25"/>
      <c r="AH1333" s="25"/>
      <c r="AI1333" s="25"/>
      <c r="AJ1333" s="25"/>
      <c r="AK1333" s="25"/>
    </row>
    <row r="1334" spans="1:37">
      <c r="A1334" s="39"/>
      <c r="B1334" s="37" t="s">
        <v>7607</v>
      </c>
      <c r="C1334" s="37"/>
      <c r="D1334" s="37" t="s">
        <v>5260</v>
      </c>
      <c r="E1334" s="37" t="s">
        <v>7608</v>
      </c>
      <c r="F1334" s="37" t="s">
        <v>7609</v>
      </c>
      <c r="G1334" s="37" t="s">
        <v>7604</v>
      </c>
      <c r="H1334" s="37"/>
      <c r="I1334" s="37" t="s">
        <v>7605</v>
      </c>
      <c r="J1334" s="37" t="s">
        <v>93</v>
      </c>
      <c r="K1334" s="40" t="s">
        <v>7606</v>
      </c>
      <c r="L1334" s="37" t="s">
        <v>64</v>
      </c>
      <c r="M1334"/>
      <c r="N1334"/>
      <c r="X1334" s="25"/>
      <c r="Y1334" s="25"/>
      <c r="Z1334" s="25"/>
      <c r="AA1334" s="25"/>
      <c r="AB1334" s="25"/>
      <c r="AC1334" s="25"/>
      <c r="AD1334" s="25"/>
      <c r="AE1334" s="25"/>
      <c r="AF1334" s="25"/>
      <c r="AG1334" s="25"/>
      <c r="AH1334" s="25"/>
      <c r="AI1334" s="25"/>
      <c r="AJ1334" s="25"/>
      <c r="AK1334" s="25"/>
    </row>
    <row r="1335" spans="1:37">
      <c r="A1335" s="39"/>
      <c r="B1335" s="37" t="s">
        <v>7610</v>
      </c>
      <c r="C1335" s="37" t="s">
        <v>7611</v>
      </c>
      <c r="D1335" s="37" t="s">
        <v>7612</v>
      </c>
      <c r="E1335" s="37" t="s">
        <v>7613</v>
      </c>
      <c r="F1335" s="37" t="s">
        <v>7614</v>
      </c>
      <c r="G1335" s="37" t="s">
        <v>7615</v>
      </c>
      <c r="H1335" s="37"/>
      <c r="I1335" s="37" t="s">
        <v>7616</v>
      </c>
      <c r="J1335" s="37" t="s">
        <v>425</v>
      </c>
      <c r="K1335" s="40" t="s">
        <v>7617</v>
      </c>
      <c r="L1335" s="37" t="s">
        <v>64</v>
      </c>
      <c r="M1335"/>
      <c r="N1335"/>
      <c r="X1335" s="25"/>
      <c r="Y1335" s="25"/>
      <c r="Z1335" s="25"/>
      <c r="AA1335" s="25"/>
      <c r="AB1335" s="25"/>
      <c r="AC1335" s="25"/>
      <c r="AD1335" s="25"/>
      <c r="AE1335" s="25"/>
      <c r="AF1335" s="25"/>
      <c r="AG1335" s="25"/>
      <c r="AH1335" s="25"/>
      <c r="AI1335" s="25"/>
      <c r="AJ1335" s="25"/>
      <c r="AK1335" s="25"/>
    </row>
    <row r="1336" spans="1:37">
      <c r="A1336" s="39"/>
      <c r="B1336" s="37" t="s">
        <v>7618</v>
      </c>
      <c r="C1336" s="37" t="s">
        <v>6804</v>
      </c>
      <c r="D1336" s="37" t="s">
        <v>7619</v>
      </c>
      <c r="E1336" s="37" t="s">
        <v>7620</v>
      </c>
      <c r="F1336" s="37" t="s">
        <v>7621</v>
      </c>
      <c r="G1336" s="37" t="s">
        <v>7622</v>
      </c>
      <c r="H1336" s="37"/>
      <c r="I1336" s="37" t="s">
        <v>7623</v>
      </c>
      <c r="J1336" s="37" t="s">
        <v>200</v>
      </c>
      <c r="K1336" s="40" t="s">
        <v>7624</v>
      </c>
      <c r="L1336" s="37" t="s">
        <v>64</v>
      </c>
      <c r="M1336"/>
      <c r="N1336"/>
      <c r="X1336" s="25"/>
      <c r="Y1336" s="25"/>
      <c r="Z1336" s="25"/>
      <c r="AA1336" s="25"/>
      <c r="AB1336" s="25"/>
      <c r="AC1336" s="25"/>
      <c r="AD1336" s="25"/>
      <c r="AE1336" s="25"/>
      <c r="AF1336" s="25"/>
      <c r="AG1336" s="25"/>
      <c r="AH1336" s="25"/>
      <c r="AI1336" s="25"/>
      <c r="AJ1336" s="25"/>
      <c r="AK1336" s="25"/>
    </row>
    <row r="1337" spans="1:37">
      <c r="A1337" s="39"/>
      <c r="B1337" s="37" t="s">
        <v>7625</v>
      </c>
      <c r="C1337" s="37" t="s">
        <v>7626</v>
      </c>
      <c r="D1337" s="37" t="s">
        <v>7627</v>
      </c>
      <c r="E1337" s="37" t="s">
        <v>7628</v>
      </c>
      <c r="F1337" s="37" t="s">
        <v>7629</v>
      </c>
      <c r="G1337" s="37" t="s">
        <v>7630</v>
      </c>
      <c r="H1337" s="37" t="s">
        <v>2829</v>
      </c>
      <c r="I1337" s="37" t="s">
        <v>1070</v>
      </c>
      <c r="J1337" s="37" t="s">
        <v>75</v>
      </c>
      <c r="K1337" s="40" t="s">
        <v>3023</v>
      </c>
      <c r="L1337" s="37" t="s">
        <v>64</v>
      </c>
      <c r="M1337"/>
      <c r="N1337"/>
      <c r="X1337" s="25"/>
      <c r="Y1337" s="25"/>
      <c r="Z1337" s="25"/>
      <c r="AA1337" s="25"/>
      <c r="AB1337" s="25"/>
      <c r="AC1337" s="25"/>
      <c r="AD1337" s="25"/>
      <c r="AE1337" s="25"/>
      <c r="AF1337" s="25"/>
      <c r="AG1337" s="25"/>
      <c r="AH1337" s="25"/>
      <c r="AI1337" s="25"/>
      <c r="AJ1337" s="25"/>
      <c r="AK1337" s="25"/>
    </row>
    <row r="1338" spans="1:37">
      <c r="A1338" s="39"/>
      <c r="B1338" s="37" t="s">
        <v>7631</v>
      </c>
      <c r="C1338" s="37" t="s">
        <v>7632</v>
      </c>
      <c r="D1338" s="37" t="s">
        <v>955</v>
      </c>
      <c r="E1338" s="37" t="s">
        <v>416</v>
      </c>
      <c r="F1338" s="37" t="s">
        <v>7633</v>
      </c>
      <c r="G1338" s="37" t="s">
        <v>7634</v>
      </c>
      <c r="H1338" s="37" t="s">
        <v>7335</v>
      </c>
      <c r="I1338" s="37" t="s">
        <v>7635</v>
      </c>
      <c r="J1338" s="37" t="s">
        <v>475</v>
      </c>
      <c r="K1338" s="40" t="s">
        <v>7636</v>
      </c>
      <c r="L1338" s="37" t="s">
        <v>64</v>
      </c>
      <c r="M1338"/>
      <c r="N1338"/>
      <c r="X1338" s="25"/>
      <c r="Y1338" s="25"/>
      <c r="Z1338" s="25"/>
      <c r="AA1338" s="25"/>
      <c r="AB1338" s="25"/>
      <c r="AC1338" s="25"/>
      <c r="AD1338" s="25"/>
      <c r="AE1338" s="25"/>
      <c r="AF1338" s="25"/>
      <c r="AG1338" s="25"/>
      <c r="AH1338" s="25"/>
      <c r="AI1338" s="25"/>
      <c r="AJ1338" s="25"/>
      <c r="AK1338" s="25"/>
    </row>
    <row r="1339" spans="1:37">
      <c r="A1339" s="39"/>
      <c r="B1339" s="37" t="s">
        <v>7637</v>
      </c>
      <c r="C1339" s="37" t="s">
        <v>7638</v>
      </c>
      <c r="D1339" s="37" t="s">
        <v>286</v>
      </c>
      <c r="E1339" s="37" t="s">
        <v>2372</v>
      </c>
      <c r="F1339" s="37" t="s">
        <v>7639</v>
      </c>
      <c r="G1339" s="37" t="s">
        <v>7640</v>
      </c>
      <c r="H1339" s="37"/>
      <c r="I1339" s="37" t="s">
        <v>7641</v>
      </c>
      <c r="J1339" s="37" t="s">
        <v>153</v>
      </c>
      <c r="K1339" s="40"/>
      <c r="L1339" s="37" t="s">
        <v>64</v>
      </c>
      <c r="M1339"/>
      <c r="N1339"/>
      <c r="X1339" s="25"/>
      <c r="Y1339" s="25"/>
      <c r="Z1339" s="25"/>
      <c r="AA1339" s="25"/>
      <c r="AB1339" s="25"/>
      <c r="AC1339" s="25"/>
      <c r="AD1339" s="25"/>
      <c r="AE1339" s="25"/>
      <c r="AF1339" s="25"/>
      <c r="AG1339" s="25"/>
      <c r="AH1339" s="25"/>
      <c r="AI1339" s="25"/>
      <c r="AJ1339" s="25"/>
      <c r="AK1339" s="25"/>
    </row>
    <row r="1340" spans="1:37">
      <c r="A1340" s="39"/>
      <c r="B1340" s="37" t="s">
        <v>7642</v>
      </c>
      <c r="C1340" s="37" t="s">
        <v>7643</v>
      </c>
      <c r="D1340" s="37" t="s">
        <v>370</v>
      </c>
      <c r="E1340" s="37" t="s">
        <v>1389</v>
      </c>
      <c r="F1340" s="37" t="s">
        <v>7644</v>
      </c>
      <c r="G1340" s="37" t="s">
        <v>7645</v>
      </c>
      <c r="H1340" s="37"/>
      <c r="I1340" s="37" t="s">
        <v>7646</v>
      </c>
      <c r="J1340" s="37" t="s">
        <v>121</v>
      </c>
      <c r="K1340" s="40" t="s">
        <v>7647</v>
      </c>
      <c r="L1340" s="37" t="s">
        <v>64</v>
      </c>
      <c r="M1340"/>
      <c r="N1340"/>
      <c r="X1340" s="25"/>
      <c r="Y1340" s="25"/>
      <c r="Z1340" s="25"/>
      <c r="AA1340" s="25"/>
      <c r="AB1340" s="25"/>
      <c r="AC1340" s="25"/>
      <c r="AD1340" s="25"/>
      <c r="AE1340" s="25"/>
      <c r="AF1340" s="25"/>
      <c r="AG1340" s="25"/>
      <c r="AH1340" s="25"/>
      <c r="AI1340" s="25"/>
      <c r="AJ1340" s="25"/>
      <c r="AK1340" s="25"/>
    </row>
    <row r="1341" spans="1:37">
      <c r="A1341" s="39"/>
      <c r="B1341" s="37" t="s">
        <v>7642</v>
      </c>
      <c r="C1341" s="37"/>
      <c r="D1341" s="37" t="s">
        <v>7648</v>
      </c>
      <c r="E1341" s="37" t="s">
        <v>7649</v>
      </c>
      <c r="F1341" s="37" t="s">
        <v>7650</v>
      </c>
      <c r="G1341" s="37" t="s">
        <v>7645</v>
      </c>
      <c r="H1341" s="37"/>
      <c r="I1341" s="37" t="s">
        <v>7646</v>
      </c>
      <c r="J1341" s="37" t="s">
        <v>121</v>
      </c>
      <c r="K1341" s="40" t="s">
        <v>7647</v>
      </c>
      <c r="L1341" s="37" t="s">
        <v>64</v>
      </c>
      <c r="M1341"/>
      <c r="N1341"/>
      <c r="X1341" s="25"/>
      <c r="Y1341" s="25"/>
      <c r="Z1341" s="25"/>
      <c r="AA1341" s="25"/>
      <c r="AB1341" s="25"/>
      <c r="AC1341" s="25"/>
      <c r="AD1341" s="25"/>
      <c r="AE1341" s="25"/>
      <c r="AF1341" s="25"/>
      <c r="AG1341" s="25"/>
      <c r="AH1341" s="25"/>
      <c r="AI1341" s="25"/>
      <c r="AJ1341" s="25"/>
      <c r="AK1341" s="25"/>
    </row>
    <row r="1342" spans="1:37">
      <c r="A1342" s="39"/>
      <c r="B1342" s="37" t="s">
        <v>7651</v>
      </c>
      <c r="C1342" s="37" t="s">
        <v>7652</v>
      </c>
      <c r="D1342" s="37" t="s">
        <v>854</v>
      </c>
      <c r="E1342" s="37" t="s">
        <v>7653</v>
      </c>
      <c r="F1342" s="37" t="s">
        <v>7654</v>
      </c>
      <c r="G1342" s="37" t="s">
        <v>7655</v>
      </c>
      <c r="H1342" s="37"/>
      <c r="I1342" s="37" t="s">
        <v>7656</v>
      </c>
      <c r="J1342" s="37" t="s">
        <v>125</v>
      </c>
      <c r="K1342" s="40" t="s">
        <v>7657</v>
      </c>
      <c r="L1342" s="37" t="s">
        <v>64</v>
      </c>
      <c r="M1342"/>
      <c r="N1342"/>
      <c r="X1342" s="25"/>
      <c r="Y1342" s="25"/>
      <c r="Z1342" s="25"/>
      <c r="AA1342" s="25"/>
      <c r="AB1342" s="25"/>
      <c r="AC1342" s="25"/>
      <c r="AD1342" s="25"/>
      <c r="AE1342" s="25"/>
      <c r="AF1342" s="25"/>
      <c r="AG1342" s="25"/>
      <c r="AH1342" s="25"/>
      <c r="AI1342" s="25"/>
      <c r="AJ1342" s="25"/>
      <c r="AK1342" s="25"/>
    </row>
    <row r="1343" spans="1:37">
      <c r="A1343" s="39"/>
      <c r="B1343" s="37" t="s">
        <v>7658</v>
      </c>
      <c r="C1343" s="37" t="s">
        <v>7659</v>
      </c>
      <c r="D1343" s="37" t="s">
        <v>418</v>
      </c>
      <c r="E1343" s="37" t="s">
        <v>323</v>
      </c>
      <c r="F1343" s="37" t="s">
        <v>7660</v>
      </c>
      <c r="G1343" s="37" t="s">
        <v>7661</v>
      </c>
      <c r="H1343" s="37" t="s">
        <v>7662</v>
      </c>
      <c r="I1343" s="37" t="s">
        <v>191</v>
      </c>
      <c r="J1343" s="37" t="s">
        <v>121</v>
      </c>
      <c r="K1343" s="40" t="s">
        <v>1229</v>
      </c>
      <c r="L1343" s="37" t="s">
        <v>64</v>
      </c>
      <c r="M1343"/>
      <c r="N1343"/>
      <c r="X1343" s="25"/>
      <c r="Y1343" s="25"/>
      <c r="Z1343" s="25"/>
      <c r="AA1343" s="25"/>
      <c r="AB1343" s="25"/>
      <c r="AC1343" s="25"/>
      <c r="AD1343" s="25"/>
      <c r="AE1343" s="25"/>
      <c r="AF1343" s="25"/>
      <c r="AG1343" s="25"/>
      <c r="AH1343" s="25"/>
      <c r="AI1343" s="25"/>
      <c r="AJ1343" s="25"/>
      <c r="AK1343" s="25"/>
    </row>
    <row r="1344" spans="1:37">
      <c r="A1344" s="39"/>
      <c r="B1344" s="37" t="s">
        <v>7663</v>
      </c>
      <c r="C1344" s="37"/>
      <c r="D1344" s="37" t="s">
        <v>308</v>
      </c>
      <c r="E1344" s="37" t="s">
        <v>7664</v>
      </c>
      <c r="F1344" s="37" t="s">
        <v>7665</v>
      </c>
      <c r="G1344" s="37" t="s">
        <v>7666</v>
      </c>
      <c r="H1344" s="37"/>
      <c r="I1344" s="37" t="s">
        <v>191</v>
      </c>
      <c r="J1344" s="37" t="s">
        <v>121</v>
      </c>
      <c r="K1344" s="40" t="s">
        <v>7179</v>
      </c>
      <c r="L1344" s="37" t="s">
        <v>64</v>
      </c>
      <c r="M1344"/>
      <c r="N1344"/>
      <c r="X1344" s="25"/>
      <c r="Y1344" s="25"/>
      <c r="Z1344" s="25"/>
      <c r="AA1344" s="25"/>
      <c r="AB1344" s="25"/>
      <c r="AC1344" s="25"/>
      <c r="AD1344" s="25"/>
      <c r="AE1344" s="25"/>
      <c r="AF1344" s="25"/>
      <c r="AG1344" s="25"/>
      <c r="AH1344" s="25"/>
      <c r="AI1344" s="25"/>
      <c r="AJ1344" s="25"/>
      <c r="AK1344" s="25"/>
    </row>
    <row r="1345" spans="1:37">
      <c r="A1345" s="39"/>
      <c r="B1345" s="37" t="s">
        <v>7667</v>
      </c>
      <c r="C1345" s="37" t="s">
        <v>6953</v>
      </c>
      <c r="D1345" s="37" t="s">
        <v>7668</v>
      </c>
      <c r="E1345" s="37" t="s">
        <v>7669</v>
      </c>
      <c r="F1345" s="37" t="s">
        <v>7670</v>
      </c>
      <c r="G1345" s="37" t="s">
        <v>7671</v>
      </c>
      <c r="H1345" s="37" t="s">
        <v>2243</v>
      </c>
      <c r="I1345" s="37" t="s">
        <v>82</v>
      </c>
      <c r="J1345" s="37" t="s">
        <v>83</v>
      </c>
      <c r="K1345" s="40" t="s">
        <v>910</v>
      </c>
      <c r="L1345" s="37" t="s">
        <v>64</v>
      </c>
      <c r="M1345"/>
      <c r="N1345"/>
      <c r="X1345" s="25"/>
      <c r="Y1345" s="25"/>
      <c r="Z1345" s="25"/>
      <c r="AA1345" s="25"/>
      <c r="AB1345" s="25"/>
      <c r="AC1345" s="25"/>
      <c r="AD1345" s="25"/>
      <c r="AE1345" s="25"/>
      <c r="AF1345" s="25"/>
      <c r="AG1345" s="25"/>
      <c r="AH1345" s="25"/>
      <c r="AI1345" s="25"/>
      <c r="AJ1345" s="25"/>
      <c r="AK1345" s="25"/>
    </row>
    <row r="1346" spans="1:37">
      <c r="A1346" s="39"/>
      <c r="B1346" s="37" t="s">
        <v>7672</v>
      </c>
      <c r="C1346" s="37"/>
      <c r="D1346" s="37" t="s">
        <v>7673</v>
      </c>
      <c r="E1346" s="37" t="s">
        <v>4044</v>
      </c>
      <c r="F1346" s="37" t="s">
        <v>7674</v>
      </c>
      <c r="G1346" s="37" t="s">
        <v>7675</v>
      </c>
      <c r="H1346" s="37" t="s">
        <v>2829</v>
      </c>
      <c r="I1346" s="37" t="s">
        <v>265</v>
      </c>
      <c r="J1346" s="37" t="s">
        <v>75</v>
      </c>
      <c r="K1346" s="40" t="s">
        <v>4984</v>
      </c>
      <c r="L1346" s="37" t="s">
        <v>64</v>
      </c>
      <c r="M1346"/>
      <c r="N1346"/>
      <c r="X1346" s="25"/>
      <c r="Y1346" s="25"/>
      <c r="Z1346" s="25"/>
      <c r="AA1346" s="25"/>
      <c r="AB1346" s="25"/>
      <c r="AC1346" s="25"/>
      <c r="AD1346" s="25"/>
      <c r="AE1346" s="25"/>
      <c r="AF1346" s="25"/>
      <c r="AG1346" s="25"/>
      <c r="AH1346" s="25"/>
      <c r="AI1346" s="25"/>
      <c r="AJ1346" s="25"/>
      <c r="AK1346" s="25"/>
    </row>
    <row r="1347" spans="1:37">
      <c r="A1347" s="39"/>
      <c r="B1347" s="37" t="s">
        <v>7672</v>
      </c>
      <c r="C1347" s="37"/>
      <c r="D1347" s="37" t="s">
        <v>7676</v>
      </c>
      <c r="E1347" s="37" t="s">
        <v>2605</v>
      </c>
      <c r="F1347" s="37" t="s">
        <v>7677</v>
      </c>
      <c r="G1347" s="37" t="s">
        <v>7675</v>
      </c>
      <c r="H1347" s="37" t="s">
        <v>2829</v>
      </c>
      <c r="I1347" s="37" t="s">
        <v>265</v>
      </c>
      <c r="J1347" s="37" t="s">
        <v>75</v>
      </c>
      <c r="K1347" s="40" t="s">
        <v>4984</v>
      </c>
      <c r="L1347" s="37" t="s">
        <v>64</v>
      </c>
      <c r="M1347"/>
      <c r="N1347"/>
      <c r="X1347" s="25"/>
      <c r="Y1347" s="25"/>
      <c r="Z1347" s="25"/>
      <c r="AA1347" s="25"/>
      <c r="AB1347" s="25"/>
      <c r="AC1347" s="25"/>
      <c r="AD1347" s="25"/>
      <c r="AE1347" s="25"/>
      <c r="AF1347" s="25"/>
      <c r="AG1347" s="25"/>
      <c r="AH1347" s="25"/>
      <c r="AI1347" s="25"/>
      <c r="AJ1347" s="25"/>
      <c r="AK1347" s="25"/>
    </row>
    <row r="1348" spans="1:37">
      <c r="A1348" s="39"/>
      <c r="B1348" s="37" t="s">
        <v>7678</v>
      </c>
      <c r="C1348" s="37" t="s">
        <v>6930</v>
      </c>
      <c r="D1348" s="37" t="s">
        <v>7679</v>
      </c>
      <c r="E1348" s="37" t="s">
        <v>7680</v>
      </c>
      <c r="F1348" s="37" t="s">
        <v>7681</v>
      </c>
      <c r="G1348" s="37" t="s">
        <v>7682</v>
      </c>
      <c r="H1348" s="37"/>
      <c r="I1348" s="37" t="s">
        <v>3089</v>
      </c>
      <c r="J1348" s="37" t="s">
        <v>1851</v>
      </c>
      <c r="K1348" s="40" t="s">
        <v>7683</v>
      </c>
      <c r="L1348" s="37" t="s">
        <v>64</v>
      </c>
      <c r="M1348"/>
      <c r="N1348"/>
      <c r="X1348" s="25"/>
      <c r="Y1348" s="25"/>
      <c r="Z1348" s="25"/>
      <c r="AA1348" s="25"/>
      <c r="AB1348" s="25"/>
      <c r="AC1348" s="25"/>
      <c r="AD1348" s="25"/>
      <c r="AE1348" s="25"/>
      <c r="AF1348" s="25"/>
      <c r="AG1348" s="25"/>
      <c r="AH1348" s="25"/>
      <c r="AI1348" s="25"/>
      <c r="AJ1348" s="25"/>
      <c r="AK1348" s="25"/>
    </row>
    <row r="1349" spans="1:37">
      <c r="A1349" s="39"/>
      <c r="B1349" s="37" t="s">
        <v>7684</v>
      </c>
      <c r="C1349" s="37" t="s">
        <v>7685</v>
      </c>
      <c r="D1349" s="37" t="s">
        <v>2091</v>
      </c>
      <c r="E1349" s="37" t="s">
        <v>7446</v>
      </c>
      <c r="F1349" s="37" t="s">
        <v>7686</v>
      </c>
      <c r="G1349" s="37" t="s">
        <v>7687</v>
      </c>
      <c r="H1349" s="37"/>
      <c r="I1349" s="37" t="s">
        <v>7162</v>
      </c>
      <c r="J1349" s="37" t="s">
        <v>121</v>
      </c>
      <c r="K1349" s="40" t="s">
        <v>7688</v>
      </c>
      <c r="L1349" s="37" t="s">
        <v>64</v>
      </c>
      <c r="M1349"/>
      <c r="N1349"/>
      <c r="X1349" s="25"/>
      <c r="Y1349" s="25"/>
      <c r="Z1349" s="25"/>
      <c r="AA1349" s="25"/>
      <c r="AB1349" s="25"/>
      <c r="AC1349" s="25"/>
      <c r="AD1349" s="25"/>
      <c r="AE1349" s="25"/>
      <c r="AF1349" s="25"/>
      <c r="AG1349" s="25"/>
      <c r="AH1349" s="25"/>
      <c r="AI1349" s="25"/>
      <c r="AJ1349" s="25"/>
      <c r="AK1349" s="25"/>
    </row>
    <row r="1350" spans="1:37">
      <c r="A1350" s="39"/>
      <c r="B1350" s="37" t="s">
        <v>7689</v>
      </c>
      <c r="C1350" s="37"/>
      <c r="D1350" s="37" t="s">
        <v>7690</v>
      </c>
      <c r="E1350" s="37" t="s">
        <v>7691</v>
      </c>
      <c r="F1350" s="37" t="s">
        <v>7692</v>
      </c>
      <c r="G1350" s="37" t="s">
        <v>7693</v>
      </c>
      <c r="H1350" s="37"/>
      <c r="I1350" s="37" t="s">
        <v>120</v>
      </c>
      <c r="J1350" s="37" t="s">
        <v>121</v>
      </c>
      <c r="K1350" s="40" t="s">
        <v>122</v>
      </c>
      <c r="L1350" s="37" t="s">
        <v>64</v>
      </c>
      <c r="M1350"/>
      <c r="N1350"/>
      <c r="X1350" s="25"/>
      <c r="Y1350" s="25"/>
      <c r="Z1350" s="25"/>
      <c r="AA1350" s="25"/>
      <c r="AB1350" s="25"/>
      <c r="AC1350" s="25"/>
      <c r="AD1350" s="25"/>
      <c r="AE1350" s="25"/>
      <c r="AF1350" s="25"/>
      <c r="AG1350" s="25"/>
      <c r="AH1350" s="25"/>
      <c r="AI1350" s="25"/>
      <c r="AJ1350" s="25"/>
      <c r="AK1350" s="25"/>
    </row>
    <row r="1351" spans="1:37">
      <c r="A1351" s="39"/>
      <c r="B1351" s="37" t="s">
        <v>7694</v>
      </c>
      <c r="C1351" s="37" t="s">
        <v>7695</v>
      </c>
      <c r="D1351" s="37" t="s">
        <v>7696</v>
      </c>
      <c r="E1351" s="37" t="s">
        <v>7697</v>
      </c>
      <c r="F1351" s="37" t="s">
        <v>7698</v>
      </c>
      <c r="G1351" s="37" t="s">
        <v>7699</v>
      </c>
      <c r="H1351" s="37"/>
      <c r="I1351" s="37" t="s">
        <v>420</v>
      </c>
      <c r="J1351" s="37" t="s">
        <v>75</v>
      </c>
      <c r="K1351" s="40" t="s">
        <v>7700</v>
      </c>
      <c r="L1351" s="37" t="s">
        <v>64</v>
      </c>
      <c r="M1351"/>
      <c r="N1351"/>
      <c r="X1351" s="25"/>
      <c r="Y1351" s="25"/>
      <c r="Z1351" s="25"/>
      <c r="AA1351" s="25"/>
      <c r="AB1351" s="25"/>
      <c r="AC1351" s="25"/>
      <c r="AD1351" s="25"/>
      <c r="AE1351" s="25"/>
      <c r="AF1351" s="25"/>
      <c r="AG1351" s="25"/>
      <c r="AH1351" s="25"/>
      <c r="AI1351" s="25"/>
      <c r="AJ1351" s="25"/>
      <c r="AK1351" s="25"/>
    </row>
    <row r="1352" spans="1:37">
      <c r="A1352" s="39"/>
      <c r="B1352" s="37" t="s">
        <v>7701</v>
      </c>
      <c r="C1352" s="37" t="s">
        <v>6921</v>
      </c>
      <c r="D1352" s="37" t="s">
        <v>7702</v>
      </c>
      <c r="E1352" s="37" t="s">
        <v>7703</v>
      </c>
      <c r="F1352" s="37" t="s">
        <v>7704</v>
      </c>
      <c r="G1352" s="37" t="s">
        <v>7705</v>
      </c>
      <c r="H1352" s="37" t="s">
        <v>7706</v>
      </c>
      <c r="I1352" s="37" t="s">
        <v>3627</v>
      </c>
      <c r="J1352" s="37" t="s">
        <v>93</v>
      </c>
      <c r="K1352" s="40" t="s">
        <v>7707</v>
      </c>
      <c r="L1352" s="37" t="s">
        <v>64</v>
      </c>
      <c r="M1352"/>
      <c r="N1352"/>
      <c r="X1352" s="25"/>
      <c r="Y1352" s="25"/>
      <c r="Z1352" s="25"/>
      <c r="AA1352" s="25"/>
      <c r="AB1352" s="25"/>
      <c r="AC1352" s="25"/>
      <c r="AD1352" s="25"/>
      <c r="AE1352" s="25"/>
      <c r="AF1352" s="25"/>
      <c r="AG1352" s="25"/>
      <c r="AH1352" s="25"/>
      <c r="AI1352" s="25"/>
      <c r="AJ1352" s="25"/>
      <c r="AK1352" s="25"/>
    </row>
    <row r="1353" spans="1:37">
      <c r="A1353" s="39"/>
      <c r="B1353" s="37" t="s">
        <v>7701</v>
      </c>
      <c r="C1353" s="37" t="s">
        <v>6877</v>
      </c>
      <c r="D1353" s="37" t="s">
        <v>7708</v>
      </c>
      <c r="E1353" s="37" t="s">
        <v>7709</v>
      </c>
      <c r="F1353" s="37" t="s">
        <v>7710</v>
      </c>
      <c r="G1353" s="37" t="s">
        <v>7705</v>
      </c>
      <c r="H1353" s="37" t="s">
        <v>7706</v>
      </c>
      <c r="I1353" s="37" t="s">
        <v>3627</v>
      </c>
      <c r="J1353" s="37" t="s">
        <v>93</v>
      </c>
      <c r="K1353" s="40" t="s">
        <v>7707</v>
      </c>
      <c r="L1353" s="37" t="s">
        <v>64</v>
      </c>
      <c r="M1353"/>
      <c r="N1353"/>
      <c r="X1353" s="25"/>
      <c r="Y1353" s="25"/>
      <c r="Z1353" s="25"/>
      <c r="AA1353" s="25"/>
      <c r="AB1353" s="25"/>
      <c r="AC1353" s="25"/>
      <c r="AD1353" s="25"/>
      <c r="AE1353" s="25"/>
      <c r="AF1353" s="25"/>
      <c r="AG1353" s="25"/>
      <c r="AH1353" s="25"/>
      <c r="AI1353" s="25"/>
      <c r="AJ1353" s="25"/>
      <c r="AK1353" s="25"/>
    </row>
    <row r="1354" spans="1:37">
      <c r="A1354" s="39"/>
      <c r="B1354" s="37" t="s">
        <v>7711</v>
      </c>
      <c r="C1354" s="37" t="s">
        <v>2202</v>
      </c>
      <c r="D1354" s="37" t="s">
        <v>5260</v>
      </c>
      <c r="E1354" s="37" t="s">
        <v>7712</v>
      </c>
      <c r="F1354" s="37" t="s">
        <v>7713</v>
      </c>
      <c r="G1354" s="37" t="s">
        <v>7714</v>
      </c>
      <c r="H1354" s="37"/>
      <c r="I1354" s="37" t="s">
        <v>7715</v>
      </c>
      <c r="J1354" s="37" t="s">
        <v>200</v>
      </c>
      <c r="K1354" s="40" t="s">
        <v>7716</v>
      </c>
      <c r="L1354" s="37" t="s">
        <v>64</v>
      </c>
      <c r="M1354"/>
      <c r="N1354"/>
      <c r="X1354" s="25"/>
      <c r="Y1354" s="25"/>
      <c r="Z1354" s="25"/>
      <c r="AA1354" s="25"/>
      <c r="AB1354" s="25"/>
      <c r="AC1354" s="25"/>
      <c r="AD1354" s="25"/>
      <c r="AE1354" s="25"/>
      <c r="AF1354" s="25"/>
      <c r="AG1354" s="25"/>
      <c r="AH1354" s="25"/>
      <c r="AI1354" s="25"/>
      <c r="AJ1354" s="25"/>
      <c r="AK1354" s="25"/>
    </row>
    <row r="1355" spans="1:37">
      <c r="A1355" s="39"/>
      <c r="B1355" s="37" t="s">
        <v>7717</v>
      </c>
      <c r="C1355" s="37" t="s">
        <v>7718</v>
      </c>
      <c r="D1355" s="37" t="s">
        <v>7719</v>
      </c>
      <c r="E1355" s="37" t="s">
        <v>7720</v>
      </c>
      <c r="F1355" s="37" t="s">
        <v>7721</v>
      </c>
      <c r="G1355" s="37" t="s">
        <v>7722</v>
      </c>
      <c r="H1355" s="37"/>
      <c r="I1355" s="37" t="s">
        <v>7723</v>
      </c>
      <c r="J1355" s="37" t="s">
        <v>121</v>
      </c>
      <c r="K1355" s="40" t="s">
        <v>7724</v>
      </c>
      <c r="L1355" s="37" t="s">
        <v>64</v>
      </c>
      <c r="M1355"/>
      <c r="N1355"/>
      <c r="X1355" s="25"/>
      <c r="Y1355" s="25"/>
      <c r="Z1355" s="25"/>
      <c r="AA1355" s="25"/>
      <c r="AB1355" s="25"/>
      <c r="AC1355" s="25"/>
      <c r="AD1355" s="25"/>
      <c r="AE1355" s="25"/>
      <c r="AF1355" s="25"/>
      <c r="AG1355" s="25"/>
      <c r="AH1355" s="25"/>
      <c r="AI1355" s="25"/>
      <c r="AJ1355" s="25"/>
      <c r="AK1355" s="25"/>
    </row>
    <row r="1356" spans="1:37">
      <c r="A1356" s="39"/>
      <c r="B1356" s="37" t="s">
        <v>7725</v>
      </c>
      <c r="C1356" s="37" t="s">
        <v>7726</v>
      </c>
      <c r="D1356" s="37" t="s">
        <v>7727</v>
      </c>
      <c r="E1356" s="37" t="s">
        <v>7728</v>
      </c>
      <c r="F1356" s="37" t="s">
        <v>7729</v>
      </c>
      <c r="G1356" s="37" t="s">
        <v>7730</v>
      </c>
      <c r="H1356" s="37"/>
      <c r="I1356" s="37" t="s">
        <v>843</v>
      </c>
      <c r="J1356" s="37" t="s">
        <v>75</v>
      </c>
      <c r="K1356" s="40"/>
      <c r="L1356" s="37" t="s">
        <v>64</v>
      </c>
      <c r="M1356"/>
      <c r="N1356"/>
      <c r="X1356" s="25"/>
      <c r="Y1356" s="25"/>
      <c r="Z1356" s="25"/>
      <c r="AA1356" s="25"/>
      <c r="AB1356" s="25"/>
      <c r="AC1356" s="25"/>
      <c r="AD1356" s="25"/>
      <c r="AE1356" s="25"/>
      <c r="AF1356" s="25"/>
      <c r="AG1356" s="25"/>
      <c r="AH1356" s="25"/>
      <c r="AI1356" s="25"/>
      <c r="AJ1356" s="25"/>
      <c r="AK1356" s="25"/>
    </row>
    <row r="1357" spans="1:37">
      <c r="A1357" s="39"/>
      <c r="B1357" s="37" t="s">
        <v>7731</v>
      </c>
      <c r="C1357" s="37" t="s">
        <v>7732</v>
      </c>
      <c r="D1357" s="37" t="s">
        <v>464</v>
      </c>
      <c r="E1357" s="37" t="s">
        <v>1306</v>
      </c>
      <c r="F1357" s="37" t="s">
        <v>7733</v>
      </c>
      <c r="G1357" s="37" t="s">
        <v>7734</v>
      </c>
      <c r="H1357" s="37" t="s">
        <v>3220</v>
      </c>
      <c r="I1357" s="37" t="s">
        <v>843</v>
      </c>
      <c r="J1357" s="37" t="s">
        <v>75</v>
      </c>
      <c r="K1357" s="40" t="s">
        <v>1109</v>
      </c>
      <c r="L1357" s="37" t="s">
        <v>64</v>
      </c>
      <c r="M1357"/>
      <c r="N1357"/>
      <c r="X1357" s="25"/>
      <c r="Y1357" s="25"/>
      <c r="Z1357" s="25"/>
      <c r="AA1357" s="25"/>
      <c r="AB1357" s="25"/>
      <c r="AC1357" s="25"/>
      <c r="AD1357" s="25"/>
      <c r="AE1357" s="25"/>
      <c r="AF1357" s="25"/>
      <c r="AG1357" s="25"/>
      <c r="AH1357" s="25"/>
      <c r="AI1357" s="25"/>
      <c r="AJ1357" s="25"/>
      <c r="AK1357" s="25"/>
    </row>
    <row r="1358" spans="1:37">
      <c r="A1358" s="39"/>
      <c r="B1358" s="37" t="s">
        <v>7735</v>
      </c>
      <c r="C1358" s="37"/>
      <c r="D1358" s="37" t="s">
        <v>2745</v>
      </c>
      <c r="E1358" s="37" t="s">
        <v>7736</v>
      </c>
      <c r="F1358" s="37" t="s">
        <v>7737</v>
      </c>
      <c r="G1358" s="37" t="s">
        <v>7738</v>
      </c>
      <c r="H1358" s="37"/>
      <c r="I1358" s="37" t="s">
        <v>7739</v>
      </c>
      <c r="J1358" s="37" t="s">
        <v>93</v>
      </c>
      <c r="K1358" s="40" t="s">
        <v>7740</v>
      </c>
      <c r="L1358" s="37" t="s">
        <v>64</v>
      </c>
      <c r="M1358"/>
      <c r="N1358"/>
      <c r="X1358" s="25"/>
      <c r="Y1358" s="25"/>
      <c r="Z1358" s="25"/>
      <c r="AA1358" s="25"/>
      <c r="AB1358" s="25"/>
      <c r="AC1358" s="25"/>
      <c r="AD1358" s="25"/>
      <c r="AE1358" s="25"/>
      <c r="AF1358" s="25"/>
      <c r="AG1358" s="25"/>
      <c r="AH1358" s="25"/>
      <c r="AI1358" s="25"/>
      <c r="AJ1358" s="25"/>
      <c r="AK1358" s="25"/>
    </row>
    <row r="1359" spans="1:37">
      <c r="A1359" s="39"/>
      <c r="B1359" s="37" t="s">
        <v>7741</v>
      </c>
      <c r="C1359" s="37" t="s">
        <v>7742</v>
      </c>
      <c r="D1359" s="37" t="s">
        <v>117</v>
      </c>
      <c r="E1359" s="37" t="s">
        <v>7743</v>
      </c>
      <c r="F1359" s="37" t="s">
        <v>7744</v>
      </c>
      <c r="G1359" s="37" t="s">
        <v>7745</v>
      </c>
      <c r="H1359" s="37"/>
      <c r="I1359" s="37" t="s">
        <v>7746</v>
      </c>
      <c r="J1359" s="37" t="s">
        <v>425</v>
      </c>
      <c r="K1359" s="40" t="s">
        <v>7747</v>
      </c>
      <c r="L1359" s="37" t="s">
        <v>64</v>
      </c>
      <c r="M1359"/>
      <c r="N1359"/>
      <c r="X1359" s="25"/>
      <c r="Y1359" s="25"/>
      <c r="Z1359" s="25"/>
      <c r="AA1359" s="25"/>
      <c r="AB1359" s="25"/>
      <c r="AC1359" s="25"/>
      <c r="AD1359" s="25"/>
      <c r="AE1359" s="25"/>
      <c r="AF1359" s="25"/>
      <c r="AG1359" s="25"/>
      <c r="AH1359" s="25"/>
      <c r="AI1359" s="25"/>
      <c r="AJ1359" s="25"/>
      <c r="AK1359" s="25"/>
    </row>
    <row r="1360" spans="1:37">
      <c r="A1360" s="39"/>
      <c r="B1360" s="37" t="s">
        <v>7748</v>
      </c>
      <c r="C1360" s="37" t="s">
        <v>7749</v>
      </c>
      <c r="D1360" s="37" t="s">
        <v>1263</v>
      </c>
      <c r="E1360" s="37" t="s">
        <v>7750</v>
      </c>
      <c r="F1360" s="37" t="s">
        <v>7751</v>
      </c>
      <c r="G1360" s="37" t="s">
        <v>7752</v>
      </c>
      <c r="H1360" s="37"/>
      <c r="I1360" s="37" t="s">
        <v>7100</v>
      </c>
      <c r="J1360" s="37" t="s">
        <v>475</v>
      </c>
      <c r="K1360" s="40" t="s">
        <v>7753</v>
      </c>
      <c r="L1360" s="37" t="s">
        <v>64</v>
      </c>
      <c r="M1360"/>
      <c r="N1360"/>
      <c r="X1360" s="25"/>
      <c r="Y1360" s="25"/>
      <c r="Z1360" s="25"/>
      <c r="AA1360" s="25"/>
      <c r="AB1360" s="25"/>
      <c r="AC1360" s="25"/>
      <c r="AD1360" s="25"/>
      <c r="AE1360" s="25"/>
      <c r="AF1360" s="25"/>
      <c r="AG1360" s="25"/>
      <c r="AH1360" s="25"/>
      <c r="AI1360" s="25"/>
      <c r="AJ1360" s="25"/>
      <c r="AK1360" s="25"/>
    </row>
    <row r="1361" spans="1:37">
      <c r="A1361" s="39"/>
      <c r="B1361" s="37" t="s">
        <v>7754</v>
      </c>
      <c r="C1361" s="37" t="s">
        <v>7755</v>
      </c>
      <c r="D1361" s="37" t="s">
        <v>6137</v>
      </c>
      <c r="E1361" s="37" t="s">
        <v>7756</v>
      </c>
      <c r="F1361" s="37" t="s">
        <v>7757</v>
      </c>
      <c r="G1361" s="37" t="s">
        <v>7758</v>
      </c>
      <c r="H1361" s="37" t="s">
        <v>7759</v>
      </c>
      <c r="I1361" s="37" t="s">
        <v>7760</v>
      </c>
      <c r="J1361" s="37" t="s">
        <v>153</v>
      </c>
      <c r="K1361" s="40" t="s">
        <v>7761</v>
      </c>
      <c r="L1361" s="37" t="s">
        <v>64</v>
      </c>
      <c r="M1361"/>
      <c r="N1361"/>
      <c r="X1361" s="25"/>
      <c r="Y1361" s="25"/>
      <c r="Z1361" s="25"/>
      <c r="AA1361" s="25"/>
      <c r="AB1361" s="25"/>
      <c r="AC1361" s="25"/>
      <c r="AD1361" s="25"/>
      <c r="AE1361" s="25"/>
      <c r="AF1361" s="25"/>
      <c r="AG1361" s="25"/>
      <c r="AH1361" s="25"/>
      <c r="AI1361" s="25"/>
      <c r="AJ1361" s="25"/>
      <c r="AK1361" s="25"/>
    </row>
    <row r="1362" spans="1:37">
      <c r="A1362" s="39"/>
      <c r="B1362" s="37" t="s">
        <v>7762</v>
      </c>
      <c r="C1362" s="37"/>
      <c r="D1362" s="37" t="s">
        <v>7763</v>
      </c>
      <c r="E1362" s="37" t="s">
        <v>7764</v>
      </c>
      <c r="F1362" s="38" t="s">
        <v>5739</v>
      </c>
      <c r="G1362" s="37" t="s">
        <v>7765</v>
      </c>
      <c r="H1362" s="37" t="s">
        <v>7766</v>
      </c>
      <c r="I1362" s="37" t="s">
        <v>1318</v>
      </c>
      <c r="J1362" s="37" t="s">
        <v>83</v>
      </c>
      <c r="K1362" s="40" t="s">
        <v>910</v>
      </c>
      <c r="L1362" s="37" t="s">
        <v>64</v>
      </c>
      <c r="M1362"/>
      <c r="N1362"/>
      <c r="X1362" s="25"/>
      <c r="Y1362" s="25"/>
      <c r="Z1362" s="25"/>
      <c r="AA1362" s="25"/>
      <c r="AB1362" s="25"/>
      <c r="AC1362" s="25"/>
      <c r="AD1362" s="25"/>
      <c r="AE1362" s="25"/>
      <c r="AF1362" s="25"/>
      <c r="AG1362" s="25"/>
      <c r="AH1362" s="25"/>
      <c r="AI1362" s="25"/>
      <c r="AJ1362" s="25"/>
      <c r="AK1362" s="25"/>
    </row>
    <row r="1363" spans="1:37">
      <c r="A1363" s="39"/>
      <c r="B1363" s="37" t="s">
        <v>7767</v>
      </c>
      <c r="C1363" s="37" t="s">
        <v>7768</v>
      </c>
      <c r="D1363" s="37" t="s">
        <v>2013</v>
      </c>
      <c r="E1363" s="37" t="s">
        <v>7769</v>
      </c>
      <c r="F1363" s="38" t="s">
        <v>5739</v>
      </c>
      <c r="G1363" s="37" t="s">
        <v>7770</v>
      </c>
      <c r="H1363" s="37" t="s">
        <v>2573</v>
      </c>
      <c r="I1363" s="37" t="s">
        <v>265</v>
      </c>
      <c r="J1363" s="37" t="s">
        <v>75</v>
      </c>
      <c r="K1363" s="40" t="s">
        <v>2807</v>
      </c>
      <c r="L1363" s="37" t="s">
        <v>64</v>
      </c>
      <c r="M1363"/>
      <c r="N1363"/>
      <c r="X1363" s="25"/>
      <c r="Y1363" s="25"/>
      <c r="Z1363" s="25"/>
      <c r="AA1363" s="25"/>
      <c r="AB1363" s="25"/>
      <c r="AC1363" s="25"/>
      <c r="AD1363" s="25"/>
      <c r="AE1363" s="25"/>
      <c r="AF1363" s="25"/>
      <c r="AG1363" s="25"/>
      <c r="AH1363" s="25"/>
      <c r="AI1363" s="25"/>
      <c r="AJ1363" s="25"/>
      <c r="AK1363" s="25"/>
    </row>
    <row r="1364" spans="1:37">
      <c r="A1364" s="39"/>
      <c r="B1364" s="37" t="s">
        <v>7771</v>
      </c>
      <c r="C1364" s="37" t="s">
        <v>7772</v>
      </c>
      <c r="D1364" s="37" t="s">
        <v>416</v>
      </c>
      <c r="E1364" s="37" t="s">
        <v>7773</v>
      </c>
      <c r="F1364" s="37" t="s">
        <v>7774</v>
      </c>
      <c r="G1364" s="37" t="s">
        <v>7775</v>
      </c>
      <c r="H1364" s="37" t="s">
        <v>7776</v>
      </c>
      <c r="I1364" s="37" t="s">
        <v>7777</v>
      </c>
      <c r="J1364" s="37" t="s">
        <v>93</v>
      </c>
      <c r="K1364" s="40" t="s">
        <v>7778</v>
      </c>
      <c r="L1364" s="37" t="s">
        <v>64</v>
      </c>
      <c r="M1364"/>
      <c r="N1364"/>
      <c r="X1364" s="25"/>
      <c r="Y1364" s="25"/>
      <c r="Z1364" s="25"/>
      <c r="AA1364" s="25"/>
      <c r="AB1364" s="25"/>
      <c r="AC1364" s="25"/>
      <c r="AD1364" s="25"/>
      <c r="AE1364" s="25"/>
      <c r="AF1364" s="25"/>
      <c r="AG1364" s="25"/>
      <c r="AH1364" s="25"/>
      <c r="AI1364" s="25"/>
      <c r="AJ1364" s="25"/>
      <c r="AK1364" s="25"/>
    </row>
    <row r="1365" spans="1:37">
      <c r="A1365" s="39"/>
      <c r="B1365" s="37" t="s">
        <v>7779</v>
      </c>
      <c r="C1365" s="37" t="s">
        <v>6804</v>
      </c>
      <c r="D1365" s="37" t="s">
        <v>763</v>
      </c>
      <c r="E1365" s="37" t="s">
        <v>7780</v>
      </c>
      <c r="F1365" s="37" t="s">
        <v>7781</v>
      </c>
      <c r="G1365" s="37" t="s">
        <v>7782</v>
      </c>
      <c r="H1365" s="37"/>
      <c r="I1365" s="37" t="s">
        <v>6264</v>
      </c>
      <c r="J1365" s="37" t="s">
        <v>114</v>
      </c>
      <c r="K1365" s="40" t="s">
        <v>7783</v>
      </c>
      <c r="L1365" s="37" t="s">
        <v>64</v>
      </c>
      <c r="M1365"/>
      <c r="N1365"/>
      <c r="X1365" s="25"/>
      <c r="Y1365" s="25"/>
      <c r="Z1365" s="25"/>
      <c r="AA1365" s="25"/>
      <c r="AB1365" s="25"/>
      <c r="AC1365" s="25"/>
      <c r="AD1365" s="25"/>
      <c r="AE1365" s="25"/>
      <c r="AF1365" s="25"/>
      <c r="AG1365" s="25"/>
      <c r="AH1365" s="25"/>
      <c r="AI1365" s="25"/>
      <c r="AJ1365" s="25"/>
      <c r="AK1365" s="25"/>
    </row>
    <row r="1366" spans="1:37">
      <c r="A1366" s="39"/>
      <c r="B1366" s="37" t="s">
        <v>7784</v>
      </c>
      <c r="C1366" s="37" t="s">
        <v>7785</v>
      </c>
      <c r="D1366" s="37" t="s">
        <v>5452</v>
      </c>
      <c r="E1366" s="37" t="s">
        <v>7786</v>
      </c>
      <c r="F1366" s="37" t="s">
        <v>7787</v>
      </c>
      <c r="G1366" s="37" t="s">
        <v>7788</v>
      </c>
      <c r="H1366" s="37"/>
      <c r="I1366" s="37" t="s">
        <v>7789</v>
      </c>
      <c r="J1366" s="37" t="s">
        <v>425</v>
      </c>
      <c r="K1366" s="40" t="s">
        <v>7790</v>
      </c>
      <c r="L1366" s="37" t="s">
        <v>64</v>
      </c>
      <c r="M1366"/>
      <c r="N1366"/>
      <c r="X1366" s="25"/>
      <c r="Y1366" s="25"/>
      <c r="Z1366" s="25"/>
      <c r="AA1366" s="25"/>
      <c r="AB1366" s="25"/>
      <c r="AC1366" s="25"/>
      <c r="AD1366" s="25"/>
      <c r="AE1366" s="25"/>
      <c r="AF1366" s="25"/>
      <c r="AG1366" s="25"/>
      <c r="AH1366" s="25"/>
      <c r="AI1366" s="25"/>
      <c r="AJ1366" s="25"/>
      <c r="AK1366" s="25"/>
    </row>
    <row r="1367" spans="1:37">
      <c r="A1367" s="39"/>
      <c r="B1367" s="37" t="s">
        <v>7791</v>
      </c>
      <c r="C1367" s="37" t="s">
        <v>7792</v>
      </c>
      <c r="D1367" s="37" t="s">
        <v>2462</v>
      </c>
      <c r="E1367" s="37" t="s">
        <v>1260</v>
      </c>
      <c r="F1367" s="37" t="s">
        <v>7793</v>
      </c>
      <c r="G1367" s="37" t="s">
        <v>7794</v>
      </c>
      <c r="H1367" s="37" t="s">
        <v>7795</v>
      </c>
      <c r="I1367" s="37" t="s">
        <v>191</v>
      </c>
      <c r="J1367" s="37" t="s">
        <v>121</v>
      </c>
      <c r="K1367" s="40" t="s">
        <v>1229</v>
      </c>
      <c r="L1367" s="37" t="s">
        <v>64</v>
      </c>
      <c r="M1367"/>
      <c r="N1367"/>
      <c r="X1367" s="25"/>
      <c r="Y1367" s="25"/>
      <c r="Z1367" s="25"/>
      <c r="AA1367" s="25"/>
      <c r="AB1367" s="25"/>
      <c r="AC1367" s="25"/>
      <c r="AD1367" s="25"/>
      <c r="AE1367" s="25"/>
      <c r="AF1367" s="25"/>
      <c r="AG1367" s="25"/>
      <c r="AH1367" s="25"/>
      <c r="AI1367" s="25"/>
      <c r="AJ1367" s="25"/>
      <c r="AK1367" s="25"/>
    </row>
    <row r="1368" spans="1:37">
      <c r="A1368" s="39"/>
      <c r="B1368" s="37" t="s">
        <v>7791</v>
      </c>
      <c r="C1368" s="37"/>
      <c r="D1368" s="37" t="s">
        <v>1073</v>
      </c>
      <c r="E1368" s="37" t="s">
        <v>7796</v>
      </c>
      <c r="F1368" s="37" t="s">
        <v>7797</v>
      </c>
      <c r="G1368" s="37" t="s">
        <v>7798</v>
      </c>
      <c r="H1368" s="37" t="s">
        <v>7795</v>
      </c>
      <c r="I1368" s="37" t="s">
        <v>191</v>
      </c>
      <c r="J1368" s="37" t="s">
        <v>121</v>
      </c>
      <c r="K1368" s="40" t="s">
        <v>1229</v>
      </c>
      <c r="L1368" s="37" t="s">
        <v>64</v>
      </c>
      <c r="M1368"/>
      <c r="N1368"/>
      <c r="X1368" s="25"/>
      <c r="Y1368" s="25"/>
      <c r="Z1368" s="25"/>
      <c r="AA1368" s="25"/>
      <c r="AB1368" s="25"/>
      <c r="AC1368" s="25"/>
      <c r="AD1368" s="25"/>
      <c r="AE1368" s="25"/>
      <c r="AF1368" s="25"/>
      <c r="AG1368" s="25"/>
      <c r="AH1368" s="25"/>
      <c r="AI1368" s="25"/>
      <c r="AJ1368" s="25"/>
      <c r="AK1368" s="25"/>
    </row>
    <row r="1369" spans="1:37">
      <c r="A1369" s="39"/>
      <c r="B1369" s="37" t="s">
        <v>1471</v>
      </c>
      <c r="C1369" s="37"/>
      <c r="D1369" s="37" t="s">
        <v>7799</v>
      </c>
      <c r="E1369" s="37" t="s">
        <v>7800</v>
      </c>
      <c r="F1369" s="37" t="s">
        <v>7801</v>
      </c>
      <c r="G1369" s="37" t="s">
        <v>7802</v>
      </c>
      <c r="H1369" s="37"/>
      <c r="I1369" s="37" t="s">
        <v>7803</v>
      </c>
      <c r="J1369" s="37" t="s">
        <v>425</v>
      </c>
      <c r="K1369" s="40" t="s">
        <v>7804</v>
      </c>
      <c r="L1369" s="37" t="s">
        <v>64</v>
      </c>
      <c r="M1369"/>
      <c r="N1369"/>
      <c r="X1369" s="25"/>
      <c r="Y1369" s="25"/>
      <c r="Z1369" s="25"/>
      <c r="AA1369" s="25"/>
      <c r="AB1369" s="25"/>
      <c r="AC1369" s="25"/>
      <c r="AD1369" s="25"/>
      <c r="AE1369" s="25"/>
      <c r="AF1369" s="25"/>
      <c r="AG1369" s="25"/>
      <c r="AH1369" s="25"/>
      <c r="AI1369" s="25"/>
      <c r="AJ1369" s="25"/>
      <c r="AK1369" s="25"/>
    </row>
    <row r="1370" spans="1:37">
      <c r="A1370" s="39"/>
      <c r="B1370" s="37" t="s">
        <v>7805</v>
      </c>
      <c r="C1370" s="37" t="s">
        <v>7537</v>
      </c>
      <c r="D1370" s="37" t="s">
        <v>525</v>
      </c>
      <c r="E1370" s="37" t="s">
        <v>7806</v>
      </c>
      <c r="F1370" s="37" t="s">
        <v>7807</v>
      </c>
      <c r="G1370" s="37" t="s">
        <v>7808</v>
      </c>
      <c r="H1370" s="37"/>
      <c r="I1370" s="37" t="s">
        <v>7803</v>
      </c>
      <c r="J1370" s="37" t="s">
        <v>425</v>
      </c>
      <c r="K1370" s="40" t="s">
        <v>7809</v>
      </c>
      <c r="L1370" s="37" t="s">
        <v>64</v>
      </c>
      <c r="M1370"/>
      <c r="N1370"/>
      <c r="X1370" s="25"/>
      <c r="Y1370" s="25"/>
      <c r="Z1370" s="25"/>
      <c r="AA1370" s="25"/>
      <c r="AB1370" s="25"/>
      <c r="AC1370" s="25"/>
      <c r="AD1370" s="25"/>
      <c r="AE1370" s="25"/>
      <c r="AF1370" s="25"/>
      <c r="AG1370" s="25"/>
      <c r="AH1370" s="25"/>
      <c r="AI1370" s="25"/>
      <c r="AJ1370" s="25"/>
      <c r="AK1370" s="25"/>
    </row>
    <row r="1371" spans="1:37">
      <c r="A1371" s="39"/>
      <c r="B1371" s="37" t="s">
        <v>7805</v>
      </c>
      <c r="C1371" s="37" t="s">
        <v>7810</v>
      </c>
      <c r="D1371" s="37" t="s">
        <v>390</v>
      </c>
      <c r="E1371" s="37" t="s">
        <v>7811</v>
      </c>
      <c r="F1371" s="37" t="s">
        <v>7812</v>
      </c>
      <c r="G1371" s="37" t="s">
        <v>7813</v>
      </c>
      <c r="H1371" s="37"/>
      <c r="I1371" s="37" t="s">
        <v>7814</v>
      </c>
      <c r="J1371" s="37" t="s">
        <v>425</v>
      </c>
      <c r="K1371" s="40" t="s">
        <v>7815</v>
      </c>
      <c r="L1371" s="37" t="s">
        <v>64</v>
      </c>
      <c r="M1371"/>
      <c r="N1371"/>
      <c r="X1371" s="25"/>
      <c r="Y1371" s="25"/>
      <c r="Z1371" s="25"/>
      <c r="AA1371" s="25"/>
      <c r="AB1371" s="25"/>
      <c r="AC1371" s="25"/>
      <c r="AD1371" s="25"/>
      <c r="AE1371" s="25"/>
      <c r="AF1371" s="25"/>
      <c r="AG1371" s="25"/>
      <c r="AH1371" s="25"/>
      <c r="AI1371" s="25"/>
      <c r="AJ1371" s="25"/>
      <c r="AK1371" s="25"/>
    </row>
    <row r="1372" spans="1:37">
      <c r="A1372" s="39"/>
      <c r="B1372" s="37" t="s">
        <v>7805</v>
      </c>
      <c r="C1372" s="37" t="s">
        <v>6726</v>
      </c>
      <c r="D1372" s="37" t="s">
        <v>361</v>
      </c>
      <c r="E1372" s="37" t="s">
        <v>2654</v>
      </c>
      <c r="F1372" s="37" t="s">
        <v>7816</v>
      </c>
      <c r="G1372" s="37" t="s">
        <v>7817</v>
      </c>
      <c r="H1372" s="37"/>
      <c r="I1372" s="37" t="s">
        <v>7814</v>
      </c>
      <c r="J1372" s="37" t="s">
        <v>425</v>
      </c>
      <c r="K1372" s="40" t="s">
        <v>7815</v>
      </c>
      <c r="L1372" s="37" t="s">
        <v>64</v>
      </c>
      <c r="M1372"/>
      <c r="N1372"/>
      <c r="X1372" s="25"/>
      <c r="Y1372" s="25"/>
      <c r="Z1372" s="25"/>
      <c r="AA1372" s="25"/>
      <c r="AB1372" s="25"/>
      <c r="AC1372" s="25"/>
      <c r="AD1372" s="25"/>
      <c r="AE1372" s="25"/>
      <c r="AF1372" s="25"/>
      <c r="AG1372" s="25"/>
      <c r="AH1372" s="25"/>
      <c r="AI1372" s="25"/>
      <c r="AJ1372" s="25"/>
      <c r="AK1372" s="25"/>
    </row>
    <row r="1373" spans="1:37">
      <c r="A1373" s="39"/>
      <c r="B1373" s="37" t="s">
        <v>7805</v>
      </c>
      <c r="C1373" s="37" t="s">
        <v>7818</v>
      </c>
      <c r="D1373" s="37" t="s">
        <v>861</v>
      </c>
      <c r="E1373" s="37" t="s">
        <v>7819</v>
      </c>
      <c r="F1373" s="37" t="s">
        <v>7820</v>
      </c>
      <c r="G1373" s="37" t="s">
        <v>7821</v>
      </c>
      <c r="H1373" s="37" t="s">
        <v>7822</v>
      </c>
      <c r="I1373" s="37" t="s">
        <v>7803</v>
      </c>
      <c r="J1373" s="37" t="s">
        <v>425</v>
      </c>
      <c r="K1373" s="40" t="s">
        <v>7823</v>
      </c>
      <c r="L1373" s="37" t="s">
        <v>64</v>
      </c>
      <c r="M1373"/>
      <c r="N1373"/>
      <c r="X1373" s="25"/>
      <c r="Y1373" s="25"/>
      <c r="Z1373" s="25"/>
      <c r="AA1373" s="25"/>
      <c r="AB1373" s="25"/>
      <c r="AC1373" s="25"/>
      <c r="AD1373" s="25"/>
      <c r="AE1373" s="25"/>
      <c r="AF1373" s="25"/>
      <c r="AG1373" s="25"/>
      <c r="AH1373" s="25"/>
      <c r="AI1373" s="25"/>
      <c r="AJ1373" s="25"/>
      <c r="AK1373" s="25"/>
    </row>
    <row r="1374" spans="1:37">
      <c r="A1374" s="39"/>
      <c r="B1374" s="37" t="s">
        <v>7805</v>
      </c>
      <c r="C1374" s="37" t="s">
        <v>6930</v>
      </c>
      <c r="D1374" s="37" t="s">
        <v>7824</v>
      </c>
      <c r="E1374" s="37" t="s">
        <v>3327</v>
      </c>
      <c r="F1374" s="37" t="s">
        <v>7825</v>
      </c>
      <c r="G1374" s="37" t="s">
        <v>7826</v>
      </c>
      <c r="H1374" s="37"/>
      <c r="I1374" s="37" t="s">
        <v>7827</v>
      </c>
      <c r="J1374" s="37" t="s">
        <v>425</v>
      </c>
      <c r="K1374" s="40" t="s">
        <v>7828</v>
      </c>
      <c r="L1374" s="37" t="s">
        <v>64</v>
      </c>
      <c r="M1374"/>
      <c r="N1374"/>
      <c r="X1374" s="25"/>
      <c r="Y1374" s="25"/>
      <c r="Z1374" s="25"/>
      <c r="AA1374" s="25"/>
      <c r="AB1374" s="25"/>
      <c r="AC1374" s="25"/>
      <c r="AD1374" s="25"/>
      <c r="AE1374" s="25"/>
      <c r="AF1374" s="25"/>
      <c r="AG1374" s="25"/>
      <c r="AH1374" s="25"/>
      <c r="AI1374" s="25"/>
      <c r="AJ1374" s="25"/>
      <c r="AK1374" s="25"/>
    </row>
    <row r="1375" spans="1:37">
      <c r="A1375" s="39"/>
      <c r="B1375" s="37" t="s">
        <v>7805</v>
      </c>
      <c r="C1375" s="37" t="s">
        <v>7829</v>
      </c>
      <c r="D1375" s="37" t="s">
        <v>7830</v>
      </c>
      <c r="E1375" s="37" t="s">
        <v>7831</v>
      </c>
      <c r="F1375" s="37" t="s">
        <v>7832</v>
      </c>
      <c r="G1375" s="37" t="s">
        <v>7833</v>
      </c>
      <c r="H1375" s="37" t="s">
        <v>7834</v>
      </c>
      <c r="I1375" s="37" t="s">
        <v>7814</v>
      </c>
      <c r="J1375" s="37" t="s">
        <v>425</v>
      </c>
      <c r="K1375" s="40" t="s">
        <v>7815</v>
      </c>
      <c r="L1375" s="37" t="s">
        <v>64</v>
      </c>
      <c r="M1375"/>
      <c r="N1375"/>
      <c r="X1375" s="25"/>
      <c r="Y1375" s="25"/>
      <c r="Z1375" s="25"/>
      <c r="AA1375" s="25"/>
      <c r="AB1375" s="25"/>
      <c r="AC1375" s="25"/>
      <c r="AD1375" s="25"/>
      <c r="AE1375" s="25"/>
      <c r="AF1375" s="25"/>
      <c r="AG1375" s="25"/>
      <c r="AH1375" s="25"/>
      <c r="AI1375" s="25"/>
      <c r="AJ1375" s="25"/>
      <c r="AK1375" s="25"/>
    </row>
    <row r="1376" spans="1:37">
      <c r="A1376" s="39"/>
      <c r="B1376" s="37" t="s">
        <v>7805</v>
      </c>
      <c r="C1376" s="37" t="s">
        <v>7835</v>
      </c>
      <c r="D1376" s="37" t="s">
        <v>1757</v>
      </c>
      <c r="E1376" s="37" t="s">
        <v>7836</v>
      </c>
      <c r="F1376" s="37" t="s">
        <v>7837</v>
      </c>
      <c r="G1376" s="37" t="s">
        <v>7838</v>
      </c>
      <c r="H1376" s="37"/>
      <c r="I1376" s="37" t="s">
        <v>7803</v>
      </c>
      <c r="J1376" s="37" t="s">
        <v>425</v>
      </c>
      <c r="K1376" s="40" t="s">
        <v>7809</v>
      </c>
      <c r="L1376" s="37" t="s">
        <v>64</v>
      </c>
      <c r="M1376"/>
      <c r="N1376"/>
      <c r="X1376" s="25"/>
      <c r="Y1376" s="25"/>
      <c r="Z1376" s="25"/>
      <c r="AA1376" s="25"/>
      <c r="AB1376" s="25"/>
      <c r="AC1376" s="25"/>
      <c r="AD1376" s="25"/>
      <c r="AE1376" s="25"/>
      <c r="AF1376" s="25"/>
      <c r="AG1376" s="25"/>
      <c r="AH1376" s="25"/>
      <c r="AI1376" s="25"/>
      <c r="AJ1376" s="25"/>
      <c r="AK1376" s="25"/>
    </row>
    <row r="1377" spans="1:37">
      <c r="A1377" s="39"/>
      <c r="B1377" s="37" t="s">
        <v>7839</v>
      </c>
      <c r="C1377" s="37"/>
      <c r="D1377" s="37" t="s">
        <v>1748</v>
      </c>
      <c r="E1377" s="37" t="s">
        <v>7840</v>
      </c>
      <c r="F1377" s="37" t="s">
        <v>7841</v>
      </c>
      <c r="G1377" s="37" t="s">
        <v>7842</v>
      </c>
      <c r="H1377" s="37" t="s">
        <v>7843</v>
      </c>
      <c r="I1377" s="37" t="s">
        <v>7814</v>
      </c>
      <c r="J1377" s="37" t="s">
        <v>425</v>
      </c>
      <c r="K1377" s="40" t="s">
        <v>7815</v>
      </c>
      <c r="L1377" s="37" t="s">
        <v>64</v>
      </c>
      <c r="M1377"/>
      <c r="N1377"/>
      <c r="X1377" s="25"/>
      <c r="Y1377" s="25"/>
      <c r="Z1377" s="25"/>
      <c r="AA1377" s="25"/>
      <c r="AB1377" s="25"/>
      <c r="AC1377" s="25"/>
      <c r="AD1377" s="25"/>
      <c r="AE1377" s="25"/>
      <c r="AF1377" s="25"/>
      <c r="AG1377" s="25"/>
      <c r="AH1377" s="25"/>
      <c r="AI1377" s="25"/>
      <c r="AJ1377" s="25"/>
      <c r="AK1377" s="25"/>
    </row>
    <row r="1378" spans="1:37">
      <c r="A1378" s="39"/>
      <c r="B1378" s="37" t="s">
        <v>7844</v>
      </c>
      <c r="C1378" s="37" t="s">
        <v>6930</v>
      </c>
      <c r="D1378" s="37" t="s">
        <v>7845</v>
      </c>
      <c r="E1378" s="37" t="s">
        <v>7846</v>
      </c>
      <c r="F1378" s="37" t="s">
        <v>7847</v>
      </c>
      <c r="G1378" s="37" t="s">
        <v>7848</v>
      </c>
      <c r="H1378" s="37"/>
      <c r="I1378" s="37" t="s">
        <v>7803</v>
      </c>
      <c r="J1378" s="37" t="s">
        <v>425</v>
      </c>
      <c r="K1378" s="40" t="s">
        <v>7809</v>
      </c>
      <c r="L1378" s="37" t="s">
        <v>64</v>
      </c>
      <c r="M1378"/>
      <c r="N1378"/>
      <c r="X1378" s="25"/>
      <c r="Y1378" s="25"/>
      <c r="Z1378" s="25"/>
      <c r="AA1378" s="25"/>
      <c r="AB1378" s="25"/>
      <c r="AC1378" s="25"/>
      <c r="AD1378" s="25"/>
      <c r="AE1378" s="25"/>
      <c r="AF1378" s="25"/>
      <c r="AG1378" s="25"/>
      <c r="AH1378" s="25"/>
      <c r="AI1378" s="25"/>
      <c r="AJ1378" s="25"/>
      <c r="AK1378" s="25"/>
    </row>
    <row r="1379" spans="1:37">
      <c r="A1379" s="39"/>
      <c r="B1379" s="37" t="s">
        <v>7849</v>
      </c>
      <c r="C1379" s="37" t="s">
        <v>7643</v>
      </c>
      <c r="D1379" s="37" t="s">
        <v>525</v>
      </c>
      <c r="E1379" s="37" t="s">
        <v>7850</v>
      </c>
      <c r="F1379" s="37" t="s">
        <v>7851</v>
      </c>
      <c r="G1379" s="37" t="s">
        <v>7852</v>
      </c>
      <c r="H1379" s="37" t="s">
        <v>2441</v>
      </c>
      <c r="I1379" s="37" t="s">
        <v>7853</v>
      </c>
      <c r="J1379" s="37" t="s">
        <v>121</v>
      </c>
      <c r="K1379" s="40" t="s">
        <v>7854</v>
      </c>
      <c r="L1379" s="37" t="s">
        <v>64</v>
      </c>
      <c r="M1379"/>
      <c r="N1379"/>
      <c r="X1379" s="25"/>
      <c r="Y1379" s="25"/>
      <c r="Z1379" s="25"/>
      <c r="AA1379" s="25"/>
      <c r="AB1379" s="25"/>
      <c r="AC1379" s="25"/>
      <c r="AD1379" s="25"/>
      <c r="AE1379" s="25"/>
      <c r="AF1379" s="25"/>
      <c r="AG1379" s="25"/>
      <c r="AH1379" s="25"/>
      <c r="AI1379" s="25"/>
      <c r="AJ1379" s="25"/>
      <c r="AK1379" s="25"/>
    </row>
    <row r="1380" spans="1:37">
      <c r="A1380" s="39"/>
      <c r="B1380" s="37" t="s">
        <v>7855</v>
      </c>
      <c r="C1380" s="37" t="s">
        <v>7856</v>
      </c>
      <c r="D1380" s="37" t="s">
        <v>7857</v>
      </c>
      <c r="E1380" s="37" t="s">
        <v>7858</v>
      </c>
      <c r="F1380" s="37" t="s">
        <v>7859</v>
      </c>
      <c r="G1380" s="37" t="s">
        <v>7860</v>
      </c>
      <c r="H1380" s="37" t="s">
        <v>7861</v>
      </c>
      <c r="I1380" s="37" t="s">
        <v>7862</v>
      </c>
      <c r="J1380" s="37" t="s">
        <v>7863</v>
      </c>
      <c r="K1380" s="40" t="s">
        <v>7864</v>
      </c>
      <c r="L1380" s="37" t="s">
        <v>64</v>
      </c>
      <c r="M1380"/>
      <c r="N1380"/>
      <c r="X1380" s="25"/>
      <c r="Y1380" s="25"/>
      <c r="Z1380" s="25"/>
      <c r="AA1380" s="25"/>
      <c r="AB1380" s="25"/>
      <c r="AC1380" s="25"/>
      <c r="AD1380" s="25"/>
      <c r="AE1380" s="25"/>
      <c r="AF1380" s="25"/>
      <c r="AG1380" s="25"/>
      <c r="AH1380" s="25"/>
      <c r="AI1380" s="25"/>
      <c r="AJ1380" s="25"/>
      <c r="AK1380" s="25"/>
    </row>
    <row r="1381" spans="1:37">
      <c r="A1381" s="39"/>
      <c r="B1381" s="37" t="s">
        <v>7865</v>
      </c>
      <c r="C1381" s="37" t="s">
        <v>6804</v>
      </c>
      <c r="D1381" s="37" t="s">
        <v>5119</v>
      </c>
      <c r="E1381" s="37" t="s">
        <v>2080</v>
      </c>
      <c r="F1381" s="37" t="s">
        <v>7866</v>
      </c>
      <c r="G1381" s="37" t="s">
        <v>7867</v>
      </c>
      <c r="H1381" s="37"/>
      <c r="I1381" s="37" t="s">
        <v>7868</v>
      </c>
      <c r="J1381" s="37" t="s">
        <v>200</v>
      </c>
      <c r="K1381" s="40" t="s">
        <v>7869</v>
      </c>
      <c r="L1381" s="37" t="s">
        <v>64</v>
      </c>
      <c r="M1381"/>
      <c r="N1381"/>
      <c r="X1381" s="25"/>
      <c r="Y1381" s="25"/>
      <c r="Z1381" s="25"/>
      <c r="AA1381" s="25"/>
      <c r="AB1381" s="25"/>
      <c r="AC1381" s="25"/>
      <c r="AD1381" s="25"/>
      <c r="AE1381" s="25"/>
      <c r="AF1381" s="25"/>
      <c r="AG1381" s="25"/>
      <c r="AH1381" s="25"/>
      <c r="AI1381" s="25"/>
      <c r="AJ1381" s="25"/>
      <c r="AK1381" s="25"/>
    </row>
    <row r="1382" spans="1:37">
      <c r="A1382" s="39"/>
      <c r="B1382" s="37" t="s">
        <v>7870</v>
      </c>
      <c r="C1382" s="37" t="s">
        <v>7871</v>
      </c>
      <c r="D1382" s="37" t="s">
        <v>854</v>
      </c>
      <c r="E1382" s="37" t="s">
        <v>7872</v>
      </c>
      <c r="F1382" s="37" t="s">
        <v>7873</v>
      </c>
      <c r="G1382" s="37" t="s">
        <v>7874</v>
      </c>
      <c r="H1382" s="37"/>
      <c r="I1382" s="37" t="s">
        <v>7875</v>
      </c>
      <c r="J1382" s="37" t="s">
        <v>105</v>
      </c>
      <c r="K1382" s="40" t="s">
        <v>7876</v>
      </c>
      <c r="L1382" s="37" t="s">
        <v>64</v>
      </c>
      <c r="M1382"/>
      <c r="N1382"/>
      <c r="X1382" s="25"/>
      <c r="Y1382" s="25"/>
      <c r="Z1382" s="25"/>
      <c r="AA1382" s="25"/>
      <c r="AB1382" s="25"/>
      <c r="AC1382" s="25"/>
      <c r="AD1382" s="25"/>
      <c r="AE1382" s="25"/>
      <c r="AF1382" s="25"/>
      <c r="AG1382" s="25"/>
      <c r="AH1382" s="25"/>
      <c r="AI1382" s="25"/>
      <c r="AJ1382" s="25"/>
      <c r="AK1382" s="25"/>
    </row>
    <row r="1383" spans="1:37">
      <c r="A1383" s="39"/>
      <c r="B1383" s="37" t="s">
        <v>7870</v>
      </c>
      <c r="C1383" s="37" t="s">
        <v>7877</v>
      </c>
      <c r="D1383" s="37" t="s">
        <v>211</v>
      </c>
      <c r="E1383" s="37" t="s">
        <v>7878</v>
      </c>
      <c r="F1383" s="37" t="s">
        <v>7879</v>
      </c>
      <c r="G1383" s="37" t="s">
        <v>7880</v>
      </c>
      <c r="H1383" s="37"/>
      <c r="I1383" s="37" t="s">
        <v>7881</v>
      </c>
      <c r="J1383" s="37" t="s">
        <v>320</v>
      </c>
      <c r="K1383" s="40" t="s">
        <v>7882</v>
      </c>
      <c r="L1383" s="37" t="s">
        <v>64</v>
      </c>
      <c r="M1383"/>
      <c r="N1383"/>
      <c r="X1383" s="25"/>
      <c r="Y1383" s="25"/>
      <c r="Z1383" s="25"/>
      <c r="AA1383" s="25"/>
      <c r="AB1383" s="25"/>
      <c r="AC1383" s="25"/>
      <c r="AD1383" s="25"/>
      <c r="AE1383" s="25"/>
      <c r="AF1383" s="25"/>
      <c r="AG1383" s="25"/>
      <c r="AH1383" s="25"/>
      <c r="AI1383" s="25"/>
      <c r="AJ1383" s="25"/>
      <c r="AK1383" s="25"/>
    </row>
    <row r="1384" spans="1:37">
      <c r="A1384" s="39"/>
      <c r="B1384" s="37" t="s">
        <v>7883</v>
      </c>
      <c r="C1384" s="37" t="s">
        <v>7884</v>
      </c>
      <c r="D1384" s="37" t="s">
        <v>2528</v>
      </c>
      <c r="E1384" s="37" t="s">
        <v>1659</v>
      </c>
      <c r="F1384" s="37" t="s">
        <v>7885</v>
      </c>
      <c r="G1384" s="37" t="s">
        <v>7886</v>
      </c>
      <c r="H1384" s="37"/>
      <c r="I1384" s="37" t="s">
        <v>7887</v>
      </c>
      <c r="J1384" s="37" t="s">
        <v>1399</v>
      </c>
      <c r="K1384" s="40" t="s">
        <v>7888</v>
      </c>
      <c r="L1384" s="37" t="s">
        <v>64</v>
      </c>
      <c r="M1384"/>
      <c r="N1384"/>
      <c r="X1384" s="25"/>
      <c r="Y1384" s="25"/>
      <c r="Z1384" s="25"/>
      <c r="AA1384" s="25"/>
      <c r="AB1384" s="25"/>
      <c r="AC1384" s="25"/>
      <c r="AD1384" s="25"/>
      <c r="AE1384" s="25"/>
      <c r="AF1384" s="25"/>
      <c r="AG1384" s="25"/>
      <c r="AH1384" s="25"/>
      <c r="AI1384" s="25"/>
      <c r="AJ1384" s="25"/>
      <c r="AK1384" s="25"/>
    </row>
    <row r="1385" spans="1:37">
      <c r="A1385" s="39"/>
      <c r="B1385" s="37" t="s">
        <v>7889</v>
      </c>
      <c r="C1385" s="37" t="s">
        <v>7890</v>
      </c>
      <c r="D1385" s="37" t="s">
        <v>1375</v>
      </c>
      <c r="E1385" s="37" t="s">
        <v>2372</v>
      </c>
      <c r="F1385" s="37" t="s">
        <v>7891</v>
      </c>
      <c r="G1385" s="37" t="s">
        <v>7892</v>
      </c>
      <c r="H1385" s="37"/>
      <c r="I1385" s="37" t="s">
        <v>7893</v>
      </c>
      <c r="J1385" s="37" t="s">
        <v>324</v>
      </c>
      <c r="K1385" s="40" t="s">
        <v>7894</v>
      </c>
      <c r="L1385" s="37" t="s">
        <v>64</v>
      </c>
      <c r="M1385"/>
      <c r="N1385"/>
      <c r="X1385" s="25"/>
      <c r="Y1385" s="25"/>
      <c r="Z1385" s="25"/>
      <c r="AA1385" s="25"/>
      <c r="AB1385" s="25"/>
      <c r="AC1385" s="25"/>
      <c r="AD1385" s="25"/>
      <c r="AE1385" s="25"/>
      <c r="AF1385" s="25"/>
      <c r="AG1385" s="25"/>
      <c r="AH1385" s="25"/>
      <c r="AI1385" s="25"/>
      <c r="AJ1385" s="25"/>
      <c r="AK1385" s="25"/>
    </row>
    <row r="1386" spans="1:37">
      <c r="A1386" s="39"/>
      <c r="B1386" s="37" t="s">
        <v>7895</v>
      </c>
      <c r="C1386" s="37" t="s">
        <v>7896</v>
      </c>
      <c r="D1386" s="37" t="s">
        <v>211</v>
      </c>
      <c r="E1386" s="37" t="s">
        <v>7897</v>
      </c>
      <c r="F1386" s="37" t="s">
        <v>7898</v>
      </c>
      <c r="G1386" s="37" t="s">
        <v>7899</v>
      </c>
      <c r="H1386" s="37"/>
      <c r="I1386" s="37" t="s">
        <v>139</v>
      </c>
      <c r="J1386" s="37" t="s">
        <v>121</v>
      </c>
      <c r="K1386" s="40" t="s">
        <v>3102</v>
      </c>
      <c r="L1386" s="37" t="s">
        <v>64</v>
      </c>
      <c r="M1386"/>
      <c r="N1386"/>
      <c r="X1386" s="25"/>
      <c r="Y1386" s="25"/>
      <c r="Z1386" s="25"/>
      <c r="AA1386" s="25"/>
      <c r="AB1386" s="25"/>
      <c r="AC1386" s="25"/>
      <c r="AD1386" s="25"/>
      <c r="AE1386" s="25"/>
      <c r="AF1386" s="25"/>
      <c r="AG1386" s="25"/>
      <c r="AH1386" s="25"/>
      <c r="AI1386" s="25"/>
      <c r="AJ1386" s="25"/>
      <c r="AK1386" s="25"/>
    </row>
    <row r="1387" spans="1:37">
      <c r="A1387" s="39"/>
      <c r="B1387" s="37" t="s">
        <v>7900</v>
      </c>
      <c r="C1387" s="37" t="s">
        <v>7901</v>
      </c>
      <c r="D1387" s="37" t="s">
        <v>2745</v>
      </c>
      <c r="E1387" s="37" t="s">
        <v>7902</v>
      </c>
      <c r="F1387" s="37" t="s">
        <v>7903</v>
      </c>
      <c r="G1387" s="37" t="s">
        <v>7904</v>
      </c>
      <c r="H1387" s="37"/>
      <c r="I1387" s="37" t="s">
        <v>7905</v>
      </c>
      <c r="J1387" s="37" t="s">
        <v>153</v>
      </c>
      <c r="K1387" s="40" t="s">
        <v>7906</v>
      </c>
      <c r="L1387" s="37" t="s">
        <v>64</v>
      </c>
      <c r="M1387"/>
      <c r="N1387"/>
      <c r="X1387" s="25"/>
      <c r="Y1387" s="25"/>
      <c r="Z1387" s="25"/>
      <c r="AA1387" s="25"/>
      <c r="AB1387" s="25"/>
      <c r="AC1387" s="25"/>
      <c r="AD1387" s="25"/>
      <c r="AE1387" s="25"/>
      <c r="AF1387" s="25"/>
      <c r="AG1387" s="25"/>
      <c r="AH1387" s="25"/>
      <c r="AI1387" s="25"/>
      <c r="AJ1387" s="25"/>
      <c r="AK1387" s="25"/>
    </row>
    <row r="1388" spans="1:37">
      <c r="A1388" s="39"/>
      <c r="B1388" s="37" t="s">
        <v>7907</v>
      </c>
      <c r="C1388" s="37" t="s">
        <v>7041</v>
      </c>
      <c r="D1388" s="37" t="s">
        <v>555</v>
      </c>
      <c r="E1388" s="37" t="s">
        <v>1624</v>
      </c>
      <c r="F1388" s="37" t="s">
        <v>7908</v>
      </c>
      <c r="G1388" s="37" t="s">
        <v>7909</v>
      </c>
      <c r="H1388" s="37"/>
      <c r="I1388" s="37" t="s">
        <v>7910</v>
      </c>
      <c r="J1388" s="37" t="s">
        <v>75</v>
      </c>
      <c r="K1388" s="40" t="s">
        <v>7911</v>
      </c>
      <c r="L1388" s="37" t="s">
        <v>64</v>
      </c>
      <c r="M1388"/>
      <c r="N1388"/>
      <c r="X1388" s="25"/>
      <c r="Y1388" s="25"/>
      <c r="Z1388" s="25"/>
      <c r="AA1388" s="25"/>
      <c r="AB1388" s="25"/>
      <c r="AC1388" s="25"/>
      <c r="AD1388" s="25"/>
      <c r="AE1388" s="25"/>
      <c r="AF1388" s="25"/>
      <c r="AG1388" s="25"/>
      <c r="AH1388" s="25"/>
      <c r="AI1388" s="25"/>
      <c r="AJ1388" s="25"/>
      <c r="AK1388" s="25"/>
    </row>
    <row r="1389" spans="1:37">
      <c r="A1389" s="39"/>
      <c r="B1389" s="37" t="s">
        <v>7912</v>
      </c>
      <c r="C1389" s="37" t="s">
        <v>7913</v>
      </c>
      <c r="D1389" s="37" t="s">
        <v>7914</v>
      </c>
      <c r="E1389" s="37" t="s">
        <v>7915</v>
      </c>
      <c r="F1389" s="37" t="s">
        <v>7916</v>
      </c>
      <c r="G1389" s="37" t="s">
        <v>7917</v>
      </c>
      <c r="H1389" s="37"/>
      <c r="I1389" s="37" t="s">
        <v>4997</v>
      </c>
      <c r="J1389" s="37" t="s">
        <v>105</v>
      </c>
      <c r="K1389" s="40" t="s">
        <v>6409</v>
      </c>
      <c r="L1389" s="37" t="s">
        <v>64</v>
      </c>
      <c r="M1389"/>
      <c r="N1389"/>
      <c r="X1389" s="25"/>
      <c r="Y1389" s="25"/>
      <c r="Z1389" s="25"/>
      <c r="AA1389" s="25"/>
      <c r="AB1389" s="25"/>
      <c r="AC1389" s="25"/>
      <c r="AD1389" s="25"/>
      <c r="AE1389" s="25"/>
      <c r="AF1389" s="25"/>
      <c r="AG1389" s="25"/>
      <c r="AH1389" s="25"/>
      <c r="AI1389" s="25"/>
      <c r="AJ1389" s="25"/>
      <c r="AK1389" s="25"/>
    </row>
    <row r="1390" spans="1:37">
      <c r="A1390" s="39"/>
      <c r="B1390" s="37" t="s">
        <v>7912</v>
      </c>
      <c r="C1390" s="37" t="s">
        <v>7913</v>
      </c>
      <c r="D1390" s="37" t="s">
        <v>211</v>
      </c>
      <c r="E1390" s="37" t="s">
        <v>7918</v>
      </c>
      <c r="F1390" s="37" t="s">
        <v>7919</v>
      </c>
      <c r="G1390" s="37" t="s">
        <v>7917</v>
      </c>
      <c r="H1390" s="37"/>
      <c r="I1390" s="37" t="s">
        <v>4997</v>
      </c>
      <c r="J1390" s="37" t="s">
        <v>105</v>
      </c>
      <c r="K1390" s="40" t="s">
        <v>6409</v>
      </c>
      <c r="L1390" s="37" t="s">
        <v>64</v>
      </c>
      <c r="M1390"/>
      <c r="N1390"/>
      <c r="X1390" s="25"/>
      <c r="Y1390" s="25"/>
      <c r="Z1390" s="25"/>
      <c r="AA1390" s="25"/>
      <c r="AB1390" s="25"/>
      <c r="AC1390" s="25"/>
      <c r="AD1390" s="25"/>
      <c r="AE1390" s="25"/>
      <c r="AF1390" s="25"/>
      <c r="AG1390" s="25"/>
      <c r="AH1390" s="25"/>
      <c r="AI1390" s="25"/>
      <c r="AJ1390" s="25"/>
      <c r="AK1390" s="25"/>
    </row>
    <row r="1391" spans="1:37">
      <c r="A1391" s="39"/>
      <c r="B1391" s="37" t="s">
        <v>7912</v>
      </c>
      <c r="C1391" s="37" t="s">
        <v>7920</v>
      </c>
      <c r="D1391" s="37" t="s">
        <v>1904</v>
      </c>
      <c r="E1391" s="37" t="s">
        <v>7921</v>
      </c>
      <c r="F1391" s="37" t="s">
        <v>7922</v>
      </c>
      <c r="G1391" s="37" t="s">
        <v>7917</v>
      </c>
      <c r="H1391" s="37"/>
      <c r="I1391" s="37" t="s">
        <v>4997</v>
      </c>
      <c r="J1391" s="37" t="s">
        <v>105</v>
      </c>
      <c r="K1391" s="40" t="s">
        <v>6409</v>
      </c>
      <c r="L1391" s="37" t="s">
        <v>64</v>
      </c>
      <c r="M1391"/>
      <c r="N1391"/>
      <c r="X1391" s="25"/>
      <c r="Y1391" s="25"/>
      <c r="Z1391" s="25"/>
      <c r="AA1391" s="25"/>
      <c r="AB1391" s="25"/>
      <c r="AC1391" s="25"/>
      <c r="AD1391" s="25"/>
      <c r="AE1391" s="25"/>
      <c r="AF1391" s="25"/>
      <c r="AG1391" s="25"/>
      <c r="AH1391" s="25"/>
      <c r="AI1391" s="25"/>
      <c r="AJ1391" s="25"/>
      <c r="AK1391" s="25"/>
    </row>
    <row r="1392" spans="1:37">
      <c r="A1392" s="39"/>
      <c r="B1392" s="37" t="s">
        <v>7912</v>
      </c>
      <c r="C1392" s="37" t="s">
        <v>7923</v>
      </c>
      <c r="D1392" s="37" t="s">
        <v>213</v>
      </c>
      <c r="E1392" s="37" t="s">
        <v>7924</v>
      </c>
      <c r="F1392" s="37" t="s">
        <v>7925</v>
      </c>
      <c r="G1392" s="37" t="s">
        <v>7917</v>
      </c>
      <c r="H1392" s="37"/>
      <c r="I1392" s="37" t="s">
        <v>4997</v>
      </c>
      <c r="J1392" s="37" t="s">
        <v>105</v>
      </c>
      <c r="K1392" s="40" t="s">
        <v>6409</v>
      </c>
      <c r="L1392" s="37" t="s">
        <v>64</v>
      </c>
      <c r="M1392"/>
      <c r="N1392"/>
      <c r="X1392" s="25"/>
      <c r="Y1392" s="25"/>
      <c r="Z1392" s="25"/>
      <c r="AA1392" s="25"/>
      <c r="AB1392" s="25"/>
      <c r="AC1392" s="25"/>
      <c r="AD1392" s="25"/>
      <c r="AE1392" s="25"/>
      <c r="AF1392" s="25"/>
      <c r="AG1392" s="25"/>
      <c r="AH1392" s="25"/>
      <c r="AI1392" s="25"/>
      <c r="AJ1392" s="25"/>
      <c r="AK1392" s="25"/>
    </row>
    <row r="1393" spans="1:37">
      <c r="A1393" s="39"/>
      <c r="B1393" s="37" t="s">
        <v>7926</v>
      </c>
      <c r="C1393" s="37"/>
      <c r="D1393" s="37" t="s">
        <v>370</v>
      </c>
      <c r="E1393" s="37" t="s">
        <v>7927</v>
      </c>
      <c r="F1393" s="37" t="s">
        <v>7928</v>
      </c>
      <c r="G1393" s="37" t="s">
        <v>7929</v>
      </c>
      <c r="H1393" s="37"/>
      <c r="I1393" s="37" t="s">
        <v>7930</v>
      </c>
      <c r="J1393" s="37" t="s">
        <v>498</v>
      </c>
      <c r="K1393" s="40" t="s">
        <v>7931</v>
      </c>
      <c r="L1393" s="37" t="s">
        <v>64</v>
      </c>
      <c r="M1393"/>
      <c r="N1393"/>
      <c r="X1393" s="25"/>
      <c r="Y1393" s="25"/>
      <c r="Z1393" s="25"/>
      <c r="AA1393" s="25"/>
      <c r="AB1393" s="25"/>
      <c r="AC1393" s="25"/>
      <c r="AD1393" s="25"/>
      <c r="AE1393" s="25"/>
      <c r="AF1393" s="25"/>
      <c r="AG1393" s="25"/>
      <c r="AH1393" s="25"/>
      <c r="AI1393" s="25"/>
      <c r="AJ1393" s="25"/>
      <c r="AK1393" s="25"/>
    </row>
    <row r="1394" spans="1:37">
      <c r="A1394" s="39"/>
      <c r="B1394" s="37" t="s">
        <v>7932</v>
      </c>
      <c r="C1394" s="37" t="s">
        <v>6917</v>
      </c>
      <c r="D1394" s="37" t="s">
        <v>7933</v>
      </c>
      <c r="E1394" s="37" t="s">
        <v>7934</v>
      </c>
      <c r="F1394" s="37" t="s">
        <v>7935</v>
      </c>
      <c r="G1394" s="37" t="s">
        <v>7936</v>
      </c>
      <c r="H1394" s="37"/>
      <c r="I1394" s="37" t="s">
        <v>5599</v>
      </c>
      <c r="J1394" s="37" t="s">
        <v>105</v>
      </c>
      <c r="K1394" s="40" t="s">
        <v>7937</v>
      </c>
      <c r="L1394" s="37" t="s">
        <v>64</v>
      </c>
      <c r="M1394"/>
      <c r="N1394"/>
      <c r="X1394" s="25"/>
      <c r="Y1394" s="25"/>
      <c r="Z1394" s="25"/>
      <c r="AA1394" s="25"/>
      <c r="AB1394" s="25"/>
      <c r="AC1394" s="25"/>
      <c r="AD1394" s="25"/>
      <c r="AE1394" s="25"/>
      <c r="AF1394" s="25"/>
      <c r="AG1394" s="25"/>
      <c r="AH1394" s="25"/>
      <c r="AI1394" s="25"/>
      <c r="AJ1394" s="25"/>
      <c r="AK1394" s="25"/>
    </row>
    <row r="1395" spans="1:37">
      <c r="A1395" s="39"/>
      <c r="B1395" s="37" t="s">
        <v>7938</v>
      </c>
      <c r="C1395" s="37" t="s">
        <v>7939</v>
      </c>
      <c r="D1395" s="37" t="s">
        <v>7940</v>
      </c>
      <c r="E1395" s="37" t="s">
        <v>7941</v>
      </c>
      <c r="F1395" s="37" t="s">
        <v>7942</v>
      </c>
      <c r="G1395" s="37" t="s">
        <v>7943</v>
      </c>
      <c r="H1395" s="37"/>
      <c r="I1395" s="37" t="s">
        <v>7944</v>
      </c>
      <c r="J1395" s="37" t="s">
        <v>105</v>
      </c>
      <c r="K1395" s="40" t="s">
        <v>7945</v>
      </c>
      <c r="L1395" s="37" t="s">
        <v>64</v>
      </c>
      <c r="M1395"/>
      <c r="N1395"/>
      <c r="X1395" s="25"/>
      <c r="Y1395" s="25"/>
      <c r="Z1395" s="25"/>
      <c r="AA1395" s="25"/>
      <c r="AB1395" s="25"/>
      <c r="AC1395" s="25"/>
      <c r="AD1395" s="25"/>
      <c r="AE1395" s="25"/>
      <c r="AF1395" s="25"/>
      <c r="AG1395" s="25"/>
      <c r="AH1395" s="25"/>
      <c r="AI1395" s="25"/>
      <c r="AJ1395" s="25"/>
      <c r="AK1395" s="25"/>
    </row>
    <row r="1396" spans="1:37">
      <c r="A1396" s="39"/>
      <c r="B1396" s="37" t="s">
        <v>7946</v>
      </c>
      <c r="C1396" s="37" t="s">
        <v>7947</v>
      </c>
      <c r="D1396" s="37" t="s">
        <v>272</v>
      </c>
      <c r="E1396" s="37" t="s">
        <v>7948</v>
      </c>
      <c r="F1396" s="37" t="s">
        <v>7949</v>
      </c>
      <c r="G1396" s="37" t="s">
        <v>7950</v>
      </c>
      <c r="H1396" s="37"/>
      <c r="I1396" s="37" t="s">
        <v>120</v>
      </c>
      <c r="J1396" s="37" t="s">
        <v>121</v>
      </c>
      <c r="K1396" s="40" t="s">
        <v>2145</v>
      </c>
      <c r="L1396" s="37" t="s">
        <v>64</v>
      </c>
      <c r="M1396"/>
      <c r="N1396"/>
      <c r="X1396" s="25"/>
      <c r="Y1396" s="25"/>
      <c r="Z1396" s="25"/>
      <c r="AA1396" s="25"/>
      <c r="AB1396" s="25"/>
      <c r="AC1396" s="25"/>
      <c r="AD1396" s="25"/>
      <c r="AE1396" s="25"/>
      <c r="AF1396" s="25"/>
      <c r="AG1396" s="25"/>
      <c r="AH1396" s="25"/>
      <c r="AI1396" s="25"/>
      <c r="AJ1396" s="25"/>
      <c r="AK1396" s="25"/>
    </row>
    <row r="1397" spans="1:37">
      <c r="A1397" s="39"/>
      <c r="B1397" s="37" t="s">
        <v>7951</v>
      </c>
      <c r="C1397" s="37"/>
      <c r="D1397" s="37" t="s">
        <v>339</v>
      </c>
      <c r="E1397" s="37" t="s">
        <v>7952</v>
      </c>
      <c r="F1397" s="37" t="s">
        <v>7953</v>
      </c>
      <c r="G1397" s="37" t="s">
        <v>7954</v>
      </c>
      <c r="H1397" s="37"/>
      <c r="I1397" s="37" t="s">
        <v>7955</v>
      </c>
      <c r="J1397" s="37"/>
      <c r="K1397" s="40" t="s">
        <v>7956</v>
      </c>
      <c r="L1397" s="37" t="s">
        <v>64</v>
      </c>
      <c r="M1397"/>
      <c r="N1397"/>
      <c r="X1397" s="25"/>
      <c r="Y1397" s="25"/>
      <c r="Z1397" s="25"/>
      <c r="AA1397" s="25"/>
      <c r="AB1397" s="25"/>
      <c r="AC1397" s="25"/>
      <c r="AD1397" s="25"/>
      <c r="AE1397" s="25"/>
      <c r="AF1397" s="25"/>
      <c r="AG1397" s="25"/>
      <c r="AH1397" s="25"/>
      <c r="AI1397" s="25"/>
      <c r="AJ1397" s="25"/>
      <c r="AK1397" s="25"/>
    </row>
    <row r="1398" spans="1:37">
      <c r="A1398" s="39"/>
      <c r="B1398" s="37" t="s">
        <v>7957</v>
      </c>
      <c r="C1398" s="37" t="s">
        <v>7958</v>
      </c>
      <c r="D1398" s="37" t="s">
        <v>199</v>
      </c>
      <c r="E1398" s="37" t="s">
        <v>7959</v>
      </c>
      <c r="F1398" s="37" t="s">
        <v>7960</v>
      </c>
      <c r="G1398" s="37" t="s">
        <v>7961</v>
      </c>
      <c r="H1398" s="37"/>
      <c r="I1398" s="37" t="s">
        <v>6831</v>
      </c>
      <c r="J1398" s="37" t="s">
        <v>121</v>
      </c>
      <c r="K1398" s="40" t="s">
        <v>7064</v>
      </c>
      <c r="L1398" s="37" t="s">
        <v>64</v>
      </c>
      <c r="M1398"/>
      <c r="N1398"/>
      <c r="X1398" s="25"/>
      <c r="Y1398" s="25"/>
      <c r="Z1398" s="25"/>
      <c r="AA1398" s="25"/>
      <c r="AB1398" s="25"/>
      <c r="AC1398" s="25"/>
      <c r="AD1398" s="25"/>
      <c r="AE1398" s="25"/>
      <c r="AF1398" s="25"/>
      <c r="AG1398" s="25"/>
      <c r="AH1398" s="25"/>
      <c r="AI1398" s="25"/>
      <c r="AJ1398" s="25"/>
      <c r="AK1398" s="25"/>
    </row>
    <row r="1399" spans="1:37">
      <c r="A1399" s="39"/>
      <c r="B1399" s="37" t="s">
        <v>7962</v>
      </c>
      <c r="C1399" s="37" t="s">
        <v>7963</v>
      </c>
      <c r="D1399" s="37" t="s">
        <v>955</v>
      </c>
      <c r="E1399" s="37" t="s">
        <v>7964</v>
      </c>
      <c r="F1399" s="37" t="s">
        <v>7965</v>
      </c>
      <c r="G1399" s="37" t="s">
        <v>7966</v>
      </c>
      <c r="H1399" s="37"/>
      <c r="I1399" s="37" t="s">
        <v>7967</v>
      </c>
      <c r="J1399" s="37" t="s">
        <v>114</v>
      </c>
      <c r="K1399" s="40" t="s">
        <v>7968</v>
      </c>
      <c r="L1399" s="37" t="s">
        <v>64</v>
      </c>
      <c r="M1399"/>
      <c r="N1399"/>
      <c r="X1399" s="25"/>
      <c r="Y1399" s="25"/>
      <c r="Z1399" s="25"/>
      <c r="AA1399" s="25"/>
      <c r="AB1399" s="25"/>
      <c r="AC1399" s="25"/>
      <c r="AD1399" s="25"/>
      <c r="AE1399" s="25"/>
      <c r="AF1399" s="25"/>
      <c r="AG1399" s="25"/>
      <c r="AH1399" s="25"/>
      <c r="AI1399" s="25"/>
      <c r="AJ1399" s="25"/>
      <c r="AK1399" s="25"/>
    </row>
    <row r="1400" spans="1:37">
      <c r="A1400" s="39"/>
      <c r="B1400" s="37" t="s">
        <v>7969</v>
      </c>
      <c r="C1400" s="37" t="s">
        <v>6732</v>
      </c>
      <c r="D1400" s="37" t="s">
        <v>1757</v>
      </c>
      <c r="E1400" s="37" t="s">
        <v>7970</v>
      </c>
      <c r="F1400" s="37" t="s">
        <v>7971</v>
      </c>
      <c r="G1400" s="37" t="s">
        <v>7972</v>
      </c>
      <c r="H1400" s="37"/>
      <c r="I1400" s="37" t="s">
        <v>7973</v>
      </c>
      <c r="J1400" s="37" t="s">
        <v>675</v>
      </c>
      <c r="K1400" s="40" t="s">
        <v>7974</v>
      </c>
      <c r="L1400" s="37" t="s">
        <v>64</v>
      </c>
      <c r="M1400"/>
      <c r="N1400"/>
      <c r="X1400" s="25"/>
      <c r="Y1400" s="25"/>
      <c r="Z1400" s="25"/>
      <c r="AA1400" s="25"/>
      <c r="AB1400" s="25"/>
      <c r="AC1400" s="25"/>
      <c r="AD1400" s="25"/>
      <c r="AE1400" s="25"/>
      <c r="AF1400" s="25"/>
      <c r="AG1400" s="25"/>
      <c r="AH1400" s="25"/>
      <c r="AI1400" s="25"/>
      <c r="AJ1400" s="25"/>
      <c r="AK1400" s="25"/>
    </row>
    <row r="1401" spans="1:37">
      <c r="A1401" s="39"/>
      <c r="B1401" s="37" t="s">
        <v>7969</v>
      </c>
      <c r="C1401" s="37" t="s">
        <v>7975</v>
      </c>
      <c r="D1401" s="37" t="s">
        <v>524</v>
      </c>
      <c r="E1401" s="37" t="s">
        <v>7976</v>
      </c>
      <c r="F1401" s="37" t="s">
        <v>7977</v>
      </c>
      <c r="G1401" s="37" t="s">
        <v>7972</v>
      </c>
      <c r="H1401" s="37"/>
      <c r="I1401" s="37" t="s">
        <v>7973</v>
      </c>
      <c r="J1401" s="37" t="s">
        <v>675</v>
      </c>
      <c r="K1401" s="40" t="s">
        <v>7974</v>
      </c>
      <c r="L1401" s="37" t="s">
        <v>64</v>
      </c>
      <c r="M1401"/>
      <c r="N1401"/>
      <c r="X1401" s="25"/>
      <c r="Y1401" s="25"/>
      <c r="Z1401" s="25"/>
      <c r="AA1401" s="25"/>
      <c r="AB1401" s="25"/>
      <c r="AC1401" s="25"/>
      <c r="AD1401" s="25"/>
      <c r="AE1401" s="25"/>
      <c r="AF1401" s="25"/>
      <c r="AG1401" s="25"/>
      <c r="AH1401" s="25"/>
      <c r="AI1401" s="25"/>
      <c r="AJ1401" s="25"/>
      <c r="AK1401" s="25"/>
    </row>
    <row r="1402" spans="1:37">
      <c r="A1402" s="39"/>
      <c r="B1402" s="37" t="s">
        <v>7978</v>
      </c>
      <c r="C1402" s="37" t="s">
        <v>7979</v>
      </c>
      <c r="D1402" s="37" t="s">
        <v>7594</v>
      </c>
      <c r="E1402" s="37" t="s">
        <v>7980</v>
      </c>
      <c r="F1402" s="37" t="s">
        <v>7981</v>
      </c>
      <c r="G1402" s="37" t="s">
        <v>7982</v>
      </c>
      <c r="H1402" s="37"/>
      <c r="I1402" s="37" t="s">
        <v>7983</v>
      </c>
      <c r="J1402" s="37" t="s">
        <v>475</v>
      </c>
      <c r="K1402" s="40" t="s">
        <v>7984</v>
      </c>
      <c r="L1402" s="37" t="s">
        <v>64</v>
      </c>
      <c r="M1402"/>
      <c r="N1402"/>
      <c r="X1402" s="25"/>
      <c r="Y1402" s="25"/>
      <c r="Z1402" s="25"/>
      <c r="AA1402" s="25"/>
      <c r="AB1402" s="25"/>
      <c r="AC1402" s="25"/>
      <c r="AD1402" s="25"/>
      <c r="AE1402" s="25"/>
      <c r="AF1402" s="25"/>
      <c r="AG1402" s="25"/>
      <c r="AH1402" s="25"/>
      <c r="AI1402" s="25"/>
      <c r="AJ1402" s="25"/>
      <c r="AK1402" s="25"/>
    </row>
    <row r="1403" spans="1:37">
      <c r="A1403" s="39"/>
      <c r="B1403" s="37" t="s">
        <v>7978</v>
      </c>
      <c r="C1403" s="37" t="s">
        <v>7985</v>
      </c>
      <c r="D1403" s="37" t="s">
        <v>509</v>
      </c>
      <c r="E1403" s="37" t="s">
        <v>7986</v>
      </c>
      <c r="F1403" s="37" t="s">
        <v>7987</v>
      </c>
      <c r="G1403" s="37" t="s">
        <v>7988</v>
      </c>
      <c r="H1403" s="37"/>
      <c r="I1403" s="37" t="s">
        <v>7983</v>
      </c>
      <c r="J1403" s="37" t="s">
        <v>475</v>
      </c>
      <c r="K1403" s="40" t="s">
        <v>7989</v>
      </c>
      <c r="L1403" s="37" t="s">
        <v>64</v>
      </c>
      <c r="M1403"/>
      <c r="N1403"/>
      <c r="X1403" s="25"/>
      <c r="Y1403" s="25"/>
      <c r="Z1403" s="25"/>
      <c r="AA1403" s="25"/>
      <c r="AB1403" s="25"/>
      <c r="AC1403" s="25"/>
      <c r="AD1403" s="25"/>
      <c r="AE1403" s="25"/>
      <c r="AF1403" s="25"/>
      <c r="AG1403" s="25"/>
      <c r="AH1403" s="25"/>
      <c r="AI1403" s="25"/>
      <c r="AJ1403" s="25"/>
      <c r="AK1403" s="25"/>
    </row>
    <row r="1404" spans="1:37">
      <c r="A1404" s="39"/>
      <c r="B1404" s="37" t="s">
        <v>7990</v>
      </c>
      <c r="C1404" s="37" t="s">
        <v>6804</v>
      </c>
      <c r="D1404" s="37" t="s">
        <v>7991</v>
      </c>
      <c r="E1404" s="37" t="s">
        <v>7992</v>
      </c>
      <c r="F1404" s="37" t="s">
        <v>7993</v>
      </c>
      <c r="G1404" s="37" t="s">
        <v>7994</v>
      </c>
      <c r="H1404" s="37" t="s">
        <v>7995</v>
      </c>
      <c r="I1404" s="37" t="s">
        <v>139</v>
      </c>
      <c r="J1404" s="37" t="s">
        <v>121</v>
      </c>
      <c r="K1404" s="40" t="s">
        <v>7996</v>
      </c>
      <c r="L1404" s="37" t="s">
        <v>64</v>
      </c>
      <c r="M1404"/>
      <c r="N1404"/>
      <c r="X1404" s="25"/>
      <c r="Y1404" s="25"/>
      <c r="Z1404" s="25"/>
      <c r="AA1404" s="25"/>
      <c r="AB1404" s="25"/>
      <c r="AC1404" s="25"/>
      <c r="AD1404" s="25"/>
      <c r="AE1404" s="25"/>
      <c r="AF1404" s="25"/>
      <c r="AG1404" s="25"/>
      <c r="AH1404" s="25"/>
      <c r="AI1404" s="25"/>
      <c r="AJ1404" s="25"/>
      <c r="AK1404" s="25"/>
    </row>
    <row r="1405" spans="1:37">
      <c r="A1405" s="39"/>
      <c r="B1405" s="37" t="s">
        <v>7997</v>
      </c>
      <c r="C1405" s="37" t="s">
        <v>7998</v>
      </c>
      <c r="D1405" s="37" t="s">
        <v>7999</v>
      </c>
      <c r="E1405" s="37" t="s">
        <v>8000</v>
      </c>
      <c r="F1405" s="37" t="s">
        <v>8001</v>
      </c>
      <c r="G1405" s="37" t="s">
        <v>8002</v>
      </c>
      <c r="H1405" s="37"/>
      <c r="I1405" s="37" t="s">
        <v>8003</v>
      </c>
      <c r="J1405" s="37" t="s">
        <v>121</v>
      </c>
      <c r="K1405" s="40" t="s">
        <v>7584</v>
      </c>
      <c r="L1405" s="37" t="s">
        <v>64</v>
      </c>
      <c r="M1405"/>
      <c r="N1405"/>
      <c r="X1405" s="25"/>
      <c r="Y1405" s="25"/>
      <c r="Z1405" s="25"/>
      <c r="AA1405" s="25"/>
      <c r="AB1405" s="25"/>
      <c r="AC1405" s="25"/>
      <c r="AD1405" s="25"/>
      <c r="AE1405" s="25"/>
      <c r="AF1405" s="25"/>
      <c r="AG1405" s="25"/>
      <c r="AH1405" s="25"/>
      <c r="AI1405" s="25"/>
      <c r="AJ1405" s="25"/>
      <c r="AK1405" s="25"/>
    </row>
    <row r="1406" spans="1:37">
      <c r="A1406" s="39"/>
      <c r="B1406" s="37" t="s">
        <v>8004</v>
      </c>
      <c r="C1406" s="37" t="s">
        <v>8005</v>
      </c>
      <c r="D1406" s="37" t="s">
        <v>1461</v>
      </c>
      <c r="E1406" s="37" t="s">
        <v>6024</v>
      </c>
      <c r="F1406" s="37" t="s">
        <v>8006</v>
      </c>
      <c r="G1406" s="37" t="s">
        <v>8007</v>
      </c>
      <c r="H1406" s="37"/>
      <c r="I1406" s="37" t="s">
        <v>7336</v>
      </c>
      <c r="J1406" s="37" t="s">
        <v>93</v>
      </c>
      <c r="K1406" s="40" t="s">
        <v>7337</v>
      </c>
      <c r="L1406" s="37" t="s">
        <v>64</v>
      </c>
      <c r="M1406"/>
      <c r="N1406"/>
      <c r="X1406" s="25"/>
      <c r="Y1406" s="25"/>
      <c r="Z1406" s="25"/>
      <c r="AA1406" s="25"/>
      <c r="AB1406" s="25"/>
      <c r="AC1406" s="25"/>
      <c r="AD1406" s="25"/>
      <c r="AE1406" s="25"/>
      <c r="AF1406" s="25"/>
      <c r="AG1406" s="25"/>
      <c r="AH1406" s="25"/>
      <c r="AI1406" s="25"/>
      <c r="AJ1406" s="25"/>
      <c r="AK1406" s="25"/>
    </row>
    <row r="1407" spans="1:37">
      <c r="A1407" s="39"/>
      <c r="B1407" s="37" t="s">
        <v>8008</v>
      </c>
      <c r="C1407" s="37" t="s">
        <v>6930</v>
      </c>
      <c r="D1407" s="37" t="s">
        <v>5260</v>
      </c>
      <c r="E1407" s="37" t="s">
        <v>8009</v>
      </c>
      <c r="F1407" s="37" t="s">
        <v>8010</v>
      </c>
      <c r="G1407" s="37" t="s">
        <v>8011</v>
      </c>
      <c r="H1407" s="37"/>
      <c r="I1407" s="37" t="s">
        <v>7105</v>
      </c>
      <c r="J1407" s="37" t="s">
        <v>121</v>
      </c>
      <c r="K1407" s="40" t="s">
        <v>6472</v>
      </c>
      <c r="L1407" s="37" t="s">
        <v>64</v>
      </c>
      <c r="M1407"/>
      <c r="N1407"/>
      <c r="X1407" s="25"/>
      <c r="Y1407" s="25"/>
      <c r="Z1407" s="25"/>
      <c r="AA1407" s="25"/>
      <c r="AB1407" s="25"/>
      <c r="AC1407" s="25"/>
      <c r="AD1407" s="25"/>
      <c r="AE1407" s="25"/>
      <c r="AF1407" s="25"/>
      <c r="AG1407" s="25"/>
      <c r="AH1407" s="25"/>
      <c r="AI1407" s="25"/>
      <c r="AJ1407" s="25"/>
      <c r="AK1407" s="25"/>
    </row>
    <row r="1408" spans="1:37">
      <c r="A1408" s="39"/>
      <c r="B1408" s="37" t="s">
        <v>8008</v>
      </c>
      <c r="C1408" s="37" t="s">
        <v>8012</v>
      </c>
      <c r="D1408" s="37" t="s">
        <v>1120</v>
      </c>
      <c r="E1408" s="37" t="s">
        <v>8013</v>
      </c>
      <c r="F1408" s="37" t="s">
        <v>8014</v>
      </c>
      <c r="G1408" s="37" t="s">
        <v>8011</v>
      </c>
      <c r="H1408" s="37"/>
      <c r="I1408" s="37" t="s">
        <v>7105</v>
      </c>
      <c r="J1408" s="37" t="s">
        <v>121</v>
      </c>
      <c r="K1408" s="40" t="s">
        <v>6472</v>
      </c>
      <c r="L1408" s="37" t="s">
        <v>64</v>
      </c>
      <c r="M1408"/>
      <c r="N1408"/>
      <c r="X1408" s="25"/>
      <c r="Y1408" s="25"/>
      <c r="Z1408" s="25"/>
      <c r="AA1408" s="25"/>
      <c r="AB1408" s="25"/>
      <c r="AC1408" s="25"/>
      <c r="AD1408" s="25"/>
      <c r="AE1408" s="25"/>
      <c r="AF1408" s="25"/>
      <c r="AG1408" s="25"/>
      <c r="AH1408" s="25"/>
      <c r="AI1408" s="25"/>
      <c r="AJ1408" s="25"/>
      <c r="AK1408" s="25"/>
    </row>
    <row r="1409" spans="1:14">
      <c r="A1409" s="39"/>
      <c r="B1409" s="37" t="s">
        <v>8015</v>
      </c>
      <c r="C1409" s="37" t="s">
        <v>6726</v>
      </c>
      <c r="D1409" s="37" t="s">
        <v>8016</v>
      </c>
      <c r="E1409" s="37" t="s">
        <v>1693</v>
      </c>
      <c r="F1409" s="37" t="s">
        <v>8017</v>
      </c>
      <c r="G1409" s="37" t="s">
        <v>8018</v>
      </c>
      <c r="H1409" s="37"/>
      <c r="I1409" s="37" t="s">
        <v>4203</v>
      </c>
      <c r="J1409" s="37" t="s">
        <v>200</v>
      </c>
      <c r="K1409" s="40" t="s">
        <v>8019</v>
      </c>
      <c r="L1409" s="37" t="s">
        <v>64</v>
      </c>
      <c r="M1409"/>
      <c r="N1409"/>
    </row>
    <row r="1410" spans="1:14">
      <c r="A1410" s="39"/>
      <c r="B1410" s="37" t="s">
        <v>8020</v>
      </c>
      <c r="C1410" s="37" t="s">
        <v>8021</v>
      </c>
      <c r="D1410" s="37" t="s">
        <v>8022</v>
      </c>
      <c r="E1410" s="37" t="s">
        <v>8023</v>
      </c>
      <c r="F1410" s="37" t="s">
        <v>8024</v>
      </c>
      <c r="G1410" s="37" t="s">
        <v>8025</v>
      </c>
      <c r="H1410" s="37"/>
      <c r="I1410" s="37" t="s">
        <v>3884</v>
      </c>
      <c r="J1410" s="37" t="s">
        <v>75</v>
      </c>
      <c r="K1410" s="40" t="s">
        <v>8026</v>
      </c>
      <c r="L1410" s="37" t="s">
        <v>64</v>
      </c>
      <c r="M1410"/>
      <c r="N1410"/>
    </row>
    <row r="1411" spans="1:14">
      <c r="A1411" s="39"/>
      <c r="B1411" s="37" t="s">
        <v>8027</v>
      </c>
      <c r="C1411" s="37" t="s">
        <v>8028</v>
      </c>
      <c r="D1411" s="37" t="s">
        <v>555</v>
      </c>
      <c r="E1411" s="37" t="s">
        <v>845</v>
      </c>
      <c r="F1411" s="37" t="s">
        <v>8029</v>
      </c>
      <c r="G1411" s="37" t="s">
        <v>8030</v>
      </c>
      <c r="H1411" s="37"/>
      <c r="I1411" s="37" t="s">
        <v>8031</v>
      </c>
      <c r="J1411" s="37" t="s">
        <v>425</v>
      </c>
      <c r="K1411" s="40" t="s">
        <v>8032</v>
      </c>
      <c r="L1411" s="37" t="s">
        <v>64</v>
      </c>
      <c r="M1411"/>
      <c r="N1411"/>
    </row>
    <row r="1412" spans="1:14">
      <c r="A1412" s="39"/>
      <c r="B1412" s="37" t="s">
        <v>8033</v>
      </c>
      <c r="C1412" s="37" t="s">
        <v>8034</v>
      </c>
      <c r="D1412" s="37" t="s">
        <v>2389</v>
      </c>
      <c r="E1412" s="37" t="s">
        <v>8035</v>
      </c>
      <c r="F1412" s="37" t="s">
        <v>8036</v>
      </c>
      <c r="G1412" s="37" t="s">
        <v>8037</v>
      </c>
      <c r="H1412" s="37"/>
      <c r="I1412" s="37" t="s">
        <v>518</v>
      </c>
      <c r="J1412" s="37" t="s">
        <v>114</v>
      </c>
      <c r="K1412" s="40" t="s">
        <v>8038</v>
      </c>
      <c r="L1412" s="37" t="s">
        <v>64</v>
      </c>
      <c r="M1412"/>
      <c r="N1412"/>
    </row>
    <row r="1413" spans="1:14">
      <c r="A1413" s="39"/>
      <c r="B1413" s="37" t="s">
        <v>8033</v>
      </c>
      <c r="C1413" s="37" t="s">
        <v>8039</v>
      </c>
      <c r="D1413" s="37" t="s">
        <v>515</v>
      </c>
      <c r="E1413" s="37" t="s">
        <v>8040</v>
      </c>
      <c r="F1413" s="37" t="s">
        <v>8041</v>
      </c>
      <c r="G1413" s="37" t="s">
        <v>8037</v>
      </c>
      <c r="H1413" s="37"/>
      <c r="I1413" s="37" t="s">
        <v>518</v>
      </c>
      <c r="J1413" s="37" t="s">
        <v>114</v>
      </c>
      <c r="K1413" s="40" t="s">
        <v>8038</v>
      </c>
      <c r="L1413" s="37" t="s">
        <v>64</v>
      </c>
      <c r="M1413"/>
      <c r="N1413"/>
    </row>
    <row r="1414" spans="1:14">
      <c r="A1414" s="39"/>
      <c r="B1414" s="37" t="s">
        <v>8033</v>
      </c>
      <c r="C1414" s="37" t="s">
        <v>6804</v>
      </c>
      <c r="D1414" s="37" t="s">
        <v>532</v>
      </c>
      <c r="E1414" s="37" t="s">
        <v>1049</v>
      </c>
      <c r="F1414" s="37" t="s">
        <v>8042</v>
      </c>
      <c r="G1414" s="37" t="s">
        <v>8043</v>
      </c>
      <c r="H1414" s="37"/>
      <c r="I1414" s="37" t="s">
        <v>416</v>
      </c>
      <c r="J1414" s="37" t="s">
        <v>75</v>
      </c>
      <c r="K1414" s="40" t="s">
        <v>8044</v>
      </c>
      <c r="L1414" s="37" t="s">
        <v>64</v>
      </c>
      <c r="M1414"/>
      <c r="N1414"/>
    </row>
    <row r="1415" spans="1:14">
      <c r="A1415" s="39"/>
      <c r="B1415" s="37" t="s">
        <v>8045</v>
      </c>
      <c r="C1415" s="37" t="s">
        <v>6804</v>
      </c>
      <c r="D1415" s="37" t="s">
        <v>938</v>
      </c>
      <c r="E1415" s="37" t="s">
        <v>8046</v>
      </c>
      <c r="F1415" s="37" t="s">
        <v>8047</v>
      </c>
      <c r="G1415" s="37" t="s">
        <v>8048</v>
      </c>
      <c r="H1415" s="37" t="s">
        <v>8049</v>
      </c>
      <c r="I1415" s="37" t="s">
        <v>8050</v>
      </c>
      <c r="J1415" s="37" t="s">
        <v>324</v>
      </c>
      <c r="K1415" s="40" t="s">
        <v>8051</v>
      </c>
      <c r="L1415" s="37" t="s">
        <v>64</v>
      </c>
      <c r="M1415"/>
      <c r="N1415"/>
    </row>
    <row r="1416" spans="1:14">
      <c r="A1416" s="39"/>
      <c r="B1416" s="37" t="s">
        <v>8052</v>
      </c>
      <c r="C1416" s="37" t="s">
        <v>6804</v>
      </c>
      <c r="D1416" s="37" t="s">
        <v>1214</v>
      </c>
      <c r="E1416" s="37" t="s">
        <v>8053</v>
      </c>
      <c r="F1416" s="37" t="s">
        <v>8054</v>
      </c>
      <c r="G1416" s="37" t="s">
        <v>8055</v>
      </c>
      <c r="H1416" s="37"/>
      <c r="I1416" s="37" t="s">
        <v>139</v>
      </c>
      <c r="J1416" s="37" t="s">
        <v>121</v>
      </c>
      <c r="K1416" s="40" t="s">
        <v>8056</v>
      </c>
      <c r="L1416" s="37" t="s">
        <v>64</v>
      </c>
      <c r="M1416"/>
      <c r="N1416"/>
    </row>
    <row r="1417" spans="1:14">
      <c r="A1417" s="39"/>
      <c r="B1417" s="37" t="s">
        <v>8057</v>
      </c>
      <c r="C1417" s="37"/>
      <c r="D1417" s="37" t="s">
        <v>8058</v>
      </c>
      <c r="E1417" s="37" t="s">
        <v>8059</v>
      </c>
      <c r="F1417" s="37" t="s">
        <v>8060</v>
      </c>
      <c r="G1417" s="37" t="s">
        <v>8061</v>
      </c>
      <c r="H1417" s="37"/>
      <c r="I1417" s="37" t="s">
        <v>319</v>
      </c>
      <c r="J1417" s="37" t="s">
        <v>320</v>
      </c>
      <c r="K1417" s="40" t="s">
        <v>8062</v>
      </c>
      <c r="L1417" s="37" t="s">
        <v>64</v>
      </c>
      <c r="M1417"/>
      <c r="N1417"/>
    </row>
    <row r="1418" spans="1:14">
      <c r="A1418" s="39"/>
      <c r="B1418" s="37" t="s">
        <v>8063</v>
      </c>
      <c r="C1418" s="37"/>
      <c r="D1418" s="37" t="s">
        <v>3029</v>
      </c>
      <c r="E1418" s="37" t="s">
        <v>2300</v>
      </c>
      <c r="F1418" s="37" t="s">
        <v>8064</v>
      </c>
      <c r="G1418" s="37" t="s">
        <v>8065</v>
      </c>
      <c r="H1418" s="37"/>
      <c r="I1418" s="37" t="s">
        <v>8066</v>
      </c>
      <c r="J1418" s="37"/>
      <c r="K1418" s="40" t="s">
        <v>8067</v>
      </c>
      <c r="L1418" s="37" t="s">
        <v>64</v>
      </c>
      <c r="M1418"/>
      <c r="N1418"/>
    </row>
    <row r="1419" spans="1:14">
      <c r="A1419" s="39"/>
      <c r="B1419" s="37" t="s">
        <v>8063</v>
      </c>
      <c r="C1419" s="37" t="s">
        <v>8068</v>
      </c>
      <c r="D1419" s="37" t="s">
        <v>1815</v>
      </c>
      <c r="E1419" s="37" t="s">
        <v>8069</v>
      </c>
      <c r="F1419" s="37" t="s">
        <v>8070</v>
      </c>
      <c r="G1419" s="37" t="s">
        <v>8071</v>
      </c>
      <c r="H1419" s="37" t="s">
        <v>8072</v>
      </c>
      <c r="I1419" s="37" t="s">
        <v>82</v>
      </c>
      <c r="J1419" s="37" t="s">
        <v>83</v>
      </c>
      <c r="K1419" s="40" t="s">
        <v>4294</v>
      </c>
      <c r="L1419" s="37" t="s">
        <v>64</v>
      </c>
      <c r="M1419"/>
      <c r="N1419"/>
    </row>
    <row r="1420" spans="1:14">
      <c r="A1420" s="39"/>
      <c r="B1420" s="37" t="s">
        <v>8073</v>
      </c>
      <c r="C1420" s="37" t="s">
        <v>8074</v>
      </c>
      <c r="D1420" s="37" t="s">
        <v>8075</v>
      </c>
      <c r="E1420" s="37" t="s">
        <v>8069</v>
      </c>
      <c r="F1420" s="37" t="s">
        <v>8076</v>
      </c>
      <c r="G1420" s="37" t="s">
        <v>8077</v>
      </c>
      <c r="H1420" s="37"/>
      <c r="I1420" s="37" t="s">
        <v>8078</v>
      </c>
      <c r="J1420" s="37" t="s">
        <v>313</v>
      </c>
      <c r="K1420" s="40" t="s">
        <v>6898</v>
      </c>
      <c r="L1420" s="37" t="s">
        <v>64</v>
      </c>
      <c r="M1420"/>
      <c r="N1420"/>
    </row>
    <row r="1421" spans="1:14">
      <c r="A1421" s="39"/>
      <c r="B1421" s="37" t="s">
        <v>8073</v>
      </c>
      <c r="C1421" s="37" t="s">
        <v>8079</v>
      </c>
      <c r="D1421" s="37" t="s">
        <v>286</v>
      </c>
      <c r="E1421" s="37" t="s">
        <v>2223</v>
      </c>
      <c r="F1421" s="37" t="s">
        <v>8080</v>
      </c>
      <c r="G1421" s="37" t="s">
        <v>8077</v>
      </c>
      <c r="H1421" s="37"/>
      <c r="I1421" s="37" t="s">
        <v>8078</v>
      </c>
      <c r="J1421" s="37" t="s">
        <v>313</v>
      </c>
      <c r="K1421" s="40" t="s">
        <v>6898</v>
      </c>
      <c r="L1421" s="37" t="s">
        <v>64</v>
      </c>
      <c r="M1421"/>
      <c r="N1421"/>
    </row>
    <row r="1422" spans="1:14">
      <c r="A1422" s="39"/>
      <c r="B1422" s="37" t="s">
        <v>8081</v>
      </c>
      <c r="C1422" s="37" t="s">
        <v>7085</v>
      </c>
      <c r="D1422" s="37" t="s">
        <v>360</v>
      </c>
      <c r="E1422" s="37" t="s">
        <v>8082</v>
      </c>
      <c r="F1422" s="37" t="s">
        <v>8083</v>
      </c>
      <c r="G1422" s="37" t="s">
        <v>8084</v>
      </c>
      <c r="H1422" s="37" t="s">
        <v>2312</v>
      </c>
      <c r="I1422" s="37" t="s">
        <v>8085</v>
      </c>
      <c r="J1422" s="37"/>
      <c r="K1422" s="40" t="s">
        <v>8086</v>
      </c>
      <c r="L1422" s="37" t="s">
        <v>64</v>
      </c>
      <c r="M1422"/>
      <c r="N1422"/>
    </row>
    <row r="1423" spans="1:14">
      <c r="A1423" s="39"/>
      <c r="B1423" s="37" t="s">
        <v>8087</v>
      </c>
      <c r="C1423" s="37" t="s">
        <v>8088</v>
      </c>
      <c r="D1423" s="37" t="s">
        <v>555</v>
      </c>
      <c r="E1423" s="37" t="s">
        <v>8089</v>
      </c>
      <c r="F1423" s="37" t="s">
        <v>8090</v>
      </c>
      <c r="G1423" s="37" t="s">
        <v>8091</v>
      </c>
      <c r="H1423" s="37"/>
      <c r="I1423" s="37" t="s">
        <v>5261</v>
      </c>
      <c r="J1423" s="37" t="s">
        <v>121</v>
      </c>
      <c r="K1423" s="40" t="s">
        <v>7185</v>
      </c>
      <c r="L1423" s="37" t="s">
        <v>64</v>
      </c>
      <c r="M1423"/>
      <c r="N1423"/>
    </row>
    <row r="1424" spans="1:14">
      <c r="A1424" s="39"/>
      <c r="B1424" s="37" t="s">
        <v>8092</v>
      </c>
      <c r="C1424" s="37" t="s">
        <v>8093</v>
      </c>
      <c r="D1424" s="37" t="s">
        <v>8094</v>
      </c>
      <c r="E1424" s="37" t="s">
        <v>8095</v>
      </c>
      <c r="F1424" s="37" t="s">
        <v>8096</v>
      </c>
      <c r="G1424" s="37" t="s">
        <v>8097</v>
      </c>
      <c r="H1424" s="37" t="s">
        <v>8098</v>
      </c>
      <c r="I1424" s="37" t="s">
        <v>393</v>
      </c>
      <c r="J1424" s="37" t="s">
        <v>475</v>
      </c>
      <c r="K1424" s="40" t="s">
        <v>8099</v>
      </c>
      <c r="L1424" s="37" t="s">
        <v>64</v>
      </c>
      <c r="M1424"/>
      <c r="N1424"/>
    </row>
    <row r="1425" spans="1:14">
      <c r="A1425" s="39"/>
      <c r="B1425" s="37" t="s">
        <v>8100</v>
      </c>
      <c r="C1425" s="37"/>
      <c r="D1425" s="37" t="s">
        <v>229</v>
      </c>
      <c r="E1425" s="37" t="s">
        <v>6894</v>
      </c>
      <c r="F1425" s="37" t="s">
        <v>8101</v>
      </c>
      <c r="G1425" s="37" t="s">
        <v>8102</v>
      </c>
      <c r="H1425" s="37"/>
      <c r="I1425" s="37" t="s">
        <v>6371</v>
      </c>
      <c r="J1425" s="37" t="s">
        <v>121</v>
      </c>
      <c r="K1425" s="40" t="s">
        <v>8103</v>
      </c>
      <c r="L1425" s="37" t="s">
        <v>64</v>
      </c>
      <c r="M1425"/>
      <c r="N1425"/>
    </row>
    <row r="1426" spans="1:14">
      <c r="A1426" s="39"/>
      <c r="B1426" s="37" t="s">
        <v>8104</v>
      </c>
      <c r="C1426" s="37" t="s">
        <v>8105</v>
      </c>
      <c r="D1426" s="37" t="s">
        <v>1823</v>
      </c>
      <c r="E1426" s="37" t="s">
        <v>8106</v>
      </c>
      <c r="F1426" s="37" t="s">
        <v>8107</v>
      </c>
      <c r="G1426" s="37" t="s">
        <v>8108</v>
      </c>
      <c r="H1426" s="37"/>
      <c r="I1426" s="37" t="s">
        <v>8109</v>
      </c>
      <c r="J1426" s="37" t="s">
        <v>996</v>
      </c>
      <c r="K1426" s="40" t="s">
        <v>8110</v>
      </c>
      <c r="L1426" s="37" t="s">
        <v>64</v>
      </c>
      <c r="M1426"/>
      <c r="N1426"/>
    </row>
    <row r="1427" spans="1:14">
      <c r="A1427" s="39"/>
      <c r="B1427" s="37" t="s">
        <v>8111</v>
      </c>
      <c r="C1427" s="37" t="s">
        <v>6953</v>
      </c>
      <c r="D1427" s="37" t="s">
        <v>8112</v>
      </c>
      <c r="E1427" s="37" t="s">
        <v>8113</v>
      </c>
      <c r="F1427" s="37" t="s">
        <v>8114</v>
      </c>
      <c r="G1427" s="37" t="s">
        <v>8115</v>
      </c>
      <c r="H1427" s="37"/>
      <c r="I1427" s="37" t="s">
        <v>8116</v>
      </c>
      <c r="J1427" s="37" t="s">
        <v>121</v>
      </c>
      <c r="K1427" s="40" t="s">
        <v>8117</v>
      </c>
      <c r="L1427" s="37" t="s">
        <v>64</v>
      </c>
      <c r="M1427"/>
      <c r="N1427"/>
    </row>
    <row r="1428" spans="1:14">
      <c r="A1428" s="39"/>
      <c r="B1428" s="37" t="s">
        <v>8118</v>
      </c>
      <c r="C1428" s="37" t="s">
        <v>8119</v>
      </c>
      <c r="D1428" s="37" t="s">
        <v>4234</v>
      </c>
      <c r="E1428" s="37" t="s">
        <v>309</v>
      </c>
      <c r="F1428" s="37" t="s">
        <v>8120</v>
      </c>
      <c r="G1428" s="37" t="s">
        <v>8121</v>
      </c>
      <c r="H1428" s="37" t="s">
        <v>8122</v>
      </c>
      <c r="I1428" s="37" t="s">
        <v>226</v>
      </c>
      <c r="J1428" s="37" t="s">
        <v>214</v>
      </c>
      <c r="K1428" s="40" t="s">
        <v>227</v>
      </c>
      <c r="L1428" s="37" t="s">
        <v>64</v>
      </c>
      <c r="M1428"/>
      <c r="N1428"/>
    </row>
    <row r="1429" spans="1:14">
      <c r="A1429" s="39"/>
      <c r="B1429" s="37" t="s">
        <v>8123</v>
      </c>
      <c r="C1429" s="37" t="s">
        <v>8124</v>
      </c>
      <c r="D1429" s="37" t="s">
        <v>929</v>
      </c>
      <c r="E1429" s="37" t="s">
        <v>8125</v>
      </c>
      <c r="F1429" s="37" t="s">
        <v>8126</v>
      </c>
      <c r="G1429" s="37" t="s">
        <v>8127</v>
      </c>
      <c r="H1429" s="37" t="s">
        <v>2441</v>
      </c>
      <c r="I1429" s="37" t="s">
        <v>120</v>
      </c>
      <c r="J1429" s="37" t="s">
        <v>121</v>
      </c>
      <c r="K1429" s="40" t="s">
        <v>2145</v>
      </c>
      <c r="L1429" s="37" t="s">
        <v>64</v>
      </c>
      <c r="M1429"/>
      <c r="N1429"/>
    </row>
    <row r="1430" spans="1:14">
      <c r="A1430" s="39"/>
      <c r="B1430" s="37" t="s">
        <v>8128</v>
      </c>
      <c r="C1430" s="37" t="s">
        <v>8129</v>
      </c>
      <c r="D1430" s="37" t="s">
        <v>8130</v>
      </c>
      <c r="E1430" s="37" t="s">
        <v>8131</v>
      </c>
      <c r="F1430" s="37" t="s">
        <v>8132</v>
      </c>
      <c r="G1430" s="37" t="s">
        <v>8133</v>
      </c>
      <c r="H1430" s="37" t="s">
        <v>2441</v>
      </c>
      <c r="I1430" s="37" t="s">
        <v>120</v>
      </c>
      <c r="J1430" s="37" t="s">
        <v>121</v>
      </c>
      <c r="K1430" s="40" t="s">
        <v>2145</v>
      </c>
      <c r="L1430" s="37" t="s">
        <v>64</v>
      </c>
      <c r="M1430"/>
      <c r="N1430"/>
    </row>
    <row r="1431" spans="1:14">
      <c r="A1431" s="39"/>
      <c r="B1431" s="37" t="s">
        <v>8128</v>
      </c>
      <c r="C1431" s="37" t="s">
        <v>8134</v>
      </c>
      <c r="D1431" s="37" t="s">
        <v>842</v>
      </c>
      <c r="E1431" s="37" t="s">
        <v>8135</v>
      </c>
      <c r="F1431" s="37" t="s">
        <v>8136</v>
      </c>
      <c r="G1431" s="37" t="s">
        <v>8127</v>
      </c>
      <c r="H1431" s="37" t="s">
        <v>2441</v>
      </c>
      <c r="I1431" s="37" t="s">
        <v>120</v>
      </c>
      <c r="J1431" s="37" t="s">
        <v>121</v>
      </c>
      <c r="K1431" s="40" t="s">
        <v>2145</v>
      </c>
      <c r="L1431" s="37" t="s">
        <v>64</v>
      </c>
      <c r="M1431"/>
      <c r="N1431"/>
    </row>
    <row r="1432" spans="1:14">
      <c r="A1432" s="39"/>
      <c r="B1432" s="37" t="s">
        <v>8137</v>
      </c>
      <c r="C1432" s="37" t="s">
        <v>8138</v>
      </c>
      <c r="D1432" s="37" t="s">
        <v>211</v>
      </c>
      <c r="E1432" s="37" t="s">
        <v>8139</v>
      </c>
      <c r="F1432" s="37" t="s">
        <v>8140</v>
      </c>
      <c r="G1432" s="37" t="s">
        <v>8141</v>
      </c>
      <c r="H1432" s="37" t="s">
        <v>8142</v>
      </c>
      <c r="I1432" s="37" t="s">
        <v>776</v>
      </c>
      <c r="J1432" s="37" t="s">
        <v>105</v>
      </c>
      <c r="K1432" s="40" t="s">
        <v>8143</v>
      </c>
      <c r="L1432" s="37" t="s">
        <v>64</v>
      </c>
      <c r="M1432"/>
      <c r="N1432"/>
    </row>
    <row r="1433" spans="1:14">
      <c r="A1433" s="39"/>
      <c r="B1433" s="37" t="s">
        <v>8137</v>
      </c>
      <c r="C1433" s="37"/>
      <c r="D1433" s="37" t="s">
        <v>648</v>
      </c>
      <c r="E1433" s="37" t="s">
        <v>8144</v>
      </c>
      <c r="F1433" s="37" t="s">
        <v>8145</v>
      </c>
      <c r="G1433" s="37" t="s">
        <v>8146</v>
      </c>
      <c r="H1433" s="37"/>
      <c r="I1433" s="37" t="s">
        <v>776</v>
      </c>
      <c r="J1433" s="37" t="s">
        <v>105</v>
      </c>
      <c r="K1433" s="40" t="s">
        <v>8143</v>
      </c>
      <c r="L1433" s="37" t="s">
        <v>64</v>
      </c>
      <c r="M1433"/>
      <c r="N1433"/>
    </row>
    <row r="1434" spans="1:14">
      <c r="A1434" s="39"/>
      <c r="B1434" s="37" t="s">
        <v>8137</v>
      </c>
      <c r="C1434" s="37"/>
      <c r="D1434" s="37" t="s">
        <v>5142</v>
      </c>
      <c r="E1434" s="37" t="s">
        <v>8147</v>
      </c>
      <c r="F1434" s="37" t="s">
        <v>8148</v>
      </c>
      <c r="G1434" s="37" t="s">
        <v>8146</v>
      </c>
      <c r="H1434" s="37"/>
      <c r="I1434" s="37" t="s">
        <v>776</v>
      </c>
      <c r="J1434" s="37" t="s">
        <v>105</v>
      </c>
      <c r="K1434" s="40" t="s">
        <v>8143</v>
      </c>
      <c r="L1434" s="37" t="s">
        <v>64</v>
      </c>
      <c r="M1434"/>
      <c r="N1434"/>
    </row>
    <row r="1435" spans="1:14">
      <c r="A1435" s="39"/>
      <c r="B1435" s="37" t="s">
        <v>8149</v>
      </c>
      <c r="C1435" s="37"/>
      <c r="D1435" s="37" t="s">
        <v>363</v>
      </c>
      <c r="E1435" s="37" t="s">
        <v>8150</v>
      </c>
      <c r="F1435" s="37" t="s">
        <v>8151</v>
      </c>
      <c r="G1435" s="37" t="s">
        <v>8152</v>
      </c>
      <c r="H1435" s="37"/>
      <c r="I1435" s="37" t="s">
        <v>8153</v>
      </c>
      <c r="J1435" s="37" t="s">
        <v>153</v>
      </c>
      <c r="K1435" s="40" t="s">
        <v>8154</v>
      </c>
      <c r="L1435" s="37" t="s">
        <v>64</v>
      </c>
      <c r="M1435"/>
      <c r="N1435"/>
    </row>
    <row r="1436" spans="1:14">
      <c r="A1436" s="39"/>
      <c r="B1436" s="37" t="s">
        <v>8155</v>
      </c>
      <c r="C1436" s="37" t="s">
        <v>8156</v>
      </c>
      <c r="D1436" s="37" t="s">
        <v>2141</v>
      </c>
      <c r="E1436" s="37" t="s">
        <v>8157</v>
      </c>
      <c r="F1436" s="37" t="s">
        <v>8158</v>
      </c>
      <c r="G1436" s="37" t="s">
        <v>8159</v>
      </c>
      <c r="H1436" s="37"/>
      <c r="I1436" s="37" t="s">
        <v>8160</v>
      </c>
      <c r="J1436" s="37" t="s">
        <v>125</v>
      </c>
      <c r="K1436" s="40" t="s">
        <v>8161</v>
      </c>
      <c r="L1436" s="37" t="s">
        <v>64</v>
      </c>
      <c r="M1436"/>
      <c r="N1436"/>
    </row>
    <row r="1437" spans="1:14">
      <c r="A1437" s="39"/>
      <c r="B1437" s="37" t="s">
        <v>8162</v>
      </c>
      <c r="C1437" s="37" t="s">
        <v>6921</v>
      </c>
      <c r="D1437" s="37" t="s">
        <v>8163</v>
      </c>
      <c r="E1437" s="37" t="s">
        <v>1800</v>
      </c>
      <c r="F1437" s="37" t="s">
        <v>8164</v>
      </c>
      <c r="G1437" s="37" t="s">
        <v>8165</v>
      </c>
      <c r="H1437" s="37" t="s">
        <v>8166</v>
      </c>
      <c r="I1437" s="37" t="s">
        <v>776</v>
      </c>
      <c r="J1437" s="37" t="s">
        <v>105</v>
      </c>
      <c r="K1437" s="40" t="s">
        <v>777</v>
      </c>
      <c r="L1437" s="37" t="s">
        <v>64</v>
      </c>
      <c r="M1437"/>
      <c r="N1437"/>
    </row>
    <row r="1438" spans="1:14">
      <c r="A1438" s="39"/>
      <c r="B1438" s="37" t="s">
        <v>8167</v>
      </c>
      <c r="C1438" s="37" t="s">
        <v>8168</v>
      </c>
      <c r="D1438" s="37" t="s">
        <v>5527</v>
      </c>
      <c r="E1438" s="37" t="s">
        <v>8169</v>
      </c>
      <c r="F1438" s="37" t="s">
        <v>8170</v>
      </c>
      <c r="G1438" s="37" t="s">
        <v>8171</v>
      </c>
      <c r="H1438" s="37"/>
      <c r="I1438" s="37" t="s">
        <v>3251</v>
      </c>
      <c r="J1438" s="37" t="s">
        <v>121</v>
      </c>
      <c r="K1438" s="40" t="s">
        <v>6759</v>
      </c>
      <c r="L1438" s="37" t="s">
        <v>64</v>
      </c>
      <c r="M1438"/>
      <c r="N1438"/>
    </row>
    <row r="1439" spans="1:14">
      <c r="A1439" s="39"/>
      <c r="B1439" s="37" t="s">
        <v>8172</v>
      </c>
      <c r="C1439" s="37"/>
      <c r="D1439" s="37" t="s">
        <v>8173</v>
      </c>
      <c r="E1439" s="37" t="s">
        <v>1389</v>
      </c>
      <c r="F1439" s="38" t="s">
        <v>5739</v>
      </c>
      <c r="G1439" s="37" t="s">
        <v>8174</v>
      </c>
      <c r="H1439" s="37"/>
      <c r="I1439" s="37" t="s">
        <v>8175</v>
      </c>
      <c r="J1439" s="37"/>
      <c r="K1439" s="40" t="s">
        <v>8176</v>
      </c>
      <c r="L1439" s="37" t="s">
        <v>64</v>
      </c>
      <c r="M1439"/>
      <c r="N1439"/>
    </row>
    <row r="1440" spans="1:14">
      <c r="A1440" s="39"/>
      <c r="B1440" s="37" t="s">
        <v>8172</v>
      </c>
      <c r="C1440" s="37"/>
      <c r="D1440" s="37" t="s">
        <v>8177</v>
      </c>
      <c r="E1440" s="37" t="s">
        <v>3357</v>
      </c>
      <c r="F1440" s="38" t="s">
        <v>5739</v>
      </c>
      <c r="G1440" s="37" t="s">
        <v>8174</v>
      </c>
      <c r="H1440" s="37"/>
      <c r="I1440" s="37" t="s">
        <v>8175</v>
      </c>
      <c r="J1440" s="37"/>
      <c r="K1440" s="40" t="s">
        <v>8176</v>
      </c>
      <c r="L1440" s="37" t="s">
        <v>64</v>
      </c>
      <c r="M1440"/>
      <c r="N1440"/>
    </row>
    <row r="1441" spans="1:14">
      <c r="A1441" s="39"/>
      <c r="B1441" s="37" t="s">
        <v>8178</v>
      </c>
      <c r="C1441" s="37" t="s">
        <v>6917</v>
      </c>
      <c r="D1441" s="37" t="s">
        <v>199</v>
      </c>
      <c r="E1441" s="37" t="s">
        <v>1897</v>
      </c>
      <c r="F1441" s="37" t="s">
        <v>8179</v>
      </c>
      <c r="G1441" s="37" t="s">
        <v>8180</v>
      </c>
      <c r="H1441" s="37" t="s">
        <v>1532</v>
      </c>
      <c r="I1441" s="37" t="s">
        <v>8181</v>
      </c>
      <c r="J1441" s="37" t="s">
        <v>121</v>
      </c>
      <c r="K1441" s="40" t="s">
        <v>122</v>
      </c>
      <c r="L1441" s="37" t="s">
        <v>64</v>
      </c>
      <c r="M1441"/>
      <c r="N1441"/>
    </row>
    <row r="1442" spans="1:14">
      <c r="A1442" s="39"/>
      <c r="B1442" s="37" t="s">
        <v>8182</v>
      </c>
      <c r="C1442" s="37" t="s">
        <v>8183</v>
      </c>
      <c r="D1442" s="37" t="s">
        <v>272</v>
      </c>
      <c r="E1442" s="37" t="s">
        <v>8184</v>
      </c>
      <c r="F1442" s="37" t="s">
        <v>8185</v>
      </c>
      <c r="G1442" s="37" t="s">
        <v>8186</v>
      </c>
      <c r="H1442" s="37"/>
      <c r="I1442" s="37" t="s">
        <v>5261</v>
      </c>
      <c r="J1442" s="37" t="s">
        <v>121</v>
      </c>
      <c r="K1442" s="40" t="s">
        <v>7185</v>
      </c>
      <c r="L1442" s="37" t="s">
        <v>64</v>
      </c>
      <c r="M1442"/>
      <c r="N1442"/>
    </row>
    <row r="1443" spans="1:14">
      <c r="A1443" s="39"/>
      <c r="B1443" s="37" t="s">
        <v>8187</v>
      </c>
      <c r="C1443" s="37"/>
      <c r="D1443" s="37" t="s">
        <v>1275</v>
      </c>
      <c r="E1443" s="37" t="s">
        <v>1153</v>
      </c>
      <c r="F1443" s="37" t="s">
        <v>8188</v>
      </c>
      <c r="G1443" s="37" t="s">
        <v>8189</v>
      </c>
      <c r="H1443" s="37"/>
      <c r="I1443" s="37" t="s">
        <v>745</v>
      </c>
      <c r="J1443" s="37" t="s">
        <v>200</v>
      </c>
      <c r="K1443" s="40" t="s">
        <v>8190</v>
      </c>
      <c r="L1443" s="37" t="s">
        <v>64</v>
      </c>
      <c r="M1443"/>
      <c r="N1443"/>
    </row>
    <row r="1444" spans="1:14">
      <c r="A1444" s="39"/>
      <c r="B1444" s="37" t="s">
        <v>8187</v>
      </c>
      <c r="C1444" s="37"/>
      <c r="D1444" s="37" t="s">
        <v>3688</v>
      </c>
      <c r="E1444" s="37" t="s">
        <v>8191</v>
      </c>
      <c r="F1444" s="37" t="s">
        <v>8192</v>
      </c>
      <c r="G1444" s="37" t="s">
        <v>8189</v>
      </c>
      <c r="H1444" s="37"/>
      <c r="I1444" s="37" t="s">
        <v>745</v>
      </c>
      <c r="J1444" s="37" t="s">
        <v>200</v>
      </c>
      <c r="K1444" s="40" t="s">
        <v>8190</v>
      </c>
      <c r="L1444" s="37" t="s">
        <v>64</v>
      </c>
      <c r="M1444"/>
      <c r="N1444"/>
    </row>
    <row r="1445" spans="1:14">
      <c r="A1445" s="39"/>
      <c r="B1445" s="37" t="s">
        <v>8193</v>
      </c>
      <c r="C1445" s="37" t="s">
        <v>8194</v>
      </c>
      <c r="D1445" s="37" t="s">
        <v>8195</v>
      </c>
      <c r="E1445" s="37" t="s">
        <v>2648</v>
      </c>
      <c r="F1445" s="37" t="s">
        <v>8196</v>
      </c>
      <c r="G1445" s="37" t="s">
        <v>8197</v>
      </c>
      <c r="H1445" s="37"/>
      <c r="I1445" s="37" t="s">
        <v>8198</v>
      </c>
      <c r="J1445" s="37" t="s">
        <v>474</v>
      </c>
      <c r="K1445" s="40" t="s">
        <v>8199</v>
      </c>
      <c r="L1445" s="37" t="s">
        <v>64</v>
      </c>
      <c r="M1445"/>
      <c r="N1445"/>
    </row>
    <row r="1446" spans="1:14">
      <c r="A1446" s="39"/>
      <c r="B1446" s="37" t="s">
        <v>8200</v>
      </c>
      <c r="C1446" s="37" t="s">
        <v>8201</v>
      </c>
      <c r="D1446" s="37" t="s">
        <v>386</v>
      </c>
      <c r="E1446" s="37" t="s">
        <v>8202</v>
      </c>
      <c r="F1446" s="37" t="s">
        <v>8203</v>
      </c>
      <c r="G1446" s="37" t="s">
        <v>8204</v>
      </c>
      <c r="H1446" s="37"/>
      <c r="I1446" s="37" t="s">
        <v>319</v>
      </c>
      <c r="J1446" s="37" t="s">
        <v>162</v>
      </c>
      <c r="K1446" s="40" t="s">
        <v>8205</v>
      </c>
      <c r="L1446" s="37" t="s">
        <v>64</v>
      </c>
      <c r="M1446"/>
      <c r="N1446"/>
    </row>
    <row r="1447" spans="1:14">
      <c r="A1447" s="39"/>
      <c r="B1447" s="37" t="s">
        <v>8206</v>
      </c>
      <c r="C1447" s="37" t="s">
        <v>8207</v>
      </c>
      <c r="D1447" s="37" t="s">
        <v>8208</v>
      </c>
      <c r="E1447" s="37" t="s">
        <v>8209</v>
      </c>
      <c r="F1447" s="37" t="s">
        <v>8210</v>
      </c>
      <c r="G1447" s="37" t="s">
        <v>8211</v>
      </c>
      <c r="H1447" s="37"/>
      <c r="I1447" s="37" t="s">
        <v>8212</v>
      </c>
      <c r="J1447" s="37" t="s">
        <v>983</v>
      </c>
      <c r="K1447" s="40" t="s">
        <v>8213</v>
      </c>
      <c r="L1447" s="37" t="s">
        <v>64</v>
      </c>
      <c r="M1447"/>
      <c r="N1447"/>
    </row>
    <row r="1448" spans="1:14">
      <c r="A1448" s="39"/>
      <c r="B1448" s="37" t="s">
        <v>8214</v>
      </c>
      <c r="C1448" s="37"/>
      <c r="D1448" s="37" t="s">
        <v>484</v>
      </c>
      <c r="E1448" s="37" t="s">
        <v>8215</v>
      </c>
      <c r="F1448" s="37" t="s">
        <v>8216</v>
      </c>
      <c r="G1448" s="37" t="s">
        <v>8217</v>
      </c>
      <c r="H1448" s="37" t="s">
        <v>933</v>
      </c>
      <c r="I1448" s="37" t="s">
        <v>193</v>
      </c>
      <c r="J1448" s="37" t="s">
        <v>153</v>
      </c>
      <c r="K1448" s="40" t="s">
        <v>194</v>
      </c>
      <c r="L1448" s="37" t="s">
        <v>64</v>
      </c>
      <c r="M1448"/>
      <c r="N1448"/>
    </row>
    <row r="1449" spans="1:14">
      <c r="A1449" s="39"/>
      <c r="B1449" s="37" t="s">
        <v>8218</v>
      </c>
      <c r="C1449" s="37"/>
      <c r="D1449" s="37" t="s">
        <v>117</v>
      </c>
      <c r="E1449" s="37" t="s">
        <v>8219</v>
      </c>
      <c r="F1449" s="37" t="s">
        <v>8220</v>
      </c>
      <c r="G1449" s="37" t="s">
        <v>8221</v>
      </c>
      <c r="H1449" s="37"/>
      <c r="I1449" s="37" t="s">
        <v>8222</v>
      </c>
      <c r="J1449" s="37" t="s">
        <v>425</v>
      </c>
      <c r="K1449" s="40" t="s">
        <v>8223</v>
      </c>
      <c r="L1449" s="37" t="s">
        <v>64</v>
      </c>
      <c r="M1449"/>
      <c r="N1449"/>
    </row>
    <row r="1450" spans="1:14">
      <c r="A1450" s="39"/>
      <c r="B1450" s="37" t="s">
        <v>8224</v>
      </c>
      <c r="C1450" s="37"/>
      <c r="D1450" s="37" t="s">
        <v>286</v>
      </c>
      <c r="E1450" s="37" t="s">
        <v>8225</v>
      </c>
      <c r="F1450" s="37" t="s">
        <v>8226</v>
      </c>
      <c r="G1450" s="37" t="s">
        <v>8227</v>
      </c>
      <c r="H1450" s="37" t="s">
        <v>8228</v>
      </c>
      <c r="I1450" s="37" t="s">
        <v>8229</v>
      </c>
      <c r="J1450" s="37" t="s">
        <v>70</v>
      </c>
      <c r="K1450" s="40" t="s">
        <v>8230</v>
      </c>
      <c r="L1450" s="37" t="s">
        <v>64</v>
      </c>
      <c r="M1450"/>
      <c r="N1450"/>
    </row>
    <row r="1451" spans="1:14">
      <c r="A1451" s="39"/>
      <c r="B1451" s="37" t="s">
        <v>8224</v>
      </c>
      <c r="C1451" s="37" t="s">
        <v>8231</v>
      </c>
      <c r="D1451" s="37" t="s">
        <v>528</v>
      </c>
      <c r="E1451" s="37" t="s">
        <v>8232</v>
      </c>
      <c r="F1451" s="37" t="s">
        <v>8233</v>
      </c>
      <c r="G1451" s="37" t="s">
        <v>8234</v>
      </c>
      <c r="H1451" s="37"/>
      <c r="I1451" s="37" t="s">
        <v>1756</v>
      </c>
      <c r="J1451" s="37"/>
      <c r="K1451" s="40" t="s">
        <v>2306</v>
      </c>
      <c r="L1451" s="37" t="s">
        <v>64</v>
      </c>
      <c r="M1451"/>
      <c r="N1451"/>
    </row>
    <row r="1452" spans="1:14">
      <c r="A1452" s="39"/>
      <c r="B1452" s="37" t="s">
        <v>8224</v>
      </c>
      <c r="C1452" s="37"/>
      <c r="D1452" s="37" t="s">
        <v>464</v>
      </c>
      <c r="E1452" s="37" t="s">
        <v>8235</v>
      </c>
      <c r="F1452" s="37" t="s">
        <v>8236</v>
      </c>
      <c r="G1452" s="37" t="s">
        <v>8237</v>
      </c>
      <c r="H1452" s="37"/>
      <c r="I1452" s="37" t="s">
        <v>1756</v>
      </c>
      <c r="J1452" s="37" t="s">
        <v>93</v>
      </c>
      <c r="K1452" s="40" t="s">
        <v>2306</v>
      </c>
      <c r="L1452" s="37" t="s">
        <v>64</v>
      </c>
      <c r="M1452"/>
      <c r="N1452"/>
    </row>
    <row r="1453" spans="1:14">
      <c r="A1453" s="39"/>
      <c r="B1453" s="37" t="s">
        <v>8224</v>
      </c>
      <c r="C1453" s="37"/>
      <c r="D1453" s="37" t="s">
        <v>8238</v>
      </c>
      <c r="E1453" s="37" t="s">
        <v>1153</v>
      </c>
      <c r="F1453" s="37" t="s">
        <v>8239</v>
      </c>
      <c r="G1453" s="37" t="s">
        <v>8234</v>
      </c>
      <c r="H1453" s="37"/>
      <c r="I1453" s="37" t="s">
        <v>1756</v>
      </c>
      <c r="J1453" s="37" t="s">
        <v>93</v>
      </c>
      <c r="K1453" s="40" t="s">
        <v>2306</v>
      </c>
      <c r="L1453" s="37" t="s">
        <v>64</v>
      </c>
      <c r="M1453"/>
      <c r="N1453"/>
    </row>
    <row r="1454" spans="1:14">
      <c r="A1454" s="39"/>
      <c r="B1454" s="37" t="s">
        <v>8240</v>
      </c>
      <c r="C1454" s="37"/>
      <c r="D1454" s="37" t="s">
        <v>303</v>
      </c>
      <c r="E1454" s="37" t="s">
        <v>8241</v>
      </c>
      <c r="F1454" s="37" t="s">
        <v>8242</v>
      </c>
      <c r="G1454" s="37" t="s">
        <v>8243</v>
      </c>
      <c r="H1454" s="37"/>
      <c r="I1454" s="37" t="s">
        <v>7746</v>
      </c>
      <c r="J1454" s="37" t="s">
        <v>425</v>
      </c>
      <c r="K1454" s="40" t="s">
        <v>8244</v>
      </c>
      <c r="L1454" s="37" t="s">
        <v>64</v>
      </c>
      <c r="M1454"/>
      <c r="N1454"/>
    </row>
    <row r="1455" spans="1:14">
      <c r="A1455" s="39"/>
      <c r="B1455" s="37" t="s">
        <v>8245</v>
      </c>
      <c r="C1455" s="37" t="s">
        <v>8246</v>
      </c>
      <c r="D1455" s="37" t="s">
        <v>8247</v>
      </c>
      <c r="E1455" s="37" t="s">
        <v>8248</v>
      </c>
      <c r="F1455" s="37" t="s">
        <v>8249</v>
      </c>
      <c r="G1455" s="37" t="s">
        <v>8250</v>
      </c>
      <c r="H1455" s="37"/>
      <c r="I1455" s="37" t="s">
        <v>8251</v>
      </c>
      <c r="J1455" s="37" t="s">
        <v>1851</v>
      </c>
      <c r="K1455" s="40" t="s">
        <v>8252</v>
      </c>
      <c r="L1455" s="37" t="s">
        <v>64</v>
      </c>
      <c r="M1455"/>
      <c r="N1455"/>
    </row>
    <row r="1456" spans="1:14">
      <c r="A1456" s="39"/>
      <c r="B1456" s="37" t="s">
        <v>8253</v>
      </c>
      <c r="C1456" s="37" t="s">
        <v>8254</v>
      </c>
      <c r="D1456" s="37" t="s">
        <v>955</v>
      </c>
      <c r="E1456" s="37" t="s">
        <v>2442</v>
      </c>
      <c r="F1456" s="37" t="s">
        <v>8255</v>
      </c>
      <c r="G1456" s="37" t="s">
        <v>8256</v>
      </c>
      <c r="H1456" s="37"/>
      <c r="I1456" s="37" t="s">
        <v>416</v>
      </c>
      <c r="J1456" s="37" t="s">
        <v>75</v>
      </c>
      <c r="K1456" s="40" t="s">
        <v>1816</v>
      </c>
      <c r="L1456" s="37" t="s">
        <v>64</v>
      </c>
      <c r="M1456"/>
      <c r="N1456"/>
    </row>
    <row r="1457" spans="1:14">
      <c r="A1457" s="39"/>
      <c r="B1457" s="37" t="s">
        <v>8257</v>
      </c>
      <c r="C1457" s="37" t="s">
        <v>8258</v>
      </c>
      <c r="D1457" s="37" t="s">
        <v>6554</v>
      </c>
      <c r="E1457" s="37" t="s">
        <v>8259</v>
      </c>
      <c r="F1457" s="37" t="s">
        <v>8260</v>
      </c>
      <c r="G1457" s="37" t="s">
        <v>8261</v>
      </c>
      <c r="H1457" s="37"/>
      <c r="I1457" s="37" t="s">
        <v>416</v>
      </c>
      <c r="J1457" s="37" t="s">
        <v>75</v>
      </c>
      <c r="K1457" s="40" t="s">
        <v>1816</v>
      </c>
      <c r="L1457" s="37" t="s">
        <v>64</v>
      </c>
      <c r="M1457"/>
      <c r="N1457"/>
    </row>
    <row r="1458" spans="1:14">
      <c r="A1458" s="39"/>
      <c r="B1458" s="37" t="s">
        <v>8262</v>
      </c>
      <c r="C1458" s="37" t="s">
        <v>8263</v>
      </c>
      <c r="D1458" s="37" t="s">
        <v>8264</v>
      </c>
      <c r="E1458" s="37" t="s">
        <v>8265</v>
      </c>
      <c r="F1458" s="37" t="s">
        <v>8266</v>
      </c>
      <c r="G1458" s="37" t="s">
        <v>8267</v>
      </c>
      <c r="H1458" s="37" t="s">
        <v>4917</v>
      </c>
      <c r="I1458" s="37" t="s">
        <v>843</v>
      </c>
      <c r="J1458" s="37" t="s">
        <v>75</v>
      </c>
      <c r="K1458" s="40" t="s">
        <v>8268</v>
      </c>
      <c r="L1458" s="37" t="s">
        <v>64</v>
      </c>
      <c r="M1458"/>
      <c r="N1458"/>
    </row>
    <row r="1459" spans="1:14">
      <c r="A1459" s="39"/>
      <c r="B1459" s="37" t="s">
        <v>8269</v>
      </c>
      <c r="C1459" s="37" t="s">
        <v>8270</v>
      </c>
      <c r="D1459" s="37" t="s">
        <v>8271</v>
      </c>
      <c r="E1459" s="37" t="s">
        <v>8272</v>
      </c>
      <c r="F1459" s="37" t="s">
        <v>8273</v>
      </c>
      <c r="G1459" s="37" t="s">
        <v>8274</v>
      </c>
      <c r="H1459" s="37"/>
      <c r="I1459" s="37" t="s">
        <v>8275</v>
      </c>
      <c r="J1459" s="37" t="s">
        <v>200</v>
      </c>
      <c r="K1459" s="40" t="s">
        <v>8276</v>
      </c>
      <c r="L1459" s="37" t="s">
        <v>64</v>
      </c>
      <c r="M1459"/>
      <c r="N1459"/>
    </row>
    <row r="1460" spans="1:14">
      <c r="A1460" s="39"/>
      <c r="B1460" s="37" t="s">
        <v>8277</v>
      </c>
      <c r="C1460" s="37" t="s">
        <v>8278</v>
      </c>
      <c r="D1460" s="37" t="s">
        <v>8279</v>
      </c>
      <c r="E1460" s="37" t="s">
        <v>8280</v>
      </c>
      <c r="F1460" s="37" t="s">
        <v>8281</v>
      </c>
      <c r="G1460" s="37" t="s">
        <v>8282</v>
      </c>
      <c r="H1460" s="37"/>
      <c r="I1460" s="37" t="s">
        <v>537</v>
      </c>
      <c r="J1460" s="37" t="s">
        <v>425</v>
      </c>
      <c r="K1460" s="40" t="s">
        <v>8283</v>
      </c>
      <c r="L1460" s="37" t="s">
        <v>64</v>
      </c>
      <c r="M1460"/>
      <c r="N1460"/>
    </row>
    <row r="1461" spans="1:14">
      <c r="A1461" s="39"/>
      <c r="B1461" s="37" t="s">
        <v>8284</v>
      </c>
      <c r="C1461" s="37" t="s">
        <v>8285</v>
      </c>
      <c r="D1461" s="37" t="s">
        <v>412</v>
      </c>
      <c r="E1461" s="37" t="s">
        <v>8286</v>
      </c>
      <c r="F1461" s="37" t="s">
        <v>8287</v>
      </c>
      <c r="G1461" s="37" t="s">
        <v>8288</v>
      </c>
      <c r="H1461" s="37"/>
      <c r="I1461" s="37" t="s">
        <v>8289</v>
      </c>
      <c r="J1461" s="37" t="s">
        <v>70</v>
      </c>
      <c r="K1461" s="40" t="s">
        <v>8290</v>
      </c>
      <c r="L1461" s="37" t="s">
        <v>64</v>
      </c>
      <c r="M1461"/>
      <c r="N1461"/>
    </row>
    <row r="1462" spans="1:14">
      <c r="A1462" s="39"/>
      <c r="B1462" s="37" t="s">
        <v>8291</v>
      </c>
      <c r="C1462" s="37" t="s">
        <v>7085</v>
      </c>
      <c r="D1462" s="37" t="s">
        <v>8292</v>
      </c>
      <c r="E1462" s="37" t="s">
        <v>8293</v>
      </c>
      <c r="F1462" s="37" t="s">
        <v>8294</v>
      </c>
      <c r="G1462" s="37" t="s">
        <v>8295</v>
      </c>
      <c r="H1462" s="37"/>
      <c r="I1462" s="37" t="s">
        <v>8296</v>
      </c>
      <c r="J1462" s="37"/>
      <c r="K1462" s="40" t="s">
        <v>8297</v>
      </c>
      <c r="L1462" s="37" t="s">
        <v>2485</v>
      </c>
      <c r="M1462"/>
      <c r="N1462"/>
    </row>
    <row r="1463" spans="1:14">
      <c r="A1463" s="39"/>
      <c r="B1463" s="37" t="s">
        <v>8298</v>
      </c>
      <c r="C1463" s="37" t="s">
        <v>8299</v>
      </c>
      <c r="D1463" s="37" t="s">
        <v>539</v>
      </c>
      <c r="E1463" s="37" t="s">
        <v>8300</v>
      </c>
      <c r="F1463" s="37" t="s">
        <v>8301</v>
      </c>
      <c r="G1463" s="37" t="s">
        <v>8302</v>
      </c>
      <c r="H1463" s="37"/>
      <c r="I1463" s="37" t="s">
        <v>8303</v>
      </c>
      <c r="J1463" s="37" t="s">
        <v>474</v>
      </c>
      <c r="K1463" s="40" t="s">
        <v>8304</v>
      </c>
      <c r="L1463" s="37" t="s">
        <v>64</v>
      </c>
      <c r="M1463"/>
      <c r="N1463"/>
    </row>
    <row r="1464" spans="1:14">
      <c r="A1464" s="39"/>
      <c r="B1464" s="37" t="s">
        <v>8305</v>
      </c>
      <c r="C1464" s="37" t="s">
        <v>8306</v>
      </c>
      <c r="D1464" s="37" t="s">
        <v>1223</v>
      </c>
      <c r="E1464" s="37" t="s">
        <v>8307</v>
      </c>
      <c r="F1464" s="37" t="s">
        <v>8308</v>
      </c>
      <c r="G1464" s="37" t="s">
        <v>8309</v>
      </c>
      <c r="H1464" s="37"/>
      <c r="I1464" s="37" t="s">
        <v>8310</v>
      </c>
      <c r="J1464" s="37" t="s">
        <v>121</v>
      </c>
      <c r="K1464" s="40" t="s">
        <v>8311</v>
      </c>
      <c r="L1464" s="37" t="s">
        <v>64</v>
      </c>
      <c r="M1464"/>
      <c r="N1464"/>
    </row>
    <row r="1465" spans="1:14">
      <c r="A1465" s="39"/>
      <c r="B1465" s="37" t="s">
        <v>8305</v>
      </c>
      <c r="C1465" s="37"/>
      <c r="D1465" s="37" t="s">
        <v>8312</v>
      </c>
      <c r="E1465" s="37" t="s">
        <v>8313</v>
      </c>
      <c r="F1465" s="37" t="s">
        <v>8314</v>
      </c>
      <c r="G1465" s="37" t="s">
        <v>8315</v>
      </c>
      <c r="H1465" s="37"/>
      <c r="I1465" s="37" t="s">
        <v>120</v>
      </c>
      <c r="J1465" s="37" t="s">
        <v>121</v>
      </c>
      <c r="K1465" s="40" t="s">
        <v>6928</v>
      </c>
      <c r="L1465" s="37" t="s">
        <v>64</v>
      </c>
      <c r="M1465"/>
      <c r="N1465"/>
    </row>
    <row r="1466" spans="1:14">
      <c r="A1466" s="39"/>
      <c r="B1466" s="37" t="s">
        <v>8316</v>
      </c>
      <c r="C1466" s="37" t="s">
        <v>6792</v>
      </c>
      <c r="D1466" s="37" t="s">
        <v>101</v>
      </c>
      <c r="E1466" s="37" t="s">
        <v>2081</v>
      </c>
      <c r="F1466" s="38" t="s">
        <v>5739</v>
      </c>
      <c r="G1466" s="37" t="s">
        <v>8317</v>
      </c>
      <c r="H1466" s="37"/>
      <c r="I1466" s="37" t="s">
        <v>342</v>
      </c>
      <c r="J1466" s="37" t="s">
        <v>256</v>
      </c>
      <c r="K1466" s="40" t="s">
        <v>8318</v>
      </c>
      <c r="L1466" s="37" t="s">
        <v>64</v>
      </c>
      <c r="M1466"/>
      <c r="N1466"/>
    </row>
    <row r="1467" spans="1:14">
      <c r="A1467" s="39"/>
      <c r="B1467" s="37" t="s">
        <v>8319</v>
      </c>
      <c r="C1467" s="37" t="s">
        <v>8320</v>
      </c>
      <c r="D1467" s="37" t="s">
        <v>444</v>
      </c>
      <c r="E1467" s="37" t="s">
        <v>2372</v>
      </c>
      <c r="F1467" s="37" t="s">
        <v>8321</v>
      </c>
      <c r="G1467" s="37" t="s">
        <v>8322</v>
      </c>
      <c r="H1467" s="37" t="s">
        <v>1074</v>
      </c>
      <c r="I1467" s="37" t="s">
        <v>82</v>
      </c>
      <c r="J1467" s="37" t="s">
        <v>83</v>
      </c>
      <c r="K1467" s="40" t="s">
        <v>8323</v>
      </c>
      <c r="L1467" s="37" t="s">
        <v>64</v>
      </c>
      <c r="M1467"/>
      <c r="N1467"/>
    </row>
    <row r="1468" spans="1:14">
      <c r="A1468" s="39"/>
      <c r="B1468" s="37" t="s">
        <v>8324</v>
      </c>
      <c r="C1468" s="37" t="s">
        <v>8325</v>
      </c>
      <c r="D1468" s="37" t="s">
        <v>8326</v>
      </c>
      <c r="E1468" s="37" t="s">
        <v>8327</v>
      </c>
      <c r="F1468" s="37" t="s">
        <v>8328</v>
      </c>
      <c r="G1468" s="37" t="s">
        <v>8329</v>
      </c>
      <c r="H1468" s="37"/>
      <c r="I1468" s="37" t="s">
        <v>2591</v>
      </c>
      <c r="J1468" s="37" t="s">
        <v>75</v>
      </c>
      <c r="K1468" s="40" t="s">
        <v>2592</v>
      </c>
      <c r="L1468" s="37" t="s">
        <v>64</v>
      </c>
      <c r="M1468"/>
      <c r="N1468"/>
    </row>
    <row r="1469" spans="1:14">
      <c r="A1469" s="39"/>
      <c r="B1469" s="37" t="s">
        <v>8330</v>
      </c>
      <c r="C1469" s="37"/>
      <c r="D1469" s="37" t="s">
        <v>124</v>
      </c>
      <c r="E1469" s="37" t="s">
        <v>8331</v>
      </c>
      <c r="F1469" s="37" t="s">
        <v>8332</v>
      </c>
      <c r="G1469" s="37" t="s">
        <v>8333</v>
      </c>
      <c r="H1469" s="37"/>
      <c r="I1469" s="37" t="s">
        <v>8334</v>
      </c>
      <c r="J1469" s="37" t="s">
        <v>983</v>
      </c>
      <c r="K1469" s="40" t="s">
        <v>8335</v>
      </c>
      <c r="L1469" s="37" t="s">
        <v>64</v>
      </c>
      <c r="M1469"/>
      <c r="N1469"/>
    </row>
    <row r="1470" spans="1:14">
      <c r="A1470" s="39"/>
      <c r="B1470" s="37" t="s">
        <v>8336</v>
      </c>
      <c r="C1470" s="37" t="s">
        <v>8337</v>
      </c>
      <c r="D1470" s="37" t="s">
        <v>2113</v>
      </c>
      <c r="E1470" s="37" t="s">
        <v>8338</v>
      </c>
      <c r="F1470" s="37" t="s">
        <v>8339</v>
      </c>
      <c r="G1470" s="37" t="s">
        <v>8340</v>
      </c>
      <c r="H1470" s="37"/>
      <c r="I1470" s="37" t="s">
        <v>8341</v>
      </c>
      <c r="J1470" s="37" t="s">
        <v>200</v>
      </c>
      <c r="K1470" s="40" t="s">
        <v>8342</v>
      </c>
      <c r="L1470" s="37" t="s">
        <v>64</v>
      </c>
      <c r="M1470"/>
      <c r="N1470"/>
    </row>
    <row r="1471" spans="1:14">
      <c r="A1471" s="39"/>
      <c r="B1471" s="37" t="s">
        <v>8343</v>
      </c>
      <c r="C1471" s="37" t="s">
        <v>8344</v>
      </c>
      <c r="D1471" s="37" t="s">
        <v>1573</v>
      </c>
      <c r="E1471" s="37" t="s">
        <v>8345</v>
      </c>
      <c r="F1471" s="37" t="s">
        <v>8346</v>
      </c>
      <c r="G1471" s="37" t="s">
        <v>8347</v>
      </c>
      <c r="H1471" s="37" t="s">
        <v>8348</v>
      </c>
      <c r="I1471" s="37" t="s">
        <v>6605</v>
      </c>
      <c r="J1471" s="37" t="s">
        <v>1143</v>
      </c>
      <c r="K1471" s="40" t="s">
        <v>8349</v>
      </c>
      <c r="L1471" s="37" t="s">
        <v>64</v>
      </c>
      <c r="M1471"/>
      <c r="N1471"/>
    </row>
    <row r="1472" spans="1:14">
      <c r="A1472" s="39"/>
      <c r="B1472" s="37" t="s">
        <v>8343</v>
      </c>
      <c r="C1472" s="37" t="s">
        <v>8350</v>
      </c>
      <c r="D1472" s="37" t="s">
        <v>8351</v>
      </c>
      <c r="E1472" s="37" t="s">
        <v>8352</v>
      </c>
      <c r="F1472" s="37" t="s">
        <v>8353</v>
      </c>
      <c r="G1472" s="37" t="s">
        <v>8347</v>
      </c>
      <c r="H1472" s="37" t="s">
        <v>8348</v>
      </c>
      <c r="I1472" s="37" t="s">
        <v>6605</v>
      </c>
      <c r="J1472" s="37" t="s">
        <v>1143</v>
      </c>
      <c r="K1472" s="40" t="s">
        <v>8349</v>
      </c>
      <c r="L1472" s="37" t="s">
        <v>64</v>
      </c>
      <c r="M1472"/>
      <c r="N1472"/>
    </row>
    <row r="1473" spans="1:14">
      <c r="A1473" s="39"/>
      <c r="B1473" s="37" t="s">
        <v>8354</v>
      </c>
      <c r="C1473" s="37" t="s">
        <v>8355</v>
      </c>
      <c r="D1473" s="37" t="s">
        <v>844</v>
      </c>
      <c r="E1473" s="37" t="s">
        <v>8356</v>
      </c>
      <c r="F1473" s="37" t="s">
        <v>8357</v>
      </c>
      <c r="G1473" s="37" t="s">
        <v>8358</v>
      </c>
      <c r="H1473" s="37"/>
      <c r="I1473" s="37" t="s">
        <v>8359</v>
      </c>
      <c r="J1473" s="37" t="s">
        <v>425</v>
      </c>
      <c r="K1473" s="40" t="s">
        <v>8360</v>
      </c>
      <c r="L1473" s="37" t="s">
        <v>64</v>
      </c>
      <c r="M1473"/>
      <c r="N1473"/>
    </row>
    <row r="1474" spans="1:14">
      <c r="A1474" s="39"/>
      <c r="B1474" s="37" t="s">
        <v>8361</v>
      </c>
      <c r="C1474" s="37" t="s">
        <v>8362</v>
      </c>
      <c r="D1474" s="37" t="s">
        <v>2757</v>
      </c>
      <c r="E1474" s="37" t="s">
        <v>8363</v>
      </c>
      <c r="F1474" s="37" t="s">
        <v>8364</v>
      </c>
      <c r="G1474" s="37" t="s">
        <v>8365</v>
      </c>
      <c r="H1474" s="37" t="s">
        <v>8366</v>
      </c>
      <c r="I1474" s="37" t="s">
        <v>420</v>
      </c>
      <c r="J1474" s="37" t="s">
        <v>75</v>
      </c>
      <c r="K1474" s="40" t="s">
        <v>451</v>
      </c>
      <c r="L1474" s="37" t="s">
        <v>64</v>
      </c>
      <c r="M1474"/>
      <c r="N1474"/>
    </row>
    <row r="1475" spans="1:14">
      <c r="A1475" s="39"/>
      <c r="B1475" s="37" t="s">
        <v>8367</v>
      </c>
      <c r="C1475" s="37" t="s">
        <v>8368</v>
      </c>
      <c r="D1475" s="37" t="s">
        <v>3172</v>
      </c>
      <c r="E1475" s="37" t="s">
        <v>6518</v>
      </c>
      <c r="F1475" s="37" t="s">
        <v>8369</v>
      </c>
      <c r="G1475" s="37" t="s">
        <v>8370</v>
      </c>
      <c r="H1475" s="37"/>
      <c r="I1475" s="37" t="s">
        <v>8371</v>
      </c>
      <c r="J1475" s="37" t="s">
        <v>200</v>
      </c>
      <c r="K1475" s="40" t="s">
        <v>8372</v>
      </c>
      <c r="L1475" s="37" t="s">
        <v>64</v>
      </c>
      <c r="M1475"/>
      <c r="N1475"/>
    </row>
    <row r="1476" spans="1:14">
      <c r="A1476" s="39"/>
      <c r="B1476" s="37" t="s">
        <v>8373</v>
      </c>
      <c r="C1476" s="37" t="s">
        <v>8374</v>
      </c>
      <c r="D1476" s="37" t="s">
        <v>471</v>
      </c>
      <c r="E1476" s="37" t="s">
        <v>8375</v>
      </c>
      <c r="F1476" s="37" t="s">
        <v>8376</v>
      </c>
      <c r="G1476" s="37" t="s">
        <v>8377</v>
      </c>
      <c r="H1476" s="37" t="s">
        <v>982</v>
      </c>
      <c r="I1476" s="37" t="s">
        <v>7162</v>
      </c>
      <c r="J1476" s="37" t="s">
        <v>121</v>
      </c>
      <c r="K1476" s="40" t="s">
        <v>6951</v>
      </c>
      <c r="L1476" s="37" t="s">
        <v>64</v>
      </c>
      <c r="M1476"/>
      <c r="N1476"/>
    </row>
    <row r="1477" spans="1:14">
      <c r="A1477" s="39"/>
      <c r="B1477" s="37" t="s">
        <v>8378</v>
      </c>
      <c r="C1477" s="37" t="s">
        <v>8379</v>
      </c>
      <c r="D1477" s="37" t="s">
        <v>8380</v>
      </c>
      <c r="E1477" s="37" t="s">
        <v>1389</v>
      </c>
      <c r="F1477" s="37"/>
      <c r="G1477" s="37" t="s">
        <v>8381</v>
      </c>
      <c r="H1477" s="37"/>
      <c r="I1477" s="37" t="s">
        <v>8382</v>
      </c>
      <c r="J1477" s="37"/>
      <c r="K1477" s="40" t="s">
        <v>8383</v>
      </c>
      <c r="L1477" s="37" t="s">
        <v>8384</v>
      </c>
      <c r="M1477"/>
      <c r="N1477"/>
    </row>
    <row r="1478" spans="1:14">
      <c r="A1478" s="39"/>
      <c r="B1478" s="37" t="s">
        <v>8385</v>
      </c>
      <c r="C1478" s="37" t="s">
        <v>6804</v>
      </c>
      <c r="D1478" s="37" t="s">
        <v>1080</v>
      </c>
      <c r="E1478" s="37" t="s">
        <v>6646</v>
      </c>
      <c r="F1478" s="37" t="s">
        <v>8386</v>
      </c>
      <c r="G1478" s="37" t="s">
        <v>8387</v>
      </c>
      <c r="H1478" s="37" t="s">
        <v>8388</v>
      </c>
      <c r="I1478" s="37" t="s">
        <v>297</v>
      </c>
      <c r="J1478" s="37" t="s">
        <v>75</v>
      </c>
      <c r="K1478" s="40" t="s">
        <v>8389</v>
      </c>
      <c r="L1478" s="37" t="s">
        <v>64</v>
      </c>
      <c r="M1478"/>
      <c r="N1478"/>
    </row>
    <row r="1479" spans="1:14">
      <c r="A1479" s="39"/>
      <c r="B1479" s="37" t="s">
        <v>8390</v>
      </c>
      <c r="C1479" s="37" t="s">
        <v>8391</v>
      </c>
      <c r="D1479" s="37" t="s">
        <v>8392</v>
      </c>
      <c r="E1479" s="37" t="s">
        <v>8393</v>
      </c>
      <c r="F1479" s="37" t="s">
        <v>8394</v>
      </c>
      <c r="G1479" s="37" t="s">
        <v>8395</v>
      </c>
      <c r="H1479" s="37"/>
      <c r="I1479" s="37" t="s">
        <v>8396</v>
      </c>
      <c r="J1479" s="37" t="s">
        <v>324</v>
      </c>
      <c r="K1479" s="40" t="s">
        <v>8397</v>
      </c>
      <c r="L1479" s="37" t="s">
        <v>64</v>
      </c>
      <c r="M1479"/>
      <c r="N1479"/>
    </row>
    <row r="1480" spans="1:14">
      <c r="A1480" s="39"/>
      <c r="B1480" s="37" t="s">
        <v>8398</v>
      </c>
      <c r="C1480" s="37" t="s">
        <v>8399</v>
      </c>
      <c r="D1480" s="37" t="s">
        <v>5119</v>
      </c>
      <c r="E1480" s="37" t="s">
        <v>3525</v>
      </c>
      <c r="F1480" s="37" t="s">
        <v>8400</v>
      </c>
      <c r="G1480" s="37" t="s">
        <v>8401</v>
      </c>
      <c r="H1480" s="37" t="s">
        <v>8402</v>
      </c>
      <c r="I1480" s="37" t="s">
        <v>3074</v>
      </c>
      <c r="J1480" s="37" t="s">
        <v>425</v>
      </c>
      <c r="K1480" s="40" t="s">
        <v>8403</v>
      </c>
      <c r="L1480" s="37" t="s">
        <v>64</v>
      </c>
      <c r="M1480"/>
      <c r="N1480"/>
    </row>
    <row r="1481" spans="1:14">
      <c r="A1481" s="39"/>
      <c r="B1481" s="37" t="s">
        <v>8398</v>
      </c>
      <c r="C1481" s="37" t="s">
        <v>8404</v>
      </c>
      <c r="D1481" s="37" t="s">
        <v>854</v>
      </c>
      <c r="E1481" s="37" t="s">
        <v>8405</v>
      </c>
      <c r="F1481" s="37" t="s">
        <v>8406</v>
      </c>
      <c r="G1481" s="37" t="s">
        <v>8401</v>
      </c>
      <c r="H1481" s="37" t="s">
        <v>8402</v>
      </c>
      <c r="I1481" s="37" t="s">
        <v>3074</v>
      </c>
      <c r="J1481" s="37" t="s">
        <v>425</v>
      </c>
      <c r="K1481" s="40" t="s">
        <v>8403</v>
      </c>
      <c r="L1481" s="37" t="s">
        <v>64</v>
      </c>
      <c r="M1481"/>
      <c r="N1481"/>
    </row>
    <row r="1482" spans="1:14">
      <c r="A1482" s="39"/>
      <c r="B1482" s="37" t="s">
        <v>8407</v>
      </c>
      <c r="C1482" s="37" t="s">
        <v>8408</v>
      </c>
      <c r="D1482" s="37" t="s">
        <v>7262</v>
      </c>
      <c r="E1482" s="37" t="s">
        <v>8409</v>
      </c>
      <c r="F1482" s="37" t="s">
        <v>8410</v>
      </c>
      <c r="G1482" s="37" t="s">
        <v>8401</v>
      </c>
      <c r="H1482" s="37" t="s">
        <v>8402</v>
      </c>
      <c r="I1482" s="37" t="s">
        <v>3074</v>
      </c>
      <c r="J1482" s="37" t="s">
        <v>425</v>
      </c>
      <c r="K1482" s="40" t="s">
        <v>8403</v>
      </c>
      <c r="L1482" s="37" t="s">
        <v>64</v>
      </c>
      <c r="M1482"/>
      <c r="N1482"/>
    </row>
    <row r="1483" spans="1:14">
      <c r="A1483" s="39"/>
      <c r="B1483" s="37" t="s">
        <v>8411</v>
      </c>
      <c r="C1483" s="37" t="s">
        <v>8119</v>
      </c>
      <c r="D1483" s="37" t="s">
        <v>2885</v>
      </c>
      <c r="E1483" s="37" t="s">
        <v>8412</v>
      </c>
      <c r="F1483" s="37" t="s">
        <v>8413</v>
      </c>
      <c r="G1483" s="37" t="s">
        <v>8414</v>
      </c>
      <c r="H1483" s="37"/>
      <c r="I1483" s="37" t="s">
        <v>8415</v>
      </c>
      <c r="J1483" s="37" t="s">
        <v>196</v>
      </c>
      <c r="K1483" s="40"/>
      <c r="L1483" s="37" t="s">
        <v>64</v>
      </c>
      <c r="M1483"/>
      <c r="N1483"/>
    </row>
    <row r="1484" spans="1:14">
      <c r="A1484" s="39"/>
      <c r="B1484" s="37" t="s">
        <v>8416</v>
      </c>
      <c r="C1484" s="37"/>
      <c r="D1484" s="37" t="s">
        <v>3236</v>
      </c>
      <c r="E1484" s="37" t="s">
        <v>2957</v>
      </c>
      <c r="F1484" s="37" t="s">
        <v>8417</v>
      </c>
      <c r="G1484" s="37" t="s">
        <v>8418</v>
      </c>
      <c r="H1484" s="37"/>
      <c r="I1484" s="37" t="s">
        <v>8419</v>
      </c>
      <c r="J1484" s="37" t="s">
        <v>105</v>
      </c>
      <c r="K1484" s="40" t="s">
        <v>1606</v>
      </c>
      <c r="L1484" s="37" t="s">
        <v>64</v>
      </c>
      <c r="M1484"/>
      <c r="N1484"/>
    </row>
    <row r="1485" spans="1:14">
      <c r="A1485" s="39"/>
      <c r="B1485" s="37" t="s">
        <v>8420</v>
      </c>
      <c r="C1485" s="37" t="s">
        <v>8421</v>
      </c>
      <c r="D1485" s="37" t="s">
        <v>428</v>
      </c>
      <c r="E1485" s="37" t="s">
        <v>8422</v>
      </c>
      <c r="F1485" s="37" t="s">
        <v>8423</v>
      </c>
      <c r="G1485" s="37" t="s">
        <v>8424</v>
      </c>
      <c r="H1485" s="37" t="s">
        <v>8425</v>
      </c>
      <c r="I1485" s="37" t="s">
        <v>8419</v>
      </c>
      <c r="J1485" s="37" t="s">
        <v>105</v>
      </c>
      <c r="K1485" s="40" t="s">
        <v>1606</v>
      </c>
      <c r="L1485" s="37" t="s">
        <v>64</v>
      </c>
      <c r="M1485"/>
      <c r="N1485"/>
    </row>
    <row r="1486" spans="1:14">
      <c r="A1486" s="39"/>
      <c r="B1486" s="37" t="s">
        <v>8426</v>
      </c>
      <c r="C1486" s="37"/>
      <c r="D1486" s="37" t="s">
        <v>1157</v>
      </c>
      <c r="E1486" s="37" t="s">
        <v>8427</v>
      </c>
      <c r="F1486" s="37" t="s">
        <v>8428</v>
      </c>
      <c r="G1486" s="37" t="s">
        <v>8429</v>
      </c>
      <c r="H1486" s="37"/>
      <c r="I1486" s="37" t="s">
        <v>8430</v>
      </c>
      <c r="J1486" s="37" t="s">
        <v>63</v>
      </c>
      <c r="K1486" s="40" t="s">
        <v>8431</v>
      </c>
      <c r="L1486" s="37" t="s">
        <v>64</v>
      </c>
      <c r="M1486"/>
      <c r="N1486"/>
    </row>
    <row r="1487" spans="1:14">
      <c r="A1487" s="39"/>
      <c r="B1487" s="37" t="s">
        <v>8426</v>
      </c>
      <c r="C1487" s="37"/>
      <c r="D1487" s="37" t="s">
        <v>1120</v>
      </c>
      <c r="E1487" s="37" t="s">
        <v>8432</v>
      </c>
      <c r="F1487" s="37" t="s">
        <v>8433</v>
      </c>
      <c r="G1487" s="37" t="s">
        <v>8434</v>
      </c>
      <c r="H1487" s="37"/>
      <c r="I1487" s="37" t="s">
        <v>8430</v>
      </c>
      <c r="J1487" s="37" t="s">
        <v>63</v>
      </c>
      <c r="K1487" s="40" t="s">
        <v>8431</v>
      </c>
      <c r="L1487" s="37" t="s">
        <v>64</v>
      </c>
      <c r="M1487"/>
      <c r="N1487"/>
    </row>
    <row r="1488" spans="1:14">
      <c r="A1488" s="39"/>
      <c r="B1488" s="37" t="s">
        <v>8435</v>
      </c>
      <c r="C1488" s="37" t="s">
        <v>8436</v>
      </c>
      <c r="D1488" s="37" t="s">
        <v>303</v>
      </c>
      <c r="E1488" s="37" t="s">
        <v>3135</v>
      </c>
      <c r="F1488" s="37" t="s">
        <v>8437</v>
      </c>
      <c r="G1488" s="37" t="s">
        <v>8438</v>
      </c>
      <c r="H1488" s="37"/>
      <c r="I1488" s="37" t="s">
        <v>416</v>
      </c>
      <c r="J1488" s="37" t="s">
        <v>75</v>
      </c>
      <c r="K1488" s="40" t="s">
        <v>8439</v>
      </c>
      <c r="L1488" s="37" t="s">
        <v>64</v>
      </c>
      <c r="M1488"/>
      <c r="N1488"/>
    </row>
    <row r="1489" spans="1:14">
      <c r="A1489" s="39"/>
      <c r="B1489" s="37" t="s">
        <v>8440</v>
      </c>
      <c r="C1489" s="37" t="s">
        <v>8441</v>
      </c>
      <c r="D1489" s="37" t="s">
        <v>2763</v>
      </c>
      <c r="E1489" s="37" t="s">
        <v>8442</v>
      </c>
      <c r="F1489" s="37" t="s">
        <v>8443</v>
      </c>
      <c r="G1489" s="37" t="s">
        <v>8444</v>
      </c>
      <c r="H1489" s="37" t="s">
        <v>8445</v>
      </c>
      <c r="I1489" s="37" t="s">
        <v>139</v>
      </c>
      <c r="J1489" s="37" t="s">
        <v>121</v>
      </c>
      <c r="K1489" s="40" t="s">
        <v>3102</v>
      </c>
      <c r="L1489" s="37" t="s">
        <v>64</v>
      </c>
      <c r="M1489"/>
      <c r="N1489"/>
    </row>
    <row r="1490" spans="1:14">
      <c r="A1490" s="39"/>
      <c r="B1490" s="37" t="s">
        <v>8440</v>
      </c>
      <c r="C1490" s="37"/>
      <c r="D1490" s="37" t="s">
        <v>974</v>
      </c>
      <c r="E1490" s="37" t="s">
        <v>1389</v>
      </c>
      <c r="F1490" s="38" t="s">
        <v>5739</v>
      </c>
      <c r="G1490" s="37" t="s">
        <v>8444</v>
      </c>
      <c r="H1490" s="37" t="s">
        <v>8445</v>
      </c>
      <c r="I1490" s="37" t="s">
        <v>139</v>
      </c>
      <c r="J1490" s="37" t="s">
        <v>121</v>
      </c>
      <c r="K1490" s="40" t="s">
        <v>3102</v>
      </c>
      <c r="L1490" s="37" t="s">
        <v>64</v>
      </c>
      <c r="M1490"/>
      <c r="N1490"/>
    </row>
    <row r="1491" spans="1:14">
      <c r="A1491" s="39"/>
      <c r="B1491" s="37" t="s">
        <v>8446</v>
      </c>
      <c r="C1491" s="37" t="s">
        <v>8447</v>
      </c>
      <c r="D1491" s="37" t="s">
        <v>272</v>
      </c>
      <c r="E1491" s="37" t="s">
        <v>8448</v>
      </c>
      <c r="F1491" s="37" t="s">
        <v>8449</v>
      </c>
      <c r="G1491" s="37" t="s">
        <v>8450</v>
      </c>
      <c r="H1491" s="37" t="s">
        <v>8451</v>
      </c>
      <c r="I1491" s="37" t="s">
        <v>5261</v>
      </c>
      <c r="J1491" s="37" t="s">
        <v>121</v>
      </c>
      <c r="K1491" s="40" t="s">
        <v>7185</v>
      </c>
      <c r="L1491" s="37" t="s">
        <v>64</v>
      </c>
      <c r="M1491"/>
      <c r="N1491"/>
    </row>
    <row r="1492" spans="1:14">
      <c r="A1492" s="39"/>
      <c r="B1492" s="37" t="s">
        <v>8446</v>
      </c>
      <c r="C1492" s="37" t="s">
        <v>6877</v>
      </c>
      <c r="D1492" s="37" t="s">
        <v>2701</v>
      </c>
      <c r="E1492" s="37" t="s">
        <v>8452</v>
      </c>
      <c r="F1492" s="37" t="s">
        <v>8453</v>
      </c>
      <c r="G1492" s="37" t="s">
        <v>8450</v>
      </c>
      <c r="H1492" s="37" t="s">
        <v>8451</v>
      </c>
      <c r="I1492" s="37" t="s">
        <v>5261</v>
      </c>
      <c r="J1492" s="37" t="s">
        <v>121</v>
      </c>
      <c r="K1492" s="40" t="s">
        <v>7185</v>
      </c>
      <c r="L1492" s="37" t="s">
        <v>64</v>
      </c>
      <c r="M1492"/>
      <c r="N1492"/>
    </row>
    <row r="1493" spans="1:14">
      <c r="A1493" s="39"/>
      <c r="B1493" s="37" t="s">
        <v>8446</v>
      </c>
      <c r="C1493" s="37" t="s">
        <v>8447</v>
      </c>
      <c r="D1493" s="37" t="s">
        <v>7480</v>
      </c>
      <c r="E1493" s="37" t="s">
        <v>2464</v>
      </c>
      <c r="F1493" s="37" t="s">
        <v>8454</v>
      </c>
      <c r="G1493" s="37" t="s">
        <v>8450</v>
      </c>
      <c r="H1493" s="37" t="s">
        <v>8451</v>
      </c>
      <c r="I1493" s="37" t="s">
        <v>5261</v>
      </c>
      <c r="J1493" s="37" t="s">
        <v>121</v>
      </c>
      <c r="K1493" s="40" t="s">
        <v>7185</v>
      </c>
      <c r="L1493" s="37" t="s">
        <v>64</v>
      </c>
      <c r="M1493"/>
      <c r="N1493"/>
    </row>
    <row r="1494" spans="1:14">
      <c r="A1494" s="39"/>
      <c r="B1494" s="37" t="s">
        <v>8455</v>
      </c>
      <c r="C1494" s="37" t="s">
        <v>8456</v>
      </c>
      <c r="D1494" s="37" t="s">
        <v>8457</v>
      </c>
      <c r="E1494" s="37" t="s">
        <v>8458</v>
      </c>
      <c r="F1494" s="37" t="s">
        <v>8459</v>
      </c>
      <c r="G1494" s="37" t="s">
        <v>8460</v>
      </c>
      <c r="H1494" s="37"/>
      <c r="I1494" s="37" t="s">
        <v>1070</v>
      </c>
      <c r="J1494" s="37" t="s">
        <v>75</v>
      </c>
      <c r="K1494" s="40" t="s">
        <v>8461</v>
      </c>
      <c r="L1494" s="37" t="s">
        <v>64</v>
      </c>
      <c r="M1494"/>
      <c r="N1494"/>
    </row>
    <row r="1495" spans="1:14">
      <c r="A1495" s="39"/>
      <c r="B1495" s="37" t="s">
        <v>8462</v>
      </c>
      <c r="C1495" s="37" t="s">
        <v>8463</v>
      </c>
      <c r="D1495" s="37" t="s">
        <v>527</v>
      </c>
      <c r="E1495" s="37" t="s">
        <v>2638</v>
      </c>
      <c r="F1495" s="37" t="s">
        <v>8464</v>
      </c>
      <c r="G1495" s="37" t="s">
        <v>8460</v>
      </c>
      <c r="H1495" s="37"/>
      <c r="I1495" s="37" t="s">
        <v>1070</v>
      </c>
      <c r="J1495" s="37" t="s">
        <v>75</v>
      </c>
      <c r="K1495" s="40" t="s">
        <v>8461</v>
      </c>
      <c r="L1495" s="37" t="s">
        <v>64</v>
      </c>
      <c r="M1495"/>
      <c r="N1495"/>
    </row>
    <row r="1496" spans="1:14">
      <c r="A1496" s="39"/>
      <c r="B1496" s="37" t="s">
        <v>8465</v>
      </c>
      <c r="C1496" s="37" t="s">
        <v>8466</v>
      </c>
      <c r="D1496" s="37" t="s">
        <v>117</v>
      </c>
      <c r="E1496" s="37" t="s">
        <v>8467</v>
      </c>
      <c r="F1496" s="37" t="s">
        <v>8468</v>
      </c>
      <c r="G1496" s="37" t="s">
        <v>8469</v>
      </c>
      <c r="H1496" s="37"/>
      <c r="I1496" s="37" t="s">
        <v>431</v>
      </c>
      <c r="J1496" s="37" t="s">
        <v>425</v>
      </c>
      <c r="K1496" s="40" t="s">
        <v>8470</v>
      </c>
      <c r="L1496" s="37" t="s">
        <v>64</v>
      </c>
      <c r="M1496"/>
      <c r="N1496"/>
    </row>
    <row r="1497" spans="1:14">
      <c r="A1497" s="39"/>
      <c r="B1497" s="37" t="s">
        <v>8471</v>
      </c>
      <c r="C1497" s="37" t="s">
        <v>8472</v>
      </c>
      <c r="D1497" s="37" t="s">
        <v>308</v>
      </c>
      <c r="E1497" s="37" t="s">
        <v>896</v>
      </c>
      <c r="F1497" s="37" t="s">
        <v>8473</v>
      </c>
      <c r="G1497" s="37" t="s">
        <v>8474</v>
      </c>
      <c r="H1497" s="37"/>
      <c r="I1497" s="37" t="s">
        <v>7162</v>
      </c>
      <c r="J1497" s="37" t="s">
        <v>121</v>
      </c>
      <c r="K1497" s="40" t="s">
        <v>8475</v>
      </c>
      <c r="L1497" s="37" t="s">
        <v>64</v>
      </c>
      <c r="M1497"/>
      <c r="N1497"/>
    </row>
    <row r="1498" spans="1:14">
      <c r="A1498" s="39"/>
      <c r="B1498" s="37" t="s">
        <v>8476</v>
      </c>
      <c r="C1498" s="37" t="s">
        <v>8477</v>
      </c>
      <c r="D1498" s="37" t="s">
        <v>386</v>
      </c>
      <c r="E1498" s="37" t="s">
        <v>8478</v>
      </c>
      <c r="F1498" s="37" t="s">
        <v>8479</v>
      </c>
      <c r="G1498" s="37" t="s">
        <v>8480</v>
      </c>
      <c r="H1498" s="37"/>
      <c r="I1498" s="37" t="s">
        <v>8481</v>
      </c>
      <c r="J1498" s="37" t="s">
        <v>320</v>
      </c>
      <c r="K1498" s="40" t="s">
        <v>8482</v>
      </c>
      <c r="L1498" s="37" t="s">
        <v>64</v>
      </c>
      <c r="M1498"/>
      <c r="N1498"/>
    </row>
    <row r="1499" spans="1:14">
      <c r="A1499" s="39"/>
      <c r="B1499" s="37" t="s">
        <v>8483</v>
      </c>
      <c r="C1499" s="37" t="s">
        <v>8484</v>
      </c>
      <c r="D1499" s="37" t="s">
        <v>2091</v>
      </c>
      <c r="E1499" s="37" t="s">
        <v>8485</v>
      </c>
      <c r="F1499" s="37" t="s">
        <v>8486</v>
      </c>
      <c r="G1499" s="37" t="s">
        <v>8487</v>
      </c>
      <c r="H1499" s="37" t="s">
        <v>1074</v>
      </c>
      <c r="I1499" s="37" t="s">
        <v>8488</v>
      </c>
      <c r="J1499" s="37" t="s">
        <v>153</v>
      </c>
      <c r="K1499" s="40" t="s">
        <v>8489</v>
      </c>
      <c r="L1499" s="37" t="s">
        <v>64</v>
      </c>
      <c r="M1499"/>
      <c r="N1499"/>
    </row>
    <row r="1500" spans="1:14">
      <c r="A1500" s="39"/>
      <c r="B1500" s="37" t="s">
        <v>8490</v>
      </c>
      <c r="C1500" s="37" t="s">
        <v>8491</v>
      </c>
      <c r="D1500" s="37" t="s">
        <v>8492</v>
      </c>
      <c r="E1500" s="37" t="s">
        <v>8493</v>
      </c>
      <c r="F1500" s="37" t="s">
        <v>8494</v>
      </c>
      <c r="G1500" s="37" t="s">
        <v>8495</v>
      </c>
      <c r="H1500" s="37" t="s">
        <v>3116</v>
      </c>
      <c r="I1500" s="37" t="s">
        <v>4997</v>
      </c>
      <c r="J1500" s="37" t="s">
        <v>105</v>
      </c>
      <c r="K1500" s="40" t="s">
        <v>4998</v>
      </c>
      <c r="L1500" s="37" t="s">
        <v>64</v>
      </c>
      <c r="M1500"/>
      <c r="N1500"/>
    </row>
    <row r="1501" spans="1:14">
      <c r="A1501" s="39"/>
      <c r="B1501" s="37" t="s">
        <v>8496</v>
      </c>
      <c r="C1501" s="37"/>
      <c r="D1501" s="37" t="s">
        <v>8497</v>
      </c>
      <c r="E1501" s="37" t="s">
        <v>1751</v>
      </c>
      <c r="F1501" s="37" t="s">
        <v>8498</v>
      </c>
      <c r="G1501" s="37" t="s">
        <v>8499</v>
      </c>
      <c r="H1501" s="37"/>
      <c r="I1501" s="37" t="s">
        <v>8500</v>
      </c>
      <c r="J1501" s="37" t="s">
        <v>200</v>
      </c>
      <c r="K1501" s="40" t="s">
        <v>8501</v>
      </c>
      <c r="L1501" s="37" t="s">
        <v>64</v>
      </c>
      <c r="M1501"/>
      <c r="N1501"/>
    </row>
    <row r="1502" spans="1:14">
      <c r="A1502" s="39"/>
      <c r="B1502" s="37" t="s">
        <v>8502</v>
      </c>
      <c r="C1502" s="37"/>
      <c r="D1502" s="37" t="s">
        <v>8503</v>
      </c>
      <c r="E1502" s="37" t="s">
        <v>8504</v>
      </c>
      <c r="F1502" s="37" t="s">
        <v>8505</v>
      </c>
      <c r="G1502" s="37" t="s">
        <v>8506</v>
      </c>
      <c r="H1502" s="37"/>
      <c r="I1502" s="37" t="s">
        <v>191</v>
      </c>
      <c r="J1502" s="37" t="s">
        <v>121</v>
      </c>
      <c r="K1502" s="40" t="s">
        <v>192</v>
      </c>
      <c r="L1502" s="37" t="s">
        <v>64</v>
      </c>
      <c r="M1502"/>
      <c r="N1502"/>
    </row>
    <row r="1503" spans="1:14">
      <c r="A1503" s="39"/>
      <c r="B1503" s="37" t="s">
        <v>8507</v>
      </c>
      <c r="C1503" s="37" t="s">
        <v>6917</v>
      </c>
      <c r="D1503" s="37" t="s">
        <v>8508</v>
      </c>
      <c r="E1503" s="37" t="s">
        <v>8509</v>
      </c>
      <c r="F1503" s="37" t="s">
        <v>8510</v>
      </c>
      <c r="G1503" s="37" t="s">
        <v>8511</v>
      </c>
      <c r="H1503" s="37"/>
      <c r="I1503" s="37" t="s">
        <v>8512</v>
      </c>
      <c r="J1503" s="37" t="s">
        <v>200</v>
      </c>
      <c r="K1503" s="40" t="s">
        <v>8513</v>
      </c>
      <c r="L1503" s="37" t="s">
        <v>64</v>
      </c>
      <c r="M1503"/>
      <c r="N1503"/>
    </row>
    <row r="1504" spans="1:14">
      <c r="A1504" s="39"/>
      <c r="B1504" s="37" t="s">
        <v>8514</v>
      </c>
      <c r="C1504" s="37" t="s">
        <v>4533</v>
      </c>
      <c r="D1504" s="37" t="s">
        <v>1381</v>
      </c>
      <c r="E1504" s="37" t="s">
        <v>8515</v>
      </c>
      <c r="F1504" s="37" t="s">
        <v>8516</v>
      </c>
      <c r="G1504" s="37" t="s">
        <v>8517</v>
      </c>
      <c r="H1504" s="37"/>
      <c r="I1504" s="37" t="s">
        <v>8518</v>
      </c>
      <c r="J1504" s="37" t="s">
        <v>324</v>
      </c>
      <c r="K1504" s="40" t="s">
        <v>8519</v>
      </c>
      <c r="L1504" s="37" t="s">
        <v>64</v>
      </c>
      <c r="M1504"/>
      <c r="N1504"/>
    </row>
    <row r="1505" spans="1:14">
      <c r="A1505" s="39"/>
      <c r="B1505" s="37" t="s">
        <v>8520</v>
      </c>
      <c r="C1505" s="37" t="s">
        <v>6917</v>
      </c>
      <c r="D1505" s="37" t="s">
        <v>8521</v>
      </c>
      <c r="E1505" s="37" t="s">
        <v>8522</v>
      </c>
      <c r="F1505" s="38" t="s">
        <v>5739</v>
      </c>
      <c r="G1505" s="37" t="s">
        <v>6863</v>
      </c>
      <c r="H1505" s="37" t="s">
        <v>6864</v>
      </c>
      <c r="I1505" s="37" t="s">
        <v>6865</v>
      </c>
      <c r="J1505" s="37" t="s">
        <v>200</v>
      </c>
      <c r="K1505" s="40" t="s">
        <v>6866</v>
      </c>
      <c r="L1505" s="37" t="s">
        <v>64</v>
      </c>
      <c r="M1505"/>
      <c r="N1505"/>
    </row>
    <row r="1506" spans="1:14">
      <c r="A1506" s="39"/>
      <c r="B1506" s="37" t="s">
        <v>8523</v>
      </c>
      <c r="C1506" s="37" t="s">
        <v>6726</v>
      </c>
      <c r="D1506" s="37" t="s">
        <v>940</v>
      </c>
      <c r="E1506" s="37" t="s">
        <v>8524</v>
      </c>
      <c r="F1506" s="37" t="s">
        <v>8525</v>
      </c>
      <c r="G1506" s="37" t="s">
        <v>8526</v>
      </c>
      <c r="H1506" s="37"/>
      <c r="I1506" s="37" t="s">
        <v>8527</v>
      </c>
      <c r="J1506" s="37" t="s">
        <v>114</v>
      </c>
      <c r="K1506" s="40" t="s">
        <v>8528</v>
      </c>
      <c r="L1506" s="37" t="s">
        <v>64</v>
      </c>
      <c r="M1506"/>
      <c r="N1506"/>
    </row>
    <row r="1507" spans="1:14">
      <c r="A1507" s="39"/>
      <c r="B1507" s="37" t="s">
        <v>8529</v>
      </c>
      <c r="C1507" s="37" t="s">
        <v>7381</v>
      </c>
      <c r="D1507" s="37" t="s">
        <v>8530</v>
      </c>
      <c r="E1507" s="37" t="s">
        <v>8531</v>
      </c>
      <c r="F1507" s="37" t="s">
        <v>8532</v>
      </c>
      <c r="G1507" s="37" t="s">
        <v>8533</v>
      </c>
      <c r="H1507" s="37"/>
      <c r="I1507" s="37" t="s">
        <v>639</v>
      </c>
      <c r="J1507" s="37" t="s">
        <v>105</v>
      </c>
      <c r="K1507" s="40" t="s">
        <v>640</v>
      </c>
      <c r="L1507" s="37" t="s">
        <v>64</v>
      </c>
      <c r="M1507"/>
      <c r="N1507"/>
    </row>
    <row r="1508" spans="1:14">
      <c r="A1508" s="39"/>
      <c r="B1508" s="37" t="s">
        <v>8534</v>
      </c>
      <c r="C1508" s="37" t="s">
        <v>6917</v>
      </c>
      <c r="D1508" s="37" t="s">
        <v>8535</v>
      </c>
      <c r="E1508" s="37" t="s">
        <v>152</v>
      </c>
      <c r="F1508" s="37" t="s">
        <v>8536</v>
      </c>
      <c r="G1508" s="37" t="s">
        <v>8537</v>
      </c>
      <c r="H1508" s="37"/>
      <c r="I1508" s="37" t="s">
        <v>639</v>
      </c>
      <c r="J1508" s="37" t="s">
        <v>105</v>
      </c>
      <c r="K1508" s="40" t="s">
        <v>640</v>
      </c>
      <c r="L1508" s="37" t="s">
        <v>64</v>
      </c>
      <c r="M1508"/>
      <c r="N1508"/>
    </row>
    <row r="1509" spans="1:14">
      <c r="A1509" s="39"/>
      <c r="B1509" s="37" t="s">
        <v>8538</v>
      </c>
      <c r="C1509" s="37" t="s">
        <v>8539</v>
      </c>
      <c r="D1509" s="37" t="s">
        <v>223</v>
      </c>
      <c r="E1509" s="37" t="s">
        <v>1531</v>
      </c>
      <c r="F1509" s="37" t="s">
        <v>8540</v>
      </c>
      <c r="G1509" s="37" t="s">
        <v>8541</v>
      </c>
      <c r="H1509" s="37" t="s">
        <v>2243</v>
      </c>
      <c r="I1509" s="37" t="s">
        <v>7162</v>
      </c>
      <c r="J1509" s="37" t="s">
        <v>121</v>
      </c>
      <c r="K1509" s="40" t="s">
        <v>6951</v>
      </c>
      <c r="L1509" s="37" t="s">
        <v>64</v>
      </c>
      <c r="M1509"/>
      <c r="N1509"/>
    </row>
    <row r="1510" spans="1:14">
      <c r="A1510" s="39"/>
      <c r="B1510" s="37" t="s">
        <v>8542</v>
      </c>
      <c r="C1510" s="37" t="s">
        <v>7441</v>
      </c>
      <c r="D1510" s="37" t="s">
        <v>2685</v>
      </c>
      <c r="E1510" s="37" t="s">
        <v>8543</v>
      </c>
      <c r="F1510" s="37" t="s">
        <v>8544</v>
      </c>
      <c r="G1510" s="37" t="s">
        <v>8545</v>
      </c>
      <c r="H1510" s="37"/>
      <c r="I1510" s="37" t="s">
        <v>8546</v>
      </c>
      <c r="J1510" s="37" t="s">
        <v>425</v>
      </c>
      <c r="K1510" s="40" t="s">
        <v>8547</v>
      </c>
      <c r="L1510" s="37" t="s">
        <v>64</v>
      </c>
      <c r="M1510"/>
      <c r="N1510"/>
    </row>
    <row r="1511" spans="1:14">
      <c r="A1511" s="39"/>
      <c r="B1511" s="37" t="s">
        <v>8548</v>
      </c>
      <c r="C1511" s="37" t="s">
        <v>7096</v>
      </c>
      <c r="D1511" s="37" t="s">
        <v>124</v>
      </c>
      <c r="E1511" s="37" t="s">
        <v>8549</v>
      </c>
      <c r="F1511" s="37" t="s">
        <v>8550</v>
      </c>
      <c r="G1511" s="37" t="s">
        <v>8551</v>
      </c>
      <c r="H1511" s="37" t="s">
        <v>8552</v>
      </c>
      <c r="I1511" s="37" t="s">
        <v>8553</v>
      </c>
      <c r="J1511" s="37" t="s">
        <v>7132</v>
      </c>
      <c r="K1511" s="40" t="s">
        <v>8554</v>
      </c>
      <c r="L1511" s="37" t="s">
        <v>64</v>
      </c>
      <c r="M1511"/>
      <c r="N1511"/>
    </row>
    <row r="1512" spans="1:14">
      <c r="A1512" s="39"/>
      <c r="B1512" s="37" t="s">
        <v>8555</v>
      </c>
      <c r="C1512" s="37" t="s">
        <v>8556</v>
      </c>
      <c r="D1512" s="37" t="s">
        <v>1703</v>
      </c>
      <c r="E1512" s="37" t="s">
        <v>2648</v>
      </c>
      <c r="F1512" s="37" t="s">
        <v>8557</v>
      </c>
      <c r="G1512" s="37" t="s">
        <v>8558</v>
      </c>
      <c r="H1512" s="37"/>
      <c r="I1512" s="37" t="s">
        <v>1252</v>
      </c>
      <c r="J1512" s="37" t="s">
        <v>153</v>
      </c>
      <c r="K1512" s="40" t="s">
        <v>8559</v>
      </c>
      <c r="L1512" s="37" t="s">
        <v>64</v>
      </c>
      <c r="M1512"/>
      <c r="N1512"/>
    </row>
    <row r="1513" spans="1:14">
      <c r="A1513" s="39"/>
      <c r="B1513" s="37" t="s">
        <v>8560</v>
      </c>
      <c r="C1513" s="37"/>
      <c r="D1513" s="37" t="s">
        <v>7648</v>
      </c>
      <c r="E1513" s="37" t="s">
        <v>8561</v>
      </c>
      <c r="F1513" s="37" t="s">
        <v>8562</v>
      </c>
      <c r="G1513" s="37" t="s">
        <v>8563</v>
      </c>
      <c r="H1513" s="37"/>
      <c r="I1513" s="37" t="s">
        <v>8564</v>
      </c>
      <c r="J1513" s="37" t="s">
        <v>75</v>
      </c>
      <c r="K1513" s="40" t="s">
        <v>8565</v>
      </c>
      <c r="L1513" s="37" t="s">
        <v>64</v>
      </c>
      <c r="M1513"/>
      <c r="N1513"/>
    </row>
    <row r="1514" spans="1:14">
      <c r="A1514" s="39"/>
      <c r="B1514" s="37" t="s">
        <v>8560</v>
      </c>
      <c r="C1514" s="37"/>
      <c r="D1514" s="37" t="s">
        <v>1275</v>
      </c>
      <c r="E1514" s="37" t="s">
        <v>844</v>
      </c>
      <c r="F1514" s="37" t="s">
        <v>8566</v>
      </c>
      <c r="G1514" s="37" t="s">
        <v>8563</v>
      </c>
      <c r="H1514" s="37"/>
      <c r="I1514" s="37" t="s">
        <v>8564</v>
      </c>
      <c r="J1514" s="37" t="s">
        <v>75</v>
      </c>
      <c r="K1514" s="40" t="s">
        <v>8565</v>
      </c>
      <c r="L1514" s="37" t="s">
        <v>64</v>
      </c>
      <c r="M1514"/>
      <c r="N1514"/>
    </row>
    <row r="1515" spans="1:14">
      <c r="A1515" s="39"/>
      <c r="B1515" s="37" t="s">
        <v>8567</v>
      </c>
      <c r="C1515" s="37"/>
      <c r="D1515" s="37" t="s">
        <v>8568</v>
      </c>
      <c r="E1515" s="37" t="s">
        <v>8569</v>
      </c>
      <c r="F1515" s="37" t="s">
        <v>8570</v>
      </c>
      <c r="G1515" s="37" t="s">
        <v>8571</v>
      </c>
      <c r="H1515" s="37"/>
      <c r="I1515" s="37" t="s">
        <v>8572</v>
      </c>
      <c r="J1515" s="37" t="s">
        <v>125</v>
      </c>
      <c r="K1515" s="40" t="s">
        <v>8573</v>
      </c>
      <c r="L1515" s="37" t="s">
        <v>64</v>
      </c>
      <c r="M1515"/>
      <c r="N1515"/>
    </row>
    <row r="1516" spans="1:14">
      <c r="A1516" s="39"/>
      <c r="B1516" s="37" t="s">
        <v>8567</v>
      </c>
      <c r="C1516" s="37" t="s">
        <v>8574</v>
      </c>
      <c r="D1516" s="37" t="s">
        <v>8575</v>
      </c>
      <c r="E1516" s="37" t="s">
        <v>8576</v>
      </c>
      <c r="F1516" s="37" t="s">
        <v>8570</v>
      </c>
      <c r="G1516" s="37" t="s">
        <v>8577</v>
      </c>
      <c r="H1516" s="37"/>
      <c r="I1516" s="37" t="s">
        <v>8578</v>
      </c>
      <c r="J1516" s="37" t="s">
        <v>125</v>
      </c>
      <c r="K1516" s="40" t="s">
        <v>8573</v>
      </c>
      <c r="L1516" s="37" t="s">
        <v>64</v>
      </c>
      <c r="M1516"/>
      <c r="N1516"/>
    </row>
    <row r="1517" spans="1:14">
      <c r="A1517" s="39"/>
      <c r="B1517" s="37" t="s">
        <v>8579</v>
      </c>
      <c r="C1517" s="37" t="s">
        <v>6877</v>
      </c>
      <c r="D1517" s="37" t="s">
        <v>8580</v>
      </c>
      <c r="E1517" s="37" t="s">
        <v>1659</v>
      </c>
      <c r="F1517" s="37" t="s">
        <v>8581</v>
      </c>
      <c r="G1517" s="37" t="s">
        <v>8582</v>
      </c>
      <c r="H1517" s="37"/>
      <c r="I1517" s="37" t="s">
        <v>7162</v>
      </c>
      <c r="J1517" s="37" t="s">
        <v>121</v>
      </c>
      <c r="K1517" s="40" t="s">
        <v>6951</v>
      </c>
      <c r="L1517" s="37" t="s">
        <v>64</v>
      </c>
      <c r="M1517"/>
      <c r="N1517"/>
    </row>
    <row r="1518" spans="1:14">
      <c r="A1518" s="39"/>
      <c r="B1518" s="37" t="s">
        <v>8583</v>
      </c>
      <c r="C1518" s="37" t="s">
        <v>8584</v>
      </c>
      <c r="D1518" s="37" t="s">
        <v>648</v>
      </c>
      <c r="E1518" s="37" t="s">
        <v>8585</v>
      </c>
      <c r="F1518" s="37" t="s">
        <v>8586</v>
      </c>
      <c r="G1518" s="37" t="s">
        <v>8587</v>
      </c>
      <c r="H1518" s="37" t="s">
        <v>8588</v>
      </c>
      <c r="I1518" s="37" t="s">
        <v>191</v>
      </c>
      <c r="J1518" s="37" t="s">
        <v>121</v>
      </c>
      <c r="K1518" s="40" t="s">
        <v>7179</v>
      </c>
      <c r="L1518" s="37" t="s">
        <v>64</v>
      </c>
      <c r="M1518"/>
      <c r="N1518"/>
    </row>
    <row r="1519" spans="1:14">
      <c r="A1519" s="39"/>
      <c r="B1519" s="37" t="s">
        <v>8583</v>
      </c>
      <c r="C1519" s="37" t="s">
        <v>8589</v>
      </c>
      <c r="D1519" s="37" t="s">
        <v>2692</v>
      </c>
      <c r="E1519" s="37" t="s">
        <v>8590</v>
      </c>
      <c r="F1519" s="37" t="s">
        <v>8591</v>
      </c>
      <c r="G1519" s="37" t="s">
        <v>8592</v>
      </c>
      <c r="H1519" s="37" t="s">
        <v>8588</v>
      </c>
      <c r="I1519" s="37" t="s">
        <v>191</v>
      </c>
      <c r="J1519" s="37" t="s">
        <v>121</v>
      </c>
      <c r="K1519" s="40" t="s">
        <v>7179</v>
      </c>
      <c r="L1519" s="37" t="s">
        <v>64</v>
      </c>
      <c r="M1519"/>
      <c r="N1519"/>
    </row>
    <row r="1520" spans="1:14">
      <c r="A1520" s="39"/>
      <c r="B1520" s="37" t="s">
        <v>8583</v>
      </c>
      <c r="C1520" s="37" t="s">
        <v>8584</v>
      </c>
      <c r="D1520" s="37" t="s">
        <v>4641</v>
      </c>
      <c r="E1520" s="37" t="s">
        <v>8593</v>
      </c>
      <c r="F1520" s="37" t="s">
        <v>8594</v>
      </c>
      <c r="G1520" s="37" t="s">
        <v>8595</v>
      </c>
      <c r="H1520" s="37" t="s">
        <v>8588</v>
      </c>
      <c r="I1520" s="37" t="s">
        <v>191</v>
      </c>
      <c r="J1520" s="37" t="s">
        <v>121</v>
      </c>
      <c r="K1520" s="40" t="s">
        <v>7179</v>
      </c>
      <c r="L1520" s="37" t="s">
        <v>64</v>
      </c>
      <c r="M1520"/>
      <c r="N1520"/>
    </row>
    <row r="1521" spans="1:14">
      <c r="A1521" s="39"/>
      <c r="B1521" s="37" t="s">
        <v>8596</v>
      </c>
      <c r="C1521" s="37"/>
      <c r="D1521" s="37" t="s">
        <v>1263</v>
      </c>
      <c r="E1521" s="37" t="s">
        <v>8597</v>
      </c>
      <c r="F1521" s="37" t="s">
        <v>8598</v>
      </c>
      <c r="G1521" s="37" t="s">
        <v>8599</v>
      </c>
      <c r="H1521" s="37"/>
      <c r="I1521" s="37" t="s">
        <v>8600</v>
      </c>
      <c r="J1521" s="37" t="s">
        <v>425</v>
      </c>
      <c r="K1521" s="40" t="s">
        <v>8601</v>
      </c>
      <c r="L1521" s="37" t="s">
        <v>64</v>
      </c>
      <c r="M1521"/>
      <c r="N1521"/>
    </row>
    <row r="1522" spans="1:14">
      <c r="A1522" s="39"/>
      <c r="B1522" s="37" t="s">
        <v>8602</v>
      </c>
      <c r="C1522" s="37" t="s">
        <v>8603</v>
      </c>
      <c r="D1522" s="37" t="s">
        <v>8604</v>
      </c>
      <c r="E1522" s="37" t="s">
        <v>2080</v>
      </c>
      <c r="F1522" s="37" t="s">
        <v>8605</v>
      </c>
      <c r="G1522" s="37" t="s">
        <v>8606</v>
      </c>
      <c r="H1522" s="37"/>
      <c r="I1522" s="37" t="s">
        <v>8607</v>
      </c>
      <c r="J1522" s="37" t="s">
        <v>313</v>
      </c>
      <c r="K1522" s="40" t="s">
        <v>8608</v>
      </c>
      <c r="L1522" s="37" t="s">
        <v>64</v>
      </c>
      <c r="M1522"/>
      <c r="N1522"/>
    </row>
    <row r="1523" spans="1:14">
      <c r="A1523" s="39"/>
      <c r="B1523" s="37" t="s">
        <v>8609</v>
      </c>
      <c r="C1523" s="37"/>
      <c r="D1523" s="37" t="s">
        <v>1533</v>
      </c>
      <c r="E1523" s="37" t="s">
        <v>8610</v>
      </c>
      <c r="F1523" s="37" t="s">
        <v>8611</v>
      </c>
      <c r="G1523" s="37" t="s">
        <v>8612</v>
      </c>
      <c r="H1523" s="37"/>
      <c r="I1523" s="37" t="s">
        <v>8613</v>
      </c>
      <c r="J1523" s="37" t="s">
        <v>324</v>
      </c>
      <c r="K1523" s="40" t="s">
        <v>8614</v>
      </c>
      <c r="L1523" s="37" t="s">
        <v>64</v>
      </c>
      <c r="M1523"/>
      <c r="N1523"/>
    </row>
    <row r="1524" spans="1:14">
      <c r="A1524" s="39"/>
      <c r="B1524" s="37" t="s">
        <v>8615</v>
      </c>
      <c r="C1524" s="37" t="s">
        <v>8616</v>
      </c>
      <c r="D1524" s="37" t="s">
        <v>1106</v>
      </c>
      <c r="E1524" s="37" t="s">
        <v>525</v>
      </c>
      <c r="F1524" s="37" t="s">
        <v>8617</v>
      </c>
      <c r="G1524" s="37" t="s">
        <v>8618</v>
      </c>
      <c r="H1524" s="37" t="s">
        <v>1074</v>
      </c>
      <c r="I1524" s="37" t="s">
        <v>1605</v>
      </c>
      <c r="J1524" s="37" t="s">
        <v>105</v>
      </c>
      <c r="K1524" s="40" t="s">
        <v>8619</v>
      </c>
      <c r="L1524" s="37" t="s">
        <v>64</v>
      </c>
      <c r="M1524"/>
      <c r="N1524"/>
    </row>
    <row r="1525" spans="1:14">
      <c r="A1525" s="39"/>
      <c r="B1525" s="37" t="s">
        <v>8620</v>
      </c>
      <c r="C1525" s="37"/>
      <c r="D1525" s="37" t="s">
        <v>339</v>
      </c>
      <c r="E1525" s="37" t="s">
        <v>8621</v>
      </c>
      <c r="F1525" s="37" t="s">
        <v>8622</v>
      </c>
      <c r="G1525" s="37" t="s">
        <v>8623</v>
      </c>
      <c r="H1525" s="37"/>
      <c r="I1525" s="37" t="s">
        <v>639</v>
      </c>
      <c r="J1525" s="37" t="s">
        <v>105</v>
      </c>
      <c r="K1525" s="40" t="s">
        <v>1323</v>
      </c>
      <c r="L1525" s="37" t="s">
        <v>64</v>
      </c>
      <c r="M1525"/>
      <c r="N1525"/>
    </row>
    <row r="1526" spans="1:14">
      <c r="A1526" s="39"/>
      <c r="B1526" s="37" t="s">
        <v>8624</v>
      </c>
      <c r="C1526" s="37" t="s">
        <v>6976</v>
      </c>
      <c r="D1526" s="37" t="s">
        <v>1888</v>
      </c>
      <c r="E1526" s="37" t="s">
        <v>1071</v>
      </c>
      <c r="F1526" s="37" t="s">
        <v>8625</v>
      </c>
      <c r="G1526" s="37" t="s">
        <v>8626</v>
      </c>
      <c r="H1526" s="37" t="s">
        <v>8627</v>
      </c>
      <c r="I1526" s="37" t="s">
        <v>8628</v>
      </c>
      <c r="J1526" s="37" t="s">
        <v>125</v>
      </c>
      <c r="K1526" s="40" t="s">
        <v>8629</v>
      </c>
      <c r="L1526" s="37" t="s">
        <v>64</v>
      </c>
      <c r="M1526"/>
      <c r="N1526"/>
    </row>
    <row r="1527" spans="1:14">
      <c r="A1527" s="39"/>
      <c r="B1527" s="37" t="s">
        <v>8624</v>
      </c>
      <c r="C1527" s="37" t="s">
        <v>8630</v>
      </c>
      <c r="D1527" s="37" t="s">
        <v>282</v>
      </c>
      <c r="E1527" s="37" t="s">
        <v>2307</v>
      </c>
      <c r="F1527" s="37" t="s">
        <v>8631</v>
      </c>
      <c r="G1527" s="37" t="s">
        <v>8626</v>
      </c>
      <c r="H1527" s="37" t="s">
        <v>8627</v>
      </c>
      <c r="I1527" s="37" t="s">
        <v>8632</v>
      </c>
      <c r="J1527" s="37" t="s">
        <v>125</v>
      </c>
      <c r="K1527" s="40" t="s">
        <v>8629</v>
      </c>
      <c r="L1527" s="37" t="s">
        <v>64</v>
      </c>
      <c r="M1527"/>
      <c r="N1527"/>
    </row>
    <row r="1528" spans="1:14">
      <c r="A1528" s="39"/>
      <c r="B1528" s="37" t="s">
        <v>8633</v>
      </c>
      <c r="C1528" s="37"/>
      <c r="D1528" s="37" t="s">
        <v>286</v>
      </c>
      <c r="E1528" s="37" t="s">
        <v>8634</v>
      </c>
      <c r="F1528" s="37" t="s">
        <v>8635</v>
      </c>
      <c r="G1528" s="37" t="s">
        <v>8636</v>
      </c>
      <c r="H1528" s="37"/>
      <c r="I1528" s="37" t="s">
        <v>1605</v>
      </c>
      <c r="J1528" s="37" t="s">
        <v>105</v>
      </c>
      <c r="K1528" s="40" t="s">
        <v>8619</v>
      </c>
      <c r="L1528" s="37" t="s">
        <v>64</v>
      </c>
      <c r="M1528"/>
      <c r="N1528"/>
    </row>
    <row r="1529" spans="1:14">
      <c r="A1529" s="39"/>
      <c r="B1529" s="37" t="s">
        <v>8633</v>
      </c>
      <c r="C1529" s="37"/>
      <c r="D1529" s="37" t="s">
        <v>8637</v>
      </c>
      <c r="E1529" s="37" t="s">
        <v>8638</v>
      </c>
      <c r="F1529" s="37" t="s">
        <v>8639</v>
      </c>
      <c r="G1529" s="37" t="s">
        <v>8640</v>
      </c>
      <c r="H1529" s="37"/>
      <c r="I1529" s="37" t="s">
        <v>1605</v>
      </c>
      <c r="J1529" s="37" t="s">
        <v>105</v>
      </c>
      <c r="K1529" s="40" t="s">
        <v>1606</v>
      </c>
      <c r="L1529" s="37" t="s">
        <v>64</v>
      </c>
      <c r="M1529"/>
      <c r="N1529"/>
    </row>
    <row r="1530" spans="1:14">
      <c r="A1530" s="39"/>
      <c r="B1530" s="37" t="s">
        <v>8633</v>
      </c>
      <c r="C1530" s="37"/>
      <c r="D1530" s="37" t="s">
        <v>444</v>
      </c>
      <c r="E1530" s="37" t="s">
        <v>8641</v>
      </c>
      <c r="F1530" s="37" t="s">
        <v>8642</v>
      </c>
      <c r="G1530" s="37" t="s">
        <v>8643</v>
      </c>
      <c r="H1530" s="37"/>
      <c r="I1530" s="37" t="s">
        <v>1605</v>
      </c>
      <c r="J1530" s="37" t="s">
        <v>105</v>
      </c>
      <c r="K1530" s="40" t="s">
        <v>8619</v>
      </c>
      <c r="L1530" s="37" t="s">
        <v>64</v>
      </c>
      <c r="M1530"/>
      <c r="N1530"/>
    </row>
    <row r="1531" spans="1:14">
      <c r="A1531" s="39"/>
      <c r="B1531" s="37" t="s">
        <v>8644</v>
      </c>
      <c r="C1531" s="37" t="s">
        <v>8645</v>
      </c>
      <c r="D1531" s="37" t="s">
        <v>955</v>
      </c>
      <c r="E1531" s="37" t="s">
        <v>8646</v>
      </c>
      <c r="F1531" s="37" t="s">
        <v>8647</v>
      </c>
      <c r="G1531" s="37" t="s">
        <v>8648</v>
      </c>
      <c r="H1531" s="37" t="s">
        <v>8649</v>
      </c>
      <c r="I1531" s="37" t="s">
        <v>8650</v>
      </c>
      <c r="J1531" s="37" t="s">
        <v>320</v>
      </c>
      <c r="K1531" s="40" t="s">
        <v>8651</v>
      </c>
      <c r="L1531" s="37" t="s">
        <v>64</v>
      </c>
      <c r="M1531"/>
      <c r="N1531"/>
    </row>
    <row r="1532" spans="1:14">
      <c r="A1532" s="39"/>
      <c r="B1532" s="37" t="s">
        <v>8652</v>
      </c>
      <c r="C1532" s="37"/>
      <c r="D1532" s="37" t="s">
        <v>8653</v>
      </c>
      <c r="E1532" s="37" t="s">
        <v>8654</v>
      </c>
      <c r="F1532" s="37" t="s">
        <v>8655</v>
      </c>
      <c r="G1532" s="37" t="s">
        <v>8656</v>
      </c>
      <c r="H1532" s="37"/>
      <c r="I1532" s="37" t="s">
        <v>1396</v>
      </c>
      <c r="J1532" s="37" t="s">
        <v>105</v>
      </c>
      <c r="K1532" s="40" t="s">
        <v>1397</v>
      </c>
      <c r="L1532" s="37" t="s">
        <v>64</v>
      </c>
      <c r="M1532"/>
      <c r="N1532"/>
    </row>
    <row r="1533" spans="1:14">
      <c r="A1533" s="39"/>
      <c r="B1533" s="37" t="s">
        <v>8652</v>
      </c>
      <c r="C1533" s="37"/>
      <c r="D1533" s="37" t="s">
        <v>8657</v>
      </c>
      <c r="E1533" s="37" t="s">
        <v>8658</v>
      </c>
      <c r="F1533" s="37" t="s">
        <v>8659</v>
      </c>
      <c r="G1533" s="37" t="s">
        <v>8656</v>
      </c>
      <c r="H1533" s="37"/>
      <c r="I1533" s="37" t="s">
        <v>1396</v>
      </c>
      <c r="J1533" s="37" t="s">
        <v>105</v>
      </c>
      <c r="K1533" s="40" t="s">
        <v>1397</v>
      </c>
      <c r="L1533" s="37" t="s">
        <v>64</v>
      </c>
      <c r="M1533"/>
      <c r="N1533"/>
    </row>
    <row r="1534" spans="1:14">
      <c r="A1534" s="39"/>
      <c r="B1534" s="37" t="s">
        <v>8660</v>
      </c>
      <c r="C1534" s="37" t="s">
        <v>8661</v>
      </c>
      <c r="D1534" s="37" t="s">
        <v>8662</v>
      </c>
      <c r="E1534" s="37" t="s">
        <v>8663</v>
      </c>
      <c r="F1534" s="37"/>
      <c r="G1534" s="37" t="s">
        <v>8381</v>
      </c>
      <c r="H1534" s="37"/>
      <c r="I1534" s="37" t="s">
        <v>8382</v>
      </c>
      <c r="J1534" s="37"/>
      <c r="K1534" s="40" t="s">
        <v>8383</v>
      </c>
      <c r="L1534" s="37" t="s">
        <v>8384</v>
      </c>
      <c r="M1534"/>
      <c r="N1534"/>
    </row>
    <row r="1535" spans="1:14">
      <c r="A1535" s="39"/>
      <c r="B1535" s="37" t="s">
        <v>8660</v>
      </c>
      <c r="C1535" s="37" t="s">
        <v>8661</v>
      </c>
      <c r="D1535" s="37" t="s">
        <v>8664</v>
      </c>
      <c r="E1535" s="37" t="s">
        <v>515</v>
      </c>
      <c r="F1535" s="37"/>
      <c r="G1535" s="37" t="s">
        <v>8381</v>
      </c>
      <c r="H1535" s="37"/>
      <c r="I1535" s="37" t="s">
        <v>8382</v>
      </c>
      <c r="J1535" s="37"/>
      <c r="K1535" s="40" t="s">
        <v>8383</v>
      </c>
      <c r="L1535" s="37" t="s">
        <v>8384</v>
      </c>
      <c r="M1535"/>
      <c r="N1535"/>
    </row>
    <row r="1536" spans="1:14">
      <c r="A1536" s="39"/>
      <c r="B1536" s="37" t="s">
        <v>8665</v>
      </c>
      <c r="C1536" s="37" t="s">
        <v>7041</v>
      </c>
      <c r="D1536" s="37" t="s">
        <v>579</v>
      </c>
      <c r="E1536" s="37" t="s">
        <v>8666</v>
      </c>
      <c r="F1536" s="37" t="s">
        <v>8667</v>
      </c>
      <c r="G1536" s="37" t="s">
        <v>8668</v>
      </c>
      <c r="H1536" s="37"/>
      <c r="I1536" s="37" t="s">
        <v>8669</v>
      </c>
      <c r="J1536" s="37" t="s">
        <v>70</v>
      </c>
      <c r="K1536" s="40" t="s">
        <v>8670</v>
      </c>
      <c r="L1536" s="37" t="s">
        <v>64</v>
      </c>
      <c r="M1536"/>
      <c r="N1536"/>
    </row>
    <row r="1537" spans="1:14">
      <c r="A1537" s="39"/>
      <c r="B1537" s="37" t="s">
        <v>8671</v>
      </c>
      <c r="C1537" s="37" t="s">
        <v>8672</v>
      </c>
      <c r="D1537" s="37" t="s">
        <v>515</v>
      </c>
      <c r="E1537" s="37" t="s">
        <v>8673</v>
      </c>
      <c r="F1537" s="37" t="s">
        <v>8674</v>
      </c>
      <c r="G1537" s="37" t="s">
        <v>8675</v>
      </c>
      <c r="H1537" s="37"/>
      <c r="I1537" s="37" t="s">
        <v>8676</v>
      </c>
      <c r="J1537" s="37" t="s">
        <v>200</v>
      </c>
      <c r="K1537" s="40" t="s">
        <v>8677</v>
      </c>
      <c r="L1537" s="37" t="s">
        <v>64</v>
      </c>
      <c r="M1537"/>
      <c r="N1537"/>
    </row>
    <row r="1538" spans="1:14">
      <c r="A1538" s="39"/>
      <c r="B1538" s="37" t="s">
        <v>8678</v>
      </c>
      <c r="C1538" s="37" t="s">
        <v>8679</v>
      </c>
      <c r="D1538" s="37" t="s">
        <v>1941</v>
      </c>
      <c r="E1538" s="37" t="s">
        <v>1898</v>
      </c>
      <c r="F1538" s="37" t="s">
        <v>8680</v>
      </c>
      <c r="G1538" s="37" t="s">
        <v>8675</v>
      </c>
      <c r="H1538" s="37"/>
      <c r="I1538" s="37" t="s">
        <v>8676</v>
      </c>
      <c r="J1538" s="37" t="s">
        <v>200</v>
      </c>
      <c r="K1538" s="40" t="s">
        <v>8677</v>
      </c>
      <c r="L1538" s="37" t="s">
        <v>64</v>
      </c>
      <c r="M1538"/>
      <c r="N1538"/>
    </row>
    <row r="1539" spans="1:14">
      <c r="A1539" s="39"/>
      <c r="B1539" s="37" t="s">
        <v>8681</v>
      </c>
      <c r="C1539" s="37"/>
      <c r="D1539" s="37" t="s">
        <v>1757</v>
      </c>
      <c r="E1539" s="37" t="s">
        <v>2583</v>
      </c>
      <c r="F1539" s="37" t="s">
        <v>8682</v>
      </c>
      <c r="G1539" s="37" t="s">
        <v>8683</v>
      </c>
      <c r="H1539" s="37"/>
      <c r="I1539" s="37" t="s">
        <v>1893</v>
      </c>
      <c r="J1539" s="37" t="s">
        <v>75</v>
      </c>
      <c r="K1539" s="40" t="s">
        <v>2379</v>
      </c>
      <c r="L1539" s="37" t="s">
        <v>64</v>
      </c>
      <c r="M1539"/>
      <c r="N1539"/>
    </row>
    <row r="1540" spans="1:14">
      <c r="A1540" s="39"/>
      <c r="B1540" s="37" t="s">
        <v>8684</v>
      </c>
      <c r="C1540" s="37"/>
      <c r="D1540" s="37" t="s">
        <v>286</v>
      </c>
      <c r="E1540" s="37" t="s">
        <v>8685</v>
      </c>
      <c r="F1540" s="37" t="s">
        <v>8686</v>
      </c>
      <c r="G1540" s="37" t="s">
        <v>8687</v>
      </c>
      <c r="H1540" s="37"/>
      <c r="I1540" s="37" t="s">
        <v>8688</v>
      </c>
      <c r="J1540" s="37" t="s">
        <v>162</v>
      </c>
      <c r="K1540" s="40" t="s">
        <v>8689</v>
      </c>
      <c r="L1540" s="37" t="s">
        <v>64</v>
      </c>
      <c r="M1540"/>
      <c r="N1540"/>
    </row>
    <row r="1541" spans="1:14">
      <c r="A1541" s="39"/>
      <c r="B1541" s="37" t="s">
        <v>8690</v>
      </c>
      <c r="C1541" s="37" t="s">
        <v>7381</v>
      </c>
      <c r="D1541" s="37" t="s">
        <v>532</v>
      </c>
      <c r="E1541" s="37" t="s">
        <v>8691</v>
      </c>
      <c r="F1541" s="37" t="s">
        <v>8692</v>
      </c>
      <c r="G1541" s="37" t="s">
        <v>8693</v>
      </c>
      <c r="H1541" s="37"/>
      <c r="I1541" s="37" t="s">
        <v>297</v>
      </c>
      <c r="J1541" s="37" t="s">
        <v>75</v>
      </c>
      <c r="K1541" s="40" t="s">
        <v>8694</v>
      </c>
      <c r="L1541" s="37" t="s">
        <v>64</v>
      </c>
      <c r="M1541"/>
      <c r="N1541"/>
    </row>
    <row r="1542" spans="1:14">
      <c r="A1542" s="39"/>
      <c r="B1542" s="37" t="s">
        <v>8690</v>
      </c>
      <c r="C1542" s="37" t="s">
        <v>8695</v>
      </c>
      <c r="D1542" s="37" t="s">
        <v>717</v>
      </c>
      <c r="E1542" s="37" t="s">
        <v>8696</v>
      </c>
      <c r="F1542" s="37" t="s">
        <v>8697</v>
      </c>
      <c r="G1542" s="37" t="s">
        <v>8693</v>
      </c>
      <c r="H1542" s="37"/>
      <c r="I1542" s="37" t="s">
        <v>297</v>
      </c>
      <c r="J1542" s="37" t="s">
        <v>75</v>
      </c>
      <c r="K1542" s="40" t="s">
        <v>8694</v>
      </c>
      <c r="L1542" s="37" t="s">
        <v>64</v>
      </c>
      <c r="M1542"/>
      <c r="N1542"/>
    </row>
    <row r="1543" spans="1:14">
      <c r="A1543" s="39"/>
      <c r="B1543" s="37" t="s">
        <v>8698</v>
      </c>
      <c r="C1543" s="37" t="s">
        <v>8699</v>
      </c>
      <c r="D1543" s="37" t="s">
        <v>2141</v>
      </c>
      <c r="E1543" s="37" t="s">
        <v>8700</v>
      </c>
      <c r="F1543" s="37" t="s">
        <v>8701</v>
      </c>
      <c r="G1543" s="37" t="s">
        <v>8702</v>
      </c>
      <c r="H1543" s="37"/>
      <c r="I1543" s="37" t="s">
        <v>8703</v>
      </c>
      <c r="J1543" s="37" t="s">
        <v>200</v>
      </c>
      <c r="K1543" s="40" t="s">
        <v>8704</v>
      </c>
      <c r="L1543" s="37" t="s">
        <v>64</v>
      </c>
      <c r="M1543"/>
      <c r="N1543"/>
    </row>
    <row r="1544" spans="1:14">
      <c r="A1544" s="39"/>
      <c r="B1544" s="37" t="s">
        <v>8705</v>
      </c>
      <c r="C1544" s="37" t="s">
        <v>2202</v>
      </c>
      <c r="D1544" s="37" t="s">
        <v>1129</v>
      </c>
      <c r="E1544" s="37" t="s">
        <v>6024</v>
      </c>
      <c r="F1544" s="37" t="s">
        <v>8706</v>
      </c>
      <c r="G1544" s="37" t="s">
        <v>8707</v>
      </c>
      <c r="H1544" s="37"/>
      <c r="I1544" s="37" t="s">
        <v>8708</v>
      </c>
      <c r="J1544" s="37" t="s">
        <v>200</v>
      </c>
      <c r="K1544" s="40" t="s">
        <v>8709</v>
      </c>
      <c r="L1544" s="37" t="s">
        <v>64</v>
      </c>
      <c r="M1544"/>
      <c r="N1544"/>
    </row>
    <row r="1545" spans="1:14">
      <c r="A1545" s="39"/>
      <c r="B1545" s="37" t="s">
        <v>8710</v>
      </c>
      <c r="C1545" s="37" t="s">
        <v>8711</v>
      </c>
      <c r="D1545" s="37" t="s">
        <v>2582</v>
      </c>
      <c r="E1545" s="37" t="s">
        <v>8712</v>
      </c>
      <c r="F1545" s="37" t="s">
        <v>8713</v>
      </c>
      <c r="G1545" s="37" t="s">
        <v>8714</v>
      </c>
      <c r="H1545" s="37" t="s">
        <v>2829</v>
      </c>
      <c r="I1545" s="37" t="s">
        <v>3251</v>
      </c>
      <c r="J1545" s="37" t="s">
        <v>121</v>
      </c>
      <c r="K1545" s="40" t="s">
        <v>4968</v>
      </c>
      <c r="L1545" s="37" t="s">
        <v>64</v>
      </c>
      <c r="M1545"/>
      <c r="N1545"/>
    </row>
    <row r="1546" spans="1:14">
      <c r="A1546" s="39"/>
      <c r="B1546" s="37" t="s">
        <v>8715</v>
      </c>
      <c r="C1546" s="37" t="s">
        <v>8716</v>
      </c>
      <c r="D1546" s="37" t="s">
        <v>390</v>
      </c>
      <c r="E1546" s="37" t="s">
        <v>1996</v>
      </c>
      <c r="F1546" s="37" t="s">
        <v>8717</v>
      </c>
      <c r="G1546" s="37" t="s">
        <v>8718</v>
      </c>
      <c r="H1546" s="37"/>
      <c r="I1546" s="37" t="s">
        <v>8719</v>
      </c>
      <c r="J1546" s="37" t="s">
        <v>324</v>
      </c>
      <c r="K1546" s="40" t="s">
        <v>8720</v>
      </c>
      <c r="L1546" s="37" t="s">
        <v>64</v>
      </c>
      <c r="M1546"/>
      <c r="N1546"/>
    </row>
    <row r="1547" spans="1:14">
      <c r="A1547" s="39"/>
      <c r="B1547" s="37" t="s">
        <v>8721</v>
      </c>
      <c r="C1547" s="37"/>
      <c r="D1547" s="37" t="s">
        <v>1120</v>
      </c>
      <c r="E1547" s="37" t="s">
        <v>8597</v>
      </c>
      <c r="F1547" s="38" t="s">
        <v>5739</v>
      </c>
      <c r="G1547" s="37" t="s">
        <v>8722</v>
      </c>
      <c r="H1547" s="37"/>
      <c r="I1547" s="37" t="s">
        <v>8723</v>
      </c>
      <c r="J1547" s="37" t="s">
        <v>200</v>
      </c>
      <c r="K1547" s="40" t="s">
        <v>8724</v>
      </c>
      <c r="L1547" s="37" t="s">
        <v>64</v>
      </c>
      <c r="M1547"/>
      <c r="N1547"/>
    </row>
    <row r="1548" spans="1:14">
      <c r="A1548" s="39"/>
      <c r="B1548" s="37" t="s">
        <v>8725</v>
      </c>
      <c r="C1548" s="37"/>
      <c r="D1548" s="37" t="s">
        <v>844</v>
      </c>
      <c r="E1548" s="37" t="s">
        <v>8726</v>
      </c>
      <c r="F1548" s="37" t="s">
        <v>8727</v>
      </c>
      <c r="G1548" s="37" t="s">
        <v>8728</v>
      </c>
      <c r="H1548" s="37"/>
      <c r="I1548" s="37" t="s">
        <v>776</v>
      </c>
      <c r="J1548" s="37" t="s">
        <v>105</v>
      </c>
      <c r="K1548" s="40" t="s">
        <v>8729</v>
      </c>
      <c r="L1548" s="37" t="s">
        <v>64</v>
      </c>
      <c r="M1548"/>
      <c r="N1548"/>
    </row>
    <row r="1549" spans="1:14">
      <c r="A1549" s="39"/>
      <c r="B1549" s="37" t="s">
        <v>8730</v>
      </c>
      <c r="C1549" s="37"/>
      <c r="D1549" s="37" t="s">
        <v>1757</v>
      </c>
      <c r="E1549" s="37" t="s">
        <v>2650</v>
      </c>
      <c r="F1549" s="37" t="s">
        <v>8731</v>
      </c>
      <c r="G1549" s="37" t="s">
        <v>8732</v>
      </c>
      <c r="H1549" s="37"/>
      <c r="I1549" s="37" t="s">
        <v>8733</v>
      </c>
      <c r="J1549" s="37" t="s">
        <v>114</v>
      </c>
      <c r="K1549" s="40" t="s">
        <v>8734</v>
      </c>
      <c r="L1549" s="37" t="s">
        <v>64</v>
      </c>
      <c r="M1549"/>
      <c r="N1549"/>
    </row>
    <row r="1550" spans="1:14">
      <c r="A1550" s="39"/>
      <c r="B1550" s="37" t="s">
        <v>8735</v>
      </c>
      <c r="C1550" s="37" t="s">
        <v>8736</v>
      </c>
      <c r="D1550" s="37" t="s">
        <v>8737</v>
      </c>
      <c r="E1550" s="37" t="s">
        <v>8738</v>
      </c>
      <c r="F1550" s="37" t="s">
        <v>8739</v>
      </c>
      <c r="G1550" s="37" t="s">
        <v>8740</v>
      </c>
      <c r="H1550" s="37"/>
      <c r="I1550" s="37" t="s">
        <v>8741</v>
      </c>
      <c r="J1550" s="37" t="s">
        <v>70</v>
      </c>
      <c r="K1550" s="40" t="s">
        <v>8742</v>
      </c>
      <c r="L1550" s="37" t="s">
        <v>64</v>
      </c>
      <c r="M1550"/>
      <c r="N1550"/>
    </row>
    <row r="1551" spans="1:14">
      <c r="A1551" s="39"/>
      <c r="B1551" s="37" t="s">
        <v>8743</v>
      </c>
      <c r="C1551" s="37" t="s">
        <v>8744</v>
      </c>
      <c r="D1551" s="37" t="s">
        <v>525</v>
      </c>
      <c r="E1551" s="37" t="s">
        <v>8745</v>
      </c>
      <c r="F1551" s="37" t="s">
        <v>8746</v>
      </c>
      <c r="G1551" s="37" t="s">
        <v>8740</v>
      </c>
      <c r="H1551" s="37"/>
      <c r="I1551" s="37" t="s">
        <v>8741</v>
      </c>
      <c r="J1551" s="37" t="s">
        <v>70</v>
      </c>
      <c r="K1551" s="40" t="s">
        <v>8742</v>
      </c>
      <c r="L1551" s="37" t="s">
        <v>64</v>
      </c>
      <c r="M1551"/>
      <c r="N1551"/>
    </row>
    <row r="1552" spans="1:14">
      <c r="A1552" s="39"/>
      <c r="B1552" s="37" t="s">
        <v>8747</v>
      </c>
      <c r="C1552" s="37" t="s">
        <v>8748</v>
      </c>
      <c r="D1552" s="37" t="s">
        <v>229</v>
      </c>
      <c r="E1552" s="37" t="s">
        <v>8749</v>
      </c>
      <c r="F1552" s="37" t="s">
        <v>8750</v>
      </c>
      <c r="G1552" s="37" t="s">
        <v>8751</v>
      </c>
      <c r="H1552" s="37"/>
      <c r="I1552" s="37" t="s">
        <v>1921</v>
      </c>
      <c r="J1552" s="37" t="s">
        <v>475</v>
      </c>
      <c r="K1552" s="40" t="s">
        <v>8752</v>
      </c>
      <c r="L1552" s="37" t="s">
        <v>64</v>
      </c>
      <c r="M1552"/>
      <c r="N1552"/>
    </row>
    <row r="1553" spans="1:14">
      <c r="A1553" s="39"/>
      <c r="B1553" s="37" t="s">
        <v>8753</v>
      </c>
      <c r="C1553" s="37" t="s">
        <v>8754</v>
      </c>
      <c r="D1553" s="37" t="s">
        <v>8755</v>
      </c>
      <c r="E1553" s="37" t="s">
        <v>8756</v>
      </c>
      <c r="F1553" s="38" t="s">
        <v>5739</v>
      </c>
      <c r="G1553" s="37" t="s">
        <v>8757</v>
      </c>
      <c r="H1553" s="37"/>
      <c r="I1553" s="37" t="s">
        <v>416</v>
      </c>
      <c r="J1553" s="37" t="s">
        <v>75</v>
      </c>
      <c r="K1553" s="40" t="s">
        <v>8758</v>
      </c>
      <c r="L1553" s="37" t="s">
        <v>64</v>
      </c>
      <c r="M1553"/>
      <c r="N1553"/>
    </row>
    <row r="1554" spans="1:14">
      <c r="A1554" s="39"/>
      <c r="B1554" s="37" t="s">
        <v>8759</v>
      </c>
      <c r="C1554" s="37" t="s">
        <v>8760</v>
      </c>
      <c r="D1554" s="37" t="s">
        <v>909</v>
      </c>
      <c r="E1554" s="37" t="s">
        <v>8761</v>
      </c>
      <c r="F1554" s="37" t="s">
        <v>8762</v>
      </c>
      <c r="G1554" s="37" t="s">
        <v>8763</v>
      </c>
      <c r="H1554" s="37"/>
      <c r="I1554" s="37" t="s">
        <v>8764</v>
      </c>
      <c r="J1554" s="37" t="s">
        <v>996</v>
      </c>
      <c r="K1554" s="40" t="s">
        <v>1225</v>
      </c>
      <c r="L1554" s="37" t="s">
        <v>64</v>
      </c>
      <c r="M1554"/>
      <c r="N1554"/>
    </row>
    <row r="1555" spans="1:14">
      <c r="A1555" s="39"/>
      <c r="B1555" s="37" t="s">
        <v>8765</v>
      </c>
      <c r="C1555" s="37"/>
      <c r="D1555" s="37" t="s">
        <v>783</v>
      </c>
      <c r="E1555" s="37" t="s">
        <v>8766</v>
      </c>
      <c r="F1555" s="37" t="s">
        <v>8767</v>
      </c>
      <c r="G1555" s="37" t="s">
        <v>8768</v>
      </c>
      <c r="H1555" s="37"/>
      <c r="I1555" s="37" t="s">
        <v>82</v>
      </c>
      <c r="J1555" s="37" t="s">
        <v>83</v>
      </c>
      <c r="K1555" s="40" t="s">
        <v>910</v>
      </c>
      <c r="L1555" s="37" t="s">
        <v>64</v>
      </c>
      <c r="M1555"/>
      <c r="N1555"/>
    </row>
    <row r="1556" spans="1:14">
      <c r="A1556" s="39"/>
      <c r="B1556" s="37" t="s">
        <v>8769</v>
      </c>
      <c r="C1556" s="37"/>
      <c r="D1556" s="37" t="s">
        <v>8770</v>
      </c>
      <c r="E1556" s="37" t="s">
        <v>8771</v>
      </c>
      <c r="F1556" s="37" t="s">
        <v>8772</v>
      </c>
      <c r="G1556" s="37" t="s">
        <v>8773</v>
      </c>
      <c r="H1556" s="37"/>
      <c r="I1556" s="37" t="s">
        <v>6831</v>
      </c>
      <c r="J1556" s="37" t="s">
        <v>121</v>
      </c>
      <c r="K1556" s="40" t="s">
        <v>7064</v>
      </c>
      <c r="L1556" s="37" t="s">
        <v>64</v>
      </c>
      <c r="M1556"/>
      <c r="N1556"/>
    </row>
    <row r="1557" spans="1:14">
      <c r="A1557" s="39"/>
      <c r="B1557" s="37" t="s">
        <v>8774</v>
      </c>
      <c r="C1557" s="37" t="s">
        <v>8775</v>
      </c>
      <c r="D1557" s="37" t="s">
        <v>909</v>
      </c>
      <c r="E1557" s="37" t="s">
        <v>8776</v>
      </c>
      <c r="F1557" s="37" t="s">
        <v>8777</v>
      </c>
      <c r="G1557" s="37" t="s">
        <v>8778</v>
      </c>
      <c r="H1557" s="37"/>
      <c r="I1557" s="37" t="s">
        <v>8779</v>
      </c>
      <c r="J1557" s="37" t="s">
        <v>475</v>
      </c>
      <c r="K1557" s="40" t="s">
        <v>8780</v>
      </c>
      <c r="L1557" s="37" t="s">
        <v>64</v>
      </c>
      <c r="M1557"/>
      <c r="N1557"/>
    </row>
    <row r="1558" spans="1:14">
      <c r="A1558" s="39"/>
      <c r="B1558" s="37" t="s">
        <v>8781</v>
      </c>
      <c r="C1558" s="37" t="s">
        <v>6761</v>
      </c>
      <c r="D1558" s="37" t="s">
        <v>286</v>
      </c>
      <c r="E1558" s="37" t="s">
        <v>744</v>
      </c>
      <c r="F1558" s="37" t="s">
        <v>8782</v>
      </c>
      <c r="G1558" s="37" t="s">
        <v>8783</v>
      </c>
      <c r="H1558" s="37" t="s">
        <v>8784</v>
      </c>
      <c r="I1558" s="37" t="s">
        <v>3251</v>
      </c>
      <c r="J1558" s="37" t="s">
        <v>121</v>
      </c>
      <c r="K1558" s="40" t="s">
        <v>4968</v>
      </c>
      <c r="L1558" s="37" t="s">
        <v>64</v>
      </c>
      <c r="M1558"/>
      <c r="N1558"/>
    </row>
    <row r="1559" spans="1:14">
      <c r="A1559" s="39"/>
      <c r="B1559" s="37" t="s">
        <v>8785</v>
      </c>
      <c r="C1559" s="37" t="s">
        <v>8786</v>
      </c>
      <c r="D1559" s="37" t="s">
        <v>695</v>
      </c>
      <c r="E1559" s="37" t="s">
        <v>2739</v>
      </c>
      <c r="F1559" s="37" t="s">
        <v>8787</v>
      </c>
      <c r="G1559" s="37" t="s">
        <v>8788</v>
      </c>
      <c r="H1559" s="37"/>
      <c r="I1559" s="37" t="s">
        <v>3373</v>
      </c>
      <c r="J1559" s="37" t="s">
        <v>105</v>
      </c>
      <c r="K1559" s="40" t="s">
        <v>8789</v>
      </c>
      <c r="L1559" s="37" t="s">
        <v>64</v>
      </c>
      <c r="M1559"/>
      <c r="N1559"/>
    </row>
    <row r="1560" spans="1:14">
      <c r="A1560" s="39"/>
      <c r="B1560" s="37" t="s">
        <v>8790</v>
      </c>
      <c r="C1560" s="37" t="s">
        <v>8791</v>
      </c>
      <c r="D1560" s="37" t="s">
        <v>974</v>
      </c>
      <c r="E1560" s="37" t="s">
        <v>8792</v>
      </c>
      <c r="F1560" s="37" t="s">
        <v>8793</v>
      </c>
      <c r="G1560" s="37" t="s">
        <v>8794</v>
      </c>
      <c r="H1560" s="37"/>
      <c r="I1560" s="37" t="s">
        <v>6184</v>
      </c>
      <c r="J1560" s="37" t="s">
        <v>93</v>
      </c>
      <c r="K1560" s="40" t="s">
        <v>8795</v>
      </c>
      <c r="L1560" s="37" t="s">
        <v>64</v>
      </c>
      <c r="M1560"/>
      <c r="N1560"/>
    </row>
    <row r="1561" spans="1:14">
      <c r="A1561" s="39"/>
      <c r="B1561" s="37" t="s">
        <v>8796</v>
      </c>
      <c r="C1561" s="37" t="s">
        <v>8797</v>
      </c>
      <c r="D1561" s="37" t="s">
        <v>1479</v>
      </c>
      <c r="E1561" s="37" t="s">
        <v>8798</v>
      </c>
      <c r="F1561" s="37" t="s">
        <v>8799</v>
      </c>
      <c r="G1561" s="37" t="s">
        <v>8800</v>
      </c>
      <c r="H1561" s="37"/>
      <c r="I1561" s="37" t="s">
        <v>639</v>
      </c>
      <c r="J1561" s="37" t="s">
        <v>105</v>
      </c>
      <c r="K1561" s="40" t="s">
        <v>1323</v>
      </c>
      <c r="L1561" s="37" t="s">
        <v>64</v>
      </c>
      <c r="M1561"/>
      <c r="N1561"/>
    </row>
    <row r="1562" spans="1:14">
      <c r="A1562" s="39"/>
      <c r="B1562" s="37" t="s">
        <v>8801</v>
      </c>
      <c r="C1562" s="37"/>
      <c r="D1562" s="37" t="s">
        <v>2570</v>
      </c>
      <c r="E1562" s="37" t="s">
        <v>1374</v>
      </c>
      <c r="F1562" s="37" t="s">
        <v>8802</v>
      </c>
      <c r="G1562" s="37" t="s">
        <v>8803</v>
      </c>
      <c r="H1562" s="37"/>
      <c r="I1562" s="37" t="s">
        <v>416</v>
      </c>
      <c r="J1562" s="37" t="s">
        <v>75</v>
      </c>
      <c r="K1562" s="40" t="s">
        <v>8804</v>
      </c>
      <c r="L1562" s="37" t="s">
        <v>64</v>
      </c>
      <c r="M1562"/>
      <c r="N1562"/>
    </row>
    <row r="1563" spans="1:14">
      <c r="A1563" s="39"/>
      <c r="B1563" s="37" t="s">
        <v>8801</v>
      </c>
      <c r="C1563" s="37" t="s">
        <v>8805</v>
      </c>
      <c r="D1563" s="37" t="s">
        <v>117</v>
      </c>
      <c r="E1563" s="37" t="s">
        <v>2132</v>
      </c>
      <c r="F1563" s="37" t="s">
        <v>8806</v>
      </c>
      <c r="G1563" s="37" t="s">
        <v>8807</v>
      </c>
      <c r="H1563" s="37" t="s">
        <v>2441</v>
      </c>
      <c r="I1563" s="37" t="s">
        <v>3251</v>
      </c>
      <c r="J1563" s="37" t="s">
        <v>121</v>
      </c>
      <c r="K1563" s="40" t="s">
        <v>4968</v>
      </c>
      <c r="L1563" s="37" t="s">
        <v>64</v>
      </c>
      <c r="M1563"/>
      <c r="N1563"/>
    </row>
    <row r="1564" spans="1:14">
      <c r="A1564" s="39"/>
      <c r="B1564" s="37" t="s">
        <v>8808</v>
      </c>
      <c r="C1564" s="37" t="s">
        <v>8809</v>
      </c>
      <c r="D1564" s="37" t="s">
        <v>8810</v>
      </c>
      <c r="E1564" s="37" t="s">
        <v>8811</v>
      </c>
      <c r="F1564" s="37" t="s">
        <v>8812</v>
      </c>
      <c r="G1564" s="37" t="s">
        <v>8813</v>
      </c>
      <c r="H1564" s="37"/>
      <c r="I1564" s="37" t="s">
        <v>4165</v>
      </c>
      <c r="J1564" s="37" t="s">
        <v>256</v>
      </c>
      <c r="K1564" s="40" t="s">
        <v>1962</v>
      </c>
      <c r="L1564" s="37" t="s">
        <v>64</v>
      </c>
      <c r="M1564"/>
      <c r="N1564"/>
    </row>
    <row r="1565" spans="1:14">
      <c r="A1565" s="39"/>
      <c r="B1565" s="37" t="s">
        <v>8814</v>
      </c>
      <c r="C1565" s="37" t="s">
        <v>7041</v>
      </c>
      <c r="D1565" s="37" t="s">
        <v>1636</v>
      </c>
      <c r="E1565" s="37" t="s">
        <v>2245</v>
      </c>
      <c r="F1565" s="37" t="s">
        <v>8815</v>
      </c>
      <c r="G1565" s="37" t="s">
        <v>8816</v>
      </c>
      <c r="H1565" s="37"/>
      <c r="I1565" s="37" t="s">
        <v>843</v>
      </c>
      <c r="J1565" s="37" t="s">
        <v>75</v>
      </c>
      <c r="K1565" s="40" t="s">
        <v>8817</v>
      </c>
      <c r="L1565" s="37" t="s">
        <v>64</v>
      </c>
      <c r="M1565"/>
      <c r="N1565"/>
    </row>
    <row r="1566" spans="1:14">
      <c r="A1566" s="39"/>
      <c r="B1566" s="37" t="s">
        <v>8814</v>
      </c>
      <c r="C1566" s="37" t="s">
        <v>7214</v>
      </c>
      <c r="D1566" s="37" t="s">
        <v>286</v>
      </c>
      <c r="E1566" s="37" t="s">
        <v>8818</v>
      </c>
      <c r="F1566" s="37" t="s">
        <v>8819</v>
      </c>
      <c r="G1566" s="37" t="s">
        <v>8820</v>
      </c>
      <c r="H1566" s="37"/>
      <c r="I1566" s="37" t="s">
        <v>431</v>
      </c>
      <c r="J1566" s="37" t="s">
        <v>425</v>
      </c>
      <c r="K1566" s="40" t="s">
        <v>8470</v>
      </c>
      <c r="L1566" s="37" t="s">
        <v>64</v>
      </c>
      <c r="M1566"/>
      <c r="N1566"/>
    </row>
    <row r="1567" spans="1:14">
      <c r="A1567" s="39"/>
      <c r="B1567" s="37" t="s">
        <v>8814</v>
      </c>
      <c r="C1567" s="37" t="s">
        <v>7585</v>
      </c>
      <c r="D1567" s="37" t="s">
        <v>3045</v>
      </c>
      <c r="E1567" s="37" t="s">
        <v>8821</v>
      </c>
      <c r="F1567" s="37" t="s">
        <v>8819</v>
      </c>
      <c r="G1567" s="37" t="s">
        <v>8822</v>
      </c>
      <c r="H1567" s="37"/>
      <c r="I1567" s="37" t="s">
        <v>8823</v>
      </c>
      <c r="J1567" s="37" t="s">
        <v>983</v>
      </c>
      <c r="K1567" s="40" t="s">
        <v>8824</v>
      </c>
      <c r="L1567" s="37" t="s">
        <v>64</v>
      </c>
      <c r="M1567"/>
      <c r="N1567"/>
    </row>
    <row r="1568" spans="1:14">
      <c r="A1568" s="39"/>
      <c r="B1568" s="37" t="s">
        <v>8825</v>
      </c>
      <c r="C1568" s="37" t="s">
        <v>8826</v>
      </c>
      <c r="D1568" s="37" t="s">
        <v>1284</v>
      </c>
      <c r="E1568" s="37" t="s">
        <v>4145</v>
      </c>
      <c r="F1568" s="37" t="s">
        <v>8827</v>
      </c>
      <c r="G1568" s="37" t="s">
        <v>8828</v>
      </c>
      <c r="H1568" s="37"/>
      <c r="I1568" s="37" t="s">
        <v>5599</v>
      </c>
      <c r="J1568" s="37" t="s">
        <v>105</v>
      </c>
      <c r="K1568" s="40" t="s">
        <v>5600</v>
      </c>
      <c r="L1568" s="37" t="s">
        <v>64</v>
      </c>
      <c r="M1568"/>
      <c r="N1568"/>
    </row>
    <row r="1569" spans="1:14">
      <c r="A1569" s="39"/>
      <c r="B1569" s="37" t="s">
        <v>8825</v>
      </c>
      <c r="C1569" s="37"/>
      <c r="D1569" s="37" t="s">
        <v>8829</v>
      </c>
      <c r="E1569" s="37" t="s">
        <v>8830</v>
      </c>
      <c r="F1569" s="37" t="s">
        <v>8831</v>
      </c>
      <c r="G1569" s="37" t="s">
        <v>8832</v>
      </c>
      <c r="H1569" s="37"/>
      <c r="I1569" s="37" t="s">
        <v>5599</v>
      </c>
      <c r="J1569" s="37" t="s">
        <v>105</v>
      </c>
      <c r="K1569" s="40" t="s">
        <v>5600</v>
      </c>
      <c r="L1569" s="37" t="s">
        <v>64</v>
      </c>
      <c r="M1569"/>
      <c r="N1569"/>
    </row>
    <row r="1570" spans="1:14">
      <c r="A1570" s="39"/>
      <c r="B1570" s="37" t="s">
        <v>8833</v>
      </c>
      <c r="C1570" s="37" t="s">
        <v>8834</v>
      </c>
      <c r="D1570" s="37" t="s">
        <v>211</v>
      </c>
      <c r="E1570" s="37" t="s">
        <v>8835</v>
      </c>
      <c r="F1570" s="37" t="s">
        <v>8836</v>
      </c>
      <c r="G1570" s="37" t="s">
        <v>8837</v>
      </c>
      <c r="H1570" s="37"/>
      <c r="I1570" s="37" t="s">
        <v>6934</v>
      </c>
      <c r="J1570" s="37" t="s">
        <v>121</v>
      </c>
      <c r="K1570" s="40" t="s">
        <v>8838</v>
      </c>
      <c r="L1570" s="37" t="s">
        <v>64</v>
      </c>
      <c r="M1570"/>
      <c r="N1570"/>
    </row>
    <row r="1571" spans="1:14">
      <c r="A1571" s="39"/>
      <c r="B1571" s="37" t="s">
        <v>8833</v>
      </c>
      <c r="C1571" s="37" t="s">
        <v>8839</v>
      </c>
      <c r="D1571" s="37" t="s">
        <v>3172</v>
      </c>
      <c r="E1571" s="37" t="s">
        <v>8840</v>
      </c>
      <c r="F1571" s="37" t="s">
        <v>8841</v>
      </c>
      <c r="G1571" s="37" t="s">
        <v>8842</v>
      </c>
      <c r="H1571" s="37"/>
      <c r="I1571" s="37" t="s">
        <v>8843</v>
      </c>
      <c r="J1571" s="37" t="s">
        <v>105</v>
      </c>
      <c r="K1571" s="40" t="s">
        <v>8844</v>
      </c>
      <c r="L1571" s="37" t="s">
        <v>64</v>
      </c>
      <c r="M1571"/>
      <c r="N1571"/>
    </row>
    <row r="1572" spans="1:14">
      <c r="A1572" s="39"/>
      <c r="B1572" s="37" t="s">
        <v>8845</v>
      </c>
      <c r="C1572" s="37" t="s">
        <v>6917</v>
      </c>
      <c r="D1572" s="37" t="s">
        <v>8846</v>
      </c>
      <c r="E1572" s="37" t="s">
        <v>8847</v>
      </c>
      <c r="F1572" s="37" t="s">
        <v>8848</v>
      </c>
      <c r="G1572" s="37" t="s">
        <v>8849</v>
      </c>
      <c r="H1572" s="37" t="s">
        <v>8850</v>
      </c>
      <c r="I1572" s="37" t="s">
        <v>7777</v>
      </c>
      <c r="J1572" s="37" t="s">
        <v>93</v>
      </c>
      <c r="K1572" s="40" t="s">
        <v>7397</v>
      </c>
      <c r="L1572" s="37" t="s">
        <v>64</v>
      </c>
      <c r="M1572"/>
      <c r="N1572"/>
    </row>
    <row r="1573" spans="1:14">
      <c r="A1573" s="39"/>
      <c r="B1573" s="37" t="s">
        <v>8851</v>
      </c>
      <c r="C1573" s="37" t="s">
        <v>8852</v>
      </c>
      <c r="D1573" s="37" t="s">
        <v>8853</v>
      </c>
      <c r="E1573" s="37" t="s">
        <v>8854</v>
      </c>
      <c r="F1573" s="37" t="s">
        <v>8855</v>
      </c>
      <c r="G1573" s="37" t="s">
        <v>8856</v>
      </c>
      <c r="H1573" s="37"/>
      <c r="I1573" s="37" t="s">
        <v>8857</v>
      </c>
      <c r="J1573" s="37" t="s">
        <v>114</v>
      </c>
      <c r="K1573" s="40" t="s">
        <v>8858</v>
      </c>
      <c r="L1573" s="37" t="s">
        <v>64</v>
      </c>
      <c r="M1573"/>
      <c r="N1573"/>
    </row>
    <row r="1574" spans="1:14">
      <c r="A1574" s="39"/>
      <c r="B1574" s="37" t="s">
        <v>8859</v>
      </c>
      <c r="C1574" s="37"/>
      <c r="D1574" s="37" t="s">
        <v>7594</v>
      </c>
      <c r="E1574" s="37" t="s">
        <v>8860</v>
      </c>
      <c r="F1574" s="37" t="s">
        <v>8861</v>
      </c>
      <c r="G1574" s="37" t="s">
        <v>8862</v>
      </c>
      <c r="H1574" s="37"/>
      <c r="I1574" s="37" t="s">
        <v>8863</v>
      </c>
      <c r="J1574" s="37" t="s">
        <v>196</v>
      </c>
      <c r="K1574" s="40" t="s">
        <v>8864</v>
      </c>
      <c r="L1574" s="37" t="s">
        <v>64</v>
      </c>
      <c r="M1574"/>
      <c r="N1574"/>
    </row>
    <row r="1575" spans="1:14">
      <c r="A1575" s="39"/>
      <c r="B1575" s="37" t="s">
        <v>8865</v>
      </c>
      <c r="C1575" s="37" t="s">
        <v>8866</v>
      </c>
      <c r="D1575" s="37" t="s">
        <v>8867</v>
      </c>
      <c r="E1575" s="37" t="s">
        <v>8868</v>
      </c>
      <c r="F1575" s="37" t="s">
        <v>8869</v>
      </c>
      <c r="G1575" s="37" t="s">
        <v>8870</v>
      </c>
      <c r="H1575" s="37"/>
      <c r="I1575" s="37" t="s">
        <v>8871</v>
      </c>
      <c r="J1575" s="37" t="s">
        <v>394</v>
      </c>
      <c r="K1575" s="40" t="s">
        <v>8872</v>
      </c>
      <c r="L1575" s="37" t="s">
        <v>64</v>
      </c>
      <c r="M1575"/>
      <c r="N1575"/>
    </row>
    <row r="1576" spans="1:14">
      <c r="A1576" s="39"/>
      <c r="B1576" s="37" t="s">
        <v>8873</v>
      </c>
      <c r="C1576" s="37" t="s">
        <v>8874</v>
      </c>
      <c r="D1576" s="37" t="s">
        <v>3688</v>
      </c>
      <c r="E1576" s="37" t="s">
        <v>1258</v>
      </c>
      <c r="F1576" s="37" t="s">
        <v>8875</v>
      </c>
      <c r="G1576" s="37" t="s">
        <v>8876</v>
      </c>
      <c r="H1576" s="37"/>
      <c r="I1576" s="37" t="s">
        <v>420</v>
      </c>
      <c r="J1576" s="37" t="s">
        <v>75</v>
      </c>
      <c r="K1576" s="40" t="s">
        <v>4273</v>
      </c>
      <c r="L1576" s="37" t="s">
        <v>64</v>
      </c>
      <c r="M1576"/>
      <c r="N1576"/>
    </row>
    <row r="1577" spans="1:14">
      <c r="A1577" s="39"/>
      <c r="B1577" s="37" t="s">
        <v>8877</v>
      </c>
      <c r="C1577" s="37" t="s">
        <v>7901</v>
      </c>
      <c r="D1577" s="37" t="s">
        <v>286</v>
      </c>
      <c r="E1577" s="37" t="s">
        <v>8878</v>
      </c>
      <c r="F1577" s="37" t="s">
        <v>8879</v>
      </c>
      <c r="G1577" s="37" t="s">
        <v>8880</v>
      </c>
      <c r="H1577" s="37"/>
      <c r="I1577" s="37" t="s">
        <v>8881</v>
      </c>
      <c r="J1577" s="37" t="s">
        <v>93</v>
      </c>
      <c r="K1577" s="40" t="s">
        <v>8882</v>
      </c>
      <c r="L1577" s="37" t="s">
        <v>64</v>
      </c>
      <c r="M1577"/>
      <c r="N1577"/>
    </row>
    <row r="1578" spans="1:14">
      <c r="A1578" s="39"/>
      <c r="B1578" s="37" t="s">
        <v>8883</v>
      </c>
      <c r="C1578" s="37" t="s">
        <v>6804</v>
      </c>
      <c r="D1578" s="37" t="s">
        <v>8884</v>
      </c>
      <c r="E1578" s="37" t="s">
        <v>8885</v>
      </c>
      <c r="F1578" s="37" t="s">
        <v>8886</v>
      </c>
      <c r="G1578" s="37" t="s">
        <v>8887</v>
      </c>
      <c r="H1578" s="37" t="s">
        <v>8888</v>
      </c>
      <c r="I1578" s="37" t="s">
        <v>3373</v>
      </c>
      <c r="J1578" s="37" t="s">
        <v>105</v>
      </c>
      <c r="K1578" s="40" t="s">
        <v>8789</v>
      </c>
      <c r="L1578" s="37" t="s">
        <v>64</v>
      </c>
      <c r="M1578"/>
      <c r="N1578"/>
    </row>
    <row r="1579" spans="1:14">
      <c r="A1579" s="39"/>
      <c r="B1579" s="37" t="s">
        <v>8889</v>
      </c>
      <c r="C1579" s="37" t="s">
        <v>6921</v>
      </c>
      <c r="D1579" s="37" t="s">
        <v>2288</v>
      </c>
      <c r="E1579" s="37" t="s">
        <v>8890</v>
      </c>
      <c r="F1579" s="37" t="s">
        <v>8891</v>
      </c>
      <c r="G1579" s="37" t="s">
        <v>8892</v>
      </c>
      <c r="H1579" s="37" t="s">
        <v>3151</v>
      </c>
      <c r="I1579" s="37" t="s">
        <v>1210</v>
      </c>
      <c r="J1579" s="37" t="s">
        <v>114</v>
      </c>
      <c r="K1579" s="40" t="s">
        <v>1211</v>
      </c>
      <c r="L1579" s="37" t="s">
        <v>64</v>
      </c>
      <c r="M1579"/>
      <c r="N1579"/>
    </row>
    <row r="1580" spans="1:14">
      <c r="A1580" s="39"/>
      <c r="B1580" s="37" t="s">
        <v>8893</v>
      </c>
      <c r="C1580" s="37" t="s">
        <v>7441</v>
      </c>
      <c r="D1580" s="37" t="s">
        <v>6266</v>
      </c>
      <c r="E1580" s="37" t="s">
        <v>8894</v>
      </c>
      <c r="F1580" s="37" t="s">
        <v>8895</v>
      </c>
      <c r="G1580" s="37" t="s">
        <v>8896</v>
      </c>
      <c r="H1580" s="37"/>
      <c r="I1580" s="37" t="s">
        <v>8897</v>
      </c>
      <c r="J1580" s="37" t="s">
        <v>675</v>
      </c>
      <c r="K1580" s="40" t="s">
        <v>8898</v>
      </c>
      <c r="L1580" s="37" t="s">
        <v>64</v>
      </c>
      <c r="M1580"/>
      <c r="N1580"/>
    </row>
    <row r="1581" spans="1:14">
      <c r="A1581" s="39"/>
      <c r="B1581" s="37" t="s">
        <v>8899</v>
      </c>
      <c r="C1581" s="37" t="s">
        <v>8900</v>
      </c>
      <c r="D1581" s="37" t="s">
        <v>223</v>
      </c>
      <c r="E1581" s="37" t="s">
        <v>8901</v>
      </c>
      <c r="F1581" s="37" t="s">
        <v>8902</v>
      </c>
      <c r="G1581" s="37" t="s">
        <v>8903</v>
      </c>
      <c r="H1581" s="37"/>
      <c r="I1581" s="37" t="s">
        <v>4007</v>
      </c>
      <c r="J1581" s="37" t="s">
        <v>488</v>
      </c>
      <c r="K1581" s="40" t="s">
        <v>8904</v>
      </c>
      <c r="L1581" s="37" t="s">
        <v>64</v>
      </c>
      <c r="M1581"/>
      <c r="N1581"/>
    </row>
    <row r="1582" spans="1:14">
      <c r="A1582" s="39"/>
      <c r="B1582" s="37" t="s">
        <v>8905</v>
      </c>
      <c r="C1582" s="37" t="s">
        <v>7096</v>
      </c>
      <c r="D1582" s="37" t="s">
        <v>8906</v>
      </c>
      <c r="E1582" s="37" t="s">
        <v>8907</v>
      </c>
      <c r="F1582" s="37" t="s">
        <v>8908</v>
      </c>
      <c r="G1582" s="37" t="s">
        <v>8909</v>
      </c>
      <c r="H1582" s="37" t="s">
        <v>8910</v>
      </c>
      <c r="I1582" s="37" t="s">
        <v>82</v>
      </c>
      <c r="J1582" s="37" t="s">
        <v>83</v>
      </c>
      <c r="K1582" s="40" t="s">
        <v>6526</v>
      </c>
      <c r="L1582" s="37" t="s">
        <v>64</v>
      </c>
      <c r="M1582"/>
      <c r="N1582"/>
    </row>
    <row r="1583" spans="1:14">
      <c r="A1583" s="39"/>
      <c r="B1583" s="37" t="s">
        <v>8911</v>
      </c>
      <c r="C1583" s="37"/>
      <c r="D1583" s="37" t="s">
        <v>482</v>
      </c>
      <c r="E1583" s="37" t="s">
        <v>8912</v>
      </c>
      <c r="F1583" s="37" t="s">
        <v>8913</v>
      </c>
      <c r="G1583" s="37" t="s">
        <v>8914</v>
      </c>
      <c r="H1583" s="37"/>
      <c r="I1583" s="37" t="s">
        <v>1224</v>
      </c>
      <c r="J1583" s="37" t="s">
        <v>996</v>
      </c>
      <c r="K1583" s="40" t="s">
        <v>8915</v>
      </c>
      <c r="L1583" s="37" t="s">
        <v>64</v>
      </c>
      <c r="M1583"/>
      <c r="N1583"/>
    </row>
    <row r="1584" spans="1:14">
      <c r="A1584" s="39"/>
      <c r="B1584" s="37" t="s">
        <v>8916</v>
      </c>
      <c r="C1584" s="37"/>
      <c r="D1584" s="37" t="s">
        <v>509</v>
      </c>
      <c r="E1584" s="37" t="s">
        <v>8917</v>
      </c>
      <c r="F1584" s="37" t="s">
        <v>8918</v>
      </c>
      <c r="G1584" s="37" t="s">
        <v>8919</v>
      </c>
      <c r="H1584" s="37"/>
      <c r="I1584" s="37" t="s">
        <v>120</v>
      </c>
      <c r="J1584" s="37" t="s">
        <v>121</v>
      </c>
      <c r="K1584" s="40" t="s">
        <v>6928</v>
      </c>
      <c r="L1584" s="37" t="s">
        <v>64</v>
      </c>
      <c r="M1584"/>
      <c r="N1584"/>
    </row>
    <row r="1585" spans="1:14">
      <c r="A1585" s="39"/>
      <c r="B1585" s="37" t="s">
        <v>8920</v>
      </c>
      <c r="C1585" s="37" t="s">
        <v>8645</v>
      </c>
      <c r="D1585" s="37" t="s">
        <v>8921</v>
      </c>
      <c r="E1585" s="37" t="s">
        <v>8922</v>
      </c>
      <c r="F1585" s="37" t="s">
        <v>8923</v>
      </c>
      <c r="G1585" s="37" t="s">
        <v>8924</v>
      </c>
      <c r="H1585" s="37" t="s">
        <v>8925</v>
      </c>
      <c r="I1585" s="37" t="s">
        <v>8926</v>
      </c>
      <c r="J1585" s="37" t="s">
        <v>200</v>
      </c>
      <c r="K1585" s="40" t="s">
        <v>8927</v>
      </c>
      <c r="L1585" s="37" t="s">
        <v>64</v>
      </c>
      <c r="M1585"/>
      <c r="N1585"/>
    </row>
    <row r="1586" spans="1:14">
      <c r="A1586" s="39"/>
      <c r="B1586" s="37" t="s">
        <v>8928</v>
      </c>
      <c r="C1586" s="37" t="s">
        <v>8929</v>
      </c>
      <c r="D1586" s="37" t="s">
        <v>2389</v>
      </c>
      <c r="E1586" s="37" t="s">
        <v>8930</v>
      </c>
      <c r="F1586" s="37" t="s">
        <v>8931</v>
      </c>
      <c r="G1586" s="37" t="s">
        <v>8932</v>
      </c>
      <c r="H1586" s="37"/>
      <c r="I1586" s="37" t="s">
        <v>8933</v>
      </c>
      <c r="J1586" s="37" t="s">
        <v>7566</v>
      </c>
      <c r="K1586" s="40" t="s">
        <v>8934</v>
      </c>
      <c r="L1586" s="37" t="s">
        <v>64</v>
      </c>
      <c r="M1586"/>
      <c r="N1586"/>
    </row>
    <row r="1587" spans="1:14">
      <c r="A1587" s="39"/>
      <c r="B1587" s="37" t="s">
        <v>8935</v>
      </c>
      <c r="C1587" s="37" t="s">
        <v>8936</v>
      </c>
      <c r="D1587" s="37" t="s">
        <v>1214</v>
      </c>
      <c r="E1587" s="37" t="s">
        <v>8937</v>
      </c>
      <c r="F1587" s="37" t="s">
        <v>8938</v>
      </c>
      <c r="G1587" s="37" t="s">
        <v>8939</v>
      </c>
      <c r="H1587" s="37"/>
      <c r="I1587" s="37" t="s">
        <v>8940</v>
      </c>
      <c r="J1587" s="37" t="s">
        <v>200</v>
      </c>
      <c r="K1587" s="40" t="s">
        <v>8941</v>
      </c>
      <c r="L1587" s="37" t="s">
        <v>64</v>
      </c>
      <c r="M1587"/>
      <c r="N1587"/>
    </row>
    <row r="1588" spans="1:14">
      <c r="A1588" s="39"/>
      <c r="B1588" s="37" t="s">
        <v>8942</v>
      </c>
      <c r="C1588" s="37" t="s">
        <v>8943</v>
      </c>
      <c r="D1588" s="37" t="s">
        <v>955</v>
      </c>
      <c r="E1588" s="37" t="s">
        <v>8944</v>
      </c>
      <c r="F1588" s="37" t="s">
        <v>8945</v>
      </c>
      <c r="G1588" s="37" t="s">
        <v>8946</v>
      </c>
      <c r="H1588" s="37"/>
      <c r="I1588" s="37" t="s">
        <v>8947</v>
      </c>
      <c r="J1588" s="37" t="s">
        <v>996</v>
      </c>
      <c r="K1588" s="40" t="s">
        <v>8948</v>
      </c>
      <c r="L1588" s="37" t="s">
        <v>64</v>
      </c>
      <c r="M1588"/>
      <c r="N1588"/>
    </row>
    <row r="1589" spans="1:14">
      <c r="A1589" s="39"/>
      <c r="B1589" s="37" t="s">
        <v>8949</v>
      </c>
      <c r="C1589" s="37" t="s">
        <v>8950</v>
      </c>
      <c r="D1589" s="37" t="s">
        <v>471</v>
      </c>
      <c r="E1589" s="37" t="s">
        <v>7773</v>
      </c>
      <c r="F1589" s="37" t="s">
        <v>8951</v>
      </c>
      <c r="G1589" s="37" t="s">
        <v>8952</v>
      </c>
      <c r="H1589" s="37"/>
      <c r="I1589" s="37" t="s">
        <v>5261</v>
      </c>
      <c r="J1589" s="37" t="s">
        <v>121</v>
      </c>
      <c r="K1589" s="40"/>
      <c r="L1589" s="37" t="s">
        <v>64</v>
      </c>
      <c r="M1589"/>
      <c r="N1589"/>
    </row>
    <row r="1590" spans="1:14">
      <c r="A1590" s="39"/>
      <c r="B1590" s="37" t="s">
        <v>8953</v>
      </c>
      <c r="C1590" s="37"/>
      <c r="D1590" s="37" t="s">
        <v>2692</v>
      </c>
      <c r="E1590" s="37" t="s">
        <v>8954</v>
      </c>
      <c r="F1590" s="37" t="s">
        <v>8955</v>
      </c>
      <c r="G1590" s="37" t="s">
        <v>8956</v>
      </c>
      <c r="H1590" s="37"/>
      <c r="I1590" s="37" t="s">
        <v>8957</v>
      </c>
      <c r="J1590" s="37" t="s">
        <v>105</v>
      </c>
      <c r="K1590" s="40" t="s">
        <v>8958</v>
      </c>
      <c r="L1590" s="37" t="s">
        <v>64</v>
      </c>
      <c r="M1590"/>
      <c r="N1590"/>
    </row>
    <row r="1591" spans="1:14">
      <c r="A1591" s="39"/>
      <c r="B1591" s="37" t="s">
        <v>8959</v>
      </c>
      <c r="C1591" s="37"/>
      <c r="D1591" s="37" t="s">
        <v>8960</v>
      </c>
      <c r="E1591" s="37" t="s">
        <v>1056</v>
      </c>
      <c r="F1591" s="37" t="s">
        <v>8961</v>
      </c>
      <c r="G1591" s="37" t="s">
        <v>8962</v>
      </c>
      <c r="H1591" s="37"/>
      <c r="I1591" s="37" t="s">
        <v>8963</v>
      </c>
      <c r="J1591" s="37" t="s">
        <v>153</v>
      </c>
      <c r="K1591" s="40" t="s">
        <v>8964</v>
      </c>
      <c r="L1591" s="37" t="s">
        <v>64</v>
      </c>
      <c r="M1591"/>
      <c r="N1591"/>
    </row>
    <row r="1592" spans="1:14">
      <c r="A1592" s="39"/>
      <c r="B1592" s="37" t="s">
        <v>8965</v>
      </c>
      <c r="C1592" s="37" t="s">
        <v>8966</v>
      </c>
      <c r="D1592" s="37" t="s">
        <v>211</v>
      </c>
      <c r="E1592" s="37" t="s">
        <v>8967</v>
      </c>
      <c r="F1592" s="37" t="s">
        <v>8968</v>
      </c>
      <c r="G1592" s="37" t="s">
        <v>8969</v>
      </c>
      <c r="H1592" s="37" t="s">
        <v>8970</v>
      </c>
      <c r="I1592" s="37" t="s">
        <v>794</v>
      </c>
      <c r="J1592" s="37" t="s">
        <v>196</v>
      </c>
      <c r="K1592" s="40" t="s">
        <v>8971</v>
      </c>
      <c r="L1592" s="37" t="s">
        <v>64</v>
      </c>
      <c r="M1592"/>
      <c r="N1592"/>
    </row>
    <row r="1593" spans="1:14">
      <c r="A1593" s="39"/>
      <c r="B1593" s="37" t="s">
        <v>8972</v>
      </c>
      <c r="C1593" s="37" t="s">
        <v>6917</v>
      </c>
      <c r="D1593" s="37" t="s">
        <v>1858</v>
      </c>
      <c r="E1593" s="37" t="s">
        <v>8973</v>
      </c>
      <c r="F1593" s="37" t="s">
        <v>8974</v>
      </c>
      <c r="G1593" s="37" t="s">
        <v>8975</v>
      </c>
      <c r="H1593" s="37"/>
      <c r="I1593" s="37" t="s">
        <v>8976</v>
      </c>
      <c r="J1593" s="37" t="s">
        <v>324</v>
      </c>
      <c r="K1593" s="40" t="s">
        <v>8977</v>
      </c>
      <c r="L1593" s="37" t="s">
        <v>64</v>
      </c>
      <c r="M1593"/>
      <c r="N1593"/>
    </row>
    <row r="1594" spans="1:14">
      <c r="A1594" s="39"/>
      <c r="B1594" s="37" t="s">
        <v>8978</v>
      </c>
      <c r="C1594" s="37" t="s">
        <v>8979</v>
      </c>
      <c r="D1594" s="37" t="s">
        <v>1757</v>
      </c>
      <c r="E1594" s="37" t="s">
        <v>8980</v>
      </c>
      <c r="F1594" s="37" t="s">
        <v>8981</v>
      </c>
      <c r="G1594" s="37" t="s">
        <v>8982</v>
      </c>
      <c r="H1594" s="37" t="s">
        <v>1775</v>
      </c>
      <c r="I1594" s="37" t="s">
        <v>8976</v>
      </c>
      <c r="J1594" s="37" t="s">
        <v>324</v>
      </c>
      <c r="K1594" s="40" t="s">
        <v>8977</v>
      </c>
      <c r="L1594" s="37" t="s">
        <v>64</v>
      </c>
      <c r="M1594"/>
      <c r="N1594"/>
    </row>
    <row r="1595" spans="1:14">
      <c r="A1595" s="39"/>
      <c r="B1595" s="37" t="s">
        <v>8983</v>
      </c>
      <c r="C1595" s="37" t="s">
        <v>7643</v>
      </c>
      <c r="D1595" s="37" t="s">
        <v>216</v>
      </c>
      <c r="E1595" s="37" t="s">
        <v>2801</v>
      </c>
      <c r="F1595" s="37" t="s">
        <v>8984</v>
      </c>
      <c r="G1595" s="37" t="s">
        <v>8985</v>
      </c>
      <c r="H1595" s="37"/>
      <c r="I1595" s="37" t="s">
        <v>8976</v>
      </c>
      <c r="J1595" s="37" t="s">
        <v>324</v>
      </c>
      <c r="K1595" s="40" t="s">
        <v>8977</v>
      </c>
      <c r="L1595" s="37" t="s">
        <v>64</v>
      </c>
      <c r="M1595"/>
      <c r="N1595"/>
    </row>
    <row r="1596" spans="1:14">
      <c r="A1596" s="39"/>
      <c r="B1596" s="37" t="s">
        <v>8986</v>
      </c>
      <c r="C1596" s="37" t="s">
        <v>8987</v>
      </c>
      <c r="D1596" s="37" t="s">
        <v>5520</v>
      </c>
      <c r="E1596" s="37" t="s">
        <v>8988</v>
      </c>
      <c r="F1596" s="37" t="s">
        <v>8989</v>
      </c>
      <c r="G1596" s="37" t="s">
        <v>8990</v>
      </c>
      <c r="H1596" s="37"/>
      <c r="I1596" s="37" t="s">
        <v>5421</v>
      </c>
      <c r="J1596" s="37" t="s">
        <v>200</v>
      </c>
      <c r="K1596" s="40" t="s">
        <v>3171</v>
      </c>
      <c r="L1596" s="37" t="s">
        <v>64</v>
      </c>
      <c r="M1596"/>
      <c r="N1596"/>
    </row>
    <row r="1597" spans="1:14">
      <c r="A1597" s="39"/>
      <c r="B1597" s="37" t="s">
        <v>8991</v>
      </c>
      <c r="C1597" s="37" t="s">
        <v>8992</v>
      </c>
      <c r="D1597" s="37" t="s">
        <v>2367</v>
      </c>
      <c r="E1597" s="37" t="s">
        <v>8993</v>
      </c>
      <c r="F1597" s="37" t="s">
        <v>8994</v>
      </c>
      <c r="G1597" s="37" t="s">
        <v>7330</v>
      </c>
      <c r="H1597" s="37"/>
      <c r="I1597" s="37" t="s">
        <v>7105</v>
      </c>
      <c r="J1597" s="37" t="s">
        <v>121</v>
      </c>
      <c r="K1597" s="40" t="s">
        <v>6472</v>
      </c>
      <c r="L1597" s="37" t="s">
        <v>64</v>
      </c>
      <c r="M1597"/>
      <c r="N1597"/>
    </row>
    <row r="1598" spans="1:14">
      <c r="A1598" s="39"/>
      <c r="B1598" s="37" t="s">
        <v>8995</v>
      </c>
      <c r="C1598" s="37" t="s">
        <v>7901</v>
      </c>
      <c r="D1598" s="37" t="s">
        <v>482</v>
      </c>
      <c r="E1598" s="37" t="s">
        <v>4043</v>
      </c>
      <c r="F1598" s="37" t="s">
        <v>8996</v>
      </c>
      <c r="G1598" s="37" t="s">
        <v>8997</v>
      </c>
      <c r="H1598" s="37"/>
      <c r="I1598" s="37" t="s">
        <v>8998</v>
      </c>
      <c r="J1598" s="37" t="s">
        <v>334</v>
      </c>
      <c r="K1598" s="40" t="s">
        <v>8999</v>
      </c>
      <c r="L1598" s="37" t="s">
        <v>64</v>
      </c>
      <c r="M1598"/>
      <c r="N1598"/>
    </row>
    <row r="1599" spans="1:14">
      <c r="A1599" s="39"/>
      <c r="B1599" s="37" t="s">
        <v>9000</v>
      </c>
      <c r="C1599" s="37"/>
      <c r="D1599" s="37" t="s">
        <v>211</v>
      </c>
      <c r="E1599" s="37" t="s">
        <v>2080</v>
      </c>
      <c r="F1599" s="37" t="s">
        <v>9001</v>
      </c>
      <c r="G1599" s="37" t="s">
        <v>9002</v>
      </c>
      <c r="H1599" s="37"/>
      <c r="I1599" s="37" t="s">
        <v>9003</v>
      </c>
      <c r="J1599" s="37"/>
      <c r="K1599" s="40" t="s">
        <v>105</v>
      </c>
      <c r="L1599" s="37" t="s">
        <v>64</v>
      </c>
      <c r="M1599"/>
      <c r="N1599"/>
    </row>
    <row r="1600" spans="1:14">
      <c r="A1600" s="39"/>
      <c r="B1600" s="37" t="s">
        <v>9000</v>
      </c>
      <c r="C1600" s="37" t="s">
        <v>8826</v>
      </c>
      <c r="D1600" s="37" t="s">
        <v>1157</v>
      </c>
      <c r="E1600" s="37" t="s">
        <v>4335</v>
      </c>
      <c r="F1600" s="37" t="s">
        <v>9004</v>
      </c>
      <c r="G1600" s="37" t="s">
        <v>9002</v>
      </c>
      <c r="H1600" s="37"/>
      <c r="I1600" s="37" t="s">
        <v>9003</v>
      </c>
      <c r="J1600" s="37" t="s">
        <v>105</v>
      </c>
      <c r="K1600" s="40" t="s">
        <v>9005</v>
      </c>
      <c r="L1600" s="37" t="s">
        <v>64</v>
      </c>
      <c r="M1600"/>
      <c r="N1600"/>
    </row>
    <row r="1601" spans="1:14">
      <c r="A1601" s="39"/>
      <c r="B1601" s="37" t="s">
        <v>9006</v>
      </c>
      <c r="C1601" s="37" t="s">
        <v>6804</v>
      </c>
      <c r="D1601" s="37" t="s">
        <v>2260</v>
      </c>
      <c r="E1601" s="37" t="s">
        <v>9007</v>
      </c>
      <c r="F1601" s="37" t="s">
        <v>9008</v>
      </c>
      <c r="G1601" s="37" t="s">
        <v>9009</v>
      </c>
      <c r="H1601" s="37"/>
      <c r="I1601" s="37" t="s">
        <v>9010</v>
      </c>
      <c r="J1601" s="37" t="s">
        <v>1143</v>
      </c>
      <c r="K1601" s="40" t="s">
        <v>9011</v>
      </c>
      <c r="L1601" s="37" t="s">
        <v>64</v>
      </c>
      <c r="M1601"/>
      <c r="N1601"/>
    </row>
    <row r="1602" spans="1:14">
      <c r="A1602" s="39"/>
      <c r="B1602" s="37" t="s">
        <v>9006</v>
      </c>
      <c r="C1602" s="37" t="s">
        <v>7351</v>
      </c>
      <c r="D1602" s="37" t="s">
        <v>1275</v>
      </c>
      <c r="E1602" s="37" t="s">
        <v>3378</v>
      </c>
      <c r="F1602" s="37" t="s">
        <v>9012</v>
      </c>
      <c r="G1602" s="37" t="s">
        <v>9009</v>
      </c>
      <c r="H1602" s="37"/>
      <c r="I1602" s="37" t="s">
        <v>9010</v>
      </c>
      <c r="J1602" s="37" t="s">
        <v>1143</v>
      </c>
      <c r="K1602" s="40" t="s">
        <v>9011</v>
      </c>
      <c r="L1602" s="37" t="s">
        <v>64</v>
      </c>
      <c r="M1602"/>
      <c r="N1602"/>
    </row>
    <row r="1603" spans="1:14">
      <c r="A1603" s="39"/>
      <c r="B1603" s="37" t="s">
        <v>9013</v>
      </c>
      <c r="C1603" s="37" t="s">
        <v>9014</v>
      </c>
      <c r="D1603" s="37" t="s">
        <v>9015</v>
      </c>
      <c r="E1603" s="37" t="s">
        <v>1635</v>
      </c>
      <c r="F1603" s="37" t="s">
        <v>9016</v>
      </c>
      <c r="G1603" s="37" t="s">
        <v>9017</v>
      </c>
      <c r="H1603" s="37"/>
      <c r="I1603" s="37" t="s">
        <v>420</v>
      </c>
      <c r="J1603" s="37" t="s">
        <v>75</v>
      </c>
      <c r="K1603" s="40" t="s">
        <v>451</v>
      </c>
      <c r="L1603" s="37" t="s">
        <v>64</v>
      </c>
      <c r="M1603"/>
      <c r="N1603"/>
    </row>
    <row r="1604" spans="1:14">
      <c r="A1604" s="39"/>
      <c r="B1604" s="37" t="s">
        <v>9018</v>
      </c>
      <c r="C1604" s="37" t="s">
        <v>9019</v>
      </c>
      <c r="D1604" s="37" t="s">
        <v>7403</v>
      </c>
      <c r="E1604" s="37" t="s">
        <v>9020</v>
      </c>
      <c r="F1604" s="37" t="s">
        <v>9021</v>
      </c>
      <c r="G1604" s="37" t="s">
        <v>9022</v>
      </c>
      <c r="H1604" s="37"/>
      <c r="I1604" s="37" t="s">
        <v>6371</v>
      </c>
      <c r="J1604" s="37" t="s">
        <v>121</v>
      </c>
      <c r="K1604" s="40" t="s">
        <v>493</v>
      </c>
      <c r="L1604" s="37" t="s">
        <v>64</v>
      </c>
      <c r="M1604"/>
      <c r="N1604"/>
    </row>
    <row r="1605" spans="1:14">
      <c r="A1605" s="39"/>
      <c r="B1605" s="37" t="s">
        <v>9023</v>
      </c>
      <c r="C1605" s="37" t="s">
        <v>9024</v>
      </c>
      <c r="D1605" s="37" t="s">
        <v>9025</v>
      </c>
      <c r="E1605" s="37" t="s">
        <v>2450</v>
      </c>
      <c r="F1605" s="37" t="s">
        <v>9026</v>
      </c>
      <c r="G1605" s="37" t="s">
        <v>9027</v>
      </c>
      <c r="H1605" s="37"/>
      <c r="I1605" s="37" t="s">
        <v>836</v>
      </c>
      <c r="J1605" s="37" t="s">
        <v>256</v>
      </c>
      <c r="K1605" s="40" t="s">
        <v>9028</v>
      </c>
      <c r="L1605" s="37" t="s">
        <v>64</v>
      </c>
      <c r="M1605"/>
      <c r="N1605"/>
    </row>
    <row r="1606" spans="1:14">
      <c r="A1606" s="39"/>
      <c r="B1606" s="37" t="s">
        <v>9029</v>
      </c>
      <c r="C1606" s="37"/>
      <c r="D1606" s="37" t="s">
        <v>124</v>
      </c>
      <c r="E1606" s="37" t="s">
        <v>9030</v>
      </c>
      <c r="F1606" s="37" t="s">
        <v>9031</v>
      </c>
      <c r="G1606" s="37" t="s">
        <v>9032</v>
      </c>
      <c r="H1606" s="37" t="s">
        <v>8451</v>
      </c>
      <c r="I1606" s="37" t="s">
        <v>9033</v>
      </c>
      <c r="J1606" s="37" t="s">
        <v>369</v>
      </c>
      <c r="K1606" s="40" t="s">
        <v>9034</v>
      </c>
      <c r="L1606" s="37" t="s">
        <v>64</v>
      </c>
      <c r="M1606"/>
      <c r="N1606"/>
    </row>
    <row r="1607" spans="1:14">
      <c r="A1607" s="39"/>
      <c r="B1607" s="37" t="s">
        <v>9035</v>
      </c>
      <c r="C1607" s="37" t="s">
        <v>2202</v>
      </c>
      <c r="D1607" s="37" t="s">
        <v>117</v>
      </c>
      <c r="E1607" s="37" t="s">
        <v>1659</v>
      </c>
      <c r="F1607" s="37" t="s">
        <v>9036</v>
      </c>
      <c r="G1607" s="37" t="s">
        <v>9002</v>
      </c>
      <c r="H1607" s="37"/>
      <c r="I1607" s="37" t="s">
        <v>9003</v>
      </c>
      <c r="J1607" s="37" t="s">
        <v>105</v>
      </c>
      <c r="K1607" s="40" t="s">
        <v>9005</v>
      </c>
      <c r="L1607" s="37" t="s">
        <v>64</v>
      </c>
      <c r="M1607"/>
      <c r="N1607"/>
    </row>
    <row r="1608" spans="1:14">
      <c r="A1608" s="39"/>
      <c r="B1608" s="37" t="s">
        <v>9037</v>
      </c>
      <c r="C1608" s="37"/>
      <c r="D1608" s="37" t="s">
        <v>581</v>
      </c>
      <c r="E1608" s="37" t="s">
        <v>3712</v>
      </c>
      <c r="F1608" s="37" t="s">
        <v>9038</v>
      </c>
      <c r="G1608" s="37" t="s">
        <v>9039</v>
      </c>
      <c r="H1608" s="37"/>
      <c r="I1608" s="37" t="s">
        <v>1832</v>
      </c>
      <c r="J1608" s="37" t="s">
        <v>1365</v>
      </c>
      <c r="K1608" s="40" t="s">
        <v>9040</v>
      </c>
      <c r="L1608" s="37" t="s">
        <v>64</v>
      </c>
      <c r="M1608"/>
      <c r="N1608"/>
    </row>
    <row r="1609" spans="1:14">
      <c r="A1609" s="39"/>
      <c r="B1609" s="37" t="s">
        <v>9037</v>
      </c>
      <c r="C1609" s="37"/>
      <c r="D1609" s="37" t="s">
        <v>685</v>
      </c>
      <c r="E1609" s="37" t="s">
        <v>9041</v>
      </c>
      <c r="F1609" s="37" t="s">
        <v>9042</v>
      </c>
      <c r="G1609" s="37" t="s">
        <v>9039</v>
      </c>
      <c r="H1609" s="37"/>
      <c r="I1609" s="37" t="s">
        <v>1832</v>
      </c>
      <c r="J1609" s="37" t="s">
        <v>1365</v>
      </c>
      <c r="K1609" s="40" t="s">
        <v>9040</v>
      </c>
      <c r="L1609" s="37" t="s">
        <v>64</v>
      </c>
      <c r="M1609"/>
      <c r="N1609"/>
    </row>
    <row r="1610" spans="1:14">
      <c r="A1610" s="39"/>
      <c r="B1610" s="37" t="s">
        <v>9043</v>
      </c>
      <c r="C1610" s="37" t="s">
        <v>6726</v>
      </c>
      <c r="D1610" s="37" t="s">
        <v>360</v>
      </c>
      <c r="E1610" s="37" t="s">
        <v>9044</v>
      </c>
      <c r="F1610" s="37" t="s">
        <v>9045</v>
      </c>
      <c r="G1610" s="37" t="s">
        <v>9046</v>
      </c>
      <c r="H1610" s="37"/>
      <c r="I1610" s="37" t="s">
        <v>7162</v>
      </c>
      <c r="J1610" s="37" t="s">
        <v>121</v>
      </c>
      <c r="K1610" s="40" t="s">
        <v>9047</v>
      </c>
      <c r="L1610" s="37" t="s">
        <v>64</v>
      </c>
      <c r="M1610"/>
      <c r="N1610"/>
    </row>
    <row r="1611" spans="1:14">
      <c r="A1611" s="39"/>
      <c r="B1611" s="37" t="s">
        <v>9048</v>
      </c>
      <c r="C1611" s="37" t="s">
        <v>9049</v>
      </c>
      <c r="D1611" s="37" t="s">
        <v>8575</v>
      </c>
      <c r="E1611" s="37" t="s">
        <v>3371</v>
      </c>
      <c r="F1611" s="37" t="s">
        <v>9050</v>
      </c>
      <c r="G1611" s="37" t="s">
        <v>9051</v>
      </c>
      <c r="H1611" s="37" t="s">
        <v>9052</v>
      </c>
      <c r="I1611" s="37" t="s">
        <v>7079</v>
      </c>
      <c r="J1611" s="37" t="s">
        <v>75</v>
      </c>
      <c r="K1611" s="40" t="s">
        <v>9053</v>
      </c>
      <c r="L1611" s="37" t="s">
        <v>64</v>
      </c>
      <c r="M1611"/>
      <c r="N1611"/>
    </row>
    <row r="1612" spans="1:14">
      <c r="A1612" s="39"/>
      <c r="B1612" s="37" t="s">
        <v>9054</v>
      </c>
      <c r="C1612" s="37" t="s">
        <v>8950</v>
      </c>
      <c r="D1612" s="37" t="s">
        <v>649</v>
      </c>
      <c r="E1612" s="37" t="s">
        <v>9055</v>
      </c>
      <c r="F1612" s="37" t="s">
        <v>9056</v>
      </c>
      <c r="G1612" s="37" t="s">
        <v>9057</v>
      </c>
      <c r="H1612" s="37"/>
      <c r="I1612" s="37" t="s">
        <v>6934</v>
      </c>
      <c r="J1612" s="37" t="s">
        <v>121</v>
      </c>
      <c r="K1612" s="40" t="s">
        <v>9058</v>
      </c>
      <c r="L1612" s="37" t="s">
        <v>64</v>
      </c>
      <c r="M1612"/>
      <c r="N1612"/>
    </row>
    <row r="1613" spans="1:14">
      <c r="A1613" s="39"/>
      <c r="B1613" s="37" t="s">
        <v>9059</v>
      </c>
      <c r="C1613" s="37" t="s">
        <v>2202</v>
      </c>
      <c r="D1613" s="37" t="s">
        <v>1049</v>
      </c>
      <c r="E1613" s="37" t="s">
        <v>9060</v>
      </c>
      <c r="F1613" s="37" t="s">
        <v>9061</v>
      </c>
      <c r="G1613" s="37" t="s">
        <v>9062</v>
      </c>
      <c r="H1613" s="37" t="s">
        <v>430</v>
      </c>
      <c r="I1613" s="37" t="s">
        <v>191</v>
      </c>
      <c r="J1613" s="37" t="s">
        <v>121</v>
      </c>
      <c r="K1613" s="40" t="s">
        <v>2108</v>
      </c>
      <c r="L1613" s="37" t="s">
        <v>64</v>
      </c>
      <c r="M1613"/>
      <c r="N1613"/>
    </row>
    <row r="1614" spans="1:14">
      <c r="A1614" s="39"/>
      <c r="B1614" s="37" t="s">
        <v>9063</v>
      </c>
      <c r="C1614" s="37" t="s">
        <v>9064</v>
      </c>
      <c r="D1614" s="37" t="s">
        <v>471</v>
      </c>
      <c r="E1614" s="37" t="s">
        <v>835</v>
      </c>
      <c r="F1614" s="37" t="s">
        <v>9065</v>
      </c>
      <c r="G1614" s="37" t="s">
        <v>9066</v>
      </c>
      <c r="H1614" s="37" t="s">
        <v>9067</v>
      </c>
      <c r="I1614" s="37" t="s">
        <v>3373</v>
      </c>
      <c r="J1614" s="37" t="s">
        <v>105</v>
      </c>
      <c r="K1614" s="40" t="s">
        <v>1283</v>
      </c>
      <c r="L1614" s="37" t="s">
        <v>64</v>
      </c>
      <c r="M1614"/>
      <c r="N1614"/>
    </row>
    <row r="1615" spans="1:14">
      <c r="A1615" s="39"/>
      <c r="B1615" s="37" t="s">
        <v>9068</v>
      </c>
      <c r="C1615" s="37" t="s">
        <v>9069</v>
      </c>
      <c r="D1615" s="37" t="s">
        <v>481</v>
      </c>
      <c r="E1615" s="37" t="s">
        <v>9070</v>
      </c>
      <c r="F1615" s="37" t="s">
        <v>9071</v>
      </c>
      <c r="G1615" s="37" t="s">
        <v>9072</v>
      </c>
      <c r="H1615" s="37"/>
      <c r="I1615" s="37" t="s">
        <v>9073</v>
      </c>
      <c r="J1615" s="37" t="s">
        <v>70</v>
      </c>
      <c r="K1615" s="40" t="s">
        <v>9074</v>
      </c>
      <c r="L1615" s="37" t="s">
        <v>64</v>
      </c>
      <c r="M1615"/>
      <c r="N1615"/>
    </row>
    <row r="1616" spans="1:14">
      <c r="A1616" s="39"/>
      <c r="B1616" s="37" t="s">
        <v>9075</v>
      </c>
      <c r="C1616" s="37"/>
      <c r="D1616" s="37" t="s">
        <v>920</v>
      </c>
      <c r="E1616" s="37" t="s">
        <v>9076</v>
      </c>
      <c r="F1616" s="37" t="s">
        <v>9077</v>
      </c>
      <c r="G1616" s="37" t="s">
        <v>9078</v>
      </c>
      <c r="H1616" s="37"/>
      <c r="I1616" s="37" t="s">
        <v>9079</v>
      </c>
      <c r="J1616" s="37" t="s">
        <v>675</v>
      </c>
      <c r="K1616" s="40" t="s">
        <v>9080</v>
      </c>
      <c r="L1616" s="37" t="s">
        <v>64</v>
      </c>
      <c r="M1616"/>
      <c r="N1616"/>
    </row>
    <row r="1617" spans="1:14">
      <c r="A1617" s="39"/>
      <c r="B1617" s="37" t="s">
        <v>9081</v>
      </c>
      <c r="C1617" s="37"/>
      <c r="D1617" s="37" t="s">
        <v>484</v>
      </c>
      <c r="E1617" s="37" t="s">
        <v>2798</v>
      </c>
      <c r="F1617" s="37" t="s">
        <v>9082</v>
      </c>
      <c r="G1617" s="37" t="s">
        <v>9083</v>
      </c>
      <c r="H1617" s="37"/>
      <c r="I1617" s="37" t="s">
        <v>7589</v>
      </c>
      <c r="J1617" s="37" t="s">
        <v>121</v>
      </c>
      <c r="K1617" s="40" t="s">
        <v>7584</v>
      </c>
      <c r="L1617" s="37" t="s">
        <v>64</v>
      </c>
      <c r="M1617"/>
      <c r="N1617"/>
    </row>
    <row r="1618" spans="1:14">
      <c r="A1618" s="39"/>
      <c r="B1618" s="37" t="s">
        <v>9084</v>
      </c>
      <c r="C1618" s="37"/>
      <c r="D1618" s="37" t="s">
        <v>2141</v>
      </c>
      <c r="E1618" s="37" t="s">
        <v>1647</v>
      </c>
      <c r="F1618" s="37" t="s">
        <v>9085</v>
      </c>
      <c r="G1618" s="37" t="s">
        <v>9086</v>
      </c>
      <c r="H1618" s="37"/>
      <c r="I1618" s="37" t="s">
        <v>9087</v>
      </c>
      <c r="J1618" s="37" t="s">
        <v>475</v>
      </c>
      <c r="K1618" s="40" t="s">
        <v>9088</v>
      </c>
      <c r="L1618" s="37" t="s">
        <v>64</v>
      </c>
      <c r="M1618"/>
      <c r="N1618"/>
    </row>
    <row r="1619" spans="1:14">
      <c r="A1619" s="39"/>
      <c r="B1619" s="37" t="s">
        <v>9089</v>
      </c>
      <c r="C1619" s="37" t="s">
        <v>9090</v>
      </c>
      <c r="D1619" s="37" t="s">
        <v>9091</v>
      </c>
      <c r="E1619" s="37" t="s">
        <v>2578</v>
      </c>
      <c r="F1619" s="37" t="s">
        <v>9092</v>
      </c>
      <c r="G1619" s="37" t="s">
        <v>9093</v>
      </c>
      <c r="H1619" s="37"/>
      <c r="I1619" s="37" t="s">
        <v>9094</v>
      </c>
      <c r="J1619" s="37" t="s">
        <v>673</v>
      </c>
      <c r="K1619" s="40" t="s">
        <v>9095</v>
      </c>
      <c r="L1619" s="37" t="s">
        <v>64</v>
      </c>
      <c r="M1619"/>
      <c r="N1619"/>
    </row>
    <row r="1620" spans="1:14">
      <c r="A1620" s="39"/>
      <c r="B1620" s="37" t="s">
        <v>9096</v>
      </c>
      <c r="C1620" s="37" t="s">
        <v>6804</v>
      </c>
      <c r="D1620" s="37" t="s">
        <v>9097</v>
      </c>
      <c r="E1620" s="37" t="s">
        <v>9098</v>
      </c>
      <c r="F1620" s="37" t="s">
        <v>9099</v>
      </c>
      <c r="G1620" s="37" t="s">
        <v>9100</v>
      </c>
      <c r="H1620" s="37" t="s">
        <v>9101</v>
      </c>
      <c r="I1620" s="37" t="s">
        <v>9102</v>
      </c>
      <c r="J1620" s="37"/>
      <c r="K1620" s="40" t="s">
        <v>9103</v>
      </c>
      <c r="L1620" s="37" t="s">
        <v>9104</v>
      </c>
      <c r="M1620"/>
      <c r="N1620"/>
    </row>
    <row r="1621" spans="1:14">
      <c r="A1621" s="39"/>
      <c r="B1621" s="37" t="s">
        <v>9105</v>
      </c>
      <c r="C1621" s="37" t="s">
        <v>9106</v>
      </c>
      <c r="D1621" s="37" t="s">
        <v>117</v>
      </c>
      <c r="E1621" s="37" t="s">
        <v>9107</v>
      </c>
      <c r="F1621" s="37" t="s">
        <v>9108</v>
      </c>
      <c r="G1621" s="37" t="s">
        <v>9109</v>
      </c>
      <c r="H1621" s="37"/>
      <c r="I1621" s="37" t="s">
        <v>5261</v>
      </c>
      <c r="J1621" s="37" t="s">
        <v>121</v>
      </c>
      <c r="K1621" s="40" t="s">
        <v>7185</v>
      </c>
      <c r="L1621" s="37" t="s">
        <v>64</v>
      </c>
      <c r="M1621"/>
      <c r="N1621"/>
    </row>
    <row r="1622" spans="1:14">
      <c r="A1622" s="39"/>
      <c r="B1622" s="37" t="s">
        <v>9110</v>
      </c>
      <c r="C1622" s="37"/>
      <c r="D1622" s="37" t="s">
        <v>282</v>
      </c>
      <c r="E1622" s="37" t="s">
        <v>4310</v>
      </c>
      <c r="F1622" s="37" t="s">
        <v>9111</v>
      </c>
      <c r="G1622" s="37" t="s">
        <v>9112</v>
      </c>
      <c r="H1622" s="37"/>
      <c r="I1622" s="37" t="s">
        <v>5261</v>
      </c>
      <c r="J1622" s="37" t="s">
        <v>121</v>
      </c>
      <c r="K1622" s="40" t="s">
        <v>7185</v>
      </c>
      <c r="L1622" s="37" t="s">
        <v>64</v>
      </c>
      <c r="M1622"/>
      <c r="N1622"/>
    </row>
    <row r="1623" spans="1:14">
      <c r="A1623" s="39"/>
      <c r="B1623" s="37" t="s">
        <v>9113</v>
      </c>
      <c r="C1623" s="37"/>
      <c r="D1623" s="37" t="s">
        <v>213</v>
      </c>
      <c r="E1623" s="37" t="s">
        <v>9114</v>
      </c>
      <c r="F1623" s="37" t="s">
        <v>9115</v>
      </c>
      <c r="G1623" s="37" t="s">
        <v>9116</v>
      </c>
      <c r="H1623" s="37"/>
      <c r="I1623" s="37" t="s">
        <v>9117</v>
      </c>
      <c r="J1623" s="37" t="s">
        <v>394</v>
      </c>
      <c r="K1623" s="40" t="s">
        <v>9118</v>
      </c>
      <c r="L1623" s="37" t="s">
        <v>64</v>
      </c>
      <c r="M1623"/>
      <c r="N1623"/>
    </row>
    <row r="1624" spans="1:14">
      <c r="A1624" s="39"/>
      <c r="B1624" s="37" t="s">
        <v>9119</v>
      </c>
      <c r="C1624" s="37" t="s">
        <v>9120</v>
      </c>
      <c r="D1624" s="37" t="s">
        <v>9121</v>
      </c>
      <c r="E1624" s="37" t="s">
        <v>423</v>
      </c>
      <c r="F1624" s="37" t="s">
        <v>9122</v>
      </c>
      <c r="G1624" s="37" t="s">
        <v>9123</v>
      </c>
      <c r="H1624" s="37"/>
      <c r="I1624" s="37" t="s">
        <v>9124</v>
      </c>
      <c r="J1624" s="37" t="s">
        <v>369</v>
      </c>
      <c r="K1624" s="40" t="s">
        <v>9125</v>
      </c>
      <c r="L1624" s="37" t="s">
        <v>64</v>
      </c>
      <c r="M1624"/>
      <c r="N1624"/>
    </row>
    <row r="1625" spans="1:14">
      <c r="A1625" s="39"/>
      <c r="B1625" s="37" t="s">
        <v>9126</v>
      </c>
      <c r="C1625" s="37" t="s">
        <v>6930</v>
      </c>
      <c r="D1625" s="37" t="s">
        <v>211</v>
      </c>
      <c r="E1625" s="37" t="s">
        <v>728</v>
      </c>
      <c r="F1625" s="37" t="s">
        <v>9127</v>
      </c>
      <c r="G1625" s="37" t="s">
        <v>9128</v>
      </c>
      <c r="H1625" s="37"/>
      <c r="I1625" s="37" t="s">
        <v>9129</v>
      </c>
      <c r="J1625" s="37" t="s">
        <v>75</v>
      </c>
      <c r="K1625" s="40" t="s">
        <v>9130</v>
      </c>
      <c r="L1625" s="37" t="s">
        <v>64</v>
      </c>
      <c r="M1625"/>
      <c r="N1625"/>
    </row>
    <row r="1626" spans="1:14">
      <c r="A1626" s="39"/>
      <c r="B1626" s="37" t="s">
        <v>9131</v>
      </c>
      <c r="C1626" s="37" t="s">
        <v>7275</v>
      </c>
      <c r="D1626" s="37" t="s">
        <v>9132</v>
      </c>
      <c r="E1626" s="37" t="s">
        <v>9133</v>
      </c>
      <c r="F1626" s="37" t="s">
        <v>9134</v>
      </c>
      <c r="G1626" s="37" t="s">
        <v>9135</v>
      </c>
      <c r="H1626" s="37"/>
      <c r="I1626" s="37" t="s">
        <v>701</v>
      </c>
      <c r="J1626" s="37" t="s">
        <v>498</v>
      </c>
      <c r="K1626" s="40" t="s">
        <v>4477</v>
      </c>
      <c r="L1626" s="37" t="s">
        <v>64</v>
      </c>
      <c r="M1626"/>
      <c r="N1626"/>
    </row>
    <row r="1627" spans="1:14">
      <c r="A1627" s="39"/>
      <c r="B1627" s="37" t="s">
        <v>9136</v>
      </c>
      <c r="C1627" s="37" t="s">
        <v>7214</v>
      </c>
      <c r="D1627" s="37" t="s">
        <v>9137</v>
      </c>
      <c r="E1627" s="37" t="s">
        <v>763</v>
      </c>
      <c r="F1627" s="38" t="s">
        <v>5739</v>
      </c>
      <c r="G1627" s="37" t="s">
        <v>9138</v>
      </c>
      <c r="H1627" s="37"/>
      <c r="I1627" s="37" t="s">
        <v>9139</v>
      </c>
      <c r="J1627" s="37" t="s">
        <v>75</v>
      </c>
      <c r="K1627" s="40" t="s">
        <v>9140</v>
      </c>
      <c r="L1627" s="37" t="s">
        <v>64</v>
      </c>
      <c r="M1627"/>
      <c r="N1627"/>
    </row>
    <row r="1628" spans="1:14">
      <c r="A1628" s="39"/>
      <c r="B1628" s="37" t="s">
        <v>9141</v>
      </c>
      <c r="C1628" s="37" t="s">
        <v>8950</v>
      </c>
      <c r="D1628" s="37" t="s">
        <v>9142</v>
      </c>
      <c r="E1628" s="37" t="s">
        <v>1659</v>
      </c>
      <c r="F1628" s="37" t="s">
        <v>9143</v>
      </c>
      <c r="G1628" s="37" t="s">
        <v>9144</v>
      </c>
      <c r="H1628" s="37"/>
      <c r="I1628" s="37" t="s">
        <v>560</v>
      </c>
      <c r="J1628" s="37" t="s">
        <v>200</v>
      </c>
      <c r="K1628" s="40" t="s">
        <v>1776</v>
      </c>
      <c r="L1628" s="37" t="s">
        <v>64</v>
      </c>
      <c r="M1628"/>
      <c r="N1628"/>
    </row>
    <row r="1629" spans="1:14">
      <c r="A1629" s="39"/>
      <c r="B1629" s="37" t="s">
        <v>9145</v>
      </c>
      <c r="C1629" s="37" t="s">
        <v>7585</v>
      </c>
      <c r="D1629" s="37" t="s">
        <v>974</v>
      </c>
      <c r="E1629" s="37" t="s">
        <v>2071</v>
      </c>
      <c r="F1629" s="37" t="s">
        <v>9146</v>
      </c>
      <c r="G1629" s="37" t="s">
        <v>9147</v>
      </c>
      <c r="H1629" s="37" t="s">
        <v>9148</v>
      </c>
      <c r="I1629" s="37" t="s">
        <v>7853</v>
      </c>
      <c r="J1629" s="37" t="s">
        <v>121</v>
      </c>
      <c r="K1629" s="40" t="s">
        <v>7854</v>
      </c>
      <c r="L1629" s="37" t="s">
        <v>64</v>
      </c>
      <c r="M1629"/>
      <c r="N1629"/>
    </row>
    <row r="1630" spans="1:14">
      <c r="A1630" s="39"/>
      <c r="B1630" s="37" t="s">
        <v>9149</v>
      </c>
      <c r="C1630" s="37" t="s">
        <v>6726</v>
      </c>
      <c r="D1630" s="37" t="s">
        <v>955</v>
      </c>
      <c r="E1630" s="37" t="s">
        <v>532</v>
      </c>
      <c r="F1630" s="37" t="s">
        <v>9150</v>
      </c>
      <c r="G1630" s="37" t="s">
        <v>9151</v>
      </c>
      <c r="H1630" s="37" t="s">
        <v>9152</v>
      </c>
      <c r="I1630" s="37" t="s">
        <v>776</v>
      </c>
      <c r="J1630" s="37" t="s">
        <v>105</v>
      </c>
      <c r="K1630" s="40" t="s">
        <v>9153</v>
      </c>
      <c r="L1630" s="37" t="s">
        <v>64</v>
      </c>
      <c r="M1630"/>
      <c r="N1630"/>
    </row>
    <row r="1631" spans="1:14">
      <c r="A1631" s="39"/>
      <c r="B1631" s="37" t="s">
        <v>9149</v>
      </c>
      <c r="C1631" s="37" t="s">
        <v>6804</v>
      </c>
      <c r="D1631" s="37" t="s">
        <v>211</v>
      </c>
      <c r="E1631" s="37" t="s">
        <v>9154</v>
      </c>
      <c r="F1631" s="37" t="s">
        <v>9155</v>
      </c>
      <c r="G1631" s="37" t="s">
        <v>9151</v>
      </c>
      <c r="H1631" s="37" t="s">
        <v>9152</v>
      </c>
      <c r="I1631" s="37" t="s">
        <v>776</v>
      </c>
      <c r="J1631" s="37" t="s">
        <v>105</v>
      </c>
      <c r="K1631" s="40" t="s">
        <v>9153</v>
      </c>
      <c r="L1631" s="37" t="s">
        <v>64</v>
      </c>
      <c r="M1631"/>
      <c r="N1631"/>
    </row>
    <row r="1632" spans="1:14">
      <c r="A1632" s="39"/>
      <c r="B1632" s="37" t="s">
        <v>9149</v>
      </c>
      <c r="C1632" s="37" t="s">
        <v>9156</v>
      </c>
      <c r="D1632" s="37" t="s">
        <v>464</v>
      </c>
      <c r="E1632" s="37" t="s">
        <v>9157</v>
      </c>
      <c r="F1632" s="37" t="s">
        <v>9158</v>
      </c>
      <c r="G1632" s="37" t="s">
        <v>9151</v>
      </c>
      <c r="H1632" s="37" t="s">
        <v>9152</v>
      </c>
      <c r="I1632" s="37" t="s">
        <v>776</v>
      </c>
      <c r="J1632" s="37" t="s">
        <v>105</v>
      </c>
      <c r="K1632" s="40" t="s">
        <v>9153</v>
      </c>
      <c r="L1632" s="37" t="s">
        <v>64</v>
      </c>
      <c r="M1632"/>
      <c r="N1632"/>
    </row>
    <row r="1633" spans="1:14">
      <c r="A1633" s="39"/>
      <c r="B1633" s="37" t="s">
        <v>9159</v>
      </c>
      <c r="C1633" s="37"/>
      <c r="D1633" s="37" t="s">
        <v>1847</v>
      </c>
      <c r="E1633" s="37" t="s">
        <v>4823</v>
      </c>
      <c r="F1633" s="37" t="s">
        <v>9160</v>
      </c>
      <c r="G1633" s="37" t="s">
        <v>9161</v>
      </c>
      <c r="H1633" s="37"/>
      <c r="I1633" s="37" t="s">
        <v>3498</v>
      </c>
      <c r="J1633" s="37" t="s">
        <v>313</v>
      </c>
      <c r="K1633" s="40" t="s">
        <v>3499</v>
      </c>
      <c r="L1633" s="37" t="s">
        <v>64</v>
      </c>
      <c r="M1633"/>
      <c r="N1633"/>
    </row>
    <row r="1634" spans="1:14">
      <c r="A1634" s="39"/>
      <c r="B1634" s="37" t="s">
        <v>9159</v>
      </c>
      <c r="C1634" s="37" t="s">
        <v>9162</v>
      </c>
      <c r="D1634" s="37" t="s">
        <v>854</v>
      </c>
      <c r="E1634" s="37" t="s">
        <v>2618</v>
      </c>
      <c r="F1634" s="37" t="s">
        <v>9163</v>
      </c>
      <c r="G1634" s="37" t="s">
        <v>9164</v>
      </c>
      <c r="H1634" s="37"/>
      <c r="I1634" s="37" t="s">
        <v>9165</v>
      </c>
      <c r="J1634" s="37" t="s">
        <v>425</v>
      </c>
      <c r="K1634" s="40" t="s">
        <v>9166</v>
      </c>
      <c r="L1634" s="37" t="s">
        <v>64</v>
      </c>
      <c r="M1634"/>
      <c r="N1634"/>
    </row>
    <row r="1635" spans="1:14">
      <c r="A1635" s="39"/>
      <c r="B1635" s="37" t="s">
        <v>9167</v>
      </c>
      <c r="C1635" s="37" t="s">
        <v>8436</v>
      </c>
      <c r="D1635" s="37" t="s">
        <v>231</v>
      </c>
      <c r="E1635" s="37" t="s">
        <v>9168</v>
      </c>
      <c r="F1635" s="37" t="s">
        <v>9169</v>
      </c>
      <c r="G1635" s="37" t="s">
        <v>9170</v>
      </c>
      <c r="H1635" s="37"/>
      <c r="I1635" s="37" t="s">
        <v>2436</v>
      </c>
      <c r="J1635" s="37" t="s">
        <v>256</v>
      </c>
      <c r="K1635" s="40" t="s">
        <v>9171</v>
      </c>
      <c r="L1635" s="37" t="s">
        <v>64</v>
      </c>
      <c r="M1635"/>
      <c r="N1635"/>
    </row>
    <row r="1636" spans="1:14">
      <c r="A1636" s="39"/>
      <c r="B1636" s="37" t="s">
        <v>9172</v>
      </c>
      <c r="C1636" s="37" t="s">
        <v>7293</v>
      </c>
      <c r="D1636" s="37" t="s">
        <v>9173</v>
      </c>
      <c r="E1636" s="37" t="s">
        <v>9174</v>
      </c>
      <c r="F1636" s="37" t="s">
        <v>9175</v>
      </c>
      <c r="G1636" s="37" t="s">
        <v>9176</v>
      </c>
      <c r="H1636" s="37" t="s">
        <v>9177</v>
      </c>
      <c r="I1636" s="37" t="s">
        <v>82</v>
      </c>
      <c r="J1636" s="37" t="s">
        <v>83</v>
      </c>
      <c r="K1636" s="40" t="s">
        <v>9178</v>
      </c>
      <c r="L1636" s="37" t="s">
        <v>64</v>
      </c>
      <c r="M1636"/>
      <c r="N1636"/>
    </row>
    <row r="1637" spans="1:14">
      <c r="A1637" s="39"/>
      <c r="B1637" s="37" t="s">
        <v>9179</v>
      </c>
      <c r="C1637" s="37" t="s">
        <v>9180</v>
      </c>
      <c r="D1637" s="37" t="s">
        <v>9181</v>
      </c>
      <c r="E1637" s="37" t="s">
        <v>9182</v>
      </c>
      <c r="F1637" s="37" t="s">
        <v>9183</v>
      </c>
      <c r="G1637" s="37" t="s">
        <v>9184</v>
      </c>
      <c r="H1637" s="37"/>
      <c r="I1637" s="37" t="s">
        <v>9185</v>
      </c>
      <c r="J1637" s="37" t="s">
        <v>162</v>
      </c>
      <c r="K1637" s="40" t="s">
        <v>9186</v>
      </c>
      <c r="L1637" s="37" t="s">
        <v>64</v>
      </c>
      <c r="M1637"/>
      <c r="N1637"/>
    </row>
    <row r="1638" spans="1:14">
      <c r="A1638" s="39"/>
      <c r="B1638" s="37" t="s">
        <v>9187</v>
      </c>
      <c r="C1638" s="37" t="s">
        <v>7085</v>
      </c>
      <c r="D1638" s="37" t="s">
        <v>701</v>
      </c>
      <c r="E1638" s="37" t="s">
        <v>9188</v>
      </c>
      <c r="F1638" s="37" t="s">
        <v>9189</v>
      </c>
      <c r="G1638" s="37" t="s">
        <v>9190</v>
      </c>
      <c r="H1638" s="37" t="s">
        <v>2829</v>
      </c>
      <c r="I1638" s="37" t="s">
        <v>9191</v>
      </c>
      <c r="J1638" s="37" t="s">
        <v>153</v>
      </c>
      <c r="K1638" s="40" t="s">
        <v>9192</v>
      </c>
      <c r="L1638" s="37" t="s">
        <v>64</v>
      </c>
      <c r="M1638"/>
      <c r="N1638"/>
    </row>
    <row r="1639" spans="1:14">
      <c r="A1639" s="39"/>
      <c r="B1639" s="37" t="s">
        <v>9187</v>
      </c>
      <c r="C1639" s="37" t="s">
        <v>9193</v>
      </c>
      <c r="D1639" s="37" t="s">
        <v>9194</v>
      </c>
      <c r="E1639" s="37" t="s">
        <v>4604</v>
      </c>
      <c r="F1639" s="37" t="s">
        <v>9195</v>
      </c>
      <c r="G1639" s="37" t="s">
        <v>9196</v>
      </c>
      <c r="H1639" s="37" t="s">
        <v>9197</v>
      </c>
      <c r="I1639" s="37" t="s">
        <v>9191</v>
      </c>
      <c r="J1639" s="37" t="s">
        <v>153</v>
      </c>
      <c r="K1639" s="40" t="s">
        <v>9192</v>
      </c>
      <c r="L1639" s="37" t="s">
        <v>64</v>
      </c>
      <c r="M1639"/>
      <c r="N1639"/>
    </row>
    <row r="1640" spans="1:14">
      <c r="A1640" s="39"/>
      <c r="B1640" s="37" t="s">
        <v>9198</v>
      </c>
      <c r="C1640" s="37" t="s">
        <v>7963</v>
      </c>
      <c r="D1640" s="37" t="s">
        <v>5119</v>
      </c>
      <c r="E1640" s="37" t="s">
        <v>9199</v>
      </c>
      <c r="F1640" s="37" t="s">
        <v>9200</v>
      </c>
      <c r="G1640" s="37" t="s">
        <v>9201</v>
      </c>
      <c r="H1640" s="37"/>
      <c r="I1640" s="37" t="s">
        <v>7105</v>
      </c>
      <c r="J1640" s="37" t="s">
        <v>121</v>
      </c>
      <c r="K1640" s="40" t="s">
        <v>6472</v>
      </c>
      <c r="L1640" s="37" t="s">
        <v>64</v>
      </c>
      <c r="M1640"/>
      <c r="N1640"/>
    </row>
    <row r="1641" spans="1:14">
      <c r="A1641" s="39"/>
      <c r="B1641" s="37" t="s">
        <v>9198</v>
      </c>
      <c r="C1641" s="37" t="s">
        <v>7441</v>
      </c>
      <c r="D1641" s="37" t="s">
        <v>7375</v>
      </c>
      <c r="E1641" s="37" t="s">
        <v>559</v>
      </c>
      <c r="F1641" s="37" t="s">
        <v>9202</v>
      </c>
      <c r="G1641" s="37" t="s">
        <v>6406</v>
      </c>
      <c r="H1641" s="37" t="s">
        <v>2441</v>
      </c>
      <c r="I1641" s="37" t="s">
        <v>4997</v>
      </c>
      <c r="J1641" s="37" t="s">
        <v>105</v>
      </c>
      <c r="K1641" s="40" t="s">
        <v>4998</v>
      </c>
      <c r="L1641" s="37" t="s">
        <v>64</v>
      </c>
      <c r="M1641"/>
      <c r="N1641"/>
    </row>
    <row r="1642" spans="1:14">
      <c r="A1642" s="39"/>
      <c r="B1642" s="37" t="s">
        <v>9198</v>
      </c>
      <c r="C1642" s="37" t="s">
        <v>9203</v>
      </c>
      <c r="D1642" s="37" t="s">
        <v>4641</v>
      </c>
      <c r="E1642" s="37" t="s">
        <v>9204</v>
      </c>
      <c r="F1642" s="37" t="s">
        <v>9205</v>
      </c>
      <c r="G1642" s="37" t="s">
        <v>6406</v>
      </c>
      <c r="H1642" s="37" t="s">
        <v>2441</v>
      </c>
      <c r="I1642" s="37" t="s">
        <v>4997</v>
      </c>
      <c r="J1642" s="37" t="s">
        <v>105</v>
      </c>
      <c r="K1642" s="40" t="s">
        <v>4998</v>
      </c>
      <c r="L1642" s="37" t="s">
        <v>64</v>
      </c>
      <c r="M1642"/>
      <c r="N1642"/>
    </row>
    <row r="1643" spans="1:14">
      <c r="A1643" s="39"/>
      <c r="B1643" s="37" t="s">
        <v>9206</v>
      </c>
      <c r="C1643" s="37" t="s">
        <v>9207</v>
      </c>
      <c r="D1643" s="37" t="s">
        <v>9208</v>
      </c>
      <c r="E1643" s="37" t="s">
        <v>8798</v>
      </c>
      <c r="F1643" s="37" t="s">
        <v>9209</v>
      </c>
      <c r="G1643" s="37" t="s">
        <v>9210</v>
      </c>
      <c r="H1643" s="37"/>
      <c r="I1643" s="37" t="s">
        <v>9211</v>
      </c>
      <c r="J1643" s="37" t="s">
        <v>1851</v>
      </c>
      <c r="K1643" s="40" t="s">
        <v>9212</v>
      </c>
      <c r="L1643" s="37" t="s">
        <v>64</v>
      </c>
      <c r="M1643"/>
      <c r="N1643"/>
    </row>
    <row r="1644" spans="1:14">
      <c r="A1644" s="39"/>
      <c r="B1644" s="37" t="s">
        <v>9213</v>
      </c>
      <c r="C1644" s="37" t="s">
        <v>9214</v>
      </c>
      <c r="D1644" s="37" t="s">
        <v>9215</v>
      </c>
      <c r="E1644" s="37" t="s">
        <v>9216</v>
      </c>
      <c r="F1644" s="37" t="s">
        <v>9217</v>
      </c>
      <c r="G1644" s="37" t="s">
        <v>9218</v>
      </c>
      <c r="H1644" s="37"/>
      <c r="I1644" s="37" t="s">
        <v>297</v>
      </c>
      <c r="J1644" s="37" t="s">
        <v>75</v>
      </c>
      <c r="K1644" s="40" t="s">
        <v>298</v>
      </c>
      <c r="L1644" s="37" t="s">
        <v>64</v>
      </c>
      <c r="M1644"/>
      <c r="N1644"/>
    </row>
    <row r="1645" spans="1:14">
      <c r="A1645" s="39"/>
      <c r="B1645" s="37" t="s">
        <v>9219</v>
      </c>
      <c r="C1645" s="37"/>
      <c r="D1645" s="37" t="s">
        <v>360</v>
      </c>
      <c r="E1645" s="37" t="s">
        <v>9220</v>
      </c>
      <c r="F1645" s="37" t="s">
        <v>9221</v>
      </c>
      <c r="G1645" s="37" t="s">
        <v>9222</v>
      </c>
      <c r="H1645" s="37"/>
      <c r="I1645" s="37" t="s">
        <v>7589</v>
      </c>
      <c r="J1645" s="37" t="s">
        <v>121</v>
      </c>
      <c r="K1645" s="40" t="s">
        <v>7584</v>
      </c>
      <c r="L1645" s="37" t="s">
        <v>64</v>
      </c>
      <c r="M1645"/>
      <c r="N1645"/>
    </row>
    <row r="1646" spans="1:14">
      <c r="A1646" s="39"/>
      <c r="B1646" s="37" t="s">
        <v>9219</v>
      </c>
      <c r="C1646" s="37" t="s">
        <v>9223</v>
      </c>
      <c r="D1646" s="37" t="s">
        <v>390</v>
      </c>
      <c r="E1646" s="37" t="s">
        <v>9224</v>
      </c>
      <c r="F1646" s="37" t="s">
        <v>9225</v>
      </c>
      <c r="G1646" s="37" t="s">
        <v>9226</v>
      </c>
      <c r="H1646" s="37"/>
      <c r="I1646" s="37" t="s">
        <v>7589</v>
      </c>
      <c r="J1646" s="37" t="s">
        <v>121</v>
      </c>
      <c r="K1646" s="40" t="s">
        <v>8475</v>
      </c>
      <c r="L1646" s="37" t="s">
        <v>64</v>
      </c>
      <c r="M1646"/>
      <c r="N1646"/>
    </row>
    <row r="1647" spans="1:14">
      <c r="A1647" s="39"/>
      <c r="B1647" s="37" t="s">
        <v>9219</v>
      </c>
      <c r="C1647" s="37" t="s">
        <v>9227</v>
      </c>
      <c r="D1647" s="37" t="s">
        <v>308</v>
      </c>
      <c r="E1647" s="37" t="s">
        <v>9228</v>
      </c>
      <c r="F1647" s="37" t="s">
        <v>9229</v>
      </c>
      <c r="G1647" s="37" t="s">
        <v>9226</v>
      </c>
      <c r="H1647" s="37"/>
      <c r="I1647" s="37" t="s">
        <v>7589</v>
      </c>
      <c r="J1647" s="37" t="s">
        <v>121</v>
      </c>
      <c r="K1647" s="40" t="s">
        <v>7584</v>
      </c>
      <c r="L1647" s="37" t="s">
        <v>64</v>
      </c>
      <c r="M1647"/>
      <c r="N1647"/>
    </row>
    <row r="1648" spans="1:14">
      <c r="A1648" s="39"/>
      <c r="B1648" s="37" t="s">
        <v>9219</v>
      </c>
      <c r="C1648" s="37" t="s">
        <v>9230</v>
      </c>
      <c r="D1648" s="37" t="s">
        <v>9231</v>
      </c>
      <c r="E1648" s="37" t="s">
        <v>1342</v>
      </c>
      <c r="F1648" s="37" t="s">
        <v>9232</v>
      </c>
      <c r="G1648" s="37" t="s">
        <v>9233</v>
      </c>
      <c r="H1648" s="37"/>
      <c r="I1648" s="37" t="s">
        <v>9234</v>
      </c>
      <c r="J1648" s="37" t="s">
        <v>105</v>
      </c>
      <c r="K1648" s="40" t="s">
        <v>9235</v>
      </c>
      <c r="L1648" s="37" t="s">
        <v>64</v>
      </c>
      <c r="M1648"/>
      <c r="N1648"/>
    </row>
    <row r="1649" spans="1:14">
      <c r="A1649" s="39"/>
      <c r="B1649" s="37" t="s">
        <v>9219</v>
      </c>
      <c r="C1649" s="37" t="s">
        <v>9236</v>
      </c>
      <c r="D1649" s="37" t="s">
        <v>238</v>
      </c>
      <c r="E1649" s="37" t="s">
        <v>9237</v>
      </c>
      <c r="F1649" s="37" t="s">
        <v>9238</v>
      </c>
      <c r="G1649" s="37" t="s">
        <v>9239</v>
      </c>
      <c r="H1649" s="37"/>
      <c r="I1649" s="37" t="s">
        <v>7589</v>
      </c>
      <c r="J1649" s="37" t="s">
        <v>121</v>
      </c>
      <c r="K1649" s="40" t="s">
        <v>7584</v>
      </c>
      <c r="L1649" s="37" t="s">
        <v>64</v>
      </c>
      <c r="M1649"/>
      <c r="N1649"/>
    </row>
    <row r="1650" spans="1:14">
      <c r="A1650" s="39"/>
      <c r="B1650" s="37" t="s">
        <v>9219</v>
      </c>
      <c r="C1650" s="37" t="s">
        <v>6930</v>
      </c>
      <c r="D1650" s="37" t="s">
        <v>9240</v>
      </c>
      <c r="E1650" s="37" t="s">
        <v>9241</v>
      </c>
      <c r="F1650" s="37" t="s">
        <v>9242</v>
      </c>
      <c r="G1650" s="37" t="s">
        <v>9226</v>
      </c>
      <c r="H1650" s="37"/>
      <c r="I1650" s="37" t="s">
        <v>7589</v>
      </c>
      <c r="J1650" s="37" t="s">
        <v>121</v>
      </c>
      <c r="K1650" s="40" t="s">
        <v>7584</v>
      </c>
      <c r="L1650" s="37" t="s">
        <v>64</v>
      </c>
      <c r="M1650"/>
      <c r="N1650"/>
    </row>
    <row r="1651" spans="1:14">
      <c r="A1651" s="39"/>
      <c r="B1651" s="37" t="s">
        <v>9243</v>
      </c>
      <c r="C1651" s="37" t="s">
        <v>9244</v>
      </c>
      <c r="D1651" s="37" t="s">
        <v>160</v>
      </c>
      <c r="E1651" s="37" t="s">
        <v>217</v>
      </c>
      <c r="F1651" s="37" t="s">
        <v>9245</v>
      </c>
      <c r="G1651" s="37" t="s">
        <v>9226</v>
      </c>
      <c r="H1651" s="37"/>
      <c r="I1651" s="37" t="s">
        <v>7589</v>
      </c>
      <c r="J1651" s="37" t="s">
        <v>121</v>
      </c>
      <c r="K1651" s="40" t="s">
        <v>7584</v>
      </c>
      <c r="L1651" s="37" t="s">
        <v>64</v>
      </c>
      <c r="M1651"/>
      <c r="N1651"/>
    </row>
    <row r="1652" spans="1:14">
      <c r="A1652" s="39"/>
      <c r="B1652" s="37" t="s">
        <v>9246</v>
      </c>
      <c r="C1652" s="37" t="s">
        <v>9247</v>
      </c>
      <c r="D1652" s="37" t="s">
        <v>7375</v>
      </c>
      <c r="E1652" s="37" t="s">
        <v>9248</v>
      </c>
      <c r="F1652" s="37" t="s">
        <v>9249</v>
      </c>
      <c r="G1652" s="37" t="s">
        <v>9250</v>
      </c>
      <c r="H1652" s="37"/>
      <c r="I1652" s="37" t="s">
        <v>6371</v>
      </c>
      <c r="J1652" s="37" t="s">
        <v>121</v>
      </c>
      <c r="K1652" s="40" t="s">
        <v>8103</v>
      </c>
      <c r="L1652" s="37" t="s">
        <v>64</v>
      </c>
      <c r="M1652"/>
      <c r="N1652"/>
    </row>
    <row r="1653" spans="1:14">
      <c r="A1653" s="39"/>
      <c r="B1653" s="37" t="s">
        <v>9251</v>
      </c>
      <c r="C1653" s="37"/>
      <c r="D1653" s="37" t="s">
        <v>909</v>
      </c>
      <c r="E1653" s="37" t="s">
        <v>1436</v>
      </c>
      <c r="F1653" s="37" t="s">
        <v>9252</v>
      </c>
      <c r="G1653" s="37" t="s">
        <v>9253</v>
      </c>
      <c r="H1653" s="37"/>
      <c r="I1653" s="37" t="s">
        <v>9254</v>
      </c>
      <c r="J1653" s="37" t="s">
        <v>121</v>
      </c>
      <c r="K1653" s="40" t="s">
        <v>9255</v>
      </c>
      <c r="L1653" s="37" t="s">
        <v>64</v>
      </c>
      <c r="M1653"/>
      <c r="N1653"/>
    </row>
    <row r="1654" spans="1:14">
      <c r="A1654" s="39"/>
      <c r="B1654" s="37" t="s">
        <v>9256</v>
      </c>
      <c r="C1654" s="37" t="s">
        <v>6877</v>
      </c>
      <c r="D1654" s="37" t="s">
        <v>9257</v>
      </c>
      <c r="E1654" s="37" t="s">
        <v>3087</v>
      </c>
      <c r="F1654" s="37" t="s">
        <v>9258</v>
      </c>
      <c r="G1654" s="37" t="s">
        <v>9259</v>
      </c>
      <c r="H1654" s="37"/>
      <c r="I1654" s="37" t="s">
        <v>560</v>
      </c>
      <c r="J1654" s="37" t="s">
        <v>200</v>
      </c>
      <c r="K1654" s="40" t="s">
        <v>9260</v>
      </c>
      <c r="L1654" s="37" t="s">
        <v>64</v>
      </c>
      <c r="M1654"/>
      <c r="N1654"/>
    </row>
    <row r="1655" spans="1:14">
      <c r="A1655" s="39"/>
      <c r="B1655" s="37" t="s">
        <v>9261</v>
      </c>
      <c r="C1655" s="37" t="s">
        <v>7441</v>
      </c>
      <c r="D1655" s="37" t="s">
        <v>9262</v>
      </c>
      <c r="E1655" s="37" t="s">
        <v>9263</v>
      </c>
      <c r="F1655" s="37" t="s">
        <v>9264</v>
      </c>
      <c r="G1655" s="37" t="s">
        <v>9265</v>
      </c>
      <c r="H1655" s="37" t="s">
        <v>9266</v>
      </c>
      <c r="I1655" s="37" t="s">
        <v>1396</v>
      </c>
      <c r="J1655" s="37" t="s">
        <v>105</v>
      </c>
      <c r="K1655" s="40" t="s">
        <v>1397</v>
      </c>
      <c r="L1655" s="37" t="s">
        <v>64</v>
      </c>
      <c r="M1655"/>
      <c r="N1655"/>
    </row>
    <row r="1656" spans="1:14">
      <c r="A1656" s="39"/>
      <c r="B1656" s="37" t="s">
        <v>9267</v>
      </c>
      <c r="C1656" s="37" t="s">
        <v>6917</v>
      </c>
      <c r="D1656" s="37" t="s">
        <v>9268</v>
      </c>
      <c r="E1656" s="37" t="s">
        <v>763</v>
      </c>
      <c r="F1656" s="38" t="s">
        <v>5739</v>
      </c>
      <c r="G1656" s="37" t="s">
        <v>9269</v>
      </c>
      <c r="H1656" s="37"/>
      <c r="I1656" s="37" t="s">
        <v>9270</v>
      </c>
      <c r="J1656" s="37" t="s">
        <v>75</v>
      </c>
      <c r="K1656" s="40" t="s">
        <v>9271</v>
      </c>
      <c r="L1656" s="37" t="s">
        <v>64</v>
      </c>
      <c r="M1656"/>
      <c r="N1656"/>
    </row>
    <row r="1657" spans="1:14">
      <c r="A1657" s="39"/>
      <c r="B1657" s="37" t="s">
        <v>9272</v>
      </c>
      <c r="C1657" s="37"/>
      <c r="D1657" s="37" t="s">
        <v>307</v>
      </c>
      <c r="E1657" s="37" t="s">
        <v>8331</v>
      </c>
      <c r="F1657" s="37" t="s">
        <v>9273</v>
      </c>
      <c r="G1657" s="37" t="s">
        <v>9274</v>
      </c>
      <c r="H1657" s="37"/>
      <c r="I1657" s="37" t="s">
        <v>9275</v>
      </c>
      <c r="J1657" s="37" t="s">
        <v>475</v>
      </c>
      <c r="K1657" s="40" t="s">
        <v>9276</v>
      </c>
      <c r="L1657" s="37" t="s">
        <v>64</v>
      </c>
      <c r="M1657"/>
      <c r="N1657"/>
    </row>
    <row r="1658" spans="1:14">
      <c r="A1658" s="39"/>
      <c r="B1658" s="37" t="s">
        <v>9277</v>
      </c>
      <c r="C1658" s="37" t="s">
        <v>9278</v>
      </c>
      <c r="D1658" s="37" t="s">
        <v>7648</v>
      </c>
      <c r="E1658" s="37" t="s">
        <v>9279</v>
      </c>
      <c r="F1658" s="37" t="s">
        <v>9280</v>
      </c>
      <c r="G1658" s="37" t="s">
        <v>9281</v>
      </c>
      <c r="H1658" s="37"/>
      <c r="I1658" s="37" t="s">
        <v>9282</v>
      </c>
      <c r="J1658" s="37" t="s">
        <v>675</v>
      </c>
      <c r="K1658" s="40" t="s">
        <v>9283</v>
      </c>
      <c r="L1658" s="37" t="s">
        <v>64</v>
      </c>
      <c r="M1658"/>
      <c r="N1658"/>
    </row>
    <row r="1659" spans="1:14">
      <c r="A1659" s="39"/>
      <c r="B1659" s="37" t="s">
        <v>9277</v>
      </c>
      <c r="C1659" s="37" t="s">
        <v>9284</v>
      </c>
      <c r="D1659" s="37" t="s">
        <v>2107</v>
      </c>
      <c r="E1659" s="37" t="s">
        <v>9285</v>
      </c>
      <c r="F1659" s="37" t="s">
        <v>9286</v>
      </c>
      <c r="G1659" s="37" t="s">
        <v>9281</v>
      </c>
      <c r="H1659" s="37"/>
      <c r="I1659" s="37" t="s">
        <v>9282</v>
      </c>
      <c r="J1659" s="37" t="s">
        <v>675</v>
      </c>
      <c r="K1659" s="40" t="s">
        <v>9283</v>
      </c>
      <c r="L1659" s="37" t="s">
        <v>64</v>
      </c>
      <c r="M1659"/>
      <c r="N1659"/>
    </row>
    <row r="1660" spans="1:14">
      <c r="A1660" s="39"/>
      <c r="B1660" s="37" t="s">
        <v>9287</v>
      </c>
      <c r="C1660" s="37" t="s">
        <v>9288</v>
      </c>
      <c r="D1660" s="37" t="s">
        <v>1261</v>
      </c>
      <c r="E1660" s="37" t="s">
        <v>9289</v>
      </c>
      <c r="F1660" s="37" t="s">
        <v>9290</v>
      </c>
      <c r="G1660" s="37" t="s">
        <v>9291</v>
      </c>
      <c r="H1660" s="37"/>
      <c r="I1660" s="37" t="s">
        <v>9292</v>
      </c>
      <c r="J1660" s="37" t="s">
        <v>475</v>
      </c>
      <c r="K1660" s="40" t="s">
        <v>9293</v>
      </c>
      <c r="L1660" s="37" t="s">
        <v>64</v>
      </c>
      <c r="M1660"/>
      <c r="N1660"/>
    </row>
    <row r="1661" spans="1:14">
      <c r="A1661" s="39"/>
      <c r="B1661" s="37" t="s">
        <v>9294</v>
      </c>
      <c r="C1661" s="37" t="s">
        <v>8374</v>
      </c>
      <c r="D1661" s="37" t="s">
        <v>1214</v>
      </c>
      <c r="E1661" s="37" t="s">
        <v>9295</v>
      </c>
      <c r="F1661" s="37" t="s">
        <v>9296</v>
      </c>
      <c r="G1661" s="37" t="s">
        <v>9297</v>
      </c>
      <c r="H1661" s="37" t="s">
        <v>2243</v>
      </c>
      <c r="I1661" s="37" t="s">
        <v>82</v>
      </c>
      <c r="J1661" s="37" t="s">
        <v>83</v>
      </c>
      <c r="K1661" s="40" t="s">
        <v>4301</v>
      </c>
      <c r="L1661" s="37" t="s">
        <v>64</v>
      </c>
      <c r="M1661"/>
      <c r="N1661"/>
    </row>
    <row r="1662" spans="1:14">
      <c r="A1662" s="39"/>
      <c r="B1662" s="37" t="s">
        <v>9298</v>
      </c>
      <c r="C1662" s="37" t="s">
        <v>9299</v>
      </c>
      <c r="D1662" s="37" t="s">
        <v>117</v>
      </c>
      <c r="E1662" s="37" t="s">
        <v>9300</v>
      </c>
      <c r="F1662" s="37" t="s">
        <v>9301</v>
      </c>
      <c r="G1662" s="37" t="s">
        <v>9302</v>
      </c>
      <c r="H1662" s="37"/>
      <c r="I1662" s="37" t="s">
        <v>362</v>
      </c>
      <c r="J1662" s="37" t="s">
        <v>128</v>
      </c>
      <c r="K1662" s="40" t="s">
        <v>9303</v>
      </c>
      <c r="L1662" s="37" t="s">
        <v>64</v>
      </c>
      <c r="M1662"/>
      <c r="N1662"/>
    </row>
    <row r="1663" spans="1:14">
      <c r="A1663" s="39"/>
      <c r="B1663" s="37" t="s">
        <v>9304</v>
      </c>
      <c r="C1663" s="37" t="s">
        <v>6804</v>
      </c>
      <c r="D1663" s="37" t="s">
        <v>90</v>
      </c>
      <c r="E1663" s="37" t="s">
        <v>9305</v>
      </c>
      <c r="F1663" s="37" t="s">
        <v>9306</v>
      </c>
      <c r="G1663" s="37" t="s">
        <v>9307</v>
      </c>
      <c r="H1663" s="37"/>
      <c r="I1663" s="37" t="s">
        <v>9308</v>
      </c>
      <c r="J1663" s="37"/>
      <c r="K1663" s="40" t="s">
        <v>9309</v>
      </c>
      <c r="L1663" s="37" t="s">
        <v>7424</v>
      </c>
      <c r="M1663"/>
      <c r="N1663"/>
    </row>
    <row r="1664" spans="1:14">
      <c r="A1664" s="39"/>
      <c r="B1664" s="37" t="s">
        <v>9310</v>
      </c>
      <c r="C1664" s="37" t="s">
        <v>7214</v>
      </c>
      <c r="D1664" s="37" t="s">
        <v>1260</v>
      </c>
      <c r="E1664" s="37" t="s">
        <v>152</v>
      </c>
      <c r="F1664" s="37" t="s">
        <v>9311</v>
      </c>
      <c r="G1664" s="37" t="s">
        <v>9312</v>
      </c>
      <c r="H1664" s="37"/>
      <c r="I1664" s="37" t="s">
        <v>3089</v>
      </c>
      <c r="J1664" s="37" t="s">
        <v>1851</v>
      </c>
      <c r="K1664" s="40" t="s">
        <v>9313</v>
      </c>
      <c r="L1664" s="37" t="s">
        <v>64</v>
      </c>
      <c r="M1664"/>
      <c r="N1664"/>
    </row>
    <row r="1665" spans="1:14">
      <c r="A1665" s="39"/>
      <c r="B1665" s="37" t="s">
        <v>9314</v>
      </c>
      <c r="C1665" s="37" t="s">
        <v>9315</v>
      </c>
      <c r="D1665" s="37" t="s">
        <v>9316</v>
      </c>
      <c r="E1665" s="37" t="s">
        <v>9317</v>
      </c>
      <c r="F1665" s="37" t="s">
        <v>9318</v>
      </c>
      <c r="G1665" s="37" t="s">
        <v>9319</v>
      </c>
      <c r="H1665" s="37"/>
      <c r="I1665" s="37" t="s">
        <v>226</v>
      </c>
      <c r="J1665" s="37" t="s">
        <v>214</v>
      </c>
      <c r="K1665" s="40" t="s">
        <v>227</v>
      </c>
      <c r="L1665" s="37" t="s">
        <v>64</v>
      </c>
      <c r="M1665"/>
      <c r="N1665"/>
    </row>
    <row r="1666" spans="1:14">
      <c r="A1666" s="39"/>
      <c r="B1666" s="37" t="s">
        <v>9320</v>
      </c>
      <c r="C1666" s="37" t="s">
        <v>6921</v>
      </c>
      <c r="D1666" s="37" t="s">
        <v>955</v>
      </c>
      <c r="E1666" s="37" t="s">
        <v>1518</v>
      </c>
      <c r="F1666" s="37" t="s">
        <v>9321</v>
      </c>
      <c r="G1666" s="37" t="s">
        <v>9322</v>
      </c>
      <c r="H1666" s="37"/>
      <c r="I1666" s="37" t="s">
        <v>3571</v>
      </c>
      <c r="J1666" s="37" t="s">
        <v>425</v>
      </c>
      <c r="K1666" s="40" t="s">
        <v>9323</v>
      </c>
      <c r="L1666" s="37" t="s">
        <v>64</v>
      </c>
      <c r="M1666"/>
      <c r="N1666"/>
    </row>
    <row r="1667" spans="1:14">
      <c r="A1667" s="39"/>
      <c r="B1667" s="37" t="s">
        <v>9324</v>
      </c>
      <c r="C1667" s="37" t="s">
        <v>9325</v>
      </c>
      <c r="D1667" s="37" t="s">
        <v>931</v>
      </c>
      <c r="E1667" s="37" t="s">
        <v>9326</v>
      </c>
      <c r="F1667" s="37" t="s">
        <v>9327</v>
      </c>
      <c r="G1667" s="37" t="s">
        <v>9328</v>
      </c>
      <c r="H1667" s="37" t="s">
        <v>980</v>
      </c>
      <c r="I1667" s="37" t="s">
        <v>9329</v>
      </c>
      <c r="J1667" s="37" t="s">
        <v>128</v>
      </c>
      <c r="K1667" s="40" t="s">
        <v>9330</v>
      </c>
      <c r="L1667" s="37" t="s">
        <v>64</v>
      </c>
      <c r="M1667"/>
      <c r="N1667"/>
    </row>
    <row r="1668" spans="1:14">
      <c r="A1668" s="39"/>
      <c r="B1668" s="37" t="s">
        <v>9331</v>
      </c>
      <c r="C1668" s="37" t="s">
        <v>9332</v>
      </c>
      <c r="D1668" s="37" t="s">
        <v>909</v>
      </c>
      <c r="E1668" s="37" t="s">
        <v>781</v>
      </c>
      <c r="F1668" s="37" t="s">
        <v>9333</v>
      </c>
      <c r="G1668" s="37" t="s">
        <v>9334</v>
      </c>
      <c r="H1668" s="37"/>
      <c r="I1668" s="37" t="s">
        <v>843</v>
      </c>
      <c r="J1668" s="37" t="s">
        <v>75</v>
      </c>
      <c r="K1668" s="40" t="s">
        <v>9335</v>
      </c>
      <c r="L1668" s="37" t="s">
        <v>64</v>
      </c>
      <c r="M1668"/>
      <c r="N1668"/>
    </row>
    <row r="1669" spans="1:14">
      <c r="A1669" s="39"/>
      <c r="B1669" s="37" t="s">
        <v>9331</v>
      </c>
      <c r="C1669" s="37" t="s">
        <v>7072</v>
      </c>
      <c r="D1669" s="37" t="s">
        <v>9336</v>
      </c>
      <c r="E1669" s="37" t="s">
        <v>9337</v>
      </c>
      <c r="F1669" s="37" t="s">
        <v>9338</v>
      </c>
      <c r="G1669" s="37" t="s">
        <v>9339</v>
      </c>
      <c r="H1669" s="37"/>
      <c r="I1669" s="37" t="s">
        <v>843</v>
      </c>
      <c r="J1669" s="37" t="s">
        <v>75</v>
      </c>
      <c r="K1669" s="40" t="s">
        <v>9335</v>
      </c>
      <c r="L1669" s="37" t="s">
        <v>64</v>
      </c>
      <c r="M1669"/>
      <c r="N1669"/>
    </row>
    <row r="1670" spans="1:14">
      <c r="A1670" s="39"/>
      <c r="B1670" s="37" t="s">
        <v>9340</v>
      </c>
      <c r="C1670" s="37"/>
      <c r="D1670" s="37" t="s">
        <v>1129</v>
      </c>
      <c r="E1670" s="37" t="s">
        <v>2007</v>
      </c>
      <c r="F1670" s="37" t="s">
        <v>9341</v>
      </c>
      <c r="G1670" s="37" t="s">
        <v>9342</v>
      </c>
      <c r="H1670" s="37"/>
      <c r="I1670" s="37" t="s">
        <v>82</v>
      </c>
      <c r="J1670" s="37" t="s">
        <v>83</v>
      </c>
      <c r="K1670" s="40" t="s">
        <v>4301</v>
      </c>
      <c r="L1670" s="37" t="s">
        <v>64</v>
      </c>
      <c r="M1670"/>
      <c r="N1670"/>
    </row>
    <row r="1671" spans="1:14">
      <c r="A1671" s="39"/>
      <c r="B1671" s="37" t="s">
        <v>9343</v>
      </c>
      <c r="C1671" s="37" t="s">
        <v>9344</v>
      </c>
      <c r="D1671" s="37" t="s">
        <v>90</v>
      </c>
      <c r="E1671" s="37" t="s">
        <v>9345</v>
      </c>
      <c r="F1671" s="37" t="s">
        <v>9346</v>
      </c>
      <c r="G1671" s="37" t="s">
        <v>9347</v>
      </c>
      <c r="H1671" s="37"/>
      <c r="I1671" s="37" t="s">
        <v>9348</v>
      </c>
      <c r="J1671" s="37" t="s">
        <v>475</v>
      </c>
      <c r="K1671" s="40" t="s">
        <v>9349</v>
      </c>
      <c r="L1671" s="37" t="s">
        <v>64</v>
      </c>
      <c r="M1671"/>
      <c r="N1671"/>
    </row>
    <row r="1672" spans="1:14">
      <c r="A1672" s="39"/>
      <c r="B1672" s="37" t="s">
        <v>9350</v>
      </c>
      <c r="C1672" s="37" t="s">
        <v>9351</v>
      </c>
      <c r="D1672" s="37" t="s">
        <v>2317</v>
      </c>
      <c r="E1672" s="37" t="s">
        <v>7446</v>
      </c>
      <c r="F1672" s="37" t="s">
        <v>9352</v>
      </c>
      <c r="G1672" s="37" t="s">
        <v>9353</v>
      </c>
      <c r="H1672" s="37" t="s">
        <v>9354</v>
      </c>
      <c r="I1672" s="37" t="s">
        <v>4121</v>
      </c>
      <c r="J1672" s="37" t="s">
        <v>83</v>
      </c>
      <c r="K1672" s="40" t="s">
        <v>4301</v>
      </c>
      <c r="L1672" s="37" t="s">
        <v>64</v>
      </c>
      <c r="M1672"/>
      <c r="N1672"/>
    </row>
    <row r="1673" spans="1:14">
      <c r="A1673" s="39"/>
      <c r="B1673" s="37" t="s">
        <v>9350</v>
      </c>
      <c r="C1673" s="37"/>
      <c r="D1673" s="37" t="s">
        <v>909</v>
      </c>
      <c r="E1673" s="37" t="s">
        <v>9355</v>
      </c>
      <c r="F1673" s="37" t="s">
        <v>9356</v>
      </c>
      <c r="G1673" s="37" t="s">
        <v>9357</v>
      </c>
      <c r="H1673" s="37" t="s">
        <v>2243</v>
      </c>
      <c r="I1673" s="37" t="s">
        <v>82</v>
      </c>
      <c r="J1673" s="37" t="s">
        <v>83</v>
      </c>
      <c r="K1673" s="40" t="s">
        <v>4301</v>
      </c>
      <c r="L1673" s="37" t="s">
        <v>64</v>
      </c>
      <c r="M1673"/>
      <c r="N1673"/>
    </row>
    <row r="1674" spans="1:14">
      <c r="A1674" s="39"/>
      <c r="B1674" s="37" t="s">
        <v>9358</v>
      </c>
      <c r="C1674" s="37" t="s">
        <v>7432</v>
      </c>
      <c r="D1674" s="37" t="s">
        <v>9359</v>
      </c>
      <c r="E1674" s="37" t="s">
        <v>3506</v>
      </c>
      <c r="F1674" s="37" t="s">
        <v>9360</v>
      </c>
      <c r="G1674" s="37" t="s">
        <v>9353</v>
      </c>
      <c r="H1674" s="37" t="s">
        <v>2243</v>
      </c>
      <c r="I1674" s="37" t="s">
        <v>82</v>
      </c>
      <c r="J1674" s="37" t="s">
        <v>83</v>
      </c>
      <c r="K1674" s="40" t="s">
        <v>4301</v>
      </c>
      <c r="L1674" s="37" t="s">
        <v>64</v>
      </c>
      <c r="M1674"/>
      <c r="N1674"/>
    </row>
    <row r="1675" spans="1:14">
      <c r="A1675" s="39"/>
      <c r="B1675" s="37" t="s">
        <v>9358</v>
      </c>
      <c r="C1675" s="37" t="s">
        <v>6877</v>
      </c>
      <c r="D1675" s="37" t="s">
        <v>1757</v>
      </c>
      <c r="E1675" s="37" t="s">
        <v>9361</v>
      </c>
      <c r="F1675" s="37" t="s">
        <v>9362</v>
      </c>
      <c r="G1675" s="37" t="s">
        <v>9363</v>
      </c>
      <c r="H1675" s="37"/>
      <c r="I1675" s="37" t="s">
        <v>82</v>
      </c>
      <c r="J1675" s="37" t="s">
        <v>83</v>
      </c>
      <c r="K1675" s="40" t="s">
        <v>4301</v>
      </c>
      <c r="L1675" s="37" t="s">
        <v>64</v>
      </c>
      <c r="M1675"/>
      <c r="N1675"/>
    </row>
    <row r="1676" spans="1:14">
      <c r="A1676" s="39"/>
      <c r="B1676" s="37" t="s">
        <v>9364</v>
      </c>
      <c r="C1676" s="37" t="s">
        <v>9365</v>
      </c>
      <c r="D1676" s="37" t="s">
        <v>330</v>
      </c>
      <c r="E1676" s="37" t="s">
        <v>9366</v>
      </c>
      <c r="F1676" s="37" t="s">
        <v>9367</v>
      </c>
      <c r="G1676" s="37" t="s">
        <v>9368</v>
      </c>
      <c r="H1676" s="37" t="s">
        <v>9369</v>
      </c>
      <c r="I1676" s="37" t="s">
        <v>7656</v>
      </c>
      <c r="J1676" s="37" t="s">
        <v>125</v>
      </c>
      <c r="K1676" s="40" t="s">
        <v>9370</v>
      </c>
      <c r="L1676" s="37" t="s">
        <v>64</v>
      </c>
      <c r="M1676"/>
      <c r="N1676"/>
    </row>
    <row r="1677" spans="1:14">
      <c r="A1677" s="39"/>
      <c r="B1677" s="37" t="s">
        <v>9371</v>
      </c>
      <c r="C1677" s="37" t="s">
        <v>9372</v>
      </c>
      <c r="D1677" s="37" t="s">
        <v>272</v>
      </c>
      <c r="E1677" s="37" t="s">
        <v>9373</v>
      </c>
      <c r="F1677" s="37" t="s">
        <v>9374</v>
      </c>
      <c r="G1677" s="37" t="s">
        <v>9375</v>
      </c>
      <c r="H1677" s="37" t="s">
        <v>9376</v>
      </c>
      <c r="I1677" s="37" t="s">
        <v>191</v>
      </c>
      <c r="J1677" s="37" t="s">
        <v>121</v>
      </c>
      <c r="K1677" s="40" t="s">
        <v>192</v>
      </c>
      <c r="L1677" s="37" t="s">
        <v>64</v>
      </c>
      <c r="M1677"/>
      <c r="N1677"/>
    </row>
    <row r="1678" spans="1:14">
      <c r="A1678" s="39"/>
      <c r="B1678" s="37" t="s">
        <v>9377</v>
      </c>
      <c r="C1678" s="37"/>
      <c r="D1678" s="37" t="s">
        <v>1157</v>
      </c>
      <c r="E1678" s="37" t="s">
        <v>9378</v>
      </c>
      <c r="F1678" s="37" t="s">
        <v>9379</v>
      </c>
      <c r="G1678" s="37" t="s">
        <v>9380</v>
      </c>
      <c r="H1678" s="37"/>
      <c r="I1678" s="37" t="s">
        <v>362</v>
      </c>
      <c r="J1678" s="37" t="s">
        <v>128</v>
      </c>
      <c r="K1678" s="40" t="s">
        <v>9381</v>
      </c>
      <c r="L1678" s="37" t="s">
        <v>64</v>
      </c>
      <c r="M1678"/>
      <c r="N1678"/>
    </row>
    <row r="1679" spans="1:14">
      <c r="A1679" s="39"/>
      <c r="B1679" s="37" t="s">
        <v>9382</v>
      </c>
      <c r="C1679" s="37" t="s">
        <v>9383</v>
      </c>
      <c r="D1679" s="37" t="s">
        <v>685</v>
      </c>
      <c r="E1679" s="37" t="s">
        <v>9384</v>
      </c>
      <c r="F1679" s="37" t="s">
        <v>9385</v>
      </c>
      <c r="G1679" s="37" t="s">
        <v>9386</v>
      </c>
      <c r="H1679" s="37"/>
      <c r="I1679" s="37" t="s">
        <v>4550</v>
      </c>
      <c r="J1679" s="37" t="s">
        <v>105</v>
      </c>
      <c r="K1679" s="40" t="s">
        <v>9387</v>
      </c>
      <c r="L1679" s="37" t="s">
        <v>64</v>
      </c>
      <c r="M1679"/>
      <c r="N1679"/>
    </row>
    <row r="1680" spans="1:14">
      <c r="A1680" s="39"/>
      <c r="B1680" s="37" t="s">
        <v>9388</v>
      </c>
      <c r="C1680" s="37" t="s">
        <v>9389</v>
      </c>
      <c r="D1680" s="37" t="s">
        <v>9390</v>
      </c>
      <c r="E1680" s="37" t="s">
        <v>9391</v>
      </c>
      <c r="F1680" s="37" t="s">
        <v>9392</v>
      </c>
      <c r="G1680" s="37" t="s">
        <v>9393</v>
      </c>
      <c r="H1680" s="37"/>
      <c r="I1680" s="37" t="s">
        <v>7105</v>
      </c>
      <c r="J1680" s="37" t="s">
        <v>121</v>
      </c>
      <c r="K1680" s="40" t="s">
        <v>9394</v>
      </c>
      <c r="L1680" s="37" t="s">
        <v>64</v>
      </c>
      <c r="M1680"/>
      <c r="N1680"/>
    </row>
    <row r="1681" spans="1:14">
      <c r="A1681" s="39"/>
      <c r="B1681" s="37" t="s">
        <v>9395</v>
      </c>
      <c r="C1681" s="37" t="s">
        <v>6921</v>
      </c>
      <c r="D1681" s="37" t="s">
        <v>9396</v>
      </c>
      <c r="E1681" s="37" t="s">
        <v>2372</v>
      </c>
      <c r="F1681" s="37" t="s">
        <v>9397</v>
      </c>
      <c r="G1681" s="37" t="s">
        <v>9398</v>
      </c>
      <c r="H1681" s="37" t="s">
        <v>9399</v>
      </c>
      <c r="I1681" s="37" t="s">
        <v>5261</v>
      </c>
      <c r="J1681" s="37" t="s">
        <v>121</v>
      </c>
      <c r="K1681" s="40"/>
      <c r="L1681" s="37" t="s">
        <v>64</v>
      </c>
      <c r="M1681"/>
      <c r="N1681"/>
    </row>
    <row r="1682" spans="1:14">
      <c r="A1682" s="39"/>
      <c r="B1682" s="37" t="s">
        <v>9400</v>
      </c>
      <c r="C1682" s="37"/>
      <c r="D1682" s="37" t="s">
        <v>2603</v>
      </c>
      <c r="E1682" s="37" t="s">
        <v>9401</v>
      </c>
      <c r="F1682" s="37" t="s">
        <v>9402</v>
      </c>
      <c r="G1682" s="37" t="s">
        <v>9403</v>
      </c>
      <c r="H1682" s="37" t="s">
        <v>9404</v>
      </c>
      <c r="I1682" s="37" t="s">
        <v>191</v>
      </c>
      <c r="J1682" s="37" t="s">
        <v>121</v>
      </c>
      <c r="K1682" s="40"/>
      <c r="L1682" s="37" t="s">
        <v>64</v>
      </c>
      <c r="M1682"/>
      <c r="N168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Yearly Comparison Chart (old)</vt:lpstr>
      <vt:lpstr>Original Data</vt:lpstr>
      <vt:lpstr>FOIA Letter</vt:lpstr>
      <vt:lpstr>FINAL Attendee List 6.4.12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Anne</dc:creator>
  <cp:lastModifiedBy>KevinGMills</cp:lastModifiedBy>
  <cp:lastPrinted>2012-06-12T14:20:52Z</cp:lastPrinted>
  <dcterms:created xsi:type="dcterms:W3CDTF">2012-02-21T22:16:37Z</dcterms:created>
  <dcterms:modified xsi:type="dcterms:W3CDTF">2014-04-24T18:13:31Z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