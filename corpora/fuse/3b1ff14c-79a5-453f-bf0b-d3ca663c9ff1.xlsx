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05" windowWidth="19035" windowHeight="11640" tabRatio="767"/>
  </bookViews>
  <sheets>
    <sheet name="INT-Home" sheetId="15" r:id="rId1"/>
    <sheet name="SUM-Home" sheetId="12" r:id="rId2"/>
    <sheet name="RLI-Home" sheetId="1" r:id="rId3"/>
    <sheet name="EXP-Home" sheetId="6" r:id="rId4"/>
    <sheet name="TRD-Home" sheetId="14" r:id="rId5"/>
    <sheet name="CAT-Home" sheetId="5" r:id="rId6"/>
    <sheet name="UW-Home" sheetId="2" r:id="rId7"/>
    <sheet name="OB-Home" sheetId="8" r:id="rId8"/>
    <sheet name="VAR-Home" sheetId="9" r:id="rId9"/>
    <sheet name="PI-Home" sheetId="10" r:id="rId10"/>
  </sheets>
  <calcPr calcId="125725"/>
</workbook>
</file>

<file path=xl/calcChain.xml><?xml version="1.0" encoding="utf-8"?>
<calcChain xmlns="http://schemas.openxmlformats.org/spreadsheetml/2006/main">
  <c r="M15" i="1"/>
  <c r="C21" i="10" l="1"/>
  <c r="D20" s="1"/>
  <c r="H21"/>
  <c r="G12" i="6"/>
  <c r="G13" s="1"/>
  <c r="J21" i="1"/>
  <c r="I21"/>
  <c r="D25"/>
  <c r="D19"/>
  <c r="E11"/>
  <c r="E12"/>
  <c r="E13"/>
  <c r="E14"/>
  <c r="E10"/>
  <c r="K11"/>
  <c r="K12"/>
  <c r="K13"/>
  <c r="K14"/>
  <c r="K10"/>
  <c r="D11" i="6"/>
  <c r="D12"/>
  <c r="D13"/>
  <c r="D14"/>
  <c r="D15"/>
  <c r="D16"/>
  <c r="D17"/>
  <c r="D22" i="1" s="1"/>
  <c r="D10" i="6"/>
  <c r="C18"/>
  <c r="D19" s="1"/>
  <c r="B18"/>
  <c r="G26" i="14"/>
  <c r="H26" s="1"/>
  <c r="F26"/>
  <c r="D26"/>
  <c r="G25"/>
  <c r="H25" s="1"/>
  <c r="F25"/>
  <c r="D25"/>
  <c r="G24"/>
  <c r="H24" s="1"/>
  <c r="F24"/>
  <c r="D24"/>
  <c r="G23"/>
  <c r="H23" s="1"/>
  <c r="F23"/>
  <c r="D23"/>
  <c r="G22"/>
  <c r="H22" s="1"/>
  <c r="F22"/>
  <c r="D22"/>
  <c r="G21"/>
  <c r="H21" s="1"/>
  <c r="F21"/>
  <c r="D21"/>
  <c r="G20"/>
  <c r="H20" s="1"/>
  <c r="F20"/>
  <c r="D20"/>
  <c r="G19"/>
  <c r="H19" s="1"/>
  <c r="F19"/>
  <c r="D19"/>
  <c r="G18"/>
  <c r="H18" s="1"/>
  <c r="F18"/>
  <c r="D18"/>
  <c r="G17"/>
  <c r="H17" s="1"/>
  <c r="H27" s="1"/>
  <c r="F17"/>
  <c r="D17"/>
  <c r="G20" i="2"/>
  <c r="G19"/>
  <c r="G18"/>
  <c r="G17"/>
  <c r="E20"/>
  <c r="E19"/>
  <c r="E18"/>
  <c r="E17"/>
  <c r="C20"/>
  <c r="C19"/>
  <c r="C18"/>
  <c r="C17"/>
  <c r="G12"/>
  <c r="G11"/>
  <c r="G10"/>
  <c r="G9"/>
  <c r="E12"/>
  <c r="E11"/>
  <c r="E10"/>
  <c r="E9"/>
  <c r="F13"/>
  <c r="G13" s="1"/>
  <c r="F21"/>
  <c r="G21" s="1"/>
  <c r="D21"/>
  <c r="E21"/>
  <c r="B21"/>
  <c r="C21"/>
  <c r="D13"/>
  <c r="E13" s="1"/>
  <c r="C12"/>
  <c r="C11"/>
  <c r="C10"/>
  <c r="C9"/>
  <c r="B13"/>
  <c r="C13" s="1"/>
  <c r="H11" i="1"/>
  <c r="H12"/>
  <c r="H13"/>
  <c r="H14"/>
  <c r="H10"/>
  <c r="B15"/>
  <c r="H15" s="1"/>
  <c r="F15"/>
  <c r="D18" i="6"/>
  <c r="D20" i="1"/>
  <c r="F27" i="14"/>
  <c r="D27"/>
  <c r="L13" i="1" l="1"/>
  <c r="L11"/>
  <c r="L12"/>
  <c r="L14"/>
  <c r="K15"/>
  <c r="L10"/>
  <c r="D18" s="1"/>
  <c r="E15"/>
  <c r="I12" i="10"/>
  <c r="I16"/>
  <c r="I20"/>
  <c r="I19"/>
  <c r="I11"/>
  <c r="I10"/>
  <c r="I14"/>
  <c r="I18"/>
  <c r="I9"/>
  <c r="I13"/>
  <c r="I17"/>
  <c r="I21"/>
  <c r="I15"/>
  <c r="D21" i="1"/>
  <c r="D11" i="10"/>
  <c r="D18"/>
  <c r="D12"/>
  <c r="D16"/>
  <c r="D14"/>
  <c r="D19"/>
  <c r="D17"/>
  <c r="D13"/>
  <c r="D9"/>
  <c r="D10"/>
  <c r="D15"/>
  <c r="D21" l="1"/>
  <c r="L15" i="1"/>
  <c r="D23"/>
  <c r="D26" s="1"/>
</calcChain>
</file>

<file path=xl/sharedStrings.xml><?xml version="1.0" encoding="utf-8"?>
<sst xmlns="http://schemas.openxmlformats.org/spreadsheetml/2006/main" count="353" uniqueCount="258">
  <si>
    <t>Rate Level Indication Exhibit</t>
  </si>
  <si>
    <t>Insurance Company:</t>
  </si>
  <si>
    <t>Insert Company Name</t>
  </si>
  <si>
    <t>Effective Date:</t>
  </si>
  <si>
    <t>Form</t>
  </si>
  <si>
    <t>Insert Form</t>
  </si>
  <si>
    <t>Year</t>
  </si>
  <si>
    <t>Earned Premium</t>
  </si>
  <si>
    <t>Present Level Factor</t>
  </si>
  <si>
    <t>Premium Trend Factor</t>
  </si>
  <si>
    <t>Earned Premium at Current Rate Level</t>
  </si>
  <si>
    <t>Accident Year Incurred Losses</t>
  </si>
  <si>
    <t>LAE</t>
  </si>
  <si>
    <t>Direct Incurred Loss Ratio</t>
  </si>
  <si>
    <t>Loss Development Factor</t>
  </si>
  <si>
    <t>Loss Trend Factor</t>
  </si>
  <si>
    <t>Projected Accident Year Incurred Losses</t>
  </si>
  <si>
    <t>Projected Loss Ratio</t>
  </si>
  <si>
    <t>Individual Year Weights</t>
  </si>
  <si>
    <t>Total</t>
  </si>
  <si>
    <t>Weighted Projected Loss Ratio</t>
  </si>
  <si>
    <t>Premium Trend</t>
  </si>
  <si>
    <t>Fixed Expense Ratio</t>
  </si>
  <si>
    <t>Loss Trend</t>
  </si>
  <si>
    <t>Net Trend</t>
  </si>
  <si>
    <t>Indicated Change</t>
  </si>
  <si>
    <t>Credibility Percentage</t>
  </si>
  <si>
    <t>Complement of Credibility</t>
  </si>
  <si>
    <t>Credibility Weighted Indicated Change</t>
  </si>
  <si>
    <t>Insurer Notes:</t>
  </si>
  <si>
    <t>Notes:</t>
  </si>
  <si>
    <t>2.  A supporting exhibit establishing your credibility standard and how your complement of credibility value was calculated/selected is required</t>
  </si>
  <si>
    <t>Variable Expense Ratio</t>
  </si>
  <si>
    <t>RLI-Home</t>
  </si>
  <si>
    <t>MM/DD/YYYY</t>
  </si>
  <si>
    <t>Summary Exhibit</t>
  </si>
  <si>
    <t>Earned Premium or Earned Exposures</t>
  </si>
  <si>
    <t>Proposed Change</t>
  </si>
  <si>
    <t>(Add/Delete rows as needed)</t>
  </si>
  <si>
    <t>Overall Total</t>
  </si>
  <si>
    <t>SUM-Home</t>
  </si>
  <si>
    <t>Underwriting Results Exhibit</t>
  </si>
  <si>
    <t>Actual SC Direct</t>
  </si>
  <si>
    <t>% of Premium</t>
  </si>
  <si>
    <t>Incurred Losses</t>
  </si>
  <si>
    <t>Incurred LAE</t>
  </si>
  <si>
    <t>Incurred U/W Expenses</t>
  </si>
  <si>
    <t>U/W Results</t>
  </si>
  <si>
    <t>Actual SC Net of Reinsurance</t>
  </si>
  <si>
    <t>UW-Home</t>
  </si>
  <si>
    <t>Off-Balance Exhibit</t>
  </si>
  <si>
    <t>etc</t>
  </si>
  <si>
    <t>Earned Premiums or Earned Exposures</t>
  </si>
  <si>
    <t>Weight</t>
  </si>
  <si>
    <t>1.  Use a row for each Rating Variable of change (i.e. Base Rates, Territory, etc)</t>
  </si>
  <si>
    <t>OB-Home</t>
  </si>
  <si>
    <t>Rating Variable</t>
  </si>
  <si>
    <t>(Add/Delete rows/columns as needed)</t>
  </si>
  <si>
    <t>4.  Include each Form being filed</t>
  </si>
  <si>
    <t>Form Overall Change</t>
  </si>
  <si>
    <t>Rating Variable Support Exhibit</t>
  </si>
  <si>
    <t>Form:</t>
  </si>
  <si>
    <t xml:space="preserve">Insert Form </t>
  </si>
  <si>
    <t>Rating Variable:</t>
  </si>
  <si>
    <t>Insert Rating Variable</t>
  </si>
  <si>
    <t>Category</t>
  </si>
  <si>
    <t>Support for Change</t>
  </si>
  <si>
    <t>Current Factor</t>
  </si>
  <si>
    <t>Proposed Factor</t>
  </si>
  <si>
    <t>% Change</t>
  </si>
  <si>
    <t>(Add columns as needed)</t>
  </si>
  <si>
    <t>1.  Complete this exhibit for each Rating Variable (i.e. Base Rates, Territory, etc)</t>
  </si>
  <si>
    <t xml:space="preserve">2.  List each Category affected by your proposed Rating Variable changes  </t>
  </si>
  <si>
    <t>2a.  If Category codes are company specific, provide the Category code definition</t>
  </si>
  <si>
    <t>3.  Earned Premiums or Earned Exposures should be used as weights to calculate the Total % Change</t>
  </si>
  <si>
    <t>4.  Support for Change value uses loss or competitive data to support your Proposed Factor selections (i.e. Indicated Factor, Indicated Change, Countrywide Factor, etc.)</t>
  </si>
  <si>
    <t>1.  Complete this exhibit for each Form and in total</t>
  </si>
  <si>
    <t>VAR-Home</t>
  </si>
  <si>
    <t>Parallelogram Method</t>
  </si>
  <si>
    <t>Re-rating</t>
  </si>
  <si>
    <t>Other</t>
  </si>
  <si>
    <t>ISO Fast Track 12-16 Pt Fit</t>
  </si>
  <si>
    <t>Cumulative Link Ratios</t>
  </si>
  <si>
    <t>Age-to-Ultimate Link Ratios</t>
  </si>
  <si>
    <t>EP @ CRL</t>
  </si>
  <si>
    <t>Ultimate Non-Weather Losses</t>
  </si>
  <si>
    <t>Ultimate Weather Losses</t>
  </si>
  <si>
    <t>Ultimate Total Incurred Losses</t>
  </si>
  <si>
    <t>Total Loss Ratio</t>
  </si>
  <si>
    <t>Weather Loss Ratio</t>
  </si>
  <si>
    <t>Non-Weather Loss Ratio</t>
  </si>
  <si>
    <t>Net (Loss Ratio) Trend</t>
  </si>
  <si>
    <t xml:space="preserve">Indicate the methodology used in developing each of the factors listed below by checking the appropriate cell.  </t>
  </si>
  <si>
    <t xml:space="preserve">Catastrophe Model Information </t>
  </si>
  <si>
    <t>Provide basis for calculation</t>
  </si>
  <si>
    <t>Explain difference in % amounts</t>
  </si>
  <si>
    <t>CAT-Home</t>
  </si>
  <si>
    <t>Expense Category</t>
  </si>
  <si>
    <t>Expense Ratio  (% Premium)</t>
  </si>
  <si>
    <t>Fixed</t>
  </si>
  <si>
    <t>Variable</t>
  </si>
  <si>
    <t>Commissions</t>
  </si>
  <si>
    <t>Taxes, Licenses, &amp; Fees</t>
  </si>
  <si>
    <t>Other Acquisition Expenses</t>
  </si>
  <si>
    <t>General Expenses</t>
  </si>
  <si>
    <t>Reinsurance Expenses</t>
  </si>
  <si>
    <t>Other Expenses</t>
  </si>
  <si>
    <t>Other Income</t>
  </si>
  <si>
    <t>Total Expense and Profit Ratio</t>
  </si>
  <si>
    <t>Historical</t>
  </si>
  <si>
    <t>Prospective</t>
  </si>
  <si>
    <t>1.  Provide a copy of the actual Insurance Expense Exhibit as submitted with the Annual Statement</t>
  </si>
  <si>
    <t>Profit and Contingencies</t>
  </si>
  <si>
    <t>Territory</t>
  </si>
  <si>
    <t>Wind Pool Zone 2 (with Wind)</t>
  </si>
  <si>
    <t>Wind Pool Zone 1 (with Wind)</t>
  </si>
  <si>
    <t>Remainder</t>
  </si>
  <si>
    <t>Percent of Total Written Premium</t>
  </si>
  <si>
    <t>EXP-Home</t>
  </si>
  <si>
    <t>3a.  Alternatively, the Total % Change could be calculated by re-rating your entire book, which should be acknowledged in the Insurer Notes</t>
  </si>
  <si>
    <t>1.  If any "Other" cells are checked, then provide the detail supporting the factor calculation</t>
  </si>
  <si>
    <t>2.  Explain and support any significant variances between the expenses reported in this exhibit and the Insurance Expense Exhibit</t>
  </si>
  <si>
    <t>Rate Change Interval</t>
  </si>
  <si>
    <t># Policies Affected</t>
  </si>
  <si>
    <t>% Policies Affected</t>
  </si>
  <si>
    <t>No Change</t>
  </si>
  <si>
    <t xml:space="preserve">Total </t>
  </si>
  <si>
    <t>PI-Home</t>
  </si>
  <si>
    <t>$   (XXX.XX)</t>
  </si>
  <si>
    <t>$   XXX.XX</t>
  </si>
  <si>
    <t>-XX.X%</t>
  </si>
  <si>
    <t>Interrogatories</t>
  </si>
  <si>
    <t>INT-Home</t>
  </si>
  <si>
    <t>TRD-Home</t>
  </si>
  <si>
    <t>Trend and Development Exhibit</t>
  </si>
  <si>
    <t>Exponential Fit</t>
  </si>
  <si>
    <t>Complete for previous ten years (or as many years as possible depending on data availability).</t>
  </si>
  <si>
    <t>RV 5</t>
  </si>
  <si>
    <t>RV 7</t>
  </si>
  <si>
    <t>RV 6</t>
  </si>
  <si>
    <t>RV 8</t>
  </si>
  <si>
    <t>RV 1</t>
  </si>
  <si>
    <t>RV 2</t>
  </si>
  <si>
    <t>RV 3</t>
  </si>
  <si>
    <t>RV 4</t>
  </si>
  <si>
    <t>F 2</t>
  </si>
  <si>
    <t>F 1</t>
  </si>
  <si>
    <t>F 3</t>
  </si>
  <si>
    <t>C 1</t>
  </si>
  <si>
    <t>C 2</t>
  </si>
  <si>
    <t>C 3</t>
  </si>
  <si>
    <t>C 4</t>
  </si>
  <si>
    <t>C 5</t>
  </si>
  <si>
    <t>C 6</t>
  </si>
  <si>
    <t>C 7</t>
  </si>
  <si>
    <t>C 8</t>
  </si>
  <si>
    <t>Expense Exhibit</t>
  </si>
  <si>
    <t xml:space="preserve">6.  Complete exhibit for each Form being filed </t>
  </si>
  <si>
    <t>1. Is this filing the initial rate filing for this program?</t>
  </si>
  <si>
    <t>2. Is this filing being submitted under the File and Use provision? (The File and Use provision can be used if the filing type is Rate or Rate/Rule, if the Overall Total Change is within +/-7.0%, and if the File and Use provision has not been used in the 12 months prior to the proposed Renewal effective date).</t>
  </si>
  <si>
    <t>Policyholder Impact Exhibit</t>
  </si>
  <si>
    <t>Profit and Contingencies Provision</t>
  </si>
  <si>
    <t>Catastrophe Exhibit</t>
  </si>
  <si>
    <t>Catastrophe Provision (% of Premium)</t>
  </si>
  <si>
    <t>3. Net trend selections/calculations used to project non-weather losses should not take into account weather related losses</t>
  </si>
  <si>
    <t>Permissible Loss and Fixed Expense Ratio</t>
  </si>
  <si>
    <t>2.  Earned Premium or Earned Exposures should be used to weight the average premium change by Coverage</t>
  </si>
  <si>
    <t>1.  Use South Carolina calendar year data</t>
  </si>
  <si>
    <t>1.  The Form Indicated Change value should balance to the Form Credibility Weighted Indicated Change value in RLI-Home Exhibit</t>
  </si>
  <si>
    <t>2. The Form Proposed Change value should balance to the Form Overall Change value in OB-Home Exhibit</t>
  </si>
  <si>
    <t>3.  The Rating Variable Total value should balance to the Rating Variable Total % Change value in VAR-Home Exhibit</t>
  </si>
  <si>
    <t>2.  The data used in the development of the premium and loss trend factors should be consistent (i.e. premium trend factors should not be based on Countrywide data if loss trend factors use South Carolina data)</t>
  </si>
  <si>
    <t>5b. Sufficient information and documentation explaining the data and calculations being used should be submitted</t>
  </si>
  <si>
    <t>5c. At a minimum, the following values should be included: actual losses from the holdout data set (show Countrywide and South Carolina results; include comments regarding credibility if applicable), predicted losses from the current rating plan, and predicted losses from the proposed rating plan</t>
  </si>
  <si>
    <t>5d. The errors for the proposed values should be lower than the errors for those currently in use</t>
  </si>
  <si>
    <t>3a. List Actuarial Organizations of which the Actuary is a member as well as applicable designations.</t>
  </si>
  <si>
    <t>3b. Identify any items in this rate filing for which the Actuary is not responsible.</t>
  </si>
  <si>
    <t>3c. Confirm that the filing complies with the following Actuarial Standards of Practice: Nos. 12, 13, 23, 25, 29, 30, 38, 39, 41, 43.</t>
  </si>
  <si>
    <t>4. Confirm that the Notes section at the bottom of each exhibit were followed when completing each exhibit.</t>
  </si>
  <si>
    <t>5. Have you changed any of your Rate Level Indication calculation methodologies since your last filing?</t>
  </si>
  <si>
    <t>5a. If Yes, support your change in methodologies.</t>
  </si>
  <si>
    <t>6. Confirm that a copy of the actual Insurance Expense Exhibit, as submitted with the Annual Statement, has been submitted with this filing.</t>
  </si>
  <si>
    <t>1b. If No, complete all attached exhibits and provide the six digit State Tracking Number(s) of your last rate filing.</t>
  </si>
  <si>
    <t>7. Does this program market to coastal properties?</t>
  </si>
  <si>
    <t>7a. Do you currently write with wind in the area covered by the SC Wind &amp; Hail Underwriting Association?</t>
  </si>
  <si>
    <t>5.  If proposing a cap, then complete exhibit with and without the use of capping</t>
  </si>
  <si>
    <t>3. What is the name of the Actuary that prepared this filing?</t>
  </si>
  <si>
    <t>9. Are you proposing to introduce any new element(s) (rating variable, discount, etc.) to your rating plan with this filing?</t>
  </si>
  <si>
    <t xml:space="preserve">9a. If Yes, then list the proposed new element(s) in your rating plan.  </t>
  </si>
  <si>
    <t>10. Do any of your proposed changes create “multiple rating plans” (charging different rates for risks with the same rating characteristics)?</t>
  </si>
  <si>
    <t>10a. If Yes, then provide the proposed multiple rating plan details (The Department may approve multiple rating plans if a transition plan is approved).</t>
  </si>
  <si>
    <t>12. How was the PI-Home Exhibit computed? (Actual re-rate of policies, Estimate based on distributions, etc)</t>
  </si>
  <si>
    <t>13. Are you proposing rate capping with this filing?</t>
  </si>
  <si>
    <t>13a. If yes, then provide the proposed rate capping details (the Department may approve a one-term cap).</t>
  </si>
  <si>
    <t>11. Does this program use credit based insurance score information for rating and/or underwriting tier assignment purposes?</t>
  </si>
  <si>
    <t>2.  Provide latest three years of data</t>
  </si>
  <si>
    <t>1.  Enter the maximum proposed decrease percentage in cell B20</t>
  </si>
  <si>
    <t>2.  Enter the maximum proposed increase and maximum proposed decrease dollars in cells G9 and G20</t>
  </si>
  <si>
    <t>6.  Complete exhibit for each Form being filed (i.e. Owners, Tenant, etc)</t>
  </si>
  <si>
    <t xml:space="preserve">2b. It is assumed the rates proposed in this filing will be in effect for one year.  Please advise if this is not the case and provide further explanation.  </t>
  </si>
  <si>
    <t xml:space="preserve">2a. Does this filing result in a cumulative rate increase greater than +25% for any individual policyholder?  If so, then this filing will not be approved.  </t>
  </si>
  <si>
    <t>11a. If Yes, provide the name of the model used.</t>
  </si>
  <si>
    <t>11b. If Yes, confirm that no hit/no score factors equal 1.00.</t>
  </si>
  <si>
    <t>12a. If the exhibit was computed by an actual re-rate of policies, confirm that 100% of policies were re-rated.</t>
  </si>
  <si>
    <t>3. Reinsurance Expenses should be net cost of reinsurance; a supporting exhibit showing the calculation of the provision is needed</t>
  </si>
  <si>
    <t>4.  If "Other Expenses" or "Other Income" provisions included, then define (selected expense provisions should be reduced for anticipated fee income)</t>
  </si>
  <si>
    <t>4a. When including a dividend provision, the company's dividend payment history, the company's current dividend practice, whether dividends are related to loss experience, the capitalization of the company, and other factors affecting the payment of dividends should be taken into account</t>
  </si>
  <si>
    <t>5.  Profit and Contingencies percentage may not exceed 5.0% unless writing heavily on the coast with wind coverage</t>
  </si>
  <si>
    <t>6.  Complete exhibit for each Form being filed</t>
  </si>
  <si>
    <t>1a. If Yes, only complete the EXP-Home Exhibit and provide a competitive analysis establishing that the proposed rates are neither excessive nor inadequate (Include at least 3 Competitor Rates and your Proposed Rates).</t>
  </si>
  <si>
    <t>5. When generalized linear modeling is used, the company should provide an overview of how the GLM analysis was performed and include a Quantiles Test, sum of squared errors, mean squared error, average absolute error, and a comparison of predicted and actual frequencies and/or losses demonstrating that the proposed rating plan is a better predictor of losses than the current rating plan</t>
  </si>
  <si>
    <t>5a. The quantiles should be defined based upon the product of all relativities assigned by the proposed rating plan (i.e. if quintiles are used, then quintile 1 contains the 20% of risks with the lowest overall relativity assigned by the proposed plan, and quintile 5 contains the 20% of risks with the highest overall relativity assigned by the proposed plan)</t>
  </si>
  <si>
    <t>5e. For the Department to conclude that the proposed rating plan is acceptable, it is necessary to demonstrate that the proposed rating plan does not introduce a pattern of errors (including overcorrection at the endpoints) when comparing the proposed relativities to the actual relativities from the holdout data set</t>
  </si>
  <si>
    <t>Average</t>
  </si>
  <si>
    <t># Policies</t>
  </si>
  <si>
    <t>Beaufort</t>
  </si>
  <si>
    <t>Charleston</t>
  </si>
  <si>
    <t>Colleton</t>
  </si>
  <si>
    <t>Georgetown</t>
  </si>
  <si>
    <t>Horry</t>
  </si>
  <si>
    <t>County</t>
  </si>
  <si>
    <t>4.  If policies will receive a dollar change &gt; +$400 or &lt; -$400, then list the actual dollar change, the actual percentage change, and the rating variable changes that are driving the rate change for the 5 policies receiving the largest dollar increases and the 5 policies receiving the largest dollar decreases</t>
  </si>
  <si>
    <t>Minimum</t>
  </si>
  <si>
    <t>Maximum</t>
  </si>
  <si>
    <t>% Changes in Wind Pool Zone 1</t>
  </si>
  <si>
    <t>% Changes in Wind Pool Zone 2</t>
  </si>
  <si>
    <t>3d. If an Actuary did not prepare this filing, provide the name, title, and contact information of the party responsible for the filing's accuracy, assumptions, calculations, and content.</t>
  </si>
  <si>
    <t>3.  If policies will receive a rate change between +20.0% and +25.0% or &lt; -25.0%, then list the actual percentage change, the actual dollar change, and the rating variable changes that are driving the rate change for the 5 policies receiving the largest percentage increases and the 5 policies receiving the largest percentage decreases</t>
  </si>
  <si>
    <t>Hurricane Model(s) used</t>
  </si>
  <si>
    <t>Confirm long term version(s) used</t>
  </si>
  <si>
    <t>Confirm warm water version(s) not used</t>
  </si>
  <si>
    <t>Confirm storm surge not included</t>
  </si>
  <si>
    <t>Provide impact of demand surge (loss amplification) on modeled results</t>
  </si>
  <si>
    <t>Other Than Hurricane Model(s) used</t>
  </si>
  <si>
    <t>Catastrophe Load</t>
  </si>
  <si>
    <t>Current total catastrophe load %</t>
  </si>
  <si>
    <t>Previous total catastrophe load %</t>
  </si>
  <si>
    <t>1. See SC Bulletin 2014-03 for additional requirements</t>
  </si>
  <si>
    <t xml:space="preserve">2.  Hurricane models approved for use in South Carolina: </t>
  </si>
  <si>
    <t>- AIR Atlantic Tropical Cyclone Model v. 12.0.1 and v. 14.0.1</t>
  </si>
  <si>
    <t>- EQECAT WORLDCATenterprise v. 3.13 and v. 3.16</t>
  </si>
  <si>
    <t>- EQECAT Risk Quantification and Engineering v. 14</t>
  </si>
  <si>
    <t>- RMS RiskLink v. 11.0 SP3a</t>
  </si>
  <si>
    <t>3.  Short term, etc. and warm water, etc. hurricane model versions not allowed</t>
  </si>
  <si>
    <t>4.  Storm surge not allowed to be included unless flood coverage is provided</t>
  </si>
  <si>
    <t>5. Output report(s) to include for hurricane models:</t>
  </si>
  <si>
    <t>- AIR Models - Analysis Log</t>
  </si>
  <si>
    <t>- ARA Models - Analysis Summary Report</t>
  </si>
  <si>
    <t>- EQECAT Models - Exposure Report; Probabilistic Report; Event Loss Table Report</t>
  </si>
  <si>
    <t>- RMS Models - Analysis Summary Report for FCHLPM</t>
  </si>
  <si>
    <t>Individual who was relied upon and is responsible for the catastrophe model(s) used (Name, Title, and Contact Information)</t>
  </si>
  <si>
    <t xml:space="preserve">Identify and explain any adjustments made to the model(s) and/or the model output (Yes/No).  If Yes, then provide additional documentation of said adjustments as well as the location of this documentation within the filing in the cell to the right.  Note applicability of each adjustment to each model used.  </t>
  </si>
  <si>
    <t>Identify location of output report(s) within filing</t>
  </si>
  <si>
    <t>Identify and explain any secondary modifiers used on input data (Yes/No).  If Yes, then provide additional documentation of said modifiers and their impacts as well as the location of this documentation within the filing in the cell to the right.  If No, then explain why secondary modifiers were not used (particularly with respect to building codes) and provide justification for this decision as well as its impact on loss costs.</t>
  </si>
  <si>
    <t>- ARA HurLoss v. 6.0 (only if criteria in SC Bulletin 2014-03 met - see Footnote 2, Page 3)</t>
  </si>
  <si>
    <t>If using an unapproved model, then explain why and discuss differences between approved and selected models as well as impact of selection on loss costs and indication calculation.  Also provide approval and expiration date set by the Florida Commission on Hurricane Loss Projection Methodology.</t>
  </si>
  <si>
    <t>Confirm tropical storms/depressions not included or, if included, that these have been excluded from the historical loss data included in the indication calculation</t>
  </si>
  <si>
    <t>8. What catastrophe model(s) is/ are used in this filing (specify version number(s))?</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</si>
</sst>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F800]dddd\,\ mmmm\ dd\,\ yyyy"/>
  </numFmts>
  <fonts count="12">
    <font>
      <sz val="11"/>
      <color theme="1"/>
      <name val="Calibri"/>
      <family val="2"/>
      <scheme val="minor"/>
    </font>
    <font>
      <sz val="10"/>
      <name val="Arial"/>
      <family val="2"/>
    </font>
    <font>
      <sz val="11"/>
      <color theme="1"/>
      <name val="Calibri"/>
      <family val="2"/>
      <scheme val="minor"/>
    </font>
    <font>
      <b/>
      <sz val="11"/>
      <name val="Calibri"/>
      <family val="2"/>
      <scheme val="minor"/>
    </font>
    <font>
      <sz val="11"/>
      <name val="Calibri"/>
      <family val="2"/>
      <scheme val="minor"/>
    </font>
    <font>
      <b/>
      <sz val="11"/>
      <color indexed="40"/>
      <name val="Calibri"/>
      <family val="2"/>
      <scheme val="minor"/>
    </font>
    <font>
      <b/>
      <sz val="11"/>
      <color rgb="FF0070C0"/>
      <name val="Calibri"/>
      <family val="2"/>
      <scheme val="minor"/>
    </font>
    <font>
      <b/>
      <sz val="11"/>
      <color theme="4"/>
      <name val="Calibri"/>
      <family val="2"/>
      <scheme val="minor"/>
    </font>
    <font>
      <b/>
      <sz val="11"/>
      <color indexed="12"/>
      <name val="Calibri"/>
      <family val="2"/>
      <scheme val="minor"/>
    </font>
    <font>
      <b/>
      <sz val="11"/>
      <color theme="1"/>
      <name val="Calibri"/>
      <family val="2"/>
      <scheme val="minor"/>
    </font>
    <font>
      <i/>
      <sz val="11"/>
      <name val="Calibri"/>
      <family val="2"/>
      <scheme val="minor"/>
    </font>
    <font>
      <sz val="11"/>
      <color rgb="FF0070C0"/>
      <name val="Calibri"/>
      <family val="2"/>
      <scheme val="minor"/>
    </font>
  </fonts>
  <fills count="2">
    <fill>
      <patternFill patternType="none"/>
    </fill>
    <fill>
      <patternFill patternType="gray125"/>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9">
    <xf numFmtId="0" fontId="0"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79">
    <xf numFmtId="0" fontId="0" fillId="0" borderId="0" xfId="0"/>
    <xf numFmtId="0" fontId="0" fillId="0" borderId="0" xfId="0"/>
    <xf numFmtId="0" fontId="0" fillId="0" borderId="0" xfId="0" applyFont="1"/>
    <xf numFmtId="0" fontId="0" fillId="0" borderId="0" xfId="0" applyFont="1" applyBorder="1"/>
    <xf numFmtId="0" fontId="3" fillId="0" borderId="0" xfId="22" applyFont="1"/>
    <xf numFmtId="0" fontId="4" fillId="0" borderId="0" xfId="22" applyFont="1"/>
    <xf numFmtId="0" fontId="5" fillId="0" borderId="0" xfId="22" applyFont="1" applyBorder="1" applyAlignment="1">
      <alignment wrapText="1"/>
    </xf>
    <xf numFmtId="165" fontId="4" fillId="0" borderId="1" xfId="12" applyNumberFormat="1" applyFont="1" applyBorder="1" applyAlignment="1">
      <alignment horizontal="center"/>
    </xf>
    <xf numFmtId="166" fontId="4" fillId="0" borderId="1" xfId="22" applyNumberFormat="1" applyFont="1" applyBorder="1" applyAlignment="1">
      <alignment horizontal="center"/>
    </xf>
    <xf numFmtId="164" fontId="4" fillId="0" borderId="1" xfId="25" applyNumberFormat="1" applyFont="1" applyBorder="1" applyAlignment="1">
      <alignment horizontal="center"/>
    </xf>
    <xf numFmtId="164" fontId="4" fillId="0" borderId="1" xfId="37" applyNumberFormat="1" applyFont="1" applyBorder="1" applyAlignment="1">
      <alignment horizontal="center"/>
    </xf>
    <xf numFmtId="0" fontId="4" fillId="0" borderId="0" xfId="22" applyFont="1" applyBorder="1"/>
    <xf numFmtId="0" fontId="4" fillId="0" borderId="0" xfId="22" applyFont="1" applyFill="1" applyBorder="1"/>
    <xf numFmtId="0" fontId="4" fillId="0" borderId="0" xfId="22" applyFont="1" applyFill="1"/>
    <xf numFmtId="0" fontId="3" fillId="0" borderId="0" xfId="22" applyFont="1" applyAlignment="1">
      <alignment horizontal="right"/>
    </xf>
    <xf numFmtId="0" fontId="3" fillId="0" borderId="0" xfId="23" applyFont="1"/>
    <xf numFmtId="0" fontId="4" fillId="0" borderId="0" xfId="23" applyFont="1"/>
    <xf numFmtId="164" fontId="4" fillId="0" borderId="1" xfId="38" applyNumberFormat="1" applyFont="1" applyBorder="1" applyAlignment="1">
      <alignment horizontal="center"/>
    </xf>
    <xf numFmtId="0" fontId="4" fillId="0" borderId="0" xfId="23" applyFont="1" applyBorder="1"/>
    <xf numFmtId="0" fontId="3" fillId="0" borderId="0" xfId="23" applyFont="1" applyAlignment="1">
      <alignment horizontal="right"/>
    </xf>
    <xf numFmtId="43" fontId="4" fillId="0" borderId="1" xfId="1" applyFont="1" applyBorder="1" applyAlignment="1">
      <alignment horizontal="center"/>
    </xf>
    <xf numFmtId="0" fontId="3" fillId="0" borderId="0" xfId="24" applyFont="1"/>
    <xf numFmtId="0" fontId="4" fillId="0" borderId="0" xfId="24" applyFont="1"/>
    <xf numFmtId="0" fontId="3" fillId="0" borderId="0" xfId="24" applyFont="1" applyBorder="1" applyAlignment="1">
      <alignment horizontal="left"/>
    </xf>
    <xf numFmtId="165" fontId="4" fillId="0" borderId="2" xfId="15" applyNumberFormat="1" applyFont="1" applyBorder="1"/>
    <xf numFmtId="164" fontId="4" fillId="0" borderId="3" xfId="25" applyNumberFormat="1" applyFont="1" applyFill="1" applyBorder="1"/>
    <xf numFmtId="165" fontId="4" fillId="0" borderId="4" xfId="15" applyNumberFormat="1" applyFont="1" applyBorder="1"/>
    <xf numFmtId="164" fontId="4" fillId="0" borderId="5" xfId="25" applyNumberFormat="1" applyFont="1" applyFill="1" applyBorder="1"/>
    <xf numFmtId="0" fontId="4" fillId="0" borderId="0" xfId="24" applyFont="1" applyFill="1"/>
    <xf numFmtId="0" fontId="4" fillId="0" borderId="0" xfId="24" applyFont="1" applyFill="1" applyBorder="1"/>
    <xf numFmtId="0" fontId="4" fillId="0" borderId="0" xfId="24" applyFont="1" applyBorder="1"/>
    <xf numFmtId="0" fontId="3" fillId="0" borderId="0" xfId="24" applyFont="1" applyAlignment="1">
      <alignment horizontal="right"/>
    </xf>
    <xf numFmtId="0" fontId="0" fillId="0" borderId="0" xfId="0"/>
    <xf numFmtId="0" fontId="3" fillId="0" borderId="0" xfId="20" applyFont="1"/>
    <xf numFmtId="0" fontId="4" fillId="0" borderId="0" xfId="20" applyFont="1"/>
    <xf numFmtId="0" fontId="3" fillId="0" borderId="0" xfId="20" applyFont="1" applyBorder="1" applyAlignment="1">
      <alignment horizontal="left"/>
    </xf>
    <xf numFmtId="0" fontId="6" fillId="0" borderId="1" xfId="20" applyFont="1" applyBorder="1" applyAlignment="1">
      <alignment horizontal="center" wrapText="1"/>
    </xf>
    <xf numFmtId="164" fontId="4" fillId="0" borderId="1" xfId="36" applyNumberFormat="1" applyFont="1" applyBorder="1" applyAlignment="1">
      <alignment horizontal="center"/>
    </xf>
    <xf numFmtId="164" fontId="3" fillId="0" borderId="1" xfId="36" applyNumberFormat="1" applyFont="1" applyBorder="1" applyAlignment="1">
      <alignment horizontal="center"/>
    </xf>
    <xf numFmtId="0" fontId="4" fillId="0" borderId="1" xfId="20" applyFont="1" applyBorder="1" applyAlignment="1">
      <alignment horizontal="center"/>
    </xf>
    <xf numFmtId="0" fontId="4" fillId="0" borderId="0" xfId="20" applyFont="1" applyBorder="1"/>
    <xf numFmtId="0" fontId="3" fillId="0" borderId="0" xfId="20" applyFont="1" applyAlignment="1">
      <alignment horizontal="right"/>
    </xf>
    <xf numFmtId="0" fontId="3" fillId="0" borderId="6" xfId="23" applyFont="1" applyBorder="1" applyAlignment="1">
      <alignment horizontal="center" wrapText="1"/>
    </xf>
    <xf numFmtId="0" fontId="3" fillId="0" borderId="7" xfId="23" applyFont="1" applyBorder="1" applyAlignment="1">
      <alignment horizontal="center" wrapText="1"/>
    </xf>
    <xf numFmtId="0" fontId="7" fillId="0" borderId="8" xfId="23" applyFont="1" applyBorder="1" applyAlignment="1"/>
    <xf numFmtId="164" fontId="4" fillId="0" borderId="9" xfId="38" applyNumberFormat="1" applyFont="1" applyBorder="1" applyAlignment="1">
      <alignment horizontal="center"/>
    </xf>
    <xf numFmtId="0" fontId="7" fillId="0" borderId="10" xfId="23" applyFont="1" applyBorder="1" applyAlignment="1"/>
    <xf numFmtId="0" fontId="3" fillId="0" borderId="11" xfId="23" applyFont="1" applyBorder="1"/>
    <xf numFmtId="43" fontId="4" fillId="0" borderId="12" xfId="1" applyFont="1" applyBorder="1" applyAlignment="1">
      <alignment horizontal="center"/>
    </xf>
    <xf numFmtId="164" fontId="4" fillId="0" borderId="12" xfId="38" applyNumberFormat="1" applyFont="1" applyBorder="1" applyAlignment="1">
      <alignment horizontal="center"/>
    </xf>
    <xf numFmtId="164" fontId="4" fillId="0" borderId="13" xfId="38" applyNumberFormat="1" applyFont="1" applyBorder="1" applyAlignment="1">
      <alignment horizontal="center"/>
    </xf>
    <xf numFmtId="0" fontId="3" fillId="0" borderId="14" xfId="23" applyFont="1" applyBorder="1"/>
    <xf numFmtId="0" fontId="4" fillId="0" borderId="15" xfId="23" applyFont="1" applyBorder="1"/>
    <xf numFmtId="0" fontId="4" fillId="0" borderId="16" xfId="23" applyFont="1" applyBorder="1"/>
    <xf numFmtId="0" fontId="4" fillId="0" borderId="17" xfId="23" applyFont="1" applyBorder="1"/>
    <xf numFmtId="0" fontId="4" fillId="0" borderId="18" xfId="23" applyFont="1" applyBorder="1"/>
    <xf numFmtId="0" fontId="4" fillId="0" borderId="19" xfId="23" applyFont="1" applyBorder="1"/>
    <xf numFmtId="0" fontId="4" fillId="0" borderId="20" xfId="23" applyFont="1" applyBorder="1"/>
    <xf numFmtId="0" fontId="4" fillId="0" borderId="21" xfId="23" applyFont="1" applyBorder="1"/>
    <xf numFmtId="0" fontId="3" fillId="0" borderId="9" xfId="20" applyFont="1" applyBorder="1" applyAlignment="1">
      <alignment horizontal="center" wrapText="1"/>
    </xf>
    <xf numFmtId="164" fontId="4" fillId="0" borderId="9" xfId="36" applyNumberFormat="1" applyFont="1" applyBorder="1" applyAlignment="1">
      <alignment horizontal="center"/>
    </xf>
    <xf numFmtId="164" fontId="3" fillId="0" borderId="9" xfId="36" applyNumberFormat="1" applyFont="1" applyBorder="1" applyAlignment="1">
      <alignment horizontal="center"/>
    </xf>
    <xf numFmtId="0" fontId="3" fillId="0" borderId="11" xfId="20" applyFont="1" applyBorder="1"/>
    <xf numFmtId="0" fontId="4" fillId="0" borderId="22" xfId="20" applyFont="1" applyBorder="1"/>
    <xf numFmtId="0" fontId="4" fillId="0" borderId="22" xfId="20" applyFont="1" applyBorder="1" applyAlignment="1">
      <alignment horizontal="center"/>
    </xf>
    <xf numFmtId="164" fontId="3" fillId="0" borderId="13" xfId="36" applyNumberFormat="1" applyFont="1" applyBorder="1" applyAlignment="1">
      <alignment horizontal="center"/>
    </xf>
    <xf numFmtId="0" fontId="3" fillId="0" borderId="14" xfId="20" applyFont="1" applyBorder="1"/>
    <xf numFmtId="0" fontId="4" fillId="0" borderId="15" xfId="20" applyFont="1" applyBorder="1"/>
    <xf numFmtId="0" fontId="4" fillId="0" borderId="16" xfId="20" applyFont="1" applyBorder="1"/>
    <xf numFmtId="0" fontId="4" fillId="0" borderId="17" xfId="20" applyFont="1" applyBorder="1"/>
    <xf numFmtId="0" fontId="4" fillId="0" borderId="18" xfId="20" applyFont="1" applyBorder="1"/>
    <xf numFmtId="0" fontId="4" fillId="0" borderId="19" xfId="20" applyFont="1" applyBorder="1"/>
    <xf numFmtId="0" fontId="4" fillId="0" borderId="20" xfId="20" applyFont="1" applyBorder="1"/>
    <xf numFmtId="0" fontId="4" fillId="0" borderId="21" xfId="20" applyFont="1" applyBorder="1"/>
    <xf numFmtId="0" fontId="3" fillId="0" borderId="23" xfId="24" applyFont="1" applyBorder="1"/>
    <xf numFmtId="0" fontId="6" fillId="0" borderId="24" xfId="24" applyFont="1" applyBorder="1" applyAlignment="1">
      <alignment horizontal="center"/>
    </xf>
    <xf numFmtId="0" fontId="3" fillId="0" borderId="25" xfId="24" applyFont="1" applyFill="1" applyBorder="1" applyAlignment="1">
      <alignment horizontal="center" wrapText="1"/>
    </xf>
    <xf numFmtId="0" fontId="3" fillId="0" borderId="26" xfId="24" applyFont="1" applyFill="1" applyBorder="1" applyAlignment="1">
      <alignment horizontal="center" wrapText="1"/>
    </xf>
    <xf numFmtId="0" fontId="3" fillId="0" borderId="27" xfId="24" applyFont="1" applyBorder="1"/>
    <xf numFmtId="164" fontId="4" fillId="0" borderId="28" xfId="25" applyNumberFormat="1" applyFont="1" applyFill="1" applyBorder="1"/>
    <xf numFmtId="0" fontId="3" fillId="0" borderId="29" xfId="24" applyFont="1" applyBorder="1"/>
    <xf numFmtId="164" fontId="4" fillId="0" borderId="30" xfId="25" applyNumberFormat="1" applyFont="1" applyFill="1" applyBorder="1"/>
    <xf numFmtId="0" fontId="3" fillId="0" borderId="31" xfId="24" applyFont="1" applyBorder="1"/>
    <xf numFmtId="165" fontId="4" fillId="0" borderId="32" xfId="12" applyNumberFormat="1" applyFont="1" applyBorder="1"/>
    <xf numFmtId="164" fontId="4" fillId="0" borderId="32" xfId="25" applyNumberFormat="1" applyFont="1" applyBorder="1"/>
    <xf numFmtId="164" fontId="4" fillId="0" borderId="13" xfId="25" applyNumberFormat="1" applyFont="1" applyBorder="1"/>
    <xf numFmtId="0" fontId="3" fillId="0" borderId="14" xfId="24" applyFont="1" applyBorder="1"/>
    <xf numFmtId="0" fontId="4" fillId="0" borderId="15" xfId="24" applyFont="1" applyBorder="1"/>
    <xf numFmtId="0" fontId="4" fillId="0" borderId="16" xfId="24" applyFont="1" applyBorder="1"/>
    <xf numFmtId="0" fontId="4" fillId="0" borderId="17" xfId="24" applyFont="1" applyBorder="1"/>
    <xf numFmtId="0" fontId="4" fillId="0" borderId="18" xfId="24" applyFont="1" applyBorder="1"/>
    <xf numFmtId="0" fontId="4" fillId="0" borderId="19" xfId="24" applyFont="1" applyBorder="1"/>
    <xf numFmtId="0" fontId="4" fillId="0" borderId="20" xfId="24" applyFont="1" applyBorder="1"/>
    <xf numFmtId="0" fontId="4" fillId="0" borderId="21" xfId="24" applyFont="1" applyBorder="1"/>
    <xf numFmtId="164" fontId="4" fillId="0" borderId="33" xfId="36" applyNumberFormat="1" applyFont="1" applyBorder="1" applyAlignment="1">
      <alignment horizontal="center"/>
    </xf>
    <xf numFmtId="164" fontId="4" fillId="0" borderId="34" xfId="36" applyNumberFormat="1" applyFont="1" applyBorder="1" applyAlignment="1">
      <alignment horizontal="center"/>
    </xf>
    <xf numFmtId="43" fontId="4" fillId="0" borderId="9" xfId="1" applyFont="1" applyBorder="1" applyAlignment="1">
      <alignment horizontal="center"/>
    </xf>
    <xf numFmtId="0" fontId="4" fillId="0" borderId="28" xfId="20" applyFont="1" applyBorder="1" applyAlignment="1">
      <alignment horizontal="center"/>
    </xf>
    <xf numFmtId="0" fontId="3" fillId="0" borderId="25" xfId="22" applyFont="1" applyFill="1" applyBorder="1" applyAlignment="1">
      <alignment horizontal="center" wrapText="1"/>
    </xf>
    <xf numFmtId="164" fontId="4" fillId="0" borderId="12" xfId="37" applyNumberFormat="1" applyFont="1" applyBorder="1" applyAlignment="1">
      <alignment horizontal="center"/>
    </xf>
    <xf numFmtId="0" fontId="3" fillId="0" borderId="25" xfId="22" applyFont="1" applyBorder="1" applyAlignment="1">
      <alignment horizontal="center" wrapText="1"/>
    </xf>
    <xf numFmtId="0" fontId="4" fillId="0" borderId="20" xfId="22" applyFont="1" applyBorder="1"/>
    <xf numFmtId="164" fontId="4" fillId="0" borderId="12" xfId="25" applyNumberFormat="1" applyFont="1" applyBorder="1" applyAlignment="1">
      <alignment horizontal="center"/>
    </xf>
    <xf numFmtId="0" fontId="4" fillId="0" borderId="19" xfId="22" applyFont="1" applyBorder="1"/>
    <xf numFmtId="166" fontId="4" fillId="0" borderId="12" xfId="22" applyNumberFormat="1" applyFont="1" applyBorder="1" applyAlignment="1">
      <alignment horizontal="center"/>
    </xf>
    <xf numFmtId="0" fontId="4" fillId="0" borderId="18" xfId="22" applyFont="1" applyBorder="1"/>
    <xf numFmtId="0" fontId="3" fillId="0" borderId="26" xfId="22" applyFont="1" applyBorder="1" applyAlignment="1">
      <alignment horizontal="center" wrapText="1"/>
    </xf>
    <xf numFmtId="166" fontId="4" fillId="0" borderId="12" xfId="22" applyNumberFormat="1" applyFont="1" applyFill="1" applyBorder="1" applyAlignment="1">
      <alignment horizontal="center"/>
    </xf>
    <xf numFmtId="0" fontId="4" fillId="0" borderId="17" xfId="22" applyFont="1" applyBorder="1"/>
    <xf numFmtId="164" fontId="4" fillId="0" borderId="35" xfId="25" applyNumberFormat="1" applyFont="1" applyBorder="1" applyAlignment="1">
      <alignment horizontal="center"/>
    </xf>
    <xf numFmtId="165" fontId="4" fillId="0" borderId="12" xfId="12" applyNumberFormat="1" applyFont="1" applyFill="1" applyBorder="1" applyAlignment="1">
      <alignment horizontal="center"/>
    </xf>
    <xf numFmtId="0" fontId="4" fillId="0" borderId="16" xfId="22" applyFont="1" applyBorder="1"/>
    <xf numFmtId="0" fontId="3" fillId="0" borderId="31" xfId="22" applyFont="1" applyBorder="1" applyAlignment="1">
      <alignment horizontal="center"/>
    </xf>
    <xf numFmtId="0" fontId="3" fillId="0" borderId="23" xfId="22" applyFont="1" applyBorder="1" applyAlignment="1">
      <alignment horizontal="center" wrapText="1"/>
    </xf>
    <xf numFmtId="0" fontId="4" fillId="0" borderId="15" xfId="22" applyFont="1" applyBorder="1"/>
    <xf numFmtId="164" fontId="4" fillId="0" borderId="36" xfId="25" applyNumberFormat="1" applyFont="1" applyBorder="1" applyAlignment="1">
      <alignment horizontal="center"/>
    </xf>
    <xf numFmtId="164" fontId="4" fillId="0" borderId="9" xfId="37" applyNumberFormat="1" applyFont="1" applyBorder="1" applyAlignment="1">
      <alignment horizontal="center"/>
    </xf>
    <xf numFmtId="0" fontId="3" fillId="0" borderId="14" xfId="22" applyFont="1" applyBorder="1"/>
    <xf numFmtId="0" fontId="4" fillId="0" borderId="37" xfId="22" applyFont="1" applyBorder="1" applyAlignment="1">
      <alignment horizontal="center"/>
    </xf>
    <xf numFmtId="164" fontId="4" fillId="0" borderId="38" xfId="25" applyNumberFormat="1" applyFont="1" applyBorder="1" applyAlignment="1">
      <alignment horizontal="center"/>
    </xf>
    <xf numFmtId="164" fontId="4" fillId="0" borderId="13" xfId="37" applyNumberFormat="1" applyFont="1" applyBorder="1" applyAlignment="1">
      <alignment horizontal="center"/>
    </xf>
    <xf numFmtId="0" fontId="4" fillId="0" borderId="21" xfId="22" applyFont="1" applyBorder="1"/>
    <xf numFmtId="43" fontId="3" fillId="0" borderId="39" xfId="8" applyFont="1" applyBorder="1"/>
    <xf numFmtId="0" fontId="6" fillId="0" borderId="40" xfId="22" applyFont="1" applyBorder="1" applyAlignment="1">
      <alignment wrapText="1"/>
    </xf>
    <xf numFmtId="164" fontId="4" fillId="0" borderId="9" xfId="25" applyNumberFormat="1" applyFont="1" applyFill="1" applyBorder="1"/>
    <xf numFmtId="0" fontId="3" fillId="0" borderId="0" xfId="19" applyFont="1"/>
    <xf numFmtId="0" fontId="4" fillId="0" borderId="0" xfId="19" applyFont="1"/>
    <xf numFmtId="0" fontId="5" fillId="0" borderId="0" xfId="19" applyFont="1" applyFill="1" applyBorder="1" applyAlignment="1">
      <alignment horizontal="left"/>
    </xf>
    <xf numFmtId="0" fontId="8" fillId="0" borderId="0" xfId="19" applyFont="1" applyFill="1"/>
    <xf numFmtId="0" fontId="4" fillId="0" borderId="0" xfId="19" applyFont="1" applyFill="1"/>
    <xf numFmtId="0" fontId="3" fillId="0" borderId="41" xfId="19" applyFont="1" applyBorder="1" applyAlignment="1">
      <alignment horizontal="center" wrapText="1"/>
    </xf>
    <xf numFmtId="0" fontId="4" fillId="0" borderId="1" xfId="19" applyFont="1" applyBorder="1" applyAlignment="1">
      <alignment horizontal="center"/>
    </xf>
    <xf numFmtId="2" fontId="4" fillId="0" borderId="33" xfId="19" applyNumberFormat="1" applyFont="1" applyBorder="1" applyAlignment="1">
      <alignment horizontal="center"/>
    </xf>
    <xf numFmtId="0" fontId="4" fillId="0" borderId="0" xfId="19" applyFont="1" applyBorder="1"/>
    <xf numFmtId="0" fontId="3" fillId="0" borderId="0" xfId="19" applyFont="1" applyAlignment="1">
      <alignment horizontal="right"/>
    </xf>
    <xf numFmtId="0" fontId="3" fillId="0" borderId="14" xfId="19" applyFont="1" applyBorder="1"/>
    <xf numFmtId="0" fontId="4" fillId="0" borderId="15" xfId="19" applyFont="1" applyBorder="1"/>
    <xf numFmtId="0" fontId="4" fillId="0" borderId="16" xfId="19" applyFont="1" applyBorder="1"/>
    <xf numFmtId="0" fontId="4" fillId="0" borderId="17" xfId="19" applyFont="1" applyBorder="1"/>
    <xf numFmtId="0" fontId="4" fillId="0" borderId="18" xfId="19" applyFont="1" applyBorder="1"/>
    <xf numFmtId="0" fontId="4" fillId="0" borderId="19" xfId="19" applyFont="1" applyBorder="1"/>
    <xf numFmtId="0" fontId="4" fillId="0" borderId="20" xfId="19" applyFont="1" applyBorder="1"/>
    <xf numFmtId="0" fontId="4" fillId="0" borderId="21" xfId="19" applyFont="1" applyBorder="1"/>
    <xf numFmtId="0" fontId="3" fillId="0" borderId="14" xfId="19" applyFont="1" applyBorder="1" applyAlignment="1">
      <alignment horizontal="center" wrapText="1"/>
    </xf>
    <xf numFmtId="0" fontId="3" fillId="0" borderId="42" xfId="19" applyFont="1" applyBorder="1" applyAlignment="1">
      <alignment horizontal="center" wrapText="1"/>
    </xf>
    <xf numFmtId="0" fontId="3" fillId="0" borderId="8" xfId="19" applyFont="1" applyBorder="1" applyAlignment="1">
      <alignment horizontal="center" wrapText="1"/>
    </xf>
    <xf numFmtId="164" fontId="4" fillId="0" borderId="34" xfId="25" applyNumberFormat="1" applyFont="1" applyBorder="1" applyAlignment="1">
      <alignment horizontal="center"/>
    </xf>
    <xf numFmtId="164" fontId="4" fillId="0" borderId="30" xfId="25" applyNumberFormat="1" applyFont="1" applyBorder="1" applyAlignment="1">
      <alignment horizontal="center"/>
    </xf>
    <xf numFmtId="0" fontId="3" fillId="0" borderId="31" xfId="19" applyFont="1" applyBorder="1" applyAlignment="1"/>
    <xf numFmtId="0" fontId="4" fillId="0" borderId="12" xfId="19" applyFont="1" applyBorder="1" applyAlignment="1">
      <alignment horizontal="center"/>
    </xf>
    <xf numFmtId="2" fontId="4" fillId="0" borderId="43" xfId="19" applyNumberFormat="1" applyFont="1" applyBorder="1" applyAlignment="1">
      <alignment horizontal="center"/>
    </xf>
    <xf numFmtId="2" fontId="4" fillId="0" borderId="44" xfId="19" applyNumberFormat="1" applyFont="1" applyBorder="1" applyAlignment="1">
      <alignment horizontal="center"/>
    </xf>
    <xf numFmtId="164" fontId="3" fillId="0" borderId="13" xfId="25" applyNumberFormat="1" applyFont="1" applyBorder="1" applyAlignment="1">
      <alignment horizontal="center"/>
    </xf>
    <xf numFmtId="0" fontId="7" fillId="0" borderId="37" xfId="19" applyFont="1" applyBorder="1" applyAlignment="1"/>
    <xf numFmtId="0" fontId="0" fillId="0" borderId="20" xfId="0" applyFont="1" applyBorder="1"/>
    <xf numFmtId="0" fontId="9" fillId="0" borderId="0" xfId="0" applyFont="1" applyAlignment="1">
      <alignment horizontal="right"/>
    </xf>
    <xf numFmtId="0" fontId="0" fillId="0" borderId="0" xfId="0" applyFont="1" applyBorder="1"/>
    <xf numFmtId="165" fontId="2" fillId="0" borderId="1" xfId="12" applyNumberFormat="1" applyFont="1" applyBorder="1"/>
    <xf numFmtId="0" fontId="0" fillId="0" borderId="37" xfId="0" applyFont="1" applyBorder="1"/>
    <xf numFmtId="0" fontId="0" fillId="0" borderId="19" xfId="0" applyFont="1" applyBorder="1"/>
    <xf numFmtId="0" fontId="9" fillId="0" borderId="0" xfId="0" applyFont="1"/>
    <xf numFmtId="0" fontId="0" fillId="0" borderId="0" xfId="0" applyFont="1"/>
    <xf numFmtId="0" fontId="0" fillId="0" borderId="12" xfId="0" applyFont="1" applyBorder="1"/>
    <xf numFmtId="0" fontId="9" fillId="0" borderId="14" xfId="0" applyFont="1" applyBorder="1"/>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xf numFmtId="0" fontId="0" fillId="0" borderId="21" xfId="0" applyFont="1" applyBorder="1"/>
    <xf numFmtId="0" fontId="0" fillId="0" borderId="0" xfId="0"/>
    <xf numFmtId="0" fontId="9" fillId="0" borderId="0" xfId="0" applyFont="1"/>
    <xf numFmtId="0" fontId="0" fillId="0" borderId="0" xfId="0" applyFont="1"/>
    <xf numFmtId="0" fontId="9" fillId="0" borderId="14" xfId="0" applyFont="1" applyFill="1" applyBorder="1"/>
    <xf numFmtId="0" fontId="9" fillId="0" borderId="0" xfId="0" applyFont="1"/>
    <xf numFmtId="0" fontId="0" fillId="0" borderId="0" xfId="0" applyFont="1"/>
    <xf numFmtId="0" fontId="0" fillId="0" borderId="0" xfId="0" applyBorder="1"/>
    <xf numFmtId="0" fontId="3" fillId="0" borderId="1" xfId="21" applyFont="1" applyBorder="1" applyAlignment="1">
      <alignment horizontal="center"/>
    </xf>
    <xf numFmtId="0" fontId="4" fillId="0" borderId="0" xfId="21" applyFont="1" applyBorder="1"/>
    <xf numFmtId="0" fontId="3" fillId="0" borderId="0" xfId="21" applyFont="1" applyBorder="1"/>
    <xf numFmtId="164" fontId="2" fillId="0" borderId="9" xfId="25" applyNumberFormat="1" applyFont="1" applyBorder="1" applyAlignment="1">
      <alignment horizontal="center"/>
    </xf>
    <xf numFmtId="164" fontId="4" fillId="0" borderId="12" xfId="25" applyNumberFormat="1" applyFont="1" applyBorder="1"/>
    <xf numFmtId="0" fontId="9" fillId="0" borderId="25" xfId="0" applyFont="1" applyBorder="1"/>
    <xf numFmtId="164" fontId="2" fillId="0" borderId="12" xfId="25" applyNumberFormat="1" applyFont="1" applyBorder="1" applyAlignment="1">
      <alignment horizontal="center"/>
    </xf>
    <xf numFmtId="164" fontId="0" fillId="0" borderId="12" xfId="0" applyNumberFormat="1" applyFont="1" applyBorder="1" applyAlignment="1">
      <alignment horizontal="center"/>
    </xf>
    <xf numFmtId="164" fontId="2" fillId="0" borderId="1" xfId="25" applyNumberFormat="1" applyFont="1" applyBorder="1" applyAlignment="1">
      <alignment horizontal="center"/>
    </xf>
    <xf numFmtId="164" fontId="4" fillId="0" borderId="1" xfId="25" applyNumberFormat="1" applyFont="1" applyFill="1" applyBorder="1"/>
    <xf numFmtId="164" fontId="4" fillId="0" borderId="45" xfId="25" applyNumberFormat="1" applyFont="1" applyBorder="1" applyAlignment="1">
      <alignment horizontal="center"/>
    </xf>
    <xf numFmtId="164" fontId="2" fillId="0" borderId="13" xfId="25" applyNumberFormat="1" applyFont="1" applyBorder="1" applyAlignment="1">
      <alignment horizontal="center"/>
    </xf>
    <xf numFmtId="0" fontId="9" fillId="0" borderId="26" xfId="0" applyFont="1" applyBorder="1"/>
    <xf numFmtId="0" fontId="0" fillId="0" borderId="0" xfId="0"/>
    <xf numFmtId="0" fontId="0" fillId="0" borderId="0" xfId="0" applyBorder="1"/>
    <xf numFmtId="166" fontId="1" fillId="0" borderId="1" xfId="22" applyNumberFormat="1" applyFont="1" applyBorder="1" applyAlignment="1">
      <alignment horizontal="center"/>
    </xf>
    <xf numFmtId="0" fontId="9" fillId="0" borderId="0" xfId="0" applyFont="1" applyBorder="1" applyAlignment="1">
      <alignment horizontal="right"/>
    </xf>
    <xf numFmtId="0" fontId="3" fillId="0" borderId="14" xfId="21" applyFont="1" applyBorder="1" applyAlignment="1">
      <alignment horizontal="left"/>
    </xf>
    <xf numFmtId="0" fontId="0" fillId="0" borderId="15" xfId="0" applyFont="1" applyBorder="1"/>
    <xf numFmtId="0" fontId="0" fillId="0" borderId="15" xfId="0" applyBorder="1"/>
    <xf numFmtId="0" fontId="0" fillId="0" borderId="16" xfId="0" applyBorder="1"/>
    <xf numFmtId="0" fontId="0" fillId="0" borderId="17" xfId="0" applyFont="1" applyBorder="1"/>
    <xf numFmtId="0" fontId="0" fillId="0" borderId="18" xfId="0" applyBorder="1"/>
    <xf numFmtId="0" fontId="3" fillId="0" borderId="19" xfId="21" applyFont="1" applyBorder="1" applyAlignment="1">
      <alignment wrapText="1"/>
    </xf>
    <xf numFmtId="0" fontId="3" fillId="0" borderId="20" xfId="21" applyFont="1" applyBorder="1" applyAlignment="1">
      <alignment wrapText="1"/>
    </xf>
    <xf numFmtId="0" fontId="0" fillId="0" borderId="20" xfId="0" applyBorder="1"/>
    <xf numFmtId="0" fontId="0" fillId="0" borderId="21" xfId="0" applyBorder="1"/>
    <xf numFmtId="0" fontId="3" fillId="0" borderId="23" xfId="21" applyFont="1" applyBorder="1" applyAlignment="1">
      <alignment horizontal="center"/>
    </xf>
    <xf numFmtId="0" fontId="3" fillId="0" borderId="37" xfId="21" applyFont="1" applyBorder="1" applyAlignment="1">
      <alignment horizontal="center"/>
    </xf>
    <xf numFmtId="0" fontId="3" fillId="0" borderId="9" xfId="21" applyFont="1" applyBorder="1" applyAlignment="1">
      <alignment horizontal="center"/>
    </xf>
    <xf numFmtId="0" fontId="3" fillId="0" borderId="37" xfId="21" applyFont="1" applyBorder="1" applyAlignment="1"/>
    <xf numFmtId="164" fontId="4" fillId="0" borderId="9" xfId="25" applyNumberFormat="1" applyFont="1" applyBorder="1" applyAlignment="1">
      <alignment horizontal="center"/>
    </xf>
    <xf numFmtId="0" fontId="3" fillId="0" borderId="37" xfId="21" applyFont="1" applyBorder="1"/>
    <xf numFmtId="0" fontId="9" fillId="0" borderId="37" xfId="0" applyFont="1" applyBorder="1"/>
    <xf numFmtId="0" fontId="9" fillId="0" borderId="37" xfId="0" applyFont="1" applyFill="1" applyBorder="1"/>
    <xf numFmtId="0" fontId="9" fillId="0" borderId="31" xfId="0" applyFont="1" applyFill="1" applyBorder="1"/>
    <xf numFmtId="0" fontId="3" fillId="0" borderId="0" xfId="17" applyFont="1"/>
    <xf numFmtId="0" fontId="4" fillId="0" borderId="0" xfId="17" applyFont="1"/>
    <xf numFmtId="0" fontId="4" fillId="0" borderId="1" xfId="17" applyFont="1" applyBorder="1" applyAlignment="1">
      <alignment horizontal="center"/>
    </xf>
    <xf numFmtId="0" fontId="10" fillId="0" borderId="0" xfId="17" applyFont="1" applyAlignment="1">
      <alignment horizontal="center"/>
    </xf>
    <xf numFmtId="0" fontId="10" fillId="0" borderId="0" xfId="17" applyFont="1"/>
    <xf numFmtId="0" fontId="4" fillId="0" borderId="0" xfId="17" applyFont="1" applyBorder="1"/>
    <xf numFmtId="0" fontId="3" fillId="0" borderId="0" xfId="17" applyFont="1" applyAlignment="1">
      <alignment horizontal="right"/>
    </xf>
    <xf numFmtId="1" fontId="4" fillId="0" borderId="1" xfId="17" applyNumberFormat="1" applyFont="1" applyBorder="1" applyAlignment="1">
      <alignment horizontal="center"/>
    </xf>
    <xf numFmtId="0" fontId="3" fillId="0" borderId="14" xfId="17" applyFont="1" applyBorder="1"/>
    <xf numFmtId="0" fontId="4" fillId="0" borderId="15" xfId="17" applyFont="1" applyBorder="1"/>
    <xf numFmtId="0" fontId="4" fillId="0" borderId="16" xfId="17" applyFont="1" applyBorder="1"/>
    <xf numFmtId="0" fontId="4" fillId="0" borderId="17" xfId="17" applyFont="1" applyBorder="1"/>
    <xf numFmtId="0" fontId="4" fillId="0" borderId="18" xfId="17" applyFont="1" applyBorder="1"/>
    <xf numFmtId="0" fontId="3" fillId="0" borderId="17" xfId="17" applyFont="1" applyBorder="1"/>
    <xf numFmtId="0" fontId="4" fillId="0" borderId="19" xfId="17" applyFont="1" applyBorder="1"/>
    <xf numFmtId="0" fontId="4" fillId="0" borderId="20" xfId="17" applyFont="1" applyBorder="1"/>
    <xf numFmtId="0" fontId="4" fillId="0" borderId="21" xfId="17" applyFont="1" applyBorder="1"/>
    <xf numFmtId="0" fontId="3" fillId="0" borderId="25" xfId="17" applyFont="1" applyBorder="1" applyAlignment="1">
      <alignment horizontal="center" wrapText="1"/>
    </xf>
    <xf numFmtId="0" fontId="3" fillId="0" borderId="26" xfId="17" applyFont="1" applyBorder="1" applyAlignment="1">
      <alignment horizontal="center" wrapText="1"/>
    </xf>
    <xf numFmtId="0" fontId="3" fillId="0" borderId="31" xfId="17" applyFont="1" applyBorder="1"/>
    <xf numFmtId="0" fontId="3" fillId="0" borderId="12" xfId="17" applyFont="1" applyBorder="1"/>
    <xf numFmtId="1" fontId="4" fillId="0" borderId="12" xfId="17" applyNumberFormat="1" applyFont="1" applyBorder="1" applyAlignment="1">
      <alignment horizontal="center"/>
    </xf>
    <xf numFmtId="0" fontId="4" fillId="0" borderId="12" xfId="17" applyFont="1" applyBorder="1" applyAlignment="1">
      <alignment horizontal="center"/>
    </xf>
    <xf numFmtId="164" fontId="4" fillId="0" borderId="13" xfId="26" applyNumberFormat="1" applyFont="1" applyBorder="1" applyAlignment="1">
      <alignment horizontal="center"/>
    </xf>
    <xf numFmtId="0" fontId="4" fillId="0" borderId="0" xfId="17" applyFont="1"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44" fontId="3" fillId="0" borderId="37" xfId="13" applyFont="1" applyBorder="1" applyAlignment="1">
      <alignment horizontal="center"/>
    </xf>
    <xf numFmtId="44" fontId="6" fillId="0" borderId="1" xfId="13" applyFont="1" applyBorder="1" applyAlignment="1">
      <alignment horizontal="center"/>
    </xf>
    <xf numFmtId="44" fontId="3" fillId="0" borderId="1" xfId="13" applyFont="1" applyBorder="1" applyAlignment="1">
      <alignment horizontal="center"/>
    </xf>
    <xf numFmtId="164" fontId="7" fillId="0" borderId="1" xfId="26" quotePrefix="1" applyNumberFormat="1" applyFont="1" applyBorder="1" applyAlignment="1">
      <alignment horizontal="center"/>
    </xf>
    <xf numFmtId="0" fontId="0" fillId="0" borderId="0" xfId="0" applyAlignment="1">
      <alignment wrapText="1"/>
    </xf>
    <xf numFmtId="0" fontId="0" fillId="0" borderId="0" xfId="0"/>
    <xf numFmtId="0" fontId="3" fillId="0" borderId="7" xfId="0" applyFont="1" applyBorder="1" applyAlignment="1">
      <alignment horizontal="center" wrapText="1"/>
    </xf>
    <xf numFmtId="0" fontId="3" fillId="0" borderId="33" xfId="0" applyFont="1" applyBorder="1" applyAlignment="1">
      <alignment horizontal="center" wrapText="1"/>
    </xf>
    <xf numFmtId="0" fontId="3" fillId="0" borderId="34" xfId="0" applyFont="1" applyFill="1" applyBorder="1" applyAlignment="1">
      <alignment horizontal="center" wrapText="1"/>
    </xf>
    <xf numFmtId="14" fontId="4" fillId="0" borderId="0" xfId="17" applyNumberFormat="1" applyFont="1"/>
    <xf numFmtId="0" fontId="4" fillId="0" borderId="0" xfId="17" applyFont="1"/>
    <xf numFmtId="14" fontId="4" fillId="0" borderId="0" xfId="17" applyNumberFormat="1" applyFont="1"/>
    <xf numFmtId="164" fontId="3" fillId="0" borderId="37" xfId="26" applyNumberFormat="1" applyFont="1" applyBorder="1" applyAlignment="1">
      <alignment horizontal="center"/>
    </xf>
    <xf numFmtId="164" fontId="3" fillId="0" borderId="1" xfId="26" applyNumberFormat="1" applyFont="1" applyBorder="1" applyAlignment="1">
      <alignment horizontal="center"/>
    </xf>
    <xf numFmtId="0" fontId="3" fillId="0" borderId="31" xfId="16" applyFont="1" applyBorder="1" applyAlignment="1">
      <alignment horizontal="left" vertical="center" wrapText="1" indent="2"/>
    </xf>
    <xf numFmtId="0" fontId="9" fillId="0" borderId="37" xfId="0" applyFont="1" applyFill="1" applyBorder="1" applyAlignment="1">
      <alignment horizontal="left" vertical="center" wrapText="1" indent="2"/>
    </xf>
    <xf numFmtId="0" fontId="9" fillId="0" borderId="37" xfId="0" applyFont="1" applyBorder="1" applyAlignment="1">
      <alignment horizontal="left" vertical="center" wrapText="1" indent="2"/>
    </xf>
    <xf numFmtId="0" fontId="3" fillId="0" borderId="37" xfId="16" applyFont="1" applyFill="1" applyBorder="1" applyAlignment="1">
      <alignment horizontal="left" vertical="center" wrapText="1" indent="2"/>
    </xf>
    <xf numFmtId="0" fontId="3" fillId="0" borderId="37" xfId="16" applyFont="1" applyBorder="1" applyAlignment="1">
      <alignment horizontal="left" vertical="center" wrapText="1" indent="2"/>
    </xf>
    <xf numFmtId="0" fontId="0" fillId="0" borderId="0" xfId="0" applyBorder="1" applyAlignment="1">
      <alignment vertical="center" wrapText="1"/>
    </xf>
    <xf numFmtId="0" fontId="4" fillId="0" borderId="13" xfId="16" applyFont="1" applyBorder="1" applyAlignment="1">
      <alignment vertical="center" wrapText="1"/>
    </xf>
    <xf numFmtId="0" fontId="3" fillId="0" borderId="37" xfId="16" applyFont="1" applyBorder="1" applyAlignment="1">
      <alignment vertical="center" wrapText="1"/>
    </xf>
    <xf numFmtId="0" fontId="0" fillId="0" borderId="9" xfId="0" applyBorder="1" applyAlignment="1">
      <alignment vertical="center"/>
    </xf>
    <xf numFmtId="0" fontId="9" fillId="0" borderId="37" xfId="0" applyFont="1" applyFill="1" applyBorder="1" applyAlignment="1">
      <alignment vertical="center" wrapText="1"/>
    </xf>
    <xf numFmtId="0" fontId="4" fillId="0" borderId="9" xfId="16" applyFont="1" applyBorder="1" applyAlignment="1">
      <alignment horizontal="left" vertical="center" wrapText="1"/>
    </xf>
    <xf numFmtId="0" fontId="4" fillId="0" borderId="9" xfId="16" applyFont="1" applyBorder="1" applyAlignment="1">
      <alignment vertical="center" wrapText="1"/>
    </xf>
    <xf numFmtId="0" fontId="3" fillId="0" borderId="37" xfId="16" applyFont="1" applyFill="1" applyBorder="1" applyAlignment="1">
      <alignment vertical="center" wrapText="1"/>
    </xf>
    <xf numFmtId="0" fontId="4" fillId="0" borderId="9" xfId="16" applyFont="1" applyFill="1" applyBorder="1" applyAlignment="1">
      <alignment vertical="center"/>
    </xf>
    <xf numFmtId="0" fontId="4" fillId="0" borderId="26" xfId="16" applyFont="1" applyBorder="1" applyAlignment="1">
      <alignment vertical="center"/>
    </xf>
    <xf numFmtId="0" fontId="3" fillId="0" borderId="23" xfId="16" applyFont="1" applyBorder="1" applyAlignment="1">
      <alignment vertical="center" wrapText="1"/>
    </xf>
    <xf numFmtId="0" fontId="3" fillId="0" borderId="0" xfId="16" applyFont="1" applyBorder="1" applyAlignment="1">
      <alignment vertical="center" wrapText="1"/>
    </xf>
    <xf numFmtId="0" fontId="3" fillId="0" borderId="0" xfId="16" applyFont="1" applyBorder="1" applyAlignment="1">
      <alignment vertical="center"/>
    </xf>
    <xf numFmtId="0" fontId="0" fillId="0" borderId="0" xfId="0" applyFont="1" applyBorder="1" applyAlignment="1">
      <alignment vertical="center" wrapText="1"/>
    </xf>
    <xf numFmtId="0" fontId="0" fillId="0" borderId="0" xfId="0" applyBorder="1" applyAlignment="1">
      <alignment vertical="center"/>
    </xf>
    <xf numFmtId="0" fontId="3" fillId="0" borderId="0" xfId="16" applyFont="1" applyBorder="1" applyAlignment="1">
      <alignment horizontal="right" vertical="center"/>
    </xf>
    <xf numFmtId="0" fontId="3" fillId="0" borderId="0" xfId="16" applyFont="1" applyBorder="1" applyAlignment="1">
      <alignment horizontal="left" vertical="center"/>
    </xf>
    <xf numFmtId="0" fontId="3" fillId="0" borderId="37" xfId="16" applyFont="1" applyBorder="1" applyAlignment="1">
      <alignment horizontal="left" vertical="center" wrapText="1" indent="2"/>
    </xf>
    <xf numFmtId="0" fontId="3" fillId="0" borderId="37" xfId="16" applyFont="1" applyBorder="1" applyAlignment="1">
      <alignment horizontal="left" vertical="center" wrapText="1" indent="2"/>
    </xf>
    <xf numFmtId="0" fontId="4" fillId="0" borderId="1" xfId="17" quotePrefix="1" applyFont="1" applyBorder="1" applyAlignment="1">
      <alignment horizontal="center"/>
    </xf>
    <xf numFmtId="0" fontId="0" fillId="0" borderId="0" xfId="0"/>
    <xf numFmtId="0" fontId="0" fillId="0" borderId="0" xfId="0" applyFill="1" applyBorder="1"/>
    <xf numFmtId="0" fontId="9" fillId="0" borderId="37" xfId="0" applyFont="1" applyFill="1" applyBorder="1" applyAlignment="1">
      <alignment horizontal="center"/>
    </xf>
    <xf numFmtId="0" fontId="9" fillId="0" borderId="1" xfId="0" applyFont="1" applyFill="1" applyBorder="1" applyAlignment="1">
      <alignment horizontal="center"/>
    </xf>
    <xf numFmtId="0" fontId="9" fillId="0" borderId="9" xfId="0" applyFont="1" applyFill="1" applyBorder="1" applyAlignment="1">
      <alignment horizontal="center"/>
    </xf>
    <xf numFmtId="0" fontId="9" fillId="0" borderId="59" xfId="0" applyFont="1" applyFill="1" applyBorder="1"/>
    <xf numFmtId="0" fontId="9" fillId="0" borderId="60" xfId="0" applyFont="1" applyFill="1" applyBorder="1"/>
    <xf numFmtId="0" fontId="9" fillId="0" borderId="61" xfId="0" applyFont="1" applyFill="1" applyBorder="1"/>
    <xf numFmtId="0" fontId="9" fillId="0" borderId="62" xfId="0" applyFont="1" applyFill="1" applyBorder="1"/>
    <xf numFmtId="164" fontId="0" fillId="0" borderId="37" xfId="25" applyNumberFormat="1" applyFont="1" applyFill="1" applyBorder="1" applyAlignment="1">
      <alignment horizontal="center"/>
    </xf>
    <xf numFmtId="164" fontId="0" fillId="0" borderId="33" xfId="25" applyNumberFormat="1" applyFont="1" applyFill="1" applyBorder="1" applyAlignment="1">
      <alignment horizontal="center"/>
    </xf>
    <xf numFmtId="0" fontId="0" fillId="0" borderId="34" xfId="25" applyNumberFormat="1" applyFont="1" applyFill="1" applyBorder="1" applyAlignment="1">
      <alignment horizontal="center"/>
    </xf>
    <xf numFmtId="164" fontId="0" fillId="0" borderId="49" xfId="25" applyNumberFormat="1" applyFont="1" applyFill="1" applyBorder="1" applyAlignment="1">
      <alignment horizontal="center"/>
    </xf>
    <xf numFmtId="164" fontId="0" fillId="0" borderId="1" xfId="25" applyNumberFormat="1" applyFont="1" applyFill="1" applyBorder="1" applyAlignment="1">
      <alignment horizontal="center"/>
    </xf>
    <xf numFmtId="0" fontId="0" fillId="0" borderId="9" xfId="25" applyNumberFormat="1" applyFont="1" applyFill="1" applyBorder="1" applyAlignment="1">
      <alignment horizontal="center"/>
    </xf>
    <xf numFmtId="164" fontId="0" fillId="0" borderId="53" xfId="25" applyNumberFormat="1" applyFont="1" applyFill="1" applyBorder="1" applyAlignment="1">
      <alignment horizontal="center"/>
    </xf>
    <xf numFmtId="164" fontId="0" fillId="0" borderId="31" xfId="25" applyNumberFormat="1" applyFont="1" applyFill="1" applyBorder="1" applyAlignment="1">
      <alignment horizontal="center"/>
    </xf>
    <xf numFmtId="164" fontId="0" fillId="0" borderId="12" xfId="25" applyNumberFormat="1" applyFont="1" applyFill="1" applyBorder="1" applyAlignment="1">
      <alignment horizontal="center"/>
    </xf>
    <xf numFmtId="0" fontId="0" fillId="0" borderId="13" xfId="25" applyNumberFormat="1" applyFont="1" applyFill="1" applyBorder="1" applyAlignment="1">
      <alignment horizontal="center"/>
    </xf>
    <xf numFmtId="164" fontId="0" fillId="0" borderId="54" xfId="25" applyNumberFormat="1" applyFont="1" applyFill="1" applyBorder="1" applyAlignment="1">
      <alignment horizontal="center"/>
    </xf>
    <xf numFmtId="0" fontId="9" fillId="0" borderId="0" xfId="0" applyFont="1" applyAlignment="1">
      <alignment horizontal="left"/>
    </xf>
    <xf numFmtId="0" fontId="0" fillId="0" borderId="37" xfId="0" applyBorder="1" applyAlignment="1">
      <alignment horizontal="left" vertical="top" wrapText="1" indent="2"/>
    </xf>
    <xf numFmtId="0" fontId="0" fillId="0" borderId="0" xfId="0"/>
    <xf numFmtId="0" fontId="0" fillId="0" borderId="0" xfId="0" applyFont="1" applyBorder="1"/>
    <xf numFmtId="0" fontId="9" fillId="0" borderId="0" xfId="0" applyFont="1" applyAlignment="1">
      <alignment horizontal="right"/>
    </xf>
    <xf numFmtId="0" fontId="0" fillId="0" borderId="19" xfId="0" applyFont="1" applyBorder="1"/>
    <xf numFmtId="0" fontId="9" fillId="0" borderId="0" xfId="0" applyFont="1"/>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xf numFmtId="0" fontId="0" fillId="0" borderId="21" xfId="0" applyFont="1" applyBorder="1"/>
    <xf numFmtId="0" fontId="0" fillId="0" borderId="9" xfId="0" applyFont="1" applyBorder="1"/>
    <xf numFmtId="0" fontId="0" fillId="0" borderId="13" xfId="0" applyFont="1" applyBorder="1"/>
    <xf numFmtId="0" fontId="9" fillId="0" borderId="14" xfId="0" applyFont="1" applyFill="1" applyBorder="1"/>
    <xf numFmtId="0" fontId="0" fillId="0" borderId="37" xfId="0" applyFont="1" applyBorder="1" applyAlignment="1">
      <alignment horizontal="left" indent="2"/>
    </xf>
    <xf numFmtId="0" fontId="0" fillId="0" borderId="9" xfId="0" applyFont="1" applyBorder="1" applyAlignment="1"/>
    <xf numFmtId="0" fontId="0" fillId="0" borderId="37" xfId="0" applyBorder="1" applyAlignment="1">
      <alignment horizontal="left" indent="2"/>
    </xf>
    <xf numFmtId="164" fontId="2" fillId="0" borderId="9" xfId="25" applyNumberFormat="1" applyFont="1" applyBorder="1" applyAlignment="1">
      <alignment horizontal="center"/>
    </xf>
    <xf numFmtId="0" fontId="0" fillId="0" borderId="37" xfId="0" applyBorder="1" applyAlignment="1">
      <alignment horizontal="left" indent="4"/>
    </xf>
    <xf numFmtId="0" fontId="0" fillId="0" borderId="37" xfId="0" applyBorder="1" applyAlignment="1">
      <alignment horizontal="left" wrapText="1" indent="4"/>
    </xf>
    <xf numFmtId="0" fontId="0" fillId="0" borderId="37" xfId="0" applyBorder="1" applyAlignment="1">
      <alignment horizontal="left" wrapText="1" indent="2"/>
    </xf>
    <xf numFmtId="0" fontId="0" fillId="0" borderId="31" xfId="0" applyFont="1" applyBorder="1" applyAlignment="1">
      <alignment horizontal="left" indent="2"/>
    </xf>
    <xf numFmtId="0" fontId="6" fillId="0" borderId="46" xfId="23" applyFont="1" applyBorder="1" applyAlignment="1">
      <alignment horizontal="left" wrapText="1"/>
    </xf>
    <xf numFmtId="0" fontId="11" fillId="0" borderId="47" xfId="0" applyFont="1" applyBorder="1" applyAlignment="1">
      <alignment horizontal="left" wrapText="1"/>
    </xf>
    <xf numFmtId="0" fontId="11" fillId="0" borderId="36" xfId="0" applyFont="1" applyBorder="1" applyAlignment="1">
      <alignment horizontal="left" wrapText="1"/>
    </xf>
    <xf numFmtId="14" fontId="6" fillId="0" borderId="11" xfId="23" applyNumberFormat="1" applyFont="1" applyBorder="1" applyAlignment="1">
      <alignment horizontal="left"/>
    </xf>
    <xf numFmtId="14" fontId="11" fillId="0" borderId="22" xfId="0" applyNumberFormat="1" applyFont="1" applyBorder="1" applyAlignment="1">
      <alignment horizontal="left"/>
    </xf>
    <xf numFmtId="14" fontId="11" fillId="0" borderId="38" xfId="0" applyNumberFormat="1" applyFont="1" applyBorder="1" applyAlignment="1">
      <alignment horizontal="left"/>
    </xf>
    <xf numFmtId="0" fontId="9" fillId="0" borderId="0" xfId="0" applyFont="1" applyAlignment="1">
      <alignment horizontal="left" wrapText="1"/>
    </xf>
    <xf numFmtId="0" fontId="3" fillId="0" borderId="0" xfId="23" applyFont="1" applyAlignment="1">
      <alignment horizontal="left" wrapText="1"/>
    </xf>
    <xf numFmtId="0" fontId="3" fillId="0" borderId="48" xfId="23" applyFont="1" applyBorder="1" applyAlignment="1">
      <alignment horizontal="center" wrapText="1"/>
    </xf>
    <xf numFmtId="0" fontId="3" fillId="0" borderId="49" xfId="23" applyFont="1" applyBorder="1" applyAlignment="1">
      <alignment horizontal="center" wrapText="1"/>
    </xf>
    <xf numFmtId="0" fontId="3" fillId="0" borderId="50" xfId="23" applyFont="1" applyBorder="1" applyAlignment="1">
      <alignment horizontal="center" wrapText="1"/>
    </xf>
    <xf numFmtId="0" fontId="3" fillId="0" borderId="33" xfId="23" applyFont="1" applyBorder="1" applyAlignment="1">
      <alignment horizontal="center" wrapText="1"/>
    </xf>
    <xf numFmtId="0" fontId="3" fillId="0" borderId="51" xfId="23" applyFont="1" applyBorder="1" applyAlignment="1">
      <alignment horizontal="center" wrapText="1"/>
    </xf>
    <xf numFmtId="0" fontId="3" fillId="0" borderId="34" xfId="23" applyFont="1" applyBorder="1" applyAlignment="1">
      <alignment horizontal="center" wrapText="1"/>
    </xf>
    <xf numFmtId="0" fontId="6" fillId="0" borderId="46" xfId="22" applyFont="1" applyBorder="1" applyAlignment="1">
      <alignment horizontal="left" wrapText="1"/>
    </xf>
    <xf numFmtId="0" fontId="6" fillId="0" borderId="47" xfId="22" applyFont="1" applyBorder="1" applyAlignment="1">
      <alignment horizontal="left" wrapText="1"/>
    </xf>
    <xf numFmtId="0" fontId="6" fillId="0" borderId="36" xfId="22" applyFont="1" applyBorder="1" applyAlignment="1">
      <alignment horizontal="left" wrapText="1"/>
    </xf>
    <xf numFmtId="14" fontId="6" fillId="0" borderId="11" xfId="22" applyNumberFormat="1" applyFont="1" applyBorder="1" applyAlignment="1">
      <alignment horizontal="left"/>
    </xf>
    <xf numFmtId="14" fontId="6" fillId="0" borderId="22" xfId="22" applyNumberFormat="1" applyFont="1" applyBorder="1" applyAlignment="1">
      <alignment horizontal="left"/>
    </xf>
    <xf numFmtId="14" fontId="6" fillId="0" borderId="38" xfId="22" applyNumberFormat="1" applyFont="1" applyBorder="1" applyAlignment="1">
      <alignment horizontal="left"/>
    </xf>
    <xf numFmtId="0" fontId="3" fillId="0" borderId="46" xfId="22" applyFont="1" applyBorder="1" applyAlignment="1"/>
    <xf numFmtId="0" fontId="4" fillId="0" borderId="47" xfId="22" applyFont="1" applyBorder="1" applyAlignment="1"/>
    <xf numFmtId="0" fontId="4" fillId="0" borderId="55" xfId="22" applyFont="1" applyBorder="1" applyAlignment="1"/>
    <xf numFmtId="0" fontId="3" fillId="0" borderId="10" xfId="22" applyFont="1" applyBorder="1" applyAlignment="1"/>
    <xf numFmtId="0" fontId="4" fillId="0" borderId="52" xfId="22" applyFont="1" applyBorder="1" applyAlignment="1"/>
    <xf numFmtId="0" fontId="4" fillId="0" borderId="53" xfId="22" applyFont="1" applyBorder="1" applyAlignment="1"/>
    <xf numFmtId="0" fontId="0" fillId="0" borderId="23" xfId="0" applyBorder="1" applyAlignment="1">
      <alignment horizontal="left"/>
    </xf>
    <xf numFmtId="0" fontId="0" fillId="0" borderId="25" xfId="0" applyBorder="1" applyAlignment="1">
      <alignment horizontal="left"/>
    </xf>
    <xf numFmtId="0" fontId="3" fillId="0" borderId="37" xfId="22" applyFont="1" applyBorder="1" applyAlignment="1">
      <alignment horizontal="left"/>
    </xf>
    <xf numFmtId="0" fontId="3" fillId="0" borderId="1" xfId="22" applyFont="1" applyBorder="1" applyAlignment="1">
      <alignment horizontal="left"/>
    </xf>
    <xf numFmtId="0" fontId="3" fillId="0" borderId="10" xfId="22" applyFont="1" applyBorder="1" applyAlignment="1">
      <alignment horizontal="left"/>
    </xf>
    <xf numFmtId="0" fontId="3" fillId="0" borderId="52" xfId="22" applyFont="1" applyBorder="1" applyAlignment="1">
      <alignment horizontal="left"/>
    </xf>
    <xf numFmtId="0" fontId="3" fillId="0" borderId="53" xfId="22" applyFont="1" applyBorder="1" applyAlignment="1">
      <alignment horizontal="left"/>
    </xf>
    <xf numFmtId="0" fontId="3" fillId="0" borderId="31" xfId="22" applyFont="1" applyBorder="1" applyAlignment="1">
      <alignment horizontal="left"/>
    </xf>
    <xf numFmtId="0" fontId="3" fillId="0" borderId="12" xfId="22" applyFont="1" applyBorder="1" applyAlignment="1">
      <alignment horizontal="left"/>
    </xf>
    <xf numFmtId="0" fontId="3" fillId="0" borderId="0" xfId="8" applyNumberFormat="1" applyFont="1" applyAlignment="1">
      <alignment horizontal="left"/>
    </xf>
    <xf numFmtId="0" fontId="3" fillId="0" borderId="11" xfId="22" applyFont="1" applyBorder="1" applyAlignment="1"/>
    <xf numFmtId="0" fontId="4" fillId="0" borderId="22" xfId="22" applyFont="1" applyBorder="1" applyAlignment="1"/>
    <xf numFmtId="0" fontId="4" fillId="0" borderId="54" xfId="22" applyFont="1" applyBorder="1" applyAlignment="1"/>
    <xf numFmtId="0" fontId="6" fillId="0" borderId="14" xfId="21"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6" fillId="0" borderId="31" xfId="21" applyFont="1" applyBorder="1" applyAlignment="1">
      <alignment horizontal="left"/>
    </xf>
    <xf numFmtId="0" fontId="11" fillId="0" borderId="12" xfId="0" applyFont="1" applyBorder="1" applyAlignment="1">
      <alignment horizontal="left"/>
    </xf>
    <xf numFmtId="0" fontId="11" fillId="0" borderId="13" xfId="0" applyFont="1" applyBorder="1" applyAlignment="1">
      <alignment horizontal="left"/>
    </xf>
    <xf numFmtId="0" fontId="3" fillId="0" borderId="25" xfId="21" applyFont="1" applyBorder="1" applyAlignment="1">
      <alignment horizontal="center"/>
    </xf>
    <xf numFmtId="0" fontId="3" fillId="0" borderId="26" xfId="21" applyFont="1" applyBorder="1" applyAlignment="1">
      <alignment horizontal="center"/>
    </xf>
    <xf numFmtId="0" fontId="3" fillId="0" borderId="0" xfId="21" applyFont="1" applyBorder="1" applyAlignment="1">
      <alignment horizontal="left" wrapText="1"/>
    </xf>
    <xf numFmtId="0" fontId="9" fillId="0" borderId="26" xfId="0" applyFont="1" applyBorder="1" applyAlignment="1">
      <alignment horizontal="center" wrapText="1"/>
    </xf>
    <xf numFmtId="0" fontId="9" fillId="0" borderId="9" xfId="0" applyFont="1" applyBorder="1" applyAlignment="1">
      <alignment horizontal="center" wrapText="1"/>
    </xf>
    <xf numFmtId="0" fontId="9" fillId="0" borderId="23" xfId="0" applyFont="1" applyBorder="1" applyAlignment="1">
      <alignment horizontal="center"/>
    </xf>
    <xf numFmtId="0" fontId="9" fillId="0" borderId="37" xfId="0" applyFont="1" applyBorder="1" applyAlignment="1">
      <alignment horizontal="center"/>
    </xf>
    <xf numFmtId="0" fontId="3" fillId="0" borderId="0" xfId="21" applyFont="1" applyBorder="1" applyAlignment="1">
      <alignment horizontal="left" vertical="top" wrapText="1"/>
    </xf>
    <xf numFmtId="0" fontId="9" fillId="0" borderId="0" xfId="0" applyFont="1" applyBorder="1" applyAlignment="1">
      <alignment horizontal="left" wrapText="1"/>
    </xf>
    <xf numFmtId="0" fontId="3" fillId="0" borderId="11" xfId="21" applyFont="1" applyBorder="1" applyAlignment="1">
      <alignment horizontal="left"/>
    </xf>
    <xf numFmtId="0" fontId="3" fillId="0" borderId="22" xfId="21" applyFont="1" applyBorder="1" applyAlignment="1">
      <alignment horizontal="left"/>
    </xf>
    <xf numFmtId="0" fontId="3" fillId="0" borderId="54" xfId="21" applyFont="1" applyBorder="1" applyAlignment="1">
      <alignment horizontal="left"/>
    </xf>
    <xf numFmtId="0" fontId="9" fillId="0" borderId="0" xfId="0" applyFont="1" applyBorder="1" applyAlignment="1">
      <alignment horizontal="left" wrapText="1" indent="2"/>
    </xf>
    <xf numFmtId="0" fontId="9" fillId="0" borderId="0" xfId="0" applyFont="1" applyAlignment="1">
      <alignment horizontal="left"/>
    </xf>
    <xf numFmtId="0" fontId="0" fillId="0" borderId="46" xfId="0" applyBorder="1" applyAlignment="1">
      <alignment horizontal="left"/>
    </xf>
    <xf numFmtId="0" fontId="0" fillId="0" borderId="47" xfId="0" applyFont="1" applyBorder="1" applyAlignment="1">
      <alignment horizontal="left"/>
    </xf>
    <xf numFmtId="0" fontId="0" fillId="0" borderId="36" xfId="0" applyFont="1" applyBorder="1" applyAlignment="1">
      <alignment horizontal="left"/>
    </xf>
    <xf numFmtId="0" fontId="0" fillId="0" borderId="1" xfId="0" applyBorder="1" applyAlignment="1">
      <alignment horizontal="left"/>
    </xf>
    <xf numFmtId="0" fontId="0" fillId="0" borderId="12" xfId="0" applyBorder="1" applyAlignment="1">
      <alignment horizontal="left"/>
    </xf>
    <xf numFmtId="0" fontId="0" fillId="0" borderId="1" xfId="0" applyFont="1" applyBorder="1" applyAlignment="1">
      <alignment horizontal="center"/>
    </xf>
    <xf numFmtId="0" fontId="3" fillId="0" borderId="31" xfId="0" applyFont="1" applyBorder="1" applyAlignment="1">
      <alignment horizontal="left"/>
    </xf>
    <xf numFmtId="0" fontId="3" fillId="0" borderId="12" xfId="0" applyFont="1" applyBorder="1" applyAlignment="1">
      <alignment horizontal="left"/>
    </xf>
    <xf numFmtId="0" fontId="0" fillId="0" borderId="12" xfId="0" applyFont="1" applyBorder="1" applyAlignment="1">
      <alignment horizontal="center"/>
    </xf>
    <xf numFmtId="0" fontId="0" fillId="0" borderId="37" xfId="0" applyFont="1" applyBorder="1" applyAlignment="1">
      <alignment horizontal="center"/>
    </xf>
    <xf numFmtId="0" fontId="0" fillId="0" borderId="31" xfId="0" applyFont="1" applyBorder="1" applyAlignment="1">
      <alignment horizontal="center"/>
    </xf>
    <xf numFmtId="0" fontId="0" fillId="0" borderId="23" xfId="0" applyFill="1" applyBorder="1" applyAlignment="1">
      <alignment horizontal="left" wrapText="1"/>
    </xf>
    <xf numFmtId="0" fontId="0" fillId="0" borderId="25" xfId="0" applyFill="1" applyBorder="1" applyAlignment="1">
      <alignment horizontal="left" wrapText="1"/>
    </xf>
    <xf numFmtId="0" fontId="0" fillId="0" borderId="26" xfId="0" applyFill="1" applyBorder="1" applyAlignment="1">
      <alignment horizontal="left" wrapText="1"/>
    </xf>
    <xf numFmtId="0" fontId="9" fillId="0" borderId="10" xfId="0" applyFont="1" applyBorder="1" applyAlignment="1">
      <alignment horizontal="left"/>
    </xf>
    <xf numFmtId="0" fontId="9" fillId="0" borderId="52" xfId="0" applyFont="1" applyBorder="1" applyAlignment="1">
      <alignment horizontal="left"/>
    </xf>
    <xf numFmtId="0" fontId="9" fillId="0" borderId="53" xfId="0" applyFont="1" applyBorder="1" applyAlignment="1">
      <alignment horizontal="left"/>
    </xf>
    <xf numFmtId="0" fontId="9" fillId="0" borderId="37" xfId="0" applyFont="1" applyBorder="1" applyAlignment="1">
      <alignment horizontal="left"/>
    </xf>
    <xf numFmtId="0" fontId="9" fillId="0" borderId="1" xfId="0" applyFont="1" applyBorder="1" applyAlignment="1">
      <alignment horizontal="left"/>
    </xf>
    <xf numFmtId="0" fontId="9" fillId="0" borderId="9" xfId="0" applyFont="1" applyBorder="1" applyAlignment="1">
      <alignment horizontal="left"/>
    </xf>
    <xf numFmtId="0" fontId="9" fillId="0" borderId="0" xfId="0" quotePrefix="1" applyFont="1" applyAlignment="1">
      <alignment horizontal="left" indent="2"/>
    </xf>
    <xf numFmtId="0" fontId="9" fillId="0" borderId="0" xfId="0" applyFont="1" applyAlignment="1">
      <alignment horizontal="left" indent="2"/>
    </xf>
    <xf numFmtId="0" fontId="9" fillId="0" borderId="23" xfId="0" applyFont="1" applyBorder="1" applyAlignment="1">
      <alignment horizontal="left"/>
    </xf>
    <xf numFmtId="0" fontId="9" fillId="0" borderId="26" xfId="0" applyFont="1" applyBorder="1" applyAlignment="1">
      <alignment horizontal="left"/>
    </xf>
    <xf numFmtId="0" fontId="9" fillId="0" borderId="35" xfId="0" applyFont="1" applyBorder="1" applyAlignment="1">
      <alignment horizontal="left"/>
    </xf>
    <xf numFmtId="0" fontId="9" fillId="0" borderId="0" xfId="0" quotePrefix="1" applyFont="1" applyAlignment="1">
      <alignment horizontal="left" wrapText="1"/>
    </xf>
    <xf numFmtId="0" fontId="3" fillId="0" borderId="0" xfId="24" applyFont="1" applyAlignment="1">
      <alignment horizontal="left"/>
    </xf>
    <xf numFmtId="0" fontId="6" fillId="0" borderId="46" xfId="24" applyFont="1" applyBorder="1" applyAlignment="1">
      <alignment horizontal="left" wrapText="1"/>
    </xf>
    <xf numFmtId="0" fontId="6" fillId="0" borderId="47" xfId="24" applyFont="1" applyBorder="1" applyAlignment="1">
      <alignment horizontal="left" wrapText="1"/>
    </xf>
    <xf numFmtId="0" fontId="6" fillId="0" borderId="36" xfId="24" applyFont="1" applyBorder="1" applyAlignment="1">
      <alignment horizontal="left" wrapText="1"/>
    </xf>
    <xf numFmtId="14" fontId="6" fillId="0" borderId="11" xfId="24" applyNumberFormat="1" applyFont="1" applyBorder="1" applyAlignment="1">
      <alignment horizontal="left"/>
    </xf>
    <xf numFmtId="14" fontId="6" fillId="0" borderId="22" xfId="24" applyNumberFormat="1" applyFont="1" applyBorder="1" applyAlignment="1">
      <alignment horizontal="left"/>
    </xf>
    <xf numFmtId="14" fontId="6" fillId="0" borderId="38" xfId="24" applyNumberFormat="1" applyFont="1" applyBorder="1" applyAlignment="1">
      <alignment horizontal="left"/>
    </xf>
    <xf numFmtId="0" fontId="3" fillId="0" borderId="0" xfId="20" applyFont="1" applyAlignment="1">
      <alignment horizontal="left"/>
    </xf>
    <xf numFmtId="0" fontId="3" fillId="0" borderId="10" xfId="20" applyFont="1" applyBorder="1" applyAlignment="1"/>
    <xf numFmtId="0" fontId="4" fillId="0" borderId="52" xfId="20" applyFont="1" applyBorder="1" applyAlignment="1"/>
    <xf numFmtId="0" fontId="4" fillId="0" borderId="53" xfId="20" applyFont="1" applyBorder="1" applyAlignment="1"/>
    <xf numFmtId="0" fontId="7" fillId="0" borderId="10" xfId="20" applyFont="1" applyBorder="1" applyAlignment="1"/>
    <xf numFmtId="0" fontId="7" fillId="0" borderId="52" xfId="20" applyFont="1" applyBorder="1" applyAlignment="1"/>
    <xf numFmtId="0" fontId="7" fillId="0" borderId="53" xfId="20" applyFont="1" applyBorder="1" applyAlignment="1"/>
    <xf numFmtId="0" fontId="3" fillId="0" borderId="0" xfId="20" applyFont="1" applyAlignment="1">
      <alignment horizontal="left" wrapText="1"/>
    </xf>
    <xf numFmtId="0" fontId="7" fillId="0" borderId="46" xfId="20" applyFont="1" applyBorder="1" applyAlignment="1">
      <alignment horizontal="left" wrapText="1"/>
    </xf>
    <xf numFmtId="0" fontId="7" fillId="0" borderId="47" xfId="20" applyFont="1" applyBorder="1" applyAlignment="1">
      <alignment horizontal="left" wrapText="1"/>
    </xf>
    <xf numFmtId="0" fontId="7" fillId="0" borderId="36" xfId="20" applyFont="1" applyBorder="1" applyAlignment="1">
      <alignment horizontal="left" wrapText="1"/>
    </xf>
    <xf numFmtId="0" fontId="3" fillId="0" borderId="14" xfId="20" applyFont="1" applyBorder="1" applyAlignment="1">
      <alignment horizontal="center"/>
    </xf>
    <xf numFmtId="0" fontId="3" fillId="0" borderId="15" xfId="20" applyFont="1" applyBorder="1" applyAlignment="1">
      <alignment horizontal="center"/>
    </xf>
    <xf numFmtId="0" fontId="3" fillId="0" borderId="24" xfId="20" applyFont="1" applyBorder="1" applyAlignment="1">
      <alignment horizontal="center"/>
    </xf>
    <xf numFmtId="0" fontId="4" fillId="0" borderId="47" xfId="20" applyFont="1" applyBorder="1" applyAlignment="1">
      <alignment horizontal="center"/>
    </xf>
    <xf numFmtId="0" fontId="4" fillId="0" borderId="36" xfId="20" applyFont="1" applyBorder="1" applyAlignment="1">
      <alignment horizontal="center"/>
    </xf>
    <xf numFmtId="0" fontId="7" fillId="0" borderId="8" xfId="20" applyFont="1" applyBorder="1" applyAlignment="1"/>
    <xf numFmtId="0" fontId="7" fillId="0" borderId="56" xfId="20" applyFont="1" applyBorder="1" applyAlignment="1"/>
    <xf numFmtId="0" fontId="7" fillId="0" borderId="49" xfId="20" applyFont="1" applyBorder="1" applyAlignment="1"/>
    <xf numFmtId="167" fontId="7" fillId="0" borderId="11" xfId="20" applyNumberFormat="1" applyFont="1" applyBorder="1" applyAlignment="1">
      <alignment horizontal="left"/>
    </xf>
    <xf numFmtId="167" fontId="7" fillId="0" borderId="22" xfId="20" applyNumberFormat="1" applyFont="1" applyBorder="1" applyAlignment="1">
      <alignment horizontal="left"/>
    </xf>
    <xf numFmtId="167" fontId="7" fillId="0" borderId="38" xfId="20" applyNumberFormat="1" applyFont="1" applyBorder="1" applyAlignment="1">
      <alignment horizontal="left"/>
    </xf>
    <xf numFmtId="0" fontId="3" fillId="0" borderId="7" xfId="20" applyFont="1" applyBorder="1" applyAlignment="1">
      <alignment horizontal="center" wrapText="1"/>
    </xf>
    <xf numFmtId="0" fontId="3" fillId="0" borderId="33" xfId="20" applyFont="1" applyBorder="1" applyAlignment="1">
      <alignment horizontal="center" wrapText="1"/>
    </xf>
    <xf numFmtId="0" fontId="3" fillId="0" borderId="0" xfId="19" applyFont="1" applyAlignment="1">
      <alignment horizontal="left"/>
    </xf>
    <xf numFmtId="0" fontId="3" fillId="0" borderId="0" xfId="19" applyFont="1" applyAlignment="1">
      <alignment horizontal="left" indent="2"/>
    </xf>
    <xf numFmtId="0" fontId="3" fillId="0" borderId="0" xfId="19" applyFont="1" applyAlignment="1">
      <alignment horizontal="left" wrapText="1" indent="2"/>
    </xf>
    <xf numFmtId="0" fontId="3" fillId="0" borderId="0" xfId="20" applyFont="1" applyAlignment="1">
      <alignment horizontal="left" wrapText="1" indent="2"/>
    </xf>
    <xf numFmtId="0" fontId="3" fillId="0" borderId="0" xfId="19" applyFont="1" applyAlignment="1">
      <alignment horizontal="left" vertical="top" wrapText="1" indent="2"/>
    </xf>
    <xf numFmtId="0" fontId="3" fillId="0" borderId="0" xfId="20" applyFont="1" applyAlignment="1">
      <alignment horizontal="left" indent="2"/>
    </xf>
    <xf numFmtId="0" fontId="3" fillId="0" borderId="0" xfId="19" applyFont="1" applyAlignment="1">
      <alignment horizontal="left" wrapText="1"/>
    </xf>
    <xf numFmtId="0" fontId="3" fillId="0" borderId="0" xfId="20" applyFont="1" applyAlignment="1">
      <alignment horizontal="left" vertical="top" wrapText="1" indent="2"/>
    </xf>
    <xf numFmtId="0" fontId="3" fillId="0" borderId="50" xfId="19" applyFont="1" applyBorder="1" applyAlignment="1">
      <alignment horizontal="center" wrapText="1"/>
    </xf>
    <xf numFmtId="0" fontId="3" fillId="0" borderId="33" xfId="19" applyFont="1" applyBorder="1" applyAlignment="1">
      <alignment horizontal="center" wrapText="1"/>
    </xf>
    <xf numFmtId="0" fontId="3" fillId="0" borderId="51" xfId="19" applyFont="1" applyBorder="1" applyAlignment="1">
      <alignment horizontal="center" wrapText="1"/>
    </xf>
    <xf numFmtId="0" fontId="3" fillId="0" borderId="34" xfId="19" applyFont="1" applyBorder="1" applyAlignment="1">
      <alignment horizontal="center" wrapText="1"/>
    </xf>
    <xf numFmtId="0" fontId="6" fillId="0" borderId="46" xfId="19" applyFont="1" applyBorder="1" applyAlignment="1">
      <alignment horizontal="left" wrapText="1"/>
    </xf>
    <xf numFmtId="0" fontId="6" fillId="0" borderId="36" xfId="19" applyFont="1" applyBorder="1" applyAlignment="1">
      <alignment horizontal="left" wrapText="1"/>
    </xf>
    <xf numFmtId="0" fontId="6" fillId="0" borderId="10" xfId="19" applyFont="1" applyBorder="1" applyAlignment="1">
      <alignment horizontal="left" wrapText="1"/>
    </xf>
    <xf numFmtId="0" fontId="6" fillId="0" borderId="35" xfId="19" applyFont="1" applyBorder="1" applyAlignment="1">
      <alignment horizontal="left" wrapText="1"/>
    </xf>
    <xf numFmtId="0" fontId="6" fillId="0" borderId="57" xfId="19" applyFont="1" applyFill="1" applyBorder="1" applyAlignment="1">
      <alignment horizontal="left" wrapText="1"/>
    </xf>
    <xf numFmtId="0" fontId="6" fillId="0" borderId="58" xfId="19" applyFont="1" applyFill="1" applyBorder="1" applyAlignment="1">
      <alignment horizontal="left" wrapText="1"/>
    </xf>
    <xf numFmtId="0" fontId="3" fillId="0" borderId="0" xfId="17" applyFont="1" applyAlignment="1">
      <alignment horizontal="left"/>
    </xf>
    <xf numFmtId="44" fontId="3" fillId="0" borderId="37" xfId="13" applyFont="1" applyBorder="1" applyAlignment="1">
      <alignment horizontal="center"/>
    </xf>
    <xf numFmtId="44" fontId="3" fillId="0" borderId="1" xfId="13" applyFont="1" applyBorder="1" applyAlignment="1">
      <alignment horizontal="center"/>
    </xf>
    <xf numFmtId="0" fontId="3" fillId="0" borderId="23" xfId="17" applyFont="1" applyBorder="1" applyAlignment="1">
      <alignment horizontal="center"/>
    </xf>
    <xf numFmtId="0" fontId="4" fillId="0" borderId="25" xfId="17" applyFont="1" applyBorder="1" applyAlignment="1">
      <alignment horizontal="center"/>
    </xf>
    <xf numFmtId="164" fontId="3" fillId="0" borderId="10" xfId="26" applyNumberFormat="1" applyFont="1" applyBorder="1" applyAlignment="1">
      <alignment horizontal="center"/>
    </xf>
    <xf numFmtId="164" fontId="3" fillId="0" borderId="53" xfId="26" applyNumberFormat="1" applyFont="1" applyBorder="1" applyAlignment="1">
      <alignment horizontal="center"/>
    </xf>
    <xf numFmtId="0" fontId="3" fillId="0" borderId="0" xfId="17" applyFont="1" applyAlignment="1">
      <alignment horizontal="left" wrapText="1"/>
    </xf>
    <xf numFmtId="0" fontId="3" fillId="0" borderId="0" xfId="17" applyFont="1" applyFill="1" applyAlignment="1">
      <alignment horizontal="left" wrapText="1"/>
    </xf>
    <xf numFmtId="0" fontId="9" fillId="0" borderId="23" xfId="0" applyFont="1" applyFill="1" applyBorder="1" applyAlignment="1">
      <alignment horizontal="center"/>
    </xf>
    <xf numFmtId="0" fontId="9" fillId="0" borderId="25" xfId="0" applyFont="1" applyFill="1" applyBorder="1" applyAlignment="1">
      <alignment horizontal="center"/>
    </xf>
    <xf numFmtId="0" fontId="9" fillId="0" borderId="26" xfId="0" applyFont="1" applyFill="1" applyBorder="1" applyAlignment="1">
      <alignment horizontal="center"/>
    </xf>
    <xf numFmtId="0" fontId="9" fillId="0" borderId="55" xfId="0" applyFont="1" applyFill="1" applyBorder="1" applyAlignment="1">
      <alignment horizontal="center"/>
    </xf>
    <xf numFmtId="0" fontId="6" fillId="0" borderId="46" xfId="17" applyFont="1" applyBorder="1" applyAlignment="1">
      <alignment horizontal="left"/>
    </xf>
    <xf numFmtId="0" fontId="6" fillId="0" borderId="47" xfId="17" applyFont="1" applyBorder="1" applyAlignment="1">
      <alignment horizontal="left"/>
    </xf>
    <xf numFmtId="0" fontId="6" fillId="0" borderId="36" xfId="17" applyFont="1" applyBorder="1" applyAlignment="1">
      <alignment horizontal="left"/>
    </xf>
    <xf numFmtId="0" fontId="6" fillId="0" borderId="10" xfId="17" applyFont="1" applyBorder="1" applyAlignment="1">
      <alignment horizontal="left"/>
    </xf>
    <xf numFmtId="0" fontId="6" fillId="0" borderId="52" xfId="17" applyFont="1" applyBorder="1" applyAlignment="1">
      <alignment horizontal="left"/>
    </xf>
    <xf numFmtId="0" fontId="6" fillId="0" borderId="35" xfId="17" applyFont="1" applyBorder="1" applyAlignment="1">
      <alignment horizontal="left"/>
    </xf>
    <xf numFmtId="14" fontId="6" fillId="0" borderId="11" xfId="17" applyNumberFormat="1" applyFont="1" applyBorder="1" applyAlignment="1">
      <alignment horizontal="left"/>
    </xf>
    <xf numFmtId="14" fontId="6" fillId="0" borderId="22" xfId="17" applyNumberFormat="1" applyFont="1" applyBorder="1" applyAlignment="1">
      <alignment horizontal="left"/>
    </xf>
    <xf numFmtId="14" fontId="6" fillId="0" borderId="38" xfId="17" applyNumberFormat="1" applyFont="1" applyBorder="1" applyAlignment="1">
      <alignment horizontal="left"/>
    </xf>
  </cellXfs>
  <cellStyles count="39">
    <cellStyle name="Comma" xfId="1" builtinId="3"/>
    <cellStyle name="Comma 2 10" xfId="2"/>
    <cellStyle name="Comma 2 2" xfId="3"/>
    <cellStyle name="Comma 2 3" xfId="4"/>
    <cellStyle name="Comma 2 4" xfId="5"/>
    <cellStyle name="Comma 2 5" xfId="6"/>
    <cellStyle name="Comma 2 6" xfId="7"/>
    <cellStyle name="Comma 2 7" xfId="8"/>
    <cellStyle name="Comma 2 8" xfId="9"/>
    <cellStyle name="Comma 2 9" xfId="10"/>
    <cellStyle name="Comma 5" xfId="11"/>
    <cellStyle name="Currency" xfId="12" builtinId="4"/>
    <cellStyle name="Currency 2" xfId="13"/>
    <cellStyle name="Currency 7" xfId="14"/>
    <cellStyle name="Currency 9" xfId="15"/>
    <cellStyle name="Normal" xfId="0" builtinId="0"/>
    <cellStyle name="Normal 10" xfId="16"/>
    <cellStyle name="Normal 2" xfId="17"/>
    <cellStyle name="Normal 3" xfId="18"/>
    <cellStyle name="Normal 4" xfId="19"/>
    <cellStyle name="Normal 5" xfId="20"/>
    <cellStyle name="Normal 6" xfId="21"/>
    <cellStyle name="Normal 7" xfId="22"/>
    <cellStyle name="Normal 8" xfId="23"/>
    <cellStyle name="Normal 9" xfId="24"/>
    <cellStyle name="Percent" xfId="25" builtinId="5"/>
    <cellStyle name="Percent 2" xfId="26"/>
    <cellStyle name="Percent 2 10" xfId="27"/>
    <cellStyle name="Percent 2 2" xfId="28"/>
    <cellStyle name="Percent 2 3" xfId="29"/>
    <cellStyle name="Percent 2 4" xfId="30"/>
    <cellStyle name="Percent 2 5" xfId="31"/>
    <cellStyle name="Percent 2 6" xfId="32"/>
    <cellStyle name="Percent 2 7" xfId="33"/>
    <cellStyle name="Percent 2 8" xfId="34"/>
    <cellStyle name="Percent 2 9" xfId="35"/>
    <cellStyle name="Percent 5" xfId="36"/>
    <cellStyle name="Percent 7" xfId="37"/>
    <cellStyle name="Percent 8"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pageSetUpPr fitToPage="1"/>
  </sheetPr>
  <dimension ref="A1:B32"/>
  <sheetViews>
    <sheetView tabSelected="1" zoomScaleNormal="100" workbookViewId="0">
      <selection activeCell="A4" sqref="A4"/>
    </sheetView>
  </sheetViews>
  <sheetFormatPr defaultRowHeight="15" customHeight="1"/>
  <cols>
    <col min="1" max="1" width="75.7109375" style="260" customWidth="1"/>
    <col min="2" max="2" width="27.7109375" style="274" customWidth="1"/>
    <col min="3" max="16384" width="9.140625" style="190"/>
  </cols>
  <sheetData>
    <row r="1" spans="1:2" ht="15" customHeight="1">
      <c r="A1" s="276" t="s">
        <v>131</v>
      </c>
      <c r="B1" s="275" t="s">
        <v>132</v>
      </c>
    </row>
    <row r="2" spans="1:2" ht="15" customHeight="1">
      <c r="A2" s="273"/>
      <c r="B2" s="272"/>
    </row>
    <row r="3" spans="1:2" ht="15" customHeight="1" thickBot="1">
      <c r="A3" s="271"/>
      <c r="B3" s="272"/>
    </row>
    <row r="4" spans="1:2">
      <c r="A4" s="270" t="s">
        <v>158</v>
      </c>
      <c r="B4" s="269"/>
    </row>
    <row r="5" spans="1:2" ht="45">
      <c r="A5" s="278" t="s">
        <v>209</v>
      </c>
      <c r="B5" s="268"/>
    </row>
    <row r="6" spans="1:2" ht="30">
      <c r="A6" s="259" t="s">
        <v>182</v>
      </c>
      <c r="B6" s="268"/>
    </row>
    <row r="7" spans="1:2" ht="60" customHeight="1">
      <c r="A7" s="267" t="s">
        <v>159</v>
      </c>
      <c r="B7" s="266"/>
    </row>
    <row r="8" spans="1:2" ht="30">
      <c r="A8" s="258" t="s">
        <v>200</v>
      </c>
      <c r="B8" s="266"/>
    </row>
    <row r="9" spans="1:2" ht="30">
      <c r="A9" s="258" t="s">
        <v>199</v>
      </c>
      <c r="B9" s="265"/>
    </row>
    <row r="10" spans="1:2" ht="15" customHeight="1">
      <c r="A10" s="264" t="s">
        <v>186</v>
      </c>
      <c r="B10" s="263"/>
    </row>
    <row r="11" spans="1:2" ht="30">
      <c r="A11" s="257" t="s">
        <v>175</v>
      </c>
      <c r="B11" s="263"/>
    </row>
    <row r="12" spans="1:2" ht="15" customHeight="1">
      <c r="A12" s="257" t="s">
        <v>176</v>
      </c>
      <c r="B12" s="263"/>
    </row>
    <row r="13" spans="1:2" ht="30">
      <c r="A13" s="257" t="s">
        <v>177</v>
      </c>
      <c r="B13" s="263"/>
    </row>
    <row r="14" spans="1:2" ht="45">
      <c r="A14" s="256" t="s">
        <v>226</v>
      </c>
      <c r="B14" s="263"/>
    </row>
    <row r="15" spans="1:2" ht="30">
      <c r="A15" s="267" t="s">
        <v>178</v>
      </c>
      <c r="B15" s="266"/>
    </row>
    <row r="16" spans="1:2" ht="30">
      <c r="A16" s="262" t="s">
        <v>179</v>
      </c>
      <c r="B16" s="266"/>
    </row>
    <row r="17" spans="1:2">
      <c r="A17" s="259" t="s">
        <v>180</v>
      </c>
      <c r="B17" s="266"/>
    </row>
    <row r="18" spans="1:2" ht="30">
      <c r="A18" s="262" t="s">
        <v>181</v>
      </c>
      <c r="B18" s="266"/>
    </row>
    <row r="19" spans="1:2">
      <c r="A19" s="262" t="s">
        <v>183</v>
      </c>
      <c r="B19" s="266"/>
    </row>
    <row r="20" spans="1:2" ht="30">
      <c r="A20" s="259" t="s">
        <v>184</v>
      </c>
      <c r="B20" s="266"/>
    </row>
    <row r="21" spans="1:2" ht="30">
      <c r="A21" s="262" t="s">
        <v>257</v>
      </c>
      <c r="B21" s="266"/>
    </row>
    <row r="22" spans="1:2" ht="30">
      <c r="A22" s="262" t="s">
        <v>187</v>
      </c>
      <c r="B22" s="266"/>
    </row>
    <row r="23" spans="1:2">
      <c r="A23" s="259" t="s">
        <v>188</v>
      </c>
      <c r="B23" s="266"/>
    </row>
    <row r="24" spans="1:2" ht="30">
      <c r="A24" s="262" t="s">
        <v>189</v>
      </c>
      <c r="B24" s="266"/>
    </row>
    <row r="25" spans="1:2" ht="30" customHeight="1">
      <c r="A25" s="258" t="s">
        <v>190</v>
      </c>
      <c r="B25" s="266"/>
    </row>
    <row r="26" spans="1:2" ht="30">
      <c r="A26" s="262" t="s">
        <v>194</v>
      </c>
      <c r="B26" s="266"/>
    </row>
    <row r="27" spans="1:2">
      <c r="A27" s="277" t="s">
        <v>201</v>
      </c>
      <c r="B27" s="266"/>
    </row>
    <row r="28" spans="1:2">
      <c r="A28" s="277" t="s">
        <v>202</v>
      </c>
      <c r="B28" s="266"/>
    </row>
    <row r="29" spans="1:2" ht="30">
      <c r="A29" s="262" t="s">
        <v>191</v>
      </c>
      <c r="B29" s="266"/>
    </row>
    <row r="30" spans="1:2" ht="30">
      <c r="A30" s="277" t="s">
        <v>203</v>
      </c>
      <c r="B30" s="266"/>
    </row>
    <row r="31" spans="1:2">
      <c r="A31" s="262" t="s">
        <v>192</v>
      </c>
      <c r="B31" s="266"/>
    </row>
    <row r="32" spans="1:2" ht="30.75" thickBot="1">
      <c r="A32" s="255" t="s">
        <v>193</v>
      </c>
      <c r="B32" s="261"/>
    </row>
  </sheetData>
  <printOptions horizontalCentered="1"/>
  <pageMargins left="0.7" right="0.7" top="0.75" bottom="0.75" header="0.3" footer="0.3"/>
  <pageSetup scale="85" orientation="portrait" r:id="rId1"/>
  <headerFooter>
    <oddFooter>&amp;R8/13</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27"/>
  <sheetViews>
    <sheetView zoomScaleNormal="100" workbookViewId="0"/>
  </sheetViews>
  <sheetFormatPr defaultRowHeight="15" customHeight="1"/>
  <cols>
    <col min="1" max="1" width="28.7109375" style="2" customWidth="1"/>
    <col min="2" max="2" width="17.7109375" style="2" customWidth="1"/>
    <col min="3" max="4" width="16.7109375" style="2" customWidth="1"/>
    <col min="5" max="16384" width="9.140625" style="2"/>
  </cols>
  <sheetData>
    <row r="1" spans="1:4" ht="15" customHeight="1">
      <c r="A1" s="15" t="s">
        <v>35</v>
      </c>
      <c r="B1" s="16"/>
      <c r="C1" s="16"/>
      <c r="D1" s="19" t="s">
        <v>40</v>
      </c>
    </row>
    <row r="3" spans="1:4" ht="15" customHeight="1" thickBot="1"/>
    <row r="4" spans="1:4" ht="15" customHeight="1">
      <c r="A4" s="15" t="s">
        <v>1</v>
      </c>
      <c r="B4" s="323" t="s">
        <v>2</v>
      </c>
      <c r="C4" s="324"/>
      <c r="D4" s="325"/>
    </row>
    <row r="5" spans="1:4" ht="15" customHeight="1" thickBot="1">
      <c r="A5" s="15" t="s">
        <v>3</v>
      </c>
      <c r="B5" s="326" t="s">
        <v>34</v>
      </c>
      <c r="C5" s="327"/>
      <c r="D5" s="328"/>
    </row>
    <row r="7" spans="1:4" ht="15" customHeight="1" thickBot="1"/>
    <row r="8" spans="1:4" ht="15" customHeight="1">
      <c r="A8" s="42" t="s">
        <v>4</v>
      </c>
      <c r="B8" s="331" t="s">
        <v>36</v>
      </c>
      <c r="C8" s="333" t="s">
        <v>25</v>
      </c>
      <c r="D8" s="335" t="s">
        <v>37</v>
      </c>
    </row>
    <row r="9" spans="1:4" ht="15" customHeight="1">
      <c r="A9" s="43" t="s">
        <v>38</v>
      </c>
      <c r="B9" s="332"/>
      <c r="C9" s="334"/>
      <c r="D9" s="336"/>
    </row>
    <row r="10" spans="1:4" ht="15" customHeight="1">
      <c r="A10" s="44" t="s">
        <v>146</v>
      </c>
      <c r="B10" s="20"/>
      <c r="C10" s="17"/>
      <c r="D10" s="45"/>
    </row>
    <row r="11" spans="1:4" ht="15" customHeight="1">
      <c r="A11" s="46" t="s">
        <v>145</v>
      </c>
      <c r="B11" s="20"/>
      <c r="C11" s="17"/>
      <c r="D11" s="45"/>
    </row>
    <row r="12" spans="1:4" ht="15" customHeight="1">
      <c r="A12" s="46" t="s">
        <v>147</v>
      </c>
      <c r="B12" s="20"/>
      <c r="C12" s="17"/>
      <c r="D12" s="45"/>
    </row>
    <row r="13" spans="1:4" ht="15" customHeight="1">
      <c r="A13" s="46" t="s">
        <v>51</v>
      </c>
      <c r="B13" s="20"/>
      <c r="C13" s="17"/>
      <c r="D13" s="45"/>
    </row>
    <row r="14" spans="1:4" ht="15" customHeight="1" thickBot="1">
      <c r="A14" s="47" t="s">
        <v>39</v>
      </c>
      <c r="B14" s="48"/>
      <c r="C14" s="49"/>
      <c r="D14" s="50"/>
    </row>
    <row r="15" spans="1:4" ht="15" customHeight="1">
      <c r="A15" s="16"/>
      <c r="B15" s="16"/>
      <c r="C15" s="16"/>
      <c r="D15" s="18"/>
    </row>
    <row r="16" spans="1:4" ht="15" customHeight="1" thickBot="1">
      <c r="A16" s="16"/>
      <c r="B16" s="16"/>
      <c r="C16" s="16"/>
      <c r="D16" s="16"/>
    </row>
    <row r="17" spans="1:4" ht="15" customHeight="1">
      <c r="A17" s="51" t="s">
        <v>29</v>
      </c>
      <c r="B17" s="52"/>
      <c r="C17" s="52"/>
      <c r="D17" s="53"/>
    </row>
    <row r="18" spans="1:4" ht="15" customHeight="1">
      <c r="A18" s="54"/>
      <c r="B18" s="18"/>
      <c r="C18" s="18"/>
      <c r="D18" s="55"/>
    </row>
    <row r="19" spans="1:4" ht="15" customHeight="1">
      <c r="A19" s="54"/>
      <c r="B19" s="18"/>
      <c r="C19" s="18"/>
      <c r="D19" s="55"/>
    </row>
    <row r="20" spans="1:4" ht="15" customHeight="1">
      <c r="A20" s="54"/>
      <c r="B20" s="18"/>
      <c r="C20" s="18"/>
      <c r="D20" s="55"/>
    </row>
    <row r="21" spans="1:4" ht="15" customHeight="1">
      <c r="A21" s="54"/>
      <c r="B21" s="18"/>
      <c r="C21" s="18"/>
      <c r="D21" s="55"/>
    </row>
    <row r="22" spans="1:4" ht="15" customHeight="1" thickBot="1">
      <c r="A22" s="56"/>
      <c r="B22" s="57"/>
      <c r="C22" s="57"/>
      <c r="D22" s="58"/>
    </row>
    <row r="23" spans="1:4" ht="15" customHeight="1">
      <c r="A23" s="18"/>
      <c r="B23" s="18"/>
      <c r="C23" s="18"/>
      <c r="D23" s="16"/>
    </row>
    <row r="24" spans="1:4" ht="15" customHeight="1">
      <c r="A24" s="16"/>
      <c r="B24" s="16"/>
      <c r="C24" s="16"/>
      <c r="D24" s="16"/>
    </row>
    <row r="25" spans="1:4" ht="15" customHeight="1">
      <c r="A25" s="15" t="s">
        <v>30</v>
      </c>
      <c r="B25" s="16"/>
      <c r="C25" s="16"/>
      <c r="D25" s="16"/>
    </row>
    <row r="26" spans="1:4" ht="30" customHeight="1">
      <c r="A26" s="330" t="s">
        <v>168</v>
      </c>
      <c r="B26" s="330"/>
      <c r="C26" s="330"/>
      <c r="D26" s="330"/>
    </row>
    <row r="27" spans="1:4" ht="30" customHeight="1">
      <c r="A27" s="329" t="s">
        <v>169</v>
      </c>
      <c r="B27" s="329"/>
      <c r="C27" s="329"/>
      <c r="D27" s="329"/>
    </row>
  </sheetData>
  <mergeCells count="7">
    <mergeCell ref="B4:D4"/>
    <mergeCell ref="B5:D5"/>
    <mergeCell ref="A27:D27"/>
    <mergeCell ref="A26:D26"/>
    <mergeCell ref="B8:B9"/>
    <mergeCell ref="C8:C9"/>
    <mergeCell ref="D8:D9"/>
  </mergeCells>
  <printOptions horizontalCentered="1"/>
  <pageMargins left="0.7" right="0.7" top="0.75" bottom="0.75" header="0.3" footer="0.3"/>
  <pageSetup orientation="portrait" r:id="rId1"/>
  <headerFooter>
    <oddFooter>&amp;R8/13</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M39"/>
  <sheetViews>
    <sheetView workbookViewId="0"/>
  </sheetViews>
  <sheetFormatPr defaultRowHeight="15" customHeight="1"/>
  <cols>
    <col min="1" max="1" width="12.7109375" customWidth="1"/>
    <col min="2" max="2" width="13.7109375" customWidth="1"/>
    <col min="3" max="4" width="11.7109375" customWidth="1"/>
    <col min="5" max="6" width="13.7109375" customWidth="1"/>
    <col min="7" max="8" width="11.7109375" customWidth="1"/>
    <col min="9" max="9" width="13.140625" customWidth="1"/>
    <col min="10" max="10" width="11.7109375" customWidth="1"/>
    <col min="11" max="11" width="13.7109375" customWidth="1"/>
    <col min="12" max="13" width="11.7109375" customWidth="1"/>
  </cols>
  <sheetData>
    <row r="1" spans="1:13" s="2" customFormat="1" ht="15" customHeight="1">
      <c r="A1" s="4" t="s">
        <v>0</v>
      </c>
      <c r="B1" s="5"/>
      <c r="C1" s="5"/>
      <c r="D1" s="5"/>
      <c r="E1" s="5"/>
      <c r="F1" s="5"/>
      <c r="G1" s="5"/>
      <c r="H1" s="5"/>
      <c r="I1" s="5"/>
      <c r="J1" s="5"/>
      <c r="K1" s="5"/>
      <c r="L1" s="5"/>
      <c r="M1" s="14" t="s">
        <v>33</v>
      </c>
    </row>
    <row r="2" spans="1:13" ht="15" customHeight="1">
      <c r="A2" s="2"/>
      <c r="B2" s="2"/>
      <c r="C2" s="2"/>
      <c r="D2" s="2"/>
      <c r="E2" s="2"/>
      <c r="F2" s="2"/>
      <c r="G2" s="2"/>
      <c r="H2" s="2"/>
      <c r="I2" s="2"/>
      <c r="J2" s="2"/>
      <c r="K2" s="2"/>
      <c r="L2" s="2"/>
      <c r="M2" s="2"/>
    </row>
    <row r="3" spans="1:13" ht="15" customHeight="1" thickBot="1">
      <c r="A3" s="2"/>
      <c r="B3" s="2"/>
      <c r="C3" s="2"/>
      <c r="D3" s="2"/>
      <c r="E3" s="2"/>
      <c r="F3" s="2"/>
      <c r="G3" s="2"/>
      <c r="H3" s="2"/>
      <c r="I3" s="2"/>
      <c r="J3" s="2"/>
      <c r="K3" s="2"/>
      <c r="L3" s="2"/>
      <c r="M3" s="2"/>
    </row>
    <row r="4" spans="1:13" ht="15" customHeight="1">
      <c r="A4" s="4" t="s">
        <v>1</v>
      </c>
      <c r="B4" s="5"/>
      <c r="C4" s="337" t="s">
        <v>2</v>
      </c>
      <c r="D4" s="338"/>
      <c r="E4" s="339"/>
      <c r="F4" s="5"/>
      <c r="G4" s="5"/>
      <c r="H4" s="5"/>
      <c r="I4" s="5"/>
      <c r="J4" s="5"/>
      <c r="K4" s="5"/>
      <c r="L4" s="5"/>
      <c r="M4" s="5"/>
    </row>
    <row r="5" spans="1:13" ht="15" customHeight="1" thickBot="1">
      <c r="A5" s="4" t="s">
        <v>3</v>
      </c>
      <c r="B5" s="5"/>
      <c r="C5" s="340" t="s">
        <v>34</v>
      </c>
      <c r="D5" s="341"/>
      <c r="E5" s="342"/>
      <c r="F5" s="5"/>
      <c r="G5" s="5"/>
      <c r="H5" s="5"/>
      <c r="I5" s="5"/>
      <c r="J5" s="5"/>
      <c r="K5" s="5"/>
      <c r="L5" s="5"/>
      <c r="M5" s="5"/>
    </row>
    <row r="6" spans="1:13" ht="15" customHeight="1">
      <c r="A6" s="2"/>
      <c r="B6" s="2"/>
      <c r="C6" s="2"/>
      <c r="D6" s="2"/>
      <c r="E6" s="2"/>
      <c r="F6" s="2"/>
      <c r="G6" s="2"/>
      <c r="H6" s="2"/>
      <c r="I6" s="2"/>
      <c r="J6" s="2"/>
      <c r="K6" s="2"/>
      <c r="L6" s="2"/>
      <c r="M6" s="2"/>
    </row>
    <row r="7" spans="1:13" ht="15" customHeight="1" thickBot="1">
      <c r="A7" s="2"/>
      <c r="B7" s="2"/>
      <c r="C7" s="3"/>
      <c r="D7" s="3"/>
      <c r="E7" s="2"/>
      <c r="F7" s="2"/>
      <c r="G7" s="2"/>
      <c r="H7" s="2"/>
      <c r="I7" s="2"/>
      <c r="J7" s="2"/>
      <c r="K7" s="2"/>
      <c r="L7" s="2"/>
      <c r="M7" s="2"/>
    </row>
    <row r="8" spans="1:13" ht="15" customHeight="1" thickBot="1">
      <c r="A8" s="122" t="s">
        <v>4</v>
      </c>
      <c r="B8" s="123" t="s">
        <v>5</v>
      </c>
      <c r="C8" s="6"/>
      <c r="D8" s="6"/>
      <c r="E8" s="5"/>
      <c r="F8" s="5"/>
      <c r="G8" s="5"/>
      <c r="H8" s="5"/>
      <c r="I8" s="5"/>
      <c r="J8" s="5"/>
      <c r="K8" s="5"/>
      <c r="L8" s="5"/>
      <c r="M8" s="5"/>
    </row>
    <row r="9" spans="1:13" ht="60">
      <c r="A9" s="113" t="s">
        <v>6</v>
      </c>
      <c r="B9" s="100" t="s">
        <v>7</v>
      </c>
      <c r="C9" s="100" t="s">
        <v>8</v>
      </c>
      <c r="D9" s="100" t="s">
        <v>9</v>
      </c>
      <c r="E9" s="100" t="s">
        <v>10</v>
      </c>
      <c r="F9" s="100" t="s">
        <v>11</v>
      </c>
      <c r="G9" s="100" t="s">
        <v>12</v>
      </c>
      <c r="H9" s="100" t="s">
        <v>13</v>
      </c>
      <c r="I9" s="98" t="s">
        <v>14</v>
      </c>
      <c r="J9" s="100" t="s">
        <v>15</v>
      </c>
      <c r="K9" s="100" t="s">
        <v>16</v>
      </c>
      <c r="L9" s="100" t="s">
        <v>17</v>
      </c>
      <c r="M9" s="106" t="s">
        <v>18</v>
      </c>
    </row>
    <row r="10" spans="1:13" ht="15" customHeight="1">
      <c r="A10" s="118"/>
      <c r="B10" s="7"/>
      <c r="C10" s="191"/>
      <c r="D10" s="8"/>
      <c r="E10" s="7">
        <f>B10*C10*D10</f>
        <v>0</v>
      </c>
      <c r="F10" s="7"/>
      <c r="G10" s="8"/>
      <c r="H10" s="9" t="e">
        <f t="shared" ref="H10:H15" si="0">F10*G10/B10</f>
        <v>#DIV/0!</v>
      </c>
      <c r="I10" s="8"/>
      <c r="J10" s="8"/>
      <c r="K10" s="7">
        <f>F10*G10*I10*J10</f>
        <v>0</v>
      </c>
      <c r="L10" s="10" t="e">
        <f t="shared" ref="L10:L15" si="1">K10/E10</f>
        <v>#DIV/0!</v>
      </c>
      <c r="M10" s="116"/>
    </row>
    <row r="11" spans="1:13" ht="15" customHeight="1">
      <c r="A11" s="118"/>
      <c r="B11" s="7"/>
      <c r="C11" s="191"/>
      <c r="D11" s="8"/>
      <c r="E11" s="7">
        <f>B11*C11*D11</f>
        <v>0</v>
      </c>
      <c r="F11" s="7"/>
      <c r="G11" s="8"/>
      <c r="H11" s="9" t="e">
        <f t="shared" si="0"/>
        <v>#DIV/0!</v>
      </c>
      <c r="I11" s="8"/>
      <c r="J11" s="8"/>
      <c r="K11" s="7">
        <f>F11*G11*I11*J11</f>
        <v>0</v>
      </c>
      <c r="L11" s="10" t="e">
        <f t="shared" si="1"/>
        <v>#DIV/0!</v>
      </c>
      <c r="M11" s="116"/>
    </row>
    <row r="12" spans="1:13" ht="15" customHeight="1">
      <c r="A12" s="118"/>
      <c r="B12" s="7"/>
      <c r="C12" s="191"/>
      <c r="D12" s="8"/>
      <c r="E12" s="7">
        <f>B12*C12*D12</f>
        <v>0</v>
      </c>
      <c r="F12" s="7"/>
      <c r="G12" s="8"/>
      <c r="H12" s="9" t="e">
        <f t="shared" si="0"/>
        <v>#DIV/0!</v>
      </c>
      <c r="I12" s="8"/>
      <c r="J12" s="8"/>
      <c r="K12" s="7">
        <f>F12*G12*I12*J12</f>
        <v>0</v>
      </c>
      <c r="L12" s="10" t="e">
        <f t="shared" si="1"/>
        <v>#DIV/0!</v>
      </c>
      <c r="M12" s="116"/>
    </row>
    <row r="13" spans="1:13" ht="15" customHeight="1">
      <c r="A13" s="118"/>
      <c r="B13" s="7"/>
      <c r="C13" s="191"/>
      <c r="D13" s="8"/>
      <c r="E13" s="7">
        <f>B13*C13*D13</f>
        <v>0</v>
      </c>
      <c r="F13" s="7"/>
      <c r="G13" s="8"/>
      <c r="H13" s="9" t="e">
        <f t="shared" si="0"/>
        <v>#DIV/0!</v>
      </c>
      <c r="I13" s="8"/>
      <c r="J13" s="8"/>
      <c r="K13" s="7">
        <f>F13*G13*I13*J13</f>
        <v>0</v>
      </c>
      <c r="L13" s="10" t="e">
        <f t="shared" si="1"/>
        <v>#DIV/0!</v>
      </c>
      <c r="M13" s="116"/>
    </row>
    <row r="14" spans="1:13" ht="15" customHeight="1">
      <c r="A14" s="118"/>
      <c r="B14" s="7"/>
      <c r="C14" s="191"/>
      <c r="D14" s="8"/>
      <c r="E14" s="7">
        <f>B14*C14*D14</f>
        <v>0</v>
      </c>
      <c r="F14" s="7"/>
      <c r="G14" s="8"/>
      <c r="H14" s="9" t="e">
        <f t="shared" si="0"/>
        <v>#DIV/0!</v>
      </c>
      <c r="I14" s="8"/>
      <c r="J14" s="8"/>
      <c r="K14" s="7">
        <f>F14*G14*I14*J14</f>
        <v>0</v>
      </c>
      <c r="L14" s="10" t="e">
        <f t="shared" si="1"/>
        <v>#DIV/0!</v>
      </c>
      <c r="M14" s="116"/>
    </row>
    <row r="15" spans="1:13" ht="15" customHeight="1" thickBot="1">
      <c r="A15" s="112" t="s">
        <v>19</v>
      </c>
      <c r="B15" s="110">
        <f>SUM(B10:B14)</f>
        <v>0</v>
      </c>
      <c r="C15" s="107"/>
      <c r="D15" s="107"/>
      <c r="E15" s="110">
        <f>SUM(E10:E14)</f>
        <v>0</v>
      </c>
      <c r="F15" s="110">
        <f>SUM(F10:F14)</f>
        <v>0</v>
      </c>
      <c r="G15" s="104"/>
      <c r="H15" s="102" t="e">
        <f t="shared" si="0"/>
        <v>#DIV/0!</v>
      </c>
      <c r="I15" s="107"/>
      <c r="J15" s="107"/>
      <c r="K15" s="110">
        <f>SUM(K10:K14)</f>
        <v>0</v>
      </c>
      <c r="L15" s="99" t="e">
        <f t="shared" si="1"/>
        <v>#DIV/0!</v>
      </c>
      <c r="M15" s="120">
        <f>SUM(M10:M14)</f>
        <v>0</v>
      </c>
    </row>
    <row r="16" spans="1:13" ht="15" customHeight="1">
      <c r="A16" s="11"/>
      <c r="B16" s="11"/>
      <c r="C16" s="11"/>
      <c r="D16" s="11"/>
      <c r="E16" s="11"/>
      <c r="F16" s="11"/>
      <c r="G16" s="11"/>
      <c r="H16" s="11"/>
      <c r="I16" s="12"/>
      <c r="J16" s="11"/>
      <c r="K16" s="5"/>
      <c r="L16" s="5"/>
      <c r="M16" s="5"/>
    </row>
    <row r="17" spans="1:13" ht="15" customHeight="1" thickBot="1">
      <c r="A17" s="11"/>
      <c r="B17" s="11"/>
      <c r="C17" s="11"/>
      <c r="D17" s="11"/>
      <c r="E17" s="11"/>
      <c r="F17" s="11"/>
      <c r="G17" s="11"/>
      <c r="H17" s="11"/>
      <c r="I17" s="12"/>
      <c r="J17" s="12"/>
      <c r="K17" s="13"/>
      <c r="L17" s="13"/>
      <c r="M17" s="13"/>
    </row>
    <row r="18" spans="1:13" ht="15" customHeight="1">
      <c r="A18" s="343" t="s">
        <v>20</v>
      </c>
      <c r="B18" s="344"/>
      <c r="C18" s="345"/>
      <c r="D18" s="115" t="e">
        <f>SUMPRODUCT(L10:L14,M10:M14)</f>
        <v>#DIV/0!</v>
      </c>
      <c r="E18" s="5"/>
      <c r="F18" s="2"/>
      <c r="G18" s="349"/>
      <c r="H18" s="350"/>
      <c r="I18" s="181" t="s">
        <v>109</v>
      </c>
      <c r="J18" s="188" t="s">
        <v>110</v>
      </c>
      <c r="K18" s="5"/>
      <c r="L18" s="5"/>
      <c r="M18" s="5"/>
    </row>
    <row r="19" spans="1:13" s="189" customFormat="1" ht="15" customHeight="1">
      <c r="A19" s="353" t="s">
        <v>163</v>
      </c>
      <c r="B19" s="354"/>
      <c r="C19" s="355"/>
      <c r="D19" s="186">
        <f>'CAT-Home'!B14</f>
        <v>0</v>
      </c>
      <c r="E19" s="5"/>
      <c r="F19" s="2"/>
      <c r="G19" s="351" t="s">
        <v>21</v>
      </c>
      <c r="H19" s="352"/>
      <c r="I19" s="185"/>
      <c r="J19" s="124"/>
      <c r="K19" s="5"/>
      <c r="L19" s="5"/>
      <c r="M19" s="5"/>
    </row>
    <row r="20" spans="1:13" ht="15" customHeight="1">
      <c r="A20" s="353" t="s">
        <v>22</v>
      </c>
      <c r="B20" s="354"/>
      <c r="C20" s="355"/>
      <c r="D20" s="109">
        <f>'EXP-Home'!B18</f>
        <v>0</v>
      </c>
      <c r="E20" s="5"/>
      <c r="G20" s="351" t="s">
        <v>23</v>
      </c>
      <c r="H20" s="352"/>
      <c r="I20" s="185"/>
      <c r="J20" s="124"/>
      <c r="K20" s="5"/>
      <c r="L20" s="5"/>
      <c r="M20" s="5"/>
    </row>
    <row r="21" spans="1:13" ht="15" customHeight="1" thickBot="1">
      <c r="A21" s="346" t="s">
        <v>32</v>
      </c>
      <c r="B21" s="347"/>
      <c r="C21" s="348"/>
      <c r="D21" s="109">
        <f>'EXP-Home'!C18</f>
        <v>0</v>
      </c>
      <c r="E21" s="5"/>
      <c r="G21" s="356" t="s">
        <v>24</v>
      </c>
      <c r="H21" s="357"/>
      <c r="I21" s="180">
        <f>(1+I20)/(1+I19)-1</f>
        <v>0</v>
      </c>
      <c r="J21" s="85">
        <f>(1+J20)/(1+J19)-1</f>
        <v>0</v>
      </c>
      <c r="K21" s="5"/>
      <c r="L21" s="5"/>
      <c r="M21" s="5"/>
    </row>
    <row r="22" spans="1:13" s="1" customFormat="1" ht="15" customHeight="1">
      <c r="A22" s="353" t="s">
        <v>161</v>
      </c>
      <c r="B22" s="354"/>
      <c r="C22" s="355"/>
      <c r="D22" s="109">
        <f>'EXP-Home'!D17</f>
        <v>0</v>
      </c>
      <c r="E22" s="5"/>
      <c r="G22" s="5"/>
      <c r="H22" s="5"/>
      <c r="I22" s="5"/>
      <c r="J22" s="5"/>
      <c r="K22" s="5"/>
      <c r="L22" s="5"/>
      <c r="M22" s="5"/>
    </row>
    <row r="23" spans="1:13" ht="15" customHeight="1">
      <c r="A23" s="346" t="s">
        <v>25</v>
      </c>
      <c r="B23" s="347"/>
      <c r="C23" s="348"/>
      <c r="D23" s="109" t="e">
        <f>(D18+D19+D20)/(1-D21-D22)-1</f>
        <v>#DIV/0!</v>
      </c>
      <c r="E23" s="5"/>
      <c r="F23" s="5"/>
      <c r="G23" s="5"/>
      <c r="H23" s="5"/>
      <c r="I23" s="13"/>
      <c r="J23" s="5"/>
      <c r="K23" s="5"/>
      <c r="L23" s="5"/>
      <c r="M23" s="5"/>
    </row>
    <row r="24" spans="1:13" ht="15" customHeight="1">
      <c r="A24" s="346" t="s">
        <v>26</v>
      </c>
      <c r="B24" s="347"/>
      <c r="C24" s="348"/>
      <c r="D24" s="109"/>
      <c r="E24" s="5"/>
      <c r="F24" s="5"/>
      <c r="G24" s="5"/>
      <c r="H24" s="5"/>
      <c r="I24" s="13"/>
      <c r="J24" s="5"/>
      <c r="K24" s="5"/>
      <c r="L24" s="5"/>
      <c r="M24" s="5"/>
    </row>
    <row r="25" spans="1:13" ht="15" customHeight="1">
      <c r="A25" s="346" t="s">
        <v>27</v>
      </c>
      <c r="B25" s="347"/>
      <c r="C25" s="348"/>
      <c r="D25" s="109">
        <f>I21</f>
        <v>0</v>
      </c>
      <c r="E25" s="5"/>
      <c r="F25" s="5"/>
      <c r="G25" s="5"/>
      <c r="H25" s="5"/>
      <c r="I25" s="13"/>
      <c r="J25" s="5"/>
      <c r="K25" s="5"/>
      <c r="L25" s="5"/>
      <c r="M25" s="5"/>
    </row>
    <row r="26" spans="1:13" ht="15" customHeight="1" thickBot="1">
      <c r="A26" s="359" t="s">
        <v>28</v>
      </c>
      <c r="B26" s="360"/>
      <c r="C26" s="361"/>
      <c r="D26" s="119" t="e">
        <f>D23*D24+D25*(1-D24)</f>
        <v>#DIV/0!</v>
      </c>
      <c r="E26" s="5"/>
      <c r="F26" s="5"/>
      <c r="G26" s="5"/>
      <c r="H26" s="5"/>
      <c r="I26" s="13"/>
      <c r="J26" s="5"/>
      <c r="K26" s="5"/>
      <c r="L26" s="5"/>
      <c r="M26" s="5"/>
    </row>
    <row r="27" spans="1:13" ht="15" customHeight="1">
      <c r="A27" s="2"/>
      <c r="B27" s="2"/>
      <c r="C27" s="2"/>
      <c r="D27" s="2"/>
      <c r="E27" s="2"/>
      <c r="F27" s="2"/>
      <c r="G27" s="2"/>
      <c r="H27" s="2"/>
      <c r="I27" s="2"/>
      <c r="J27" s="2"/>
      <c r="K27" s="2"/>
      <c r="L27" s="2"/>
      <c r="M27" s="2"/>
    </row>
    <row r="28" spans="1:13" ht="15" customHeight="1" thickBot="1">
      <c r="A28" s="2"/>
      <c r="B28" s="2"/>
      <c r="C28" s="2"/>
      <c r="D28" s="2"/>
      <c r="E28" s="2"/>
      <c r="F28" s="2"/>
      <c r="G28" s="2"/>
      <c r="H28" s="2"/>
      <c r="I28" s="2"/>
      <c r="J28" s="2"/>
      <c r="K28" s="2"/>
      <c r="L28" s="2"/>
      <c r="M28" s="2"/>
    </row>
    <row r="29" spans="1:13" ht="15" customHeight="1">
      <c r="A29" s="117" t="s">
        <v>29</v>
      </c>
      <c r="B29" s="114"/>
      <c r="C29" s="114"/>
      <c r="D29" s="114"/>
      <c r="E29" s="114"/>
      <c r="F29" s="114"/>
      <c r="G29" s="114"/>
      <c r="H29" s="114"/>
      <c r="I29" s="114"/>
      <c r="J29" s="114"/>
      <c r="K29" s="114"/>
      <c r="L29" s="114"/>
      <c r="M29" s="111"/>
    </row>
    <row r="30" spans="1:13" ht="15" customHeight="1">
      <c r="A30" s="108"/>
      <c r="B30" s="11"/>
      <c r="C30" s="11"/>
      <c r="D30" s="11"/>
      <c r="E30" s="11"/>
      <c r="F30" s="11"/>
      <c r="G30" s="11"/>
      <c r="H30" s="11"/>
      <c r="I30" s="11"/>
      <c r="J30" s="11"/>
      <c r="K30" s="11"/>
      <c r="L30" s="11"/>
      <c r="M30" s="105"/>
    </row>
    <row r="31" spans="1:13" ht="15" customHeight="1">
      <c r="A31" s="108"/>
      <c r="B31" s="11"/>
      <c r="C31" s="11"/>
      <c r="D31" s="11"/>
      <c r="E31" s="11"/>
      <c r="F31" s="11"/>
      <c r="G31" s="11"/>
      <c r="H31" s="11"/>
      <c r="I31" s="11"/>
      <c r="J31" s="11"/>
      <c r="K31" s="11"/>
      <c r="L31" s="11"/>
      <c r="M31" s="105"/>
    </row>
    <row r="32" spans="1:13" ht="15" customHeight="1">
      <c r="A32" s="108"/>
      <c r="B32" s="11"/>
      <c r="C32" s="11"/>
      <c r="D32" s="11"/>
      <c r="E32" s="11"/>
      <c r="F32" s="11"/>
      <c r="G32" s="11"/>
      <c r="H32" s="11"/>
      <c r="I32" s="11"/>
      <c r="J32" s="11"/>
      <c r="K32" s="11"/>
      <c r="L32" s="11"/>
      <c r="M32" s="105"/>
    </row>
    <row r="33" spans="1:13" ht="15" customHeight="1">
      <c r="A33" s="108"/>
      <c r="B33" s="11"/>
      <c r="C33" s="11"/>
      <c r="D33" s="11"/>
      <c r="E33" s="11"/>
      <c r="F33" s="11"/>
      <c r="G33" s="11"/>
      <c r="H33" s="11"/>
      <c r="I33" s="11"/>
      <c r="J33" s="11"/>
      <c r="K33" s="11"/>
      <c r="L33" s="11"/>
      <c r="M33" s="105"/>
    </row>
    <row r="34" spans="1:13" ht="15" customHeight="1" thickBot="1">
      <c r="A34" s="103"/>
      <c r="B34" s="101"/>
      <c r="C34" s="101"/>
      <c r="D34" s="101"/>
      <c r="E34" s="101"/>
      <c r="F34" s="101"/>
      <c r="G34" s="101"/>
      <c r="H34" s="101"/>
      <c r="I34" s="101"/>
      <c r="J34" s="101"/>
      <c r="K34" s="101"/>
      <c r="L34" s="101"/>
      <c r="M34" s="121"/>
    </row>
    <row r="35" spans="1:13" ht="15" customHeight="1">
      <c r="A35" s="2"/>
      <c r="B35" s="2"/>
      <c r="C35" s="2"/>
      <c r="D35" s="2"/>
      <c r="E35" s="2"/>
      <c r="F35" s="2"/>
      <c r="G35" s="2"/>
      <c r="H35" s="2"/>
      <c r="I35" s="2"/>
      <c r="J35" s="2"/>
      <c r="K35" s="2"/>
      <c r="L35" s="2"/>
      <c r="M35" s="2"/>
    </row>
    <row r="36" spans="1:13" ht="15" customHeight="1">
      <c r="A36" s="2"/>
      <c r="B36" s="2"/>
      <c r="C36" s="2"/>
      <c r="D36" s="2"/>
      <c r="E36" s="2"/>
      <c r="F36" s="2"/>
      <c r="G36" s="2"/>
      <c r="H36" s="2"/>
      <c r="I36" s="2"/>
      <c r="J36" s="2"/>
      <c r="K36" s="2"/>
      <c r="L36" s="2"/>
      <c r="M36" s="2"/>
    </row>
    <row r="37" spans="1:13" ht="15" customHeight="1">
      <c r="A37" s="4" t="s">
        <v>30</v>
      </c>
      <c r="B37" s="5"/>
      <c r="C37" s="5"/>
      <c r="D37" s="5"/>
      <c r="E37" s="5"/>
      <c r="F37" s="5"/>
      <c r="G37" s="5"/>
      <c r="H37" s="5"/>
      <c r="I37" s="5"/>
      <c r="J37" s="5"/>
      <c r="K37" s="5"/>
      <c r="L37" s="5"/>
      <c r="M37" s="5"/>
    </row>
    <row r="38" spans="1:13" ht="15" customHeight="1">
      <c r="A38" s="358" t="s">
        <v>76</v>
      </c>
      <c r="B38" s="358"/>
      <c r="C38" s="358"/>
      <c r="D38" s="358"/>
      <c r="E38" s="358"/>
      <c r="F38" s="358"/>
      <c r="G38" s="358"/>
      <c r="H38" s="358"/>
      <c r="I38" s="358"/>
      <c r="J38" s="358"/>
      <c r="K38" s="358"/>
      <c r="L38" s="358"/>
      <c r="M38" s="358"/>
    </row>
    <row r="39" spans="1:13" ht="15" customHeight="1">
      <c r="A39" s="358" t="s">
        <v>31</v>
      </c>
      <c r="B39" s="358"/>
      <c r="C39" s="358"/>
      <c r="D39" s="358"/>
      <c r="E39" s="358"/>
      <c r="F39" s="358"/>
      <c r="G39" s="358"/>
      <c r="H39" s="358"/>
      <c r="I39" s="358"/>
      <c r="J39" s="358"/>
      <c r="K39" s="358"/>
      <c r="L39" s="358"/>
      <c r="M39" s="358"/>
    </row>
  </sheetData>
  <mergeCells count="17">
    <mergeCell ref="A38:M38"/>
    <mergeCell ref="A39:M39"/>
    <mergeCell ref="A25:C25"/>
    <mergeCell ref="A26:C26"/>
    <mergeCell ref="A24:C24"/>
    <mergeCell ref="A22:C22"/>
    <mergeCell ref="G21:H21"/>
    <mergeCell ref="A23:C23"/>
    <mergeCell ref="A20:C20"/>
    <mergeCell ref="A19:C19"/>
    <mergeCell ref="C4:E4"/>
    <mergeCell ref="C5:E5"/>
    <mergeCell ref="A18:C18"/>
    <mergeCell ref="A21:C21"/>
    <mergeCell ref="G18:H18"/>
    <mergeCell ref="G19:H19"/>
    <mergeCell ref="G20:H20"/>
  </mergeCells>
  <printOptions horizontalCentered="1"/>
  <pageMargins left="0.7" right="0.7" top="0.75" bottom="0.75" header="0.3" footer="0.3"/>
  <pageSetup scale="75" orientation="landscape" r:id="rId1"/>
  <headerFooter>
    <oddFooter>&amp;R8/13</oddFooter>
  </headerFooter>
  <ignoredErrors>
    <ignoredError sqref="D18" formulaRange="1"/>
  </ignoredErrors>
</worksheet>
</file>

<file path=xl/worksheets/sheet4.xml><?xml version="1.0" encoding="utf-8"?>
<worksheet xmlns="http://schemas.openxmlformats.org/spreadsheetml/2006/main" xmlns:r="http://schemas.openxmlformats.org/officeDocument/2006/relationships">
  <sheetPr>
    <pageSetUpPr fitToPage="1"/>
  </sheetPr>
  <dimension ref="A1:G37"/>
  <sheetViews>
    <sheetView workbookViewId="0"/>
  </sheetViews>
  <sheetFormatPr defaultRowHeight="15" customHeight="1"/>
  <cols>
    <col min="1" max="1" width="28.7109375" style="175" customWidth="1"/>
    <col min="2" max="4" width="10.7109375" style="175" customWidth="1"/>
    <col min="5" max="5" width="9.140625" style="175"/>
    <col min="6" max="6" width="28.7109375" style="175" customWidth="1"/>
    <col min="7" max="7" width="17.7109375" style="175" customWidth="1"/>
    <col min="8" max="16384" width="9.140625" style="175"/>
  </cols>
  <sheetData>
    <row r="1" spans="1:7" ht="15" customHeight="1">
      <c r="A1" s="178" t="s">
        <v>156</v>
      </c>
      <c r="B1" s="177"/>
      <c r="C1" s="177"/>
      <c r="D1" s="177"/>
      <c r="E1" s="177"/>
      <c r="G1" s="192" t="s">
        <v>118</v>
      </c>
    </row>
    <row r="2" spans="1:7" ht="15" customHeight="1">
      <c r="A2" s="3"/>
      <c r="B2" s="3"/>
      <c r="C2" s="3"/>
      <c r="D2" s="3"/>
      <c r="E2" s="3"/>
    </row>
    <row r="3" spans="1:7" ht="15" customHeight="1" thickBot="1">
      <c r="A3" s="3"/>
      <c r="B3" s="3"/>
      <c r="C3" s="3"/>
      <c r="D3" s="3"/>
      <c r="E3" s="3"/>
    </row>
    <row r="4" spans="1:7" ht="15" customHeight="1">
      <c r="A4" s="178" t="s">
        <v>1</v>
      </c>
      <c r="B4" s="362" t="s">
        <v>2</v>
      </c>
      <c r="C4" s="363"/>
      <c r="D4" s="364"/>
      <c r="E4" s="3"/>
    </row>
    <row r="5" spans="1:7" ht="15" customHeight="1" thickBot="1">
      <c r="A5" s="178" t="s">
        <v>61</v>
      </c>
      <c r="B5" s="365" t="s">
        <v>5</v>
      </c>
      <c r="C5" s="366"/>
      <c r="D5" s="367"/>
      <c r="E5" s="3"/>
    </row>
    <row r="6" spans="1:7" ht="15" customHeight="1">
      <c r="A6" s="3"/>
      <c r="B6" s="3"/>
      <c r="C6" s="3"/>
      <c r="D6" s="3"/>
      <c r="E6" s="3"/>
    </row>
    <row r="7" spans="1:7" ht="15" customHeight="1" thickBot="1">
      <c r="A7" s="3"/>
      <c r="B7" s="3"/>
      <c r="C7" s="3"/>
      <c r="D7" s="3"/>
      <c r="E7" s="3"/>
    </row>
    <row r="8" spans="1:7" ht="15" customHeight="1">
      <c r="A8" s="203" t="s">
        <v>97</v>
      </c>
      <c r="B8" s="368" t="s">
        <v>98</v>
      </c>
      <c r="C8" s="368"/>
      <c r="D8" s="369"/>
      <c r="E8" s="177"/>
      <c r="F8" s="373" t="s">
        <v>113</v>
      </c>
      <c r="G8" s="371" t="s">
        <v>117</v>
      </c>
    </row>
    <row r="9" spans="1:7" ht="15" customHeight="1">
      <c r="A9" s="204" t="s">
        <v>38</v>
      </c>
      <c r="B9" s="176" t="s">
        <v>99</v>
      </c>
      <c r="C9" s="176" t="s">
        <v>100</v>
      </c>
      <c r="D9" s="205" t="s">
        <v>19</v>
      </c>
      <c r="E9" s="177"/>
      <c r="F9" s="374"/>
      <c r="G9" s="372"/>
    </row>
    <row r="10" spans="1:7" ht="15" customHeight="1">
      <c r="A10" s="206" t="s">
        <v>101</v>
      </c>
      <c r="B10" s="9"/>
      <c r="C10" s="9"/>
      <c r="D10" s="207">
        <f>SUM(B10:C10)</f>
        <v>0</v>
      </c>
      <c r="E10" s="177"/>
      <c r="F10" s="209" t="s">
        <v>115</v>
      </c>
      <c r="G10" s="179"/>
    </row>
    <row r="11" spans="1:7" ht="15" customHeight="1">
      <c r="A11" s="206" t="s">
        <v>102</v>
      </c>
      <c r="B11" s="9"/>
      <c r="C11" s="9"/>
      <c r="D11" s="207">
        <f t="shared" ref="D11:D18" si="0">SUM(B11:C11)</f>
        <v>0</v>
      </c>
      <c r="E11" s="177"/>
      <c r="F11" s="210" t="s">
        <v>114</v>
      </c>
      <c r="G11" s="179"/>
    </row>
    <row r="12" spans="1:7" ht="15" customHeight="1">
      <c r="A12" s="206" t="s">
        <v>103</v>
      </c>
      <c r="B12" s="9"/>
      <c r="C12" s="9"/>
      <c r="D12" s="207">
        <f t="shared" si="0"/>
        <v>0</v>
      </c>
      <c r="E12" s="177"/>
      <c r="F12" s="210" t="s">
        <v>116</v>
      </c>
      <c r="G12" s="179">
        <f>1-G10-G11</f>
        <v>1</v>
      </c>
    </row>
    <row r="13" spans="1:7" ht="15" customHeight="1" thickBot="1">
      <c r="A13" s="206" t="s">
        <v>104</v>
      </c>
      <c r="B13" s="9"/>
      <c r="C13" s="9"/>
      <c r="D13" s="207">
        <f t="shared" si="0"/>
        <v>0</v>
      </c>
      <c r="E13" s="177"/>
      <c r="F13" s="211" t="s">
        <v>19</v>
      </c>
      <c r="G13" s="187">
        <f>SUM(G10:G12)</f>
        <v>1</v>
      </c>
    </row>
    <row r="14" spans="1:7" ht="15" customHeight="1">
      <c r="A14" s="206" t="s">
        <v>105</v>
      </c>
      <c r="B14" s="9"/>
      <c r="C14" s="9"/>
      <c r="D14" s="207">
        <f t="shared" si="0"/>
        <v>0</v>
      </c>
      <c r="E14" s="177"/>
    </row>
    <row r="15" spans="1:7" ht="15" customHeight="1">
      <c r="A15" s="206" t="s">
        <v>106</v>
      </c>
      <c r="B15" s="9"/>
      <c r="C15" s="9"/>
      <c r="D15" s="207">
        <f t="shared" si="0"/>
        <v>0</v>
      </c>
      <c r="E15" s="177"/>
    </row>
    <row r="16" spans="1:7" ht="15" customHeight="1">
      <c r="A16" s="206" t="s">
        <v>107</v>
      </c>
      <c r="B16" s="9"/>
      <c r="C16" s="9"/>
      <c r="D16" s="207">
        <f t="shared" si="0"/>
        <v>0</v>
      </c>
      <c r="E16" s="177"/>
    </row>
    <row r="17" spans="1:7" ht="15" customHeight="1">
      <c r="A17" s="206" t="s">
        <v>112</v>
      </c>
      <c r="B17" s="9"/>
      <c r="C17" s="9"/>
      <c r="D17" s="207">
        <f t="shared" si="0"/>
        <v>0</v>
      </c>
      <c r="E17" s="177"/>
    </row>
    <row r="18" spans="1:7" ht="15" customHeight="1">
      <c r="A18" s="208" t="s">
        <v>108</v>
      </c>
      <c r="B18" s="9">
        <f>SUM(B10:B17)</f>
        <v>0</v>
      </c>
      <c r="C18" s="9">
        <f>SUM(C10:C17)</f>
        <v>0</v>
      </c>
      <c r="D18" s="207">
        <f t="shared" si="0"/>
        <v>0</v>
      </c>
      <c r="E18" s="177"/>
    </row>
    <row r="19" spans="1:7" ht="15" customHeight="1" thickBot="1">
      <c r="A19" s="377" t="s">
        <v>165</v>
      </c>
      <c r="B19" s="378"/>
      <c r="C19" s="379"/>
      <c r="D19" s="152">
        <f>1-C18</f>
        <v>1</v>
      </c>
      <c r="E19" s="177"/>
    </row>
    <row r="20" spans="1:7" ht="15" customHeight="1">
      <c r="A20" s="3"/>
      <c r="B20" s="3"/>
      <c r="C20" s="3"/>
      <c r="D20" s="3"/>
      <c r="E20" s="3"/>
    </row>
    <row r="21" spans="1:7" ht="15" customHeight="1" thickBot="1">
      <c r="A21" s="3"/>
      <c r="B21" s="3"/>
      <c r="C21" s="3"/>
      <c r="D21" s="3"/>
      <c r="E21" s="3"/>
    </row>
    <row r="22" spans="1:7" s="190" customFormat="1" ht="15" customHeight="1">
      <c r="A22" s="193" t="s">
        <v>29</v>
      </c>
      <c r="B22" s="194"/>
      <c r="C22" s="194"/>
      <c r="D22" s="194"/>
      <c r="E22" s="194"/>
      <c r="F22" s="195"/>
      <c r="G22" s="196"/>
    </row>
    <row r="23" spans="1:7" s="190" customFormat="1" ht="15" customHeight="1">
      <c r="A23" s="197"/>
      <c r="B23" s="3"/>
      <c r="C23" s="3"/>
      <c r="D23" s="3"/>
      <c r="E23" s="3"/>
      <c r="G23" s="198"/>
    </row>
    <row r="24" spans="1:7" s="190" customFormat="1" ht="15" customHeight="1">
      <c r="A24" s="197"/>
      <c r="B24" s="3"/>
      <c r="C24" s="3"/>
      <c r="D24" s="3"/>
      <c r="E24" s="3"/>
      <c r="G24" s="198"/>
    </row>
    <row r="25" spans="1:7" s="190" customFormat="1" ht="15" customHeight="1">
      <c r="A25" s="197"/>
      <c r="B25" s="3"/>
      <c r="C25" s="3"/>
      <c r="D25" s="3"/>
      <c r="E25" s="3"/>
      <c r="G25" s="198"/>
    </row>
    <row r="26" spans="1:7" s="190" customFormat="1" ht="15" customHeight="1">
      <c r="A26" s="197"/>
      <c r="B26" s="3"/>
      <c r="C26" s="3"/>
      <c r="D26" s="3"/>
      <c r="E26" s="3"/>
      <c r="G26" s="198"/>
    </row>
    <row r="27" spans="1:7" ht="15" customHeight="1" thickBot="1">
      <c r="A27" s="199"/>
      <c r="B27" s="200"/>
      <c r="C27" s="200"/>
      <c r="D27" s="200"/>
      <c r="E27" s="200"/>
      <c r="F27" s="201"/>
      <c r="G27" s="202"/>
    </row>
    <row r="28" spans="1:7" ht="15" customHeight="1">
      <c r="A28" s="178"/>
      <c r="B28" s="177"/>
      <c r="C28" s="177"/>
      <c r="D28" s="177"/>
      <c r="E28" s="177"/>
    </row>
    <row r="29" spans="1:7" ht="15" customHeight="1">
      <c r="A29" s="3"/>
      <c r="B29" s="3"/>
      <c r="C29" s="3"/>
      <c r="D29" s="3"/>
      <c r="E29" s="3"/>
    </row>
    <row r="30" spans="1:7" ht="15" customHeight="1">
      <c r="A30" s="178" t="s">
        <v>30</v>
      </c>
      <c r="B30" s="177"/>
      <c r="C30" s="177"/>
      <c r="D30" s="177"/>
      <c r="E30" s="177"/>
    </row>
    <row r="31" spans="1:7" ht="15" customHeight="1">
      <c r="A31" s="370" t="s">
        <v>111</v>
      </c>
      <c r="B31" s="370"/>
      <c r="C31" s="370"/>
      <c r="D31" s="370"/>
      <c r="E31" s="370"/>
      <c r="F31" s="370"/>
      <c r="G31" s="370"/>
    </row>
    <row r="32" spans="1:7" s="190" customFormat="1" ht="15" customHeight="1">
      <c r="A32" s="370" t="s">
        <v>121</v>
      </c>
      <c r="B32" s="370"/>
      <c r="C32" s="370"/>
      <c r="D32" s="370"/>
      <c r="E32" s="370"/>
      <c r="F32" s="370"/>
      <c r="G32" s="370"/>
    </row>
    <row r="33" spans="1:7">
      <c r="A33" s="376" t="s">
        <v>204</v>
      </c>
      <c r="B33" s="376"/>
      <c r="C33" s="376"/>
      <c r="D33" s="376"/>
      <c r="E33" s="376"/>
      <c r="F33" s="376"/>
      <c r="G33" s="376"/>
    </row>
    <row r="34" spans="1:7" s="190" customFormat="1" ht="30" customHeight="1">
      <c r="A34" s="375" t="s">
        <v>205</v>
      </c>
      <c r="B34" s="375"/>
      <c r="C34" s="375"/>
      <c r="D34" s="375"/>
      <c r="E34" s="375"/>
      <c r="F34" s="375"/>
      <c r="G34" s="375"/>
    </row>
    <row r="35" spans="1:7" ht="45" customHeight="1">
      <c r="A35" s="380" t="s">
        <v>206</v>
      </c>
      <c r="B35" s="380"/>
      <c r="C35" s="380"/>
      <c r="D35" s="380"/>
      <c r="E35" s="380"/>
      <c r="F35" s="380"/>
      <c r="G35" s="380"/>
    </row>
    <row r="36" spans="1:7" ht="15" customHeight="1">
      <c r="A36" s="370" t="s">
        <v>207</v>
      </c>
      <c r="B36" s="370"/>
      <c r="C36" s="370"/>
      <c r="D36" s="370"/>
      <c r="E36" s="370"/>
      <c r="F36" s="370"/>
      <c r="G36" s="370"/>
    </row>
    <row r="37" spans="1:7" ht="15" customHeight="1">
      <c r="A37" s="370" t="s">
        <v>208</v>
      </c>
      <c r="B37" s="370"/>
      <c r="C37" s="370"/>
      <c r="D37" s="370"/>
      <c r="E37" s="370"/>
      <c r="F37" s="370"/>
      <c r="G37" s="370"/>
    </row>
  </sheetData>
  <mergeCells count="13">
    <mergeCell ref="B4:D4"/>
    <mergeCell ref="B5:D5"/>
    <mergeCell ref="B8:D8"/>
    <mergeCell ref="A37:G37"/>
    <mergeCell ref="A32:G32"/>
    <mergeCell ref="G8:G9"/>
    <mergeCell ref="F8:F9"/>
    <mergeCell ref="A31:G31"/>
    <mergeCell ref="A34:G34"/>
    <mergeCell ref="A36:G36"/>
    <mergeCell ref="A33:G33"/>
    <mergeCell ref="A19:C19"/>
    <mergeCell ref="A35:G35"/>
  </mergeCells>
  <printOptions horizontalCentered="1"/>
  <pageMargins left="0.7" right="0.7" top="0.75" bottom="0.75" header="0.3" footer="0.3"/>
  <pageSetup scale="87" orientation="landscape" r:id="rId1"/>
  <headerFooter>
    <oddFooter>&amp;R8/13</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M41"/>
  <sheetViews>
    <sheetView workbookViewId="0"/>
  </sheetViews>
  <sheetFormatPr defaultRowHeight="15" customHeight="1"/>
  <cols>
    <col min="1" max="8" width="13.7109375" style="161" customWidth="1"/>
    <col min="9" max="16384" width="9.140625" style="161"/>
  </cols>
  <sheetData>
    <row r="1" spans="1:13" ht="15" customHeight="1">
      <c r="A1" s="173" t="s">
        <v>134</v>
      </c>
      <c r="H1" s="155" t="s">
        <v>133</v>
      </c>
    </row>
    <row r="3" spans="1:13" ht="15" customHeight="1" thickBot="1"/>
    <row r="4" spans="1:13" ht="15" customHeight="1">
      <c r="A4" s="393" t="s">
        <v>92</v>
      </c>
      <c r="B4" s="394"/>
      <c r="C4" s="394"/>
      <c r="D4" s="394"/>
      <c r="E4" s="394"/>
      <c r="F4" s="394"/>
      <c r="G4" s="394"/>
      <c r="H4" s="395"/>
    </row>
    <row r="5" spans="1:13" s="171" customFormat="1" ht="15" customHeight="1">
      <c r="A5" s="396" t="s">
        <v>8</v>
      </c>
      <c r="B5" s="397"/>
      <c r="C5" s="397"/>
      <c r="D5" s="398"/>
      <c r="E5" s="400" t="s">
        <v>14</v>
      </c>
      <c r="F5" s="400"/>
      <c r="G5" s="400"/>
      <c r="H5" s="401"/>
    </row>
    <row r="6" spans="1:13" s="171" customFormat="1" ht="15" customHeight="1">
      <c r="A6" s="391"/>
      <c r="B6" s="385" t="s">
        <v>78</v>
      </c>
      <c r="C6" s="385"/>
      <c r="D6" s="237"/>
      <c r="E6" s="387"/>
      <c r="F6" s="385" t="s">
        <v>82</v>
      </c>
      <c r="G6" s="385"/>
      <c r="H6" s="238"/>
    </row>
    <row r="7" spans="1:13" s="171" customFormat="1" ht="15" customHeight="1">
      <c r="A7" s="391"/>
      <c r="B7" s="385" t="s">
        <v>79</v>
      </c>
      <c r="C7" s="385"/>
      <c r="D7" s="237"/>
      <c r="E7" s="387"/>
      <c r="F7" s="385" t="s">
        <v>83</v>
      </c>
      <c r="G7" s="385"/>
      <c r="H7" s="238"/>
    </row>
    <row r="8" spans="1:13" ht="15" customHeight="1">
      <c r="A8" s="391"/>
      <c r="B8" s="385" t="s">
        <v>80</v>
      </c>
      <c r="C8" s="385"/>
      <c r="D8" s="237"/>
      <c r="E8" s="387"/>
      <c r="F8" s="385" t="s">
        <v>80</v>
      </c>
      <c r="G8" s="385"/>
      <c r="H8" s="238"/>
    </row>
    <row r="9" spans="1:13" s="171" customFormat="1" ht="15" customHeight="1">
      <c r="A9" s="399" t="s">
        <v>9</v>
      </c>
      <c r="B9" s="400"/>
      <c r="C9" s="400"/>
      <c r="D9" s="400"/>
      <c r="E9" s="400" t="s">
        <v>15</v>
      </c>
      <c r="F9" s="400"/>
      <c r="G9" s="400"/>
      <c r="H9" s="401"/>
    </row>
    <row r="10" spans="1:13" s="171" customFormat="1" ht="15" customHeight="1">
      <c r="A10" s="391"/>
      <c r="B10" s="385" t="s">
        <v>81</v>
      </c>
      <c r="C10" s="385"/>
      <c r="D10" s="237"/>
      <c r="E10" s="387"/>
      <c r="F10" s="385" t="s">
        <v>81</v>
      </c>
      <c r="G10" s="385"/>
      <c r="H10" s="238"/>
    </row>
    <row r="11" spans="1:13" ht="15" customHeight="1">
      <c r="A11" s="391"/>
      <c r="B11" s="385" t="s">
        <v>135</v>
      </c>
      <c r="C11" s="385"/>
      <c r="D11" s="237"/>
      <c r="E11" s="387"/>
      <c r="F11" s="385" t="s">
        <v>135</v>
      </c>
      <c r="G11" s="385"/>
      <c r="H11" s="238"/>
    </row>
    <row r="12" spans="1:13" ht="15" customHeight="1" thickBot="1">
      <c r="A12" s="392"/>
      <c r="B12" s="386" t="s">
        <v>80</v>
      </c>
      <c r="C12" s="386"/>
      <c r="D12" s="239"/>
      <c r="E12" s="390"/>
      <c r="F12" s="386" t="s">
        <v>80</v>
      </c>
      <c r="G12" s="386"/>
      <c r="H12" s="240"/>
      <c r="M12" s="169"/>
    </row>
    <row r="13" spans="1:13" ht="15" customHeight="1">
      <c r="M13" s="169"/>
    </row>
    <row r="14" spans="1:13" ht="15" customHeight="1" thickBot="1">
      <c r="M14" s="169"/>
    </row>
    <row r="15" spans="1:13" s="174" customFormat="1" ht="15" customHeight="1">
      <c r="A15" s="382" t="s">
        <v>136</v>
      </c>
      <c r="B15" s="383"/>
      <c r="C15" s="383"/>
      <c r="D15" s="383"/>
      <c r="E15" s="383"/>
      <c r="F15" s="383"/>
      <c r="G15" s="383"/>
      <c r="H15" s="384"/>
      <c r="M15" s="246"/>
    </row>
    <row r="16" spans="1:13" ht="45">
      <c r="A16" s="247" t="s">
        <v>6</v>
      </c>
      <c r="B16" s="248" t="s">
        <v>84</v>
      </c>
      <c r="C16" s="248" t="s">
        <v>86</v>
      </c>
      <c r="D16" s="248" t="s">
        <v>89</v>
      </c>
      <c r="E16" s="248" t="s">
        <v>85</v>
      </c>
      <c r="F16" s="248" t="s">
        <v>90</v>
      </c>
      <c r="G16" s="248" t="s">
        <v>87</v>
      </c>
      <c r="H16" s="249" t="s">
        <v>88</v>
      </c>
      <c r="M16" s="169"/>
    </row>
    <row r="17" spans="1:13" ht="15" customHeight="1">
      <c r="A17" s="158"/>
      <c r="B17" s="157"/>
      <c r="C17" s="157"/>
      <c r="D17" s="184" t="e">
        <f>C17/B17</f>
        <v>#DIV/0!</v>
      </c>
      <c r="E17" s="157"/>
      <c r="F17" s="184" t="e">
        <f>E17/B17</f>
        <v>#DIV/0!</v>
      </c>
      <c r="G17" s="157">
        <f>C17+E17</f>
        <v>0</v>
      </c>
      <c r="H17" s="179" t="e">
        <f>G17/B17</f>
        <v>#DIV/0!</v>
      </c>
    </row>
    <row r="18" spans="1:13" ht="15" customHeight="1">
      <c r="A18" s="158"/>
      <c r="B18" s="157"/>
      <c r="C18" s="157"/>
      <c r="D18" s="184" t="e">
        <f t="shared" ref="D18:D26" si="0">C18/B18</f>
        <v>#DIV/0!</v>
      </c>
      <c r="E18" s="157"/>
      <c r="F18" s="184" t="e">
        <f t="shared" ref="F18:F26" si="1">E18/B18</f>
        <v>#DIV/0!</v>
      </c>
      <c r="G18" s="157">
        <f t="shared" ref="G18:G26" si="2">C18+E18</f>
        <v>0</v>
      </c>
      <c r="H18" s="179" t="e">
        <f t="shared" ref="H18:H26" si="3">G18/B18</f>
        <v>#DIV/0!</v>
      </c>
      <c r="M18" s="169"/>
    </row>
    <row r="19" spans="1:13" ht="15" customHeight="1">
      <c r="A19" s="158"/>
      <c r="B19" s="157"/>
      <c r="C19" s="157"/>
      <c r="D19" s="184" t="e">
        <f t="shared" si="0"/>
        <v>#DIV/0!</v>
      </c>
      <c r="E19" s="157"/>
      <c r="F19" s="184" t="e">
        <f t="shared" si="1"/>
        <v>#DIV/0!</v>
      </c>
      <c r="G19" s="157">
        <f t="shared" si="2"/>
        <v>0</v>
      </c>
      <c r="H19" s="179" t="e">
        <f t="shared" si="3"/>
        <v>#DIV/0!</v>
      </c>
    </row>
    <row r="20" spans="1:13" ht="15" customHeight="1">
      <c r="A20" s="158"/>
      <c r="B20" s="157"/>
      <c r="C20" s="157"/>
      <c r="D20" s="184" t="e">
        <f t="shared" si="0"/>
        <v>#DIV/0!</v>
      </c>
      <c r="E20" s="157"/>
      <c r="F20" s="184" t="e">
        <f t="shared" si="1"/>
        <v>#DIV/0!</v>
      </c>
      <c r="G20" s="157">
        <f t="shared" si="2"/>
        <v>0</v>
      </c>
      <c r="H20" s="179" t="e">
        <f t="shared" si="3"/>
        <v>#DIV/0!</v>
      </c>
    </row>
    <row r="21" spans="1:13" ht="15" customHeight="1">
      <c r="A21" s="158"/>
      <c r="B21" s="157"/>
      <c r="C21" s="157"/>
      <c r="D21" s="184" t="e">
        <f t="shared" si="0"/>
        <v>#DIV/0!</v>
      </c>
      <c r="E21" s="157"/>
      <c r="F21" s="184" t="e">
        <f t="shared" si="1"/>
        <v>#DIV/0!</v>
      </c>
      <c r="G21" s="157">
        <f t="shared" si="2"/>
        <v>0</v>
      </c>
      <c r="H21" s="179" t="e">
        <f t="shared" si="3"/>
        <v>#DIV/0!</v>
      </c>
    </row>
    <row r="22" spans="1:13" ht="15" customHeight="1">
      <c r="A22" s="158"/>
      <c r="B22" s="157"/>
      <c r="C22" s="157"/>
      <c r="D22" s="184" t="e">
        <f t="shared" si="0"/>
        <v>#DIV/0!</v>
      </c>
      <c r="E22" s="157"/>
      <c r="F22" s="184" t="e">
        <f t="shared" si="1"/>
        <v>#DIV/0!</v>
      </c>
      <c r="G22" s="157">
        <f t="shared" si="2"/>
        <v>0</v>
      </c>
      <c r="H22" s="179" t="e">
        <f t="shared" si="3"/>
        <v>#DIV/0!</v>
      </c>
      <c r="K22" s="169"/>
      <c r="L22" s="169"/>
    </row>
    <row r="23" spans="1:13" ht="15" customHeight="1">
      <c r="A23" s="158"/>
      <c r="B23" s="157"/>
      <c r="C23" s="157"/>
      <c r="D23" s="184" t="e">
        <f t="shared" si="0"/>
        <v>#DIV/0!</v>
      </c>
      <c r="E23" s="157"/>
      <c r="F23" s="184" t="e">
        <f t="shared" si="1"/>
        <v>#DIV/0!</v>
      </c>
      <c r="G23" s="157">
        <f t="shared" si="2"/>
        <v>0</v>
      </c>
      <c r="H23" s="179" t="e">
        <f t="shared" si="3"/>
        <v>#DIV/0!</v>
      </c>
      <c r="K23" s="170"/>
      <c r="L23" s="169"/>
    </row>
    <row r="24" spans="1:13" ht="15" customHeight="1">
      <c r="A24" s="158"/>
      <c r="B24" s="157"/>
      <c r="C24" s="157"/>
      <c r="D24" s="184" t="e">
        <f t="shared" si="0"/>
        <v>#DIV/0!</v>
      </c>
      <c r="E24" s="157"/>
      <c r="F24" s="184" t="e">
        <f t="shared" si="1"/>
        <v>#DIV/0!</v>
      </c>
      <c r="G24" s="157">
        <f t="shared" si="2"/>
        <v>0</v>
      </c>
      <c r="H24" s="179" t="e">
        <f t="shared" si="3"/>
        <v>#DIV/0!</v>
      </c>
      <c r="K24" s="169"/>
      <c r="L24" s="169"/>
    </row>
    <row r="25" spans="1:13" ht="15" customHeight="1">
      <c r="A25" s="158"/>
      <c r="B25" s="157"/>
      <c r="C25" s="157"/>
      <c r="D25" s="184" t="e">
        <f t="shared" si="0"/>
        <v>#DIV/0!</v>
      </c>
      <c r="E25" s="157"/>
      <c r="F25" s="184" t="e">
        <f t="shared" si="1"/>
        <v>#DIV/0!</v>
      </c>
      <c r="G25" s="157">
        <f t="shared" si="2"/>
        <v>0</v>
      </c>
      <c r="H25" s="179" t="e">
        <f t="shared" si="3"/>
        <v>#DIV/0!</v>
      </c>
    </row>
    <row r="26" spans="1:13" ht="15" customHeight="1">
      <c r="A26" s="158"/>
      <c r="B26" s="157"/>
      <c r="C26" s="157"/>
      <c r="D26" s="184" t="e">
        <f t="shared" si="0"/>
        <v>#DIV/0!</v>
      </c>
      <c r="E26" s="157"/>
      <c r="F26" s="184" t="e">
        <f t="shared" si="1"/>
        <v>#DIV/0!</v>
      </c>
      <c r="G26" s="157">
        <f t="shared" si="2"/>
        <v>0</v>
      </c>
      <c r="H26" s="179" t="e">
        <f t="shared" si="3"/>
        <v>#DIV/0!</v>
      </c>
    </row>
    <row r="27" spans="1:13" ht="15" customHeight="1" thickBot="1">
      <c r="A27" s="388" t="s">
        <v>91</v>
      </c>
      <c r="B27" s="389"/>
      <c r="C27" s="389"/>
      <c r="D27" s="183" t="e">
        <f>LOGEST(D17:D26)-1</f>
        <v>#VALUE!</v>
      </c>
      <c r="E27" s="162"/>
      <c r="F27" s="182" t="e">
        <f>LOGEST(F17:F26)-1</f>
        <v>#VALUE!</v>
      </c>
      <c r="G27" s="162"/>
      <c r="H27" s="187" t="e">
        <f>LOGEST(H17:H26)-1</f>
        <v>#VALUE!</v>
      </c>
    </row>
    <row r="29" spans="1:13" ht="15" customHeight="1" thickBot="1"/>
    <row r="30" spans="1:13" ht="15" customHeight="1">
      <c r="A30" s="163" t="s">
        <v>29</v>
      </c>
      <c r="B30" s="164"/>
      <c r="C30" s="164"/>
      <c r="D30" s="164"/>
      <c r="E30" s="164"/>
      <c r="F30" s="164"/>
      <c r="G30" s="164"/>
      <c r="H30" s="165"/>
    </row>
    <row r="31" spans="1:13" ht="15" customHeight="1">
      <c r="A31" s="166"/>
      <c r="B31" s="156"/>
      <c r="C31" s="156"/>
      <c r="D31" s="156"/>
      <c r="E31" s="156"/>
      <c r="F31" s="156"/>
      <c r="G31" s="156"/>
      <c r="H31" s="167"/>
      <c r="L31" s="169"/>
    </row>
    <row r="32" spans="1:13" ht="15" customHeight="1">
      <c r="A32" s="166"/>
      <c r="B32" s="156"/>
      <c r="C32" s="156"/>
      <c r="D32" s="156"/>
      <c r="E32" s="156"/>
      <c r="F32" s="156"/>
      <c r="G32" s="156"/>
      <c r="H32" s="167"/>
      <c r="K32" s="169"/>
    </row>
    <row r="33" spans="1:11" ht="15" customHeight="1">
      <c r="A33" s="166"/>
      <c r="B33" s="156"/>
      <c r="C33" s="156"/>
      <c r="D33" s="156"/>
      <c r="E33" s="156"/>
      <c r="F33" s="156"/>
      <c r="G33" s="156"/>
      <c r="H33" s="167"/>
      <c r="K33" s="169"/>
    </row>
    <row r="34" spans="1:11" ht="15" customHeight="1">
      <c r="A34" s="166"/>
      <c r="B34" s="156"/>
      <c r="C34" s="156"/>
      <c r="D34" s="156"/>
      <c r="E34" s="156"/>
      <c r="F34" s="156"/>
      <c r="G34" s="156"/>
      <c r="H34" s="167"/>
    </row>
    <row r="35" spans="1:11" ht="15" customHeight="1" thickBot="1">
      <c r="A35" s="159"/>
      <c r="B35" s="154"/>
      <c r="C35" s="154"/>
      <c r="D35" s="154"/>
      <c r="E35" s="154"/>
      <c r="F35" s="154"/>
      <c r="G35" s="154"/>
      <c r="H35" s="168"/>
    </row>
    <row r="38" spans="1:11" ht="15" customHeight="1">
      <c r="A38" s="160" t="s">
        <v>30</v>
      </c>
    </row>
    <row r="39" spans="1:11" s="171" customFormat="1" ht="15" customHeight="1">
      <c r="A39" s="381" t="s">
        <v>120</v>
      </c>
      <c r="B39" s="381"/>
      <c r="C39" s="381"/>
      <c r="D39" s="381"/>
      <c r="E39" s="381"/>
      <c r="F39" s="381"/>
      <c r="G39" s="381"/>
      <c r="H39" s="381"/>
    </row>
    <row r="40" spans="1:11" ht="30" customHeight="1">
      <c r="A40" s="329" t="s">
        <v>171</v>
      </c>
      <c r="B40" s="329"/>
      <c r="C40" s="329"/>
      <c r="D40" s="329"/>
      <c r="E40" s="329"/>
      <c r="F40" s="329"/>
      <c r="G40" s="329"/>
      <c r="H40" s="329"/>
    </row>
    <row r="41" spans="1:11" ht="15" customHeight="1">
      <c r="A41" s="381" t="s">
        <v>164</v>
      </c>
      <c r="B41" s="381"/>
      <c r="C41" s="381"/>
      <c r="D41" s="381"/>
      <c r="E41" s="381"/>
      <c r="F41" s="381"/>
      <c r="G41" s="381"/>
      <c r="H41" s="381"/>
    </row>
  </sheetData>
  <mergeCells count="26">
    <mergeCell ref="A4:H4"/>
    <mergeCell ref="F7:G7"/>
    <mergeCell ref="F8:G8"/>
    <mergeCell ref="A5:D5"/>
    <mergeCell ref="A9:D9"/>
    <mergeCell ref="E5:H5"/>
    <mergeCell ref="A6:A8"/>
    <mergeCell ref="E9:H9"/>
    <mergeCell ref="B6:C6"/>
    <mergeCell ref="B7:C7"/>
    <mergeCell ref="B8:C8"/>
    <mergeCell ref="F10:G10"/>
    <mergeCell ref="E6:E8"/>
    <mergeCell ref="F6:G6"/>
    <mergeCell ref="A27:C27"/>
    <mergeCell ref="E10:E12"/>
    <mergeCell ref="A10:A12"/>
    <mergeCell ref="B10:C10"/>
    <mergeCell ref="A41:H41"/>
    <mergeCell ref="A40:H40"/>
    <mergeCell ref="A39:H39"/>
    <mergeCell ref="A15:H15"/>
    <mergeCell ref="F11:G11"/>
    <mergeCell ref="F12:G12"/>
    <mergeCell ref="B12:C12"/>
    <mergeCell ref="B11:C11"/>
  </mergeCells>
  <printOptions horizontalCentered="1"/>
  <pageMargins left="0.7" right="0.7" top="0.75" bottom="0.75" header="0.3" footer="0.3"/>
  <pageSetup scale="82" orientation="portrait" r:id="rId1"/>
  <headerFooter>
    <oddFooter>&amp;R8/13</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C46"/>
  <sheetViews>
    <sheetView zoomScaleNormal="100" workbookViewId="0">
      <selection activeCell="A5" sqref="A5"/>
    </sheetView>
  </sheetViews>
  <sheetFormatPr defaultRowHeight="15" customHeight="1"/>
  <cols>
    <col min="1" max="1" width="65.7109375" style="174" customWidth="1"/>
    <col min="2" max="2" width="40.7109375" style="174" customWidth="1"/>
    <col min="3" max="16384" width="9.140625" style="174"/>
  </cols>
  <sheetData>
    <row r="1" spans="1:2" ht="15" customHeight="1">
      <c r="A1" s="306" t="s">
        <v>162</v>
      </c>
      <c r="B1" s="304" t="s">
        <v>96</v>
      </c>
    </row>
    <row r="3" spans="1:2" ht="15" customHeight="1" thickBot="1">
      <c r="A3" s="302"/>
      <c r="B3" s="302"/>
    </row>
    <row r="4" spans="1:2" ht="15" customHeight="1">
      <c r="A4" s="404" t="s">
        <v>93</v>
      </c>
      <c r="B4" s="405"/>
    </row>
    <row r="5" spans="1:2" ht="15" customHeight="1">
      <c r="A5" s="317" t="s">
        <v>228</v>
      </c>
      <c r="B5" s="312"/>
    </row>
    <row r="6" spans="1:2">
      <c r="A6" s="319" t="s">
        <v>229</v>
      </c>
      <c r="B6" s="312"/>
    </row>
    <row r="7" spans="1:2">
      <c r="A7" s="319" t="s">
        <v>230</v>
      </c>
      <c r="B7" s="312"/>
    </row>
    <row r="8" spans="1:2" ht="15" customHeight="1">
      <c r="A8" s="319" t="s">
        <v>231</v>
      </c>
      <c r="B8" s="312"/>
    </row>
    <row r="9" spans="1:2" ht="45" customHeight="1">
      <c r="A9" s="320" t="s">
        <v>256</v>
      </c>
      <c r="B9" s="312"/>
    </row>
    <row r="10" spans="1:2" ht="30">
      <c r="A10" s="320" t="s">
        <v>232</v>
      </c>
      <c r="B10" s="312"/>
    </row>
    <row r="11" spans="1:2" ht="15" customHeight="1">
      <c r="A11" s="319" t="s">
        <v>252</v>
      </c>
      <c r="B11" s="312"/>
    </row>
    <row r="12" spans="1:2" ht="105">
      <c r="A12" s="320" t="s">
        <v>253</v>
      </c>
      <c r="B12" s="312"/>
    </row>
    <row r="13" spans="1:2" ht="15" customHeight="1">
      <c r="A13" s="317" t="s">
        <v>233</v>
      </c>
      <c r="B13" s="316"/>
    </row>
    <row r="14" spans="1:2" ht="75">
      <c r="A14" s="301" t="s">
        <v>251</v>
      </c>
      <c r="B14" s="316"/>
    </row>
    <row r="15" spans="1:2" ht="30">
      <c r="A15" s="321" t="s">
        <v>250</v>
      </c>
      <c r="B15" s="316"/>
    </row>
    <row r="16" spans="1:2" ht="15" customHeight="1">
      <c r="A16" s="396" t="s">
        <v>234</v>
      </c>
      <c r="B16" s="406"/>
    </row>
    <row r="17" spans="1:3" ht="15" customHeight="1">
      <c r="A17" s="317" t="s">
        <v>235</v>
      </c>
      <c r="B17" s="318"/>
    </row>
    <row r="18" spans="1:3">
      <c r="A18" s="317" t="s">
        <v>236</v>
      </c>
      <c r="B18" s="318"/>
    </row>
    <row r="19" spans="1:3" ht="15" customHeight="1">
      <c r="A19" s="315" t="s">
        <v>94</v>
      </c>
      <c r="B19" s="312"/>
    </row>
    <row r="20" spans="1:3" ht="15" customHeight="1" thickBot="1">
      <c r="A20" s="322" t="s">
        <v>95</v>
      </c>
      <c r="B20" s="313"/>
    </row>
    <row r="21" spans="1:3" ht="15" customHeight="1">
      <c r="A21" s="172"/>
      <c r="B21" s="307"/>
      <c r="C21" s="303"/>
    </row>
    <row r="22" spans="1:3" ht="15" customHeight="1" thickBot="1">
      <c r="A22" s="302"/>
      <c r="B22" s="302"/>
    </row>
    <row r="23" spans="1:3" ht="15" customHeight="1">
      <c r="A23" s="314" t="s">
        <v>29</v>
      </c>
      <c r="B23" s="308"/>
    </row>
    <row r="24" spans="1:3" ht="15" customHeight="1">
      <c r="A24" s="309"/>
      <c r="B24" s="310"/>
    </row>
    <row r="25" spans="1:3" ht="15" customHeight="1">
      <c r="A25" s="309"/>
      <c r="B25" s="310"/>
    </row>
    <row r="26" spans="1:3" ht="15" customHeight="1">
      <c r="A26" s="309"/>
      <c r="B26" s="310"/>
    </row>
    <row r="27" spans="1:3" ht="15" customHeight="1">
      <c r="A27" s="309"/>
      <c r="B27" s="310"/>
    </row>
    <row r="28" spans="1:3" ht="15" customHeight="1" thickBot="1">
      <c r="A28" s="305"/>
      <c r="B28" s="311"/>
    </row>
    <row r="29" spans="1:3" ht="15" customHeight="1">
      <c r="A29" s="173"/>
    </row>
    <row r="30" spans="1:3" ht="15" customHeight="1">
      <c r="A30" s="300"/>
      <c r="B30" s="300"/>
    </row>
    <row r="31" spans="1:3" ht="15" customHeight="1">
      <c r="A31" s="306" t="s">
        <v>30</v>
      </c>
      <c r="B31" s="302"/>
    </row>
    <row r="32" spans="1:3" ht="15" customHeight="1">
      <c r="A32" s="381" t="s">
        <v>237</v>
      </c>
      <c r="B32" s="381"/>
    </row>
    <row r="33" spans="1:2" ht="15" customHeight="1">
      <c r="A33" s="381" t="s">
        <v>238</v>
      </c>
      <c r="B33" s="381"/>
    </row>
    <row r="34" spans="1:2">
      <c r="A34" s="402" t="s">
        <v>239</v>
      </c>
      <c r="B34" s="403"/>
    </row>
    <row r="35" spans="1:2" ht="15" customHeight="1">
      <c r="A35" s="402" t="s">
        <v>254</v>
      </c>
      <c r="B35" s="403"/>
    </row>
    <row r="36" spans="1:2" ht="15" customHeight="1">
      <c r="A36" s="402" t="s">
        <v>240</v>
      </c>
      <c r="B36" s="403"/>
    </row>
    <row r="37" spans="1:2" ht="15" customHeight="1">
      <c r="A37" s="402" t="s">
        <v>241</v>
      </c>
      <c r="B37" s="403"/>
    </row>
    <row r="38" spans="1:2" ht="15" customHeight="1">
      <c r="A38" s="402" t="s">
        <v>242</v>
      </c>
      <c r="B38" s="403"/>
    </row>
    <row r="39" spans="1:2" ht="45" customHeight="1">
      <c r="A39" s="329" t="s">
        <v>255</v>
      </c>
      <c r="B39" s="407"/>
    </row>
    <row r="40" spans="1:2" ht="15" customHeight="1">
      <c r="A40" s="381" t="s">
        <v>243</v>
      </c>
      <c r="B40" s="381"/>
    </row>
    <row r="41" spans="1:2" ht="15" customHeight="1">
      <c r="A41" s="381" t="s">
        <v>244</v>
      </c>
      <c r="B41" s="381"/>
    </row>
    <row r="42" spans="1:2" ht="15" customHeight="1">
      <c r="A42" s="381" t="s">
        <v>245</v>
      </c>
      <c r="B42" s="381"/>
    </row>
    <row r="43" spans="1:2" ht="15" customHeight="1">
      <c r="A43" s="402" t="s">
        <v>246</v>
      </c>
      <c r="B43" s="403"/>
    </row>
    <row r="44" spans="1:2" ht="15" customHeight="1">
      <c r="A44" s="402" t="s">
        <v>247</v>
      </c>
      <c r="B44" s="403"/>
    </row>
    <row r="45" spans="1:2" ht="15" customHeight="1">
      <c r="A45" s="402" t="s">
        <v>248</v>
      </c>
      <c r="B45" s="403"/>
    </row>
    <row r="46" spans="1:2" ht="15" customHeight="1">
      <c r="A46" s="402" t="s">
        <v>249</v>
      </c>
      <c r="B46" s="403"/>
    </row>
  </sheetData>
  <mergeCells count="17">
    <mergeCell ref="A4:B4"/>
    <mergeCell ref="A16:B16"/>
    <mergeCell ref="A32:B32"/>
    <mergeCell ref="A43:B43"/>
    <mergeCell ref="A44:B44"/>
    <mergeCell ref="A33:B33"/>
    <mergeCell ref="A34:B34"/>
    <mergeCell ref="A35:B35"/>
    <mergeCell ref="A36:B36"/>
    <mergeCell ref="A37:B37"/>
    <mergeCell ref="A38:B38"/>
    <mergeCell ref="A39:B39"/>
    <mergeCell ref="A45:B45"/>
    <mergeCell ref="A46:B46"/>
    <mergeCell ref="A42:B42"/>
    <mergeCell ref="A40:B40"/>
    <mergeCell ref="A41:B41"/>
  </mergeCells>
  <printOptions horizontalCentered="1"/>
  <pageMargins left="0.7" right="0.7" top="0.75" bottom="0.75" header="0.3" footer="0.3"/>
  <pageSetup scale="75" orientation="portrait" r:id="rId1"/>
  <headerFooter>
    <oddFooter>&amp;R3/14</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G34"/>
  <sheetViews>
    <sheetView workbookViewId="0"/>
  </sheetViews>
  <sheetFormatPr defaultRowHeight="15" customHeight="1"/>
  <cols>
    <col min="1" max="1" width="28.7109375" style="2" customWidth="1"/>
    <col min="2" max="7" width="12.7109375" style="2" customWidth="1"/>
    <col min="8" max="16384" width="9.140625" style="2"/>
  </cols>
  <sheetData>
    <row r="1" spans="1:7" ht="15" customHeight="1">
      <c r="A1" s="21" t="s">
        <v>41</v>
      </c>
      <c r="B1" s="22"/>
      <c r="C1" s="22"/>
      <c r="D1" s="22"/>
      <c r="E1" s="22"/>
      <c r="F1" s="22"/>
      <c r="G1" s="31" t="s">
        <v>49</v>
      </c>
    </row>
    <row r="2" spans="1:7" ht="15" customHeight="1">
      <c r="A2" s="21"/>
      <c r="B2" s="22"/>
      <c r="C2" s="22"/>
      <c r="D2" s="22"/>
      <c r="E2" s="22"/>
      <c r="F2" s="22"/>
      <c r="G2" s="22"/>
    </row>
    <row r="3" spans="1:7" ht="15" customHeight="1" thickBot="1">
      <c r="A3" s="21"/>
      <c r="B3" s="22"/>
      <c r="C3" s="22"/>
      <c r="D3" s="22"/>
      <c r="E3" s="22"/>
      <c r="F3" s="22"/>
      <c r="G3" s="22"/>
    </row>
    <row r="4" spans="1:7" ht="15" customHeight="1">
      <c r="A4" s="21" t="s">
        <v>1</v>
      </c>
      <c r="B4" s="409" t="s">
        <v>2</v>
      </c>
      <c r="C4" s="410"/>
      <c r="D4" s="411"/>
      <c r="F4" s="22"/>
      <c r="G4" s="22"/>
    </row>
    <row r="5" spans="1:7" ht="15" customHeight="1" thickBot="1">
      <c r="A5" s="21" t="s">
        <v>3</v>
      </c>
      <c r="B5" s="412" t="s">
        <v>34</v>
      </c>
      <c r="C5" s="413"/>
      <c r="D5" s="414"/>
      <c r="F5" s="22"/>
      <c r="G5" s="22"/>
    </row>
    <row r="6" spans="1:7" ht="15" customHeight="1">
      <c r="A6" s="22"/>
      <c r="B6" s="22"/>
      <c r="C6" s="23"/>
      <c r="D6" s="23"/>
      <c r="E6" s="23"/>
      <c r="F6" s="22"/>
      <c r="G6" s="22"/>
    </row>
    <row r="7" spans="1:7" ht="15" customHeight="1" thickBot="1"/>
    <row r="8" spans="1:7" ht="30">
      <c r="A8" s="74" t="s">
        <v>42</v>
      </c>
      <c r="B8" s="75" t="s">
        <v>6</v>
      </c>
      <c r="C8" s="76" t="s">
        <v>43</v>
      </c>
      <c r="D8" s="75" t="s">
        <v>6</v>
      </c>
      <c r="E8" s="76" t="s">
        <v>43</v>
      </c>
      <c r="F8" s="75" t="s">
        <v>6</v>
      </c>
      <c r="G8" s="77" t="s">
        <v>43</v>
      </c>
    </row>
    <row r="9" spans="1:7" ht="15" customHeight="1">
      <c r="A9" s="78" t="s">
        <v>7</v>
      </c>
      <c r="B9" s="24"/>
      <c r="C9" s="25" t="e">
        <f>B9/$B$9</f>
        <v>#DIV/0!</v>
      </c>
      <c r="D9" s="24"/>
      <c r="E9" s="25" t="e">
        <f>D9/$D$9</f>
        <v>#DIV/0!</v>
      </c>
      <c r="F9" s="24"/>
      <c r="G9" s="79" t="e">
        <f>F9/$F$9</f>
        <v>#DIV/0!</v>
      </c>
    </row>
    <row r="10" spans="1:7" ht="15" customHeight="1">
      <c r="A10" s="80" t="s">
        <v>44</v>
      </c>
      <c r="B10" s="26"/>
      <c r="C10" s="27" t="e">
        <f>B10/$B$9</f>
        <v>#DIV/0!</v>
      </c>
      <c r="D10" s="26"/>
      <c r="E10" s="27" t="e">
        <f>D10/$D$9</f>
        <v>#DIV/0!</v>
      </c>
      <c r="F10" s="26"/>
      <c r="G10" s="81" t="e">
        <f>F10/$F$9</f>
        <v>#DIV/0!</v>
      </c>
    </row>
    <row r="11" spans="1:7" ht="15" customHeight="1">
      <c r="A11" s="80" t="s">
        <v>45</v>
      </c>
      <c r="B11" s="26"/>
      <c r="C11" s="27" t="e">
        <f>B11/$B$9</f>
        <v>#DIV/0!</v>
      </c>
      <c r="D11" s="26"/>
      <c r="E11" s="27" t="e">
        <f>D11/$D$9</f>
        <v>#DIV/0!</v>
      </c>
      <c r="F11" s="26"/>
      <c r="G11" s="81" t="e">
        <f>F11/$F$9</f>
        <v>#DIV/0!</v>
      </c>
    </row>
    <row r="12" spans="1:7" ht="15" customHeight="1">
      <c r="A12" s="80" t="s">
        <v>46</v>
      </c>
      <c r="B12" s="26"/>
      <c r="C12" s="27" t="e">
        <f>B12/$B$9</f>
        <v>#DIV/0!</v>
      </c>
      <c r="D12" s="26"/>
      <c r="E12" s="27" t="e">
        <f>D12/$D$9</f>
        <v>#DIV/0!</v>
      </c>
      <c r="F12" s="26"/>
      <c r="G12" s="81" t="e">
        <f>F12/$F$9</f>
        <v>#DIV/0!</v>
      </c>
    </row>
    <row r="13" spans="1:7" ht="15" customHeight="1" thickBot="1">
      <c r="A13" s="82" t="s">
        <v>47</v>
      </c>
      <c r="B13" s="83">
        <f>B9-B10-B11-B12</f>
        <v>0</v>
      </c>
      <c r="C13" s="84" t="e">
        <f>B13/$B$9</f>
        <v>#DIV/0!</v>
      </c>
      <c r="D13" s="83">
        <f>D9-D10-D11-D12</f>
        <v>0</v>
      </c>
      <c r="E13" s="84" t="e">
        <f>D13/$D$9</f>
        <v>#DIV/0!</v>
      </c>
      <c r="F13" s="83">
        <f>F9-F10-F11-F12</f>
        <v>0</v>
      </c>
      <c r="G13" s="85" t="e">
        <f>F13/$F$9</f>
        <v>#DIV/0!</v>
      </c>
    </row>
    <row r="14" spans="1:7" ht="15" customHeight="1">
      <c r="A14" s="21"/>
      <c r="B14" s="22"/>
      <c r="C14" s="28"/>
      <c r="D14" s="28"/>
      <c r="E14" s="29"/>
      <c r="F14" s="28"/>
      <c r="G14" s="29"/>
    </row>
    <row r="15" spans="1:7" ht="15" customHeight="1" thickBot="1"/>
    <row r="16" spans="1:7" ht="30">
      <c r="A16" s="74" t="s">
        <v>48</v>
      </c>
      <c r="B16" s="75" t="s">
        <v>6</v>
      </c>
      <c r="C16" s="76" t="s">
        <v>43</v>
      </c>
      <c r="D16" s="75" t="s">
        <v>6</v>
      </c>
      <c r="E16" s="76" t="s">
        <v>43</v>
      </c>
      <c r="F16" s="75" t="s">
        <v>6</v>
      </c>
      <c r="G16" s="77" t="s">
        <v>43</v>
      </c>
    </row>
    <row r="17" spans="1:7" ht="15" customHeight="1">
      <c r="A17" s="78" t="s">
        <v>7</v>
      </c>
      <c r="B17" s="24"/>
      <c r="C17" s="25" t="e">
        <f>B17/$B$17</f>
        <v>#DIV/0!</v>
      </c>
      <c r="D17" s="24"/>
      <c r="E17" s="25" t="e">
        <f>D17/$D$17</f>
        <v>#DIV/0!</v>
      </c>
      <c r="F17" s="24"/>
      <c r="G17" s="79" t="e">
        <f>F17/$F$17</f>
        <v>#DIV/0!</v>
      </c>
    </row>
    <row r="18" spans="1:7" ht="15" customHeight="1">
      <c r="A18" s="80" t="s">
        <v>44</v>
      </c>
      <c r="B18" s="26"/>
      <c r="C18" s="27" t="e">
        <f>B18/$B$17</f>
        <v>#DIV/0!</v>
      </c>
      <c r="D18" s="26"/>
      <c r="E18" s="27" t="e">
        <f>D18/$D$17</f>
        <v>#DIV/0!</v>
      </c>
      <c r="F18" s="26"/>
      <c r="G18" s="81" t="e">
        <f>F18/$F$17</f>
        <v>#DIV/0!</v>
      </c>
    </row>
    <row r="19" spans="1:7" ht="15" customHeight="1">
      <c r="A19" s="80" t="s">
        <v>45</v>
      </c>
      <c r="B19" s="26"/>
      <c r="C19" s="27" t="e">
        <f>B19/$B$17</f>
        <v>#DIV/0!</v>
      </c>
      <c r="D19" s="26"/>
      <c r="E19" s="27" t="e">
        <f>D19/$D$17</f>
        <v>#DIV/0!</v>
      </c>
      <c r="F19" s="26"/>
      <c r="G19" s="81" t="e">
        <f>F19/$F$17</f>
        <v>#DIV/0!</v>
      </c>
    </row>
    <row r="20" spans="1:7" ht="15" customHeight="1">
      <c r="A20" s="80" t="s">
        <v>46</v>
      </c>
      <c r="B20" s="26"/>
      <c r="C20" s="27" t="e">
        <f>B20/$B$17</f>
        <v>#DIV/0!</v>
      </c>
      <c r="D20" s="26"/>
      <c r="E20" s="27" t="e">
        <f>D20/$D$17</f>
        <v>#DIV/0!</v>
      </c>
      <c r="F20" s="26"/>
      <c r="G20" s="81" t="e">
        <f>F20/$F$17</f>
        <v>#DIV/0!</v>
      </c>
    </row>
    <row r="21" spans="1:7" ht="15" customHeight="1" thickBot="1">
      <c r="A21" s="82" t="s">
        <v>47</v>
      </c>
      <c r="B21" s="83">
        <f>B17-B18-B19-B20</f>
        <v>0</v>
      </c>
      <c r="C21" s="84" t="e">
        <f>B21/$B$17</f>
        <v>#DIV/0!</v>
      </c>
      <c r="D21" s="83">
        <f>D17-D18-D19-D20</f>
        <v>0</v>
      </c>
      <c r="E21" s="84" t="e">
        <f>D21/$D$17</f>
        <v>#DIV/0!</v>
      </c>
      <c r="F21" s="83">
        <f>F17-F18-F19-F20</f>
        <v>0</v>
      </c>
      <c r="G21" s="85" t="e">
        <f>F21/$F$17</f>
        <v>#DIV/0!</v>
      </c>
    </row>
    <row r="22" spans="1:7" ht="15" customHeight="1">
      <c r="A22" s="21"/>
      <c r="B22" s="22"/>
      <c r="C22" s="28"/>
      <c r="D22" s="28"/>
      <c r="E22" s="29"/>
      <c r="F22" s="28"/>
      <c r="G22" s="29"/>
    </row>
    <row r="23" spans="1:7" ht="15" customHeight="1" thickBot="1">
      <c r="A23" s="21"/>
      <c r="B23" s="22"/>
      <c r="C23" s="28"/>
      <c r="D23" s="28"/>
      <c r="E23" s="29"/>
      <c r="F23" s="28"/>
      <c r="G23" s="28"/>
    </row>
    <row r="24" spans="1:7" ht="15" customHeight="1">
      <c r="A24" s="86" t="s">
        <v>29</v>
      </c>
      <c r="B24" s="87"/>
      <c r="C24" s="87"/>
      <c r="D24" s="87"/>
      <c r="E24" s="87"/>
      <c r="F24" s="87"/>
      <c r="G24" s="88"/>
    </row>
    <row r="25" spans="1:7" ht="15" customHeight="1">
      <c r="A25" s="89"/>
      <c r="B25" s="30"/>
      <c r="C25" s="30"/>
      <c r="D25" s="30"/>
      <c r="E25" s="30"/>
      <c r="F25" s="30"/>
      <c r="G25" s="90"/>
    </row>
    <row r="26" spans="1:7" ht="15" customHeight="1">
      <c r="A26" s="89"/>
      <c r="B26" s="30"/>
      <c r="C26" s="30"/>
      <c r="D26" s="30"/>
      <c r="E26" s="30"/>
      <c r="F26" s="30"/>
      <c r="G26" s="90"/>
    </row>
    <row r="27" spans="1:7" ht="15" customHeight="1">
      <c r="A27" s="89"/>
      <c r="B27" s="30"/>
      <c r="C27" s="30"/>
      <c r="D27" s="30"/>
      <c r="E27" s="30"/>
      <c r="F27" s="30"/>
      <c r="G27" s="90"/>
    </row>
    <row r="28" spans="1:7" ht="15" customHeight="1">
      <c r="A28" s="89"/>
      <c r="B28" s="30"/>
      <c r="C28" s="30"/>
      <c r="D28" s="30"/>
      <c r="E28" s="30"/>
      <c r="F28" s="30"/>
      <c r="G28" s="90"/>
    </row>
    <row r="29" spans="1:7" ht="15" customHeight="1" thickBot="1">
      <c r="A29" s="91"/>
      <c r="B29" s="92"/>
      <c r="C29" s="92"/>
      <c r="D29" s="92"/>
      <c r="E29" s="92"/>
      <c r="F29" s="92"/>
      <c r="G29" s="93"/>
    </row>
    <row r="32" spans="1:7" ht="15" customHeight="1">
      <c r="A32" s="21" t="s">
        <v>30</v>
      </c>
      <c r="B32" s="22"/>
      <c r="C32" s="22"/>
      <c r="D32" s="22"/>
      <c r="E32" s="22"/>
      <c r="F32" s="22"/>
      <c r="G32" s="22"/>
    </row>
    <row r="33" spans="1:7" ht="15" customHeight="1">
      <c r="A33" s="408" t="s">
        <v>167</v>
      </c>
      <c r="B33" s="408"/>
      <c r="C33" s="408"/>
      <c r="D33" s="408"/>
      <c r="E33" s="408"/>
      <c r="F33" s="408"/>
      <c r="G33" s="408"/>
    </row>
    <row r="34" spans="1:7" ht="15" customHeight="1">
      <c r="A34" s="408" t="s">
        <v>195</v>
      </c>
      <c r="B34" s="408"/>
      <c r="C34" s="408"/>
      <c r="D34" s="408"/>
      <c r="E34" s="408"/>
      <c r="F34" s="408"/>
      <c r="G34" s="408"/>
    </row>
  </sheetData>
  <mergeCells count="4">
    <mergeCell ref="A33:G33"/>
    <mergeCell ref="A34:G34"/>
    <mergeCell ref="B4:D4"/>
    <mergeCell ref="B5:D5"/>
  </mergeCells>
  <printOptions horizontalCentered="1"/>
  <pageMargins left="0.7" right="0.7" top="0.75" bottom="0.75" header="0.3" footer="0.3"/>
  <pageSetup scale="86" orientation="portrait" r:id="rId1"/>
  <headerFooter>
    <oddFooter>&amp;R8/13</oddFooter>
  </headerFooter>
  <ignoredErrors>
    <ignoredError sqref="C21 E21 E13 C13" formula="1"/>
  </ignoredErrors>
</worksheet>
</file>

<file path=xl/worksheets/sheet8.xml><?xml version="1.0" encoding="utf-8"?>
<worksheet xmlns="http://schemas.openxmlformats.org/spreadsheetml/2006/main" xmlns:r="http://schemas.openxmlformats.org/officeDocument/2006/relationships">
  <sheetPr>
    <pageSetUpPr fitToPage="1"/>
  </sheetPr>
  <dimension ref="A1:H37"/>
  <sheetViews>
    <sheetView workbookViewId="0"/>
  </sheetViews>
  <sheetFormatPr defaultRowHeight="15" customHeight="1"/>
  <cols>
    <col min="1" max="7" width="12.7109375" customWidth="1"/>
    <col min="8" max="8" width="12.7109375" style="32" customWidth="1"/>
  </cols>
  <sheetData>
    <row r="1" spans="1:8" ht="15" customHeight="1">
      <c r="A1" s="33" t="s">
        <v>50</v>
      </c>
      <c r="B1" s="34"/>
      <c r="C1" s="34"/>
      <c r="D1" s="34"/>
      <c r="E1" s="34"/>
      <c r="F1" s="34"/>
      <c r="G1" s="34"/>
      <c r="H1" s="41" t="s">
        <v>55</v>
      </c>
    </row>
    <row r="2" spans="1:8" ht="15" customHeight="1">
      <c r="A2" s="2"/>
      <c r="B2" s="2"/>
      <c r="C2" s="2"/>
      <c r="D2" s="2"/>
      <c r="E2" s="2"/>
      <c r="F2" s="2"/>
      <c r="G2" s="2"/>
      <c r="H2" s="2"/>
    </row>
    <row r="3" spans="1:8" ht="15" customHeight="1" thickBot="1">
      <c r="A3" s="2"/>
      <c r="B3" s="2"/>
      <c r="C3" s="2"/>
      <c r="D3" s="2"/>
      <c r="E3" s="2"/>
      <c r="F3" s="2"/>
      <c r="G3" s="2"/>
      <c r="H3" s="2"/>
    </row>
    <row r="4" spans="1:8" ht="15" customHeight="1">
      <c r="A4" s="33" t="s">
        <v>1</v>
      </c>
      <c r="B4" s="34"/>
      <c r="C4" s="423" t="s">
        <v>2</v>
      </c>
      <c r="D4" s="424"/>
      <c r="E4" s="425"/>
      <c r="F4" s="35"/>
      <c r="G4" s="35"/>
      <c r="H4" s="35"/>
    </row>
    <row r="5" spans="1:8" ht="15" customHeight="1" thickBot="1">
      <c r="A5" s="33" t="s">
        <v>3</v>
      </c>
      <c r="B5" s="34"/>
      <c r="C5" s="434" t="s">
        <v>34</v>
      </c>
      <c r="D5" s="435"/>
      <c r="E5" s="436"/>
      <c r="F5" s="35"/>
      <c r="G5" s="35"/>
      <c r="H5" s="35"/>
    </row>
    <row r="6" spans="1:8" ht="15" customHeight="1">
      <c r="A6" s="2"/>
      <c r="B6" s="2"/>
      <c r="C6" s="2"/>
      <c r="D6" s="2"/>
      <c r="E6" s="2"/>
      <c r="F6" s="2"/>
      <c r="G6" s="2"/>
      <c r="H6" s="2"/>
    </row>
    <row r="7" spans="1:8" ht="15" customHeight="1" thickBot="1">
      <c r="A7" s="2"/>
      <c r="B7" s="2"/>
      <c r="C7" s="2"/>
      <c r="D7" s="2"/>
      <c r="E7" s="2"/>
      <c r="F7" s="2"/>
      <c r="G7" s="2"/>
      <c r="H7" s="2"/>
    </row>
    <row r="8" spans="1:8" ht="15" customHeight="1">
      <c r="A8" s="426" t="s">
        <v>56</v>
      </c>
      <c r="B8" s="427"/>
      <c r="C8" s="427"/>
      <c r="D8" s="428" t="s">
        <v>4</v>
      </c>
      <c r="E8" s="429"/>
      <c r="F8" s="429"/>
      <c r="G8" s="429"/>
      <c r="H8" s="430"/>
    </row>
    <row r="9" spans="1:8" ht="15" customHeight="1">
      <c r="A9" s="437" t="s">
        <v>57</v>
      </c>
      <c r="B9" s="438"/>
      <c r="C9" s="438"/>
      <c r="D9" s="36" t="s">
        <v>146</v>
      </c>
      <c r="E9" s="36" t="s">
        <v>145</v>
      </c>
      <c r="F9" s="36" t="s">
        <v>147</v>
      </c>
      <c r="G9" s="36" t="s">
        <v>51</v>
      </c>
      <c r="H9" s="59" t="s">
        <v>19</v>
      </c>
    </row>
    <row r="10" spans="1:8" ht="15" customHeight="1">
      <c r="A10" s="431" t="s">
        <v>141</v>
      </c>
      <c r="B10" s="432"/>
      <c r="C10" s="433"/>
      <c r="D10" s="94"/>
      <c r="E10" s="94"/>
      <c r="F10" s="94"/>
      <c r="G10" s="94"/>
      <c r="H10" s="95"/>
    </row>
    <row r="11" spans="1:8" ht="15" customHeight="1">
      <c r="A11" s="419" t="s">
        <v>142</v>
      </c>
      <c r="B11" s="420"/>
      <c r="C11" s="421"/>
      <c r="D11" s="37"/>
      <c r="E11" s="37"/>
      <c r="F11" s="37"/>
      <c r="G11" s="37"/>
      <c r="H11" s="60"/>
    </row>
    <row r="12" spans="1:8" ht="15" customHeight="1">
      <c r="A12" s="419" t="s">
        <v>143</v>
      </c>
      <c r="B12" s="420"/>
      <c r="C12" s="421"/>
      <c r="D12" s="37"/>
      <c r="E12" s="37"/>
      <c r="F12" s="37"/>
      <c r="G12" s="37"/>
      <c r="H12" s="60"/>
    </row>
    <row r="13" spans="1:8" ht="15" customHeight="1">
      <c r="A13" s="419" t="s">
        <v>144</v>
      </c>
      <c r="B13" s="420"/>
      <c r="C13" s="421"/>
      <c r="D13" s="37"/>
      <c r="E13" s="37"/>
      <c r="F13" s="37"/>
      <c r="G13" s="37"/>
      <c r="H13" s="60"/>
    </row>
    <row r="14" spans="1:8" ht="15" customHeight="1">
      <c r="A14" s="419" t="s">
        <v>137</v>
      </c>
      <c r="B14" s="420"/>
      <c r="C14" s="421"/>
      <c r="D14" s="37"/>
      <c r="E14" s="37"/>
      <c r="F14" s="37"/>
      <c r="G14" s="37"/>
      <c r="H14" s="60"/>
    </row>
    <row r="15" spans="1:8" ht="15" customHeight="1">
      <c r="A15" s="419" t="s">
        <v>139</v>
      </c>
      <c r="B15" s="420"/>
      <c r="C15" s="421"/>
      <c r="D15" s="37"/>
      <c r="E15" s="37"/>
      <c r="F15" s="37"/>
      <c r="G15" s="37"/>
      <c r="H15" s="60"/>
    </row>
    <row r="16" spans="1:8" ht="15" customHeight="1">
      <c r="A16" s="419" t="s">
        <v>138</v>
      </c>
      <c r="B16" s="420"/>
      <c r="C16" s="421"/>
      <c r="D16" s="37"/>
      <c r="E16" s="37"/>
      <c r="F16" s="37"/>
      <c r="G16" s="37"/>
      <c r="H16" s="60"/>
    </row>
    <row r="17" spans="1:8" ht="15" customHeight="1">
      <c r="A17" s="419" t="s">
        <v>140</v>
      </c>
      <c r="B17" s="420"/>
      <c r="C17" s="421"/>
      <c r="D17" s="37"/>
      <c r="E17" s="37"/>
      <c r="F17" s="37"/>
      <c r="G17" s="37"/>
      <c r="H17" s="60"/>
    </row>
    <row r="18" spans="1:8" ht="15" customHeight="1">
      <c r="A18" s="419" t="s">
        <v>51</v>
      </c>
      <c r="B18" s="420"/>
      <c r="C18" s="421"/>
      <c r="D18" s="37"/>
      <c r="E18" s="37"/>
      <c r="F18" s="37"/>
      <c r="G18" s="37"/>
      <c r="H18" s="60"/>
    </row>
    <row r="19" spans="1:8" ht="15" customHeight="1">
      <c r="A19" s="416" t="s">
        <v>59</v>
      </c>
      <c r="B19" s="417"/>
      <c r="C19" s="418"/>
      <c r="D19" s="38"/>
      <c r="E19" s="38"/>
      <c r="F19" s="38"/>
      <c r="G19" s="38"/>
      <c r="H19" s="61"/>
    </row>
    <row r="20" spans="1:8" ht="15" customHeight="1">
      <c r="A20" s="416" t="s">
        <v>52</v>
      </c>
      <c r="B20" s="417"/>
      <c r="C20" s="418"/>
      <c r="D20" s="20"/>
      <c r="E20" s="20"/>
      <c r="F20" s="20"/>
      <c r="G20" s="20"/>
      <c r="H20" s="96"/>
    </row>
    <row r="21" spans="1:8" ht="15" customHeight="1">
      <c r="A21" s="416" t="s">
        <v>53</v>
      </c>
      <c r="B21" s="417"/>
      <c r="C21" s="418"/>
      <c r="D21" s="39"/>
      <c r="E21" s="39"/>
      <c r="F21" s="39"/>
      <c r="G21" s="39"/>
      <c r="H21" s="97"/>
    </row>
    <row r="22" spans="1:8" ht="15" customHeight="1" thickBot="1">
      <c r="A22" s="62" t="s">
        <v>39</v>
      </c>
      <c r="B22" s="63"/>
      <c r="C22" s="63"/>
      <c r="D22" s="64"/>
      <c r="E22" s="64"/>
      <c r="F22" s="64"/>
      <c r="G22" s="64"/>
      <c r="H22" s="65"/>
    </row>
    <row r="23" spans="1:8" ht="15" customHeight="1">
      <c r="A23" s="2"/>
      <c r="B23" s="2"/>
      <c r="C23" s="2"/>
      <c r="D23" s="2"/>
      <c r="E23" s="2"/>
      <c r="F23" s="2"/>
      <c r="G23" s="2"/>
      <c r="H23" s="2"/>
    </row>
    <row r="24" spans="1:8" ht="15" customHeight="1" thickBot="1">
      <c r="A24" s="2"/>
      <c r="B24" s="2"/>
      <c r="C24" s="2"/>
      <c r="D24" s="2"/>
      <c r="E24" s="2"/>
      <c r="F24" s="2"/>
      <c r="G24" s="2"/>
      <c r="H24" s="2"/>
    </row>
    <row r="25" spans="1:8" ht="15" customHeight="1">
      <c r="A25" s="66" t="s">
        <v>29</v>
      </c>
      <c r="B25" s="67"/>
      <c r="C25" s="67"/>
      <c r="D25" s="67"/>
      <c r="E25" s="67"/>
      <c r="F25" s="67"/>
      <c r="G25" s="67"/>
      <c r="H25" s="68"/>
    </row>
    <row r="26" spans="1:8" ht="15" customHeight="1">
      <c r="A26" s="69"/>
      <c r="B26" s="40"/>
      <c r="C26" s="40"/>
      <c r="D26" s="40"/>
      <c r="E26" s="40"/>
      <c r="F26" s="40"/>
      <c r="G26" s="40"/>
      <c r="H26" s="70"/>
    </row>
    <row r="27" spans="1:8" ht="15" customHeight="1">
      <c r="A27" s="69"/>
      <c r="B27" s="40"/>
      <c r="C27" s="40"/>
      <c r="D27" s="40"/>
      <c r="E27" s="40"/>
      <c r="F27" s="40"/>
      <c r="G27" s="40"/>
      <c r="H27" s="70"/>
    </row>
    <row r="28" spans="1:8" ht="15" customHeight="1">
      <c r="A28" s="69"/>
      <c r="B28" s="40"/>
      <c r="C28" s="40"/>
      <c r="D28" s="40"/>
      <c r="E28" s="40"/>
      <c r="F28" s="40"/>
      <c r="G28" s="40"/>
      <c r="H28" s="70"/>
    </row>
    <row r="29" spans="1:8" ht="15" customHeight="1">
      <c r="A29" s="69"/>
      <c r="B29" s="40"/>
      <c r="C29" s="40"/>
      <c r="D29" s="40"/>
      <c r="E29" s="40"/>
      <c r="F29" s="40"/>
      <c r="G29" s="40"/>
      <c r="H29" s="70"/>
    </row>
    <row r="30" spans="1:8" ht="15" customHeight="1" thickBot="1">
      <c r="A30" s="71"/>
      <c r="B30" s="72"/>
      <c r="C30" s="72"/>
      <c r="D30" s="72"/>
      <c r="E30" s="72"/>
      <c r="F30" s="72"/>
      <c r="G30" s="72"/>
      <c r="H30" s="73"/>
    </row>
    <row r="31" spans="1:8" ht="15" customHeight="1">
      <c r="A31" s="2"/>
      <c r="B31" s="2"/>
      <c r="C31" s="2"/>
      <c r="D31" s="2"/>
      <c r="E31" s="2"/>
      <c r="F31" s="2"/>
      <c r="G31" s="2"/>
      <c r="H31" s="2"/>
    </row>
    <row r="32" spans="1:8" ht="15" customHeight="1">
      <c r="A32" s="2"/>
      <c r="B32" s="2"/>
      <c r="C32" s="2"/>
      <c r="D32" s="2"/>
      <c r="E32" s="2"/>
      <c r="F32" s="2"/>
      <c r="G32" s="2"/>
      <c r="H32" s="2"/>
    </row>
    <row r="33" spans="1:8" ht="15" customHeight="1">
      <c r="A33" s="33" t="s">
        <v>30</v>
      </c>
      <c r="B33" s="34"/>
      <c r="C33" s="34"/>
      <c r="D33" s="34"/>
      <c r="E33" s="34"/>
      <c r="F33" s="34"/>
      <c r="G33" s="34"/>
      <c r="H33" s="34"/>
    </row>
    <row r="34" spans="1:8" ht="15" customHeight="1">
      <c r="A34" s="415" t="s">
        <v>54</v>
      </c>
      <c r="B34" s="415"/>
      <c r="C34" s="415"/>
      <c r="D34" s="415"/>
      <c r="E34" s="415"/>
      <c r="F34" s="415"/>
      <c r="G34" s="415"/>
      <c r="H34" s="415"/>
    </row>
    <row r="35" spans="1:8" ht="15" customHeight="1">
      <c r="A35" s="422" t="s">
        <v>166</v>
      </c>
      <c r="B35" s="422"/>
      <c r="C35" s="422"/>
      <c r="D35" s="422"/>
      <c r="E35" s="422"/>
      <c r="F35" s="422"/>
      <c r="G35" s="422"/>
      <c r="H35" s="422"/>
    </row>
    <row r="36" spans="1:8" ht="15" customHeight="1">
      <c r="A36" s="422" t="s">
        <v>170</v>
      </c>
      <c r="B36" s="422"/>
      <c r="C36" s="422"/>
      <c r="D36" s="422"/>
      <c r="E36" s="422"/>
      <c r="F36" s="422"/>
      <c r="G36" s="422"/>
      <c r="H36" s="422"/>
    </row>
    <row r="37" spans="1:8" ht="15" customHeight="1">
      <c r="A37" s="415" t="s">
        <v>58</v>
      </c>
      <c r="B37" s="415"/>
      <c r="C37" s="415"/>
      <c r="D37" s="415"/>
      <c r="E37" s="415"/>
      <c r="F37" s="415"/>
      <c r="G37" s="415"/>
      <c r="H37" s="415"/>
    </row>
  </sheetData>
  <mergeCells count="21">
    <mergeCell ref="C4:E4"/>
    <mergeCell ref="A8:C8"/>
    <mergeCell ref="D8:H8"/>
    <mergeCell ref="A10:C10"/>
    <mergeCell ref="C5:E5"/>
    <mergeCell ref="A9:C9"/>
    <mergeCell ref="A37:H37"/>
    <mergeCell ref="A21:C21"/>
    <mergeCell ref="A11:C11"/>
    <mergeCell ref="A12:C12"/>
    <mergeCell ref="A34:H34"/>
    <mergeCell ref="A35:H35"/>
    <mergeCell ref="A36:H36"/>
    <mergeCell ref="A18:C18"/>
    <mergeCell ref="A20:C20"/>
    <mergeCell ref="A19:C19"/>
    <mergeCell ref="A17:C17"/>
    <mergeCell ref="A13:C13"/>
    <mergeCell ref="A14:C14"/>
    <mergeCell ref="A15:C15"/>
    <mergeCell ref="A16:C16"/>
  </mergeCells>
  <printOptions horizontalCentered="1"/>
  <pageMargins left="0.7" right="0.7" top="0.75" bottom="0.75" header="0.3" footer="0.3"/>
  <pageSetup scale="88" orientation="portrait" r:id="rId1"/>
  <headerFooter>
    <oddFooter>&amp;R8/13</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F47"/>
  <sheetViews>
    <sheetView workbookViewId="0"/>
  </sheetViews>
  <sheetFormatPr defaultRowHeight="15" customHeight="1"/>
  <cols>
    <col min="1" max="1" width="36.7109375" customWidth="1"/>
    <col min="2" max="2" width="19.7109375" customWidth="1"/>
    <col min="3" max="3" width="25.7109375" customWidth="1"/>
    <col min="4" max="6" width="14.7109375" customWidth="1"/>
  </cols>
  <sheetData>
    <row r="1" spans="1:6" ht="15" customHeight="1">
      <c r="A1" s="125" t="s">
        <v>60</v>
      </c>
      <c r="B1" s="126"/>
      <c r="C1" s="126"/>
      <c r="D1" s="126"/>
      <c r="E1" s="126"/>
      <c r="F1" s="134" t="s">
        <v>77</v>
      </c>
    </row>
    <row r="2" spans="1:6" ht="15" customHeight="1">
      <c r="A2" s="125"/>
      <c r="B2" s="126"/>
      <c r="C2" s="126"/>
      <c r="D2" s="126"/>
      <c r="E2" s="126"/>
      <c r="F2" s="126"/>
    </row>
    <row r="3" spans="1:6" ht="15" customHeight="1" thickBot="1">
      <c r="A3" s="2"/>
      <c r="B3" s="2"/>
      <c r="C3" s="2"/>
      <c r="D3" s="2"/>
      <c r="E3" s="2"/>
      <c r="F3" s="2"/>
    </row>
    <row r="4" spans="1:6" ht="15" customHeight="1">
      <c r="A4" s="125" t="s">
        <v>1</v>
      </c>
      <c r="B4" s="451" t="s">
        <v>2</v>
      </c>
      <c r="C4" s="452"/>
      <c r="E4" s="126"/>
      <c r="F4" s="126"/>
    </row>
    <row r="5" spans="1:6" ht="15" customHeight="1">
      <c r="A5" s="125" t="s">
        <v>61</v>
      </c>
      <c r="B5" s="453" t="s">
        <v>62</v>
      </c>
      <c r="C5" s="454"/>
      <c r="E5" s="126"/>
      <c r="F5" s="126"/>
    </row>
    <row r="6" spans="1:6" ht="15" customHeight="1" thickBot="1">
      <c r="A6" s="125" t="s">
        <v>3</v>
      </c>
      <c r="B6" s="434" t="s">
        <v>34</v>
      </c>
      <c r="C6" s="436"/>
      <c r="E6" s="126"/>
      <c r="F6" s="126"/>
    </row>
    <row r="7" spans="1:6" ht="15" customHeight="1">
      <c r="A7" s="125"/>
      <c r="B7" s="126"/>
      <c r="C7" s="126"/>
      <c r="E7" s="126"/>
      <c r="F7" s="126"/>
    </row>
    <row r="8" spans="1:6" ht="15" customHeight="1" thickBot="1">
      <c r="A8" s="125"/>
      <c r="B8" s="126"/>
      <c r="C8" s="126"/>
      <c r="E8" s="126"/>
      <c r="F8" s="126"/>
    </row>
    <row r="9" spans="1:6" ht="15" customHeight="1" thickBot="1">
      <c r="A9" s="125" t="s">
        <v>63</v>
      </c>
      <c r="B9" s="455" t="s">
        <v>64</v>
      </c>
      <c r="C9" s="456"/>
      <c r="E9" s="127"/>
      <c r="F9" s="127"/>
    </row>
    <row r="10" spans="1:6" ht="15" customHeight="1">
      <c r="A10" s="126"/>
      <c r="B10" s="126"/>
      <c r="C10" s="128"/>
      <c r="D10" s="129"/>
      <c r="E10" s="129"/>
      <c r="F10" s="129"/>
    </row>
    <row r="11" spans="1:6" ht="15" customHeight="1" thickBot="1">
      <c r="A11" s="126"/>
      <c r="B11" s="126"/>
      <c r="C11" s="129"/>
      <c r="D11" s="129"/>
      <c r="E11" s="129"/>
      <c r="F11" s="129"/>
    </row>
    <row r="12" spans="1:6" ht="15" customHeight="1">
      <c r="A12" s="143" t="s">
        <v>65</v>
      </c>
      <c r="B12" s="447" t="s">
        <v>36</v>
      </c>
      <c r="C12" s="144" t="s">
        <v>66</v>
      </c>
      <c r="D12" s="447" t="s">
        <v>67</v>
      </c>
      <c r="E12" s="447" t="s">
        <v>68</v>
      </c>
      <c r="F12" s="449" t="s">
        <v>69</v>
      </c>
    </row>
    <row r="13" spans="1:6" ht="15" customHeight="1">
      <c r="A13" s="145" t="s">
        <v>38</v>
      </c>
      <c r="B13" s="448"/>
      <c r="C13" s="130" t="s">
        <v>70</v>
      </c>
      <c r="D13" s="448"/>
      <c r="E13" s="448"/>
      <c r="F13" s="450"/>
    </row>
    <row r="14" spans="1:6" ht="15" customHeight="1">
      <c r="A14" s="153" t="s">
        <v>148</v>
      </c>
      <c r="B14" s="131"/>
      <c r="C14" s="132"/>
      <c r="D14" s="132"/>
      <c r="E14" s="132"/>
      <c r="F14" s="146"/>
    </row>
    <row r="15" spans="1:6" ht="15" customHeight="1">
      <c r="A15" s="153" t="s">
        <v>149</v>
      </c>
      <c r="B15" s="131"/>
      <c r="C15" s="132"/>
      <c r="D15" s="132"/>
      <c r="E15" s="132"/>
      <c r="F15" s="146"/>
    </row>
    <row r="16" spans="1:6" ht="15" customHeight="1">
      <c r="A16" s="153" t="s">
        <v>150</v>
      </c>
      <c r="B16" s="131"/>
      <c r="C16" s="132"/>
      <c r="D16" s="132"/>
      <c r="E16" s="132"/>
      <c r="F16" s="146"/>
    </row>
    <row r="17" spans="1:6" ht="15" customHeight="1">
      <c r="A17" s="153" t="s">
        <v>151</v>
      </c>
      <c r="B17" s="131"/>
      <c r="C17" s="132"/>
      <c r="D17" s="132"/>
      <c r="E17" s="132"/>
      <c r="F17" s="146"/>
    </row>
    <row r="18" spans="1:6" ht="15" customHeight="1">
      <c r="A18" s="153" t="s">
        <v>152</v>
      </c>
      <c r="B18" s="131"/>
      <c r="C18" s="132"/>
      <c r="D18" s="132"/>
      <c r="E18" s="132"/>
      <c r="F18" s="146"/>
    </row>
    <row r="19" spans="1:6" ht="15" customHeight="1">
      <c r="A19" s="153" t="s">
        <v>153</v>
      </c>
      <c r="B19" s="131"/>
      <c r="C19" s="132"/>
      <c r="D19" s="132"/>
      <c r="E19" s="132"/>
      <c r="F19" s="146"/>
    </row>
    <row r="20" spans="1:6" ht="15" customHeight="1">
      <c r="A20" s="153" t="s">
        <v>154</v>
      </c>
      <c r="B20" s="131"/>
      <c r="C20" s="132"/>
      <c r="D20" s="132"/>
      <c r="E20" s="132"/>
      <c r="F20" s="146"/>
    </row>
    <row r="21" spans="1:6" ht="15" customHeight="1">
      <c r="A21" s="153" t="s">
        <v>155</v>
      </c>
      <c r="B21" s="131"/>
      <c r="C21" s="132"/>
      <c r="D21" s="132"/>
      <c r="E21" s="132"/>
      <c r="F21" s="146"/>
    </row>
    <row r="22" spans="1:6" ht="15" customHeight="1">
      <c r="A22" s="153" t="s">
        <v>51</v>
      </c>
      <c r="B22" s="131"/>
      <c r="C22" s="132"/>
      <c r="D22" s="132"/>
      <c r="E22" s="132"/>
      <c r="F22" s="147"/>
    </row>
    <row r="23" spans="1:6" ht="15" customHeight="1" thickBot="1">
      <c r="A23" s="148" t="s">
        <v>19</v>
      </c>
      <c r="B23" s="149"/>
      <c r="C23" s="150"/>
      <c r="D23" s="150"/>
      <c r="E23" s="151"/>
      <c r="F23" s="152"/>
    </row>
    <row r="24" spans="1:6" ht="15" customHeight="1">
      <c r="A24" s="2"/>
      <c r="B24" s="2"/>
      <c r="C24" s="2"/>
      <c r="D24" s="2"/>
      <c r="E24" s="2"/>
      <c r="F24" s="2"/>
    </row>
    <row r="25" spans="1:6" ht="15" customHeight="1" thickBot="1">
      <c r="A25" s="2"/>
      <c r="B25" s="2"/>
      <c r="C25" s="2"/>
      <c r="D25" s="2"/>
      <c r="E25" s="2"/>
      <c r="F25" s="2"/>
    </row>
    <row r="26" spans="1:6" ht="15" customHeight="1">
      <c r="A26" s="135" t="s">
        <v>29</v>
      </c>
      <c r="B26" s="136"/>
      <c r="C26" s="136"/>
      <c r="D26" s="136"/>
      <c r="E26" s="136"/>
      <c r="F26" s="137"/>
    </row>
    <row r="27" spans="1:6" ht="15" customHeight="1">
      <c r="A27" s="138"/>
      <c r="B27" s="133"/>
      <c r="C27" s="133"/>
      <c r="D27" s="133"/>
      <c r="E27" s="133"/>
      <c r="F27" s="139"/>
    </row>
    <row r="28" spans="1:6" ht="15" customHeight="1">
      <c r="A28" s="138"/>
      <c r="B28" s="133"/>
      <c r="C28" s="133"/>
      <c r="D28" s="133"/>
      <c r="E28" s="133"/>
      <c r="F28" s="139"/>
    </row>
    <row r="29" spans="1:6" ht="15" customHeight="1">
      <c r="A29" s="138"/>
      <c r="B29" s="133"/>
      <c r="C29" s="133"/>
      <c r="D29" s="133"/>
      <c r="E29" s="133"/>
      <c r="F29" s="139"/>
    </row>
    <row r="30" spans="1:6" ht="15" customHeight="1">
      <c r="A30" s="138"/>
      <c r="B30" s="133"/>
      <c r="C30" s="133"/>
      <c r="D30" s="133"/>
      <c r="E30" s="133"/>
      <c r="F30" s="139"/>
    </row>
    <row r="31" spans="1:6" ht="15" customHeight="1" thickBot="1">
      <c r="A31" s="140"/>
      <c r="B31" s="141"/>
      <c r="C31" s="141"/>
      <c r="D31" s="141"/>
      <c r="E31" s="141"/>
      <c r="F31" s="142"/>
    </row>
    <row r="32" spans="1:6" ht="15" customHeight="1">
      <c r="A32" s="2"/>
      <c r="B32" s="2"/>
      <c r="C32" s="2"/>
      <c r="D32" s="2"/>
      <c r="E32" s="2"/>
      <c r="F32" s="2"/>
    </row>
    <row r="33" spans="1:6" ht="15" customHeight="1">
      <c r="A33" s="2"/>
      <c r="B33" s="2"/>
      <c r="C33" s="2"/>
      <c r="D33" s="2"/>
      <c r="E33" s="2"/>
      <c r="F33" s="2"/>
    </row>
    <row r="34" spans="1:6" ht="15" customHeight="1">
      <c r="A34" s="125" t="s">
        <v>30</v>
      </c>
      <c r="B34" s="126"/>
      <c r="C34" s="126"/>
      <c r="D34" s="126"/>
      <c r="E34" s="126"/>
      <c r="F34" s="126"/>
    </row>
    <row r="35" spans="1:6" ht="15" customHeight="1">
      <c r="A35" s="439" t="s">
        <v>71</v>
      </c>
      <c r="B35" s="439"/>
      <c r="C35" s="439"/>
      <c r="D35" s="439"/>
      <c r="E35" s="439"/>
      <c r="F35" s="439"/>
    </row>
    <row r="36" spans="1:6" ht="15" customHeight="1">
      <c r="A36" s="439" t="s">
        <v>72</v>
      </c>
      <c r="B36" s="439"/>
      <c r="C36" s="439"/>
      <c r="D36" s="439"/>
      <c r="E36" s="439"/>
      <c r="F36" s="439"/>
    </row>
    <row r="37" spans="1:6" ht="15" customHeight="1">
      <c r="A37" s="440" t="s">
        <v>73</v>
      </c>
      <c r="B37" s="440"/>
      <c r="C37" s="440"/>
      <c r="D37" s="440"/>
      <c r="E37" s="440"/>
      <c r="F37" s="440"/>
    </row>
    <row r="38" spans="1:6" ht="15" customHeight="1">
      <c r="A38" s="439" t="s">
        <v>74</v>
      </c>
      <c r="B38" s="439"/>
      <c r="C38" s="439"/>
      <c r="D38" s="439"/>
      <c r="E38" s="439"/>
      <c r="F38" s="439"/>
    </row>
    <row r="39" spans="1:6" ht="15" customHeight="1">
      <c r="A39" s="441" t="s">
        <v>119</v>
      </c>
      <c r="B39" s="441"/>
      <c r="C39" s="441"/>
      <c r="D39" s="441"/>
      <c r="E39" s="441"/>
      <c r="F39" s="441"/>
    </row>
    <row r="40" spans="1:6" ht="30" customHeight="1">
      <c r="A40" s="445" t="s">
        <v>75</v>
      </c>
      <c r="B40" s="445"/>
      <c r="C40" s="445"/>
      <c r="D40" s="445"/>
      <c r="E40" s="445"/>
      <c r="F40" s="445"/>
    </row>
    <row r="41" spans="1:6" s="246" customFormat="1" ht="45" customHeight="1">
      <c r="A41" s="445" t="s">
        <v>210</v>
      </c>
      <c r="B41" s="445"/>
      <c r="C41" s="445"/>
      <c r="D41" s="445"/>
      <c r="E41" s="445"/>
      <c r="F41" s="445"/>
    </row>
    <row r="42" spans="1:6" s="246" customFormat="1" ht="45" customHeight="1">
      <c r="A42" s="443" t="s">
        <v>211</v>
      </c>
      <c r="B42" s="443"/>
      <c r="C42" s="443"/>
      <c r="D42" s="443"/>
      <c r="E42" s="443"/>
      <c r="F42" s="443"/>
    </row>
    <row r="43" spans="1:6" s="246" customFormat="1" ht="15" customHeight="1">
      <c r="A43" s="442" t="s">
        <v>172</v>
      </c>
      <c r="B43" s="442"/>
      <c r="C43" s="442"/>
      <c r="D43" s="442"/>
      <c r="E43" s="442"/>
      <c r="F43" s="442"/>
    </row>
    <row r="44" spans="1:6" s="245" customFormat="1" ht="45" customHeight="1">
      <c r="A44" s="442" t="s">
        <v>173</v>
      </c>
      <c r="B44" s="442"/>
      <c r="C44" s="442"/>
      <c r="D44" s="442"/>
      <c r="E44" s="442"/>
      <c r="F44" s="442"/>
    </row>
    <row r="45" spans="1:6" s="246" customFormat="1">
      <c r="A45" s="444" t="s">
        <v>174</v>
      </c>
      <c r="B45" s="444"/>
      <c r="C45" s="444"/>
      <c r="D45" s="444"/>
      <c r="E45" s="444"/>
      <c r="F45" s="444"/>
    </row>
    <row r="46" spans="1:6" s="246" customFormat="1" ht="45" customHeight="1">
      <c r="A46" s="446" t="s">
        <v>212</v>
      </c>
      <c r="B46" s="446"/>
      <c r="C46" s="446"/>
      <c r="D46" s="446"/>
      <c r="E46" s="446"/>
      <c r="F46" s="446"/>
    </row>
    <row r="47" spans="1:6" ht="15" customHeight="1">
      <c r="A47" s="415" t="s">
        <v>157</v>
      </c>
      <c r="B47" s="415"/>
      <c r="C47" s="415"/>
      <c r="D47" s="415"/>
      <c r="E47" s="415"/>
      <c r="F47" s="415"/>
    </row>
  </sheetData>
  <mergeCells count="21">
    <mergeCell ref="D12:D13"/>
    <mergeCell ref="E12:E13"/>
    <mergeCell ref="F12:F13"/>
    <mergeCell ref="A40:F40"/>
    <mergeCell ref="B4:C4"/>
    <mergeCell ref="B5:C5"/>
    <mergeCell ref="B6:C6"/>
    <mergeCell ref="B9:C9"/>
    <mergeCell ref="B12:B13"/>
    <mergeCell ref="A47:F47"/>
    <mergeCell ref="A35:F35"/>
    <mergeCell ref="A36:F36"/>
    <mergeCell ref="A37:F37"/>
    <mergeCell ref="A38:F38"/>
    <mergeCell ref="A39:F39"/>
    <mergeCell ref="A43:F43"/>
    <mergeCell ref="A44:F44"/>
    <mergeCell ref="A42:F42"/>
    <mergeCell ref="A45:F45"/>
    <mergeCell ref="A41:F41"/>
    <mergeCell ref="A46:F46"/>
  </mergeCells>
  <printOptions horizontalCentered="1"/>
  <pageMargins left="0.7" right="0.7" top="0.75" bottom="0.75" header="0.3" footer="0.3"/>
  <pageSetup scale="72" orientation="portrait" r:id="rId1"/>
  <headerFooter>
    <oddFooter>&amp;R8/13</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M47"/>
  <sheetViews>
    <sheetView workbookViewId="0"/>
  </sheetViews>
  <sheetFormatPr defaultRowHeight="15" customHeight="1"/>
  <cols>
    <col min="1" max="9" width="12.28515625" customWidth="1"/>
  </cols>
  <sheetData>
    <row r="1" spans="1:12" ht="15" customHeight="1">
      <c r="A1" s="212" t="s">
        <v>160</v>
      </c>
      <c r="B1" s="213"/>
      <c r="C1" s="213"/>
      <c r="D1" s="213"/>
      <c r="E1" s="213"/>
      <c r="F1" s="213"/>
      <c r="G1" s="213"/>
      <c r="H1" s="213"/>
      <c r="I1" s="218" t="s">
        <v>127</v>
      </c>
      <c r="J1" s="213"/>
      <c r="K1" s="213"/>
      <c r="L1" s="213"/>
    </row>
    <row r="2" spans="1:12" ht="15" customHeight="1" thickBot="1">
      <c r="A2" s="213"/>
      <c r="B2" s="213"/>
      <c r="C2" s="213"/>
      <c r="D2" s="213"/>
      <c r="E2" s="213"/>
      <c r="F2" s="213"/>
      <c r="G2" s="213"/>
      <c r="H2" s="213"/>
      <c r="I2" s="213"/>
      <c r="J2" s="213"/>
      <c r="K2" s="213"/>
      <c r="L2" s="213"/>
    </row>
    <row r="3" spans="1:12" ht="15" customHeight="1">
      <c r="A3" s="212" t="s">
        <v>1</v>
      </c>
      <c r="B3" s="213"/>
      <c r="C3" s="470" t="s">
        <v>2</v>
      </c>
      <c r="D3" s="471"/>
      <c r="E3" s="472"/>
      <c r="G3" s="213"/>
      <c r="H3" s="213"/>
      <c r="I3" s="213"/>
      <c r="J3" s="213"/>
      <c r="K3" s="213"/>
      <c r="L3" s="213"/>
    </row>
    <row r="4" spans="1:12" ht="15" customHeight="1">
      <c r="A4" s="212" t="s">
        <v>61</v>
      </c>
      <c r="B4" s="213"/>
      <c r="C4" s="473" t="s">
        <v>62</v>
      </c>
      <c r="D4" s="474"/>
      <c r="E4" s="475"/>
      <c r="G4" s="213"/>
      <c r="H4" s="213"/>
      <c r="I4" s="213"/>
      <c r="J4" s="213"/>
      <c r="K4" s="213"/>
      <c r="L4" s="213"/>
    </row>
    <row r="5" spans="1:12" ht="15" customHeight="1" thickBot="1">
      <c r="A5" s="212" t="s">
        <v>3</v>
      </c>
      <c r="B5" s="213"/>
      <c r="C5" s="476" t="s">
        <v>34</v>
      </c>
      <c r="D5" s="477"/>
      <c r="E5" s="478"/>
      <c r="G5" s="213"/>
      <c r="H5" s="213"/>
      <c r="I5" s="213"/>
      <c r="J5" s="213"/>
      <c r="K5" s="213"/>
      <c r="L5" s="213"/>
    </row>
    <row r="6" spans="1:12" ht="15" customHeight="1">
      <c r="A6" s="213"/>
      <c r="B6" s="213"/>
      <c r="C6" s="213"/>
      <c r="D6" s="213"/>
      <c r="E6" s="213"/>
      <c r="F6" s="213"/>
      <c r="G6" s="213"/>
      <c r="H6" s="213"/>
      <c r="I6" s="213"/>
      <c r="J6" s="213"/>
      <c r="K6" s="213"/>
      <c r="L6" s="213"/>
    </row>
    <row r="7" spans="1:12" ht="15" customHeight="1" thickBot="1">
      <c r="A7" s="213"/>
      <c r="B7" s="213"/>
      <c r="C7" s="213"/>
      <c r="D7" s="213"/>
      <c r="E7" s="213"/>
      <c r="F7" s="213"/>
      <c r="G7" s="213"/>
      <c r="H7" s="213"/>
      <c r="I7" s="213"/>
      <c r="J7" s="213"/>
      <c r="K7" s="213"/>
      <c r="L7" s="213"/>
    </row>
    <row r="8" spans="1:12" ht="15" customHeight="1">
      <c r="A8" s="460" t="s">
        <v>122</v>
      </c>
      <c r="B8" s="461"/>
      <c r="C8" s="229" t="s">
        <v>123</v>
      </c>
      <c r="D8" s="230" t="s">
        <v>124</v>
      </c>
      <c r="E8" s="236"/>
      <c r="F8" s="460" t="s">
        <v>122</v>
      </c>
      <c r="G8" s="461"/>
      <c r="H8" s="229" t="s">
        <v>123</v>
      </c>
      <c r="I8" s="230" t="s">
        <v>124</v>
      </c>
      <c r="J8" s="213"/>
      <c r="K8" s="213"/>
      <c r="L8" s="213"/>
    </row>
    <row r="9" spans="1:12" ht="15" customHeight="1">
      <c r="A9" s="253">
        <v>0.20100000000000001</v>
      </c>
      <c r="B9" s="254">
        <v>0.25</v>
      </c>
      <c r="C9" s="219"/>
      <c r="D9" s="207" t="e">
        <f t="shared" ref="D9:D20" si="0">C9/$C$21</f>
        <v>#DIV/0!</v>
      </c>
      <c r="E9" s="217"/>
      <c r="F9" s="241">
        <v>400.01</v>
      </c>
      <c r="G9" s="242" t="s">
        <v>129</v>
      </c>
      <c r="H9" s="214"/>
      <c r="I9" s="207" t="e">
        <f>H9/$H$21</f>
        <v>#DIV/0!</v>
      </c>
      <c r="J9" s="213"/>
      <c r="K9" s="213"/>
      <c r="L9" s="213"/>
    </row>
    <row r="10" spans="1:12" ht="15" customHeight="1">
      <c r="A10" s="253">
        <v>0.151</v>
      </c>
      <c r="B10" s="254">
        <v>0.2</v>
      </c>
      <c r="C10" s="219"/>
      <c r="D10" s="207" t="e">
        <f t="shared" si="0"/>
        <v>#DIV/0!</v>
      </c>
      <c r="E10" s="217"/>
      <c r="F10" s="241">
        <v>200.01</v>
      </c>
      <c r="G10" s="243">
        <v>400</v>
      </c>
      <c r="H10" s="214"/>
      <c r="I10" s="207" t="e">
        <f t="shared" ref="I10:I21" si="1">H10/$H$21</f>
        <v>#DIV/0!</v>
      </c>
      <c r="J10" s="213"/>
      <c r="K10" s="213"/>
      <c r="L10" s="213"/>
    </row>
    <row r="11" spans="1:12" ht="15" customHeight="1">
      <c r="A11" s="253">
        <v>0.10100000000000001</v>
      </c>
      <c r="B11" s="254">
        <v>0.15</v>
      </c>
      <c r="C11" s="219"/>
      <c r="D11" s="207" t="e">
        <f t="shared" si="0"/>
        <v>#DIV/0!</v>
      </c>
      <c r="E11" s="217"/>
      <c r="F11" s="241">
        <v>100.01</v>
      </c>
      <c r="G11" s="243">
        <v>200</v>
      </c>
      <c r="H11" s="214"/>
      <c r="I11" s="207" t="e">
        <f t="shared" si="1"/>
        <v>#DIV/0!</v>
      </c>
      <c r="J11" s="213"/>
      <c r="K11" s="213"/>
      <c r="L11" s="213"/>
    </row>
    <row r="12" spans="1:12" ht="15" customHeight="1">
      <c r="A12" s="253">
        <v>5.0999999999999997E-2</v>
      </c>
      <c r="B12" s="254">
        <v>0.1</v>
      </c>
      <c r="C12" s="219"/>
      <c r="D12" s="207" t="e">
        <f t="shared" si="0"/>
        <v>#DIV/0!</v>
      </c>
      <c r="E12" s="217"/>
      <c r="F12" s="241">
        <v>50.01</v>
      </c>
      <c r="G12" s="243">
        <v>100</v>
      </c>
      <c r="H12" s="214"/>
      <c r="I12" s="207" t="e">
        <f t="shared" si="1"/>
        <v>#DIV/0!</v>
      </c>
      <c r="J12" s="213"/>
      <c r="K12" s="213"/>
      <c r="L12" s="213"/>
    </row>
    <row r="13" spans="1:12" ht="15" customHeight="1">
      <c r="A13" s="253">
        <v>1E-3</v>
      </c>
      <c r="B13" s="254">
        <v>0.05</v>
      </c>
      <c r="C13" s="219"/>
      <c r="D13" s="207" t="e">
        <f t="shared" si="0"/>
        <v>#DIV/0!</v>
      </c>
      <c r="E13" s="217"/>
      <c r="F13" s="241">
        <v>0.01</v>
      </c>
      <c r="G13" s="243">
        <v>50</v>
      </c>
      <c r="H13" s="214"/>
      <c r="I13" s="207" t="e">
        <f t="shared" si="1"/>
        <v>#DIV/0!</v>
      </c>
      <c r="J13" s="213"/>
      <c r="K13" s="213"/>
      <c r="L13" s="213"/>
    </row>
    <row r="14" spans="1:12" ht="15" customHeight="1">
      <c r="A14" s="462" t="s">
        <v>125</v>
      </c>
      <c r="B14" s="463"/>
      <c r="C14" s="219"/>
      <c r="D14" s="207" t="e">
        <f t="shared" si="0"/>
        <v>#DIV/0!</v>
      </c>
      <c r="E14" s="217"/>
      <c r="F14" s="458" t="s">
        <v>125</v>
      </c>
      <c r="G14" s="459"/>
      <c r="H14" s="214"/>
      <c r="I14" s="207" t="e">
        <f t="shared" si="1"/>
        <v>#DIV/0!</v>
      </c>
      <c r="J14" s="213"/>
      <c r="K14" s="213"/>
      <c r="L14" s="213"/>
    </row>
    <row r="15" spans="1:12" ht="15" customHeight="1">
      <c r="A15" s="253">
        <v>-1E-3</v>
      </c>
      <c r="B15" s="254">
        <v>-0.05</v>
      </c>
      <c r="C15" s="219"/>
      <c r="D15" s="207" t="e">
        <f t="shared" si="0"/>
        <v>#DIV/0!</v>
      </c>
      <c r="E15" s="217"/>
      <c r="F15" s="241">
        <v>-0.01</v>
      </c>
      <c r="G15" s="243">
        <v>-50</v>
      </c>
      <c r="H15" s="214"/>
      <c r="I15" s="207" t="e">
        <f t="shared" si="1"/>
        <v>#DIV/0!</v>
      </c>
      <c r="J15" s="213"/>
      <c r="K15" s="213"/>
      <c r="L15" s="213"/>
    </row>
    <row r="16" spans="1:12" ht="15" customHeight="1">
      <c r="A16" s="253">
        <v>-5.0999999999999997E-2</v>
      </c>
      <c r="B16" s="254">
        <v>-0.1</v>
      </c>
      <c r="C16" s="219"/>
      <c r="D16" s="207" t="e">
        <f t="shared" si="0"/>
        <v>#DIV/0!</v>
      </c>
      <c r="E16" s="217"/>
      <c r="F16" s="241">
        <v>-50.01</v>
      </c>
      <c r="G16" s="243">
        <v>-100</v>
      </c>
      <c r="H16" s="214"/>
      <c r="I16" s="207" t="e">
        <f t="shared" si="1"/>
        <v>#DIV/0!</v>
      </c>
      <c r="J16" s="213"/>
      <c r="K16" s="213"/>
      <c r="L16" s="213"/>
    </row>
    <row r="17" spans="1:12" ht="15" customHeight="1">
      <c r="A17" s="253">
        <v>-0.10100000000000001</v>
      </c>
      <c r="B17" s="254">
        <v>-0.15</v>
      </c>
      <c r="C17" s="219"/>
      <c r="D17" s="207" t="e">
        <f t="shared" si="0"/>
        <v>#DIV/0!</v>
      </c>
      <c r="E17" s="217"/>
      <c r="F17" s="241">
        <v>-100.01</v>
      </c>
      <c r="G17" s="243">
        <v>-200</v>
      </c>
      <c r="H17" s="214"/>
      <c r="I17" s="207" t="e">
        <f t="shared" si="1"/>
        <v>#DIV/0!</v>
      </c>
      <c r="J17" s="213"/>
      <c r="K17" s="213"/>
      <c r="L17" s="213"/>
    </row>
    <row r="18" spans="1:12" ht="15" customHeight="1">
      <c r="A18" s="253">
        <v>-0.151</v>
      </c>
      <c r="B18" s="254">
        <v>-0.2</v>
      </c>
      <c r="C18" s="219"/>
      <c r="D18" s="207" t="e">
        <f t="shared" si="0"/>
        <v>#DIV/0!</v>
      </c>
      <c r="E18" s="217"/>
      <c r="F18" s="241">
        <v>-200.01</v>
      </c>
      <c r="G18" s="243">
        <v>-300</v>
      </c>
      <c r="H18" s="214"/>
      <c r="I18" s="207" t="e">
        <f t="shared" si="1"/>
        <v>#DIV/0!</v>
      </c>
      <c r="J18" s="213"/>
      <c r="K18" s="213"/>
      <c r="L18" s="213"/>
    </row>
    <row r="19" spans="1:12" ht="15" customHeight="1">
      <c r="A19" s="253">
        <v>-0.20100000000000001</v>
      </c>
      <c r="B19" s="254">
        <v>-0.25</v>
      </c>
      <c r="C19" s="219"/>
      <c r="D19" s="207" t="e">
        <f t="shared" si="0"/>
        <v>#DIV/0!</v>
      </c>
      <c r="E19" s="217"/>
      <c r="F19" s="241">
        <v>-300.01</v>
      </c>
      <c r="G19" s="243">
        <v>-400</v>
      </c>
      <c r="H19" s="214"/>
      <c r="I19" s="207" t="e">
        <f t="shared" si="1"/>
        <v>#DIV/0!</v>
      </c>
      <c r="J19" s="213"/>
      <c r="K19" s="213"/>
      <c r="L19" s="213"/>
    </row>
    <row r="20" spans="1:12" ht="15" customHeight="1">
      <c r="A20" s="253">
        <v>-0.251</v>
      </c>
      <c r="B20" s="244" t="s">
        <v>130</v>
      </c>
      <c r="C20" s="219"/>
      <c r="D20" s="207" t="e">
        <f t="shared" si="0"/>
        <v>#DIV/0!</v>
      </c>
      <c r="E20" s="217"/>
      <c r="F20" s="241">
        <v>-400.01</v>
      </c>
      <c r="G20" s="242" t="s">
        <v>128</v>
      </c>
      <c r="H20" s="279"/>
      <c r="I20" s="207" t="e">
        <f t="shared" si="1"/>
        <v>#DIV/0!</v>
      </c>
      <c r="J20" s="213"/>
      <c r="K20" s="213"/>
      <c r="L20" s="213"/>
    </row>
    <row r="21" spans="1:12" ht="15" customHeight="1" thickBot="1">
      <c r="A21" s="231"/>
      <c r="B21" s="232" t="s">
        <v>126</v>
      </c>
      <c r="C21" s="233">
        <f>SUM(C9:C20)</f>
        <v>0</v>
      </c>
      <c r="D21" s="235" t="e">
        <f>SUM(D9:D20)</f>
        <v>#DIV/0!</v>
      </c>
      <c r="E21" s="217"/>
      <c r="F21" s="231"/>
      <c r="G21" s="232" t="s">
        <v>126</v>
      </c>
      <c r="H21" s="234">
        <f>SUM(H9:H20)</f>
        <v>0</v>
      </c>
      <c r="I21" s="235" t="e">
        <f t="shared" si="1"/>
        <v>#DIV/0!</v>
      </c>
      <c r="J21" s="213"/>
      <c r="K21" s="213"/>
      <c r="L21" s="213"/>
    </row>
    <row r="22" spans="1:12" ht="15" customHeight="1">
      <c r="A22" s="213"/>
      <c r="B22" s="213"/>
      <c r="C22" s="213"/>
      <c r="D22" s="213"/>
      <c r="E22" s="213"/>
      <c r="F22" s="213"/>
      <c r="G22" s="213"/>
      <c r="H22" s="213"/>
      <c r="I22" s="213"/>
      <c r="J22" s="213"/>
      <c r="K22" s="213"/>
      <c r="L22" s="213"/>
    </row>
    <row r="23" spans="1:12" ht="15" customHeight="1" thickBot="1">
      <c r="A23" s="215"/>
      <c r="B23" s="216"/>
      <c r="C23" s="213"/>
      <c r="D23" s="213"/>
      <c r="E23" s="213"/>
      <c r="F23" s="213"/>
      <c r="G23" s="213"/>
      <c r="H23" s="213"/>
      <c r="I23" s="213"/>
      <c r="J23" s="213"/>
      <c r="K23" s="213"/>
      <c r="L23" s="213"/>
    </row>
    <row r="24" spans="1:12" s="246" customFormat="1" ht="15" customHeight="1" thickBot="1">
      <c r="A24" s="281"/>
      <c r="B24" s="466" t="s">
        <v>224</v>
      </c>
      <c r="C24" s="467"/>
      <c r="D24" s="467"/>
      <c r="E24" s="468"/>
      <c r="F24" s="469" t="s">
        <v>225</v>
      </c>
      <c r="G24" s="467"/>
      <c r="H24" s="467"/>
      <c r="I24" s="468"/>
      <c r="J24" s="251"/>
      <c r="K24" s="251"/>
      <c r="L24" s="251"/>
    </row>
    <row r="25" spans="1:12" s="246" customFormat="1" ht="15" customHeight="1">
      <c r="A25" s="285" t="s">
        <v>220</v>
      </c>
      <c r="B25" s="282" t="s">
        <v>222</v>
      </c>
      <c r="C25" s="283" t="s">
        <v>223</v>
      </c>
      <c r="D25" s="283" t="s">
        <v>213</v>
      </c>
      <c r="E25" s="284" t="s">
        <v>214</v>
      </c>
      <c r="F25" s="282" t="s">
        <v>222</v>
      </c>
      <c r="G25" s="283" t="s">
        <v>223</v>
      </c>
      <c r="H25" s="283" t="s">
        <v>213</v>
      </c>
      <c r="I25" s="284" t="s">
        <v>214</v>
      </c>
      <c r="J25" s="251"/>
      <c r="K25" s="251"/>
      <c r="L25" s="251"/>
    </row>
    <row r="26" spans="1:12" s="246" customFormat="1" ht="15" customHeight="1">
      <c r="A26" s="286" t="s">
        <v>215</v>
      </c>
      <c r="B26" s="289"/>
      <c r="C26" s="290"/>
      <c r="D26" s="290"/>
      <c r="E26" s="291"/>
      <c r="F26" s="292"/>
      <c r="G26" s="290"/>
      <c r="H26" s="290"/>
      <c r="I26" s="291"/>
      <c r="J26" s="251"/>
      <c r="K26" s="251"/>
      <c r="L26" s="251"/>
    </row>
    <row r="27" spans="1:12" s="246" customFormat="1" ht="15" customHeight="1">
      <c r="A27" s="287" t="s">
        <v>216</v>
      </c>
      <c r="B27" s="289"/>
      <c r="C27" s="293"/>
      <c r="D27" s="293"/>
      <c r="E27" s="294"/>
      <c r="F27" s="295"/>
      <c r="G27" s="293"/>
      <c r="H27" s="293"/>
      <c r="I27" s="294"/>
      <c r="J27" s="251"/>
      <c r="K27" s="251"/>
      <c r="L27" s="251"/>
    </row>
    <row r="28" spans="1:12" s="246" customFormat="1" ht="15" customHeight="1">
      <c r="A28" s="287" t="s">
        <v>217</v>
      </c>
      <c r="B28" s="289"/>
      <c r="C28" s="293"/>
      <c r="D28" s="293"/>
      <c r="E28" s="294"/>
      <c r="F28" s="295"/>
      <c r="G28" s="293"/>
      <c r="H28" s="293"/>
      <c r="I28" s="294"/>
      <c r="J28" s="251"/>
      <c r="K28" s="251"/>
      <c r="L28" s="251"/>
    </row>
    <row r="29" spans="1:12" s="246" customFormat="1" ht="15" customHeight="1">
      <c r="A29" s="287" t="s">
        <v>218</v>
      </c>
      <c r="B29" s="289"/>
      <c r="C29" s="293"/>
      <c r="D29" s="293"/>
      <c r="E29" s="294"/>
      <c r="F29" s="295"/>
      <c r="G29" s="293"/>
      <c r="H29" s="293"/>
      <c r="I29" s="294"/>
      <c r="J29" s="251"/>
      <c r="K29" s="251"/>
      <c r="L29" s="251"/>
    </row>
    <row r="30" spans="1:12" s="246" customFormat="1" ht="15" customHeight="1" thickBot="1">
      <c r="A30" s="288" t="s">
        <v>219</v>
      </c>
      <c r="B30" s="296"/>
      <c r="C30" s="297"/>
      <c r="D30" s="297"/>
      <c r="E30" s="298"/>
      <c r="F30" s="299"/>
      <c r="G30" s="297"/>
      <c r="H30" s="297"/>
      <c r="I30" s="298"/>
      <c r="J30" s="251"/>
      <c r="K30" s="251"/>
      <c r="L30" s="251"/>
    </row>
    <row r="31" spans="1:12" s="246" customFormat="1" ht="15" customHeight="1">
      <c r="A31" s="215"/>
      <c r="B31" s="216"/>
      <c r="C31" s="251"/>
      <c r="D31" s="251"/>
      <c r="E31" s="251"/>
      <c r="F31" s="251"/>
      <c r="G31" s="251"/>
      <c r="H31" s="251"/>
      <c r="I31" s="251"/>
      <c r="J31" s="251"/>
      <c r="K31" s="251"/>
      <c r="L31" s="251"/>
    </row>
    <row r="32" spans="1:12" s="280" customFormat="1" ht="15" customHeight="1" thickBot="1">
      <c r="A32" s="215"/>
      <c r="B32" s="216"/>
      <c r="C32" s="251"/>
      <c r="D32" s="251"/>
      <c r="E32" s="251"/>
      <c r="F32" s="251"/>
      <c r="G32" s="251"/>
      <c r="H32" s="251"/>
      <c r="I32" s="251"/>
      <c r="J32" s="251"/>
      <c r="K32" s="251"/>
      <c r="L32" s="251"/>
    </row>
    <row r="33" spans="1:13" ht="15" customHeight="1">
      <c r="A33" s="220" t="s">
        <v>29</v>
      </c>
      <c r="B33" s="221"/>
      <c r="C33" s="221"/>
      <c r="D33" s="221"/>
      <c r="E33" s="221"/>
      <c r="F33" s="221"/>
      <c r="G33" s="221"/>
      <c r="H33" s="221"/>
      <c r="I33" s="222"/>
      <c r="J33" s="213"/>
      <c r="K33" s="213"/>
      <c r="L33" s="213"/>
    </row>
    <row r="34" spans="1:13" ht="15" customHeight="1">
      <c r="A34" s="223"/>
      <c r="B34" s="217"/>
      <c r="C34" s="217"/>
      <c r="D34" s="217"/>
      <c r="E34" s="217"/>
      <c r="F34" s="217"/>
      <c r="G34" s="217"/>
      <c r="H34" s="217"/>
      <c r="I34" s="224"/>
      <c r="J34" s="213"/>
      <c r="K34" s="213"/>
      <c r="L34" s="213"/>
    </row>
    <row r="35" spans="1:13" ht="15" customHeight="1">
      <c r="A35" s="223"/>
      <c r="B35" s="217"/>
      <c r="C35" s="217"/>
      <c r="D35" s="217"/>
      <c r="E35" s="217"/>
      <c r="F35" s="217"/>
      <c r="G35" s="217"/>
      <c r="H35" s="217"/>
      <c r="I35" s="224"/>
      <c r="J35" s="213"/>
      <c r="K35" s="213"/>
      <c r="L35" s="213"/>
    </row>
    <row r="36" spans="1:13" ht="15" customHeight="1">
      <c r="A36" s="225"/>
      <c r="B36" s="217"/>
      <c r="C36" s="217"/>
      <c r="D36" s="217"/>
      <c r="E36" s="217"/>
      <c r="F36" s="217"/>
      <c r="G36" s="217"/>
      <c r="H36" s="217"/>
      <c r="I36" s="224"/>
      <c r="J36" s="213"/>
      <c r="K36" s="213"/>
      <c r="L36" s="213"/>
    </row>
    <row r="37" spans="1:13" ht="15" customHeight="1">
      <c r="A37" s="223"/>
      <c r="B37" s="217"/>
      <c r="C37" s="217"/>
      <c r="D37" s="217"/>
      <c r="E37" s="217"/>
      <c r="F37" s="217"/>
      <c r="G37" s="217"/>
      <c r="H37" s="217"/>
      <c r="I37" s="224"/>
      <c r="J37" s="213"/>
      <c r="K37" s="213"/>
      <c r="L37" s="213"/>
    </row>
    <row r="38" spans="1:13" ht="15" customHeight="1" thickBot="1">
      <c r="A38" s="226"/>
      <c r="B38" s="227"/>
      <c r="C38" s="227"/>
      <c r="D38" s="227"/>
      <c r="E38" s="227"/>
      <c r="F38" s="227"/>
      <c r="G38" s="227"/>
      <c r="H38" s="227"/>
      <c r="I38" s="228"/>
      <c r="J38" s="213"/>
      <c r="K38" s="213"/>
      <c r="L38" s="213"/>
    </row>
    <row r="39" spans="1:13" ht="15" customHeight="1">
      <c r="A39" s="213"/>
      <c r="B39" s="213"/>
      <c r="C39" s="213"/>
      <c r="D39" s="213"/>
      <c r="E39" s="213"/>
      <c r="F39" s="213"/>
      <c r="G39" s="213"/>
      <c r="H39" s="213"/>
      <c r="I39" s="213"/>
      <c r="J39" s="213"/>
      <c r="K39" s="213"/>
      <c r="L39" s="213"/>
    </row>
    <row r="40" spans="1:13" ht="15" customHeight="1">
      <c r="A40" s="213"/>
      <c r="B40" s="213"/>
      <c r="C40" s="213"/>
      <c r="D40" s="213"/>
      <c r="E40" s="213"/>
      <c r="F40" s="213"/>
      <c r="G40" s="213"/>
      <c r="H40" s="213"/>
      <c r="I40" s="213"/>
      <c r="J40" s="213"/>
      <c r="K40" s="213"/>
      <c r="L40" s="213"/>
    </row>
    <row r="41" spans="1:13" ht="15" customHeight="1">
      <c r="A41" s="212" t="s">
        <v>30</v>
      </c>
      <c r="B41" s="213"/>
      <c r="C41" s="213"/>
      <c r="D41" s="213"/>
      <c r="E41" s="213"/>
      <c r="F41" s="213"/>
      <c r="G41" s="213"/>
      <c r="H41" s="213"/>
      <c r="I41" s="213"/>
      <c r="J41" s="213"/>
      <c r="K41" s="213"/>
      <c r="L41" s="213"/>
    </row>
    <row r="42" spans="1:13" ht="15" customHeight="1">
      <c r="A42" s="457" t="s">
        <v>196</v>
      </c>
      <c r="B42" s="457"/>
      <c r="C42" s="457"/>
      <c r="D42" s="457"/>
      <c r="E42" s="457"/>
      <c r="F42" s="457"/>
      <c r="G42" s="457"/>
      <c r="H42" s="457"/>
      <c r="I42" s="457"/>
      <c r="J42" s="213"/>
      <c r="K42" s="213"/>
      <c r="L42" s="213"/>
    </row>
    <row r="43" spans="1:13" ht="15" customHeight="1">
      <c r="A43" s="457" t="s">
        <v>197</v>
      </c>
      <c r="B43" s="457"/>
      <c r="C43" s="457"/>
      <c r="D43" s="457"/>
      <c r="E43" s="457"/>
      <c r="F43" s="457"/>
      <c r="G43" s="457"/>
      <c r="H43" s="457"/>
      <c r="I43" s="457"/>
      <c r="J43" s="213"/>
      <c r="K43" s="213"/>
      <c r="L43" s="213"/>
    </row>
    <row r="44" spans="1:13" ht="45" customHeight="1">
      <c r="A44" s="464" t="s">
        <v>227</v>
      </c>
      <c r="B44" s="464"/>
      <c r="C44" s="464"/>
      <c r="D44" s="464"/>
      <c r="E44" s="464"/>
      <c r="F44" s="464"/>
      <c r="G44" s="464"/>
      <c r="H44" s="464"/>
      <c r="I44" s="464"/>
      <c r="J44" s="251"/>
      <c r="K44" s="251"/>
      <c r="L44" s="251"/>
      <c r="M44" s="252"/>
    </row>
    <row r="45" spans="1:13" s="246" customFormat="1" ht="45" customHeight="1">
      <c r="A45" s="465" t="s">
        <v>221</v>
      </c>
      <c r="B45" s="465"/>
      <c r="C45" s="465"/>
      <c r="D45" s="465"/>
      <c r="E45" s="465"/>
      <c r="F45" s="465"/>
      <c r="G45" s="465"/>
      <c r="H45" s="465"/>
      <c r="I45" s="465"/>
      <c r="J45" s="251"/>
      <c r="K45" s="251"/>
      <c r="L45" s="251"/>
      <c r="M45" s="252"/>
    </row>
    <row r="46" spans="1:13" s="246" customFormat="1" ht="15" customHeight="1">
      <c r="A46" s="457" t="s">
        <v>185</v>
      </c>
      <c r="B46" s="457"/>
      <c r="C46" s="457"/>
      <c r="D46" s="457"/>
      <c r="E46" s="457"/>
      <c r="F46" s="457"/>
      <c r="G46" s="457"/>
      <c r="H46" s="457"/>
      <c r="I46" s="457"/>
      <c r="J46" s="213"/>
      <c r="K46" s="213"/>
      <c r="L46" s="213"/>
      <c r="M46" s="250"/>
    </row>
    <row r="47" spans="1:13" s="246" customFormat="1" ht="15" customHeight="1">
      <c r="A47" s="457" t="s">
        <v>198</v>
      </c>
      <c r="B47" s="457"/>
      <c r="C47" s="457"/>
      <c r="D47" s="457"/>
      <c r="E47" s="457"/>
      <c r="F47" s="457"/>
      <c r="G47" s="457"/>
      <c r="H47" s="457"/>
      <c r="I47" s="457"/>
      <c r="J47" s="213"/>
      <c r="K47" s="213"/>
      <c r="L47" s="213"/>
      <c r="M47" s="250"/>
    </row>
  </sheetData>
  <mergeCells count="15">
    <mergeCell ref="C3:E3"/>
    <mergeCell ref="C4:E4"/>
    <mergeCell ref="C5:E5"/>
    <mergeCell ref="A42:I42"/>
    <mergeCell ref="A43:I43"/>
    <mergeCell ref="A47:I47"/>
    <mergeCell ref="F14:G14"/>
    <mergeCell ref="A8:B8"/>
    <mergeCell ref="F8:G8"/>
    <mergeCell ref="A14:B14"/>
    <mergeCell ref="A46:I46"/>
    <mergeCell ref="A44:I44"/>
    <mergeCell ref="A45:I45"/>
    <mergeCell ref="B24:E24"/>
    <mergeCell ref="F24:I24"/>
  </mergeCells>
  <printOptions horizontalCentered="1"/>
  <pageMargins left="0.7" right="0.7" top="0.75" bottom="0.75" header="0.3" footer="0.3"/>
  <pageSetup scale="82" orientation="portrait" r:id="rId1"/>
  <headerFooter>
    <oddFooter>&amp;R8/13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INT-Home</vt:lpstr>
      <vt:lpstr>SUM-Home</vt:lpstr>
      <vt:lpstr>RLI-Home</vt:lpstr>
      <vt:lpstr>EXP-Home</vt:lpstr>
      <vt:lpstr>TRD-Home</vt:lpstr>
      <vt:lpstr>CAT-Home</vt:lpstr>
      <vt:lpstr>UW-Home</vt:lpstr>
      <vt:lpstr>OB-Home</vt:lpstr>
      <vt:lpstr>VAR-Home</vt:lpstr>
      <vt:lpstr>PI-Home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 Wise</dc:creator>
  <cp:lastModifiedBy>Department of Insurance</cp:lastModifiedBy>
  <cp:lastPrinted>2014-03-12T19:39:14Z</cp:lastPrinted>
  <dcterms:created xsi:type="dcterms:W3CDTF">2012-07-31T14:00:58Z</dcterms:created>
  <dcterms:modified xsi:type="dcterms:W3CDTF">2014-03-12T19:45:33Z</dcterms:modified>
</cp:coreProperties>
</file>