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5" windowWidth="14220" windowHeight="832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Sheet1!$A$10:$P$359</definedName>
    <definedName name="_xlnm.Print_Titles" localSheetId="0">Sheet1!$1:$9</definedName>
  </definedNames>
  <calcPr calcId="145621"/>
</workbook>
</file>

<file path=xl/calcChain.xml><?xml version="1.0" encoding="utf-8"?>
<calcChain xmlns="http://schemas.openxmlformats.org/spreadsheetml/2006/main">
  <c r="Q10" i="1" l="1"/>
  <c r="R10" i="1"/>
  <c r="Q11" i="1"/>
  <c r="R11" i="1"/>
  <c r="Q12" i="1"/>
  <c r="R12" i="1"/>
  <c r="Q13" i="1"/>
  <c r="R13" i="1"/>
  <c r="Q14" i="1"/>
  <c r="R14" i="1"/>
  <c r="Q15" i="1"/>
  <c r="R15" i="1"/>
  <c r="Q16" i="1"/>
  <c r="R16" i="1"/>
  <c r="Q17" i="1"/>
  <c r="R17" i="1"/>
  <c r="Q18" i="1"/>
  <c r="R18" i="1"/>
  <c r="Q19" i="1"/>
  <c r="R19" i="1"/>
  <c r="Q20" i="1"/>
  <c r="R20" i="1"/>
  <c r="Q21" i="1"/>
  <c r="Q22" i="1" s="1"/>
  <c r="R21" i="1"/>
  <c r="R22" i="1"/>
  <c r="O10" i="1" l="1"/>
  <c r="O11" i="1" s="1"/>
  <c r="O12" i="1" s="1"/>
  <c r="P10" i="1"/>
  <c r="P11" i="1"/>
  <c r="P12" i="1" s="1"/>
  <c r="P13" i="1" s="1"/>
  <c r="O21" i="1"/>
  <c r="P21" i="1"/>
  <c r="D10" i="1"/>
  <c r="D11" i="1" s="1"/>
  <c r="E10" i="1"/>
  <c r="E11" i="1" s="1"/>
  <c r="F10" i="1"/>
  <c r="F11" i="1" s="1"/>
  <c r="F12" i="1" s="1"/>
  <c r="G10" i="1"/>
  <c r="G11" i="1" s="1"/>
  <c r="H10" i="1"/>
  <c r="H11" i="1" s="1"/>
  <c r="I10" i="1"/>
  <c r="I11" i="1" s="1"/>
  <c r="J10" i="1"/>
  <c r="J11" i="1" s="1"/>
  <c r="K10" i="1"/>
  <c r="K11" i="1" s="1"/>
  <c r="K12" i="1" s="1"/>
  <c r="L10" i="1"/>
  <c r="L11" i="1" s="1"/>
  <c r="M10" i="1"/>
  <c r="M11" i="1" s="1"/>
  <c r="N10" i="1"/>
  <c r="N11" i="1" s="1"/>
  <c r="D21" i="1"/>
  <c r="E21" i="1"/>
  <c r="F21" i="1"/>
  <c r="G21" i="1"/>
  <c r="H21" i="1"/>
  <c r="I21" i="1"/>
  <c r="J21" i="1"/>
  <c r="K21" i="1"/>
  <c r="L21" i="1"/>
  <c r="M21" i="1"/>
  <c r="N21" i="1"/>
  <c r="O13" i="1"/>
  <c r="K13" i="1"/>
  <c r="O14" i="1"/>
  <c r="I12" i="1" l="1"/>
  <c r="K14" i="1"/>
  <c r="O15" i="1"/>
  <c r="F13" i="1"/>
  <c r="E12" i="1"/>
  <c r="E13" i="1" s="1"/>
  <c r="G12" i="1"/>
  <c r="I13" i="1"/>
  <c r="M12" i="1"/>
  <c r="M13" i="1" s="1"/>
  <c r="M14" i="1" s="1"/>
  <c r="D12" i="1"/>
  <c r="H12" i="1"/>
  <c r="J12" i="1"/>
  <c r="J13" i="1" s="1"/>
  <c r="L12" i="1"/>
  <c r="L13" i="1" s="1"/>
  <c r="N12" i="1"/>
  <c r="P14" i="1"/>
  <c r="E14" i="1" l="1"/>
  <c r="M15" i="1"/>
  <c r="F14" i="1"/>
  <c r="K15" i="1"/>
  <c r="M16" i="1"/>
  <c r="K16" i="1"/>
  <c r="I14" i="1"/>
  <c r="I15" i="1" s="1"/>
  <c r="P15" i="1"/>
  <c r="L14" i="1"/>
  <c r="L15" i="1" s="1"/>
  <c r="H13" i="1"/>
  <c r="M17" i="1"/>
  <c r="M18" i="1" s="1"/>
  <c r="E15" i="1"/>
  <c r="P16" i="1"/>
  <c r="H14" i="1"/>
  <c r="H15" i="1" s="1"/>
  <c r="P17" i="1"/>
  <c r="F15" i="1"/>
  <c r="P18" i="1"/>
  <c r="O16" i="1"/>
  <c r="F16" i="1"/>
  <c r="O17" i="1"/>
  <c r="G13" i="1"/>
  <c r="G14" i="1" s="1"/>
  <c r="D13" i="1"/>
  <c r="J14" i="1"/>
  <c r="N13" i="1"/>
  <c r="N14" i="1" s="1"/>
  <c r="K17" i="1" l="1"/>
  <c r="M19" i="1"/>
  <c r="L16" i="1"/>
  <c r="I16" i="1"/>
  <c r="J15" i="1"/>
  <c r="J16" i="1" s="1"/>
  <c r="H16" i="1"/>
  <c r="H17" i="1" s="1"/>
  <c r="P19" i="1"/>
  <c r="O18" i="1"/>
  <c r="F17" i="1"/>
  <c r="M20" i="1"/>
  <c r="D14" i="1"/>
  <c r="N15" i="1"/>
  <c r="G15" i="1"/>
  <c r="E16" i="1"/>
  <c r="E17" i="1"/>
  <c r="L17" i="1"/>
  <c r="K18" i="1"/>
  <c r="N16" i="1"/>
  <c r="M22" i="1" l="1"/>
  <c r="K19" i="1"/>
  <c r="K20" i="1" s="1"/>
  <c r="J17" i="1"/>
  <c r="G16" i="1"/>
  <c r="G17" i="1" s="1"/>
  <c r="F18" i="1"/>
  <c r="F19" i="1" s="1"/>
  <c r="F20" i="1" s="1"/>
  <c r="I17" i="1"/>
  <c r="I18" i="1" s="1"/>
  <c r="L18" i="1"/>
  <c r="L19" i="1" s="1"/>
  <c r="L20" i="1" s="1"/>
  <c r="L22" i="1" s="1"/>
  <c r="H18" i="1"/>
  <c r="H19" i="1" s="1"/>
  <c r="H20" i="1" s="1"/>
  <c r="E18" i="1"/>
  <c r="E19" i="1" s="1"/>
  <c r="P20" i="1"/>
  <c r="P22" i="1" s="1"/>
  <c r="D15" i="1"/>
  <c r="D16" i="1" s="1"/>
  <c r="N17" i="1"/>
  <c r="O19" i="1"/>
  <c r="O20" i="1" s="1"/>
  <c r="K22" i="1" l="1"/>
  <c r="E20" i="1"/>
  <c r="E22" i="1" s="1"/>
  <c r="F22" i="1"/>
  <c r="O22" i="1"/>
  <c r="N18" i="1"/>
  <c r="N19" i="1" s="1"/>
  <c r="N20" i="1" s="1"/>
  <c r="N22" i="1" s="1"/>
  <c r="H22" i="1"/>
  <c r="J18" i="1"/>
  <c r="D17" i="1"/>
  <c r="D18" i="1" s="1"/>
  <c r="D19" i="1" s="1"/>
  <c r="D20" i="1" s="1"/>
  <c r="D22" i="1" s="1"/>
  <c r="I19" i="1"/>
  <c r="I20" i="1" s="1"/>
  <c r="I22" i="1" s="1"/>
  <c r="G18" i="1"/>
  <c r="J19" i="1"/>
  <c r="J20" i="1" s="1"/>
  <c r="J22" i="1" s="1"/>
  <c r="G19" i="1"/>
  <c r="G20" i="1" s="1"/>
  <c r="G22" i="1" l="1"/>
</calcChain>
</file>

<file path=xl/sharedStrings.xml><?xml version="1.0" encoding="utf-8"?>
<sst xmlns="http://schemas.openxmlformats.org/spreadsheetml/2006/main" count="370" uniqueCount="356">
  <si>
    <t>FY</t>
  </si>
  <si>
    <t>AITKIN</t>
  </si>
  <si>
    <t>MINNEAPOLIS</t>
  </si>
  <si>
    <t>HILL CITY</t>
  </si>
  <si>
    <t>MCGREGOR</t>
  </si>
  <si>
    <t>SOUTH ST. PAUL</t>
  </si>
  <si>
    <t>ANOKA-HENNEPIN</t>
  </si>
  <si>
    <t>CENTENNIAL</t>
  </si>
  <si>
    <t>COLUMBIA HEIGHTS</t>
  </si>
  <si>
    <t>FRIDLEY</t>
  </si>
  <si>
    <t>ST. FRANCIS</t>
  </si>
  <si>
    <t>SPRING LAKE PARK</t>
  </si>
  <si>
    <t>DETROIT LAKES</t>
  </si>
  <si>
    <t>FRAZEE</t>
  </si>
  <si>
    <t>PINE POINT</t>
  </si>
  <si>
    <t>BEMIDJI</t>
  </si>
  <si>
    <t>BLACKDUCK</t>
  </si>
  <si>
    <t>KELLIHER</t>
  </si>
  <si>
    <t>RED LAKE</t>
  </si>
  <si>
    <t>SAUK RAPIDS</t>
  </si>
  <si>
    <t>FOLEY</t>
  </si>
  <si>
    <t>ST. CLAIR</t>
  </si>
  <si>
    <t>MANKATO</t>
  </si>
  <si>
    <t>COMFREY</t>
  </si>
  <si>
    <t>SLEEPY EYE</t>
  </si>
  <si>
    <t>SPRINGFIELD</t>
  </si>
  <si>
    <t>NEW ULM</t>
  </si>
  <si>
    <t>BARNUM</t>
  </si>
  <si>
    <t>CARLTON</t>
  </si>
  <si>
    <t>CLOQUET</t>
  </si>
  <si>
    <t>CROMWELL</t>
  </si>
  <si>
    <t>MOOSE LAKE</t>
  </si>
  <si>
    <t>ESKO</t>
  </si>
  <si>
    <t>WRENSHALL</t>
  </si>
  <si>
    <t>NORWOOD</t>
  </si>
  <si>
    <t>WACONIA</t>
  </si>
  <si>
    <t>WATERTOWN-MAYER</t>
  </si>
  <si>
    <t>CHASKA</t>
  </si>
  <si>
    <t>WALKER-AKELEY</t>
  </si>
  <si>
    <t>CASS LAKE</t>
  </si>
  <si>
    <t>PILLAGER</t>
  </si>
  <si>
    <t>REMER</t>
  </si>
  <si>
    <t>MONTEVIDEO</t>
  </si>
  <si>
    <t>NORTH BRANCH</t>
  </si>
  <si>
    <t>RUSH CITY</t>
  </si>
  <si>
    <t>BARNESVILLE</t>
  </si>
  <si>
    <t>HAWLEY</t>
  </si>
  <si>
    <t>MOORHEAD</t>
  </si>
  <si>
    <t>BAGLEY</t>
  </si>
  <si>
    <t>COOK COUNTY</t>
  </si>
  <si>
    <t>MOUNTAIN LAKE</t>
  </si>
  <si>
    <t>WINDOM</t>
  </si>
  <si>
    <t>BRAINERD</t>
  </si>
  <si>
    <t>CROSBY</t>
  </si>
  <si>
    <t>PEQUOT LAKES</t>
  </si>
  <si>
    <t>BURNSVILLE</t>
  </si>
  <si>
    <t>FARMINGTON</t>
  </si>
  <si>
    <t>LAKEVILLE</t>
  </si>
  <si>
    <t>RANDOLPH</t>
  </si>
  <si>
    <t>ROSEMOUNT-APPLE</t>
  </si>
  <si>
    <t>WEST ST. PAUL</t>
  </si>
  <si>
    <t>INVER GROVE</t>
  </si>
  <si>
    <t>HASTINGS</t>
  </si>
  <si>
    <t>HAYFIELD</t>
  </si>
  <si>
    <t>KASSON-MANTORVIL</t>
  </si>
  <si>
    <t>ALEXANDRIA</t>
  </si>
  <si>
    <t>BRANDON</t>
  </si>
  <si>
    <t>EVANSVILLE</t>
  </si>
  <si>
    <t>OSAKIS</t>
  </si>
  <si>
    <t>CHATFIELD</t>
  </si>
  <si>
    <t>LANESBORO</t>
  </si>
  <si>
    <t>MABEL-CANTON</t>
  </si>
  <si>
    <t>RUSHFORD-PETERSO</t>
  </si>
  <si>
    <t>ALBERT LEA</t>
  </si>
  <si>
    <t>ALDEN</t>
  </si>
  <si>
    <t>CANNON FALLS</t>
  </si>
  <si>
    <t>GOODHUE</t>
  </si>
  <si>
    <t>PINE ISLAND</t>
  </si>
  <si>
    <t>RED WING</t>
  </si>
  <si>
    <t>ASHBY</t>
  </si>
  <si>
    <t>HERMAN-NORCROSS</t>
  </si>
  <si>
    <t>HOPKINS</t>
  </si>
  <si>
    <t>BLOOMINGTON</t>
  </si>
  <si>
    <t>EDEN PRAIRIE</t>
  </si>
  <si>
    <t>EDINA</t>
  </si>
  <si>
    <t>MINNETONKA</t>
  </si>
  <si>
    <t>WESTONKA</t>
  </si>
  <si>
    <t>ORONO</t>
  </si>
  <si>
    <t>OSSEO</t>
  </si>
  <si>
    <t>RICHFIELD</t>
  </si>
  <si>
    <t>ROBBINSDALE</t>
  </si>
  <si>
    <t>ST. ANTHONY-NEW</t>
  </si>
  <si>
    <t>ST. LOUIS PARK</t>
  </si>
  <si>
    <t>WAYZATA</t>
  </si>
  <si>
    <t>BROOKLYN CENTER</t>
  </si>
  <si>
    <t>HOUSTON</t>
  </si>
  <si>
    <t>SPRING GROVE</t>
  </si>
  <si>
    <t>CALEDONIA</t>
  </si>
  <si>
    <t>LACRESCENT</t>
  </si>
  <si>
    <t>LAPORTE</t>
  </si>
  <si>
    <t>NEVIS</t>
  </si>
  <si>
    <t>PARK RAPIDS</t>
  </si>
  <si>
    <t>BRAHAM</t>
  </si>
  <si>
    <t>GREENWAY</t>
  </si>
  <si>
    <t>DEER RIVER</t>
  </si>
  <si>
    <t>GRAND RAPIDS</t>
  </si>
  <si>
    <t>NASHWAUK-KEEWATI</t>
  </si>
  <si>
    <t>FRANCONIA</t>
  </si>
  <si>
    <t>HERON LAKE-OKABE</t>
  </si>
  <si>
    <t>MORA</t>
  </si>
  <si>
    <t>OGILVIE</t>
  </si>
  <si>
    <t>NEW LONDON-SPICE</t>
  </si>
  <si>
    <t>WILLMAR</t>
  </si>
  <si>
    <t>LANCASTER</t>
  </si>
  <si>
    <t>INTERNATIONAL FA</t>
  </si>
  <si>
    <t>LITTLEFORK-BIG F</t>
  </si>
  <si>
    <t>SOUTH KOOCHICHIN</t>
  </si>
  <si>
    <t>DAWSON</t>
  </si>
  <si>
    <t>LAKE SUPERIOR</t>
  </si>
  <si>
    <t>LAKE OF THE WOOD</t>
  </si>
  <si>
    <t>CLEVELAND</t>
  </si>
  <si>
    <t>HENDRICKS</t>
  </si>
  <si>
    <t>IVANHOE</t>
  </si>
  <si>
    <t>LAKE BENTON</t>
  </si>
  <si>
    <t>MARSHALL</t>
  </si>
  <si>
    <t>MINNEOTA</t>
  </si>
  <si>
    <t>LYND</t>
  </si>
  <si>
    <t>HUTCHINSON</t>
  </si>
  <si>
    <t>LESTER PRAIRIE</t>
  </si>
  <si>
    <t>MAHNOMEN</t>
  </si>
  <si>
    <t>WAUBUN</t>
  </si>
  <si>
    <t>NEWFOLDEN</t>
  </si>
  <si>
    <t>GRYGLA</t>
  </si>
  <si>
    <t>TRUMAN</t>
  </si>
  <si>
    <t>EDEN VALLEY</t>
  </si>
  <si>
    <t>LITCHFIELD</t>
  </si>
  <si>
    <t>DASSEL-COKATO</t>
  </si>
  <si>
    <t>ISLE</t>
  </si>
  <si>
    <t>PRINCETON</t>
  </si>
  <si>
    <t>ONAMIA</t>
  </si>
  <si>
    <t>LITTLE FALLS</t>
  </si>
  <si>
    <t>PIERZ</t>
  </si>
  <si>
    <t>ROYALTON</t>
  </si>
  <si>
    <t>SWANVILLE</t>
  </si>
  <si>
    <t>UPSALA</t>
  </si>
  <si>
    <t>AUSTIN</t>
  </si>
  <si>
    <t>GRAND MEADOW</t>
  </si>
  <si>
    <t>LYLE</t>
  </si>
  <si>
    <t>LEROY</t>
  </si>
  <si>
    <t>SOUTHLAND</t>
  </si>
  <si>
    <t>FULDA</t>
  </si>
  <si>
    <t>NICOLLET</t>
  </si>
  <si>
    <t>ST. PETER</t>
  </si>
  <si>
    <t>ADRIAN</t>
  </si>
  <si>
    <t>BREWSTER</t>
  </si>
  <si>
    <t>ELLSWORTH</t>
  </si>
  <si>
    <t>ROUND LAKE</t>
  </si>
  <si>
    <t>WORTHINGTON</t>
  </si>
  <si>
    <t>BYRON</t>
  </si>
  <si>
    <t>DOVER-EYOTA</t>
  </si>
  <si>
    <t>STEWARTVILLE</t>
  </si>
  <si>
    <t>ROCHESTER</t>
  </si>
  <si>
    <t>BATTLE LAKE</t>
  </si>
  <si>
    <t>FERGUS FALLS</t>
  </si>
  <si>
    <t>HENNING</t>
  </si>
  <si>
    <t>PARKERS PRAIRIE</t>
  </si>
  <si>
    <t>PELICAN RAPIDS</t>
  </si>
  <si>
    <t>PERHAM</t>
  </si>
  <si>
    <t>UNDERWOOD</t>
  </si>
  <si>
    <t>NEW YORK MILLS</t>
  </si>
  <si>
    <t>GOODRIDGE</t>
  </si>
  <si>
    <t>THIEF RIVER FALL</t>
  </si>
  <si>
    <t>WILLOW RIVER</t>
  </si>
  <si>
    <t>PINE CITY</t>
  </si>
  <si>
    <t>EDGERTON</t>
  </si>
  <si>
    <t>CLIMAX</t>
  </si>
  <si>
    <t>CROOKSTON</t>
  </si>
  <si>
    <t>EAST GRAND FORKS</t>
  </si>
  <si>
    <t>FERTILE-BELTRAMI</t>
  </si>
  <si>
    <t>FISHER</t>
  </si>
  <si>
    <t>FOSSTON</t>
  </si>
  <si>
    <t>CYRUS</t>
  </si>
  <si>
    <t>MOUNDS VIEW</t>
  </si>
  <si>
    <t>NORTH ST. PAUL-M</t>
  </si>
  <si>
    <t>ROSEVILLE</t>
  </si>
  <si>
    <t>WHITE BEAR LAKE</t>
  </si>
  <si>
    <t>ST. PAUL</t>
  </si>
  <si>
    <t>OKLEE</t>
  </si>
  <si>
    <t>PLUMMER</t>
  </si>
  <si>
    <t>RED LAKE FALLS</t>
  </si>
  <si>
    <t>MILROY</t>
  </si>
  <si>
    <t>WABASSO</t>
  </si>
  <si>
    <t>FARIBAULT</t>
  </si>
  <si>
    <t>NORTHFIELD</t>
  </si>
  <si>
    <t>HILLS-BEAVER CRE</t>
  </si>
  <si>
    <t>BADGER</t>
  </si>
  <si>
    <t>ROSEAU</t>
  </si>
  <si>
    <t>WARROAD</t>
  </si>
  <si>
    <t>CHISHOLM</t>
  </si>
  <si>
    <t>ELY</t>
  </si>
  <si>
    <t>FLOODWOOD</t>
  </si>
  <si>
    <t>HERMANTOWN</t>
  </si>
  <si>
    <t>HIBBING</t>
  </si>
  <si>
    <t>PROCTOR</t>
  </si>
  <si>
    <t>VIRGINIA</t>
  </si>
  <si>
    <t>NETT LAKE</t>
  </si>
  <si>
    <t>DULUTH</t>
  </si>
  <si>
    <t>MOUNTAIN IRON-BU</t>
  </si>
  <si>
    <t>BELLE PLAINE</t>
  </si>
  <si>
    <t>JORDAN</t>
  </si>
  <si>
    <t>PRIOR LAKE</t>
  </si>
  <si>
    <t>SHAKOPEE</t>
  </si>
  <si>
    <t>NEW PRAGUE</t>
  </si>
  <si>
    <t>BECKER</t>
  </si>
  <si>
    <t>BIG LAKE</t>
  </si>
  <si>
    <t>ELK RIVER</t>
  </si>
  <si>
    <t>HOLDINGFORD</t>
  </si>
  <si>
    <t>KIMBALL</t>
  </si>
  <si>
    <t>MELROSE</t>
  </si>
  <si>
    <t>PAYNESVILLE</t>
  </si>
  <si>
    <t>ST. CLOUD</t>
  </si>
  <si>
    <t>SAUK CENTRE</t>
  </si>
  <si>
    <t>ALBANY</t>
  </si>
  <si>
    <t>SARTELL</t>
  </si>
  <si>
    <t>COLD SPRING</t>
  </si>
  <si>
    <t>BLOOMING PRAIRIE</t>
  </si>
  <si>
    <t>OWATONNA</t>
  </si>
  <si>
    <t>MEDFORD</t>
  </si>
  <si>
    <t>HANCOCK</t>
  </si>
  <si>
    <t>MORRIS</t>
  </si>
  <si>
    <t>CHOKIO-ALBERTA</t>
  </si>
  <si>
    <t>KERKHOVEN-MURDOC</t>
  </si>
  <si>
    <t>BENSON</t>
  </si>
  <si>
    <t>BERTHA-HEWITT</t>
  </si>
  <si>
    <t>BROWERVILLE</t>
  </si>
  <si>
    <t>BROWNS VALLEY</t>
  </si>
  <si>
    <t>WHEATON</t>
  </si>
  <si>
    <t>WABASHA</t>
  </si>
  <si>
    <t>LAKE CITY</t>
  </si>
  <si>
    <t>PRINSBURG</t>
  </si>
  <si>
    <t>VERNDALE</t>
  </si>
  <si>
    <t>SEBEKA</t>
  </si>
  <si>
    <t>MENAHGA</t>
  </si>
  <si>
    <t>WASECA</t>
  </si>
  <si>
    <t>FOREST LAKE</t>
  </si>
  <si>
    <t>MAHTOMEDI</t>
  </si>
  <si>
    <t>SOUTH WASHINGTON</t>
  </si>
  <si>
    <t>STILLWATER</t>
  </si>
  <si>
    <t>BUTTERFIELD</t>
  </si>
  <si>
    <t>MADELIA</t>
  </si>
  <si>
    <t>ST. JAMES</t>
  </si>
  <si>
    <t>BRECKENRIDGE</t>
  </si>
  <si>
    <t>ROTHSAY</t>
  </si>
  <si>
    <t>CAMPBELL-TINTAH</t>
  </si>
  <si>
    <t>LEWISTON</t>
  </si>
  <si>
    <t>ST. CHARLES</t>
  </si>
  <si>
    <t>WINONA</t>
  </si>
  <si>
    <t>ANNANDALE</t>
  </si>
  <si>
    <t>BUFFALO</t>
  </si>
  <si>
    <t>DELANO</t>
  </si>
  <si>
    <t>MAPLE LAKE</t>
  </si>
  <si>
    <t>MONTICELLO</t>
  </si>
  <si>
    <t>ROCKFORD</t>
  </si>
  <si>
    <t>ST. MICHAEL-ALBE</t>
  </si>
  <si>
    <t>CANBY</t>
  </si>
  <si>
    <t>CAMBRIDGE-ISANTI</t>
  </si>
  <si>
    <t>MILACA</t>
  </si>
  <si>
    <t>ULEN-HITTERDAL</t>
  </si>
  <si>
    <t>LAKE CRYSTAL-WEL</t>
  </si>
  <si>
    <t>TRITON</t>
  </si>
  <si>
    <t>UNITED SOUTH CENTRAL</t>
  </si>
  <si>
    <t>MAPLE RIVER</t>
  </si>
  <si>
    <t>KINGSLAND</t>
  </si>
  <si>
    <t>ST. LOUIS COUNTY</t>
  </si>
  <si>
    <t>WATERVILLE-ELYSIAN-MORRISTOWN</t>
  </si>
  <si>
    <t>CHISAGO LAKES AREA</t>
  </si>
  <si>
    <t>MINNEWASKA</t>
  </si>
  <si>
    <t>EVELETH-GILBERT</t>
  </si>
  <si>
    <t>WADENA-DEER CREEK</t>
  </si>
  <si>
    <t>BUFFALO LAKE-HECTOR</t>
  </si>
  <si>
    <t>DILWORTH-GLYNDON</t>
  </si>
  <si>
    <t>HINCKLEY-FINLAYS</t>
  </si>
  <si>
    <t>LAKEVIEW</t>
  </si>
  <si>
    <t>NRHEG</t>
  </si>
  <si>
    <t>MURRAY COUNTY</t>
  </si>
  <si>
    <t>STAPLES-MOTLEY</t>
  </si>
  <si>
    <t>KITTSON CENTRAL</t>
  </si>
  <si>
    <t>KENYON-WANAMINGO</t>
  </si>
  <si>
    <t>PINE RIVER-BACKU</t>
  </si>
  <si>
    <t>WARREN-ALVARADO-</t>
  </si>
  <si>
    <t>MACCRAY</t>
  </si>
  <si>
    <t>LUVERNE</t>
  </si>
  <si>
    <t>YELLOW MEDICINE EAST</t>
  </si>
  <si>
    <t>FILMORE CENTRAL</t>
  </si>
  <si>
    <t>NORMAN COUNTY EAST</t>
  </si>
  <si>
    <t>SIBLEY EAST</t>
  </si>
  <si>
    <t>CLEARBROOK-GONVICK</t>
  </si>
  <si>
    <t>WEST CENTRAL AREA</t>
  </si>
  <si>
    <t>KARLSTAD-STRANDQ</t>
  </si>
  <si>
    <t>BELGRADE-BROOTEN-ELR</t>
  </si>
  <si>
    <t>G.F.W.</t>
  </si>
  <si>
    <t>A.C.G.C.</t>
  </si>
  <si>
    <t>LESUEUR-HENDERSO</t>
  </si>
  <si>
    <t>MARTIN COUNTY</t>
  </si>
  <si>
    <t>HALSTAD-HENDRUM</t>
  </si>
  <si>
    <t>OLIVIA-BIRD ISLA</t>
  </si>
  <si>
    <t>GRANADA HUNTLEY-</t>
  </si>
  <si>
    <t>SANDSTONE-ASKOV</t>
  </si>
  <si>
    <t>WIN-E-MAC</t>
  </si>
  <si>
    <t>GREENBUSH-MIDDLE RIV</t>
  </si>
  <si>
    <t>HOWARD LAKE-WAVERLY-WINSTED</t>
  </si>
  <si>
    <t>PIPESTONE-JASPER</t>
  </si>
  <si>
    <t>MESABI EAST</t>
  </si>
  <si>
    <t>FAIRMONT AREA SCHOOLS</t>
  </si>
  <si>
    <t>LONG PRAIRIE-GREY EA</t>
  </si>
  <si>
    <t>CEDAR MOUNTAIN</t>
  </si>
  <si>
    <t>EAGLE BEND-CLARISSA</t>
  </si>
  <si>
    <t>ZUMBROTA-MAZEPPA</t>
  </si>
  <si>
    <t>JANESVILLE-WALDO</t>
  </si>
  <si>
    <t>MADISON-MARIETTA-LACQUI PARLE-A.M.M.M.</t>
  </si>
  <si>
    <t>ADA-BORUP</t>
  </si>
  <si>
    <t>STEPHEN-ARGYLE</t>
  </si>
  <si>
    <t>GLENCOE-SILVER LAKE</t>
  </si>
  <si>
    <t>BLUE EARTH-DELAVAN-ELMORE</t>
  </si>
  <si>
    <t>RED ROCK CENTRAL</t>
  </si>
  <si>
    <t>GLENVILLE-EMMONS</t>
  </si>
  <si>
    <t>CLINTON-GRACEVILLE-BEARDSLEY</t>
  </si>
  <si>
    <t>LAKE PARK-AUDUBON</t>
  </si>
  <si>
    <t>DRSH</t>
  </si>
  <si>
    <t>JACKSON COUNTY CENTRAL</t>
  </si>
  <si>
    <t>REDWOOD AREA SCHOOLS</t>
  </si>
  <si>
    <t>WESTBROOK-WALNUT GROVE</t>
  </si>
  <si>
    <t>PLAINVIEW-ELGIN-MILLVILLE</t>
  </si>
  <si>
    <t>RUSSELL-TYLER-RUTHTON</t>
  </si>
  <si>
    <t>ORTONVILLE</t>
  </si>
  <si>
    <t>TRACY BALATON</t>
  </si>
  <si>
    <t>ASSUMED CPI</t>
  </si>
  <si>
    <t>GROWTH FACTOR</t>
  </si>
  <si>
    <t>ALLOWANCES ARE BASED ON THE PROJECTED CPI GROWTH FACTORS SHOWN BELOW.</t>
  </si>
  <si>
    <t># Districts &gt; 0.00 &amp; &lt; 100.00</t>
  </si>
  <si>
    <t># Districts &gt;= 100.00 &amp; &lt; 200.00</t>
  </si>
  <si>
    <t># Districts &gt;= 200.00 &amp; &lt; 300.00</t>
  </si>
  <si>
    <t># Districts &gt;= 300.00 &amp; &lt; 400.00</t>
  </si>
  <si>
    <t># Districts &gt;= 400.00 &amp; &lt; 500.00</t>
  </si>
  <si>
    <t># Districts &gt;= 500.00 &amp; &lt; 600.00</t>
  </si>
  <si>
    <t># Districts &gt;= 600.00 &amp; &lt; 700.00</t>
  </si>
  <si>
    <t># Districts &gt;= 700.00 &amp; &lt; 800.00</t>
  </si>
  <si>
    <t># Districts &gt;= 800.00 &amp; &lt; 900.00</t>
  </si>
  <si>
    <t># Districts &gt;= 900.00 &amp; &lt; 1000.00</t>
  </si>
  <si>
    <t># Districts &gt;= 1,000.00</t>
  </si>
  <si>
    <t># Districts = 0.00</t>
  </si>
  <si>
    <t>Total # Districts</t>
  </si>
  <si>
    <t>REFERENDUM ALLOWANCE SUMMARY</t>
  </si>
  <si>
    <t>TRI-CITY UNITED</t>
  </si>
  <si>
    <t>GROSS OPERATING REFERENDUM AUTHORITIES PER RMCPU FOR FY 2010 TO FY 2024 BASED ON ELECTIONS</t>
  </si>
  <si>
    <t>HELD THROUGH DECEMBER 31,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</si>
</sst>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;@"/>
    <numFmt numFmtId="165" formatCode="#,##0.0000"/>
    <numFmt numFmtId="166" formatCode="0.0000"/>
  </numFmts>
  <fonts count="2" x14ac:knownFonts="1">
    <font>
      <sz val="10"/>
      <name val="Arial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" fontId="0" fillId="0" borderId="0" xfId="0" applyNumberFormat="1"/>
    <xf numFmtId="0" fontId="0" fillId="0" borderId="0" xfId="0" applyAlignment="1">
      <alignment horizontal="right"/>
    </xf>
    <xf numFmtId="1" fontId="0" fillId="0" borderId="0" xfId="0" applyNumberFormat="1" applyProtection="1"/>
    <xf numFmtId="0" fontId="0" fillId="0" borderId="0" xfId="0" applyAlignment="1" applyProtection="1">
      <alignment horizontal="left"/>
    </xf>
    <xf numFmtId="164" fontId="0" fillId="0" borderId="0" xfId="0" applyNumberFormat="1"/>
    <xf numFmtId="0" fontId="0" fillId="0" borderId="0" xfId="0" quotePrefix="1"/>
    <xf numFmtId="3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165" fontId="0" fillId="0" borderId="0" xfId="0" applyNumberFormat="1"/>
    <xf numFmtId="166" fontId="0" fillId="0" borderId="0" xfId="0" applyNumberFormat="1" applyFill="1" applyAlignment="1" applyProtection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359"/>
  <sheetViews>
    <sheetView tabSelected="1" zoomScaleNormal="100" workbookViewId="0">
      <pane ySplit="23" topLeftCell="A24" activePane="bottomLeft" state="frozen"/>
      <selection pane="bottomLeft"/>
    </sheetView>
  </sheetViews>
  <sheetFormatPr defaultRowHeight="12.75" x14ac:dyDescent="0.2"/>
  <cols>
    <col min="1" max="1" width="5.5703125" customWidth="1"/>
    <col min="2" max="2" width="3" customWidth="1"/>
    <col min="3" max="3" width="20.7109375" customWidth="1"/>
    <col min="4" max="16" width="10.7109375" customWidth="1"/>
  </cols>
  <sheetData>
    <row r="1" spans="1:36" x14ac:dyDescent="0.2">
      <c r="A1" t="s">
        <v>354</v>
      </c>
      <c r="D1" s="1"/>
      <c r="E1" s="1"/>
      <c r="F1" s="1"/>
      <c r="G1" s="1"/>
      <c r="H1" s="1"/>
      <c r="I1" s="1"/>
      <c r="J1" s="1"/>
      <c r="L1" s="1"/>
      <c r="M1" s="1"/>
      <c r="R1" s="2" t="s">
        <v>352</v>
      </c>
    </row>
    <row r="2" spans="1:36" x14ac:dyDescent="0.2">
      <c r="A2" t="s">
        <v>355</v>
      </c>
      <c r="D2" s="1"/>
      <c r="E2" s="1"/>
      <c r="F2" s="1"/>
      <c r="G2" s="1"/>
      <c r="H2" s="1"/>
      <c r="I2" s="1"/>
      <c r="J2" s="1"/>
      <c r="L2" s="1"/>
      <c r="M2" s="1"/>
      <c r="R2" s="5">
        <v>41339</v>
      </c>
    </row>
    <row r="3" spans="1:36" x14ac:dyDescent="0.2">
      <c r="A3" s="1" t="s">
        <v>338</v>
      </c>
      <c r="D3" s="1"/>
      <c r="E3" s="1"/>
      <c r="F3" s="1"/>
      <c r="G3" s="1"/>
      <c r="H3" s="1"/>
      <c r="I3" s="1"/>
      <c r="J3" s="1"/>
      <c r="K3" s="1"/>
      <c r="L3" s="1"/>
      <c r="M3" s="1"/>
    </row>
    <row r="4" spans="1:36" x14ac:dyDescent="0.2">
      <c r="D4" s="1"/>
      <c r="E4" s="1"/>
      <c r="F4" s="1"/>
      <c r="G4" s="1"/>
      <c r="H4" s="1"/>
      <c r="I4" s="1"/>
      <c r="J4" s="1"/>
      <c r="K4" s="1"/>
      <c r="L4" s="1"/>
      <c r="M4" s="1"/>
    </row>
    <row r="5" spans="1:36" x14ac:dyDescent="0.2">
      <c r="D5" s="2" t="s">
        <v>0</v>
      </c>
      <c r="E5" s="2" t="s">
        <v>0</v>
      </c>
      <c r="F5" s="2" t="s">
        <v>0</v>
      </c>
      <c r="G5" s="2" t="s">
        <v>0</v>
      </c>
      <c r="H5" s="2" t="s">
        <v>0</v>
      </c>
      <c r="I5" s="2" t="s">
        <v>0</v>
      </c>
      <c r="J5" s="2" t="s">
        <v>0</v>
      </c>
      <c r="K5" s="2" t="s">
        <v>0</v>
      </c>
      <c r="L5" s="2" t="s">
        <v>0</v>
      </c>
      <c r="M5" s="2" t="s">
        <v>0</v>
      </c>
      <c r="N5" s="2" t="s">
        <v>0</v>
      </c>
      <c r="O5" s="2" t="s">
        <v>0</v>
      </c>
      <c r="P5" s="2" t="s">
        <v>0</v>
      </c>
      <c r="Q5" s="2" t="s">
        <v>0</v>
      </c>
      <c r="R5" s="2" t="s">
        <v>0</v>
      </c>
    </row>
    <row r="6" spans="1:36" x14ac:dyDescent="0.2">
      <c r="D6">
        <v>2010</v>
      </c>
      <c r="E6">
        <v>2011</v>
      </c>
      <c r="F6">
        <v>2012</v>
      </c>
      <c r="G6">
        <v>2013</v>
      </c>
      <c r="H6">
        <v>2014</v>
      </c>
      <c r="I6">
        <v>2015</v>
      </c>
      <c r="J6">
        <v>2016</v>
      </c>
      <c r="K6">
        <v>2017</v>
      </c>
      <c r="L6">
        <v>2018</v>
      </c>
      <c r="M6">
        <v>2019</v>
      </c>
      <c r="N6">
        <v>2020</v>
      </c>
      <c r="O6">
        <v>2021</v>
      </c>
      <c r="P6">
        <v>2022</v>
      </c>
      <c r="Q6">
        <v>2023</v>
      </c>
      <c r="R6">
        <v>2024</v>
      </c>
    </row>
    <row r="7" spans="1:36" x14ac:dyDescent="0.2">
      <c r="A7" t="s">
        <v>336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</row>
    <row r="8" spans="1:36" x14ac:dyDescent="0.2">
      <c r="A8" t="s">
        <v>337</v>
      </c>
      <c r="D8" s="10">
        <v>1.0093000000000001</v>
      </c>
      <c r="E8" s="10">
        <v>1.0203</v>
      </c>
      <c r="F8" s="10">
        <v>1.0294000000000001</v>
      </c>
      <c r="G8" s="10">
        <v>1.0164</v>
      </c>
      <c r="H8" s="10">
        <v>1.0157</v>
      </c>
      <c r="I8" s="10">
        <v>1.0164</v>
      </c>
      <c r="J8" s="10">
        <v>1.0163</v>
      </c>
      <c r="K8" s="10">
        <v>1.0192000000000001</v>
      </c>
      <c r="L8" s="10">
        <v>1.0186999999999999</v>
      </c>
      <c r="M8" s="10">
        <v>1.02</v>
      </c>
      <c r="N8" s="10">
        <v>1.0195000000000001</v>
      </c>
      <c r="O8" s="10">
        <v>1.0195000000000001</v>
      </c>
      <c r="P8" s="10">
        <v>1.0195000000000001</v>
      </c>
      <c r="Q8" s="10">
        <v>1.0195000000000001</v>
      </c>
      <c r="R8" s="10">
        <v>1.0195000000000001</v>
      </c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spans="1:36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spans="1:36" x14ac:dyDescent="0.2">
      <c r="A10" s="6" t="s">
        <v>350</v>
      </c>
      <c r="D10" s="7">
        <f t="shared" ref="D10:P10" si="0">COUNTIF(D24:D359,"=0")</f>
        <v>35</v>
      </c>
      <c r="E10" s="7">
        <f t="shared" si="0"/>
        <v>36</v>
      </c>
      <c r="F10" s="7">
        <f t="shared" si="0"/>
        <v>36</v>
      </c>
      <c r="G10" s="7">
        <f t="shared" si="0"/>
        <v>40</v>
      </c>
      <c r="H10" s="7">
        <f t="shared" si="0"/>
        <v>36</v>
      </c>
      <c r="I10" s="7">
        <f t="shared" si="0"/>
        <v>49</v>
      </c>
      <c r="J10" s="7">
        <f t="shared" si="0"/>
        <v>75</v>
      </c>
      <c r="K10" s="7">
        <f t="shared" si="0"/>
        <v>112</v>
      </c>
      <c r="L10" s="7">
        <f t="shared" si="0"/>
        <v>138</v>
      </c>
      <c r="M10" s="7">
        <f t="shared" si="0"/>
        <v>186</v>
      </c>
      <c r="N10" s="7">
        <f t="shared" si="0"/>
        <v>198</v>
      </c>
      <c r="O10" s="7">
        <f t="shared" si="0"/>
        <v>228</v>
      </c>
      <c r="P10" s="7">
        <f t="shared" si="0"/>
        <v>249</v>
      </c>
      <c r="Q10" s="7">
        <f t="shared" ref="Q10:R10" si="1">COUNTIF(Q24:Q359,"=0")</f>
        <v>305</v>
      </c>
      <c r="R10" s="7">
        <f t="shared" si="1"/>
        <v>331</v>
      </c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spans="1:36" x14ac:dyDescent="0.2">
      <c r="A11" s="6" t="s">
        <v>339</v>
      </c>
      <c r="D11" s="7">
        <f t="shared" ref="D11:P11" si="2">COUNTIF(D24:D359,"&lt;100")-D10</f>
        <v>19</v>
      </c>
      <c r="E11" s="7">
        <f t="shared" si="2"/>
        <v>13</v>
      </c>
      <c r="F11" s="7">
        <f t="shared" si="2"/>
        <v>12</v>
      </c>
      <c r="G11" s="7">
        <f t="shared" si="2"/>
        <v>8</v>
      </c>
      <c r="H11" s="7">
        <f t="shared" si="2"/>
        <v>9</v>
      </c>
      <c r="I11" s="7">
        <f t="shared" si="2"/>
        <v>9</v>
      </c>
      <c r="J11" s="7">
        <f t="shared" si="2"/>
        <v>9</v>
      </c>
      <c r="K11" s="7">
        <f t="shared" si="2"/>
        <v>9</v>
      </c>
      <c r="L11" s="7">
        <f t="shared" si="2"/>
        <v>9</v>
      </c>
      <c r="M11" s="7">
        <f t="shared" si="2"/>
        <v>8</v>
      </c>
      <c r="N11" s="7">
        <f t="shared" si="2"/>
        <v>8</v>
      </c>
      <c r="O11" s="7">
        <f t="shared" si="2"/>
        <v>7</v>
      </c>
      <c r="P11" s="7">
        <f t="shared" si="2"/>
        <v>8</v>
      </c>
      <c r="Q11" s="7">
        <f t="shared" ref="Q11:R11" si="3">COUNTIF(Q24:Q359,"&lt;100")-Q10</f>
        <v>6</v>
      </c>
      <c r="R11" s="7">
        <f t="shared" si="3"/>
        <v>0</v>
      </c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 spans="1:36" x14ac:dyDescent="0.2">
      <c r="A12" s="6" t="s">
        <v>340</v>
      </c>
      <c r="D12" s="7">
        <f t="shared" ref="D12:P12" si="4">COUNTIF(D24:D359,"&lt;200")-D10-D11</f>
        <v>14</v>
      </c>
      <c r="E12" s="7">
        <f t="shared" si="4"/>
        <v>12</v>
      </c>
      <c r="F12" s="7">
        <f t="shared" si="4"/>
        <v>11</v>
      </c>
      <c r="G12" s="7">
        <f t="shared" si="4"/>
        <v>5</v>
      </c>
      <c r="H12" s="7">
        <f t="shared" si="4"/>
        <v>5</v>
      </c>
      <c r="I12" s="7">
        <f t="shared" si="4"/>
        <v>7</v>
      </c>
      <c r="J12" s="7">
        <f t="shared" si="4"/>
        <v>7</v>
      </c>
      <c r="K12" s="7">
        <f t="shared" si="4"/>
        <v>8</v>
      </c>
      <c r="L12" s="7">
        <f t="shared" si="4"/>
        <v>9</v>
      </c>
      <c r="M12" s="7">
        <f t="shared" si="4"/>
        <v>6</v>
      </c>
      <c r="N12" s="7">
        <f t="shared" si="4"/>
        <v>6</v>
      </c>
      <c r="O12" s="7">
        <f t="shared" si="4"/>
        <v>6</v>
      </c>
      <c r="P12" s="7">
        <f t="shared" si="4"/>
        <v>6</v>
      </c>
      <c r="Q12" s="7">
        <f t="shared" ref="Q12:R12" si="5">COUNTIF(Q24:Q359,"&lt;200")-Q10-Q11</f>
        <v>0</v>
      </c>
      <c r="R12" s="7">
        <f t="shared" si="5"/>
        <v>0</v>
      </c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 spans="1:36" x14ac:dyDescent="0.2">
      <c r="A13" s="6" t="s">
        <v>341</v>
      </c>
      <c r="D13" s="7">
        <f>COUNTIF(D$24:D$359,"&lt;300")-SUM(D$10:D12)</f>
        <v>7</v>
      </c>
      <c r="E13" s="7">
        <f>COUNTIF(E$24:E$359,"&lt;300")-SUM(E$10:E12)</f>
        <v>7</v>
      </c>
      <c r="F13" s="7">
        <f>COUNTIF(F$24:F$359,"&lt;300")-SUM(F$10:F12)</f>
        <v>5</v>
      </c>
      <c r="G13" s="7">
        <f>COUNTIF(G$24:G$359,"&lt;300")-SUM(G$10:G12)</f>
        <v>4</v>
      </c>
      <c r="H13" s="7">
        <f>COUNTIF(H$24:H$359,"&lt;300")-SUM(H$10:H12)</f>
        <v>4</v>
      </c>
      <c r="I13" s="7">
        <f>COUNTIF(I$24:I$359,"&lt;300")-SUM(I$10:I12)</f>
        <v>4</v>
      </c>
      <c r="J13" s="7">
        <f>COUNTIF(J$24:J$359,"&lt;300")-SUM(J$10:J12)</f>
        <v>6</v>
      </c>
      <c r="K13" s="7">
        <f>COUNTIF(K$24:K$359,"&lt;300")-SUM(K$10:K12)</f>
        <v>6</v>
      </c>
      <c r="L13" s="7">
        <f>COUNTIF(L$24:L$359,"&lt;300")-SUM(L$10:L12)</f>
        <v>7</v>
      </c>
      <c r="M13" s="7">
        <f>COUNTIF(M$24:M$359,"&lt;300")-SUM(M$10:M12)</f>
        <v>7</v>
      </c>
      <c r="N13" s="7">
        <f>COUNTIF(N$24:N$359,"&lt;300")-SUM(N$10:N12)</f>
        <v>6</v>
      </c>
      <c r="O13" s="7">
        <f>COUNTIF(O$24:O$359,"&lt;300")-SUM(O$10:O12)</f>
        <v>5</v>
      </c>
      <c r="P13" s="7">
        <f>COUNTIF(P$24:P$359,"&lt;300")-SUM(P$10:P12)</f>
        <v>3</v>
      </c>
      <c r="Q13" s="7">
        <f>COUNTIF(Q$24:Q$359,"&lt;300")-SUM(Q$10:Q12)</f>
        <v>2</v>
      </c>
      <c r="R13" s="7">
        <f>COUNTIF(R$24:R$359,"&lt;300")-SUM(R$10:R12)</f>
        <v>0</v>
      </c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 spans="1:36" x14ac:dyDescent="0.2">
      <c r="A14" s="6" t="s">
        <v>342</v>
      </c>
      <c r="D14" s="7">
        <f>COUNTIF(D$24:D$359,"&lt;400")-SUM(D$10:D13)</f>
        <v>17</v>
      </c>
      <c r="E14" s="7">
        <f>COUNTIF(E$24:E$359,"&lt;400")-SUM(E$10:E13)</f>
        <v>15</v>
      </c>
      <c r="F14" s="7">
        <f>COUNTIF(F$24:F$359,"&lt;400")-SUM(F$10:F13)</f>
        <v>14</v>
      </c>
      <c r="G14" s="7">
        <f>COUNTIF(G$24:G$359,"&lt;400")-SUM(G$10:G13)</f>
        <v>13</v>
      </c>
      <c r="H14" s="7">
        <f>COUNTIF(H$24:H$359,"&lt;400")-SUM(H$10:H13)</f>
        <v>15</v>
      </c>
      <c r="I14" s="7">
        <f>COUNTIF(I$24:I$359,"&lt;400")-SUM(I$10:I13)</f>
        <v>18</v>
      </c>
      <c r="J14" s="7">
        <f>COUNTIF(J$24:J$359,"&lt;400")-SUM(J$10:J13)</f>
        <v>15</v>
      </c>
      <c r="K14" s="7">
        <f>COUNTIF(K$24:K$359,"&lt;400")-SUM(K$10:K13)</f>
        <v>15</v>
      </c>
      <c r="L14" s="7">
        <f>COUNTIF(L$24:L$359,"&lt;400")-SUM(L$10:L13)</f>
        <v>13</v>
      </c>
      <c r="M14" s="7">
        <f>COUNTIF(M$24:M$359,"&lt;400")-SUM(M$10:M13)</f>
        <v>9</v>
      </c>
      <c r="N14" s="7">
        <f>COUNTIF(N$24:N$359,"&lt;400")-SUM(N$10:N13)</f>
        <v>8</v>
      </c>
      <c r="O14" s="7">
        <f>COUNTIF(O$24:O$359,"&lt;400")-SUM(O$10:O13)</f>
        <v>8</v>
      </c>
      <c r="P14" s="7">
        <f>COUNTIF(P$24:P$359,"&lt;400")-SUM(P$10:P13)</f>
        <v>8</v>
      </c>
      <c r="Q14" s="7">
        <f>COUNTIF(Q$24:Q$359,"&lt;400")-SUM(Q$10:Q13)</f>
        <v>4</v>
      </c>
      <c r="R14" s="7">
        <f>COUNTIF(R$24:R$359,"&lt;400")-SUM(R$10:R13)</f>
        <v>1</v>
      </c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 spans="1:36" x14ac:dyDescent="0.2">
      <c r="A15" s="6" t="s">
        <v>343</v>
      </c>
      <c r="D15" s="7">
        <f>COUNTIF(D$24:D$359,"&lt;500")-SUM(D$10:D14)</f>
        <v>17</v>
      </c>
      <c r="E15" s="7">
        <f>COUNTIF(E$24:E$359,"&lt;500")-SUM(E$10:E14)</f>
        <v>18</v>
      </c>
      <c r="F15" s="7">
        <f>COUNTIF(F$24:F$359,"&lt;500")-SUM(F$10:F14)</f>
        <v>18</v>
      </c>
      <c r="G15" s="7">
        <f>COUNTIF(G$24:G$359,"&lt;500")-SUM(G$10:G14)</f>
        <v>16</v>
      </c>
      <c r="H15" s="7">
        <f>COUNTIF(H$24:H$359,"&lt;500")-SUM(H$10:H14)</f>
        <v>15</v>
      </c>
      <c r="I15" s="7">
        <f>COUNTIF(I$24:I$359,"&lt;500")-SUM(I$10:I14)</f>
        <v>12</v>
      </c>
      <c r="J15" s="7">
        <f>COUNTIF(J$24:J$359,"&lt;500")-SUM(J$10:J14)</f>
        <v>10</v>
      </c>
      <c r="K15" s="7">
        <f>COUNTIF(K$24:K$359,"&lt;500")-SUM(K$10:K14)</f>
        <v>13</v>
      </c>
      <c r="L15" s="7">
        <f>COUNTIF(L$24:L$359,"&lt;500")-SUM(L$10:L14)</f>
        <v>13</v>
      </c>
      <c r="M15" s="7">
        <f>COUNTIF(M$24:M$359,"&lt;500")-SUM(M$10:M14)</f>
        <v>14</v>
      </c>
      <c r="N15" s="7">
        <f>COUNTIF(N$24:N$359,"&lt;500")-SUM(N$10:N14)</f>
        <v>16</v>
      </c>
      <c r="O15" s="7">
        <f>COUNTIF(O$24:O$359,"&lt;500")-SUM(O$10:O14)</f>
        <v>13</v>
      </c>
      <c r="P15" s="7">
        <f>COUNTIF(P$24:P$359,"&lt;500")-SUM(P$10:P14)</f>
        <v>10</v>
      </c>
      <c r="Q15" s="7">
        <f>COUNTIF(Q$24:Q$359,"&lt;500")-SUM(Q$10:Q14)</f>
        <v>1</v>
      </c>
      <c r="R15" s="7">
        <f>COUNTIF(R$24:R$359,"&lt;500")-SUM(R$10:R14)</f>
        <v>0</v>
      </c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 spans="1:36" x14ac:dyDescent="0.2">
      <c r="A16" s="6" t="s">
        <v>344</v>
      </c>
      <c r="D16" s="7">
        <f>COUNTIF(D$24:D$359,"&lt;600")-SUM(D$10:D15)</f>
        <v>29</v>
      </c>
      <c r="E16" s="7">
        <f>COUNTIF(E$24:E$359,"&lt;600")-SUM(E$10:E15)</f>
        <v>27</v>
      </c>
      <c r="F16" s="7">
        <f>COUNTIF(F$24:F$359,"&lt;600")-SUM(F$10:F15)</f>
        <v>25</v>
      </c>
      <c r="G16" s="7">
        <f>COUNTIF(G$24:G$359,"&lt;600")-SUM(G$10:G15)</f>
        <v>20</v>
      </c>
      <c r="H16" s="7">
        <f>COUNTIF(H$24:H$359,"&lt;600")-SUM(H$10:H15)</f>
        <v>21</v>
      </c>
      <c r="I16" s="7">
        <f>COUNTIF(I$24:I$359,"&lt;600")-SUM(I$10:I15)</f>
        <v>19</v>
      </c>
      <c r="J16" s="7">
        <f>COUNTIF(J$24:J$359,"&lt;600")-SUM(J$10:J15)</f>
        <v>16</v>
      </c>
      <c r="K16" s="7">
        <f>COUNTIF(K$24:K$359,"&lt;600")-SUM(K$10:K15)</f>
        <v>20</v>
      </c>
      <c r="L16" s="7">
        <f>COUNTIF(L$24:L$359,"&lt;600")-SUM(L$10:L15)</f>
        <v>16</v>
      </c>
      <c r="M16" s="7">
        <f>COUNTIF(M$24:M$359,"&lt;600")-SUM(M$10:M15)</f>
        <v>15</v>
      </c>
      <c r="N16" s="7">
        <f>COUNTIF(N$24:N$359,"&lt;600")-SUM(N$10:N15)</f>
        <v>16</v>
      </c>
      <c r="O16" s="7">
        <f>COUNTIF(O$24:O$359,"&lt;600")-SUM(O$10:O15)</f>
        <v>13</v>
      </c>
      <c r="P16" s="7">
        <f>COUNTIF(P$24:P$359,"&lt;600")-SUM(P$10:P15)</f>
        <v>9</v>
      </c>
      <c r="Q16" s="7">
        <f>COUNTIF(Q$24:Q$359,"&lt;600")-SUM(Q$10:Q15)</f>
        <v>2</v>
      </c>
      <c r="R16" s="7">
        <f>COUNTIF(R$24:R$359,"&lt;600")-SUM(R$10:R15)</f>
        <v>0</v>
      </c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 spans="1:36" x14ac:dyDescent="0.2">
      <c r="A17" s="6" t="s">
        <v>345</v>
      </c>
      <c r="D17" s="7">
        <f>COUNTIF(D$24:D$359,"&lt;700")-SUM(D$10:D16)</f>
        <v>31</v>
      </c>
      <c r="E17" s="7">
        <f>COUNTIF(E$24:E$359,"&lt;700")-SUM(E$10:E16)</f>
        <v>30</v>
      </c>
      <c r="F17" s="7">
        <f>COUNTIF(F$24:F$359,"&lt;700")-SUM(F$10:F16)</f>
        <v>29</v>
      </c>
      <c r="G17" s="7">
        <f>COUNTIF(G$24:G$359,"&lt;700")-SUM(G$10:G16)</f>
        <v>28</v>
      </c>
      <c r="H17" s="7">
        <f>COUNTIF(H$24:H$359,"&lt;700")-SUM(H$10:H16)</f>
        <v>26</v>
      </c>
      <c r="I17" s="7">
        <f>COUNTIF(I$24:I$359,"&lt;700")-SUM(I$10:I16)</f>
        <v>25</v>
      </c>
      <c r="J17" s="7">
        <f>COUNTIF(J$24:J$359,"&lt;700")-SUM(J$10:J16)</f>
        <v>25</v>
      </c>
      <c r="K17" s="7">
        <f>COUNTIF(K$24:K$359,"&lt;700")-SUM(K$10:K16)</f>
        <v>21</v>
      </c>
      <c r="L17" s="7">
        <f>COUNTIF(L$24:L$359,"&lt;700")-SUM(L$10:L16)</f>
        <v>16</v>
      </c>
      <c r="M17" s="7">
        <f>COUNTIF(M$24:M$359,"&lt;700")-SUM(M$10:M16)</f>
        <v>11</v>
      </c>
      <c r="N17" s="7">
        <f>COUNTIF(N$24:N$359,"&lt;700")-SUM(N$10:N16)</f>
        <v>9</v>
      </c>
      <c r="O17" s="7">
        <f>COUNTIF(O$24:O$359,"&lt;700")-SUM(O$10:O16)</f>
        <v>5</v>
      </c>
      <c r="P17" s="7">
        <f>COUNTIF(P$24:P$359,"&lt;700")-SUM(P$10:P16)</f>
        <v>4</v>
      </c>
      <c r="Q17" s="7">
        <f>COUNTIF(Q$24:Q$359,"&lt;700")-SUM(Q$10:Q16)</f>
        <v>2</v>
      </c>
      <c r="R17" s="7">
        <f>COUNTIF(R$24:R$359,"&lt;700")-SUM(R$10:R16)</f>
        <v>0</v>
      </c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 spans="1:36" x14ac:dyDescent="0.2">
      <c r="A18" s="6" t="s">
        <v>346</v>
      </c>
      <c r="D18" s="7">
        <f>COUNTIF(D$24:D$359,"&lt;800")-SUM(D$10:D17)</f>
        <v>29</v>
      </c>
      <c r="E18" s="7">
        <f>COUNTIF(E$24:E$359,"&lt;800")-SUM(E$10:E17)</f>
        <v>34</v>
      </c>
      <c r="F18" s="7">
        <f>COUNTIF(F$24:F$359,"&lt;800")-SUM(F$10:F17)</f>
        <v>35</v>
      </c>
      <c r="G18" s="7">
        <f>COUNTIF(G$24:G$359,"&lt;800")-SUM(G$10:G17)</f>
        <v>39</v>
      </c>
      <c r="H18" s="7">
        <f>COUNTIF(H$24:H$359,"&lt;800")-SUM(H$10:H17)</f>
        <v>37</v>
      </c>
      <c r="I18" s="7">
        <f>COUNTIF(I$24:I$359,"&lt;800")-SUM(I$10:I17)</f>
        <v>34</v>
      </c>
      <c r="J18" s="7">
        <f>COUNTIF(J$24:J$359,"&lt;800")-SUM(J$10:J17)</f>
        <v>32</v>
      </c>
      <c r="K18" s="7">
        <f>COUNTIF(K$24:K$359,"&lt;800")-SUM(K$10:K17)</f>
        <v>30</v>
      </c>
      <c r="L18" s="7">
        <f>COUNTIF(L$24:L$359,"&lt;800")-SUM(L$10:L17)</f>
        <v>27</v>
      </c>
      <c r="M18" s="7">
        <f>COUNTIF(M$24:M$359,"&lt;800")-SUM(M$10:M17)</f>
        <v>16</v>
      </c>
      <c r="N18" s="7">
        <f>COUNTIF(N$24:N$359,"&lt;800")-SUM(N$10:N17)</f>
        <v>15</v>
      </c>
      <c r="O18" s="7">
        <f>COUNTIF(O$24:O$359,"&lt;800")-SUM(O$10:O17)</f>
        <v>11</v>
      </c>
      <c r="P18" s="7">
        <f>COUNTIF(P$24:P$359,"&lt;800")-SUM(P$10:P17)</f>
        <v>7</v>
      </c>
      <c r="Q18" s="7">
        <f>COUNTIF(Q$24:Q$359,"&lt;800")-SUM(Q$10:Q17)</f>
        <v>2</v>
      </c>
      <c r="R18" s="7">
        <f>COUNTIF(R$24:R$359,"&lt;800")-SUM(R$10:R17)</f>
        <v>0</v>
      </c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 spans="1:36" x14ac:dyDescent="0.2">
      <c r="A19" s="6" t="s">
        <v>347</v>
      </c>
      <c r="D19" s="7">
        <f>COUNTIF(D$24:D$359,"&lt;900")-SUM(D$10:D18)</f>
        <v>35</v>
      </c>
      <c r="E19" s="7">
        <f>COUNTIF(E$24:E$359,"&lt;900")-SUM(E$10:E18)</f>
        <v>33</v>
      </c>
      <c r="F19" s="7">
        <f>COUNTIF(F$24:F$359,"&lt;900")-SUM(F$10:F18)</f>
        <v>37</v>
      </c>
      <c r="G19" s="7">
        <f>COUNTIF(G$24:G$359,"&lt;900")-SUM(G$10:G18)</f>
        <v>36</v>
      </c>
      <c r="H19" s="7">
        <f>COUNTIF(H$24:H$359,"&lt;900")-SUM(H$10:H18)</f>
        <v>35</v>
      </c>
      <c r="I19" s="7">
        <f>COUNTIF(I$24:I$359,"&lt;900")-SUM(I$10:I18)</f>
        <v>30</v>
      </c>
      <c r="J19" s="7">
        <f>COUNTIF(J$24:J$359,"&lt;900")-SUM(J$10:J18)</f>
        <v>27</v>
      </c>
      <c r="K19" s="7">
        <f>COUNTIF(K$24:K$359,"&lt;900")-SUM(K$10:K18)</f>
        <v>21</v>
      </c>
      <c r="L19" s="7">
        <f>COUNTIF(L$24:L$359,"&lt;900")-SUM(L$10:L18)</f>
        <v>19</v>
      </c>
      <c r="M19" s="7">
        <f>COUNTIF(M$24:M$359,"&lt;900")-SUM(M$10:M18)</f>
        <v>19</v>
      </c>
      <c r="N19" s="7">
        <f>COUNTIF(N$24:N$359,"&lt;900")-SUM(N$10:N18)</f>
        <v>16</v>
      </c>
      <c r="O19" s="7">
        <f>COUNTIF(O$24:O$359,"&lt;900")-SUM(O$10:O18)</f>
        <v>10</v>
      </c>
      <c r="P19" s="7">
        <f>COUNTIF(P$24:P$359,"&lt;900")-SUM(P$10:P18)</f>
        <v>8</v>
      </c>
      <c r="Q19" s="7">
        <f>COUNTIF(Q$24:Q$359,"&lt;900")-SUM(Q$10:Q18)</f>
        <v>4</v>
      </c>
      <c r="R19" s="7">
        <f>COUNTIF(R$24:R$359,"&lt;900")-SUM(R$10:R18)</f>
        <v>1</v>
      </c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spans="1:36" x14ac:dyDescent="0.2">
      <c r="A20" s="6" t="s">
        <v>348</v>
      </c>
      <c r="D20" s="7">
        <f>COUNTIF(D$24:D$359,"&lt;1000")-SUM(D$10:D19)</f>
        <v>11</v>
      </c>
      <c r="E20" s="7">
        <f>COUNTIF(E$24:E$359,"&lt;1000")-SUM(E$10:E19)</f>
        <v>12</v>
      </c>
      <c r="F20" s="7">
        <f>COUNTIF(F$24:F$359,"&lt;1000")-SUM(F$10:F19)</f>
        <v>10</v>
      </c>
      <c r="G20" s="7">
        <f>COUNTIF(G$24:G$359,"&lt;1000")-SUM(G$10:G19)</f>
        <v>19</v>
      </c>
      <c r="H20" s="7">
        <f>COUNTIF(H$24:H$359,"&lt;1000")-SUM(H$10:H19)</f>
        <v>21</v>
      </c>
      <c r="I20" s="7">
        <f>COUNTIF(I$24:I$359,"&lt;1000")-SUM(I$10:I19)</f>
        <v>20</v>
      </c>
      <c r="J20" s="7">
        <f>COUNTIF(J$24:J$359,"&lt;1000")-SUM(J$10:J19)</f>
        <v>20</v>
      </c>
      <c r="K20" s="7">
        <f>COUNTIF(K$24:K$359,"&lt;1000")-SUM(K$10:K19)</f>
        <v>14</v>
      </c>
      <c r="L20" s="7">
        <f>COUNTIF(L$24:L$359,"&lt;1000")-SUM(L$10:L19)</f>
        <v>12</v>
      </c>
      <c r="M20" s="7">
        <f>COUNTIF(M$24:M$359,"&lt;1000")-SUM(M$10:M19)</f>
        <v>4</v>
      </c>
      <c r="N20" s="7">
        <f>COUNTIF(N$24:N$359,"&lt;1000")-SUM(N$10:N19)</f>
        <v>6</v>
      </c>
      <c r="O20" s="7">
        <f>COUNTIF(O$24:O$359,"&lt;1000")-SUM(O$10:O19)</f>
        <v>7</v>
      </c>
      <c r="P20" s="7">
        <f>COUNTIF(P$24:P$359,"&lt;1000")-SUM(P$10:P19)</f>
        <v>6</v>
      </c>
      <c r="Q20" s="7">
        <f>COUNTIF(Q$24:Q$359,"&lt;1000")-SUM(Q$10:Q19)</f>
        <v>1</v>
      </c>
      <c r="R20" s="7">
        <f>COUNTIF(R$24:R$359,"&lt;1000")-SUM(R$10:R19)</f>
        <v>0</v>
      </c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 spans="1:36" x14ac:dyDescent="0.2">
      <c r="A21" s="6" t="s">
        <v>349</v>
      </c>
      <c r="D21" s="7">
        <f t="shared" ref="D21:P21" si="6">COUNTIF(D24:D359,"&gt;=1000")</f>
        <v>92</v>
      </c>
      <c r="E21" s="7">
        <f t="shared" si="6"/>
        <v>99</v>
      </c>
      <c r="F21" s="7">
        <f t="shared" si="6"/>
        <v>104</v>
      </c>
      <c r="G21" s="7">
        <f t="shared" si="6"/>
        <v>108</v>
      </c>
      <c r="H21" s="7">
        <f t="shared" si="6"/>
        <v>112</v>
      </c>
      <c r="I21" s="7">
        <f t="shared" si="6"/>
        <v>109</v>
      </c>
      <c r="J21" s="7">
        <f t="shared" si="6"/>
        <v>94</v>
      </c>
      <c r="K21" s="7">
        <f t="shared" si="6"/>
        <v>67</v>
      </c>
      <c r="L21" s="7">
        <f t="shared" si="6"/>
        <v>57</v>
      </c>
      <c r="M21" s="7">
        <f t="shared" si="6"/>
        <v>41</v>
      </c>
      <c r="N21" s="7">
        <f t="shared" si="6"/>
        <v>32</v>
      </c>
      <c r="O21" s="7">
        <f t="shared" si="6"/>
        <v>23</v>
      </c>
      <c r="P21" s="7">
        <f t="shared" si="6"/>
        <v>18</v>
      </c>
      <c r="Q21" s="7">
        <f t="shared" ref="Q21:R21" si="7">COUNTIF(Q24:Q359,"&gt;=1000")</f>
        <v>7</v>
      </c>
      <c r="R21" s="7">
        <f t="shared" si="7"/>
        <v>3</v>
      </c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 spans="1:36" x14ac:dyDescent="0.2">
      <c r="A22" t="s">
        <v>351</v>
      </c>
      <c r="D22" s="8">
        <f t="shared" ref="D22:N22" si="8">SUM(D10:D21)</f>
        <v>336</v>
      </c>
      <c r="E22" s="8">
        <f t="shared" si="8"/>
        <v>336</v>
      </c>
      <c r="F22" s="8">
        <f t="shared" si="8"/>
        <v>336</v>
      </c>
      <c r="G22" s="8">
        <f t="shared" si="8"/>
        <v>336</v>
      </c>
      <c r="H22" s="8">
        <f t="shared" si="8"/>
        <v>336</v>
      </c>
      <c r="I22" s="8">
        <f t="shared" si="8"/>
        <v>336</v>
      </c>
      <c r="J22" s="8">
        <f t="shared" si="8"/>
        <v>336</v>
      </c>
      <c r="K22" s="8">
        <f t="shared" si="8"/>
        <v>336</v>
      </c>
      <c r="L22" s="8">
        <f t="shared" si="8"/>
        <v>336</v>
      </c>
      <c r="M22" s="8">
        <f t="shared" si="8"/>
        <v>336</v>
      </c>
      <c r="N22" s="8">
        <f t="shared" si="8"/>
        <v>336</v>
      </c>
      <c r="O22" s="8">
        <f>SUM(O10:O21)</f>
        <v>336</v>
      </c>
      <c r="P22" s="8">
        <f>SUM(P10:P21)</f>
        <v>336</v>
      </c>
      <c r="Q22" s="8">
        <f t="shared" ref="Q22:R22" si="9">SUM(Q10:Q21)</f>
        <v>336</v>
      </c>
      <c r="R22" s="8">
        <f t="shared" si="9"/>
        <v>336</v>
      </c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4" spans="1:36" x14ac:dyDescent="0.2">
      <c r="A24">
        <v>1</v>
      </c>
      <c r="B24">
        <v>1</v>
      </c>
      <c r="C24" t="s">
        <v>1</v>
      </c>
      <c r="D24" s="1">
        <v>0.06</v>
      </c>
      <c r="E24" s="1">
        <v>0.06</v>
      </c>
      <c r="F24" s="1">
        <v>0.06</v>
      </c>
      <c r="G24" s="1">
        <v>0.06</v>
      </c>
      <c r="H24" s="1">
        <v>0.06</v>
      </c>
      <c r="I24" s="1">
        <v>0.06</v>
      </c>
      <c r="J24" s="1">
        <v>0.06</v>
      </c>
      <c r="K24" s="1">
        <v>0.06</v>
      </c>
      <c r="L24" s="1">
        <v>0.06</v>
      </c>
      <c r="M24" s="1">
        <v>0.06</v>
      </c>
      <c r="N24" s="1">
        <v>0.06</v>
      </c>
      <c r="O24" s="1">
        <v>0</v>
      </c>
      <c r="P24" s="1">
        <v>0</v>
      </c>
      <c r="Q24" s="1">
        <v>0</v>
      </c>
      <c r="R24" s="1">
        <v>0</v>
      </c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 spans="1:36" x14ac:dyDescent="0.2">
      <c r="A25">
        <v>1.2</v>
      </c>
      <c r="B25">
        <v>1.2</v>
      </c>
      <c r="C25" t="s">
        <v>2</v>
      </c>
      <c r="D25" s="1">
        <v>1200</v>
      </c>
      <c r="E25" s="1">
        <v>1224.3599999999999</v>
      </c>
      <c r="F25" s="1">
        <v>1260.3599999999999</v>
      </c>
      <c r="G25" s="1">
        <v>1281.03</v>
      </c>
      <c r="H25" s="1">
        <v>1301.1400000000001</v>
      </c>
      <c r="I25" s="1">
        <v>1322.48</v>
      </c>
      <c r="J25" s="1">
        <v>1344.04</v>
      </c>
      <c r="K25" s="1">
        <v>1369.85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 spans="1:36" x14ac:dyDescent="0.2">
      <c r="A26">
        <v>2</v>
      </c>
      <c r="B26">
        <v>1</v>
      </c>
      <c r="C26" t="s">
        <v>3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 spans="1:36" x14ac:dyDescent="0.2">
      <c r="A27">
        <v>4</v>
      </c>
      <c r="B27">
        <v>1</v>
      </c>
      <c r="C27" t="s">
        <v>4</v>
      </c>
      <c r="D27" s="1">
        <v>1.01</v>
      </c>
      <c r="E27" s="1">
        <v>1.01</v>
      </c>
      <c r="F27" s="1">
        <v>1.01</v>
      </c>
      <c r="G27" s="1">
        <v>0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0</v>
      </c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 spans="1:36" x14ac:dyDescent="0.2">
      <c r="A28">
        <v>6</v>
      </c>
      <c r="B28">
        <v>3</v>
      </c>
      <c r="C28" t="s">
        <v>5</v>
      </c>
      <c r="D28" s="1">
        <v>869.57</v>
      </c>
      <c r="E28" s="1">
        <v>1009.57</v>
      </c>
      <c r="F28" s="1">
        <v>1009.57</v>
      </c>
      <c r="G28" s="1">
        <v>1009.57</v>
      </c>
      <c r="H28" s="1">
        <v>1009.57</v>
      </c>
      <c r="I28" s="1">
        <v>1009.57</v>
      </c>
      <c r="J28" s="1">
        <v>1009.57</v>
      </c>
      <c r="K28" s="1">
        <v>1009.57</v>
      </c>
      <c r="L28" s="1">
        <v>1009.57</v>
      </c>
      <c r="M28" s="1">
        <v>1009.57</v>
      </c>
      <c r="N28" s="1">
        <v>1009.57</v>
      </c>
      <c r="O28" s="1">
        <v>0</v>
      </c>
      <c r="P28" s="1">
        <v>0</v>
      </c>
      <c r="Q28" s="1">
        <v>0</v>
      </c>
      <c r="R28" s="1">
        <v>0</v>
      </c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spans="1:36" x14ac:dyDescent="0.2">
      <c r="A29">
        <v>11</v>
      </c>
      <c r="B29">
        <v>1</v>
      </c>
      <c r="C29" t="s">
        <v>6</v>
      </c>
      <c r="D29" s="1">
        <v>1125.8800000000001</v>
      </c>
      <c r="E29" s="1">
        <v>1179.04</v>
      </c>
      <c r="F29" s="1">
        <v>1213.7</v>
      </c>
      <c r="G29" s="1">
        <v>1233.6099999999999</v>
      </c>
      <c r="H29" s="1">
        <v>1220.01</v>
      </c>
      <c r="I29" s="1">
        <v>1240.02</v>
      </c>
      <c r="J29" s="1">
        <v>1260.24</v>
      </c>
      <c r="K29" s="1">
        <v>1284.44</v>
      </c>
      <c r="L29" s="1">
        <v>1308.46</v>
      </c>
      <c r="M29" s="1">
        <v>1142.07</v>
      </c>
      <c r="N29" s="1">
        <v>1164.3399999999999</v>
      </c>
      <c r="O29" s="1">
        <v>1187.04</v>
      </c>
      <c r="P29" s="1">
        <v>1210.19</v>
      </c>
      <c r="Q29" s="1">
        <v>1233.79</v>
      </c>
      <c r="R29" s="1">
        <v>0</v>
      </c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spans="1:36" x14ac:dyDescent="0.2">
      <c r="A30">
        <v>12</v>
      </c>
      <c r="B30">
        <v>1</v>
      </c>
      <c r="C30" t="s">
        <v>7</v>
      </c>
      <c r="D30" s="1">
        <v>689.17</v>
      </c>
      <c r="E30" s="1">
        <v>689.17</v>
      </c>
      <c r="F30" s="1">
        <v>689.17</v>
      </c>
      <c r="G30" s="1">
        <v>964.17</v>
      </c>
      <c r="H30" s="1">
        <v>964.17</v>
      </c>
      <c r="I30" s="1">
        <v>964.17</v>
      </c>
      <c r="J30" s="1">
        <v>964.17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spans="1:36" x14ac:dyDescent="0.2">
      <c r="A31">
        <v>13</v>
      </c>
      <c r="B31">
        <v>1</v>
      </c>
      <c r="C31" t="s">
        <v>8</v>
      </c>
      <c r="D31" s="1">
        <v>879</v>
      </c>
      <c r="E31" s="1">
        <v>879</v>
      </c>
      <c r="F31" s="1">
        <v>879</v>
      </c>
      <c r="G31" s="1">
        <v>879</v>
      </c>
      <c r="H31" s="1">
        <v>879</v>
      </c>
      <c r="I31" s="1">
        <v>879</v>
      </c>
      <c r="J31" s="1">
        <v>879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spans="1:36" x14ac:dyDescent="0.2">
      <c r="A32">
        <v>14</v>
      </c>
      <c r="B32">
        <v>1</v>
      </c>
      <c r="C32" t="s">
        <v>9</v>
      </c>
      <c r="D32" s="1">
        <v>997.07</v>
      </c>
      <c r="E32" s="1">
        <v>997.07</v>
      </c>
      <c r="F32" s="1">
        <v>997.07</v>
      </c>
      <c r="G32" s="1">
        <v>997.06999999999994</v>
      </c>
      <c r="H32" s="1">
        <v>997.06999999999994</v>
      </c>
      <c r="I32" s="1">
        <v>997.06999999999994</v>
      </c>
      <c r="J32" s="1">
        <v>997.06999999999994</v>
      </c>
      <c r="K32" s="1">
        <v>412.52</v>
      </c>
      <c r="L32" s="1">
        <v>412.52</v>
      </c>
      <c r="M32" s="1">
        <v>412.52</v>
      </c>
      <c r="N32" s="1">
        <v>412.52</v>
      </c>
      <c r="O32" s="1">
        <v>412.52</v>
      </c>
      <c r="P32" s="1">
        <v>412.52</v>
      </c>
      <c r="Q32" s="1">
        <v>0</v>
      </c>
      <c r="R32" s="1">
        <v>0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spans="1:36" x14ac:dyDescent="0.2">
      <c r="A33">
        <v>15</v>
      </c>
      <c r="B33">
        <v>1</v>
      </c>
      <c r="C33" t="s">
        <v>10</v>
      </c>
      <c r="D33" s="1">
        <v>21.47</v>
      </c>
      <c r="E33" s="1">
        <v>365</v>
      </c>
      <c r="F33" s="1">
        <v>365</v>
      </c>
      <c r="G33" s="1">
        <v>365</v>
      </c>
      <c r="H33" s="1">
        <v>365</v>
      </c>
      <c r="I33" s="1">
        <v>365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spans="1:36" x14ac:dyDescent="0.2">
      <c r="A34">
        <v>16</v>
      </c>
      <c r="B34">
        <v>1</v>
      </c>
      <c r="C34" t="s">
        <v>11</v>
      </c>
      <c r="D34" s="1">
        <v>855.25</v>
      </c>
      <c r="E34" s="1">
        <v>855.25</v>
      </c>
      <c r="F34" s="1">
        <v>855.25</v>
      </c>
      <c r="G34" s="1">
        <v>855.25</v>
      </c>
      <c r="H34" s="1">
        <v>855.25</v>
      </c>
      <c r="I34" s="1">
        <v>855.25</v>
      </c>
      <c r="J34" s="1">
        <v>855.25</v>
      </c>
      <c r="K34" s="1">
        <v>855.25</v>
      </c>
      <c r="L34" s="1">
        <v>855.25</v>
      </c>
      <c r="M34" s="1">
        <v>855.25</v>
      </c>
      <c r="N34" s="1">
        <v>855.25</v>
      </c>
      <c r="O34" s="1">
        <v>0</v>
      </c>
      <c r="P34" s="1">
        <v>0</v>
      </c>
      <c r="Q34" s="1">
        <v>0</v>
      </c>
      <c r="R34" s="1">
        <v>0</v>
      </c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 x14ac:dyDescent="0.2">
      <c r="A35">
        <v>22</v>
      </c>
      <c r="B35">
        <v>1</v>
      </c>
      <c r="C35" t="s">
        <v>12</v>
      </c>
      <c r="D35" s="1">
        <v>319.04000000000002</v>
      </c>
      <c r="E35" s="1">
        <v>457.04</v>
      </c>
      <c r="F35" s="1">
        <v>457.04</v>
      </c>
      <c r="G35" s="1">
        <v>457.04</v>
      </c>
      <c r="H35" s="1">
        <v>457.04</v>
      </c>
      <c r="I35" s="1">
        <v>457.04</v>
      </c>
      <c r="J35" s="1">
        <v>457.04</v>
      </c>
      <c r="K35" s="1">
        <v>457.04</v>
      </c>
      <c r="L35" s="1">
        <v>457.04</v>
      </c>
      <c r="M35" s="1">
        <v>457.04</v>
      </c>
      <c r="N35" s="1">
        <v>457.04</v>
      </c>
      <c r="O35" s="1">
        <v>0</v>
      </c>
      <c r="P35" s="1">
        <v>0</v>
      </c>
      <c r="Q35" s="1">
        <v>0</v>
      </c>
      <c r="R35" s="1">
        <v>0</v>
      </c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 spans="1:36" x14ac:dyDescent="0.2">
      <c r="A36">
        <v>23</v>
      </c>
      <c r="B36">
        <v>1</v>
      </c>
      <c r="C36" t="s">
        <v>13</v>
      </c>
      <c r="D36" s="1">
        <v>1000</v>
      </c>
      <c r="E36" s="1">
        <v>1000</v>
      </c>
      <c r="F36" s="1">
        <v>1000</v>
      </c>
      <c r="G36" s="1">
        <v>1000</v>
      </c>
      <c r="H36" s="1">
        <v>700</v>
      </c>
      <c r="I36" s="1">
        <v>700</v>
      </c>
      <c r="J36" s="1">
        <v>700</v>
      </c>
      <c r="K36" s="1">
        <v>700</v>
      </c>
      <c r="L36" s="1">
        <v>700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x14ac:dyDescent="0.2">
      <c r="A37">
        <v>25</v>
      </c>
      <c r="B37">
        <v>1</v>
      </c>
      <c r="C37" t="s">
        <v>14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 spans="1:36" x14ac:dyDescent="0.2">
      <c r="A38">
        <v>31</v>
      </c>
      <c r="B38">
        <v>1</v>
      </c>
      <c r="C38" t="s">
        <v>15</v>
      </c>
      <c r="D38" s="1">
        <v>501</v>
      </c>
      <c r="E38" s="1">
        <v>501</v>
      </c>
      <c r="F38" s="1">
        <v>501</v>
      </c>
      <c r="G38" s="1">
        <v>501</v>
      </c>
      <c r="H38" s="1">
        <v>501</v>
      </c>
      <c r="I38" s="1">
        <v>501</v>
      </c>
      <c r="J38" s="1">
        <v>501</v>
      </c>
      <c r="K38" s="1">
        <v>501</v>
      </c>
      <c r="L38" s="1">
        <v>501</v>
      </c>
      <c r="M38" s="1">
        <v>501</v>
      </c>
      <c r="N38" s="1">
        <v>501</v>
      </c>
      <c r="O38" s="1">
        <v>501</v>
      </c>
      <c r="P38" s="1">
        <v>0</v>
      </c>
      <c r="Q38" s="1">
        <v>0</v>
      </c>
      <c r="R38" s="1">
        <v>0</v>
      </c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 spans="1:36" x14ac:dyDescent="0.2">
      <c r="A39">
        <v>32</v>
      </c>
      <c r="B39">
        <v>1</v>
      </c>
      <c r="C39" t="s">
        <v>16</v>
      </c>
      <c r="D39" s="1">
        <v>1</v>
      </c>
      <c r="E39" s="1">
        <v>1</v>
      </c>
      <c r="F39" s="1">
        <v>1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 spans="1:36" x14ac:dyDescent="0.2">
      <c r="A40">
        <v>36</v>
      </c>
      <c r="B40">
        <v>1</v>
      </c>
      <c r="C40" t="s">
        <v>17</v>
      </c>
      <c r="D40" s="1">
        <v>50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 spans="1:36" x14ac:dyDescent="0.2">
      <c r="A41">
        <v>38</v>
      </c>
      <c r="B41">
        <v>1</v>
      </c>
      <c r="C41" t="s">
        <v>18</v>
      </c>
      <c r="D41" s="1">
        <v>1293</v>
      </c>
      <c r="E41" s="1">
        <v>1293</v>
      </c>
      <c r="F41" s="1">
        <v>1293</v>
      </c>
      <c r="G41" s="1">
        <v>1358.2400000000002</v>
      </c>
      <c r="H41" s="1">
        <v>1379.56</v>
      </c>
      <c r="I41" s="1">
        <v>1402.1800000000003</v>
      </c>
      <c r="J41" s="1">
        <v>1425.04</v>
      </c>
      <c r="K41" s="1">
        <v>1452.4</v>
      </c>
      <c r="L41" s="1">
        <v>1479.56</v>
      </c>
      <c r="M41" s="1">
        <v>1509.15</v>
      </c>
      <c r="N41" s="1">
        <v>1538.58</v>
      </c>
      <c r="O41" s="1">
        <v>1568.58</v>
      </c>
      <c r="P41" s="1">
        <v>1599.17</v>
      </c>
      <c r="Q41" s="1">
        <v>0</v>
      </c>
      <c r="R41" s="1">
        <v>0</v>
      </c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 spans="1:36" x14ac:dyDescent="0.2">
      <c r="A42">
        <v>47</v>
      </c>
      <c r="B42">
        <v>1</v>
      </c>
      <c r="C42" t="s">
        <v>19</v>
      </c>
      <c r="D42" s="1">
        <v>0</v>
      </c>
      <c r="E42" s="1">
        <v>0</v>
      </c>
      <c r="F42" s="1">
        <v>0</v>
      </c>
      <c r="G42" s="1">
        <v>0</v>
      </c>
      <c r="H42" s="1">
        <v>380</v>
      </c>
      <c r="I42" s="1">
        <v>380</v>
      </c>
      <c r="J42" s="1">
        <v>380</v>
      </c>
      <c r="K42" s="1">
        <v>380</v>
      </c>
      <c r="L42" s="1">
        <v>380</v>
      </c>
      <c r="M42" s="1">
        <v>380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</row>
    <row r="43" spans="1:36" x14ac:dyDescent="0.2">
      <c r="A43">
        <v>51</v>
      </c>
      <c r="B43">
        <v>1</v>
      </c>
      <c r="C43" t="s">
        <v>20</v>
      </c>
      <c r="D43" s="1">
        <v>235</v>
      </c>
      <c r="E43" s="1">
        <v>235</v>
      </c>
      <c r="F43" s="1">
        <v>235</v>
      </c>
      <c r="G43" s="1">
        <v>285</v>
      </c>
      <c r="H43" s="1">
        <v>285</v>
      </c>
      <c r="I43" s="1">
        <v>285</v>
      </c>
      <c r="J43" s="1">
        <v>285</v>
      </c>
      <c r="K43" s="1">
        <v>285</v>
      </c>
      <c r="L43" s="1">
        <v>285</v>
      </c>
      <c r="M43" s="1">
        <v>285</v>
      </c>
      <c r="N43" s="1">
        <v>285</v>
      </c>
      <c r="O43" s="1">
        <v>0</v>
      </c>
      <c r="P43" s="1">
        <v>0</v>
      </c>
      <c r="Q43" s="1">
        <v>0</v>
      </c>
      <c r="R43" s="1">
        <v>0</v>
      </c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 spans="1:36" x14ac:dyDescent="0.2">
      <c r="A44">
        <v>75</v>
      </c>
      <c r="B44">
        <v>1</v>
      </c>
      <c r="C44" t="s">
        <v>21</v>
      </c>
      <c r="D44" s="1">
        <v>550</v>
      </c>
      <c r="E44" s="1">
        <v>561.16999999999996</v>
      </c>
      <c r="F44" s="1">
        <v>577.66999999999996</v>
      </c>
      <c r="G44" s="1">
        <v>587.14</v>
      </c>
      <c r="H44" s="1">
        <v>596.36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</row>
    <row r="45" spans="1:36" x14ac:dyDescent="0.2">
      <c r="A45">
        <v>77</v>
      </c>
      <c r="B45">
        <v>1</v>
      </c>
      <c r="C45" t="s">
        <v>22</v>
      </c>
      <c r="D45" s="1">
        <v>645.61999999999989</v>
      </c>
      <c r="E45" s="1">
        <v>658.73</v>
      </c>
      <c r="F45" s="1">
        <v>678.1</v>
      </c>
      <c r="G45" s="1">
        <v>689.22</v>
      </c>
      <c r="H45" s="1">
        <v>700.04</v>
      </c>
      <c r="I45" s="1">
        <v>711.52</v>
      </c>
      <c r="J45" s="1">
        <v>723.12</v>
      </c>
      <c r="K45" s="1">
        <v>737</v>
      </c>
      <c r="L45" s="1">
        <v>750.78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 spans="1:36" x14ac:dyDescent="0.2">
      <c r="A46">
        <v>81</v>
      </c>
      <c r="B46">
        <v>1</v>
      </c>
      <c r="C46" t="s">
        <v>23</v>
      </c>
      <c r="D46" s="1">
        <v>1448.8900000000003</v>
      </c>
      <c r="E46" s="1">
        <v>1448.8900000000003</v>
      </c>
      <c r="F46" s="1">
        <v>1448.8899999999999</v>
      </c>
      <c r="G46" s="1">
        <v>1448.8899999999999</v>
      </c>
      <c r="H46" s="1">
        <v>1448.8899999999999</v>
      </c>
      <c r="I46" s="1">
        <v>1448.8899999999999</v>
      </c>
      <c r="J46" s="1">
        <v>1448.8899999999999</v>
      </c>
      <c r="K46" s="1">
        <v>948.89</v>
      </c>
      <c r="L46" s="1">
        <v>948.89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</row>
    <row r="47" spans="1:36" x14ac:dyDescent="0.2">
      <c r="A47">
        <v>84</v>
      </c>
      <c r="B47">
        <v>1</v>
      </c>
      <c r="C47" t="s">
        <v>24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</row>
    <row r="48" spans="1:36" x14ac:dyDescent="0.2">
      <c r="A48">
        <v>85</v>
      </c>
      <c r="B48">
        <v>1</v>
      </c>
      <c r="C48" t="s">
        <v>25</v>
      </c>
      <c r="D48" s="1">
        <v>600</v>
      </c>
      <c r="E48" s="1">
        <v>600</v>
      </c>
      <c r="F48" s="1">
        <v>600</v>
      </c>
      <c r="G48" s="1">
        <v>600</v>
      </c>
      <c r="H48" s="1">
        <v>600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</row>
    <row r="49" spans="1:36" x14ac:dyDescent="0.2">
      <c r="A49">
        <v>88</v>
      </c>
      <c r="B49">
        <v>1</v>
      </c>
      <c r="C49" t="s">
        <v>26</v>
      </c>
      <c r="D49" s="1">
        <v>756.62</v>
      </c>
      <c r="E49" s="1">
        <v>762.77</v>
      </c>
      <c r="F49" s="1">
        <v>771.84999999999991</v>
      </c>
      <c r="G49" s="1">
        <v>777.06999999999994</v>
      </c>
      <c r="H49" s="1">
        <v>1357.1399999999999</v>
      </c>
      <c r="I49" s="1">
        <v>1371.9499999999998</v>
      </c>
      <c r="J49" s="1">
        <v>1386.92</v>
      </c>
      <c r="K49" s="1">
        <v>1404.83</v>
      </c>
      <c r="L49" s="1">
        <v>1422.6100000000001</v>
      </c>
      <c r="M49" s="1">
        <v>1082.8399999999999</v>
      </c>
      <c r="N49" s="1">
        <v>1095.1099999999999</v>
      </c>
      <c r="O49" s="1">
        <v>1107.6099999999999</v>
      </c>
      <c r="P49" s="1">
        <v>1120.3599999999999</v>
      </c>
      <c r="Q49" s="1">
        <v>679.53</v>
      </c>
      <c r="R49" s="1">
        <v>0</v>
      </c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</row>
    <row r="50" spans="1:36" x14ac:dyDescent="0.2">
      <c r="A50">
        <v>91</v>
      </c>
      <c r="B50">
        <v>1</v>
      </c>
      <c r="C50" t="s">
        <v>27</v>
      </c>
      <c r="D50" s="1">
        <v>200.19</v>
      </c>
      <c r="E50" s="1">
        <v>200.19</v>
      </c>
      <c r="F50" s="1">
        <v>200.19</v>
      </c>
      <c r="G50" s="1">
        <v>0</v>
      </c>
      <c r="H50" s="1">
        <v>1</v>
      </c>
      <c r="I50" s="1">
        <v>1</v>
      </c>
      <c r="J50" s="1">
        <v>1</v>
      </c>
      <c r="K50" s="1">
        <v>1</v>
      </c>
      <c r="L50" s="1">
        <v>1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</row>
    <row r="51" spans="1:36" x14ac:dyDescent="0.2">
      <c r="A51">
        <v>93</v>
      </c>
      <c r="B51">
        <v>1</v>
      </c>
      <c r="C51" t="s">
        <v>28</v>
      </c>
      <c r="D51" s="1">
        <v>500</v>
      </c>
      <c r="E51" s="1">
        <v>500</v>
      </c>
      <c r="F51" s="1">
        <v>1100</v>
      </c>
      <c r="G51" s="1">
        <v>1100</v>
      </c>
      <c r="H51" s="1">
        <v>1100</v>
      </c>
      <c r="I51" s="1">
        <v>1100</v>
      </c>
      <c r="J51" s="1">
        <v>1100</v>
      </c>
      <c r="K51" s="1">
        <v>1100</v>
      </c>
      <c r="L51" s="1">
        <v>1100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</row>
    <row r="52" spans="1:36" x14ac:dyDescent="0.2">
      <c r="A52">
        <v>94</v>
      </c>
      <c r="B52">
        <v>1</v>
      </c>
      <c r="C52" t="s">
        <v>29</v>
      </c>
      <c r="D52" s="1">
        <v>97.61</v>
      </c>
      <c r="E52" s="1">
        <v>97.61</v>
      </c>
      <c r="F52" s="1">
        <v>97.61</v>
      </c>
      <c r="G52" s="1">
        <v>97.61</v>
      </c>
      <c r="H52" s="1">
        <v>97.61</v>
      </c>
      <c r="I52" s="1">
        <v>97.61</v>
      </c>
      <c r="J52" s="1">
        <v>97.61</v>
      </c>
      <c r="K52" s="1">
        <v>97.61</v>
      </c>
      <c r="L52" s="1">
        <v>97.61</v>
      </c>
      <c r="M52" s="1">
        <v>97.61</v>
      </c>
      <c r="N52" s="1">
        <v>97.61</v>
      </c>
      <c r="O52" s="1">
        <v>97.61</v>
      </c>
      <c r="P52" s="1">
        <v>97.61</v>
      </c>
      <c r="Q52" s="1">
        <v>0</v>
      </c>
      <c r="R52" s="1">
        <v>0</v>
      </c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</row>
    <row r="53" spans="1:36" x14ac:dyDescent="0.2">
      <c r="A53">
        <v>95</v>
      </c>
      <c r="B53">
        <v>1</v>
      </c>
      <c r="C53" t="s">
        <v>30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</row>
    <row r="54" spans="1:36" x14ac:dyDescent="0.2">
      <c r="A54">
        <v>97</v>
      </c>
      <c r="B54">
        <v>1</v>
      </c>
      <c r="C54" t="s">
        <v>31</v>
      </c>
      <c r="D54" s="1">
        <v>250.21</v>
      </c>
      <c r="E54" s="1">
        <v>250.21</v>
      </c>
      <c r="F54" s="1">
        <v>250.21</v>
      </c>
      <c r="G54" s="1">
        <v>450</v>
      </c>
      <c r="H54" s="1">
        <v>450</v>
      </c>
      <c r="I54" s="1">
        <v>450</v>
      </c>
      <c r="J54" s="1">
        <v>450</v>
      </c>
      <c r="K54" s="1">
        <v>450</v>
      </c>
      <c r="L54" s="1">
        <v>450</v>
      </c>
      <c r="M54" s="1">
        <v>450</v>
      </c>
      <c r="N54" s="1">
        <v>450</v>
      </c>
      <c r="O54" s="1">
        <v>450</v>
      </c>
      <c r="P54" s="1">
        <v>450</v>
      </c>
      <c r="Q54" s="1">
        <v>0</v>
      </c>
      <c r="R54" s="1">
        <v>0</v>
      </c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</row>
    <row r="55" spans="1:36" x14ac:dyDescent="0.2">
      <c r="A55">
        <v>99</v>
      </c>
      <c r="B55">
        <v>1</v>
      </c>
      <c r="C55" t="s">
        <v>32</v>
      </c>
      <c r="D55" s="1">
        <v>1</v>
      </c>
      <c r="E55" s="1">
        <v>1</v>
      </c>
      <c r="F55" s="1">
        <v>1</v>
      </c>
      <c r="G55" s="1">
        <v>0</v>
      </c>
      <c r="H55" s="1">
        <v>341</v>
      </c>
      <c r="I55" s="1">
        <v>341</v>
      </c>
      <c r="J55" s="1">
        <v>341</v>
      </c>
      <c r="K55" s="1">
        <v>341</v>
      </c>
      <c r="L55" s="1">
        <v>341</v>
      </c>
      <c r="M55" s="1">
        <v>341</v>
      </c>
      <c r="N55" s="1">
        <v>341</v>
      </c>
      <c r="O55" s="1">
        <v>341</v>
      </c>
      <c r="P55" s="1">
        <v>341</v>
      </c>
      <c r="Q55" s="1">
        <v>0</v>
      </c>
      <c r="R55" s="1">
        <v>0</v>
      </c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</row>
    <row r="56" spans="1:36" x14ac:dyDescent="0.2">
      <c r="A56">
        <v>100</v>
      </c>
      <c r="B56">
        <v>1</v>
      </c>
      <c r="C56" t="s">
        <v>33</v>
      </c>
      <c r="D56" s="1">
        <v>629</v>
      </c>
      <c r="E56" s="1">
        <v>629</v>
      </c>
      <c r="F56" s="1">
        <v>629</v>
      </c>
      <c r="G56" s="1">
        <v>629</v>
      </c>
      <c r="H56" s="1">
        <v>629</v>
      </c>
      <c r="I56" s="1">
        <v>629</v>
      </c>
      <c r="J56" s="1">
        <v>629</v>
      </c>
      <c r="K56" s="1">
        <v>629</v>
      </c>
      <c r="L56" s="1">
        <v>629</v>
      </c>
      <c r="M56" s="1">
        <v>629</v>
      </c>
      <c r="N56" s="1">
        <v>629</v>
      </c>
      <c r="O56" s="1">
        <v>629</v>
      </c>
      <c r="P56" s="1">
        <v>629</v>
      </c>
      <c r="Q56" s="1">
        <v>629</v>
      </c>
      <c r="R56" s="1">
        <v>0</v>
      </c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</row>
    <row r="57" spans="1:36" x14ac:dyDescent="0.2">
      <c r="A57">
        <v>108</v>
      </c>
      <c r="B57">
        <v>1</v>
      </c>
      <c r="C57" t="s">
        <v>34</v>
      </c>
      <c r="D57" s="1">
        <v>500</v>
      </c>
      <c r="E57" s="1">
        <v>500</v>
      </c>
      <c r="F57" s="1">
        <v>500</v>
      </c>
      <c r="G57" s="1">
        <v>500</v>
      </c>
      <c r="H57" s="1">
        <v>500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</row>
    <row r="58" spans="1:36" x14ac:dyDescent="0.2">
      <c r="A58">
        <v>110</v>
      </c>
      <c r="B58">
        <v>1</v>
      </c>
      <c r="C58" t="s">
        <v>35</v>
      </c>
      <c r="D58" s="1">
        <v>627.19000000000005</v>
      </c>
      <c r="E58" s="1">
        <v>632</v>
      </c>
      <c r="F58" s="1">
        <v>639.11</v>
      </c>
      <c r="G58" s="1">
        <v>643.20000000000005</v>
      </c>
      <c r="H58" s="1">
        <v>647.18000000000006</v>
      </c>
      <c r="I58" s="1">
        <v>651.4</v>
      </c>
      <c r="J58" s="1">
        <v>265.66000000000003</v>
      </c>
      <c r="K58" s="1">
        <v>270.76</v>
      </c>
      <c r="L58" s="1">
        <v>275.82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</row>
    <row r="59" spans="1:36" x14ac:dyDescent="0.2">
      <c r="A59">
        <v>111</v>
      </c>
      <c r="B59">
        <v>1</v>
      </c>
      <c r="C59" t="s">
        <v>36</v>
      </c>
      <c r="D59" s="1">
        <v>242.19</v>
      </c>
      <c r="E59" s="1">
        <v>242.19</v>
      </c>
      <c r="F59" s="1">
        <v>242.19</v>
      </c>
      <c r="G59" s="1">
        <v>500</v>
      </c>
      <c r="H59" s="1">
        <v>507.85</v>
      </c>
      <c r="I59" s="1">
        <v>516.17999999999995</v>
      </c>
      <c r="J59" s="1">
        <v>524.59</v>
      </c>
      <c r="K59" s="1">
        <v>534.66</v>
      </c>
      <c r="L59" s="1">
        <v>544.66</v>
      </c>
      <c r="M59" s="1">
        <v>555.54999999999995</v>
      </c>
      <c r="N59" s="1">
        <v>566.38</v>
      </c>
      <c r="O59" s="1">
        <v>577.41999999999996</v>
      </c>
      <c r="P59" s="1">
        <v>588.67999999999995</v>
      </c>
      <c r="Q59" s="1">
        <v>0</v>
      </c>
      <c r="R59" s="1">
        <v>0</v>
      </c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</row>
    <row r="60" spans="1:36" x14ac:dyDescent="0.2">
      <c r="A60">
        <v>112</v>
      </c>
      <c r="B60">
        <v>1</v>
      </c>
      <c r="C60" t="s">
        <v>37</v>
      </c>
      <c r="D60" s="1">
        <v>1059.98</v>
      </c>
      <c r="E60" s="1">
        <v>1065.9000000000001</v>
      </c>
      <c r="F60" s="1">
        <v>1074.6500000000001</v>
      </c>
      <c r="G60" s="1">
        <v>1079.68</v>
      </c>
      <c r="H60" s="1">
        <v>1084.57</v>
      </c>
      <c r="I60" s="1">
        <v>321.52</v>
      </c>
      <c r="J60" s="1">
        <v>326.76</v>
      </c>
      <c r="K60" s="1">
        <v>333.03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</row>
    <row r="61" spans="1:36" x14ac:dyDescent="0.2">
      <c r="A61">
        <v>113</v>
      </c>
      <c r="B61">
        <v>1</v>
      </c>
      <c r="C61" t="s">
        <v>38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</row>
    <row r="62" spans="1:36" x14ac:dyDescent="0.2">
      <c r="A62">
        <v>115</v>
      </c>
      <c r="B62">
        <v>1</v>
      </c>
      <c r="C62" t="s">
        <v>39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</row>
    <row r="63" spans="1:36" x14ac:dyDescent="0.2">
      <c r="A63">
        <v>116</v>
      </c>
      <c r="B63">
        <v>1</v>
      </c>
      <c r="C63" t="s">
        <v>40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</row>
    <row r="64" spans="1:36" x14ac:dyDescent="0.2">
      <c r="A64">
        <v>118</v>
      </c>
      <c r="B64">
        <v>1</v>
      </c>
      <c r="C64" t="s">
        <v>41</v>
      </c>
      <c r="D64" s="1">
        <v>555.12</v>
      </c>
      <c r="E64" s="1">
        <v>566.39</v>
      </c>
      <c r="F64" s="1">
        <v>583.04</v>
      </c>
      <c r="G64" s="1">
        <v>592.6</v>
      </c>
      <c r="H64" s="1">
        <v>589.36</v>
      </c>
      <c r="I64" s="1">
        <v>599.03</v>
      </c>
      <c r="J64" s="1">
        <v>608.79</v>
      </c>
      <c r="K64" s="1">
        <v>620.48</v>
      </c>
      <c r="L64" s="1">
        <v>632.08000000000004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</row>
    <row r="65" spans="1:36" x14ac:dyDescent="0.2">
      <c r="A65">
        <v>129</v>
      </c>
      <c r="B65">
        <v>1</v>
      </c>
      <c r="C65" t="s">
        <v>42</v>
      </c>
      <c r="D65" s="1">
        <v>506.55</v>
      </c>
      <c r="E65" s="1">
        <v>505.35</v>
      </c>
      <c r="F65" s="1">
        <v>505.35</v>
      </c>
      <c r="G65" s="1">
        <v>899.99999999999989</v>
      </c>
      <c r="H65" s="1">
        <v>900</v>
      </c>
      <c r="I65" s="1">
        <v>900</v>
      </c>
      <c r="J65" s="1">
        <v>900</v>
      </c>
      <c r="K65" s="1">
        <v>900</v>
      </c>
      <c r="L65" s="1">
        <v>900</v>
      </c>
      <c r="M65" s="1">
        <v>900</v>
      </c>
      <c r="N65" s="1">
        <v>900</v>
      </c>
      <c r="O65" s="1">
        <v>900</v>
      </c>
      <c r="P65" s="1">
        <v>900</v>
      </c>
      <c r="Q65" s="1">
        <v>0</v>
      </c>
      <c r="R65" s="1">
        <v>0</v>
      </c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</row>
    <row r="66" spans="1:36" x14ac:dyDescent="0.2">
      <c r="A66">
        <v>138</v>
      </c>
      <c r="B66">
        <v>1</v>
      </c>
      <c r="C66" t="s">
        <v>43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</row>
    <row r="67" spans="1:36" x14ac:dyDescent="0.2">
      <c r="A67">
        <v>139</v>
      </c>
      <c r="B67">
        <v>1</v>
      </c>
      <c r="C67" t="s">
        <v>44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</row>
    <row r="68" spans="1:36" x14ac:dyDescent="0.2">
      <c r="A68">
        <v>146</v>
      </c>
      <c r="B68">
        <v>1</v>
      </c>
      <c r="C68" t="s">
        <v>45</v>
      </c>
      <c r="D68" s="1">
        <v>950</v>
      </c>
      <c r="E68" s="1">
        <v>950</v>
      </c>
      <c r="F68" s="1">
        <v>950</v>
      </c>
      <c r="G68" s="1">
        <v>950</v>
      </c>
      <c r="H68" s="1">
        <v>950</v>
      </c>
      <c r="I68" s="1">
        <v>950</v>
      </c>
      <c r="J68" s="1">
        <v>950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</row>
    <row r="69" spans="1:36" x14ac:dyDescent="0.2">
      <c r="A69">
        <v>150</v>
      </c>
      <c r="B69">
        <v>1</v>
      </c>
      <c r="C69" t="s">
        <v>46</v>
      </c>
      <c r="D69" s="1">
        <v>500</v>
      </c>
      <c r="E69" s="1">
        <v>500</v>
      </c>
      <c r="F69" s="1">
        <v>500</v>
      </c>
      <c r="G69" s="1">
        <v>500</v>
      </c>
      <c r="H69" s="1">
        <v>500</v>
      </c>
      <c r="I69" s="1">
        <v>500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</row>
    <row r="70" spans="1:36" x14ac:dyDescent="0.2">
      <c r="A70">
        <v>152</v>
      </c>
      <c r="B70">
        <v>1</v>
      </c>
      <c r="C70" t="s">
        <v>47</v>
      </c>
      <c r="D70" s="1">
        <v>0</v>
      </c>
      <c r="E70" s="1">
        <v>0</v>
      </c>
      <c r="F70" s="1">
        <v>850</v>
      </c>
      <c r="G70" s="1">
        <v>850</v>
      </c>
      <c r="H70" s="1">
        <v>850</v>
      </c>
      <c r="I70" s="1">
        <v>850</v>
      </c>
      <c r="J70" s="1">
        <v>850</v>
      </c>
      <c r="K70" s="1">
        <v>850</v>
      </c>
      <c r="L70" s="1">
        <v>850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</row>
    <row r="71" spans="1:36" x14ac:dyDescent="0.2">
      <c r="A71">
        <v>162</v>
      </c>
      <c r="B71">
        <v>1</v>
      </c>
      <c r="C71" t="s">
        <v>48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</row>
    <row r="72" spans="1:36" x14ac:dyDescent="0.2">
      <c r="A72">
        <v>166</v>
      </c>
      <c r="B72">
        <v>1</v>
      </c>
      <c r="C72" t="s">
        <v>49</v>
      </c>
      <c r="D72" s="1">
        <v>0</v>
      </c>
      <c r="E72" s="1">
        <v>0</v>
      </c>
      <c r="F72" s="1">
        <v>650</v>
      </c>
      <c r="G72" s="1">
        <v>650</v>
      </c>
      <c r="H72" s="1">
        <v>650</v>
      </c>
      <c r="I72" s="1">
        <v>650</v>
      </c>
      <c r="J72" s="1">
        <v>650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</row>
    <row r="73" spans="1:36" x14ac:dyDescent="0.2">
      <c r="A73">
        <v>173</v>
      </c>
      <c r="B73">
        <v>1</v>
      </c>
      <c r="C73" t="s">
        <v>50</v>
      </c>
      <c r="D73" s="1">
        <v>1484.5699999999997</v>
      </c>
      <c r="E73" s="1">
        <v>1514.71</v>
      </c>
      <c r="F73" s="1">
        <v>1559.2399999999998</v>
      </c>
      <c r="G73" s="1">
        <v>1584.81</v>
      </c>
      <c r="H73" s="1">
        <v>1609.69</v>
      </c>
      <c r="I73" s="1">
        <v>1636.09</v>
      </c>
      <c r="J73" s="1">
        <v>1662.76</v>
      </c>
      <c r="K73" s="1">
        <v>1694.68</v>
      </c>
      <c r="L73" s="1">
        <v>1726.37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</row>
    <row r="74" spans="1:36" x14ac:dyDescent="0.2">
      <c r="A74">
        <v>177</v>
      </c>
      <c r="B74">
        <v>1</v>
      </c>
      <c r="C74" t="s">
        <v>51</v>
      </c>
      <c r="D74" s="1">
        <v>1332.2400000000002</v>
      </c>
      <c r="E74" s="1">
        <v>1332.2400000000002</v>
      </c>
      <c r="F74" s="1">
        <v>1332.2400000000002</v>
      </c>
      <c r="G74" s="1">
        <v>1332.24</v>
      </c>
      <c r="H74" s="1">
        <v>1332.24</v>
      </c>
      <c r="I74" s="1">
        <v>1332.24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</row>
    <row r="75" spans="1:36" x14ac:dyDescent="0.2">
      <c r="A75">
        <v>181</v>
      </c>
      <c r="B75">
        <v>1</v>
      </c>
      <c r="C75" t="s">
        <v>52</v>
      </c>
      <c r="D75" s="1">
        <v>199.24</v>
      </c>
      <c r="E75" s="1">
        <v>199.24</v>
      </c>
      <c r="F75" s="1">
        <v>199.24</v>
      </c>
      <c r="G75" s="1">
        <v>399.24</v>
      </c>
      <c r="H75" s="1">
        <v>399.24</v>
      </c>
      <c r="I75" s="1">
        <v>399.24</v>
      </c>
      <c r="J75" s="1">
        <v>399.24</v>
      </c>
      <c r="K75" s="1">
        <v>399.24</v>
      </c>
      <c r="L75" s="1">
        <v>199.24</v>
      </c>
      <c r="M75" s="1">
        <v>199.24</v>
      </c>
      <c r="N75" s="1">
        <v>199.24</v>
      </c>
      <c r="O75" s="1">
        <v>199.24</v>
      </c>
      <c r="P75" s="1">
        <v>199.24</v>
      </c>
      <c r="Q75" s="1">
        <v>0</v>
      </c>
      <c r="R75" s="1">
        <v>0</v>
      </c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</row>
    <row r="76" spans="1:36" x14ac:dyDescent="0.2">
      <c r="A76">
        <v>182</v>
      </c>
      <c r="B76">
        <v>1</v>
      </c>
      <c r="C76" t="s">
        <v>53</v>
      </c>
      <c r="D76" s="1">
        <v>405</v>
      </c>
      <c r="E76" s="1">
        <v>405</v>
      </c>
      <c r="F76" s="1">
        <v>405</v>
      </c>
      <c r="G76" s="1">
        <v>404</v>
      </c>
      <c r="H76" s="1">
        <v>404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</row>
    <row r="77" spans="1:36" x14ac:dyDescent="0.2">
      <c r="A77">
        <v>186</v>
      </c>
      <c r="B77">
        <v>1</v>
      </c>
      <c r="C77" t="s">
        <v>54</v>
      </c>
      <c r="D77" s="1">
        <v>1.01</v>
      </c>
      <c r="E77" s="1">
        <v>1.01</v>
      </c>
      <c r="F77" s="1">
        <v>1.01</v>
      </c>
      <c r="G77" s="1">
        <v>1.01</v>
      </c>
      <c r="H77" s="1">
        <v>1.01</v>
      </c>
      <c r="I77" s="1">
        <v>1.01</v>
      </c>
      <c r="J77" s="1">
        <v>1.01</v>
      </c>
      <c r="K77" s="1">
        <v>1.01</v>
      </c>
      <c r="L77" s="1">
        <v>1.01</v>
      </c>
      <c r="M77" s="1">
        <v>1.01</v>
      </c>
      <c r="N77" s="1">
        <v>1.01</v>
      </c>
      <c r="O77" s="1">
        <v>1.01</v>
      </c>
      <c r="P77" s="1">
        <v>1.01</v>
      </c>
      <c r="Q77" s="1">
        <v>1.01</v>
      </c>
      <c r="R77" s="1">
        <v>0</v>
      </c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</row>
    <row r="78" spans="1:36" x14ac:dyDescent="0.2">
      <c r="A78">
        <v>191</v>
      </c>
      <c r="B78">
        <v>1</v>
      </c>
      <c r="C78" t="s">
        <v>55</v>
      </c>
      <c r="D78" s="1">
        <v>1476.1999999999998</v>
      </c>
      <c r="E78" s="1">
        <v>1476.1999999999998</v>
      </c>
      <c r="F78" s="1">
        <v>1476.1999999999998</v>
      </c>
      <c r="G78" s="1">
        <v>1476.1999999999998</v>
      </c>
      <c r="H78" s="1">
        <v>1476.1999999999998</v>
      </c>
      <c r="I78" s="1">
        <v>1476.1999999999998</v>
      </c>
      <c r="J78" s="1">
        <v>1476.1999999999998</v>
      </c>
      <c r="K78" s="1">
        <v>1476.1999999999998</v>
      </c>
      <c r="L78" s="1">
        <v>1476.1999999999998</v>
      </c>
      <c r="M78" s="1">
        <v>845.68</v>
      </c>
      <c r="N78" s="1">
        <v>845.68</v>
      </c>
      <c r="O78" s="1">
        <v>845.68</v>
      </c>
      <c r="P78" s="1">
        <v>845.68</v>
      </c>
      <c r="Q78" s="1">
        <v>845.68</v>
      </c>
      <c r="R78" s="1">
        <v>0</v>
      </c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</row>
    <row r="79" spans="1:36" x14ac:dyDescent="0.2">
      <c r="A79">
        <v>192</v>
      </c>
      <c r="B79">
        <v>1</v>
      </c>
      <c r="C79" t="s">
        <v>56</v>
      </c>
      <c r="D79" s="1">
        <v>605.57999999999993</v>
      </c>
      <c r="E79" s="1">
        <v>617.86999999999989</v>
      </c>
      <c r="F79" s="1">
        <v>636.04</v>
      </c>
      <c r="G79" s="1">
        <v>646.47</v>
      </c>
      <c r="H79" s="1">
        <v>656.62</v>
      </c>
      <c r="I79" s="1">
        <v>667.39</v>
      </c>
      <c r="J79" s="1">
        <v>678.27</v>
      </c>
      <c r="K79" s="1">
        <v>691.29</v>
      </c>
      <c r="L79" s="1">
        <v>704.22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</row>
    <row r="80" spans="1:36" x14ac:dyDescent="0.2">
      <c r="A80">
        <v>194</v>
      </c>
      <c r="B80">
        <v>1</v>
      </c>
      <c r="C80" t="s">
        <v>57</v>
      </c>
      <c r="D80" s="1">
        <v>826.31</v>
      </c>
      <c r="E80" s="1">
        <v>838.01</v>
      </c>
      <c r="F80" s="1">
        <v>841.3</v>
      </c>
      <c r="G80" s="1">
        <v>855.1</v>
      </c>
      <c r="H80" s="1">
        <v>868.53</v>
      </c>
      <c r="I80" s="1">
        <v>882.78</v>
      </c>
      <c r="J80" s="1">
        <v>897.17000000000007</v>
      </c>
      <c r="K80" s="1">
        <v>914.39</v>
      </c>
      <c r="L80" s="1">
        <v>931.49</v>
      </c>
      <c r="M80" s="1">
        <v>266.54000000000002</v>
      </c>
      <c r="N80" s="1">
        <v>271.74</v>
      </c>
      <c r="O80" s="1">
        <v>277.04000000000002</v>
      </c>
      <c r="P80" s="1">
        <v>0</v>
      </c>
      <c r="Q80" s="1">
        <v>0</v>
      </c>
      <c r="R80" s="1">
        <v>0</v>
      </c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</row>
    <row r="81" spans="1:36" x14ac:dyDescent="0.2">
      <c r="A81">
        <v>195</v>
      </c>
      <c r="B81">
        <v>1</v>
      </c>
      <c r="C81" t="s">
        <v>58</v>
      </c>
      <c r="D81" s="1">
        <v>580.44000000000005</v>
      </c>
      <c r="E81" s="1">
        <v>580.44000000000005</v>
      </c>
      <c r="F81" s="1">
        <v>580.44000000000005</v>
      </c>
      <c r="G81" s="1">
        <v>580.44000000000005</v>
      </c>
      <c r="H81" s="1">
        <v>580.44000000000005</v>
      </c>
      <c r="I81" s="1">
        <v>580.44000000000005</v>
      </c>
      <c r="J81" s="1">
        <v>580.44000000000005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</row>
    <row r="82" spans="1:36" x14ac:dyDescent="0.2">
      <c r="A82">
        <v>196</v>
      </c>
      <c r="B82">
        <v>1</v>
      </c>
      <c r="C82" t="s">
        <v>59</v>
      </c>
      <c r="D82" s="1">
        <v>1042.3900000000001</v>
      </c>
      <c r="E82" s="1">
        <v>1042.3900000000001</v>
      </c>
      <c r="F82" s="1">
        <v>1042.3900000000001</v>
      </c>
      <c r="G82" s="1">
        <v>1042.3900000000001</v>
      </c>
      <c r="H82" s="1">
        <v>1042.3900000000001</v>
      </c>
      <c r="I82" s="1">
        <v>1042.3900000000001</v>
      </c>
      <c r="J82" s="1">
        <v>1042.3900000000001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</row>
    <row r="83" spans="1:36" x14ac:dyDescent="0.2">
      <c r="A83">
        <v>197</v>
      </c>
      <c r="B83">
        <v>1</v>
      </c>
      <c r="C83" t="s">
        <v>60</v>
      </c>
      <c r="D83" s="1">
        <v>1175.8</v>
      </c>
      <c r="E83" s="1">
        <v>1192.31</v>
      </c>
      <c r="F83" s="1">
        <v>1216.7</v>
      </c>
      <c r="G83" s="1">
        <v>1606.87</v>
      </c>
      <c r="H83" s="1">
        <v>1632.1</v>
      </c>
      <c r="I83" s="1">
        <v>1658.87</v>
      </c>
      <c r="J83" s="1">
        <v>1685.9099999999999</v>
      </c>
      <c r="K83" s="1">
        <v>1718.28</v>
      </c>
      <c r="L83" s="1">
        <v>1750.4099999999999</v>
      </c>
      <c r="M83" s="1">
        <v>820.88</v>
      </c>
      <c r="N83" s="1">
        <v>836.89</v>
      </c>
      <c r="O83" s="1">
        <v>853.21</v>
      </c>
      <c r="P83" s="1">
        <v>869.85</v>
      </c>
      <c r="Q83" s="1">
        <v>0</v>
      </c>
      <c r="R83" s="1">
        <v>0</v>
      </c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</row>
    <row r="84" spans="1:36" x14ac:dyDescent="0.2">
      <c r="A84">
        <v>199</v>
      </c>
      <c r="B84">
        <v>1</v>
      </c>
      <c r="C84" t="s">
        <v>61</v>
      </c>
      <c r="D84" s="1">
        <v>844.07999999999993</v>
      </c>
      <c r="E84" s="1">
        <v>844.07999999999993</v>
      </c>
      <c r="F84" s="1">
        <v>844.07999999999993</v>
      </c>
      <c r="G84" s="1">
        <v>844.07999999999993</v>
      </c>
      <c r="H84" s="1">
        <v>844.07999999999993</v>
      </c>
      <c r="I84" s="1">
        <v>844.07999999999993</v>
      </c>
      <c r="J84" s="1">
        <v>844.07999999999993</v>
      </c>
      <c r="K84" s="1">
        <v>844.07999999999993</v>
      </c>
      <c r="L84" s="1">
        <v>844.07999999999993</v>
      </c>
      <c r="M84" s="1">
        <v>844.07999999999993</v>
      </c>
      <c r="N84" s="1">
        <v>480.19</v>
      </c>
      <c r="O84" s="1">
        <v>480.19</v>
      </c>
      <c r="P84" s="1">
        <v>480.19</v>
      </c>
      <c r="Q84" s="1">
        <v>480.19</v>
      </c>
      <c r="R84" s="1">
        <v>0</v>
      </c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</row>
    <row r="85" spans="1:36" x14ac:dyDescent="0.2">
      <c r="A85">
        <v>200</v>
      </c>
      <c r="B85">
        <v>1</v>
      </c>
      <c r="C85" t="s">
        <v>62</v>
      </c>
      <c r="D85" s="1">
        <v>1300</v>
      </c>
      <c r="E85" s="1">
        <v>1339</v>
      </c>
      <c r="F85" s="1">
        <v>1380</v>
      </c>
      <c r="G85" s="1">
        <v>1421</v>
      </c>
      <c r="H85" s="1">
        <v>1464</v>
      </c>
      <c r="I85" s="1">
        <v>690</v>
      </c>
      <c r="J85" s="1">
        <v>690</v>
      </c>
      <c r="K85" s="1">
        <v>690</v>
      </c>
      <c r="L85" s="1">
        <v>690</v>
      </c>
      <c r="M85" s="1">
        <v>690</v>
      </c>
      <c r="N85" s="1">
        <v>690</v>
      </c>
      <c r="O85" s="1">
        <v>0</v>
      </c>
      <c r="P85" s="1">
        <v>0</v>
      </c>
      <c r="Q85" s="1">
        <v>0</v>
      </c>
      <c r="R85" s="1">
        <v>0</v>
      </c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</row>
    <row r="86" spans="1:36" x14ac:dyDescent="0.2">
      <c r="A86">
        <v>203</v>
      </c>
      <c r="B86">
        <v>1</v>
      </c>
      <c r="C86" t="s">
        <v>63</v>
      </c>
      <c r="D86" s="1">
        <v>600</v>
      </c>
      <c r="E86" s="1">
        <v>600</v>
      </c>
      <c r="F86" s="1">
        <v>600</v>
      </c>
      <c r="G86" s="1">
        <v>900</v>
      </c>
      <c r="H86" s="1">
        <v>900</v>
      </c>
      <c r="I86" s="1">
        <v>900</v>
      </c>
      <c r="J86" s="1">
        <v>900</v>
      </c>
      <c r="K86" s="1">
        <v>900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</row>
    <row r="87" spans="1:36" x14ac:dyDescent="0.2">
      <c r="A87">
        <v>204</v>
      </c>
      <c r="B87">
        <v>1</v>
      </c>
      <c r="C87" t="s">
        <v>64</v>
      </c>
      <c r="D87" s="1">
        <v>350</v>
      </c>
      <c r="E87" s="1">
        <v>350</v>
      </c>
      <c r="F87" s="1">
        <v>350</v>
      </c>
      <c r="G87" s="1">
        <v>350</v>
      </c>
      <c r="H87" s="1">
        <v>350</v>
      </c>
      <c r="I87" s="1">
        <v>350</v>
      </c>
      <c r="J87" s="1">
        <v>350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</row>
    <row r="88" spans="1:36" x14ac:dyDescent="0.2">
      <c r="A88">
        <v>206</v>
      </c>
      <c r="B88">
        <v>1</v>
      </c>
      <c r="C88" t="s">
        <v>65</v>
      </c>
      <c r="D88" s="1">
        <v>393.47</v>
      </c>
      <c r="E88" s="1">
        <v>390</v>
      </c>
      <c r="F88" s="1">
        <v>390</v>
      </c>
      <c r="G88" s="1">
        <v>390</v>
      </c>
      <c r="H88" s="1">
        <v>390</v>
      </c>
      <c r="I88" s="1">
        <v>390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</row>
    <row r="89" spans="1:36" x14ac:dyDescent="0.2">
      <c r="A89">
        <v>207</v>
      </c>
      <c r="B89">
        <v>1</v>
      </c>
      <c r="C89" t="s">
        <v>66</v>
      </c>
      <c r="D89" s="1">
        <v>501</v>
      </c>
      <c r="E89" s="1">
        <v>701</v>
      </c>
      <c r="F89" s="1">
        <v>701</v>
      </c>
      <c r="G89" s="1">
        <v>700</v>
      </c>
      <c r="H89" s="1">
        <v>700</v>
      </c>
      <c r="I89" s="1">
        <v>700</v>
      </c>
      <c r="J89" s="1">
        <v>700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</row>
    <row r="90" spans="1:36" x14ac:dyDescent="0.2">
      <c r="A90">
        <v>208</v>
      </c>
      <c r="B90">
        <v>1</v>
      </c>
      <c r="C90" t="s">
        <v>67</v>
      </c>
      <c r="D90" s="1">
        <v>1373.71</v>
      </c>
      <c r="E90" s="1">
        <v>1373.71</v>
      </c>
      <c r="F90" s="1">
        <v>1373.71</v>
      </c>
      <c r="G90" s="1">
        <v>1373.71</v>
      </c>
      <c r="H90" s="1">
        <v>1373.71</v>
      </c>
      <c r="I90" s="1">
        <v>1373.71</v>
      </c>
      <c r="J90" s="1">
        <v>1373.71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</row>
    <row r="91" spans="1:36" x14ac:dyDescent="0.2">
      <c r="A91">
        <v>213</v>
      </c>
      <c r="B91">
        <v>1</v>
      </c>
      <c r="C91" t="s">
        <v>68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</row>
    <row r="92" spans="1:36" x14ac:dyDescent="0.2">
      <c r="A92">
        <v>227</v>
      </c>
      <c r="B92">
        <v>1</v>
      </c>
      <c r="C92" t="s">
        <v>69</v>
      </c>
      <c r="D92" s="1">
        <v>350.77</v>
      </c>
      <c r="E92" s="1">
        <v>350.77</v>
      </c>
      <c r="F92" s="1">
        <v>350.77</v>
      </c>
      <c r="G92" s="1">
        <v>600.77</v>
      </c>
      <c r="H92" s="1">
        <v>600.77</v>
      </c>
      <c r="I92" s="1">
        <v>600.77</v>
      </c>
      <c r="J92" s="1">
        <v>600.77</v>
      </c>
      <c r="K92" s="1">
        <v>600.77</v>
      </c>
      <c r="L92" s="1">
        <v>600.77</v>
      </c>
      <c r="M92" s="1">
        <v>600.77</v>
      </c>
      <c r="N92" s="1">
        <v>600.77</v>
      </c>
      <c r="O92" s="1">
        <v>600.77</v>
      </c>
      <c r="P92" s="1">
        <v>600.77</v>
      </c>
      <c r="Q92" s="1">
        <v>0</v>
      </c>
      <c r="R92" s="1">
        <v>0</v>
      </c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</row>
    <row r="93" spans="1:36" x14ac:dyDescent="0.2">
      <c r="A93">
        <v>229</v>
      </c>
      <c r="B93">
        <v>1</v>
      </c>
      <c r="C93" t="s">
        <v>70</v>
      </c>
      <c r="D93" s="1">
        <v>315.38</v>
      </c>
      <c r="E93" s="1">
        <v>315.38</v>
      </c>
      <c r="F93" s="1">
        <v>315.38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</row>
    <row r="94" spans="1:36" x14ac:dyDescent="0.2">
      <c r="A94">
        <v>238</v>
      </c>
      <c r="B94">
        <v>1</v>
      </c>
      <c r="C94" t="s">
        <v>71</v>
      </c>
      <c r="D94" s="1">
        <v>1207.96</v>
      </c>
      <c r="E94" s="1">
        <v>1207.96</v>
      </c>
      <c r="F94" s="1">
        <v>1207.96</v>
      </c>
      <c r="G94" s="1">
        <v>1207.96</v>
      </c>
      <c r="H94" s="1">
        <v>1207.96</v>
      </c>
      <c r="I94" s="1">
        <v>1207.96</v>
      </c>
      <c r="J94" s="1">
        <v>1207.96</v>
      </c>
      <c r="K94" s="1">
        <v>1207.96</v>
      </c>
      <c r="L94" s="1">
        <v>1207.96</v>
      </c>
      <c r="M94" s="1">
        <v>1207.96</v>
      </c>
      <c r="N94" s="1">
        <v>1207.96</v>
      </c>
      <c r="O94" s="1">
        <v>1207.96</v>
      </c>
      <c r="P94" s="1">
        <v>1207.96</v>
      </c>
      <c r="Q94" s="1">
        <v>0</v>
      </c>
      <c r="R94" s="1">
        <v>0</v>
      </c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</row>
    <row r="95" spans="1:36" x14ac:dyDescent="0.2">
      <c r="A95">
        <v>239</v>
      </c>
      <c r="B95">
        <v>1</v>
      </c>
      <c r="C95" t="s">
        <v>72</v>
      </c>
      <c r="D95" s="1">
        <v>840.19</v>
      </c>
      <c r="E95" s="1">
        <v>940.19</v>
      </c>
      <c r="F95" s="1">
        <v>967.82999999999993</v>
      </c>
      <c r="G95" s="1">
        <v>983.7</v>
      </c>
      <c r="H95" s="1">
        <v>999.14</v>
      </c>
      <c r="I95" s="1">
        <v>1015.53</v>
      </c>
      <c r="J95" s="1">
        <v>1032.08</v>
      </c>
      <c r="K95" s="1">
        <v>1051.9000000000001</v>
      </c>
      <c r="L95" s="1">
        <v>1071.57</v>
      </c>
      <c r="M95" s="1">
        <v>1093</v>
      </c>
      <c r="N95" s="1">
        <v>1114.31</v>
      </c>
      <c r="O95" s="1">
        <v>0</v>
      </c>
      <c r="P95" s="1">
        <v>0</v>
      </c>
      <c r="Q95" s="1">
        <v>0</v>
      </c>
      <c r="R95" s="1">
        <v>0</v>
      </c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</row>
    <row r="96" spans="1:36" x14ac:dyDescent="0.2">
      <c r="A96">
        <v>241</v>
      </c>
      <c r="B96">
        <v>1</v>
      </c>
      <c r="C96" t="s">
        <v>73</v>
      </c>
      <c r="D96" s="1">
        <v>966.91</v>
      </c>
      <c r="E96" s="1">
        <v>986.54</v>
      </c>
      <c r="F96" s="1">
        <v>1015.54</v>
      </c>
      <c r="G96" s="1">
        <v>1032.19</v>
      </c>
      <c r="H96" s="1">
        <v>1048.4000000000001</v>
      </c>
      <c r="I96" s="1">
        <v>1065.5899999999999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</row>
    <row r="97" spans="1:36" x14ac:dyDescent="0.2">
      <c r="A97">
        <v>242</v>
      </c>
      <c r="B97">
        <v>1</v>
      </c>
      <c r="C97" t="s">
        <v>74</v>
      </c>
      <c r="D97" s="1">
        <v>478</v>
      </c>
      <c r="E97" s="1">
        <v>478</v>
      </c>
      <c r="F97" s="1">
        <v>478</v>
      </c>
      <c r="G97" s="1">
        <v>478</v>
      </c>
      <c r="H97" s="1">
        <v>478</v>
      </c>
      <c r="I97" s="1">
        <v>478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</row>
    <row r="98" spans="1:36" x14ac:dyDescent="0.2">
      <c r="A98">
        <v>252</v>
      </c>
      <c r="B98">
        <v>1</v>
      </c>
      <c r="C98" t="s">
        <v>75</v>
      </c>
      <c r="D98" s="1">
        <v>502.05</v>
      </c>
      <c r="E98" s="1">
        <v>502.05</v>
      </c>
      <c r="F98" s="1">
        <v>500</v>
      </c>
      <c r="G98" s="1">
        <v>500</v>
      </c>
      <c r="H98" s="1">
        <v>500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</row>
    <row r="99" spans="1:36" x14ac:dyDescent="0.2">
      <c r="A99">
        <v>253</v>
      </c>
      <c r="B99">
        <v>1</v>
      </c>
      <c r="C99" t="s">
        <v>76</v>
      </c>
      <c r="D99" s="1">
        <v>126.12</v>
      </c>
      <c r="E99" s="1">
        <v>126.12</v>
      </c>
      <c r="F99" s="1">
        <v>126.12</v>
      </c>
      <c r="G99" s="1">
        <v>500</v>
      </c>
      <c r="H99" s="1">
        <v>500</v>
      </c>
      <c r="I99" s="1">
        <v>500</v>
      </c>
      <c r="J99" s="1">
        <v>500</v>
      </c>
      <c r="K99" s="1">
        <v>500</v>
      </c>
      <c r="L99" s="1">
        <v>500</v>
      </c>
      <c r="M99" s="1">
        <v>500</v>
      </c>
      <c r="N99" s="1">
        <v>500</v>
      </c>
      <c r="O99" s="1">
        <v>500</v>
      </c>
      <c r="P99" s="1">
        <v>500</v>
      </c>
      <c r="Q99" s="1">
        <v>0</v>
      </c>
      <c r="R99" s="1">
        <v>0</v>
      </c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</row>
    <row r="100" spans="1:36" x14ac:dyDescent="0.2">
      <c r="A100">
        <v>255</v>
      </c>
      <c r="B100">
        <v>1</v>
      </c>
      <c r="C100" t="s">
        <v>77</v>
      </c>
      <c r="D100" s="1">
        <v>500</v>
      </c>
      <c r="E100" s="1">
        <v>500</v>
      </c>
      <c r="F100" s="1">
        <v>500</v>
      </c>
      <c r="G100" s="1">
        <v>700</v>
      </c>
      <c r="H100" s="1">
        <v>700</v>
      </c>
      <c r="I100" s="1">
        <v>700</v>
      </c>
      <c r="J100" s="1">
        <v>700</v>
      </c>
      <c r="K100" s="1">
        <v>700</v>
      </c>
      <c r="L100" s="1">
        <v>700</v>
      </c>
      <c r="M100" s="1">
        <v>700</v>
      </c>
      <c r="N100" s="1">
        <v>700</v>
      </c>
      <c r="O100" s="1">
        <v>700</v>
      </c>
      <c r="P100" s="1">
        <v>700</v>
      </c>
      <c r="Q100" s="1">
        <v>0</v>
      </c>
      <c r="R100" s="1">
        <v>0</v>
      </c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</row>
    <row r="101" spans="1:36" x14ac:dyDescent="0.2">
      <c r="A101">
        <v>256</v>
      </c>
      <c r="B101">
        <v>1</v>
      </c>
      <c r="C101" t="s">
        <v>78</v>
      </c>
      <c r="D101" s="1">
        <v>1191.96</v>
      </c>
      <c r="E101" s="1">
        <v>1191.96</v>
      </c>
      <c r="F101" s="1">
        <v>1111.4100000000001</v>
      </c>
      <c r="G101" s="1">
        <v>1111.4100000000001</v>
      </c>
      <c r="H101" s="1">
        <v>1111.4100000000001</v>
      </c>
      <c r="I101" s="1">
        <v>1111.4100000000001</v>
      </c>
      <c r="J101" s="1">
        <v>1111.4100000000001</v>
      </c>
      <c r="K101" s="1">
        <v>1111.4100000000001</v>
      </c>
      <c r="L101" s="1">
        <v>1111.4100000000001</v>
      </c>
      <c r="M101" s="1">
        <v>1111.4100000000001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</row>
    <row r="102" spans="1:36" x14ac:dyDescent="0.2">
      <c r="A102">
        <v>261</v>
      </c>
      <c r="B102">
        <v>1</v>
      </c>
      <c r="C102" t="s">
        <v>79</v>
      </c>
      <c r="D102" s="1">
        <v>0</v>
      </c>
      <c r="E102" s="1">
        <v>1400</v>
      </c>
      <c r="F102" s="1">
        <v>1400</v>
      </c>
      <c r="G102" s="1">
        <v>1400</v>
      </c>
      <c r="H102" s="1">
        <v>1400</v>
      </c>
      <c r="I102" s="1">
        <v>1400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</row>
    <row r="103" spans="1:36" x14ac:dyDescent="0.2">
      <c r="A103">
        <v>264</v>
      </c>
      <c r="B103">
        <v>1</v>
      </c>
      <c r="C103" t="s">
        <v>80</v>
      </c>
      <c r="D103" s="1">
        <v>1327.24</v>
      </c>
      <c r="E103" s="1">
        <v>1327.24</v>
      </c>
      <c r="F103" s="1">
        <v>1327.24</v>
      </c>
      <c r="G103" s="1">
        <v>2427.2399999999998</v>
      </c>
      <c r="H103" s="1">
        <v>2427.2399999999998</v>
      </c>
      <c r="I103" s="1">
        <v>2427.2399999999998</v>
      </c>
      <c r="J103" s="1">
        <v>2027.24</v>
      </c>
      <c r="K103" s="1">
        <v>2027.24</v>
      </c>
      <c r="L103" s="1">
        <v>2027.24</v>
      </c>
      <c r="M103" s="1">
        <v>2027.24</v>
      </c>
      <c r="N103" s="1">
        <v>2027.24</v>
      </c>
      <c r="O103" s="1">
        <v>1100</v>
      </c>
      <c r="P103" s="1">
        <v>1100</v>
      </c>
      <c r="Q103" s="1">
        <v>0</v>
      </c>
      <c r="R103" s="1">
        <v>0</v>
      </c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</row>
    <row r="104" spans="1:36" x14ac:dyDescent="0.2">
      <c r="A104">
        <v>270</v>
      </c>
      <c r="B104">
        <v>1</v>
      </c>
      <c r="C104" t="s">
        <v>81</v>
      </c>
      <c r="D104" s="1">
        <v>1630.07</v>
      </c>
      <c r="E104" s="1">
        <v>1670.82</v>
      </c>
      <c r="F104" s="1">
        <v>1712.59</v>
      </c>
      <c r="G104" s="1">
        <v>1755.4</v>
      </c>
      <c r="H104" s="1">
        <v>1799.29</v>
      </c>
      <c r="I104" s="1">
        <v>1812.17</v>
      </c>
      <c r="J104" s="1">
        <v>1821.54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</row>
    <row r="105" spans="1:36" x14ac:dyDescent="0.2">
      <c r="A105">
        <v>271</v>
      </c>
      <c r="B105">
        <v>1</v>
      </c>
      <c r="C105" t="s">
        <v>82</v>
      </c>
      <c r="D105" s="1">
        <v>1503.1099999999997</v>
      </c>
      <c r="E105" s="1">
        <v>1533.62</v>
      </c>
      <c r="F105" s="1">
        <v>1578.71</v>
      </c>
      <c r="G105" s="1">
        <v>1604.6</v>
      </c>
      <c r="H105" s="1">
        <v>1629.79</v>
      </c>
      <c r="I105" s="1">
        <v>1656.52</v>
      </c>
      <c r="J105" s="1">
        <v>1683.52</v>
      </c>
      <c r="K105" s="1">
        <v>1715.84</v>
      </c>
      <c r="L105" s="1">
        <v>1747.93</v>
      </c>
      <c r="M105" s="1">
        <v>1782.89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</row>
    <row r="106" spans="1:36" x14ac:dyDescent="0.2">
      <c r="A106">
        <v>272</v>
      </c>
      <c r="B106">
        <v>1</v>
      </c>
      <c r="C106" t="s">
        <v>83</v>
      </c>
      <c r="D106" s="1">
        <v>1200</v>
      </c>
      <c r="E106" s="1">
        <v>1200</v>
      </c>
      <c r="F106" s="1">
        <v>1200</v>
      </c>
      <c r="G106" s="1">
        <v>1200</v>
      </c>
      <c r="H106" s="1">
        <v>1200</v>
      </c>
      <c r="I106" s="1">
        <v>1200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</row>
    <row r="107" spans="1:36" x14ac:dyDescent="0.2">
      <c r="A107">
        <v>273</v>
      </c>
      <c r="B107">
        <v>1</v>
      </c>
      <c r="C107" t="s">
        <v>84</v>
      </c>
      <c r="D107" s="1">
        <v>1796.1100000000001</v>
      </c>
      <c r="E107" s="1">
        <v>1824.4499999999998</v>
      </c>
      <c r="F107" s="1">
        <v>1866.3200000000002</v>
      </c>
      <c r="G107" s="1">
        <v>1890.37</v>
      </c>
      <c r="H107" s="1">
        <v>1913.77</v>
      </c>
      <c r="I107" s="1">
        <v>1938.5900000000001</v>
      </c>
      <c r="J107" s="1">
        <v>1963.67</v>
      </c>
      <c r="K107" s="1">
        <v>1993.69</v>
      </c>
      <c r="L107" s="1">
        <v>2023.4899999999998</v>
      </c>
      <c r="M107" s="1">
        <v>400.15</v>
      </c>
      <c r="N107" s="1">
        <v>400.15</v>
      </c>
      <c r="O107" s="1">
        <v>400.15</v>
      </c>
      <c r="P107" s="1">
        <v>400.15</v>
      </c>
      <c r="Q107" s="1">
        <v>0</v>
      </c>
      <c r="R107" s="1">
        <v>0</v>
      </c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</row>
    <row r="108" spans="1:36" x14ac:dyDescent="0.2">
      <c r="A108">
        <v>276</v>
      </c>
      <c r="B108">
        <v>1</v>
      </c>
      <c r="C108" t="s">
        <v>85</v>
      </c>
      <c r="D108" s="1">
        <v>1831.63</v>
      </c>
      <c r="E108" s="1">
        <v>1868.81</v>
      </c>
      <c r="F108" s="1">
        <v>1923.75</v>
      </c>
      <c r="G108" s="1">
        <v>1955.3000000000002</v>
      </c>
      <c r="H108" s="1">
        <v>1986</v>
      </c>
      <c r="I108" s="1">
        <v>2018.57</v>
      </c>
      <c r="J108" s="1">
        <v>2051.4699999999998</v>
      </c>
      <c r="K108" s="1">
        <v>2090.86</v>
      </c>
      <c r="L108" s="1">
        <v>2129.96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</row>
    <row r="109" spans="1:36" x14ac:dyDescent="0.2">
      <c r="A109">
        <v>277</v>
      </c>
      <c r="B109">
        <v>1</v>
      </c>
      <c r="C109" t="s">
        <v>86</v>
      </c>
      <c r="D109" s="1">
        <v>1474</v>
      </c>
      <c r="E109" s="1">
        <v>1480.8500000000001</v>
      </c>
      <c r="F109" s="1">
        <v>1490.98</v>
      </c>
      <c r="G109" s="1">
        <v>1496.79</v>
      </c>
      <c r="H109" s="1">
        <v>1502.45</v>
      </c>
      <c r="I109" s="1">
        <v>1508.45</v>
      </c>
      <c r="J109" s="1">
        <v>1514.51</v>
      </c>
      <c r="K109" s="1">
        <v>958.8</v>
      </c>
      <c r="L109" s="1">
        <v>966.01</v>
      </c>
      <c r="M109" s="1">
        <v>573.46</v>
      </c>
      <c r="N109" s="1">
        <v>573.46</v>
      </c>
      <c r="O109" s="1">
        <v>573.46</v>
      </c>
      <c r="P109" s="1">
        <v>573.46</v>
      </c>
      <c r="Q109" s="1">
        <v>573.46</v>
      </c>
      <c r="R109" s="1">
        <v>0</v>
      </c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</row>
    <row r="110" spans="1:36" x14ac:dyDescent="0.2">
      <c r="A110">
        <v>278</v>
      </c>
      <c r="B110">
        <v>1</v>
      </c>
      <c r="C110" t="s">
        <v>87</v>
      </c>
      <c r="D110" s="1">
        <v>1763</v>
      </c>
      <c r="E110" s="1">
        <v>1774.4299999999998</v>
      </c>
      <c r="F110" s="1">
        <v>1791.3200000000002</v>
      </c>
      <c r="G110" s="1">
        <v>1801.02</v>
      </c>
      <c r="H110" s="1">
        <v>1810.46</v>
      </c>
      <c r="I110" s="1">
        <v>1820.47</v>
      </c>
      <c r="J110" s="1">
        <v>630.58000000000004</v>
      </c>
      <c r="K110" s="1">
        <v>642.69000000000005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</row>
    <row r="111" spans="1:36" x14ac:dyDescent="0.2">
      <c r="A111">
        <v>279</v>
      </c>
      <c r="B111">
        <v>1</v>
      </c>
      <c r="C111" t="s">
        <v>88</v>
      </c>
      <c r="D111" s="1">
        <v>1159.69</v>
      </c>
      <c r="E111" s="1">
        <v>1183.23</v>
      </c>
      <c r="F111" s="1">
        <v>1218.02</v>
      </c>
      <c r="G111" s="1">
        <v>1238</v>
      </c>
      <c r="H111" s="1">
        <v>1257.44</v>
      </c>
      <c r="I111" s="1">
        <v>1278.06</v>
      </c>
      <c r="J111" s="1">
        <v>1298.8900000000001</v>
      </c>
      <c r="K111" s="1">
        <v>1323.83</v>
      </c>
      <c r="L111" s="1">
        <v>1348.59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</row>
    <row r="112" spans="1:36" x14ac:dyDescent="0.2">
      <c r="A112">
        <v>280</v>
      </c>
      <c r="B112">
        <v>1</v>
      </c>
      <c r="C112" t="s">
        <v>89</v>
      </c>
      <c r="D112" s="1">
        <v>1099.78</v>
      </c>
      <c r="E112" s="1">
        <v>1099.78</v>
      </c>
      <c r="F112" s="1">
        <v>1099.78</v>
      </c>
      <c r="G112" s="1">
        <v>1099.78</v>
      </c>
      <c r="H112" s="1">
        <v>1159.78</v>
      </c>
      <c r="I112" s="1">
        <v>1159.78</v>
      </c>
      <c r="J112" s="1">
        <v>1159.78</v>
      </c>
      <c r="K112" s="1">
        <v>361.4</v>
      </c>
      <c r="L112" s="1">
        <v>361.4</v>
      </c>
      <c r="M112" s="1">
        <v>361.4</v>
      </c>
      <c r="N112" s="1">
        <v>361.4</v>
      </c>
      <c r="O112" s="1">
        <v>361.4</v>
      </c>
      <c r="P112" s="1">
        <v>361.4</v>
      </c>
      <c r="Q112" s="1">
        <v>361.4</v>
      </c>
      <c r="R112" s="1">
        <v>0</v>
      </c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</row>
    <row r="113" spans="1:36" x14ac:dyDescent="0.2">
      <c r="A113">
        <v>281</v>
      </c>
      <c r="B113">
        <v>1</v>
      </c>
      <c r="C113" t="s">
        <v>90</v>
      </c>
      <c r="D113" s="1">
        <v>1479.81</v>
      </c>
      <c r="E113" s="1">
        <v>1507.4300000000003</v>
      </c>
      <c r="F113" s="1">
        <v>1548.2399999999998</v>
      </c>
      <c r="G113" s="1">
        <v>1571.67</v>
      </c>
      <c r="H113" s="1">
        <v>1594.47</v>
      </c>
      <c r="I113" s="1">
        <v>1618.66</v>
      </c>
      <c r="J113" s="1">
        <v>1643.1000000000001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</row>
    <row r="114" spans="1:36" x14ac:dyDescent="0.2">
      <c r="A114">
        <v>282</v>
      </c>
      <c r="B114">
        <v>1</v>
      </c>
      <c r="C114" t="s">
        <v>91</v>
      </c>
      <c r="D114" s="1">
        <v>1985</v>
      </c>
      <c r="E114" s="1">
        <v>1985</v>
      </c>
      <c r="F114" s="1">
        <v>1985</v>
      </c>
      <c r="G114" s="1">
        <v>1985</v>
      </c>
      <c r="H114" s="1">
        <v>1985</v>
      </c>
      <c r="I114" s="1">
        <v>1985</v>
      </c>
      <c r="J114" s="1">
        <v>1985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</row>
    <row r="115" spans="1:36" x14ac:dyDescent="0.2">
      <c r="A115">
        <v>283</v>
      </c>
      <c r="B115">
        <v>1</v>
      </c>
      <c r="C115" t="s">
        <v>92</v>
      </c>
      <c r="D115" s="1">
        <v>1869.7699999999998</v>
      </c>
      <c r="E115" s="1">
        <v>1907.7299999999998</v>
      </c>
      <c r="F115" s="1">
        <v>1963.82</v>
      </c>
      <c r="G115" s="1">
        <v>1996.03</v>
      </c>
      <c r="H115" s="1">
        <v>2027.3700000000001</v>
      </c>
      <c r="I115" s="1">
        <v>2060.62</v>
      </c>
      <c r="J115" s="1">
        <v>2094.21</v>
      </c>
      <c r="K115" s="1">
        <v>2134.42</v>
      </c>
      <c r="L115" s="1">
        <v>2174.33</v>
      </c>
      <c r="M115" s="1">
        <v>2217.8200000000002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</row>
    <row r="116" spans="1:36" x14ac:dyDescent="0.2">
      <c r="A116">
        <v>284</v>
      </c>
      <c r="B116">
        <v>1</v>
      </c>
      <c r="C116" t="s">
        <v>93</v>
      </c>
      <c r="D116" s="1">
        <v>1609.28</v>
      </c>
      <c r="E116" s="1">
        <v>1609.28</v>
      </c>
      <c r="F116" s="1">
        <v>1656.59</v>
      </c>
      <c r="G116" s="1">
        <v>1683.76</v>
      </c>
      <c r="H116" s="1">
        <v>1710.2</v>
      </c>
      <c r="I116" s="1">
        <v>1738.25</v>
      </c>
      <c r="J116" s="1">
        <v>1766.58</v>
      </c>
      <c r="K116" s="1">
        <v>1800.5</v>
      </c>
      <c r="L116" s="1">
        <v>1834.17</v>
      </c>
      <c r="M116" s="1">
        <v>1870.85</v>
      </c>
      <c r="N116" s="1">
        <v>1907.33</v>
      </c>
      <c r="O116" s="1">
        <v>0</v>
      </c>
      <c r="P116" s="1">
        <v>0</v>
      </c>
      <c r="Q116" s="1">
        <v>0</v>
      </c>
      <c r="R116" s="1">
        <v>0</v>
      </c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</row>
    <row r="117" spans="1:36" x14ac:dyDescent="0.2">
      <c r="A117">
        <v>286</v>
      </c>
      <c r="B117">
        <v>1</v>
      </c>
      <c r="C117" t="s">
        <v>94</v>
      </c>
      <c r="D117" s="1">
        <v>337.14</v>
      </c>
      <c r="E117" s="1">
        <v>337.14</v>
      </c>
      <c r="F117" s="1">
        <v>337.14</v>
      </c>
      <c r="G117" s="1">
        <v>337</v>
      </c>
      <c r="H117" s="1">
        <v>337</v>
      </c>
      <c r="I117" s="1">
        <v>337</v>
      </c>
      <c r="J117" s="1">
        <v>337</v>
      </c>
      <c r="K117" s="1">
        <v>337</v>
      </c>
      <c r="L117" s="1">
        <v>337</v>
      </c>
      <c r="M117" s="1">
        <v>337</v>
      </c>
      <c r="N117" s="1">
        <v>337</v>
      </c>
      <c r="O117" s="1">
        <v>337</v>
      </c>
      <c r="P117" s="1">
        <v>337</v>
      </c>
      <c r="Q117" s="1">
        <v>0</v>
      </c>
      <c r="R117" s="1">
        <v>0</v>
      </c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</row>
    <row r="118" spans="1:36" x14ac:dyDescent="0.2">
      <c r="A118">
        <v>294</v>
      </c>
      <c r="B118">
        <v>1</v>
      </c>
      <c r="C118" t="s">
        <v>95</v>
      </c>
      <c r="D118" s="1">
        <v>1077</v>
      </c>
      <c r="E118" s="1">
        <v>1077</v>
      </c>
      <c r="F118" s="1">
        <v>1077</v>
      </c>
      <c r="G118" s="1">
        <v>1077</v>
      </c>
      <c r="H118" s="1">
        <v>1077</v>
      </c>
      <c r="I118" s="1">
        <v>1077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</row>
    <row r="119" spans="1:36" x14ac:dyDescent="0.2">
      <c r="A119">
        <v>297</v>
      </c>
      <c r="B119">
        <v>1</v>
      </c>
      <c r="C119" t="s">
        <v>96</v>
      </c>
      <c r="D119" s="1">
        <v>1388</v>
      </c>
      <c r="E119" s="1">
        <v>1388</v>
      </c>
      <c r="F119" s="1">
        <v>1388</v>
      </c>
      <c r="G119" s="1">
        <v>1388</v>
      </c>
      <c r="H119" s="1">
        <v>1388</v>
      </c>
      <c r="I119" s="1">
        <v>1388</v>
      </c>
      <c r="J119" s="1">
        <v>1388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</row>
    <row r="120" spans="1:36" x14ac:dyDescent="0.2">
      <c r="A120">
        <v>299</v>
      </c>
      <c r="B120">
        <v>1</v>
      </c>
      <c r="C120" t="s">
        <v>97</v>
      </c>
      <c r="D120" s="1">
        <v>725.96</v>
      </c>
      <c r="E120" s="1">
        <v>725.96</v>
      </c>
      <c r="F120" s="1">
        <v>725.96</v>
      </c>
      <c r="G120" s="1">
        <v>725.96</v>
      </c>
      <c r="H120" s="1">
        <v>725.96</v>
      </c>
      <c r="I120" s="1">
        <v>725.96</v>
      </c>
      <c r="J120" s="1">
        <v>725.96</v>
      </c>
      <c r="K120" s="1">
        <v>725.96</v>
      </c>
      <c r="L120" s="1">
        <v>725.96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</row>
    <row r="121" spans="1:36" x14ac:dyDescent="0.2">
      <c r="A121">
        <v>300</v>
      </c>
      <c r="B121">
        <v>1</v>
      </c>
      <c r="C121" t="s">
        <v>98</v>
      </c>
      <c r="D121" s="1">
        <v>589.6</v>
      </c>
      <c r="E121" s="1">
        <v>601.54999999999995</v>
      </c>
      <c r="F121" s="1">
        <v>619.21</v>
      </c>
      <c r="G121" s="1">
        <v>608.34</v>
      </c>
      <c r="H121" s="1">
        <v>617.89</v>
      </c>
      <c r="I121" s="1">
        <v>628.02</v>
      </c>
      <c r="J121" s="1">
        <v>638.26</v>
      </c>
      <c r="K121" s="1">
        <v>650.51</v>
      </c>
      <c r="L121" s="1">
        <v>662.67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</row>
    <row r="122" spans="1:36" x14ac:dyDescent="0.2">
      <c r="A122">
        <v>306</v>
      </c>
      <c r="B122">
        <v>1</v>
      </c>
      <c r="C122" t="s">
        <v>99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</row>
    <row r="123" spans="1:36" x14ac:dyDescent="0.2">
      <c r="A123">
        <v>308</v>
      </c>
      <c r="B123">
        <v>1</v>
      </c>
      <c r="C123" t="s">
        <v>100</v>
      </c>
      <c r="D123" s="1">
        <v>126.47</v>
      </c>
      <c r="E123" s="1">
        <v>126.47</v>
      </c>
      <c r="F123" s="1">
        <v>126.47</v>
      </c>
      <c r="G123" s="1">
        <v>252</v>
      </c>
      <c r="H123" s="1">
        <v>252</v>
      </c>
      <c r="I123" s="1">
        <v>252</v>
      </c>
      <c r="J123" s="1">
        <v>252</v>
      </c>
      <c r="K123" s="1">
        <v>252</v>
      </c>
      <c r="L123" s="1">
        <v>252</v>
      </c>
      <c r="M123" s="1">
        <v>252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</row>
    <row r="124" spans="1:36" x14ac:dyDescent="0.2">
      <c r="A124">
        <v>309</v>
      </c>
      <c r="B124">
        <v>1</v>
      </c>
      <c r="C124" t="s">
        <v>101</v>
      </c>
      <c r="D124" s="1">
        <v>600</v>
      </c>
      <c r="E124" s="1">
        <v>600</v>
      </c>
      <c r="F124" s="1">
        <v>600</v>
      </c>
      <c r="G124" s="1">
        <v>600</v>
      </c>
      <c r="H124" s="1">
        <v>600</v>
      </c>
      <c r="I124" s="1">
        <v>600</v>
      </c>
      <c r="J124" s="1">
        <v>600</v>
      </c>
      <c r="K124" s="1">
        <v>600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</row>
    <row r="125" spans="1:36" x14ac:dyDescent="0.2">
      <c r="A125">
        <v>314</v>
      </c>
      <c r="B125">
        <v>1</v>
      </c>
      <c r="C125" t="s">
        <v>102</v>
      </c>
      <c r="D125" s="1">
        <v>475</v>
      </c>
      <c r="E125" s="1">
        <v>475</v>
      </c>
      <c r="F125" s="1">
        <v>475</v>
      </c>
      <c r="G125" s="1">
        <v>475</v>
      </c>
      <c r="H125" s="1">
        <v>475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</row>
    <row r="126" spans="1:36" x14ac:dyDescent="0.2">
      <c r="A126">
        <v>316</v>
      </c>
      <c r="B126">
        <v>1</v>
      </c>
      <c r="C126" t="s">
        <v>103</v>
      </c>
      <c r="D126" s="1">
        <v>736.05</v>
      </c>
      <c r="E126" s="1">
        <v>428.97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</row>
    <row r="127" spans="1:36" x14ac:dyDescent="0.2">
      <c r="A127">
        <v>317</v>
      </c>
      <c r="B127">
        <v>1</v>
      </c>
      <c r="C127" t="s">
        <v>104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</row>
    <row r="128" spans="1:36" x14ac:dyDescent="0.2">
      <c r="A128">
        <v>318</v>
      </c>
      <c r="B128">
        <v>1</v>
      </c>
      <c r="C128" t="s">
        <v>105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</row>
    <row r="129" spans="1:36" x14ac:dyDescent="0.2">
      <c r="A129">
        <v>319</v>
      </c>
      <c r="B129">
        <v>1</v>
      </c>
      <c r="C129" t="s">
        <v>106</v>
      </c>
      <c r="D129" s="1">
        <v>0</v>
      </c>
      <c r="E129" s="1">
        <v>700</v>
      </c>
      <c r="F129" s="1">
        <v>700</v>
      </c>
      <c r="G129" s="1">
        <v>700</v>
      </c>
      <c r="H129" s="1">
        <v>700</v>
      </c>
      <c r="I129" s="1">
        <v>700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</row>
    <row r="130" spans="1:36" x14ac:dyDescent="0.2">
      <c r="A130">
        <v>323</v>
      </c>
      <c r="B130">
        <v>2</v>
      </c>
      <c r="C130" t="s">
        <v>107</v>
      </c>
      <c r="D130" s="1">
        <v>1400</v>
      </c>
      <c r="E130" s="1">
        <v>1400</v>
      </c>
      <c r="F130" s="1">
        <v>1700</v>
      </c>
      <c r="G130" s="1">
        <v>1700</v>
      </c>
      <c r="H130" s="1">
        <v>1700</v>
      </c>
      <c r="I130" s="1">
        <v>1700</v>
      </c>
      <c r="J130" s="1">
        <v>1700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</row>
    <row r="131" spans="1:36" x14ac:dyDescent="0.2">
      <c r="A131">
        <v>330</v>
      </c>
      <c r="B131">
        <v>1</v>
      </c>
      <c r="C131" t="s">
        <v>108</v>
      </c>
      <c r="D131" s="1">
        <v>1087.23</v>
      </c>
      <c r="E131" s="1">
        <v>2087.23</v>
      </c>
      <c r="F131" s="1">
        <v>2087.23</v>
      </c>
      <c r="G131" s="1">
        <v>2087.23</v>
      </c>
      <c r="H131" s="1">
        <v>2087.23</v>
      </c>
      <c r="I131" s="1">
        <v>2087.23</v>
      </c>
      <c r="J131" s="1">
        <v>2087.23</v>
      </c>
      <c r="K131" s="1">
        <v>2087.23</v>
      </c>
      <c r="L131" s="1">
        <v>2087.23</v>
      </c>
      <c r="M131" s="1">
        <v>2087.23</v>
      </c>
      <c r="N131" s="1">
        <v>2087.23</v>
      </c>
      <c r="O131" s="1">
        <v>0</v>
      </c>
      <c r="P131" s="1">
        <v>0</v>
      </c>
      <c r="Q131" s="1">
        <v>0</v>
      </c>
      <c r="R131" s="1">
        <v>0</v>
      </c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</row>
    <row r="132" spans="1:36" x14ac:dyDescent="0.2">
      <c r="A132">
        <v>332</v>
      </c>
      <c r="B132">
        <v>1</v>
      </c>
      <c r="C132" t="s">
        <v>109</v>
      </c>
      <c r="D132" s="1">
        <v>126.21</v>
      </c>
      <c r="E132" s="1">
        <v>126.21</v>
      </c>
      <c r="F132" s="1">
        <v>126.21</v>
      </c>
      <c r="G132" s="1">
        <v>126.21</v>
      </c>
      <c r="H132" s="1">
        <v>126.21</v>
      </c>
      <c r="I132" s="1">
        <v>126.21</v>
      </c>
      <c r="J132" s="1">
        <v>126.21</v>
      </c>
      <c r="K132" s="1">
        <v>126.21</v>
      </c>
      <c r="L132" s="1">
        <v>126.21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</row>
    <row r="133" spans="1:36" x14ac:dyDescent="0.2">
      <c r="A133">
        <v>333</v>
      </c>
      <c r="B133">
        <v>1</v>
      </c>
      <c r="C133" t="s">
        <v>110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</row>
    <row r="134" spans="1:36" x14ac:dyDescent="0.2">
      <c r="A134">
        <v>345</v>
      </c>
      <c r="B134">
        <v>1</v>
      </c>
      <c r="C134" t="s">
        <v>111</v>
      </c>
      <c r="D134" s="1">
        <v>397.87</v>
      </c>
      <c r="E134" s="1">
        <v>597</v>
      </c>
      <c r="F134" s="1">
        <v>597</v>
      </c>
      <c r="G134" s="1">
        <v>597</v>
      </c>
      <c r="H134" s="1">
        <v>597</v>
      </c>
      <c r="I134" s="1">
        <v>597</v>
      </c>
      <c r="J134" s="1">
        <v>597</v>
      </c>
      <c r="K134" s="1">
        <v>597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</row>
    <row r="135" spans="1:36" x14ac:dyDescent="0.2">
      <c r="A135">
        <v>347</v>
      </c>
      <c r="B135">
        <v>1</v>
      </c>
      <c r="C135" t="s">
        <v>112</v>
      </c>
      <c r="D135" s="1">
        <v>700</v>
      </c>
      <c r="E135" s="1">
        <v>700</v>
      </c>
      <c r="F135" s="1">
        <v>700</v>
      </c>
      <c r="G135" s="1">
        <v>700</v>
      </c>
      <c r="H135" s="1">
        <v>700</v>
      </c>
      <c r="I135" s="1">
        <v>700</v>
      </c>
      <c r="J135" s="1">
        <v>700</v>
      </c>
      <c r="K135" s="1">
        <v>700</v>
      </c>
      <c r="L135" s="1">
        <v>700</v>
      </c>
      <c r="M135" s="1">
        <v>700</v>
      </c>
      <c r="N135" s="1">
        <v>498.49</v>
      </c>
      <c r="O135" s="1">
        <v>498.49</v>
      </c>
      <c r="P135" s="1">
        <v>0</v>
      </c>
      <c r="Q135" s="1">
        <v>0</v>
      </c>
      <c r="R135" s="1">
        <v>0</v>
      </c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</row>
    <row r="136" spans="1:36" x14ac:dyDescent="0.2">
      <c r="A136">
        <v>356</v>
      </c>
      <c r="B136">
        <v>1</v>
      </c>
      <c r="C136" t="s">
        <v>113</v>
      </c>
      <c r="D136" s="1">
        <v>1695.97</v>
      </c>
      <c r="E136" s="1">
        <v>1716.64</v>
      </c>
      <c r="F136" s="1">
        <v>2744.6800000000003</v>
      </c>
      <c r="G136" s="1">
        <v>2789.6899999999996</v>
      </c>
      <c r="H136" s="1">
        <v>2833.49</v>
      </c>
      <c r="I136" s="1">
        <v>2879.96</v>
      </c>
      <c r="J136" s="1">
        <v>2926.91</v>
      </c>
      <c r="K136" s="1">
        <v>2983.1099999999997</v>
      </c>
      <c r="L136" s="1">
        <v>3038.89</v>
      </c>
      <c r="M136" s="1">
        <v>1891.64</v>
      </c>
      <c r="N136" s="1">
        <v>1928.53</v>
      </c>
      <c r="O136" s="1">
        <v>1966.14</v>
      </c>
      <c r="P136" s="1">
        <v>0</v>
      </c>
      <c r="Q136" s="1">
        <v>0</v>
      </c>
      <c r="R136" s="1">
        <v>0</v>
      </c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</row>
    <row r="137" spans="1:36" x14ac:dyDescent="0.2">
      <c r="A137">
        <v>361</v>
      </c>
      <c r="B137">
        <v>1</v>
      </c>
      <c r="C137" t="s">
        <v>114</v>
      </c>
      <c r="D137" s="1">
        <v>567.49</v>
      </c>
      <c r="E137" s="1">
        <v>637.49</v>
      </c>
      <c r="F137" s="1">
        <v>637.49</v>
      </c>
      <c r="G137" s="1">
        <v>637.49</v>
      </c>
      <c r="H137" s="1">
        <v>637.49</v>
      </c>
      <c r="I137" s="1">
        <v>637.49</v>
      </c>
      <c r="J137" s="1">
        <v>637.49</v>
      </c>
      <c r="K137" s="1">
        <v>637.49</v>
      </c>
      <c r="L137" s="1">
        <v>637.49</v>
      </c>
      <c r="M137" s="1">
        <v>637.49</v>
      </c>
      <c r="N137" s="1">
        <v>637.49</v>
      </c>
      <c r="O137" s="1">
        <v>0</v>
      </c>
      <c r="P137" s="1">
        <v>0</v>
      </c>
      <c r="Q137" s="1">
        <v>0</v>
      </c>
      <c r="R137" s="1">
        <v>0</v>
      </c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</row>
    <row r="138" spans="1:36" x14ac:dyDescent="0.2">
      <c r="A138">
        <v>362</v>
      </c>
      <c r="B138">
        <v>1</v>
      </c>
      <c r="C138" t="s">
        <v>115</v>
      </c>
      <c r="D138" s="1">
        <v>1</v>
      </c>
      <c r="E138" s="1">
        <v>1</v>
      </c>
      <c r="F138" s="1">
        <v>1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</row>
    <row r="139" spans="1:36" x14ac:dyDescent="0.2">
      <c r="A139">
        <v>363</v>
      </c>
      <c r="B139">
        <v>1</v>
      </c>
      <c r="C139" t="s">
        <v>116</v>
      </c>
      <c r="D139" s="1">
        <v>1.01</v>
      </c>
      <c r="E139" s="1">
        <v>1.01</v>
      </c>
      <c r="F139" s="1">
        <v>1.01</v>
      </c>
      <c r="G139" s="1">
        <v>1.01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</row>
    <row r="140" spans="1:36" x14ac:dyDescent="0.2">
      <c r="A140">
        <v>378</v>
      </c>
      <c r="B140">
        <v>1</v>
      </c>
      <c r="C140" t="s">
        <v>117</v>
      </c>
      <c r="D140" s="1">
        <v>756.55</v>
      </c>
      <c r="E140" s="1">
        <v>756.55</v>
      </c>
      <c r="F140" s="1">
        <v>756.55</v>
      </c>
      <c r="G140" s="1">
        <v>990</v>
      </c>
      <c r="H140" s="1">
        <v>990</v>
      </c>
      <c r="I140" s="1">
        <v>990</v>
      </c>
      <c r="J140" s="1">
        <v>990</v>
      </c>
      <c r="K140" s="1">
        <v>990</v>
      </c>
      <c r="L140" s="1">
        <v>990</v>
      </c>
      <c r="M140" s="1">
        <v>990</v>
      </c>
      <c r="N140" s="1">
        <v>990</v>
      </c>
      <c r="O140" s="1">
        <v>990</v>
      </c>
      <c r="P140" s="1">
        <v>990</v>
      </c>
      <c r="Q140" s="1">
        <v>0</v>
      </c>
      <c r="R140" s="1">
        <v>0</v>
      </c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</row>
    <row r="141" spans="1:36" x14ac:dyDescent="0.2">
      <c r="A141">
        <v>381</v>
      </c>
      <c r="B141">
        <v>1</v>
      </c>
      <c r="C141" t="s">
        <v>118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</row>
    <row r="142" spans="1:36" x14ac:dyDescent="0.2">
      <c r="A142">
        <v>390</v>
      </c>
      <c r="B142">
        <v>1</v>
      </c>
      <c r="C142" t="s">
        <v>119</v>
      </c>
      <c r="D142" s="1">
        <v>700</v>
      </c>
      <c r="E142" s="1">
        <v>700</v>
      </c>
      <c r="F142" s="1">
        <v>700</v>
      </c>
      <c r="G142" s="1">
        <v>700</v>
      </c>
      <c r="H142" s="1">
        <v>700</v>
      </c>
      <c r="I142" s="1">
        <v>700</v>
      </c>
      <c r="J142" s="1">
        <v>700</v>
      </c>
      <c r="K142" s="1">
        <v>700</v>
      </c>
      <c r="L142" s="1">
        <v>700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</row>
    <row r="143" spans="1:36" x14ac:dyDescent="0.2">
      <c r="A143">
        <v>391</v>
      </c>
      <c r="B143">
        <v>1</v>
      </c>
      <c r="C143" t="s">
        <v>120</v>
      </c>
      <c r="D143" s="1">
        <v>701.81</v>
      </c>
      <c r="E143" s="1">
        <v>701.81</v>
      </c>
      <c r="F143" s="1">
        <v>701.81</v>
      </c>
      <c r="G143" s="1">
        <v>901.81</v>
      </c>
      <c r="H143" s="1">
        <v>901.81</v>
      </c>
      <c r="I143" s="1">
        <v>901.81</v>
      </c>
      <c r="J143" s="1">
        <v>901.81</v>
      </c>
      <c r="K143" s="1">
        <v>551.80999999999995</v>
      </c>
      <c r="L143" s="1">
        <v>551.80999999999995</v>
      </c>
      <c r="M143" s="1">
        <v>551.80999999999995</v>
      </c>
      <c r="N143" s="1">
        <v>551.80999999999995</v>
      </c>
      <c r="O143" s="1">
        <v>551.80999999999995</v>
      </c>
      <c r="P143" s="1">
        <v>551.80999999999995</v>
      </c>
      <c r="Q143" s="1">
        <v>0</v>
      </c>
      <c r="R143" s="1">
        <v>0</v>
      </c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</row>
    <row r="144" spans="1:36" x14ac:dyDescent="0.2">
      <c r="A144">
        <v>402</v>
      </c>
      <c r="B144">
        <v>1</v>
      </c>
      <c r="C144" t="s">
        <v>121</v>
      </c>
      <c r="D144" s="1">
        <v>800.06</v>
      </c>
      <c r="E144" s="1">
        <v>1350</v>
      </c>
      <c r="F144" s="1">
        <v>1389.69</v>
      </c>
      <c r="G144" s="1">
        <v>1412.48</v>
      </c>
      <c r="H144" s="1">
        <v>1999.9999999999998</v>
      </c>
      <c r="I144" s="1">
        <v>2032.7999999999997</v>
      </c>
      <c r="J144" s="1">
        <v>2065.9299999999998</v>
      </c>
      <c r="K144" s="1">
        <v>2105.6000000000004</v>
      </c>
      <c r="L144" s="1">
        <v>2144.9699999999998</v>
      </c>
      <c r="M144" s="1">
        <v>2187.87</v>
      </c>
      <c r="N144" s="1">
        <v>2230.5300000000002</v>
      </c>
      <c r="O144" s="1">
        <v>2274.0300000000002</v>
      </c>
      <c r="P144" s="1">
        <v>2318.37</v>
      </c>
      <c r="Q144" s="1">
        <v>2363.58</v>
      </c>
      <c r="R144" s="1">
        <v>0</v>
      </c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</row>
    <row r="145" spans="1:36" x14ac:dyDescent="0.2">
      <c r="A145">
        <v>403</v>
      </c>
      <c r="B145">
        <v>1</v>
      </c>
      <c r="C145" t="s">
        <v>122</v>
      </c>
      <c r="D145" s="1">
        <v>1200</v>
      </c>
      <c r="E145" s="1">
        <v>1200</v>
      </c>
      <c r="F145" s="1">
        <v>1200</v>
      </c>
      <c r="G145" s="1">
        <v>1200</v>
      </c>
      <c r="H145" s="1">
        <v>1200</v>
      </c>
      <c r="I145" s="1">
        <v>1200</v>
      </c>
      <c r="J145" s="1">
        <v>1200</v>
      </c>
      <c r="K145" s="1">
        <v>1200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</row>
    <row r="146" spans="1:36" x14ac:dyDescent="0.2">
      <c r="A146">
        <v>404</v>
      </c>
      <c r="B146">
        <v>1</v>
      </c>
      <c r="C146" t="s">
        <v>123</v>
      </c>
      <c r="D146" s="1">
        <v>1477.84</v>
      </c>
      <c r="E146" s="1">
        <v>1507.84</v>
      </c>
      <c r="F146" s="1">
        <v>1552.17</v>
      </c>
      <c r="G146" s="1">
        <v>1577.63</v>
      </c>
      <c r="H146" s="1">
        <v>1602.4</v>
      </c>
      <c r="I146" s="1">
        <v>1628.68</v>
      </c>
      <c r="J146" s="1">
        <v>1655.23</v>
      </c>
      <c r="K146" s="1">
        <v>1687.01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</row>
    <row r="147" spans="1:36" x14ac:dyDescent="0.2">
      <c r="A147">
        <v>413</v>
      </c>
      <c r="B147">
        <v>1</v>
      </c>
      <c r="C147" t="s">
        <v>124</v>
      </c>
      <c r="D147" s="1">
        <v>675</v>
      </c>
      <c r="E147" s="1">
        <v>675</v>
      </c>
      <c r="F147" s="1">
        <v>675</v>
      </c>
      <c r="G147" s="1">
        <v>675</v>
      </c>
      <c r="H147" s="1">
        <v>675</v>
      </c>
      <c r="I147" s="1">
        <v>675</v>
      </c>
      <c r="J147" s="1">
        <v>675</v>
      </c>
      <c r="K147" s="1">
        <v>675</v>
      </c>
      <c r="L147" s="1">
        <v>675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</row>
    <row r="148" spans="1:36" x14ac:dyDescent="0.2">
      <c r="A148">
        <v>414</v>
      </c>
      <c r="B148">
        <v>1</v>
      </c>
      <c r="C148" t="s">
        <v>125</v>
      </c>
      <c r="D148" s="1">
        <v>126.3</v>
      </c>
      <c r="E148" s="1">
        <v>126.3</v>
      </c>
      <c r="F148" s="1">
        <v>700</v>
      </c>
      <c r="G148" s="1">
        <v>700</v>
      </c>
      <c r="H148" s="1">
        <v>700</v>
      </c>
      <c r="I148" s="1">
        <v>700</v>
      </c>
      <c r="J148" s="1">
        <v>700</v>
      </c>
      <c r="K148" s="1">
        <v>700</v>
      </c>
      <c r="L148" s="1">
        <v>700</v>
      </c>
      <c r="M148" s="1">
        <v>700</v>
      </c>
      <c r="N148" s="1">
        <v>700</v>
      </c>
      <c r="O148" s="1">
        <v>700</v>
      </c>
      <c r="P148" s="1">
        <v>0</v>
      </c>
      <c r="Q148" s="1">
        <v>0</v>
      </c>
      <c r="R148" s="1">
        <v>0</v>
      </c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</row>
    <row r="149" spans="1:36" x14ac:dyDescent="0.2">
      <c r="A149">
        <v>415</v>
      </c>
      <c r="B149">
        <v>1</v>
      </c>
      <c r="C149" t="s">
        <v>126</v>
      </c>
      <c r="D149" s="1">
        <v>1615</v>
      </c>
      <c r="E149" s="1">
        <v>1615</v>
      </c>
      <c r="F149" s="1">
        <v>1615</v>
      </c>
      <c r="G149" s="1">
        <v>1615</v>
      </c>
      <c r="H149" s="1">
        <v>1615</v>
      </c>
      <c r="I149" s="1">
        <v>1615</v>
      </c>
      <c r="J149" s="1">
        <v>1615</v>
      </c>
      <c r="K149" s="1">
        <v>615</v>
      </c>
      <c r="L149" s="1">
        <v>615</v>
      </c>
      <c r="M149" s="1">
        <v>615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</row>
    <row r="150" spans="1:36" x14ac:dyDescent="0.2">
      <c r="A150">
        <v>423</v>
      </c>
      <c r="B150">
        <v>1</v>
      </c>
      <c r="C150" t="s">
        <v>127</v>
      </c>
      <c r="D150" s="1">
        <v>807.19</v>
      </c>
      <c r="E150" s="1">
        <v>807.19</v>
      </c>
      <c r="F150" s="1">
        <v>807.19</v>
      </c>
      <c r="G150" s="1">
        <v>807.19</v>
      </c>
      <c r="H150" s="1">
        <v>807.19</v>
      </c>
      <c r="I150" s="1">
        <v>127.19</v>
      </c>
      <c r="J150" s="1">
        <v>127.19</v>
      </c>
      <c r="K150" s="1">
        <v>127.19</v>
      </c>
      <c r="L150" s="1">
        <v>127.19</v>
      </c>
      <c r="M150" s="1">
        <v>127.19</v>
      </c>
      <c r="N150" s="1">
        <v>127.19</v>
      </c>
      <c r="O150" s="1">
        <v>127.19</v>
      </c>
      <c r="P150" s="1">
        <v>127.19</v>
      </c>
      <c r="Q150" s="1">
        <v>0</v>
      </c>
      <c r="R150" s="1">
        <v>0</v>
      </c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</row>
    <row r="151" spans="1:36" x14ac:dyDescent="0.2">
      <c r="A151">
        <v>424</v>
      </c>
      <c r="B151">
        <v>1</v>
      </c>
      <c r="C151" t="s">
        <v>128</v>
      </c>
      <c r="D151" s="1">
        <v>1021.88</v>
      </c>
      <c r="E151" s="1">
        <v>1021</v>
      </c>
      <c r="F151" s="1">
        <v>1021</v>
      </c>
      <c r="G151" s="1">
        <v>1021</v>
      </c>
      <c r="H151" s="1">
        <v>1021</v>
      </c>
      <c r="I151" s="1">
        <v>521</v>
      </c>
      <c r="J151" s="1">
        <v>521</v>
      </c>
      <c r="K151" s="1">
        <v>521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</row>
    <row r="152" spans="1:36" x14ac:dyDescent="0.2">
      <c r="A152">
        <v>432</v>
      </c>
      <c r="B152">
        <v>1</v>
      </c>
      <c r="C152" t="s">
        <v>129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</row>
    <row r="153" spans="1:36" x14ac:dyDescent="0.2">
      <c r="A153">
        <v>435</v>
      </c>
      <c r="B153">
        <v>1</v>
      </c>
      <c r="C153" t="s">
        <v>130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</row>
    <row r="154" spans="1:36" x14ac:dyDescent="0.2">
      <c r="A154">
        <v>441</v>
      </c>
      <c r="B154">
        <v>1</v>
      </c>
      <c r="C154" t="s">
        <v>131</v>
      </c>
      <c r="D154" s="1">
        <v>800.44</v>
      </c>
      <c r="E154" s="1">
        <v>800.44</v>
      </c>
      <c r="F154" s="1">
        <v>800.44</v>
      </c>
      <c r="G154" s="1">
        <v>1600</v>
      </c>
      <c r="H154" s="1">
        <v>1600</v>
      </c>
      <c r="I154" s="1">
        <v>1600</v>
      </c>
      <c r="J154" s="1">
        <v>1000</v>
      </c>
      <c r="K154" s="1">
        <v>1000</v>
      </c>
      <c r="L154" s="1">
        <v>1000</v>
      </c>
      <c r="M154" s="1">
        <v>1000</v>
      </c>
      <c r="N154" s="1">
        <v>1000</v>
      </c>
      <c r="O154" s="1">
        <v>1000</v>
      </c>
      <c r="P154" s="1">
        <v>1000</v>
      </c>
      <c r="Q154" s="1">
        <v>0</v>
      </c>
      <c r="R154" s="1">
        <v>0</v>
      </c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</row>
    <row r="155" spans="1:36" x14ac:dyDescent="0.2">
      <c r="A155">
        <v>447</v>
      </c>
      <c r="B155">
        <v>1</v>
      </c>
      <c r="C155" t="s">
        <v>132</v>
      </c>
      <c r="D155" s="1">
        <v>126.14</v>
      </c>
      <c r="E155" s="1">
        <v>126.14</v>
      </c>
      <c r="F155" s="1">
        <v>126.14</v>
      </c>
      <c r="G155" s="1">
        <v>1000</v>
      </c>
      <c r="H155" s="1">
        <v>1000</v>
      </c>
      <c r="I155" s="1">
        <v>1000</v>
      </c>
      <c r="J155" s="1">
        <v>1000</v>
      </c>
      <c r="K155" s="1">
        <v>1000</v>
      </c>
      <c r="L155" s="1">
        <v>1000</v>
      </c>
      <c r="M155" s="1">
        <v>1000</v>
      </c>
      <c r="N155" s="1">
        <v>1000</v>
      </c>
      <c r="O155" s="1">
        <v>1000</v>
      </c>
      <c r="P155" s="1">
        <v>1000</v>
      </c>
      <c r="Q155" s="1">
        <v>0</v>
      </c>
      <c r="R155" s="1">
        <v>0</v>
      </c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</row>
    <row r="156" spans="1:36" x14ac:dyDescent="0.2">
      <c r="A156">
        <v>458</v>
      </c>
      <c r="B156">
        <v>1</v>
      </c>
      <c r="C156" t="s">
        <v>133</v>
      </c>
      <c r="D156" s="1">
        <v>1476.2</v>
      </c>
      <c r="E156" s="1">
        <v>1476.2</v>
      </c>
      <c r="F156" s="1">
        <v>1476.2</v>
      </c>
      <c r="G156" s="1">
        <v>1476.2</v>
      </c>
      <c r="H156" s="1">
        <v>1476.1999999999998</v>
      </c>
      <c r="I156" s="1">
        <v>1476.1999999999998</v>
      </c>
      <c r="J156" s="1">
        <v>1476.1999999999998</v>
      </c>
      <c r="K156" s="1">
        <v>1476.1999999999998</v>
      </c>
      <c r="L156" s="1">
        <v>1476.1999999999998</v>
      </c>
      <c r="M156" s="1">
        <v>773.8599999999999</v>
      </c>
      <c r="N156" s="1">
        <v>773.8599999999999</v>
      </c>
      <c r="O156" s="1">
        <v>773.8599999999999</v>
      </c>
      <c r="P156" s="1">
        <v>256.81</v>
      </c>
      <c r="Q156" s="1">
        <v>256.81</v>
      </c>
      <c r="R156" s="1">
        <v>0</v>
      </c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</row>
    <row r="157" spans="1:36" x14ac:dyDescent="0.2">
      <c r="A157">
        <v>463</v>
      </c>
      <c r="B157">
        <v>1</v>
      </c>
      <c r="C157" t="s">
        <v>134</v>
      </c>
      <c r="D157" s="1">
        <v>450</v>
      </c>
      <c r="E157" s="1">
        <v>700</v>
      </c>
      <c r="F157" s="1">
        <v>720.57999999999993</v>
      </c>
      <c r="G157" s="1">
        <v>732.4</v>
      </c>
      <c r="H157" s="1">
        <v>743.9</v>
      </c>
      <c r="I157" s="1">
        <v>756.1</v>
      </c>
      <c r="J157" s="1">
        <v>768.42</v>
      </c>
      <c r="K157" s="1">
        <v>783.17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</row>
    <row r="158" spans="1:36" x14ac:dyDescent="0.2">
      <c r="A158">
        <v>465</v>
      </c>
      <c r="B158">
        <v>1</v>
      </c>
      <c r="C158" t="s">
        <v>135</v>
      </c>
      <c r="D158" s="1">
        <v>301.51</v>
      </c>
      <c r="E158" s="1">
        <v>600</v>
      </c>
      <c r="F158" s="1">
        <v>600</v>
      </c>
      <c r="G158" s="1">
        <v>600</v>
      </c>
      <c r="H158" s="1">
        <v>600</v>
      </c>
      <c r="I158" s="1">
        <v>600</v>
      </c>
      <c r="J158" s="1">
        <v>600</v>
      </c>
      <c r="K158" s="1">
        <v>600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</row>
    <row r="159" spans="1:36" x14ac:dyDescent="0.2">
      <c r="A159">
        <v>466</v>
      </c>
      <c r="B159">
        <v>1</v>
      </c>
      <c r="C159" t="s">
        <v>136</v>
      </c>
      <c r="D159" s="1">
        <v>433.24</v>
      </c>
      <c r="E159" s="1">
        <v>442.03</v>
      </c>
      <c r="F159" s="1">
        <v>455.03</v>
      </c>
      <c r="G159" s="1">
        <v>462.49</v>
      </c>
      <c r="H159" s="1">
        <v>469.75</v>
      </c>
      <c r="I159" s="1">
        <v>477.45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</row>
    <row r="160" spans="1:36" x14ac:dyDescent="0.2">
      <c r="A160">
        <v>473</v>
      </c>
      <c r="B160">
        <v>1</v>
      </c>
      <c r="C160" t="s">
        <v>137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</row>
    <row r="161" spans="1:36" x14ac:dyDescent="0.2">
      <c r="A161">
        <v>477</v>
      </c>
      <c r="B161">
        <v>1</v>
      </c>
      <c r="C161" t="s">
        <v>138</v>
      </c>
      <c r="D161" s="1">
        <v>325</v>
      </c>
      <c r="E161" s="1">
        <v>325</v>
      </c>
      <c r="F161" s="1">
        <v>325</v>
      </c>
      <c r="G161" s="1">
        <v>325</v>
      </c>
      <c r="H161" s="1">
        <v>325</v>
      </c>
      <c r="I161" s="1">
        <v>325</v>
      </c>
      <c r="J161" s="1">
        <v>325</v>
      </c>
      <c r="K161" s="1">
        <v>325</v>
      </c>
      <c r="L161" s="1">
        <v>325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</row>
    <row r="162" spans="1:36" x14ac:dyDescent="0.2">
      <c r="A162">
        <v>480</v>
      </c>
      <c r="B162">
        <v>1</v>
      </c>
      <c r="C162" t="s">
        <v>139</v>
      </c>
      <c r="D162" s="1">
        <v>651.01</v>
      </c>
      <c r="E162" s="1">
        <v>651.01</v>
      </c>
      <c r="F162" s="1">
        <v>651.01</v>
      </c>
      <c r="G162" s="1">
        <v>650</v>
      </c>
      <c r="H162" s="1">
        <v>650</v>
      </c>
      <c r="I162" s="1">
        <v>650</v>
      </c>
      <c r="J162" s="1">
        <v>650</v>
      </c>
      <c r="K162" s="1">
        <v>650</v>
      </c>
      <c r="L162" s="1">
        <v>650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</row>
    <row r="163" spans="1:36" x14ac:dyDescent="0.2">
      <c r="A163">
        <v>482</v>
      </c>
      <c r="B163">
        <v>1</v>
      </c>
      <c r="C163" t="s">
        <v>140</v>
      </c>
      <c r="D163" s="1">
        <v>855.79</v>
      </c>
      <c r="E163" s="1">
        <v>855.79</v>
      </c>
      <c r="F163" s="1">
        <v>855.79</v>
      </c>
      <c r="G163" s="1">
        <v>855.79</v>
      </c>
      <c r="H163" s="1">
        <v>855.79</v>
      </c>
      <c r="I163" s="1">
        <v>855.79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</row>
    <row r="164" spans="1:36" x14ac:dyDescent="0.2">
      <c r="A164">
        <v>484</v>
      </c>
      <c r="B164">
        <v>1</v>
      </c>
      <c r="C164" t="s">
        <v>141</v>
      </c>
      <c r="D164" s="1">
        <v>700.87</v>
      </c>
      <c r="E164" s="1">
        <v>700.87</v>
      </c>
      <c r="F164" s="1">
        <v>700.87</v>
      </c>
      <c r="G164" s="1">
        <v>700.87</v>
      </c>
      <c r="H164" s="1">
        <v>500</v>
      </c>
      <c r="I164" s="1">
        <v>500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</row>
    <row r="165" spans="1:36" x14ac:dyDescent="0.2">
      <c r="A165">
        <v>485</v>
      </c>
      <c r="B165">
        <v>1</v>
      </c>
      <c r="C165" t="s">
        <v>142</v>
      </c>
      <c r="D165" s="1">
        <v>1.04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</row>
    <row r="166" spans="1:36" x14ac:dyDescent="0.2">
      <c r="A166">
        <v>486</v>
      </c>
      <c r="B166">
        <v>1</v>
      </c>
      <c r="C166" t="s">
        <v>143</v>
      </c>
      <c r="D166" s="1">
        <v>804.82</v>
      </c>
      <c r="E166" s="1">
        <v>804.82</v>
      </c>
      <c r="F166" s="1">
        <v>804.82</v>
      </c>
      <c r="G166" s="1">
        <v>804.42</v>
      </c>
      <c r="H166" s="1">
        <v>804.42</v>
      </c>
      <c r="I166" s="1">
        <v>804.42</v>
      </c>
      <c r="J166" s="1">
        <v>804.42</v>
      </c>
      <c r="K166" s="1">
        <v>804.42</v>
      </c>
      <c r="L166" s="1">
        <v>804.42</v>
      </c>
      <c r="M166" s="1">
        <v>804.42</v>
      </c>
      <c r="N166" s="1">
        <v>804.42</v>
      </c>
      <c r="O166" s="1">
        <v>804.42</v>
      </c>
      <c r="P166" s="1">
        <v>0</v>
      </c>
      <c r="Q166" s="1">
        <v>0</v>
      </c>
      <c r="R166" s="1">
        <v>0</v>
      </c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</row>
    <row r="167" spans="1:36" x14ac:dyDescent="0.2">
      <c r="A167">
        <v>487</v>
      </c>
      <c r="B167">
        <v>1</v>
      </c>
      <c r="C167" t="s">
        <v>144</v>
      </c>
      <c r="D167" s="1">
        <v>500</v>
      </c>
      <c r="E167" s="1">
        <v>500</v>
      </c>
      <c r="F167" s="1">
        <v>500</v>
      </c>
      <c r="G167" s="1">
        <v>950</v>
      </c>
      <c r="H167" s="1">
        <v>950</v>
      </c>
      <c r="I167" s="1">
        <v>950</v>
      </c>
      <c r="J167" s="1">
        <v>950</v>
      </c>
      <c r="K167" s="1">
        <v>950</v>
      </c>
      <c r="L167" s="1">
        <v>950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</row>
    <row r="168" spans="1:36" x14ac:dyDescent="0.2">
      <c r="A168">
        <v>492</v>
      </c>
      <c r="B168">
        <v>1</v>
      </c>
      <c r="C168" t="s">
        <v>145</v>
      </c>
      <c r="D168" s="1">
        <v>719.53</v>
      </c>
      <c r="E168" s="1">
        <v>719.53</v>
      </c>
      <c r="F168" s="1">
        <v>719.53</v>
      </c>
      <c r="G168" s="1">
        <v>719.53</v>
      </c>
      <c r="H168" s="1">
        <v>719.53</v>
      </c>
      <c r="I168" s="1">
        <v>304.53000000000003</v>
      </c>
      <c r="J168" s="1">
        <v>304.53000000000003</v>
      </c>
      <c r="K168" s="1">
        <v>304.53000000000003</v>
      </c>
      <c r="L168" s="1">
        <v>304.53000000000003</v>
      </c>
      <c r="M168" s="1">
        <v>304.53000000000003</v>
      </c>
      <c r="N168" s="1">
        <v>304.53000000000003</v>
      </c>
      <c r="O168" s="1">
        <v>304.53000000000003</v>
      </c>
      <c r="P168" s="1">
        <v>0</v>
      </c>
      <c r="Q168" s="1">
        <v>0</v>
      </c>
      <c r="R168" s="1">
        <v>0</v>
      </c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</row>
    <row r="169" spans="1:36" x14ac:dyDescent="0.2">
      <c r="A169">
        <v>495</v>
      </c>
      <c r="B169">
        <v>1</v>
      </c>
      <c r="C169" t="s">
        <v>146</v>
      </c>
      <c r="D169" s="1">
        <v>1200.0000000000002</v>
      </c>
      <c r="E169" s="1">
        <v>1224.3599999999999</v>
      </c>
      <c r="F169" s="1">
        <v>1260.3599999999999</v>
      </c>
      <c r="G169" s="1">
        <v>1281.03</v>
      </c>
      <c r="H169" s="1">
        <v>1301.1400000000001</v>
      </c>
      <c r="I169" s="1">
        <v>1322.48</v>
      </c>
      <c r="J169" s="1">
        <v>1344.04</v>
      </c>
      <c r="K169" s="1">
        <v>1369.85</v>
      </c>
      <c r="L169" s="1">
        <v>1395.47</v>
      </c>
      <c r="M169" s="1">
        <v>1423.38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</row>
    <row r="170" spans="1:36" x14ac:dyDescent="0.2">
      <c r="A170">
        <v>497</v>
      </c>
      <c r="B170">
        <v>1</v>
      </c>
      <c r="C170" t="s">
        <v>147</v>
      </c>
      <c r="D170" s="1">
        <v>840.01</v>
      </c>
      <c r="E170" s="1">
        <v>840.01</v>
      </c>
      <c r="F170" s="1">
        <v>840.01</v>
      </c>
      <c r="G170" s="1">
        <v>840.01</v>
      </c>
      <c r="H170" s="1">
        <v>840.01</v>
      </c>
      <c r="I170" s="1">
        <v>840.01</v>
      </c>
      <c r="J170" s="1">
        <v>840.01</v>
      </c>
      <c r="K170" s="1">
        <v>840.01</v>
      </c>
      <c r="L170" s="1">
        <v>840.01</v>
      </c>
      <c r="M170" s="1">
        <v>840.01</v>
      </c>
      <c r="N170" s="1">
        <v>840.01</v>
      </c>
      <c r="O170" s="1">
        <v>840.01</v>
      </c>
      <c r="P170" s="1">
        <v>840.01</v>
      </c>
      <c r="Q170" s="1">
        <v>0</v>
      </c>
      <c r="R170" s="1">
        <v>0</v>
      </c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</row>
    <row r="171" spans="1:36" x14ac:dyDescent="0.2">
      <c r="A171">
        <v>499</v>
      </c>
      <c r="B171">
        <v>1</v>
      </c>
      <c r="C171" t="s">
        <v>148</v>
      </c>
      <c r="D171" s="1">
        <v>1457.4500000000003</v>
      </c>
      <c r="E171" s="1">
        <v>1487.04</v>
      </c>
      <c r="F171" s="1">
        <v>1530.76</v>
      </c>
      <c r="G171" s="1">
        <v>1555.86</v>
      </c>
      <c r="H171" s="1">
        <v>1580.29</v>
      </c>
      <c r="I171" s="1">
        <v>1606.21</v>
      </c>
      <c r="J171" s="1">
        <v>1632.39</v>
      </c>
      <c r="K171" s="1">
        <v>1663.73</v>
      </c>
      <c r="L171" s="1">
        <v>1694.84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</row>
    <row r="172" spans="1:36" x14ac:dyDescent="0.2">
      <c r="A172">
        <v>500</v>
      </c>
      <c r="B172">
        <v>1</v>
      </c>
      <c r="C172" t="s">
        <v>149</v>
      </c>
      <c r="D172" s="1">
        <v>1445.51</v>
      </c>
      <c r="E172" s="1">
        <v>1457.6599999999999</v>
      </c>
      <c r="F172" s="1">
        <v>1475.6100000000001</v>
      </c>
      <c r="G172" s="1">
        <v>638.91999999999996</v>
      </c>
      <c r="H172" s="1">
        <v>648.95000000000005</v>
      </c>
      <c r="I172" s="1">
        <v>659.59</v>
      </c>
      <c r="J172" s="1">
        <v>670.34</v>
      </c>
      <c r="K172" s="1">
        <v>683.21</v>
      </c>
      <c r="L172" s="1">
        <v>695.99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</row>
    <row r="173" spans="1:36" x14ac:dyDescent="0.2">
      <c r="A173">
        <v>505</v>
      </c>
      <c r="B173">
        <v>1</v>
      </c>
      <c r="C173" t="s">
        <v>150</v>
      </c>
      <c r="D173" s="1">
        <v>1901.98</v>
      </c>
      <c r="E173" s="1">
        <v>1901.98</v>
      </c>
      <c r="F173" s="1">
        <v>1901.98</v>
      </c>
      <c r="G173" s="1">
        <v>1000</v>
      </c>
      <c r="H173" s="1">
        <v>1000</v>
      </c>
      <c r="I173" s="1">
        <v>1000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</row>
    <row r="174" spans="1:36" x14ac:dyDescent="0.2">
      <c r="A174">
        <v>507</v>
      </c>
      <c r="B174">
        <v>1</v>
      </c>
      <c r="C174" t="s">
        <v>151</v>
      </c>
      <c r="D174" s="1">
        <v>800</v>
      </c>
      <c r="E174" s="1">
        <v>800</v>
      </c>
      <c r="F174" s="1">
        <v>800</v>
      </c>
      <c r="G174" s="1">
        <v>1100</v>
      </c>
      <c r="H174" s="1">
        <v>1100</v>
      </c>
      <c r="I174" s="1">
        <v>1100</v>
      </c>
      <c r="J174" s="1">
        <v>1100</v>
      </c>
      <c r="K174" s="1">
        <v>1100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</row>
    <row r="175" spans="1:36" x14ac:dyDescent="0.2">
      <c r="A175">
        <v>508</v>
      </c>
      <c r="B175">
        <v>1</v>
      </c>
      <c r="C175" t="s">
        <v>152</v>
      </c>
      <c r="D175" s="1">
        <v>616.45000000000005</v>
      </c>
      <c r="E175" s="1">
        <v>616.45000000000005</v>
      </c>
      <c r="F175" s="1">
        <v>616.45000000000005</v>
      </c>
      <c r="G175" s="1">
        <v>866.45</v>
      </c>
      <c r="H175" s="1">
        <v>866.45</v>
      </c>
      <c r="I175" s="1">
        <v>866.45</v>
      </c>
      <c r="J175" s="1">
        <v>866.45</v>
      </c>
      <c r="K175" s="1">
        <v>551.45000000000005</v>
      </c>
      <c r="L175" s="1">
        <v>551.45000000000005</v>
      </c>
      <c r="M175" s="1">
        <v>551.45000000000005</v>
      </c>
      <c r="N175" s="1">
        <v>551.45000000000005</v>
      </c>
      <c r="O175" s="1">
        <v>551.45000000000005</v>
      </c>
      <c r="P175" s="1">
        <v>551.45000000000005</v>
      </c>
      <c r="Q175" s="1">
        <v>0</v>
      </c>
      <c r="R175" s="1">
        <v>0</v>
      </c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</row>
    <row r="176" spans="1:36" x14ac:dyDescent="0.2">
      <c r="A176">
        <v>511</v>
      </c>
      <c r="B176">
        <v>1</v>
      </c>
      <c r="C176" t="s">
        <v>153</v>
      </c>
      <c r="D176" s="1">
        <v>450.92</v>
      </c>
      <c r="E176" s="1">
        <v>1250</v>
      </c>
      <c r="F176" s="1">
        <v>1250</v>
      </c>
      <c r="G176" s="1">
        <v>1250</v>
      </c>
      <c r="H176" s="1">
        <v>1250</v>
      </c>
      <c r="I176" s="1">
        <v>1250</v>
      </c>
      <c r="J176" s="1">
        <v>1250</v>
      </c>
      <c r="K176" s="1">
        <v>1250</v>
      </c>
      <c r="L176" s="1">
        <v>1250</v>
      </c>
      <c r="M176" s="1">
        <v>1250</v>
      </c>
      <c r="N176" s="1">
        <v>1250</v>
      </c>
      <c r="O176" s="1">
        <v>0</v>
      </c>
      <c r="P176" s="1">
        <v>0</v>
      </c>
      <c r="Q176" s="1">
        <v>0</v>
      </c>
      <c r="R176" s="1">
        <v>0</v>
      </c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</row>
    <row r="177" spans="1:36" x14ac:dyDescent="0.2">
      <c r="A177">
        <v>513</v>
      </c>
      <c r="B177">
        <v>1</v>
      </c>
      <c r="C177" t="s">
        <v>154</v>
      </c>
      <c r="D177" s="1">
        <v>1500</v>
      </c>
      <c r="E177" s="1">
        <v>1500</v>
      </c>
      <c r="F177" s="1">
        <v>1500</v>
      </c>
      <c r="G177" s="1">
        <v>1500</v>
      </c>
      <c r="H177" s="1">
        <v>1500</v>
      </c>
      <c r="I177" s="1">
        <v>1500</v>
      </c>
      <c r="J177" s="1">
        <v>1500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</row>
    <row r="178" spans="1:36" x14ac:dyDescent="0.2">
      <c r="A178">
        <v>514</v>
      </c>
      <c r="B178">
        <v>1</v>
      </c>
      <c r="C178" t="s">
        <v>155</v>
      </c>
      <c r="D178" s="1">
        <v>982.12</v>
      </c>
      <c r="E178" s="1">
        <v>982.12</v>
      </c>
      <c r="F178" s="1">
        <v>1332.12</v>
      </c>
      <c r="G178" s="1">
        <v>1332.12</v>
      </c>
      <c r="H178" s="1">
        <v>1332.12</v>
      </c>
      <c r="I178" s="1">
        <v>1332.12</v>
      </c>
      <c r="J178" s="1">
        <v>1332.12</v>
      </c>
      <c r="K178" s="1">
        <v>1332.12</v>
      </c>
      <c r="L178" s="1">
        <v>1332.12</v>
      </c>
      <c r="M178" s="1">
        <v>1332.12</v>
      </c>
      <c r="N178" s="1">
        <v>1332.12</v>
      </c>
      <c r="O178" s="1">
        <v>1332.12</v>
      </c>
      <c r="P178" s="1">
        <v>0</v>
      </c>
      <c r="Q178" s="1">
        <v>0</v>
      </c>
      <c r="R178" s="1">
        <v>0</v>
      </c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</row>
    <row r="179" spans="1:36" x14ac:dyDescent="0.2">
      <c r="A179">
        <v>516</v>
      </c>
      <c r="B179">
        <v>1</v>
      </c>
      <c r="C179" t="s">
        <v>156</v>
      </c>
      <c r="D179" s="1">
        <v>1500</v>
      </c>
      <c r="E179" s="1">
        <v>1500</v>
      </c>
      <c r="F179" s="1">
        <v>1500</v>
      </c>
      <c r="G179" s="1">
        <v>1500</v>
      </c>
      <c r="H179" s="1">
        <v>1500</v>
      </c>
      <c r="I179" s="1">
        <v>1500</v>
      </c>
      <c r="J179" s="1">
        <v>1500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</row>
    <row r="180" spans="1:36" x14ac:dyDescent="0.2">
      <c r="A180">
        <v>518</v>
      </c>
      <c r="B180">
        <v>1</v>
      </c>
      <c r="C180" t="s">
        <v>157</v>
      </c>
      <c r="D180" s="1">
        <v>1000</v>
      </c>
      <c r="E180" s="1">
        <v>1000</v>
      </c>
      <c r="F180" s="1">
        <v>1000</v>
      </c>
      <c r="G180" s="1">
        <v>1000</v>
      </c>
      <c r="H180" s="1">
        <v>1000</v>
      </c>
      <c r="I180" s="1">
        <v>1000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</row>
    <row r="181" spans="1:36" x14ac:dyDescent="0.2">
      <c r="A181">
        <v>531</v>
      </c>
      <c r="B181">
        <v>1</v>
      </c>
      <c r="C181" t="s">
        <v>158</v>
      </c>
      <c r="D181" s="1">
        <v>126.1</v>
      </c>
      <c r="E181" s="1">
        <v>126.1</v>
      </c>
      <c r="F181" s="1">
        <v>126.1</v>
      </c>
      <c r="G181" s="1">
        <v>290</v>
      </c>
      <c r="H181" s="1">
        <v>290</v>
      </c>
      <c r="I181" s="1">
        <v>290</v>
      </c>
      <c r="J181" s="1">
        <v>290</v>
      </c>
      <c r="K181" s="1">
        <v>290</v>
      </c>
      <c r="L181" s="1">
        <v>290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</row>
    <row r="182" spans="1:36" x14ac:dyDescent="0.2">
      <c r="A182">
        <v>533</v>
      </c>
      <c r="B182">
        <v>1</v>
      </c>
      <c r="C182" t="s">
        <v>159</v>
      </c>
      <c r="D182" s="1">
        <v>126.79</v>
      </c>
      <c r="E182" s="1">
        <v>126.79</v>
      </c>
      <c r="F182" s="1">
        <v>126.79</v>
      </c>
      <c r="G182" s="1">
        <v>126.79</v>
      </c>
      <c r="H182" s="1">
        <v>126.79</v>
      </c>
      <c r="I182" s="1">
        <v>126.79</v>
      </c>
      <c r="J182" s="1">
        <v>126.79</v>
      </c>
      <c r="K182" s="1">
        <v>126.79</v>
      </c>
      <c r="L182" s="1">
        <v>126.79</v>
      </c>
      <c r="M182" s="1">
        <v>126.79</v>
      </c>
      <c r="N182" s="1">
        <v>126.79</v>
      </c>
      <c r="O182" s="1">
        <v>126.79</v>
      </c>
      <c r="P182" s="1">
        <v>126.79</v>
      </c>
      <c r="Q182" s="1">
        <v>0</v>
      </c>
      <c r="R182" s="1">
        <v>0</v>
      </c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</row>
    <row r="183" spans="1:36" x14ac:dyDescent="0.2">
      <c r="A183">
        <v>534</v>
      </c>
      <c r="B183">
        <v>1</v>
      </c>
      <c r="C183" t="s">
        <v>160</v>
      </c>
      <c r="D183" s="1">
        <v>820.35</v>
      </c>
      <c r="E183" s="1">
        <v>820.35</v>
      </c>
      <c r="F183" s="1">
        <v>820.35</v>
      </c>
      <c r="G183" s="1">
        <v>820.35</v>
      </c>
      <c r="H183" s="1">
        <v>820.35</v>
      </c>
      <c r="I183" s="1">
        <v>820.35</v>
      </c>
      <c r="J183" s="1">
        <v>200.35</v>
      </c>
      <c r="K183" s="1">
        <v>200.35</v>
      </c>
      <c r="L183" s="1">
        <v>200.35</v>
      </c>
      <c r="M183" s="1">
        <v>200.35</v>
      </c>
      <c r="N183" s="1">
        <v>200.35</v>
      </c>
      <c r="O183" s="1">
        <v>200.35</v>
      </c>
      <c r="P183" s="1">
        <v>0</v>
      </c>
      <c r="Q183" s="1">
        <v>0</v>
      </c>
      <c r="R183" s="1">
        <v>0</v>
      </c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</row>
    <row r="184" spans="1:36" x14ac:dyDescent="0.2">
      <c r="A184">
        <v>535</v>
      </c>
      <c r="B184">
        <v>1</v>
      </c>
      <c r="C184" t="s">
        <v>161</v>
      </c>
      <c r="D184" s="1">
        <v>444.94</v>
      </c>
      <c r="E184" s="1">
        <v>453.97</v>
      </c>
      <c r="F184" s="1">
        <v>467.32</v>
      </c>
      <c r="G184" s="1">
        <v>474.98</v>
      </c>
      <c r="H184" s="1">
        <v>482.44</v>
      </c>
      <c r="I184" s="1">
        <v>490.35</v>
      </c>
      <c r="J184" s="1">
        <v>498.34</v>
      </c>
      <c r="K184" s="1">
        <v>507.91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</row>
    <row r="185" spans="1:36" x14ac:dyDescent="0.2">
      <c r="A185">
        <v>542</v>
      </c>
      <c r="B185">
        <v>1</v>
      </c>
      <c r="C185" t="s">
        <v>162</v>
      </c>
      <c r="D185" s="1">
        <v>0</v>
      </c>
      <c r="E185" s="1">
        <v>0</v>
      </c>
      <c r="F185" s="1">
        <v>0</v>
      </c>
      <c r="G185" s="1">
        <v>0</v>
      </c>
      <c r="H185" s="1">
        <v>495</v>
      </c>
      <c r="I185" s="1">
        <v>495</v>
      </c>
      <c r="J185" s="1">
        <v>495</v>
      </c>
      <c r="K185" s="1">
        <v>495</v>
      </c>
      <c r="L185" s="1">
        <v>495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</row>
    <row r="186" spans="1:36" x14ac:dyDescent="0.2">
      <c r="A186">
        <v>544</v>
      </c>
      <c r="B186">
        <v>1</v>
      </c>
      <c r="C186" t="s">
        <v>163</v>
      </c>
      <c r="D186" s="1">
        <v>417.78</v>
      </c>
      <c r="E186" s="1">
        <v>416.05</v>
      </c>
      <c r="F186" s="1">
        <v>416.05</v>
      </c>
      <c r="G186" s="1">
        <v>416.05</v>
      </c>
      <c r="H186" s="1">
        <v>416.05</v>
      </c>
      <c r="I186" s="1">
        <v>416.05</v>
      </c>
      <c r="J186" s="1">
        <v>416.05</v>
      </c>
      <c r="K186" s="1">
        <v>416.05</v>
      </c>
      <c r="L186" s="1">
        <v>416.05</v>
      </c>
      <c r="M186" s="1">
        <v>416.05</v>
      </c>
      <c r="N186" s="1">
        <v>416.05</v>
      </c>
      <c r="O186" s="1">
        <v>416.05</v>
      </c>
      <c r="P186" s="1">
        <v>416.05</v>
      </c>
      <c r="Q186" s="1">
        <v>0</v>
      </c>
      <c r="R186" s="1">
        <v>0</v>
      </c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</row>
    <row r="187" spans="1:36" x14ac:dyDescent="0.2">
      <c r="A187">
        <v>545</v>
      </c>
      <c r="B187">
        <v>1</v>
      </c>
      <c r="C187" t="s">
        <v>164</v>
      </c>
      <c r="D187" s="1">
        <v>1023.02</v>
      </c>
      <c r="E187" s="1">
        <v>1020.54</v>
      </c>
      <c r="F187" s="1">
        <v>1020.54</v>
      </c>
      <c r="G187" s="1">
        <v>1020.5400000000001</v>
      </c>
      <c r="H187" s="1">
        <v>1020.54</v>
      </c>
      <c r="I187" s="1">
        <v>1020.54</v>
      </c>
      <c r="J187" s="1">
        <v>1020.54</v>
      </c>
      <c r="K187" s="1">
        <v>1020.54</v>
      </c>
      <c r="L187" s="1">
        <v>1020.54</v>
      </c>
      <c r="M187" s="1">
        <v>1020.54</v>
      </c>
      <c r="N187" s="1">
        <v>1020.54</v>
      </c>
      <c r="O187" s="1">
        <v>1020.54</v>
      </c>
      <c r="P187" s="1">
        <v>1020.54</v>
      </c>
      <c r="Q187" s="1">
        <v>0</v>
      </c>
      <c r="R187" s="1">
        <v>0</v>
      </c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</row>
    <row r="188" spans="1:36" x14ac:dyDescent="0.2">
      <c r="A188">
        <v>547</v>
      </c>
      <c r="B188">
        <v>1</v>
      </c>
      <c r="C188" t="s">
        <v>165</v>
      </c>
      <c r="D188" s="1">
        <v>1200</v>
      </c>
      <c r="E188" s="1">
        <v>1200</v>
      </c>
      <c r="F188" s="1">
        <v>1200</v>
      </c>
      <c r="G188" s="1">
        <v>1200</v>
      </c>
      <c r="H188" s="1">
        <v>1200</v>
      </c>
      <c r="I188" s="1">
        <v>1200</v>
      </c>
      <c r="J188" s="1">
        <v>1200</v>
      </c>
      <c r="K188" s="1">
        <v>1200</v>
      </c>
      <c r="L188" s="1">
        <v>1200</v>
      </c>
      <c r="M188" s="1">
        <v>1200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</row>
    <row r="189" spans="1:36" x14ac:dyDescent="0.2">
      <c r="A189">
        <v>548</v>
      </c>
      <c r="B189">
        <v>1</v>
      </c>
      <c r="C189" t="s">
        <v>166</v>
      </c>
      <c r="D189" s="1">
        <v>0</v>
      </c>
      <c r="E189" s="1">
        <v>0</v>
      </c>
      <c r="F189" s="1">
        <v>0</v>
      </c>
      <c r="G189" s="1">
        <v>600</v>
      </c>
      <c r="H189" s="1">
        <v>600</v>
      </c>
      <c r="I189" s="1">
        <v>600</v>
      </c>
      <c r="J189" s="1">
        <v>600</v>
      </c>
      <c r="K189" s="1">
        <v>600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</row>
    <row r="190" spans="1:36" x14ac:dyDescent="0.2">
      <c r="A190">
        <v>549</v>
      </c>
      <c r="B190">
        <v>1</v>
      </c>
      <c r="C190" t="s">
        <v>167</v>
      </c>
      <c r="D190" s="1">
        <v>26.3</v>
      </c>
      <c r="E190" s="1">
        <v>26.3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</row>
    <row r="191" spans="1:36" x14ac:dyDescent="0.2">
      <c r="A191">
        <v>550</v>
      </c>
      <c r="B191">
        <v>1</v>
      </c>
      <c r="C191" t="s">
        <v>168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</row>
    <row r="192" spans="1:36" x14ac:dyDescent="0.2">
      <c r="A192">
        <v>553</v>
      </c>
      <c r="B192">
        <v>1</v>
      </c>
      <c r="C192" t="s">
        <v>169</v>
      </c>
      <c r="D192" s="1">
        <v>200.29</v>
      </c>
      <c r="E192" s="1">
        <v>200.29</v>
      </c>
      <c r="F192" s="1">
        <v>450</v>
      </c>
      <c r="G192" s="1">
        <v>525</v>
      </c>
      <c r="H192" s="1">
        <v>525</v>
      </c>
      <c r="I192" s="1">
        <v>525</v>
      </c>
      <c r="J192" s="1">
        <v>525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</row>
    <row r="193" spans="1:36" x14ac:dyDescent="0.2">
      <c r="A193">
        <v>561</v>
      </c>
      <c r="B193">
        <v>1</v>
      </c>
      <c r="C193" t="s">
        <v>170</v>
      </c>
      <c r="D193" s="1">
        <v>1848.46</v>
      </c>
      <c r="E193" s="1">
        <v>1848.46</v>
      </c>
      <c r="F193" s="1">
        <v>1848.46</v>
      </c>
      <c r="G193" s="1">
        <v>1848.46</v>
      </c>
      <c r="H193" s="1">
        <v>1848.46</v>
      </c>
      <c r="I193" s="1">
        <v>1848.46</v>
      </c>
      <c r="J193" s="1">
        <v>1848.46</v>
      </c>
      <c r="K193" s="1">
        <v>1848.46</v>
      </c>
      <c r="L193" s="1">
        <v>1848.46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</row>
    <row r="194" spans="1:36" x14ac:dyDescent="0.2">
      <c r="A194">
        <v>564</v>
      </c>
      <c r="B194">
        <v>1</v>
      </c>
      <c r="C194" t="s">
        <v>171</v>
      </c>
      <c r="D194" s="1">
        <v>749.2</v>
      </c>
      <c r="E194" s="1">
        <v>749.2</v>
      </c>
      <c r="F194" s="1">
        <v>749.2</v>
      </c>
      <c r="G194" s="1">
        <v>748</v>
      </c>
      <c r="H194" s="1">
        <v>748</v>
      </c>
      <c r="I194" s="1">
        <v>748</v>
      </c>
      <c r="J194" s="1">
        <v>748</v>
      </c>
      <c r="K194" s="1">
        <v>748</v>
      </c>
      <c r="L194" s="1">
        <v>748</v>
      </c>
      <c r="M194" s="1">
        <v>748</v>
      </c>
      <c r="N194" s="1">
        <v>748</v>
      </c>
      <c r="O194" s="1">
        <v>748</v>
      </c>
      <c r="P194" s="1">
        <v>748</v>
      </c>
      <c r="Q194" s="1">
        <v>0</v>
      </c>
      <c r="R194" s="1">
        <v>0</v>
      </c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</row>
    <row r="195" spans="1:36" x14ac:dyDescent="0.2">
      <c r="A195">
        <v>577</v>
      </c>
      <c r="B195">
        <v>1</v>
      </c>
      <c r="C195" t="s">
        <v>172</v>
      </c>
      <c r="D195" s="1">
        <v>126.32</v>
      </c>
      <c r="E195" s="1">
        <v>126.32</v>
      </c>
      <c r="F195" s="1">
        <v>126.32</v>
      </c>
      <c r="G195" s="1">
        <v>126.32</v>
      </c>
      <c r="H195" s="1">
        <v>126.32</v>
      </c>
      <c r="I195" s="1">
        <v>126.32</v>
      </c>
      <c r="J195" s="1">
        <v>126.32</v>
      </c>
      <c r="K195" s="1">
        <v>126.32</v>
      </c>
      <c r="L195" s="1">
        <v>126.32</v>
      </c>
      <c r="M195" s="1">
        <v>126.32</v>
      </c>
      <c r="N195" s="1">
        <v>126.32</v>
      </c>
      <c r="O195" s="1">
        <v>126.32</v>
      </c>
      <c r="P195" s="1">
        <v>126.32</v>
      </c>
      <c r="Q195" s="1">
        <v>0</v>
      </c>
      <c r="R195" s="1">
        <v>0</v>
      </c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</row>
    <row r="196" spans="1:36" x14ac:dyDescent="0.2">
      <c r="A196">
        <v>578</v>
      </c>
      <c r="B196">
        <v>1</v>
      </c>
      <c r="C196" t="s">
        <v>173</v>
      </c>
      <c r="D196" s="1">
        <v>838.64</v>
      </c>
      <c r="E196" s="1">
        <v>838.64</v>
      </c>
      <c r="F196" s="1">
        <v>826.56</v>
      </c>
      <c r="G196" s="1">
        <v>838.64</v>
      </c>
      <c r="H196" s="1">
        <v>838.64</v>
      </c>
      <c r="I196" s="1">
        <v>838.64</v>
      </c>
      <c r="J196" s="1">
        <v>838.64</v>
      </c>
      <c r="K196" s="1">
        <v>838.64</v>
      </c>
      <c r="L196" s="1">
        <v>838.64</v>
      </c>
      <c r="M196" s="1">
        <v>838.64</v>
      </c>
      <c r="N196" s="1">
        <v>838.64</v>
      </c>
      <c r="O196" s="1">
        <v>838.64</v>
      </c>
      <c r="P196" s="1">
        <v>838.64</v>
      </c>
      <c r="Q196" s="1">
        <v>0</v>
      </c>
      <c r="R196" s="1">
        <v>0</v>
      </c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</row>
    <row r="197" spans="1:36" x14ac:dyDescent="0.2">
      <c r="A197">
        <v>581</v>
      </c>
      <c r="B197">
        <v>1</v>
      </c>
      <c r="C197" t="s">
        <v>174</v>
      </c>
      <c r="D197" s="1">
        <v>613.54</v>
      </c>
      <c r="E197" s="1">
        <v>1200</v>
      </c>
      <c r="F197" s="1">
        <v>1235.28</v>
      </c>
      <c r="G197" s="1">
        <v>1255.54</v>
      </c>
      <c r="H197" s="1">
        <v>1275.25</v>
      </c>
      <c r="I197" s="1">
        <v>1296.1600000000001</v>
      </c>
      <c r="J197" s="1">
        <v>1317.29</v>
      </c>
      <c r="K197" s="1">
        <v>1342.58</v>
      </c>
      <c r="L197" s="1">
        <v>1367.69</v>
      </c>
      <c r="M197" s="1">
        <v>1395.04</v>
      </c>
      <c r="N197" s="1">
        <v>1422.24</v>
      </c>
      <c r="O197" s="1">
        <v>0</v>
      </c>
      <c r="P197" s="1">
        <v>0</v>
      </c>
      <c r="Q197" s="1">
        <v>0</v>
      </c>
      <c r="R197" s="1">
        <v>0</v>
      </c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</row>
    <row r="198" spans="1:36" x14ac:dyDescent="0.2">
      <c r="A198">
        <v>592</v>
      </c>
      <c r="B198">
        <v>1</v>
      </c>
      <c r="C198" t="s">
        <v>175</v>
      </c>
      <c r="D198" s="1">
        <v>1931.73</v>
      </c>
      <c r="E198" s="1">
        <v>1931.73</v>
      </c>
      <c r="F198" s="1">
        <v>1931.73</v>
      </c>
      <c r="G198" s="1">
        <v>1931.73</v>
      </c>
      <c r="H198" s="1">
        <v>1931</v>
      </c>
      <c r="I198" s="1">
        <v>1931</v>
      </c>
      <c r="J198" s="1">
        <v>1931</v>
      </c>
      <c r="K198" s="1">
        <v>1931</v>
      </c>
      <c r="L198" s="1">
        <v>1931</v>
      </c>
      <c r="M198" s="1">
        <v>1931</v>
      </c>
      <c r="N198" s="1">
        <v>1931</v>
      </c>
      <c r="O198" s="1">
        <v>1931</v>
      </c>
      <c r="P198" s="1">
        <v>1931</v>
      </c>
      <c r="Q198" s="1">
        <v>1931</v>
      </c>
      <c r="R198" s="1">
        <v>0</v>
      </c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</row>
    <row r="199" spans="1:36" x14ac:dyDescent="0.2">
      <c r="A199">
        <v>593</v>
      </c>
      <c r="B199">
        <v>1</v>
      </c>
      <c r="C199" t="s">
        <v>176</v>
      </c>
      <c r="D199" s="1">
        <v>601.44000000000005</v>
      </c>
      <c r="E199" s="1">
        <v>601.44000000000005</v>
      </c>
      <c r="F199" s="1">
        <v>601.44000000000005</v>
      </c>
      <c r="G199" s="1">
        <v>1350</v>
      </c>
      <c r="H199" s="1">
        <v>1350</v>
      </c>
      <c r="I199" s="1">
        <v>1350</v>
      </c>
      <c r="J199" s="1">
        <v>1100</v>
      </c>
      <c r="K199" s="1">
        <v>1100</v>
      </c>
      <c r="L199" s="1">
        <v>1100</v>
      </c>
      <c r="M199" s="1">
        <v>1100</v>
      </c>
      <c r="N199" s="1">
        <v>1100</v>
      </c>
      <c r="O199" s="1">
        <v>1100</v>
      </c>
      <c r="P199" s="1">
        <v>1100</v>
      </c>
      <c r="Q199" s="1">
        <v>0</v>
      </c>
      <c r="R199" s="1">
        <v>0</v>
      </c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</row>
    <row r="200" spans="1:36" x14ac:dyDescent="0.2">
      <c r="A200">
        <v>595</v>
      </c>
      <c r="B200">
        <v>1</v>
      </c>
      <c r="C200" t="s">
        <v>177</v>
      </c>
      <c r="D200" s="1">
        <v>626.16999999999996</v>
      </c>
      <c r="E200" s="1">
        <v>626.16999999999996</v>
      </c>
      <c r="F200" s="1">
        <v>626.16999999999996</v>
      </c>
      <c r="G200" s="1">
        <v>626.16999999999996</v>
      </c>
      <c r="H200" s="1">
        <v>626.16999999999996</v>
      </c>
      <c r="I200" s="1">
        <v>626.16999999999996</v>
      </c>
      <c r="J200" s="1">
        <v>626.16999999999996</v>
      </c>
      <c r="K200" s="1">
        <v>626.16999999999996</v>
      </c>
      <c r="L200" s="1">
        <v>626.16999999999996</v>
      </c>
      <c r="M200" s="1">
        <v>626.16999999999996</v>
      </c>
      <c r="N200" s="1">
        <v>626.16999999999996</v>
      </c>
      <c r="O200" s="1">
        <v>626.16999999999996</v>
      </c>
      <c r="P200" s="1">
        <v>626.16999999999996</v>
      </c>
      <c r="Q200" s="1">
        <v>0</v>
      </c>
      <c r="R200" s="1">
        <v>0</v>
      </c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</row>
    <row r="201" spans="1:36" x14ac:dyDescent="0.2">
      <c r="A201">
        <v>599</v>
      </c>
      <c r="B201">
        <v>1</v>
      </c>
      <c r="C201" t="s">
        <v>178</v>
      </c>
      <c r="D201" s="1">
        <v>1201.24</v>
      </c>
      <c r="E201" s="1">
        <v>1201.24</v>
      </c>
      <c r="F201" s="1">
        <v>1200</v>
      </c>
      <c r="G201" s="1">
        <v>1200</v>
      </c>
      <c r="H201" s="1">
        <v>1200</v>
      </c>
      <c r="I201" s="1">
        <v>1200</v>
      </c>
      <c r="J201" s="1">
        <v>1200</v>
      </c>
      <c r="K201" s="1">
        <v>1200</v>
      </c>
      <c r="L201" s="1">
        <v>1200</v>
      </c>
      <c r="M201" s="1">
        <v>1200</v>
      </c>
      <c r="N201" s="1">
        <v>1200</v>
      </c>
      <c r="O201" s="1">
        <v>1200</v>
      </c>
      <c r="P201" s="1">
        <v>1200</v>
      </c>
      <c r="Q201" s="1">
        <v>1200</v>
      </c>
      <c r="R201" s="1">
        <v>1200</v>
      </c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</row>
    <row r="202" spans="1:36" x14ac:dyDescent="0.2">
      <c r="A202">
        <v>600</v>
      </c>
      <c r="B202">
        <v>1</v>
      </c>
      <c r="C202" t="s">
        <v>179</v>
      </c>
      <c r="D202" s="1">
        <v>900</v>
      </c>
      <c r="E202" s="1">
        <v>900</v>
      </c>
      <c r="F202" s="1">
        <v>900</v>
      </c>
      <c r="G202" s="1">
        <v>900</v>
      </c>
      <c r="H202" s="1">
        <v>900</v>
      </c>
      <c r="I202" s="1">
        <v>900</v>
      </c>
      <c r="J202" s="1">
        <v>900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</row>
    <row r="203" spans="1:36" x14ac:dyDescent="0.2">
      <c r="A203">
        <v>601</v>
      </c>
      <c r="B203">
        <v>1</v>
      </c>
      <c r="C203" t="s">
        <v>180</v>
      </c>
      <c r="D203" s="1">
        <v>826.06</v>
      </c>
      <c r="E203" s="1">
        <v>826.06</v>
      </c>
      <c r="F203" s="1">
        <v>826.06</v>
      </c>
      <c r="G203" s="1">
        <v>700</v>
      </c>
      <c r="H203" s="1">
        <v>700</v>
      </c>
      <c r="I203" s="1">
        <v>700</v>
      </c>
      <c r="J203" s="1">
        <v>700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</row>
    <row r="204" spans="1:36" x14ac:dyDescent="0.2">
      <c r="A204">
        <v>611</v>
      </c>
      <c r="B204">
        <v>1</v>
      </c>
      <c r="C204" t="s">
        <v>181</v>
      </c>
      <c r="D204" s="1">
        <v>1112.08</v>
      </c>
      <c r="E204" s="1">
        <v>1112.08</v>
      </c>
      <c r="F204" s="1">
        <v>1112.08</v>
      </c>
      <c r="G204" s="1">
        <v>1112.08</v>
      </c>
      <c r="H204" s="1">
        <v>1112.08</v>
      </c>
      <c r="I204" s="1">
        <v>1112.08</v>
      </c>
      <c r="J204" s="1">
        <v>1112.08</v>
      </c>
      <c r="K204" s="1">
        <v>665.46</v>
      </c>
      <c r="L204" s="1">
        <v>665.46</v>
      </c>
      <c r="M204" s="1">
        <v>665.46</v>
      </c>
      <c r="N204" s="1">
        <v>665.46</v>
      </c>
      <c r="O204" s="1">
        <v>0</v>
      </c>
      <c r="P204" s="1">
        <v>0</v>
      </c>
      <c r="Q204" s="1">
        <v>0</v>
      </c>
      <c r="R204" s="1">
        <v>0</v>
      </c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</row>
    <row r="205" spans="1:36" x14ac:dyDescent="0.2">
      <c r="A205">
        <v>621</v>
      </c>
      <c r="B205">
        <v>1</v>
      </c>
      <c r="C205" t="s">
        <v>182</v>
      </c>
      <c r="D205" s="1">
        <v>1522.54</v>
      </c>
      <c r="E205" s="1">
        <v>1522.54</v>
      </c>
      <c r="F205" s="1">
        <v>1522.54</v>
      </c>
      <c r="G205" s="1">
        <v>1522.54</v>
      </c>
      <c r="H205" s="1">
        <v>1522.54</v>
      </c>
      <c r="I205" s="1">
        <v>1522.54</v>
      </c>
      <c r="J205" s="1">
        <v>532.54</v>
      </c>
      <c r="K205" s="1">
        <v>532.54</v>
      </c>
      <c r="L205" s="1">
        <v>532.54</v>
      </c>
      <c r="M205" s="1">
        <v>532.54</v>
      </c>
      <c r="N205" s="1">
        <v>532.54</v>
      </c>
      <c r="O205" s="1">
        <v>0</v>
      </c>
      <c r="P205" s="1">
        <v>0</v>
      </c>
      <c r="Q205" s="1">
        <v>0</v>
      </c>
      <c r="R205" s="1">
        <v>0</v>
      </c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</row>
    <row r="206" spans="1:36" x14ac:dyDescent="0.2">
      <c r="A206">
        <v>622</v>
      </c>
      <c r="B206">
        <v>1</v>
      </c>
      <c r="C206" t="s">
        <v>183</v>
      </c>
      <c r="D206" s="1">
        <v>833.02</v>
      </c>
      <c r="E206" s="1">
        <v>833.02</v>
      </c>
      <c r="F206" s="1">
        <v>833.02</v>
      </c>
      <c r="G206" s="1">
        <v>833.02</v>
      </c>
      <c r="H206" s="1">
        <v>833.02</v>
      </c>
      <c r="I206" s="1">
        <v>833.02</v>
      </c>
      <c r="J206" s="1">
        <v>833.02</v>
      </c>
      <c r="K206" s="1">
        <v>833.02</v>
      </c>
      <c r="L206" s="1">
        <v>833.02</v>
      </c>
      <c r="M206" s="1">
        <v>833.02</v>
      </c>
      <c r="N206" s="1">
        <v>833.02</v>
      </c>
      <c r="O206" s="1">
        <v>833.02</v>
      </c>
      <c r="P206" s="1">
        <v>833.02</v>
      </c>
      <c r="Q206" s="1">
        <v>833.02</v>
      </c>
      <c r="R206" s="1">
        <v>0</v>
      </c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</row>
    <row r="207" spans="1:36" x14ac:dyDescent="0.2">
      <c r="A207">
        <v>623</v>
      </c>
      <c r="B207">
        <v>1</v>
      </c>
      <c r="C207" t="s">
        <v>184</v>
      </c>
      <c r="D207" s="1">
        <v>1575</v>
      </c>
      <c r="E207" s="1">
        <v>1575</v>
      </c>
      <c r="F207" s="1">
        <v>1575</v>
      </c>
      <c r="G207" s="1">
        <v>1575</v>
      </c>
      <c r="H207" s="1">
        <v>1575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</row>
    <row r="208" spans="1:36" x14ac:dyDescent="0.2">
      <c r="A208">
        <v>624</v>
      </c>
      <c r="B208">
        <v>1</v>
      </c>
      <c r="C208" t="s">
        <v>185</v>
      </c>
      <c r="D208" s="1">
        <v>1484.57</v>
      </c>
      <c r="E208" s="1">
        <v>1514.71</v>
      </c>
      <c r="F208" s="1">
        <v>1559.24</v>
      </c>
      <c r="G208" s="1">
        <v>1584.81</v>
      </c>
      <c r="H208" s="1">
        <v>1580.36</v>
      </c>
      <c r="I208" s="1">
        <v>1606.28</v>
      </c>
      <c r="J208" s="1">
        <v>1632.46</v>
      </c>
      <c r="K208" s="1">
        <v>1663.8</v>
      </c>
      <c r="L208" s="1">
        <v>1694.91</v>
      </c>
      <c r="M208" s="1">
        <v>1728.81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</row>
    <row r="209" spans="1:36" x14ac:dyDescent="0.2">
      <c r="A209">
        <v>625</v>
      </c>
      <c r="B209">
        <v>1</v>
      </c>
      <c r="C209" t="s">
        <v>186</v>
      </c>
      <c r="D209" s="1">
        <v>607.01</v>
      </c>
      <c r="E209" s="1">
        <v>619.33000000000004</v>
      </c>
      <c r="F209" s="1">
        <v>637.54</v>
      </c>
      <c r="G209" s="1">
        <v>648</v>
      </c>
      <c r="H209" s="1">
        <v>821.55</v>
      </c>
      <c r="I209" s="1">
        <v>835.02</v>
      </c>
      <c r="J209" s="1">
        <v>848.63</v>
      </c>
      <c r="K209" s="1">
        <v>864.92</v>
      </c>
      <c r="L209" s="1">
        <v>881.09</v>
      </c>
      <c r="M209" s="1">
        <v>898.71</v>
      </c>
      <c r="N209" s="1">
        <v>916.23</v>
      </c>
      <c r="O209" s="1">
        <v>934.1</v>
      </c>
      <c r="P209" s="1">
        <v>0</v>
      </c>
      <c r="Q209" s="1">
        <v>0</v>
      </c>
      <c r="R209" s="1">
        <v>0</v>
      </c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</row>
    <row r="210" spans="1:36" x14ac:dyDescent="0.2">
      <c r="A210">
        <v>627</v>
      </c>
      <c r="B210">
        <v>1</v>
      </c>
      <c r="C210" t="s">
        <v>187</v>
      </c>
      <c r="D210" s="1">
        <v>1000</v>
      </c>
      <c r="E210" s="1">
        <v>1000</v>
      </c>
      <c r="F210" s="1">
        <v>1000</v>
      </c>
      <c r="G210" s="1">
        <v>1000</v>
      </c>
      <c r="H210" s="1">
        <v>1000</v>
      </c>
      <c r="I210" s="1">
        <v>1000</v>
      </c>
      <c r="J210" s="1">
        <v>1000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</row>
    <row r="211" spans="1:36" x14ac:dyDescent="0.2">
      <c r="A211">
        <v>628</v>
      </c>
      <c r="B211">
        <v>1</v>
      </c>
      <c r="C211" t="s">
        <v>188</v>
      </c>
      <c r="D211" s="1">
        <v>1293.24</v>
      </c>
      <c r="E211" s="1">
        <v>1293.24</v>
      </c>
      <c r="F211" s="1">
        <v>1293.24</v>
      </c>
      <c r="G211" s="1">
        <v>1293.24</v>
      </c>
      <c r="H211" s="1">
        <v>1293.24</v>
      </c>
      <c r="I211" s="1">
        <v>1293.24</v>
      </c>
      <c r="J211" s="1">
        <v>1293.24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</row>
    <row r="212" spans="1:36" x14ac:dyDescent="0.2">
      <c r="A212">
        <v>630</v>
      </c>
      <c r="B212">
        <v>1</v>
      </c>
      <c r="C212" t="s">
        <v>189</v>
      </c>
      <c r="D212" s="1">
        <v>1600</v>
      </c>
      <c r="E212" s="1">
        <v>1600</v>
      </c>
      <c r="F212" s="1">
        <v>1600</v>
      </c>
      <c r="G212" s="1">
        <v>1600</v>
      </c>
      <c r="H212" s="1">
        <v>1600</v>
      </c>
      <c r="I212" s="1">
        <v>1600</v>
      </c>
      <c r="J212" s="1">
        <v>1600</v>
      </c>
      <c r="K212" s="1">
        <v>1600</v>
      </c>
      <c r="L212" s="1">
        <v>1600</v>
      </c>
      <c r="M212" s="1">
        <v>1600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</row>
    <row r="213" spans="1:36" x14ac:dyDescent="0.2">
      <c r="A213">
        <v>635</v>
      </c>
      <c r="B213">
        <v>1</v>
      </c>
      <c r="C213" t="s">
        <v>190</v>
      </c>
      <c r="D213" s="1">
        <v>1242</v>
      </c>
      <c r="E213" s="1">
        <v>1242</v>
      </c>
      <c r="F213" s="1">
        <v>1242</v>
      </c>
      <c r="G213" s="1">
        <v>1604.4300000000003</v>
      </c>
      <c r="H213" s="1">
        <v>1629.62</v>
      </c>
      <c r="I213" s="1">
        <v>1656.35</v>
      </c>
      <c r="J213" s="1">
        <v>1683.35</v>
      </c>
      <c r="K213" s="1">
        <v>1715.67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</row>
    <row r="214" spans="1:36" x14ac:dyDescent="0.2">
      <c r="A214">
        <v>640</v>
      </c>
      <c r="B214">
        <v>1</v>
      </c>
      <c r="C214" t="s">
        <v>191</v>
      </c>
      <c r="D214" s="1">
        <v>1000</v>
      </c>
      <c r="E214" s="1">
        <v>1000</v>
      </c>
      <c r="F214" s="1">
        <v>1000</v>
      </c>
      <c r="G214" s="1">
        <v>1000</v>
      </c>
      <c r="H214" s="1">
        <v>1000</v>
      </c>
      <c r="I214" s="1">
        <v>500</v>
      </c>
      <c r="J214" s="1">
        <v>500</v>
      </c>
      <c r="K214" s="1">
        <v>500</v>
      </c>
      <c r="L214" s="1">
        <v>500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</row>
    <row r="215" spans="1:36" x14ac:dyDescent="0.2">
      <c r="A215">
        <v>656</v>
      </c>
      <c r="B215">
        <v>1</v>
      </c>
      <c r="C215" t="s">
        <v>192</v>
      </c>
      <c r="D215" s="1">
        <v>385</v>
      </c>
      <c r="E215" s="1">
        <v>385</v>
      </c>
      <c r="F215" s="1">
        <v>385</v>
      </c>
      <c r="G215" s="1">
        <v>385</v>
      </c>
      <c r="H215" s="1">
        <v>385</v>
      </c>
      <c r="I215" s="1">
        <v>385</v>
      </c>
      <c r="J215" s="1">
        <v>385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</row>
    <row r="216" spans="1:36" x14ac:dyDescent="0.2">
      <c r="A216">
        <v>659</v>
      </c>
      <c r="B216">
        <v>1</v>
      </c>
      <c r="C216" t="s">
        <v>193</v>
      </c>
      <c r="D216" s="1">
        <v>1207.8900000000001</v>
      </c>
      <c r="E216" s="1">
        <v>1232.4100000000001</v>
      </c>
      <c r="F216" s="1">
        <v>1268.6400000000001</v>
      </c>
      <c r="G216" s="1">
        <v>1604.44</v>
      </c>
      <c r="H216" s="1">
        <v>1629.6299999999999</v>
      </c>
      <c r="I216" s="1">
        <v>1656.35</v>
      </c>
      <c r="J216" s="1">
        <v>1683.35</v>
      </c>
      <c r="K216" s="1">
        <v>1715.67</v>
      </c>
      <c r="L216" s="1">
        <v>1747.75</v>
      </c>
      <c r="M216" s="1">
        <v>1782.71</v>
      </c>
      <c r="N216" s="1">
        <v>1817.47</v>
      </c>
      <c r="O216" s="1">
        <v>1852.91</v>
      </c>
      <c r="P216" s="1">
        <v>1889.04</v>
      </c>
      <c r="Q216" s="1">
        <v>0</v>
      </c>
      <c r="R216" s="1">
        <v>0</v>
      </c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</row>
    <row r="217" spans="1:36" x14ac:dyDescent="0.2">
      <c r="A217">
        <v>671</v>
      </c>
      <c r="B217">
        <v>1</v>
      </c>
      <c r="C217" t="s">
        <v>194</v>
      </c>
      <c r="D217" s="1">
        <v>855.79</v>
      </c>
      <c r="E217" s="1">
        <v>855.79</v>
      </c>
      <c r="F217" s="1">
        <v>855.79</v>
      </c>
      <c r="G217" s="1">
        <v>855.79</v>
      </c>
      <c r="H217" s="1">
        <v>1521</v>
      </c>
      <c r="I217" s="1">
        <v>1521</v>
      </c>
      <c r="J217" s="1">
        <v>1521</v>
      </c>
      <c r="K217" s="1">
        <v>1521</v>
      </c>
      <c r="L217" s="1">
        <v>1521</v>
      </c>
      <c r="M217" s="1">
        <v>1521</v>
      </c>
      <c r="N217" s="1">
        <v>1521</v>
      </c>
      <c r="O217" s="1">
        <v>1521</v>
      </c>
      <c r="P217" s="1">
        <v>1521</v>
      </c>
      <c r="Q217" s="1">
        <v>1521</v>
      </c>
      <c r="R217" s="1">
        <v>0</v>
      </c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</row>
    <row r="218" spans="1:36" x14ac:dyDescent="0.2">
      <c r="A218">
        <v>676</v>
      </c>
      <c r="B218">
        <v>1</v>
      </c>
      <c r="C218" t="s">
        <v>195</v>
      </c>
      <c r="D218" s="1">
        <v>1500</v>
      </c>
      <c r="E218" s="1">
        <v>1500</v>
      </c>
      <c r="F218" s="1">
        <v>1500</v>
      </c>
      <c r="G218" s="1">
        <v>2000</v>
      </c>
      <c r="H218" s="1">
        <v>2000</v>
      </c>
      <c r="I218" s="1">
        <v>2000</v>
      </c>
      <c r="J218" s="1">
        <v>2000</v>
      </c>
      <c r="K218" s="1">
        <v>2000</v>
      </c>
      <c r="L218" s="1">
        <v>2000</v>
      </c>
      <c r="M218" s="1">
        <v>2000</v>
      </c>
      <c r="N218" s="1">
        <v>2000</v>
      </c>
      <c r="O218" s="1">
        <v>2000</v>
      </c>
      <c r="P218" s="1">
        <v>2000</v>
      </c>
      <c r="Q218" s="1">
        <v>0</v>
      </c>
      <c r="R218" s="1">
        <v>0</v>
      </c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</row>
    <row r="219" spans="1:36" x14ac:dyDescent="0.2">
      <c r="A219">
        <v>682</v>
      </c>
      <c r="B219">
        <v>1</v>
      </c>
      <c r="C219" t="s">
        <v>196</v>
      </c>
      <c r="D219" s="1">
        <v>500</v>
      </c>
      <c r="E219" s="1">
        <v>500</v>
      </c>
      <c r="F219" s="1">
        <v>500</v>
      </c>
      <c r="G219" s="1">
        <v>700</v>
      </c>
      <c r="H219" s="1">
        <v>700</v>
      </c>
      <c r="I219" s="1">
        <v>700</v>
      </c>
      <c r="J219" s="1">
        <v>700</v>
      </c>
      <c r="K219" s="1">
        <v>326.04000000000002</v>
      </c>
      <c r="L219" s="1">
        <v>326.04000000000002</v>
      </c>
      <c r="M219" s="1">
        <v>326.04000000000002</v>
      </c>
      <c r="N219" s="1">
        <v>326.04000000000002</v>
      </c>
      <c r="O219" s="1">
        <v>326.04000000000002</v>
      </c>
      <c r="P219" s="1">
        <v>326.04000000000002</v>
      </c>
      <c r="Q219" s="1">
        <v>0</v>
      </c>
      <c r="R219" s="1">
        <v>0</v>
      </c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</row>
    <row r="220" spans="1:36" x14ac:dyDescent="0.2">
      <c r="A220">
        <v>690</v>
      </c>
      <c r="B220">
        <v>1</v>
      </c>
      <c r="C220" t="s">
        <v>197</v>
      </c>
      <c r="D220" s="1">
        <v>600.01</v>
      </c>
      <c r="E220" s="1">
        <v>600.01</v>
      </c>
      <c r="F220" s="1">
        <v>600.01</v>
      </c>
      <c r="G220" s="1">
        <v>600.01</v>
      </c>
      <c r="H220" s="1">
        <v>600.01</v>
      </c>
      <c r="I220" s="1">
        <v>600.01</v>
      </c>
      <c r="J220" s="1">
        <v>600.01</v>
      </c>
      <c r="K220" s="1">
        <v>126.75</v>
      </c>
      <c r="L220" s="1">
        <v>126.75</v>
      </c>
      <c r="M220" s="1">
        <v>126.75</v>
      </c>
      <c r="N220" s="1">
        <v>126.75</v>
      </c>
      <c r="O220" s="1">
        <v>126.75</v>
      </c>
      <c r="P220" s="1">
        <v>126.75</v>
      </c>
      <c r="Q220" s="1">
        <v>0</v>
      </c>
      <c r="R220" s="1">
        <v>0</v>
      </c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</row>
    <row r="221" spans="1:36" x14ac:dyDescent="0.2">
      <c r="A221">
        <v>695</v>
      </c>
      <c r="B221">
        <v>1</v>
      </c>
      <c r="C221" t="s">
        <v>198</v>
      </c>
      <c r="D221" s="1">
        <v>873.36</v>
      </c>
      <c r="E221" s="1">
        <v>873.36</v>
      </c>
      <c r="F221" s="1">
        <v>873.36</v>
      </c>
      <c r="G221" s="1">
        <v>873.36</v>
      </c>
      <c r="H221" s="1">
        <v>873.36</v>
      </c>
      <c r="I221" s="1">
        <v>873.36</v>
      </c>
      <c r="J221" s="1">
        <v>873.36</v>
      </c>
      <c r="K221" s="1">
        <v>873.36</v>
      </c>
      <c r="L221" s="1">
        <v>873.36</v>
      </c>
      <c r="M221" s="1">
        <v>873.36</v>
      </c>
      <c r="N221" s="1">
        <v>873.36</v>
      </c>
      <c r="O221" s="1">
        <v>873.36</v>
      </c>
      <c r="P221" s="1">
        <v>873.36</v>
      </c>
      <c r="Q221" s="1">
        <v>873.36</v>
      </c>
      <c r="R221" s="1">
        <v>873.36</v>
      </c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</row>
    <row r="222" spans="1:36" x14ac:dyDescent="0.2">
      <c r="A222">
        <v>696</v>
      </c>
      <c r="B222">
        <v>1</v>
      </c>
      <c r="C222" t="s">
        <v>199</v>
      </c>
      <c r="D222" s="1">
        <v>1123.54</v>
      </c>
      <c r="E222" s="1">
        <v>1142.24</v>
      </c>
      <c r="F222" s="1">
        <v>967.61</v>
      </c>
      <c r="G222" s="1">
        <v>983.48</v>
      </c>
      <c r="H222" s="1">
        <v>998.92</v>
      </c>
      <c r="I222" s="1">
        <v>1015.3</v>
      </c>
      <c r="J222" s="1">
        <v>1031.8499999999999</v>
      </c>
      <c r="K222" s="1">
        <v>1051.6600000000001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</row>
    <row r="223" spans="1:36" x14ac:dyDescent="0.2">
      <c r="A223">
        <v>698</v>
      </c>
      <c r="B223">
        <v>1</v>
      </c>
      <c r="C223" t="s">
        <v>200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</row>
    <row r="224" spans="1:36" x14ac:dyDescent="0.2">
      <c r="A224">
        <v>700</v>
      </c>
      <c r="B224">
        <v>1</v>
      </c>
      <c r="C224" t="s">
        <v>201</v>
      </c>
      <c r="D224" s="1">
        <v>1</v>
      </c>
      <c r="E224" s="1">
        <v>1</v>
      </c>
      <c r="F224" s="1">
        <v>1</v>
      </c>
      <c r="G224" s="1">
        <v>1</v>
      </c>
      <c r="H224" s="1">
        <v>1</v>
      </c>
      <c r="I224" s="1">
        <v>1</v>
      </c>
      <c r="J224" s="1">
        <v>1</v>
      </c>
      <c r="K224" s="1">
        <v>1</v>
      </c>
      <c r="L224" s="1">
        <v>1</v>
      </c>
      <c r="M224" s="1">
        <v>1</v>
      </c>
      <c r="N224" s="1">
        <v>1</v>
      </c>
      <c r="O224" s="1">
        <v>1</v>
      </c>
      <c r="P224" s="1">
        <v>1</v>
      </c>
      <c r="Q224" s="1">
        <v>1</v>
      </c>
      <c r="R224" s="1">
        <v>0</v>
      </c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</row>
    <row r="225" spans="1:36" x14ac:dyDescent="0.2">
      <c r="A225">
        <v>701</v>
      </c>
      <c r="B225">
        <v>1</v>
      </c>
      <c r="C225" t="s">
        <v>202</v>
      </c>
      <c r="D225" s="1">
        <v>700</v>
      </c>
      <c r="E225" s="1">
        <v>700</v>
      </c>
      <c r="F225" s="1">
        <v>700</v>
      </c>
      <c r="G225" s="1">
        <v>700</v>
      </c>
      <c r="H225" s="1">
        <v>700</v>
      </c>
      <c r="I225" s="1">
        <v>150</v>
      </c>
      <c r="J225" s="1">
        <v>150</v>
      </c>
      <c r="K225" s="1">
        <v>150</v>
      </c>
      <c r="L225" s="1">
        <v>150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</row>
    <row r="226" spans="1:36" x14ac:dyDescent="0.2">
      <c r="A226">
        <v>704</v>
      </c>
      <c r="B226">
        <v>1</v>
      </c>
      <c r="C226" t="s">
        <v>203</v>
      </c>
      <c r="D226" s="1">
        <v>1</v>
      </c>
      <c r="E226" s="1">
        <v>1</v>
      </c>
      <c r="F226" s="1">
        <v>1</v>
      </c>
      <c r="G226" s="1">
        <v>1</v>
      </c>
      <c r="H226" s="1">
        <v>1</v>
      </c>
      <c r="I226" s="1">
        <v>1</v>
      </c>
      <c r="J226" s="1">
        <v>1</v>
      </c>
      <c r="K226" s="1">
        <v>1</v>
      </c>
      <c r="L226" s="1">
        <v>1</v>
      </c>
      <c r="M226" s="1">
        <v>1</v>
      </c>
      <c r="N226" s="1">
        <v>1</v>
      </c>
      <c r="O226" s="1">
        <v>1</v>
      </c>
      <c r="P226" s="1">
        <v>1</v>
      </c>
      <c r="Q226" s="1">
        <v>0</v>
      </c>
      <c r="R226" s="1">
        <v>0</v>
      </c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</row>
    <row r="227" spans="1:36" x14ac:dyDescent="0.2">
      <c r="A227">
        <v>706</v>
      </c>
      <c r="B227">
        <v>1</v>
      </c>
      <c r="C227" t="s">
        <v>204</v>
      </c>
      <c r="D227" s="1">
        <v>800</v>
      </c>
      <c r="E227" s="1">
        <v>800</v>
      </c>
      <c r="F227" s="1">
        <v>800</v>
      </c>
      <c r="G227" s="1">
        <v>800</v>
      </c>
      <c r="H227" s="1">
        <v>800</v>
      </c>
      <c r="I227" s="1">
        <v>800</v>
      </c>
      <c r="J227" s="1">
        <v>800</v>
      </c>
      <c r="K227" s="1">
        <v>800</v>
      </c>
      <c r="L227" s="1">
        <v>800</v>
      </c>
      <c r="M227" s="1">
        <v>800</v>
      </c>
      <c r="N227" s="1">
        <v>800</v>
      </c>
      <c r="O227" s="1">
        <v>0</v>
      </c>
      <c r="P227" s="1">
        <v>0</v>
      </c>
      <c r="Q227" s="1">
        <v>0</v>
      </c>
      <c r="R227" s="1">
        <v>0</v>
      </c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</row>
    <row r="228" spans="1:36" x14ac:dyDescent="0.2">
      <c r="A228">
        <v>707</v>
      </c>
      <c r="B228">
        <v>1</v>
      </c>
      <c r="C228" t="s">
        <v>205</v>
      </c>
      <c r="D228" s="1">
        <v>636.92999999999995</v>
      </c>
      <c r="E228" s="1">
        <v>571.92999999999995</v>
      </c>
      <c r="F228" s="1">
        <v>571.92999999999995</v>
      </c>
      <c r="G228" s="1">
        <v>571.92999999999995</v>
      </c>
      <c r="H228" s="1">
        <v>571.92999999999995</v>
      </c>
      <c r="I228" s="1">
        <v>571.92999999999995</v>
      </c>
      <c r="J228" s="1">
        <v>571.92999999999995</v>
      </c>
      <c r="K228" s="1">
        <v>571.92999999999995</v>
      </c>
      <c r="L228" s="1">
        <v>571.92999999999995</v>
      </c>
      <c r="M228" s="1">
        <v>571.92999999999995</v>
      </c>
      <c r="N228" s="1">
        <v>571.92999999999995</v>
      </c>
      <c r="O228" s="1">
        <v>571.92999999999995</v>
      </c>
      <c r="P228" s="1">
        <v>571.92999999999995</v>
      </c>
      <c r="Q228" s="1">
        <v>0</v>
      </c>
      <c r="R228" s="1">
        <v>0</v>
      </c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</row>
    <row r="229" spans="1:36" x14ac:dyDescent="0.2">
      <c r="A229">
        <v>709</v>
      </c>
      <c r="B229">
        <v>1</v>
      </c>
      <c r="C229" t="s">
        <v>206</v>
      </c>
      <c r="D229" s="1">
        <v>404.92</v>
      </c>
      <c r="E229" s="1">
        <v>404.92</v>
      </c>
      <c r="F229" s="1">
        <v>404.92</v>
      </c>
      <c r="G229" s="1">
        <v>365.6</v>
      </c>
      <c r="H229" s="1">
        <v>365.6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</row>
    <row r="230" spans="1:36" x14ac:dyDescent="0.2">
      <c r="A230">
        <v>712</v>
      </c>
      <c r="B230">
        <v>1</v>
      </c>
      <c r="C230" t="s">
        <v>207</v>
      </c>
      <c r="D230" s="1">
        <v>562.95000000000005</v>
      </c>
      <c r="E230" s="1">
        <v>562.95000000000005</v>
      </c>
      <c r="F230" s="1">
        <v>562.95000000000005</v>
      </c>
      <c r="G230" s="1">
        <v>562.95000000000005</v>
      </c>
      <c r="H230" s="1">
        <v>562.95000000000005</v>
      </c>
      <c r="I230" s="1">
        <v>562.95000000000005</v>
      </c>
      <c r="J230" s="1">
        <v>562.95000000000005</v>
      </c>
      <c r="K230" s="1">
        <v>562.95000000000005</v>
      </c>
      <c r="L230" s="1">
        <v>562.95000000000005</v>
      </c>
      <c r="M230" s="1">
        <v>562.95000000000005</v>
      </c>
      <c r="N230" s="1">
        <v>562.95000000000005</v>
      </c>
      <c r="O230" s="1">
        <v>562.95000000000005</v>
      </c>
      <c r="P230" s="1">
        <v>0</v>
      </c>
      <c r="Q230" s="1">
        <v>0</v>
      </c>
      <c r="R230" s="1">
        <v>0</v>
      </c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</row>
    <row r="231" spans="1:36" x14ac:dyDescent="0.2">
      <c r="A231">
        <v>716</v>
      </c>
      <c r="B231">
        <v>1</v>
      </c>
      <c r="C231" t="s">
        <v>208</v>
      </c>
      <c r="D231" s="1">
        <v>302.79000000000002</v>
      </c>
      <c r="E231" s="1">
        <v>308.94</v>
      </c>
      <c r="F231" s="1">
        <v>318.02</v>
      </c>
      <c r="G231" s="1">
        <v>323.24</v>
      </c>
      <c r="H231" s="1">
        <v>328.31</v>
      </c>
      <c r="I231" s="1">
        <v>333.69</v>
      </c>
      <c r="J231" s="1">
        <v>339.13</v>
      </c>
      <c r="K231" s="1">
        <v>345.64</v>
      </c>
      <c r="L231" s="1">
        <v>352.1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</row>
    <row r="232" spans="1:36" x14ac:dyDescent="0.2">
      <c r="A232">
        <v>717</v>
      </c>
      <c r="B232">
        <v>1</v>
      </c>
      <c r="C232" t="s">
        <v>209</v>
      </c>
      <c r="D232" s="1">
        <v>1.01</v>
      </c>
      <c r="E232" s="1">
        <v>551.01</v>
      </c>
      <c r="F232" s="1">
        <v>551.01</v>
      </c>
      <c r="G232" s="1">
        <v>551.01</v>
      </c>
      <c r="H232" s="1">
        <v>550</v>
      </c>
      <c r="I232" s="1">
        <v>550</v>
      </c>
      <c r="J232" s="1">
        <v>550</v>
      </c>
      <c r="K232" s="1">
        <v>550</v>
      </c>
      <c r="L232" s="1">
        <v>550</v>
      </c>
      <c r="M232" s="1">
        <v>550</v>
      </c>
      <c r="N232" s="1">
        <v>550</v>
      </c>
      <c r="O232" s="1">
        <v>0</v>
      </c>
      <c r="P232" s="1">
        <v>0</v>
      </c>
      <c r="Q232" s="1">
        <v>0</v>
      </c>
      <c r="R232" s="1">
        <v>0</v>
      </c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</row>
    <row r="233" spans="1:36" x14ac:dyDescent="0.2">
      <c r="A233">
        <v>719</v>
      </c>
      <c r="B233">
        <v>1</v>
      </c>
      <c r="C233" t="s">
        <v>210</v>
      </c>
      <c r="D233" s="1">
        <v>1051.22</v>
      </c>
      <c r="E233" s="1">
        <v>1051.22</v>
      </c>
      <c r="F233" s="1">
        <v>1051.22</v>
      </c>
      <c r="G233" s="1">
        <v>1051.22</v>
      </c>
      <c r="H233" s="1">
        <v>1051.22</v>
      </c>
      <c r="I233" s="1">
        <v>1051.22</v>
      </c>
      <c r="J233" s="1">
        <v>1051.22</v>
      </c>
      <c r="K233" s="1">
        <v>1051.22</v>
      </c>
      <c r="L233" s="1">
        <v>1051.22</v>
      </c>
      <c r="M233" s="1">
        <v>1051.22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</row>
    <row r="234" spans="1:36" x14ac:dyDescent="0.2">
      <c r="A234">
        <v>720</v>
      </c>
      <c r="B234">
        <v>1</v>
      </c>
      <c r="C234" t="s">
        <v>211</v>
      </c>
      <c r="D234" s="1">
        <v>545.33000000000004</v>
      </c>
      <c r="E234" s="1">
        <v>529.75</v>
      </c>
      <c r="F234" s="1">
        <v>529.75</v>
      </c>
      <c r="G234" s="1">
        <v>529.75</v>
      </c>
      <c r="H234" s="1">
        <v>529.75</v>
      </c>
      <c r="I234" s="1">
        <v>529.75</v>
      </c>
      <c r="J234" s="1">
        <v>529.75</v>
      </c>
      <c r="K234" s="1">
        <v>529.75</v>
      </c>
      <c r="L234" s="1">
        <v>529.75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</row>
    <row r="235" spans="1:36" x14ac:dyDescent="0.2">
      <c r="A235">
        <v>721</v>
      </c>
      <c r="B235">
        <v>1</v>
      </c>
      <c r="C235" t="s">
        <v>212</v>
      </c>
      <c r="D235" s="1">
        <v>757</v>
      </c>
      <c r="E235" s="1">
        <v>757</v>
      </c>
      <c r="F235" s="1">
        <v>757</v>
      </c>
      <c r="G235" s="1">
        <v>757</v>
      </c>
      <c r="H235" s="1">
        <v>857</v>
      </c>
      <c r="I235" s="1">
        <v>857</v>
      </c>
      <c r="J235" s="1">
        <v>857</v>
      </c>
      <c r="K235" s="1">
        <v>857</v>
      </c>
      <c r="L235" s="1">
        <v>857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</row>
    <row r="236" spans="1:36" x14ac:dyDescent="0.2">
      <c r="A236">
        <v>726</v>
      </c>
      <c r="B236">
        <v>1</v>
      </c>
      <c r="C236" t="s">
        <v>213</v>
      </c>
      <c r="D236" s="1">
        <v>731.28</v>
      </c>
      <c r="E236" s="1">
        <v>731.28</v>
      </c>
      <c r="F236" s="1">
        <v>752.78</v>
      </c>
      <c r="G236" s="1">
        <v>765.13</v>
      </c>
      <c r="H236" s="1">
        <v>777.14</v>
      </c>
      <c r="I236" s="1">
        <v>789.89</v>
      </c>
      <c r="J236" s="1">
        <v>802.77</v>
      </c>
      <c r="K236" s="1">
        <v>818.18</v>
      </c>
      <c r="L236" s="1">
        <v>833.48</v>
      </c>
      <c r="M236" s="1">
        <v>850.15</v>
      </c>
      <c r="N236" s="1">
        <v>866.73</v>
      </c>
      <c r="O236" s="1">
        <v>0</v>
      </c>
      <c r="P236" s="1">
        <v>0</v>
      </c>
      <c r="Q236" s="1">
        <v>0</v>
      </c>
      <c r="R236" s="1">
        <v>0</v>
      </c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</row>
    <row r="237" spans="1:36" x14ac:dyDescent="0.2">
      <c r="A237">
        <v>727</v>
      </c>
      <c r="B237">
        <v>1</v>
      </c>
      <c r="C237" t="s">
        <v>214</v>
      </c>
      <c r="D237" s="1">
        <v>7.21</v>
      </c>
      <c r="E237" s="1">
        <v>475</v>
      </c>
      <c r="F237" s="1">
        <v>488.97</v>
      </c>
      <c r="G237" s="1">
        <v>496.99</v>
      </c>
      <c r="H237" s="1">
        <v>504.79</v>
      </c>
      <c r="I237" s="1">
        <v>513.07000000000005</v>
      </c>
      <c r="J237" s="1">
        <v>521.42999999999995</v>
      </c>
      <c r="K237" s="1">
        <v>531.44000000000005</v>
      </c>
      <c r="L237" s="1">
        <v>541.38</v>
      </c>
      <c r="M237" s="1">
        <v>552.21</v>
      </c>
      <c r="N237" s="1">
        <v>562.98</v>
      </c>
      <c r="O237" s="1">
        <v>0</v>
      </c>
      <c r="P237" s="1">
        <v>0</v>
      </c>
      <c r="Q237" s="1">
        <v>0</v>
      </c>
      <c r="R237" s="1">
        <v>0</v>
      </c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</row>
    <row r="238" spans="1:36" x14ac:dyDescent="0.2">
      <c r="A238">
        <v>728</v>
      </c>
      <c r="B238">
        <v>1</v>
      </c>
      <c r="C238" t="s">
        <v>215</v>
      </c>
      <c r="D238" s="1">
        <v>697.81</v>
      </c>
      <c r="E238" s="1">
        <v>697.81</v>
      </c>
      <c r="F238" s="1">
        <v>697.81</v>
      </c>
      <c r="G238" s="1">
        <v>697.81</v>
      </c>
      <c r="H238" s="1">
        <v>697.81</v>
      </c>
      <c r="I238" s="1">
        <v>697.81</v>
      </c>
      <c r="J238" s="1">
        <v>697.81</v>
      </c>
      <c r="K238" s="1">
        <v>697.81</v>
      </c>
      <c r="L238" s="1">
        <v>697.81</v>
      </c>
      <c r="M238" s="1">
        <v>697.81</v>
      </c>
      <c r="N238" s="1">
        <v>581.91</v>
      </c>
      <c r="O238" s="1">
        <v>581.91</v>
      </c>
      <c r="P238" s="1">
        <v>386</v>
      </c>
      <c r="Q238" s="1">
        <v>386</v>
      </c>
      <c r="R238" s="1">
        <v>386</v>
      </c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</row>
    <row r="239" spans="1:36" x14ac:dyDescent="0.2">
      <c r="A239">
        <v>738</v>
      </c>
      <c r="B239">
        <v>1</v>
      </c>
      <c r="C239" t="s">
        <v>216</v>
      </c>
      <c r="D239" s="1">
        <v>500</v>
      </c>
      <c r="E239" s="1">
        <v>500</v>
      </c>
      <c r="F239" s="1">
        <v>500</v>
      </c>
      <c r="G239" s="1">
        <v>500</v>
      </c>
      <c r="H239" s="1">
        <v>500</v>
      </c>
      <c r="I239" s="1">
        <v>500</v>
      </c>
      <c r="J239" s="1">
        <v>500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</row>
    <row r="240" spans="1:36" x14ac:dyDescent="0.2">
      <c r="A240">
        <v>739</v>
      </c>
      <c r="B240">
        <v>1</v>
      </c>
      <c r="C240" t="s">
        <v>217</v>
      </c>
      <c r="D240" s="1">
        <v>275</v>
      </c>
      <c r="E240" s="1">
        <v>275</v>
      </c>
      <c r="F240" s="1">
        <v>875</v>
      </c>
      <c r="G240" s="1">
        <v>889.35</v>
      </c>
      <c r="H240" s="1">
        <v>903.31</v>
      </c>
      <c r="I240" s="1">
        <v>918.12</v>
      </c>
      <c r="J240" s="1">
        <v>933.09</v>
      </c>
      <c r="K240" s="1">
        <v>951.01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</row>
    <row r="241" spans="1:36" x14ac:dyDescent="0.2">
      <c r="A241">
        <v>740</v>
      </c>
      <c r="B241">
        <v>1</v>
      </c>
      <c r="C241" t="s">
        <v>218</v>
      </c>
      <c r="D241" s="1">
        <v>700</v>
      </c>
      <c r="E241" s="1">
        <v>700</v>
      </c>
      <c r="F241" s="1">
        <v>700</v>
      </c>
      <c r="G241" s="1">
        <v>700</v>
      </c>
      <c r="H241" s="1">
        <v>700</v>
      </c>
      <c r="I241" s="1">
        <v>700</v>
      </c>
      <c r="J241" s="1">
        <v>700</v>
      </c>
      <c r="K241" s="1">
        <v>700</v>
      </c>
      <c r="L241" s="1">
        <v>700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</row>
    <row r="242" spans="1:36" x14ac:dyDescent="0.2">
      <c r="A242">
        <v>741</v>
      </c>
      <c r="B242">
        <v>1</v>
      </c>
      <c r="C242" t="s">
        <v>219</v>
      </c>
      <c r="D242" s="1">
        <v>415.6</v>
      </c>
      <c r="E242" s="1">
        <v>415.6</v>
      </c>
      <c r="F242" s="1">
        <v>415.6</v>
      </c>
      <c r="G242" s="1">
        <v>415.6</v>
      </c>
      <c r="H242" s="1">
        <v>723</v>
      </c>
      <c r="I242" s="1">
        <v>723</v>
      </c>
      <c r="J242" s="1">
        <v>723</v>
      </c>
      <c r="K242" s="1">
        <v>723</v>
      </c>
      <c r="L242" s="1">
        <v>723</v>
      </c>
      <c r="M242" s="1">
        <v>723</v>
      </c>
      <c r="N242" s="1">
        <v>723</v>
      </c>
      <c r="O242" s="1">
        <v>723</v>
      </c>
      <c r="P242" s="1">
        <v>723</v>
      </c>
      <c r="Q242" s="1">
        <v>723</v>
      </c>
      <c r="R242" s="1">
        <v>0</v>
      </c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</row>
    <row r="243" spans="1:36" x14ac:dyDescent="0.2">
      <c r="A243">
        <v>742</v>
      </c>
      <c r="B243">
        <v>1</v>
      </c>
      <c r="C243" t="s">
        <v>220</v>
      </c>
      <c r="D243" s="1">
        <v>555</v>
      </c>
      <c r="E243" s="1">
        <v>555</v>
      </c>
      <c r="F243" s="1">
        <v>555</v>
      </c>
      <c r="G243" s="1">
        <v>555</v>
      </c>
      <c r="H243" s="1">
        <v>555</v>
      </c>
      <c r="I243" s="1">
        <v>555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</row>
    <row r="244" spans="1:36" x14ac:dyDescent="0.2">
      <c r="A244">
        <v>743</v>
      </c>
      <c r="B244">
        <v>1</v>
      </c>
      <c r="C244" t="s">
        <v>221</v>
      </c>
      <c r="D244" s="1">
        <v>1000</v>
      </c>
      <c r="E244" s="1">
        <v>1020.3</v>
      </c>
      <c r="F244" s="1">
        <v>1050.3</v>
      </c>
      <c r="G244" s="1">
        <v>1067.52</v>
      </c>
      <c r="H244" s="1">
        <v>1084.28</v>
      </c>
      <c r="I244" s="1">
        <v>1102.06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</row>
    <row r="245" spans="1:36" x14ac:dyDescent="0.2">
      <c r="A245">
        <v>745</v>
      </c>
      <c r="B245">
        <v>1</v>
      </c>
      <c r="C245" t="s">
        <v>222</v>
      </c>
      <c r="D245" s="1">
        <v>405</v>
      </c>
      <c r="E245" s="1">
        <v>405</v>
      </c>
      <c r="F245" s="1">
        <v>405</v>
      </c>
      <c r="G245" s="1">
        <v>405</v>
      </c>
      <c r="H245" s="1">
        <v>405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</row>
    <row r="246" spans="1:36" x14ac:dyDescent="0.2">
      <c r="A246">
        <v>748</v>
      </c>
      <c r="B246">
        <v>1</v>
      </c>
      <c r="C246" t="s">
        <v>223</v>
      </c>
      <c r="D246" s="1">
        <v>301.63</v>
      </c>
      <c r="E246" s="1">
        <v>301.63</v>
      </c>
      <c r="F246" s="1">
        <v>301.63</v>
      </c>
      <c r="G246" s="1">
        <v>700</v>
      </c>
      <c r="H246" s="1">
        <v>700</v>
      </c>
      <c r="I246" s="1">
        <v>700</v>
      </c>
      <c r="J246" s="1">
        <v>700</v>
      </c>
      <c r="K246" s="1">
        <v>700</v>
      </c>
      <c r="L246" s="1">
        <v>700</v>
      </c>
      <c r="M246" s="1">
        <v>700</v>
      </c>
      <c r="N246" s="1">
        <v>700</v>
      </c>
      <c r="O246" s="1">
        <v>700</v>
      </c>
      <c r="P246" s="1">
        <v>700</v>
      </c>
      <c r="Q246" s="1">
        <v>0</v>
      </c>
      <c r="R246" s="1">
        <v>0</v>
      </c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</row>
    <row r="247" spans="1:36" x14ac:dyDescent="0.2">
      <c r="A247">
        <v>750</v>
      </c>
      <c r="B247">
        <v>1</v>
      </c>
      <c r="C247" t="s">
        <v>224</v>
      </c>
      <c r="D247" s="1">
        <v>475.83</v>
      </c>
      <c r="E247" s="1">
        <v>482.88</v>
      </c>
      <c r="F247" s="1">
        <v>493.29</v>
      </c>
      <c r="G247" s="1">
        <v>370.64</v>
      </c>
      <c r="H247" s="1">
        <v>376.46</v>
      </c>
      <c r="I247" s="1">
        <v>375.56</v>
      </c>
      <c r="J247" s="1">
        <v>381.68</v>
      </c>
      <c r="K247" s="1">
        <v>389.01</v>
      </c>
      <c r="L247" s="1">
        <v>396.28</v>
      </c>
      <c r="M247" s="1">
        <v>404.21</v>
      </c>
      <c r="N247" s="1">
        <v>412.09</v>
      </c>
      <c r="O247" s="1">
        <v>0</v>
      </c>
      <c r="P247" s="1">
        <v>0</v>
      </c>
      <c r="Q247" s="1">
        <v>0</v>
      </c>
      <c r="R247" s="1">
        <v>0</v>
      </c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</row>
    <row r="248" spans="1:36" x14ac:dyDescent="0.2">
      <c r="A248">
        <v>756</v>
      </c>
      <c r="B248">
        <v>1</v>
      </c>
      <c r="C248" t="s">
        <v>225</v>
      </c>
      <c r="D248" s="1">
        <v>350.45</v>
      </c>
      <c r="E248" s="1">
        <v>700</v>
      </c>
      <c r="F248" s="1">
        <v>720.57999999999993</v>
      </c>
      <c r="G248" s="1">
        <v>732.4</v>
      </c>
      <c r="H248" s="1">
        <v>743.9</v>
      </c>
      <c r="I248" s="1">
        <v>756.1</v>
      </c>
      <c r="J248" s="1">
        <v>768.42</v>
      </c>
      <c r="K248" s="1">
        <v>783.17</v>
      </c>
      <c r="L248" s="1">
        <v>797.82</v>
      </c>
      <c r="M248" s="1">
        <v>813.78</v>
      </c>
      <c r="N248" s="1">
        <v>829.65</v>
      </c>
      <c r="O248" s="1">
        <v>0</v>
      </c>
      <c r="P248" s="1">
        <v>0</v>
      </c>
      <c r="Q248" s="1">
        <v>0</v>
      </c>
      <c r="R248" s="1">
        <v>0</v>
      </c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</row>
    <row r="249" spans="1:36" x14ac:dyDescent="0.2">
      <c r="A249">
        <v>761</v>
      </c>
      <c r="B249">
        <v>1</v>
      </c>
      <c r="C249" t="s">
        <v>226</v>
      </c>
      <c r="D249" s="1">
        <v>691.04</v>
      </c>
      <c r="E249" s="1">
        <v>691.04</v>
      </c>
      <c r="F249" s="1">
        <v>691.04</v>
      </c>
      <c r="G249" s="1">
        <v>691.04</v>
      </c>
      <c r="H249" s="1">
        <v>691.04</v>
      </c>
      <c r="I249" s="1">
        <v>691.04</v>
      </c>
      <c r="J249" s="1">
        <v>691.04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</row>
    <row r="250" spans="1:36" x14ac:dyDescent="0.2">
      <c r="A250">
        <v>763</v>
      </c>
      <c r="B250">
        <v>1</v>
      </c>
      <c r="C250" t="s">
        <v>227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</row>
    <row r="251" spans="1:36" x14ac:dyDescent="0.2">
      <c r="A251">
        <v>768</v>
      </c>
      <c r="B251">
        <v>1</v>
      </c>
      <c r="C251" t="s">
        <v>228</v>
      </c>
      <c r="D251" s="1">
        <v>1150.3499999999999</v>
      </c>
      <c r="E251" s="1">
        <v>1150.3499999999999</v>
      </c>
      <c r="F251" s="1">
        <v>1150.3499999999999</v>
      </c>
      <c r="G251" s="1">
        <v>1150.3499999999999</v>
      </c>
      <c r="H251" s="1">
        <v>1150.3499999999999</v>
      </c>
      <c r="I251" s="1">
        <v>1163.48</v>
      </c>
      <c r="J251" s="1">
        <v>1176.74</v>
      </c>
      <c r="K251" s="1">
        <v>1192.6100000000001</v>
      </c>
      <c r="L251" s="1">
        <v>1208.3699999999999</v>
      </c>
      <c r="M251" s="1">
        <v>875.54</v>
      </c>
      <c r="N251" s="1">
        <v>892.61</v>
      </c>
      <c r="O251" s="1">
        <v>910.02</v>
      </c>
      <c r="P251" s="1">
        <v>927.77</v>
      </c>
      <c r="Q251" s="1">
        <v>945.86</v>
      </c>
      <c r="R251" s="1">
        <v>0</v>
      </c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 spans="1:36" x14ac:dyDescent="0.2">
      <c r="A252">
        <v>769</v>
      </c>
      <c r="B252">
        <v>1</v>
      </c>
      <c r="C252" t="s">
        <v>229</v>
      </c>
      <c r="D252" s="1">
        <v>686.82</v>
      </c>
      <c r="E252" s="1">
        <v>686.82</v>
      </c>
      <c r="F252" s="1">
        <v>885</v>
      </c>
      <c r="G252" s="1">
        <v>893.2</v>
      </c>
      <c r="H252" s="1">
        <v>901.18</v>
      </c>
      <c r="I252" s="1">
        <v>909.65</v>
      </c>
      <c r="J252" s="1">
        <v>918.2</v>
      </c>
      <c r="K252" s="1">
        <v>543.44000000000005</v>
      </c>
      <c r="L252" s="1">
        <v>553.6</v>
      </c>
      <c r="M252" s="1">
        <v>564.66999999999996</v>
      </c>
      <c r="N252" s="1">
        <v>575.67999999999995</v>
      </c>
      <c r="O252" s="1">
        <v>586.91</v>
      </c>
      <c r="P252" s="1">
        <v>0</v>
      </c>
      <c r="Q252" s="1">
        <v>0</v>
      </c>
      <c r="R252" s="1">
        <v>0</v>
      </c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 spans="1:36" x14ac:dyDescent="0.2">
      <c r="A253">
        <v>771</v>
      </c>
      <c r="B253">
        <v>1</v>
      </c>
      <c r="C253" t="s">
        <v>230</v>
      </c>
      <c r="D253" s="1">
        <v>2500</v>
      </c>
      <c r="E253" s="1">
        <v>2500</v>
      </c>
      <c r="F253" s="1">
        <v>2500</v>
      </c>
      <c r="G253" s="1">
        <v>2500</v>
      </c>
      <c r="H253" s="1">
        <v>2500</v>
      </c>
      <c r="I253" s="1">
        <v>2500</v>
      </c>
      <c r="J253" s="1">
        <v>750</v>
      </c>
      <c r="K253" s="1">
        <v>750</v>
      </c>
      <c r="L253" s="1">
        <v>750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</row>
    <row r="254" spans="1:36" x14ac:dyDescent="0.2">
      <c r="A254">
        <v>775</v>
      </c>
      <c r="B254">
        <v>1</v>
      </c>
      <c r="C254" t="s">
        <v>231</v>
      </c>
      <c r="D254" s="1">
        <v>600</v>
      </c>
      <c r="E254" s="1">
        <v>600</v>
      </c>
      <c r="F254" s="1">
        <v>800</v>
      </c>
      <c r="G254" s="1">
        <v>800</v>
      </c>
      <c r="H254" s="1">
        <v>800</v>
      </c>
      <c r="I254" s="1">
        <v>400</v>
      </c>
      <c r="J254" s="1">
        <v>400</v>
      </c>
      <c r="K254" s="1">
        <v>400</v>
      </c>
      <c r="L254" s="1">
        <v>200</v>
      </c>
      <c r="M254" s="1">
        <v>200</v>
      </c>
      <c r="N254" s="1">
        <v>200</v>
      </c>
      <c r="O254" s="1">
        <v>200</v>
      </c>
      <c r="P254" s="1">
        <v>0</v>
      </c>
      <c r="Q254" s="1">
        <v>0</v>
      </c>
      <c r="R254" s="1">
        <v>0</v>
      </c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</row>
    <row r="255" spans="1:36" x14ac:dyDescent="0.2">
      <c r="A255">
        <v>777</v>
      </c>
      <c r="B255">
        <v>1</v>
      </c>
      <c r="C255" t="s">
        <v>232</v>
      </c>
      <c r="D255" s="1">
        <v>527.16999999999996</v>
      </c>
      <c r="E255" s="1">
        <v>537.87</v>
      </c>
      <c r="F255" s="1">
        <v>553.67999999999995</v>
      </c>
      <c r="G255" s="1">
        <v>650</v>
      </c>
      <c r="H255" s="1">
        <v>660.21</v>
      </c>
      <c r="I255" s="1">
        <v>671.04</v>
      </c>
      <c r="J255" s="1">
        <v>681.98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</row>
    <row r="256" spans="1:36" x14ac:dyDescent="0.2">
      <c r="A256">
        <v>786</v>
      </c>
      <c r="B256">
        <v>1</v>
      </c>
      <c r="C256" t="s">
        <v>233</v>
      </c>
      <c r="D256" s="1">
        <v>716.54</v>
      </c>
      <c r="E256" s="1">
        <v>731.09</v>
      </c>
      <c r="F256" s="1">
        <v>752.58</v>
      </c>
      <c r="G256" s="1">
        <v>764.92</v>
      </c>
      <c r="H256" s="1">
        <v>776.93</v>
      </c>
      <c r="I256" s="1">
        <v>789.67</v>
      </c>
      <c r="J256" s="1">
        <v>802.54</v>
      </c>
      <c r="K256" s="1">
        <v>817.95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</row>
    <row r="257" spans="1:36" x14ac:dyDescent="0.2">
      <c r="A257">
        <v>787</v>
      </c>
      <c r="B257">
        <v>1</v>
      </c>
      <c r="C257" t="s">
        <v>234</v>
      </c>
      <c r="D257" s="1">
        <v>126.18</v>
      </c>
      <c r="E257" s="1">
        <v>126.18</v>
      </c>
      <c r="F257" s="1">
        <v>126.18</v>
      </c>
      <c r="G257" s="1">
        <v>126.18</v>
      </c>
      <c r="H257" s="1">
        <v>126.18</v>
      </c>
      <c r="I257" s="1">
        <v>126.18</v>
      </c>
      <c r="J257" s="1">
        <v>126.18</v>
      </c>
      <c r="K257" s="1">
        <v>126.18</v>
      </c>
      <c r="L257" s="1">
        <v>126.18</v>
      </c>
      <c r="M257" s="1">
        <v>126.18</v>
      </c>
      <c r="N257" s="1">
        <v>126.18</v>
      </c>
      <c r="O257" s="1">
        <v>126.18</v>
      </c>
      <c r="P257" s="1">
        <v>126.18</v>
      </c>
      <c r="Q257" s="1">
        <v>0</v>
      </c>
      <c r="R257" s="1">
        <v>0</v>
      </c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</row>
    <row r="258" spans="1:36" x14ac:dyDescent="0.2">
      <c r="A258">
        <v>801</v>
      </c>
      <c r="B258">
        <v>1</v>
      </c>
      <c r="C258" t="s">
        <v>235</v>
      </c>
      <c r="D258" s="1">
        <v>1318.53</v>
      </c>
      <c r="E258" s="1">
        <v>1318.53</v>
      </c>
      <c r="F258" s="1">
        <v>1318.53</v>
      </c>
      <c r="G258" s="1">
        <v>1318.53</v>
      </c>
      <c r="H258" s="1">
        <v>1318.53</v>
      </c>
      <c r="I258" s="1">
        <v>1318.53</v>
      </c>
      <c r="J258" s="1">
        <v>1318.53</v>
      </c>
      <c r="K258" s="1">
        <v>1318.53</v>
      </c>
      <c r="L258" s="1">
        <v>1318.53</v>
      </c>
      <c r="M258" s="1">
        <v>1318.53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</row>
    <row r="259" spans="1:36" x14ac:dyDescent="0.2">
      <c r="A259">
        <v>803</v>
      </c>
      <c r="B259">
        <v>1</v>
      </c>
      <c r="C259" t="s">
        <v>236</v>
      </c>
      <c r="D259" s="1">
        <v>844.34</v>
      </c>
      <c r="E259" s="1">
        <v>844.34</v>
      </c>
      <c r="F259" s="1">
        <v>844.34</v>
      </c>
      <c r="G259" s="1">
        <v>1520</v>
      </c>
      <c r="H259" s="1">
        <v>1520</v>
      </c>
      <c r="I259" s="1">
        <v>1520</v>
      </c>
      <c r="J259" s="1">
        <v>1520</v>
      </c>
      <c r="K259" s="1">
        <v>1520</v>
      </c>
      <c r="L259" s="1">
        <v>1520</v>
      </c>
      <c r="M259" s="1">
        <v>1520</v>
      </c>
      <c r="N259" s="1">
        <v>1520</v>
      </c>
      <c r="O259" s="1">
        <v>1520</v>
      </c>
      <c r="P259" s="1">
        <v>1520</v>
      </c>
      <c r="Q259" s="1">
        <v>0</v>
      </c>
      <c r="R259" s="1">
        <v>0</v>
      </c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</row>
    <row r="260" spans="1:36" x14ac:dyDescent="0.2">
      <c r="A260">
        <v>811</v>
      </c>
      <c r="B260">
        <v>1</v>
      </c>
      <c r="C260" t="s">
        <v>237</v>
      </c>
      <c r="D260" s="1">
        <v>1115.8</v>
      </c>
      <c r="E260" s="1">
        <v>1115.8</v>
      </c>
      <c r="F260" s="1">
        <v>1115.8</v>
      </c>
      <c r="G260" s="1">
        <v>989</v>
      </c>
      <c r="H260" s="1">
        <v>989</v>
      </c>
      <c r="I260" s="1">
        <v>989</v>
      </c>
      <c r="J260" s="1">
        <v>989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</row>
    <row r="261" spans="1:36" x14ac:dyDescent="0.2">
      <c r="A261">
        <v>813</v>
      </c>
      <c r="B261">
        <v>1</v>
      </c>
      <c r="C261" t="s">
        <v>238</v>
      </c>
      <c r="D261" s="1">
        <v>807.44</v>
      </c>
      <c r="E261" s="1">
        <v>823.83</v>
      </c>
      <c r="F261" s="1">
        <v>848.05</v>
      </c>
      <c r="G261" s="1">
        <v>861.96</v>
      </c>
      <c r="H261" s="1">
        <v>875.49</v>
      </c>
      <c r="I261" s="1">
        <v>889.85</v>
      </c>
      <c r="J261" s="1">
        <v>904.35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</row>
    <row r="262" spans="1:36" x14ac:dyDescent="0.2">
      <c r="A262">
        <v>815</v>
      </c>
      <c r="B262">
        <v>2</v>
      </c>
      <c r="C262" t="s">
        <v>239</v>
      </c>
      <c r="D262" s="1">
        <v>923.84</v>
      </c>
      <c r="E262" s="1">
        <v>923.84</v>
      </c>
      <c r="F262" s="1">
        <v>923.84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</row>
    <row r="263" spans="1:36" x14ac:dyDescent="0.2">
      <c r="A263">
        <v>818</v>
      </c>
      <c r="B263">
        <v>1</v>
      </c>
      <c r="C263" t="s">
        <v>240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</row>
    <row r="264" spans="1:36" x14ac:dyDescent="0.2">
      <c r="A264">
        <v>820</v>
      </c>
      <c r="B264">
        <v>1</v>
      </c>
      <c r="C264" t="s">
        <v>241</v>
      </c>
      <c r="D264" s="1">
        <v>800</v>
      </c>
      <c r="E264" s="1">
        <v>800</v>
      </c>
      <c r="F264" s="1">
        <v>800</v>
      </c>
      <c r="G264" s="1">
        <v>800</v>
      </c>
      <c r="H264" s="1">
        <v>800</v>
      </c>
      <c r="I264" s="1">
        <v>800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</row>
    <row r="265" spans="1:36" x14ac:dyDescent="0.2">
      <c r="A265">
        <v>821</v>
      </c>
      <c r="B265">
        <v>1</v>
      </c>
      <c r="C265" t="s">
        <v>242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</row>
    <row r="266" spans="1:36" x14ac:dyDescent="0.2">
      <c r="A266">
        <v>829</v>
      </c>
      <c r="B266">
        <v>1</v>
      </c>
      <c r="C266" t="s">
        <v>243</v>
      </c>
      <c r="D266" s="1">
        <v>610</v>
      </c>
      <c r="E266" s="1">
        <v>0</v>
      </c>
      <c r="F266" s="1">
        <v>0</v>
      </c>
      <c r="G266" s="1">
        <v>700</v>
      </c>
      <c r="H266" s="1">
        <v>700</v>
      </c>
      <c r="I266" s="1">
        <v>700</v>
      </c>
      <c r="J266" s="1">
        <v>700</v>
      </c>
      <c r="K266" s="1">
        <v>700</v>
      </c>
      <c r="L266" s="1">
        <v>700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</row>
    <row r="267" spans="1:36" x14ac:dyDescent="0.2">
      <c r="A267">
        <v>831</v>
      </c>
      <c r="B267">
        <v>1</v>
      </c>
      <c r="C267" t="s">
        <v>244</v>
      </c>
      <c r="D267" s="1">
        <v>725</v>
      </c>
      <c r="E267" s="1">
        <v>725</v>
      </c>
      <c r="F267" s="1">
        <v>725</v>
      </c>
      <c r="G267" s="1">
        <v>725</v>
      </c>
      <c r="H267" s="1">
        <v>725</v>
      </c>
      <c r="I267" s="1">
        <v>725</v>
      </c>
      <c r="J267" s="1">
        <v>725</v>
      </c>
      <c r="K267" s="1">
        <v>725</v>
      </c>
      <c r="L267" s="1">
        <v>725</v>
      </c>
      <c r="M267" s="1">
        <v>725</v>
      </c>
      <c r="N267" s="1">
        <v>725</v>
      </c>
      <c r="O267" s="1">
        <v>0</v>
      </c>
      <c r="P267" s="1">
        <v>0</v>
      </c>
      <c r="Q267" s="1">
        <v>0</v>
      </c>
      <c r="R267" s="1">
        <v>0</v>
      </c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</row>
    <row r="268" spans="1:36" x14ac:dyDescent="0.2">
      <c r="A268">
        <v>832</v>
      </c>
      <c r="B268">
        <v>1</v>
      </c>
      <c r="C268" t="s">
        <v>245</v>
      </c>
      <c r="D268" s="1">
        <v>1100.2</v>
      </c>
      <c r="E268" s="1">
        <v>1100.2</v>
      </c>
      <c r="F268" s="1">
        <v>1100.2</v>
      </c>
      <c r="G268" s="1">
        <v>1100.2</v>
      </c>
      <c r="H268" s="1">
        <v>1100.2</v>
      </c>
      <c r="I268" s="1">
        <v>1100.2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</row>
    <row r="269" spans="1:36" x14ac:dyDescent="0.2">
      <c r="A269">
        <v>833</v>
      </c>
      <c r="B269">
        <v>1</v>
      </c>
      <c r="C269" t="s">
        <v>246</v>
      </c>
      <c r="D269" s="1">
        <v>929.44</v>
      </c>
      <c r="E269" s="1">
        <v>929.43999999999994</v>
      </c>
      <c r="F269" s="1">
        <v>929.43999999999994</v>
      </c>
      <c r="G269" s="1">
        <v>929.43999999999994</v>
      </c>
      <c r="H269" s="1">
        <v>929.43999999999994</v>
      </c>
      <c r="I269" s="1">
        <v>765.06</v>
      </c>
      <c r="J269" s="1">
        <v>708.06</v>
      </c>
      <c r="K269" s="1">
        <v>708.06</v>
      </c>
      <c r="L269" s="1">
        <v>708.06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</row>
    <row r="270" spans="1:36" x14ac:dyDescent="0.2">
      <c r="A270">
        <v>834</v>
      </c>
      <c r="B270">
        <v>1</v>
      </c>
      <c r="C270" t="s">
        <v>247</v>
      </c>
      <c r="D270" s="1">
        <v>935.62</v>
      </c>
      <c r="E270" s="1">
        <v>954.61</v>
      </c>
      <c r="F270" s="1">
        <v>982.68</v>
      </c>
      <c r="G270" s="1">
        <v>998.8</v>
      </c>
      <c r="H270" s="1">
        <v>1014.48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</row>
    <row r="271" spans="1:36" x14ac:dyDescent="0.2">
      <c r="A271">
        <v>836</v>
      </c>
      <c r="B271">
        <v>1</v>
      </c>
      <c r="C271" t="s">
        <v>248</v>
      </c>
      <c r="D271" s="1">
        <v>1296.68</v>
      </c>
      <c r="E271" s="1">
        <v>1296.68</v>
      </c>
      <c r="F271" s="1">
        <v>1296.68</v>
      </c>
      <c r="G271" s="1">
        <v>1296.68</v>
      </c>
      <c r="H271" s="1">
        <v>1296.68</v>
      </c>
      <c r="I271" s="1">
        <v>1296.68</v>
      </c>
      <c r="J271" s="1">
        <v>1296.68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</row>
    <row r="272" spans="1:36" x14ac:dyDescent="0.2">
      <c r="A272">
        <v>837</v>
      </c>
      <c r="B272">
        <v>1</v>
      </c>
      <c r="C272" t="s">
        <v>249</v>
      </c>
      <c r="D272" s="1">
        <v>700</v>
      </c>
      <c r="E272" s="1">
        <v>700</v>
      </c>
      <c r="F272" s="1">
        <v>700</v>
      </c>
      <c r="G272" s="1">
        <v>700</v>
      </c>
      <c r="H272" s="1">
        <v>1200</v>
      </c>
      <c r="I272" s="1">
        <v>1208.2</v>
      </c>
      <c r="J272" s="1">
        <v>1216.48</v>
      </c>
      <c r="K272" s="1">
        <v>526.4</v>
      </c>
      <c r="L272" s="1">
        <v>536.24</v>
      </c>
      <c r="M272" s="1">
        <v>546.96</v>
      </c>
      <c r="N272" s="1">
        <v>557.63</v>
      </c>
      <c r="O272" s="1">
        <v>568.5</v>
      </c>
      <c r="P272" s="1">
        <v>579.59</v>
      </c>
      <c r="Q272" s="1">
        <v>590.89</v>
      </c>
      <c r="R272" s="1">
        <v>0</v>
      </c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</row>
    <row r="273" spans="1:36" x14ac:dyDescent="0.2">
      <c r="A273">
        <v>840</v>
      </c>
      <c r="B273">
        <v>1</v>
      </c>
      <c r="C273" t="s">
        <v>250</v>
      </c>
      <c r="D273" s="1">
        <v>569.20000000000005</v>
      </c>
      <c r="E273" s="1">
        <v>569.20000000000005</v>
      </c>
      <c r="F273" s="1">
        <v>869.2</v>
      </c>
      <c r="G273" s="1">
        <v>869.2</v>
      </c>
      <c r="H273" s="1">
        <v>869.2</v>
      </c>
      <c r="I273" s="1">
        <v>869.2</v>
      </c>
      <c r="J273" s="1">
        <v>869.2</v>
      </c>
      <c r="K273" s="1">
        <v>869.2</v>
      </c>
      <c r="L273" s="1">
        <v>869.2</v>
      </c>
      <c r="M273" s="1">
        <v>869.2</v>
      </c>
      <c r="N273" s="1">
        <v>869.2</v>
      </c>
      <c r="O273" s="1">
        <v>869.2</v>
      </c>
      <c r="P273" s="1">
        <v>569.20000000000005</v>
      </c>
      <c r="Q273" s="1">
        <v>0</v>
      </c>
      <c r="R273" s="1">
        <v>0</v>
      </c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</row>
    <row r="274" spans="1:36" x14ac:dyDescent="0.2">
      <c r="A274">
        <v>846</v>
      </c>
      <c r="B274">
        <v>1</v>
      </c>
      <c r="C274" t="s">
        <v>251</v>
      </c>
      <c r="D274" s="1">
        <v>700</v>
      </c>
      <c r="E274" s="1">
        <v>700</v>
      </c>
      <c r="F274" s="1">
        <v>700</v>
      </c>
      <c r="G274" s="1">
        <v>700</v>
      </c>
      <c r="H274" s="1">
        <v>700</v>
      </c>
      <c r="I274" s="1">
        <v>700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</row>
    <row r="275" spans="1:36" x14ac:dyDescent="0.2">
      <c r="A275">
        <v>850</v>
      </c>
      <c r="B275">
        <v>1</v>
      </c>
      <c r="C275" t="s">
        <v>252</v>
      </c>
      <c r="D275" s="1">
        <v>2250</v>
      </c>
      <c r="E275" s="1">
        <v>2250</v>
      </c>
      <c r="F275" s="1">
        <v>2250</v>
      </c>
      <c r="G275" s="1">
        <v>2250</v>
      </c>
      <c r="H275" s="1">
        <v>2250</v>
      </c>
      <c r="I275" s="1">
        <v>2250</v>
      </c>
      <c r="J275" s="1">
        <v>750</v>
      </c>
      <c r="K275" s="1">
        <v>750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</row>
    <row r="276" spans="1:36" x14ac:dyDescent="0.2">
      <c r="A276">
        <v>852</v>
      </c>
      <c r="B276">
        <v>1</v>
      </c>
      <c r="C276" t="s">
        <v>253</v>
      </c>
      <c r="D276" s="1">
        <v>3450</v>
      </c>
      <c r="E276" s="1">
        <v>3450</v>
      </c>
      <c r="F276" s="1">
        <v>3450</v>
      </c>
      <c r="G276" s="1">
        <v>3450</v>
      </c>
      <c r="H276" s="1">
        <v>3450</v>
      </c>
      <c r="I276" s="1">
        <v>3450</v>
      </c>
      <c r="J276" s="1">
        <v>3450</v>
      </c>
      <c r="K276" s="1">
        <v>3450</v>
      </c>
      <c r="L276" s="1">
        <v>3450</v>
      </c>
      <c r="M276" s="1">
        <v>3450</v>
      </c>
      <c r="N276" s="1">
        <v>2000</v>
      </c>
      <c r="O276" s="1">
        <v>2000</v>
      </c>
      <c r="P276" s="1">
        <v>2000</v>
      </c>
      <c r="Q276" s="1">
        <v>2000</v>
      </c>
      <c r="R276" s="1">
        <v>2000</v>
      </c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</row>
    <row r="277" spans="1:36" x14ac:dyDescent="0.2">
      <c r="A277">
        <v>857</v>
      </c>
      <c r="B277">
        <v>1</v>
      </c>
      <c r="C277" t="s">
        <v>254</v>
      </c>
      <c r="D277" s="1">
        <v>816.65</v>
      </c>
      <c r="E277" s="1">
        <v>816.65</v>
      </c>
      <c r="F277" s="1">
        <v>816.65</v>
      </c>
      <c r="G277" s="1">
        <v>816.65</v>
      </c>
      <c r="H277" s="1">
        <v>816.65</v>
      </c>
      <c r="I277" s="1">
        <v>816.65</v>
      </c>
      <c r="J277" s="1">
        <v>816.65</v>
      </c>
      <c r="K277" s="1">
        <v>501.65</v>
      </c>
      <c r="L277" s="1">
        <v>501.65</v>
      </c>
      <c r="M277" s="1">
        <v>501.65</v>
      </c>
      <c r="N277" s="1">
        <v>501.65</v>
      </c>
      <c r="O277" s="1">
        <v>501.65</v>
      </c>
      <c r="P277" s="1">
        <v>501.65</v>
      </c>
      <c r="Q277" s="1">
        <v>0</v>
      </c>
      <c r="R277" s="1">
        <v>0</v>
      </c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</row>
    <row r="278" spans="1:36" x14ac:dyDescent="0.2">
      <c r="A278">
        <v>858</v>
      </c>
      <c r="B278">
        <v>1</v>
      </c>
      <c r="C278" t="s">
        <v>255</v>
      </c>
      <c r="D278" s="1">
        <v>0</v>
      </c>
      <c r="E278" s="1">
        <v>0</v>
      </c>
      <c r="F278" s="1">
        <v>0</v>
      </c>
      <c r="G278" s="1">
        <v>300</v>
      </c>
      <c r="H278" s="1">
        <v>300</v>
      </c>
      <c r="I278" s="1">
        <v>300</v>
      </c>
      <c r="J278" s="1">
        <v>300</v>
      </c>
      <c r="K278" s="1">
        <v>300</v>
      </c>
      <c r="L278" s="1">
        <v>300</v>
      </c>
      <c r="M278" s="1">
        <v>300</v>
      </c>
      <c r="N278" s="1">
        <v>300</v>
      </c>
      <c r="O278" s="1">
        <v>300</v>
      </c>
      <c r="P278" s="1">
        <v>0</v>
      </c>
      <c r="Q278" s="1">
        <v>0</v>
      </c>
      <c r="R278" s="1">
        <v>0</v>
      </c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</row>
    <row r="279" spans="1:36" x14ac:dyDescent="0.2">
      <c r="A279">
        <v>861</v>
      </c>
      <c r="B279">
        <v>1</v>
      </c>
      <c r="C279" t="s">
        <v>256</v>
      </c>
      <c r="D279" s="1">
        <v>1550</v>
      </c>
      <c r="E279" s="1">
        <v>1550</v>
      </c>
      <c r="F279" s="1">
        <v>1550</v>
      </c>
      <c r="G279" s="1">
        <v>1550</v>
      </c>
      <c r="H279" s="1">
        <v>1550</v>
      </c>
      <c r="I279" s="1">
        <v>1550</v>
      </c>
      <c r="J279" s="1">
        <v>1550</v>
      </c>
      <c r="K279" s="1">
        <v>1550</v>
      </c>
      <c r="L279" s="1">
        <v>1550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</row>
    <row r="280" spans="1:36" x14ac:dyDescent="0.2">
      <c r="A280">
        <v>876</v>
      </c>
      <c r="B280">
        <v>1</v>
      </c>
      <c r="C280" t="s">
        <v>257</v>
      </c>
      <c r="D280" s="1">
        <v>665.36</v>
      </c>
      <c r="E280" s="1">
        <v>678.87</v>
      </c>
      <c r="F280" s="1">
        <v>698.83</v>
      </c>
      <c r="G280" s="1">
        <v>710.29</v>
      </c>
      <c r="H280" s="1">
        <v>721.44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</row>
    <row r="281" spans="1:36" x14ac:dyDescent="0.2">
      <c r="A281">
        <v>877</v>
      </c>
      <c r="B281">
        <v>1</v>
      </c>
      <c r="C281" t="s">
        <v>258</v>
      </c>
      <c r="D281" s="1">
        <v>489.99</v>
      </c>
      <c r="E281" s="1">
        <v>489.99</v>
      </c>
      <c r="F281" s="1">
        <v>489.99</v>
      </c>
      <c r="G281" s="1">
        <v>489.99</v>
      </c>
      <c r="H281" s="1">
        <v>489.99</v>
      </c>
      <c r="I281" s="1">
        <v>489.99</v>
      </c>
      <c r="J281" s="1">
        <v>489.99</v>
      </c>
      <c r="K281" s="1">
        <v>489.99</v>
      </c>
      <c r="L281" s="1">
        <v>489.99</v>
      </c>
      <c r="M281" s="1">
        <v>489.99</v>
      </c>
      <c r="N281" s="1">
        <v>489.99</v>
      </c>
      <c r="O281" s="1">
        <v>489.99</v>
      </c>
      <c r="P281" s="1">
        <v>379.44</v>
      </c>
      <c r="Q281" s="1">
        <v>379.44</v>
      </c>
      <c r="R281" s="1">
        <v>0</v>
      </c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</row>
    <row r="282" spans="1:36" x14ac:dyDescent="0.2">
      <c r="A282">
        <v>879</v>
      </c>
      <c r="B282">
        <v>1</v>
      </c>
      <c r="C282" t="s">
        <v>259</v>
      </c>
      <c r="D282" s="1">
        <v>714.51</v>
      </c>
      <c r="E282" s="1">
        <v>720.35</v>
      </c>
      <c r="F282" s="1">
        <v>728.98</v>
      </c>
      <c r="G282" s="1">
        <v>733.93000000000006</v>
      </c>
      <c r="H282" s="1">
        <v>1063.75</v>
      </c>
      <c r="I282" s="1">
        <v>1074.19</v>
      </c>
      <c r="J282" s="1">
        <v>1084.74</v>
      </c>
      <c r="K282" s="1">
        <v>1097.3800000000001</v>
      </c>
      <c r="L282" s="1">
        <v>1109.92</v>
      </c>
      <c r="M282" s="1">
        <v>782.39</v>
      </c>
      <c r="N282" s="1">
        <v>789.31999999999994</v>
      </c>
      <c r="O282" s="1">
        <v>796.39</v>
      </c>
      <c r="P282" s="1">
        <v>803.6</v>
      </c>
      <c r="Q282" s="1">
        <v>810.95</v>
      </c>
      <c r="R282" s="1">
        <v>0</v>
      </c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</row>
    <row r="283" spans="1:36" x14ac:dyDescent="0.2">
      <c r="A283">
        <v>881</v>
      </c>
      <c r="B283">
        <v>1</v>
      </c>
      <c r="C283" t="s">
        <v>260</v>
      </c>
      <c r="D283" s="1">
        <v>699.39</v>
      </c>
      <c r="E283" s="1">
        <v>699.39</v>
      </c>
      <c r="F283" s="1">
        <v>699.39</v>
      </c>
      <c r="G283" s="1">
        <v>699.39</v>
      </c>
      <c r="H283" s="1">
        <v>699.39</v>
      </c>
      <c r="I283" s="1">
        <v>699.39</v>
      </c>
      <c r="J283" s="1">
        <v>699.39</v>
      </c>
      <c r="K283" s="1">
        <v>699.39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</row>
    <row r="284" spans="1:36" x14ac:dyDescent="0.2">
      <c r="A284">
        <v>882</v>
      </c>
      <c r="B284">
        <v>1</v>
      </c>
      <c r="C284" t="s">
        <v>261</v>
      </c>
      <c r="D284" s="1">
        <v>828.63</v>
      </c>
      <c r="E284" s="1">
        <v>845.45000000000016</v>
      </c>
      <c r="F284" s="1">
        <v>870.31</v>
      </c>
      <c r="G284" s="1">
        <v>884.58</v>
      </c>
      <c r="H284" s="1">
        <v>898.47</v>
      </c>
      <c r="I284" s="1">
        <v>913.2</v>
      </c>
      <c r="J284" s="1">
        <v>928.09</v>
      </c>
      <c r="K284" s="1">
        <v>945.91</v>
      </c>
      <c r="L284" s="1">
        <v>963.6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</row>
    <row r="285" spans="1:36" x14ac:dyDescent="0.2">
      <c r="A285">
        <v>883</v>
      </c>
      <c r="B285">
        <v>1</v>
      </c>
      <c r="C285" t="s">
        <v>262</v>
      </c>
      <c r="D285" s="1">
        <v>12.79</v>
      </c>
      <c r="E285" s="1">
        <v>395</v>
      </c>
      <c r="F285" s="1">
        <v>395</v>
      </c>
      <c r="G285" s="1">
        <v>395</v>
      </c>
      <c r="H285" s="1">
        <v>395</v>
      </c>
      <c r="I285" s="1">
        <v>395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</row>
    <row r="286" spans="1:36" x14ac:dyDescent="0.2">
      <c r="A286">
        <v>885</v>
      </c>
      <c r="B286">
        <v>1</v>
      </c>
      <c r="C286" t="s">
        <v>263</v>
      </c>
      <c r="D286" s="1">
        <v>500</v>
      </c>
      <c r="E286" s="1">
        <v>500</v>
      </c>
      <c r="F286" s="1">
        <v>500</v>
      </c>
      <c r="G286" s="1">
        <v>695</v>
      </c>
      <c r="H286" s="1">
        <v>695</v>
      </c>
      <c r="I286" s="1">
        <v>695</v>
      </c>
      <c r="J286" s="1">
        <v>695</v>
      </c>
      <c r="K286" s="1">
        <v>695</v>
      </c>
      <c r="L286" s="1">
        <v>695</v>
      </c>
      <c r="M286" s="1">
        <v>695</v>
      </c>
      <c r="N286" s="1">
        <v>695</v>
      </c>
      <c r="O286" s="1">
        <v>695</v>
      </c>
      <c r="P286" s="1">
        <v>695</v>
      </c>
      <c r="Q286" s="1">
        <v>0</v>
      </c>
      <c r="R286" s="1">
        <v>0</v>
      </c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</row>
    <row r="287" spans="1:36" x14ac:dyDescent="0.2">
      <c r="A287">
        <v>891</v>
      </c>
      <c r="B287">
        <v>1</v>
      </c>
      <c r="C287" t="s">
        <v>264</v>
      </c>
      <c r="D287" s="1">
        <v>700.25</v>
      </c>
      <c r="E287" s="1">
        <v>700.25</v>
      </c>
      <c r="F287" s="1">
        <v>700.25</v>
      </c>
      <c r="G287" s="1">
        <v>700.25</v>
      </c>
      <c r="H287" s="1">
        <v>700.25</v>
      </c>
      <c r="I287" s="1">
        <v>700.25</v>
      </c>
      <c r="J287" s="1">
        <v>700.25</v>
      </c>
      <c r="K287" s="1">
        <v>700.25</v>
      </c>
      <c r="L287" s="1">
        <v>700.25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</row>
    <row r="288" spans="1:36" x14ac:dyDescent="0.2">
      <c r="A288">
        <v>911</v>
      </c>
      <c r="B288">
        <v>1</v>
      </c>
      <c r="C288" t="s">
        <v>265</v>
      </c>
      <c r="D288" s="1">
        <v>108.61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</row>
    <row r="289" spans="1:36" x14ac:dyDescent="0.2">
      <c r="A289">
        <v>912</v>
      </c>
      <c r="B289">
        <v>1</v>
      </c>
      <c r="C289" t="s">
        <v>266</v>
      </c>
      <c r="D289" s="1">
        <v>1.02</v>
      </c>
      <c r="E289" s="1">
        <v>1.02</v>
      </c>
      <c r="F289" s="1">
        <v>1.02</v>
      </c>
      <c r="G289" s="1">
        <v>1.02</v>
      </c>
      <c r="H289" s="1">
        <v>1.02</v>
      </c>
      <c r="I289" s="1">
        <v>1.02</v>
      </c>
      <c r="J289" s="1">
        <v>1.02</v>
      </c>
      <c r="K289" s="1">
        <v>1.02</v>
      </c>
      <c r="L289" s="1">
        <v>1.02</v>
      </c>
      <c r="M289" s="1">
        <v>1.02</v>
      </c>
      <c r="N289" s="1">
        <v>1.02</v>
      </c>
      <c r="O289" s="1">
        <v>1.02</v>
      </c>
      <c r="P289" s="1">
        <v>1.02</v>
      </c>
      <c r="Q289" s="1">
        <v>1.02</v>
      </c>
      <c r="R289" s="1">
        <v>0</v>
      </c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</row>
    <row r="290" spans="1:36" x14ac:dyDescent="0.2">
      <c r="A290">
        <v>914</v>
      </c>
      <c r="B290">
        <v>1</v>
      </c>
      <c r="C290" t="s">
        <v>267</v>
      </c>
      <c r="D290" s="1">
        <v>1700</v>
      </c>
      <c r="E290" s="1">
        <v>1700</v>
      </c>
      <c r="F290" s="1">
        <v>1990</v>
      </c>
      <c r="G290" s="1">
        <v>1990</v>
      </c>
      <c r="H290" s="1">
        <v>1990</v>
      </c>
      <c r="I290" s="1">
        <v>1990</v>
      </c>
      <c r="J290" s="1">
        <v>1990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</row>
    <row r="291" spans="1:36" x14ac:dyDescent="0.2">
      <c r="A291">
        <v>2071</v>
      </c>
      <c r="B291">
        <v>1</v>
      </c>
      <c r="C291" t="s">
        <v>268</v>
      </c>
      <c r="D291" s="1">
        <v>635.6</v>
      </c>
      <c r="E291" s="1">
        <v>635.6</v>
      </c>
      <c r="F291" s="1">
        <v>635.6</v>
      </c>
      <c r="G291" s="1">
        <v>635.6</v>
      </c>
      <c r="H291" s="1">
        <v>635.6</v>
      </c>
      <c r="I291" s="1">
        <v>635.6</v>
      </c>
      <c r="J291" s="1">
        <v>635.6</v>
      </c>
      <c r="K291" s="1">
        <v>316.11</v>
      </c>
      <c r="L291" s="1">
        <v>316.11</v>
      </c>
      <c r="M291" s="1">
        <v>316.11</v>
      </c>
      <c r="N291" s="1">
        <v>316.11</v>
      </c>
      <c r="O291" s="1">
        <v>316.11</v>
      </c>
      <c r="P291" s="1">
        <v>316.11</v>
      </c>
      <c r="Q291" s="1">
        <v>316.11</v>
      </c>
      <c r="R291" s="1">
        <v>0</v>
      </c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</row>
    <row r="292" spans="1:36" x14ac:dyDescent="0.2">
      <c r="A292">
        <v>2125</v>
      </c>
      <c r="B292">
        <v>1</v>
      </c>
      <c r="C292" t="s">
        <v>269</v>
      </c>
      <c r="D292" s="1">
        <v>700</v>
      </c>
      <c r="E292" s="1">
        <v>700</v>
      </c>
      <c r="F292" s="1">
        <v>700</v>
      </c>
      <c r="G292" s="1">
        <v>700</v>
      </c>
      <c r="H292" s="1">
        <v>700</v>
      </c>
      <c r="I292" s="1">
        <v>350</v>
      </c>
      <c r="J292" s="1">
        <v>350</v>
      </c>
      <c r="K292" s="1">
        <v>350</v>
      </c>
      <c r="L292" s="1">
        <v>350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</row>
    <row r="293" spans="1:36" x14ac:dyDescent="0.2">
      <c r="A293">
        <v>2134</v>
      </c>
      <c r="B293">
        <v>1</v>
      </c>
      <c r="C293" t="s">
        <v>270</v>
      </c>
      <c r="D293" s="1">
        <v>999.99999999999989</v>
      </c>
      <c r="E293" s="1">
        <v>1000</v>
      </c>
      <c r="F293" s="1">
        <v>1200</v>
      </c>
      <c r="G293" s="1">
        <v>1219.6800000000003</v>
      </c>
      <c r="H293" s="1">
        <v>1238.83</v>
      </c>
      <c r="I293" s="1">
        <v>1259.1500000000001</v>
      </c>
      <c r="J293" s="1">
        <v>1279.67</v>
      </c>
      <c r="K293" s="1">
        <v>1304.24</v>
      </c>
      <c r="L293" s="1">
        <v>1328.63</v>
      </c>
      <c r="M293" s="1">
        <v>1355.2</v>
      </c>
      <c r="N293" s="1">
        <v>1381.63</v>
      </c>
      <c r="O293" s="1">
        <v>1408.57</v>
      </c>
      <c r="P293" s="1">
        <v>0</v>
      </c>
      <c r="Q293" s="1">
        <v>0</v>
      </c>
      <c r="R293" s="1">
        <v>0</v>
      </c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</row>
    <row r="294" spans="1:36" x14ac:dyDescent="0.2">
      <c r="A294">
        <v>2135</v>
      </c>
      <c r="B294">
        <v>1</v>
      </c>
      <c r="C294" t="s">
        <v>271</v>
      </c>
      <c r="D294" s="1">
        <v>889.34</v>
      </c>
      <c r="E294" s="1">
        <v>889.34</v>
      </c>
      <c r="F294" s="1">
        <v>889.34</v>
      </c>
      <c r="G294" s="1">
        <v>889.34</v>
      </c>
      <c r="H294" s="1">
        <v>889.34</v>
      </c>
      <c r="I294" s="1">
        <v>889.34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</row>
    <row r="295" spans="1:36" x14ac:dyDescent="0.2">
      <c r="A295">
        <v>2137</v>
      </c>
      <c r="B295">
        <v>1</v>
      </c>
      <c r="C295" t="s">
        <v>272</v>
      </c>
      <c r="D295" s="1">
        <v>300.83</v>
      </c>
      <c r="E295" s="1">
        <v>300.83</v>
      </c>
      <c r="F295" s="1">
        <v>700</v>
      </c>
      <c r="G295" s="1">
        <v>700</v>
      </c>
      <c r="H295" s="1">
        <v>700</v>
      </c>
      <c r="I295" s="1">
        <v>700</v>
      </c>
      <c r="J295" s="1">
        <v>700</v>
      </c>
      <c r="K295" s="1">
        <v>700</v>
      </c>
      <c r="L295" s="1">
        <v>700</v>
      </c>
      <c r="M295" s="1">
        <v>700</v>
      </c>
      <c r="N295" s="1">
        <v>700</v>
      </c>
      <c r="O295" s="1">
        <v>0</v>
      </c>
      <c r="P295" s="1">
        <v>0</v>
      </c>
      <c r="Q295" s="1">
        <v>0</v>
      </c>
      <c r="R295" s="1">
        <v>0</v>
      </c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</row>
    <row r="296" spans="1:36" x14ac:dyDescent="0.2">
      <c r="A296">
        <v>2142</v>
      </c>
      <c r="B296">
        <v>1</v>
      </c>
      <c r="C296" t="s">
        <v>273</v>
      </c>
      <c r="D296" s="1">
        <v>126.6</v>
      </c>
      <c r="E296" s="1">
        <v>126.6</v>
      </c>
      <c r="F296" s="1">
        <v>126.6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</row>
    <row r="297" spans="1:36" x14ac:dyDescent="0.2">
      <c r="A297">
        <v>2143</v>
      </c>
      <c r="B297">
        <v>1</v>
      </c>
      <c r="C297" t="s">
        <v>274</v>
      </c>
      <c r="D297" s="1">
        <v>457.1</v>
      </c>
      <c r="E297" s="1">
        <v>1200</v>
      </c>
      <c r="F297" s="1">
        <v>1200</v>
      </c>
      <c r="G297" s="1">
        <v>1200</v>
      </c>
      <c r="H297" s="1">
        <v>1200</v>
      </c>
      <c r="I297" s="1">
        <v>1200</v>
      </c>
      <c r="J297" s="1">
        <v>1200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</row>
    <row r="298" spans="1:36" x14ac:dyDescent="0.2">
      <c r="A298">
        <v>2144</v>
      </c>
      <c r="B298">
        <v>1</v>
      </c>
      <c r="C298" t="s">
        <v>275</v>
      </c>
      <c r="D298" s="1">
        <v>402.5</v>
      </c>
      <c r="E298" s="1">
        <v>402.5</v>
      </c>
      <c r="F298" s="1">
        <v>400.96</v>
      </c>
      <c r="G298" s="1">
        <v>400.96</v>
      </c>
      <c r="H298" s="1">
        <v>400.96</v>
      </c>
      <c r="I298" s="1">
        <v>400.96</v>
      </c>
      <c r="J298" s="1">
        <v>400.96</v>
      </c>
      <c r="K298" s="1">
        <v>400.96</v>
      </c>
      <c r="L298" s="1">
        <v>400.96</v>
      </c>
      <c r="M298" s="1">
        <v>400.96</v>
      </c>
      <c r="N298" s="1">
        <v>400.96</v>
      </c>
      <c r="O298" s="1">
        <v>400.96</v>
      </c>
      <c r="P298" s="1">
        <v>400.96</v>
      </c>
      <c r="Q298" s="1">
        <v>0</v>
      </c>
      <c r="R298" s="1">
        <v>0</v>
      </c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</row>
    <row r="299" spans="1:36" x14ac:dyDescent="0.2">
      <c r="A299">
        <v>2149</v>
      </c>
      <c r="B299">
        <v>1</v>
      </c>
      <c r="C299" t="s">
        <v>276</v>
      </c>
      <c r="D299" s="1">
        <v>644.26</v>
      </c>
      <c r="E299" s="1">
        <v>656.93</v>
      </c>
      <c r="F299" s="1">
        <v>676.24</v>
      </c>
      <c r="G299" s="1">
        <v>687.33</v>
      </c>
      <c r="H299" s="1">
        <v>698.12</v>
      </c>
      <c r="I299" s="1">
        <v>709.57</v>
      </c>
      <c r="J299" s="1">
        <v>721.14</v>
      </c>
      <c r="K299" s="1">
        <v>734.99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</row>
    <row r="300" spans="1:36" x14ac:dyDescent="0.2">
      <c r="A300">
        <v>2154</v>
      </c>
      <c r="B300">
        <v>1</v>
      </c>
      <c r="C300" t="s">
        <v>277</v>
      </c>
      <c r="D300" s="1">
        <v>335.95</v>
      </c>
      <c r="E300" s="1">
        <v>335.95</v>
      </c>
      <c r="F300" s="1">
        <v>335.95</v>
      </c>
      <c r="G300" s="1">
        <v>700</v>
      </c>
      <c r="H300" s="1">
        <v>700</v>
      </c>
      <c r="I300" s="1">
        <v>700</v>
      </c>
      <c r="J300" s="1">
        <v>700</v>
      </c>
      <c r="K300" s="1">
        <v>700</v>
      </c>
      <c r="L300" s="1">
        <v>700</v>
      </c>
      <c r="M300" s="1">
        <v>700</v>
      </c>
      <c r="N300" s="1">
        <v>700</v>
      </c>
      <c r="O300" s="1">
        <v>700</v>
      </c>
      <c r="P300" s="1">
        <v>700</v>
      </c>
      <c r="Q300" s="1">
        <v>0</v>
      </c>
      <c r="R300" s="1">
        <v>0</v>
      </c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</row>
    <row r="301" spans="1:36" x14ac:dyDescent="0.2">
      <c r="A301">
        <v>2155</v>
      </c>
      <c r="B301">
        <v>1</v>
      </c>
      <c r="C301" t="s">
        <v>278</v>
      </c>
      <c r="D301" s="1">
        <v>101.17</v>
      </c>
      <c r="E301" s="1">
        <v>800</v>
      </c>
      <c r="F301" s="1">
        <v>800</v>
      </c>
      <c r="G301" s="1">
        <v>800</v>
      </c>
      <c r="H301" s="1">
        <v>800</v>
      </c>
      <c r="I301" s="1">
        <v>800</v>
      </c>
      <c r="J301" s="1">
        <v>800</v>
      </c>
      <c r="K301" s="1">
        <v>800</v>
      </c>
      <c r="L301" s="1">
        <v>800</v>
      </c>
      <c r="M301" s="1">
        <v>800</v>
      </c>
      <c r="N301" s="1">
        <v>800</v>
      </c>
      <c r="O301" s="1">
        <v>0</v>
      </c>
      <c r="P301" s="1">
        <v>0</v>
      </c>
      <c r="Q301" s="1">
        <v>0</v>
      </c>
      <c r="R301" s="1">
        <v>0</v>
      </c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</row>
    <row r="302" spans="1:36" x14ac:dyDescent="0.2">
      <c r="A302">
        <v>2159</v>
      </c>
      <c r="B302">
        <v>1</v>
      </c>
      <c r="C302" t="s">
        <v>279</v>
      </c>
      <c r="D302" s="1">
        <v>776.65</v>
      </c>
      <c r="E302" s="1">
        <v>776.65</v>
      </c>
      <c r="F302" s="1">
        <v>776.65</v>
      </c>
      <c r="G302" s="1">
        <v>776.65</v>
      </c>
      <c r="H302" s="1">
        <v>776.65</v>
      </c>
      <c r="I302" s="1">
        <v>1026.6500000000001</v>
      </c>
      <c r="J302" s="1">
        <v>1026.6500000000001</v>
      </c>
      <c r="K302" s="1">
        <v>1026.6500000000001</v>
      </c>
      <c r="L302" s="1">
        <v>1026.6500000000001</v>
      </c>
      <c r="M302" s="1">
        <v>1026.6500000000001</v>
      </c>
      <c r="N302" s="1">
        <v>1026.6500000000001</v>
      </c>
      <c r="O302" s="1">
        <v>1026.6500000000001</v>
      </c>
      <c r="P302" s="1">
        <v>1026.6500000000001</v>
      </c>
      <c r="Q302" s="1">
        <v>1026.6500000000001</v>
      </c>
      <c r="R302" s="1">
        <v>1026.6500000000001</v>
      </c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</row>
    <row r="303" spans="1:36" x14ac:dyDescent="0.2">
      <c r="A303">
        <v>2164</v>
      </c>
      <c r="B303">
        <v>1</v>
      </c>
      <c r="C303" t="s">
        <v>280</v>
      </c>
      <c r="D303" s="1">
        <v>500</v>
      </c>
      <c r="E303" s="1">
        <v>500</v>
      </c>
      <c r="F303" s="1">
        <v>500</v>
      </c>
      <c r="G303" s="1">
        <v>500</v>
      </c>
      <c r="H303" s="1">
        <v>500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</row>
    <row r="304" spans="1:36" x14ac:dyDescent="0.2">
      <c r="A304">
        <v>2165</v>
      </c>
      <c r="B304">
        <v>1</v>
      </c>
      <c r="C304" t="s">
        <v>281</v>
      </c>
      <c r="D304" s="1">
        <v>300</v>
      </c>
      <c r="E304" s="1">
        <v>300</v>
      </c>
      <c r="F304" s="1">
        <v>300</v>
      </c>
      <c r="G304" s="1">
        <v>300</v>
      </c>
      <c r="H304" s="1">
        <v>300</v>
      </c>
      <c r="I304" s="1">
        <v>300</v>
      </c>
      <c r="J304" s="1">
        <v>300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</row>
    <row r="305" spans="1:36" x14ac:dyDescent="0.2">
      <c r="A305">
        <v>2167</v>
      </c>
      <c r="B305">
        <v>1</v>
      </c>
      <c r="C305" t="s">
        <v>282</v>
      </c>
      <c r="D305" s="1">
        <v>500.01</v>
      </c>
      <c r="E305" s="1">
        <v>500.01</v>
      </c>
      <c r="F305" s="1">
        <v>800</v>
      </c>
      <c r="G305" s="1">
        <v>800</v>
      </c>
      <c r="H305" s="1">
        <v>800</v>
      </c>
      <c r="I305" s="1">
        <v>800</v>
      </c>
      <c r="J305" s="1">
        <v>800</v>
      </c>
      <c r="K305" s="1">
        <v>800</v>
      </c>
      <c r="L305" s="1">
        <v>800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</row>
    <row r="306" spans="1:36" x14ac:dyDescent="0.2">
      <c r="A306">
        <v>2168</v>
      </c>
      <c r="B306">
        <v>1</v>
      </c>
      <c r="C306" t="s">
        <v>283</v>
      </c>
      <c r="D306" s="1">
        <v>0</v>
      </c>
      <c r="E306" s="1">
        <v>450</v>
      </c>
      <c r="F306" s="1">
        <v>450</v>
      </c>
      <c r="G306" s="1">
        <v>450</v>
      </c>
      <c r="H306" s="1">
        <v>450</v>
      </c>
      <c r="I306" s="1">
        <v>450</v>
      </c>
      <c r="J306" s="1">
        <v>450</v>
      </c>
      <c r="K306" s="1">
        <v>450</v>
      </c>
      <c r="L306" s="1">
        <v>450</v>
      </c>
      <c r="M306" s="1">
        <v>450</v>
      </c>
      <c r="N306" s="1">
        <v>450</v>
      </c>
      <c r="O306" s="1">
        <v>0</v>
      </c>
      <c r="P306" s="1">
        <v>0</v>
      </c>
      <c r="Q306" s="1">
        <v>0</v>
      </c>
      <c r="R306" s="1">
        <v>0</v>
      </c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</row>
    <row r="307" spans="1:36" x14ac:dyDescent="0.2">
      <c r="A307">
        <v>2169</v>
      </c>
      <c r="B307">
        <v>1</v>
      </c>
      <c r="C307" t="s">
        <v>284</v>
      </c>
      <c r="D307" s="1">
        <v>1281.76</v>
      </c>
      <c r="E307" s="1">
        <v>1281.76</v>
      </c>
      <c r="F307" s="1">
        <v>1281.76</v>
      </c>
      <c r="G307" s="1">
        <v>1281.76</v>
      </c>
      <c r="H307" s="1">
        <v>1281.76</v>
      </c>
      <c r="I307" s="1">
        <v>1281.76</v>
      </c>
      <c r="J307" s="1">
        <v>1281.76</v>
      </c>
      <c r="K307" s="1">
        <v>1281.76</v>
      </c>
      <c r="L307" s="1">
        <v>1281.76</v>
      </c>
      <c r="M307" s="1">
        <v>1281.76</v>
      </c>
      <c r="N307" s="1">
        <v>1281.76</v>
      </c>
      <c r="O307" s="1">
        <v>1281.76</v>
      </c>
      <c r="P307" s="1">
        <v>0</v>
      </c>
      <c r="Q307" s="1">
        <v>0</v>
      </c>
      <c r="R307" s="1">
        <v>0</v>
      </c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</row>
    <row r="308" spans="1:36" x14ac:dyDescent="0.2">
      <c r="A308">
        <v>2170</v>
      </c>
      <c r="B308">
        <v>1</v>
      </c>
      <c r="C308" t="s">
        <v>285</v>
      </c>
      <c r="D308" s="1">
        <v>450.4</v>
      </c>
      <c r="E308" s="1">
        <v>459.54</v>
      </c>
      <c r="F308" s="1">
        <v>473.05</v>
      </c>
      <c r="G308" s="1">
        <v>480.81</v>
      </c>
      <c r="H308" s="1">
        <v>488.36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</row>
    <row r="309" spans="1:36" x14ac:dyDescent="0.2">
      <c r="A309">
        <v>2171</v>
      </c>
      <c r="B309">
        <v>1</v>
      </c>
      <c r="C309" t="s">
        <v>286</v>
      </c>
      <c r="D309" s="1">
        <v>2334.56</v>
      </c>
      <c r="E309" s="1">
        <v>2334.56</v>
      </c>
      <c r="F309" s="1">
        <v>2334.56</v>
      </c>
      <c r="G309" s="1">
        <v>2334.56</v>
      </c>
      <c r="H309" s="1">
        <v>2334.56</v>
      </c>
      <c r="I309" s="1">
        <v>2334.56</v>
      </c>
      <c r="J309" s="1">
        <v>2334.56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</row>
    <row r="310" spans="1:36" x14ac:dyDescent="0.2">
      <c r="A310">
        <v>2172</v>
      </c>
      <c r="B310">
        <v>1</v>
      </c>
      <c r="C310" t="s">
        <v>287</v>
      </c>
      <c r="D310" s="1">
        <v>700</v>
      </c>
      <c r="E310" s="1">
        <v>700</v>
      </c>
      <c r="F310" s="1">
        <v>700</v>
      </c>
      <c r="G310" s="1">
        <v>873.76</v>
      </c>
      <c r="H310" s="1">
        <v>873.76</v>
      </c>
      <c r="I310" s="1">
        <v>300</v>
      </c>
      <c r="J310" s="1">
        <v>300</v>
      </c>
      <c r="K310" s="1">
        <v>300</v>
      </c>
      <c r="L310" s="1">
        <v>300</v>
      </c>
      <c r="M310" s="1">
        <v>300</v>
      </c>
      <c r="N310" s="1">
        <v>300</v>
      </c>
      <c r="O310" s="1">
        <v>300</v>
      </c>
      <c r="P310" s="1">
        <v>300</v>
      </c>
      <c r="Q310" s="1">
        <v>0</v>
      </c>
      <c r="R310" s="1">
        <v>0</v>
      </c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</row>
    <row r="311" spans="1:36" x14ac:dyDescent="0.2">
      <c r="A311">
        <v>2174</v>
      </c>
      <c r="B311">
        <v>1</v>
      </c>
      <c r="C311" t="s">
        <v>288</v>
      </c>
      <c r="D311" s="1">
        <v>1.02</v>
      </c>
      <c r="E311" s="1">
        <v>1.02</v>
      </c>
      <c r="F311" s="1">
        <v>1.02</v>
      </c>
      <c r="G311" s="1">
        <v>1.02</v>
      </c>
      <c r="H311" s="1">
        <v>1.02</v>
      </c>
      <c r="I311" s="1">
        <v>1.02</v>
      </c>
      <c r="J311" s="1">
        <v>1.02</v>
      </c>
      <c r="K311" s="1">
        <v>1.02</v>
      </c>
      <c r="L311" s="1">
        <v>1.02</v>
      </c>
      <c r="M311" s="1">
        <v>1.02</v>
      </c>
      <c r="N311" s="1">
        <v>1.02</v>
      </c>
      <c r="O311" s="1">
        <v>1.02</v>
      </c>
      <c r="P311" s="1">
        <v>1.02</v>
      </c>
      <c r="Q311" s="1">
        <v>1.02</v>
      </c>
      <c r="R311" s="1">
        <v>0</v>
      </c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</row>
    <row r="312" spans="1:36" x14ac:dyDescent="0.2">
      <c r="A312">
        <v>2176</v>
      </c>
      <c r="B312">
        <v>1</v>
      </c>
      <c r="C312" t="s">
        <v>289</v>
      </c>
      <c r="D312" s="1">
        <v>1400</v>
      </c>
      <c r="E312" s="1">
        <v>1400</v>
      </c>
      <c r="F312" s="1">
        <v>1400</v>
      </c>
      <c r="G312" s="1">
        <v>1400</v>
      </c>
      <c r="H312" s="1">
        <v>1400</v>
      </c>
      <c r="I312" s="1">
        <v>1400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</row>
    <row r="313" spans="1:36" x14ac:dyDescent="0.2">
      <c r="A313">
        <v>2180</v>
      </c>
      <c r="B313">
        <v>1</v>
      </c>
      <c r="C313" t="s">
        <v>290</v>
      </c>
      <c r="D313" s="1">
        <v>1063.73</v>
      </c>
      <c r="E313" s="1">
        <v>1669.6699999999998</v>
      </c>
      <c r="F313" s="1">
        <v>1678.45</v>
      </c>
      <c r="G313" s="1">
        <v>1683.49</v>
      </c>
      <c r="H313" s="1">
        <v>1688.4</v>
      </c>
      <c r="I313" s="1">
        <v>1693.6</v>
      </c>
      <c r="J313" s="1">
        <v>1698.86</v>
      </c>
      <c r="K313" s="1">
        <v>1435.15</v>
      </c>
      <c r="L313" s="1">
        <v>1441.4</v>
      </c>
      <c r="M313" s="1">
        <v>1101.03</v>
      </c>
      <c r="N313" s="1">
        <v>1101.03</v>
      </c>
      <c r="O313" s="1">
        <v>0</v>
      </c>
      <c r="P313" s="1">
        <v>0</v>
      </c>
      <c r="Q313" s="1">
        <v>0</v>
      </c>
      <c r="R313" s="1">
        <v>0</v>
      </c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</row>
    <row r="314" spans="1:36" x14ac:dyDescent="0.2">
      <c r="A314">
        <v>2184</v>
      </c>
      <c r="B314">
        <v>1</v>
      </c>
      <c r="C314" t="s">
        <v>291</v>
      </c>
      <c r="D314" s="1">
        <v>1101.27</v>
      </c>
      <c r="E314" s="1">
        <v>1101.27</v>
      </c>
      <c r="F314" s="1">
        <v>1101.27</v>
      </c>
      <c r="G314" s="1">
        <v>1101.27</v>
      </c>
      <c r="H314" s="1">
        <v>1101.27</v>
      </c>
      <c r="I314" s="1">
        <v>1101.27</v>
      </c>
      <c r="J314" s="1">
        <v>1101.27</v>
      </c>
      <c r="K314" s="1">
        <v>401.27</v>
      </c>
      <c r="L314" s="1">
        <v>401.27</v>
      </c>
      <c r="M314" s="1">
        <v>401.27</v>
      </c>
      <c r="N314" s="1">
        <v>401.27</v>
      </c>
      <c r="O314" s="1">
        <v>401.27</v>
      </c>
      <c r="P314" s="1">
        <v>401.27</v>
      </c>
      <c r="Q314" s="1">
        <v>0</v>
      </c>
      <c r="R314" s="1">
        <v>0</v>
      </c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</row>
    <row r="315" spans="1:36" x14ac:dyDescent="0.2">
      <c r="A315">
        <v>2190</v>
      </c>
      <c r="B315">
        <v>1</v>
      </c>
      <c r="C315" t="s">
        <v>292</v>
      </c>
      <c r="D315" s="1">
        <v>995.92000000000007</v>
      </c>
      <c r="E315" s="1">
        <v>1007.99</v>
      </c>
      <c r="F315" s="1">
        <v>1025.83</v>
      </c>
      <c r="G315" s="1">
        <v>1036.07</v>
      </c>
      <c r="H315" s="1">
        <v>1046.04</v>
      </c>
      <c r="I315" s="1">
        <v>1056.6199999999999</v>
      </c>
      <c r="J315" s="1">
        <v>1067.3</v>
      </c>
      <c r="K315" s="1">
        <v>1080.0899999999999</v>
      </c>
      <c r="L315" s="1">
        <v>401.19</v>
      </c>
      <c r="M315" s="1">
        <v>401.19</v>
      </c>
      <c r="N315" s="1">
        <v>401.19</v>
      </c>
      <c r="O315" s="1">
        <v>401.19</v>
      </c>
      <c r="P315" s="1">
        <v>401.19</v>
      </c>
      <c r="Q315" s="1">
        <v>0</v>
      </c>
      <c r="R315" s="1">
        <v>0</v>
      </c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</row>
    <row r="316" spans="1:36" x14ac:dyDescent="0.2">
      <c r="A316">
        <v>2198</v>
      </c>
      <c r="B316">
        <v>1</v>
      </c>
      <c r="C316" t="s">
        <v>293</v>
      </c>
      <c r="D316" s="1">
        <v>875.1</v>
      </c>
      <c r="E316" s="1">
        <v>875.1</v>
      </c>
      <c r="F316" s="1">
        <v>974.99999999999989</v>
      </c>
      <c r="G316" s="1">
        <v>975</v>
      </c>
      <c r="H316" s="1">
        <v>975</v>
      </c>
      <c r="I316" s="1">
        <v>975</v>
      </c>
      <c r="J316" s="1">
        <v>975</v>
      </c>
      <c r="K316" s="1">
        <v>500</v>
      </c>
      <c r="L316" s="1">
        <v>500</v>
      </c>
      <c r="M316" s="1">
        <v>500</v>
      </c>
      <c r="N316" s="1">
        <v>500</v>
      </c>
      <c r="O316" s="1">
        <v>500</v>
      </c>
      <c r="P316" s="1">
        <v>0</v>
      </c>
      <c r="Q316" s="1">
        <v>0</v>
      </c>
      <c r="R316" s="1">
        <v>0</v>
      </c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</row>
    <row r="317" spans="1:36" x14ac:dyDescent="0.2">
      <c r="A317">
        <v>2215</v>
      </c>
      <c r="B317">
        <v>1</v>
      </c>
      <c r="C317" t="s">
        <v>294</v>
      </c>
      <c r="D317" s="1">
        <v>1550</v>
      </c>
      <c r="E317" s="1">
        <v>1550</v>
      </c>
      <c r="F317" s="1">
        <v>1550</v>
      </c>
      <c r="G317" s="1">
        <v>1550</v>
      </c>
      <c r="H317" s="1">
        <v>1550</v>
      </c>
      <c r="I317" s="1">
        <v>1550</v>
      </c>
      <c r="J317" s="1">
        <v>1550</v>
      </c>
      <c r="K317" s="1">
        <v>1550</v>
      </c>
      <c r="L317" s="1">
        <v>1550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</row>
    <row r="318" spans="1:36" x14ac:dyDescent="0.2">
      <c r="A318">
        <v>2310</v>
      </c>
      <c r="B318">
        <v>1</v>
      </c>
      <c r="C318" t="s">
        <v>295</v>
      </c>
      <c r="D318" s="1">
        <v>600</v>
      </c>
      <c r="E318" s="1">
        <v>600</v>
      </c>
      <c r="F318" s="1">
        <v>600</v>
      </c>
      <c r="G318" s="1">
        <v>600</v>
      </c>
      <c r="H318" s="1">
        <v>600</v>
      </c>
      <c r="I318" s="1">
        <v>600</v>
      </c>
      <c r="J318" s="1">
        <v>600</v>
      </c>
      <c r="K318" s="1">
        <v>600</v>
      </c>
      <c r="L318" s="1">
        <v>600</v>
      </c>
      <c r="M318" s="1">
        <v>600</v>
      </c>
      <c r="N318" s="1">
        <v>600</v>
      </c>
      <c r="O318" s="1">
        <v>0</v>
      </c>
      <c r="P318" s="1">
        <v>0</v>
      </c>
      <c r="Q318" s="1">
        <v>0</v>
      </c>
      <c r="R318" s="1">
        <v>0</v>
      </c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</row>
    <row r="319" spans="1:36" x14ac:dyDescent="0.2">
      <c r="A319">
        <v>2311</v>
      </c>
      <c r="B319">
        <v>1</v>
      </c>
      <c r="C319" t="s">
        <v>296</v>
      </c>
      <c r="D319" s="1">
        <v>600</v>
      </c>
      <c r="E319" s="1">
        <v>600</v>
      </c>
      <c r="F319" s="1">
        <v>600</v>
      </c>
      <c r="G319" s="1">
        <v>600</v>
      </c>
      <c r="H319" s="1">
        <v>600</v>
      </c>
      <c r="I319" s="1">
        <v>600</v>
      </c>
      <c r="J319" s="1">
        <v>600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</row>
    <row r="320" spans="1:36" x14ac:dyDescent="0.2">
      <c r="A320">
        <v>2342</v>
      </c>
      <c r="B320">
        <v>1</v>
      </c>
      <c r="C320" t="s">
        <v>297</v>
      </c>
      <c r="D320" s="1">
        <v>950</v>
      </c>
      <c r="E320" s="1">
        <v>950</v>
      </c>
      <c r="F320" s="1">
        <v>1370</v>
      </c>
      <c r="G320" s="1">
        <v>1370</v>
      </c>
      <c r="H320" s="1">
        <v>1370</v>
      </c>
      <c r="I320" s="1">
        <v>1370</v>
      </c>
      <c r="J320" s="1">
        <v>1370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</row>
    <row r="321" spans="1:36" x14ac:dyDescent="0.2">
      <c r="A321">
        <v>2358</v>
      </c>
      <c r="B321">
        <v>1</v>
      </c>
      <c r="C321" t="s">
        <v>298</v>
      </c>
      <c r="D321" s="1">
        <v>800</v>
      </c>
      <c r="E321" s="1">
        <v>800</v>
      </c>
      <c r="F321" s="1">
        <v>800</v>
      </c>
      <c r="G321" s="1">
        <v>1250</v>
      </c>
      <c r="H321" s="1">
        <v>1250</v>
      </c>
      <c r="I321" s="1">
        <v>1250</v>
      </c>
      <c r="J321" s="1">
        <v>1250</v>
      </c>
      <c r="K321" s="1">
        <v>1250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</row>
    <row r="322" spans="1:36" x14ac:dyDescent="0.2">
      <c r="A322">
        <v>2364</v>
      </c>
      <c r="B322">
        <v>1</v>
      </c>
      <c r="C322" t="s">
        <v>299</v>
      </c>
      <c r="D322" s="1">
        <v>837.76</v>
      </c>
      <c r="E322" s="1">
        <v>837.76</v>
      </c>
      <c r="F322" s="1">
        <v>837.76</v>
      </c>
      <c r="G322" s="1">
        <v>837.76</v>
      </c>
      <c r="H322" s="1">
        <v>837.76</v>
      </c>
      <c r="I322" s="1">
        <v>837.76</v>
      </c>
      <c r="J322" s="1">
        <v>837.76</v>
      </c>
      <c r="K322" s="1">
        <v>837.76</v>
      </c>
      <c r="L322" s="1">
        <v>837.76</v>
      </c>
      <c r="M322" s="1">
        <v>837.76</v>
      </c>
      <c r="N322" s="1">
        <v>837.76</v>
      </c>
      <c r="O322" s="1">
        <v>837.76</v>
      </c>
      <c r="P322" s="1">
        <v>0</v>
      </c>
      <c r="Q322" s="1">
        <v>0</v>
      </c>
      <c r="R322" s="1">
        <v>0</v>
      </c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</row>
    <row r="323" spans="1:36" x14ac:dyDescent="0.2">
      <c r="A323">
        <v>2365</v>
      </c>
      <c r="B323">
        <v>1</v>
      </c>
      <c r="C323" t="s">
        <v>300</v>
      </c>
      <c r="D323" s="1">
        <v>468.19</v>
      </c>
      <c r="E323" s="1">
        <v>468.19</v>
      </c>
      <c r="F323" s="1">
        <v>468.19</v>
      </c>
      <c r="G323" s="1">
        <v>870</v>
      </c>
      <c r="H323" s="1">
        <v>870</v>
      </c>
      <c r="I323" s="1">
        <v>870</v>
      </c>
      <c r="J323" s="1">
        <v>870</v>
      </c>
      <c r="K323" s="1">
        <v>870</v>
      </c>
      <c r="L323" s="1">
        <v>870</v>
      </c>
      <c r="M323" s="1">
        <v>870</v>
      </c>
      <c r="N323" s="1">
        <v>870</v>
      </c>
      <c r="O323" s="1">
        <v>870</v>
      </c>
      <c r="P323" s="1">
        <v>870</v>
      </c>
      <c r="Q323" s="1">
        <v>0</v>
      </c>
      <c r="R323" s="1">
        <v>0</v>
      </c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</row>
    <row r="324" spans="1:36" x14ac:dyDescent="0.2">
      <c r="A324">
        <v>2396</v>
      </c>
      <c r="B324">
        <v>1</v>
      </c>
      <c r="C324" t="s">
        <v>301</v>
      </c>
      <c r="D324" s="1">
        <v>1075</v>
      </c>
      <c r="E324" s="1">
        <v>1075</v>
      </c>
      <c r="F324" s="1">
        <v>1075</v>
      </c>
      <c r="G324" s="1">
        <v>1075</v>
      </c>
      <c r="H324" s="1">
        <v>1075</v>
      </c>
      <c r="I324" s="1">
        <v>1075</v>
      </c>
      <c r="J324" s="1">
        <v>1075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</row>
    <row r="325" spans="1:36" x14ac:dyDescent="0.2">
      <c r="A325">
        <v>2397</v>
      </c>
      <c r="B325">
        <v>1</v>
      </c>
      <c r="C325" t="s">
        <v>302</v>
      </c>
      <c r="D325" s="1">
        <v>300</v>
      </c>
      <c r="E325" s="1">
        <v>300</v>
      </c>
      <c r="F325" s="1">
        <v>300</v>
      </c>
      <c r="G325" s="1">
        <v>800</v>
      </c>
      <c r="H325" s="1">
        <v>800</v>
      </c>
      <c r="I325" s="1">
        <v>800</v>
      </c>
      <c r="J325" s="1">
        <v>800</v>
      </c>
      <c r="K325" s="1">
        <v>800</v>
      </c>
      <c r="L325" s="1">
        <v>800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</row>
    <row r="326" spans="1:36" x14ac:dyDescent="0.2">
      <c r="A326">
        <v>2448</v>
      </c>
      <c r="B326">
        <v>1</v>
      </c>
      <c r="C326" t="s">
        <v>303</v>
      </c>
      <c r="D326" s="1">
        <v>700</v>
      </c>
      <c r="E326" s="1">
        <v>700</v>
      </c>
      <c r="F326" s="1">
        <v>1540</v>
      </c>
      <c r="G326" s="1">
        <v>1540</v>
      </c>
      <c r="H326" s="1">
        <v>1540</v>
      </c>
      <c r="I326" s="1">
        <v>1540</v>
      </c>
      <c r="J326" s="1">
        <v>1540</v>
      </c>
      <c r="K326" s="1">
        <v>700</v>
      </c>
      <c r="L326" s="1">
        <v>700</v>
      </c>
      <c r="M326" s="1">
        <v>700</v>
      </c>
      <c r="N326" s="1">
        <v>700</v>
      </c>
      <c r="O326" s="1">
        <v>700</v>
      </c>
      <c r="P326" s="1">
        <v>0</v>
      </c>
      <c r="Q326" s="1">
        <v>0</v>
      </c>
      <c r="R326" s="1">
        <v>0</v>
      </c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</row>
    <row r="327" spans="1:36" x14ac:dyDescent="0.2">
      <c r="A327">
        <v>2527</v>
      </c>
      <c r="B327">
        <v>1</v>
      </c>
      <c r="C327" t="s">
        <v>304</v>
      </c>
      <c r="D327" s="1">
        <v>1600.18</v>
      </c>
      <c r="E327" s="1">
        <v>1600.18</v>
      </c>
      <c r="F327" s="1">
        <v>1600.18</v>
      </c>
      <c r="G327" s="1">
        <v>1600.1799999999998</v>
      </c>
      <c r="H327" s="1">
        <v>1600.1799999999998</v>
      </c>
      <c r="I327" s="1">
        <v>1600.1799999999998</v>
      </c>
      <c r="J327" s="1">
        <v>1600.1799999999998</v>
      </c>
      <c r="K327" s="1">
        <v>700.18</v>
      </c>
      <c r="L327" s="1">
        <v>700.18</v>
      </c>
      <c r="M327" s="1">
        <v>700.18</v>
      </c>
      <c r="N327" s="1">
        <v>700.18</v>
      </c>
      <c r="O327" s="1">
        <v>700.18</v>
      </c>
      <c r="P327" s="1">
        <v>700.18</v>
      </c>
      <c r="Q327" s="1">
        <v>0</v>
      </c>
      <c r="R327" s="1">
        <v>0</v>
      </c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</row>
    <row r="328" spans="1:36" x14ac:dyDescent="0.2">
      <c r="A328">
        <v>2534</v>
      </c>
      <c r="B328">
        <v>1</v>
      </c>
      <c r="C328" t="s">
        <v>305</v>
      </c>
      <c r="D328" s="1">
        <v>700</v>
      </c>
      <c r="E328" s="1">
        <v>700</v>
      </c>
      <c r="F328" s="1">
        <v>700</v>
      </c>
      <c r="G328" s="1">
        <v>700</v>
      </c>
      <c r="H328" s="1">
        <v>700</v>
      </c>
      <c r="I328" s="1">
        <v>700</v>
      </c>
      <c r="J328" s="1">
        <v>700</v>
      </c>
      <c r="K328" s="1">
        <v>700</v>
      </c>
      <c r="L328" s="1">
        <v>700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</row>
    <row r="329" spans="1:36" x14ac:dyDescent="0.2">
      <c r="A329">
        <v>2536</v>
      </c>
      <c r="B329">
        <v>1</v>
      </c>
      <c r="C329" t="s">
        <v>306</v>
      </c>
      <c r="D329" s="1">
        <v>1658.05</v>
      </c>
      <c r="E329" s="1">
        <v>1658.05</v>
      </c>
      <c r="F329" s="1">
        <v>1658.05</v>
      </c>
      <c r="G329" s="1">
        <v>2558.0500000000002</v>
      </c>
      <c r="H329" s="1">
        <v>2558.0500000000002</v>
      </c>
      <c r="I329" s="1">
        <v>2558.0500000000002</v>
      </c>
      <c r="J329" s="1">
        <v>2558.0500000000002</v>
      </c>
      <c r="K329" s="1">
        <v>2558.0500000000002</v>
      </c>
      <c r="L329" s="1">
        <v>2558.0500000000002</v>
      </c>
      <c r="M329" s="1">
        <v>900</v>
      </c>
      <c r="N329" s="1">
        <v>900</v>
      </c>
      <c r="O329" s="1">
        <v>900</v>
      </c>
      <c r="P329" s="1">
        <v>900</v>
      </c>
      <c r="Q329" s="1">
        <v>0</v>
      </c>
      <c r="R329" s="1">
        <v>0</v>
      </c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</row>
    <row r="330" spans="1:36" x14ac:dyDescent="0.2">
      <c r="A330">
        <v>2580</v>
      </c>
      <c r="B330">
        <v>1</v>
      </c>
      <c r="C330" t="s">
        <v>307</v>
      </c>
      <c r="D330" s="1">
        <v>120</v>
      </c>
      <c r="E330" s="1">
        <v>120</v>
      </c>
      <c r="F330" s="1">
        <v>120</v>
      </c>
      <c r="G330" s="1">
        <v>120</v>
      </c>
      <c r="H330" s="1">
        <v>120</v>
      </c>
      <c r="I330" s="1">
        <v>120</v>
      </c>
      <c r="J330" s="1">
        <v>120</v>
      </c>
      <c r="K330" s="1">
        <v>120</v>
      </c>
      <c r="L330" s="1">
        <v>120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</row>
    <row r="331" spans="1:36" x14ac:dyDescent="0.2">
      <c r="A331">
        <v>2609</v>
      </c>
      <c r="B331">
        <v>1</v>
      </c>
      <c r="C331" t="s">
        <v>308</v>
      </c>
      <c r="D331" s="1">
        <v>818.91</v>
      </c>
      <c r="E331" s="1">
        <v>835.53</v>
      </c>
      <c r="F331" s="1">
        <v>860.09</v>
      </c>
      <c r="G331" s="1">
        <v>874.2</v>
      </c>
      <c r="H331" s="1">
        <v>887.92</v>
      </c>
      <c r="I331" s="1">
        <v>902.48</v>
      </c>
      <c r="J331" s="1">
        <v>917.19</v>
      </c>
      <c r="K331" s="1">
        <v>934.8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</row>
    <row r="332" spans="1:36" x14ac:dyDescent="0.2">
      <c r="A332">
        <v>2683</v>
      </c>
      <c r="B332">
        <v>1</v>
      </c>
      <c r="C332" t="s">
        <v>309</v>
      </c>
      <c r="D332" s="1">
        <v>640.70000000000005</v>
      </c>
      <c r="E332" s="1">
        <v>640.70000000000005</v>
      </c>
      <c r="F332" s="1">
        <v>640.70000000000005</v>
      </c>
      <c r="G332" s="1">
        <v>1135</v>
      </c>
      <c r="H332" s="1">
        <v>1135</v>
      </c>
      <c r="I332" s="1">
        <v>1135</v>
      </c>
      <c r="J332" s="1">
        <v>1135</v>
      </c>
      <c r="K332" s="1">
        <v>1135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</row>
    <row r="333" spans="1:36" x14ac:dyDescent="0.2">
      <c r="A333">
        <v>2687</v>
      </c>
      <c r="B333">
        <v>1</v>
      </c>
      <c r="C333" t="s">
        <v>310</v>
      </c>
      <c r="D333" s="1">
        <v>550</v>
      </c>
      <c r="E333" s="1">
        <v>550</v>
      </c>
      <c r="F333" s="1">
        <v>550</v>
      </c>
      <c r="G333" s="1">
        <v>558.20000000000005</v>
      </c>
      <c r="H333" s="1">
        <v>566.17999999999995</v>
      </c>
      <c r="I333" s="1">
        <v>574.65</v>
      </c>
      <c r="J333" s="1">
        <v>583.20000000000005</v>
      </c>
      <c r="K333" s="1">
        <v>593.44000000000005</v>
      </c>
      <c r="L333" s="1">
        <v>603.6</v>
      </c>
      <c r="M333" s="1">
        <v>614.66999999999996</v>
      </c>
      <c r="N333" s="1">
        <v>625.67999999999995</v>
      </c>
      <c r="O333" s="1">
        <v>636.91</v>
      </c>
      <c r="P333" s="1">
        <v>50</v>
      </c>
      <c r="Q333" s="1">
        <v>50</v>
      </c>
      <c r="R333" s="1">
        <v>0</v>
      </c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</row>
    <row r="334" spans="1:36" x14ac:dyDescent="0.2">
      <c r="A334">
        <v>2689</v>
      </c>
      <c r="B334">
        <v>1</v>
      </c>
      <c r="C334" t="s">
        <v>311</v>
      </c>
      <c r="D334" s="1">
        <v>1070</v>
      </c>
      <c r="E334" s="1">
        <v>1070</v>
      </c>
      <c r="F334" s="1">
        <v>1070</v>
      </c>
      <c r="G334" s="1">
        <v>1070</v>
      </c>
      <c r="H334" s="1">
        <v>1070</v>
      </c>
      <c r="I334" s="1">
        <v>1070</v>
      </c>
      <c r="J334" s="1">
        <v>1070</v>
      </c>
      <c r="K334" s="1">
        <v>1070</v>
      </c>
      <c r="L334" s="1">
        <v>1070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</row>
    <row r="335" spans="1:36" x14ac:dyDescent="0.2">
      <c r="A335">
        <v>2711</v>
      </c>
      <c r="B335">
        <v>1</v>
      </c>
      <c r="C335" t="s">
        <v>312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 spans="1:36" x14ac:dyDescent="0.2">
      <c r="A336">
        <v>2752</v>
      </c>
      <c r="B336">
        <v>1</v>
      </c>
      <c r="C336" t="s">
        <v>313</v>
      </c>
      <c r="D336" s="1">
        <v>500</v>
      </c>
      <c r="E336" s="1">
        <v>500</v>
      </c>
      <c r="F336" s="1">
        <v>500</v>
      </c>
      <c r="G336" s="1">
        <v>500</v>
      </c>
      <c r="H336" s="1">
        <v>950</v>
      </c>
      <c r="I336" s="1">
        <v>950</v>
      </c>
      <c r="J336" s="1">
        <v>950</v>
      </c>
      <c r="K336" s="1">
        <v>950</v>
      </c>
      <c r="L336" s="1">
        <v>950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</row>
    <row r="337" spans="1:36" x14ac:dyDescent="0.2">
      <c r="A337">
        <v>2753</v>
      </c>
      <c r="B337">
        <v>1</v>
      </c>
      <c r="C337" t="s">
        <v>314</v>
      </c>
      <c r="D337" s="1">
        <v>700</v>
      </c>
      <c r="E337" s="1">
        <v>700</v>
      </c>
      <c r="F337" s="1">
        <v>700</v>
      </c>
      <c r="G337" s="1">
        <v>700</v>
      </c>
      <c r="H337" s="1">
        <v>700</v>
      </c>
      <c r="I337" s="1">
        <v>700</v>
      </c>
      <c r="J337" s="1">
        <v>700</v>
      </c>
      <c r="K337" s="1">
        <v>700</v>
      </c>
      <c r="L337" s="1">
        <v>700</v>
      </c>
      <c r="M337" s="1">
        <v>700</v>
      </c>
      <c r="N337" s="1">
        <v>700</v>
      </c>
      <c r="O337" s="1">
        <v>700</v>
      </c>
      <c r="P337" s="1">
        <v>700</v>
      </c>
      <c r="Q337" s="1">
        <v>700</v>
      </c>
      <c r="R337" s="1">
        <v>0</v>
      </c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</row>
    <row r="338" spans="1:36" x14ac:dyDescent="0.2">
      <c r="A338">
        <v>2754</v>
      </c>
      <c r="B338">
        <v>1</v>
      </c>
      <c r="C338" t="s">
        <v>315</v>
      </c>
      <c r="D338" s="1">
        <v>700</v>
      </c>
      <c r="E338" s="1">
        <v>700</v>
      </c>
      <c r="F338" s="1">
        <v>700</v>
      </c>
      <c r="G338" s="1">
        <v>700</v>
      </c>
      <c r="H338" s="1">
        <v>700</v>
      </c>
      <c r="I338" s="1">
        <v>700</v>
      </c>
      <c r="J338" s="1">
        <v>700</v>
      </c>
      <c r="K338" s="1">
        <v>700</v>
      </c>
      <c r="L338" s="1">
        <v>700</v>
      </c>
      <c r="M338" s="1">
        <v>290.05</v>
      </c>
      <c r="N338" s="1">
        <v>290.05</v>
      </c>
      <c r="O338" s="1">
        <v>290.05</v>
      </c>
      <c r="P338" s="1">
        <v>290.05</v>
      </c>
      <c r="Q338" s="1">
        <v>0</v>
      </c>
      <c r="R338" s="1">
        <v>0</v>
      </c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</row>
    <row r="339" spans="1:36" x14ac:dyDescent="0.2">
      <c r="A339">
        <v>2759</v>
      </c>
      <c r="B339">
        <v>1</v>
      </c>
      <c r="C339" t="s">
        <v>316</v>
      </c>
      <c r="D339" s="1">
        <v>807.08</v>
      </c>
      <c r="E339" s="1">
        <v>807.08</v>
      </c>
      <c r="F339" s="1">
        <v>807.08</v>
      </c>
      <c r="G339" s="1">
        <v>807.07999999999993</v>
      </c>
      <c r="H339" s="1">
        <v>819.75</v>
      </c>
      <c r="I339" s="1">
        <v>833.19</v>
      </c>
      <c r="J339" s="1">
        <v>846.77</v>
      </c>
      <c r="K339" s="1">
        <v>863.03</v>
      </c>
      <c r="L339" s="1">
        <v>879.17</v>
      </c>
      <c r="M339" s="1">
        <v>896.75</v>
      </c>
      <c r="N339" s="1">
        <v>914.24</v>
      </c>
      <c r="O339" s="1">
        <v>932.07</v>
      </c>
      <c r="P339" s="1">
        <v>950.25</v>
      </c>
      <c r="Q339" s="1">
        <v>0</v>
      </c>
      <c r="R339" s="1">
        <v>0</v>
      </c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</row>
    <row r="340" spans="1:36" x14ac:dyDescent="0.2">
      <c r="A340">
        <v>2805</v>
      </c>
      <c r="B340">
        <v>1</v>
      </c>
      <c r="C340" t="s">
        <v>317</v>
      </c>
      <c r="D340" s="1">
        <v>700.03</v>
      </c>
      <c r="E340" s="1">
        <v>950</v>
      </c>
      <c r="F340" s="1">
        <v>950</v>
      </c>
      <c r="G340" s="1">
        <v>950</v>
      </c>
      <c r="H340" s="1">
        <v>950</v>
      </c>
      <c r="I340" s="1">
        <v>950</v>
      </c>
      <c r="J340" s="1">
        <v>950</v>
      </c>
      <c r="K340" s="1">
        <v>950</v>
      </c>
      <c r="L340" s="1">
        <v>950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</row>
    <row r="341" spans="1:36" x14ac:dyDescent="0.2">
      <c r="A341">
        <v>2835</v>
      </c>
      <c r="B341">
        <v>1</v>
      </c>
      <c r="C341" t="s">
        <v>318</v>
      </c>
      <c r="D341" s="1">
        <v>890.19</v>
      </c>
      <c r="E341" s="1">
        <v>890.19</v>
      </c>
      <c r="F341" s="1">
        <v>571.61</v>
      </c>
      <c r="G341" s="1">
        <v>1485</v>
      </c>
      <c r="H341" s="1">
        <v>1485</v>
      </c>
      <c r="I341" s="1">
        <v>1485</v>
      </c>
      <c r="J341" s="1">
        <v>1485</v>
      </c>
      <c r="K341" s="1">
        <v>1485</v>
      </c>
      <c r="L341" s="1">
        <v>1485</v>
      </c>
      <c r="M341" s="1">
        <v>1485</v>
      </c>
      <c r="N341" s="1">
        <v>1485</v>
      </c>
      <c r="O341" s="1">
        <v>0</v>
      </c>
      <c r="P341" s="1">
        <v>0</v>
      </c>
      <c r="Q341" s="1">
        <v>0</v>
      </c>
      <c r="R341" s="1">
        <v>0</v>
      </c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</row>
    <row r="342" spans="1:36" x14ac:dyDescent="0.2">
      <c r="A342">
        <v>2853</v>
      </c>
      <c r="B342">
        <v>1</v>
      </c>
      <c r="C342" t="s">
        <v>319</v>
      </c>
      <c r="D342" s="1">
        <v>1100</v>
      </c>
      <c r="E342" s="1">
        <v>1100</v>
      </c>
      <c r="F342" s="1">
        <v>1100</v>
      </c>
      <c r="G342" s="1">
        <v>1100</v>
      </c>
      <c r="H342" s="1">
        <v>1100</v>
      </c>
      <c r="I342" s="1">
        <v>1100</v>
      </c>
      <c r="J342" s="1">
        <v>1100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</row>
    <row r="343" spans="1:36" x14ac:dyDescent="0.2">
      <c r="A343">
        <v>2854</v>
      </c>
      <c r="B343">
        <v>1</v>
      </c>
      <c r="C343" t="s">
        <v>320</v>
      </c>
      <c r="D343" s="1">
        <v>800.91</v>
      </c>
      <c r="E343" s="1">
        <v>800.91</v>
      </c>
      <c r="F343" s="1">
        <v>800.91</v>
      </c>
      <c r="G343" s="1">
        <v>800.91000000000008</v>
      </c>
      <c r="H343" s="1">
        <v>800.91000000000008</v>
      </c>
      <c r="I343" s="1">
        <v>800.91000000000008</v>
      </c>
      <c r="J343" s="1">
        <v>800.91000000000008</v>
      </c>
      <c r="K343" s="1">
        <v>400.91</v>
      </c>
      <c r="L343" s="1">
        <v>400.91</v>
      </c>
      <c r="M343" s="1">
        <v>400.91</v>
      </c>
      <c r="N343" s="1">
        <v>400.91</v>
      </c>
      <c r="O343" s="1">
        <v>400.91</v>
      </c>
      <c r="P343" s="1">
        <v>400.91</v>
      </c>
      <c r="Q343" s="1">
        <v>0</v>
      </c>
      <c r="R343" s="1">
        <v>0</v>
      </c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</row>
    <row r="344" spans="1:36" x14ac:dyDescent="0.2">
      <c r="A344">
        <v>2856</v>
      </c>
      <c r="B344">
        <v>1</v>
      </c>
      <c r="C344" t="s">
        <v>321</v>
      </c>
      <c r="D344" s="1">
        <v>1000</v>
      </c>
      <c r="E344" s="1">
        <v>1000</v>
      </c>
      <c r="F344" s="1">
        <v>1000</v>
      </c>
      <c r="G344" s="1">
        <v>1000</v>
      </c>
      <c r="H344" s="1">
        <v>1000</v>
      </c>
      <c r="I344" s="1">
        <v>1000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</row>
    <row r="345" spans="1:36" x14ac:dyDescent="0.2">
      <c r="A345">
        <v>2859</v>
      </c>
      <c r="B345">
        <v>1</v>
      </c>
      <c r="C345" t="s">
        <v>322</v>
      </c>
      <c r="D345" s="1">
        <v>688.41</v>
      </c>
      <c r="E345" s="1">
        <v>700.67</v>
      </c>
      <c r="F345" s="1">
        <v>718.78</v>
      </c>
      <c r="G345" s="1">
        <v>729.18000000000006</v>
      </c>
      <c r="H345" s="1">
        <v>727.36</v>
      </c>
      <c r="I345" s="1">
        <v>727.36</v>
      </c>
      <c r="J345" s="1">
        <v>727.36</v>
      </c>
      <c r="K345" s="1">
        <v>727.36</v>
      </c>
      <c r="L345" s="1">
        <v>727.36</v>
      </c>
      <c r="M345" s="1">
        <v>727.36</v>
      </c>
      <c r="N345" s="1">
        <v>727.36</v>
      </c>
      <c r="O345" s="1">
        <v>0</v>
      </c>
      <c r="P345" s="1">
        <v>0</v>
      </c>
      <c r="Q345" s="1">
        <v>0</v>
      </c>
      <c r="R345" s="1">
        <v>0</v>
      </c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</row>
    <row r="346" spans="1:36" x14ac:dyDescent="0.2">
      <c r="A346">
        <v>2860</v>
      </c>
      <c r="B346">
        <v>1</v>
      </c>
      <c r="C346" t="s">
        <v>323</v>
      </c>
      <c r="D346" s="1">
        <v>650</v>
      </c>
      <c r="E346" s="1">
        <v>650</v>
      </c>
      <c r="F346" s="1">
        <v>650</v>
      </c>
      <c r="G346" s="1">
        <v>650</v>
      </c>
      <c r="H346" s="1">
        <v>650</v>
      </c>
      <c r="I346" s="1">
        <v>650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</row>
    <row r="347" spans="1:36" x14ac:dyDescent="0.2">
      <c r="A347">
        <v>2884</v>
      </c>
      <c r="B347">
        <v>1</v>
      </c>
      <c r="C347" t="s">
        <v>324</v>
      </c>
      <c r="D347" s="1">
        <v>950.22</v>
      </c>
      <c r="E347" s="1">
        <v>950.22</v>
      </c>
      <c r="F347" s="1">
        <v>1450.22</v>
      </c>
      <c r="G347" s="1">
        <v>1450.22</v>
      </c>
      <c r="H347" s="1">
        <v>1450.22</v>
      </c>
      <c r="I347" s="1">
        <v>1450.22</v>
      </c>
      <c r="J347" s="1">
        <v>1450.22</v>
      </c>
      <c r="K347" s="1">
        <v>1450.22</v>
      </c>
      <c r="L347" s="1">
        <v>1450.22</v>
      </c>
      <c r="M347" s="1">
        <v>1450.22</v>
      </c>
      <c r="N347" s="1">
        <v>1450.22</v>
      </c>
      <c r="O347" s="1">
        <v>1450.22</v>
      </c>
      <c r="P347" s="1">
        <v>0</v>
      </c>
      <c r="Q347" s="1">
        <v>0</v>
      </c>
      <c r="R347" s="1">
        <v>0</v>
      </c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</row>
    <row r="348" spans="1:36" x14ac:dyDescent="0.2">
      <c r="A348">
        <v>2886</v>
      </c>
      <c r="B348">
        <v>1</v>
      </c>
      <c r="C348" t="s">
        <v>325</v>
      </c>
      <c r="D348" s="1">
        <v>881.91</v>
      </c>
      <c r="E348" s="1">
        <v>881.91</v>
      </c>
      <c r="F348" s="1">
        <v>881.91000000000008</v>
      </c>
      <c r="G348" s="1">
        <v>881.91000000000008</v>
      </c>
      <c r="H348" s="1">
        <v>881.91000000000008</v>
      </c>
      <c r="I348" s="1">
        <v>881.91000000000008</v>
      </c>
      <c r="J348" s="1">
        <v>881.91000000000008</v>
      </c>
      <c r="K348" s="1">
        <v>448.5</v>
      </c>
      <c r="L348" s="1">
        <v>448.5</v>
      </c>
      <c r="M348" s="1">
        <v>448.5</v>
      </c>
      <c r="N348" s="1">
        <v>448.5</v>
      </c>
      <c r="O348" s="1">
        <v>448.5</v>
      </c>
      <c r="P348" s="1">
        <v>0</v>
      </c>
      <c r="Q348" s="1">
        <v>0</v>
      </c>
      <c r="R348" s="1">
        <v>0</v>
      </c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</row>
    <row r="349" spans="1:36" x14ac:dyDescent="0.2">
      <c r="A349">
        <v>2888</v>
      </c>
      <c r="B349">
        <v>1</v>
      </c>
      <c r="C349" t="s">
        <v>326</v>
      </c>
      <c r="D349" s="1">
        <v>1101.06</v>
      </c>
      <c r="E349" s="1">
        <v>1101.06</v>
      </c>
      <c r="F349" s="1">
        <v>1101.06</v>
      </c>
      <c r="G349" s="1">
        <v>975</v>
      </c>
      <c r="H349" s="1">
        <v>975</v>
      </c>
      <c r="I349" s="1">
        <v>975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</row>
    <row r="350" spans="1:36" x14ac:dyDescent="0.2">
      <c r="A350">
        <v>2889</v>
      </c>
      <c r="B350">
        <v>1</v>
      </c>
      <c r="C350" t="s">
        <v>327</v>
      </c>
      <c r="D350" s="1">
        <v>500</v>
      </c>
      <c r="E350" s="1">
        <v>750</v>
      </c>
      <c r="F350" s="1">
        <v>750</v>
      </c>
      <c r="G350" s="1">
        <v>750</v>
      </c>
      <c r="H350" s="1">
        <v>750</v>
      </c>
      <c r="I350" s="1">
        <v>750</v>
      </c>
      <c r="J350" s="1">
        <v>750</v>
      </c>
      <c r="K350" s="1">
        <v>750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</row>
    <row r="351" spans="1:36" x14ac:dyDescent="0.2">
      <c r="A351">
        <v>2890</v>
      </c>
      <c r="B351">
        <v>1</v>
      </c>
      <c r="C351" t="s">
        <v>328</v>
      </c>
      <c r="D351" s="1">
        <v>1203.97</v>
      </c>
      <c r="E351" s="1">
        <v>1800.0000000000002</v>
      </c>
      <c r="F351" s="1">
        <v>1800</v>
      </c>
      <c r="G351" s="1">
        <v>1800</v>
      </c>
      <c r="H351" s="1">
        <v>1800</v>
      </c>
      <c r="I351" s="1">
        <v>1800</v>
      </c>
      <c r="J351" s="1">
        <v>1800</v>
      </c>
      <c r="K351" s="1">
        <v>1500</v>
      </c>
      <c r="L351" s="1">
        <v>1500</v>
      </c>
      <c r="M351" s="1">
        <v>1500</v>
      </c>
      <c r="N351" s="1">
        <v>1500</v>
      </c>
      <c r="O351" s="1">
        <v>0</v>
      </c>
      <c r="P351" s="1">
        <v>0</v>
      </c>
      <c r="Q351" s="1">
        <v>0</v>
      </c>
      <c r="R351" s="1">
        <v>0</v>
      </c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</row>
    <row r="352" spans="1:36" x14ac:dyDescent="0.2">
      <c r="A352">
        <v>2895</v>
      </c>
      <c r="B352">
        <v>1</v>
      </c>
      <c r="C352" t="s">
        <v>329</v>
      </c>
      <c r="D352" s="1">
        <v>1000</v>
      </c>
      <c r="E352" s="1">
        <v>1000</v>
      </c>
      <c r="F352" s="1">
        <v>1000</v>
      </c>
      <c r="G352" s="1">
        <v>949.77</v>
      </c>
      <c r="H352" s="1">
        <v>949.77</v>
      </c>
      <c r="I352" s="1">
        <v>949.77</v>
      </c>
      <c r="J352" s="1">
        <v>949.77</v>
      </c>
      <c r="K352" s="1">
        <v>949.77</v>
      </c>
      <c r="L352" s="1">
        <v>949.77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</row>
    <row r="353" spans="1:36" x14ac:dyDescent="0.2">
      <c r="A353">
        <v>2897</v>
      </c>
      <c r="B353">
        <v>1</v>
      </c>
      <c r="C353" t="s">
        <v>330</v>
      </c>
      <c r="D353" s="1">
        <v>500</v>
      </c>
      <c r="E353" s="1">
        <v>500</v>
      </c>
      <c r="F353" s="1">
        <v>500</v>
      </c>
      <c r="G353" s="1">
        <v>900</v>
      </c>
      <c r="H353" s="1">
        <v>900</v>
      </c>
      <c r="I353" s="1">
        <v>900</v>
      </c>
      <c r="J353" s="1">
        <v>900</v>
      </c>
      <c r="K353" s="1">
        <v>900</v>
      </c>
      <c r="L353" s="1">
        <v>900</v>
      </c>
      <c r="M353" s="1">
        <v>900</v>
      </c>
      <c r="N353" s="1">
        <v>900</v>
      </c>
      <c r="O353" s="1">
        <v>900</v>
      </c>
      <c r="P353" s="1">
        <v>900</v>
      </c>
      <c r="Q353" s="1">
        <v>0</v>
      </c>
      <c r="R353" s="1">
        <v>0</v>
      </c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</row>
    <row r="354" spans="1:36" x14ac:dyDescent="0.2">
      <c r="A354">
        <v>2898</v>
      </c>
      <c r="B354">
        <v>1</v>
      </c>
      <c r="C354" t="s">
        <v>331</v>
      </c>
      <c r="D354" s="1">
        <v>500</v>
      </c>
      <c r="E354" s="1">
        <v>700</v>
      </c>
      <c r="F354" s="1">
        <v>700</v>
      </c>
      <c r="G354" s="1">
        <v>700</v>
      </c>
      <c r="H354" s="1">
        <v>700</v>
      </c>
      <c r="I354" s="1">
        <v>700</v>
      </c>
      <c r="J354" s="1">
        <v>700</v>
      </c>
      <c r="K354" s="1">
        <v>700</v>
      </c>
      <c r="L354" s="1">
        <v>700</v>
      </c>
      <c r="M354" s="1">
        <v>700</v>
      </c>
      <c r="N354" s="1">
        <v>700</v>
      </c>
      <c r="O354" s="1">
        <v>0</v>
      </c>
      <c r="P354" s="1">
        <v>0</v>
      </c>
      <c r="Q354" s="1">
        <v>0</v>
      </c>
      <c r="R354" s="1">
        <v>0</v>
      </c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</row>
    <row r="355" spans="1:36" x14ac:dyDescent="0.2">
      <c r="A355">
        <v>2899</v>
      </c>
      <c r="B355">
        <v>1</v>
      </c>
      <c r="C355" t="s">
        <v>332</v>
      </c>
      <c r="D355" s="1">
        <v>292.99</v>
      </c>
      <c r="E355" s="1">
        <v>292.99</v>
      </c>
      <c r="F355" s="1">
        <v>292.99</v>
      </c>
      <c r="G355" s="1">
        <v>292.99</v>
      </c>
      <c r="H355" s="1">
        <v>292.99</v>
      </c>
      <c r="I355" s="1">
        <v>292.99</v>
      </c>
      <c r="J355" s="1">
        <v>292.99</v>
      </c>
      <c r="K355" s="1">
        <v>292.99</v>
      </c>
      <c r="L355" s="1">
        <v>292.99</v>
      </c>
      <c r="M355" s="1">
        <v>292.99</v>
      </c>
      <c r="N355" s="1">
        <v>292.99</v>
      </c>
      <c r="O355" s="1">
        <v>292.99</v>
      </c>
      <c r="P355" s="1">
        <v>292.99</v>
      </c>
      <c r="Q355" s="1">
        <v>292.99</v>
      </c>
      <c r="R355" s="1">
        <v>0</v>
      </c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</row>
    <row r="356" spans="1:36" x14ac:dyDescent="0.2">
      <c r="A356">
        <v>2902</v>
      </c>
      <c r="B356">
        <v>1</v>
      </c>
      <c r="C356" t="s">
        <v>333</v>
      </c>
      <c r="D356" s="1">
        <v>709.45</v>
      </c>
      <c r="E356" s="1">
        <v>709.45</v>
      </c>
      <c r="F356" s="1">
        <v>709.45</v>
      </c>
      <c r="G356" s="1">
        <v>709.45</v>
      </c>
      <c r="H356" s="1">
        <v>709.45</v>
      </c>
      <c r="I356" s="1">
        <v>709.45</v>
      </c>
      <c r="J356" s="1">
        <v>709.45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</row>
    <row r="357" spans="1:36" x14ac:dyDescent="0.2">
      <c r="A357" s="3">
        <v>2903</v>
      </c>
      <c r="B357" s="3">
        <v>1</v>
      </c>
      <c r="C357" s="4" t="s">
        <v>334</v>
      </c>
      <c r="D357" s="1">
        <v>1039.54</v>
      </c>
      <c r="E357" s="1">
        <v>1039.54</v>
      </c>
      <c r="F357" s="1">
        <v>1039.54</v>
      </c>
      <c r="G357" s="1">
        <v>1039.54</v>
      </c>
      <c r="H357" s="1">
        <v>1039.54</v>
      </c>
      <c r="I357" s="1">
        <v>1039.54</v>
      </c>
      <c r="J357" s="1">
        <v>1039.54</v>
      </c>
      <c r="K357" s="1">
        <v>1039.54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</row>
    <row r="358" spans="1:36" x14ac:dyDescent="0.2">
      <c r="A358" s="3">
        <v>2904</v>
      </c>
      <c r="B358" s="3">
        <v>1</v>
      </c>
      <c r="C358" s="4" t="s">
        <v>335</v>
      </c>
      <c r="D358" s="1">
        <v>861.68999999999994</v>
      </c>
      <c r="E358" s="1">
        <v>866.76</v>
      </c>
      <c r="F358" s="1">
        <v>874.25</v>
      </c>
      <c r="G358" s="1">
        <v>878.55</v>
      </c>
      <c r="H358" s="1">
        <v>882.73</v>
      </c>
      <c r="I358" s="1">
        <v>887.17</v>
      </c>
      <c r="J358" s="1">
        <v>891.65</v>
      </c>
      <c r="K358" s="1">
        <v>897.02</v>
      </c>
      <c r="L358" s="1">
        <v>902.34999999999991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</row>
    <row r="359" spans="1:36" x14ac:dyDescent="0.2">
      <c r="A359" s="3">
        <v>2905</v>
      </c>
      <c r="B359" s="3">
        <v>1</v>
      </c>
      <c r="C359" s="4" t="s">
        <v>353</v>
      </c>
      <c r="D359" s="1">
        <v>0</v>
      </c>
      <c r="E359" s="1">
        <v>0</v>
      </c>
      <c r="F359" s="1">
        <v>0</v>
      </c>
      <c r="G359" s="1">
        <v>450.34</v>
      </c>
      <c r="H359" s="1">
        <v>450.34</v>
      </c>
      <c r="I359" s="1">
        <v>450.34</v>
      </c>
      <c r="J359" s="1">
        <v>450.34</v>
      </c>
      <c r="K359" s="1">
        <v>450.34</v>
      </c>
      <c r="L359" s="1">
        <v>450.34</v>
      </c>
      <c r="M359" s="1">
        <v>450.34</v>
      </c>
      <c r="N359" s="1">
        <v>450.34</v>
      </c>
      <c r="O359" s="1">
        <v>450.34</v>
      </c>
      <c r="P359" s="1">
        <v>450.34</v>
      </c>
      <c r="Q359" s="1">
        <v>0</v>
      </c>
      <c r="R359" s="1">
        <v>0</v>
      </c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</row>
  </sheetData>
  <phoneticPr fontId="1" type="noConversion"/>
  <printOptions gridLines="1"/>
  <pageMargins left="0.75" right="0.5" top="0.75" bottom="0.5" header="0.5" footer="0.5"/>
  <pageSetup scale="75" fitToHeight="12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Company>mde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BOBP</dc:creator>
  <cp:lastModifiedBy>Kostelecky, Teri</cp:lastModifiedBy>
  <cp:lastPrinted>2013-03-06T16:55:40Z</cp:lastPrinted>
  <dcterms:created xsi:type="dcterms:W3CDTF">2009-07-29T18:37:48Z</dcterms:created>
  <dcterms:modified xsi:type="dcterms:W3CDTF">2013-03-07T14:36:56Z</dcterms:modified>
</cp:coreProperties>
</file>