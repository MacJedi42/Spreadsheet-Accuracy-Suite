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6.2" sheetId="1" r:id="rId1"/>
  </sheets>
  <externalReferences>
    <externalReference r:id="rId2"/>
    <externalReference r:id="rId3"/>
  </externalReferences>
  <definedNames>
    <definedName name="_xlnm.Print_Area" localSheetId="0">'Table 6.2'!$A$3:$L$58</definedName>
  </definedNames>
  <calcPr calcId="145621"/>
</workbook>
</file>

<file path=xl/calcChain.xml><?xml version="1.0" encoding="utf-8"?>
<calcChain xmlns="http://schemas.openxmlformats.org/spreadsheetml/2006/main">
  <c r="I58" i="1" l="1"/>
  <c r="I5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<sst xmlns="http://schemas.openxmlformats.org/spreadsheetml/2006/main" count="29" uniqueCount="17">
  <si>
    <t>Monthly Statistical Bulletin</t>
  </si>
  <si>
    <t>6.2 Balance on current account</t>
  </si>
  <si>
    <t>Quarter</t>
  </si>
  <si>
    <t>Value (a) – $ million</t>
  </si>
  <si>
    <t>September</t>
  </si>
  <si>
    <t>December</t>
  </si>
  <si>
    <t>March</t>
  </si>
  <si>
    <t>June</t>
  </si>
  <si>
    <t>Proportion of gross domestic product (a) – per cent</t>
  </si>
  <si>
    <t>Value – 12 months ending quarter shown – $ million</t>
  </si>
  <si>
    <t>Proportion of gross domestic product – 12 months ending quarter shown – per cent</t>
  </si>
  <si>
    <t>(a) Seasonally adjusted.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</si>
  <si>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>, Cat. no. 5302.0</t>
    </r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</si>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</sst>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5" fontId="7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centerContinuous"/>
    </xf>
    <xf numFmtId="165" fontId="7" fillId="0" borderId="0" xfId="0" applyNumberFormat="1" applyFont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11" fillId="0" borderId="0" xfId="2" quotePrefix="1" applyFont="1" applyAlignment="1">
      <alignment horizontal="left"/>
    </xf>
    <xf numFmtId="0" fontId="12" fillId="0" borderId="0" xfId="1" quotePrefix="1" applyFont="1" applyAlignment="1" applyProtection="1"/>
    <xf numFmtId="0" fontId="12" fillId="0" borderId="0" xfId="1" applyFont="1" applyAlignment="1" applyProtection="1"/>
    <xf numFmtId="0" fontId="1" fillId="0" borderId="0" xfId="1" applyAlignment="1" applyProtection="1"/>
    <xf numFmtId="165" fontId="7" fillId="0" borderId="0" xfId="0" applyNumberFormat="1" applyFont="1" applyBorder="1"/>
    <xf numFmtId="0" fontId="15" fillId="0" borderId="0" xfId="0" applyFont="1" applyAlignment="1">
      <alignment horizontal="left"/>
    </xf>
    <xf numFmtId="166" fontId="11" fillId="0" borderId="0" xfId="0" quotePrefix="1" applyNumberFormat="1" applyFont="1" applyAlignment="1">
      <alignment horizontal="left"/>
    </xf>
    <xf numFmtId="0" fontId="11" fillId="0" borderId="0" xfId="0" applyFont="1"/>
    <xf numFmtId="0" fontId="0" fillId="0" borderId="0" xfId="0" applyBorder="1"/>
    <xf numFmtId="0" fontId="11" fillId="0" borderId="0" xfId="0" quotePrefix="1" applyFont="1" applyAlignment="1">
      <alignment horizontal="left"/>
    </xf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Quarterly value – $ million</a:t>
            </a:r>
          </a:p>
        </c:rich>
      </c:tx>
      <c:layout>
        <c:manualLayout>
          <c:xMode val="edge"/>
          <c:yMode val="edge"/>
          <c:x val="1.234572725555747E-2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34192376077059"/>
          <c:y val="0.14813166022091762"/>
          <c:w val="0.80987849604190065"/>
          <c:h val="0.73287793784436861"/>
        </c:manualLayout>
      </c:layout>
      <c:lineChart>
        <c:grouping val="standard"/>
        <c:varyColors val="0"/>
        <c:ser>
          <c:idx val="1"/>
          <c:order val="0"/>
          <c:tx>
            <c:strRef>
              <c:f>[1]Data6.2!$C$2</c:f>
              <c:strCache>
                <c:ptCount val="1"/>
                <c:pt idx="0">
                  <c:v>Seas adj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[1]Data6.2!$A$199:$A$219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[1]Data6.2!$C$199:$C$219</c:f>
              <c:numCache>
                <c:formatCode>General</c:formatCode>
                <c:ptCount val="21"/>
                <c:pt idx="0">
                  <c:v>-16216</c:v>
                </c:pt>
                <c:pt idx="1">
                  <c:v>-11816</c:v>
                </c:pt>
                <c:pt idx="2">
                  <c:v>-7627</c:v>
                </c:pt>
                <c:pt idx="3">
                  <c:v>-4423</c:v>
                </c:pt>
                <c:pt idx="4">
                  <c:v>-14303</c:v>
                </c:pt>
                <c:pt idx="5">
                  <c:v>-15344</c:v>
                </c:pt>
                <c:pt idx="6">
                  <c:v>-19036</c:v>
                </c:pt>
                <c:pt idx="7">
                  <c:v>-16500</c:v>
                </c:pt>
                <c:pt idx="8">
                  <c:v>-6540</c:v>
                </c:pt>
                <c:pt idx="9">
                  <c:v>-8426</c:v>
                </c:pt>
                <c:pt idx="10">
                  <c:v>-8759</c:v>
                </c:pt>
                <c:pt idx="11">
                  <c:v>-9746</c:v>
                </c:pt>
                <c:pt idx="12">
                  <c:v>-7355</c:v>
                </c:pt>
                <c:pt idx="13">
                  <c:v>-6599</c:v>
                </c:pt>
                <c:pt idx="14">
                  <c:v>-9082</c:v>
                </c:pt>
                <c:pt idx="15">
                  <c:v>-13485</c:v>
                </c:pt>
                <c:pt idx="16">
                  <c:v>-11218</c:v>
                </c:pt>
                <c:pt idx="17">
                  <c:v>-15048</c:v>
                </c:pt>
                <c:pt idx="18">
                  <c:v>-14678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82976"/>
        <c:axId val="51315840"/>
      </c:lineChart>
      <c:catAx>
        <c:axId val="5118297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1315840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51315840"/>
        <c:scaling>
          <c:orientation val="minMax"/>
          <c:max val="0"/>
          <c:min val="-2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1182976"/>
        <c:crosses val="autoZero"/>
        <c:crossBetween val="midCat"/>
        <c:majorUnit val="4000"/>
        <c:min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52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SB%20Monthly%20Statistical%20Bulletin\April13\MSB%20Chapter%2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SB%20Monthly%20Statistical%20Bulletin\April13\6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>
        <row r="2">
          <cell r="C2" t="str">
            <v>Seas adj</v>
          </cell>
        </row>
        <row r="199">
          <cell r="A199">
            <v>39600</v>
          </cell>
          <cell r="C199">
            <v>-16216</v>
          </cell>
        </row>
        <row r="200">
          <cell r="A200">
            <v>39692</v>
          </cell>
          <cell r="C200">
            <v>-11816</v>
          </cell>
          <cell r="D200">
            <v>-66378</v>
          </cell>
          <cell r="E200">
            <v>-3.745332597959973</v>
          </cell>
          <cell r="F200">
            <v>-5.4985863783701392</v>
          </cell>
        </row>
        <row r="201">
          <cell r="A201">
            <v>39783</v>
          </cell>
          <cell r="C201">
            <v>-7627</v>
          </cell>
          <cell r="D201">
            <v>-54629</v>
          </cell>
          <cell r="E201">
            <v>-2.4106781632446648</v>
          </cell>
          <cell r="F201">
            <v>-4.4305650513421293</v>
          </cell>
        </row>
        <row r="202">
          <cell r="A202">
            <v>39873</v>
          </cell>
          <cell r="C202">
            <v>-4423</v>
          </cell>
          <cell r="D202">
            <v>-40811</v>
          </cell>
          <cell r="E202">
            <v>-1.4015463590848596</v>
          </cell>
          <cell r="F202">
            <v>-3.2653371472006083</v>
          </cell>
        </row>
        <row r="203">
          <cell r="A203">
            <v>39965</v>
          </cell>
          <cell r="C203">
            <v>-14303</v>
          </cell>
          <cell r="D203">
            <v>-38678</v>
          </cell>
          <cell r="E203">
            <v>-4.6303160579995399</v>
          </cell>
          <cell r="F203">
            <v>-3.0836495141087448</v>
          </cell>
        </row>
        <row r="204">
          <cell r="A204">
            <v>40057</v>
          </cell>
          <cell r="C204">
            <v>-15344</v>
          </cell>
          <cell r="D204">
            <v>-42822</v>
          </cell>
          <cell r="E204">
            <v>-4.9259533922110608</v>
          </cell>
          <cell r="F204">
            <v>-3.4251297761211936</v>
          </cell>
          <cell r="H204" t="str">
            <v>2008–09</v>
          </cell>
        </row>
        <row r="205">
          <cell r="A205">
            <v>40148</v>
          </cell>
          <cell r="C205">
            <v>-19036</v>
          </cell>
          <cell r="D205">
            <v>-54181</v>
          </cell>
          <cell r="E205">
            <v>-5.9750964408689562</v>
          </cell>
          <cell r="F205">
            <v>-4.3279465319154209</v>
          </cell>
        </row>
        <row r="206">
          <cell r="A206">
            <v>40238</v>
          </cell>
          <cell r="C206">
            <v>-16500</v>
          </cell>
          <cell r="D206">
            <v>-65665</v>
          </cell>
          <cell r="E206">
            <v>-5.060356249079935</v>
          </cell>
          <cell r="F206">
            <v>-5.199487217250911</v>
          </cell>
        </row>
        <row r="207">
          <cell r="A207">
            <v>40330</v>
          </cell>
          <cell r="C207">
            <v>-6540</v>
          </cell>
          <cell r="D207">
            <v>-57298</v>
          </cell>
          <cell r="E207">
            <v>-1.9362918530668318</v>
          </cell>
          <cell r="F207">
            <v>-4.4337487377303519</v>
          </cell>
        </row>
        <row r="208">
          <cell r="A208">
            <v>40422</v>
          </cell>
          <cell r="C208">
            <v>-8426</v>
          </cell>
          <cell r="D208">
            <v>-50001</v>
          </cell>
          <cell r="E208">
            <v>-2.4513283604668752</v>
          </cell>
          <cell r="F208">
            <v>-3.7733300329933379</v>
          </cell>
          <cell r="H208" t="str">
            <v>2009–10</v>
          </cell>
        </row>
        <row r="209">
          <cell r="A209">
            <v>40513</v>
          </cell>
          <cell r="C209">
            <v>-8759</v>
          </cell>
          <cell r="D209">
            <v>-39839</v>
          </cell>
          <cell r="E209">
            <v>-2.5139777045566745</v>
          </cell>
          <cell r="F209">
            <v>-2.9356606986664664</v>
          </cell>
        </row>
        <row r="210">
          <cell r="A210">
            <v>40603</v>
          </cell>
          <cell r="C210">
            <v>-9746</v>
          </cell>
          <cell r="D210">
            <v>-33369</v>
          </cell>
          <cell r="E210">
            <v>-2.7712614556942228</v>
          </cell>
          <cell r="F210">
            <v>-2.4159129231684813</v>
          </cell>
        </row>
        <row r="211">
          <cell r="A211">
            <v>40695</v>
          </cell>
          <cell r="C211">
            <v>-7355</v>
          </cell>
          <cell r="D211">
            <v>-33820</v>
          </cell>
          <cell r="E211">
            <v>-2.0435267019896255</v>
          </cell>
          <cell r="F211">
            <v>-2.4090223657283447</v>
          </cell>
        </row>
        <row r="212">
          <cell r="A212">
            <v>40787</v>
          </cell>
          <cell r="C212">
            <v>-6599</v>
          </cell>
          <cell r="D212">
            <v>-32810</v>
          </cell>
          <cell r="E212">
            <v>-1.8036165258174901</v>
          </cell>
          <cell r="F212">
            <v>-2.3016501589969547</v>
          </cell>
          <cell r="H212" t="str">
            <v>2010–11</v>
          </cell>
        </row>
        <row r="213">
          <cell r="A213">
            <v>40878</v>
          </cell>
          <cell r="C213">
            <v>-9082</v>
          </cell>
          <cell r="D213">
            <v>-32409</v>
          </cell>
          <cell r="E213">
            <v>-2.4739448551644485</v>
          </cell>
          <cell r="F213">
            <v>-2.2428435788057546</v>
          </cell>
        </row>
        <row r="214">
          <cell r="A214">
            <v>40969</v>
          </cell>
          <cell r="C214">
            <v>-13485</v>
          </cell>
          <cell r="D214">
            <v>-36688</v>
          </cell>
          <cell r="E214">
            <v>-3.6587748191640035</v>
          </cell>
          <cell r="F214">
            <v>-2.5111361166095829</v>
          </cell>
        </row>
        <row r="215">
          <cell r="A215">
            <v>41061</v>
          </cell>
          <cell r="C215">
            <v>-11218</v>
          </cell>
          <cell r="D215">
            <v>-40194</v>
          </cell>
          <cell r="E215">
            <v>-3.008514917867918</v>
          </cell>
          <cell r="F215">
            <v>-2.7255990262327208</v>
          </cell>
        </row>
        <row r="216">
          <cell r="A216">
            <v>41153</v>
          </cell>
          <cell r="C216">
            <v>-15048</v>
          </cell>
          <cell r="D216">
            <v>-48301</v>
          </cell>
          <cell r="E216">
            <v>-4.0400786107799869</v>
          </cell>
          <cell r="F216">
            <v>-3.2606288900590008</v>
          </cell>
          <cell r="H216" t="str">
            <v>2011–12</v>
          </cell>
        </row>
        <row r="217">
          <cell r="A217">
            <v>41244</v>
          </cell>
          <cell r="C217">
            <v>-14678</v>
          </cell>
          <cell r="D217">
            <v>-54425</v>
          </cell>
          <cell r="E217">
            <v>-3.9203745696482133</v>
          </cell>
          <cell r="F217">
            <v>-3.6575842538057692</v>
          </cell>
        </row>
        <row r="218">
          <cell r="A218">
            <v>41334</v>
          </cell>
          <cell r="C218" t="e">
            <v>#N/A</v>
          </cell>
          <cell r="D218" t="str">
            <v xml:space="preserve"> </v>
          </cell>
          <cell r="E218" t="e">
            <v>#N/A</v>
          </cell>
          <cell r="F218" t="str">
            <v xml:space="preserve"> </v>
          </cell>
        </row>
        <row r="219">
          <cell r="A219">
            <v>41426</v>
          </cell>
          <cell r="C219" t="e">
            <v>#N/A</v>
          </cell>
          <cell r="D219" t="str">
            <v xml:space="preserve"> </v>
          </cell>
          <cell r="E219" t="e">
            <v>#N/A</v>
          </cell>
          <cell r="F219" t="str">
            <v xml:space="preserve"> </v>
          </cell>
        </row>
        <row r="220">
          <cell r="H220" t="str">
            <v>2012–13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62a"/>
      <sheetName val="Table62b"/>
      <sheetName val="Table62c"/>
      <sheetName val="Table62d"/>
      <sheetName val="Table62e"/>
      <sheetName val="Chart1"/>
      <sheetName val="6.2 Data"/>
    </sheetNames>
    <sheetDataSet>
      <sheetData sheetId="0">
        <row r="63">
          <cell r="B63" t="str">
            <v>4 June 2013 Balance of Payments</v>
          </cell>
        </row>
        <row r="64">
          <cell r="B64" t="str">
            <v>5 June 2013 National Accounts</v>
          </cell>
        </row>
      </sheetData>
      <sheetData sheetId="1"/>
      <sheetData sheetId="2"/>
      <sheetData sheetId="3"/>
      <sheetData sheetId="4"/>
      <sheetData sheetId="5" refreshError="1"/>
      <sheetData sheetId="6">
        <row r="4">
          <cell r="B4">
            <v>-101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7"/>
  <sheetViews>
    <sheetView tabSelected="1" zoomScaleNormal="100" zoomScaleSheetLayoutView="100" workbookViewId="0">
      <selection activeCell="N16" sqref="N16"/>
    </sheetView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tr">
        <f>[1]Data6.2!H204</f>
        <v>2008–09</v>
      </c>
      <c r="C19" s="8" t="str">
        <f>[1]Data6.2!H208</f>
        <v>2009–10</v>
      </c>
      <c r="D19" s="8" t="str">
        <f>[1]Data6.2!H212</f>
        <v>2010–11</v>
      </c>
      <c r="E19" s="8" t="str">
        <f>[1]Data6.2!H216</f>
        <v>2011–12</v>
      </c>
      <c r="F19" s="8" t="str">
        <f>[1]Data6.2!H220</f>
        <v>2012–13</v>
      </c>
      <c r="H19" s="6"/>
    </row>
    <row r="20" spans="1:8" ht="19.899999999999999" customHeight="1" x14ac:dyDescent="0.2">
      <c r="A20" s="9" t="s">
        <v>3</v>
      </c>
      <c r="B20" s="10"/>
      <c r="H20" s="6"/>
    </row>
    <row r="21" spans="1:8" ht="7.5" customHeight="1" x14ac:dyDescent="0.2">
      <c r="A21" s="11"/>
      <c r="B21" s="12"/>
      <c r="H21" s="6"/>
    </row>
    <row r="22" spans="1:8" ht="11.1" customHeight="1" x14ac:dyDescent="0.2">
      <c r="A22" s="13" t="s">
        <v>4</v>
      </c>
      <c r="B22" s="14">
        <f>IF([1]Data6.2!$C200=0, " ",[1]Data6.2!$C200)</f>
        <v>-11816</v>
      </c>
      <c r="C22" s="14">
        <f>IF([1]Data6.2!$C204=0, " ",[1]Data6.2!$C204)</f>
        <v>-15344</v>
      </c>
      <c r="D22" s="14">
        <f>IF([1]Data6.2!$C208=0, " ",[1]Data6.2!$C208)</f>
        <v>-8426</v>
      </c>
      <c r="E22" s="14">
        <f>IF([1]Data6.2!$C212=0, " ",[1]Data6.2!$C212)</f>
        <v>-6599</v>
      </c>
      <c r="F22" s="14">
        <f>IF(ISERROR([1]Data6.2!$C216), " ",[1]Data6.2!$C216)</f>
        <v>-15048</v>
      </c>
      <c r="H22" s="6"/>
    </row>
    <row r="23" spans="1:8" ht="11.1" customHeight="1" x14ac:dyDescent="0.2">
      <c r="A23" s="13" t="s">
        <v>5</v>
      </c>
      <c r="B23" s="14">
        <f>IF([1]Data6.2!$C201=0, " ",[1]Data6.2!$C201)</f>
        <v>-7627</v>
      </c>
      <c r="C23" s="14">
        <f>IF([1]Data6.2!$C205=0, " ",[1]Data6.2!$C205)</f>
        <v>-19036</v>
      </c>
      <c r="D23" s="14">
        <f>IF([1]Data6.2!$C209=0, " ",[1]Data6.2!$C209)</f>
        <v>-8759</v>
      </c>
      <c r="E23" s="14">
        <f>IF([1]Data6.2!$C213=0, " ",[1]Data6.2!$C213)</f>
        <v>-9082</v>
      </c>
      <c r="F23" s="14">
        <f>IF(ISERROR([1]Data6.2!$C217), " ",[1]Data6.2!$C217)</f>
        <v>-14678</v>
      </c>
      <c r="H23" s="6"/>
    </row>
    <row r="24" spans="1:8" ht="11.1" customHeight="1" x14ac:dyDescent="0.2">
      <c r="A24" s="13" t="s">
        <v>6</v>
      </c>
      <c r="B24" s="14">
        <f>IF([1]Data6.2!$C202=0, " ",[1]Data6.2!$C202)</f>
        <v>-4423</v>
      </c>
      <c r="C24" s="14">
        <f>IF([1]Data6.2!$C206=0, " ",[1]Data6.2!$C206)</f>
        <v>-16500</v>
      </c>
      <c r="D24" s="14">
        <f>IF([1]Data6.2!$C210=0, " ",[1]Data6.2!$C210)</f>
        <v>-9746</v>
      </c>
      <c r="E24" s="14">
        <f>IF([1]Data6.2!$C214=0, " ",[1]Data6.2!$C214)</f>
        <v>-13485</v>
      </c>
      <c r="F24" s="14" t="str">
        <f>IF(ISERROR([1]Data6.2!$C218), " ",[1]Data6.2!$C218)</f>
        <v xml:space="preserve"> </v>
      </c>
      <c r="H24" s="6"/>
    </row>
    <row r="25" spans="1:8" ht="11.1" customHeight="1" x14ac:dyDescent="0.2">
      <c r="A25" s="13" t="s">
        <v>7</v>
      </c>
      <c r="B25" s="14">
        <f>IF([1]Data6.2!$C203=0, " ",[1]Data6.2!$C203)</f>
        <v>-14303</v>
      </c>
      <c r="C25" s="14">
        <f>IF([1]Data6.2!$C207=0, " ",[1]Data6.2!$C207)</f>
        <v>-6540</v>
      </c>
      <c r="D25" s="14">
        <f>IF([1]Data6.2!$C211=0, " ",[1]Data6.2!$C211)</f>
        <v>-7355</v>
      </c>
      <c r="E25" s="14">
        <f>IF([1]Data6.2!$C215=0, " ",[1]Data6.2!$C215)</f>
        <v>-11218</v>
      </c>
      <c r="F25" s="14" t="str">
        <f>IF(ISERROR([1]Data6.2!$C219), " ",[1]Data6.2!$C219)</f>
        <v xml:space="preserve"> </v>
      </c>
      <c r="H25" s="6"/>
    </row>
    <row r="26" spans="1:8" ht="11.1" customHeight="1" x14ac:dyDescent="0.2">
      <c r="A26" s="15"/>
      <c r="B26" s="16"/>
      <c r="C26" s="16"/>
      <c r="D26" s="16"/>
      <c r="E26" s="16"/>
      <c r="F26" s="16"/>
      <c r="H26" s="6"/>
    </row>
    <row r="27" spans="1:8" ht="19.899999999999999" customHeight="1" x14ac:dyDescent="0.2">
      <c r="A27" s="9" t="s">
        <v>8</v>
      </c>
      <c r="B27" s="17"/>
      <c r="C27" s="17"/>
      <c r="D27" s="17"/>
      <c r="E27" s="17"/>
      <c r="F27" s="17"/>
      <c r="H27" s="6"/>
    </row>
    <row r="28" spans="1:8" ht="8.25" customHeight="1" x14ac:dyDescent="0.2">
      <c r="A28" s="18"/>
      <c r="B28" s="19"/>
      <c r="H28" s="6"/>
    </row>
    <row r="29" spans="1:8" ht="11.1" customHeight="1" x14ac:dyDescent="0.2">
      <c r="A29" s="13" t="s">
        <v>4</v>
      </c>
      <c r="B29" s="20">
        <f>IF([1]Data6.2!$E200=0, " ",[1]Data6.2!$E200)</f>
        <v>-3.745332597959973</v>
      </c>
      <c r="C29" s="20">
        <f>IF([1]Data6.2!$E204=0, " ",[1]Data6.2!$E204)</f>
        <v>-4.9259533922110608</v>
      </c>
      <c r="D29" s="20">
        <f>IF([1]Data6.2!$E208=0, " ",[1]Data6.2!$E208)</f>
        <v>-2.4513283604668752</v>
      </c>
      <c r="E29" s="20">
        <f>IF([1]Data6.2!$E212=0, " ",[1]Data6.2!$E212)</f>
        <v>-1.8036165258174901</v>
      </c>
      <c r="F29" s="20">
        <f>IF(ISERROR([1]Data6.2!$E216), " ",[1]Data6.2!$E216)</f>
        <v>-4.0400786107799869</v>
      </c>
      <c r="H29" s="6"/>
    </row>
    <row r="30" spans="1:8" ht="11.1" customHeight="1" x14ac:dyDescent="0.2">
      <c r="A30" s="13" t="s">
        <v>5</v>
      </c>
      <c r="B30" s="20">
        <f>IF([1]Data6.2!$E201=0, " ",[1]Data6.2!$E201)</f>
        <v>-2.4106781632446648</v>
      </c>
      <c r="C30" s="20">
        <f>IF([1]Data6.2!$E205=0, " ",[1]Data6.2!$E205)</f>
        <v>-5.9750964408689562</v>
      </c>
      <c r="D30" s="20">
        <f>IF([1]Data6.2!$E209=0, " ",[1]Data6.2!$E209)</f>
        <v>-2.5139777045566745</v>
      </c>
      <c r="E30" s="20">
        <f>IF([1]Data6.2!$E213=0, " ",[1]Data6.2!$E213)</f>
        <v>-2.4739448551644485</v>
      </c>
      <c r="F30" s="20">
        <f>IF(ISERROR([1]Data6.2!$E217), " ",[1]Data6.2!$E217)</f>
        <v>-3.9203745696482133</v>
      </c>
      <c r="H30" s="6"/>
    </row>
    <row r="31" spans="1:8" ht="11.1" customHeight="1" x14ac:dyDescent="0.2">
      <c r="A31" s="13" t="s">
        <v>6</v>
      </c>
      <c r="B31" s="20">
        <f>IF([1]Data6.2!$E202=0, " ",[1]Data6.2!$E202)</f>
        <v>-1.4015463590848596</v>
      </c>
      <c r="C31" s="20">
        <f>IF([1]Data6.2!$E206=0, " ",[1]Data6.2!$E206)</f>
        <v>-5.060356249079935</v>
      </c>
      <c r="D31" s="20">
        <f>IF([1]Data6.2!$E210=0, " ",[1]Data6.2!$E210)</f>
        <v>-2.7712614556942228</v>
      </c>
      <c r="E31" s="20">
        <f>IF([1]Data6.2!$E214=0, " ",[1]Data6.2!$E214)</f>
        <v>-3.6587748191640035</v>
      </c>
      <c r="F31" s="20" t="str">
        <f>IF(ISERROR([1]Data6.2!$E218), " ",[1]Data6.2!$E218)</f>
        <v xml:space="preserve"> </v>
      </c>
      <c r="H31" s="6"/>
    </row>
    <row r="32" spans="1:8" ht="11.1" customHeight="1" x14ac:dyDescent="0.2">
      <c r="A32" s="13" t="s">
        <v>7</v>
      </c>
      <c r="B32" s="20">
        <f>IF([1]Data6.2!$E203=0, " ",[1]Data6.2!$E203)</f>
        <v>-4.6303160579995399</v>
      </c>
      <c r="C32" s="20">
        <f>IF([1]Data6.2!$E207=0, " ",[1]Data6.2!$E207)</f>
        <v>-1.9362918530668318</v>
      </c>
      <c r="D32" s="20">
        <f>IF([1]Data6.2!$E211=0, " ",[1]Data6.2!$E211)</f>
        <v>-2.0435267019896255</v>
      </c>
      <c r="E32" s="20">
        <f>IF([1]Data6.2!$E215=0, " ",[1]Data6.2!$E215)</f>
        <v>-3.008514917867918</v>
      </c>
      <c r="F32" s="20" t="str">
        <f>IF(ISERROR([1]Data6.2!$E219), " ",[1]Data6.2!$E219)</f>
        <v xml:space="preserve"> </v>
      </c>
      <c r="H32" s="6"/>
    </row>
    <row r="33" spans="1:8" ht="11.1" customHeight="1" x14ac:dyDescent="0.2">
      <c r="A33" s="15"/>
      <c r="B33" s="15"/>
      <c r="C33" s="16"/>
      <c r="D33" s="16"/>
      <c r="E33" s="16"/>
      <c r="F33" s="16"/>
      <c r="H33" s="6"/>
    </row>
    <row r="34" spans="1:8" ht="19.5" customHeight="1" x14ac:dyDescent="0.2">
      <c r="A34" s="9" t="s">
        <v>9</v>
      </c>
      <c r="B34" s="11"/>
      <c r="C34" s="17"/>
      <c r="D34" s="17"/>
      <c r="E34" s="17"/>
      <c r="F34" s="17"/>
      <c r="H34" s="6"/>
    </row>
    <row r="35" spans="1:8" ht="11.1" customHeight="1" x14ac:dyDescent="0.2">
      <c r="A35" s="18"/>
      <c r="B35" s="11"/>
      <c r="H35" s="6"/>
    </row>
    <row r="36" spans="1:8" ht="11.1" customHeight="1" x14ac:dyDescent="0.2">
      <c r="A36" s="13" t="s">
        <v>4</v>
      </c>
      <c r="B36" s="14">
        <f>IF([1]Data6.2!$D200=0, " ",[1]Data6.2!$D200)</f>
        <v>-66378</v>
      </c>
      <c r="C36" s="14">
        <f>IF([1]Data6.2!$D204=0, " ",[1]Data6.2!$D204)</f>
        <v>-42822</v>
      </c>
      <c r="D36" s="14">
        <f>IF([1]Data6.2!$D208=0, " ",[1]Data6.2!$D208)</f>
        <v>-50001</v>
      </c>
      <c r="E36" s="14">
        <f>IF([1]Data6.2!$D212=0, " ",[1]Data6.2!$D212)</f>
        <v>-32810</v>
      </c>
      <c r="F36" s="14">
        <f>IF([1]Data6.2!$D216=0, " ",[1]Data6.2!$D216)</f>
        <v>-48301</v>
      </c>
      <c r="H36" s="6"/>
    </row>
    <row r="37" spans="1:8" ht="11.1" customHeight="1" x14ac:dyDescent="0.2">
      <c r="A37" s="13" t="s">
        <v>5</v>
      </c>
      <c r="B37" s="14">
        <f>IF([1]Data6.2!$D201=0, " ",[1]Data6.2!$D201)</f>
        <v>-54629</v>
      </c>
      <c r="C37" s="14">
        <f>IF([1]Data6.2!$D205=0, " ",[1]Data6.2!$D205)</f>
        <v>-54181</v>
      </c>
      <c r="D37" s="14">
        <f>IF([1]Data6.2!$D209=0, " ",[1]Data6.2!$D209)</f>
        <v>-39839</v>
      </c>
      <c r="E37" s="14">
        <f>IF([1]Data6.2!$D213=0, " ",[1]Data6.2!$D213)</f>
        <v>-32409</v>
      </c>
      <c r="F37" s="14">
        <f>IF([1]Data6.2!$D217=0, " ",[1]Data6.2!$D217)</f>
        <v>-54425</v>
      </c>
      <c r="H37" s="6"/>
    </row>
    <row r="38" spans="1:8" ht="11.1" customHeight="1" x14ac:dyDescent="0.2">
      <c r="A38" s="13" t="s">
        <v>6</v>
      </c>
      <c r="B38" s="14">
        <f>IF([1]Data6.2!$D202=0, " ",[1]Data6.2!$D202)</f>
        <v>-40811</v>
      </c>
      <c r="C38" s="14">
        <f>IF([1]Data6.2!$D206=0, " ",[1]Data6.2!$D206)</f>
        <v>-65665</v>
      </c>
      <c r="D38" s="14">
        <f>IF([1]Data6.2!$D210=0, " ",[1]Data6.2!$D210)</f>
        <v>-33369</v>
      </c>
      <c r="E38" s="14">
        <f>IF([1]Data6.2!$D214=0, " ",[1]Data6.2!$D214)</f>
        <v>-36688</v>
      </c>
      <c r="F38" s="14" t="str">
        <f>IF([1]Data6.2!$D218=0, " ",[1]Data6.2!$D218)</f>
        <v xml:space="preserve"> </v>
      </c>
      <c r="H38" s="6"/>
    </row>
    <row r="39" spans="1:8" ht="11.1" customHeight="1" x14ac:dyDescent="0.2">
      <c r="A39" s="13" t="s">
        <v>7</v>
      </c>
      <c r="B39" s="14">
        <f>IF([1]Data6.2!$D203=0, " ",[1]Data6.2!$D203)</f>
        <v>-38678</v>
      </c>
      <c r="C39" s="14">
        <f>IF([1]Data6.2!$D207=0, " ",[1]Data6.2!$D207)</f>
        <v>-57298</v>
      </c>
      <c r="D39" s="14">
        <f>IF([1]Data6.2!$D211=0, " ",[1]Data6.2!$D211)</f>
        <v>-33820</v>
      </c>
      <c r="E39" s="14">
        <f>IF([1]Data6.2!$D215=0, " ",[1]Data6.2!$D215)</f>
        <v>-40194</v>
      </c>
      <c r="F39" s="14" t="str">
        <f>IF([1]Data6.2!$D219=0, " ",[1]Data6.2!$D219)</f>
        <v xml:space="preserve"> </v>
      </c>
      <c r="H39" s="6"/>
    </row>
    <row r="40" spans="1:8" ht="11.1" customHeight="1" x14ac:dyDescent="0.2">
      <c r="A40" s="15"/>
      <c r="B40" s="15"/>
      <c r="C40" s="16"/>
      <c r="D40" s="16"/>
      <c r="E40" s="16"/>
      <c r="F40" s="16"/>
      <c r="H40" s="6"/>
    </row>
    <row r="41" spans="1:8" ht="19.5" customHeight="1" x14ac:dyDescent="0.2">
      <c r="A41" s="21" t="s">
        <v>10</v>
      </c>
      <c r="B41" s="22"/>
      <c r="C41" s="17"/>
      <c r="D41" s="17"/>
      <c r="E41" s="17"/>
      <c r="F41" s="17"/>
      <c r="H41" s="6"/>
    </row>
    <row r="42" spans="1:8" ht="11.1" customHeight="1" x14ac:dyDescent="0.2">
      <c r="A42" s="18"/>
      <c r="B42" s="19"/>
      <c r="F42" s="23"/>
      <c r="H42" s="6"/>
    </row>
    <row r="43" spans="1:8" ht="11.1" customHeight="1" x14ac:dyDescent="0.2">
      <c r="A43" s="13" t="s">
        <v>4</v>
      </c>
      <c r="B43" s="23">
        <f>IF([1]Data6.2!$F200=0, " ",[1]Data6.2!$F200)</f>
        <v>-5.4985863783701392</v>
      </c>
      <c r="C43" s="23">
        <f>IF([1]Data6.2!$F204=0, " ",[1]Data6.2!$F204)</f>
        <v>-3.4251297761211936</v>
      </c>
      <c r="D43" s="23">
        <f>IF([1]Data6.2!$F208=0, " ",[1]Data6.2!$F208)</f>
        <v>-3.7733300329933379</v>
      </c>
      <c r="E43" s="23">
        <f>IF([1]Data6.2!$F212=0, " ",[1]Data6.2!$F212)</f>
        <v>-2.3016501589969547</v>
      </c>
      <c r="F43" s="23">
        <f>IF([1]Data6.2!$F216=0, " ",[1]Data6.2!$F216)</f>
        <v>-3.2606288900590008</v>
      </c>
      <c r="H43" s="6"/>
    </row>
    <row r="44" spans="1:8" ht="11.1" customHeight="1" x14ac:dyDescent="0.2">
      <c r="A44" s="13" t="s">
        <v>5</v>
      </c>
      <c r="B44" s="23">
        <f>IF([1]Data6.2!$F201=0, " ",[1]Data6.2!$F201)</f>
        <v>-4.4305650513421293</v>
      </c>
      <c r="C44" s="23">
        <f>IF([1]Data6.2!$F205=0, " ",[1]Data6.2!$F205)</f>
        <v>-4.3279465319154209</v>
      </c>
      <c r="D44" s="23">
        <f>IF([1]Data6.2!$F209=0, " ",[1]Data6.2!$F209)</f>
        <v>-2.9356606986664664</v>
      </c>
      <c r="E44" s="23">
        <f>IF([1]Data6.2!$F213=0, " ",[1]Data6.2!$F213)</f>
        <v>-2.2428435788057546</v>
      </c>
      <c r="F44" s="23">
        <f>IF([1]Data6.2!$F217=0, " ",[1]Data6.2!$F217)</f>
        <v>-3.6575842538057692</v>
      </c>
      <c r="H44" s="6"/>
    </row>
    <row r="45" spans="1:8" ht="11.1" customHeight="1" x14ac:dyDescent="0.2">
      <c r="A45" s="13" t="s">
        <v>6</v>
      </c>
      <c r="B45" s="23">
        <f>IF([1]Data6.2!$F202=0, " ",[1]Data6.2!$F202)</f>
        <v>-3.2653371472006083</v>
      </c>
      <c r="C45" s="23">
        <f>IF([1]Data6.2!$F206=0, " ",[1]Data6.2!$F206)</f>
        <v>-5.199487217250911</v>
      </c>
      <c r="D45" s="23">
        <f>IF([1]Data6.2!$F210=0, " ",[1]Data6.2!$F210)</f>
        <v>-2.4159129231684813</v>
      </c>
      <c r="E45" s="23">
        <f>IF([1]Data6.2!$F214=0, " ",[1]Data6.2!$F214)</f>
        <v>-2.5111361166095829</v>
      </c>
      <c r="F45" s="23" t="str">
        <f>IF([1]Data6.2!$F218=0, " ",[1]Data6.2!$F218)</f>
        <v xml:space="preserve"> </v>
      </c>
      <c r="H45" s="6"/>
    </row>
    <row r="46" spans="1:8" ht="11.1" customHeight="1" x14ac:dyDescent="0.2">
      <c r="A46" s="13" t="s">
        <v>7</v>
      </c>
      <c r="B46" s="23">
        <f>IF([1]Data6.2!$F203=0, " ",[1]Data6.2!$F203)</f>
        <v>-3.0836495141087448</v>
      </c>
      <c r="C46" s="23">
        <f>IF([1]Data6.2!$F207=0, " ",[1]Data6.2!$F207)</f>
        <v>-4.4337487377303519</v>
      </c>
      <c r="D46" s="23">
        <f>IF([1]Data6.2!$F211=0, " ",[1]Data6.2!$F211)</f>
        <v>-2.4090223657283447</v>
      </c>
      <c r="E46" s="23">
        <f>IF([1]Data6.2!$F215=0, " ",[1]Data6.2!$F215)</f>
        <v>-2.7255990262327208</v>
      </c>
      <c r="F46" s="23" t="str">
        <f>IF([1]Data6.2!$F219=0, " ",[1]Data6.2!$F219)</f>
        <v xml:space="preserve"> </v>
      </c>
      <c r="H46" s="6"/>
    </row>
    <row r="47" spans="1:8" ht="11.1" customHeight="1" x14ac:dyDescent="0.2">
      <c r="A47" s="24"/>
      <c r="B47" s="15"/>
      <c r="C47" s="15"/>
      <c r="D47" s="15"/>
      <c r="E47" s="15"/>
      <c r="F47" s="15"/>
      <c r="H47" s="6"/>
    </row>
    <row r="48" spans="1:8" ht="7.5" customHeight="1" x14ac:dyDescent="0.2">
      <c r="A48" s="9"/>
      <c r="B48" s="25"/>
      <c r="C48" s="25"/>
      <c r="D48" s="25"/>
      <c r="E48" s="25"/>
      <c r="F48" s="25"/>
      <c r="H48" s="6"/>
    </row>
    <row r="49" spans="1:11" ht="10.5" customHeight="1" x14ac:dyDescent="0.2">
      <c r="A49" s="26" t="s">
        <v>11</v>
      </c>
      <c r="B49" s="25"/>
      <c r="C49" s="25"/>
      <c r="D49" s="25"/>
      <c r="E49" s="25"/>
      <c r="F49" s="25"/>
      <c r="H49" s="6"/>
    </row>
    <row r="50" spans="1:11" ht="11.1" customHeight="1" x14ac:dyDescent="0.2">
      <c r="A50" s="27" t="s">
        <v>12</v>
      </c>
      <c r="B50" s="23"/>
      <c r="C50" s="23"/>
      <c r="D50" s="23"/>
      <c r="H50" s="6"/>
    </row>
    <row r="51" spans="1:11" ht="11.1" customHeight="1" x14ac:dyDescent="0.2">
      <c r="A51" s="28" t="s">
        <v>13</v>
      </c>
      <c r="B51" s="29"/>
      <c r="C51" s="29"/>
      <c r="D51" s="29"/>
      <c r="G51" s="29"/>
      <c r="H51" s="6"/>
    </row>
    <row r="52" spans="1:11" ht="11.1" customHeight="1" x14ac:dyDescent="0.2">
      <c r="A52" s="28" t="s">
        <v>14</v>
      </c>
      <c r="B52" s="23"/>
      <c r="C52" s="23"/>
      <c r="D52" s="23"/>
      <c r="H52" s="6"/>
    </row>
    <row r="53" spans="1:11" ht="11.1" customHeight="1" x14ac:dyDescent="0.2">
      <c r="B53" s="23"/>
      <c r="C53" s="23"/>
      <c r="D53" s="23"/>
      <c r="H53" s="6"/>
    </row>
    <row r="54" spans="1:11" ht="11.1" customHeight="1" x14ac:dyDescent="0.2">
      <c r="A54" s="13"/>
      <c r="B54" s="23"/>
      <c r="C54" s="23"/>
      <c r="D54" s="23"/>
      <c r="E54" s="23"/>
      <c r="F54" s="23"/>
      <c r="H54" s="6"/>
      <c r="J54" s="23"/>
    </row>
    <row r="55" spans="1:11" ht="11.1" customHeight="1" x14ac:dyDescent="0.2">
      <c r="A55" s="13"/>
      <c r="B55" s="23"/>
      <c r="C55" s="23"/>
      <c r="D55" s="23"/>
      <c r="H55" s="6"/>
      <c r="J55" s="23"/>
    </row>
    <row r="56" spans="1:11" ht="11.1" customHeight="1" x14ac:dyDescent="0.2">
      <c r="A56" s="11"/>
      <c r="B56" s="30"/>
      <c r="C56" s="30"/>
      <c r="D56" s="30"/>
      <c r="E56" s="30"/>
      <c r="F56" s="30"/>
      <c r="H56" s="6"/>
      <c r="I56" s="31" t="s">
        <v>15</v>
      </c>
    </row>
    <row r="57" spans="1:11" ht="11.1" customHeight="1" x14ac:dyDescent="0.2">
      <c r="A57" s="11"/>
      <c r="B57" s="30"/>
      <c r="C57" s="30"/>
      <c r="D57" s="30"/>
      <c r="E57" s="30"/>
      <c r="F57" s="30"/>
      <c r="H57" s="6"/>
      <c r="I57" s="32" t="str">
        <f>TEXT([2]Table62a!$B$63,"dd mmmm yyyy") &amp; " " &amp; "Balance of Payments"</f>
        <v>4 June 2013 Balance of Payments Balance of Payments</v>
      </c>
      <c r="J57" s="32"/>
      <c r="K57" s="32"/>
    </row>
    <row r="58" spans="1:11" ht="11.1" customHeight="1" x14ac:dyDescent="0.2">
      <c r="A58" s="21" t="s">
        <v>16</v>
      </c>
      <c r="B58" s="5"/>
      <c r="C58" s="5"/>
      <c r="D58" s="5"/>
      <c r="E58" s="5"/>
      <c r="F58" s="5"/>
      <c r="H58" s="6"/>
      <c r="I58" s="32" t="str">
        <f>TEXT([2]Table62a!$B$64,"dd mmmm yyyy") &amp; " " &amp; "National Accounts"</f>
        <v>5 June 2013 National Accounts National Accounts</v>
      </c>
      <c r="J58" s="32"/>
      <c r="K58" s="32"/>
    </row>
    <row r="59" spans="1:11" ht="11.1" customHeight="1" x14ac:dyDescent="0.2">
      <c r="A59" s="33"/>
      <c r="B59" s="5"/>
      <c r="C59" s="5"/>
      <c r="D59" s="5"/>
      <c r="E59" s="5"/>
      <c r="F59" s="5"/>
      <c r="G59" s="34"/>
      <c r="H59" s="34"/>
    </row>
    <row r="60" spans="1:11" ht="11.1" customHeight="1" x14ac:dyDescent="0.2">
      <c r="A60" s="33"/>
      <c r="B60" s="5"/>
      <c r="C60" s="5"/>
      <c r="D60" s="5"/>
      <c r="E60" s="5"/>
      <c r="F60" s="5"/>
      <c r="H60" s="34"/>
    </row>
    <row r="61" spans="1:11" ht="11.1" customHeight="1" x14ac:dyDescent="0.2">
      <c r="B61" s="5"/>
      <c r="C61" s="5"/>
      <c r="D61" s="5"/>
      <c r="E61" s="5"/>
      <c r="F61" s="5"/>
    </row>
    <row r="62" spans="1:11" ht="11.1" customHeight="1" x14ac:dyDescent="0.2">
      <c r="A62" s="35"/>
      <c r="B62" s="5"/>
      <c r="C62" s="5"/>
      <c r="D62" s="5"/>
      <c r="E62" s="5"/>
      <c r="F62" s="5"/>
    </row>
    <row r="63" spans="1:11" ht="11.1" customHeight="1" x14ac:dyDescent="0.2">
      <c r="A63" s="33"/>
      <c r="B63" s="5"/>
      <c r="C63" s="5"/>
      <c r="D63" s="5"/>
      <c r="E63" s="5"/>
      <c r="F63" s="5"/>
    </row>
    <row r="64" spans="1:11" ht="11.1" customHeight="1" x14ac:dyDescent="0.2">
      <c r="A64" s="33"/>
      <c r="B64" s="5"/>
      <c r="C64" s="5"/>
      <c r="D64" s="5"/>
      <c r="E64" s="5"/>
      <c r="F64" s="5"/>
    </row>
    <row r="65" spans="1:6" x14ac:dyDescent="0.2">
      <c r="A65" s="33"/>
      <c r="B65" s="5"/>
      <c r="C65" s="5"/>
      <c r="D65" s="5"/>
      <c r="E65" s="5"/>
      <c r="F65" s="5"/>
    </row>
    <row r="66" spans="1:6" x14ac:dyDescent="0.2">
      <c r="A66" s="33"/>
      <c r="B66" s="5"/>
      <c r="C66" s="5"/>
      <c r="D66" s="5"/>
      <c r="E66" s="5"/>
      <c r="F66" s="5"/>
    </row>
    <row r="67" spans="1:6" x14ac:dyDescent="0.2">
      <c r="A67" s="33"/>
      <c r="B67" s="5"/>
      <c r="C67" s="5"/>
      <c r="D67" s="5"/>
      <c r="E67" s="5"/>
      <c r="F67" s="5"/>
    </row>
  </sheetData>
  <mergeCells count="2">
    <mergeCell ref="I57:K57"/>
    <mergeCell ref="I58:K58"/>
  </mergeCells>
  <hyperlinks>
    <hyperlink ref="A1" r:id="rId1"/>
    <hyperlink ref="A51:G51" r:id="rId2" display="Sources: ABS, Balance of payments and international investment position, Cat. no. 5302.0"/>
    <hyperlink ref="A51:A52" r:id="rId3" display="           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 xml:space="preserve">&amp;L&amp;"Times New Roman,Regular"&amp;12 30&amp;R&amp;"Times New Roman,Regular"&amp;12 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52</xdr:row>
                <xdr:rowOff>114300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2013-04-03T21:29:50Z</dcterms:created>
  <dcterms:modified xsi:type="dcterms:W3CDTF">2013-04-03T21:30:01Z</dcterms:modified>
</cp:coreProperties>
</file>