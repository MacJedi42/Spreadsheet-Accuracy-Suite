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540" windowWidth="16305" windowHeight="9360" tabRatio="775"/>
  </bookViews>
  <sheets>
    <sheet name="Summary" sheetId="60" r:id="rId1"/>
    <sheet name="Rate History" sheetId="66" r:id="rId2"/>
    <sheet name="FTSE Summary" sheetId="65" r:id="rId3"/>
    <sheet name="Discipline Summary" sheetId="62" r:id="rId4"/>
    <sheet name="Discipline Analysis" sheetId="63" r:id="rId5"/>
    <sheet name="Neutral" sheetId="64" r:id="rId6"/>
    <sheet name="1" sheetId="57" r:id="rId7"/>
    <sheet name="2" sheetId="56" r:id="rId8"/>
    <sheet name="3" sheetId="55" r:id="rId9"/>
    <sheet name="4" sheetId="54" r:id="rId10"/>
    <sheet name="5" sheetId="53" r:id="rId11"/>
    <sheet name="6" sheetId="52" r:id="rId12"/>
    <sheet name="7" sheetId="51" r:id="rId13"/>
    <sheet name="8" sheetId="50" r:id="rId14"/>
    <sheet name="9" sheetId="49" r:id="rId15"/>
    <sheet name="10" sheetId="48" r:id="rId16"/>
    <sheet name="11" sheetId="47" r:id="rId17"/>
    <sheet name="12" sheetId="46" r:id="rId18"/>
    <sheet name="13" sheetId="45" r:id="rId19"/>
    <sheet name="14" sheetId="44" r:id="rId20"/>
    <sheet name="15" sheetId="43" r:id="rId21"/>
    <sheet name="16" sheetId="42" r:id="rId22"/>
    <sheet name="17" sheetId="41" r:id="rId23"/>
    <sheet name="18" sheetId="40" r:id="rId24"/>
    <sheet name="19" sheetId="39" r:id="rId25"/>
    <sheet name="20" sheetId="38" r:id="rId26"/>
    <sheet name="21" sheetId="37" r:id="rId27"/>
    <sheet name="22" sheetId="36" r:id="rId28"/>
    <sheet name="23" sheetId="35" r:id="rId29"/>
    <sheet name="24" sheetId="34" r:id="rId30"/>
    <sheet name="25" sheetId="33" r:id="rId31"/>
    <sheet name="26" sheetId="32" r:id="rId32"/>
    <sheet name="27" sheetId="31" r:id="rId33"/>
    <sheet name="28" sheetId="30" r:id="rId34"/>
    <sheet name="29" sheetId="29" r:id="rId35"/>
    <sheet name="30" sheetId="28" r:id="rId36"/>
    <sheet name="31" sheetId="27" r:id="rId37"/>
    <sheet name="32" sheetId="26" r:id="rId38"/>
    <sheet name="33" sheetId="25" r:id="rId39"/>
    <sheet name="34" sheetId="24" r:id="rId40"/>
    <sheet name="35" sheetId="23" r:id="rId41"/>
    <sheet name="36" sheetId="22" r:id="rId42"/>
    <sheet name="37" sheetId="21" r:id="rId43"/>
    <sheet name="38" sheetId="20" r:id="rId44"/>
    <sheet name="39" sheetId="19" r:id="rId45"/>
    <sheet name="40" sheetId="18" r:id="rId46"/>
    <sheet name="41" sheetId="17" r:id="rId47"/>
    <sheet name="42" sheetId="16" r:id="rId48"/>
    <sheet name="43" sheetId="15" r:id="rId49"/>
    <sheet name="44" sheetId="14" r:id="rId50"/>
    <sheet name="45" sheetId="13" r:id="rId51"/>
    <sheet name="46" sheetId="12" r:id="rId52"/>
    <sheet name="47" sheetId="11" r:id="rId53"/>
    <sheet name="48" sheetId="10" r:id="rId54"/>
    <sheet name="49" sheetId="9" r:id="rId55"/>
    <sheet name="50" sheetId="8" r:id="rId56"/>
    <sheet name="51" sheetId="7" r:id="rId57"/>
    <sheet name="52" sheetId="6" r:id="rId58"/>
    <sheet name="53" sheetId="5" r:id="rId59"/>
    <sheet name="54" sheetId="4" r:id="rId60"/>
    <sheet name="55" sheetId="3" r:id="rId61"/>
    <sheet name="56" sheetId="59" r:id="rId62"/>
    <sheet name="57" sheetId="1" r:id="rId63"/>
    <sheet name="Data" sheetId="2" r:id="rId64"/>
  </sheets>
  <externalReferences>
    <externalReference r:id="rId65"/>
  </externalReferences>
  <definedNames>
    <definedName name="Broadway_AP_FRP_RFOE_CCSurvey" localSheetId="63" hidden="1">Data!$A$4:$LB$62</definedName>
    <definedName name="_xlnm.Print_Area" localSheetId="4">'Discipline Analysis'!$A$1:$V$64</definedName>
    <definedName name="_xlnm.Print_Titles" localSheetId="4">'Discipline Analysis'!$A:$A,'Discipline Analysis'!$5:$5</definedName>
    <definedName name="_xlnm.Print_Titles" localSheetId="3">'Discipline Summary'!$A:$A,'Discipline Summary'!$3:$3</definedName>
    <definedName name="_xlnm.Print_Titles" localSheetId="2">'FTSE Summary'!$3:$3</definedName>
    <definedName name="_xlnm.Print_Titles" localSheetId="5">Neutral!$4:$4</definedName>
    <definedName name="_xlnm.Print_Titles" localSheetId="1">'Rate History'!$B:$B</definedName>
  </definedNames>
  <calcPr calcId="145621"/>
</workbook>
</file>

<file path=xl/calcChain.xml><?xml version="1.0" encoding="utf-8"?>
<calcChain xmlns="http://schemas.openxmlformats.org/spreadsheetml/2006/main">
  <c r="B119" i="22" l="1"/>
  <c r="D110" i="60" l="1"/>
  <c r="D111" i="60"/>
  <c r="D112" i="60"/>
  <c r="D113" i="60"/>
  <c r="D114" i="60"/>
  <c r="D116" i="60"/>
  <c r="C117" i="60"/>
  <c r="E117" i="60"/>
  <c r="C120" i="60"/>
  <c r="D120" i="60"/>
  <c r="D121" i="60" l="1"/>
  <c r="C121" i="60"/>
  <c r="D121" i="57"/>
  <c r="D121" i="56"/>
  <c r="D121" i="55"/>
  <c r="D121" i="54"/>
  <c r="D121" i="53"/>
  <c r="D121" i="52"/>
  <c r="D121" i="51"/>
  <c r="D121" i="50"/>
  <c r="D121" i="49"/>
  <c r="D121" i="48"/>
  <c r="D121" i="47"/>
  <c r="D121" i="46"/>
  <c r="D121" i="45"/>
  <c r="D121" i="44"/>
  <c r="D121" i="43"/>
  <c r="D121" i="42"/>
  <c r="D121" i="41"/>
  <c r="D121" i="40"/>
  <c r="D121" i="39"/>
  <c r="D121" i="38"/>
  <c r="D121" i="37"/>
  <c r="D121" i="36"/>
  <c r="D121" i="35"/>
  <c r="D121" i="34"/>
  <c r="D121" i="33"/>
  <c r="D121" i="32"/>
  <c r="D121" i="31"/>
  <c r="D121" i="30"/>
  <c r="D121" i="29"/>
  <c r="D121" i="28"/>
  <c r="D121" i="27"/>
  <c r="D121" i="26"/>
  <c r="D121" i="25"/>
  <c r="D121" i="24"/>
  <c r="D121" i="23"/>
  <c r="D121" i="22"/>
  <c r="D121" i="21"/>
  <c r="D121" i="20"/>
  <c r="D121" i="19"/>
  <c r="D121" i="18"/>
  <c r="D121" i="17"/>
  <c r="D121" i="16"/>
  <c r="D121" i="15"/>
  <c r="D121" i="14"/>
  <c r="D121" i="13"/>
  <c r="D121" i="12"/>
  <c r="D121" i="11"/>
  <c r="D121" i="10"/>
  <c r="D121" i="9"/>
  <c r="D121" i="8"/>
  <c r="D121" i="7"/>
  <c r="D121" i="6"/>
  <c r="D121" i="5"/>
  <c r="D121" i="4"/>
  <c r="D121" i="3"/>
  <c r="D121" i="59"/>
  <c r="D121" i="1"/>
  <c r="C121" i="57"/>
  <c r="C121" i="56"/>
  <c r="C121" i="55"/>
  <c r="C121" i="54"/>
  <c r="C121" i="53"/>
  <c r="C121" i="52"/>
  <c r="C121" i="51"/>
  <c r="C121" i="50"/>
  <c r="C121" i="49"/>
  <c r="C121" i="48"/>
  <c r="C121" i="47"/>
  <c r="C121" i="46"/>
  <c r="C121" i="45"/>
  <c r="C121" i="44"/>
  <c r="C121" i="43"/>
  <c r="C121" i="42"/>
  <c r="C121" i="41"/>
  <c r="C121" i="40"/>
  <c r="C121" i="39"/>
  <c r="C121" i="38"/>
  <c r="C121" i="37"/>
  <c r="C121" i="36"/>
  <c r="C121" i="35"/>
  <c r="C121" i="34"/>
  <c r="C121" i="33"/>
  <c r="C121" i="32"/>
  <c r="C121" i="31"/>
  <c r="C121" i="30"/>
  <c r="C121" i="29"/>
  <c r="C121" i="28"/>
  <c r="C121" i="27"/>
  <c r="C121" i="26"/>
  <c r="C121" i="25"/>
  <c r="C121" i="24"/>
  <c r="C121" i="23"/>
  <c r="C121" i="22"/>
  <c r="C121" i="21"/>
  <c r="C121" i="20"/>
  <c r="C121" i="19"/>
  <c r="C121" i="18"/>
  <c r="C121" i="17"/>
  <c r="C121" i="16"/>
  <c r="C121" i="15"/>
  <c r="C121" i="14"/>
  <c r="C121" i="13"/>
  <c r="C121" i="12"/>
  <c r="C121" i="11"/>
  <c r="C121" i="10"/>
  <c r="C121" i="9"/>
  <c r="C121" i="8"/>
  <c r="C121" i="7"/>
  <c r="C121" i="6"/>
  <c r="C121" i="5"/>
  <c r="C121" i="4"/>
  <c r="C121" i="3"/>
  <c r="C121" i="59"/>
  <c r="C121" i="1"/>
  <c r="C1" i="2" l="1"/>
  <c r="B62" i="64" l="1"/>
  <c r="B61" i="64"/>
  <c r="B60" i="64"/>
  <c r="B59" i="64"/>
  <c r="B58" i="64"/>
  <c r="B57" i="64"/>
  <c r="B56" i="64"/>
  <c r="B55" i="64"/>
  <c r="B54" i="64"/>
  <c r="B53" i="64"/>
  <c r="B52" i="64"/>
  <c r="B51" i="64"/>
  <c r="B50" i="64"/>
  <c r="B49" i="64"/>
  <c r="B48" i="64"/>
  <c r="B47" i="64"/>
  <c r="B46" i="64"/>
  <c r="B45" i="64"/>
  <c r="B44" i="64"/>
  <c r="B43" i="64"/>
  <c r="B42" i="64"/>
  <c r="B41" i="64"/>
  <c r="B40" i="64"/>
  <c r="B39" i="64"/>
  <c r="B38" i="64"/>
  <c r="B37" i="64"/>
  <c r="B36" i="64"/>
  <c r="B35" i="64"/>
  <c r="B34" i="64"/>
  <c r="B33" i="64"/>
  <c r="B32" i="64"/>
  <c r="B31" i="64"/>
  <c r="B30" i="64"/>
  <c r="B29" i="64"/>
  <c r="B28" i="64"/>
  <c r="B27" i="64"/>
  <c r="B26" i="64"/>
  <c r="B25" i="64"/>
  <c r="B24" i="64"/>
  <c r="B23" i="64"/>
  <c r="B22" i="64"/>
  <c r="B21" i="64"/>
  <c r="B20" i="64"/>
  <c r="B19" i="64"/>
  <c r="B18" i="64"/>
  <c r="B17" i="64"/>
  <c r="B16" i="64"/>
  <c r="B15" i="64"/>
  <c r="B14" i="64"/>
  <c r="B13" i="64"/>
  <c r="B12" i="64"/>
  <c r="B11" i="64"/>
  <c r="B10" i="64"/>
  <c r="B9" i="64"/>
  <c r="B8" i="64"/>
  <c r="B7" i="64"/>
  <c r="B6" i="64"/>
  <c r="A1" i="66"/>
  <c r="P34" i="66"/>
  <c r="O34" i="66"/>
  <c r="AD34" i="66" s="1"/>
  <c r="N34" i="66"/>
  <c r="AC34" i="66" s="1"/>
  <c r="M34" i="66"/>
  <c r="AB34" i="66" s="1"/>
  <c r="L34" i="66"/>
  <c r="AA34" i="66" s="1"/>
  <c r="K34" i="66"/>
  <c r="Z34" i="66" s="1"/>
  <c r="J34" i="66"/>
  <c r="X34" i="66" s="1"/>
  <c r="H34" i="66"/>
  <c r="W34" i="66" s="1"/>
  <c r="G34" i="66"/>
  <c r="V34" i="66" s="1"/>
  <c r="F34" i="66"/>
  <c r="U34" i="66" s="1"/>
  <c r="P33" i="66"/>
  <c r="O33" i="66"/>
  <c r="AD33" i="66" s="1"/>
  <c r="N33" i="66"/>
  <c r="AC33" i="66" s="1"/>
  <c r="M33" i="66"/>
  <c r="AB33" i="66" s="1"/>
  <c r="L33" i="66"/>
  <c r="AA33" i="66" s="1"/>
  <c r="K33" i="66"/>
  <c r="Z33" i="66" s="1"/>
  <c r="J33" i="66"/>
  <c r="X33" i="66" s="1"/>
  <c r="H33" i="66"/>
  <c r="W33" i="66" s="1"/>
  <c r="G33" i="66"/>
  <c r="V33" i="66" s="1"/>
  <c r="F33" i="66"/>
  <c r="U33" i="66" s="1"/>
  <c r="P32" i="66"/>
  <c r="O32" i="66"/>
  <c r="AD32" i="66" s="1"/>
  <c r="N32" i="66"/>
  <c r="AC32" i="66" s="1"/>
  <c r="M32" i="66"/>
  <c r="AB32" i="66" s="1"/>
  <c r="L32" i="66"/>
  <c r="AA32" i="66" s="1"/>
  <c r="K32" i="66"/>
  <c r="Z32" i="66" s="1"/>
  <c r="J32" i="66"/>
  <c r="X32" i="66" s="1"/>
  <c r="H32" i="66"/>
  <c r="W32" i="66" s="1"/>
  <c r="G32" i="66"/>
  <c r="V32" i="66" s="1"/>
  <c r="F32" i="66"/>
  <c r="U32" i="66" s="1"/>
  <c r="AD31" i="66"/>
  <c r="AC31" i="66"/>
  <c r="AB31" i="66"/>
  <c r="AA31" i="66"/>
  <c r="Z31" i="66"/>
  <c r="Y31" i="66"/>
  <c r="X31" i="66"/>
  <c r="W31" i="66"/>
  <c r="V31" i="66"/>
  <c r="U31" i="66"/>
  <c r="E31" i="66"/>
  <c r="T31" i="66" s="1"/>
  <c r="AD30" i="66"/>
  <c r="AC30" i="66"/>
  <c r="AB30" i="66"/>
  <c r="AA30" i="66"/>
  <c r="Z30" i="66"/>
  <c r="Y30" i="66"/>
  <c r="X30" i="66"/>
  <c r="W30" i="66"/>
  <c r="V30" i="66"/>
  <c r="U30" i="66"/>
  <c r="E30" i="66"/>
  <c r="T30" i="66" s="1"/>
  <c r="AD29" i="66"/>
  <c r="AC29" i="66"/>
  <c r="AB29" i="66"/>
  <c r="AA29" i="66"/>
  <c r="Z29" i="66"/>
  <c r="Y29" i="66"/>
  <c r="X29" i="66"/>
  <c r="W29" i="66"/>
  <c r="V29" i="66"/>
  <c r="U29" i="66"/>
  <c r="E29" i="66"/>
  <c r="T29" i="66" s="1"/>
  <c r="AD28" i="66"/>
  <c r="AC28" i="66"/>
  <c r="AB28" i="66"/>
  <c r="AA28" i="66"/>
  <c r="Z28" i="66"/>
  <c r="Y28" i="66"/>
  <c r="X28" i="66"/>
  <c r="W28" i="66"/>
  <c r="V28" i="66"/>
  <c r="U28" i="66"/>
  <c r="E28" i="66"/>
  <c r="T28" i="66" s="1"/>
  <c r="AD27" i="66"/>
  <c r="AC27" i="66"/>
  <c r="AB27" i="66"/>
  <c r="AA27" i="66"/>
  <c r="Z27" i="66"/>
  <c r="Y27" i="66"/>
  <c r="X27" i="66"/>
  <c r="W27" i="66"/>
  <c r="V27" i="66"/>
  <c r="U27" i="66"/>
  <c r="E27" i="66"/>
  <c r="T27" i="66" s="1"/>
  <c r="AD26" i="66"/>
  <c r="AC26" i="66"/>
  <c r="AB26" i="66"/>
  <c r="AA26" i="66"/>
  <c r="Z26" i="66"/>
  <c r="Y26" i="66"/>
  <c r="X26" i="66"/>
  <c r="W26" i="66"/>
  <c r="V26" i="66"/>
  <c r="U26" i="66"/>
  <c r="E26" i="66"/>
  <c r="T26" i="66" s="1"/>
  <c r="AD25" i="66"/>
  <c r="AC25" i="66"/>
  <c r="AB25" i="66"/>
  <c r="AA25" i="66"/>
  <c r="Z25" i="66"/>
  <c r="Y25" i="66"/>
  <c r="X25" i="66"/>
  <c r="W25" i="66"/>
  <c r="V25" i="66"/>
  <c r="U25" i="66"/>
  <c r="E25" i="66"/>
  <c r="T25" i="66" s="1"/>
  <c r="AD24" i="66"/>
  <c r="AC24" i="66"/>
  <c r="AB24" i="66"/>
  <c r="AA24" i="66"/>
  <c r="Z24" i="66"/>
  <c r="Y24" i="66"/>
  <c r="X24" i="66"/>
  <c r="W24" i="66"/>
  <c r="V24" i="66"/>
  <c r="U24" i="66"/>
  <c r="E24" i="66"/>
  <c r="T24" i="66" s="1"/>
  <c r="AD23" i="66"/>
  <c r="AC23" i="66"/>
  <c r="AB23" i="66"/>
  <c r="AA23" i="66"/>
  <c r="Z23" i="66"/>
  <c r="Y23" i="66"/>
  <c r="X23" i="66"/>
  <c r="W23" i="66"/>
  <c r="V23" i="66"/>
  <c r="U23" i="66"/>
  <c r="E23" i="66"/>
  <c r="T23" i="66" s="1"/>
  <c r="AD22" i="66"/>
  <c r="AC22" i="66"/>
  <c r="AB22" i="66"/>
  <c r="AA22" i="66"/>
  <c r="Z22" i="66"/>
  <c r="Y22" i="66"/>
  <c r="X22" i="66"/>
  <c r="W22" i="66"/>
  <c r="V22" i="66"/>
  <c r="U22" i="66"/>
  <c r="E22" i="66"/>
  <c r="T22" i="66" s="1"/>
  <c r="AD21" i="66"/>
  <c r="AC21" i="66"/>
  <c r="AB21" i="66"/>
  <c r="AA21" i="66"/>
  <c r="Z21" i="66"/>
  <c r="Y21" i="66"/>
  <c r="X21" i="66"/>
  <c r="W21" i="66"/>
  <c r="V21" i="66"/>
  <c r="U21" i="66"/>
  <c r="E21" i="66"/>
  <c r="T21" i="66" s="1"/>
  <c r="AD20" i="66"/>
  <c r="AC20" i="66"/>
  <c r="AB20" i="66"/>
  <c r="AA20" i="66"/>
  <c r="Z20" i="66"/>
  <c r="Y20" i="66"/>
  <c r="X20" i="66"/>
  <c r="W20" i="66"/>
  <c r="V20" i="66"/>
  <c r="U20" i="66"/>
  <c r="E20" i="66"/>
  <c r="T20" i="66" s="1"/>
  <c r="AD19" i="66"/>
  <c r="AC19" i="66"/>
  <c r="AB19" i="66"/>
  <c r="AA19" i="66"/>
  <c r="Z19" i="66"/>
  <c r="Y19" i="66"/>
  <c r="X19" i="66"/>
  <c r="W19" i="66"/>
  <c r="V19" i="66"/>
  <c r="U19" i="66"/>
  <c r="E19" i="66"/>
  <c r="T19" i="66" s="1"/>
  <c r="AD18" i="66"/>
  <c r="AC18" i="66"/>
  <c r="AB18" i="66"/>
  <c r="AA18" i="66"/>
  <c r="Z18" i="66"/>
  <c r="Y18" i="66"/>
  <c r="X18" i="66"/>
  <c r="W18" i="66"/>
  <c r="V18" i="66"/>
  <c r="U18" i="66"/>
  <c r="E18" i="66"/>
  <c r="T18" i="66" s="1"/>
  <c r="AD17" i="66"/>
  <c r="AC17" i="66"/>
  <c r="AB17" i="66"/>
  <c r="AA17" i="66"/>
  <c r="Z17" i="66"/>
  <c r="Y17" i="66"/>
  <c r="X17" i="66"/>
  <c r="W17" i="66"/>
  <c r="V17" i="66"/>
  <c r="U17" i="66"/>
  <c r="E17" i="66"/>
  <c r="T17" i="66" s="1"/>
  <c r="AD16" i="66"/>
  <c r="AC16" i="66"/>
  <c r="AB16" i="66"/>
  <c r="AA16" i="66"/>
  <c r="Z16" i="66"/>
  <c r="Y16" i="66"/>
  <c r="X16" i="66"/>
  <c r="W16" i="66"/>
  <c r="V16" i="66"/>
  <c r="U16" i="66"/>
  <c r="E16" i="66"/>
  <c r="T16" i="66" s="1"/>
  <c r="AD15" i="66"/>
  <c r="AC15" i="66"/>
  <c r="AB15" i="66"/>
  <c r="AA15" i="66"/>
  <c r="Z15" i="66"/>
  <c r="Y15" i="66"/>
  <c r="X15" i="66"/>
  <c r="W15" i="66"/>
  <c r="V15" i="66"/>
  <c r="U15" i="66"/>
  <c r="E15" i="66"/>
  <c r="T15" i="66" s="1"/>
  <c r="AD14" i="66"/>
  <c r="AC14" i="66"/>
  <c r="AB14" i="66"/>
  <c r="AA14" i="66"/>
  <c r="Z14" i="66"/>
  <c r="Y14" i="66"/>
  <c r="X14" i="66"/>
  <c r="W14" i="66"/>
  <c r="V14" i="66"/>
  <c r="U14" i="66"/>
  <c r="E14" i="66"/>
  <c r="T14" i="66" s="1"/>
  <c r="AD13" i="66"/>
  <c r="AC13" i="66"/>
  <c r="AB13" i="66"/>
  <c r="AA13" i="66"/>
  <c r="Z13" i="66"/>
  <c r="Y13" i="66"/>
  <c r="X13" i="66"/>
  <c r="W13" i="66"/>
  <c r="V13" i="66"/>
  <c r="U13" i="66"/>
  <c r="E13" i="66"/>
  <c r="T13" i="66" s="1"/>
  <c r="AD12" i="66"/>
  <c r="AC12" i="66"/>
  <c r="AB12" i="66"/>
  <c r="AA12" i="66"/>
  <c r="Z12" i="66"/>
  <c r="Y12" i="66"/>
  <c r="X12" i="66"/>
  <c r="W12" i="66"/>
  <c r="V12" i="66"/>
  <c r="U12" i="66"/>
  <c r="E12" i="66"/>
  <c r="T12" i="66" s="1"/>
  <c r="AD11" i="66"/>
  <c r="AC11" i="66"/>
  <c r="AB11" i="66"/>
  <c r="AA11" i="66"/>
  <c r="Z11" i="66"/>
  <c r="Y11" i="66"/>
  <c r="X11" i="66"/>
  <c r="W11" i="66"/>
  <c r="V11" i="66"/>
  <c r="U11" i="66"/>
  <c r="E11" i="66"/>
  <c r="T11" i="66" s="1"/>
  <c r="AD10" i="66"/>
  <c r="AC10" i="66"/>
  <c r="AB10" i="66"/>
  <c r="AA10" i="66"/>
  <c r="Z10" i="66"/>
  <c r="Y10" i="66"/>
  <c r="X10" i="66"/>
  <c r="W10" i="66"/>
  <c r="V10" i="66"/>
  <c r="U10" i="66"/>
  <c r="E10" i="66"/>
  <c r="T10" i="66" s="1"/>
  <c r="AD9" i="66"/>
  <c r="AC9" i="66"/>
  <c r="AB9" i="66"/>
  <c r="AA9" i="66"/>
  <c r="Z9" i="66"/>
  <c r="Y9" i="66"/>
  <c r="X9" i="66"/>
  <c r="W9" i="66"/>
  <c r="V9" i="66"/>
  <c r="U9" i="66"/>
  <c r="E9" i="66"/>
  <c r="T9" i="66" s="1"/>
  <c r="AD8" i="66"/>
  <c r="AC8" i="66"/>
  <c r="AB8" i="66"/>
  <c r="AA8" i="66"/>
  <c r="Z8" i="66"/>
  <c r="Y8" i="66"/>
  <c r="X8" i="66"/>
  <c r="W8" i="66"/>
  <c r="V8" i="66"/>
  <c r="U8" i="66"/>
  <c r="E8" i="66"/>
  <c r="T8" i="66" s="1"/>
  <c r="AD7" i="66"/>
  <c r="AC7" i="66"/>
  <c r="AB7" i="66"/>
  <c r="AA7" i="66"/>
  <c r="Z7" i="66"/>
  <c r="Y7" i="66"/>
  <c r="X7" i="66"/>
  <c r="W7" i="66"/>
  <c r="V7" i="66"/>
  <c r="U7" i="66"/>
  <c r="E7" i="66"/>
  <c r="T7" i="66" s="1"/>
  <c r="AD6" i="66"/>
  <c r="AC6" i="66"/>
  <c r="AB6" i="66"/>
  <c r="AA6" i="66"/>
  <c r="Z6" i="66"/>
  <c r="Y6" i="66"/>
  <c r="X6" i="66"/>
  <c r="W6" i="66"/>
  <c r="V6" i="66"/>
  <c r="U6" i="66"/>
  <c r="E6" i="66"/>
  <c r="T6" i="66" s="1"/>
  <c r="AD5" i="66"/>
  <c r="AC5" i="66"/>
  <c r="AB5" i="66"/>
  <c r="AA5" i="66"/>
  <c r="Z5" i="66"/>
  <c r="Y5" i="66"/>
  <c r="X5" i="66"/>
  <c r="W5" i="66"/>
  <c r="V5" i="66"/>
  <c r="U5" i="66"/>
  <c r="E5" i="66"/>
  <c r="T5" i="66" s="1"/>
  <c r="AD4" i="66"/>
  <c r="AC4" i="66"/>
  <c r="AB4" i="66"/>
  <c r="AA4" i="66"/>
  <c r="Z4" i="66"/>
  <c r="Y4" i="66"/>
  <c r="X4" i="66"/>
  <c r="W4" i="66"/>
  <c r="V4" i="66"/>
  <c r="U4" i="66"/>
  <c r="E4" i="66"/>
  <c r="E34" i="66" s="1"/>
  <c r="T34" i="66" s="1"/>
  <c r="B63" i="64" l="1"/>
  <c r="S4" i="66"/>
  <c r="S5" i="66"/>
  <c r="S6" i="66"/>
  <c r="S7" i="66"/>
  <c r="S8" i="66"/>
  <c r="S9" i="66"/>
  <c r="S10" i="66"/>
  <c r="S11" i="66"/>
  <c r="S12" i="66"/>
  <c r="S13" i="66"/>
  <c r="S14" i="66"/>
  <c r="S15" i="66"/>
  <c r="S16" i="66"/>
  <c r="S17" i="66"/>
  <c r="S18" i="66"/>
  <c r="S19" i="66"/>
  <c r="S20" i="66"/>
  <c r="S21" i="66"/>
  <c r="S22" i="66"/>
  <c r="S23" i="66"/>
  <c r="S24" i="66"/>
  <c r="S25" i="66"/>
  <c r="S26" i="66"/>
  <c r="S27" i="66"/>
  <c r="S28" i="66"/>
  <c r="S29" i="66"/>
  <c r="S30" i="66"/>
  <c r="S31" i="66"/>
  <c r="D32" i="66"/>
  <c r="Y32" i="66"/>
  <c r="D33" i="66"/>
  <c r="Y33" i="66"/>
  <c r="D34" i="66"/>
  <c r="S34" i="66" s="1"/>
  <c r="Y34" i="66"/>
  <c r="T4" i="66"/>
  <c r="E32" i="66"/>
  <c r="T32" i="66" s="1"/>
  <c r="E33" i="66"/>
  <c r="T33" i="66" s="1"/>
  <c r="S32" i="66" l="1"/>
  <c r="S33" i="66"/>
  <c r="F3" i="56" l="1"/>
  <c r="F3" i="55"/>
  <c r="F3" i="54"/>
  <c r="F3" i="53"/>
  <c r="F3" i="52"/>
  <c r="F3" i="51"/>
  <c r="F3" i="50"/>
  <c r="F3" i="49"/>
  <c r="F3" i="48"/>
  <c r="F3" i="47"/>
  <c r="F3" i="46"/>
  <c r="F3" i="45"/>
  <c r="F3" i="44"/>
  <c r="F3" i="43"/>
  <c r="F3" i="42"/>
  <c r="F3" i="41"/>
  <c r="F3" i="40"/>
  <c r="F3" i="39"/>
  <c r="F3" i="38"/>
  <c r="F3" i="37"/>
  <c r="F3" i="36"/>
  <c r="F3" i="35"/>
  <c r="F3" i="34"/>
  <c r="F3" i="33"/>
  <c r="F3" i="32"/>
  <c r="F3" i="31"/>
  <c r="F3" i="30"/>
  <c r="F3" i="29"/>
  <c r="F3" i="28"/>
  <c r="F3" i="27"/>
  <c r="F3" i="26"/>
  <c r="F3" i="25"/>
  <c r="F3" i="24"/>
  <c r="F3" i="23"/>
  <c r="F3" i="22"/>
  <c r="F3" i="21"/>
  <c r="F3" i="20"/>
  <c r="F3" i="19"/>
  <c r="F3" i="18"/>
  <c r="F3" i="17"/>
  <c r="F3" i="16"/>
  <c r="F3" i="15"/>
  <c r="F3" i="14"/>
  <c r="F3" i="13"/>
  <c r="F3" i="12"/>
  <c r="F3" i="11"/>
  <c r="F3" i="10"/>
  <c r="F3" i="9"/>
  <c r="E110" i="9" s="1"/>
  <c r="F3" i="8"/>
  <c r="F3" i="7"/>
  <c r="F3" i="6"/>
  <c r="F3" i="5"/>
  <c r="F3" i="4"/>
  <c r="F3" i="3"/>
  <c r="F3" i="59"/>
  <c r="F3" i="1"/>
  <c r="F3" i="57"/>
  <c r="E120" i="1" l="1"/>
  <c r="E110" i="1"/>
  <c r="E120" i="11"/>
  <c r="E110" i="11"/>
  <c r="E120" i="13"/>
  <c r="E110" i="13"/>
  <c r="E120" i="15"/>
  <c r="E110" i="15"/>
  <c r="E120" i="17"/>
  <c r="E110" i="17"/>
  <c r="E120" i="19"/>
  <c r="E110" i="19"/>
  <c r="E120" i="21"/>
  <c r="E110" i="21"/>
  <c r="E120" i="23"/>
  <c r="E110" i="23"/>
  <c r="E120" i="25"/>
  <c r="E110" i="25"/>
  <c r="E120" i="27"/>
  <c r="E110" i="27"/>
  <c r="E120" i="29"/>
  <c r="E110" i="29"/>
  <c r="E120" i="31"/>
  <c r="E110" i="31"/>
  <c r="E120" i="33"/>
  <c r="E110" i="33"/>
  <c r="E120" i="35"/>
  <c r="E110" i="35"/>
  <c r="E120" i="37"/>
  <c r="E110" i="37"/>
  <c r="E120" i="39"/>
  <c r="E110" i="39"/>
  <c r="E120" i="41"/>
  <c r="E110" i="41"/>
  <c r="E120" i="43"/>
  <c r="E110" i="43"/>
  <c r="E120" i="45"/>
  <c r="E110" i="45"/>
  <c r="E120" i="47"/>
  <c r="E110" i="47"/>
  <c r="E120" i="49"/>
  <c r="E110" i="49"/>
  <c r="E120" i="51"/>
  <c r="E110" i="51"/>
  <c r="E120" i="53"/>
  <c r="E110" i="53"/>
  <c r="E120" i="55"/>
  <c r="E110" i="55"/>
  <c r="E120" i="3"/>
  <c r="E110" i="3"/>
  <c r="E120" i="5"/>
  <c r="E110" i="5"/>
  <c r="E120" i="7"/>
  <c r="E110" i="7"/>
  <c r="E120" i="57"/>
  <c r="E110" i="57"/>
  <c r="E120" i="59"/>
  <c r="E110" i="59"/>
  <c r="E120" i="4"/>
  <c r="E110" i="4"/>
  <c r="E120" i="6"/>
  <c r="E110" i="6"/>
  <c r="E120" i="8"/>
  <c r="E110" i="8"/>
  <c r="E120" i="10"/>
  <c r="E110" i="10"/>
  <c r="E120" i="12"/>
  <c r="E110" i="12"/>
  <c r="E120" i="14"/>
  <c r="E110" i="14"/>
  <c r="E120" i="16"/>
  <c r="E110" i="16"/>
  <c r="E120" i="18"/>
  <c r="E110" i="18"/>
  <c r="E120" i="20"/>
  <c r="E110" i="20"/>
  <c r="E120" i="22"/>
  <c r="E110" i="22"/>
  <c r="E120" i="24"/>
  <c r="E110" i="24"/>
  <c r="E120" i="26"/>
  <c r="E110" i="26"/>
  <c r="E120" i="28"/>
  <c r="E110" i="28"/>
  <c r="E120" i="30"/>
  <c r="E110" i="30"/>
  <c r="E120" i="32"/>
  <c r="E110" i="32"/>
  <c r="E120" i="34"/>
  <c r="E110" i="34"/>
  <c r="E120" i="36"/>
  <c r="E110" i="36"/>
  <c r="E120" i="38"/>
  <c r="E110" i="38"/>
  <c r="E120" i="40"/>
  <c r="E110" i="40"/>
  <c r="E120" i="42"/>
  <c r="E110" i="42"/>
  <c r="E120" i="44"/>
  <c r="E110" i="44"/>
  <c r="E120" i="46"/>
  <c r="E110" i="46"/>
  <c r="E120" i="48"/>
  <c r="E110" i="48"/>
  <c r="E120" i="50"/>
  <c r="E110" i="50"/>
  <c r="E120" i="52"/>
  <c r="E110" i="52"/>
  <c r="E120" i="54"/>
  <c r="E110" i="54"/>
  <c r="E120" i="56"/>
  <c r="E110" i="56"/>
  <c r="E104" i="9"/>
  <c r="E102" i="9"/>
  <c r="E100" i="9"/>
  <c r="E98" i="9"/>
  <c r="E93" i="9"/>
  <c r="E91" i="9"/>
  <c r="E89" i="9"/>
  <c r="E87" i="9"/>
  <c r="E85" i="9"/>
  <c r="E83" i="9"/>
  <c r="E81" i="9"/>
  <c r="E79" i="9"/>
  <c r="E77" i="9"/>
  <c r="E75" i="9"/>
  <c r="E73" i="9"/>
  <c r="E71" i="9"/>
  <c r="E69" i="9"/>
  <c r="E67"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E120" i="9"/>
  <c r="E103" i="9"/>
  <c r="E101" i="9"/>
  <c r="E99" i="9"/>
  <c r="E94" i="9"/>
  <c r="E92" i="9"/>
  <c r="E90" i="9"/>
  <c r="E88" i="9"/>
  <c r="E86" i="9"/>
  <c r="E84" i="9"/>
  <c r="E82" i="9"/>
  <c r="E80" i="9"/>
  <c r="E78" i="9"/>
  <c r="E76" i="9"/>
  <c r="E74" i="9"/>
  <c r="E72" i="9"/>
  <c r="E70" i="9"/>
  <c r="E68"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115" i="1"/>
  <c r="C115" i="1"/>
  <c r="C114" i="1"/>
  <c r="C113" i="1"/>
  <c r="C112" i="1"/>
  <c r="C111" i="1"/>
  <c r="C110" i="1"/>
  <c r="D109" i="1"/>
  <c r="D117" i="1"/>
  <c r="C116" i="1"/>
  <c r="D115" i="1"/>
  <c r="E114" i="1"/>
  <c r="E113" i="1"/>
  <c r="E112" i="1"/>
  <c r="E111" i="1"/>
  <c r="E109" i="1"/>
  <c r="D117" i="3"/>
  <c r="C116" i="3"/>
  <c r="D115" i="3"/>
  <c r="E114" i="3"/>
  <c r="E113" i="3"/>
  <c r="E112" i="3"/>
  <c r="E111" i="3"/>
  <c r="E109" i="3"/>
  <c r="E115" i="3"/>
  <c r="C115" i="3"/>
  <c r="C114" i="3"/>
  <c r="C113" i="3"/>
  <c r="C112" i="3"/>
  <c r="C111" i="3"/>
  <c r="C110" i="3"/>
  <c r="D109" i="3"/>
  <c r="E115" i="5"/>
  <c r="C115" i="5"/>
  <c r="C114" i="5"/>
  <c r="C113" i="5"/>
  <c r="C112" i="5"/>
  <c r="C111" i="5"/>
  <c r="C110" i="5"/>
  <c r="D109" i="5"/>
  <c r="D117" i="5"/>
  <c r="C116" i="5"/>
  <c r="D115" i="5"/>
  <c r="E114" i="5"/>
  <c r="E113" i="5"/>
  <c r="E112" i="5"/>
  <c r="E111" i="5"/>
  <c r="E109" i="5"/>
  <c r="C116" i="7"/>
  <c r="D115" i="7"/>
  <c r="E114" i="7"/>
  <c r="E113" i="7"/>
  <c r="E112" i="7"/>
  <c r="E111" i="7"/>
  <c r="E109" i="7"/>
  <c r="D117" i="7"/>
  <c r="E115" i="7"/>
  <c r="C115" i="7"/>
  <c r="C114" i="7"/>
  <c r="C113" i="7"/>
  <c r="C112" i="7"/>
  <c r="C111" i="7"/>
  <c r="C110" i="7"/>
  <c r="D109" i="7"/>
  <c r="E115" i="9"/>
  <c r="C112" i="9"/>
  <c r="E111" i="9"/>
  <c r="C113" i="9"/>
  <c r="E115" i="11"/>
  <c r="C115" i="11"/>
  <c r="C114" i="11"/>
  <c r="C113" i="11"/>
  <c r="C112" i="11"/>
  <c r="C111" i="11"/>
  <c r="C110" i="11"/>
  <c r="D109" i="11"/>
  <c r="D117" i="11"/>
  <c r="C116" i="11"/>
  <c r="D115" i="11"/>
  <c r="E114" i="11"/>
  <c r="E113" i="11"/>
  <c r="E112" i="11"/>
  <c r="E111" i="11"/>
  <c r="E109" i="11"/>
  <c r="D117" i="13"/>
  <c r="C116" i="13"/>
  <c r="D115" i="13"/>
  <c r="E114" i="13"/>
  <c r="E113" i="13"/>
  <c r="E112" i="13"/>
  <c r="E111" i="13"/>
  <c r="E109" i="13"/>
  <c r="E115" i="13"/>
  <c r="C115" i="13"/>
  <c r="C114" i="13"/>
  <c r="C113" i="13"/>
  <c r="C112" i="13"/>
  <c r="C111" i="13"/>
  <c r="C110" i="13"/>
  <c r="D109" i="13"/>
  <c r="D117" i="15"/>
  <c r="C116" i="15"/>
  <c r="D115" i="15"/>
  <c r="E114" i="15"/>
  <c r="E113" i="15"/>
  <c r="E112" i="15"/>
  <c r="E111" i="15"/>
  <c r="E109" i="15"/>
  <c r="E115" i="15"/>
  <c r="C115" i="15"/>
  <c r="C114" i="15"/>
  <c r="C113" i="15"/>
  <c r="C112" i="15"/>
  <c r="C111" i="15"/>
  <c r="C110" i="15"/>
  <c r="D109" i="15"/>
  <c r="C116" i="17"/>
  <c r="D115" i="17"/>
  <c r="E114" i="17"/>
  <c r="E113" i="17"/>
  <c r="E112" i="17"/>
  <c r="E111" i="17"/>
  <c r="E109" i="17"/>
  <c r="D117" i="17"/>
  <c r="E115" i="17"/>
  <c r="C115" i="17"/>
  <c r="C114" i="17"/>
  <c r="C113" i="17"/>
  <c r="C112" i="17"/>
  <c r="C111" i="17"/>
  <c r="C110" i="17"/>
  <c r="D109" i="17"/>
  <c r="D117" i="19"/>
  <c r="E115" i="19"/>
  <c r="C115" i="19"/>
  <c r="C114" i="19"/>
  <c r="C113" i="19"/>
  <c r="C112" i="19"/>
  <c r="C111" i="19"/>
  <c r="C110" i="19"/>
  <c r="D109" i="19"/>
  <c r="C116" i="19"/>
  <c r="D115" i="19"/>
  <c r="E114" i="19"/>
  <c r="E113" i="19"/>
  <c r="E112" i="19"/>
  <c r="E111" i="19"/>
  <c r="E109" i="19"/>
  <c r="C116" i="21"/>
  <c r="D115" i="21"/>
  <c r="E114" i="21"/>
  <c r="E113" i="21"/>
  <c r="E112" i="21"/>
  <c r="E111" i="21"/>
  <c r="E109" i="21"/>
  <c r="D117" i="21"/>
  <c r="E115" i="21"/>
  <c r="C115" i="21"/>
  <c r="C114" i="21"/>
  <c r="C113" i="21"/>
  <c r="C112" i="21"/>
  <c r="C111" i="21"/>
  <c r="C110" i="21"/>
  <c r="D109" i="21"/>
  <c r="D117" i="23"/>
  <c r="E115" i="23"/>
  <c r="C115" i="23"/>
  <c r="C114" i="23"/>
  <c r="C113" i="23"/>
  <c r="C112" i="23"/>
  <c r="C111" i="23"/>
  <c r="C110" i="23"/>
  <c r="D109" i="23"/>
  <c r="C116" i="23"/>
  <c r="D115" i="23"/>
  <c r="E114" i="23"/>
  <c r="E113" i="23"/>
  <c r="E112" i="23"/>
  <c r="E111" i="23"/>
  <c r="E109" i="23"/>
  <c r="C116" i="25"/>
  <c r="D115" i="25"/>
  <c r="E114" i="25"/>
  <c r="E113" i="25"/>
  <c r="E112" i="25"/>
  <c r="E111" i="25"/>
  <c r="E109" i="25"/>
  <c r="D117" i="25"/>
  <c r="E115" i="25"/>
  <c r="C115" i="25"/>
  <c r="C114" i="25"/>
  <c r="C113" i="25"/>
  <c r="C112" i="25"/>
  <c r="C111" i="25"/>
  <c r="C110" i="25"/>
  <c r="D109" i="25"/>
  <c r="D117" i="27"/>
  <c r="E115" i="27"/>
  <c r="C115" i="27"/>
  <c r="C114" i="27"/>
  <c r="C113" i="27"/>
  <c r="C112" i="27"/>
  <c r="C111" i="27"/>
  <c r="C110" i="27"/>
  <c r="D109" i="27"/>
  <c r="C116" i="27"/>
  <c r="D115" i="27"/>
  <c r="E114" i="27"/>
  <c r="E113" i="27"/>
  <c r="E112" i="27"/>
  <c r="E111" i="27"/>
  <c r="E109" i="27"/>
  <c r="C116" i="29"/>
  <c r="D115" i="29"/>
  <c r="E114" i="29"/>
  <c r="E113" i="29"/>
  <c r="E112" i="29"/>
  <c r="E111" i="29"/>
  <c r="E109" i="29"/>
  <c r="D117" i="29"/>
  <c r="E115" i="29"/>
  <c r="C115" i="29"/>
  <c r="C114" i="29"/>
  <c r="C113" i="29"/>
  <c r="C112" i="29"/>
  <c r="C111" i="29"/>
  <c r="C110" i="29"/>
  <c r="D109" i="29"/>
  <c r="D117" i="31"/>
  <c r="E115" i="31"/>
  <c r="C115" i="31"/>
  <c r="C114" i="31"/>
  <c r="C113" i="31"/>
  <c r="C112" i="31"/>
  <c r="C116" i="31"/>
  <c r="D115" i="31"/>
  <c r="E114" i="31"/>
  <c r="E113" i="31"/>
  <c r="E112" i="31"/>
  <c r="E111" i="31"/>
  <c r="C111" i="31"/>
  <c r="C110" i="31"/>
  <c r="D109" i="31"/>
  <c r="E109" i="31"/>
  <c r="C116" i="33"/>
  <c r="D115" i="33"/>
  <c r="E114" i="33"/>
  <c r="E113" i="33"/>
  <c r="E112" i="33"/>
  <c r="E111" i="33"/>
  <c r="E109" i="33"/>
  <c r="D117" i="33"/>
  <c r="E115" i="33"/>
  <c r="C115" i="33"/>
  <c r="C114" i="33"/>
  <c r="C113" i="33"/>
  <c r="C112" i="33"/>
  <c r="C111" i="33"/>
  <c r="C110" i="33"/>
  <c r="D109" i="33"/>
  <c r="D117" i="35"/>
  <c r="E115" i="35"/>
  <c r="C115" i="35"/>
  <c r="C114" i="35"/>
  <c r="C113" i="35"/>
  <c r="C112" i="35"/>
  <c r="C111" i="35"/>
  <c r="C110" i="35"/>
  <c r="D109" i="35"/>
  <c r="C116" i="35"/>
  <c r="D115" i="35"/>
  <c r="E114" i="35"/>
  <c r="E113" i="35"/>
  <c r="E112" i="35"/>
  <c r="E111" i="35"/>
  <c r="E109" i="35"/>
  <c r="C116" i="37"/>
  <c r="D115" i="37"/>
  <c r="E114" i="37"/>
  <c r="E113" i="37"/>
  <c r="E112" i="37"/>
  <c r="E111" i="37"/>
  <c r="E109" i="37"/>
  <c r="D117" i="37"/>
  <c r="E115" i="37"/>
  <c r="C115" i="37"/>
  <c r="C114" i="37"/>
  <c r="C113" i="37"/>
  <c r="C112" i="37"/>
  <c r="C111" i="37"/>
  <c r="C110" i="37"/>
  <c r="D109" i="37"/>
  <c r="D117" i="39"/>
  <c r="E115" i="39"/>
  <c r="C115" i="39"/>
  <c r="C114" i="39"/>
  <c r="C113" i="39"/>
  <c r="C112" i="39"/>
  <c r="C111" i="39"/>
  <c r="C110" i="39"/>
  <c r="D109" i="39"/>
  <c r="C116" i="39"/>
  <c r="D115" i="39"/>
  <c r="E114" i="39"/>
  <c r="E113" i="39"/>
  <c r="E112" i="39"/>
  <c r="E111" i="39"/>
  <c r="E109" i="39"/>
  <c r="C116" i="41"/>
  <c r="D115" i="41"/>
  <c r="E114" i="41"/>
  <c r="E113" i="41"/>
  <c r="E112" i="41"/>
  <c r="E111" i="41"/>
  <c r="E109" i="41"/>
  <c r="D117" i="41"/>
  <c r="E115" i="41"/>
  <c r="C115" i="41"/>
  <c r="C114" i="41"/>
  <c r="C113" i="41"/>
  <c r="C112" i="41"/>
  <c r="C111" i="41"/>
  <c r="C110" i="41"/>
  <c r="D109" i="41"/>
  <c r="D117" i="43"/>
  <c r="E115" i="43"/>
  <c r="C115" i="43"/>
  <c r="C114" i="43"/>
  <c r="C113" i="43"/>
  <c r="C112" i="43"/>
  <c r="C111" i="43"/>
  <c r="C110" i="43"/>
  <c r="D109" i="43"/>
  <c r="C116" i="43"/>
  <c r="D115" i="43"/>
  <c r="E114" i="43"/>
  <c r="E113" i="43"/>
  <c r="E112" i="43"/>
  <c r="E111" i="43"/>
  <c r="E109" i="43"/>
  <c r="C116" i="45"/>
  <c r="D115" i="45"/>
  <c r="E114" i="45"/>
  <c r="E113" i="45"/>
  <c r="E112" i="45"/>
  <c r="E111" i="45"/>
  <c r="E109" i="45"/>
  <c r="D117" i="45"/>
  <c r="E115" i="45"/>
  <c r="C115" i="45"/>
  <c r="C114" i="45"/>
  <c r="C113" i="45"/>
  <c r="C112" i="45"/>
  <c r="C111" i="45"/>
  <c r="C110" i="45"/>
  <c r="D109" i="45"/>
  <c r="D117" i="47"/>
  <c r="E115" i="47"/>
  <c r="C115" i="47"/>
  <c r="C114" i="47"/>
  <c r="C113" i="47"/>
  <c r="C112" i="47"/>
  <c r="C111" i="47"/>
  <c r="C110" i="47"/>
  <c r="D109" i="47"/>
  <c r="C116" i="47"/>
  <c r="D115" i="47"/>
  <c r="E114" i="47"/>
  <c r="E113" i="47"/>
  <c r="E112" i="47"/>
  <c r="E111" i="47"/>
  <c r="E109" i="47"/>
  <c r="C116" i="49"/>
  <c r="D115" i="49"/>
  <c r="E114" i="49"/>
  <c r="E113" i="49"/>
  <c r="E112" i="49"/>
  <c r="E111" i="49"/>
  <c r="E109" i="49"/>
  <c r="D117" i="49"/>
  <c r="E115" i="49"/>
  <c r="C115" i="49"/>
  <c r="C114" i="49"/>
  <c r="C113" i="49"/>
  <c r="C112" i="49"/>
  <c r="C111" i="49"/>
  <c r="C110" i="49"/>
  <c r="D109" i="49"/>
  <c r="D117" i="51"/>
  <c r="E115" i="51"/>
  <c r="C115" i="51"/>
  <c r="C114" i="51"/>
  <c r="C113" i="51"/>
  <c r="C112" i="51"/>
  <c r="C111" i="51"/>
  <c r="C110" i="51"/>
  <c r="D109" i="51"/>
  <c r="C116" i="51"/>
  <c r="D115" i="51"/>
  <c r="E114" i="51"/>
  <c r="E113" i="51"/>
  <c r="E112" i="51"/>
  <c r="E111" i="51"/>
  <c r="E109" i="51"/>
  <c r="C116" i="53"/>
  <c r="D115" i="53"/>
  <c r="E114" i="53"/>
  <c r="E113" i="53"/>
  <c r="E112" i="53"/>
  <c r="E111" i="53"/>
  <c r="E109" i="53"/>
  <c r="D117" i="53"/>
  <c r="E115" i="53"/>
  <c r="C115" i="53"/>
  <c r="C114" i="53"/>
  <c r="C113" i="53"/>
  <c r="C112" i="53"/>
  <c r="C111" i="53"/>
  <c r="C110" i="53"/>
  <c r="D109" i="53"/>
  <c r="D117" i="55"/>
  <c r="E115" i="55"/>
  <c r="C115" i="55"/>
  <c r="C114" i="55"/>
  <c r="C113" i="55"/>
  <c r="C112" i="55"/>
  <c r="C111" i="55"/>
  <c r="C110" i="55"/>
  <c r="D109" i="55"/>
  <c r="C116" i="55"/>
  <c r="D115" i="55"/>
  <c r="E114" i="55"/>
  <c r="E113" i="55"/>
  <c r="E112" i="55"/>
  <c r="E111" i="55"/>
  <c r="E109" i="55"/>
  <c r="D117" i="59"/>
  <c r="E115" i="59"/>
  <c r="C115" i="59"/>
  <c r="C114" i="59"/>
  <c r="C113" i="59"/>
  <c r="C112" i="59"/>
  <c r="C111" i="59"/>
  <c r="C110" i="59"/>
  <c r="D109" i="59"/>
  <c r="C116" i="59"/>
  <c r="D115" i="59"/>
  <c r="E114" i="59"/>
  <c r="E113" i="59"/>
  <c r="E112" i="59"/>
  <c r="E111" i="59"/>
  <c r="E109" i="59"/>
  <c r="C116" i="4"/>
  <c r="D115" i="4"/>
  <c r="E114" i="4"/>
  <c r="E113" i="4"/>
  <c r="E112" i="4"/>
  <c r="E111" i="4"/>
  <c r="E109" i="4"/>
  <c r="D117" i="4"/>
  <c r="E115" i="4"/>
  <c r="C115" i="4"/>
  <c r="C114" i="4"/>
  <c r="C113" i="4"/>
  <c r="C112" i="4"/>
  <c r="C111" i="4"/>
  <c r="C110" i="4"/>
  <c r="D109" i="4"/>
  <c r="D117" i="6"/>
  <c r="E115" i="6"/>
  <c r="C115" i="6"/>
  <c r="C114" i="6"/>
  <c r="C113" i="6"/>
  <c r="C112" i="6"/>
  <c r="C111" i="6"/>
  <c r="C110" i="6"/>
  <c r="D109" i="6"/>
  <c r="C116" i="6"/>
  <c r="D115" i="6"/>
  <c r="E114" i="6"/>
  <c r="E113" i="6"/>
  <c r="E112" i="6"/>
  <c r="E111" i="6"/>
  <c r="E109" i="6"/>
  <c r="C116" i="8"/>
  <c r="D115" i="8"/>
  <c r="E114" i="8"/>
  <c r="E113" i="8"/>
  <c r="E112" i="8"/>
  <c r="D117" i="8"/>
  <c r="E115" i="8"/>
  <c r="C115" i="8"/>
  <c r="C114" i="8"/>
  <c r="C113" i="8"/>
  <c r="E111" i="8"/>
  <c r="E109" i="8"/>
  <c r="C112" i="8"/>
  <c r="C111" i="8"/>
  <c r="C110" i="8"/>
  <c r="D109" i="8"/>
  <c r="C116" i="10"/>
  <c r="D115" i="10"/>
  <c r="E114" i="10"/>
  <c r="E113" i="10"/>
  <c r="E112" i="10"/>
  <c r="E111" i="10"/>
  <c r="E109" i="10"/>
  <c r="D117" i="10"/>
  <c r="E115" i="10"/>
  <c r="C115" i="10"/>
  <c r="C114" i="10"/>
  <c r="C113" i="10"/>
  <c r="C112" i="10"/>
  <c r="C111" i="10"/>
  <c r="C110" i="10"/>
  <c r="D109" i="10"/>
  <c r="D117" i="12"/>
  <c r="E115" i="12"/>
  <c r="C115" i="12"/>
  <c r="C114" i="12"/>
  <c r="C113" i="12"/>
  <c r="C112" i="12"/>
  <c r="C111" i="12"/>
  <c r="C110" i="12"/>
  <c r="D109" i="12"/>
  <c r="C116" i="12"/>
  <c r="D115" i="12"/>
  <c r="E114" i="12"/>
  <c r="E113" i="12"/>
  <c r="E112" i="12"/>
  <c r="E111" i="12"/>
  <c r="E109" i="12"/>
  <c r="D117" i="14"/>
  <c r="E115" i="14"/>
  <c r="C115" i="14"/>
  <c r="C114" i="14"/>
  <c r="C113" i="14"/>
  <c r="C112" i="14"/>
  <c r="C111" i="14"/>
  <c r="C110" i="14"/>
  <c r="D109" i="14"/>
  <c r="C116" i="14"/>
  <c r="D115" i="14"/>
  <c r="E114" i="14"/>
  <c r="E113" i="14"/>
  <c r="E112" i="14"/>
  <c r="E111" i="14"/>
  <c r="E109" i="14"/>
  <c r="D117" i="16"/>
  <c r="C116" i="16"/>
  <c r="D115" i="16"/>
  <c r="E114" i="16"/>
  <c r="E113" i="16"/>
  <c r="E112" i="16"/>
  <c r="E111" i="16"/>
  <c r="E109" i="16"/>
  <c r="E115" i="16"/>
  <c r="C115" i="16"/>
  <c r="C114" i="16"/>
  <c r="C113" i="16"/>
  <c r="C112" i="16"/>
  <c r="C111" i="16"/>
  <c r="C110" i="16"/>
  <c r="D109" i="16"/>
  <c r="E115" i="18"/>
  <c r="C115" i="18"/>
  <c r="C114" i="18"/>
  <c r="C113" i="18"/>
  <c r="C112" i="18"/>
  <c r="C111" i="18"/>
  <c r="C110" i="18"/>
  <c r="D109" i="18"/>
  <c r="D117" i="18"/>
  <c r="C116" i="18"/>
  <c r="D115" i="18"/>
  <c r="E114" i="18"/>
  <c r="E113" i="18"/>
  <c r="E112" i="18"/>
  <c r="E111" i="18"/>
  <c r="E109" i="18"/>
  <c r="D117" i="20"/>
  <c r="C116" i="20"/>
  <c r="D115" i="20"/>
  <c r="E114" i="20"/>
  <c r="E113" i="20"/>
  <c r="E112" i="20"/>
  <c r="E111" i="20"/>
  <c r="E109" i="20"/>
  <c r="E115" i="20"/>
  <c r="C115" i="20"/>
  <c r="C114" i="20"/>
  <c r="C113" i="20"/>
  <c r="C112" i="20"/>
  <c r="C111" i="20"/>
  <c r="C110" i="20"/>
  <c r="D109" i="20"/>
  <c r="E115" i="22"/>
  <c r="C115" i="22"/>
  <c r="C114" i="22"/>
  <c r="C113" i="22"/>
  <c r="C112" i="22"/>
  <c r="C111" i="22"/>
  <c r="C110" i="22"/>
  <c r="D109" i="22"/>
  <c r="D117" i="22"/>
  <c r="C116" i="22"/>
  <c r="D115" i="22"/>
  <c r="E114" i="22"/>
  <c r="E113" i="22"/>
  <c r="E112" i="22"/>
  <c r="E111" i="22"/>
  <c r="E109" i="22"/>
  <c r="D117" i="24"/>
  <c r="C116" i="24"/>
  <c r="D115" i="24"/>
  <c r="E114" i="24"/>
  <c r="E113" i="24"/>
  <c r="E112" i="24"/>
  <c r="E111" i="24"/>
  <c r="E109" i="24"/>
  <c r="E115" i="24"/>
  <c r="C115" i="24"/>
  <c r="C114" i="24"/>
  <c r="C113" i="24"/>
  <c r="C112" i="24"/>
  <c r="C111" i="24"/>
  <c r="C110" i="24"/>
  <c r="D109" i="24"/>
  <c r="E115" i="26"/>
  <c r="C115" i="26"/>
  <c r="C114" i="26"/>
  <c r="C113" i="26"/>
  <c r="C112" i="26"/>
  <c r="C111" i="26"/>
  <c r="C110" i="26"/>
  <c r="D109" i="26"/>
  <c r="D117" i="26"/>
  <c r="C116" i="26"/>
  <c r="D115" i="26"/>
  <c r="E114" i="26"/>
  <c r="E113" i="26"/>
  <c r="E112" i="26"/>
  <c r="E111" i="26"/>
  <c r="E109" i="26"/>
  <c r="D117" i="28"/>
  <c r="C116" i="28"/>
  <c r="D115" i="28"/>
  <c r="E114" i="28"/>
  <c r="E113" i="28"/>
  <c r="E112" i="28"/>
  <c r="E111" i="28"/>
  <c r="E109" i="28"/>
  <c r="E115" i="28"/>
  <c r="C115" i="28"/>
  <c r="C114" i="28"/>
  <c r="C113" i="28"/>
  <c r="C112" i="28"/>
  <c r="C111" i="28"/>
  <c r="C110" i="28"/>
  <c r="D109" i="28"/>
  <c r="E115" i="30"/>
  <c r="C115" i="30"/>
  <c r="C114" i="30"/>
  <c r="C113" i="30"/>
  <c r="C112" i="30"/>
  <c r="C111" i="30"/>
  <c r="C110" i="30"/>
  <c r="D109" i="30"/>
  <c r="D117" i="30"/>
  <c r="C116" i="30"/>
  <c r="D115" i="30"/>
  <c r="E114" i="30"/>
  <c r="E113" i="30"/>
  <c r="E112" i="30"/>
  <c r="E111" i="30"/>
  <c r="E109" i="30"/>
  <c r="D117" i="32"/>
  <c r="C116" i="32"/>
  <c r="D115" i="32"/>
  <c r="E114" i="32"/>
  <c r="E113" i="32"/>
  <c r="E112" i="32"/>
  <c r="E111" i="32"/>
  <c r="E109" i="32"/>
  <c r="E115" i="32"/>
  <c r="C115" i="32"/>
  <c r="C114" i="32"/>
  <c r="C113" i="32"/>
  <c r="C112" i="32"/>
  <c r="C111" i="32"/>
  <c r="C110" i="32"/>
  <c r="D109" i="32"/>
  <c r="E115" i="34"/>
  <c r="C115" i="34"/>
  <c r="C114" i="34"/>
  <c r="C113" i="34"/>
  <c r="C112" i="34"/>
  <c r="C111" i="34"/>
  <c r="C110" i="34"/>
  <c r="D109" i="34"/>
  <c r="D117" i="34"/>
  <c r="C116" i="34"/>
  <c r="D115" i="34"/>
  <c r="E114" i="34"/>
  <c r="E113" i="34"/>
  <c r="E112" i="34"/>
  <c r="E111" i="34"/>
  <c r="E109" i="34"/>
  <c r="D117" i="36"/>
  <c r="C116" i="36"/>
  <c r="D115" i="36"/>
  <c r="E114" i="36"/>
  <c r="E113" i="36"/>
  <c r="E112" i="36"/>
  <c r="E111" i="36"/>
  <c r="E109" i="36"/>
  <c r="E115" i="36"/>
  <c r="C115" i="36"/>
  <c r="C114" i="36"/>
  <c r="C113" i="36"/>
  <c r="C112" i="36"/>
  <c r="C111" i="36"/>
  <c r="C110" i="36"/>
  <c r="D109" i="36"/>
  <c r="E115" i="38"/>
  <c r="C115" i="38"/>
  <c r="C114" i="38"/>
  <c r="C113" i="38"/>
  <c r="C112" i="38"/>
  <c r="C111" i="38"/>
  <c r="C110" i="38"/>
  <c r="D109" i="38"/>
  <c r="D117" i="38"/>
  <c r="C116" i="38"/>
  <c r="D115" i="38"/>
  <c r="E114" i="38"/>
  <c r="E113" i="38"/>
  <c r="E112" i="38"/>
  <c r="E111" i="38"/>
  <c r="E109" i="38"/>
  <c r="D117" i="40"/>
  <c r="C116" i="40"/>
  <c r="D115" i="40"/>
  <c r="E114" i="40"/>
  <c r="E113" i="40"/>
  <c r="E112" i="40"/>
  <c r="E111" i="40"/>
  <c r="E109" i="40"/>
  <c r="E115" i="40"/>
  <c r="C115" i="40"/>
  <c r="C114" i="40"/>
  <c r="C113" i="40"/>
  <c r="C112" i="40"/>
  <c r="C111" i="40"/>
  <c r="C110" i="40"/>
  <c r="D109" i="40"/>
  <c r="E115" i="42"/>
  <c r="C115" i="42"/>
  <c r="C114" i="42"/>
  <c r="C113" i="42"/>
  <c r="C112" i="42"/>
  <c r="C111" i="42"/>
  <c r="C110" i="42"/>
  <c r="D109" i="42"/>
  <c r="D117" i="42"/>
  <c r="C116" i="42"/>
  <c r="D115" i="42"/>
  <c r="E114" i="42"/>
  <c r="E113" i="42"/>
  <c r="E112" i="42"/>
  <c r="E111" i="42"/>
  <c r="E109" i="42"/>
  <c r="D117" i="44"/>
  <c r="C116" i="44"/>
  <c r="D115" i="44"/>
  <c r="E114" i="44"/>
  <c r="E113" i="44"/>
  <c r="E112" i="44"/>
  <c r="E111" i="44"/>
  <c r="E109" i="44"/>
  <c r="E115" i="44"/>
  <c r="C115" i="44"/>
  <c r="C114" i="44"/>
  <c r="C113" i="44"/>
  <c r="C112" i="44"/>
  <c r="C111" i="44"/>
  <c r="C110" i="44"/>
  <c r="D109" i="44"/>
  <c r="E115" i="46"/>
  <c r="C115" i="46"/>
  <c r="C114" i="46"/>
  <c r="C113" i="46"/>
  <c r="C112" i="46"/>
  <c r="C111" i="46"/>
  <c r="C110" i="46"/>
  <c r="D109" i="46"/>
  <c r="D117" i="46"/>
  <c r="C116" i="46"/>
  <c r="D115" i="46"/>
  <c r="E114" i="46"/>
  <c r="E113" i="46"/>
  <c r="E112" i="46"/>
  <c r="E111" i="46"/>
  <c r="E109" i="46"/>
  <c r="D117" i="48"/>
  <c r="C116" i="48"/>
  <c r="E115" i="48"/>
  <c r="D115" i="48"/>
  <c r="E114" i="48"/>
  <c r="E113" i="48"/>
  <c r="E112" i="48"/>
  <c r="E111" i="48"/>
  <c r="E109" i="48"/>
  <c r="C115" i="48"/>
  <c r="C114" i="48"/>
  <c r="C113" i="48"/>
  <c r="C112" i="48"/>
  <c r="C111" i="48"/>
  <c r="C110" i="48"/>
  <c r="D109" i="48"/>
  <c r="E115" i="50"/>
  <c r="C115" i="50"/>
  <c r="C114" i="50"/>
  <c r="C113" i="50"/>
  <c r="C112" i="50"/>
  <c r="C111" i="50"/>
  <c r="C110" i="50"/>
  <c r="D109" i="50"/>
  <c r="D117" i="50"/>
  <c r="C116" i="50"/>
  <c r="D115" i="50"/>
  <c r="E114" i="50"/>
  <c r="E113" i="50"/>
  <c r="E112" i="50"/>
  <c r="E111" i="50"/>
  <c r="E109" i="50"/>
  <c r="D117" i="52"/>
  <c r="C116" i="52"/>
  <c r="D115" i="52"/>
  <c r="E114" i="52"/>
  <c r="E113" i="52"/>
  <c r="E112" i="52"/>
  <c r="E111" i="52"/>
  <c r="E109" i="52"/>
  <c r="E115" i="52"/>
  <c r="C115" i="52"/>
  <c r="C114" i="52"/>
  <c r="C113" i="52"/>
  <c r="C112" i="52"/>
  <c r="C111" i="52"/>
  <c r="C110" i="52"/>
  <c r="D109" i="52"/>
  <c r="E115" i="54"/>
  <c r="C115" i="54"/>
  <c r="C114" i="54"/>
  <c r="C113" i="54"/>
  <c r="C112" i="54"/>
  <c r="C111" i="54"/>
  <c r="C110" i="54"/>
  <c r="D109" i="54"/>
  <c r="D117" i="54"/>
  <c r="C116" i="54"/>
  <c r="D115" i="54"/>
  <c r="E114" i="54"/>
  <c r="E113" i="54"/>
  <c r="E112" i="54"/>
  <c r="E111" i="54"/>
  <c r="E109" i="54"/>
  <c r="D117" i="56"/>
  <c r="C116" i="56"/>
  <c r="D115" i="56"/>
  <c r="E114" i="56"/>
  <c r="E113" i="56"/>
  <c r="E112" i="56"/>
  <c r="E111" i="56"/>
  <c r="E109" i="56"/>
  <c r="E115" i="56"/>
  <c r="C115" i="56"/>
  <c r="C114" i="56"/>
  <c r="C113" i="56"/>
  <c r="C112" i="56"/>
  <c r="C111" i="56"/>
  <c r="C110" i="56"/>
  <c r="D109" i="56"/>
  <c r="D117" i="57"/>
  <c r="E115" i="57"/>
  <c r="C115" i="57"/>
  <c r="C114" i="57"/>
  <c r="C113" i="57"/>
  <c r="C112" i="57"/>
  <c r="C111" i="57"/>
  <c r="C110" i="57"/>
  <c r="D109" i="57"/>
  <c r="C116" i="57"/>
  <c r="D115" i="57"/>
  <c r="E114" i="57"/>
  <c r="E113" i="57"/>
  <c r="E112" i="57"/>
  <c r="E111" i="57"/>
  <c r="E109" i="57"/>
  <c r="C4" i="64"/>
  <c r="B4" i="64"/>
  <c r="D118" i="20" l="1"/>
  <c r="D118" i="16"/>
  <c r="D118" i="15"/>
  <c r="D118" i="13"/>
  <c r="D118" i="3"/>
  <c r="D118" i="37"/>
  <c r="D118" i="49"/>
  <c r="D118" i="33"/>
  <c r="D118" i="29"/>
  <c r="D118" i="10"/>
  <c r="D118" i="41"/>
  <c r="D118" i="31"/>
  <c r="D118" i="25"/>
  <c r="D118" i="21"/>
  <c r="D118" i="39"/>
  <c r="D118" i="35"/>
  <c r="C113" i="60"/>
  <c r="D118" i="54"/>
  <c r="D118" i="50"/>
  <c r="D118" i="46"/>
  <c r="D118" i="42"/>
  <c r="D118" i="4"/>
  <c r="D118" i="55"/>
  <c r="D118" i="53"/>
  <c r="D118" i="7"/>
  <c r="D118" i="38"/>
  <c r="D118" i="34"/>
  <c r="D118" i="30"/>
  <c r="D118" i="26"/>
  <c r="D118" i="22"/>
  <c r="D118" i="18"/>
  <c r="D118" i="14"/>
  <c r="D118" i="12"/>
  <c r="D118" i="6"/>
  <c r="D118" i="5"/>
  <c r="D118" i="8"/>
  <c r="D118" i="19"/>
  <c r="D118" i="17"/>
  <c r="D118" i="11"/>
  <c r="E111" i="60"/>
  <c r="E120" i="60"/>
  <c r="C112" i="60"/>
  <c r="E115" i="60"/>
  <c r="D118" i="56"/>
  <c r="D118" i="52"/>
  <c r="D118" i="48"/>
  <c r="D118" i="44"/>
  <c r="D118" i="40"/>
  <c r="D118" i="36"/>
  <c r="D118" i="32"/>
  <c r="D118" i="28"/>
  <c r="D118" i="24"/>
  <c r="D118" i="59"/>
  <c r="D118" i="51"/>
  <c r="D118" i="47"/>
  <c r="D118" i="45"/>
  <c r="D118" i="43"/>
  <c r="D118" i="27"/>
  <c r="D118" i="23"/>
  <c r="D118" i="1"/>
  <c r="D118" i="57"/>
  <c r="C15" i="65"/>
  <c r="C38" i="65"/>
  <c r="C45" i="65"/>
  <c r="C46" i="65"/>
  <c r="C60" i="65"/>
  <c r="C59" i="65"/>
  <c r="C58" i="65"/>
  <c r="C57" i="65"/>
  <c r="C56" i="65"/>
  <c r="C55" i="65"/>
  <c r="C54" i="65"/>
  <c r="C53" i="65"/>
  <c r="C52" i="65"/>
  <c r="C51" i="65"/>
  <c r="C50" i="65"/>
  <c r="C49" i="65"/>
  <c r="C48" i="65"/>
  <c r="C47" i="65"/>
  <c r="C44" i="65"/>
  <c r="C43" i="65"/>
  <c r="C42" i="65"/>
  <c r="C41" i="65"/>
  <c r="C40" i="65"/>
  <c r="C39" i="65"/>
  <c r="C37" i="65"/>
  <c r="C36" i="65"/>
  <c r="C35" i="65"/>
  <c r="C34" i="65"/>
  <c r="C33" i="65"/>
  <c r="C32" i="65"/>
  <c r="C31" i="65"/>
  <c r="C30" i="65"/>
  <c r="C29" i="65"/>
  <c r="C28" i="65"/>
  <c r="C27" i="65"/>
  <c r="C26" i="65"/>
  <c r="C25" i="65"/>
  <c r="C24" i="65"/>
  <c r="C23" i="65"/>
  <c r="C22" i="65"/>
  <c r="C21" i="65"/>
  <c r="C20" i="65"/>
  <c r="C19" i="65"/>
  <c r="C18" i="65"/>
  <c r="C17" i="65"/>
  <c r="C16" i="65"/>
  <c r="C14" i="65"/>
  <c r="C13" i="65"/>
  <c r="C12" i="65"/>
  <c r="C11" i="65"/>
  <c r="C10" i="65"/>
  <c r="C9" i="65"/>
  <c r="C8" i="65"/>
  <c r="C7" i="65"/>
  <c r="C6" i="65"/>
  <c r="C5" i="65"/>
  <c r="C4" i="65"/>
  <c r="A1" i="65"/>
  <c r="D5" i="64"/>
  <c r="A1" i="64"/>
  <c r="A1" i="63"/>
  <c r="A1" i="62"/>
  <c r="B2" i="55"/>
  <c r="B2" i="54"/>
  <c r="B2" i="53"/>
  <c r="B2" i="52"/>
  <c r="B2" i="51"/>
  <c r="B2" i="50"/>
  <c r="B2" i="49"/>
  <c r="B2" i="48"/>
  <c r="B2" i="47"/>
  <c r="B2" i="46"/>
  <c r="B2" i="45"/>
  <c r="B2" i="44"/>
  <c r="B2" i="43"/>
  <c r="B2" i="42"/>
  <c r="B2" i="41"/>
  <c r="B2" i="40"/>
  <c r="B2" i="39"/>
  <c r="B2" i="38"/>
  <c r="B2" i="37"/>
  <c r="B2" i="36"/>
  <c r="B2" i="35"/>
  <c r="B2" i="34"/>
  <c r="B2" i="33"/>
  <c r="B2" i="32"/>
  <c r="B2" i="31"/>
  <c r="B2" i="30"/>
  <c r="B2" i="29"/>
  <c r="B2" i="28"/>
  <c r="B2" i="27"/>
  <c r="B2" i="26"/>
  <c r="B2" i="25"/>
  <c r="B2" i="24"/>
  <c r="B2" i="23"/>
  <c r="B2" i="22"/>
  <c r="B2" i="21"/>
  <c r="B2" i="20"/>
  <c r="B2" i="19"/>
  <c r="B2" i="18"/>
  <c r="B2" i="17"/>
  <c r="B2" i="16"/>
  <c r="B2" i="15"/>
  <c r="B2" i="14"/>
  <c r="B2" i="13"/>
  <c r="B2" i="12"/>
  <c r="B2" i="11"/>
  <c r="B2" i="10"/>
  <c r="D117" i="9"/>
  <c r="F117" i="9" s="1"/>
  <c r="B2" i="9"/>
  <c r="B2" i="8"/>
  <c r="B2" i="7"/>
  <c r="B2" i="6"/>
  <c r="B2" i="5"/>
  <c r="B2" i="4"/>
  <c r="B2" i="3"/>
  <c r="B2" i="59"/>
  <c r="F117" i="1"/>
  <c r="B2" i="1"/>
  <c r="B2" i="56"/>
  <c r="A1" i="55"/>
  <c r="A1" i="54"/>
  <c r="A1" i="53"/>
  <c r="A1" i="52"/>
  <c r="A1" i="51"/>
  <c r="A1" i="50"/>
  <c r="A1" i="49"/>
  <c r="A1" i="48"/>
  <c r="A1" i="47"/>
  <c r="A1" i="46"/>
  <c r="A1" i="45"/>
  <c r="A1" i="44"/>
  <c r="A1" i="43"/>
  <c r="A1" i="42"/>
  <c r="A1" i="41"/>
  <c r="A1" i="40"/>
  <c r="A1" i="39"/>
  <c r="A1" i="38"/>
  <c r="A1" i="37"/>
  <c r="A1" i="36"/>
  <c r="A1" i="35"/>
  <c r="A1" i="34"/>
  <c r="A1" i="33"/>
  <c r="A1" i="32"/>
  <c r="A1" i="31"/>
  <c r="A1" i="30"/>
  <c r="A1" i="29"/>
  <c r="A1" i="28"/>
  <c r="A1" i="27"/>
  <c r="A1" i="26"/>
  <c r="A1" i="25"/>
  <c r="A1" i="24"/>
  <c r="A1" i="23"/>
  <c r="A1" i="22"/>
  <c r="A1" i="21"/>
  <c r="A1" i="20"/>
  <c r="A1" i="19"/>
  <c r="A1" i="18"/>
  <c r="A1" i="17"/>
  <c r="A1" i="16"/>
  <c r="A1" i="15"/>
  <c r="A1" i="14"/>
  <c r="A1" i="13"/>
  <c r="A1" i="12"/>
  <c r="A1" i="11"/>
  <c r="A1" i="10"/>
  <c r="A1" i="9"/>
  <c r="A1" i="8"/>
  <c r="A1" i="7"/>
  <c r="A1" i="6"/>
  <c r="A1" i="5"/>
  <c r="A1" i="4"/>
  <c r="A1" i="3"/>
  <c r="A1" i="59"/>
  <c r="A1" i="1"/>
  <c r="A1" i="56"/>
  <c r="A1" i="57"/>
  <c r="B2" i="57"/>
  <c r="D117" i="60" l="1"/>
  <c r="F117" i="5"/>
  <c r="D115" i="9"/>
  <c r="D115" i="60" s="1"/>
  <c r="F117" i="28"/>
  <c r="E109" i="9"/>
  <c r="E109" i="60" s="1"/>
  <c r="E113" i="9"/>
  <c r="E113" i="60" s="1"/>
  <c r="E121" i="56"/>
  <c r="F117" i="56"/>
  <c r="F117" i="59"/>
  <c r="F117" i="4"/>
  <c r="F117" i="6"/>
  <c r="F117" i="8"/>
  <c r="F117" i="10"/>
  <c r="F117" i="17"/>
  <c r="F117" i="19"/>
  <c r="F117" i="21"/>
  <c r="F117" i="25"/>
  <c r="F113" i="25"/>
  <c r="F117" i="27"/>
  <c r="F117" i="29"/>
  <c r="F113" i="29"/>
  <c r="F117" i="31"/>
  <c r="F117" i="33"/>
  <c r="F117" i="37"/>
  <c r="F113" i="37"/>
  <c r="F117" i="39"/>
  <c r="F113" i="39"/>
  <c r="F117" i="41"/>
  <c r="F113" i="41"/>
  <c r="F117" i="43"/>
  <c r="F113" i="43"/>
  <c r="F117" i="45"/>
  <c r="F117" i="47"/>
  <c r="F117" i="49"/>
  <c r="F117" i="51"/>
  <c r="F111" i="56"/>
  <c r="F113" i="56"/>
  <c r="F110" i="59"/>
  <c r="F112" i="59"/>
  <c r="F114" i="59"/>
  <c r="F111" i="4"/>
  <c r="F113" i="4"/>
  <c r="F110" i="6"/>
  <c r="F112" i="6"/>
  <c r="F114" i="6"/>
  <c r="F111" i="8"/>
  <c r="F113" i="8"/>
  <c r="F110" i="10"/>
  <c r="F112" i="10"/>
  <c r="F114" i="10"/>
  <c r="F117" i="13"/>
  <c r="F113" i="17"/>
  <c r="F111" i="19"/>
  <c r="F117" i="23"/>
  <c r="F114" i="25"/>
  <c r="F112" i="29"/>
  <c r="F117" i="35"/>
  <c r="F114" i="37"/>
  <c r="F110" i="39"/>
  <c r="F114" i="41"/>
  <c r="F110" i="43"/>
  <c r="F111" i="1"/>
  <c r="F114" i="3"/>
  <c r="F112" i="3"/>
  <c r="F110" i="3"/>
  <c r="F114" i="7"/>
  <c r="F112" i="7"/>
  <c r="F110" i="7"/>
  <c r="C115" i="9"/>
  <c r="C115" i="60" s="1"/>
  <c r="C114" i="9"/>
  <c r="C114" i="60" s="1"/>
  <c r="C111" i="9"/>
  <c r="C111" i="60" s="1"/>
  <c r="C110" i="9"/>
  <c r="C110" i="60" s="1"/>
  <c r="D109" i="9"/>
  <c r="F114" i="11"/>
  <c r="F112" i="11"/>
  <c r="F110" i="11"/>
  <c r="F117" i="14"/>
  <c r="F114" i="14"/>
  <c r="F117" i="16"/>
  <c r="F113" i="16"/>
  <c r="F111" i="16"/>
  <c r="F117" i="18"/>
  <c r="F113" i="18"/>
  <c r="F111" i="18"/>
  <c r="F117" i="20"/>
  <c r="F115" i="20"/>
  <c r="F113" i="20"/>
  <c r="F111" i="20"/>
  <c r="F117" i="22"/>
  <c r="F111" i="22"/>
  <c r="F111" i="24"/>
  <c r="F117" i="26"/>
  <c r="F113" i="28"/>
  <c r="F117" i="30"/>
  <c r="F111" i="30"/>
  <c r="F117" i="32"/>
  <c r="F114" i="32"/>
  <c r="F113" i="32"/>
  <c r="F117" i="34"/>
  <c r="F111" i="34"/>
  <c r="F117" i="36"/>
  <c r="F113" i="36"/>
  <c r="F114" i="36"/>
  <c r="F117" i="38"/>
  <c r="F112" i="38"/>
  <c r="F113" i="38"/>
  <c r="F114" i="38"/>
  <c r="F117" i="40"/>
  <c r="F113" i="40"/>
  <c r="F114" i="40"/>
  <c r="F117" i="42"/>
  <c r="F112" i="42"/>
  <c r="F113" i="42"/>
  <c r="F114" i="42"/>
  <c r="F117" i="44"/>
  <c r="F113" i="46"/>
  <c r="F117" i="48"/>
  <c r="F117" i="50"/>
  <c r="F117" i="52"/>
  <c r="F117" i="54"/>
  <c r="F117" i="12"/>
  <c r="F113" i="12"/>
  <c r="F111" i="12"/>
  <c r="F110" i="56"/>
  <c r="F112" i="56"/>
  <c r="F114" i="56"/>
  <c r="F111" i="59"/>
  <c r="F113" i="59"/>
  <c r="F115" i="59"/>
  <c r="F117" i="3"/>
  <c r="F110" i="4"/>
  <c r="F112" i="4"/>
  <c r="F114" i="4"/>
  <c r="F111" i="6"/>
  <c r="F113" i="6"/>
  <c r="F115" i="6"/>
  <c r="F117" i="7"/>
  <c r="F110" i="8"/>
  <c r="F112" i="8"/>
  <c r="F114" i="8"/>
  <c r="E110" i="60"/>
  <c r="E112" i="9"/>
  <c r="E112" i="60" s="1"/>
  <c r="E114" i="9"/>
  <c r="E114" i="60" s="1"/>
  <c r="C116" i="9"/>
  <c r="C116" i="60" s="1"/>
  <c r="F111" i="10"/>
  <c r="F113" i="10"/>
  <c r="F115" i="10"/>
  <c r="F113" i="14"/>
  <c r="F115" i="15"/>
  <c r="F117" i="15"/>
  <c r="F112" i="16"/>
  <c r="F110" i="17"/>
  <c r="F112" i="17"/>
  <c r="F114" i="17"/>
  <c r="F110" i="18"/>
  <c r="F112" i="18"/>
  <c r="F114" i="18"/>
  <c r="F110" i="19"/>
  <c r="F112" i="19"/>
  <c r="F114" i="19"/>
  <c r="F112" i="20"/>
  <c r="F113" i="22"/>
  <c r="F117" i="24"/>
  <c r="F112" i="25"/>
  <c r="F113" i="27"/>
  <c r="F110" i="29"/>
  <c r="F113" i="30"/>
  <c r="F110" i="32"/>
  <c r="F112" i="36"/>
  <c r="F110" i="37"/>
  <c r="F114" i="39"/>
  <c r="F112" i="40"/>
  <c r="F110" i="41"/>
  <c r="F117" i="46"/>
  <c r="F117" i="53"/>
  <c r="F117" i="55"/>
  <c r="F112" i="37"/>
  <c r="E104" i="57"/>
  <c r="E102" i="57"/>
  <c r="E116" i="57" s="1"/>
  <c r="E100" i="57"/>
  <c r="E98" i="57"/>
  <c r="E93" i="57"/>
  <c r="E91" i="57"/>
  <c r="E89" i="57"/>
  <c r="E87" i="57"/>
  <c r="E85" i="57"/>
  <c r="E83" i="57"/>
  <c r="E81" i="57"/>
  <c r="E79" i="57"/>
  <c r="E77" i="57"/>
  <c r="E75" i="57"/>
  <c r="E73" i="57"/>
  <c r="E71" i="57"/>
  <c r="E69" i="57"/>
  <c r="E67" i="57"/>
  <c r="E63" i="57"/>
  <c r="D62" i="57"/>
  <c r="E61" i="57"/>
  <c r="D60" i="57"/>
  <c r="E59" i="57"/>
  <c r="D58" i="57"/>
  <c r="E57" i="57"/>
  <c r="D56" i="57"/>
  <c r="E55" i="57"/>
  <c r="D54" i="57"/>
  <c r="E53" i="57"/>
  <c r="D52" i="57"/>
  <c r="E51" i="57"/>
  <c r="D50" i="57"/>
  <c r="E49" i="57"/>
  <c r="D48" i="57"/>
  <c r="E47" i="57"/>
  <c r="D46" i="57"/>
  <c r="E45" i="57"/>
  <c r="D44" i="57"/>
  <c r="E43" i="57"/>
  <c r="D42" i="57"/>
  <c r="E41" i="57"/>
  <c r="E103" i="57"/>
  <c r="E101" i="57"/>
  <c r="E99" i="57"/>
  <c r="E94" i="57"/>
  <c r="E92" i="57"/>
  <c r="E90" i="57"/>
  <c r="E88" i="57"/>
  <c r="E86" i="57"/>
  <c r="E84" i="57"/>
  <c r="E82" i="57"/>
  <c r="E80" i="57"/>
  <c r="E78" i="57"/>
  <c r="E76" i="57"/>
  <c r="E74" i="57"/>
  <c r="E72" i="57"/>
  <c r="E70" i="57"/>
  <c r="E68" i="57"/>
  <c r="D63" i="57"/>
  <c r="E62" i="57"/>
  <c r="D61" i="57"/>
  <c r="E60" i="57"/>
  <c r="D59" i="57"/>
  <c r="E58" i="57"/>
  <c r="D57" i="57"/>
  <c r="E56" i="57"/>
  <c r="D55" i="57"/>
  <c r="E54" i="57"/>
  <c r="D53" i="57"/>
  <c r="E52" i="57"/>
  <c r="D51" i="57"/>
  <c r="E50" i="57"/>
  <c r="D49" i="57"/>
  <c r="E48" i="57"/>
  <c r="D47" i="57"/>
  <c r="E46" i="57"/>
  <c r="D45" i="57"/>
  <c r="E44" i="57"/>
  <c r="D43" i="57"/>
  <c r="E42" i="57"/>
  <c r="D41" i="57"/>
  <c r="E40" i="57"/>
  <c r="E36" i="57"/>
  <c r="D37" i="57"/>
  <c r="E38" i="57"/>
  <c r="D39" i="57"/>
  <c r="D36" i="57"/>
  <c r="E37" i="57"/>
  <c r="D38" i="57"/>
  <c r="E39" i="57"/>
  <c r="D40" i="57"/>
  <c r="E121" i="1"/>
  <c r="E104" i="1"/>
  <c r="E102" i="1"/>
  <c r="E116" i="1" s="1"/>
  <c r="E118" i="1" s="1"/>
  <c r="E100" i="1"/>
  <c r="E98" i="1"/>
  <c r="E93" i="1"/>
  <c r="E91" i="1"/>
  <c r="E89" i="1"/>
  <c r="E87" i="1"/>
  <c r="E85" i="1"/>
  <c r="E83" i="1"/>
  <c r="E81" i="1"/>
  <c r="E79" i="1"/>
  <c r="E77" i="1"/>
  <c r="E75" i="1"/>
  <c r="E73" i="1"/>
  <c r="E71" i="1"/>
  <c r="E69" i="1"/>
  <c r="E67" i="1"/>
  <c r="E63" i="1"/>
  <c r="D62" i="1"/>
  <c r="E61" i="1"/>
  <c r="D60" i="1"/>
  <c r="E59" i="1"/>
  <c r="D58" i="1"/>
  <c r="E57" i="1"/>
  <c r="D56" i="1"/>
  <c r="E55" i="1"/>
  <c r="D54" i="1"/>
  <c r="E53" i="1"/>
  <c r="D52" i="1"/>
  <c r="E51" i="1"/>
  <c r="D50" i="1"/>
  <c r="E49" i="1"/>
  <c r="D48" i="1"/>
  <c r="E47" i="1"/>
  <c r="D46" i="1"/>
  <c r="E103" i="1"/>
  <c r="E101" i="1"/>
  <c r="E99" i="1"/>
  <c r="E94" i="1"/>
  <c r="E92" i="1"/>
  <c r="E90" i="1"/>
  <c r="E88" i="1"/>
  <c r="E86" i="1"/>
  <c r="E84" i="1"/>
  <c r="E82" i="1"/>
  <c r="E80" i="1"/>
  <c r="E78" i="1"/>
  <c r="E76" i="1"/>
  <c r="E74" i="1"/>
  <c r="E72" i="1"/>
  <c r="E70" i="1"/>
  <c r="E68" i="1"/>
  <c r="D63" i="1"/>
  <c r="E62" i="1"/>
  <c r="D61" i="1"/>
  <c r="E60" i="1"/>
  <c r="D59" i="1"/>
  <c r="E58" i="1"/>
  <c r="D57" i="1"/>
  <c r="E56" i="1"/>
  <c r="D55" i="1"/>
  <c r="E54" i="1"/>
  <c r="D53" i="1"/>
  <c r="E52" i="1"/>
  <c r="D51" i="1"/>
  <c r="E50" i="1"/>
  <c r="D49" i="1"/>
  <c r="E48" i="1"/>
  <c r="D47" i="1"/>
  <c r="E46" i="1"/>
  <c r="E45" i="1"/>
  <c r="D44" i="1"/>
  <c r="E43" i="1"/>
  <c r="D42" i="1"/>
  <c r="E41" i="1"/>
  <c r="D40" i="1"/>
  <c r="E39" i="1"/>
  <c r="D38" i="1"/>
  <c r="E37" i="1"/>
  <c r="D36" i="1"/>
  <c r="D45" i="1"/>
  <c r="E44" i="1"/>
  <c r="D43" i="1"/>
  <c r="E42" i="1"/>
  <c r="D41" i="1"/>
  <c r="E40" i="1"/>
  <c r="D39" i="1"/>
  <c r="E38" i="1"/>
  <c r="D37" i="1"/>
  <c r="E36" i="1"/>
  <c r="E121" i="3"/>
  <c r="E104" i="3"/>
  <c r="E102" i="3"/>
  <c r="E116" i="3" s="1"/>
  <c r="E118" i="3" s="1"/>
  <c r="E100" i="3"/>
  <c r="E98" i="3"/>
  <c r="E93" i="3"/>
  <c r="E91" i="3"/>
  <c r="E89" i="3"/>
  <c r="E87" i="3"/>
  <c r="E85" i="3"/>
  <c r="E83" i="3"/>
  <c r="E81" i="3"/>
  <c r="E79" i="3"/>
  <c r="E77" i="3"/>
  <c r="E75" i="3"/>
  <c r="E73" i="3"/>
  <c r="E71" i="3"/>
  <c r="E69" i="3"/>
  <c r="E67" i="3"/>
  <c r="E63" i="3"/>
  <c r="D62" i="3"/>
  <c r="E61" i="3"/>
  <c r="D60" i="3"/>
  <c r="E59" i="3"/>
  <c r="D58" i="3"/>
  <c r="E57" i="3"/>
  <c r="D56" i="3"/>
  <c r="E55" i="3"/>
  <c r="E103" i="3"/>
  <c r="E101" i="3"/>
  <c r="E99" i="3"/>
  <c r="E94" i="3"/>
  <c r="E92" i="3"/>
  <c r="E90" i="3"/>
  <c r="E88" i="3"/>
  <c r="E86" i="3"/>
  <c r="E84" i="3"/>
  <c r="E82" i="3"/>
  <c r="E80" i="3"/>
  <c r="E78" i="3"/>
  <c r="E76" i="3"/>
  <c r="E74" i="3"/>
  <c r="E72" i="3"/>
  <c r="E70" i="3"/>
  <c r="E68" i="3"/>
  <c r="D63" i="3"/>
  <c r="E62" i="3"/>
  <c r="D61" i="3"/>
  <c r="E60" i="3"/>
  <c r="D59" i="3"/>
  <c r="E58" i="3"/>
  <c r="D57" i="3"/>
  <c r="E56" i="3"/>
  <c r="D55" i="3"/>
  <c r="E54" i="3"/>
  <c r="D54" i="3"/>
  <c r="E53" i="3"/>
  <c r="D52" i="3"/>
  <c r="E51" i="3"/>
  <c r="D50" i="3"/>
  <c r="E49" i="3"/>
  <c r="D48" i="3"/>
  <c r="E47" i="3"/>
  <c r="D46" i="3"/>
  <c r="E45" i="3"/>
  <c r="D44" i="3"/>
  <c r="E43" i="3"/>
  <c r="D42" i="3"/>
  <c r="E41" i="3"/>
  <c r="D40" i="3"/>
  <c r="E39" i="3"/>
  <c r="D38" i="3"/>
  <c r="E37" i="3"/>
  <c r="D36" i="3"/>
  <c r="D53" i="3"/>
  <c r="E52" i="3"/>
  <c r="D51" i="3"/>
  <c r="E50" i="3"/>
  <c r="D49" i="3"/>
  <c r="E48" i="3"/>
  <c r="D47" i="3"/>
  <c r="E46" i="3"/>
  <c r="D45" i="3"/>
  <c r="E44" i="3"/>
  <c r="D43" i="3"/>
  <c r="E42" i="3"/>
  <c r="D41" i="3"/>
  <c r="E40" i="3"/>
  <c r="D39" i="3"/>
  <c r="E38" i="3"/>
  <c r="D37" i="3"/>
  <c r="E36" i="3"/>
  <c r="E121" i="5"/>
  <c r="E104" i="5"/>
  <c r="E102" i="5"/>
  <c r="E116" i="5" s="1"/>
  <c r="E118" i="5" s="1"/>
  <c r="E100" i="5"/>
  <c r="E98" i="5"/>
  <c r="E93" i="5"/>
  <c r="E91" i="5"/>
  <c r="E89" i="5"/>
  <c r="E87" i="5"/>
  <c r="E85" i="5"/>
  <c r="E83" i="5"/>
  <c r="E81" i="5"/>
  <c r="E79" i="5"/>
  <c r="E77" i="5"/>
  <c r="E75" i="5"/>
  <c r="E73" i="5"/>
  <c r="E71" i="5"/>
  <c r="E69" i="5"/>
  <c r="E67" i="5"/>
  <c r="E63" i="5"/>
  <c r="E103" i="5"/>
  <c r="E101" i="5"/>
  <c r="E99" i="5"/>
  <c r="E94" i="5"/>
  <c r="E92" i="5"/>
  <c r="E90" i="5"/>
  <c r="E88" i="5"/>
  <c r="E86" i="5"/>
  <c r="E84" i="5"/>
  <c r="E82" i="5"/>
  <c r="E80" i="5"/>
  <c r="E78" i="5"/>
  <c r="E76" i="5"/>
  <c r="E74" i="5"/>
  <c r="E72" i="5"/>
  <c r="E70" i="5"/>
  <c r="E68" i="5"/>
  <c r="D63" i="5"/>
  <c r="E62" i="5"/>
  <c r="D61" i="5"/>
  <c r="E60" i="5"/>
  <c r="D59" i="5"/>
  <c r="E58" i="5"/>
  <c r="D57" i="5"/>
  <c r="E56" i="5"/>
  <c r="D55" i="5"/>
  <c r="E54" i="5"/>
  <c r="D53" i="5"/>
  <c r="E52" i="5"/>
  <c r="D51" i="5"/>
  <c r="E50" i="5"/>
  <c r="D49" i="5"/>
  <c r="E48" i="5"/>
  <c r="D47" i="5"/>
  <c r="E46" i="5"/>
  <c r="D45" i="5"/>
  <c r="E44" i="5"/>
  <c r="D43" i="5"/>
  <c r="E42" i="5"/>
  <c r="D41" i="5"/>
  <c r="E40" i="5"/>
  <c r="D39" i="5"/>
  <c r="E38" i="5"/>
  <c r="D37" i="5"/>
  <c r="E36" i="5"/>
  <c r="D62" i="5"/>
  <c r="E61" i="5"/>
  <c r="D60" i="5"/>
  <c r="E59" i="5"/>
  <c r="D58" i="5"/>
  <c r="E57" i="5"/>
  <c r="D56" i="5"/>
  <c r="E55" i="5"/>
  <c r="D54" i="5"/>
  <c r="E53" i="5"/>
  <c r="D52" i="5"/>
  <c r="E51" i="5"/>
  <c r="D50" i="5"/>
  <c r="E49" i="5"/>
  <c r="D48" i="5"/>
  <c r="E47" i="5"/>
  <c r="D46" i="5"/>
  <c r="E45" i="5"/>
  <c r="D44" i="5"/>
  <c r="E43" i="5"/>
  <c r="D42" i="5"/>
  <c r="E41" i="5"/>
  <c r="D40" i="5"/>
  <c r="E39" i="5"/>
  <c r="D38" i="5"/>
  <c r="E37" i="5"/>
  <c r="D36" i="5"/>
  <c r="E103" i="7"/>
  <c r="E101" i="7"/>
  <c r="E99" i="7"/>
  <c r="E94" i="7"/>
  <c r="E92" i="7"/>
  <c r="E90" i="7"/>
  <c r="E88" i="7"/>
  <c r="E86" i="7"/>
  <c r="E84" i="7"/>
  <c r="E82" i="7"/>
  <c r="E80" i="7"/>
  <c r="E78" i="7"/>
  <c r="E76" i="7"/>
  <c r="E74" i="7"/>
  <c r="E72" i="7"/>
  <c r="E70" i="7"/>
  <c r="E68" i="7"/>
  <c r="D63" i="7"/>
  <c r="E62" i="7"/>
  <c r="D61" i="7"/>
  <c r="E60" i="7"/>
  <c r="D59" i="7"/>
  <c r="E58" i="7"/>
  <c r="D57" i="7"/>
  <c r="E56" i="7"/>
  <c r="D55" i="7"/>
  <c r="E54" i="7"/>
  <c r="D53" i="7"/>
  <c r="E52" i="7"/>
  <c r="D51" i="7"/>
  <c r="E50" i="7"/>
  <c r="D49" i="7"/>
  <c r="E48" i="7"/>
  <c r="D47" i="7"/>
  <c r="E46" i="7"/>
  <c r="D45" i="7"/>
  <c r="E44" i="7"/>
  <c r="D43" i="7"/>
  <c r="E42" i="7"/>
  <c r="D41" i="7"/>
  <c r="E40" i="7"/>
  <c r="D39" i="7"/>
  <c r="E38" i="7"/>
  <c r="D37" i="7"/>
  <c r="E36" i="7"/>
  <c r="E121" i="7"/>
  <c r="E104" i="7"/>
  <c r="E102" i="7"/>
  <c r="E116" i="7" s="1"/>
  <c r="E118" i="7" s="1"/>
  <c r="E100" i="7"/>
  <c r="E98" i="7"/>
  <c r="E93" i="7"/>
  <c r="E91" i="7"/>
  <c r="E89" i="7"/>
  <c r="E87" i="7"/>
  <c r="E85" i="7"/>
  <c r="E83" i="7"/>
  <c r="E81" i="7"/>
  <c r="E79" i="7"/>
  <c r="E77" i="7"/>
  <c r="E75" i="7"/>
  <c r="E73" i="7"/>
  <c r="E71" i="7"/>
  <c r="E69" i="7"/>
  <c r="E67" i="7"/>
  <c r="E63" i="7"/>
  <c r="D62" i="7"/>
  <c r="E61" i="7"/>
  <c r="D60" i="7"/>
  <c r="E59" i="7"/>
  <c r="D58" i="7"/>
  <c r="E57" i="7"/>
  <c r="D56" i="7"/>
  <c r="E55" i="7"/>
  <c r="D54" i="7"/>
  <c r="E53" i="7"/>
  <c r="D52" i="7"/>
  <c r="E51" i="7"/>
  <c r="D50" i="7"/>
  <c r="E49" i="7"/>
  <c r="D48" i="7"/>
  <c r="E47" i="7"/>
  <c r="D46" i="7"/>
  <c r="E45" i="7"/>
  <c r="D44" i="7"/>
  <c r="E43" i="7"/>
  <c r="D42" i="7"/>
  <c r="E41" i="7"/>
  <c r="D40" i="7"/>
  <c r="E39" i="7"/>
  <c r="D38" i="7"/>
  <c r="E37" i="7"/>
  <c r="D36" i="7"/>
  <c r="E121" i="9"/>
  <c r="E116" i="9"/>
  <c r="E103" i="11"/>
  <c r="E101" i="11"/>
  <c r="E99" i="11"/>
  <c r="E94" i="11"/>
  <c r="E92" i="11"/>
  <c r="E90" i="11"/>
  <c r="E88" i="11"/>
  <c r="E86" i="11"/>
  <c r="E84" i="11"/>
  <c r="E82" i="11"/>
  <c r="E80" i="11"/>
  <c r="E78" i="11"/>
  <c r="E76" i="11"/>
  <c r="E74" i="11"/>
  <c r="E72" i="11"/>
  <c r="E70" i="11"/>
  <c r="E68" i="11"/>
  <c r="D63" i="11"/>
  <c r="E62" i="11"/>
  <c r="D61" i="11"/>
  <c r="E60" i="11"/>
  <c r="D59" i="11"/>
  <c r="E58" i="11"/>
  <c r="D57" i="11"/>
  <c r="E56" i="11"/>
  <c r="D55" i="11"/>
  <c r="E54" i="11"/>
  <c r="D53" i="11"/>
  <c r="E52" i="11"/>
  <c r="D51" i="11"/>
  <c r="E50" i="11"/>
  <c r="D49" i="11"/>
  <c r="E48" i="11"/>
  <c r="D47" i="11"/>
  <c r="E46" i="11"/>
  <c r="D45" i="11"/>
  <c r="E44" i="11"/>
  <c r="D43" i="11"/>
  <c r="E42" i="11"/>
  <c r="D41" i="11"/>
  <c r="E40" i="11"/>
  <c r="D39" i="11"/>
  <c r="E38" i="11"/>
  <c r="D37" i="11"/>
  <c r="E36" i="11"/>
  <c r="E121" i="11"/>
  <c r="E104" i="11"/>
  <c r="E102" i="11"/>
  <c r="E116" i="11" s="1"/>
  <c r="E118" i="11" s="1"/>
  <c r="E100" i="11"/>
  <c r="E98" i="11"/>
  <c r="E93" i="11"/>
  <c r="E91" i="11"/>
  <c r="E89" i="11"/>
  <c r="E87" i="11"/>
  <c r="E85" i="11"/>
  <c r="E83" i="11"/>
  <c r="E81" i="11"/>
  <c r="E79" i="11"/>
  <c r="E77" i="11"/>
  <c r="E75" i="11"/>
  <c r="E73" i="11"/>
  <c r="E71" i="11"/>
  <c r="E69" i="11"/>
  <c r="E67" i="11"/>
  <c r="E63" i="11"/>
  <c r="D62" i="11"/>
  <c r="E61" i="11"/>
  <c r="D60" i="11"/>
  <c r="E59" i="11"/>
  <c r="D58" i="11"/>
  <c r="E57" i="11"/>
  <c r="D56" i="11"/>
  <c r="E55" i="11"/>
  <c r="D54" i="11"/>
  <c r="E53" i="11"/>
  <c r="D52" i="11"/>
  <c r="E51" i="11"/>
  <c r="D50" i="11"/>
  <c r="E49" i="11"/>
  <c r="D48" i="11"/>
  <c r="E47" i="11"/>
  <c r="D46" i="11"/>
  <c r="E45" i="11"/>
  <c r="D44" i="11"/>
  <c r="E43" i="11"/>
  <c r="D42" i="11"/>
  <c r="E41" i="11"/>
  <c r="D40" i="11"/>
  <c r="E39" i="11"/>
  <c r="D38" i="11"/>
  <c r="E37" i="11"/>
  <c r="D36" i="11"/>
  <c r="E121" i="13"/>
  <c r="E104" i="13"/>
  <c r="E102" i="13"/>
  <c r="E116" i="13" s="1"/>
  <c r="E118" i="13" s="1"/>
  <c r="E100" i="13"/>
  <c r="E98" i="13"/>
  <c r="E93" i="13"/>
  <c r="E91" i="13"/>
  <c r="E89" i="13"/>
  <c r="E87" i="13"/>
  <c r="E85" i="13"/>
  <c r="E83" i="13"/>
  <c r="E81" i="13"/>
  <c r="E79" i="13"/>
  <c r="E77" i="13"/>
  <c r="E75" i="13"/>
  <c r="E73" i="13"/>
  <c r="E71" i="13"/>
  <c r="E69" i="13"/>
  <c r="E67" i="13"/>
  <c r="E63" i="13"/>
  <c r="D62" i="13"/>
  <c r="E61" i="13"/>
  <c r="D60" i="13"/>
  <c r="E59" i="13"/>
  <c r="D58" i="13"/>
  <c r="E57" i="13"/>
  <c r="D56" i="13"/>
  <c r="E55" i="13"/>
  <c r="D54" i="13"/>
  <c r="E53" i="13"/>
  <c r="D52" i="13"/>
  <c r="E51" i="13"/>
  <c r="D50" i="13"/>
  <c r="E49" i="13"/>
  <c r="D48" i="13"/>
  <c r="E47" i="13"/>
  <c r="D46" i="13"/>
  <c r="E45" i="13"/>
  <c r="D44" i="13"/>
  <c r="E43" i="13"/>
  <c r="D42" i="13"/>
  <c r="E41" i="13"/>
  <c r="D40" i="13"/>
  <c r="E39" i="13"/>
  <c r="D38" i="13"/>
  <c r="E37" i="13"/>
  <c r="D36" i="13"/>
  <c r="E103" i="13"/>
  <c r="E101" i="13"/>
  <c r="E99" i="13"/>
  <c r="E94" i="13"/>
  <c r="E92" i="13"/>
  <c r="E90" i="13"/>
  <c r="E88" i="13"/>
  <c r="E86" i="13"/>
  <c r="E84" i="13"/>
  <c r="E82" i="13"/>
  <c r="E80" i="13"/>
  <c r="E78" i="13"/>
  <c r="E76" i="13"/>
  <c r="E74" i="13"/>
  <c r="E72" i="13"/>
  <c r="E70" i="13"/>
  <c r="E68" i="13"/>
  <c r="D63" i="13"/>
  <c r="E62" i="13"/>
  <c r="D61" i="13"/>
  <c r="E60" i="13"/>
  <c r="D59" i="13"/>
  <c r="E58" i="13"/>
  <c r="D57" i="13"/>
  <c r="E56" i="13"/>
  <c r="D55" i="13"/>
  <c r="E54" i="13"/>
  <c r="D53" i="13"/>
  <c r="E52" i="13"/>
  <c r="D51" i="13"/>
  <c r="E50" i="13"/>
  <c r="D49" i="13"/>
  <c r="E48" i="13"/>
  <c r="D47" i="13"/>
  <c r="E46" i="13"/>
  <c r="D45" i="13"/>
  <c r="E44" i="13"/>
  <c r="D43" i="13"/>
  <c r="E42" i="13"/>
  <c r="D41" i="13"/>
  <c r="E40" i="13"/>
  <c r="D39" i="13"/>
  <c r="E38" i="13"/>
  <c r="D37" i="13"/>
  <c r="E36" i="13"/>
  <c r="E121" i="15"/>
  <c r="E104" i="15"/>
  <c r="E102" i="15"/>
  <c r="E116" i="15" s="1"/>
  <c r="E118" i="15" s="1"/>
  <c r="E100" i="15"/>
  <c r="E98" i="15"/>
  <c r="E93" i="15"/>
  <c r="E91" i="15"/>
  <c r="E89" i="15"/>
  <c r="E87" i="15"/>
  <c r="E85" i="15"/>
  <c r="E83" i="15"/>
  <c r="E81" i="15"/>
  <c r="E79" i="15"/>
  <c r="E77" i="15"/>
  <c r="E75" i="15"/>
  <c r="E73" i="15"/>
  <c r="E71" i="15"/>
  <c r="E69" i="15"/>
  <c r="E67" i="15"/>
  <c r="E63" i="15"/>
  <c r="D62" i="15"/>
  <c r="E61" i="15"/>
  <c r="D60" i="15"/>
  <c r="E59" i="15"/>
  <c r="D58" i="15"/>
  <c r="E57" i="15"/>
  <c r="D56" i="15"/>
  <c r="E55" i="15"/>
  <c r="D54" i="15"/>
  <c r="E53" i="15"/>
  <c r="D52" i="15"/>
  <c r="E51" i="15"/>
  <c r="D50" i="15"/>
  <c r="E49" i="15"/>
  <c r="D48" i="15"/>
  <c r="E47" i="15"/>
  <c r="D46" i="15"/>
  <c r="E45" i="15"/>
  <c r="D44" i="15"/>
  <c r="E43" i="15"/>
  <c r="D42" i="15"/>
  <c r="E41" i="15"/>
  <c r="D40" i="15"/>
  <c r="E39" i="15"/>
  <c r="D38" i="15"/>
  <c r="E37" i="15"/>
  <c r="D36" i="15"/>
  <c r="E103" i="15"/>
  <c r="E101" i="15"/>
  <c r="E99" i="15"/>
  <c r="E94" i="15"/>
  <c r="E92" i="15"/>
  <c r="E90" i="15"/>
  <c r="E88" i="15"/>
  <c r="E86" i="15"/>
  <c r="E84" i="15"/>
  <c r="E82" i="15"/>
  <c r="E80" i="15"/>
  <c r="E78" i="15"/>
  <c r="E76" i="15"/>
  <c r="E74" i="15"/>
  <c r="E72" i="15"/>
  <c r="E70" i="15"/>
  <c r="E68" i="15"/>
  <c r="D63" i="15"/>
  <c r="E62" i="15"/>
  <c r="D61" i="15"/>
  <c r="E60" i="15"/>
  <c r="D59" i="15"/>
  <c r="E58" i="15"/>
  <c r="D57" i="15"/>
  <c r="E56" i="15"/>
  <c r="D55" i="15"/>
  <c r="E54" i="15"/>
  <c r="D53" i="15"/>
  <c r="E52" i="15"/>
  <c r="D51" i="15"/>
  <c r="E50" i="15"/>
  <c r="D49" i="15"/>
  <c r="E48" i="15"/>
  <c r="D47" i="15"/>
  <c r="E46" i="15"/>
  <c r="D45" i="15"/>
  <c r="E44" i="15"/>
  <c r="D43" i="15"/>
  <c r="E42" i="15"/>
  <c r="D41" i="15"/>
  <c r="E40" i="15"/>
  <c r="D39" i="15"/>
  <c r="E38" i="15"/>
  <c r="D37" i="15"/>
  <c r="E36" i="15"/>
  <c r="E121" i="17"/>
  <c r="E104" i="17"/>
  <c r="E102" i="17"/>
  <c r="E116" i="17" s="1"/>
  <c r="E118" i="17" s="1"/>
  <c r="E100" i="17"/>
  <c r="E98" i="17"/>
  <c r="E93" i="17"/>
  <c r="E91" i="17"/>
  <c r="E89" i="17"/>
  <c r="E87" i="17"/>
  <c r="E85" i="17"/>
  <c r="E83" i="17"/>
  <c r="E81" i="17"/>
  <c r="E79" i="17"/>
  <c r="E77" i="17"/>
  <c r="E75" i="17"/>
  <c r="E73" i="17"/>
  <c r="E71" i="17"/>
  <c r="E69" i="17"/>
  <c r="E67" i="17"/>
  <c r="E63" i="17"/>
  <c r="D62" i="17"/>
  <c r="E61" i="17"/>
  <c r="D60" i="17"/>
  <c r="E59" i="17"/>
  <c r="D58" i="17"/>
  <c r="E57" i="17"/>
  <c r="D56" i="17"/>
  <c r="E55" i="17"/>
  <c r="D54" i="17"/>
  <c r="E53" i="17"/>
  <c r="D52" i="17"/>
  <c r="E51" i="17"/>
  <c r="D50" i="17"/>
  <c r="E49" i="17"/>
  <c r="D48" i="17"/>
  <c r="E47" i="17"/>
  <c r="D46" i="17"/>
  <c r="E45" i="17"/>
  <c r="D44" i="17"/>
  <c r="E43" i="17"/>
  <c r="D42" i="17"/>
  <c r="E41" i="17"/>
  <c r="D40" i="17"/>
  <c r="E39" i="17"/>
  <c r="D38" i="17"/>
  <c r="E37" i="17"/>
  <c r="D36" i="17"/>
  <c r="E103" i="17"/>
  <c r="E101" i="17"/>
  <c r="E99" i="17"/>
  <c r="E94" i="17"/>
  <c r="E92" i="17"/>
  <c r="E90" i="17"/>
  <c r="E88" i="17"/>
  <c r="E86" i="17"/>
  <c r="E84" i="17"/>
  <c r="E82" i="17"/>
  <c r="E80" i="17"/>
  <c r="E78" i="17"/>
  <c r="E76" i="17"/>
  <c r="E74" i="17"/>
  <c r="E72" i="17"/>
  <c r="E70" i="17"/>
  <c r="E68" i="17"/>
  <c r="D63" i="17"/>
  <c r="E62" i="17"/>
  <c r="D61" i="17"/>
  <c r="E60" i="17"/>
  <c r="D59" i="17"/>
  <c r="E58" i="17"/>
  <c r="D57" i="17"/>
  <c r="E56" i="17"/>
  <c r="D55" i="17"/>
  <c r="E54" i="17"/>
  <c r="D53" i="17"/>
  <c r="E52" i="17"/>
  <c r="D51" i="17"/>
  <c r="E50" i="17"/>
  <c r="D49" i="17"/>
  <c r="E48" i="17"/>
  <c r="D47" i="17"/>
  <c r="E46" i="17"/>
  <c r="D45" i="17"/>
  <c r="E44" i="17"/>
  <c r="D43" i="17"/>
  <c r="E42" i="17"/>
  <c r="D41" i="17"/>
  <c r="E40" i="17"/>
  <c r="D39" i="17"/>
  <c r="E38" i="17"/>
  <c r="D37" i="17"/>
  <c r="E36" i="17"/>
  <c r="E121" i="19"/>
  <c r="E104" i="19"/>
  <c r="E102" i="19"/>
  <c r="E116" i="19" s="1"/>
  <c r="E118" i="19" s="1"/>
  <c r="E100" i="19"/>
  <c r="E98" i="19"/>
  <c r="E93" i="19"/>
  <c r="E91" i="19"/>
  <c r="E89" i="19"/>
  <c r="E87" i="19"/>
  <c r="E85" i="19"/>
  <c r="E83" i="19"/>
  <c r="E81" i="19"/>
  <c r="E79" i="19"/>
  <c r="E77" i="19"/>
  <c r="E75" i="19"/>
  <c r="E73" i="19"/>
  <c r="E71" i="19"/>
  <c r="E69" i="19"/>
  <c r="E67" i="19"/>
  <c r="E63" i="19"/>
  <c r="D62" i="19"/>
  <c r="E61" i="19"/>
  <c r="D60" i="19"/>
  <c r="E59" i="19"/>
  <c r="D58" i="19"/>
  <c r="E57" i="19"/>
  <c r="D56" i="19"/>
  <c r="E55" i="19"/>
  <c r="D54" i="19"/>
  <c r="E103" i="19"/>
  <c r="E101" i="19"/>
  <c r="E99" i="19"/>
  <c r="E94" i="19"/>
  <c r="E92" i="19"/>
  <c r="E90" i="19"/>
  <c r="E88" i="19"/>
  <c r="E86" i="19"/>
  <c r="E84" i="19"/>
  <c r="E82" i="19"/>
  <c r="E80" i="19"/>
  <c r="E78" i="19"/>
  <c r="E76" i="19"/>
  <c r="E74" i="19"/>
  <c r="E72" i="19"/>
  <c r="E70" i="19"/>
  <c r="E68" i="19"/>
  <c r="D63" i="19"/>
  <c r="E62" i="19"/>
  <c r="D61" i="19"/>
  <c r="E60" i="19"/>
  <c r="D59" i="19"/>
  <c r="E58" i="19"/>
  <c r="D57" i="19"/>
  <c r="E56" i="19"/>
  <c r="D55" i="19"/>
  <c r="E54" i="19"/>
  <c r="D53" i="19"/>
  <c r="E52" i="19"/>
  <c r="D52" i="19"/>
  <c r="E51" i="19"/>
  <c r="D50" i="19"/>
  <c r="E49" i="19"/>
  <c r="D48" i="19"/>
  <c r="E47" i="19"/>
  <c r="D46" i="19"/>
  <c r="E45" i="19"/>
  <c r="D44" i="19"/>
  <c r="E43" i="19"/>
  <c r="D42" i="19"/>
  <c r="E41" i="19"/>
  <c r="D40" i="19"/>
  <c r="E39" i="19"/>
  <c r="D38" i="19"/>
  <c r="E37" i="19"/>
  <c r="D36" i="19"/>
  <c r="E53" i="19"/>
  <c r="D51" i="19"/>
  <c r="E50" i="19"/>
  <c r="D49" i="19"/>
  <c r="E48" i="19"/>
  <c r="D47" i="19"/>
  <c r="E46" i="19"/>
  <c r="D45" i="19"/>
  <c r="E44" i="19"/>
  <c r="D43" i="19"/>
  <c r="E42" i="19"/>
  <c r="D41" i="19"/>
  <c r="E40" i="19"/>
  <c r="D39" i="19"/>
  <c r="E38" i="19"/>
  <c r="D37" i="19"/>
  <c r="E36" i="19"/>
  <c r="E121" i="21"/>
  <c r="E104" i="21"/>
  <c r="E102" i="21"/>
  <c r="E116" i="21" s="1"/>
  <c r="E118" i="21" s="1"/>
  <c r="E100" i="21"/>
  <c r="E98" i="21"/>
  <c r="E93" i="21"/>
  <c r="E91" i="21"/>
  <c r="E89" i="21"/>
  <c r="E87" i="21"/>
  <c r="E85" i="21"/>
  <c r="E83" i="21"/>
  <c r="E81" i="21"/>
  <c r="E79" i="21"/>
  <c r="E77" i="21"/>
  <c r="E75" i="21"/>
  <c r="E73" i="21"/>
  <c r="E71" i="21"/>
  <c r="E69" i="21"/>
  <c r="E67" i="21"/>
  <c r="E63" i="21"/>
  <c r="D62" i="21"/>
  <c r="E61" i="21"/>
  <c r="D60" i="21"/>
  <c r="E59" i="21"/>
  <c r="D58" i="21"/>
  <c r="E57" i="21"/>
  <c r="D56" i="21"/>
  <c r="E55" i="21"/>
  <c r="D54" i="21"/>
  <c r="E53" i="21"/>
  <c r="D52" i="21"/>
  <c r="E51" i="21"/>
  <c r="D50" i="21"/>
  <c r="E49" i="21"/>
  <c r="D48" i="21"/>
  <c r="E47" i="21"/>
  <c r="D46" i="21"/>
  <c r="E45" i="21"/>
  <c r="D44" i="21"/>
  <c r="E43" i="21"/>
  <c r="D42" i="21"/>
  <c r="E41" i="21"/>
  <c r="D40" i="21"/>
  <c r="E39" i="21"/>
  <c r="D38" i="21"/>
  <c r="E37" i="21"/>
  <c r="D36" i="21"/>
  <c r="E103" i="21"/>
  <c r="E101" i="21"/>
  <c r="E99" i="21"/>
  <c r="E94" i="21"/>
  <c r="E92" i="21"/>
  <c r="E90" i="21"/>
  <c r="E88" i="21"/>
  <c r="E86" i="21"/>
  <c r="E84" i="21"/>
  <c r="E82" i="21"/>
  <c r="E80" i="21"/>
  <c r="E78" i="21"/>
  <c r="E76" i="21"/>
  <c r="E74" i="21"/>
  <c r="E72" i="21"/>
  <c r="E70" i="21"/>
  <c r="E68" i="21"/>
  <c r="D63" i="21"/>
  <c r="E62" i="21"/>
  <c r="D61" i="21"/>
  <c r="E60" i="21"/>
  <c r="D59" i="21"/>
  <c r="E58" i="21"/>
  <c r="D57" i="21"/>
  <c r="E56" i="21"/>
  <c r="D55" i="21"/>
  <c r="E54" i="21"/>
  <c r="D53" i="21"/>
  <c r="E52" i="21"/>
  <c r="D51" i="21"/>
  <c r="E50" i="21"/>
  <c r="D49" i="21"/>
  <c r="E48" i="21"/>
  <c r="D47" i="21"/>
  <c r="E46" i="21"/>
  <c r="D45" i="21"/>
  <c r="E44" i="21"/>
  <c r="D43" i="21"/>
  <c r="E42" i="21"/>
  <c r="D41" i="21"/>
  <c r="E40" i="21"/>
  <c r="D39" i="21"/>
  <c r="E38" i="21"/>
  <c r="D37" i="21"/>
  <c r="E36" i="21"/>
  <c r="E121" i="23"/>
  <c r="E104" i="23"/>
  <c r="E102" i="23"/>
  <c r="E116" i="23" s="1"/>
  <c r="E118" i="23" s="1"/>
  <c r="E100" i="23"/>
  <c r="E98" i="23"/>
  <c r="E93" i="23"/>
  <c r="E91" i="23"/>
  <c r="E89" i="23"/>
  <c r="E87" i="23"/>
  <c r="E85" i="23"/>
  <c r="E83" i="23"/>
  <c r="E81" i="23"/>
  <c r="E79" i="23"/>
  <c r="E77" i="23"/>
  <c r="E75" i="23"/>
  <c r="E73" i="23"/>
  <c r="E71" i="23"/>
  <c r="E69" i="23"/>
  <c r="E67" i="23"/>
  <c r="E63" i="23"/>
  <c r="D62" i="23"/>
  <c r="E61" i="23"/>
  <c r="D60" i="23"/>
  <c r="E59" i="23"/>
  <c r="D58" i="23"/>
  <c r="E57" i="23"/>
  <c r="D56" i="23"/>
  <c r="E55" i="23"/>
  <c r="D54" i="23"/>
  <c r="E53" i="23"/>
  <c r="D52" i="23"/>
  <c r="E51" i="23"/>
  <c r="D50" i="23"/>
  <c r="E49" i="23"/>
  <c r="D48" i="23"/>
  <c r="E47" i="23"/>
  <c r="D46" i="23"/>
  <c r="E45" i="23"/>
  <c r="D44" i="23"/>
  <c r="E43" i="23"/>
  <c r="D42" i="23"/>
  <c r="E41" i="23"/>
  <c r="D40" i="23"/>
  <c r="E39" i="23"/>
  <c r="D38" i="23"/>
  <c r="E37" i="23"/>
  <c r="D36" i="23"/>
  <c r="E103" i="23"/>
  <c r="E101" i="23"/>
  <c r="E99" i="23"/>
  <c r="E94" i="23"/>
  <c r="E92" i="23"/>
  <c r="E90" i="23"/>
  <c r="E88" i="23"/>
  <c r="E86" i="23"/>
  <c r="E84" i="23"/>
  <c r="E82" i="23"/>
  <c r="E80" i="23"/>
  <c r="E78" i="23"/>
  <c r="E76" i="23"/>
  <c r="E74" i="23"/>
  <c r="E72" i="23"/>
  <c r="E70" i="23"/>
  <c r="E68" i="23"/>
  <c r="D63" i="23"/>
  <c r="E62" i="23"/>
  <c r="D61" i="23"/>
  <c r="E60" i="23"/>
  <c r="D59" i="23"/>
  <c r="E58" i="23"/>
  <c r="D57" i="23"/>
  <c r="E56" i="23"/>
  <c r="D55" i="23"/>
  <c r="E54" i="23"/>
  <c r="D53" i="23"/>
  <c r="E52" i="23"/>
  <c r="D51" i="23"/>
  <c r="E50" i="23"/>
  <c r="D49" i="23"/>
  <c r="E48" i="23"/>
  <c r="D47" i="23"/>
  <c r="E46" i="23"/>
  <c r="D45" i="23"/>
  <c r="E44" i="23"/>
  <c r="D43" i="23"/>
  <c r="E42" i="23"/>
  <c r="D41" i="23"/>
  <c r="E40" i="23"/>
  <c r="D39" i="23"/>
  <c r="E38" i="23"/>
  <c r="D37" i="23"/>
  <c r="E36" i="23"/>
  <c r="E121" i="25"/>
  <c r="E104" i="25"/>
  <c r="E102" i="25"/>
  <c r="E116" i="25" s="1"/>
  <c r="E118" i="25" s="1"/>
  <c r="E100" i="25"/>
  <c r="E98" i="25"/>
  <c r="E93" i="25"/>
  <c r="E91" i="25"/>
  <c r="E89" i="25"/>
  <c r="E87" i="25"/>
  <c r="E85" i="25"/>
  <c r="E83" i="25"/>
  <c r="E81" i="25"/>
  <c r="E79" i="25"/>
  <c r="E77" i="25"/>
  <c r="E75" i="25"/>
  <c r="E73" i="25"/>
  <c r="E71" i="25"/>
  <c r="E69" i="25"/>
  <c r="E67" i="25"/>
  <c r="E63" i="25"/>
  <c r="D62" i="25"/>
  <c r="E61" i="25"/>
  <c r="D60" i="25"/>
  <c r="E59" i="25"/>
  <c r="D58" i="25"/>
  <c r="E57" i="25"/>
  <c r="D56" i="25"/>
  <c r="E55" i="25"/>
  <c r="D54" i="25"/>
  <c r="E53" i="25"/>
  <c r="D52" i="25"/>
  <c r="E51" i="25"/>
  <c r="D50" i="25"/>
  <c r="E49" i="25"/>
  <c r="D48" i="25"/>
  <c r="E47" i="25"/>
  <c r="D46" i="25"/>
  <c r="E45" i="25"/>
  <c r="D44" i="25"/>
  <c r="E43" i="25"/>
  <c r="D42" i="25"/>
  <c r="E41" i="25"/>
  <c r="D40" i="25"/>
  <c r="E39" i="25"/>
  <c r="D38" i="25"/>
  <c r="E37" i="25"/>
  <c r="D36" i="25"/>
  <c r="E103" i="25"/>
  <c r="E101" i="25"/>
  <c r="E99" i="25"/>
  <c r="E94" i="25"/>
  <c r="E92" i="25"/>
  <c r="E90" i="25"/>
  <c r="E88" i="25"/>
  <c r="E86" i="25"/>
  <c r="E84" i="25"/>
  <c r="E82" i="25"/>
  <c r="E80" i="25"/>
  <c r="E78" i="25"/>
  <c r="E76" i="25"/>
  <c r="E74" i="25"/>
  <c r="E72" i="25"/>
  <c r="E70" i="25"/>
  <c r="E68" i="25"/>
  <c r="D63" i="25"/>
  <c r="E62" i="25"/>
  <c r="D61" i="25"/>
  <c r="E60" i="25"/>
  <c r="D59" i="25"/>
  <c r="E58" i="25"/>
  <c r="D57" i="25"/>
  <c r="E56" i="25"/>
  <c r="D55" i="25"/>
  <c r="E54" i="25"/>
  <c r="D53" i="25"/>
  <c r="E52" i="25"/>
  <c r="D51" i="25"/>
  <c r="E50" i="25"/>
  <c r="D49" i="25"/>
  <c r="E48" i="25"/>
  <c r="D47" i="25"/>
  <c r="E46" i="25"/>
  <c r="D45" i="25"/>
  <c r="E44" i="25"/>
  <c r="D43" i="25"/>
  <c r="E42" i="25"/>
  <c r="D41" i="25"/>
  <c r="E40" i="25"/>
  <c r="D39" i="25"/>
  <c r="E38" i="25"/>
  <c r="D37" i="25"/>
  <c r="E36" i="25"/>
  <c r="E121" i="27"/>
  <c r="E104" i="27"/>
  <c r="E102" i="27"/>
  <c r="E116" i="27" s="1"/>
  <c r="E118" i="27" s="1"/>
  <c r="E100" i="27"/>
  <c r="E98" i="27"/>
  <c r="E93" i="27"/>
  <c r="E91" i="27"/>
  <c r="E89" i="27"/>
  <c r="E87" i="27"/>
  <c r="E85" i="27"/>
  <c r="E83" i="27"/>
  <c r="E81" i="27"/>
  <c r="E79" i="27"/>
  <c r="E77" i="27"/>
  <c r="E75" i="27"/>
  <c r="E73" i="27"/>
  <c r="E71" i="27"/>
  <c r="E69" i="27"/>
  <c r="E67" i="27"/>
  <c r="E63" i="27"/>
  <c r="D62" i="27"/>
  <c r="E61" i="27"/>
  <c r="D60" i="27"/>
  <c r="E59" i="27"/>
  <c r="D58" i="27"/>
  <c r="E57" i="27"/>
  <c r="D56" i="27"/>
  <c r="E55" i="27"/>
  <c r="D54" i="27"/>
  <c r="E53" i="27"/>
  <c r="D52" i="27"/>
  <c r="E51" i="27"/>
  <c r="D50" i="27"/>
  <c r="E49" i="27"/>
  <c r="D48" i="27"/>
  <c r="E47" i="27"/>
  <c r="D46" i="27"/>
  <c r="E45" i="27"/>
  <c r="D44" i="27"/>
  <c r="E43" i="27"/>
  <c r="D42" i="27"/>
  <c r="E41" i="27"/>
  <c r="D40" i="27"/>
  <c r="E39" i="27"/>
  <c r="D38" i="27"/>
  <c r="E37" i="27"/>
  <c r="D36" i="27"/>
  <c r="E103" i="27"/>
  <c r="E101" i="27"/>
  <c r="E99" i="27"/>
  <c r="E94" i="27"/>
  <c r="E92" i="27"/>
  <c r="E90" i="27"/>
  <c r="E88" i="27"/>
  <c r="E86" i="27"/>
  <c r="E84" i="27"/>
  <c r="E82" i="27"/>
  <c r="E80" i="27"/>
  <c r="E78" i="27"/>
  <c r="E76" i="27"/>
  <c r="E74" i="27"/>
  <c r="E72" i="27"/>
  <c r="E70" i="27"/>
  <c r="E68" i="27"/>
  <c r="D63" i="27"/>
  <c r="E62" i="27"/>
  <c r="D61" i="27"/>
  <c r="E60" i="27"/>
  <c r="D59" i="27"/>
  <c r="E58" i="27"/>
  <c r="D57" i="27"/>
  <c r="E56" i="27"/>
  <c r="D55" i="27"/>
  <c r="E54" i="27"/>
  <c r="D53" i="27"/>
  <c r="E52" i="27"/>
  <c r="D51" i="27"/>
  <c r="E50" i="27"/>
  <c r="D49" i="27"/>
  <c r="E48" i="27"/>
  <c r="D47" i="27"/>
  <c r="E46" i="27"/>
  <c r="D45" i="27"/>
  <c r="E44" i="27"/>
  <c r="D43" i="27"/>
  <c r="E42" i="27"/>
  <c r="D41" i="27"/>
  <c r="E40" i="27"/>
  <c r="D39" i="27"/>
  <c r="E38" i="27"/>
  <c r="D37" i="27"/>
  <c r="E36" i="27"/>
  <c r="E121" i="29"/>
  <c r="E104" i="29"/>
  <c r="E102" i="29"/>
  <c r="E116" i="29" s="1"/>
  <c r="E118" i="29" s="1"/>
  <c r="E100" i="29"/>
  <c r="E98" i="29"/>
  <c r="E93" i="29"/>
  <c r="E91" i="29"/>
  <c r="E89" i="29"/>
  <c r="E87" i="29"/>
  <c r="E85" i="29"/>
  <c r="E83" i="29"/>
  <c r="E81" i="29"/>
  <c r="E79" i="29"/>
  <c r="E77" i="29"/>
  <c r="E75" i="29"/>
  <c r="E73" i="29"/>
  <c r="E71" i="29"/>
  <c r="E69" i="29"/>
  <c r="E67" i="29"/>
  <c r="E63" i="29"/>
  <c r="D62" i="29"/>
  <c r="E61" i="29"/>
  <c r="D60" i="29"/>
  <c r="E59" i="29"/>
  <c r="D58" i="29"/>
  <c r="E57" i="29"/>
  <c r="D56" i="29"/>
  <c r="E55" i="29"/>
  <c r="D54" i="29"/>
  <c r="E53" i="29"/>
  <c r="D52" i="29"/>
  <c r="E51" i="29"/>
  <c r="D50" i="29"/>
  <c r="E49" i="29"/>
  <c r="D48" i="29"/>
  <c r="E47" i="29"/>
  <c r="D46" i="29"/>
  <c r="E45" i="29"/>
  <c r="D44" i="29"/>
  <c r="E43" i="29"/>
  <c r="D42" i="29"/>
  <c r="E41" i="29"/>
  <c r="D40" i="29"/>
  <c r="E39" i="29"/>
  <c r="D38" i="29"/>
  <c r="E37" i="29"/>
  <c r="D36" i="29"/>
  <c r="E103" i="29"/>
  <c r="E101" i="29"/>
  <c r="E99" i="29"/>
  <c r="E94" i="29"/>
  <c r="E92" i="29"/>
  <c r="E90" i="29"/>
  <c r="E88" i="29"/>
  <c r="E86" i="29"/>
  <c r="E84" i="29"/>
  <c r="E82" i="29"/>
  <c r="E80" i="29"/>
  <c r="E78" i="29"/>
  <c r="E76" i="29"/>
  <c r="E74" i="29"/>
  <c r="E72" i="29"/>
  <c r="E70" i="29"/>
  <c r="E68" i="29"/>
  <c r="D63" i="29"/>
  <c r="E62" i="29"/>
  <c r="D61" i="29"/>
  <c r="E60" i="29"/>
  <c r="D59" i="29"/>
  <c r="E58" i="29"/>
  <c r="D57" i="29"/>
  <c r="E56" i="29"/>
  <c r="D55" i="29"/>
  <c r="E54" i="29"/>
  <c r="D53" i="29"/>
  <c r="E52" i="29"/>
  <c r="D51" i="29"/>
  <c r="E50" i="29"/>
  <c r="D49" i="29"/>
  <c r="E48" i="29"/>
  <c r="D47" i="29"/>
  <c r="E46" i="29"/>
  <c r="D45" i="29"/>
  <c r="E44" i="29"/>
  <c r="D43" i="29"/>
  <c r="E42" i="29"/>
  <c r="D41" i="29"/>
  <c r="E40" i="29"/>
  <c r="D39" i="29"/>
  <c r="E38" i="29"/>
  <c r="D37" i="29"/>
  <c r="E36" i="29"/>
  <c r="E121" i="31"/>
  <c r="E104" i="31"/>
  <c r="E102" i="31"/>
  <c r="E116" i="31" s="1"/>
  <c r="E118" i="31" s="1"/>
  <c r="E100" i="31"/>
  <c r="E98" i="31"/>
  <c r="E93" i="31"/>
  <c r="E91" i="31"/>
  <c r="E89" i="31"/>
  <c r="E87" i="31"/>
  <c r="E85" i="31"/>
  <c r="E83" i="31"/>
  <c r="E81" i="31"/>
  <c r="E79" i="31"/>
  <c r="E77" i="31"/>
  <c r="E75" i="31"/>
  <c r="E73" i="31"/>
  <c r="E71" i="31"/>
  <c r="E69" i="31"/>
  <c r="E67" i="31"/>
  <c r="E63" i="31"/>
  <c r="D62" i="31"/>
  <c r="E61" i="31"/>
  <c r="D60" i="31"/>
  <c r="E59" i="31"/>
  <c r="D58" i="31"/>
  <c r="E57" i="31"/>
  <c r="D56" i="31"/>
  <c r="E55" i="31"/>
  <c r="D54" i="31"/>
  <c r="E53" i="31"/>
  <c r="D52" i="31"/>
  <c r="E51" i="31"/>
  <c r="D50" i="31"/>
  <c r="E49" i="31"/>
  <c r="D48" i="31"/>
  <c r="E47" i="31"/>
  <c r="D46" i="31"/>
  <c r="E45" i="31"/>
  <c r="D44" i="31"/>
  <c r="E43" i="31"/>
  <c r="D42" i="31"/>
  <c r="E41" i="31"/>
  <c r="D40" i="31"/>
  <c r="E39" i="31"/>
  <c r="D38" i="31"/>
  <c r="E37" i="31"/>
  <c r="D36" i="31"/>
  <c r="E103" i="31"/>
  <c r="E101" i="31"/>
  <c r="E99" i="31"/>
  <c r="E94" i="31"/>
  <c r="E92" i="31"/>
  <c r="E90" i="31"/>
  <c r="E88" i="31"/>
  <c r="E86" i="31"/>
  <c r="E84" i="31"/>
  <c r="E82" i="31"/>
  <c r="E80" i="31"/>
  <c r="E78" i="31"/>
  <c r="E76" i="31"/>
  <c r="E74" i="31"/>
  <c r="E72" i="31"/>
  <c r="E70" i="31"/>
  <c r="E68" i="31"/>
  <c r="D63" i="31"/>
  <c r="E62" i="31"/>
  <c r="D61" i="31"/>
  <c r="E60" i="31"/>
  <c r="D59" i="31"/>
  <c r="E58" i="31"/>
  <c r="D57" i="31"/>
  <c r="E56" i="31"/>
  <c r="D55" i="31"/>
  <c r="E54" i="31"/>
  <c r="D53" i="31"/>
  <c r="E52" i="31"/>
  <c r="D51" i="31"/>
  <c r="E50" i="31"/>
  <c r="D49" i="31"/>
  <c r="E48" i="31"/>
  <c r="D47" i="31"/>
  <c r="E46" i="31"/>
  <c r="D45" i="31"/>
  <c r="E44" i="31"/>
  <c r="D43" i="31"/>
  <c r="E42" i="31"/>
  <c r="D41" i="31"/>
  <c r="E40" i="31"/>
  <c r="D39" i="31"/>
  <c r="E38" i="31"/>
  <c r="D37" i="31"/>
  <c r="E36" i="31"/>
  <c r="E104" i="33"/>
  <c r="E102" i="33"/>
  <c r="E116" i="33" s="1"/>
  <c r="E118" i="33" s="1"/>
  <c r="E100" i="33"/>
  <c r="E98" i="33"/>
  <c r="E93" i="33"/>
  <c r="E91" i="33"/>
  <c r="E89" i="33"/>
  <c r="E87" i="33"/>
  <c r="E85" i="33"/>
  <c r="E83" i="33"/>
  <c r="E81" i="33"/>
  <c r="E79" i="33"/>
  <c r="E77" i="33"/>
  <c r="E75" i="33"/>
  <c r="E73" i="33"/>
  <c r="E71" i="33"/>
  <c r="E69" i="33"/>
  <c r="E67" i="33"/>
  <c r="E63" i="33"/>
  <c r="D62" i="33"/>
  <c r="E61" i="33"/>
  <c r="D60" i="33"/>
  <c r="E59" i="33"/>
  <c r="D58" i="33"/>
  <c r="E57" i="33"/>
  <c r="D56" i="33"/>
  <c r="E55" i="33"/>
  <c r="D54" i="33"/>
  <c r="E53" i="33"/>
  <c r="D52" i="33"/>
  <c r="E51" i="33"/>
  <c r="D50" i="33"/>
  <c r="E49" i="33"/>
  <c r="D48" i="33"/>
  <c r="E47" i="33"/>
  <c r="D46" i="33"/>
  <c r="E45" i="33"/>
  <c r="D44" i="33"/>
  <c r="E43" i="33"/>
  <c r="D42" i="33"/>
  <c r="E41" i="33"/>
  <c r="D40" i="33"/>
  <c r="E39" i="33"/>
  <c r="D38" i="33"/>
  <c r="E37" i="33"/>
  <c r="D36" i="33"/>
  <c r="E103" i="33"/>
  <c r="E101" i="33"/>
  <c r="E99" i="33"/>
  <c r="E94" i="33"/>
  <c r="E92" i="33"/>
  <c r="E90" i="33"/>
  <c r="E88" i="33"/>
  <c r="E86" i="33"/>
  <c r="E84" i="33"/>
  <c r="E82" i="33"/>
  <c r="E80" i="33"/>
  <c r="E78" i="33"/>
  <c r="E76" i="33"/>
  <c r="E74" i="33"/>
  <c r="E72" i="33"/>
  <c r="E70" i="33"/>
  <c r="E68" i="33"/>
  <c r="D63" i="33"/>
  <c r="E62" i="33"/>
  <c r="D61" i="33"/>
  <c r="E60" i="33"/>
  <c r="D59" i="33"/>
  <c r="E58" i="33"/>
  <c r="D57" i="33"/>
  <c r="E56" i="33"/>
  <c r="D55" i="33"/>
  <c r="E54" i="33"/>
  <c r="D53" i="33"/>
  <c r="E52" i="33"/>
  <c r="D51" i="33"/>
  <c r="E50" i="33"/>
  <c r="D49" i="33"/>
  <c r="E48" i="33"/>
  <c r="D47" i="33"/>
  <c r="E46" i="33"/>
  <c r="D45" i="33"/>
  <c r="E44" i="33"/>
  <c r="D43" i="33"/>
  <c r="E42" i="33"/>
  <c r="D41" i="33"/>
  <c r="E40" i="33"/>
  <c r="D39" i="33"/>
  <c r="E38" i="33"/>
  <c r="D37" i="33"/>
  <c r="E36" i="33"/>
  <c r="E121" i="35"/>
  <c r="E104" i="35"/>
  <c r="E102" i="35"/>
  <c r="E116" i="35" s="1"/>
  <c r="E118" i="35" s="1"/>
  <c r="E100" i="35"/>
  <c r="E98" i="35"/>
  <c r="E93" i="35"/>
  <c r="E91" i="35"/>
  <c r="E89" i="35"/>
  <c r="E87" i="35"/>
  <c r="E85" i="35"/>
  <c r="E83" i="35"/>
  <c r="E81" i="35"/>
  <c r="E79" i="35"/>
  <c r="E77" i="35"/>
  <c r="E75" i="35"/>
  <c r="E73" i="35"/>
  <c r="E71" i="35"/>
  <c r="E69" i="35"/>
  <c r="E67" i="35"/>
  <c r="E63" i="35"/>
  <c r="D62" i="35"/>
  <c r="E61" i="35"/>
  <c r="D60" i="35"/>
  <c r="E59" i="35"/>
  <c r="D58" i="35"/>
  <c r="E57" i="35"/>
  <c r="D56" i="35"/>
  <c r="E55" i="35"/>
  <c r="D54" i="35"/>
  <c r="E53" i="35"/>
  <c r="D52" i="35"/>
  <c r="E51" i="35"/>
  <c r="D50" i="35"/>
  <c r="E49" i="35"/>
  <c r="D48" i="35"/>
  <c r="E47" i="35"/>
  <c r="D46" i="35"/>
  <c r="E45" i="35"/>
  <c r="D44" i="35"/>
  <c r="E43" i="35"/>
  <c r="D42" i="35"/>
  <c r="E41" i="35"/>
  <c r="D40" i="35"/>
  <c r="E39" i="35"/>
  <c r="D38" i="35"/>
  <c r="E37" i="35"/>
  <c r="D36" i="35"/>
  <c r="E103" i="35"/>
  <c r="E101" i="35"/>
  <c r="E99" i="35"/>
  <c r="E94" i="35"/>
  <c r="E92" i="35"/>
  <c r="E90" i="35"/>
  <c r="E88" i="35"/>
  <c r="E86" i="35"/>
  <c r="E84" i="35"/>
  <c r="E82" i="35"/>
  <c r="E80" i="35"/>
  <c r="E78" i="35"/>
  <c r="E76" i="35"/>
  <c r="E74" i="35"/>
  <c r="E72" i="35"/>
  <c r="E70" i="35"/>
  <c r="E68" i="35"/>
  <c r="D63" i="35"/>
  <c r="E62" i="35"/>
  <c r="D61" i="35"/>
  <c r="E60" i="35"/>
  <c r="D59" i="35"/>
  <c r="E58" i="35"/>
  <c r="D57" i="35"/>
  <c r="E56" i="35"/>
  <c r="D55" i="35"/>
  <c r="E54" i="35"/>
  <c r="D53" i="35"/>
  <c r="E52" i="35"/>
  <c r="D51" i="35"/>
  <c r="E50" i="35"/>
  <c r="D49" i="35"/>
  <c r="E48" i="35"/>
  <c r="D47" i="35"/>
  <c r="E46" i="35"/>
  <c r="D45" i="35"/>
  <c r="E44" i="35"/>
  <c r="D43" i="35"/>
  <c r="E42" i="35"/>
  <c r="D41" i="35"/>
  <c r="E40" i="35"/>
  <c r="D39" i="35"/>
  <c r="E38" i="35"/>
  <c r="D37" i="35"/>
  <c r="E36" i="35"/>
  <c r="E104" i="37"/>
  <c r="E102" i="37"/>
  <c r="E116" i="37" s="1"/>
  <c r="E118" i="37" s="1"/>
  <c r="E100" i="37"/>
  <c r="E98" i="37"/>
  <c r="E93" i="37"/>
  <c r="E91" i="37"/>
  <c r="E89" i="37"/>
  <c r="E87" i="37"/>
  <c r="E85" i="37"/>
  <c r="E83" i="37"/>
  <c r="E81" i="37"/>
  <c r="E79" i="37"/>
  <c r="E77" i="37"/>
  <c r="E75" i="37"/>
  <c r="E73" i="37"/>
  <c r="E71" i="37"/>
  <c r="E69" i="37"/>
  <c r="E67" i="37"/>
  <c r="E63" i="37"/>
  <c r="D62" i="37"/>
  <c r="E61" i="37"/>
  <c r="D60" i="37"/>
  <c r="E59" i="37"/>
  <c r="D58" i="37"/>
  <c r="E57" i="37"/>
  <c r="D56" i="37"/>
  <c r="E55" i="37"/>
  <c r="D54" i="37"/>
  <c r="E53" i="37"/>
  <c r="D52" i="37"/>
  <c r="E51" i="37"/>
  <c r="D50" i="37"/>
  <c r="E49" i="37"/>
  <c r="D48" i="37"/>
  <c r="E47" i="37"/>
  <c r="D46" i="37"/>
  <c r="E45" i="37"/>
  <c r="D44" i="37"/>
  <c r="E43" i="37"/>
  <c r="D42" i="37"/>
  <c r="E41" i="37"/>
  <c r="D40" i="37"/>
  <c r="E39" i="37"/>
  <c r="D38" i="37"/>
  <c r="E37" i="37"/>
  <c r="D36" i="37"/>
  <c r="E103" i="37"/>
  <c r="E101" i="37"/>
  <c r="E99" i="37"/>
  <c r="E94" i="37"/>
  <c r="E92" i="37"/>
  <c r="E90" i="37"/>
  <c r="E88" i="37"/>
  <c r="E86" i="37"/>
  <c r="E84" i="37"/>
  <c r="E82" i="37"/>
  <c r="E80" i="37"/>
  <c r="E78" i="37"/>
  <c r="E76" i="37"/>
  <c r="E74" i="37"/>
  <c r="E72" i="37"/>
  <c r="E70" i="37"/>
  <c r="E68" i="37"/>
  <c r="D63" i="37"/>
  <c r="E62" i="37"/>
  <c r="D61" i="37"/>
  <c r="E60" i="37"/>
  <c r="D59" i="37"/>
  <c r="E58" i="37"/>
  <c r="D57" i="37"/>
  <c r="E56" i="37"/>
  <c r="D55" i="37"/>
  <c r="E54" i="37"/>
  <c r="D53" i="37"/>
  <c r="E52" i="37"/>
  <c r="D51" i="37"/>
  <c r="E50" i="37"/>
  <c r="D49" i="37"/>
  <c r="E48" i="37"/>
  <c r="D47" i="37"/>
  <c r="E46" i="37"/>
  <c r="D45" i="37"/>
  <c r="E44" i="37"/>
  <c r="D43" i="37"/>
  <c r="E42" i="37"/>
  <c r="D41" i="37"/>
  <c r="E40" i="37"/>
  <c r="D39" i="37"/>
  <c r="E38" i="37"/>
  <c r="D37" i="37"/>
  <c r="E36" i="37"/>
  <c r="E121" i="39"/>
  <c r="E104" i="39"/>
  <c r="E102" i="39"/>
  <c r="E116" i="39" s="1"/>
  <c r="E118" i="39" s="1"/>
  <c r="E100" i="39"/>
  <c r="E98" i="39"/>
  <c r="E93" i="39"/>
  <c r="E91" i="39"/>
  <c r="E89" i="39"/>
  <c r="E87" i="39"/>
  <c r="E85" i="39"/>
  <c r="E83" i="39"/>
  <c r="E81" i="39"/>
  <c r="E79" i="39"/>
  <c r="E77" i="39"/>
  <c r="E75" i="39"/>
  <c r="E73" i="39"/>
  <c r="E71" i="39"/>
  <c r="E69" i="39"/>
  <c r="E67" i="39"/>
  <c r="E63" i="39"/>
  <c r="D62" i="39"/>
  <c r="E61" i="39"/>
  <c r="D60" i="39"/>
  <c r="E59" i="39"/>
  <c r="D58" i="39"/>
  <c r="E57" i="39"/>
  <c r="D56" i="39"/>
  <c r="E55" i="39"/>
  <c r="D54" i="39"/>
  <c r="E53" i="39"/>
  <c r="D52" i="39"/>
  <c r="E51" i="39"/>
  <c r="D50" i="39"/>
  <c r="E49" i="39"/>
  <c r="D48" i="39"/>
  <c r="E47" i="39"/>
  <c r="D46" i="39"/>
  <c r="E45" i="39"/>
  <c r="D44" i="39"/>
  <c r="E43" i="39"/>
  <c r="D42" i="39"/>
  <c r="E41" i="39"/>
  <c r="D40" i="39"/>
  <c r="E39" i="39"/>
  <c r="D38" i="39"/>
  <c r="E37" i="39"/>
  <c r="D36" i="39"/>
  <c r="E103" i="39"/>
  <c r="E101" i="39"/>
  <c r="E99" i="39"/>
  <c r="E94" i="39"/>
  <c r="E92" i="39"/>
  <c r="E90" i="39"/>
  <c r="E88" i="39"/>
  <c r="E86" i="39"/>
  <c r="E84" i="39"/>
  <c r="E82" i="39"/>
  <c r="E80" i="39"/>
  <c r="E78" i="39"/>
  <c r="E76" i="39"/>
  <c r="E74" i="39"/>
  <c r="E72" i="39"/>
  <c r="E70" i="39"/>
  <c r="E68" i="39"/>
  <c r="D63" i="39"/>
  <c r="E62" i="39"/>
  <c r="D61" i="39"/>
  <c r="E60" i="39"/>
  <c r="D59" i="39"/>
  <c r="E58" i="39"/>
  <c r="D57" i="39"/>
  <c r="E56" i="39"/>
  <c r="D55" i="39"/>
  <c r="E54" i="39"/>
  <c r="D53" i="39"/>
  <c r="E52" i="39"/>
  <c r="D51" i="39"/>
  <c r="E50" i="39"/>
  <c r="D49" i="39"/>
  <c r="E48" i="39"/>
  <c r="D47" i="39"/>
  <c r="E46" i="39"/>
  <c r="D45" i="39"/>
  <c r="E44" i="39"/>
  <c r="D43" i="39"/>
  <c r="E42" i="39"/>
  <c r="D41" i="39"/>
  <c r="E40" i="39"/>
  <c r="D39" i="39"/>
  <c r="E38" i="39"/>
  <c r="D37" i="39"/>
  <c r="E36" i="39"/>
  <c r="E103" i="41"/>
  <c r="E101" i="41"/>
  <c r="E99" i="41"/>
  <c r="E94" i="41"/>
  <c r="E92" i="41"/>
  <c r="E90" i="41"/>
  <c r="E88" i="41"/>
  <c r="E86" i="41"/>
  <c r="E84" i="41"/>
  <c r="E82" i="41"/>
  <c r="E80" i="41"/>
  <c r="E78" i="41"/>
  <c r="E76" i="41"/>
  <c r="E74" i="41"/>
  <c r="E72" i="41"/>
  <c r="E70" i="41"/>
  <c r="E68" i="41"/>
  <c r="D63" i="41"/>
  <c r="E62" i="41"/>
  <c r="D61" i="41"/>
  <c r="E60" i="41"/>
  <c r="D59" i="41"/>
  <c r="E58" i="41"/>
  <c r="D57" i="41"/>
  <c r="E56" i="41"/>
  <c r="D55" i="41"/>
  <c r="E54" i="41"/>
  <c r="D53" i="41"/>
  <c r="E52" i="41"/>
  <c r="D51" i="41"/>
  <c r="E50" i="41"/>
  <c r="D49" i="41"/>
  <c r="E48" i="41"/>
  <c r="D47" i="41"/>
  <c r="E46" i="41"/>
  <c r="D45" i="41"/>
  <c r="E44" i="41"/>
  <c r="D43" i="41"/>
  <c r="E42" i="41"/>
  <c r="D41" i="41"/>
  <c r="E40" i="41"/>
  <c r="D39" i="41"/>
  <c r="E38" i="41"/>
  <c r="D37" i="41"/>
  <c r="E36" i="41"/>
  <c r="E121" i="41"/>
  <c r="E104" i="41"/>
  <c r="E102" i="41"/>
  <c r="E116" i="41" s="1"/>
  <c r="E118" i="41" s="1"/>
  <c r="E100" i="41"/>
  <c r="E98" i="41"/>
  <c r="E93" i="41"/>
  <c r="E91" i="41"/>
  <c r="E89" i="41"/>
  <c r="E87" i="41"/>
  <c r="E85" i="41"/>
  <c r="E83" i="41"/>
  <c r="E81" i="41"/>
  <c r="E79" i="41"/>
  <c r="E77" i="41"/>
  <c r="E75" i="41"/>
  <c r="E73" i="41"/>
  <c r="E71" i="41"/>
  <c r="E69" i="41"/>
  <c r="E67" i="41"/>
  <c r="E63" i="41"/>
  <c r="D62" i="41"/>
  <c r="E61" i="41"/>
  <c r="D60" i="41"/>
  <c r="E59" i="41"/>
  <c r="D58" i="41"/>
  <c r="E57" i="41"/>
  <c r="D56" i="41"/>
  <c r="E55" i="41"/>
  <c r="D54" i="41"/>
  <c r="E53" i="41"/>
  <c r="D52" i="41"/>
  <c r="E51" i="41"/>
  <c r="D50" i="41"/>
  <c r="E49" i="41"/>
  <c r="D48" i="41"/>
  <c r="E47" i="41"/>
  <c r="D46" i="41"/>
  <c r="E45" i="41"/>
  <c r="D44" i="41"/>
  <c r="E43" i="41"/>
  <c r="D42" i="41"/>
  <c r="E41" i="41"/>
  <c r="D40" i="41"/>
  <c r="E39" i="41"/>
  <c r="D38" i="41"/>
  <c r="E37" i="41"/>
  <c r="D36" i="41"/>
  <c r="E103" i="43"/>
  <c r="E101" i="43"/>
  <c r="E99" i="43"/>
  <c r="E94" i="43"/>
  <c r="E92" i="43"/>
  <c r="E90" i="43"/>
  <c r="E88" i="43"/>
  <c r="E86" i="43"/>
  <c r="E84" i="43"/>
  <c r="E82" i="43"/>
  <c r="E80" i="43"/>
  <c r="E78" i="43"/>
  <c r="E76" i="43"/>
  <c r="E74" i="43"/>
  <c r="E72" i="43"/>
  <c r="E70" i="43"/>
  <c r="E68" i="43"/>
  <c r="D63" i="43"/>
  <c r="E62" i="43"/>
  <c r="D61" i="43"/>
  <c r="E60" i="43"/>
  <c r="D59" i="43"/>
  <c r="E58" i="43"/>
  <c r="D57" i="43"/>
  <c r="E56" i="43"/>
  <c r="D55" i="43"/>
  <c r="E54" i="43"/>
  <c r="D53" i="43"/>
  <c r="E52" i="43"/>
  <c r="D51" i="43"/>
  <c r="E50" i="43"/>
  <c r="D49" i="43"/>
  <c r="E48" i="43"/>
  <c r="D47" i="43"/>
  <c r="E46" i="43"/>
  <c r="D45" i="43"/>
  <c r="E44" i="43"/>
  <c r="D43" i="43"/>
  <c r="E42" i="43"/>
  <c r="D41" i="43"/>
  <c r="E40" i="43"/>
  <c r="D39" i="43"/>
  <c r="E38" i="43"/>
  <c r="D37" i="43"/>
  <c r="E36" i="43"/>
  <c r="E121" i="43"/>
  <c r="E104" i="43"/>
  <c r="E102" i="43"/>
  <c r="E116" i="43" s="1"/>
  <c r="E118" i="43" s="1"/>
  <c r="E100" i="43"/>
  <c r="E98" i="43"/>
  <c r="E93" i="43"/>
  <c r="E91" i="43"/>
  <c r="E89" i="43"/>
  <c r="E87" i="43"/>
  <c r="E85" i="43"/>
  <c r="E83" i="43"/>
  <c r="E81" i="43"/>
  <c r="E79" i="43"/>
  <c r="E77" i="43"/>
  <c r="E75" i="43"/>
  <c r="E73" i="43"/>
  <c r="E71" i="43"/>
  <c r="E69" i="43"/>
  <c r="E67" i="43"/>
  <c r="E63" i="43"/>
  <c r="D62" i="43"/>
  <c r="E61" i="43"/>
  <c r="D60" i="43"/>
  <c r="E59" i="43"/>
  <c r="D58" i="43"/>
  <c r="E57" i="43"/>
  <c r="D56" i="43"/>
  <c r="E55" i="43"/>
  <c r="D54" i="43"/>
  <c r="E53" i="43"/>
  <c r="D52" i="43"/>
  <c r="E51" i="43"/>
  <c r="D50" i="43"/>
  <c r="E49" i="43"/>
  <c r="D48" i="43"/>
  <c r="E47" i="43"/>
  <c r="D46" i="43"/>
  <c r="E45" i="43"/>
  <c r="D44" i="43"/>
  <c r="E43" i="43"/>
  <c r="D42" i="43"/>
  <c r="E41" i="43"/>
  <c r="D40" i="43"/>
  <c r="E39" i="43"/>
  <c r="D38" i="43"/>
  <c r="E37" i="43"/>
  <c r="D36" i="43"/>
  <c r="E103" i="45"/>
  <c r="E101" i="45"/>
  <c r="E99" i="45"/>
  <c r="E94" i="45"/>
  <c r="E92" i="45"/>
  <c r="E90" i="45"/>
  <c r="E88" i="45"/>
  <c r="E86" i="45"/>
  <c r="E84" i="45"/>
  <c r="E82" i="45"/>
  <c r="E80" i="45"/>
  <c r="E78" i="45"/>
  <c r="E76" i="45"/>
  <c r="E74" i="45"/>
  <c r="E72" i="45"/>
  <c r="E70" i="45"/>
  <c r="E68" i="45"/>
  <c r="D63" i="45"/>
  <c r="E62" i="45"/>
  <c r="D61" i="45"/>
  <c r="E60" i="45"/>
  <c r="D59" i="45"/>
  <c r="E58" i="45"/>
  <c r="D57" i="45"/>
  <c r="E56" i="45"/>
  <c r="D55" i="45"/>
  <c r="E54" i="45"/>
  <c r="D53" i="45"/>
  <c r="E52" i="45"/>
  <c r="D51" i="45"/>
  <c r="E50" i="45"/>
  <c r="D49" i="45"/>
  <c r="E48" i="45"/>
  <c r="D47" i="45"/>
  <c r="E46" i="45"/>
  <c r="D45" i="45"/>
  <c r="E44" i="45"/>
  <c r="D43" i="45"/>
  <c r="E42" i="45"/>
  <c r="D41" i="45"/>
  <c r="E40" i="45"/>
  <c r="D39" i="45"/>
  <c r="E38" i="45"/>
  <c r="D37" i="45"/>
  <c r="E36" i="45"/>
  <c r="E104" i="45"/>
  <c r="E102" i="45"/>
  <c r="E116" i="45" s="1"/>
  <c r="E118" i="45" s="1"/>
  <c r="E100" i="45"/>
  <c r="E98" i="45"/>
  <c r="E93" i="45"/>
  <c r="E91" i="45"/>
  <c r="E89" i="45"/>
  <c r="E87" i="45"/>
  <c r="E85" i="45"/>
  <c r="E83" i="45"/>
  <c r="E81" i="45"/>
  <c r="E79" i="45"/>
  <c r="E77" i="45"/>
  <c r="E75" i="45"/>
  <c r="E73" i="45"/>
  <c r="E71" i="45"/>
  <c r="E69" i="45"/>
  <c r="E67" i="45"/>
  <c r="E63" i="45"/>
  <c r="D62" i="45"/>
  <c r="E61" i="45"/>
  <c r="D60" i="45"/>
  <c r="E59" i="45"/>
  <c r="D58" i="45"/>
  <c r="E57" i="45"/>
  <c r="D56" i="45"/>
  <c r="E55" i="45"/>
  <c r="D54" i="45"/>
  <c r="E53" i="45"/>
  <c r="D52" i="45"/>
  <c r="E51" i="45"/>
  <c r="D50" i="45"/>
  <c r="E49" i="45"/>
  <c r="D48" i="45"/>
  <c r="E47" i="45"/>
  <c r="D46" i="45"/>
  <c r="E45" i="45"/>
  <c r="D44" i="45"/>
  <c r="E43" i="45"/>
  <c r="D42" i="45"/>
  <c r="E41" i="45"/>
  <c r="D40" i="45"/>
  <c r="E39" i="45"/>
  <c r="D38" i="45"/>
  <c r="E37" i="45"/>
  <c r="D36" i="45"/>
  <c r="E103" i="47"/>
  <c r="E101" i="47"/>
  <c r="E99" i="47"/>
  <c r="E94" i="47"/>
  <c r="E92" i="47"/>
  <c r="E90" i="47"/>
  <c r="E88" i="47"/>
  <c r="E86" i="47"/>
  <c r="E84" i="47"/>
  <c r="E82" i="47"/>
  <c r="E80" i="47"/>
  <c r="E78" i="47"/>
  <c r="E76" i="47"/>
  <c r="E74" i="47"/>
  <c r="E72" i="47"/>
  <c r="E70" i="47"/>
  <c r="E68" i="47"/>
  <c r="D63" i="47"/>
  <c r="E62" i="47"/>
  <c r="D61" i="47"/>
  <c r="E60" i="47"/>
  <c r="D59" i="47"/>
  <c r="E58" i="47"/>
  <c r="D57" i="47"/>
  <c r="E56" i="47"/>
  <c r="D55" i="47"/>
  <c r="E54" i="47"/>
  <c r="D53" i="47"/>
  <c r="E52" i="47"/>
  <c r="D51" i="47"/>
  <c r="E50" i="47"/>
  <c r="D49" i="47"/>
  <c r="E48" i="47"/>
  <c r="D47" i="47"/>
  <c r="E46" i="47"/>
  <c r="D45" i="47"/>
  <c r="E44" i="47"/>
  <c r="D43" i="47"/>
  <c r="E42" i="47"/>
  <c r="D41" i="47"/>
  <c r="E40" i="47"/>
  <c r="D39" i="47"/>
  <c r="E38" i="47"/>
  <c r="D37" i="47"/>
  <c r="E36" i="47"/>
  <c r="E121" i="47"/>
  <c r="E104" i="47"/>
  <c r="E102" i="47"/>
  <c r="E116" i="47" s="1"/>
  <c r="E118" i="47" s="1"/>
  <c r="E100" i="47"/>
  <c r="E98" i="47"/>
  <c r="E93" i="47"/>
  <c r="E91" i="47"/>
  <c r="E89" i="47"/>
  <c r="E87" i="47"/>
  <c r="E85" i="47"/>
  <c r="E83" i="47"/>
  <c r="E81" i="47"/>
  <c r="E79" i="47"/>
  <c r="E77" i="47"/>
  <c r="E75" i="47"/>
  <c r="E73" i="47"/>
  <c r="E71" i="47"/>
  <c r="E69" i="47"/>
  <c r="E67" i="47"/>
  <c r="E63" i="47"/>
  <c r="D62" i="47"/>
  <c r="E61" i="47"/>
  <c r="D60" i="47"/>
  <c r="E59" i="47"/>
  <c r="D58" i="47"/>
  <c r="E57" i="47"/>
  <c r="D56" i="47"/>
  <c r="E55" i="47"/>
  <c r="D54" i="47"/>
  <c r="E53" i="47"/>
  <c r="D52" i="47"/>
  <c r="E51" i="47"/>
  <c r="D50" i="47"/>
  <c r="E49" i="47"/>
  <c r="D48" i="47"/>
  <c r="E47" i="47"/>
  <c r="D46" i="47"/>
  <c r="E45" i="47"/>
  <c r="D44" i="47"/>
  <c r="E43" i="47"/>
  <c r="D42" i="47"/>
  <c r="E41" i="47"/>
  <c r="D40" i="47"/>
  <c r="E39" i="47"/>
  <c r="D38" i="47"/>
  <c r="E37" i="47"/>
  <c r="D36" i="47"/>
  <c r="E103" i="49"/>
  <c r="E101" i="49"/>
  <c r="E99" i="49"/>
  <c r="E94" i="49"/>
  <c r="E92" i="49"/>
  <c r="E90" i="49"/>
  <c r="E88" i="49"/>
  <c r="E86" i="49"/>
  <c r="E84" i="49"/>
  <c r="E82" i="49"/>
  <c r="E80" i="49"/>
  <c r="E78" i="49"/>
  <c r="E76" i="49"/>
  <c r="E74" i="49"/>
  <c r="E72" i="49"/>
  <c r="E70" i="49"/>
  <c r="E68" i="49"/>
  <c r="D63" i="49"/>
  <c r="E62" i="49"/>
  <c r="D61" i="49"/>
  <c r="E60" i="49"/>
  <c r="D59" i="49"/>
  <c r="E58" i="49"/>
  <c r="D57" i="49"/>
  <c r="E56" i="49"/>
  <c r="D55" i="49"/>
  <c r="E54" i="49"/>
  <c r="D53" i="49"/>
  <c r="E52" i="49"/>
  <c r="D51" i="49"/>
  <c r="E50" i="49"/>
  <c r="D49" i="49"/>
  <c r="E48" i="49"/>
  <c r="D47" i="49"/>
  <c r="E46" i="49"/>
  <c r="D45" i="49"/>
  <c r="E44" i="49"/>
  <c r="D43" i="49"/>
  <c r="E42" i="49"/>
  <c r="D41" i="49"/>
  <c r="E40" i="49"/>
  <c r="D39" i="49"/>
  <c r="E38" i="49"/>
  <c r="D37" i="49"/>
  <c r="E36" i="49"/>
  <c r="E121" i="49"/>
  <c r="E104" i="49"/>
  <c r="E102" i="49"/>
  <c r="E116" i="49" s="1"/>
  <c r="E118" i="49" s="1"/>
  <c r="E100" i="49"/>
  <c r="E98" i="49"/>
  <c r="E93" i="49"/>
  <c r="E91" i="49"/>
  <c r="E89" i="49"/>
  <c r="E87" i="49"/>
  <c r="E85" i="49"/>
  <c r="E83" i="49"/>
  <c r="E81" i="49"/>
  <c r="E79" i="49"/>
  <c r="E77" i="49"/>
  <c r="E75" i="49"/>
  <c r="E73" i="49"/>
  <c r="E71" i="49"/>
  <c r="E69" i="49"/>
  <c r="E67" i="49"/>
  <c r="E63" i="49"/>
  <c r="D62" i="49"/>
  <c r="E61" i="49"/>
  <c r="D60" i="49"/>
  <c r="E59" i="49"/>
  <c r="D58" i="49"/>
  <c r="E57" i="49"/>
  <c r="D56" i="49"/>
  <c r="E55" i="49"/>
  <c r="D54" i="49"/>
  <c r="E53" i="49"/>
  <c r="D52" i="49"/>
  <c r="E51" i="49"/>
  <c r="D50" i="49"/>
  <c r="E49" i="49"/>
  <c r="D48" i="49"/>
  <c r="E47" i="49"/>
  <c r="D46" i="49"/>
  <c r="E45" i="49"/>
  <c r="D44" i="49"/>
  <c r="E43" i="49"/>
  <c r="D42" i="49"/>
  <c r="E41" i="49"/>
  <c r="D40" i="49"/>
  <c r="E39" i="49"/>
  <c r="D38" i="49"/>
  <c r="E37" i="49"/>
  <c r="D36" i="49"/>
  <c r="E103" i="51"/>
  <c r="E101" i="51"/>
  <c r="E99" i="51"/>
  <c r="E94" i="51"/>
  <c r="E92" i="51"/>
  <c r="E90" i="51"/>
  <c r="E88" i="51"/>
  <c r="E86" i="51"/>
  <c r="E84" i="51"/>
  <c r="E82" i="51"/>
  <c r="E80" i="51"/>
  <c r="E78" i="51"/>
  <c r="E76" i="51"/>
  <c r="E74" i="51"/>
  <c r="E72" i="51"/>
  <c r="E70" i="51"/>
  <c r="E68" i="51"/>
  <c r="D63" i="51"/>
  <c r="E62" i="51"/>
  <c r="D61" i="51"/>
  <c r="E60" i="51"/>
  <c r="D59" i="51"/>
  <c r="E58" i="51"/>
  <c r="D57" i="51"/>
  <c r="E56" i="51"/>
  <c r="D55" i="51"/>
  <c r="E54" i="51"/>
  <c r="D53" i="51"/>
  <c r="E52" i="51"/>
  <c r="D51" i="51"/>
  <c r="E50" i="51"/>
  <c r="D49" i="51"/>
  <c r="E48" i="51"/>
  <c r="D47" i="51"/>
  <c r="E46" i="51"/>
  <c r="D45" i="51"/>
  <c r="E44" i="51"/>
  <c r="D43" i="51"/>
  <c r="E42" i="51"/>
  <c r="D41" i="51"/>
  <c r="E40" i="51"/>
  <c r="D39" i="51"/>
  <c r="E38" i="51"/>
  <c r="D37" i="51"/>
  <c r="E36" i="51"/>
  <c r="E121" i="51"/>
  <c r="E104" i="51"/>
  <c r="E102" i="51"/>
  <c r="E116" i="51" s="1"/>
  <c r="E118" i="51" s="1"/>
  <c r="E100" i="51"/>
  <c r="E98" i="51"/>
  <c r="E93" i="51"/>
  <c r="E91" i="51"/>
  <c r="E89" i="51"/>
  <c r="E87" i="51"/>
  <c r="E85" i="51"/>
  <c r="E83" i="51"/>
  <c r="E81" i="51"/>
  <c r="E79" i="51"/>
  <c r="E77" i="51"/>
  <c r="E75" i="51"/>
  <c r="E73" i="51"/>
  <c r="E71" i="51"/>
  <c r="E69" i="51"/>
  <c r="E67" i="51"/>
  <c r="E63" i="51"/>
  <c r="D62" i="51"/>
  <c r="E61" i="51"/>
  <c r="D60" i="51"/>
  <c r="E59" i="51"/>
  <c r="D58" i="51"/>
  <c r="E57" i="51"/>
  <c r="D56" i="51"/>
  <c r="E55" i="51"/>
  <c r="D54" i="51"/>
  <c r="E53" i="51"/>
  <c r="D52" i="51"/>
  <c r="E51" i="51"/>
  <c r="D50" i="51"/>
  <c r="E49" i="51"/>
  <c r="D48" i="51"/>
  <c r="E47" i="51"/>
  <c r="D46" i="51"/>
  <c r="E45" i="51"/>
  <c r="D44" i="51"/>
  <c r="E43" i="51"/>
  <c r="D42" i="51"/>
  <c r="E41" i="51"/>
  <c r="D40" i="51"/>
  <c r="E39" i="51"/>
  <c r="D38" i="51"/>
  <c r="E37" i="51"/>
  <c r="D36" i="51"/>
  <c r="E103" i="53"/>
  <c r="E101" i="53"/>
  <c r="E99" i="53"/>
  <c r="E94" i="53"/>
  <c r="E92" i="53"/>
  <c r="E90" i="53"/>
  <c r="E88" i="53"/>
  <c r="E86" i="53"/>
  <c r="E84" i="53"/>
  <c r="E82" i="53"/>
  <c r="E80" i="53"/>
  <c r="E78" i="53"/>
  <c r="E76" i="53"/>
  <c r="E74" i="53"/>
  <c r="E72" i="53"/>
  <c r="E70" i="53"/>
  <c r="E68" i="53"/>
  <c r="D63" i="53"/>
  <c r="E62" i="53"/>
  <c r="D61" i="53"/>
  <c r="E60" i="53"/>
  <c r="D59" i="53"/>
  <c r="E58" i="53"/>
  <c r="D57" i="53"/>
  <c r="E56" i="53"/>
  <c r="D55" i="53"/>
  <c r="E54" i="53"/>
  <c r="D53" i="53"/>
  <c r="E52" i="53"/>
  <c r="D51" i="53"/>
  <c r="E50" i="53"/>
  <c r="D49" i="53"/>
  <c r="E48" i="53"/>
  <c r="D47" i="53"/>
  <c r="E46" i="53"/>
  <c r="D45" i="53"/>
  <c r="E44" i="53"/>
  <c r="D43" i="53"/>
  <c r="E42" i="53"/>
  <c r="D41" i="53"/>
  <c r="E40" i="53"/>
  <c r="D39" i="53"/>
  <c r="E38" i="53"/>
  <c r="D37" i="53"/>
  <c r="E36" i="53"/>
  <c r="E121" i="53"/>
  <c r="E104" i="53"/>
  <c r="E102" i="53"/>
  <c r="E116" i="53" s="1"/>
  <c r="E118" i="53" s="1"/>
  <c r="E100" i="53"/>
  <c r="E98" i="53"/>
  <c r="E93" i="53"/>
  <c r="E91" i="53"/>
  <c r="E89" i="53"/>
  <c r="E87" i="53"/>
  <c r="E85" i="53"/>
  <c r="E83" i="53"/>
  <c r="E81" i="53"/>
  <c r="E79" i="53"/>
  <c r="E77" i="53"/>
  <c r="E75" i="53"/>
  <c r="E73" i="53"/>
  <c r="E71" i="53"/>
  <c r="E69" i="53"/>
  <c r="E67" i="53"/>
  <c r="E63" i="53"/>
  <c r="D62" i="53"/>
  <c r="E61" i="53"/>
  <c r="D60" i="53"/>
  <c r="E59" i="53"/>
  <c r="D58" i="53"/>
  <c r="E57" i="53"/>
  <c r="D56" i="53"/>
  <c r="E55" i="53"/>
  <c r="D54" i="53"/>
  <c r="E53" i="53"/>
  <c r="D52" i="53"/>
  <c r="E51" i="53"/>
  <c r="D50" i="53"/>
  <c r="E49" i="53"/>
  <c r="D48" i="53"/>
  <c r="E47" i="53"/>
  <c r="D46" i="53"/>
  <c r="E45" i="53"/>
  <c r="D44" i="53"/>
  <c r="E43" i="53"/>
  <c r="D42" i="53"/>
  <c r="E41" i="53"/>
  <c r="D40" i="53"/>
  <c r="E39" i="53"/>
  <c r="D38" i="53"/>
  <c r="E37" i="53"/>
  <c r="D36" i="53"/>
  <c r="E36" i="56"/>
  <c r="D37" i="56"/>
  <c r="E38" i="56"/>
  <c r="D39" i="56"/>
  <c r="E40" i="56"/>
  <c r="D41" i="56"/>
  <c r="E42" i="56"/>
  <c r="D43" i="56"/>
  <c r="E44" i="56"/>
  <c r="D45" i="56"/>
  <c r="E46" i="56"/>
  <c r="D47" i="56"/>
  <c r="E48" i="56"/>
  <c r="D49" i="56"/>
  <c r="E50" i="56"/>
  <c r="D51" i="56"/>
  <c r="E52" i="56"/>
  <c r="D53" i="56"/>
  <c r="E54" i="56"/>
  <c r="D55" i="56"/>
  <c r="E56" i="56"/>
  <c r="D57" i="56"/>
  <c r="E58" i="56"/>
  <c r="D59" i="56"/>
  <c r="E60" i="56"/>
  <c r="D61" i="56"/>
  <c r="E62" i="56"/>
  <c r="D63" i="56"/>
  <c r="E68" i="56"/>
  <c r="E70" i="56"/>
  <c r="E72" i="56"/>
  <c r="E74" i="56"/>
  <c r="E76" i="56"/>
  <c r="E78" i="56"/>
  <c r="E80" i="56"/>
  <c r="E82" i="56"/>
  <c r="E84" i="56"/>
  <c r="E86" i="56"/>
  <c r="E88" i="56"/>
  <c r="E90" i="56"/>
  <c r="E92" i="56"/>
  <c r="E94" i="56"/>
  <c r="E99" i="56"/>
  <c r="E101" i="56"/>
  <c r="E103" i="56"/>
  <c r="D36" i="55"/>
  <c r="E37" i="55"/>
  <c r="D38" i="55"/>
  <c r="E39" i="55"/>
  <c r="D40" i="55"/>
  <c r="E41" i="55"/>
  <c r="D42" i="55"/>
  <c r="E43" i="55"/>
  <c r="D44" i="55"/>
  <c r="E45" i="55"/>
  <c r="D46" i="55"/>
  <c r="E47" i="55"/>
  <c r="D48" i="55"/>
  <c r="E49" i="55"/>
  <c r="D50" i="55"/>
  <c r="E51" i="55"/>
  <c r="D52" i="55"/>
  <c r="E53" i="55"/>
  <c r="D54" i="55"/>
  <c r="E55" i="55"/>
  <c r="D56" i="55"/>
  <c r="E57" i="55"/>
  <c r="D58" i="55"/>
  <c r="E59" i="55"/>
  <c r="D60" i="55"/>
  <c r="E61" i="55"/>
  <c r="D62" i="55"/>
  <c r="E63" i="55"/>
  <c r="E67" i="55"/>
  <c r="E69" i="55"/>
  <c r="E71" i="55"/>
  <c r="E73" i="55"/>
  <c r="E75" i="55"/>
  <c r="E77" i="55"/>
  <c r="E79" i="55"/>
  <c r="E81" i="55"/>
  <c r="E83" i="55"/>
  <c r="E85" i="55"/>
  <c r="E87" i="55"/>
  <c r="E89" i="55"/>
  <c r="E91" i="55"/>
  <c r="E93" i="55"/>
  <c r="E98" i="55"/>
  <c r="E100" i="55"/>
  <c r="E102" i="55"/>
  <c r="E116" i="55" s="1"/>
  <c r="E118" i="55" s="1"/>
  <c r="E104" i="55"/>
  <c r="E121" i="55"/>
  <c r="E103" i="59"/>
  <c r="E101" i="59"/>
  <c r="E99" i="59"/>
  <c r="E94" i="59"/>
  <c r="E92" i="59"/>
  <c r="E90" i="59"/>
  <c r="E88" i="59"/>
  <c r="E86" i="59"/>
  <c r="E84" i="59"/>
  <c r="E82" i="59"/>
  <c r="E80" i="59"/>
  <c r="E78" i="59"/>
  <c r="E76" i="59"/>
  <c r="E74" i="59"/>
  <c r="E72" i="59"/>
  <c r="E70" i="59"/>
  <c r="E68" i="59"/>
  <c r="D63" i="59"/>
  <c r="E62" i="59"/>
  <c r="D61" i="59"/>
  <c r="E60" i="59"/>
  <c r="D59" i="59"/>
  <c r="E58" i="59"/>
  <c r="D57" i="59"/>
  <c r="E56" i="59"/>
  <c r="D55" i="59"/>
  <c r="E54" i="59"/>
  <c r="D53" i="59"/>
  <c r="E52" i="59"/>
  <c r="D51" i="59"/>
  <c r="E50" i="59"/>
  <c r="D49" i="59"/>
  <c r="E48" i="59"/>
  <c r="D47" i="59"/>
  <c r="E46" i="59"/>
  <c r="D45" i="59"/>
  <c r="E44" i="59"/>
  <c r="D43" i="59"/>
  <c r="E42" i="59"/>
  <c r="D41" i="59"/>
  <c r="E40" i="59"/>
  <c r="D39" i="59"/>
  <c r="E38" i="59"/>
  <c r="D37" i="59"/>
  <c r="E36" i="59"/>
  <c r="E121" i="59"/>
  <c r="E104" i="59"/>
  <c r="E102" i="59"/>
  <c r="E116" i="59" s="1"/>
  <c r="E118" i="59" s="1"/>
  <c r="E100" i="59"/>
  <c r="E98" i="59"/>
  <c r="E93" i="59"/>
  <c r="E91" i="59"/>
  <c r="E89" i="59"/>
  <c r="E87" i="59"/>
  <c r="E85" i="59"/>
  <c r="E83" i="59"/>
  <c r="E81" i="59"/>
  <c r="E79" i="59"/>
  <c r="E77" i="59"/>
  <c r="E75" i="59"/>
  <c r="E73" i="59"/>
  <c r="E71" i="59"/>
  <c r="E69" i="59"/>
  <c r="E67" i="59"/>
  <c r="E63" i="59"/>
  <c r="D62" i="59"/>
  <c r="E61" i="59"/>
  <c r="D60" i="59"/>
  <c r="E59" i="59"/>
  <c r="D58" i="59"/>
  <c r="E57" i="59"/>
  <c r="D56" i="59"/>
  <c r="E55" i="59"/>
  <c r="D54" i="59"/>
  <c r="E53" i="59"/>
  <c r="D52" i="59"/>
  <c r="E51" i="59"/>
  <c r="D50" i="59"/>
  <c r="E49" i="59"/>
  <c r="D48" i="59"/>
  <c r="E47" i="59"/>
  <c r="D46" i="59"/>
  <c r="E45" i="59"/>
  <c r="D44" i="59"/>
  <c r="E43" i="59"/>
  <c r="D42" i="59"/>
  <c r="E41" i="59"/>
  <c r="D40" i="59"/>
  <c r="E39" i="59"/>
  <c r="D38" i="59"/>
  <c r="E37" i="59"/>
  <c r="D36" i="59"/>
  <c r="E103" i="4"/>
  <c r="E101" i="4"/>
  <c r="E99" i="4"/>
  <c r="E94" i="4"/>
  <c r="E92" i="4"/>
  <c r="E90" i="4"/>
  <c r="E88" i="4"/>
  <c r="E86" i="4"/>
  <c r="E84" i="4"/>
  <c r="E82" i="4"/>
  <c r="E80" i="4"/>
  <c r="E78" i="4"/>
  <c r="E76" i="4"/>
  <c r="E74" i="4"/>
  <c r="E72" i="4"/>
  <c r="E70" i="4"/>
  <c r="E68" i="4"/>
  <c r="D63" i="4"/>
  <c r="E62" i="4"/>
  <c r="D61" i="4"/>
  <c r="E60" i="4"/>
  <c r="D59" i="4"/>
  <c r="E58" i="4"/>
  <c r="D57" i="4"/>
  <c r="E56" i="4"/>
  <c r="D55" i="4"/>
  <c r="E54" i="4"/>
  <c r="D53" i="4"/>
  <c r="E52" i="4"/>
  <c r="D51" i="4"/>
  <c r="E50" i="4"/>
  <c r="D49" i="4"/>
  <c r="E48" i="4"/>
  <c r="D47" i="4"/>
  <c r="E46" i="4"/>
  <c r="D45" i="4"/>
  <c r="E44" i="4"/>
  <c r="D43" i="4"/>
  <c r="E42" i="4"/>
  <c r="D41" i="4"/>
  <c r="E40" i="4"/>
  <c r="D39" i="4"/>
  <c r="E38" i="4"/>
  <c r="D37" i="4"/>
  <c r="E36" i="4"/>
  <c r="E121" i="4"/>
  <c r="E104" i="4"/>
  <c r="E102" i="4"/>
  <c r="E116" i="4" s="1"/>
  <c r="E118" i="4" s="1"/>
  <c r="E100" i="4"/>
  <c r="E98" i="4"/>
  <c r="E93" i="4"/>
  <c r="E91" i="4"/>
  <c r="E89" i="4"/>
  <c r="E87" i="4"/>
  <c r="E85" i="4"/>
  <c r="E83" i="4"/>
  <c r="E81" i="4"/>
  <c r="E79" i="4"/>
  <c r="E77" i="4"/>
  <c r="E75" i="4"/>
  <c r="E73" i="4"/>
  <c r="E71" i="4"/>
  <c r="E69" i="4"/>
  <c r="E67" i="4"/>
  <c r="E63" i="4"/>
  <c r="D62" i="4"/>
  <c r="E61" i="4"/>
  <c r="D60" i="4"/>
  <c r="E59" i="4"/>
  <c r="D58" i="4"/>
  <c r="E57" i="4"/>
  <c r="D56" i="4"/>
  <c r="E55" i="4"/>
  <c r="D54" i="4"/>
  <c r="E53" i="4"/>
  <c r="D52" i="4"/>
  <c r="E51" i="4"/>
  <c r="D50" i="4"/>
  <c r="E49" i="4"/>
  <c r="D48" i="4"/>
  <c r="E47" i="4"/>
  <c r="D46" i="4"/>
  <c r="E45" i="4"/>
  <c r="D44" i="4"/>
  <c r="E43" i="4"/>
  <c r="D42" i="4"/>
  <c r="E41" i="4"/>
  <c r="D40" i="4"/>
  <c r="E39" i="4"/>
  <c r="D38" i="4"/>
  <c r="E37" i="4"/>
  <c r="D36" i="4"/>
  <c r="E121" i="6"/>
  <c r="E104" i="6"/>
  <c r="E102" i="6"/>
  <c r="E100" i="6"/>
  <c r="E98" i="6"/>
  <c r="E93" i="6"/>
  <c r="E91" i="6"/>
  <c r="E89" i="6"/>
  <c r="E87" i="6"/>
  <c r="E85" i="6"/>
  <c r="E83" i="6"/>
  <c r="E81" i="6"/>
  <c r="E79" i="6"/>
  <c r="E77" i="6"/>
  <c r="E75" i="6"/>
  <c r="E73" i="6"/>
  <c r="E71" i="6"/>
  <c r="E69" i="6"/>
  <c r="E67" i="6"/>
  <c r="E63" i="6"/>
  <c r="D62" i="6"/>
  <c r="E61" i="6"/>
  <c r="D60" i="6"/>
  <c r="E59" i="6"/>
  <c r="D58" i="6"/>
  <c r="E57" i="6"/>
  <c r="D56" i="6"/>
  <c r="E55" i="6"/>
  <c r="D54" i="6"/>
  <c r="E53" i="6"/>
  <c r="D52" i="6"/>
  <c r="E51" i="6"/>
  <c r="D50" i="6"/>
  <c r="E49" i="6"/>
  <c r="D48" i="6"/>
  <c r="E47" i="6"/>
  <c r="D46" i="6"/>
  <c r="E45" i="6"/>
  <c r="D44" i="6"/>
  <c r="E43" i="6"/>
  <c r="D42" i="6"/>
  <c r="E41" i="6"/>
  <c r="D40" i="6"/>
  <c r="E39" i="6"/>
  <c r="D38" i="6"/>
  <c r="E37" i="6"/>
  <c r="D36" i="6"/>
  <c r="E103" i="6"/>
  <c r="E101" i="6"/>
  <c r="E99" i="6"/>
  <c r="E94" i="6"/>
  <c r="E92" i="6"/>
  <c r="E90" i="6"/>
  <c r="E88" i="6"/>
  <c r="E86" i="6"/>
  <c r="E84" i="6"/>
  <c r="E82" i="6"/>
  <c r="E80" i="6"/>
  <c r="E78" i="6"/>
  <c r="E76" i="6"/>
  <c r="E74" i="6"/>
  <c r="E72" i="6"/>
  <c r="E70" i="6"/>
  <c r="E68" i="6"/>
  <c r="D63" i="6"/>
  <c r="E62" i="6"/>
  <c r="D61" i="6"/>
  <c r="E60" i="6"/>
  <c r="D59" i="6"/>
  <c r="E58" i="6"/>
  <c r="D57" i="6"/>
  <c r="E56" i="6"/>
  <c r="D55" i="6"/>
  <c r="E54" i="6"/>
  <c r="D53" i="6"/>
  <c r="E52" i="6"/>
  <c r="D51" i="6"/>
  <c r="E50" i="6"/>
  <c r="D49" i="6"/>
  <c r="E48" i="6"/>
  <c r="D47" i="6"/>
  <c r="E46" i="6"/>
  <c r="D45" i="6"/>
  <c r="E44" i="6"/>
  <c r="D43" i="6"/>
  <c r="E42" i="6"/>
  <c r="D41" i="6"/>
  <c r="E40" i="6"/>
  <c r="D39" i="6"/>
  <c r="E38" i="6"/>
  <c r="D37" i="6"/>
  <c r="E36" i="6"/>
  <c r="E121" i="8"/>
  <c r="E104" i="8"/>
  <c r="E102" i="8"/>
  <c r="E116" i="8" s="1"/>
  <c r="E118" i="8" s="1"/>
  <c r="E100" i="8"/>
  <c r="E98" i="8"/>
  <c r="E93" i="8"/>
  <c r="E91" i="8"/>
  <c r="E89" i="8"/>
  <c r="E87" i="8"/>
  <c r="E85" i="8"/>
  <c r="E83" i="8"/>
  <c r="E81" i="8"/>
  <c r="E79" i="8"/>
  <c r="E77" i="8"/>
  <c r="E75" i="8"/>
  <c r="E73" i="8"/>
  <c r="E71" i="8"/>
  <c r="E69" i="8"/>
  <c r="E67" i="8"/>
  <c r="E63" i="8"/>
  <c r="D62" i="8"/>
  <c r="E61" i="8"/>
  <c r="D60" i="8"/>
  <c r="E59" i="8"/>
  <c r="D58" i="8"/>
  <c r="E57" i="8"/>
  <c r="D56" i="8"/>
  <c r="E55" i="8"/>
  <c r="D54" i="8"/>
  <c r="E53" i="8"/>
  <c r="D52" i="8"/>
  <c r="E51" i="8"/>
  <c r="D50" i="8"/>
  <c r="E49" i="8"/>
  <c r="D48" i="8"/>
  <c r="E47" i="8"/>
  <c r="D46" i="8"/>
  <c r="E45" i="8"/>
  <c r="D44" i="8"/>
  <c r="E43" i="8"/>
  <c r="D42" i="8"/>
  <c r="E41" i="8"/>
  <c r="E103" i="8"/>
  <c r="E101" i="8"/>
  <c r="E99" i="8"/>
  <c r="E94" i="8"/>
  <c r="E92" i="8"/>
  <c r="E90" i="8"/>
  <c r="E88" i="8"/>
  <c r="E86" i="8"/>
  <c r="E84" i="8"/>
  <c r="E82" i="8"/>
  <c r="E80" i="8"/>
  <c r="E78" i="8"/>
  <c r="E76" i="8"/>
  <c r="E74" i="8"/>
  <c r="E72" i="8"/>
  <c r="E70" i="8"/>
  <c r="E68" i="8"/>
  <c r="D63" i="8"/>
  <c r="E62" i="8"/>
  <c r="D61" i="8"/>
  <c r="E60" i="8"/>
  <c r="D59" i="8"/>
  <c r="E58" i="8"/>
  <c r="D57" i="8"/>
  <c r="E56" i="8"/>
  <c r="D55" i="8"/>
  <c r="E54" i="8"/>
  <c r="D53" i="8"/>
  <c r="E52" i="8"/>
  <c r="D51" i="8"/>
  <c r="E50" i="8"/>
  <c r="D49" i="8"/>
  <c r="E48" i="8"/>
  <c r="D47" i="8"/>
  <c r="E46" i="8"/>
  <c r="D45" i="8"/>
  <c r="E44" i="8"/>
  <c r="D43" i="8"/>
  <c r="E42" i="8"/>
  <c r="D41" i="8"/>
  <c r="D40" i="8"/>
  <c r="E39" i="8"/>
  <c r="D38" i="8"/>
  <c r="E37" i="8"/>
  <c r="D36" i="8"/>
  <c r="E40" i="8"/>
  <c r="D39" i="8"/>
  <c r="E38" i="8"/>
  <c r="D37" i="8"/>
  <c r="E36" i="8"/>
  <c r="E121" i="10"/>
  <c r="E104" i="10"/>
  <c r="E102" i="10"/>
  <c r="E116" i="10" s="1"/>
  <c r="E118" i="10" s="1"/>
  <c r="E100" i="10"/>
  <c r="E98" i="10"/>
  <c r="E93" i="10"/>
  <c r="E91" i="10"/>
  <c r="E89" i="10"/>
  <c r="E87" i="10"/>
  <c r="E85" i="10"/>
  <c r="E83" i="10"/>
  <c r="E81" i="10"/>
  <c r="E79" i="10"/>
  <c r="E77" i="10"/>
  <c r="E75" i="10"/>
  <c r="E73" i="10"/>
  <c r="E71" i="10"/>
  <c r="E69" i="10"/>
  <c r="E67" i="10"/>
  <c r="E63" i="10"/>
  <c r="D62" i="10"/>
  <c r="E61" i="10"/>
  <c r="D60" i="10"/>
  <c r="E59" i="10"/>
  <c r="D58" i="10"/>
  <c r="E57" i="10"/>
  <c r="D56" i="10"/>
  <c r="E55" i="10"/>
  <c r="D54" i="10"/>
  <c r="E53" i="10"/>
  <c r="D52" i="10"/>
  <c r="E51" i="10"/>
  <c r="D50" i="10"/>
  <c r="E49" i="10"/>
  <c r="D48" i="10"/>
  <c r="E47" i="10"/>
  <c r="D46" i="10"/>
  <c r="E45" i="10"/>
  <c r="D44" i="10"/>
  <c r="E43" i="10"/>
  <c r="D42" i="10"/>
  <c r="E41" i="10"/>
  <c r="D40" i="10"/>
  <c r="E39" i="10"/>
  <c r="D38" i="10"/>
  <c r="E37" i="10"/>
  <c r="D36" i="10"/>
  <c r="E103" i="10"/>
  <c r="E101" i="10"/>
  <c r="E99" i="10"/>
  <c r="E94" i="10"/>
  <c r="E92" i="10"/>
  <c r="E90" i="10"/>
  <c r="E88" i="10"/>
  <c r="E86" i="10"/>
  <c r="E84" i="10"/>
  <c r="E82" i="10"/>
  <c r="E80" i="10"/>
  <c r="E78" i="10"/>
  <c r="E76" i="10"/>
  <c r="E74" i="10"/>
  <c r="E72" i="10"/>
  <c r="E70" i="10"/>
  <c r="E68" i="10"/>
  <c r="D63" i="10"/>
  <c r="E62" i="10"/>
  <c r="D61" i="10"/>
  <c r="E60" i="10"/>
  <c r="D59" i="10"/>
  <c r="E58" i="10"/>
  <c r="D57" i="10"/>
  <c r="E56" i="10"/>
  <c r="D55" i="10"/>
  <c r="E54" i="10"/>
  <c r="D53" i="10"/>
  <c r="E52" i="10"/>
  <c r="D51" i="10"/>
  <c r="E50" i="10"/>
  <c r="D49" i="10"/>
  <c r="E48" i="10"/>
  <c r="D47" i="10"/>
  <c r="E46" i="10"/>
  <c r="D45" i="10"/>
  <c r="E44" i="10"/>
  <c r="D43" i="10"/>
  <c r="E42" i="10"/>
  <c r="D41" i="10"/>
  <c r="E40" i="10"/>
  <c r="D39" i="10"/>
  <c r="E38" i="10"/>
  <c r="D37" i="10"/>
  <c r="E36" i="10"/>
  <c r="E121" i="12"/>
  <c r="E104" i="12"/>
  <c r="E102" i="12"/>
  <c r="E116" i="12" s="1"/>
  <c r="E118" i="12" s="1"/>
  <c r="E100" i="12"/>
  <c r="E98" i="12"/>
  <c r="E93" i="12"/>
  <c r="E91" i="12"/>
  <c r="E89" i="12"/>
  <c r="E87" i="12"/>
  <c r="E85" i="12"/>
  <c r="E83" i="12"/>
  <c r="E81" i="12"/>
  <c r="E79" i="12"/>
  <c r="E77" i="12"/>
  <c r="E75" i="12"/>
  <c r="E73" i="12"/>
  <c r="E71" i="12"/>
  <c r="E69" i="12"/>
  <c r="E67" i="12"/>
  <c r="E63" i="12"/>
  <c r="D62" i="12"/>
  <c r="E61" i="12"/>
  <c r="D60" i="12"/>
  <c r="E59" i="12"/>
  <c r="D58" i="12"/>
  <c r="E57" i="12"/>
  <c r="E103" i="12"/>
  <c r="E101" i="12"/>
  <c r="E99" i="12"/>
  <c r="E94" i="12"/>
  <c r="E92" i="12"/>
  <c r="E90" i="12"/>
  <c r="E88" i="12"/>
  <c r="E86" i="12"/>
  <c r="E84" i="12"/>
  <c r="E82" i="12"/>
  <c r="E80" i="12"/>
  <c r="E78" i="12"/>
  <c r="E76" i="12"/>
  <c r="E74" i="12"/>
  <c r="E72" i="12"/>
  <c r="E70" i="12"/>
  <c r="E68" i="12"/>
  <c r="D63" i="12"/>
  <c r="E62" i="12"/>
  <c r="D61" i="12"/>
  <c r="E60" i="12"/>
  <c r="D59" i="12"/>
  <c r="E58" i="12"/>
  <c r="D57" i="12"/>
  <c r="E56" i="12"/>
  <c r="D55" i="12"/>
  <c r="E54" i="12"/>
  <c r="D53" i="12"/>
  <c r="E52" i="12"/>
  <c r="D51" i="12"/>
  <c r="E50" i="12"/>
  <c r="D49" i="12"/>
  <c r="E48" i="12"/>
  <c r="D47" i="12"/>
  <c r="E46" i="12"/>
  <c r="D45" i="12"/>
  <c r="E44" i="12"/>
  <c r="D43" i="12"/>
  <c r="E42" i="12"/>
  <c r="D41" i="12"/>
  <c r="E40" i="12"/>
  <c r="D39" i="12"/>
  <c r="E38" i="12"/>
  <c r="D37" i="12"/>
  <c r="E36" i="12"/>
  <c r="D56" i="12"/>
  <c r="E55" i="12"/>
  <c r="D54" i="12"/>
  <c r="E53" i="12"/>
  <c r="D52" i="12"/>
  <c r="E51" i="12"/>
  <c r="D50" i="12"/>
  <c r="E49" i="12"/>
  <c r="D48" i="12"/>
  <c r="E47" i="12"/>
  <c r="D46" i="12"/>
  <c r="E45" i="12"/>
  <c r="D44" i="12"/>
  <c r="E43" i="12"/>
  <c r="D42" i="12"/>
  <c r="E41" i="12"/>
  <c r="D40" i="12"/>
  <c r="E39" i="12"/>
  <c r="D38" i="12"/>
  <c r="E37" i="12"/>
  <c r="D36" i="12"/>
  <c r="E103" i="14"/>
  <c r="E101" i="14"/>
  <c r="E99" i="14"/>
  <c r="E94" i="14"/>
  <c r="E92" i="14"/>
  <c r="E90" i="14"/>
  <c r="E88" i="14"/>
  <c r="E86" i="14"/>
  <c r="E84" i="14"/>
  <c r="E82" i="14"/>
  <c r="E80" i="14"/>
  <c r="E78" i="14"/>
  <c r="E76" i="14"/>
  <c r="E74" i="14"/>
  <c r="E72" i="14"/>
  <c r="E70" i="14"/>
  <c r="E68" i="14"/>
  <c r="D63" i="14"/>
  <c r="E62" i="14"/>
  <c r="D61" i="14"/>
  <c r="E60" i="14"/>
  <c r="D59" i="14"/>
  <c r="E58" i="14"/>
  <c r="D57" i="14"/>
  <c r="E56" i="14"/>
  <c r="D55" i="14"/>
  <c r="E54" i="14"/>
  <c r="D53" i="14"/>
  <c r="E52" i="14"/>
  <c r="D51" i="14"/>
  <c r="E50" i="14"/>
  <c r="D49" i="14"/>
  <c r="E48" i="14"/>
  <c r="D47" i="14"/>
  <c r="E46" i="14"/>
  <c r="D45" i="14"/>
  <c r="E44" i="14"/>
  <c r="D43" i="14"/>
  <c r="E42" i="14"/>
  <c r="D41" i="14"/>
  <c r="E40" i="14"/>
  <c r="D39" i="14"/>
  <c r="E38" i="14"/>
  <c r="D37" i="14"/>
  <c r="E36" i="14"/>
  <c r="E121" i="14"/>
  <c r="E104" i="14"/>
  <c r="E102" i="14"/>
  <c r="E116" i="14" s="1"/>
  <c r="E118" i="14" s="1"/>
  <c r="E100" i="14"/>
  <c r="E98" i="14"/>
  <c r="E93" i="14"/>
  <c r="E91" i="14"/>
  <c r="E89" i="14"/>
  <c r="E87" i="14"/>
  <c r="E85" i="14"/>
  <c r="E83" i="14"/>
  <c r="E81" i="14"/>
  <c r="E79" i="14"/>
  <c r="E77" i="14"/>
  <c r="E75" i="14"/>
  <c r="E73" i="14"/>
  <c r="E71" i="14"/>
  <c r="E69" i="14"/>
  <c r="E67" i="14"/>
  <c r="E63" i="14"/>
  <c r="D62" i="14"/>
  <c r="E61" i="14"/>
  <c r="D60" i="14"/>
  <c r="E59" i="14"/>
  <c r="D58" i="14"/>
  <c r="E57" i="14"/>
  <c r="D56" i="14"/>
  <c r="E55" i="14"/>
  <c r="D54" i="14"/>
  <c r="E53" i="14"/>
  <c r="D52" i="14"/>
  <c r="E51" i="14"/>
  <c r="D50" i="14"/>
  <c r="E49" i="14"/>
  <c r="D48" i="14"/>
  <c r="E47" i="14"/>
  <c r="D46" i="14"/>
  <c r="E45" i="14"/>
  <c r="D44" i="14"/>
  <c r="E43" i="14"/>
  <c r="D42" i="14"/>
  <c r="E41" i="14"/>
  <c r="D40" i="14"/>
  <c r="E39" i="14"/>
  <c r="D38" i="14"/>
  <c r="E37" i="14"/>
  <c r="D36" i="14"/>
  <c r="E103" i="16"/>
  <c r="E101" i="16"/>
  <c r="E99" i="16"/>
  <c r="E94" i="16"/>
  <c r="E92" i="16"/>
  <c r="E90" i="16"/>
  <c r="E88" i="16"/>
  <c r="E86" i="16"/>
  <c r="E84" i="16"/>
  <c r="E82" i="16"/>
  <c r="E80" i="16"/>
  <c r="E78" i="16"/>
  <c r="E76" i="16"/>
  <c r="E74" i="16"/>
  <c r="E72" i="16"/>
  <c r="E70" i="16"/>
  <c r="E68" i="16"/>
  <c r="D63" i="16"/>
  <c r="E62" i="16"/>
  <c r="D61" i="16"/>
  <c r="E60" i="16"/>
  <c r="D59" i="16"/>
  <c r="E58" i="16"/>
  <c r="D57" i="16"/>
  <c r="E56" i="16"/>
  <c r="D55" i="16"/>
  <c r="E54" i="16"/>
  <c r="D53" i="16"/>
  <c r="E52" i="16"/>
  <c r="D51" i="16"/>
  <c r="E50" i="16"/>
  <c r="D49" i="16"/>
  <c r="E48" i="16"/>
  <c r="D47" i="16"/>
  <c r="E46" i="16"/>
  <c r="D45" i="16"/>
  <c r="E44" i="16"/>
  <c r="D43" i="16"/>
  <c r="E42" i="16"/>
  <c r="D41" i="16"/>
  <c r="E40" i="16"/>
  <c r="D39" i="16"/>
  <c r="E38" i="16"/>
  <c r="D37" i="16"/>
  <c r="E36" i="16"/>
  <c r="E121" i="16"/>
  <c r="E104" i="16"/>
  <c r="E102" i="16"/>
  <c r="E116" i="16" s="1"/>
  <c r="E118" i="16" s="1"/>
  <c r="E100" i="16"/>
  <c r="E98" i="16"/>
  <c r="E93" i="16"/>
  <c r="E91" i="16"/>
  <c r="E89" i="16"/>
  <c r="E87" i="16"/>
  <c r="E85" i="16"/>
  <c r="E83" i="16"/>
  <c r="E81" i="16"/>
  <c r="E79" i="16"/>
  <c r="E77" i="16"/>
  <c r="E75" i="16"/>
  <c r="E73" i="16"/>
  <c r="E71" i="16"/>
  <c r="E69" i="16"/>
  <c r="E67" i="16"/>
  <c r="E63" i="16"/>
  <c r="D62" i="16"/>
  <c r="E61" i="16"/>
  <c r="D60" i="16"/>
  <c r="E59" i="16"/>
  <c r="D58" i="16"/>
  <c r="E57" i="16"/>
  <c r="D56" i="16"/>
  <c r="E55" i="16"/>
  <c r="D54" i="16"/>
  <c r="E53" i="16"/>
  <c r="D52" i="16"/>
  <c r="E51" i="16"/>
  <c r="D50" i="16"/>
  <c r="E49" i="16"/>
  <c r="D48" i="16"/>
  <c r="E47" i="16"/>
  <c r="D46" i="16"/>
  <c r="E45" i="16"/>
  <c r="D44" i="16"/>
  <c r="E43" i="16"/>
  <c r="D42" i="16"/>
  <c r="E41" i="16"/>
  <c r="D40" i="16"/>
  <c r="E39" i="16"/>
  <c r="D38" i="16"/>
  <c r="E37" i="16"/>
  <c r="D36" i="16"/>
  <c r="E103" i="18"/>
  <c r="E101" i="18"/>
  <c r="E99" i="18"/>
  <c r="E94" i="18"/>
  <c r="E92" i="18"/>
  <c r="E90" i="18"/>
  <c r="E88" i="18"/>
  <c r="E86" i="18"/>
  <c r="E84" i="18"/>
  <c r="E82" i="18"/>
  <c r="E80" i="18"/>
  <c r="E78" i="18"/>
  <c r="E76" i="18"/>
  <c r="E74" i="18"/>
  <c r="E72" i="18"/>
  <c r="E70" i="18"/>
  <c r="E68" i="18"/>
  <c r="D63" i="18"/>
  <c r="E62" i="18"/>
  <c r="D61" i="18"/>
  <c r="E60" i="18"/>
  <c r="D59" i="18"/>
  <c r="E58" i="18"/>
  <c r="D57" i="18"/>
  <c r="E56" i="18"/>
  <c r="D55" i="18"/>
  <c r="E54" i="18"/>
  <c r="D53" i="18"/>
  <c r="E52" i="18"/>
  <c r="D51" i="18"/>
  <c r="E50" i="18"/>
  <c r="D49" i="18"/>
  <c r="E48" i="18"/>
  <c r="D47" i="18"/>
  <c r="E46" i="18"/>
  <c r="D45" i="18"/>
  <c r="E44" i="18"/>
  <c r="D43" i="18"/>
  <c r="E42" i="18"/>
  <c r="D41" i="18"/>
  <c r="E40" i="18"/>
  <c r="D39" i="18"/>
  <c r="E38" i="18"/>
  <c r="D37" i="18"/>
  <c r="E36" i="18"/>
  <c r="E121" i="18"/>
  <c r="E104" i="18"/>
  <c r="E102" i="18"/>
  <c r="E116" i="18" s="1"/>
  <c r="E118" i="18" s="1"/>
  <c r="E100" i="18"/>
  <c r="E98" i="18"/>
  <c r="E93" i="18"/>
  <c r="E91" i="18"/>
  <c r="E89" i="18"/>
  <c r="E87" i="18"/>
  <c r="E85" i="18"/>
  <c r="E83" i="18"/>
  <c r="E81" i="18"/>
  <c r="E79" i="18"/>
  <c r="E77" i="18"/>
  <c r="E75" i="18"/>
  <c r="E73" i="18"/>
  <c r="E71" i="18"/>
  <c r="E69" i="18"/>
  <c r="E67" i="18"/>
  <c r="E63" i="18"/>
  <c r="D62" i="18"/>
  <c r="E61" i="18"/>
  <c r="D60" i="18"/>
  <c r="E59" i="18"/>
  <c r="D58" i="18"/>
  <c r="E57" i="18"/>
  <c r="D56" i="18"/>
  <c r="E55" i="18"/>
  <c r="D54" i="18"/>
  <c r="E53" i="18"/>
  <c r="D52" i="18"/>
  <c r="E51" i="18"/>
  <c r="D50" i="18"/>
  <c r="E49" i="18"/>
  <c r="D48" i="18"/>
  <c r="E47" i="18"/>
  <c r="D46" i="18"/>
  <c r="E45" i="18"/>
  <c r="D44" i="18"/>
  <c r="E43" i="18"/>
  <c r="D42" i="18"/>
  <c r="E41" i="18"/>
  <c r="D40" i="18"/>
  <c r="E39" i="18"/>
  <c r="D38" i="18"/>
  <c r="E37" i="18"/>
  <c r="D36" i="18"/>
  <c r="E103" i="20"/>
  <c r="E101" i="20"/>
  <c r="E99" i="20"/>
  <c r="E94" i="20"/>
  <c r="E92" i="20"/>
  <c r="E90" i="20"/>
  <c r="E88" i="20"/>
  <c r="E86" i="20"/>
  <c r="E84" i="20"/>
  <c r="E82" i="20"/>
  <c r="E80" i="20"/>
  <c r="E78" i="20"/>
  <c r="E76" i="20"/>
  <c r="E74" i="20"/>
  <c r="E72" i="20"/>
  <c r="E70" i="20"/>
  <c r="E68" i="20"/>
  <c r="D63" i="20"/>
  <c r="E62" i="20"/>
  <c r="D61" i="20"/>
  <c r="E60" i="20"/>
  <c r="D59" i="20"/>
  <c r="E58" i="20"/>
  <c r="D57" i="20"/>
  <c r="E56" i="20"/>
  <c r="D55" i="20"/>
  <c r="E54" i="20"/>
  <c r="D53" i="20"/>
  <c r="E52" i="20"/>
  <c r="D51" i="20"/>
  <c r="E50" i="20"/>
  <c r="D49" i="20"/>
  <c r="E48" i="20"/>
  <c r="D47" i="20"/>
  <c r="E46" i="20"/>
  <c r="D45" i="20"/>
  <c r="E44" i="20"/>
  <c r="D43" i="20"/>
  <c r="E42" i="20"/>
  <c r="D41" i="20"/>
  <c r="E40" i="20"/>
  <c r="D39" i="20"/>
  <c r="E38" i="20"/>
  <c r="D37" i="20"/>
  <c r="E36" i="20"/>
  <c r="E121" i="20"/>
  <c r="E104" i="20"/>
  <c r="E102" i="20"/>
  <c r="E116" i="20" s="1"/>
  <c r="E118" i="20" s="1"/>
  <c r="E100" i="20"/>
  <c r="E98" i="20"/>
  <c r="E93" i="20"/>
  <c r="E91" i="20"/>
  <c r="E89" i="20"/>
  <c r="E87" i="20"/>
  <c r="E85" i="20"/>
  <c r="E83" i="20"/>
  <c r="E81" i="20"/>
  <c r="E79" i="20"/>
  <c r="E77" i="20"/>
  <c r="E75" i="20"/>
  <c r="E73" i="20"/>
  <c r="E71" i="20"/>
  <c r="E69" i="20"/>
  <c r="E67" i="20"/>
  <c r="E63" i="20"/>
  <c r="D62" i="20"/>
  <c r="E61" i="20"/>
  <c r="D60" i="20"/>
  <c r="E59" i="20"/>
  <c r="D58" i="20"/>
  <c r="E57" i="20"/>
  <c r="D56" i="20"/>
  <c r="E55" i="20"/>
  <c r="D54" i="20"/>
  <c r="E53" i="20"/>
  <c r="D52" i="20"/>
  <c r="E51" i="20"/>
  <c r="D50" i="20"/>
  <c r="E49" i="20"/>
  <c r="D48" i="20"/>
  <c r="E47" i="20"/>
  <c r="D46" i="20"/>
  <c r="E45" i="20"/>
  <c r="D44" i="20"/>
  <c r="E43" i="20"/>
  <c r="D42" i="20"/>
  <c r="E41" i="20"/>
  <c r="D40" i="20"/>
  <c r="E39" i="20"/>
  <c r="D38" i="20"/>
  <c r="E37" i="20"/>
  <c r="D36" i="20"/>
  <c r="E103" i="22"/>
  <c r="E101" i="22"/>
  <c r="E99" i="22"/>
  <c r="E94" i="22"/>
  <c r="E92" i="22"/>
  <c r="E90" i="22"/>
  <c r="E88" i="22"/>
  <c r="E86" i="22"/>
  <c r="E84" i="22"/>
  <c r="E82" i="22"/>
  <c r="E80" i="22"/>
  <c r="E78" i="22"/>
  <c r="E76" i="22"/>
  <c r="E74" i="22"/>
  <c r="E72" i="22"/>
  <c r="E70" i="22"/>
  <c r="E68" i="22"/>
  <c r="D63" i="22"/>
  <c r="E62" i="22"/>
  <c r="D61" i="22"/>
  <c r="E60" i="22"/>
  <c r="D59" i="22"/>
  <c r="E58" i="22"/>
  <c r="D57" i="22"/>
  <c r="E56" i="22"/>
  <c r="D55" i="22"/>
  <c r="E54" i="22"/>
  <c r="D53" i="22"/>
  <c r="E52" i="22"/>
  <c r="D51" i="22"/>
  <c r="E50" i="22"/>
  <c r="D49" i="22"/>
  <c r="E48" i="22"/>
  <c r="D47" i="22"/>
  <c r="E46" i="22"/>
  <c r="D45" i="22"/>
  <c r="E44" i="22"/>
  <c r="D43" i="22"/>
  <c r="E42" i="22"/>
  <c r="D41" i="22"/>
  <c r="E40" i="22"/>
  <c r="D39" i="22"/>
  <c r="E38" i="22"/>
  <c r="D37" i="22"/>
  <c r="E36" i="22"/>
  <c r="E121" i="22"/>
  <c r="E104" i="22"/>
  <c r="E102" i="22"/>
  <c r="E116" i="22" s="1"/>
  <c r="E118" i="22" s="1"/>
  <c r="E100" i="22"/>
  <c r="E98" i="22"/>
  <c r="E93" i="22"/>
  <c r="E91" i="22"/>
  <c r="E89" i="22"/>
  <c r="E87" i="22"/>
  <c r="E85" i="22"/>
  <c r="E83" i="22"/>
  <c r="E81" i="22"/>
  <c r="E79" i="22"/>
  <c r="E77" i="22"/>
  <c r="E75" i="22"/>
  <c r="E73" i="22"/>
  <c r="E71" i="22"/>
  <c r="E69" i="22"/>
  <c r="E67" i="22"/>
  <c r="E63" i="22"/>
  <c r="D62" i="22"/>
  <c r="E61" i="22"/>
  <c r="D60" i="22"/>
  <c r="E59" i="22"/>
  <c r="D58" i="22"/>
  <c r="E57" i="22"/>
  <c r="D56" i="22"/>
  <c r="E55" i="22"/>
  <c r="D54" i="22"/>
  <c r="E53" i="22"/>
  <c r="D52" i="22"/>
  <c r="E51" i="22"/>
  <c r="D50" i="22"/>
  <c r="E49" i="22"/>
  <c r="D48" i="22"/>
  <c r="E47" i="22"/>
  <c r="D46" i="22"/>
  <c r="E45" i="22"/>
  <c r="D44" i="22"/>
  <c r="E43" i="22"/>
  <c r="D42" i="22"/>
  <c r="E41" i="22"/>
  <c r="D40" i="22"/>
  <c r="E39" i="22"/>
  <c r="D38" i="22"/>
  <c r="E37" i="22"/>
  <c r="D36" i="22"/>
  <c r="E103" i="24"/>
  <c r="E101" i="24"/>
  <c r="E99" i="24"/>
  <c r="E94" i="24"/>
  <c r="E92" i="24"/>
  <c r="E90" i="24"/>
  <c r="E88" i="24"/>
  <c r="E86" i="24"/>
  <c r="E84" i="24"/>
  <c r="E82" i="24"/>
  <c r="E80" i="24"/>
  <c r="E78" i="24"/>
  <c r="E76" i="24"/>
  <c r="E74" i="24"/>
  <c r="E72" i="24"/>
  <c r="E70" i="24"/>
  <c r="E68" i="24"/>
  <c r="D63" i="24"/>
  <c r="E62" i="24"/>
  <c r="D61" i="24"/>
  <c r="D30" i="24" s="1"/>
  <c r="E60" i="24"/>
  <c r="D59" i="24"/>
  <c r="E58" i="24"/>
  <c r="D57" i="24"/>
  <c r="D26" i="24" s="1"/>
  <c r="E56" i="24"/>
  <c r="D55" i="24"/>
  <c r="E54" i="24"/>
  <c r="D53" i="24"/>
  <c r="D22" i="24" s="1"/>
  <c r="E52" i="24"/>
  <c r="D51" i="24"/>
  <c r="E50" i="24"/>
  <c r="D49" i="24"/>
  <c r="D18" i="24" s="1"/>
  <c r="E48" i="24"/>
  <c r="D47" i="24"/>
  <c r="E46" i="24"/>
  <c r="D45" i="24"/>
  <c r="D14" i="24" s="1"/>
  <c r="E44" i="24"/>
  <c r="D43" i="24"/>
  <c r="E42" i="24"/>
  <c r="D41" i="24"/>
  <c r="D10" i="24" s="1"/>
  <c r="E40" i="24"/>
  <c r="D39" i="24"/>
  <c r="E38" i="24"/>
  <c r="D37" i="24"/>
  <c r="D6" i="24" s="1"/>
  <c r="E36" i="24"/>
  <c r="E121" i="24"/>
  <c r="E104" i="24"/>
  <c r="E102" i="24"/>
  <c r="E116" i="24" s="1"/>
  <c r="E118" i="24" s="1"/>
  <c r="E100" i="24"/>
  <c r="E98" i="24"/>
  <c r="E93" i="24"/>
  <c r="E91" i="24"/>
  <c r="E89" i="24"/>
  <c r="E87" i="24"/>
  <c r="E85" i="24"/>
  <c r="E83" i="24"/>
  <c r="E81" i="24"/>
  <c r="E79" i="24"/>
  <c r="E77" i="24"/>
  <c r="E75" i="24"/>
  <c r="E73" i="24"/>
  <c r="E71" i="24"/>
  <c r="E69" i="24"/>
  <c r="E67" i="24"/>
  <c r="E63" i="24"/>
  <c r="D62" i="24"/>
  <c r="E61" i="24"/>
  <c r="D60" i="24"/>
  <c r="E59" i="24"/>
  <c r="D58" i="24"/>
  <c r="E57" i="24"/>
  <c r="D56" i="24"/>
  <c r="E55" i="24"/>
  <c r="D54" i="24"/>
  <c r="E53" i="24"/>
  <c r="D52" i="24"/>
  <c r="E51" i="24"/>
  <c r="D50" i="24"/>
  <c r="E49" i="24"/>
  <c r="D48" i="24"/>
  <c r="E47" i="24"/>
  <c r="D46" i="24"/>
  <c r="E45" i="24"/>
  <c r="D44" i="24"/>
  <c r="E43" i="24"/>
  <c r="D42" i="24"/>
  <c r="E41" i="24"/>
  <c r="D40" i="24"/>
  <c r="E39" i="24"/>
  <c r="D38" i="24"/>
  <c r="E37" i="24"/>
  <c r="D36" i="24"/>
  <c r="E103" i="26"/>
  <c r="E101" i="26"/>
  <c r="E99" i="26"/>
  <c r="E94" i="26"/>
  <c r="E92" i="26"/>
  <c r="E90" i="26"/>
  <c r="E88" i="26"/>
  <c r="E86" i="26"/>
  <c r="E84" i="26"/>
  <c r="E82" i="26"/>
  <c r="E80" i="26"/>
  <c r="E78" i="26"/>
  <c r="E76" i="26"/>
  <c r="E74" i="26"/>
  <c r="E72" i="26"/>
  <c r="E70" i="26"/>
  <c r="E68" i="26"/>
  <c r="D63" i="26"/>
  <c r="E62" i="26"/>
  <c r="D61" i="26"/>
  <c r="E60" i="26"/>
  <c r="D59" i="26"/>
  <c r="E58" i="26"/>
  <c r="D57" i="26"/>
  <c r="E56" i="26"/>
  <c r="D55" i="26"/>
  <c r="E54" i="26"/>
  <c r="D53" i="26"/>
  <c r="E52" i="26"/>
  <c r="D51" i="26"/>
  <c r="E50" i="26"/>
  <c r="D49" i="26"/>
  <c r="E48" i="26"/>
  <c r="E121" i="26"/>
  <c r="E104" i="26"/>
  <c r="E102" i="26"/>
  <c r="E116" i="26" s="1"/>
  <c r="E118" i="26" s="1"/>
  <c r="E100" i="26"/>
  <c r="E98" i="26"/>
  <c r="E93" i="26"/>
  <c r="E91" i="26"/>
  <c r="E89" i="26"/>
  <c r="E87" i="26"/>
  <c r="E85" i="26"/>
  <c r="E83" i="26"/>
  <c r="E81" i="26"/>
  <c r="E79" i="26"/>
  <c r="E77" i="26"/>
  <c r="E75" i="26"/>
  <c r="E73" i="26"/>
  <c r="E71" i="26"/>
  <c r="E69" i="26"/>
  <c r="E67" i="26"/>
  <c r="E63" i="26"/>
  <c r="D62" i="26"/>
  <c r="E61" i="26"/>
  <c r="D60" i="26"/>
  <c r="E59" i="26"/>
  <c r="D58" i="26"/>
  <c r="E57" i="26"/>
  <c r="D56" i="26"/>
  <c r="E55" i="26"/>
  <c r="D54" i="26"/>
  <c r="E53" i="26"/>
  <c r="D52" i="26"/>
  <c r="E51" i="26"/>
  <c r="D50" i="26"/>
  <c r="E49" i="26"/>
  <c r="D48" i="26"/>
  <c r="D47" i="26"/>
  <c r="E46" i="26"/>
  <c r="D45" i="26"/>
  <c r="E44" i="26"/>
  <c r="D43" i="26"/>
  <c r="E42" i="26"/>
  <c r="D41" i="26"/>
  <c r="E40" i="26"/>
  <c r="D39" i="26"/>
  <c r="E38" i="26"/>
  <c r="D37" i="26"/>
  <c r="E36" i="26"/>
  <c r="E47" i="26"/>
  <c r="D46" i="26"/>
  <c r="E45" i="26"/>
  <c r="D44" i="26"/>
  <c r="E43" i="26"/>
  <c r="D42" i="26"/>
  <c r="E41" i="26"/>
  <c r="D40" i="26"/>
  <c r="E39" i="26"/>
  <c r="D38" i="26"/>
  <c r="E37" i="26"/>
  <c r="D36" i="26"/>
  <c r="E103" i="28"/>
  <c r="E101" i="28"/>
  <c r="E99" i="28"/>
  <c r="E94" i="28"/>
  <c r="E92" i="28"/>
  <c r="E90" i="28"/>
  <c r="E88" i="28"/>
  <c r="E86" i="28"/>
  <c r="E84" i="28"/>
  <c r="E82" i="28"/>
  <c r="E80" i="28"/>
  <c r="E78" i="28"/>
  <c r="E76" i="28"/>
  <c r="E74" i="28"/>
  <c r="E72" i="28"/>
  <c r="E70" i="28"/>
  <c r="E68" i="28"/>
  <c r="D63" i="28"/>
  <c r="E62" i="28"/>
  <c r="D61" i="28"/>
  <c r="E60" i="28"/>
  <c r="D59" i="28"/>
  <c r="E58" i="28"/>
  <c r="D57" i="28"/>
  <c r="E56" i="28"/>
  <c r="D55" i="28"/>
  <c r="E54" i="28"/>
  <c r="D53" i="28"/>
  <c r="E52" i="28"/>
  <c r="D51" i="28"/>
  <c r="E50" i="28"/>
  <c r="D49" i="28"/>
  <c r="E48" i="28"/>
  <c r="D47" i="28"/>
  <c r="E46" i="28"/>
  <c r="D45" i="28"/>
  <c r="E44" i="28"/>
  <c r="D43" i="28"/>
  <c r="E42" i="28"/>
  <c r="D41" i="28"/>
  <c r="E40" i="28"/>
  <c r="D39" i="28"/>
  <c r="E38" i="28"/>
  <c r="D37" i="28"/>
  <c r="E36" i="28"/>
  <c r="E121" i="28"/>
  <c r="E104" i="28"/>
  <c r="E102" i="28"/>
  <c r="E116" i="28" s="1"/>
  <c r="E118" i="28" s="1"/>
  <c r="E100" i="28"/>
  <c r="E98" i="28"/>
  <c r="E93" i="28"/>
  <c r="E91" i="28"/>
  <c r="E89" i="28"/>
  <c r="E87" i="28"/>
  <c r="E85" i="28"/>
  <c r="E83" i="28"/>
  <c r="E81" i="28"/>
  <c r="E79" i="28"/>
  <c r="E77" i="28"/>
  <c r="E75" i="28"/>
  <c r="E73" i="28"/>
  <c r="E71" i="28"/>
  <c r="E69" i="28"/>
  <c r="E67" i="28"/>
  <c r="E63" i="28"/>
  <c r="D62" i="28"/>
  <c r="E61" i="28"/>
  <c r="D60" i="28"/>
  <c r="E59" i="28"/>
  <c r="D58" i="28"/>
  <c r="E57" i="28"/>
  <c r="D56" i="28"/>
  <c r="E55" i="28"/>
  <c r="D54" i="28"/>
  <c r="E53" i="28"/>
  <c r="D52" i="28"/>
  <c r="E51" i="28"/>
  <c r="D50" i="28"/>
  <c r="E49" i="28"/>
  <c r="D48" i="28"/>
  <c r="E47" i="28"/>
  <c r="D46" i="28"/>
  <c r="E45" i="28"/>
  <c r="D44" i="28"/>
  <c r="E43" i="28"/>
  <c r="D42" i="28"/>
  <c r="E41" i="28"/>
  <c r="D40" i="28"/>
  <c r="E39" i="28"/>
  <c r="D38" i="28"/>
  <c r="E37" i="28"/>
  <c r="D36" i="28"/>
  <c r="E103" i="30"/>
  <c r="E101" i="30"/>
  <c r="E99" i="30"/>
  <c r="E94" i="30"/>
  <c r="E92" i="30"/>
  <c r="E90" i="30"/>
  <c r="E88" i="30"/>
  <c r="E86" i="30"/>
  <c r="E84" i="30"/>
  <c r="E82" i="30"/>
  <c r="E80" i="30"/>
  <c r="E78" i="30"/>
  <c r="E76" i="30"/>
  <c r="E74" i="30"/>
  <c r="E72" i="30"/>
  <c r="E70" i="30"/>
  <c r="E68" i="30"/>
  <c r="D63" i="30"/>
  <c r="E62" i="30"/>
  <c r="D61" i="30"/>
  <c r="E60" i="30"/>
  <c r="D59" i="30"/>
  <c r="E58" i="30"/>
  <c r="D57" i="30"/>
  <c r="E56" i="30"/>
  <c r="D55" i="30"/>
  <c r="E54" i="30"/>
  <c r="D53" i="30"/>
  <c r="E52" i="30"/>
  <c r="D51" i="30"/>
  <c r="E50" i="30"/>
  <c r="D49" i="30"/>
  <c r="E48" i="30"/>
  <c r="D47" i="30"/>
  <c r="E46" i="30"/>
  <c r="D45" i="30"/>
  <c r="E44" i="30"/>
  <c r="D43" i="30"/>
  <c r="E42" i="30"/>
  <c r="D41" i="30"/>
  <c r="E40" i="30"/>
  <c r="D39" i="30"/>
  <c r="E38" i="30"/>
  <c r="D37" i="30"/>
  <c r="E36" i="30"/>
  <c r="E121" i="30"/>
  <c r="E104" i="30"/>
  <c r="E102" i="30"/>
  <c r="E116" i="30" s="1"/>
  <c r="E118" i="30" s="1"/>
  <c r="E100" i="30"/>
  <c r="E98" i="30"/>
  <c r="E93" i="30"/>
  <c r="E91" i="30"/>
  <c r="E89" i="30"/>
  <c r="E87" i="30"/>
  <c r="E85" i="30"/>
  <c r="E83" i="30"/>
  <c r="E81" i="30"/>
  <c r="E79" i="30"/>
  <c r="E77" i="30"/>
  <c r="E75" i="30"/>
  <c r="E73" i="30"/>
  <c r="E71" i="30"/>
  <c r="E69" i="30"/>
  <c r="E67" i="30"/>
  <c r="E63" i="30"/>
  <c r="D62" i="30"/>
  <c r="E61" i="30"/>
  <c r="D60" i="30"/>
  <c r="E59" i="30"/>
  <c r="D58" i="30"/>
  <c r="E57" i="30"/>
  <c r="D56" i="30"/>
  <c r="E55" i="30"/>
  <c r="D54" i="30"/>
  <c r="E53" i="30"/>
  <c r="D52" i="30"/>
  <c r="E51" i="30"/>
  <c r="D50" i="30"/>
  <c r="E49" i="30"/>
  <c r="D48" i="30"/>
  <c r="E47" i="30"/>
  <c r="D46" i="30"/>
  <c r="E45" i="30"/>
  <c r="D44" i="30"/>
  <c r="E43" i="30"/>
  <c r="D42" i="30"/>
  <c r="E41" i="30"/>
  <c r="D40" i="30"/>
  <c r="E39" i="30"/>
  <c r="D38" i="30"/>
  <c r="E37" i="30"/>
  <c r="D36" i="30"/>
  <c r="E103" i="32"/>
  <c r="E101" i="32"/>
  <c r="E99" i="32"/>
  <c r="E94" i="32"/>
  <c r="E92" i="32"/>
  <c r="E90" i="32"/>
  <c r="E88" i="32"/>
  <c r="E86" i="32"/>
  <c r="E84" i="32"/>
  <c r="E82" i="32"/>
  <c r="E80" i="32"/>
  <c r="E78" i="32"/>
  <c r="E76" i="32"/>
  <c r="E74" i="32"/>
  <c r="E72" i="32"/>
  <c r="E70" i="32"/>
  <c r="E68" i="32"/>
  <c r="D63" i="32"/>
  <c r="E62" i="32"/>
  <c r="D61" i="32"/>
  <c r="E60" i="32"/>
  <c r="D59" i="32"/>
  <c r="E58" i="32"/>
  <c r="D57" i="32"/>
  <c r="E56" i="32"/>
  <c r="D55" i="32"/>
  <c r="E54" i="32"/>
  <c r="D53" i="32"/>
  <c r="E52" i="32"/>
  <c r="D51" i="32"/>
  <c r="E50" i="32"/>
  <c r="D49" i="32"/>
  <c r="E48" i="32"/>
  <c r="D47" i="32"/>
  <c r="E46" i="32"/>
  <c r="D45" i="32"/>
  <c r="E44" i="32"/>
  <c r="D43" i="32"/>
  <c r="E42" i="32"/>
  <c r="D41" i="32"/>
  <c r="E40" i="32"/>
  <c r="D39" i="32"/>
  <c r="E38" i="32"/>
  <c r="D37" i="32"/>
  <c r="E36" i="32"/>
  <c r="E104" i="32"/>
  <c r="E102" i="32"/>
  <c r="E116" i="32" s="1"/>
  <c r="E118" i="32" s="1"/>
  <c r="E100" i="32"/>
  <c r="E98" i="32"/>
  <c r="E93" i="32"/>
  <c r="E91" i="32"/>
  <c r="E89" i="32"/>
  <c r="E87" i="32"/>
  <c r="E85" i="32"/>
  <c r="E83" i="32"/>
  <c r="E81" i="32"/>
  <c r="E79" i="32"/>
  <c r="E77" i="32"/>
  <c r="E75" i="32"/>
  <c r="E73" i="32"/>
  <c r="E71" i="32"/>
  <c r="E69" i="32"/>
  <c r="E67" i="32"/>
  <c r="E63" i="32"/>
  <c r="D62" i="32"/>
  <c r="E61" i="32"/>
  <c r="D60" i="32"/>
  <c r="E59" i="32"/>
  <c r="D58" i="32"/>
  <c r="E57" i="32"/>
  <c r="D56" i="32"/>
  <c r="E55" i="32"/>
  <c r="D54" i="32"/>
  <c r="E53" i="32"/>
  <c r="D52" i="32"/>
  <c r="E51" i="32"/>
  <c r="D50" i="32"/>
  <c r="E49" i="32"/>
  <c r="D48" i="32"/>
  <c r="E47" i="32"/>
  <c r="D46" i="32"/>
  <c r="E45" i="32"/>
  <c r="D44" i="32"/>
  <c r="E43" i="32"/>
  <c r="D42" i="32"/>
  <c r="E41" i="32"/>
  <c r="D40" i="32"/>
  <c r="E39" i="32"/>
  <c r="D38" i="32"/>
  <c r="E37" i="32"/>
  <c r="D36" i="32"/>
  <c r="E103" i="34"/>
  <c r="E101" i="34"/>
  <c r="E99" i="34"/>
  <c r="E94" i="34"/>
  <c r="E92" i="34"/>
  <c r="E90" i="34"/>
  <c r="E88" i="34"/>
  <c r="E86" i="34"/>
  <c r="E84" i="34"/>
  <c r="E82" i="34"/>
  <c r="E80" i="34"/>
  <c r="E78" i="34"/>
  <c r="E76" i="34"/>
  <c r="E74" i="34"/>
  <c r="E72" i="34"/>
  <c r="E70" i="34"/>
  <c r="E68" i="34"/>
  <c r="D63" i="34"/>
  <c r="E62" i="34"/>
  <c r="D61" i="34"/>
  <c r="E60" i="34"/>
  <c r="D59" i="34"/>
  <c r="E58" i="34"/>
  <c r="D57" i="34"/>
  <c r="E56" i="34"/>
  <c r="D55" i="34"/>
  <c r="E54" i="34"/>
  <c r="D53" i="34"/>
  <c r="E52" i="34"/>
  <c r="D51" i="34"/>
  <c r="E50" i="34"/>
  <c r="D49" i="34"/>
  <c r="E48" i="34"/>
  <c r="D47" i="34"/>
  <c r="E46" i="34"/>
  <c r="D45" i="34"/>
  <c r="E44" i="34"/>
  <c r="D43" i="34"/>
  <c r="E42" i="34"/>
  <c r="D41" i="34"/>
  <c r="E40" i="34"/>
  <c r="D39" i="34"/>
  <c r="E38" i="34"/>
  <c r="D37" i="34"/>
  <c r="E36" i="34"/>
  <c r="E104" i="34"/>
  <c r="E102" i="34"/>
  <c r="E116" i="34" s="1"/>
  <c r="E118" i="34" s="1"/>
  <c r="E100" i="34"/>
  <c r="E98" i="34"/>
  <c r="E93" i="34"/>
  <c r="E91" i="34"/>
  <c r="E89" i="34"/>
  <c r="E87" i="34"/>
  <c r="E85" i="34"/>
  <c r="E83" i="34"/>
  <c r="E81" i="34"/>
  <c r="E79" i="34"/>
  <c r="E77" i="34"/>
  <c r="E75" i="34"/>
  <c r="E73" i="34"/>
  <c r="E71" i="34"/>
  <c r="E69" i="34"/>
  <c r="E67" i="34"/>
  <c r="E63" i="34"/>
  <c r="D62" i="34"/>
  <c r="E61" i="34"/>
  <c r="D60" i="34"/>
  <c r="E59" i="34"/>
  <c r="D58" i="34"/>
  <c r="E57" i="34"/>
  <c r="D56" i="34"/>
  <c r="E55" i="34"/>
  <c r="D54" i="34"/>
  <c r="E53" i="34"/>
  <c r="D52" i="34"/>
  <c r="E51" i="34"/>
  <c r="D50" i="34"/>
  <c r="E49" i="34"/>
  <c r="D48" i="34"/>
  <c r="E47" i="34"/>
  <c r="D46" i="34"/>
  <c r="E45" i="34"/>
  <c r="D44" i="34"/>
  <c r="E43" i="34"/>
  <c r="D42" i="34"/>
  <c r="E41" i="34"/>
  <c r="D40" i="34"/>
  <c r="E39" i="34"/>
  <c r="D38" i="34"/>
  <c r="E37" i="34"/>
  <c r="D36" i="34"/>
  <c r="E103" i="36"/>
  <c r="E101" i="36"/>
  <c r="E99" i="36"/>
  <c r="E94" i="36"/>
  <c r="E92" i="36"/>
  <c r="E90" i="36"/>
  <c r="E88" i="36"/>
  <c r="E86" i="36"/>
  <c r="E84" i="36"/>
  <c r="E82" i="36"/>
  <c r="E80" i="36"/>
  <c r="E78" i="36"/>
  <c r="E76" i="36"/>
  <c r="E74" i="36"/>
  <c r="E72" i="36"/>
  <c r="E70" i="36"/>
  <c r="E68" i="36"/>
  <c r="D63" i="36"/>
  <c r="E62" i="36"/>
  <c r="D61" i="36"/>
  <c r="E60" i="36"/>
  <c r="D59" i="36"/>
  <c r="E58" i="36"/>
  <c r="D57" i="36"/>
  <c r="E56" i="36"/>
  <c r="D55" i="36"/>
  <c r="E54" i="36"/>
  <c r="D53" i="36"/>
  <c r="E52" i="36"/>
  <c r="D51" i="36"/>
  <c r="E50" i="36"/>
  <c r="D49" i="36"/>
  <c r="E48" i="36"/>
  <c r="D47" i="36"/>
  <c r="E46" i="36"/>
  <c r="D45" i="36"/>
  <c r="E44" i="36"/>
  <c r="D43" i="36"/>
  <c r="E42" i="36"/>
  <c r="D41" i="36"/>
  <c r="E40" i="36"/>
  <c r="D39" i="36"/>
  <c r="E38" i="36"/>
  <c r="D37" i="36"/>
  <c r="E36" i="36"/>
  <c r="E104" i="36"/>
  <c r="E102" i="36"/>
  <c r="E116" i="36" s="1"/>
  <c r="E118" i="36" s="1"/>
  <c r="E100" i="36"/>
  <c r="E98" i="36"/>
  <c r="E93" i="36"/>
  <c r="E91" i="36"/>
  <c r="E89" i="36"/>
  <c r="E87" i="36"/>
  <c r="E85" i="36"/>
  <c r="E83" i="36"/>
  <c r="E81" i="36"/>
  <c r="E79" i="36"/>
  <c r="E77" i="36"/>
  <c r="E75" i="36"/>
  <c r="E73" i="36"/>
  <c r="E71" i="36"/>
  <c r="E69" i="36"/>
  <c r="E67" i="36"/>
  <c r="E63" i="36"/>
  <c r="D62" i="36"/>
  <c r="E61" i="36"/>
  <c r="D60" i="36"/>
  <c r="E59" i="36"/>
  <c r="D58" i="36"/>
  <c r="E57" i="36"/>
  <c r="D56" i="36"/>
  <c r="E55" i="36"/>
  <c r="D54" i="36"/>
  <c r="E53" i="36"/>
  <c r="D52" i="36"/>
  <c r="E51" i="36"/>
  <c r="D50" i="36"/>
  <c r="E49" i="36"/>
  <c r="D48" i="36"/>
  <c r="E47" i="36"/>
  <c r="D46" i="36"/>
  <c r="E45" i="36"/>
  <c r="D44" i="36"/>
  <c r="E43" i="36"/>
  <c r="D42" i="36"/>
  <c r="E41" i="36"/>
  <c r="D40" i="36"/>
  <c r="E39" i="36"/>
  <c r="D38" i="36"/>
  <c r="E37" i="36"/>
  <c r="D36" i="36"/>
  <c r="E103" i="38"/>
  <c r="E101" i="38"/>
  <c r="E99" i="38"/>
  <c r="E94" i="38"/>
  <c r="E92" i="38"/>
  <c r="E90" i="38"/>
  <c r="E88" i="38"/>
  <c r="E86" i="38"/>
  <c r="E84" i="38"/>
  <c r="E82" i="38"/>
  <c r="E80" i="38"/>
  <c r="E78" i="38"/>
  <c r="E76" i="38"/>
  <c r="E74" i="38"/>
  <c r="E72" i="38"/>
  <c r="E70" i="38"/>
  <c r="E68" i="38"/>
  <c r="D63" i="38"/>
  <c r="E62" i="38"/>
  <c r="D61" i="38"/>
  <c r="E60" i="38"/>
  <c r="D59" i="38"/>
  <c r="E58" i="38"/>
  <c r="D57" i="38"/>
  <c r="E56" i="38"/>
  <c r="D55" i="38"/>
  <c r="E54" i="38"/>
  <c r="D53" i="38"/>
  <c r="E52" i="38"/>
  <c r="D51" i="38"/>
  <c r="E50" i="38"/>
  <c r="D49" i="38"/>
  <c r="E48" i="38"/>
  <c r="D47" i="38"/>
  <c r="E46" i="38"/>
  <c r="D45" i="38"/>
  <c r="E44" i="38"/>
  <c r="D43" i="38"/>
  <c r="E42" i="38"/>
  <c r="D41" i="38"/>
  <c r="E40" i="38"/>
  <c r="D39" i="38"/>
  <c r="E38" i="38"/>
  <c r="D37" i="38"/>
  <c r="E36" i="38"/>
  <c r="E121" i="38"/>
  <c r="E104" i="38"/>
  <c r="E102" i="38"/>
  <c r="E116" i="38" s="1"/>
  <c r="E118" i="38" s="1"/>
  <c r="E100" i="38"/>
  <c r="E98" i="38"/>
  <c r="E93" i="38"/>
  <c r="E91" i="38"/>
  <c r="E89" i="38"/>
  <c r="E87" i="38"/>
  <c r="E85" i="38"/>
  <c r="E83" i="38"/>
  <c r="E81" i="38"/>
  <c r="E79" i="38"/>
  <c r="E77" i="38"/>
  <c r="E75" i="38"/>
  <c r="E73" i="38"/>
  <c r="E71" i="38"/>
  <c r="E69" i="38"/>
  <c r="E67" i="38"/>
  <c r="E63" i="38"/>
  <c r="D62" i="38"/>
  <c r="E61" i="38"/>
  <c r="D60" i="38"/>
  <c r="E59" i="38"/>
  <c r="D58" i="38"/>
  <c r="E57" i="38"/>
  <c r="D56" i="38"/>
  <c r="E55" i="38"/>
  <c r="D54" i="38"/>
  <c r="E53" i="38"/>
  <c r="D52" i="38"/>
  <c r="E51" i="38"/>
  <c r="D50" i="38"/>
  <c r="E49" i="38"/>
  <c r="D48" i="38"/>
  <c r="E47" i="38"/>
  <c r="D46" i="38"/>
  <c r="E45" i="38"/>
  <c r="D44" i="38"/>
  <c r="E43" i="38"/>
  <c r="D42" i="38"/>
  <c r="E41" i="38"/>
  <c r="D40" i="38"/>
  <c r="E39" i="38"/>
  <c r="D38" i="38"/>
  <c r="E37" i="38"/>
  <c r="D36" i="38"/>
  <c r="E103" i="40"/>
  <c r="E101" i="40"/>
  <c r="E99" i="40"/>
  <c r="E94" i="40"/>
  <c r="E92" i="40"/>
  <c r="E90" i="40"/>
  <c r="E88" i="40"/>
  <c r="E86" i="40"/>
  <c r="E84" i="40"/>
  <c r="E82" i="40"/>
  <c r="E80" i="40"/>
  <c r="E78" i="40"/>
  <c r="E76" i="40"/>
  <c r="E74" i="40"/>
  <c r="E72" i="40"/>
  <c r="E70" i="40"/>
  <c r="E68" i="40"/>
  <c r="D63" i="40"/>
  <c r="E62" i="40"/>
  <c r="D61" i="40"/>
  <c r="E60" i="40"/>
  <c r="D59" i="40"/>
  <c r="E58" i="40"/>
  <c r="D57" i="40"/>
  <c r="E56" i="40"/>
  <c r="D55" i="40"/>
  <c r="E54" i="40"/>
  <c r="D53" i="40"/>
  <c r="E52" i="40"/>
  <c r="D51" i="40"/>
  <c r="E50" i="40"/>
  <c r="D49" i="40"/>
  <c r="E48" i="40"/>
  <c r="D47" i="40"/>
  <c r="E46" i="40"/>
  <c r="D45" i="40"/>
  <c r="E44" i="40"/>
  <c r="D43" i="40"/>
  <c r="E42" i="40"/>
  <c r="D41" i="40"/>
  <c r="E40" i="40"/>
  <c r="D39" i="40"/>
  <c r="E38" i="40"/>
  <c r="D37" i="40"/>
  <c r="E104" i="40"/>
  <c r="E102" i="40"/>
  <c r="E116" i="40" s="1"/>
  <c r="E118" i="40" s="1"/>
  <c r="E100" i="40"/>
  <c r="E98" i="40"/>
  <c r="E93" i="40"/>
  <c r="E91" i="40"/>
  <c r="E89" i="40"/>
  <c r="E87" i="40"/>
  <c r="E85" i="40"/>
  <c r="E83" i="40"/>
  <c r="E81" i="40"/>
  <c r="E79" i="40"/>
  <c r="E77" i="40"/>
  <c r="E75" i="40"/>
  <c r="E73" i="40"/>
  <c r="E71" i="40"/>
  <c r="E69" i="40"/>
  <c r="E67" i="40"/>
  <c r="E63" i="40"/>
  <c r="D62" i="40"/>
  <c r="E61" i="40"/>
  <c r="D60" i="40"/>
  <c r="E59" i="40"/>
  <c r="D58" i="40"/>
  <c r="E57" i="40"/>
  <c r="D54" i="40"/>
  <c r="E53" i="40"/>
  <c r="D50" i="40"/>
  <c r="E49" i="40"/>
  <c r="D46" i="40"/>
  <c r="E45" i="40"/>
  <c r="D42" i="40"/>
  <c r="E41" i="40"/>
  <c r="D38" i="40"/>
  <c r="E37" i="40"/>
  <c r="D36" i="40"/>
  <c r="D56" i="40"/>
  <c r="E55" i="40"/>
  <c r="D52" i="40"/>
  <c r="E51" i="40"/>
  <c r="D48" i="40"/>
  <c r="E47" i="40"/>
  <c r="D44" i="40"/>
  <c r="E43" i="40"/>
  <c r="D40" i="40"/>
  <c r="E39" i="40"/>
  <c r="E36" i="40"/>
  <c r="E104" i="42"/>
  <c r="E102" i="42"/>
  <c r="E116" i="42" s="1"/>
  <c r="E118" i="42" s="1"/>
  <c r="E100" i="42"/>
  <c r="E98" i="42"/>
  <c r="E93" i="42"/>
  <c r="E91" i="42"/>
  <c r="E89" i="42"/>
  <c r="E87" i="42"/>
  <c r="E85" i="42"/>
  <c r="E83" i="42"/>
  <c r="E81" i="42"/>
  <c r="E79" i="42"/>
  <c r="E77" i="42"/>
  <c r="E75" i="42"/>
  <c r="E73" i="42"/>
  <c r="E71" i="42"/>
  <c r="E69" i="42"/>
  <c r="E67" i="42"/>
  <c r="E63" i="42"/>
  <c r="D62" i="42"/>
  <c r="E61" i="42"/>
  <c r="D60" i="42"/>
  <c r="E59" i="42"/>
  <c r="D58" i="42"/>
  <c r="E57" i="42"/>
  <c r="D56" i="42"/>
  <c r="E55" i="42"/>
  <c r="D54" i="42"/>
  <c r="E53" i="42"/>
  <c r="D52" i="42"/>
  <c r="E51" i="42"/>
  <c r="D50" i="42"/>
  <c r="E49" i="42"/>
  <c r="D48" i="42"/>
  <c r="E47" i="42"/>
  <c r="D46" i="42"/>
  <c r="E45" i="42"/>
  <c r="D44" i="42"/>
  <c r="E43" i="42"/>
  <c r="D42" i="42"/>
  <c r="E41" i="42"/>
  <c r="D40" i="42"/>
  <c r="E39" i="42"/>
  <c r="D38" i="42"/>
  <c r="E37" i="42"/>
  <c r="D36" i="42"/>
  <c r="E103" i="42"/>
  <c r="E101" i="42"/>
  <c r="E99" i="42"/>
  <c r="E94" i="42"/>
  <c r="E92" i="42"/>
  <c r="E90" i="42"/>
  <c r="E88" i="42"/>
  <c r="E86" i="42"/>
  <c r="E84" i="42"/>
  <c r="E82" i="42"/>
  <c r="E80" i="42"/>
  <c r="E78" i="42"/>
  <c r="E76" i="42"/>
  <c r="E74" i="42"/>
  <c r="E72" i="42"/>
  <c r="E70" i="42"/>
  <c r="E68" i="42"/>
  <c r="D63" i="42"/>
  <c r="E62" i="42"/>
  <c r="D61" i="42"/>
  <c r="E60" i="42"/>
  <c r="D59" i="42"/>
  <c r="E58" i="42"/>
  <c r="D57" i="42"/>
  <c r="E56" i="42"/>
  <c r="D55" i="42"/>
  <c r="E54" i="42"/>
  <c r="D53" i="42"/>
  <c r="E52" i="42"/>
  <c r="D51" i="42"/>
  <c r="E50" i="42"/>
  <c r="D49" i="42"/>
  <c r="E48" i="42"/>
  <c r="D47" i="42"/>
  <c r="E46" i="42"/>
  <c r="D45" i="42"/>
  <c r="E44" i="42"/>
  <c r="D43" i="42"/>
  <c r="E42" i="42"/>
  <c r="D41" i="42"/>
  <c r="E40" i="42"/>
  <c r="D39" i="42"/>
  <c r="E38" i="42"/>
  <c r="D37" i="42"/>
  <c r="E36" i="42"/>
  <c r="E104" i="44"/>
  <c r="E102" i="44"/>
  <c r="E116" i="44" s="1"/>
  <c r="E118" i="44" s="1"/>
  <c r="E100" i="44"/>
  <c r="E98" i="44"/>
  <c r="E93" i="44"/>
  <c r="E91" i="44"/>
  <c r="E89" i="44"/>
  <c r="E87" i="44"/>
  <c r="E85" i="44"/>
  <c r="E83" i="44"/>
  <c r="E81" i="44"/>
  <c r="E79" i="44"/>
  <c r="E77" i="44"/>
  <c r="E75" i="44"/>
  <c r="E73" i="44"/>
  <c r="E71" i="44"/>
  <c r="E69" i="44"/>
  <c r="E67" i="44"/>
  <c r="E63" i="44"/>
  <c r="D62" i="44"/>
  <c r="E61" i="44"/>
  <c r="D60" i="44"/>
  <c r="E59" i="44"/>
  <c r="D58" i="44"/>
  <c r="E57" i="44"/>
  <c r="D56" i="44"/>
  <c r="E55" i="44"/>
  <c r="D54" i="44"/>
  <c r="E53" i="44"/>
  <c r="D52" i="44"/>
  <c r="E51" i="44"/>
  <c r="D50" i="44"/>
  <c r="E49" i="44"/>
  <c r="D48" i="44"/>
  <c r="E47" i="44"/>
  <c r="D46" i="44"/>
  <c r="E45" i="44"/>
  <c r="D44" i="44"/>
  <c r="E43" i="44"/>
  <c r="D42" i="44"/>
  <c r="E41" i="44"/>
  <c r="D40" i="44"/>
  <c r="E39" i="44"/>
  <c r="D38" i="44"/>
  <c r="E37" i="44"/>
  <c r="D36" i="44"/>
  <c r="E103" i="44"/>
  <c r="E101" i="44"/>
  <c r="E99" i="44"/>
  <c r="E94" i="44"/>
  <c r="E92" i="44"/>
  <c r="E90" i="44"/>
  <c r="E88" i="44"/>
  <c r="E86" i="44"/>
  <c r="E84" i="44"/>
  <c r="E82" i="44"/>
  <c r="E80" i="44"/>
  <c r="E78" i="44"/>
  <c r="E76" i="44"/>
  <c r="E74" i="44"/>
  <c r="E72" i="44"/>
  <c r="E70" i="44"/>
  <c r="E68" i="44"/>
  <c r="D63" i="44"/>
  <c r="E62" i="44"/>
  <c r="D61" i="44"/>
  <c r="E60" i="44"/>
  <c r="D59" i="44"/>
  <c r="E58" i="44"/>
  <c r="D57" i="44"/>
  <c r="E56" i="44"/>
  <c r="D55" i="44"/>
  <c r="E54" i="44"/>
  <c r="D53" i="44"/>
  <c r="E52" i="44"/>
  <c r="D51" i="44"/>
  <c r="E50" i="44"/>
  <c r="D49" i="44"/>
  <c r="E48" i="44"/>
  <c r="D47" i="44"/>
  <c r="E46" i="44"/>
  <c r="D45" i="44"/>
  <c r="E44" i="44"/>
  <c r="D43" i="44"/>
  <c r="E42" i="44"/>
  <c r="D41" i="44"/>
  <c r="E40" i="44"/>
  <c r="D39" i="44"/>
  <c r="E38" i="44"/>
  <c r="D37" i="44"/>
  <c r="E36" i="44"/>
  <c r="E104" i="46"/>
  <c r="E102" i="46"/>
  <c r="E116" i="46" s="1"/>
  <c r="E118" i="46" s="1"/>
  <c r="E100" i="46"/>
  <c r="E98" i="46"/>
  <c r="E93" i="46"/>
  <c r="E91" i="46"/>
  <c r="E89" i="46"/>
  <c r="E87" i="46"/>
  <c r="E85" i="46"/>
  <c r="E83" i="46"/>
  <c r="E81" i="46"/>
  <c r="E79" i="46"/>
  <c r="E77" i="46"/>
  <c r="E75" i="46"/>
  <c r="E73" i="46"/>
  <c r="E71" i="46"/>
  <c r="E69" i="46"/>
  <c r="E67" i="46"/>
  <c r="E63" i="46"/>
  <c r="D62" i="46"/>
  <c r="E61" i="46"/>
  <c r="D60" i="46"/>
  <c r="E59" i="46"/>
  <c r="D58" i="46"/>
  <c r="E57" i="46"/>
  <c r="D56" i="46"/>
  <c r="E55" i="46"/>
  <c r="D54" i="46"/>
  <c r="E53" i="46"/>
  <c r="D52" i="46"/>
  <c r="E51" i="46"/>
  <c r="D50" i="46"/>
  <c r="E49" i="46"/>
  <c r="D48" i="46"/>
  <c r="E47" i="46"/>
  <c r="D46" i="46"/>
  <c r="E45" i="46"/>
  <c r="D44" i="46"/>
  <c r="E43" i="46"/>
  <c r="D42" i="46"/>
  <c r="E41" i="46"/>
  <c r="D40" i="46"/>
  <c r="E39" i="46"/>
  <c r="D38" i="46"/>
  <c r="E37" i="46"/>
  <c r="D36" i="46"/>
  <c r="E103" i="46"/>
  <c r="E101" i="46"/>
  <c r="E99" i="46"/>
  <c r="E94" i="46"/>
  <c r="E92" i="46"/>
  <c r="E90" i="46"/>
  <c r="E88" i="46"/>
  <c r="E86" i="46"/>
  <c r="E84" i="46"/>
  <c r="E82" i="46"/>
  <c r="E80" i="46"/>
  <c r="E78" i="46"/>
  <c r="E76" i="46"/>
  <c r="E74" i="46"/>
  <c r="E72" i="46"/>
  <c r="E70" i="46"/>
  <c r="E68" i="46"/>
  <c r="D63" i="46"/>
  <c r="E62" i="46"/>
  <c r="D61" i="46"/>
  <c r="E60" i="46"/>
  <c r="D59" i="46"/>
  <c r="E58" i="46"/>
  <c r="D57" i="46"/>
  <c r="E56" i="46"/>
  <c r="D55" i="46"/>
  <c r="E54" i="46"/>
  <c r="D53" i="46"/>
  <c r="E52" i="46"/>
  <c r="D51" i="46"/>
  <c r="E50" i="46"/>
  <c r="D49" i="46"/>
  <c r="E48" i="46"/>
  <c r="D47" i="46"/>
  <c r="E46" i="46"/>
  <c r="D45" i="46"/>
  <c r="E44" i="46"/>
  <c r="D43" i="46"/>
  <c r="E42" i="46"/>
  <c r="D41" i="46"/>
  <c r="E40" i="46"/>
  <c r="D39" i="46"/>
  <c r="E38" i="46"/>
  <c r="D37" i="46"/>
  <c r="E36" i="46"/>
  <c r="E104" i="48"/>
  <c r="E102" i="48"/>
  <c r="E116" i="48" s="1"/>
  <c r="E118" i="48" s="1"/>
  <c r="E100" i="48"/>
  <c r="E98" i="48"/>
  <c r="E93" i="48"/>
  <c r="E91" i="48"/>
  <c r="E89" i="48"/>
  <c r="E87" i="48"/>
  <c r="E85" i="48"/>
  <c r="E83" i="48"/>
  <c r="E81" i="48"/>
  <c r="E79" i="48"/>
  <c r="E77" i="48"/>
  <c r="E75" i="48"/>
  <c r="E73" i="48"/>
  <c r="E71" i="48"/>
  <c r="E69" i="48"/>
  <c r="E67" i="48"/>
  <c r="E63" i="48"/>
  <c r="D62" i="48"/>
  <c r="E61" i="48"/>
  <c r="D60" i="48"/>
  <c r="E59" i="48"/>
  <c r="D58" i="48"/>
  <c r="E57" i="48"/>
  <c r="D56" i="48"/>
  <c r="E55" i="48"/>
  <c r="D54" i="48"/>
  <c r="E53" i="48"/>
  <c r="D52" i="48"/>
  <c r="E51" i="48"/>
  <c r="D50" i="48"/>
  <c r="E49" i="48"/>
  <c r="D48" i="48"/>
  <c r="E47" i="48"/>
  <c r="D46" i="48"/>
  <c r="E45" i="48"/>
  <c r="D44" i="48"/>
  <c r="E43" i="48"/>
  <c r="D42" i="48"/>
  <c r="E41" i="48"/>
  <c r="D40" i="48"/>
  <c r="E39" i="48"/>
  <c r="D38" i="48"/>
  <c r="E37" i="48"/>
  <c r="D36" i="48"/>
  <c r="E103" i="48"/>
  <c r="E101" i="48"/>
  <c r="E99" i="48"/>
  <c r="E94" i="48"/>
  <c r="E92" i="48"/>
  <c r="E90" i="48"/>
  <c r="E88" i="48"/>
  <c r="E86" i="48"/>
  <c r="E84" i="48"/>
  <c r="E82" i="48"/>
  <c r="E80" i="48"/>
  <c r="E78" i="48"/>
  <c r="E76" i="48"/>
  <c r="E74" i="48"/>
  <c r="E72" i="48"/>
  <c r="E70" i="48"/>
  <c r="E68" i="48"/>
  <c r="D63" i="48"/>
  <c r="E62" i="48"/>
  <c r="D61" i="48"/>
  <c r="E60" i="48"/>
  <c r="D59" i="48"/>
  <c r="E58" i="48"/>
  <c r="D57" i="48"/>
  <c r="E56" i="48"/>
  <c r="D55" i="48"/>
  <c r="E54" i="48"/>
  <c r="D53" i="48"/>
  <c r="E52" i="48"/>
  <c r="D51" i="48"/>
  <c r="E50" i="48"/>
  <c r="D49" i="48"/>
  <c r="E48" i="48"/>
  <c r="D47" i="48"/>
  <c r="E46" i="48"/>
  <c r="D45" i="48"/>
  <c r="E44" i="48"/>
  <c r="D43" i="48"/>
  <c r="E42" i="48"/>
  <c r="D41" i="48"/>
  <c r="E40" i="48"/>
  <c r="D39" i="48"/>
  <c r="E38" i="48"/>
  <c r="D37" i="48"/>
  <c r="E36" i="48"/>
  <c r="E104" i="50"/>
  <c r="E102" i="50"/>
  <c r="E116" i="50" s="1"/>
  <c r="E118" i="50" s="1"/>
  <c r="E100" i="50"/>
  <c r="E98" i="50"/>
  <c r="E93" i="50"/>
  <c r="E91" i="50"/>
  <c r="E89" i="50"/>
  <c r="E87" i="50"/>
  <c r="E85" i="50"/>
  <c r="E83" i="50"/>
  <c r="E81" i="50"/>
  <c r="E79" i="50"/>
  <c r="E77" i="50"/>
  <c r="E75" i="50"/>
  <c r="E73" i="50"/>
  <c r="E71" i="50"/>
  <c r="E69" i="50"/>
  <c r="E67" i="50"/>
  <c r="E63" i="50"/>
  <c r="D62" i="50"/>
  <c r="E61" i="50"/>
  <c r="D60" i="50"/>
  <c r="E59" i="50"/>
  <c r="D58" i="50"/>
  <c r="E57" i="50"/>
  <c r="D56" i="50"/>
  <c r="E55" i="50"/>
  <c r="D54" i="50"/>
  <c r="E53" i="50"/>
  <c r="D52" i="50"/>
  <c r="E51" i="50"/>
  <c r="D50" i="50"/>
  <c r="E49" i="50"/>
  <c r="D48" i="50"/>
  <c r="E47" i="50"/>
  <c r="D46" i="50"/>
  <c r="E45" i="50"/>
  <c r="D44" i="50"/>
  <c r="E43" i="50"/>
  <c r="D42" i="50"/>
  <c r="E41" i="50"/>
  <c r="D40" i="50"/>
  <c r="E39" i="50"/>
  <c r="D38" i="50"/>
  <c r="E37" i="50"/>
  <c r="D36" i="50"/>
  <c r="E103" i="50"/>
  <c r="E101" i="50"/>
  <c r="E99" i="50"/>
  <c r="E94" i="50"/>
  <c r="E92" i="50"/>
  <c r="E90" i="50"/>
  <c r="E88" i="50"/>
  <c r="E86" i="50"/>
  <c r="E84" i="50"/>
  <c r="E82" i="50"/>
  <c r="E80" i="50"/>
  <c r="E78" i="50"/>
  <c r="E76" i="50"/>
  <c r="E74" i="50"/>
  <c r="E72" i="50"/>
  <c r="E70" i="50"/>
  <c r="E68" i="50"/>
  <c r="D63" i="50"/>
  <c r="E62" i="50"/>
  <c r="D61" i="50"/>
  <c r="E60" i="50"/>
  <c r="D59" i="50"/>
  <c r="E58" i="50"/>
  <c r="D57" i="50"/>
  <c r="E56" i="50"/>
  <c r="D55" i="50"/>
  <c r="E54" i="50"/>
  <c r="D53" i="50"/>
  <c r="E52" i="50"/>
  <c r="D51" i="50"/>
  <c r="E50" i="50"/>
  <c r="D49" i="50"/>
  <c r="E48" i="50"/>
  <c r="D47" i="50"/>
  <c r="E46" i="50"/>
  <c r="D45" i="50"/>
  <c r="E44" i="50"/>
  <c r="D43" i="50"/>
  <c r="E42" i="50"/>
  <c r="D41" i="50"/>
  <c r="E40" i="50"/>
  <c r="D39" i="50"/>
  <c r="E38" i="50"/>
  <c r="D37" i="50"/>
  <c r="E36" i="50"/>
  <c r="E104" i="52"/>
  <c r="E102" i="52"/>
  <c r="E100" i="52"/>
  <c r="E98" i="52"/>
  <c r="E93" i="52"/>
  <c r="E91" i="52"/>
  <c r="E89" i="52"/>
  <c r="E87" i="52"/>
  <c r="E85" i="52"/>
  <c r="E83" i="52"/>
  <c r="E81" i="52"/>
  <c r="E79" i="52"/>
  <c r="E77" i="52"/>
  <c r="E75" i="52"/>
  <c r="E73" i="52"/>
  <c r="E71" i="52"/>
  <c r="E69" i="52"/>
  <c r="E67" i="52"/>
  <c r="E63" i="52"/>
  <c r="D62" i="52"/>
  <c r="E61" i="52"/>
  <c r="D60" i="52"/>
  <c r="E59" i="52"/>
  <c r="D58" i="52"/>
  <c r="E57" i="52"/>
  <c r="D56" i="52"/>
  <c r="E55" i="52"/>
  <c r="D54" i="52"/>
  <c r="E53" i="52"/>
  <c r="D52" i="52"/>
  <c r="E51" i="52"/>
  <c r="D50" i="52"/>
  <c r="E49" i="52"/>
  <c r="D48" i="52"/>
  <c r="E47" i="52"/>
  <c r="D46" i="52"/>
  <c r="E45" i="52"/>
  <c r="D44" i="52"/>
  <c r="E43" i="52"/>
  <c r="D42" i="52"/>
  <c r="E41" i="52"/>
  <c r="D40" i="52"/>
  <c r="E39" i="52"/>
  <c r="D38" i="52"/>
  <c r="E37" i="52"/>
  <c r="D36" i="52"/>
  <c r="E103" i="52"/>
  <c r="E101" i="52"/>
  <c r="E99" i="52"/>
  <c r="E94" i="52"/>
  <c r="E92" i="52"/>
  <c r="E90" i="52"/>
  <c r="E88" i="52"/>
  <c r="E86" i="52"/>
  <c r="E84" i="52"/>
  <c r="E82" i="52"/>
  <c r="E80" i="52"/>
  <c r="E78" i="52"/>
  <c r="E76" i="52"/>
  <c r="E74" i="52"/>
  <c r="E72" i="52"/>
  <c r="E70" i="52"/>
  <c r="E68" i="52"/>
  <c r="D63" i="52"/>
  <c r="E62" i="52"/>
  <c r="D61" i="52"/>
  <c r="E60" i="52"/>
  <c r="D59" i="52"/>
  <c r="E58" i="52"/>
  <c r="D57" i="52"/>
  <c r="E56" i="52"/>
  <c r="D55" i="52"/>
  <c r="E54" i="52"/>
  <c r="D53" i="52"/>
  <c r="E52" i="52"/>
  <c r="D51" i="52"/>
  <c r="E50" i="52"/>
  <c r="D49" i="52"/>
  <c r="E48" i="52"/>
  <c r="D47" i="52"/>
  <c r="E46" i="52"/>
  <c r="D45" i="52"/>
  <c r="E44" i="52"/>
  <c r="D43" i="52"/>
  <c r="E42" i="52"/>
  <c r="D41" i="52"/>
  <c r="E40" i="52"/>
  <c r="D39" i="52"/>
  <c r="E38" i="52"/>
  <c r="D37" i="52"/>
  <c r="E36" i="52"/>
  <c r="E104" i="54"/>
  <c r="E102" i="54"/>
  <c r="E116" i="54" s="1"/>
  <c r="E118" i="54" s="1"/>
  <c r="E100" i="54"/>
  <c r="E98" i="54"/>
  <c r="E93" i="54"/>
  <c r="E91" i="54"/>
  <c r="E89" i="54"/>
  <c r="E87" i="54"/>
  <c r="E85" i="54"/>
  <c r="E83" i="54"/>
  <c r="E81" i="54"/>
  <c r="E79" i="54"/>
  <c r="E77" i="54"/>
  <c r="E75" i="54"/>
  <c r="E73" i="54"/>
  <c r="E71" i="54"/>
  <c r="E69" i="54"/>
  <c r="E67" i="54"/>
  <c r="E63" i="54"/>
  <c r="D62" i="54"/>
  <c r="E61" i="54"/>
  <c r="D60" i="54"/>
  <c r="E59" i="54"/>
  <c r="D58" i="54"/>
  <c r="E57" i="54"/>
  <c r="D56" i="54"/>
  <c r="E55" i="54"/>
  <c r="D54" i="54"/>
  <c r="E53" i="54"/>
  <c r="D52" i="54"/>
  <c r="E51" i="54"/>
  <c r="D50" i="54"/>
  <c r="E49" i="54"/>
  <c r="D48" i="54"/>
  <c r="E47" i="54"/>
  <c r="D46" i="54"/>
  <c r="E45" i="54"/>
  <c r="D44" i="54"/>
  <c r="E43" i="54"/>
  <c r="D42" i="54"/>
  <c r="E41" i="54"/>
  <c r="D40" i="54"/>
  <c r="E39" i="54"/>
  <c r="D38" i="54"/>
  <c r="E37" i="54"/>
  <c r="E103" i="54"/>
  <c r="E101" i="54"/>
  <c r="E99" i="54"/>
  <c r="E94" i="54"/>
  <c r="E92" i="54"/>
  <c r="E90" i="54"/>
  <c r="E88" i="54"/>
  <c r="E86" i="54"/>
  <c r="E84" i="54"/>
  <c r="E82" i="54"/>
  <c r="E80" i="54"/>
  <c r="E78" i="54"/>
  <c r="E76" i="54"/>
  <c r="E74" i="54"/>
  <c r="E72" i="54"/>
  <c r="E70" i="54"/>
  <c r="E68" i="54"/>
  <c r="D63" i="54"/>
  <c r="E62" i="54"/>
  <c r="D61" i="54"/>
  <c r="E60" i="54"/>
  <c r="D59" i="54"/>
  <c r="E58" i="54"/>
  <c r="D57" i="54"/>
  <c r="E56" i="54"/>
  <c r="D55" i="54"/>
  <c r="E54" i="54"/>
  <c r="D53" i="54"/>
  <c r="E52" i="54"/>
  <c r="D51" i="54"/>
  <c r="E50" i="54"/>
  <c r="D49" i="54"/>
  <c r="E48" i="54"/>
  <c r="D47" i="54"/>
  <c r="E46" i="54"/>
  <c r="D45" i="54"/>
  <c r="E44" i="54"/>
  <c r="D43" i="54"/>
  <c r="E42" i="54"/>
  <c r="D41" i="54"/>
  <c r="E40" i="54"/>
  <c r="D39" i="54"/>
  <c r="E38" i="54"/>
  <c r="D37" i="54"/>
  <c r="E36" i="54"/>
  <c r="D36" i="56"/>
  <c r="E37" i="56"/>
  <c r="D38" i="56"/>
  <c r="E39" i="56"/>
  <c r="D40" i="56"/>
  <c r="E41" i="56"/>
  <c r="D42" i="56"/>
  <c r="E43" i="56"/>
  <c r="D44" i="56"/>
  <c r="E45" i="56"/>
  <c r="D46" i="56"/>
  <c r="E47" i="56"/>
  <c r="D48" i="56"/>
  <c r="E49" i="56"/>
  <c r="D50" i="56"/>
  <c r="E51" i="56"/>
  <c r="D52" i="56"/>
  <c r="E53" i="56"/>
  <c r="D54" i="56"/>
  <c r="E55" i="56"/>
  <c r="D56" i="56"/>
  <c r="E57" i="56"/>
  <c r="D58" i="56"/>
  <c r="E59" i="56"/>
  <c r="D60" i="56"/>
  <c r="E61" i="56"/>
  <c r="D62" i="56"/>
  <c r="E63" i="56"/>
  <c r="E67" i="56"/>
  <c r="E69" i="56"/>
  <c r="E71" i="56"/>
  <c r="E73" i="56"/>
  <c r="E75" i="56"/>
  <c r="E77" i="56"/>
  <c r="E79" i="56"/>
  <c r="E81" i="56"/>
  <c r="E83" i="56"/>
  <c r="E85" i="56"/>
  <c r="E87" i="56"/>
  <c r="E89" i="56"/>
  <c r="E91" i="56"/>
  <c r="E93" i="56"/>
  <c r="E98" i="56"/>
  <c r="E100" i="56"/>
  <c r="E102" i="56"/>
  <c r="E116" i="56" s="1"/>
  <c r="E118" i="56" s="1"/>
  <c r="E104" i="56"/>
  <c r="E36" i="55"/>
  <c r="D37" i="55"/>
  <c r="E38" i="55"/>
  <c r="D39" i="55"/>
  <c r="E40" i="55"/>
  <c r="D41" i="55"/>
  <c r="E42" i="55"/>
  <c r="D43" i="55"/>
  <c r="E44" i="55"/>
  <c r="D45" i="55"/>
  <c r="E46" i="55"/>
  <c r="D47" i="55"/>
  <c r="E48" i="55"/>
  <c r="D49" i="55"/>
  <c r="E50" i="55"/>
  <c r="D51" i="55"/>
  <c r="E52" i="55"/>
  <c r="D53" i="55"/>
  <c r="E54" i="55"/>
  <c r="D55" i="55"/>
  <c r="E56" i="55"/>
  <c r="D57" i="55"/>
  <c r="E58" i="55"/>
  <c r="D59" i="55"/>
  <c r="E60" i="55"/>
  <c r="D61" i="55"/>
  <c r="E62" i="55"/>
  <c r="D63" i="55"/>
  <c r="E68" i="55"/>
  <c r="E70" i="55"/>
  <c r="E72" i="55"/>
  <c r="E74" i="55"/>
  <c r="E76" i="55"/>
  <c r="E78" i="55"/>
  <c r="E80" i="55"/>
  <c r="E82" i="55"/>
  <c r="E84" i="55"/>
  <c r="E86" i="55"/>
  <c r="E88" i="55"/>
  <c r="E90" i="55"/>
  <c r="E92" i="55"/>
  <c r="E94" i="55"/>
  <c r="E99" i="55"/>
  <c r="E101" i="55"/>
  <c r="E103" i="55"/>
  <c r="D36" i="54"/>
  <c r="F120" i="21"/>
  <c r="F120" i="23"/>
  <c r="F120" i="22"/>
  <c r="F120" i="24"/>
  <c r="D6" i="57"/>
  <c r="D8" i="57"/>
  <c r="D10" i="57"/>
  <c r="D12" i="57"/>
  <c r="D14" i="57"/>
  <c r="D16" i="57"/>
  <c r="D18" i="57"/>
  <c r="D20" i="57"/>
  <c r="D22" i="57"/>
  <c r="D24" i="57"/>
  <c r="D26" i="57"/>
  <c r="D28" i="57"/>
  <c r="D30" i="57"/>
  <c r="D32" i="57"/>
  <c r="F63" i="57"/>
  <c r="F110" i="57"/>
  <c r="D7" i="57"/>
  <c r="D9" i="57"/>
  <c r="D11" i="57"/>
  <c r="D13" i="57"/>
  <c r="D15" i="57"/>
  <c r="D17" i="57"/>
  <c r="D19" i="57"/>
  <c r="D21" i="57"/>
  <c r="D23" i="57"/>
  <c r="D25" i="57"/>
  <c r="D27" i="57"/>
  <c r="D29" i="57"/>
  <c r="D31" i="57"/>
  <c r="F40" i="57"/>
  <c r="F48" i="57"/>
  <c r="F120" i="35"/>
  <c r="D68" i="25"/>
  <c r="D72" i="25"/>
  <c r="D76" i="25"/>
  <c r="D80" i="25"/>
  <c r="D84" i="25"/>
  <c r="D88" i="25"/>
  <c r="D92" i="25"/>
  <c r="F120" i="49"/>
  <c r="F120" i="56"/>
  <c r="F120" i="1"/>
  <c r="F120" i="59"/>
  <c r="F120" i="3"/>
  <c r="F120" i="4"/>
  <c r="F120" i="5"/>
  <c r="F120" i="6"/>
  <c r="F120" i="7"/>
  <c r="F120" i="8"/>
  <c r="D68" i="21"/>
  <c r="D6" i="21"/>
  <c r="D72" i="21"/>
  <c r="D10" i="21"/>
  <c r="D76" i="21"/>
  <c r="D14" i="21"/>
  <c r="D80" i="21"/>
  <c r="D18" i="21"/>
  <c r="D84" i="21"/>
  <c r="D22" i="21"/>
  <c r="D88" i="21"/>
  <c r="D26" i="21"/>
  <c r="D92" i="21"/>
  <c r="D30" i="21"/>
  <c r="F72" i="21"/>
  <c r="D68" i="23"/>
  <c r="F68" i="23" s="1"/>
  <c r="D6" i="23"/>
  <c r="D72" i="23"/>
  <c r="F72" i="23" s="1"/>
  <c r="D10" i="23"/>
  <c r="D76" i="23"/>
  <c r="D14" i="23"/>
  <c r="D80" i="23"/>
  <c r="D18" i="23"/>
  <c r="D84" i="23"/>
  <c r="D22" i="23"/>
  <c r="D88" i="23"/>
  <c r="D26" i="23"/>
  <c r="D92" i="23"/>
  <c r="D30" i="23"/>
  <c r="F120" i="9"/>
  <c r="F120" i="10"/>
  <c r="F120" i="11"/>
  <c r="F120" i="12"/>
  <c r="F120" i="13"/>
  <c r="F120" i="14"/>
  <c r="F120" i="15"/>
  <c r="F120" i="16"/>
  <c r="F120" i="17"/>
  <c r="F120" i="18"/>
  <c r="F120" i="19"/>
  <c r="F121" i="19" s="1"/>
  <c r="F120" i="20"/>
  <c r="D68" i="22"/>
  <c r="D6" i="22"/>
  <c r="D72" i="22"/>
  <c r="F72" i="22" s="1"/>
  <c r="D10" i="22"/>
  <c r="D76" i="22"/>
  <c r="D14" i="22"/>
  <c r="D80" i="22"/>
  <c r="D18" i="22"/>
  <c r="D84" i="22"/>
  <c r="D22" i="22"/>
  <c r="D88" i="22"/>
  <c r="D26" i="22"/>
  <c r="D92" i="22"/>
  <c r="D30" i="22"/>
  <c r="D68" i="24"/>
  <c r="D72" i="24"/>
  <c r="D76" i="24"/>
  <c r="D80" i="24"/>
  <c r="D84" i="24"/>
  <c r="D88" i="24"/>
  <c r="D92" i="24"/>
  <c r="F72" i="24"/>
  <c r="F120" i="25"/>
  <c r="D6" i="25"/>
  <c r="D10" i="25"/>
  <c r="D14" i="25"/>
  <c r="D18" i="25"/>
  <c r="D22" i="25"/>
  <c r="D26" i="25"/>
  <c r="D30" i="25"/>
  <c r="F120" i="26"/>
  <c r="F120" i="27"/>
  <c r="F120" i="28"/>
  <c r="F120" i="29"/>
  <c r="F120" i="30"/>
  <c r="F120" i="31"/>
  <c r="E64" i="33"/>
  <c r="E105" i="33"/>
  <c r="E64" i="35"/>
  <c r="E105" i="35"/>
  <c r="E64" i="37"/>
  <c r="E105" i="37"/>
  <c r="F48" i="32"/>
  <c r="F41" i="34"/>
  <c r="F62" i="34"/>
  <c r="F58" i="36"/>
  <c r="F120" i="38"/>
  <c r="F120" i="39"/>
  <c r="F120" i="41"/>
  <c r="F120" i="43"/>
  <c r="E64" i="45"/>
  <c r="E105" i="45"/>
  <c r="F120" i="47"/>
  <c r="E64" i="49"/>
  <c r="E64" i="51"/>
  <c r="E64" i="50"/>
  <c r="F39" i="49"/>
  <c r="F47" i="49"/>
  <c r="F55" i="49"/>
  <c r="F63" i="49"/>
  <c r="F120" i="51"/>
  <c r="F37" i="51"/>
  <c r="F41" i="51"/>
  <c r="F45" i="51"/>
  <c r="F49" i="51"/>
  <c r="F53" i="51"/>
  <c r="F57" i="51"/>
  <c r="F61" i="51"/>
  <c r="F120" i="53"/>
  <c r="F120" i="55"/>
  <c r="D5" i="57"/>
  <c r="F37" i="57"/>
  <c r="D69" i="57"/>
  <c r="F39" i="57"/>
  <c r="D71" i="57"/>
  <c r="F41" i="57"/>
  <c r="D73" i="57"/>
  <c r="D75" i="57"/>
  <c r="F45" i="57"/>
  <c r="D77" i="57"/>
  <c r="F47" i="57"/>
  <c r="F49" i="57"/>
  <c r="D81" i="57"/>
  <c r="F51" i="57"/>
  <c r="D83" i="57"/>
  <c r="F53" i="57"/>
  <c r="D85" i="57"/>
  <c r="F55" i="57"/>
  <c r="D87" i="57"/>
  <c r="F57" i="57"/>
  <c r="D89" i="57"/>
  <c r="F59" i="57"/>
  <c r="F61" i="57"/>
  <c r="D93" i="57"/>
  <c r="E95" i="57"/>
  <c r="C109" i="57" s="1"/>
  <c r="D68" i="57"/>
  <c r="F38" i="57"/>
  <c r="D72" i="57"/>
  <c r="F42" i="57"/>
  <c r="D76" i="57"/>
  <c r="F46" i="57"/>
  <c r="D78" i="57"/>
  <c r="D80" i="57"/>
  <c r="F50" i="57"/>
  <c r="D84" i="57"/>
  <c r="F54" i="57"/>
  <c r="D86" i="57"/>
  <c r="D88" i="57"/>
  <c r="F58" i="57"/>
  <c r="D92" i="57"/>
  <c r="F62" i="57"/>
  <c r="E105" i="57"/>
  <c r="F120" i="57"/>
  <c r="F111" i="57"/>
  <c r="F112" i="57"/>
  <c r="F113" i="57"/>
  <c r="F114" i="57"/>
  <c r="F115" i="57"/>
  <c r="F117" i="57"/>
  <c r="E64" i="57"/>
  <c r="F43" i="49" l="1"/>
  <c r="F51" i="49"/>
  <c r="F59" i="49"/>
  <c r="E105" i="49"/>
  <c r="F113" i="9"/>
  <c r="E116" i="6"/>
  <c r="E118" i="6" s="1"/>
  <c r="E116" i="52"/>
  <c r="E118" i="52" s="1"/>
  <c r="C118" i="57"/>
  <c r="E118" i="57"/>
  <c r="D118" i="9"/>
  <c r="D109" i="60"/>
  <c r="D118" i="60" s="1"/>
  <c r="F111" i="55"/>
  <c r="F113" i="55"/>
  <c r="F112" i="12"/>
  <c r="F111" i="51"/>
  <c r="F113" i="51"/>
  <c r="F111" i="49"/>
  <c r="F113" i="49"/>
  <c r="F111" i="47"/>
  <c r="F113" i="47"/>
  <c r="E121" i="57"/>
  <c r="E121" i="60"/>
  <c r="F121" i="57"/>
  <c r="F121" i="53"/>
  <c r="F121" i="51"/>
  <c r="F121" i="47"/>
  <c r="F121" i="41"/>
  <c r="F121" i="38"/>
  <c r="F121" i="30"/>
  <c r="F121" i="28"/>
  <c r="F121" i="26"/>
  <c r="F121" i="25"/>
  <c r="F121" i="20"/>
  <c r="F121" i="18"/>
  <c r="F121" i="16"/>
  <c r="F121" i="14"/>
  <c r="F121" i="12"/>
  <c r="F121" i="10"/>
  <c r="F121" i="8"/>
  <c r="F121" i="6"/>
  <c r="F121" i="4"/>
  <c r="F121" i="59"/>
  <c r="F121" i="56"/>
  <c r="F121" i="22"/>
  <c r="F121" i="21"/>
  <c r="F120" i="36"/>
  <c r="E121" i="36"/>
  <c r="F120" i="34"/>
  <c r="E121" i="34"/>
  <c r="F120" i="32"/>
  <c r="E121" i="32"/>
  <c r="F120" i="45"/>
  <c r="E121" i="45"/>
  <c r="F111" i="53"/>
  <c r="F113" i="53"/>
  <c r="F121" i="55"/>
  <c r="F121" i="43"/>
  <c r="F121" i="39"/>
  <c r="F121" i="31"/>
  <c r="F121" i="29"/>
  <c r="F121" i="27"/>
  <c r="F121" i="17"/>
  <c r="F121" i="15"/>
  <c r="F121" i="13"/>
  <c r="F121" i="11"/>
  <c r="F121" i="9"/>
  <c r="F121" i="7"/>
  <c r="F121" i="5"/>
  <c r="F121" i="3"/>
  <c r="F121" i="1"/>
  <c r="F121" i="49"/>
  <c r="F121" i="35"/>
  <c r="F121" i="24"/>
  <c r="F121" i="23"/>
  <c r="F120" i="54"/>
  <c r="E121" i="54"/>
  <c r="F120" i="52"/>
  <c r="E121" i="52"/>
  <c r="F120" i="50"/>
  <c r="E121" i="50"/>
  <c r="F120" i="48"/>
  <c r="E121" i="48"/>
  <c r="F120" i="46"/>
  <c r="E121" i="46"/>
  <c r="F120" i="44"/>
  <c r="E121" i="44"/>
  <c r="F120" i="42"/>
  <c r="E121" i="42"/>
  <c r="F120" i="40"/>
  <c r="E121" i="40"/>
  <c r="F120" i="37"/>
  <c r="E121" i="37"/>
  <c r="F120" i="33"/>
  <c r="E121" i="33"/>
  <c r="F110" i="55"/>
  <c r="F112" i="55"/>
  <c r="F114" i="55"/>
  <c r="F110" i="53"/>
  <c r="F112" i="53"/>
  <c r="F114" i="53"/>
  <c r="F112" i="34"/>
  <c r="F112" i="30"/>
  <c r="F112" i="22"/>
  <c r="F110" i="51"/>
  <c r="F112" i="51"/>
  <c r="F114" i="51"/>
  <c r="F110" i="49"/>
  <c r="F112" i="49"/>
  <c r="F114" i="49"/>
  <c r="F110" i="47"/>
  <c r="F112" i="47"/>
  <c r="F114" i="47"/>
  <c r="F112" i="45"/>
  <c r="F112" i="27"/>
  <c r="F46" i="36"/>
  <c r="F52" i="34"/>
  <c r="F58" i="32"/>
  <c r="F37" i="32"/>
  <c r="F115" i="34"/>
  <c r="F53" i="36"/>
  <c r="F40" i="36"/>
  <c r="F57" i="34"/>
  <c r="F46" i="34"/>
  <c r="F36" i="34"/>
  <c r="F53" i="32"/>
  <c r="F42" i="32"/>
  <c r="E64" i="34"/>
  <c r="E63" i="60"/>
  <c r="E61" i="60"/>
  <c r="E57" i="60"/>
  <c r="F59" i="46"/>
  <c r="F61" i="36"/>
  <c r="F56" i="36"/>
  <c r="F50" i="36"/>
  <c r="F44" i="36"/>
  <c r="F37" i="36"/>
  <c r="F60" i="34"/>
  <c r="F54" i="34"/>
  <c r="F49" i="34"/>
  <c r="F44" i="34"/>
  <c r="F38" i="34"/>
  <c r="F61" i="32"/>
  <c r="F56" i="32"/>
  <c r="F50" i="32"/>
  <c r="F45" i="32"/>
  <c r="F40" i="32"/>
  <c r="E105" i="36"/>
  <c r="E64" i="32"/>
  <c r="F116" i="57"/>
  <c r="F111" i="17"/>
  <c r="F114" i="16"/>
  <c r="E79" i="60"/>
  <c r="F43" i="46"/>
  <c r="F62" i="36"/>
  <c r="F60" i="36"/>
  <c r="F57" i="36"/>
  <c r="F54" i="36"/>
  <c r="F52" i="36"/>
  <c r="F48" i="36"/>
  <c r="F45" i="36"/>
  <c r="F42" i="36"/>
  <c r="F38" i="36"/>
  <c r="F36" i="36"/>
  <c r="F61" i="34"/>
  <c r="F58" i="34"/>
  <c r="F56" i="34"/>
  <c r="F53" i="34"/>
  <c r="F50" i="34"/>
  <c r="F48" i="34"/>
  <c r="F45" i="34"/>
  <c r="F42" i="34"/>
  <c r="F40" i="34"/>
  <c r="F37" i="34"/>
  <c r="F62" i="32"/>
  <c r="F60" i="32"/>
  <c r="F57" i="32"/>
  <c r="F54" i="32"/>
  <c r="F52" i="32"/>
  <c r="F49" i="32"/>
  <c r="F46" i="32"/>
  <c r="F44" i="32"/>
  <c r="F41" i="32"/>
  <c r="F38" i="32"/>
  <c r="F36" i="32"/>
  <c r="E105" i="34"/>
  <c r="E105" i="32"/>
  <c r="E37" i="60"/>
  <c r="F46" i="48"/>
  <c r="F51" i="46"/>
  <c r="E105" i="46"/>
  <c r="F49" i="36"/>
  <c r="F41" i="36"/>
  <c r="E64" i="36"/>
  <c r="E47" i="60"/>
  <c r="E90" i="60"/>
  <c r="E67" i="60"/>
  <c r="D48" i="60"/>
  <c r="D79" i="60" s="1"/>
  <c r="D38" i="60"/>
  <c r="D69" i="60" s="1"/>
  <c r="E86" i="60"/>
  <c r="F69" i="57"/>
  <c r="F114" i="12"/>
  <c r="F110" i="12"/>
  <c r="F111" i="27"/>
  <c r="F110" i="25"/>
  <c r="E74" i="60"/>
  <c r="E100" i="60"/>
  <c r="E49" i="60"/>
  <c r="E43" i="60"/>
  <c r="E105" i="50"/>
  <c r="F63" i="46"/>
  <c r="F55" i="46"/>
  <c r="F47" i="46"/>
  <c r="F39" i="46"/>
  <c r="E64" i="46"/>
  <c r="E101" i="60"/>
  <c r="E82" i="60"/>
  <c r="D59" i="60"/>
  <c r="D90" i="60" s="1"/>
  <c r="F90" i="60" s="1"/>
  <c r="E53" i="60"/>
  <c r="E45" i="60"/>
  <c r="E41" i="60"/>
  <c r="D47" i="60"/>
  <c r="D78" i="60" s="1"/>
  <c r="E39" i="60"/>
  <c r="E94" i="60"/>
  <c r="E70" i="60"/>
  <c r="E55" i="60"/>
  <c r="F88" i="57"/>
  <c r="F78" i="57"/>
  <c r="F72" i="57"/>
  <c r="F93" i="57"/>
  <c r="F89" i="57"/>
  <c r="F83" i="57"/>
  <c r="F81" i="57"/>
  <c r="F75" i="57"/>
  <c r="F71" i="57"/>
  <c r="F92" i="24"/>
  <c r="F88" i="24"/>
  <c r="F84" i="24"/>
  <c r="F80" i="24"/>
  <c r="F76" i="24"/>
  <c r="F68" i="24"/>
  <c r="F92" i="22"/>
  <c r="F88" i="22"/>
  <c r="F84" i="22"/>
  <c r="F80" i="22"/>
  <c r="F76" i="22"/>
  <c r="F68" i="22"/>
  <c r="F92" i="21"/>
  <c r="F88" i="21"/>
  <c r="F84" i="21"/>
  <c r="F80" i="21"/>
  <c r="F76" i="21"/>
  <c r="F68" i="21"/>
  <c r="F92" i="25"/>
  <c r="F84" i="25"/>
  <c r="F76" i="25"/>
  <c r="F68" i="25"/>
  <c r="D36" i="60"/>
  <c r="D67" i="60" s="1"/>
  <c r="E103" i="60"/>
  <c r="E99" i="60"/>
  <c r="E92" i="60"/>
  <c r="E88" i="60"/>
  <c r="E84" i="60"/>
  <c r="E80" i="60"/>
  <c r="E76" i="60"/>
  <c r="E72" i="60"/>
  <c r="E68" i="60"/>
  <c r="E62" i="60"/>
  <c r="E60" i="60"/>
  <c r="E58" i="60"/>
  <c r="E56" i="60"/>
  <c r="E54" i="60"/>
  <c r="E52" i="60"/>
  <c r="E50" i="60"/>
  <c r="E48" i="60"/>
  <c r="E46" i="60"/>
  <c r="E42" i="60"/>
  <c r="E40" i="60"/>
  <c r="E38" i="60"/>
  <c r="E36" i="60"/>
  <c r="F116" i="56"/>
  <c r="E98" i="60"/>
  <c r="E91" i="60"/>
  <c r="E87" i="60"/>
  <c r="E83" i="60"/>
  <c r="E75" i="60"/>
  <c r="E71" i="60"/>
  <c r="D62" i="60"/>
  <c r="D93" i="60" s="1"/>
  <c r="D60" i="60"/>
  <c r="D29" i="60" s="1"/>
  <c r="D58" i="60"/>
  <c r="D89" i="60" s="1"/>
  <c r="D54" i="60"/>
  <c r="D85" i="60" s="1"/>
  <c r="D52" i="60"/>
  <c r="D21" i="60" s="1"/>
  <c r="D50" i="60"/>
  <c r="D81" i="60" s="1"/>
  <c r="D46" i="60"/>
  <c r="D15" i="60" s="1"/>
  <c r="D42" i="60"/>
  <c r="D11" i="60" s="1"/>
  <c r="D40" i="60"/>
  <c r="D71" i="60" s="1"/>
  <c r="F116" i="54"/>
  <c r="F116" i="52"/>
  <c r="F116" i="50"/>
  <c r="F116" i="48"/>
  <c r="F116" i="46"/>
  <c r="F116" i="44"/>
  <c r="F116" i="42"/>
  <c r="F116" i="40"/>
  <c r="F116" i="12"/>
  <c r="F116" i="10"/>
  <c r="F116" i="8"/>
  <c r="F116" i="39"/>
  <c r="F116" i="37"/>
  <c r="F116" i="35"/>
  <c r="F116" i="33"/>
  <c r="F116" i="31"/>
  <c r="F116" i="29"/>
  <c r="F116" i="27"/>
  <c r="F116" i="25"/>
  <c r="F116" i="23"/>
  <c r="F116" i="21"/>
  <c r="F116" i="19"/>
  <c r="F116" i="17"/>
  <c r="F116" i="15"/>
  <c r="F116" i="13"/>
  <c r="F116" i="5"/>
  <c r="F116" i="3"/>
  <c r="F116" i="1"/>
  <c r="F92" i="57"/>
  <c r="F86" i="57"/>
  <c r="F80" i="57"/>
  <c r="F87" i="57"/>
  <c r="F85" i="57"/>
  <c r="F77" i="57"/>
  <c r="F73" i="57"/>
  <c r="F92" i="23"/>
  <c r="F88" i="23"/>
  <c r="F84" i="23"/>
  <c r="F80" i="23"/>
  <c r="F76" i="23"/>
  <c r="F88" i="25"/>
  <c r="F80" i="25"/>
  <c r="F72" i="25"/>
  <c r="E89" i="60"/>
  <c r="E85" i="60"/>
  <c r="E81" i="60"/>
  <c r="E77" i="60"/>
  <c r="E73" i="60"/>
  <c r="E69" i="60"/>
  <c r="F116" i="38"/>
  <c r="F116" i="36"/>
  <c r="F116" i="34"/>
  <c r="F116" i="32"/>
  <c r="F116" i="30"/>
  <c r="F116" i="28"/>
  <c r="F116" i="26"/>
  <c r="F116" i="24"/>
  <c r="F116" i="22"/>
  <c r="F116" i="20"/>
  <c r="F116" i="18"/>
  <c r="F116" i="16"/>
  <c r="F116" i="14"/>
  <c r="F116" i="4"/>
  <c r="F116" i="59"/>
  <c r="F116" i="55"/>
  <c r="F116" i="51"/>
  <c r="F116" i="49"/>
  <c r="F116" i="47"/>
  <c r="F116" i="45"/>
  <c r="F116" i="43"/>
  <c r="F116" i="41"/>
  <c r="F116" i="9"/>
  <c r="F116" i="7"/>
  <c r="F117" i="11"/>
  <c r="F114" i="43"/>
  <c r="F111" i="45"/>
  <c r="F114" i="20"/>
  <c r="F110" i="20"/>
  <c r="F110" i="16"/>
  <c r="F115" i="14"/>
  <c r="F111" i="14"/>
  <c r="F112" i="26"/>
  <c r="F110" i="14"/>
  <c r="F112" i="14"/>
  <c r="F111" i="9"/>
  <c r="F111" i="5"/>
  <c r="F113" i="5"/>
  <c r="F113" i="1"/>
  <c r="F115" i="45"/>
  <c r="F115" i="27"/>
  <c r="F113" i="19"/>
  <c r="F115" i="51"/>
  <c r="F113" i="45"/>
  <c r="F112" i="43"/>
  <c r="F111" i="41"/>
  <c r="F112" i="39"/>
  <c r="F111" i="37"/>
  <c r="F110" i="27"/>
  <c r="F114" i="27"/>
  <c r="F111" i="25"/>
  <c r="F111" i="42"/>
  <c r="F110" i="40"/>
  <c r="F111" i="38"/>
  <c r="F110" i="36"/>
  <c r="F113" i="34"/>
  <c r="F112" i="32"/>
  <c r="F115" i="30"/>
  <c r="F115" i="46"/>
  <c r="D43" i="60"/>
  <c r="D74" i="60" s="1"/>
  <c r="D49" i="60"/>
  <c r="D80" i="60" s="1"/>
  <c r="D51" i="60"/>
  <c r="D82" i="60" s="1"/>
  <c r="D53" i="60"/>
  <c r="D22" i="60" s="1"/>
  <c r="F115" i="9"/>
  <c r="F115" i="5"/>
  <c r="F115" i="1"/>
  <c r="F115" i="47"/>
  <c r="E102" i="60"/>
  <c r="E78" i="60"/>
  <c r="F115" i="55"/>
  <c r="D61" i="60"/>
  <c r="D30" i="60" s="1"/>
  <c r="D57" i="60"/>
  <c r="D88" i="60" s="1"/>
  <c r="D45" i="60"/>
  <c r="D14" i="60" s="1"/>
  <c r="D41" i="60"/>
  <c r="D10" i="60" s="1"/>
  <c r="D37" i="60"/>
  <c r="D68" i="60" s="1"/>
  <c r="F115" i="12"/>
  <c r="F115" i="22"/>
  <c r="F115" i="18"/>
  <c r="F110" i="54"/>
  <c r="F112" i="54"/>
  <c r="F114" i="54"/>
  <c r="F111" i="52"/>
  <c r="F113" i="52"/>
  <c r="F115" i="52"/>
  <c r="F110" i="50"/>
  <c r="F112" i="50"/>
  <c r="F114" i="50"/>
  <c r="F111" i="48"/>
  <c r="F113" i="48"/>
  <c r="F115" i="48"/>
  <c r="F114" i="44"/>
  <c r="F110" i="24"/>
  <c r="F114" i="24"/>
  <c r="F115" i="16"/>
  <c r="F115" i="35"/>
  <c r="F114" i="33"/>
  <c r="F115" i="29"/>
  <c r="M28" i="63"/>
  <c r="M30" i="63"/>
  <c r="M32" i="63"/>
  <c r="M13" i="63"/>
  <c r="M15" i="63"/>
  <c r="M19" i="63"/>
  <c r="F116" i="53"/>
  <c r="F111" i="46"/>
  <c r="F110" i="44"/>
  <c r="F112" i="44"/>
  <c r="F115" i="42"/>
  <c r="F115" i="38"/>
  <c r="F111" i="28"/>
  <c r="F115" i="28"/>
  <c r="F110" i="26"/>
  <c r="F114" i="26"/>
  <c r="F112" i="24"/>
  <c r="F111" i="11"/>
  <c r="F113" i="11"/>
  <c r="F115" i="11"/>
  <c r="F111" i="7"/>
  <c r="F113" i="7"/>
  <c r="F115" i="7"/>
  <c r="F111" i="3"/>
  <c r="F113" i="3"/>
  <c r="F115" i="3"/>
  <c r="F115" i="8"/>
  <c r="F115" i="56"/>
  <c r="F115" i="41"/>
  <c r="F115" i="37"/>
  <c r="F111" i="35"/>
  <c r="F113" i="35"/>
  <c r="F110" i="33"/>
  <c r="F112" i="33"/>
  <c r="F111" i="31"/>
  <c r="F113" i="31"/>
  <c r="F115" i="31"/>
  <c r="F115" i="25"/>
  <c r="F111" i="23"/>
  <c r="F113" i="23"/>
  <c r="F115" i="23"/>
  <c r="F110" i="21"/>
  <c r="F112" i="21"/>
  <c r="F114" i="21"/>
  <c r="F110" i="15"/>
  <c r="F112" i="15"/>
  <c r="F114" i="15"/>
  <c r="F110" i="13"/>
  <c r="F112" i="13"/>
  <c r="F114" i="13"/>
  <c r="M14" i="63"/>
  <c r="M18" i="63"/>
  <c r="M27" i="63"/>
  <c r="M29" i="63"/>
  <c r="M31" i="63"/>
  <c r="F115" i="53"/>
  <c r="F111" i="54"/>
  <c r="F113" i="54"/>
  <c r="F115" i="54"/>
  <c r="F110" i="52"/>
  <c r="F112" i="52"/>
  <c r="F114" i="52"/>
  <c r="F111" i="50"/>
  <c r="F113" i="50"/>
  <c r="F115" i="50"/>
  <c r="F110" i="48"/>
  <c r="F112" i="48"/>
  <c r="F114" i="48"/>
  <c r="F110" i="46"/>
  <c r="F112" i="46"/>
  <c r="F114" i="46"/>
  <c r="F111" i="44"/>
  <c r="F113" i="44"/>
  <c r="F115" i="44"/>
  <c r="F110" i="42"/>
  <c r="F111" i="40"/>
  <c r="F115" i="40"/>
  <c r="F110" i="38"/>
  <c r="F111" i="36"/>
  <c r="F115" i="36"/>
  <c r="F110" i="34"/>
  <c r="F114" i="34"/>
  <c r="F111" i="32"/>
  <c r="F115" i="32"/>
  <c r="F110" i="30"/>
  <c r="F114" i="30"/>
  <c r="F110" i="28"/>
  <c r="F112" i="28"/>
  <c r="F114" i="28"/>
  <c r="F111" i="26"/>
  <c r="F113" i="26"/>
  <c r="F115" i="26"/>
  <c r="F113" i="24"/>
  <c r="F115" i="24"/>
  <c r="F110" i="22"/>
  <c r="F114" i="22"/>
  <c r="F110" i="9"/>
  <c r="F112" i="9"/>
  <c r="F114" i="9"/>
  <c r="F110" i="5"/>
  <c r="F112" i="5"/>
  <c r="F114" i="5"/>
  <c r="F110" i="1"/>
  <c r="F112" i="1"/>
  <c r="F114" i="1"/>
  <c r="F115" i="19"/>
  <c r="F115" i="17"/>
  <c r="F115" i="4"/>
  <c r="F115" i="49"/>
  <c r="F110" i="45"/>
  <c r="F114" i="45"/>
  <c r="F111" i="43"/>
  <c r="F115" i="43"/>
  <c r="F112" i="41"/>
  <c r="F111" i="39"/>
  <c r="F115" i="39"/>
  <c r="F110" i="35"/>
  <c r="F112" i="35"/>
  <c r="F114" i="35"/>
  <c r="F111" i="33"/>
  <c r="F113" i="33"/>
  <c r="F115" i="33"/>
  <c r="F110" i="31"/>
  <c r="F112" i="31"/>
  <c r="F114" i="31"/>
  <c r="F111" i="29"/>
  <c r="F114" i="29"/>
  <c r="F110" i="23"/>
  <c r="F112" i="23"/>
  <c r="F114" i="23"/>
  <c r="F111" i="21"/>
  <c r="F113" i="21"/>
  <c r="F115" i="21"/>
  <c r="F111" i="15"/>
  <c r="F113" i="15"/>
  <c r="F111" i="13"/>
  <c r="F113" i="13"/>
  <c r="F115" i="13"/>
  <c r="M7" i="63"/>
  <c r="E7" i="63"/>
  <c r="E104" i="60"/>
  <c r="E93" i="60"/>
  <c r="D33" i="57"/>
  <c r="D64" i="57"/>
  <c r="F36" i="57"/>
  <c r="D94" i="57"/>
  <c r="F60" i="57"/>
  <c r="D90" i="57"/>
  <c r="F56" i="57"/>
  <c r="F84" i="57"/>
  <c r="F52" i="57"/>
  <c r="D82" i="57"/>
  <c r="F76" i="57"/>
  <c r="F44" i="57"/>
  <c r="D74" i="57"/>
  <c r="D70" i="57"/>
  <c r="F68" i="57"/>
  <c r="D91" i="57"/>
  <c r="E59" i="60"/>
  <c r="E51" i="60"/>
  <c r="D79" i="57"/>
  <c r="F43" i="57"/>
  <c r="D67" i="57"/>
  <c r="D39" i="60"/>
  <c r="D8" i="60" s="1"/>
  <c r="D44" i="60"/>
  <c r="D75" i="60" s="1"/>
  <c r="D55" i="60"/>
  <c r="D24" i="60" s="1"/>
  <c r="D56" i="60"/>
  <c r="D25" i="60" s="1"/>
  <c r="E44" i="60"/>
  <c r="D63" i="60"/>
  <c r="D94" i="60" s="1"/>
  <c r="E95" i="49"/>
  <c r="C109" i="49" s="1"/>
  <c r="C118" i="49" s="1"/>
  <c r="D94" i="24"/>
  <c r="D32" i="24"/>
  <c r="D90" i="24"/>
  <c r="D28" i="24"/>
  <c r="D86" i="24"/>
  <c r="D24" i="24"/>
  <c r="D82" i="24"/>
  <c r="D20" i="24"/>
  <c r="D78" i="24"/>
  <c r="D16" i="24"/>
  <c r="D74" i="24"/>
  <c r="D12" i="24"/>
  <c r="D70" i="24"/>
  <c r="D8" i="24"/>
  <c r="D94" i="22"/>
  <c r="D32" i="22"/>
  <c r="D90" i="22"/>
  <c r="D28" i="22"/>
  <c r="D86" i="22"/>
  <c r="D24" i="22"/>
  <c r="D82" i="22"/>
  <c r="D20" i="22"/>
  <c r="D78" i="22"/>
  <c r="D16" i="22"/>
  <c r="D74" i="22"/>
  <c r="D12" i="22"/>
  <c r="D70" i="22"/>
  <c r="D8" i="22"/>
  <c r="F82" i="22"/>
  <c r="D94" i="25"/>
  <c r="D32" i="25"/>
  <c r="D90" i="25"/>
  <c r="D28" i="25"/>
  <c r="D86" i="25"/>
  <c r="D24" i="25"/>
  <c r="D82" i="25"/>
  <c r="D20" i="25"/>
  <c r="D78" i="25"/>
  <c r="D16" i="25"/>
  <c r="D74" i="25"/>
  <c r="D12" i="25"/>
  <c r="D70" i="25"/>
  <c r="D8" i="25"/>
  <c r="D94" i="23"/>
  <c r="D32" i="23"/>
  <c r="D90" i="23"/>
  <c r="D28" i="23"/>
  <c r="D86" i="23"/>
  <c r="D24" i="23"/>
  <c r="D82" i="23"/>
  <c r="D20" i="23"/>
  <c r="D78" i="23"/>
  <c r="D16" i="23"/>
  <c r="D74" i="23"/>
  <c r="D12" i="23"/>
  <c r="D70" i="23"/>
  <c r="D8" i="23"/>
  <c r="D94" i="21"/>
  <c r="D32" i="21"/>
  <c r="D90" i="21"/>
  <c r="D28" i="21"/>
  <c r="D86" i="21"/>
  <c r="D24" i="21"/>
  <c r="D82" i="21"/>
  <c r="D20" i="21"/>
  <c r="D78" i="21"/>
  <c r="D16" i="21"/>
  <c r="D74" i="21"/>
  <c r="D12" i="21"/>
  <c r="D70" i="21"/>
  <c r="D8" i="21"/>
  <c r="E64" i="55"/>
  <c r="F36" i="55"/>
  <c r="F38" i="55"/>
  <c r="F40" i="55"/>
  <c r="F42" i="55"/>
  <c r="F44" i="55"/>
  <c r="F46" i="55"/>
  <c r="F48" i="55"/>
  <c r="F50" i="55"/>
  <c r="F52" i="55"/>
  <c r="F54" i="55"/>
  <c r="F56" i="55"/>
  <c r="F58" i="55"/>
  <c r="D91" i="55"/>
  <c r="D29" i="55"/>
  <c r="D92" i="55"/>
  <c r="D30" i="55"/>
  <c r="D93" i="55"/>
  <c r="D31" i="55"/>
  <c r="D94" i="55"/>
  <c r="D32" i="55"/>
  <c r="F92" i="55"/>
  <c r="F61" i="55"/>
  <c r="F63" i="55"/>
  <c r="E95" i="55"/>
  <c r="C109" i="55" s="1"/>
  <c r="C118" i="55" s="1"/>
  <c r="E105" i="55"/>
  <c r="F39" i="54"/>
  <c r="F37" i="54"/>
  <c r="D72" i="54"/>
  <c r="D10" i="54"/>
  <c r="D71" i="54"/>
  <c r="D9" i="54"/>
  <c r="D70" i="54"/>
  <c r="F70" i="54" s="1"/>
  <c r="D8" i="54"/>
  <c r="D69" i="54"/>
  <c r="F69" i="54" s="1"/>
  <c r="D7" i="54"/>
  <c r="D68" i="54"/>
  <c r="D6" i="54"/>
  <c r="D67" i="54"/>
  <c r="D64" i="54"/>
  <c r="D5" i="54"/>
  <c r="D73" i="54"/>
  <c r="D11" i="54"/>
  <c r="D74" i="54"/>
  <c r="D12" i="54"/>
  <c r="D75" i="54"/>
  <c r="D13" i="54"/>
  <c r="D76" i="54"/>
  <c r="D14" i="54"/>
  <c r="D77" i="54"/>
  <c r="D15" i="54"/>
  <c r="D78" i="54"/>
  <c r="F78" i="54" s="1"/>
  <c r="D16" i="54"/>
  <c r="D79" i="54"/>
  <c r="D17" i="54"/>
  <c r="D80" i="54"/>
  <c r="D18" i="54"/>
  <c r="D81" i="54"/>
  <c r="D19" i="54"/>
  <c r="D82" i="54"/>
  <c r="D20" i="54"/>
  <c r="D83" i="54"/>
  <c r="D21" i="54"/>
  <c r="D84" i="54"/>
  <c r="D22" i="54"/>
  <c r="D85" i="54"/>
  <c r="D23" i="54"/>
  <c r="D86" i="54"/>
  <c r="D24" i="54"/>
  <c r="D87" i="54"/>
  <c r="D25" i="54"/>
  <c r="D88" i="54"/>
  <c r="D26" i="54"/>
  <c r="D89" i="54"/>
  <c r="D27" i="54"/>
  <c r="D90" i="54"/>
  <c r="D28" i="54"/>
  <c r="D91" i="54"/>
  <c r="D29" i="54"/>
  <c r="D92" i="54"/>
  <c r="D30" i="54"/>
  <c r="D93" i="54"/>
  <c r="D31" i="54"/>
  <c r="D94" i="54"/>
  <c r="D32" i="54"/>
  <c r="F76" i="54"/>
  <c r="F41" i="54"/>
  <c r="F43" i="54"/>
  <c r="F45" i="54"/>
  <c r="F47" i="54"/>
  <c r="F49" i="54"/>
  <c r="F51" i="54"/>
  <c r="F53" i="54"/>
  <c r="F55" i="54"/>
  <c r="F57" i="54"/>
  <c r="F59" i="54"/>
  <c r="F61" i="54"/>
  <c r="F63" i="54"/>
  <c r="E95" i="54"/>
  <c r="C109" i="54" s="1"/>
  <c r="C118" i="54" s="1"/>
  <c r="F91" i="54"/>
  <c r="E105" i="54"/>
  <c r="F50" i="53"/>
  <c r="F48" i="53"/>
  <c r="F46" i="53"/>
  <c r="F44" i="53"/>
  <c r="F42" i="53"/>
  <c r="F40" i="53"/>
  <c r="F38" i="53"/>
  <c r="E64" i="53"/>
  <c r="F36" i="53"/>
  <c r="E105" i="52"/>
  <c r="E95" i="52"/>
  <c r="F63" i="52"/>
  <c r="F61" i="52"/>
  <c r="F59" i="52"/>
  <c r="F57" i="52"/>
  <c r="F55" i="52"/>
  <c r="F53" i="52"/>
  <c r="F51" i="52"/>
  <c r="F49" i="52"/>
  <c r="F47" i="52"/>
  <c r="F45" i="52"/>
  <c r="F43" i="52"/>
  <c r="F41" i="52"/>
  <c r="F39" i="52"/>
  <c r="F37" i="52"/>
  <c r="D81" i="53"/>
  <c r="D19" i="53"/>
  <c r="D80" i="53"/>
  <c r="D18" i="53"/>
  <c r="D79" i="53"/>
  <c r="D17" i="53"/>
  <c r="D78" i="53"/>
  <c r="D16" i="53"/>
  <c r="D77" i="53"/>
  <c r="D15" i="53"/>
  <c r="D76" i="53"/>
  <c r="F76" i="53" s="1"/>
  <c r="D14" i="53"/>
  <c r="D75" i="53"/>
  <c r="D13" i="53"/>
  <c r="D74" i="53"/>
  <c r="D12" i="53"/>
  <c r="D73" i="53"/>
  <c r="D11" i="53"/>
  <c r="D72" i="53"/>
  <c r="D10" i="53"/>
  <c r="D71" i="53"/>
  <c r="D9" i="53"/>
  <c r="D70" i="53"/>
  <c r="D8" i="53"/>
  <c r="D69" i="53"/>
  <c r="D7" i="53"/>
  <c r="D68" i="53"/>
  <c r="D6" i="53"/>
  <c r="D67" i="53"/>
  <c r="D64" i="53"/>
  <c r="D5" i="53"/>
  <c r="F52" i="53"/>
  <c r="F54" i="53"/>
  <c r="F56" i="53"/>
  <c r="F58" i="53"/>
  <c r="F60" i="53"/>
  <c r="F62" i="53"/>
  <c r="D32" i="50"/>
  <c r="D94" i="50"/>
  <c r="F94" i="50" s="1"/>
  <c r="D93" i="50"/>
  <c r="D31" i="50"/>
  <c r="D30" i="50"/>
  <c r="D92" i="50"/>
  <c r="D91" i="50"/>
  <c r="D29" i="50"/>
  <c r="D28" i="50"/>
  <c r="D90" i="50"/>
  <c r="F90" i="50" s="1"/>
  <c r="D89" i="50"/>
  <c r="D27" i="50"/>
  <c r="D26" i="50"/>
  <c r="D88" i="50"/>
  <c r="D87" i="50"/>
  <c r="D25" i="50"/>
  <c r="D24" i="50"/>
  <c r="D86" i="50"/>
  <c r="F86" i="50" s="1"/>
  <c r="D85" i="50"/>
  <c r="D23" i="50"/>
  <c r="D22" i="50"/>
  <c r="D84" i="50"/>
  <c r="D83" i="50"/>
  <c r="D21" i="50"/>
  <c r="D20" i="50"/>
  <c r="D82" i="50"/>
  <c r="F82" i="50" s="1"/>
  <c r="D81" i="50"/>
  <c r="D19" i="50"/>
  <c r="D18" i="50"/>
  <c r="D80" i="50"/>
  <c r="D79" i="50"/>
  <c r="D17" i="50"/>
  <c r="D16" i="50"/>
  <c r="D78" i="50"/>
  <c r="F78" i="50" s="1"/>
  <c r="D77" i="50"/>
  <c r="D15" i="50"/>
  <c r="D14" i="50"/>
  <c r="D76" i="50"/>
  <c r="D75" i="50"/>
  <c r="D13" i="50"/>
  <c r="D12" i="50"/>
  <c r="D74" i="50"/>
  <c r="F74" i="50" s="1"/>
  <c r="D73" i="50"/>
  <c r="D11" i="50"/>
  <c r="D10" i="50"/>
  <c r="D72" i="50"/>
  <c r="D71" i="50"/>
  <c r="D9" i="50"/>
  <c r="D8" i="50"/>
  <c r="D70" i="50"/>
  <c r="F70" i="50" s="1"/>
  <c r="D69" i="50"/>
  <c r="D7" i="50"/>
  <c r="D6" i="50"/>
  <c r="D68" i="50"/>
  <c r="D67" i="50"/>
  <c r="D64" i="50"/>
  <c r="F64" i="50" s="1"/>
  <c r="D5" i="50"/>
  <c r="F62" i="50"/>
  <c r="F60" i="50"/>
  <c r="F58" i="50"/>
  <c r="F56" i="50"/>
  <c r="F54" i="50"/>
  <c r="F52" i="50"/>
  <c r="F50" i="50"/>
  <c r="F48" i="50"/>
  <c r="F46" i="50"/>
  <c r="F44" i="50"/>
  <c r="F42" i="50"/>
  <c r="F40" i="50"/>
  <c r="F38" i="50"/>
  <c r="F36" i="50"/>
  <c r="F60" i="48"/>
  <c r="F56" i="48"/>
  <c r="F52" i="48"/>
  <c r="F61" i="50"/>
  <c r="F57" i="50"/>
  <c r="F53" i="50"/>
  <c r="F49" i="50"/>
  <c r="F45" i="50"/>
  <c r="F41" i="50"/>
  <c r="F37" i="50"/>
  <c r="F63" i="48"/>
  <c r="F59" i="48"/>
  <c r="F55" i="48"/>
  <c r="F51" i="48"/>
  <c r="F47" i="48"/>
  <c r="F43" i="48"/>
  <c r="D73" i="48"/>
  <c r="D11" i="48"/>
  <c r="D72" i="48"/>
  <c r="D10" i="48"/>
  <c r="D71" i="48"/>
  <c r="D9" i="48"/>
  <c r="D70" i="48"/>
  <c r="D8" i="48"/>
  <c r="D69" i="48"/>
  <c r="D7" i="48"/>
  <c r="D68" i="48"/>
  <c r="D6" i="48"/>
  <c r="D67" i="48"/>
  <c r="D64" i="48"/>
  <c r="D5" i="48"/>
  <c r="F42" i="48"/>
  <c r="F40" i="48"/>
  <c r="F38" i="48"/>
  <c r="E64" i="48"/>
  <c r="E95" i="47"/>
  <c r="C109" i="47" s="1"/>
  <c r="C118" i="47" s="1"/>
  <c r="F63" i="47"/>
  <c r="F61" i="47"/>
  <c r="F59" i="47"/>
  <c r="F57" i="47"/>
  <c r="F55" i="47"/>
  <c r="F53" i="47"/>
  <c r="F51" i="47"/>
  <c r="F49" i="47"/>
  <c r="F47" i="47"/>
  <c r="F45" i="47"/>
  <c r="F43" i="47"/>
  <c r="F41" i="48"/>
  <c r="F37" i="48"/>
  <c r="E105" i="47"/>
  <c r="D94" i="47"/>
  <c r="D32" i="47"/>
  <c r="D93" i="47"/>
  <c r="D31" i="47"/>
  <c r="D92" i="47"/>
  <c r="D30" i="47"/>
  <c r="D91" i="47"/>
  <c r="D29" i="47"/>
  <c r="D90" i="47"/>
  <c r="D28" i="47"/>
  <c r="D89" i="47"/>
  <c r="D27" i="47"/>
  <c r="D88" i="47"/>
  <c r="D26" i="47"/>
  <c r="D87" i="47"/>
  <c r="D25" i="47"/>
  <c r="D86" i="47"/>
  <c r="D24" i="47"/>
  <c r="D85" i="47"/>
  <c r="D23" i="47"/>
  <c r="D84" i="47"/>
  <c r="D22" i="47"/>
  <c r="D83" i="47"/>
  <c r="D21" i="47"/>
  <c r="D82" i="47"/>
  <c r="D20" i="47"/>
  <c r="D81" i="47"/>
  <c r="D19" i="47"/>
  <c r="D80" i="47"/>
  <c r="D18" i="47"/>
  <c r="D79" i="47"/>
  <c r="D17" i="47"/>
  <c r="D78" i="47"/>
  <c r="D16" i="47"/>
  <c r="D77" i="47"/>
  <c r="D15" i="47"/>
  <c r="D76" i="47"/>
  <c r="D14" i="47"/>
  <c r="D75" i="47"/>
  <c r="D13" i="47"/>
  <c r="D74" i="47"/>
  <c r="D12" i="47"/>
  <c r="D73" i="47"/>
  <c r="D11" i="47"/>
  <c r="D72" i="47"/>
  <c r="D10" i="47"/>
  <c r="D71" i="47"/>
  <c r="D9" i="47"/>
  <c r="D70" i="47"/>
  <c r="D8" i="47"/>
  <c r="D69" i="47"/>
  <c r="D7" i="47"/>
  <c r="D68" i="47"/>
  <c r="D6" i="47"/>
  <c r="D67" i="47"/>
  <c r="D64" i="47"/>
  <c r="D5" i="47"/>
  <c r="D32" i="45"/>
  <c r="D94" i="45"/>
  <c r="D93" i="45"/>
  <c r="D31" i="45"/>
  <c r="D30" i="45"/>
  <c r="D92" i="45"/>
  <c r="D91" i="45"/>
  <c r="D29" i="45"/>
  <c r="D28" i="45"/>
  <c r="D90" i="45"/>
  <c r="D89" i="45"/>
  <c r="D27" i="45"/>
  <c r="D26" i="45"/>
  <c r="D88" i="45"/>
  <c r="D87" i="45"/>
  <c r="D25" i="45"/>
  <c r="D24" i="45"/>
  <c r="D86" i="45"/>
  <c r="D85" i="45"/>
  <c r="D23" i="45"/>
  <c r="D22" i="45"/>
  <c r="D84" i="45"/>
  <c r="D83" i="45"/>
  <c r="D21" i="45"/>
  <c r="D20" i="45"/>
  <c r="D82" i="45"/>
  <c r="F82" i="45" s="1"/>
  <c r="D81" i="45"/>
  <c r="D19" i="45"/>
  <c r="D18" i="45"/>
  <c r="D80" i="45"/>
  <c r="D79" i="45"/>
  <c r="D17" i="45"/>
  <c r="D16" i="45"/>
  <c r="D78" i="45"/>
  <c r="D77" i="45"/>
  <c r="D15" i="45"/>
  <c r="D14" i="45"/>
  <c r="D76" i="45"/>
  <c r="D75" i="45"/>
  <c r="D13" i="45"/>
  <c r="D12" i="45"/>
  <c r="D74" i="45"/>
  <c r="D73" i="45"/>
  <c r="D11" i="45"/>
  <c r="D10" i="45"/>
  <c r="D72" i="45"/>
  <c r="D71" i="45"/>
  <c r="D9" i="45"/>
  <c r="D8" i="45"/>
  <c r="D70" i="45"/>
  <c r="D69" i="45"/>
  <c r="D7" i="45"/>
  <c r="D6" i="45"/>
  <c r="D68" i="45"/>
  <c r="D67" i="45"/>
  <c r="D64" i="45"/>
  <c r="D5" i="45"/>
  <c r="F36" i="47"/>
  <c r="F62" i="45"/>
  <c r="F60" i="45"/>
  <c r="F58" i="45"/>
  <c r="F56" i="45"/>
  <c r="F54" i="45"/>
  <c r="F52" i="45"/>
  <c r="F50" i="45"/>
  <c r="F48" i="45"/>
  <c r="F46" i="45"/>
  <c r="F44" i="45"/>
  <c r="F42" i="45"/>
  <c r="F40" i="45"/>
  <c r="F38" i="45"/>
  <c r="F36" i="45"/>
  <c r="E95" i="44"/>
  <c r="C109" i="44" s="1"/>
  <c r="C118" i="44" s="1"/>
  <c r="F60" i="44"/>
  <c r="F58" i="44"/>
  <c r="F56" i="44"/>
  <c r="F54" i="44"/>
  <c r="F52" i="44"/>
  <c r="F50" i="44"/>
  <c r="F48" i="44"/>
  <c r="F46" i="44"/>
  <c r="F44" i="44"/>
  <c r="F42" i="44"/>
  <c r="F40" i="44"/>
  <c r="F38" i="44"/>
  <c r="E64" i="44"/>
  <c r="F36" i="44"/>
  <c r="E105" i="43"/>
  <c r="E95" i="43"/>
  <c r="C109" i="43" s="1"/>
  <c r="C118" i="43" s="1"/>
  <c r="F63" i="43"/>
  <c r="F61" i="43"/>
  <c r="F59" i="43"/>
  <c r="F57" i="43"/>
  <c r="F55" i="43"/>
  <c r="F53" i="43"/>
  <c r="F51" i="43"/>
  <c r="F49" i="43"/>
  <c r="F47" i="43"/>
  <c r="F45" i="43"/>
  <c r="F43" i="43"/>
  <c r="F41" i="43"/>
  <c r="F39" i="43"/>
  <c r="F37" i="43"/>
  <c r="F62" i="42"/>
  <c r="F60" i="42"/>
  <c r="F58" i="42"/>
  <c r="F56" i="42"/>
  <c r="F54" i="42"/>
  <c r="F52" i="42"/>
  <c r="F50" i="42"/>
  <c r="F48" i="42"/>
  <c r="F46" i="42"/>
  <c r="F44" i="42"/>
  <c r="F42" i="42"/>
  <c r="F40" i="42"/>
  <c r="F38" i="42"/>
  <c r="E64" i="42"/>
  <c r="F36" i="42"/>
  <c r="E105" i="41"/>
  <c r="E95" i="41"/>
  <c r="C109" i="41" s="1"/>
  <c r="C118" i="41" s="1"/>
  <c r="F63" i="41"/>
  <c r="F61" i="41"/>
  <c r="F59" i="41"/>
  <c r="F57" i="41"/>
  <c r="F55" i="41"/>
  <c r="F53" i="41"/>
  <c r="F51" i="41"/>
  <c r="F49" i="41"/>
  <c r="F47" i="41"/>
  <c r="F45" i="41"/>
  <c r="F43" i="41"/>
  <c r="F41" i="41"/>
  <c r="F39" i="41"/>
  <c r="F37" i="41"/>
  <c r="F62" i="40"/>
  <c r="F60" i="40"/>
  <c r="F58" i="40"/>
  <c r="F56" i="40"/>
  <c r="F54" i="40"/>
  <c r="F52" i="40"/>
  <c r="F50" i="40"/>
  <c r="F48" i="40"/>
  <c r="F46" i="40"/>
  <c r="F44" i="40"/>
  <c r="F42" i="40"/>
  <c r="F40" i="40"/>
  <c r="F38" i="40"/>
  <c r="E64" i="40"/>
  <c r="F36" i="40"/>
  <c r="E105" i="39"/>
  <c r="E95" i="39"/>
  <c r="C109" i="39" s="1"/>
  <c r="C118" i="39" s="1"/>
  <c r="F63" i="39"/>
  <c r="F61" i="39"/>
  <c r="F59" i="39"/>
  <c r="F57" i="39"/>
  <c r="F55" i="39"/>
  <c r="F53" i="39"/>
  <c r="F51" i="39"/>
  <c r="F49" i="39"/>
  <c r="F47" i="39"/>
  <c r="F45" i="39"/>
  <c r="F43" i="39"/>
  <c r="F41" i="39"/>
  <c r="F39" i="39"/>
  <c r="F37" i="39"/>
  <c r="F41" i="47"/>
  <c r="F37" i="47"/>
  <c r="F61" i="45"/>
  <c r="F57" i="45"/>
  <c r="F53" i="45"/>
  <c r="F49" i="45"/>
  <c r="F45" i="45"/>
  <c r="F41" i="45"/>
  <c r="F37" i="45"/>
  <c r="E105" i="44"/>
  <c r="F62" i="44"/>
  <c r="D92" i="44"/>
  <c r="D30" i="44"/>
  <c r="D91" i="44"/>
  <c r="D29" i="44"/>
  <c r="D90" i="44"/>
  <c r="D28" i="44"/>
  <c r="D89" i="44"/>
  <c r="D27" i="44"/>
  <c r="D88" i="44"/>
  <c r="D26" i="44"/>
  <c r="D87" i="44"/>
  <c r="D25" i="44"/>
  <c r="D86" i="44"/>
  <c r="D24" i="44"/>
  <c r="D85" i="44"/>
  <c r="D23" i="44"/>
  <c r="D84" i="44"/>
  <c r="D22" i="44"/>
  <c r="D83" i="44"/>
  <c r="D21" i="44"/>
  <c r="D82" i="44"/>
  <c r="D20" i="44"/>
  <c r="D81" i="44"/>
  <c r="D19" i="44"/>
  <c r="D80" i="44"/>
  <c r="D18" i="44"/>
  <c r="D79" i="44"/>
  <c r="D17" i="44"/>
  <c r="D78" i="44"/>
  <c r="D16" i="44"/>
  <c r="D77" i="44"/>
  <c r="D15" i="44"/>
  <c r="D76" i="44"/>
  <c r="D14" i="44"/>
  <c r="D75" i="44"/>
  <c r="D13" i="44"/>
  <c r="D74" i="44"/>
  <c r="D12" i="44"/>
  <c r="D73" i="44"/>
  <c r="D11" i="44"/>
  <c r="D72" i="44"/>
  <c r="D10" i="44"/>
  <c r="D71" i="44"/>
  <c r="D9" i="44"/>
  <c r="D70" i="44"/>
  <c r="D8" i="44"/>
  <c r="D69" i="44"/>
  <c r="D7" i="44"/>
  <c r="D68" i="44"/>
  <c r="D6" i="44"/>
  <c r="D67" i="44"/>
  <c r="D64" i="44"/>
  <c r="D5" i="44"/>
  <c r="D94" i="43"/>
  <c r="D32" i="43"/>
  <c r="D31" i="43"/>
  <c r="D93" i="43"/>
  <c r="F93" i="43" s="1"/>
  <c r="D92" i="43"/>
  <c r="D30" i="43"/>
  <c r="D29" i="43"/>
  <c r="D91" i="43"/>
  <c r="D90" i="43"/>
  <c r="D28" i="43"/>
  <c r="D27" i="43"/>
  <c r="D89" i="43"/>
  <c r="F89" i="43" s="1"/>
  <c r="D88" i="43"/>
  <c r="D26" i="43"/>
  <c r="D25" i="43"/>
  <c r="D87" i="43"/>
  <c r="D86" i="43"/>
  <c r="F86" i="43" s="1"/>
  <c r="D24" i="43"/>
  <c r="D23" i="43"/>
  <c r="D85" i="43"/>
  <c r="F85" i="43" s="1"/>
  <c r="D84" i="43"/>
  <c r="D22" i="43"/>
  <c r="D21" i="43"/>
  <c r="D83" i="43"/>
  <c r="D82" i="43"/>
  <c r="D20" i="43"/>
  <c r="D19" i="43"/>
  <c r="D81" i="43"/>
  <c r="D80" i="43"/>
  <c r="D18" i="43"/>
  <c r="D17" i="43"/>
  <c r="D79" i="43"/>
  <c r="D78" i="43"/>
  <c r="D16" i="43"/>
  <c r="D15" i="43"/>
  <c r="D77" i="43"/>
  <c r="F77" i="43" s="1"/>
  <c r="D76" i="43"/>
  <c r="D14" i="43"/>
  <c r="D13" i="43"/>
  <c r="D75" i="43"/>
  <c r="D74" i="43"/>
  <c r="D12" i="43"/>
  <c r="D11" i="43"/>
  <c r="D73" i="43"/>
  <c r="F73" i="43" s="1"/>
  <c r="D72" i="43"/>
  <c r="D10" i="43"/>
  <c r="D9" i="43"/>
  <c r="D71" i="43"/>
  <c r="D70" i="43"/>
  <c r="D8" i="43"/>
  <c r="D7" i="43"/>
  <c r="D69" i="43"/>
  <c r="F69" i="43" s="1"/>
  <c r="D68" i="43"/>
  <c r="D6" i="43"/>
  <c r="D5" i="43"/>
  <c r="D67" i="43"/>
  <c r="D64" i="43"/>
  <c r="D94" i="42"/>
  <c r="D32" i="42"/>
  <c r="D31" i="42"/>
  <c r="D93" i="42"/>
  <c r="D92" i="42"/>
  <c r="D30" i="42"/>
  <c r="D29" i="42"/>
  <c r="D91" i="42"/>
  <c r="D90" i="42"/>
  <c r="D28" i="42"/>
  <c r="D27" i="42"/>
  <c r="D89" i="42"/>
  <c r="D88" i="42"/>
  <c r="D26" i="42"/>
  <c r="D25" i="42"/>
  <c r="D87" i="42"/>
  <c r="D86" i="42"/>
  <c r="F86" i="42" s="1"/>
  <c r="D24" i="42"/>
  <c r="D23" i="42"/>
  <c r="D85" i="42"/>
  <c r="D84" i="42"/>
  <c r="D22" i="42"/>
  <c r="D21" i="42"/>
  <c r="D83" i="42"/>
  <c r="D82" i="42"/>
  <c r="D20" i="42"/>
  <c r="D19" i="42"/>
  <c r="D81" i="42"/>
  <c r="D80" i="42"/>
  <c r="D18" i="42"/>
  <c r="D17" i="42"/>
  <c r="D79" i="42"/>
  <c r="D78" i="42"/>
  <c r="D16" i="42"/>
  <c r="D15" i="42"/>
  <c r="D77" i="42"/>
  <c r="D76" i="42"/>
  <c r="D14" i="42"/>
  <c r="D13" i="42"/>
  <c r="D75" i="42"/>
  <c r="D74" i="42"/>
  <c r="D12" i="42"/>
  <c r="D11" i="42"/>
  <c r="D73" i="42"/>
  <c r="D72" i="42"/>
  <c r="D10" i="42"/>
  <c r="D9" i="42"/>
  <c r="D71" i="42"/>
  <c r="D70" i="42"/>
  <c r="D8" i="42"/>
  <c r="D7" i="42"/>
  <c r="D69" i="42"/>
  <c r="D68" i="42"/>
  <c r="D6" i="42"/>
  <c r="D5" i="42"/>
  <c r="D67" i="42"/>
  <c r="D64" i="42"/>
  <c r="D94" i="41"/>
  <c r="D32" i="41"/>
  <c r="D31" i="41"/>
  <c r="D93" i="41"/>
  <c r="F93" i="41" s="1"/>
  <c r="D92" i="41"/>
  <c r="D30" i="41"/>
  <c r="D29" i="41"/>
  <c r="D91" i="41"/>
  <c r="D90" i="41"/>
  <c r="D28" i="41"/>
  <c r="D27" i="41"/>
  <c r="D89" i="41"/>
  <c r="F89" i="41" s="1"/>
  <c r="D88" i="41"/>
  <c r="D26" i="41"/>
  <c r="D25" i="41"/>
  <c r="D87" i="41"/>
  <c r="D86" i="41"/>
  <c r="D24" i="41"/>
  <c r="D23" i="41"/>
  <c r="D85" i="41"/>
  <c r="F85" i="41" s="1"/>
  <c r="D84" i="41"/>
  <c r="D22" i="41"/>
  <c r="D21" i="41"/>
  <c r="D83" i="41"/>
  <c r="D82" i="41"/>
  <c r="D20" i="41"/>
  <c r="D19" i="41"/>
  <c r="D81" i="41"/>
  <c r="D80" i="41"/>
  <c r="D18" i="41"/>
  <c r="D17" i="41"/>
  <c r="D79" i="41"/>
  <c r="D78" i="41"/>
  <c r="D16" i="41"/>
  <c r="D15" i="41"/>
  <c r="D77" i="41"/>
  <c r="F77" i="41" s="1"/>
  <c r="D76" i="41"/>
  <c r="D14" i="41"/>
  <c r="D13" i="41"/>
  <c r="D75" i="41"/>
  <c r="D74" i="41"/>
  <c r="D12" i="41"/>
  <c r="D11" i="41"/>
  <c r="D73" i="41"/>
  <c r="F73" i="41" s="1"/>
  <c r="D72" i="41"/>
  <c r="D10" i="41"/>
  <c r="D9" i="41"/>
  <c r="D71" i="41"/>
  <c r="D70" i="41"/>
  <c r="D8" i="41"/>
  <c r="D7" i="41"/>
  <c r="D69" i="41"/>
  <c r="F69" i="41" s="1"/>
  <c r="D68" i="41"/>
  <c r="D6" i="41"/>
  <c r="D5" i="41"/>
  <c r="D67" i="41"/>
  <c r="D64" i="41"/>
  <c r="D94" i="40"/>
  <c r="D32" i="40"/>
  <c r="D31" i="40"/>
  <c r="D93" i="40"/>
  <c r="D92" i="40"/>
  <c r="D30" i="40"/>
  <c r="D29" i="40"/>
  <c r="D91" i="40"/>
  <c r="D90" i="40"/>
  <c r="D28" i="40"/>
  <c r="D27" i="40"/>
  <c r="D89" i="40"/>
  <c r="D88" i="40"/>
  <c r="D26" i="40"/>
  <c r="D25" i="40"/>
  <c r="D87" i="40"/>
  <c r="D86" i="40"/>
  <c r="D24" i="40"/>
  <c r="D23" i="40"/>
  <c r="D85" i="40"/>
  <c r="D84" i="40"/>
  <c r="D22" i="40"/>
  <c r="D21" i="40"/>
  <c r="D83" i="40"/>
  <c r="D82" i="40"/>
  <c r="D20" i="40"/>
  <c r="D19" i="40"/>
  <c r="D81" i="40"/>
  <c r="D80" i="40"/>
  <c r="D18" i="40"/>
  <c r="D17" i="40"/>
  <c r="D79" i="40"/>
  <c r="D78" i="40"/>
  <c r="D16" i="40"/>
  <c r="D15" i="40"/>
  <c r="D77" i="40"/>
  <c r="D76" i="40"/>
  <c r="D14" i="40"/>
  <c r="D13" i="40"/>
  <c r="D75" i="40"/>
  <c r="D74" i="40"/>
  <c r="D12" i="40"/>
  <c r="D11" i="40"/>
  <c r="D73" i="40"/>
  <c r="D72" i="40"/>
  <c r="D10" i="40"/>
  <c r="D9" i="40"/>
  <c r="D71" i="40"/>
  <c r="D70" i="40"/>
  <c r="D8" i="40"/>
  <c r="D7" i="40"/>
  <c r="D69" i="40"/>
  <c r="D68" i="40"/>
  <c r="D6" i="40"/>
  <c r="D5" i="40"/>
  <c r="D67" i="40"/>
  <c r="D64" i="40"/>
  <c r="D94" i="39"/>
  <c r="D32" i="39"/>
  <c r="D31" i="39"/>
  <c r="D93" i="39"/>
  <c r="F93" i="39" s="1"/>
  <c r="D92" i="39"/>
  <c r="D30" i="39"/>
  <c r="D29" i="39"/>
  <c r="D91" i="39"/>
  <c r="D90" i="39"/>
  <c r="D28" i="39"/>
  <c r="D27" i="39"/>
  <c r="D89" i="39"/>
  <c r="F89" i="39" s="1"/>
  <c r="D88" i="39"/>
  <c r="D26" i="39"/>
  <c r="D25" i="39"/>
  <c r="D87" i="39"/>
  <c r="D86" i="39"/>
  <c r="D24" i="39"/>
  <c r="D23" i="39"/>
  <c r="D85" i="39"/>
  <c r="F85" i="39" s="1"/>
  <c r="D84" i="39"/>
  <c r="D22" i="39"/>
  <c r="D21" i="39"/>
  <c r="D83" i="39"/>
  <c r="D82" i="39"/>
  <c r="D20" i="39"/>
  <c r="D19" i="39"/>
  <c r="D81" i="39"/>
  <c r="D80" i="39"/>
  <c r="D18" i="39"/>
  <c r="D17" i="39"/>
  <c r="D79" i="39"/>
  <c r="D78" i="39"/>
  <c r="D16" i="39"/>
  <c r="D15" i="39"/>
  <c r="D77" i="39"/>
  <c r="F77" i="39" s="1"/>
  <c r="D76" i="39"/>
  <c r="D14" i="39"/>
  <c r="D13" i="39"/>
  <c r="D75" i="39"/>
  <c r="D74" i="39"/>
  <c r="D12" i="39"/>
  <c r="D11" i="39"/>
  <c r="D73" i="39"/>
  <c r="F73" i="39" s="1"/>
  <c r="D72" i="39"/>
  <c r="D10" i="39"/>
  <c r="D9" i="39"/>
  <c r="D71" i="39"/>
  <c r="D70" i="39"/>
  <c r="D8" i="39"/>
  <c r="D7" i="39"/>
  <c r="D69" i="39"/>
  <c r="F69" i="39" s="1"/>
  <c r="D68" i="39"/>
  <c r="D6" i="39"/>
  <c r="D5" i="39"/>
  <c r="D67" i="39"/>
  <c r="D64" i="39"/>
  <c r="E95" i="38"/>
  <c r="C109" i="38" s="1"/>
  <c r="C118" i="38" s="1"/>
  <c r="F63" i="38"/>
  <c r="F61" i="38"/>
  <c r="F59" i="38"/>
  <c r="F57" i="38"/>
  <c r="F55" i="38"/>
  <c r="D94" i="38"/>
  <c r="D32" i="38"/>
  <c r="D93" i="38"/>
  <c r="D31" i="38"/>
  <c r="D92" i="38"/>
  <c r="F92" i="38" s="1"/>
  <c r="D30" i="38"/>
  <c r="D91" i="38"/>
  <c r="F91" i="38" s="1"/>
  <c r="D29" i="38"/>
  <c r="D90" i="38"/>
  <c r="D28" i="38"/>
  <c r="D89" i="38"/>
  <c r="D27" i="38"/>
  <c r="D88" i="38"/>
  <c r="F88" i="38" s="1"/>
  <c r="D26" i="38"/>
  <c r="D87" i="38"/>
  <c r="F87" i="38" s="1"/>
  <c r="D25" i="38"/>
  <c r="D86" i="38"/>
  <c r="D24" i="38"/>
  <c r="D85" i="38"/>
  <c r="D23" i="38"/>
  <c r="D84" i="38"/>
  <c r="F84" i="38" s="1"/>
  <c r="D22" i="38"/>
  <c r="D83" i="38"/>
  <c r="F83" i="38" s="1"/>
  <c r="D21" i="38"/>
  <c r="D82" i="38"/>
  <c r="D20" i="38"/>
  <c r="D81" i="38"/>
  <c r="D19" i="38"/>
  <c r="D80" i="38"/>
  <c r="F80" i="38" s="1"/>
  <c r="D18" i="38"/>
  <c r="D79" i="38"/>
  <c r="F79" i="38" s="1"/>
  <c r="D17" i="38"/>
  <c r="D78" i="38"/>
  <c r="D16" i="38"/>
  <c r="D77" i="38"/>
  <c r="F77" i="38" s="1"/>
  <c r="D15" i="38"/>
  <c r="D76" i="38"/>
  <c r="D14" i="38"/>
  <c r="D75" i="38"/>
  <c r="D13" i="38"/>
  <c r="D74" i="38"/>
  <c r="F74" i="38" s="1"/>
  <c r="D12" i="38"/>
  <c r="D73" i="38"/>
  <c r="F73" i="38" s="1"/>
  <c r="D11" i="38"/>
  <c r="D72" i="38"/>
  <c r="D10" i="38"/>
  <c r="D71" i="38"/>
  <c r="D9" i="38"/>
  <c r="D70" i="38"/>
  <c r="F70" i="38" s="1"/>
  <c r="D8" i="38"/>
  <c r="D69" i="38"/>
  <c r="F69" i="38" s="1"/>
  <c r="D7" i="38"/>
  <c r="D68" i="38"/>
  <c r="D6" i="38"/>
  <c r="D67" i="38"/>
  <c r="D64" i="38"/>
  <c r="D5" i="38"/>
  <c r="D32" i="37"/>
  <c r="D94" i="37"/>
  <c r="F94" i="37" s="1"/>
  <c r="D93" i="37"/>
  <c r="D31" i="37"/>
  <c r="D30" i="37"/>
  <c r="D92" i="37"/>
  <c r="D91" i="37"/>
  <c r="D29" i="37"/>
  <c r="D28" i="37"/>
  <c r="D90" i="37"/>
  <c r="F90" i="37" s="1"/>
  <c r="D89" i="37"/>
  <c r="D27" i="37"/>
  <c r="D26" i="37"/>
  <c r="D88" i="37"/>
  <c r="D87" i="37"/>
  <c r="D25" i="37"/>
  <c r="D24" i="37"/>
  <c r="D86" i="37"/>
  <c r="F86" i="37" s="1"/>
  <c r="D85" i="37"/>
  <c r="D23" i="37"/>
  <c r="D22" i="37"/>
  <c r="D84" i="37"/>
  <c r="D83" i="37"/>
  <c r="D21" i="37"/>
  <c r="D20" i="37"/>
  <c r="D82" i="37"/>
  <c r="F82" i="37" s="1"/>
  <c r="D81" i="37"/>
  <c r="D19" i="37"/>
  <c r="D18" i="37"/>
  <c r="D80" i="37"/>
  <c r="D79" i="37"/>
  <c r="D17" i="37"/>
  <c r="D16" i="37"/>
  <c r="D78" i="37"/>
  <c r="F78" i="37" s="1"/>
  <c r="D77" i="37"/>
  <c r="D15" i="37"/>
  <c r="D14" i="37"/>
  <c r="D76" i="37"/>
  <c r="D75" i="37"/>
  <c r="D13" i="37"/>
  <c r="D12" i="37"/>
  <c r="D74" i="37"/>
  <c r="F74" i="37" s="1"/>
  <c r="D73" i="37"/>
  <c r="D11" i="37"/>
  <c r="D10" i="37"/>
  <c r="D72" i="37"/>
  <c r="D71" i="37"/>
  <c r="D9" i="37"/>
  <c r="D8" i="37"/>
  <c r="D70" i="37"/>
  <c r="F70" i="37" s="1"/>
  <c r="D69" i="37"/>
  <c r="D7" i="37"/>
  <c r="D6" i="37"/>
  <c r="D68" i="37"/>
  <c r="D67" i="37"/>
  <c r="D64" i="37"/>
  <c r="F64" i="37" s="1"/>
  <c r="D5" i="37"/>
  <c r="D32" i="35"/>
  <c r="D94" i="35"/>
  <c r="D93" i="35"/>
  <c r="D31" i="35"/>
  <c r="D30" i="35"/>
  <c r="D92" i="35"/>
  <c r="D91" i="35"/>
  <c r="D29" i="35"/>
  <c r="D28" i="35"/>
  <c r="D90" i="35"/>
  <c r="D89" i="35"/>
  <c r="D27" i="35"/>
  <c r="D26" i="35"/>
  <c r="D88" i="35"/>
  <c r="D87" i="35"/>
  <c r="D25" i="35"/>
  <c r="D24" i="35"/>
  <c r="D86" i="35"/>
  <c r="D85" i="35"/>
  <c r="D23" i="35"/>
  <c r="D22" i="35"/>
  <c r="D84" i="35"/>
  <c r="D83" i="35"/>
  <c r="D21" i="35"/>
  <c r="D20" i="35"/>
  <c r="D82" i="35"/>
  <c r="D81" i="35"/>
  <c r="D19" i="35"/>
  <c r="D18" i="35"/>
  <c r="D80" i="35"/>
  <c r="D79" i="35"/>
  <c r="D17" i="35"/>
  <c r="D16" i="35"/>
  <c r="D78" i="35"/>
  <c r="D77" i="35"/>
  <c r="D15" i="35"/>
  <c r="D14" i="35"/>
  <c r="D76" i="35"/>
  <c r="D75" i="35"/>
  <c r="D13" i="35"/>
  <c r="D12" i="35"/>
  <c r="D74" i="35"/>
  <c r="D73" i="35"/>
  <c r="D11" i="35"/>
  <c r="D10" i="35"/>
  <c r="D72" i="35"/>
  <c r="D71" i="35"/>
  <c r="D9" i="35"/>
  <c r="D8" i="35"/>
  <c r="D70" i="35"/>
  <c r="D69" i="35"/>
  <c r="D7" i="35"/>
  <c r="D6" i="35"/>
  <c r="D68" i="35"/>
  <c r="D67" i="35"/>
  <c r="D64" i="35"/>
  <c r="D5" i="35"/>
  <c r="D32" i="33"/>
  <c r="D94" i="33"/>
  <c r="D93" i="33"/>
  <c r="D31" i="33"/>
  <c r="D30" i="33"/>
  <c r="D92" i="33"/>
  <c r="D91" i="33"/>
  <c r="D29" i="33"/>
  <c r="D28" i="33"/>
  <c r="D90" i="33"/>
  <c r="D89" i="33"/>
  <c r="D27" i="33"/>
  <c r="D26" i="33"/>
  <c r="D88" i="33"/>
  <c r="D87" i="33"/>
  <c r="D25" i="33"/>
  <c r="D24" i="33"/>
  <c r="D86" i="33"/>
  <c r="D85" i="33"/>
  <c r="D23" i="33"/>
  <c r="D22" i="33"/>
  <c r="D84" i="33"/>
  <c r="D83" i="33"/>
  <c r="D21" i="33"/>
  <c r="D20" i="33"/>
  <c r="D82" i="33"/>
  <c r="D81" i="33"/>
  <c r="D19" i="33"/>
  <c r="D18" i="33"/>
  <c r="D80" i="33"/>
  <c r="D79" i="33"/>
  <c r="D17" i="33"/>
  <c r="D16" i="33"/>
  <c r="D78" i="33"/>
  <c r="D77" i="33"/>
  <c r="D15" i="33"/>
  <c r="D14" i="33"/>
  <c r="D76" i="33"/>
  <c r="D75" i="33"/>
  <c r="D13" i="33"/>
  <c r="D12" i="33"/>
  <c r="D74" i="33"/>
  <c r="D73" i="33"/>
  <c r="D11" i="33"/>
  <c r="D10" i="33"/>
  <c r="D72" i="33"/>
  <c r="D71" i="33"/>
  <c r="D9" i="33"/>
  <c r="D8" i="33"/>
  <c r="D70" i="33"/>
  <c r="D69" i="33"/>
  <c r="D7" i="33"/>
  <c r="D6" i="33"/>
  <c r="D68" i="33"/>
  <c r="D67" i="33"/>
  <c r="D64" i="33"/>
  <c r="D5" i="33"/>
  <c r="F53" i="38"/>
  <c r="F49" i="38"/>
  <c r="F45" i="38"/>
  <c r="F41" i="38"/>
  <c r="F37" i="38"/>
  <c r="F62" i="31"/>
  <c r="F60" i="31"/>
  <c r="F58" i="31"/>
  <c r="F56" i="31"/>
  <c r="F54" i="31"/>
  <c r="F52" i="31"/>
  <c r="F50" i="31"/>
  <c r="F48" i="31"/>
  <c r="F46" i="31"/>
  <c r="F44" i="31"/>
  <c r="F42" i="31"/>
  <c r="F40" i="31"/>
  <c r="F38" i="31"/>
  <c r="E64" i="31"/>
  <c r="F36" i="31"/>
  <c r="E105" i="30"/>
  <c r="E95" i="30"/>
  <c r="C109" i="30" s="1"/>
  <c r="C118" i="30" s="1"/>
  <c r="F63" i="30"/>
  <c r="F61" i="30"/>
  <c r="F59" i="30"/>
  <c r="F57" i="30"/>
  <c r="F55" i="30"/>
  <c r="F53" i="30"/>
  <c r="F51" i="30"/>
  <c r="F49" i="30"/>
  <c r="F47" i="30"/>
  <c r="F45" i="30"/>
  <c r="F43" i="30"/>
  <c r="F41" i="30"/>
  <c r="F39" i="30"/>
  <c r="F37" i="30"/>
  <c r="F62" i="29"/>
  <c r="F60" i="29"/>
  <c r="F58" i="29"/>
  <c r="F56" i="29"/>
  <c r="F54" i="29"/>
  <c r="F52" i="29"/>
  <c r="F50" i="29"/>
  <c r="F48" i="29"/>
  <c r="F46" i="29"/>
  <c r="F44" i="29"/>
  <c r="F42" i="29"/>
  <c r="F40" i="29"/>
  <c r="F38" i="29"/>
  <c r="E64" i="29"/>
  <c r="F36" i="29"/>
  <c r="E105" i="28"/>
  <c r="E95" i="28"/>
  <c r="C109" i="28" s="1"/>
  <c r="C118" i="28" s="1"/>
  <c r="F63" i="28"/>
  <c r="F61" i="28"/>
  <c r="F59" i="28"/>
  <c r="F57" i="28"/>
  <c r="F55" i="28"/>
  <c r="F53" i="28"/>
  <c r="F51" i="28"/>
  <c r="F49" i="28"/>
  <c r="F47" i="28"/>
  <c r="F45" i="28"/>
  <c r="F43" i="28"/>
  <c r="F41" i="28"/>
  <c r="F39" i="28"/>
  <c r="F37" i="28"/>
  <c r="F62" i="27"/>
  <c r="F60" i="27"/>
  <c r="F58" i="27"/>
  <c r="F56" i="27"/>
  <c r="F54" i="27"/>
  <c r="F52" i="27"/>
  <c r="F50" i="27"/>
  <c r="F48" i="27"/>
  <c r="F46" i="27"/>
  <c r="F44" i="27"/>
  <c r="F42" i="27"/>
  <c r="F40" i="27"/>
  <c r="F38" i="27"/>
  <c r="E64" i="27"/>
  <c r="F36" i="27"/>
  <c r="E105" i="26"/>
  <c r="E95" i="26"/>
  <c r="C109" i="26" s="1"/>
  <c r="C118" i="26" s="1"/>
  <c r="F63" i="26"/>
  <c r="F61" i="26"/>
  <c r="F59" i="26"/>
  <c r="F57" i="26"/>
  <c r="F55" i="26"/>
  <c r="F53" i="26"/>
  <c r="F51" i="26"/>
  <c r="F49" i="26"/>
  <c r="F47" i="26"/>
  <c r="F45" i="26"/>
  <c r="F43" i="26"/>
  <c r="F41" i="26"/>
  <c r="F39" i="26"/>
  <c r="F37" i="26"/>
  <c r="F54" i="38"/>
  <c r="F50" i="38"/>
  <c r="F48" i="38"/>
  <c r="F46" i="38"/>
  <c r="F44" i="38"/>
  <c r="F42" i="38"/>
  <c r="F40" i="38"/>
  <c r="F38" i="38"/>
  <c r="E64" i="38"/>
  <c r="E95" i="37"/>
  <c r="C109" i="37" s="1"/>
  <c r="C118" i="37" s="1"/>
  <c r="F63" i="37"/>
  <c r="F59" i="37"/>
  <c r="F55" i="37"/>
  <c r="F51" i="37"/>
  <c r="F47" i="37"/>
  <c r="F43" i="37"/>
  <c r="F39" i="37"/>
  <c r="E95" i="35"/>
  <c r="C109" i="35" s="1"/>
  <c r="C118" i="35" s="1"/>
  <c r="F63" i="35"/>
  <c r="F59" i="35"/>
  <c r="F55" i="35"/>
  <c r="F51" i="35"/>
  <c r="F47" i="35"/>
  <c r="F43" i="35"/>
  <c r="F39" i="35"/>
  <c r="E95" i="33"/>
  <c r="C109" i="33" s="1"/>
  <c r="F63" i="33"/>
  <c r="F59" i="33"/>
  <c r="F55" i="33"/>
  <c r="F51" i="33"/>
  <c r="F47" i="33"/>
  <c r="F43" i="33"/>
  <c r="F39" i="33"/>
  <c r="D94" i="31"/>
  <c r="D32" i="31"/>
  <c r="D31" i="31"/>
  <c r="D93" i="31"/>
  <c r="D92" i="31"/>
  <c r="D30" i="31"/>
  <c r="D29" i="31"/>
  <c r="D91" i="31"/>
  <c r="F91" i="31" s="1"/>
  <c r="D90" i="31"/>
  <c r="D28" i="31"/>
  <c r="D27" i="31"/>
  <c r="D89" i="31"/>
  <c r="D88" i="31"/>
  <c r="D26" i="31"/>
  <c r="D25" i="31"/>
  <c r="D87" i="31"/>
  <c r="D86" i="31"/>
  <c r="D24" i="31"/>
  <c r="D23" i="31"/>
  <c r="D85" i="31"/>
  <c r="D84" i="31"/>
  <c r="D22" i="31"/>
  <c r="D21" i="31"/>
  <c r="D83" i="31"/>
  <c r="F83" i="31" s="1"/>
  <c r="D82" i="31"/>
  <c r="D20" i="31"/>
  <c r="D19" i="31"/>
  <c r="D81" i="31"/>
  <c r="D80" i="31"/>
  <c r="D18" i="31"/>
  <c r="D17" i="31"/>
  <c r="D79" i="31"/>
  <c r="D78" i="31"/>
  <c r="D16" i="31"/>
  <c r="D15" i="31"/>
  <c r="D77" i="31"/>
  <c r="D76" i="31"/>
  <c r="D14" i="31"/>
  <c r="D13" i="31"/>
  <c r="D75" i="31"/>
  <c r="F75" i="31" s="1"/>
  <c r="D74" i="31"/>
  <c r="D12" i="31"/>
  <c r="D11" i="31"/>
  <c r="D73" i="31"/>
  <c r="D72" i="31"/>
  <c r="D10" i="31"/>
  <c r="D9" i="31"/>
  <c r="D71" i="31"/>
  <c r="D70" i="31"/>
  <c r="D8" i="31"/>
  <c r="D7" i="31"/>
  <c r="D69" i="31"/>
  <c r="D68" i="31"/>
  <c r="D6" i="31"/>
  <c r="D5" i="31"/>
  <c r="D67" i="31"/>
  <c r="D64" i="31"/>
  <c r="D94" i="30"/>
  <c r="D32" i="30"/>
  <c r="D31" i="30"/>
  <c r="D93" i="30"/>
  <c r="D92" i="30"/>
  <c r="D30" i="30"/>
  <c r="D29" i="30"/>
  <c r="D91" i="30"/>
  <c r="D90" i="30"/>
  <c r="D28" i="30"/>
  <c r="D27" i="30"/>
  <c r="D89" i="30"/>
  <c r="D88" i="30"/>
  <c r="D26" i="30"/>
  <c r="D25" i="30"/>
  <c r="D87" i="30"/>
  <c r="D86" i="30"/>
  <c r="D24" i="30"/>
  <c r="D23" i="30"/>
  <c r="D85" i="30"/>
  <c r="D84" i="30"/>
  <c r="D22" i="30"/>
  <c r="D21" i="30"/>
  <c r="D83" i="30"/>
  <c r="D82" i="30"/>
  <c r="D20" i="30"/>
  <c r="D19" i="30"/>
  <c r="D81" i="30"/>
  <c r="D80" i="30"/>
  <c r="D18" i="30"/>
  <c r="D17" i="30"/>
  <c r="D79" i="30"/>
  <c r="D78" i="30"/>
  <c r="D16" i="30"/>
  <c r="D15" i="30"/>
  <c r="D77" i="30"/>
  <c r="D76" i="30"/>
  <c r="D14" i="30"/>
  <c r="D13" i="30"/>
  <c r="D75" i="30"/>
  <c r="D74" i="30"/>
  <c r="D12" i="30"/>
  <c r="D11" i="30"/>
  <c r="D73" i="30"/>
  <c r="D72" i="30"/>
  <c r="D10" i="30"/>
  <c r="D9" i="30"/>
  <c r="D71" i="30"/>
  <c r="D70" i="30"/>
  <c r="F70" i="30" s="1"/>
  <c r="D8" i="30"/>
  <c r="D7" i="30"/>
  <c r="D69" i="30"/>
  <c r="D68" i="30"/>
  <c r="D6" i="30"/>
  <c r="D5" i="30"/>
  <c r="D67" i="30"/>
  <c r="D64" i="30"/>
  <c r="D94" i="29"/>
  <c r="D32" i="29"/>
  <c r="D31" i="29"/>
  <c r="D93" i="29"/>
  <c r="D92" i="29"/>
  <c r="D30" i="29"/>
  <c r="D29" i="29"/>
  <c r="D91" i="29"/>
  <c r="D90" i="29"/>
  <c r="D28" i="29"/>
  <c r="D27" i="29"/>
  <c r="D89" i="29"/>
  <c r="D88" i="29"/>
  <c r="D26" i="29"/>
  <c r="D25" i="29"/>
  <c r="D87" i="29"/>
  <c r="D86" i="29"/>
  <c r="D24" i="29"/>
  <c r="D23" i="29"/>
  <c r="D85" i="29"/>
  <c r="D84" i="29"/>
  <c r="D22" i="29"/>
  <c r="D21" i="29"/>
  <c r="D83" i="29"/>
  <c r="D82" i="29"/>
  <c r="D20" i="29"/>
  <c r="D19" i="29"/>
  <c r="D81" i="29"/>
  <c r="D80" i="29"/>
  <c r="D18" i="29"/>
  <c r="D17" i="29"/>
  <c r="D79" i="29"/>
  <c r="D78" i="29"/>
  <c r="D16" i="29"/>
  <c r="D15" i="29"/>
  <c r="D77" i="29"/>
  <c r="D76" i="29"/>
  <c r="D14" i="29"/>
  <c r="D13" i="29"/>
  <c r="D75" i="29"/>
  <c r="D74" i="29"/>
  <c r="D12" i="29"/>
  <c r="D11" i="29"/>
  <c r="D73" i="29"/>
  <c r="D72" i="29"/>
  <c r="D10" i="29"/>
  <c r="D9" i="29"/>
  <c r="D71" i="29"/>
  <c r="F71" i="29" s="1"/>
  <c r="D70" i="29"/>
  <c r="D8" i="29"/>
  <c r="D7" i="29"/>
  <c r="D69" i="29"/>
  <c r="D68" i="29"/>
  <c r="D6" i="29"/>
  <c r="D5" i="29"/>
  <c r="D67" i="29"/>
  <c r="F67" i="29" s="1"/>
  <c r="D64" i="29"/>
  <c r="D94" i="28"/>
  <c r="D32" i="28"/>
  <c r="D31" i="28"/>
  <c r="D93" i="28"/>
  <c r="D92" i="28"/>
  <c r="D30" i="28"/>
  <c r="D29" i="28"/>
  <c r="D91" i="28"/>
  <c r="D90" i="28"/>
  <c r="D28" i="28"/>
  <c r="D27" i="28"/>
  <c r="D89" i="28"/>
  <c r="D88" i="28"/>
  <c r="D26" i="28"/>
  <c r="D25" i="28"/>
  <c r="D87" i="28"/>
  <c r="D86" i="28"/>
  <c r="D24" i="28"/>
  <c r="D23" i="28"/>
  <c r="D85" i="28"/>
  <c r="D84" i="28"/>
  <c r="D22" i="28"/>
  <c r="D21" i="28"/>
  <c r="D83" i="28"/>
  <c r="D82" i="28"/>
  <c r="D20" i="28"/>
  <c r="D19" i="28"/>
  <c r="D81" i="28"/>
  <c r="D80" i="28"/>
  <c r="D18" i="28"/>
  <c r="D17" i="28"/>
  <c r="D79" i="28"/>
  <c r="D78" i="28"/>
  <c r="D16" i="28"/>
  <c r="D15" i="28"/>
  <c r="D77" i="28"/>
  <c r="D76" i="28"/>
  <c r="D14" i="28"/>
  <c r="D13" i="28"/>
  <c r="D75" i="28"/>
  <c r="D74" i="28"/>
  <c r="D12" i="28"/>
  <c r="D11" i="28"/>
  <c r="D73" i="28"/>
  <c r="D72" i="28"/>
  <c r="D10" i="28"/>
  <c r="D9" i="28"/>
  <c r="D71" i="28"/>
  <c r="D70" i="28"/>
  <c r="D8" i="28"/>
  <c r="D7" i="28"/>
  <c r="D69" i="28"/>
  <c r="D68" i="28"/>
  <c r="D6" i="28"/>
  <c r="D5" i="28"/>
  <c r="D67" i="28"/>
  <c r="D64" i="28"/>
  <c r="D94" i="27"/>
  <c r="D32" i="27"/>
  <c r="D31" i="27"/>
  <c r="D93" i="27"/>
  <c r="D92" i="27"/>
  <c r="D30" i="27"/>
  <c r="D29" i="27"/>
  <c r="D91" i="27"/>
  <c r="D90" i="27"/>
  <c r="D28" i="27"/>
  <c r="D27" i="27"/>
  <c r="D89" i="27"/>
  <c r="D88" i="27"/>
  <c r="D26" i="27"/>
  <c r="D25" i="27"/>
  <c r="D87" i="27"/>
  <c r="D86" i="27"/>
  <c r="D24" i="27"/>
  <c r="D23" i="27"/>
  <c r="D85" i="27"/>
  <c r="D84" i="27"/>
  <c r="D22" i="27"/>
  <c r="D21" i="27"/>
  <c r="D83" i="27"/>
  <c r="D82" i="27"/>
  <c r="D20" i="27"/>
  <c r="D19" i="27"/>
  <c r="D81" i="27"/>
  <c r="D80" i="27"/>
  <c r="D18" i="27"/>
  <c r="D17" i="27"/>
  <c r="D79" i="27"/>
  <c r="D78" i="27"/>
  <c r="D16" i="27"/>
  <c r="D15" i="27"/>
  <c r="D77" i="27"/>
  <c r="D76" i="27"/>
  <c r="D14" i="27"/>
  <c r="D13" i="27"/>
  <c r="D75" i="27"/>
  <c r="D74" i="27"/>
  <c r="D12" i="27"/>
  <c r="D11" i="27"/>
  <c r="D73" i="27"/>
  <c r="D72" i="27"/>
  <c r="D10" i="27"/>
  <c r="D9" i="27"/>
  <c r="D71" i="27"/>
  <c r="D70" i="27"/>
  <c r="D8" i="27"/>
  <c r="D7" i="27"/>
  <c r="D69" i="27"/>
  <c r="D68" i="27"/>
  <c r="D6" i="27"/>
  <c r="D5" i="27"/>
  <c r="D67" i="27"/>
  <c r="D64" i="27"/>
  <c r="D94" i="26"/>
  <c r="D32" i="26"/>
  <c r="D31" i="26"/>
  <c r="D93" i="26"/>
  <c r="D92" i="26"/>
  <c r="D30" i="26"/>
  <c r="D29" i="26"/>
  <c r="D91" i="26"/>
  <c r="D90" i="26"/>
  <c r="D28" i="26"/>
  <c r="D27" i="26"/>
  <c r="D89" i="26"/>
  <c r="D88" i="26"/>
  <c r="D26" i="26"/>
  <c r="D25" i="26"/>
  <c r="D87" i="26"/>
  <c r="D86" i="26"/>
  <c r="D24" i="26"/>
  <c r="D23" i="26"/>
  <c r="D85" i="26"/>
  <c r="D84" i="26"/>
  <c r="D22" i="26"/>
  <c r="D21" i="26"/>
  <c r="D83" i="26"/>
  <c r="D82" i="26"/>
  <c r="D20" i="26"/>
  <c r="D19" i="26"/>
  <c r="D81" i="26"/>
  <c r="D80" i="26"/>
  <c r="D18" i="26"/>
  <c r="D17" i="26"/>
  <c r="D79" i="26"/>
  <c r="D78" i="26"/>
  <c r="D16" i="26"/>
  <c r="D15" i="26"/>
  <c r="D77" i="26"/>
  <c r="D76" i="26"/>
  <c r="D14" i="26"/>
  <c r="D13" i="26"/>
  <c r="D75" i="26"/>
  <c r="D74" i="26"/>
  <c r="D12" i="26"/>
  <c r="D11" i="26"/>
  <c r="D73" i="26"/>
  <c r="D72" i="26"/>
  <c r="D10" i="26"/>
  <c r="D9" i="26"/>
  <c r="D71" i="26"/>
  <c r="D70" i="26"/>
  <c r="F70" i="26" s="1"/>
  <c r="D8" i="26"/>
  <c r="D7" i="26"/>
  <c r="D69" i="26"/>
  <c r="D68" i="26"/>
  <c r="D6" i="26"/>
  <c r="D5" i="26"/>
  <c r="D67" i="26"/>
  <c r="D64" i="26"/>
  <c r="D31" i="25"/>
  <c r="D93" i="25"/>
  <c r="D29" i="25"/>
  <c r="D91" i="25"/>
  <c r="D27" i="25"/>
  <c r="D89" i="25"/>
  <c r="D25" i="25"/>
  <c r="D87" i="25"/>
  <c r="D23" i="25"/>
  <c r="D85" i="25"/>
  <c r="D21" i="25"/>
  <c r="D83" i="25"/>
  <c r="D19" i="25"/>
  <c r="D81" i="25"/>
  <c r="D17" i="25"/>
  <c r="D79" i="25"/>
  <c r="D15" i="25"/>
  <c r="D77" i="25"/>
  <c r="D13" i="25"/>
  <c r="D75" i="25"/>
  <c r="D11" i="25"/>
  <c r="D73" i="25"/>
  <c r="D9" i="25"/>
  <c r="D71" i="25"/>
  <c r="D7" i="25"/>
  <c r="D69" i="25"/>
  <c r="D5" i="25"/>
  <c r="D67" i="25"/>
  <c r="F67" i="25" s="1"/>
  <c r="D64" i="25"/>
  <c r="E64" i="25"/>
  <c r="F36" i="25"/>
  <c r="F38" i="25"/>
  <c r="F40" i="25"/>
  <c r="F42" i="25"/>
  <c r="F44" i="25"/>
  <c r="F46" i="25"/>
  <c r="F48" i="25"/>
  <c r="F50" i="25"/>
  <c r="F52" i="25"/>
  <c r="F54" i="25"/>
  <c r="F56" i="25"/>
  <c r="F58" i="25"/>
  <c r="F60" i="25"/>
  <c r="F62" i="25"/>
  <c r="E64" i="24"/>
  <c r="F36" i="24"/>
  <c r="F38" i="24"/>
  <c r="F40" i="24"/>
  <c r="F42" i="24"/>
  <c r="F44" i="24"/>
  <c r="F46" i="24"/>
  <c r="F48" i="24"/>
  <c r="F50" i="24"/>
  <c r="F52" i="24"/>
  <c r="F54" i="24"/>
  <c r="F56" i="24"/>
  <c r="F58" i="24"/>
  <c r="F60" i="24"/>
  <c r="F62" i="24"/>
  <c r="E64" i="23"/>
  <c r="F36" i="23"/>
  <c r="F38" i="23"/>
  <c r="F40" i="23"/>
  <c r="F42" i="23"/>
  <c r="F44" i="23"/>
  <c r="F46" i="23"/>
  <c r="F48" i="23"/>
  <c r="F50" i="23"/>
  <c r="F52" i="23"/>
  <c r="F54" i="23"/>
  <c r="F56" i="23"/>
  <c r="F58" i="23"/>
  <c r="F60" i="23"/>
  <c r="F62" i="23"/>
  <c r="E64" i="22"/>
  <c r="F36" i="22"/>
  <c r="F38" i="22"/>
  <c r="F40" i="22"/>
  <c r="F42" i="22"/>
  <c r="F44" i="22"/>
  <c r="F46" i="22"/>
  <c r="F48" i="22"/>
  <c r="F50" i="22"/>
  <c r="F52" i="22"/>
  <c r="F54" i="22"/>
  <c r="F56" i="22"/>
  <c r="F58" i="22"/>
  <c r="F60" i="22"/>
  <c r="F62" i="22"/>
  <c r="E64" i="21"/>
  <c r="F36" i="21"/>
  <c r="F38" i="21"/>
  <c r="F40" i="21"/>
  <c r="F42" i="21"/>
  <c r="F44" i="21"/>
  <c r="F46" i="21"/>
  <c r="F48" i="21"/>
  <c r="F50" i="21"/>
  <c r="F52" i="21"/>
  <c r="F54" i="21"/>
  <c r="F56" i="21"/>
  <c r="F58" i="21"/>
  <c r="F60" i="21"/>
  <c r="F62" i="21"/>
  <c r="F51" i="9"/>
  <c r="F49" i="9"/>
  <c r="F47" i="9"/>
  <c r="F45" i="9"/>
  <c r="F43" i="9"/>
  <c r="F41" i="9"/>
  <c r="F39" i="9"/>
  <c r="F37" i="9"/>
  <c r="F62" i="8"/>
  <c r="F60" i="8"/>
  <c r="F58" i="8"/>
  <c r="F56" i="8"/>
  <c r="F54" i="8"/>
  <c r="F52" i="8"/>
  <c r="F50" i="8"/>
  <c r="F48" i="8"/>
  <c r="F46" i="8"/>
  <c r="F44" i="8"/>
  <c r="F42" i="8"/>
  <c r="F40" i="8"/>
  <c r="F38" i="8"/>
  <c r="E64" i="8"/>
  <c r="F36" i="8"/>
  <c r="E105" i="7"/>
  <c r="E95" i="7"/>
  <c r="C109" i="7" s="1"/>
  <c r="C118" i="7" s="1"/>
  <c r="F63" i="7"/>
  <c r="F61" i="7"/>
  <c r="F59" i="7"/>
  <c r="F57" i="7"/>
  <c r="F55" i="7"/>
  <c r="F53" i="7"/>
  <c r="F51" i="7"/>
  <c r="F49" i="7"/>
  <c r="F47" i="7"/>
  <c r="F45" i="7"/>
  <c r="F43" i="7"/>
  <c r="F41" i="7"/>
  <c r="F39" i="7"/>
  <c r="F37" i="7"/>
  <c r="F62" i="6"/>
  <c r="F60" i="6"/>
  <c r="F58" i="6"/>
  <c r="F56" i="6"/>
  <c r="F54" i="6"/>
  <c r="F52" i="6"/>
  <c r="F50" i="6"/>
  <c r="F48" i="6"/>
  <c r="F46" i="6"/>
  <c r="F44" i="6"/>
  <c r="F42" i="6"/>
  <c r="F40" i="6"/>
  <c r="F38" i="6"/>
  <c r="E64" i="6"/>
  <c r="F36" i="6"/>
  <c r="E105" i="5"/>
  <c r="E95" i="5"/>
  <c r="C109" i="5" s="1"/>
  <c r="C118" i="5" s="1"/>
  <c r="F63" i="5"/>
  <c r="F61" i="5"/>
  <c r="F59" i="5"/>
  <c r="F57" i="5"/>
  <c r="F55" i="5"/>
  <c r="F53" i="5"/>
  <c r="F51" i="5"/>
  <c r="F49" i="5"/>
  <c r="F47" i="5"/>
  <c r="F45" i="5"/>
  <c r="F43" i="5"/>
  <c r="F41" i="5"/>
  <c r="F39" i="5"/>
  <c r="F37" i="5"/>
  <c r="F62" i="4"/>
  <c r="F60" i="4"/>
  <c r="F58" i="4"/>
  <c r="F56" i="4"/>
  <c r="F54" i="4"/>
  <c r="F52" i="4"/>
  <c r="F50" i="4"/>
  <c r="F48" i="4"/>
  <c r="F46" i="4"/>
  <c r="F44" i="4"/>
  <c r="F42" i="4"/>
  <c r="F40" i="4"/>
  <c r="F38" i="4"/>
  <c r="E64" i="4"/>
  <c r="F36" i="4"/>
  <c r="E105" i="3"/>
  <c r="E95" i="3"/>
  <c r="C109" i="3" s="1"/>
  <c r="C118" i="3" s="1"/>
  <c r="F63" i="3"/>
  <c r="F61" i="3"/>
  <c r="F59" i="3"/>
  <c r="F57" i="3"/>
  <c r="F55" i="3"/>
  <c r="F53" i="3"/>
  <c r="F51" i="3"/>
  <c r="F49" i="3"/>
  <c r="F47" i="3"/>
  <c r="F45" i="3"/>
  <c r="F43" i="3"/>
  <c r="F41" i="3"/>
  <c r="F39" i="3"/>
  <c r="F37" i="3"/>
  <c r="F62" i="59"/>
  <c r="F60" i="59"/>
  <c r="F58" i="59"/>
  <c r="F56" i="59"/>
  <c r="F54" i="59"/>
  <c r="F52" i="59"/>
  <c r="F50" i="59"/>
  <c r="F48" i="59"/>
  <c r="F46" i="59"/>
  <c r="F44" i="59"/>
  <c r="F42" i="59"/>
  <c r="F40" i="59"/>
  <c r="F38" i="59"/>
  <c r="E64" i="59"/>
  <c r="F36" i="59"/>
  <c r="E105" i="1"/>
  <c r="E95" i="1"/>
  <c r="C109" i="1" s="1"/>
  <c r="C118" i="1" s="1"/>
  <c r="F63" i="1"/>
  <c r="F61" i="1"/>
  <c r="F59" i="1"/>
  <c r="F57" i="1"/>
  <c r="F55" i="1"/>
  <c r="F53" i="1"/>
  <c r="F51" i="1"/>
  <c r="F49" i="1"/>
  <c r="F47" i="1"/>
  <c r="F45" i="1"/>
  <c r="F43" i="1"/>
  <c r="F41" i="1"/>
  <c r="F39" i="1"/>
  <c r="F37" i="1"/>
  <c r="F62" i="56"/>
  <c r="F60" i="56"/>
  <c r="F58" i="56"/>
  <c r="F56" i="56"/>
  <c r="F54" i="56"/>
  <c r="F52" i="56"/>
  <c r="F50" i="56"/>
  <c r="F48" i="56"/>
  <c r="F46" i="56"/>
  <c r="F44" i="56"/>
  <c r="F42" i="56"/>
  <c r="F40" i="56"/>
  <c r="F38" i="56"/>
  <c r="E64" i="56"/>
  <c r="F36" i="56"/>
  <c r="D13" i="20"/>
  <c r="D75" i="20"/>
  <c r="D73" i="20"/>
  <c r="D11" i="20"/>
  <c r="D9" i="20"/>
  <c r="D71" i="20"/>
  <c r="D69" i="20"/>
  <c r="D7" i="20"/>
  <c r="D64" i="20"/>
  <c r="D5" i="20"/>
  <c r="D67" i="20"/>
  <c r="F37" i="20"/>
  <c r="F39" i="20"/>
  <c r="F41" i="20"/>
  <c r="F43" i="20"/>
  <c r="D77" i="20"/>
  <c r="D15" i="20"/>
  <c r="D17" i="20"/>
  <c r="D79" i="20"/>
  <c r="D81" i="20"/>
  <c r="D19" i="20"/>
  <c r="D21" i="20"/>
  <c r="D83" i="20"/>
  <c r="D85" i="20"/>
  <c r="D23" i="20"/>
  <c r="D25" i="20"/>
  <c r="D87" i="20"/>
  <c r="D89" i="20"/>
  <c r="D27" i="20"/>
  <c r="D29" i="20"/>
  <c r="D91" i="20"/>
  <c r="D93" i="20"/>
  <c r="D31" i="20"/>
  <c r="F45" i="20"/>
  <c r="F47" i="20"/>
  <c r="F49" i="20"/>
  <c r="F51" i="20"/>
  <c r="F53" i="20"/>
  <c r="F55" i="20"/>
  <c r="F57" i="20"/>
  <c r="F59" i="20"/>
  <c r="F61" i="20"/>
  <c r="F63" i="20"/>
  <c r="E95" i="20"/>
  <c r="C109" i="20" s="1"/>
  <c r="C118" i="20" s="1"/>
  <c r="F67" i="20"/>
  <c r="F71" i="20"/>
  <c r="E105" i="20"/>
  <c r="D31" i="19"/>
  <c r="D93" i="19"/>
  <c r="F93" i="19" s="1"/>
  <c r="D29" i="19"/>
  <c r="D91" i="19"/>
  <c r="D27" i="19"/>
  <c r="D89" i="19"/>
  <c r="F89" i="19" s="1"/>
  <c r="D25" i="19"/>
  <c r="D87" i="19"/>
  <c r="D23" i="19"/>
  <c r="D85" i="19"/>
  <c r="F85" i="19" s="1"/>
  <c r="D21" i="19"/>
  <c r="D83" i="19"/>
  <c r="D19" i="19"/>
  <c r="D81" i="19"/>
  <c r="F81" i="19" s="1"/>
  <c r="D17" i="19"/>
  <c r="D79" i="19"/>
  <c r="D15" i="19"/>
  <c r="D77" i="19"/>
  <c r="F77" i="19" s="1"/>
  <c r="D13" i="19"/>
  <c r="D75" i="19"/>
  <c r="D11" i="19"/>
  <c r="D73" i="19"/>
  <c r="F73" i="19" s="1"/>
  <c r="D9" i="19"/>
  <c r="D71" i="19"/>
  <c r="D7" i="19"/>
  <c r="D69" i="19"/>
  <c r="F69" i="19" s="1"/>
  <c r="D5" i="19"/>
  <c r="D67" i="19"/>
  <c r="D64" i="19"/>
  <c r="F37" i="19"/>
  <c r="F39" i="19"/>
  <c r="F41" i="19"/>
  <c r="F43" i="19"/>
  <c r="F45" i="19"/>
  <c r="F47" i="19"/>
  <c r="F49" i="19"/>
  <c r="F51" i="19"/>
  <c r="F53" i="19"/>
  <c r="F55" i="19"/>
  <c r="F57" i="19"/>
  <c r="F59" i="19"/>
  <c r="F61" i="19"/>
  <c r="F63" i="19"/>
  <c r="E95" i="19"/>
  <c r="C109" i="19" s="1"/>
  <c r="C118" i="19" s="1"/>
  <c r="E105" i="19"/>
  <c r="D31" i="18"/>
  <c r="D93" i="18"/>
  <c r="D29" i="18"/>
  <c r="D91" i="18"/>
  <c r="D27" i="18"/>
  <c r="D89" i="18"/>
  <c r="D25" i="18"/>
  <c r="D87" i="18"/>
  <c r="D23" i="18"/>
  <c r="D85" i="18"/>
  <c r="D21" i="18"/>
  <c r="D83" i="18"/>
  <c r="D19" i="18"/>
  <c r="D81" i="18"/>
  <c r="D17" i="18"/>
  <c r="D79" i="18"/>
  <c r="D15" i="18"/>
  <c r="D77" i="18"/>
  <c r="D13" i="18"/>
  <c r="D75" i="18"/>
  <c r="D11" i="18"/>
  <c r="D73" i="18"/>
  <c r="D9" i="18"/>
  <c r="D71" i="18"/>
  <c r="D7" i="18"/>
  <c r="D69" i="18"/>
  <c r="D5" i="18"/>
  <c r="D67" i="18"/>
  <c r="D64" i="18"/>
  <c r="F37" i="18"/>
  <c r="F39" i="18"/>
  <c r="F41" i="18"/>
  <c r="F43" i="18"/>
  <c r="F45" i="18"/>
  <c r="F47" i="18"/>
  <c r="F49" i="18"/>
  <c r="F51" i="18"/>
  <c r="F53" i="18"/>
  <c r="F55" i="18"/>
  <c r="F57" i="18"/>
  <c r="F59" i="18"/>
  <c r="F61" i="18"/>
  <c r="F63" i="18"/>
  <c r="E95" i="18"/>
  <c r="C109" i="18" s="1"/>
  <c r="C118" i="18" s="1"/>
  <c r="E105" i="18"/>
  <c r="D31" i="17"/>
  <c r="D93" i="17"/>
  <c r="D29" i="17"/>
  <c r="D91" i="17"/>
  <c r="D27" i="17"/>
  <c r="D89" i="17"/>
  <c r="D25" i="17"/>
  <c r="D87" i="17"/>
  <c r="D23" i="17"/>
  <c r="D85" i="17"/>
  <c r="F85" i="17" s="1"/>
  <c r="D21" i="17"/>
  <c r="D83" i="17"/>
  <c r="D19" i="17"/>
  <c r="D81" i="17"/>
  <c r="D17" i="17"/>
  <c r="D79" i="17"/>
  <c r="D15" i="17"/>
  <c r="D77" i="17"/>
  <c r="D13" i="17"/>
  <c r="D75" i="17"/>
  <c r="D11" i="17"/>
  <c r="D73" i="17"/>
  <c r="D9" i="17"/>
  <c r="D71" i="17"/>
  <c r="D7" i="17"/>
  <c r="D69" i="17"/>
  <c r="D5" i="17"/>
  <c r="D67" i="17"/>
  <c r="D64" i="17"/>
  <c r="F37" i="17"/>
  <c r="F39" i="17"/>
  <c r="F41" i="17"/>
  <c r="F43" i="17"/>
  <c r="F45" i="17"/>
  <c r="F47" i="17"/>
  <c r="F49" i="17"/>
  <c r="F51" i="17"/>
  <c r="F53" i="17"/>
  <c r="F55" i="17"/>
  <c r="F57" i="17"/>
  <c r="F59" i="17"/>
  <c r="F61" i="17"/>
  <c r="F63" i="17"/>
  <c r="E95" i="17"/>
  <c r="C109" i="17" s="1"/>
  <c r="C118" i="17" s="1"/>
  <c r="E105" i="17"/>
  <c r="D31" i="16"/>
  <c r="D93" i="16"/>
  <c r="D29" i="16"/>
  <c r="D91" i="16"/>
  <c r="D27" i="16"/>
  <c r="D89" i="16"/>
  <c r="D25" i="16"/>
  <c r="D87" i="16"/>
  <c r="D23" i="16"/>
  <c r="D85" i="16"/>
  <c r="D21" i="16"/>
  <c r="D83" i="16"/>
  <c r="D19" i="16"/>
  <c r="D81" i="16"/>
  <c r="D17" i="16"/>
  <c r="D79" i="16"/>
  <c r="D15" i="16"/>
  <c r="D77" i="16"/>
  <c r="D13" i="16"/>
  <c r="D75" i="16"/>
  <c r="D11" i="16"/>
  <c r="D73" i="16"/>
  <c r="D9" i="16"/>
  <c r="D71" i="16"/>
  <c r="D7" i="16"/>
  <c r="D69" i="16"/>
  <c r="D5" i="16"/>
  <c r="D67" i="16"/>
  <c r="D64" i="16"/>
  <c r="F37" i="16"/>
  <c r="F39" i="16"/>
  <c r="F41" i="16"/>
  <c r="F43" i="16"/>
  <c r="F45" i="16"/>
  <c r="F47" i="16"/>
  <c r="F49" i="16"/>
  <c r="F51" i="16"/>
  <c r="F53" i="16"/>
  <c r="F55" i="16"/>
  <c r="F57" i="16"/>
  <c r="F59" i="16"/>
  <c r="F61" i="16"/>
  <c r="F63" i="16"/>
  <c r="E95" i="16"/>
  <c r="C109" i="16" s="1"/>
  <c r="C118" i="16" s="1"/>
  <c r="E105" i="16"/>
  <c r="D31" i="15"/>
  <c r="D93" i="15"/>
  <c r="D29" i="15"/>
  <c r="D91" i="15"/>
  <c r="D27" i="15"/>
  <c r="D89" i="15"/>
  <c r="D25" i="15"/>
  <c r="D87" i="15"/>
  <c r="D23" i="15"/>
  <c r="D85" i="15"/>
  <c r="D21" i="15"/>
  <c r="D83" i="15"/>
  <c r="D19" i="15"/>
  <c r="D81" i="15"/>
  <c r="D17" i="15"/>
  <c r="D79" i="15"/>
  <c r="D15" i="15"/>
  <c r="D77" i="15"/>
  <c r="D13" i="15"/>
  <c r="D75" i="15"/>
  <c r="D11" i="15"/>
  <c r="D73" i="15"/>
  <c r="D9" i="15"/>
  <c r="D71" i="15"/>
  <c r="D7" i="15"/>
  <c r="D69" i="15"/>
  <c r="D5" i="15"/>
  <c r="D67" i="15"/>
  <c r="D64" i="15"/>
  <c r="F37" i="15"/>
  <c r="F39" i="15"/>
  <c r="F41" i="15"/>
  <c r="F43" i="15"/>
  <c r="F45" i="15"/>
  <c r="F47" i="15"/>
  <c r="F49" i="15"/>
  <c r="F51" i="15"/>
  <c r="F53" i="15"/>
  <c r="F55" i="15"/>
  <c r="F57" i="15"/>
  <c r="F59" i="15"/>
  <c r="F61" i="15"/>
  <c r="F63" i="15"/>
  <c r="E95" i="15"/>
  <c r="C109" i="15" s="1"/>
  <c r="C118" i="15" s="1"/>
  <c r="E105" i="15"/>
  <c r="D31" i="14"/>
  <c r="D93" i="14"/>
  <c r="D29" i="14"/>
  <c r="D91" i="14"/>
  <c r="D27" i="14"/>
  <c r="D89" i="14"/>
  <c r="D25" i="14"/>
  <c r="D87" i="14"/>
  <c r="D23" i="14"/>
  <c r="D85" i="14"/>
  <c r="D21" i="14"/>
  <c r="D83" i="14"/>
  <c r="D19" i="14"/>
  <c r="D81" i="14"/>
  <c r="D17" i="14"/>
  <c r="D79" i="14"/>
  <c r="D15" i="14"/>
  <c r="D77" i="14"/>
  <c r="D13" i="14"/>
  <c r="D75" i="14"/>
  <c r="D11" i="14"/>
  <c r="D73" i="14"/>
  <c r="D9" i="14"/>
  <c r="D71" i="14"/>
  <c r="D7" i="14"/>
  <c r="D69" i="14"/>
  <c r="D5" i="14"/>
  <c r="D67" i="14"/>
  <c r="D64" i="14"/>
  <c r="F37" i="14"/>
  <c r="F39" i="14"/>
  <c r="F41" i="14"/>
  <c r="F43" i="14"/>
  <c r="F45" i="14"/>
  <c r="F47" i="14"/>
  <c r="F49" i="14"/>
  <c r="F51" i="14"/>
  <c r="F53" i="14"/>
  <c r="F55" i="14"/>
  <c r="F57" i="14"/>
  <c r="F59" i="14"/>
  <c r="F61" i="14"/>
  <c r="F63" i="14"/>
  <c r="E95" i="14"/>
  <c r="C109" i="14" s="1"/>
  <c r="C118" i="14" s="1"/>
  <c r="E105" i="14"/>
  <c r="D31" i="13"/>
  <c r="D93" i="13"/>
  <c r="F93" i="13" s="1"/>
  <c r="D29" i="13"/>
  <c r="D91" i="13"/>
  <c r="D27" i="13"/>
  <c r="D89" i="13"/>
  <c r="D25" i="13"/>
  <c r="D87" i="13"/>
  <c r="D23" i="13"/>
  <c r="D85" i="13"/>
  <c r="D21" i="13"/>
  <c r="D83" i="13"/>
  <c r="D19" i="13"/>
  <c r="D81" i="13"/>
  <c r="D17" i="13"/>
  <c r="D79" i="13"/>
  <c r="D15" i="13"/>
  <c r="D77" i="13"/>
  <c r="D13" i="13"/>
  <c r="D75" i="13"/>
  <c r="D11" i="13"/>
  <c r="D73" i="13"/>
  <c r="D9" i="13"/>
  <c r="D71" i="13"/>
  <c r="D7" i="13"/>
  <c r="D69" i="13"/>
  <c r="D5" i="13"/>
  <c r="D67" i="13"/>
  <c r="D64" i="13"/>
  <c r="F37" i="13"/>
  <c r="F39" i="13"/>
  <c r="F41" i="13"/>
  <c r="F43" i="13"/>
  <c r="F45" i="13"/>
  <c r="F47" i="13"/>
  <c r="F49" i="13"/>
  <c r="F51" i="13"/>
  <c r="F53" i="13"/>
  <c r="F55" i="13"/>
  <c r="F57" i="13"/>
  <c r="F59" i="13"/>
  <c r="F61" i="13"/>
  <c r="F63" i="13"/>
  <c r="E95" i="13"/>
  <c r="C109" i="13" s="1"/>
  <c r="C118" i="13" s="1"/>
  <c r="E105" i="13"/>
  <c r="D31" i="12"/>
  <c r="D93" i="12"/>
  <c r="D29" i="12"/>
  <c r="D91" i="12"/>
  <c r="D27" i="12"/>
  <c r="D89" i="12"/>
  <c r="D25" i="12"/>
  <c r="D87" i="12"/>
  <c r="D23" i="12"/>
  <c r="D85" i="12"/>
  <c r="D21" i="12"/>
  <c r="D83" i="12"/>
  <c r="D19" i="12"/>
  <c r="D81" i="12"/>
  <c r="D17" i="12"/>
  <c r="D79" i="12"/>
  <c r="D15" i="12"/>
  <c r="D77" i="12"/>
  <c r="D13" i="12"/>
  <c r="D75" i="12"/>
  <c r="D11" i="12"/>
  <c r="D73" i="12"/>
  <c r="D9" i="12"/>
  <c r="D71" i="12"/>
  <c r="D7" i="12"/>
  <c r="D69" i="12"/>
  <c r="D5" i="12"/>
  <c r="D67" i="12"/>
  <c r="D64" i="12"/>
  <c r="F37" i="12"/>
  <c r="F39" i="12"/>
  <c r="F41" i="12"/>
  <c r="F43" i="12"/>
  <c r="F45" i="12"/>
  <c r="F47" i="12"/>
  <c r="F49" i="12"/>
  <c r="F51" i="12"/>
  <c r="F53" i="12"/>
  <c r="F55" i="12"/>
  <c r="F57" i="12"/>
  <c r="F59" i="12"/>
  <c r="F61" i="12"/>
  <c r="F63" i="12"/>
  <c r="E95" i="12"/>
  <c r="C109" i="12" s="1"/>
  <c r="C118" i="12" s="1"/>
  <c r="E105" i="12"/>
  <c r="D31" i="11"/>
  <c r="D93" i="11"/>
  <c r="D29" i="11"/>
  <c r="D91" i="11"/>
  <c r="D27" i="11"/>
  <c r="D89" i="11"/>
  <c r="D25" i="11"/>
  <c r="D87" i="11"/>
  <c r="D23" i="11"/>
  <c r="D85" i="11"/>
  <c r="D21" i="11"/>
  <c r="D83" i="11"/>
  <c r="D19" i="11"/>
  <c r="D81" i="11"/>
  <c r="D17" i="11"/>
  <c r="D79" i="11"/>
  <c r="D15" i="11"/>
  <c r="D77" i="11"/>
  <c r="D13" i="11"/>
  <c r="D75" i="11"/>
  <c r="D11" i="11"/>
  <c r="D73" i="11"/>
  <c r="D9" i="11"/>
  <c r="D71" i="11"/>
  <c r="D7" i="11"/>
  <c r="D69" i="11"/>
  <c r="D5" i="11"/>
  <c r="D67" i="11"/>
  <c r="D64" i="11"/>
  <c r="F37" i="11"/>
  <c r="F39" i="11"/>
  <c r="F41" i="11"/>
  <c r="F43" i="11"/>
  <c r="F45" i="11"/>
  <c r="F47" i="11"/>
  <c r="F49" i="11"/>
  <c r="F51" i="11"/>
  <c r="F53" i="11"/>
  <c r="F55" i="11"/>
  <c r="F57" i="11"/>
  <c r="F59" i="11"/>
  <c r="F61" i="11"/>
  <c r="F63" i="11"/>
  <c r="E95" i="11"/>
  <c r="E105" i="11"/>
  <c r="D31" i="10"/>
  <c r="D93" i="10"/>
  <c r="D29" i="10"/>
  <c r="D91" i="10"/>
  <c r="D27" i="10"/>
  <c r="D89" i="10"/>
  <c r="D25" i="10"/>
  <c r="D87" i="10"/>
  <c r="D23" i="10"/>
  <c r="D85" i="10"/>
  <c r="D21" i="10"/>
  <c r="D83" i="10"/>
  <c r="D19" i="10"/>
  <c r="D81" i="10"/>
  <c r="D17" i="10"/>
  <c r="D79" i="10"/>
  <c r="D15" i="10"/>
  <c r="D77" i="10"/>
  <c r="D13" i="10"/>
  <c r="D75" i="10"/>
  <c r="D11" i="10"/>
  <c r="D73" i="10"/>
  <c r="D9" i="10"/>
  <c r="D71" i="10"/>
  <c r="D7" i="10"/>
  <c r="D69" i="10"/>
  <c r="D5" i="10"/>
  <c r="D67" i="10"/>
  <c r="D64" i="10"/>
  <c r="F37" i="10"/>
  <c r="F39" i="10"/>
  <c r="F41" i="10"/>
  <c r="F43" i="10"/>
  <c r="F45" i="10"/>
  <c r="F47" i="10"/>
  <c r="F49" i="10"/>
  <c r="F51" i="10"/>
  <c r="F53" i="10"/>
  <c r="F55" i="10"/>
  <c r="F57" i="10"/>
  <c r="F59" i="10"/>
  <c r="F61" i="10"/>
  <c r="F63" i="10"/>
  <c r="E95" i="10"/>
  <c r="C109" i="10" s="1"/>
  <c r="C118" i="10" s="1"/>
  <c r="E105" i="10"/>
  <c r="D31" i="9"/>
  <c r="D93" i="9"/>
  <c r="D91" i="9"/>
  <c r="D29" i="9"/>
  <c r="D27" i="9"/>
  <c r="D89" i="9"/>
  <c r="D87" i="9"/>
  <c r="D25" i="9"/>
  <c r="D23" i="9"/>
  <c r="D85" i="9"/>
  <c r="D83" i="9"/>
  <c r="D21" i="9"/>
  <c r="D82" i="9"/>
  <c r="D20" i="9"/>
  <c r="D19" i="9"/>
  <c r="D81" i="9"/>
  <c r="D80" i="9"/>
  <c r="D18" i="9"/>
  <c r="D79" i="9"/>
  <c r="D17" i="9"/>
  <c r="D78" i="9"/>
  <c r="D16" i="9"/>
  <c r="D15" i="9"/>
  <c r="D77" i="9"/>
  <c r="D76" i="9"/>
  <c r="D14" i="9"/>
  <c r="D75" i="9"/>
  <c r="D13" i="9"/>
  <c r="D74" i="9"/>
  <c r="D12" i="9"/>
  <c r="D11" i="9"/>
  <c r="D73" i="9"/>
  <c r="D72" i="9"/>
  <c r="D10" i="9"/>
  <c r="D71" i="9"/>
  <c r="D9" i="9"/>
  <c r="D70" i="9"/>
  <c r="D8" i="9"/>
  <c r="D7" i="9"/>
  <c r="D69" i="9"/>
  <c r="D68" i="9"/>
  <c r="D6" i="9"/>
  <c r="D67" i="9"/>
  <c r="D5" i="9"/>
  <c r="D64" i="9"/>
  <c r="F53" i="9"/>
  <c r="F55" i="9"/>
  <c r="F57" i="9"/>
  <c r="F59" i="9"/>
  <c r="F61" i="9"/>
  <c r="F63" i="9"/>
  <c r="E95" i="9"/>
  <c r="F67" i="9"/>
  <c r="E105" i="9"/>
  <c r="D94" i="8"/>
  <c r="D32" i="8"/>
  <c r="D31" i="8"/>
  <c r="D93" i="8"/>
  <c r="D92" i="8"/>
  <c r="D30" i="8"/>
  <c r="D29" i="8"/>
  <c r="D91" i="8"/>
  <c r="D90" i="8"/>
  <c r="D28" i="8"/>
  <c r="D27" i="8"/>
  <c r="D89" i="8"/>
  <c r="D88" i="8"/>
  <c r="D26" i="8"/>
  <c r="D25" i="8"/>
  <c r="D87" i="8"/>
  <c r="D86" i="8"/>
  <c r="D24" i="8"/>
  <c r="D23" i="8"/>
  <c r="D85" i="8"/>
  <c r="D84" i="8"/>
  <c r="D22" i="8"/>
  <c r="D21" i="8"/>
  <c r="D83" i="8"/>
  <c r="D82" i="8"/>
  <c r="D20" i="8"/>
  <c r="D19" i="8"/>
  <c r="D81" i="8"/>
  <c r="D80" i="8"/>
  <c r="D18" i="8"/>
  <c r="D17" i="8"/>
  <c r="D79" i="8"/>
  <c r="D78" i="8"/>
  <c r="D16" i="8"/>
  <c r="D15" i="8"/>
  <c r="D77" i="8"/>
  <c r="D76" i="8"/>
  <c r="D14" i="8"/>
  <c r="D13" i="8"/>
  <c r="D75" i="8"/>
  <c r="D74" i="8"/>
  <c r="D12" i="8"/>
  <c r="D11" i="8"/>
  <c r="D73" i="8"/>
  <c r="D72" i="8"/>
  <c r="D10" i="8"/>
  <c r="D9" i="8"/>
  <c r="D71" i="8"/>
  <c r="D70" i="8"/>
  <c r="D8" i="8"/>
  <c r="D7" i="8"/>
  <c r="D69" i="8"/>
  <c r="D68" i="8"/>
  <c r="D6" i="8"/>
  <c r="D5" i="8"/>
  <c r="D67" i="8"/>
  <c r="D64" i="8"/>
  <c r="D94" i="7"/>
  <c r="F94" i="7" s="1"/>
  <c r="D32" i="7"/>
  <c r="D31" i="7"/>
  <c r="D93" i="7"/>
  <c r="D92" i="7"/>
  <c r="D30" i="7"/>
  <c r="D29" i="7"/>
  <c r="D91" i="7"/>
  <c r="D90" i="7"/>
  <c r="D28" i="7"/>
  <c r="D27" i="7"/>
  <c r="D89" i="7"/>
  <c r="D88" i="7"/>
  <c r="D26" i="7"/>
  <c r="D25" i="7"/>
  <c r="D87" i="7"/>
  <c r="D86" i="7"/>
  <c r="D24" i="7"/>
  <c r="D23" i="7"/>
  <c r="D85" i="7"/>
  <c r="D84" i="7"/>
  <c r="D22" i="7"/>
  <c r="D21" i="7"/>
  <c r="D83" i="7"/>
  <c r="D82" i="7"/>
  <c r="D20" i="7"/>
  <c r="D19" i="7"/>
  <c r="D81" i="7"/>
  <c r="D80" i="7"/>
  <c r="D18" i="7"/>
  <c r="D17" i="7"/>
  <c r="D79" i="7"/>
  <c r="D78" i="7"/>
  <c r="D16" i="7"/>
  <c r="D15" i="7"/>
  <c r="D77" i="7"/>
  <c r="D76" i="7"/>
  <c r="D14" i="7"/>
  <c r="D13" i="7"/>
  <c r="D75" i="7"/>
  <c r="D74" i="7"/>
  <c r="D12" i="7"/>
  <c r="D11" i="7"/>
  <c r="D73" i="7"/>
  <c r="D72" i="7"/>
  <c r="D10" i="7"/>
  <c r="D9" i="7"/>
  <c r="D71" i="7"/>
  <c r="D70" i="7"/>
  <c r="D8" i="7"/>
  <c r="D7" i="7"/>
  <c r="D69" i="7"/>
  <c r="D68" i="7"/>
  <c r="D6" i="7"/>
  <c r="D5" i="7"/>
  <c r="D67" i="7"/>
  <c r="D64" i="7"/>
  <c r="D94" i="6"/>
  <c r="D32" i="6"/>
  <c r="D31" i="6"/>
  <c r="D93" i="6"/>
  <c r="D92" i="6"/>
  <c r="D30" i="6"/>
  <c r="D29" i="6"/>
  <c r="D91" i="6"/>
  <c r="D90" i="6"/>
  <c r="D28" i="6"/>
  <c r="D27" i="6"/>
  <c r="D89" i="6"/>
  <c r="D88" i="6"/>
  <c r="D26" i="6"/>
  <c r="D25" i="6"/>
  <c r="D87" i="6"/>
  <c r="D86" i="6"/>
  <c r="D24" i="6"/>
  <c r="D23" i="6"/>
  <c r="D85" i="6"/>
  <c r="D84" i="6"/>
  <c r="D22" i="6"/>
  <c r="D21" i="6"/>
  <c r="D83" i="6"/>
  <c r="D82" i="6"/>
  <c r="D20" i="6"/>
  <c r="D19" i="6"/>
  <c r="D81" i="6"/>
  <c r="D80" i="6"/>
  <c r="D18" i="6"/>
  <c r="D17" i="6"/>
  <c r="D79" i="6"/>
  <c r="D78" i="6"/>
  <c r="D16" i="6"/>
  <c r="D15" i="6"/>
  <c r="D77" i="6"/>
  <c r="D76" i="6"/>
  <c r="D14" i="6"/>
  <c r="D13" i="6"/>
  <c r="D75" i="6"/>
  <c r="D74" i="6"/>
  <c r="D12" i="6"/>
  <c r="D11" i="6"/>
  <c r="D73" i="6"/>
  <c r="D72" i="6"/>
  <c r="D10" i="6"/>
  <c r="D9" i="6"/>
  <c r="D71" i="6"/>
  <c r="D70" i="6"/>
  <c r="D8" i="6"/>
  <c r="D7" i="6"/>
  <c r="D69" i="6"/>
  <c r="D68" i="6"/>
  <c r="D6" i="6"/>
  <c r="D5" i="6"/>
  <c r="D67" i="6"/>
  <c r="D64" i="6"/>
  <c r="D94" i="5"/>
  <c r="D32" i="5"/>
  <c r="D31" i="5"/>
  <c r="D93" i="5"/>
  <c r="D92" i="5"/>
  <c r="D30" i="5"/>
  <c r="D29" i="5"/>
  <c r="D91" i="5"/>
  <c r="D90" i="5"/>
  <c r="D28" i="5"/>
  <c r="D27" i="5"/>
  <c r="D89" i="5"/>
  <c r="D88" i="5"/>
  <c r="D26" i="5"/>
  <c r="D25" i="5"/>
  <c r="D87" i="5"/>
  <c r="D86" i="5"/>
  <c r="D24" i="5"/>
  <c r="D23" i="5"/>
  <c r="D85" i="5"/>
  <c r="D84" i="5"/>
  <c r="D22" i="5"/>
  <c r="D21" i="5"/>
  <c r="D83" i="5"/>
  <c r="D82" i="5"/>
  <c r="D20" i="5"/>
  <c r="D19" i="5"/>
  <c r="D81" i="5"/>
  <c r="D80" i="5"/>
  <c r="D18" i="5"/>
  <c r="D17" i="5"/>
  <c r="D79" i="5"/>
  <c r="D78" i="5"/>
  <c r="F78" i="5" s="1"/>
  <c r="D16" i="5"/>
  <c r="D15" i="5"/>
  <c r="D77" i="5"/>
  <c r="D76" i="5"/>
  <c r="D14" i="5"/>
  <c r="D13" i="5"/>
  <c r="D75" i="5"/>
  <c r="D74" i="5"/>
  <c r="D12" i="5"/>
  <c r="D11" i="5"/>
  <c r="D73" i="5"/>
  <c r="D72" i="5"/>
  <c r="D10" i="5"/>
  <c r="D9" i="5"/>
  <c r="D71" i="5"/>
  <c r="D70" i="5"/>
  <c r="D8" i="5"/>
  <c r="D7" i="5"/>
  <c r="D69" i="5"/>
  <c r="D68" i="5"/>
  <c r="D6" i="5"/>
  <c r="D5" i="5"/>
  <c r="D67" i="5"/>
  <c r="D64" i="5"/>
  <c r="D94" i="4"/>
  <c r="D32" i="4"/>
  <c r="D31" i="4"/>
  <c r="D93" i="4"/>
  <c r="D92" i="4"/>
  <c r="D30" i="4"/>
  <c r="D29" i="4"/>
  <c r="D91" i="4"/>
  <c r="D90" i="4"/>
  <c r="D28" i="4"/>
  <c r="D27" i="4"/>
  <c r="D89" i="4"/>
  <c r="D88" i="4"/>
  <c r="D26" i="4"/>
  <c r="D25" i="4"/>
  <c r="D87" i="4"/>
  <c r="D86" i="4"/>
  <c r="D24" i="4"/>
  <c r="D23" i="4"/>
  <c r="D85" i="4"/>
  <c r="D84" i="4"/>
  <c r="D22" i="4"/>
  <c r="D21" i="4"/>
  <c r="D83" i="4"/>
  <c r="D82" i="4"/>
  <c r="D20" i="4"/>
  <c r="D19" i="4"/>
  <c r="D81" i="4"/>
  <c r="D80" i="4"/>
  <c r="D18" i="4"/>
  <c r="D17" i="4"/>
  <c r="D79" i="4"/>
  <c r="D78" i="4"/>
  <c r="D16" i="4"/>
  <c r="D15" i="4"/>
  <c r="D77" i="4"/>
  <c r="D76" i="4"/>
  <c r="D14" i="4"/>
  <c r="D13" i="4"/>
  <c r="D75" i="4"/>
  <c r="D74" i="4"/>
  <c r="D12" i="4"/>
  <c r="D11" i="4"/>
  <c r="D73" i="4"/>
  <c r="D72" i="4"/>
  <c r="D10" i="4"/>
  <c r="D9" i="4"/>
  <c r="D71" i="4"/>
  <c r="D70" i="4"/>
  <c r="D8" i="4"/>
  <c r="D7" i="4"/>
  <c r="D69" i="4"/>
  <c r="D68" i="4"/>
  <c r="D6" i="4"/>
  <c r="D5" i="4"/>
  <c r="D67" i="4"/>
  <c r="D64" i="4"/>
  <c r="D94" i="3"/>
  <c r="D32" i="3"/>
  <c r="D31" i="3"/>
  <c r="D93" i="3"/>
  <c r="D92" i="3"/>
  <c r="D30" i="3"/>
  <c r="D29" i="3"/>
  <c r="D91" i="3"/>
  <c r="D90" i="3"/>
  <c r="D28" i="3"/>
  <c r="D27" i="3"/>
  <c r="D89" i="3"/>
  <c r="D88" i="3"/>
  <c r="D26" i="3"/>
  <c r="D25" i="3"/>
  <c r="D87" i="3"/>
  <c r="D86" i="3"/>
  <c r="D24" i="3"/>
  <c r="D23" i="3"/>
  <c r="D85" i="3"/>
  <c r="D84" i="3"/>
  <c r="D22" i="3"/>
  <c r="D21" i="3"/>
  <c r="D83" i="3"/>
  <c r="D82" i="3"/>
  <c r="F82" i="3" s="1"/>
  <c r="D20" i="3"/>
  <c r="D19" i="3"/>
  <c r="D81" i="3"/>
  <c r="D80" i="3"/>
  <c r="D18" i="3"/>
  <c r="D17" i="3"/>
  <c r="D79" i="3"/>
  <c r="D78" i="3"/>
  <c r="D16" i="3"/>
  <c r="D15" i="3"/>
  <c r="D77" i="3"/>
  <c r="D76" i="3"/>
  <c r="D14" i="3"/>
  <c r="D13" i="3"/>
  <c r="D75" i="3"/>
  <c r="D74" i="3"/>
  <c r="D12" i="3"/>
  <c r="D11" i="3"/>
  <c r="D73" i="3"/>
  <c r="D72" i="3"/>
  <c r="D10" i="3"/>
  <c r="D9" i="3"/>
  <c r="D71" i="3"/>
  <c r="D70" i="3"/>
  <c r="D8" i="3"/>
  <c r="D7" i="3"/>
  <c r="D69" i="3"/>
  <c r="D68" i="3"/>
  <c r="D6" i="3"/>
  <c r="D5" i="3"/>
  <c r="D67" i="3"/>
  <c r="D64" i="3"/>
  <c r="D94" i="59"/>
  <c r="D32" i="59"/>
  <c r="D31" i="59"/>
  <c r="D93" i="59"/>
  <c r="D92" i="59"/>
  <c r="D30" i="59"/>
  <c r="D29" i="59"/>
  <c r="D91" i="59"/>
  <c r="D90" i="59"/>
  <c r="D28" i="59"/>
  <c r="D27" i="59"/>
  <c r="D89" i="59"/>
  <c r="D88" i="59"/>
  <c r="D26" i="59"/>
  <c r="D25" i="59"/>
  <c r="D87" i="59"/>
  <c r="D86" i="59"/>
  <c r="D24" i="59"/>
  <c r="D23" i="59"/>
  <c r="D85" i="59"/>
  <c r="D84" i="59"/>
  <c r="D22" i="59"/>
  <c r="D21" i="59"/>
  <c r="D83" i="59"/>
  <c r="D82" i="59"/>
  <c r="D20" i="59"/>
  <c r="D19" i="59"/>
  <c r="D81" i="59"/>
  <c r="D80" i="59"/>
  <c r="D18" i="59"/>
  <c r="D17" i="59"/>
  <c r="D79" i="59"/>
  <c r="D78" i="59"/>
  <c r="D16" i="59"/>
  <c r="D15" i="59"/>
  <c r="D77" i="59"/>
  <c r="D76" i="59"/>
  <c r="D14" i="59"/>
  <c r="D13" i="59"/>
  <c r="D75" i="59"/>
  <c r="D74" i="59"/>
  <c r="D12" i="59"/>
  <c r="D11" i="59"/>
  <c r="D73" i="59"/>
  <c r="D72" i="59"/>
  <c r="D10" i="59"/>
  <c r="D9" i="59"/>
  <c r="D71" i="59"/>
  <c r="D70" i="59"/>
  <c r="D8" i="59"/>
  <c r="D7" i="59"/>
  <c r="D69" i="59"/>
  <c r="D68" i="59"/>
  <c r="D6" i="59"/>
  <c r="D5" i="59"/>
  <c r="D67" i="59"/>
  <c r="D64" i="59"/>
  <c r="D94" i="1"/>
  <c r="D32" i="1"/>
  <c r="D31" i="1"/>
  <c r="D93" i="1"/>
  <c r="D92" i="1"/>
  <c r="D30" i="1"/>
  <c r="D29" i="1"/>
  <c r="D91" i="1"/>
  <c r="D90" i="1"/>
  <c r="D28" i="1"/>
  <c r="D27" i="1"/>
  <c r="D89" i="1"/>
  <c r="D88" i="1"/>
  <c r="D26" i="1"/>
  <c r="D25" i="1"/>
  <c r="D87" i="1"/>
  <c r="D86" i="1"/>
  <c r="D24" i="1"/>
  <c r="D23" i="1"/>
  <c r="D85" i="1"/>
  <c r="D84" i="1"/>
  <c r="D22" i="1"/>
  <c r="D21" i="1"/>
  <c r="D83" i="1"/>
  <c r="D82" i="1"/>
  <c r="D20" i="1"/>
  <c r="D19" i="1"/>
  <c r="D81" i="1"/>
  <c r="D80" i="1"/>
  <c r="D18" i="1"/>
  <c r="D17" i="1"/>
  <c r="D79" i="1"/>
  <c r="D78" i="1"/>
  <c r="F78" i="1" s="1"/>
  <c r="D16" i="1"/>
  <c r="D15" i="1"/>
  <c r="D77" i="1"/>
  <c r="D76" i="1"/>
  <c r="D14" i="1"/>
  <c r="D13" i="1"/>
  <c r="D75" i="1"/>
  <c r="D74" i="1"/>
  <c r="D12" i="1"/>
  <c r="D11" i="1"/>
  <c r="D73" i="1"/>
  <c r="D72" i="1"/>
  <c r="D10" i="1"/>
  <c r="D9" i="1"/>
  <c r="D71" i="1"/>
  <c r="D70" i="1"/>
  <c r="D8" i="1"/>
  <c r="D7" i="1"/>
  <c r="D69" i="1"/>
  <c r="D68" i="1"/>
  <c r="D6" i="1"/>
  <c r="D5" i="1"/>
  <c r="D67" i="1"/>
  <c r="D64" i="1"/>
  <c r="D94" i="56"/>
  <c r="D32" i="56"/>
  <c r="D31" i="56"/>
  <c r="D93" i="56"/>
  <c r="D92" i="56"/>
  <c r="D30" i="56"/>
  <c r="D29" i="56"/>
  <c r="D91" i="56"/>
  <c r="F91" i="56" s="1"/>
  <c r="D90" i="56"/>
  <c r="D28" i="56"/>
  <c r="D27" i="56"/>
  <c r="D89" i="56"/>
  <c r="D88" i="56"/>
  <c r="D26" i="56"/>
  <c r="D25" i="56"/>
  <c r="D87" i="56"/>
  <c r="F87" i="56" s="1"/>
  <c r="D86" i="56"/>
  <c r="D24" i="56"/>
  <c r="D23" i="56"/>
  <c r="D85" i="56"/>
  <c r="D84" i="56"/>
  <c r="D22" i="56"/>
  <c r="D21" i="56"/>
  <c r="D83" i="56"/>
  <c r="F83" i="56" s="1"/>
  <c r="D82" i="56"/>
  <c r="D20" i="56"/>
  <c r="D19" i="56"/>
  <c r="D81" i="56"/>
  <c r="D80" i="56"/>
  <c r="D18" i="56"/>
  <c r="D17" i="56"/>
  <c r="D79" i="56"/>
  <c r="F79" i="56" s="1"/>
  <c r="D78" i="56"/>
  <c r="D16" i="56"/>
  <c r="D15" i="56"/>
  <c r="D77" i="56"/>
  <c r="D76" i="56"/>
  <c r="D14" i="56"/>
  <c r="D13" i="56"/>
  <c r="D75" i="56"/>
  <c r="F75" i="56" s="1"/>
  <c r="D74" i="56"/>
  <c r="D12" i="56"/>
  <c r="D11" i="56"/>
  <c r="D73" i="56"/>
  <c r="D72" i="56"/>
  <c r="D10" i="56"/>
  <c r="D9" i="56"/>
  <c r="D71" i="56"/>
  <c r="F71" i="56" s="1"/>
  <c r="D70" i="56"/>
  <c r="D8" i="56"/>
  <c r="D7" i="56"/>
  <c r="D69" i="56"/>
  <c r="D68" i="56"/>
  <c r="D6" i="56"/>
  <c r="D5" i="56"/>
  <c r="D67" i="56"/>
  <c r="F67" i="56" s="1"/>
  <c r="D64" i="56"/>
  <c r="D67" i="55"/>
  <c r="D64" i="55"/>
  <c r="D5" i="55"/>
  <c r="D68" i="55"/>
  <c r="D6" i="55"/>
  <c r="D69" i="55"/>
  <c r="D7" i="55"/>
  <c r="D70" i="55"/>
  <c r="D8" i="55"/>
  <c r="D71" i="55"/>
  <c r="D9" i="55"/>
  <c r="D72" i="55"/>
  <c r="D10" i="55"/>
  <c r="D73" i="55"/>
  <c r="D11" i="55"/>
  <c r="D74" i="55"/>
  <c r="D12" i="55"/>
  <c r="D75" i="55"/>
  <c r="D13" i="55"/>
  <c r="D76" i="55"/>
  <c r="D14" i="55"/>
  <c r="D77" i="55"/>
  <c r="D15" i="55"/>
  <c r="D78" i="55"/>
  <c r="D16" i="55"/>
  <c r="D79" i="55"/>
  <c r="D17" i="55"/>
  <c r="D80" i="55"/>
  <c r="D18" i="55"/>
  <c r="D81" i="55"/>
  <c r="D19" i="55"/>
  <c r="D82" i="55"/>
  <c r="D20" i="55"/>
  <c r="D83" i="55"/>
  <c r="D21" i="55"/>
  <c r="D84" i="55"/>
  <c r="D22" i="55"/>
  <c r="D85" i="55"/>
  <c r="D23" i="55"/>
  <c r="D86" i="55"/>
  <c r="D24" i="55"/>
  <c r="D87" i="55"/>
  <c r="D25" i="55"/>
  <c r="D88" i="55"/>
  <c r="D26" i="55"/>
  <c r="D89" i="55"/>
  <c r="D27" i="55"/>
  <c r="D90" i="55"/>
  <c r="D28" i="55"/>
  <c r="F37" i="55"/>
  <c r="F39" i="55"/>
  <c r="F41" i="55"/>
  <c r="F43" i="55"/>
  <c r="F45" i="55"/>
  <c r="F47" i="55"/>
  <c r="F49" i="55"/>
  <c r="F51" i="55"/>
  <c r="F53" i="55"/>
  <c r="F55" i="55"/>
  <c r="F57" i="55"/>
  <c r="F59" i="55"/>
  <c r="F70" i="55"/>
  <c r="F60" i="55"/>
  <c r="F62" i="55"/>
  <c r="F40" i="54"/>
  <c r="F38" i="54"/>
  <c r="E64" i="54"/>
  <c r="F36" i="54"/>
  <c r="F42" i="54"/>
  <c r="F44" i="54"/>
  <c r="F46" i="54"/>
  <c r="F48" i="54"/>
  <c r="F50" i="54"/>
  <c r="F52" i="54"/>
  <c r="F54" i="54"/>
  <c r="F56" i="54"/>
  <c r="F58" i="54"/>
  <c r="F60" i="54"/>
  <c r="F62" i="54"/>
  <c r="F49" i="53"/>
  <c r="F47" i="53"/>
  <c r="F45" i="53"/>
  <c r="F43" i="53"/>
  <c r="F41" i="53"/>
  <c r="F39" i="53"/>
  <c r="F37" i="53"/>
  <c r="F62" i="52"/>
  <c r="F60" i="52"/>
  <c r="F58" i="52"/>
  <c r="F56" i="52"/>
  <c r="F54" i="52"/>
  <c r="F52" i="52"/>
  <c r="F50" i="52"/>
  <c r="F48" i="52"/>
  <c r="F46" i="52"/>
  <c r="F44" i="52"/>
  <c r="F42" i="52"/>
  <c r="F40" i="52"/>
  <c r="F38" i="52"/>
  <c r="E64" i="52"/>
  <c r="F36" i="52"/>
  <c r="D82" i="53"/>
  <c r="D20" i="53"/>
  <c r="D83" i="53"/>
  <c r="D21" i="53"/>
  <c r="D84" i="53"/>
  <c r="D22" i="53"/>
  <c r="D85" i="53"/>
  <c r="D23" i="53"/>
  <c r="D86" i="53"/>
  <c r="D24" i="53"/>
  <c r="D87" i="53"/>
  <c r="D25" i="53"/>
  <c r="D88" i="53"/>
  <c r="D26" i="53"/>
  <c r="D89" i="53"/>
  <c r="D27" i="53"/>
  <c r="D90" i="53"/>
  <c r="D28" i="53"/>
  <c r="D91" i="53"/>
  <c r="D29" i="53"/>
  <c r="D92" i="53"/>
  <c r="D30" i="53"/>
  <c r="D93" i="53"/>
  <c r="D31" i="53"/>
  <c r="D94" i="53"/>
  <c r="D32" i="53"/>
  <c r="F51" i="53"/>
  <c r="F53" i="53"/>
  <c r="F55" i="53"/>
  <c r="F57" i="53"/>
  <c r="F59" i="53"/>
  <c r="F61" i="53"/>
  <c r="F63" i="53"/>
  <c r="E95" i="53"/>
  <c r="C109" i="53" s="1"/>
  <c r="C118" i="53" s="1"/>
  <c r="F71" i="53"/>
  <c r="E105" i="53"/>
  <c r="D94" i="52"/>
  <c r="D32" i="52"/>
  <c r="D31" i="52"/>
  <c r="D93" i="52"/>
  <c r="D92" i="52"/>
  <c r="D30" i="52"/>
  <c r="D29" i="52"/>
  <c r="D91" i="52"/>
  <c r="D90" i="52"/>
  <c r="D28" i="52"/>
  <c r="D27" i="52"/>
  <c r="D89" i="52"/>
  <c r="D88" i="52"/>
  <c r="D26" i="52"/>
  <c r="D25" i="52"/>
  <c r="D87" i="52"/>
  <c r="D86" i="52"/>
  <c r="D24" i="52"/>
  <c r="D23" i="52"/>
  <c r="D85" i="52"/>
  <c r="D84" i="52"/>
  <c r="D22" i="52"/>
  <c r="D21" i="52"/>
  <c r="D83" i="52"/>
  <c r="D82" i="52"/>
  <c r="D20" i="52"/>
  <c r="D19" i="52"/>
  <c r="D81" i="52"/>
  <c r="D80" i="52"/>
  <c r="D18" i="52"/>
  <c r="D17" i="52"/>
  <c r="D79" i="52"/>
  <c r="D78" i="52"/>
  <c r="D16" i="52"/>
  <c r="D15" i="52"/>
  <c r="D77" i="52"/>
  <c r="D76" i="52"/>
  <c r="D14" i="52"/>
  <c r="D13" i="52"/>
  <c r="D75" i="52"/>
  <c r="D74" i="52"/>
  <c r="D12" i="52"/>
  <c r="D11" i="52"/>
  <c r="D73" i="52"/>
  <c r="D72" i="52"/>
  <c r="D10" i="52"/>
  <c r="D9" i="52"/>
  <c r="D71" i="52"/>
  <c r="D70" i="52"/>
  <c r="D8" i="52"/>
  <c r="D7" i="52"/>
  <c r="D69" i="52"/>
  <c r="D68" i="52"/>
  <c r="D6" i="52"/>
  <c r="D5" i="52"/>
  <c r="D67" i="52"/>
  <c r="D64" i="52"/>
  <c r="D94" i="51"/>
  <c r="D32" i="51"/>
  <c r="D93" i="51"/>
  <c r="D31" i="51"/>
  <c r="D92" i="51"/>
  <c r="D30" i="51"/>
  <c r="D91" i="51"/>
  <c r="D29" i="51"/>
  <c r="D90" i="51"/>
  <c r="D28" i="51"/>
  <c r="D89" i="51"/>
  <c r="D27" i="51"/>
  <c r="D88" i="51"/>
  <c r="D26" i="51"/>
  <c r="D87" i="51"/>
  <c r="D25" i="51"/>
  <c r="D86" i="51"/>
  <c r="D24" i="51"/>
  <c r="D85" i="51"/>
  <c r="D23" i="51"/>
  <c r="D84" i="51"/>
  <c r="D22" i="51"/>
  <c r="D83" i="51"/>
  <c r="D21" i="51"/>
  <c r="D82" i="51"/>
  <c r="D20" i="51"/>
  <c r="D81" i="51"/>
  <c r="D19" i="51"/>
  <c r="D80" i="51"/>
  <c r="D18" i="51"/>
  <c r="D79" i="51"/>
  <c r="D17" i="51"/>
  <c r="D78" i="51"/>
  <c r="D16" i="51"/>
  <c r="D77" i="51"/>
  <c r="D15" i="51"/>
  <c r="D14" i="51"/>
  <c r="D76" i="51"/>
  <c r="D75" i="51"/>
  <c r="D13" i="51"/>
  <c r="D12" i="51"/>
  <c r="D74" i="51"/>
  <c r="D73" i="51"/>
  <c r="D11" i="51"/>
  <c r="D10" i="51"/>
  <c r="D72" i="51"/>
  <c r="D71" i="51"/>
  <c r="D9" i="51"/>
  <c r="D8" i="51"/>
  <c r="D70" i="51"/>
  <c r="D69" i="51"/>
  <c r="D7" i="51"/>
  <c r="D6" i="51"/>
  <c r="D68" i="51"/>
  <c r="D67" i="51"/>
  <c r="D64" i="51"/>
  <c r="D5" i="51"/>
  <c r="E105" i="51"/>
  <c r="D32" i="49"/>
  <c r="D94" i="49"/>
  <c r="D93" i="49"/>
  <c r="D31" i="49"/>
  <c r="D30" i="49"/>
  <c r="D92" i="49"/>
  <c r="D91" i="49"/>
  <c r="D29" i="49"/>
  <c r="D28" i="49"/>
  <c r="D90" i="49"/>
  <c r="D89" i="49"/>
  <c r="D27" i="49"/>
  <c r="D26" i="49"/>
  <c r="D88" i="49"/>
  <c r="D87" i="49"/>
  <c r="D25" i="49"/>
  <c r="D24" i="49"/>
  <c r="D86" i="49"/>
  <c r="D85" i="49"/>
  <c r="D23" i="49"/>
  <c r="D22" i="49"/>
  <c r="D84" i="49"/>
  <c r="D83" i="49"/>
  <c r="D21" i="49"/>
  <c r="D20" i="49"/>
  <c r="D82" i="49"/>
  <c r="D81" i="49"/>
  <c r="D19" i="49"/>
  <c r="D18" i="49"/>
  <c r="D80" i="49"/>
  <c r="D79" i="49"/>
  <c r="D17" i="49"/>
  <c r="D16" i="49"/>
  <c r="D78" i="49"/>
  <c r="D77" i="49"/>
  <c r="D15" i="49"/>
  <c r="D14" i="49"/>
  <c r="D76" i="49"/>
  <c r="D75" i="49"/>
  <c r="D13" i="49"/>
  <c r="D12" i="49"/>
  <c r="D74" i="49"/>
  <c r="D73" i="49"/>
  <c r="D11" i="49"/>
  <c r="D10" i="49"/>
  <c r="D72" i="49"/>
  <c r="D71" i="49"/>
  <c r="D9" i="49"/>
  <c r="D8" i="49"/>
  <c r="D70" i="49"/>
  <c r="D69" i="49"/>
  <c r="D7" i="49"/>
  <c r="D6" i="49"/>
  <c r="D68" i="49"/>
  <c r="D67" i="49"/>
  <c r="D64" i="49"/>
  <c r="D5" i="49"/>
  <c r="E95" i="51"/>
  <c r="C109" i="51" s="1"/>
  <c r="C118" i="51" s="1"/>
  <c r="F63" i="51"/>
  <c r="F59" i="51"/>
  <c r="F55" i="51"/>
  <c r="F51" i="51"/>
  <c r="F47" i="51"/>
  <c r="F43" i="51"/>
  <c r="F39" i="51"/>
  <c r="F61" i="49"/>
  <c r="F57" i="49"/>
  <c r="F53" i="49"/>
  <c r="F49" i="49"/>
  <c r="F45" i="49"/>
  <c r="F41" i="49"/>
  <c r="F37" i="49"/>
  <c r="E105" i="48"/>
  <c r="F62" i="48"/>
  <c r="F58" i="48"/>
  <c r="F54" i="48"/>
  <c r="F50" i="48"/>
  <c r="F62" i="51"/>
  <c r="F60" i="51"/>
  <c r="F58" i="51"/>
  <c r="F56" i="51"/>
  <c r="F54" i="51"/>
  <c r="F52" i="51"/>
  <c r="F50" i="51"/>
  <c r="F48" i="51"/>
  <c r="F46" i="51"/>
  <c r="F44" i="51"/>
  <c r="F42" i="51"/>
  <c r="F40" i="51"/>
  <c r="F38" i="51"/>
  <c r="F36" i="51"/>
  <c r="E95" i="50"/>
  <c r="C109" i="50" s="1"/>
  <c r="C118" i="50" s="1"/>
  <c r="F63" i="50"/>
  <c r="F59" i="50"/>
  <c r="F55" i="50"/>
  <c r="F51" i="50"/>
  <c r="F47" i="50"/>
  <c r="F43" i="50"/>
  <c r="F39" i="50"/>
  <c r="F62" i="49"/>
  <c r="F60" i="49"/>
  <c r="F58" i="49"/>
  <c r="F56" i="49"/>
  <c r="F54" i="49"/>
  <c r="F52" i="49"/>
  <c r="F50" i="49"/>
  <c r="F48" i="49"/>
  <c r="F46" i="49"/>
  <c r="F44" i="49"/>
  <c r="F42" i="49"/>
  <c r="F40" i="49"/>
  <c r="F38" i="49"/>
  <c r="F36" i="49"/>
  <c r="E95" i="48"/>
  <c r="C109" i="48" s="1"/>
  <c r="C118" i="48" s="1"/>
  <c r="F61" i="48"/>
  <c r="F57" i="48"/>
  <c r="F53" i="48"/>
  <c r="F49" i="48"/>
  <c r="F45" i="48"/>
  <c r="D74" i="48"/>
  <c r="D12" i="48"/>
  <c r="D75" i="48"/>
  <c r="D13" i="48"/>
  <c r="D76" i="48"/>
  <c r="D14" i="48"/>
  <c r="D77" i="48"/>
  <c r="D15" i="48"/>
  <c r="D78" i="48"/>
  <c r="D16" i="48"/>
  <c r="D79" i="48"/>
  <c r="D17" i="48"/>
  <c r="D80" i="48"/>
  <c r="D18" i="48"/>
  <c r="D81" i="48"/>
  <c r="D19" i="48"/>
  <c r="D82" i="48"/>
  <c r="D20" i="48"/>
  <c r="D83" i="48"/>
  <c r="D21" i="48"/>
  <c r="D84" i="48"/>
  <c r="D22" i="48"/>
  <c r="D85" i="48"/>
  <c r="D23" i="48"/>
  <c r="D86" i="48"/>
  <c r="D24" i="48"/>
  <c r="D87" i="48"/>
  <c r="D25" i="48"/>
  <c r="D88" i="48"/>
  <c r="D26" i="48"/>
  <c r="D89" i="48"/>
  <c r="D27" i="48"/>
  <c r="D90" i="48"/>
  <c r="D28" i="48"/>
  <c r="D91" i="48"/>
  <c r="D29" i="48"/>
  <c r="D92" i="48"/>
  <c r="D30" i="48"/>
  <c r="D93" i="48"/>
  <c r="D31" i="48"/>
  <c r="D94" i="48"/>
  <c r="D32" i="48"/>
  <c r="F36" i="48"/>
  <c r="F62" i="47"/>
  <c r="F60" i="47"/>
  <c r="F58" i="47"/>
  <c r="F56" i="47"/>
  <c r="F54" i="47"/>
  <c r="F52" i="47"/>
  <c r="F50" i="47"/>
  <c r="F48" i="47"/>
  <c r="F46" i="47"/>
  <c r="F44" i="47"/>
  <c r="F48" i="48"/>
  <c r="F44" i="48"/>
  <c r="F39" i="48"/>
  <c r="D32" i="46"/>
  <c r="D94" i="46"/>
  <c r="D93" i="46"/>
  <c r="D31" i="46"/>
  <c r="D30" i="46"/>
  <c r="D92" i="46"/>
  <c r="D91" i="46"/>
  <c r="D29" i="46"/>
  <c r="D28" i="46"/>
  <c r="D90" i="46"/>
  <c r="D89" i="46"/>
  <c r="D27" i="46"/>
  <c r="D26" i="46"/>
  <c r="D88" i="46"/>
  <c r="D87" i="46"/>
  <c r="D25" i="46"/>
  <c r="D24" i="46"/>
  <c r="D86" i="46"/>
  <c r="D85" i="46"/>
  <c r="D23" i="46"/>
  <c r="D22" i="46"/>
  <c r="D84" i="46"/>
  <c r="D83" i="46"/>
  <c r="D21" i="46"/>
  <c r="D20" i="46"/>
  <c r="D82" i="46"/>
  <c r="D81" i="46"/>
  <c r="D19" i="46"/>
  <c r="D18" i="46"/>
  <c r="D80" i="46"/>
  <c r="D79" i="46"/>
  <c r="D17" i="46"/>
  <c r="D16" i="46"/>
  <c r="D78" i="46"/>
  <c r="D77" i="46"/>
  <c r="D15" i="46"/>
  <c r="D14" i="46"/>
  <c r="D76" i="46"/>
  <c r="D75" i="46"/>
  <c r="D13" i="46"/>
  <c r="D12" i="46"/>
  <c r="D74" i="46"/>
  <c r="D73" i="46"/>
  <c r="D11" i="46"/>
  <c r="D10" i="46"/>
  <c r="D72" i="46"/>
  <c r="D71" i="46"/>
  <c r="D9" i="46"/>
  <c r="D8" i="46"/>
  <c r="D70" i="46"/>
  <c r="D69" i="46"/>
  <c r="D7" i="46"/>
  <c r="D6" i="46"/>
  <c r="D68" i="46"/>
  <c r="D67" i="46"/>
  <c r="D64" i="46"/>
  <c r="D5" i="46"/>
  <c r="F42" i="47"/>
  <c r="F40" i="47"/>
  <c r="F38" i="47"/>
  <c r="E64" i="47"/>
  <c r="E95" i="46"/>
  <c r="C109" i="46" s="1"/>
  <c r="C118" i="46" s="1"/>
  <c r="F61" i="46"/>
  <c r="F57" i="46"/>
  <c r="F53" i="46"/>
  <c r="F49" i="46"/>
  <c r="F45" i="46"/>
  <c r="F41" i="46"/>
  <c r="F37" i="46"/>
  <c r="F63" i="44"/>
  <c r="F61" i="44"/>
  <c r="F59" i="44"/>
  <c r="F57" i="44"/>
  <c r="F55" i="44"/>
  <c r="F53" i="44"/>
  <c r="F51" i="44"/>
  <c r="F49" i="44"/>
  <c r="F47" i="44"/>
  <c r="F45" i="44"/>
  <c r="F43" i="44"/>
  <c r="F41" i="44"/>
  <c r="F39" i="44"/>
  <c r="F37" i="44"/>
  <c r="F81" i="43"/>
  <c r="F62" i="43"/>
  <c r="F60" i="43"/>
  <c r="F58" i="43"/>
  <c r="F56" i="43"/>
  <c r="F54" i="43"/>
  <c r="F52" i="43"/>
  <c r="F50" i="43"/>
  <c r="F48" i="43"/>
  <c r="F46" i="43"/>
  <c r="F44" i="43"/>
  <c r="F42" i="43"/>
  <c r="F40" i="43"/>
  <c r="F38" i="43"/>
  <c r="E64" i="43"/>
  <c r="F36" i="43"/>
  <c r="E105" i="42"/>
  <c r="E95" i="42"/>
  <c r="C109" i="42" s="1"/>
  <c r="C118" i="42" s="1"/>
  <c r="F63" i="42"/>
  <c r="F61" i="42"/>
  <c r="F59" i="42"/>
  <c r="F57" i="42"/>
  <c r="F55" i="42"/>
  <c r="F53" i="42"/>
  <c r="F51" i="42"/>
  <c r="F49" i="42"/>
  <c r="F47" i="42"/>
  <c r="F45" i="42"/>
  <c r="F43" i="42"/>
  <c r="F41" i="42"/>
  <c r="F39" i="42"/>
  <c r="F37" i="42"/>
  <c r="F81" i="41"/>
  <c r="F62" i="41"/>
  <c r="F60" i="41"/>
  <c r="F58" i="41"/>
  <c r="F56" i="41"/>
  <c r="F54" i="41"/>
  <c r="F52" i="41"/>
  <c r="F50" i="41"/>
  <c r="F48" i="41"/>
  <c r="F46" i="41"/>
  <c r="F44" i="41"/>
  <c r="F42" i="41"/>
  <c r="F40" i="41"/>
  <c r="F38" i="41"/>
  <c r="E64" i="41"/>
  <c r="F36" i="41"/>
  <c r="E105" i="40"/>
  <c r="E95" i="40"/>
  <c r="C109" i="40" s="1"/>
  <c r="C118" i="40" s="1"/>
  <c r="F63" i="40"/>
  <c r="F61" i="40"/>
  <c r="F59" i="40"/>
  <c r="F57" i="40"/>
  <c r="F55" i="40"/>
  <c r="F53" i="40"/>
  <c r="F51" i="40"/>
  <c r="F49" i="40"/>
  <c r="F47" i="40"/>
  <c r="F45" i="40"/>
  <c r="F43" i="40"/>
  <c r="F41" i="40"/>
  <c r="F39" i="40"/>
  <c r="F37" i="40"/>
  <c r="F81" i="39"/>
  <c r="F62" i="39"/>
  <c r="F60" i="39"/>
  <c r="F58" i="39"/>
  <c r="F56" i="39"/>
  <c r="F54" i="39"/>
  <c r="F52" i="39"/>
  <c r="F50" i="39"/>
  <c r="F48" i="39"/>
  <c r="F46" i="39"/>
  <c r="F44" i="39"/>
  <c r="F42" i="39"/>
  <c r="F40" i="39"/>
  <c r="F38" i="39"/>
  <c r="E64" i="39"/>
  <c r="F36" i="39"/>
  <c r="F39" i="47"/>
  <c r="F62" i="46"/>
  <c r="F60" i="46"/>
  <c r="F58" i="46"/>
  <c r="F56" i="46"/>
  <c r="F54" i="46"/>
  <c r="F52" i="46"/>
  <c r="F50" i="46"/>
  <c r="F48" i="46"/>
  <c r="F46" i="46"/>
  <c r="F44" i="46"/>
  <c r="F42" i="46"/>
  <c r="F40" i="46"/>
  <c r="F38" i="46"/>
  <c r="F36" i="46"/>
  <c r="E95" i="45"/>
  <c r="C109" i="45" s="1"/>
  <c r="C118" i="45" s="1"/>
  <c r="F63" i="45"/>
  <c r="F59" i="45"/>
  <c r="F55" i="45"/>
  <c r="F51" i="45"/>
  <c r="F47" i="45"/>
  <c r="F43" i="45"/>
  <c r="F39" i="45"/>
  <c r="D93" i="44"/>
  <c r="D31" i="44"/>
  <c r="D94" i="44"/>
  <c r="D32" i="44"/>
  <c r="F82" i="40"/>
  <c r="F62" i="38"/>
  <c r="F60" i="38"/>
  <c r="F58" i="38"/>
  <c r="F56" i="38"/>
  <c r="E105" i="38"/>
  <c r="D32" i="36"/>
  <c r="D94" i="36"/>
  <c r="D93" i="36"/>
  <c r="D31" i="36"/>
  <c r="D30" i="36"/>
  <c r="D92" i="36"/>
  <c r="D91" i="36"/>
  <c r="D29" i="36"/>
  <c r="D28" i="36"/>
  <c r="D90" i="36"/>
  <c r="D89" i="36"/>
  <c r="D27" i="36"/>
  <c r="D26" i="36"/>
  <c r="D88" i="36"/>
  <c r="D87" i="36"/>
  <c r="D25" i="36"/>
  <c r="D24" i="36"/>
  <c r="D86" i="36"/>
  <c r="D85" i="36"/>
  <c r="D23" i="36"/>
  <c r="D22" i="36"/>
  <c r="D84" i="36"/>
  <c r="D83" i="36"/>
  <c r="D21" i="36"/>
  <c r="D20" i="36"/>
  <c r="D82" i="36"/>
  <c r="D81" i="36"/>
  <c r="D19" i="36"/>
  <c r="D18" i="36"/>
  <c r="D80" i="36"/>
  <c r="D79" i="36"/>
  <c r="D17" i="36"/>
  <c r="D16" i="36"/>
  <c r="D78" i="36"/>
  <c r="D77" i="36"/>
  <c r="D15" i="36"/>
  <c r="D14" i="36"/>
  <c r="D76" i="36"/>
  <c r="D75" i="36"/>
  <c r="D13" i="36"/>
  <c r="D12" i="36"/>
  <c r="D74" i="36"/>
  <c r="D73" i="36"/>
  <c r="D11" i="36"/>
  <c r="D10" i="36"/>
  <c r="D72" i="36"/>
  <c r="D71" i="36"/>
  <c r="D9" i="36"/>
  <c r="D8" i="36"/>
  <c r="D70" i="36"/>
  <c r="D69" i="36"/>
  <c r="D7" i="36"/>
  <c r="D6" i="36"/>
  <c r="D68" i="36"/>
  <c r="D67" i="36"/>
  <c r="D64" i="36"/>
  <c r="D5" i="36"/>
  <c r="D32" i="34"/>
  <c r="D94" i="34"/>
  <c r="D93" i="34"/>
  <c r="D31" i="34"/>
  <c r="D30" i="34"/>
  <c r="D92" i="34"/>
  <c r="D91" i="34"/>
  <c r="D29" i="34"/>
  <c r="D28" i="34"/>
  <c r="D90" i="34"/>
  <c r="D89" i="34"/>
  <c r="D27" i="34"/>
  <c r="D26" i="34"/>
  <c r="D88" i="34"/>
  <c r="D87" i="34"/>
  <c r="D25" i="34"/>
  <c r="D24" i="34"/>
  <c r="D86" i="34"/>
  <c r="D85" i="34"/>
  <c r="D23" i="34"/>
  <c r="D22" i="34"/>
  <c r="D84" i="34"/>
  <c r="D83" i="34"/>
  <c r="D21" i="34"/>
  <c r="D20" i="34"/>
  <c r="D82" i="34"/>
  <c r="D81" i="34"/>
  <c r="D19" i="34"/>
  <c r="D18" i="34"/>
  <c r="D80" i="34"/>
  <c r="D79" i="34"/>
  <c r="D17" i="34"/>
  <c r="D16" i="34"/>
  <c r="D78" i="34"/>
  <c r="D77" i="34"/>
  <c r="D15" i="34"/>
  <c r="D14" i="34"/>
  <c r="D76" i="34"/>
  <c r="D75" i="34"/>
  <c r="D13" i="34"/>
  <c r="D12" i="34"/>
  <c r="D74" i="34"/>
  <c r="D73" i="34"/>
  <c r="D11" i="34"/>
  <c r="D10" i="34"/>
  <c r="D72" i="34"/>
  <c r="D71" i="34"/>
  <c r="D9" i="34"/>
  <c r="D8" i="34"/>
  <c r="D70" i="34"/>
  <c r="D69" i="34"/>
  <c r="D7" i="34"/>
  <c r="D6" i="34"/>
  <c r="D68" i="34"/>
  <c r="D67" i="34"/>
  <c r="D64" i="34"/>
  <c r="D5" i="34"/>
  <c r="D32" i="32"/>
  <c r="D94" i="32"/>
  <c r="D93" i="32"/>
  <c r="D31" i="32"/>
  <c r="D30" i="32"/>
  <c r="D92" i="32"/>
  <c r="D91" i="32"/>
  <c r="D29" i="32"/>
  <c r="D28" i="32"/>
  <c r="D90" i="32"/>
  <c r="D89" i="32"/>
  <c r="D27" i="32"/>
  <c r="D26" i="32"/>
  <c r="D88" i="32"/>
  <c r="D87" i="32"/>
  <c r="D25" i="32"/>
  <c r="D24" i="32"/>
  <c r="D86" i="32"/>
  <c r="D85" i="32"/>
  <c r="D23" i="32"/>
  <c r="D22" i="32"/>
  <c r="D84" i="32"/>
  <c r="D83" i="32"/>
  <c r="D21" i="32"/>
  <c r="D20" i="32"/>
  <c r="D82" i="32"/>
  <c r="D81" i="32"/>
  <c r="D19" i="32"/>
  <c r="D18" i="32"/>
  <c r="D80" i="32"/>
  <c r="D79" i="32"/>
  <c r="D17" i="32"/>
  <c r="D16" i="32"/>
  <c r="D78" i="32"/>
  <c r="D77" i="32"/>
  <c r="D15" i="32"/>
  <c r="D14" i="32"/>
  <c r="D76" i="32"/>
  <c r="D75" i="32"/>
  <c r="D13" i="32"/>
  <c r="D12" i="32"/>
  <c r="D74" i="32"/>
  <c r="D73" i="32"/>
  <c r="D11" i="32"/>
  <c r="D10" i="32"/>
  <c r="D72" i="32"/>
  <c r="D71" i="32"/>
  <c r="D9" i="32"/>
  <c r="D8" i="32"/>
  <c r="D70" i="32"/>
  <c r="D69" i="32"/>
  <c r="D7" i="32"/>
  <c r="D6" i="32"/>
  <c r="D68" i="32"/>
  <c r="D67" i="32"/>
  <c r="D64" i="32"/>
  <c r="D5" i="32"/>
  <c r="F51" i="38"/>
  <c r="F47" i="38"/>
  <c r="F43" i="38"/>
  <c r="F39" i="38"/>
  <c r="F62" i="37"/>
  <c r="F60" i="37"/>
  <c r="F58" i="37"/>
  <c r="F56" i="37"/>
  <c r="F54" i="37"/>
  <c r="F52" i="37"/>
  <c r="F50" i="37"/>
  <c r="F48" i="37"/>
  <c r="F46" i="37"/>
  <c r="F44" i="37"/>
  <c r="F42" i="37"/>
  <c r="F40" i="37"/>
  <c r="F38" i="37"/>
  <c r="F36" i="37"/>
  <c r="E95" i="36"/>
  <c r="C109" i="36" s="1"/>
  <c r="C118" i="36" s="1"/>
  <c r="F63" i="36"/>
  <c r="F59" i="36"/>
  <c r="F55" i="36"/>
  <c r="F51" i="36"/>
  <c r="F47" i="36"/>
  <c r="F43" i="36"/>
  <c r="F39" i="36"/>
  <c r="F62" i="35"/>
  <c r="F60" i="35"/>
  <c r="F58" i="35"/>
  <c r="F56" i="35"/>
  <c r="F54" i="35"/>
  <c r="F52" i="35"/>
  <c r="F50" i="35"/>
  <c r="F48" i="35"/>
  <c r="F46" i="35"/>
  <c r="F44" i="35"/>
  <c r="F42" i="35"/>
  <c r="F40" i="35"/>
  <c r="F38" i="35"/>
  <c r="F36" i="35"/>
  <c r="E95" i="34"/>
  <c r="C109" i="34" s="1"/>
  <c r="C118" i="34" s="1"/>
  <c r="F63" i="34"/>
  <c r="F59" i="34"/>
  <c r="F55" i="34"/>
  <c r="F51" i="34"/>
  <c r="F47" i="34"/>
  <c r="F43" i="34"/>
  <c r="F39" i="34"/>
  <c r="F62" i="33"/>
  <c r="F60" i="33"/>
  <c r="F58" i="33"/>
  <c r="F56" i="33"/>
  <c r="F54" i="33"/>
  <c r="F52" i="33"/>
  <c r="F50" i="33"/>
  <c r="F48" i="33"/>
  <c r="F46" i="33"/>
  <c r="F44" i="33"/>
  <c r="F42" i="33"/>
  <c r="F40" i="33"/>
  <c r="F38" i="33"/>
  <c r="F36" i="33"/>
  <c r="E95" i="32"/>
  <c r="C109" i="32" s="1"/>
  <c r="F63" i="32"/>
  <c r="F59" i="32"/>
  <c r="F55" i="32"/>
  <c r="F51" i="32"/>
  <c r="F47" i="32"/>
  <c r="F43" i="32"/>
  <c r="F39" i="32"/>
  <c r="E105" i="31"/>
  <c r="E95" i="31"/>
  <c r="C109" i="31" s="1"/>
  <c r="C118" i="31" s="1"/>
  <c r="F63" i="31"/>
  <c r="F61" i="31"/>
  <c r="F59" i="31"/>
  <c r="F57" i="31"/>
  <c r="F55" i="31"/>
  <c r="F53" i="31"/>
  <c r="F51" i="31"/>
  <c r="F49" i="31"/>
  <c r="F47" i="31"/>
  <c r="F45" i="31"/>
  <c r="F43" i="31"/>
  <c r="F41" i="31"/>
  <c r="F39" i="31"/>
  <c r="F37" i="31"/>
  <c r="F62" i="30"/>
  <c r="F60" i="30"/>
  <c r="F58" i="30"/>
  <c r="F56" i="30"/>
  <c r="F54" i="30"/>
  <c r="F52" i="30"/>
  <c r="F50" i="30"/>
  <c r="F48" i="30"/>
  <c r="F46" i="30"/>
  <c r="F44" i="30"/>
  <c r="F42" i="30"/>
  <c r="F40" i="30"/>
  <c r="F38" i="30"/>
  <c r="E64" i="30"/>
  <c r="F36" i="30"/>
  <c r="E105" i="29"/>
  <c r="E95" i="29"/>
  <c r="C109" i="29" s="1"/>
  <c r="C118" i="29" s="1"/>
  <c r="F63" i="29"/>
  <c r="F61" i="29"/>
  <c r="F59" i="29"/>
  <c r="F57" i="29"/>
  <c r="F55" i="29"/>
  <c r="F53" i="29"/>
  <c r="F51" i="29"/>
  <c r="F49" i="29"/>
  <c r="F47" i="29"/>
  <c r="F45" i="29"/>
  <c r="F43" i="29"/>
  <c r="F41" i="29"/>
  <c r="F39" i="29"/>
  <c r="F37" i="29"/>
  <c r="F62" i="28"/>
  <c r="F60" i="28"/>
  <c r="F58" i="28"/>
  <c r="F56" i="28"/>
  <c r="F54" i="28"/>
  <c r="F52" i="28"/>
  <c r="F50" i="28"/>
  <c r="F48" i="28"/>
  <c r="F46" i="28"/>
  <c r="F44" i="28"/>
  <c r="F42" i="28"/>
  <c r="F40" i="28"/>
  <c r="F38" i="28"/>
  <c r="E64" i="28"/>
  <c r="F36" i="28"/>
  <c r="E105" i="27"/>
  <c r="E95" i="27"/>
  <c r="C109" i="27" s="1"/>
  <c r="C118" i="27" s="1"/>
  <c r="F63" i="27"/>
  <c r="F61" i="27"/>
  <c r="F59" i="27"/>
  <c r="F57" i="27"/>
  <c r="F55" i="27"/>
  <c r="F53" i="27"/>
  <c r="F51" i="27"/>
  <c r="F49" i="27"/>
  <c r="F47" i="27"/>
  <c r="F45" i="27"/>
  <c r="F43" i="27"/>
  <c r="F41" i="27"/>
  <c r="F39" i="27"/>
  <c r="F37" i="27"/>
  <c r="F62" i="26"/>
  <c r="F60" i="26"/>
  <c r="F58" i="26"/>
  <c r="F56" i="26"/>
  <c r="F54" i="26"/>
  <c r="F52" i="26"/>
  <c r="F50" i="26"/>
  <c r="F48" i="26"/>
  <c r="F46" i="26"/>
  <c r="F44" i="26"/>
  <c r="F42" i="26"/>
  <c r="F40" i="26"/>
  <c r="F38" i="26"/>
  <c r="E64" i="26"/>
  <c r="F36" i="26"/>
  <c r="F52" i="38"/>
  <c r="F36" i="38"/>
  <c r="F61" i="37"/>
  <c r="F57" i="37"/>
  <c r="F53" i="37"/>
  <c r="F49" i="37"/>
  <c r="F45" i="37"/>
  <c r="F41" i="37"/>
  <c r="F37" i="37"/>
  <c r="F61" i="35"/>
  <c r="F57" i="35"/>
  <c r="F53" i="35"/>
  <c r="F49" i="35"/>
  <c r="F45" i="35"/>
  <c r="F41" i="35"/>
  <c r="F37" i="35"/>
  <c r="F61" i="33"/>
  <c r="F57" i="33"/>
  <c r="F53" i="33"/>
  <c r="F49" i="33"/>
  <c r="F45" i="33"/>
  <c r="F41" i="33"/>
  <c r="F37" i="33"/>
  <c r="F37" i="25"/>
  <c r="F39" i="25"/>
  <c r="F41" i="25"/>
  <c r="F43" i="25"/>
  <c r="F45" i="25"/>
  <c r="F47" i="25"/>
  <c r="F49" i="25"/>
  <c r="F51" i="25"/>
  <c r="F53" i="25"/>
  <c r="F55" i="25"/>
  <c r="F57" i="25"/>
  <c r="F59" i="25"/>
  <c r="F61" i="25"/>
  <c r="F63" i="25"/>
  <c r="E95" i="25"/>
  <c r="C109" i="25" s="1"/>
  <c r="C118" i="25" s="1"/>
  <c r="E105" i="25"/>
  <c r="D31" i="24"/>
  <c r="D93" i="24"/>
  <c r="D29" i="24"/>
  <c r="D91" i="24"/>
  <c r="D27" i="24"/>
  <c r="D89" i="24"/>
  <c r="D25" i="24"/>
  <c r="D87" i="24"/>
  <c r="D23" i="24"/>
  <c r="D85" i="24"/>
  <c r="D21" i="24"/>
  <c r="D83" i="24"/>
  <c r="D19" i="24"/>
  <c r="D81" i="24"/>
  <c r="D17" i="24"/>
  <c r="D79" i="24"/>
  <c r="D15" i="24"/>
  <c r="D77" i="24"/>
  <c r="D13" i="24"/>
  <c r="D75" i="24"/>
  <c r="D11" i="24"/>
  <c r="D73" i="24"/>
  <c r="D9" i="24"/>
  <c r="D71" i="24"/>
  <c r="D7" i="24"/>
  <c r="D69" i="24"/>
  <c r="D5" i="24"/>
  <c r="D64" i="24"/>
  <c r="D67" i="24"/>
  <c r="F37" i="24"/>
  <c r="F39" i="24"/>
  <c r="F41" i="24"/>
  <c r="F43" i="24"/>
  <c r="F45" i="24"/>
  <c r="F47" i="24"/>
  <c r="F49" i="24"/>
  <c r="F51" i="24"/>
  <c r="F53" i="24"/>
  <c r="F55" i="24"/>
  <c r="F57" i="24"/>
  <c r="F59" i="24"/>
  <c r="F61" i="24"/>
  <c r="F63" i="24"/>
  <c r="E95" i="24"/>
  <c r="C109" i="24" s="1"/>
  <c r="C118" i="24" s="1"/>
  <c r="F67" i="24"/>
  <c r="F71" i="24"/>
  <c r="E105" i="24"/>
  <c r="D31" i="23"/>
  <c r="D93" i="23"/>
  <c r="D29" i="23"/>
  <c r="D91" i="23"/>
  <c r="D27" i="23"/>
  <c r="D89" i="23"/>
  <c r="D25" i="23"/>
  <c r="D87" i="23"/>
  <c r="D23" i="23"/>
  <c r="D85" i="23"/>
  <c r="D21" i="23"/>
  <c r="D83" i="23"/>
  <c r="D19" i="23"/>
  <c r="D81" i="23"/>
  <c r="D17" i="23"/>
  <c r="D79" i="23"/>
  <c r="D15" i="23"/>
  <c r="D77" i="23"/>
  <c r="D13" i="23"/>
  <c r="D75" i="23"/>
  <c r="D11" i="23"/>
  <c r="D73" i="23"/>
  <c r="D9" i="23"/>
  <c r="D71" i="23"/>
  <c r="D7" i="23"/>
  <c r="D69" i="23"/>
  <c r="D5" i="23"/>
  <c r="D64" i="23"/>
  <c r="D67" i="23"/>
  <c r="F37" i="23"/>
  <c r="F39" i="23"/>
  <c r="F41" i="23"/>
  <c r="F43" i="23"/>
  <c r="F45" i="23"/>
  <c r="F47" i="23"/>
  <c r="F49" i="23"/>
  <c r="F51" i="23"/>
  <c r="F53" i="23"/>
  <c r="F55" i="23"/>
  <c r="F57" i="23"/>
  <c r="F59" i="23"/>
  <c r="F61" i="23"/>
  <c r="F63" i="23"/>
  <c r="E95" i="23"/>
  <c r="C109" i="23" s="1"/>
  <c r="C118" i="23" s="1"/>
  <c r="F67" i="23"/>
  <c r="F71" i="23"/>
  <c r="E105" i="23"/>
  <c r="D31" i="22"/>
  <c r="D93" i="22"/>
  <c r="D29" i="22"/>
  <c r="D91" i="22"/>
  <c r="D27" i="22"/>
  <c r="D89" i="22"/>
  <c r="D25" i="22"/>
  <c r="D87" i="22"/>
  <c r="D23" i="22"/>
  <c r="D85" i="22"/>
  <c r="D21" i="22"/>
  <c r="D83" i="22"/>
  <c r="D19" i="22"/>
  <c r="D81" i="22"/>
  <c r="D17" i="22"/>
  <c r="D79" i="22"/>
  <c r="D15" i="22"/>
  <c r="D77" i="22"/>
  <c r="D13" i="22"/>
  <c r="D75" i="22"/>
  <c r="D11" i="22"/>
  <c r="D73" i="22"/>
  <c r="D9" i="22"/>
  <c r="D71" i="22"/>
  <c r="D7" i="22"/>
  <c r="D69" i="22"/>
  <c r="D5" i="22"/>
  <c r="D64" i="22"/>
  <c r="D67" i="22"/>
  <c r="F37" i="22"/>
  <c r="F39" i="22"/>
  <c r="F41" i="22"/>
  <c r="F43" i="22"/>
  <c r="F45" i="22"/>
  <c r="F47" i="22"/>
  <c r="F49" i="22"/>
  <c r="F51" i="22"/>
  <c r="F53" i="22"/>
  <c r="F55" i="22"/>
  <c r="F57" i="22"/>
  <c r="F59" i="22"/>
  <c r="F61" i="22"/>
  <c r="F63" i="22"/>
  <c r="E95" i="22"/>
  <c r="C109" i="22" s="1"/>
  <c r="F67" i="22"/>
  <c r="F71" i="22"/>
  <c r="E105" i="22"/>
  <c r="D31" i="21"/>
  <c r="D93" i="21"/>
  <c r="D29" i="21"/>
  <c r="D91" i="21"/>
  <c r="D27" i="21"/>
  <c r="D89" i="21"/>
  <c r="D25" i="21"/>
  <c r="D87" i="21"/>
  <c r="D23" i="21"/>
  <c r="D85" i="21"/>
  <c r="D21" i="21"/>
  <c r="D83" i="21"/>
  <c r="D19" i="21"/>
  <c r="D81" i="21"/>
  <c r="D17" i="21"/>
  <c r="D79" i="21"/>
  <c r="D15" i="21"/>
  <c r="D77" i="21"/>
  <c r="D13" i="21"/>
  <c r="D75" i="21"/>
  <c r="D11" i="21"/>
  <c r="D73" i="21"/>
  <c r="D9" i="21"/>
  <c r="D71" i="21"/>
  <c r="D7" i="21"/>
  <c r="D69" i="21"/>
  <c r="D5" i="21"/>
  <c r="D64" i="21"/>
  <c r="D67" i="21"/>
  <c r="F37" i="21"/>
  <c r="F39" i="21"/>
  <c r="F41" i="21"/>
  <c r="F43" i="21"/>
  <c r="F45" i="21"/>
  <c r="F47" i="21"/>
  <c r="F49" i="21"/>
  <c r="F51" i="21"/>
  <c r="F53" i="21"/>
  <c r="F55" i="21"/>
  <c r="F57" i="21"/>
  <c r="F59" i="21"/>
  <c r="F61" i="21"/>
  <c r="F63" i="21"/>
  <c r="E95" i="21"/>
  <c r="C109" i="21" s="1"/>
  <c r="C118" i="21" s="1"/>
  <c r="F67" i="21"/>
  <c r="F71" i="21"/>
  <c r="E105" i="21"/>
  <c r="D92" i="20"/>
  <c r="D30" i="20"/>
  <c r="D88" i="20"/>
  <c r="D26" i="20"/>
  <c r="D84" i="20"/>
  <c r="D22" i="20"/>
  <c r="D80" i="20"/>
  <c r="D18" i="20"/>
  <c r="D76" i="20"/>
  <c r="D14" i="20"/>
  <c r="D74" i="20"/>
  <c r="D12" i="20"/>
  <c r="D72" i="20"/>
  <c r="D10" i="20"/>
  <c r="D70" i="20"/>
  <c r="D8" i="20"/>
  <c r="D68" i="20"/>
  <c r="D6" i="20"/>
  <c r="D94" i="19"/>
  <c r="D32" i="19"/>
  <c r="D92" i="19"/>
  <c r="D30" i="19"/>
  <c r="D90" i="19"/>
  <c r="D28" i="19"/>
  <c r="D88" i="19"/>
  <c r="D26" i="19"/>
  <c r="D86" i="19"/>
  <c r="D24" i="19"/>
  <c r="D84" i="19"/>
  <c r="D22" i="19"/>
  <c r="D82" i="19"/>
  <c r="F82" i="19" s="1"/>
  <c r="D20" i="19"/>
  <c r="D80" i="19"/>
  <c r="D18" i="19"/>
  <c r="D78" i="19"/>
  <c r="D16" i="19"/>
  <c r="D76" i="19"/>
  <c r="D14" i="19"/>
  <c r="D74" i="19"/>
  <c r="D12" i="19"/>
  <c r="D72" i="19"/>
  <c r="D10" i="19"/>
  <c r="D70" i="19"/>
  <c r="D8" i="19"/>
  <c r="D68" i="19"/>
  <c r="D6" i="19"/>
  <c r="D94" i="18"/>
  <c r="D32" i="18"/>
  <c r="D92" i="18"/>
  <c r="D30" i="18"/>
  <c r="D90" i="18"/>
  <c r="D28" i="18"/>
  <c r="D88" i="18"/>
  <c r="D26" i="18"/>
  <c r="D86" i="18"/>
  <c r="D24" i="18"/>
  <c r="D84" i="18"/>
  <c r="D22" i="18"/>
  <c r="D82" i="18"/>
  <c r="D20" i="18"/>
  <c r="D80" i="18"/>
  <c r="D18" i="18"/>
  <c r="D78" i="18"/>
  <c r="D16" i="18"/>
  <c r="D76" i="18"/>
  <c r="D14" i="18"/>
  <c r="D74" i="18"/>
  <c r="D12" i="18"/>
  <c r="D72" i="18"/>
  <c r="D10" i="18"/>
  <c r="D70" i="18"/>
  <c r="D8" i="18"/>
  <c r="D68" i="18"/>
  <c r="D6" i="18"/>
  <c r="D94" i="17"/>
  <c r="D32" i="17"/>
  <c r="D92" i="17"/>
  <c r="D30" i="17"/>
  <c r="D90" i="17"/>
  <c r="D28" i="17"/>
  <c r="D88" i="17"/>
  <c r="D26" i="17"/>
  <c r="D86" i="17"/>
  <c r="D24" i="17"/>
  <c r="D84" i="17"/>
  <c r="D22" i="17"/>
  <c r="D82" i="17"/>
  <c r="D20" i="17"/>
  <c r="D80" i="17"/>
  <c r="D18" i="17"/>
  <c r="D78" i="17"/>
  <c r="D16" i="17"/>
  <c r="D76" i="17"/>
  <c r="D14" i="17"/>
  <c r="D74" i="17"/>
  <c r="D12" i="17"/>
  <c r="D72" i="17"/>
  <c r="D10" i="17"/>
  <c r="D70" i="17"/>
  <c r="D8" i="17"/>
  <c r="D68" i="17"/>
  <c r="D6" i="17"/>
  <c r="D94" i="16"/>
  <c r="D32" i="16"/>
  <c r="D92" i="16"/>
  <c r="D30" i="16"/>
  <c r="D90" i="16"/>
  <c r="D28" i="16"/>
  <c r="D88" i="16"/>
  <c r="D26" i="16"/>
  <c r="D86" i="16"/>
  <c r="D24" i="16"/>
  <c r="D84" i="16"/>
  <c r="D22" i="16"/>
  <c r="D82" i="16"/>
  <c r="D20" i="16"/>
  <c r="D80" i="16"/>
  <c r="D18" i="16"/>
  <c r="D78" i="16"/>
  <c r="D16" i="16"/>
  <c r="D76" i="16"/>
  <c r="D14" i="16"/>
  <c r="D74" i="16"/>
  <c r="D12" i="16"/>
  <c r="D72" i="16"/>
  <c r="D10" i="16"/>
  <c r="D70" i="16"/>
  <c r="D8" i="16"/>
  <c r="D68" i="16"/>
  <c r="D6" i="16"/>
  <c r="D94" i="15"/>
  <c r="D32" i="15"/>
  <c r="D92" i="15"/>
  <c r="D30" i="15"/>
  <c r="D90" i="15"/>
  <c r="D28" i="15"/>
  <c r="D88" i="15"/>
  <c r="D26" i="15"/>
  <c r="D86" i="15"/>
  <c r="D24" i="15"/>
  <c r="D84" i="15"/>
  <c r="D22" i="15"/>
  <c r="D82" i="15"/>
  <c r="D20" i="15"/>
  <c r="D80" i="15"/>
  <c r="D18" i="15"/>
  <c r="D78" i="15"/>
  <c r="D16" i="15"/>
  <c r="D76" i="15"/>
  <c r="D14" i="15"/>
  <c r="D74" i="15"/>
  <c r="D12" i="15"/>
  <c r="D72" i="15"/>
  <c r="D10" i="15"/>
  <c r="D70" i="15"/>
  <c r="D8" i="15"/>
  <c r="D68" i="15"/>
  <c r="D6" i="15"/>
  <c r="D94" i="14"/>
  <c r="D32" i="14"/>
  <c r="D92" i="14"/>
  <c r="D30" i="14"/>
  <c r="D90" i="14"/>
  <c r="D28" i="14"/>
  <c r="D88" i="14"/>
  <c r="D26" i="14"/>
  <c r="D86" i="14"/>
  <c r="D24" i="14"/>
  <c r="D84" i="14"/>
  <c r="D22" i="14"/>
  <c r="D82" i="14"/>
  <c r="D20" i="14"/>
  <c r="D80" i="14"/>
  <c r="D18" i="14"/>
  <c r="D78" i="14"/>
  <c r="D16" i="14"/>
  <c r="D76" i="14"/>
  <c r="D14" i="14"/>
  <c r="D74" i="14"/>
  <c r="D12" i="14"/>
  <c r="D72" i="14"/>
  <c r="D10" i="14"/>
  <c r="D70" i="14"/>
  <c r="D8" i="14"/>
  <c r="D68" i="14"/>
  <c r="D6" i="14"/>
  <c r="D94" i="13"/>
  <c r="D32" i="13"/>
  <c r="D92" i="13"/>
  <c r="D30" i="13"/>
  <c r="D90" i="13"/>
  <c r="D28" i="13"/>
  <c r="D88" i="13"/>
  <c r="D26" i="13"/>
  <c r="D86" i="13"/>
  <c r="D24" i="13"/>
  <c r="D84" i="13"/>
  <c r="D22" i="13"/>
  <c r="D82" i="13"/>
  <c r="D20" i="13"/>
  <c r="D80" i="13"/>
  <c r="D18" i="13"/>
  <c r="D78" i="13"/>
  <c r="D16" i="13"/>
  <c r="D76" i="13"/>
  <c r="D14" i="13"/>
  <c r="D74" i="13"/>
  <c r="D12" i="13"/>
  <c r="D72" i="13"/>
  <c r="D10" i="13"/>
  <c r="D70" i="13"/>
  <c r="D8" i="13"/>
  <c r="D68" i="13"/>
  <c r="D6" i="13"/>
  <c r="D94" i="12"/>
  <c r="D32" i="12"/>
  <c r="D92" i="12"/>
  <c r="D30" i="12"/>
  <c r="D90" i="12"/>
  <c r="D28" i="12"/>
  <c r="D88" i="12"/>
  <c r="D26" i="12"/>
  <c r="D86" i="12"/>
  <c r="D24" i="12"/>
  <c r="D84" i="12"/>
  <c r="D22" i="12"/>
  <c r="D82" i="12"/>
  <c r="D20" i="12"/>
  <c r="D80" i="12"/>
  <c r="D18" i="12"/>
  <c r="D78" i="12"/>
  <c r="D16" i="12"/>
  <c r="D76" i="12"/>
  <c r="D14" i="12"/>
  <c r="D74" i="12"/>
  <c r="D12" i="12"/>
  <c r="D72" i="12"/>
  <c r="D10" i="12"/>
  <c r="D70" i="12"/>
  <c r="D8" i="12"/>
  <c r="D68" i="12"/>
  <c r="D6" i="12"/>
  <c r="D94" i="11"/>
  <c r="D32" i="11"/>
  <c r="D92" i="11"/>
  <c r="D30" i="11"/>
  <c r="D90" i="11"/>
  <c r="D28" i="11"/>
  <c r="D88" i="11"/>
  <c r="D26" i="11"/>
  <c r="D86" i="11"/>
  <c r="D24" i="11"/>
  <c r="D84" i="11"/>
  <c r="D22" i="11"/>
  <c r="D82" i="11"/>
  <c r="D20" i="11"/>
  <c r="D80" i="11"/>
  <c r="D18" i="11"/>
  <c r="D78" i="11"/>
  <c r="D16" i="11"/>
  <c r="D76" i="11"/>
  <c r="D14" i="11"/>
  <c r="D74" i="11"/>
  <c r="D12" i="11"/>
  <c r="D72" i="11"/>
  <c r="D10" i="11"/>
  <c r="D70" i="11"/>
  <c r="D8" i="11"/>
  <c r="D68" i="11"/>
  <c r="D6" i="11"/>
  <c r="D94" i="10"/>
  <c r="D32" i="10"/>
  <c r="D92" i="10"/>
  <c r="D30" i="10"/>
  <c r="D90" i="10"/>
  <c r="D28" i="10"/>
  <c r="D88" i="10"/>
  <c r="D26" i="10"/>
  <c r="D86" i="10"/>
  <c r="D24" i="10"/>
  <c r="D84" i="10"/>
  <c r="D22" i="10"/>
  <c r="D82" i="10"/>
  <c r="D20" i="10"/>
  <c r="D80" i="10"/>
  <c r="D18" i="10"/>
  <c r="D78" i="10"/>
  <c r="D16" i="10"/>
  <c r="D76" i="10"/>
  <c r="D14" i="10"/>
  <c r="D74" i="10"/>
  <c r="D12" i="10"/>
  <c r="D72" i="10"/>
  <c r="D10" i="10"/>
  <c r="D70" i="10"/>
  <c r="D8" i="10"/>
  <c r="D68" i="10"/>
  <c r="D6" i="10"/>
  <c r="D94" i="9"/>
  <c r="D32" i="9"/>
  <c r="D92" i="9"/>
  <c r="D30" i="9"/>
  <c r="D90" i="9"/>
  <c r="D28" i="9"/>
  <c r="D88" i="9"/>
  <c r="D26" i="9"/>
  <c r="D86" i="9"/>
  <c r="D24" i="9"/>
  <c r="D84" i="9"/>
  <c r="D22" i="9"/>
  <c r="F50" i="9"/>
  <c r="F48" i="9"/>
  <c r="F46" i="9"/>
  <c r="F44" i="9"/>
  <c r="F42" i="9"/>
  <c r="F40" i="9"/>
  <c r="F38" i="9"/>
  <c r="E64" i="9"/>
  <c r="F36" i="9"/>
  <c r="E105" i="8"/>
  <c r="E95" i="8"/>
  <c r="C109" i="8" s="1"/>
  <c r="C118" i="8" s="1"/>
  <c r="F63" i="8"/>
  <c r="F61" i="8"/>
  <c r="F59" i="8"/>
  <c r="F57" i="8"/>
  <c r="F55" i="8"/>
  <c r="F53" i="8"/>
  <c r="F51" i="8"/>
  <c r="F49" i="8"/>
  <c r="F47" i="8"/>
  <c r="F45" i="8"/>
  <c r="F43" i="8"/>
  <c r="F41" i="8"/>
  <c r="F39" i="8"/>
  <c r="F37" i="8"/>
  <c r="F62" i="7"/>
  <c r="F60" i="7"/>
  <c r="F58" i="7"/>
  <c r="F56" i="7"/>
  <c r="F54" i="7"/>
  <c r="F52" i="7"/>
  <c r="F50" i="7"/>
  <c r="F48" i="7"/>
  <c r="F46" i="7"/>
  <c r="F44" i="7"/>
  <c r="F42" i="7"/>
  <c r="F40" i="7"/>
  <c r="F38" i="7"/>
  <c r="E64" i="7"/>
  <c r="F36" i="7"/>
  <c r="E105" i="6"/>
  <c r="E95" i="6"/>
  <c r="F63" i="6"/>
  <c r="F61" i="6"/>
  <c r="F59" i="6"/>
  <c r="F57" i="6"/>
  <c r="F55" i="6"/>
  <c r="F53" i="6"/>
  <c r="F51" i="6"/>
  <c r="F49" i="6"/>
  <c r="F47" i="6"/>
  <c r="F45" i="6"/>
  <c r="F43" i="6"/>
  <c r="F41" i="6"/>
  <c r="F39" i="6"/>
  <c r="F37" i="6"/>
  <c r="F62" i="5"/>
  <c r="F60" i="5"/>
  <c r="F58" i="5"/>
  <c r="F56" i="5"/>
  <c r="F54" i="5"/>
  <c r="F52" i="5"/>
  <c r="F50" i="5"/>
  <c r="F48" i="5"/>
  <c r="F46" i="5"/>
  <c r="F44" i="5"/>
  <c r="F42" i="5"/>
  <c r="F40" i="5"/>
  <c r="F38" i="5"/>
  <c r="E64" i="5"/>
  <c r="F36" i="5"/>
  <c r="E105" i="4"/>
  <c r="E95" i="4"/>
  <c r="C109" i="4" s="1"/>
  <c r="C118" i="4" s="1"/>
  <c r="F63" i="4"/>
  <c r="F61" i="4"/>
  <c r="F59" i="4"/>
  <c r="F57" i="4"/>
  <c r="F55" i="4"/>
  <c r="F53" i="4"/>
  <c r="F51" i="4"/>
  <c r="F49" i="4"/>
  <c r="F47" i="4"/>
  <c r="F45" i="4"/>
  <c r="F43" i="4"/>
  <c r="F41" i="4"/>
  <c r="F39" i="4"/>
  <c r="F37" i="4"/>
  <c r="F62" i="3"/>
  <c r="F60" i="3"/>
  <c r="F58" i="3"/>
  <c r="F56" i="3"/>
  <c r="F54" i="3"/>
  <c r="F52" i="3"/>
  <c r="F50" i="3"/>
  <c r="F48" i="3"/>
  <c r="F46" i="3"/>
  <c r="F44" i="3"/>
  <c r="F42" i="3"/>
  <c r="F40" i="3"/>
  <c r="F38" i="3"/>
  <c r="E64" i="3"/>
  <c r="F36" i="3"/>
  <c r="E105" i="59"/>
  <c r="E95" i="59"/>
  <c r="C109" i="59" s="1"/>
  <c r="C118" i="59" s="1"/>
  <c r="F63" i="59"/>
  <c r="F61" i="59"/>
  <c r="F59" i="59"/>
  <c r="F57" i="59"/>
  <c r="F55" i="59"/>
  <c r="F53" i="59"/>
  <c r="F51" i="59"/>
  <c r="F49" i="59"/>
  <c r="F47" i="59"/>
  <c r="F45" i="59"/>
  <c r="F43" i="59"/>
  <c r="F41" i="59"/>
  <c r="F39" i="59"/>
  <c r="F37" i="59"/>
  <c r="F62" i="1"/>
  <c r="F60" i="1"/>
  <c r="F58" i="1"/>
  <c r="F56" i="1"/>
  <c r="F54" i="1"/>
  <c r="F52" i="1"/>
  <c r="F50" i="1"/>
  <c r="F48" i="1"/>
  <c r="F46" i="1"/>
  <c r="F44" i="1"/>
  <c r="F42" i="1"/>
  <c r="F40" i="1"/>
  <c r="F38" i="1"/>
  <c r="E64" i="1"/>
  <c r="F36" i="1"/>
  <c r="E105" i="56"/>
  <c r="E95" i="56"/>
  <c r="C109" i="56" s="1"/>
  <c r="C118" i="56" s="1"/>
  <c r="F63" i="56"/>
  <c r="F61" i="56"/>
  <c r="F59" i="56"/>
  <c r="F57" i="56"/>
  <c r="F55" i="56"/>
  <c r="F53" i="56"/>
  <c r="F51" i="56"/>
  <c r="F49" i="56"/>
  <c r="F47" i="56"/>
  <c r="F45" i="56"/>
  <c r="F43" i="56"/>
  <c r="F41" i="56"/>
  <c r="F39" i="56"/>
  <c r="F37" i="56"/>
  <c r="D94" i="20"/>
  <c r="D32" i="20"/>
  <c r="D90" i="20"/>
  <c r="D28" i="20"/>
  <c r="D86" i="20"/>
  <c r="D24" i="20"/>
  <c r="D82" i="20"/>
  <c r="D20" i="20"/>
  <c r="D78" i="20"/>
  <c r="D16" i="20"/>
  <c r="E64" i="20"/>
  <c r="F36" i="20"/>
  <c r="F38" i="20"/>
  <c r="F40" i="20"/>
  <c r="F42" i="20"/>
  <c r="F44" i="20"/>
  <c r="F46" i="20"/>
  <c r="F48" i="20"/>
  <c r="F50" i="20"/>
  <c r="F52" i="20"/>
  <c r="F54" i="20"/>
  <c r="F56" i="20"/>
  <c r="F58" i="20"/>
  <c r="F60" i="20"/>
  <c r="F62" i="20"/>
  <c r="E64" i="19"/>
  <c r="F36" i="19"/>
  <c r="F38" i="19"/>
  <c r="F40" i="19"/>
  <c r="F42" i="19"/>
  <c r="F44" i="19"/>
  <c r="F46" i="19"/>
  <c r="F48" i="19"/>
  <c r="F50" i="19"/>
  <c r="F52" i="19"/>
  <c r="F54" i="19"/>
  <c r="F56" i="19"/>
  <c r="F58" i="19"/>
  <c r="F60" i="19"/>
  <c r="F62" i="19"/>
  <c r="E64" i="18"/>
  <c r="F36" i="18"/>
  <c r="F38" i="18"/>
  <c r="F40" i="18"/>
  <c r="F42" i="18"/>
  <c r="F44" i="18"/>
  <c r="F46" i="18"/>
  <c r="F48" i="18"/>
  <c r="F50" i="18"/>
  <c r="F52" i="18"/>
  <c r="F54" i="18"/>
  <c r="F56" i="18"/>
  <c r="F58" i="18"/>
  <c r="F60" i="18"/>
  <c r="F62" i="18"/>
  <c r="E64" i="17"/>
  <c r="F36" i="17"/>
  <c r="F38" i="17"/>
  <c r="F40" i="17"/>
  <c r="F42" i="17"/>
  <c r="F44" i="17"/>
  <c r="F46" i="17"/>
  <c r="F48" i="17"/>
  <c r="F50" i="17"/>
  <c r="F52" i="17"/>
  <c r="F54" i="17"/>
  <c r="F56" i="17"/>
  <c r="F58" i="17"/>
  <c r="F60" i="17"/>
  <c r="F62" i="17"/>
  <c r="E64" i="16"/>
  <c r="F36" i="16"/>
  <c r="F38" i="16"/>
  <c r="F40" i="16"/>
  <c r="F42" i="16"/>
  <c r="F44" i="16"/>
  <c r="F46" i="16"/>
  <c r="F48" i="16"/>
  <c r="F50" i="16"/>
  <c r="F52" i="16"/>
  <c r="F54" i="16"/>
  <c r="F56" i="16"/>
  <c r="F58" i="16"/>
  <c r="F60" i="16"/>
  <c r="F62" i="16"/>
  <c r="E64" i="15"/>
  <c r="F36" i="15"/>
  <c r="F38" i="15"/>
  <c r="F40" i="15"/>
  <c r="F42" i="15"/>
  <c r="F44" i="15"/>
  <c r="F46" i="15"/>
  <c r="F48" i="15"/>
  <c r="F50" i="15"/>
  <c r="F52" i="15"/>
  <c r="F54" i="15"/>
  <c r="F56" i="15"/>
  <c r="F58" i="15"/>
  <c r="F60" i="15"/>
  <c r="F62" i="15"/>
  <c r="F89" i="15"/>
  <c r="E64" i="14"/>
  <c r="F36" i="14"/>
  <c r="F38" i="14"/>
  <c r="F40" i="14"/>
  <c r="F42" i="14"/>
  <c r="F44" i="14"/>
  <c r="F46" i="14"/>
  <c r="F48" i="14"/>
  <c r="F50" i="14"/>
  <c r="F52" i="14"/>
  <c r="F54" i="14"/>
  <c r="F56" i="14"/>
  <c r="F58" i="14"/>
  <c r="F60" i="14"/>
  <c r="F62" i="14"/>
  <c r="E64" i="13"/>
  <c r="F36" i="13"/>
  <c r="F38" i="13"/>
  <c r="F40" i="13"/>
  <c r="F42" i="13"/>
  <c r="F44" i="13"/>
  <c r="F46" i="13"/>
  <c r="F48" i="13"/>
  <c r="F50" i="13"/>
  <c r="F52" i="13"/>
  <c r="F54" i="13"/>
  <c r="F56" i="13"/>
  <c r="F58" i="13"/>
  <c r="F60" i="13"/>
  <c r="F62" i="13"/>
  <c r="E64" i="12"/>
  <c r="F36" i="12"/>
  <c r="F38" i="12"/>
  <c r="F40" i="12"/>
  <c r="F42" i="12"/>
  <c r="F44" i="12"/>
  <c r="F46" i="12"/>
  <c r="F48" i="12"/>
  <c r="F50" i="12"/>
  <c r="F52" i="12"/>
  <c r="F54" i="12"/>
  <c r="F56" i="12"/>
  <c r="F58" i="12"/>
  <c r="F60" i="12"/>
  <c r="F62" i="12"/>
  <c r="E64" i="11"/>
  <c r="F36" i="11"/>
  <c r="F38" i="11"/>
  <c r="F40" i="11"/>
  <c r="F42" i="11"/>
  <c r="F44" i="11"/>
  <c r="F46" i="11"/>
  <c r="F48" i="11"/>
  <c r="F50" i="11"/>
  <c r="F52" i="11"/>
  <c r="F54" i="11"/>
  <c r="F56" i="11"/>
  <c r="F58" i="11"/>
  <c r="F60" i="11"/>
  <c r="F62" i="11"/>
  <c r="E64" i="10"/>
  <c r="F36" i="10"/>
  <c r="F38" i="10"/>
  <c r="F40" i="10"/>
  <c r="F42" i="10"/>
  <c r="F44" i="10"/>
  <c r="F46" i="10"/>
  <c r="F48" i="10"/>
  <c r="F50" i="10"/>
  <c r="F52" i="10"/>
  <c r="F54" i="10"/>
  <c r="F56" i="10"/>
  <c r="F58" i="10"/>
  <c r="F60" i="10"/>
  <c r="F62" i="10"/>
  <c r="F52" i="9"/>
  <c r="F54" i="9"/>
  <c r="F56" i="9"/>
  <c r="F58" i="9"/>
  <c r="F60" i="9"/>
  <c r="F62" i="9"/>
  <c r="F94" i="5"/>
  <c r="D28" i="60"/>
  <c r="D16" i="60"/>
  <c r="D83" i="60"/>
  <c r="D17" i="60"/>
  <c r="D5" i="60"/>
  <c r="D92" i="60"/>
  <c r="D6" i="60"/>
  <c r="D27" i="60"/>
  <c r="F64" i="57"/>
  <c r="F109" i="57"/>
  <c r="F114" i="60" l="1"/>
  <c r="F80" i="47"/>
  <c r="F92" i="60"/>
  <c r="F72" i="44"/>
  <c r="F64" i="33"/>
  <c r="F74" i="33"/>
  <c r="F70" i="42"/>
  <c r="F88" i="44"/>
  <c r="F85" i="44"/>
  <c r="F71" i="44"/>
  <c r="C118" i="33"/>
  <c r="C118" i="32"/>
  <c r="D77" i="60"/>
  <c r="F77" i="60" s="1"/>
  <c r="F84" i="53"/>
  <c r="F80" i="60"/>
  <c r="C118" i="22"/>
  <c r="C119" i="22" s="1"/>
  <c r="C109" i="6"/>
  <c r="C118" i="6" s="1"/>
  <c r="F53" i="60"/>
  <c r="D7" i="60"/>
  <c r="D23" i="60"/>
  <c r="F111" i="60"/>
  <c r="F115" i="60"/>
  <c r="F47" i="60"/>
  <c r="F61" i="60"/>
  <c r="D73" i="60"/>
  <c r="F73" i="60" s="1"/>
  <c r="F45" i="60"/>
  <c r="F94" i="1"/>
  <c r="F70" i="5"/>
  <c r="F86" i="5"/>
  <c r="F78" i="7"/>
  <c r="F77" i="13"/>
  <c r="F73" i="15"/>
  <c r="F69" i="17"/>
  <c r="F69" i="20"/>
  <c r="F91" i="59"/>
  <c r="F75" i="4"/>
  <c r="F91" i="6"/>
  <c r="F75" i="8"/>
  <c r="F83" i="25"/>
  <c r="F70" i="28"/>
  <c r="F90" i="33"/>
  <c r="F74" i="40"/>
  <c r="F90" i="40"/>
  <c r="F78" i="42"/>
  <c r="F94" i="42"/>
  <c r="F80" i="44"/>
  <c r="F69" i="44"/>
  <c r="F87" i="44"/>
  <c r="F79" i="53"/>
  <c r="F68" i="53"/>
  <c r="F83" i="4"/>
  <c r="F83" i="6"/>
  <c r="F74" i="7"/>
  <c r="F90" i="7"/>
  <c r="F73" i="9"/>
  <c r="F69" i="15"/>
  <c r="F93" i="15"/>
  <c r="F71" i="25"/>
  <c r="F79" i="25"/>
  <c r="F87" i="25"/>
  <c r="F78" i="26"/>
  <c r="F94" i="26"/>
  <c r="F75" i="27"/>
  <c r="F91" i="27"/>
  <c r="F78" i="28"/>
  <c r="F94" i="28"/>
  <c r="F79" i="29"/>
  <c r="F78" i="30"/>
  <c r="F94" i="30"/>
  <c r="F70" i="33"/>
  <c r="F78" i="33"/>
  <c r="F86" i="33"/>
  <c r="F94" i="33"/>
  <c r="F70" i="40"/>
  <c r="F78" i="40"/>
  <c r="F86" i="40"/>
  <c r="F94" i="40"/>
  <c r="F74" i="42"/>
  <c r="F82" i="42"/>
  <c r="F90" i="42"/>
  <c r="F68" i="44"/>
  <c r="F76" i="44"/>
  <c r="F77" i="44"/>
  <c r="F79" i="44"/>
  <c r="F84" i="44"/>
  <c r="F92" i="44"/>
  <c r="F83" i="59"/>
  <c r="F82" i="7"/>
  <c r="F83" i="8"/>
  <c r="F89" i="9"/>
  <c r="F73" i="11"/>
  <c r="F89" i="11"/>
  <c r="F73" i="13"/>
  <c r="F81" i="13"/>
  <c r="F89" i="13"/>
  <c r="F77" i="15"/>
  <c r="F85" i="15"/>
  <c r="F73" i="17"/>
  <c r="F81" i="17"/>
  <c r="F89" i="17"/>
  <c r="F73" i="20"/>
  <c r="F70" i="1"/>
  <c r="F86" i="1"/>
  <c r="F74" i="3"/>
  <c r="F90" i="3"/>
  <c r="F74" i="5"/>
  <c r="F82" i="5"/>
  <c r="F90" i="5"/>
  <c r="F70" i="7"/>
  <c r="F86" i="7"/>
  <c r="F81" i="9"/>
  <c r="F81" i="11"/>
  <c r="F85" i="13"/>
  <c r="F69" i="13"/>
  <c r="F81" i="15"/>
  <c r="F93" i="17"/>
  <c r="F77" i="17"/>
  <c r="F75" i="59"/>
  <c r="F91" i="4"/>
  <c r="F75" i="6"/>
  <c r="F91" i="8"/>
  <c r="F91" i="25"/>
  <c r="F75" i="25"/>
  <c r="F86" i="26"/>
  <c r="F86" i="28"/>
  <c r="F86" i="30"/>
  <c r="F83" i="27"/>
  <c r="F87" i="29"/>
  <c r="F82" i="33"/>
  <c r="F75" i="53"/>
  <c r="F67" i="53"/>
  <c r="F80" i="53"/>
  <c r="F72" i="53"/>
  <c r="F77" i="10"/>
  <c r="F89" i="12"/>
  <c r="F73" i="14"/>
  <c r="F89" i="16"/>
  <c r="F77" i="18"/>
  <c r="F89" i="20"/>
  <c r="F94" i="27"/>
  <c r="F110" i="60"/>
  <c r="F38" i="60"/>
  <c r="F79" i="60"/>
  <c r="F113" i="60"/>
  <c r="D19" i="60"/>
  <c r="D76" i="60"/>
  <c r="F76" i="60" s="1"/>
  <c r="D84" i="60"/>
  <c r="F84" i="60" s="1"/>
  <c r="F83" i="60"/>
  <c r="D91" i="60"/>
  <c r="F91" i="60" s="1"/>
  <c r="F74" i="1"/>
  <c r="F82" i="1"/>
  <c r="F90" i="1"/>
  <c r="F70" i="3"/>
  <c r="F78" i="3"/>
  <c r="F86" i="3"/>
  <c r="F94" i="3"/>
  <c r="F67" i="59"/>
  <c r="F71" i="59"/>
  <c r="F79" i="59"/>
  <c r="F87" i="59"/>
  <c r="F67" i="4"/>
  <c r="F71" i="4"/>
  <c r="F79" i="4"/>
  <c r="F87" i="4"/>
  <c r="F67" i="6"/>
  <c r="F71" i="6"/>
  <c r="F79" i="6"/>
  <c r="F87" i="6"/>
  <c r="F67" i="8"/>
  <c r="F71" i="8"/>
  <c r="F79" i="8"/>
  <c r="F87" i="8"/>
  <c r="F36" i="60"/>
  <c r="E116" i="60"/>
  <c r="E118" i="60" s="1"/>
  <c r="C109" i="52"/>
  <c r="C118" i="52" s="1"/>
  <c r="D31" i="60"/>
  <c r="F112" i="60"/>
  <c r="F71" i="60"/>
  <c r="F37" i="60"/>
  <c r="C109" i="11"/>
  <c r="C118" i="11" s="1"/>
  <c r="F69" i="60"/>
  <c r="D9" i="60"/>
  <c r="F68" i="60"/>
  <c r="F93" i="1"/>
  <c r="F74" i="60"/>
  <c r="F120" i="60"/>
  <c r="F121" i="60" s="1"/>
  <c r="F121" i="33"/>
  <c r="F121" i="37"/>
  <c r="F121" i="40"/>
  <c r="F121" i="42"/>
  <c r="F121" i="44"/>
  <c r="F121" i="46"/>
  <c r="F121" i="48"/>
  <c r="F121" i="50"/>
  <c r="F121" i="52"/>
  <c r="F121" i="54"/>
  <c r="F121" i="45"/>
  <c r="F121" i="32"/>
  <c r="F121" i="34"/>
  <c r="F121" i="36"/>
  <c r="F73" i="26"/>
  <c r="F78" i="39"/>
  <c r="F78" i="41"/>
  <c r="F70" i="31"/>
  <c r="F77" i="28"/>
  <c r="F85" i="30"/>
  <c r="F91" i="42"/>
  <c r="F85" i="47"/>
  <c r="F73" i="47"/>
  <c r="F68" i="48"/>
  <c r="F85" i="54"/>
  <c r="F94" i="60"/>
  <c r="F49" i="60"/>
  <c r="F94" i="56"/>
  <c r="F70" i="59"/>
  <c r="F94" i="4"/>
  <c r="F70" i="6"/>
  <c r="F94" i="8"/>
  <c r="F74" i="9"/>
  <c r="F73" i="7"/>
  <c r="F78" i="27"/>
  <c r="F82" i="29"/>
  <c r="F86" i="31"/>
  <c r="F89" i="26"/>
  <c r="F93" i="28"/>
  <c r="F69" i="30"/>
  <c r="F78" i="35"/>
  <c r="F94" i="41"/>
  <c r="F70" i="43"/>
  <c r="F87" i="40"/>
  <c r="F94" i="54"/>
  <c r="F81" i="60"/>
  <c r="F85" i="60"/>
  <c r="F89" i="60"/>
  <c r="D18" i="60"/>
  <c r="D13" i="60"/>
  <c r="D87" i="60"/>
  <c r="F87" i="60" s="1"/>
  <c r="F78" i="60"/>
  <c r="F78" i="56"/>
  <c r="F86" i="59"/>
  <c r="F78" i="4"/>
  <c r="F86" i="6"/>
  <c r="F78" i="8"/>
  <c r="F93" i="10"/>
  <c r="F73" i="12"/>
  <c r="F89" i="14"/>
  <c r="F73" i="16"/>
  <c r="F93" i="18"/>
  <c r="F69" i="5"/>
  <c r="F76" i="9"/>
  <c r="F70" i="27"/>
  <c r="F86" i="27"/>
  <c r="F74" i="29"/>
  <c r="F90" i="29"/>
  <c r="F78" i="31"/>
  <c r="F94" i="31"/>
  <c r="F81" i="26"/>
  <c r="F69" i="28"/>
  <c r="F85" i="28"/>
  <c r="F77" i="30"/>
  <c r="F93" i="30"/>
  <c r="F94" i="35"/>
  <c r="F94" i="39"/>
  <c r="F70" i="41"/>
  <c r="F86" i="41"/>
  <c r="F78" i="43"/>
  <c r="F94" i="43"/>
  <c r="F67" i="40"/>
  <c r="F71" i="40"/>
  <c r="F83" i="42"/>
  <c r="F74" i="45"/>
  <c r="F90" i="45"/>
  <c r="F88" i="47"/>
  <c r="F74" i="47"/>
  <c r="F87" i="47"/>
  <c r="F76" i="48"/>
  <c r="F73" i="48"/>
  <c r="F93" i="54"/>
  <c r="F77" i="54"/>
  <c r="F86" i="54"/>
  <c r="F48" i="60"/>
  <c r="F85" i="1"/>
  <c r="F73" i="3"/>
  <c r="F93" i="5"/>
  <c r="F81" i="7"/>
  <c r="F69" i="12"/>
  <c r="F77" i="12"/>
  <c r="F85" i="12"/>
  <c r="F69" i="14"/>
  <c r="F77" i="14"/>
  <c r="F85" i="14"/>
  <c r="F93" i="14"/>
  <c r="F69" i="16"/>
  <c r="F77" i="16"/>
  <c r="F85" i="16"/>
  <c r="F93" i="16"/>
  <c r="F73" i="18"/>
  <c r="F81" i="18"/>
  <c r="F89" i="18"/>
  <c r="F93" i="20"/>
  <c r="F85" i="20"/>
  <c r="F77" i="20"/>
  <c r="F69" i="26"/>
  <c r="F77" i="26"/>
  <c r="F85" i="26"/>
  <c r="F93" i="26"/>
  <c r="F74" i="27"/>
  <c r="F82" i="27"/>
  <c r="F90" i="27"/>
  <c r="F73" i="28"/>
  <c r="F81" i="28"/>
  <c r="F89" i="28"/>
  <c r="F70" i="29"/>
  <c r="F78" i="29"/>
  <c r="F86" i="29"/>
  <c r="F94" i="29"/>
  <c r="F73" i="30"/>
  <c r="F82" i="17"/>
  <c r="F69" i="1"/>
  <c r="F89" i="3"/>
  <c r="F77" i="5"/>
  <c r="F68" i="9"/>
  <c r="F70" i="56"/>
  <c r="F86" i="56"/>
  <c r="F78" i="59"/>
  <c r="F94" i="59"/>
  <c r="F70" i="4"/>
  <c r="F86" i="4"/>
  <c r="F78" i="6"/>
  <c r="F94" i="6"/>
  <c r="F70" i="8"/>
  <c r="F86" i="8"/>
  <c r="F82" i="9"/>
  <c r="F85" i="10"/>
  <c r="F69" i="10"/>
  <c r="F93" i="12"/>
  <c r="F81" i="12"/>
  <c r="F81" i="14"/>
  <c r="F81" i="16"/>
  <c r="F85" i="18"/>
  <c r="F69" i="18"/>
  <c r="F81" i="20"/>
  <c r="F77" i="1"/>
  <c r="F81" i="3"/>
  <c r="F85" i="5"/>
  <c r="F89" i="7"/>
  <c r="F73" i="55"/>
  <c r="F74" i="31"/>
  <c r="F82" i="31"/>
  <c r="F90" i="31"/>
  <c r="F81" i="30"/>
  <c r="F89" i="30"/>
  <c r="F70" i="35"/>
  <c r="F86" i="35"/>
  <c r="F70" i="39"/>
  <c r="F86" i="39"/>
  <c r="F74" i="41"/>
  <c r="F82" i="41"/>
  <c r="F90" i="41"/>
  <c r="F74" i="43"/>
  <c r="F82" i="43"/>
  <c r="F90" i="43"/>
  <c r="F79" i="40"/>
  <c r="F75" i="42"/>
  <c r="F87" i="42"/>
  <c r="F70" i="45"/>
  <c r="F78" i="45"/>
  <c r="F86" i="45"/>
  <c r="F94" i="45"/>
  <c r="F92" i="47"/>
  <c r="F84" i="47"/>
  <c r="F70" i="47"/>
  <c r="F77" i="47"/>
  <c r="F93" i="47"/>
  <c r="F69" i="47"/>
  <c r="F79" i="47"/>
  <c r="F72" i="48"/>
  <c r="F67" i="48"/>
  <c r="F89" i="54"/>
  <c r="F81" i="54"/>
  <c r="F73" i="54"/>
  <c r="F90" i="54"/>
  <c r="F82" i="54"/>
  <c r="F74" i="54"/>
  <c r="F93" i="55"/>
  <c r="F94" i="55"/>
  <c r="F41" i="60"/>
  <c r="F82" i="16"/>
  <c r="F82" i="18"/>
  <c r="F88" i="60"/>
  <c r="F82" i="60"/>
  <c r="F116" i="6"/>
  <c r="D70" i="60"/>
  <c r="F70" i="60" s="1"/>
  <c r="F39" i="60"/>
  <c r="F55" i="60"/>
  <c r="D86" i="60"/>
  <c r="F86" i="60" s="1"/>
  <c r="F93" i="60"/>
  <c r="F63" i="60"/>
  <c r="D12" i="60"/>
  <c r="D32" i="60"/>
  <c r="F118" i="57"/>
  <c r="F122" i="57" s="1"/>
  <c r="F69" i="25"/>
  <c r="E95" i="60"/>
  <c r="E64" i="63" s="1"/>
  <c r="E118" i="9"/>
  <c r="F74" i="56"/>
  <c r="F82" i="56"/>
  <c r="F90" i="56"/>
  <c r="F74" i="59"/>
  <c r="F82" i="59"/>
  <c r="F90" i="59"/>
  <c r="F74" i="4"/>
  <c r="F82" i="4"/>
  <c r="F90" i="4"/>
  <c r="F74" i="6"/>
  <c r="F82" i="6"/>
  <c r="F90" i="6"/>
  <c r="F74" i="8"/>
  <c r="F82" i="8"/>
  <c r="F90" i="8"/>
  <c r="F93" i="9"/>
  <c r="F85" i="9"/>
  <c r="F77" i="9"/>
  <c r="F69" i="9"/>
  <c r="F89" i="10"/>
  <c r="F81" i="10"/>
  <c r="F73" i="10"/>
  <c r="F93" i="11"/>
  <c r="F85" i="11"/>
  <c r="F77" i="11"/>
  <c r="F69" i="11"/>
  <c r="F73" i="1"/>
  <c r="F81" i="1"/>
  <c r="F89" i="1"/>
  <c r="F69" i="3"/>
  <c r="F77" i="3"/>
  <c r="F85" i="3"/>
  <c r="F93" i="3"/>
  <c r="F73" i="5"/>
  <c r="F81" i="5"/>
  <c r="F89" i="5"/>
  <c r="F69" i="7"/>
  <c r="F77" i="7"/>
  <c r="F85" i="7"/>
  <c r="F93" i="7"/>
  <c r="F74" i="26"/>
  <c r="F82" i="26"/>
  <c r="F90" i="26"/>
  <c r="F74" i="28"/>
  <c r="F82" i="28"/>
  <c r="F90" i="28"/>
  <c r="F74" i="30"/>
  <c r="F82" i="30"/>
  <c r="F90" i="30"/>
  <c r="F67" i="27"/>
  <c r="F71" i="27"/>
  <c r="F79" i="27"/>
  <c r="F87" i="27"/>
  <c r="F75" i="29"/>
  <c r="F83" i="29"/>
  <c r="F91" i="29"/>
  <c r="F67" i="31"/>
  <c r="F71" i="31"/>
  <c r="F79" i="31"/>
  <c r="F87" i="31"/>
  <c r="F64" i="35"/>
  <c r="F74" i="35"/>
  <c r="F82" i="35"/>
  <c r="F90" i="35"/>
  <c r="F74" i="39"/>
  <c r="F82" i="39"/>
  <c r="F90" i="39"/>
  <c r="F75" i="40"/>
  <c r="F83" i="40"/>
  <c r="F91" i="40"/>
  <c r="F67" i="42"/>
  <c r="F71" i="42"/>
  <c r="F79" i="42"/>
  <c r="D95" i="57"/>
  <c r="F99" i="57" s="1"/>
  <c r="F56" i="60"/>
  <c r="F58" i="60"/>
  <c r="F69" i="53"/>
  <c r="F46" i="60"/>
  <c r="F62" i="60"/>
  <c r="D26" i="60"/>
  <c r="F57" i="60"/>
  <c r="D20" i="60"/>
  <c r="F75" i="60"/>
  <c r="F40" i="60"/>
  <c r="F42" i="60"/>
  <c r="F50" i="60"/>
  <c r="F52" i="60"/>
  <c r="F54" i="60"/>
  <c r="F60" i="60"/>
  <c r="F64" i="19"/>
  <c r="F64" i="20"/>
  <c r="F78" i="20"/>
  <c r="F82" i="20"/>
  <c r="F86" i="20"/>
  <c r="F90" i="20"/>
  <c r="F94" i="20"/>
  <c r="F64" i="3"/>
  <c r="F64" i="7"/>
  <c r="F69" i="21"/>
  <c r="F73" i="21"/>
  <c r="F75" i="21"/>
  <c r="F77" i="21"/>
  <c r="F79" i="21"/>
  <c r="F81" i="21"/>
  <c r="F83" i="21"/>
  <c r="F85" i="21"/>
  <c r="F87" i="21"/>
  <c r="F89" i="21"/>
  <c r="F91" i="21"/>
  <c r="F93" i="21"/>
  <c r="F69" i="22"/>
  <c r="F73" i="22"/>
  <c r="F75" i="22"/>
  <c r="F77" i="22"/>
  <c r="F79" i="22"/>
  <c r="F81" i="22"/>
  <c r="F83" i="22"/>
  <c r="F85" i="22"/>
  <c r="F87" i="22"/>
  <c r="F89" i="22"/>
  <c r="F91" i="22"/>
  <c r="F93" i="22"/>
  <c r="F69" i="23"/>
  <c r="F73" i="23"/>
  <c r="F75" i="23"/>
  <c r="F77" i="23"/>
  <c r="F79" i="23"/>
  <c r="F81" i="23"/>
  <c r="F83" i="23"/>
  <c r="F85" i="23"/>
  <c r="F87" i="23"/>
  <c r="F89" i="23"/>
  <c r="F91" i="23"/>
  <c r="F93" i="23"/>
  <c r="F69" i="24"/>
  <c r="F73" i="24"/>
  <c r="F75" i="24"/>
  <c r="F77" i="24"/>
  <c r="F79" i="24"/>
  <c r="F81" i="24"/>
  <c r="F83" i="24"/>
  <c r="F85" i="24"/>
  <c r="F87" i="24"/>
  <c r="F89" i="24"/>
  <c r="F91" i="24"/>
  <c r="F93" i="24"/>
  <c r="F64" i="28"/>
  <c r="F69" i="32"/>
  <c r="F71" i="32"/>
  <c r="F73" i="32"/>
  <c r="F75" i="32"/>
  <c r="F77" i="32"/>
  <c r="F79" i="32"/>
  <c r="F81" i="32"/>
  <c r="F83" i="32"/>
  <c r="F85" i="32"/>
  <c r="F87" i="32"/>
  <c r="F89" i="32"/>
  <c r="F91" i="32"/>
  <c r="F93" i="32"/>
  <c r="F69" i="34"/>
  <c r="F71" i="34"/>
  <c r="F73" i="34"/>
  <c r="F75" i="34"/>
  <c r="F77" i="34"/>
  <c r="F79" i="34"/>
  <c r="F81" i="34"/>
  <c r="F83" i="34"/>
  <c r="F85" i="34"/>
  <c r="F87" i="34"/>
  <c r="F89" i="34"/>
  <c r="F91" i="34"/>
  <c r="F93" i="34"/>
  <c r="F69" i="36"/>
  <c r="F71" i="36"/>
  <c r="F73" i="36"/>
  <c r="F75" i="36"/>
  <c r="F77" i="36"/>
  <c r="F79" i="36"/>
  <c r="F81" i="36"/>
  <c r="F83" i="36"/>
  <c r="F85" i="36"/>
  <c r="F87" i="36"/>
  <c r="F89" i="36"/>
  <c r="F91" i="36"/>
  <c r="F93" i="36"/>
  <c r="F94" i="44"/>
  <c r="F93" i="44"/>
  <c r="F64" i="39"/>
  <c r="F64" i="43"/>
  <c r="F64" i="47"/>
  <c r="F64" i="46"/>
  <c r="F68" i="46"/>
  <c r="F70" i="46"/>
  <c r="F72" i="46"/>
  <c r="F74" i="46"/>
  <c r="F76" i="46"/>
  <c r="F78" i="46"/>
  <c r="F80" i="46"/>
  <c r="F82" i="46"/>
  <c r="F84" i="46"/>
  <c r="F86" i="46"/>
  <c r="F88" i="46"/>
  <c r="F90" i="46"/>
  <c r="F92" i="46"/>
  <c r="F94" i="46"/>
  <c r="F64" i="49"/>
  <c r="F68" i="49"/>
  <c r="F70" i="49"/>
  <c r="F72" i="49"/>
  <c r="F74" i="49"/>
  <c r="F76" i="49"/>
  <c r="F78" i="49"/>
  <c r="F80" i="49"/>
  <c r="F82" i="49"/>
  <c r="F84" i="49"/>
  <c r="F86" i="49"/>
  <c r="F88" i="49"/>
  <c r="F90" i="49"/>
  <c r="F92" i="49"/>
  <c r="F94" i="49"/>
  <c r="F64" i="51"/>
  <c r="F68" i="51"/>
  <c r="F70" i="51"/>
  <c r="F72" i="51"/>
  <c r="F74" i="51"/>
  <c r="F76" i="51"/>
  <c r="F68" i="52"/>
  <c r="F70" i="52"/>
  <c r="F72" i="52"/>
  <c r="F74" i="52"/>
  <c r="F76" i="52"/>
  <c r="F78" i="52"/>
  <c r="F80" i="52"/>
  <c r="F82" i="52"/>
  <c r="F84" i="52"/>
  <c r="F86" i="52"/>
  <c r="F88" i="52"/>
  <c r="F90" i="52"/>
  <c r="F92" i="52"/>
  <c r="F94" i="52"/>
  <c r="F64" i="54"/>
  <c r="F69" i="56"/>
  <c r="F73" i="56"/>
  <c r="F77" i="56"/>
  <c r="F81" i="56"/>
  <c r="F85" i="56"/>
  <c r="F89" i="56"/>
  <c r="F93" i="56"/>
  <c r="F68" i="1"/>
  <c r="F72" i="1"/>
  <c r="F76" i="1"/>
  <c r="F80" i="1"/>
  <c r="F84" i="1"/>
  <c r="F88" i="1"/>
  <c r="F92" i="1"/>
  <c r="F69" i="59"/>
  <c r="F73" i="59"/>
  <c r="F77" i="59"/>
  <c r="F81" i="59"/>
  <c r="F85" i="59"/>
  <c r="F89" i="59"/>
  <c r="F93" i="59"/>
  <c r="F68" i="3"/>
  <c r="F72" i="3"/>
  <c r="F76" i="3"/>
  <c r="F80" i="3"/>
  <c r="F84" i="3"/>
  <c r="F88" i="3"/>
  <c r="F92" i="3"/>
  <c r="F69" i="4"/>
  <c r="F73" i="4"/>
  <c r="F77" i="4"/>
  <c r="F81" i="4"/>
  <c r="F85" i="4"/>
  <c r="F89" i="4"/>
  <c r="F93" i="4"/>
  <c r="F68" i="5"/>
  <c r="F72" i="5"/>
  <c r="F76" i="5"/>
  <c r="F80" i="5"/>
  <c r="F84" i="5"/>
  <c r="F88" i="5"/>
  <c r="F92" i="5"/>
  <c r="F69" i="6"/>
  <c r="F73" i="6"/>
  <c r="F77" i="6"/>
  <c r="F81" i="6"/>
  <c r="F85" i="6"/>
  <c r="F89" i="6"/>
  <c r="F93" i="6"/>
  <c r="F68" i="7"/>
  <c r="F72" i="7"/>
  <c r="F76" i="7"/>
  <c r="F80" i="7"/>
  <c r="F84" i="7"/>
  <c r="F88" i="7"/>
  <c r="F92" i="7"/>
  <c r="F69" i="8"/>
  <c r="F73" i="8"/>
  <c r="F77" i="8"/>
  <c r="F81" i="8"/>
  <c r="F85" i="8"/>
  <c r="F89" i="8"/>
  <c r="F93" i="8"/>
  <c r="F70" i="9"/>
  <c r="F71" i="9"/>
  <c r="F72" i="9"/>
  <c r="F75" i="9"/>
  <c r="F78" i="9"/>
  <c r="F79" i="9"/>
  <c r="F80" i="9"/>
  <c r="F83" i="9"/>
  <c r="F87" i="9"/>
  <c r="F91" i="9"/>
  <c r="F67" i="12"/>
  <c r="F71" i="12"/>
  <c r="F75" i="12"/>
  <c r="F79" i="12"/>
  <c r="F83" i="12"/>
  <c r="F87" i="12"/>
  <c r="F91" i="12"/>
  <c r="F67" i="13"/>
  <c r="F71" i="13"/>
  <c r="F75" i="13"/>
  <c r="F79" i="13"/>
  <c r="F83" i="13"/>
  <c r="F87" i="13"/>
  <c r="F91" i="13"/>
  <c r="F67" i="14"/>
  <c r="F71" i="14"/>
  <c r="F75" i="14"/>
  <c r="F79" i="14"/>
  <c r="F83" i="14"/>
  <c r="F87" i="14"/>
  <c r="F91" i="14"/>
  <c r="F67" i="16"/>
  <c r="F71" i="16"/>
  <c r="F75" i="16"/>
  <c r="F79" i="16"/>
  <c r="F83" i="16"/>
  <c r="F87" i="16"/>
  <c r="F91" i="16"/>
  <c r="F67" i="17"/>
  <c r="F71" i="17"/>
  <c r="F75" i="17"/>
  <c r="F79" i="17"/>
  <c r="F83" i="17"/>
  <c r="F87" i="17"/>
  <c r="F91" i="17"/>
  <c r="F67" i="18"/>
  <c r="F71" i="18"/>
  <c r="F75" i="18"/>
  <c r="F79" i="18"/>
  <c r="F83" i="18"/>
  <c r="F87" i="18"/>
  <c r="F91" i="18"/>
  <c r="F67" i="19"/>
  <c r="F71" i="19"/>
  <c r="F75" i="19"/>
  <c r="F79" i="19"/>
  <c r="F83" i="19"/>
  <c r="F87" i="19"/>
  <c r="F91" i="19"/>
  <c r="F75" i="20"/>
  <c r="M39" i="63"/>
  <c r="D95" i="25"/>
  <c r="F98" i="25" s="1"/>
  <c r="F73" i="25"/>
  <c r="F77" i="25"/>
  <c r="F81" i="25"/>
  <c r="F85" i="25"/>
  <c r="F89" i="25"/>
  <c r="F93" i="25"/>
  <c r="F71" i="26"/>
  <c r="F75" i="26"/>
  <c r="F79" i="26"/>
  <c r="F83" i="26"/>
  <c r="F87" i="26"/>
  <c r="F91" i="26"/>
  <c r="F68" i="27"/>
  <c r="F72" i="27"/>
  <c r="F76" i="27"/>
  <c r="F80" i="27"/>
  <c r="F84" i="27"/>
  <c r="F88" i="27"/>
  <c r="F92" i="27"/>
  <c r="F71" i="28"/>
  <c r="F75" i="28"/>
  <c r="F79" i="28"/>
  <c r="F83" i="28"/>
  <c r="F87" i="28"/>
  <c r="F91" i="28"/>
  <c r="F68" i="29"/>
  <c r="F72" i="29"/>
  <c r="F76" i="29"/>
  <c r="F80" i="29"/>
  <c r="F84" i="29"/>
  <c r="F88" i="29"/>
  <c r="F92" i="29"/>
  <c r="F71" i="30"/>
  <c r="F75" i="30"/>
  <c r="F79" i="30"/>
  <c r="F83" i="30"/>
  <c r="F87" i="30"/>
  <c r="F91" i="30"/>
  <c r="F68" i="31"/>
  <c r="F72" i="31"/>
  <c r="F76" i="31"/>
  <c r="F80" i="31"/>
  <c r="F84" i="31"/>
  <c r="F88" i="31"/>
  <c r="F92" i="31"/>
  <c r="F68" i="33"/>
  <c r="F72" i="33"/>
  <c r="F76" i="33"/>
  <c r="F80" i="33"/>
  <c r="F84" i="33"/>
  <c r="F88" i="33"/>
  <c r="F92" i="33"/>
  <c r="F69" i="35"/>
  <c r="F71" i="35"/>
  <c r="F73" i="35"/>
  <c r="F75" i="35"/>
  <c r="F77" i="35"/>
  <c r="F79" i="35"/>
  <c r="F81" i="35"/>
  <c r="F83" i="35"/>
  <c r="F85" i="35"/>
  <c r="F87" i="35"/>
  <c r="F89" i="35"/>
  <c r="F91" i="35"/>
  <c r="F93" i="35"/>
  <c r="F68" i="37"/>
  <c r="F72" i="37"/>
  <c r="F76" i="37"/>
  <c r="F80" i="37"/>
  <c r="F84" i="37"/>
  <c r="F88" i="37"/>
  <c r="F92" i="37"/>
  <c r="D95" i="38"/>
  <c r="F105" i="38" s="1"/>
  <c r="F68" i="38"/>
  <c r="F71" i="38"/>
  <c r="F72" i="38"/>
  <c r="F75" i="38"/>
  <c r="F76" i="38"/>
  <c r="F78" i="38"/>
  <c r="F81" i="38"/>
  <c r="F82" i="38"/>
  <c r="F85" i="38"/>
  <c r="F86" i="38"/>
  <c r="F89" i="38"/>
  <c r="F90" i="38"/>
  <c r="F93" i="38"/>
  <c r="F94" i="38"/>
  <c r="F71" i="39"/>
  <c r="F75" i="39"/>
  <c r="F79" i="39"/>
  <c r="F83" i="39"/>
  <c r="F87" i="39"/>
  <c r="F91" i="39"/>
  <c r="F68" i="40"/>
  <c r="F72" i="40"/>
  <c r="F76" i="40"/>
  <c r="F80" i="40"/>
  <c r="F84" i="40"/>
  <c r="F88" i="40"/>
  <c r="F92" i="40"/>
  <c r="F71" i="41"/>
  <c r="F75" i="41"/>
  <c r="F79" i="41"/>
  <c r="F83" i="41"/>
  <c r="F87" i="41"/>
  <c r="F91" i="41"/>
  <c r="F68" i="42"/>
  <c r="F72" i="42"/>
  <c r="F76" i="42"/>
  <c r="F80" i="42"/>
  <c r="F84" i="42"/>
  <c r="F88" i="42"/>
  <c r="F92" i="42"/>
  <c r="F71" i="43"/>
  <c r="F75" i="43"/>
  <c r="F79" i="43"/>
  <c r="F83" i="43"/>
  <c r="F87" i="43"/>
  <c r="F91" i="43"/>
  <c r="F70" i="44"/>
  <c r="F73" i="44"/>
  <c r="F74" i="44"/>
  <c r="F75" i="44"/>
  <c r="F78" i="44"/>
  <c r="F81" i="44"/>
  <c r="F82" i="44"/>
  <c r="F83" i="44"/>
  <c r="F86" i="44"/>
  <c r="F89" i="44"/>
  <c r="F90" i="44"/>
  <c r="F91" i="44"/>
  <c r="F64" i="45"/>
  <c r="F68" i="45"/>
  <c r="F72" i="45"/>
  <c r="F76" i="45"/>
  <c r="F80" i="45"/>
  <c r="F84" i="45"/>
  <c r="F88" i="45"/>
  <c r="F92" i="45"/>
  <c r="D95" i="47"/>
  <c r="F98" i="47" s="1"/>
  <c r="F68" i="47"/>
  <c r="F71" i="47"/>
  <c r="F72" i="47"/>
  <c r="F75" i="47"/>
  <c r="F76" i="47"/>
  <c r="F78" i="47"/>
  <c r="F81" i="47"/>
  <c r="F82" i="47"/>
  <c r="F83" i="47"/>
  <c r="F86" i="47"/>
  <c r="F89" i="47"/>
  <c r="F90" i="47"/>
  <c r="F91" i="47"/>
  <c r="F94" i="47"/>
  <c r="F69" i="48"/>
  <c r="F70" i="48"/>
  <c r="F71" i="48"/>
  <c r="F69" i="50"/>
  <c r="F71" i="50"/>
  <c r="F73" i="50"/>
  <c r="F75" i="50"/>
  <c r="F77" i="50"/>
  <c r="F79" i="50"/>
  <c r="F81" i="50"/>
  <c r="F83" i="50"/>
  <c r="F85" i="50"/>
  <c r="F87" i="50"/>
  <c r="F89" i="50"/>
  <c r="F91" i="50"/>
  <c r="F93" i="50"/>
  <c r="F70" i="53"/>
  <c r="F73" i="53"/>
  <c r="F74" i="53"/>
  <c r="F77" i="53"/>
  <c r="F78" i="53"/>
  <c r="F81" i="53"/>
  <c r="M11" i="63"/>
  <c r="F92" i="54"/>
  <c r="F88" i="54"/>
  <c r="F87" i="54"/>
  <c r="F84" i="54"/>
  <c r="F83" i="54"/>
  <c r="F80" i="54"/>
  <c r="F79" i="54"/>
  <c r="F75" i="54"/>
  <c r="F91" i="55"/>
  <c r="M9" i="63"/>
  <c r="F91" i="57"/>
  <c r="F70" i="57"/>
  <c r="F82" i="57"/>
  <c r="F90" i="57"/>
  <c r="F94" i="57"/>
  <c r="F117" i="60"/>
  <c r="F64" i="12"/>
  <c r="F64" i="14"/>
  <c r="F64" i="15"/>
  <c r="F64" i="16"/>
  <c r="F64" i="17"/>
  <c r="F64" i="18"/>
  <c r="F64" i="10"/>
  <c r="F64" i="13"/>
  <c r="F64" i="1"/>
  <c r="F64" i="5"/>
  <c r="F64" i="9"/>
  <c r="F84" i="9"/>
  <c r="F86" i="9"/>
  <c r="F88" i="9"/>
  <c r="F90" i="9"/>
  <c r="F92" i="9"/>
  <c r="F94" i="9"/>
  <c r="F68" i="10"/>
  <c r="F70" i="10"/>
  <c r="F72" i="10"/>
  <c r="F74" i="10"/>
  <c r="F76" i="10"/>
  <c r="F78" i="10"/>
  <c r="F80" i="10"/>
  <c r="F82" i="10"/>
  <c r="F84" i="10"/>
  <c r="F86" i="10"/>
  <c r="F88" i="10"/>
  <c r="F90" i="10"/>
  <c r="F92" i="10"/>
  <c r="F94" i="10"/>
  <c r="F68" i="12"/>
  <c r="F70" i="12"/>
  <c r="F72" i="12"/>
  <c r="F74" i="12"/>
  <c r="F76" i="12"/>
  <c r="F78" i="12"/>
  <c r="F80" i="12"/>
  <c r="F82" i="12"/>
  <c r="F84" i="12"/>
  <c r="F86" i="12"/>
  <c r="F88" i="12"/>
  <c r="F90" i="12"/>
  <c r="F92" i="12"/>
  <c r="F94" i="12"/>
  <c r="F68" i="13"/>
  <c r="F70" i="13"/>
  <c r="F72" i="13"/>
  <c r="F74" i="13"/>
  <c r="F76" i="13"/>
  <c r="F78" i="13"/>
  <c r="F80" i="13"/>
  <c r="F82" i="13"/>
  <c r="F84" i="13"/>
  <c r="F86" i="13"/>
  <c r="F88" i="13"/>
  <c r="F90" i="13"/>
  <c r="F92" i="13"/>
  <c r="F94" i="13"/>
  <c r="F68" i="14"/>
  <c r="F70" i="14"/>
  <c r="F72" i="14"/>
  <c r="F74" i="14"/>
  <c r="F76" i="14"/>
  <c r="F78" i="14"/>
  <c r="F80" i="14"/>
  <c r="F82" i="14"/>
  <c r="F84" i="14"/>
  <c r="F86" i="14"/>
  <c r="F88" i="14"/>
  <c r="F90" i="14"/>
  <c r="F92" i="14"/>
  <c r="F94" i="14"/>
  <c r="F68" i="15"/>
  <c r="F70" i="15"/>
  <c r="F72" i="15"/>
  <c r="F74" i="15"/>
  <c r="F76" i="15"/>
  <c r="F78" i="15"/>
  <c r="F80" i="15"/>
  <c r="F82" i="15"/>
  <c r="F84" i="15"/>
  <c r="F86" i="15"/>
  <c r="F88" i="15"/>
  <c r="F90" i="15"/>
  <c r="F92" i="15"/>
  <c r="F94" i="15"/>
  <c r="F68" i="16"/>
  <c r="F70" i="16"/>
  <c r="F72" i="16"/>
  <c r="F74" i="16"/>
  <c r="F76" i="16"/>
  <c r="F78" i="16"/>
  <c r="F80" i="16"/>
  <c r="F84" i="16"/>
  <c r="F86" i="16"/>
  <c r="F88" i="16"/>
  <c r="F90" i="16"/>
  <c r="F92" i="16"/>
  <c r="F94" i="16"/>
  <c r="F68" i="17"/>
  <c r="F70" i="17"/>
  <c r="F72" i="17"/>
  <c r="F74" i="17"/>
  <c r="F76" i="17"/>
  <c r="F78" i="17"/>
  <c r="F80" i="17"/>
  <c r="F84" i="17"/>
  <c r="F86" i="17"/>
  <c r="F88" i="17"/>
  <c r="F90" i="17"/>
  <c r="F92" i="17"/>
  <c r="F94" i="17"/>
  <c r="F68" i="18"/>
  <c r="F70" i="18"/>
  <c r="F72" i="18"/>
  <c r="F74" i="18"/>
  <c r="F76" i="18"/>
  <c r="F78" i="18"/>
  <c r="F80" i="18"/>
  <c r="F84" i="18"/>
  <c r="F86" i="18"/>
  <c r="F88" i="18"/>
  <c r="F90" i="18"/>
  <c r="F92" i="18"/>
  <c r="F94" i="18"/>
  <c r="F68" i="19"/>
  <c r="F70" i="19"/>
  <c r="F72" i="19"/>
  <c r="F74" i="19"/>
  <c r="F76" i="19"/>
  <c r="F78" i="19"/>
  <c r="F80" i="19"/>
  <c r="F84" i="19"/>
  <c r="F86" i="19"/>
  <c r="F88" i="19"/>
  <c r="F90" i="19"/>
  <c r="F92" i="19"/>
  <c r="F94" i="19"/>
  <c r="F68" i="20"/>
  <c r="F70" i="20"/>
  <c r="F72" i="20"/>
  <c r="F74" i="20"/>
  <c r="F76" i="20"/>
  <c r="F80" i="20"/>
  <c r="F84" i="20"/>
  <c r="F88" i="20"/>
  <c r="F92" i="20"/>
  <c r="D33" i="21"/>
  <c r="D33" i="22"/>
  <c r="D33" i="23"/>
  <c r="D33" i="24"/>
  <c r="F64" i="26"/>
  <c r="F64" i="30"/>
  <c r="F64" i="32"/>
  <c r="F68" i="32"/>
  <c r="F70" i="32"/>
  <c r="F72" i="32"/>
  <c r="F74" i="32"/>
  <c r="F76" i="32"/>
  <c r="F78" i="32"/>
  <c r="F80" i="32"/>
  <c r="F82" i="32"/>
  <c r="F84" i="32"/>
  <c r="F86" i="32"/>
  <c r="F88" i="32"/>
  <c r="F90" i="32"/>
  <c r="F92" i="32"/>
  <c r="F94" i="32"/>
  <c r="F64" i="34"/>
  <c r="F68" i="34"/>
  <c r="F70" i="34"/>
  <c r="F72" i="34"/>
  <c r="F74" i="34"/>
  <c r="F76" i="34"/>
  <c r="F78" i="34"/>
  <c r="F80" i="34"/>
  <c r="F82" i="34"/>
  <c r="F84" i="34"/>
  <c r="F86" i="34"/>
  <c r="F88" i="34"/>
  <c r="F90" i="34"/>
  <c r="F92" i="34"/>
  <c r="F94" i="34"/>
  <c r="F64" i="36"/>
  <c r="F68" i="36"/>
  <c r="F70" i="36"/>
  <c r="F72" i="36"/>
  <c r="F74" i="36"/>
  <c r="F76" i="36"/>
  <c r="F78" i="36"/>
  <c r="F80" i="36"/>
  <c r="F82" i="36"/>
  <c r="F84" i="36"/>
  <c r="F86" i="36"/>
  <c r="F88" i="36"/>
  <c r="F90" i="36"/>
  <c r="F92" i="36"/>
  <c r="F94" i="36"/>
  <c r="F64" i="41"/>
  <c r="F69" i="46"/>
  <c r="F71" i="46"/>
  <c r="F73" i="46"/>
  <c r="F75" i="46"/>
  <c r="F77" i="46"/>
  <c r="F79" i="46"/>
  <c r="F81" i="46"/>
  <c r="F83" i="46"/>
  <c r="F85" i="46"/>
  <c r="F87" i="46"/>
  <c r="F89" i="46"/>
  <c r="F91" i="46"/>
  <c r="F93" i="46"/>
  <c r="F94" i="48"/>
  <c r="F93" i="48"/>
  <c r="F92" i="48"/>
  <c r="F91" i="48"/>
  <c r="F90" i="48"/>
  <c r="F89" i="48"/>
  <c r="F88" i="48"/>
  <c r="F87" i="48"/>
  <c r="F86" i="48"/>
  <c r="F85" i="48"/>
  <c r="F84" i="48"/>
  <c r="F83" i="48"/>
  <c r="F82" i="48"/>
  <c r="F81" i="48"/>
  <c r="F80" i="48"/>
  <c r="F79" i="48"/>
  <c r="F78" i="48"/>
  <c r="F77" i="48"/>
  <c r="F75" i="48"/>
  <c r="F74" i="48"/>
  <c r="F69" i="49"/>
  <c r="F71" i="49"/>
  <c r="F73" i="49"/>
  <c r="F75" i="49"/>
  <c r="F77" i="49"/>
  <c r="F79" i="49"/>
  <c r="F81" i="49"/>
  <c r="F83" i="49"/>
  <c r="F85" i="49"/>
  <c r="F87" i="49"/>
  <c r="F89" i="49"/>
  <c r="F91" i="49"/>
  <c r="F93" i="49"/>
  <c r="F69" i="51"/>
  <c r="F71" i="51"/>
  <c r="F73" i="51"/>
  <c r="F75" i="51"/>
  <c r="F77" i="51"/>
  <c r="F78" i="51"/>
  <c r="F79" i="51"/>
  <c r="F80" i="51"/>
  <c r="F81" i="51"/>
  <c r="F82" i="51"/>
  <c r="F83" i="51"/>
  <c r="F84" i="51"/>
  <c r="F85" i="51"/>
  <c r="F86" i="51"/>
  <c r="F87" i="51"/>
  <c r="F88" i="51"/>
  <c r="F89" i="51"/>
  <c r="F90" i="51"/>
  <c r="F91" i="51"/>
  <c r="F92" i="51"/>
  <c r="F93" i="51"/>
  <c r="F94" i="51"/>
  <c r="F69" i="52"/>
  <c r="F71" i="52"/>
  <c r="F73" i="52"/>
  <c r="F75" i="52"/>
  <c r="F77" i="52"/>
  <c r="F79" i="52"/>
  <c r="F81" i="52"/>
  <c r="F83" i="52"/>
  <c r="F85" i="52"/>
  <c r="F87" i="52"/>
  <c r="F89" i="52"/>
  <c r="F91" i="52"/>
  <c r="F93" i="52"/>
  <c r="F94" i="53"/>
  <c r="F93" i="53"/>
  <c r="F92" i="53"/>
  <c r="F91" i="53"/>
  <c r="F90" i="53"/>
  <c r="F89" i="53"/>
  <c r="F88" i="53"/>
  <c r="F87" i="53"/>
  <c r="F86" i="53"/>
  <c r="F85" i="53"/>
  <c r="F83" i="53"/>
  <c r="F82" i="53"/>
  <c r="M12" i="63"/>
  <c r="F90" i="55"/>
  <c r="F89" i="55"/>
  <c r="F88" i="55"/>
  <c r="F87" i="55"/>
  <c r="F86" i="55"/>
  <c r="F85" i="55"/>
  <c r="F84" i="55"/>
  <c r="F83" i="55"/>
  <c r="F82" i="55"/>
  <c r="F81" i="55"/>
  <c r="F80" i="55"/>
  <c r="F79" i="55"/>
  <c r="F78" i="55"/>
  <c r="F77" i="55"/>
  <c r="F76" i="55"/>
  <c r="F75" i="55"/>
  <c r="F74" i="55"/>
  <c r="F72" i="55"/>
  <c r="F71" i="55"/>
  <c r="F69" i="55"/>
  <c r="F68" i="55"/>
  <c r="F68" i="56"/>
  <c r="F72" i="56"/>
  <c r="F76" i="56"/>
  <c r="F80" i="56"/>
  <c r="F84" i="56"/>
  <c r="F88" i="56"/>
  <c r="F92" i="56"/>
  <c r="F71" i="1"/>
  <c r="F75" i="1"/>
  <c r="F79" i="1"/>
  <c r="F83" i="1"/>
  <c r="F87" i="1"/>
  <c r="F91" i="1"/>
  <c r="F68" i="59"/>
  <c r="F72" i="59"/>
  <c r="F76" i="59"/>
  <c r="F80" i="59"/>
  <c r="F84" i="59"/>
  <c r="F88" i="59"/>
  <c r="F92" i="59"/>
  <c r="F71" i="3"/>
  <c r="F75" i="3"/>
  <c r="F79" i="3"/>
  <c r="F83" i="3"/>
  <c r="F87" i="3"/>
  <c r="F91" i="3"/>
  <c r="F68" i="4"/>
  <c r="F72" i="4"/>
  <c r="F76" i="4"/>
  <c r="F80" i="4"/>
  <c r="F84" i="4"/>
  <c r="F88" i="4"/>
  <c r="F92" i="4"/>
  <c r="F71" i="5"/>
  <c r="F75" i="5"/>
  <c r="F79" i="5"/>
  <c r="F83" i="5"/>
  <c r="F87" i="5"/>
  <c r="F91" i="5"/>
  <c r="F68" i="6"/>
  <c r="F72" i="6"/>
  <c r="F76" i="6"/>
  <c r="F80" i="6"/>
  <c r="F84" i="6"/>
  <c r="F88" i="6"/>
  <c r="F92" i="6"/>
  <c r="F71" i="7"/>
  <c r="F75" i="7"/>
  <c r="F79" i="7"/>
  <c r="F83" i="7"/>
  <c r="F87" i="7"/>
  <c r="F91" i="7"/>
  <c r="F68" i="8"/>
  <c r="F72" i="8"/>
  <c r="F76" i="8"/>
  <c r="F80" i="8"/>
  <c r="F84" i="8"/>
  <c r="F88" i="8"/>
  <c r="F92" i="8"/>
  <c r="C109" i="9"/>
  <c r="F67" i="10"/>
  <c r="F71" i="10"/>
  <c r="F75" i="10"/>
  <c r="F79" i="10"/>
  <c r="F83" i="10"/>
  <c r="F87" i="10"/>
  <c r="F91" i="10"/>
  <c r="F67" i="15"/>
  <c r="F71" i="15"/>
  <c r="F75" i="15"/>
  <c r="F79" i="15"/>
  <c r="F83" i="15"/>
  <c r="F87" i="15"/>
  <c r="F91" i="15"/>
  <c r="F91" i="20"/>
  <c r="F87" i="20"/>
  <c r="F83" i="20"/>
  <c r="F79" i="20"/>
  <c r="M8" i="63"/>
  <c r="M62" i="63"/>
  <c r="M60" i="63"/>
  <c r="M58" i="63"/>
  <c r="M56" i="63"/>
  <c r="M43" i="63"/>
  <c r="M42" i="63"/>
  <c r="M41" i="63"/>
  <c r="M40" i="63"/>
  <c r="D33" i="25"/>
  <c r="F68" i="26"/>
  <c r="F72" i="26"/>
  <c r="F76" i="26"/>
  <c r="F80" i="26"/>
  <c r="F84" i="26"/>
  <c r="F88" i="26"/>
  <c r="F92" i="26"/>
  <c r="F69" i="27"/>
  <c r="F73" i="27"/>
  <c r="F77" i="27"/>
  <c r="F81" i="27"/>
  <c r="F85" i="27"/>
  <c r="F89" i="27"/>
  <c r="F93" i="27"/>
  <c r="F68" i="28"/>
  <c r="F72" i="28"/>
  <c r="F76" i="28"/>
  <c r="F80" i="28"/>
  <c r="F84" i="28"/>
  <c r="F88" i="28"/>
  <c r="F92" i="28"/>
  <c r="F69" i="29"/>
  <c r="F73" i="29"/>
  <c r="F77" i="29"/>
  <c r="F81" i="29"/>
  <c r="F85" i="29"/>
  <c r="F89" i="29"/>
  <c r="F93" i="29"/>
  <c r="F68" i="30"/>
  <c r="F72" i="30"/>
  <c r="F76" i="30"/>
  <c r="F80" i="30"/>
  <c r="F84" i="30"/>
  <c r="F88" i="30"/>
  <c r="F92" i="30"/>
  <c r="F69" i="31"/>
  <c r="F73" i="31"/>
  <c r="F77" i="31"/>
  <c r="F81" i="31"/>
  <c r="F85" i="31"/>
  <c r="F89" i="31"/>
  <c r="F93" i="31"/>
  <c r="F64" i="38"/>
  <c r="M37" i="63"/>
  <c r="M35" i="63"/>
  <c r="M33" i="63"/>
  <c r="F69" i="33"/>
  <c r="F71" i="33"/>
  <c r="F73" i="33"/>
  <c r="F75" i="33"/>
  <c r="F77" i="33"/>
  <c r="F79" i="33"/>
  <c r="F81" i="33"/>
  <c r="F83" i="33"/>
  <c r="F85" i="33"/>
  <c r="F87" i="33"/>
  <c r="F89" i="33"/>
  <c r="F91" i="33"/>
  <c r="F93" i="33"/>
  <c r="F68" i="35"/>
  <c r="F72" i="35"/>
  <c r="F76" i="35"/>
  <c r="F80" i="35"/>
  <c r="F84" i="35"/>
  <c r="F88" i="35"/>
  <c r="F92" i="35"/>
  <c r="F69" i="37"/>
  <c r="F71" i="37"/>
  <c r="F73" i="37"/>
  <c r="F75" i="37"/>
  <c r="F77" i="37"/>
  <c r="F79" i="37"/>
  <c r="F81" i="37"/>
  <c r="F83" i="37"/>
  <c r="F85" i="37"/>
  <c r="F87" i="37"/>
  <c r="F89" i="37"/>
  <c r="F91" i="37"/>
  <c r="F93" i="37"/>
  <c r="F68" i="39"/>
  <c r="F72" i="39"/>
  <c r="F76" i="39"/>
  <c r="F80" i="39"/>
  <c r="F84" i="39"/>
  <c r="F88" i="39"/>
  <c r="F92" i="39"/>
  <c r="F69" i="40"/>
  <c r="F73" i="40"/>
  <c r="F77" i="40"/>
  <c r="F81" i="40"/>
  <c r="F85" i="40"/>
  <c r="F89" i="40"/>
  <c r="F93" i="40"/>
  <c r="F68" i="41"/>
  <c r="F72" i="41"/>
  <c r="F76" i="41"/>
  <c r="F80" i="41"/>
  <c r="F84" i="41"/>
  <c r="F88" i="41"/>
  <c r="F92" i="41"/>
  <c r="F69" i="42"/>
  <c r="F73" i="42"/>
  <c r="F77" i="42"/>
  <c r="F81" i="42"/>
  <c r="F85" i="42"/>
  <c r="F89" i="42"/>
  <c r="F93" i="42"/>
  <c r="F68" i="43"/>
  <c r="F72" i="43"/>
  <c r="F76" i="43"/>
  <c r="F80" i="43"/>
  <c r="F84" i="43"/>
  <c r="F88" i="43"/>
  <c r="F92" i="43"/>
  <c r="M24" i="63"/>
  <c r="M22" i="63"/>
  <c r="M20" i="63"/>
  <c r="F69" i="45"/>
  <c r="F71" i="45"/>
  <c r="F73" i="45"/>
  <c r="F75" i="45"/>
  <c r="F77" i="45"/>
  <c r="F79" i="45"/>
  <c r="F81" i="45"/>
  <c r="F83" i="45"/>
  <c r="F85" i="45"/>
  <c r="F87" i="45"/>
  <c r="F89" i="45"/>
  <c r="F91" i="45"/>
  <c r="F93" i="45"/>
  <c r="M16" i="63"/>
  <c r="F68" i="50"/>
  <c r="F72" i="50"/>
  <c r="F76" i="50"/>
  <c r="F80" i="50"/>
  <c r="F84" i="50"/>
  <c r="F88" i="50"/>
  <c r="F92" i="50"/>
  <c r="F67" i="54"/>
  <c r="F68" i="54"/>
  <c r="F71" i="54"/>
  <c r="F72" i="54"/>
  <c r="F70" i="21"/>
  <c r="F74" i="21"/>
  <c r="F78" i="21"/>
  <c r="F82" i="21"/>
  <c r="F86" i="21"/>
  <c r="F90" i="21"/>
  <c r="F94" i="21"/>
  <c r="F70" i="23"/>
  <c r="F74" i="23"/>
  <c r="F78" i="23"/>
  <c r="F82" i="23"/>
  <c r="F86" i="23"/>
  <c r="F90" i="23"/>
  <c r="F94" i="23"/>
  <c r="F70" i="25"/>
  <c r="F74" i="25"/>
  <c r="F78" i="25"/>
  <c r="F82" i="25"/>
  <c r="F86" i="25"/>
  <c r="F90" i="25"/>
  <c r="F94" i="25"/>
  <c r="F70" i="22"/>
  <c r="F74" i="22"/>
  <c r="F78" i="22"/>
  <c r="F86" i="22"/>
  <c r="F90" i="22"/>
  <c r="F94" i="22"/>
  <c r="F70" i="24"/>
  <c r="F74" i="24"/>
  <c r="F78" i="24"/>
  <c r="F82" i="24"/>
  <c r="F86" i="24"/>
  <c r="F90" i="24"/>
  <c r="F94" i="24"/>
  <c r="F67" i="57"/>
  <c r="F79" i="57"/>
  <c r="F74" i="57"/>
  <c r="B7" i="63"/>
  <c r="N7" i="63" s="1"/>
  <c r="F116" i="11"/>
  <c r="F64" i="11"/>
  <c r="F68" i="11"/>
  <c r="F70" i="11"/>
  <c r="F72" i="11"/>
  <c r="F74" i="11"/>
  <c r="F76" i="11"/>
  <c r="F78" i="11"/>
  <c r="F80" i="11"/>
  <c r="F82" i="11"/>
  <c r="F84" i="11"/>
  <c r="F86" i="11"/>
  <c r="F88" i="11"/>
  <c r="F90" i="11"/>
  <c r="F92" i="11"/>
  <c r="F94" i="11"/>
  <c r="F67" i="11"/>
  <c r="F71" i="11"/>
  <c r="F75" i="11"/>
  <c r="F79" i="11"/>
  <c r="F83" i="11"/>
  <c r="F87" i="11"/>
  <c r="F91" i="11"/>
  <c r="E64" i="60"/>
  <c r="M64" i="63" s="1"/>
  <c r="D64" i="60"/>
  <c r="E105" i="60"/>
  <c r="F43" i="60"/>
  <c r="F51" i="60"/>
  <c r="F59" i="60"/>
  <c r="D72" i="60"/>
  <c r="F72" i="60" s="1"/>
  <c r="D33" i="27"/>
  <c r="D33" i="29"/>
  <c r="F44" i="60"/>
  <c r="D33" i="32"/>
  <c r="D33" i="34"/>
  <c r="D33" i="56"/>
  <c r="D33" i="59"/>
  <c r="D95" i="5"/>
  <c r="F98" i="5" s="1"/>
  <c r="D95" i="7"/>
  <c r="F103" i="7" s="1"/>
  <c r="B43" i="63"/>
  <c r="D33" i="49"/>
  <c r="B39" i="63"/>
  <c r="E63" i="63"/>
  <c r="E61" i="63"/>
  <c r="E51" i="63"/>
  <c r="E49" i="63"/>
  <c r="E47" i="63"/>
  <c r="E45" i="63"/>
  <c r="E43" i="63"/>
  <c r="E41" i="63"/>
  <c r="E39" i="63"/>
  <c r="E37" i="63"/>
  <c r="E35" i="63"/>
  <c r="E33" i="63"/>
  <c r="E31" i="63"/>
  <c r="E29" i="63"/>
  <c r="E27" i="63"/>
  <c r="E25" i="63"/>
  <c r="E58" i="63"/>
  <c r="E56" i="63"/>
  <c r="M54" i="63"/>
  <c r="E24" i="63"/>
  <c r="M10" i="63"/>
  <c r="M61" i="63"/>
  <c r="M57" i="63"/>
  <c r="M55" i="63"/>
  <c r="M53" i="63"/>
  <c r="M23" i="63"/>
  <c r="M21" i="63"/>
  <c r="M17" i="63"/>
  <c r="M50" i="63"/>
  <c r="M48" i="63"/>
  <c r="M46" i="63"/>
  <c r="M44" i="63"/>
  <c r="M38" i="63"/>
  <c r="M36" i="63"/>
  <c r="M34" i="63"/>
  <c r="M26" i="63"/>
  <c r="B42" i="63"/>
  <c r="B41" i="63"/>
  <c r="B40" i="63"/>
  <c r="B32" i="63"/>
  <c r="N32" i="63" s="1"/>
  <c r="B30" i="63"/>
  <c r="N30" i="63" s="1"/>
  <c r="B15" i="63"/>
  <c r="N15" i="63" s="1"/>
  <c r="B8" i="63"/>
  <c r="B62" i="63"/>
  <c r="B37" i="63"/>
  <c r="B35" i="63"/>
  <c r="D33" i="40"/>
  <c r="D33" i="42"/>
  <c r="E8" i="63"/>
  <c r="F8" i="63" s="1"/>
  <c r="M63" i="63"/>
  <c r="E59" i="63"/>
  <c r="M51" i="63"/>
  <c r="M49" i="63"/>
  <c r="M47" i="63"/>
  <c r="M45" i="63"/>
  <c r="M25" i="63"/>
  <c r="E54" i="63"/>
  <c r="E52" i="63"/>
  <c r="E22" i="63"/>
  <c r="E20" i="63"/>
  <c r="E18" i="63"/>
  <c r="E16" i="63"/>
  <c r="E14" i="63"/>
  <c r="E12" i="63"/>
  <c r="E10" i="63"/>
  <c r="M59" i="63"/>
  <c r="E57" i="63"/>
  <c r="E55" i="63"/>
  <c r="E53" i="63"/>
  <c r="E23" i="63"/>
  <c r="E21" i="63"/>
  <c r="E19" i="63"/>
  <c r="E17" i="63"/>
  <c r="E15" i="63"/>
  <c r="E13" i="63"/>
  <c r="E11" i="63"/>
  <c r="E9" i="63"/>
  <c r="E62" i="63"/>
  <c r="E60" i="63"/>
  <c r="M52" i="63"/>
  <c r="E50" i="63"/>
  <c r="E48" i="63"/>
  <c r="E46" i="63"/>
  <c r="E44" i="63"/>
  <c r="E42" i="63"/>
  <c r="F42" i="63" s="1"/>
  <c r="E40" i="63"/>
  <c r="E38" i="63"/>
  <c r="E36" i="63"/>
  <c r="E34" i="63"/>
  <c r="E32" i="63"/>
  <c r="F32" i="63" s="1"/>
  <c r="E30" i="63"/>
  <c r="F30" i="63" s="1"/>
  <c r="E28" i="63"/>
  <c r="E26" i="63"/>
  <c r="F100" i="57"/>
  <c r="F103" i="57"/>
  <c r="F101" i="57"/>
  <c r="F98" i="57"/>
  <c r="D33" i="4"/>
  <c r="D33" i="6"/>
  <c r="D33" i="8"/>
  <c r="D95" i="26"/>
  <c r="F95" i="26" s="1"/>
  <c r="D95" i="28"/>
  <c r="D95" i="30"/>
  <c r="F95" i="30" s="1"/>
  <c r="D33" i="33"/>
  <c r="D33" i="35"/>
  <c r="D33" i="37"/>
  <c r="D95" i="39"/>
  <c r="D95" i="41"/>
  <c r="D95" i="43"/>
  <c r="D95" i="1"/>
  <c r="F95" i="1" s="1"/>
  <c r="D95" i="3"/>
  <c r="D33" i="45"/>
  <c r="F64" i="48"/>
  <c r="D95" i="22"/>
  <c r="D95" i="24"/>
  <c r="D33" i="31"/>
  <c r="D33" i="52"/>
  <c r="D33" i="50"/>
  <c r="D95" i="21"/>
  <c r="F95" i="21" s="1"/>
  <c r="D95" i="23"/>
  <c r="D33" i="36"/>
  <c r="D95" i="36"/>
  <c r="F67" i="36"/>
  <c r="D33" i="46"/>
  <c r="D95" i="46"/>
  <c r="F67" i="46"/>
  <c r="D33" i="51"/>
  <c r="D95" i="51"/>
  <c r="F67" i="51"/>
  <c r="D95" i="52"/>
  <c r="F64" i="52"/>
  <c r="D33" i="55"/>
  <c r="D95" i="55"/>
  <c r="D95" i="56"/>
  <c r="F95" i="56" s="1"/>
  <c r="D33" i="1"/>
  <c r="D95" i="59"/>
  <c r="D33" i="3"/>
  <c r="D95" i="4"/>
  <c r="F95" i="4" s="1"/>
  <c r="D33" i="5"/>
  <c r="D95" i="6"/>
  <c r="D33" i="7"/>
  <c r="D95" i="8"/>
  <c r="F95" i="8" s="1"/>
  <c r="D95" i="9"/>
  <c r="D95" i="10"/>
  <c r="D33" i="11"/>
  <c r="D95" i="12"/>
  <c r="D33" i="13"/>
  <c r="D95" i="14"/>
  <c r="D33" i="15"/>
  <c r="D95" i="16"/>
  <c r="D33" i="17"/>
  <c r="D95" i="18"/>
  <c r="D33" i="19"/>
  <c r="D33" i="20"/>
  <c r="F64" i="56"/>
  <c r="F67" i="1"/>
  <c r="F64" i="4"/>
  <c r="F67" i="5"/>
  <c r="F64" i="8"/>
  <c r="F64" i="22"/>
  <c r="F64" i="23"/>
  <c r="F64" i="25"/>
  <c r="D33" i="26"/>
  <c r="D95" i="27"/>
  <c r="D33" i="28"/>
  <c r="D95" i="29"/>
  <c r="D33" i="30"/>
  <c r="D95" i="31"/>
  <c r="F67" i="26"/>
  <c r="F64" i="29"/>
  <c r="F67" i="30"/>
  <c r="D33" i="38"/>
  <c r="F67" i="38"/>
  <c r="D33" i="39"/>
  <c r="D95" i="40"/>
  <c r="D33" i="41"/>
  <c r="D95" i="42"/>
  <c r="F95" i="42" s="1"/>
  <c r="D33" i="43"/>
  <c r="D33" i="44"/>
  <c r="D95" i="44"/>
  <c r="F64" i="40"/>
  <c r="F67" i="41"/>
  <c r="F95" i="43"/>
  <c r="F64" i="44"/>
  <c r="D33" i="47"/>
  <c r="F67" i="47"/>
  <c r="D33" i="48"/>
  <c r="D95" i="48"/>
  <c r="F67" i="52"/>
  <c r="D33" i="54"/>
  <c r="D95" i="54"/>
  <c r="F64" i="55"/>
  <c r="D95" i="32"/>
  <c r="F67" i="32"/>
  <c r="D95" i="34"/>
  <c r="F67" i="34"/>
  <c r="D95" i="49"/>
  <c r="F67" i="49"/>
  <c r="D33" i="9"/>
  <c r="D33" i="10"/>
  <c r="D95" i="11"/>
  <c r="D33" i="12"/>
  <c r="D95" i="13"/>
  <c r="D33" i="14"/>
  <c r="D95" i="15"/>
  <c r="D33" i="16"/>
  <c r="D95" i="17"/>
  <c r="D33" i="18"/>
  <c r="D95" i="19"/>
  <c r="D95" i="20"/>
  <c r="F64" i="59"/>
  <c r="F67" i="3"/>
  <c r="F64" i="6"/>
  <c r="F67" i="7"/>
  <c r="F64" i="21"/>
  <c r="F64" i="24"/>
  <c r="F64" i="27"/>
  <c r="F67" i="28"/>
  <c r="F64" i="31"/>
  <c r="D95" i="33"/>
  <c r="F67" i="33"/>
  <c r="D95" i="35"/>
  <c r="F67" i="35"/>
  <c r="D95" i="37"/>
  <c r="F67" i="37"/>
  <c r="F67" i="39"/>
  <c r="F64" i="42"/>
  <c r="F67" i="43"/>
  <c r="F67" i="44"/>
  <c r="D95" i="45"/>
  <c r="F67" i="45"/>
  <c r="D95" i="50"/>
  <c r="F67" i="50"/>
  <c r="D33" i="53"/>
  <c r="D95" i="53"/>
  <c r="F64" i="53"/>
  <c r="F67" i="55"/>
  <c r="F95" i="57"/>
  <c r="F67" i="60"/>
  <c r="F62" i="63" l="1"/>
  <c r="D105" i="57"/>
  <c r="E29" i="57" s="1"/>
  <c r="F105" i="57"/>
  <c r="F104" i="57"/>
  <c r="U7" i="63" s="1"/>
  <c r="V7" i="63" s="1"/>
  <c r="F102" i="57"/>
  <c r="F98" i="38"/>
  <c r="N35" i="63"/>
  <c r="N62" i="63"/>
  <c r="N41" i="63"/>
  <c r="N43" i="63"/>
  <c r="D33" i="60"/>
  <c r="B64" i="63" s="1"/>
  <c r="N64" i="63" s="1"/>
  <c r="C109" i="60"/>
  <c r="C118" i="60" s="1"/>
  <c r="F99" i="47"/>
  <c r="F105" i="25"/>
  <c r="F95" i="47"/>
  <c r="F103" i="38"/>
  <c r="F99" i="25"/>
  <c r="K39" i="63" s="1"/>
  <c r="L39" i="63" s="1"/>
  <c r="F100" i="5"/>
  <c r="F103" i="47"/>
  <c r="F95" i="25"/>
  <c r="F103" i="25"/>
  <c r="F101" i="38"/>
  <c r="F102" i="25"/>
  <c r="F100" i="47"/>
  <c r="F104" i="38"/>
  <c r="D95" i="60"/>
  <c r="F105" i="60" s="1"/>
  <c r="F15" i="63"/>
  <c r="F95" i="38"/>
  <c r="F102" i="38"/>
  <c r="F104" i="47"/>
  <c r="F104" i="25"/>
  <c r="F100" i="38"/>
  <c r="F102" i="47"/>
  <c r="F101" i="25"/>
  <c r="F105" i="47"/>
  <c r="F99" i="38"/>
  <c r="F101" i="47"/>
  <c r="F100" i="25"/>
  <c r="F95" i="5"/>
  <c r="F116" i="60"/>
  <c r="F104" i="5"/>
  <c r="F95" i="41"/>
  <c r="F109" i="11"/>
  <c r="F109" i="49"/>
  <c r="F109" i="55"/>
  <c r="F109" i="54"/>
  <c r="F109" i="52"/>
  <c r="F109" i="44"/>
  <c r="F109" i="15"/>
  <c r="F109" i="10"/>
  <c r="F109" i="9"/>
  <c r="C118" i="9"/>
  <c r="F109" i="53"/>
  <c r="F109" i="48"/>
  <c r="F109" i="46"/>
  <c r="F109" i="42"/>
  <c r="F109" i="45"/>
  <c r="F109" i="34"/>
  <c r="F109" i="31"/>
  <c r="F109" i="27"/>
  <c r="F109" i="25"/>
  <c r="F109" i="6"/>
  <c r="F109" i="59"/>
  <c r="F95" i="22"/>
  <c r="F102" i="5"/>
  <c r="F109" i="47"/>
  <c r="F109" i="43"/>
  <c r="F109" i="41"/>
  <c r="F109" i="39"/>
  <c r="F109" i="38"/>
  <c r="F109" i="30"/>
  <c r="F109" i="28"/>
  <c r="F109" i="26"/>
  <c r="F109" i="37"/>
  <c r="F109" i="35"/>
  <c r="F109" i="33"/>
  <c r="F109" i="7"/>
  <c r="F109" i="5"/>
  <c r="F109" i="3"/>
  <c r="F109" i="1"/>
  <c r="F109" i="20"/>
  <c r="F109" i="19"/>
  <c r="F109" i="18"/>
  <c r="F109" i="17"/>
  <c r="F109" i="16"/>
  <c r="F109" i="14"/>
  <c r="F109" i="13"/>
  <c r="F109" i="12"/>
  <c r="F109" i="51"/>
  <c r="F109" i="50"/>
  <c r="F109" i="40"/>
  <c r="F109" i="36"/>
  <c r="F109" i="32"/>
  <c r="F109" i="29"/>
  <c r="F109" i="24"/>
  <c r="F109" i="23"/>
  <c r="F109" i="22"/>
  <c r="F109" i="21"/>
  <c r="F109" i="8"/>
  <c r="F109" i="4"/>
  <c r="F109" i="56"/>
  <c r="F95" i="29"/>
  <c r="F95" i="7"/>
  <c r="F95" i="23"/>
  <c r="F95" i="28"/>
  <c r="F101" i="7"/>
  <c r="F98" i="7"/>
  <c r="F104" i="7"/>
  <c r="F102" i="7"/>
  <c r="F105" i="7"/>
  <c r="N37" i="63"/>
  <c r="N8" i="63"/>
  <c r="N40" i="63"/>
  <c r="N42" i="63"/>
  <c r="N39" i="63"/>
  <c r="F95" i="52"/>
  <c r="F95" i="36"/>
  <c r="F95" i="3"/>
  <c r="F100" i="7"/>
  <c r="F99" i="7"/>
  <c r="K7" i="63"/>
  <c r="L7" i="63" s="1"/>
  <c r="F7" i="63"/>
  <c r="B55" i="63"/>
  <c r="N55" i="63" s="1"/>
  <c r="B17" i="63"/>
  <c r="F17" i="63" s="1"/>
  <c r="B21" i="63"/>
  <c r="N21" i="63" s="1"/>
  <c r="B25" i="63"/>
  <c r="N25" i="63" s="1"/>
  <c r="B45" i="63"/>
  <c r="F45" i="63" s="1"/>
  <c r="B47" i="63"/>
  <c r="F47" i="63" s="1"/>
  <c r="B49" i="63"/>
  <c r="N49" i="63" s="1"/>
  <c r="B51" i="63"/>
  <c r="F51" i="63" s="1"/>
  <c r="B57" i="63"/>
  <c r="B59" i="63"/>
  <c r="N59" i="63" s="1"/>
  <c r="B61" i="63"/>
  <c r="N61" i="63" s="1"/>
  <c r="B63" i="63"/>
  <c r="N63" i="63" s="1"/>
  <c r="B13" i="63"/>
  <c r="N13" i="63" s="1"/>
  <c r="B28" i="63"/>
  <c r="N28" i="63" s="1"/>
  <c r="B12" i="63"/>
  <c r="N12" i="63" s="1"/>
  <c r="B33" i="63"/>
  <c r="N33" i="63" s="1"/>
  <c r="B19" i="63"/>
  <c r="N19" i="63" s="1"/>
  <c r="F105" i="1"/>
  <c r="B29" i="63"/>
  <c r="N29" i="63" s="1"/>
  <c r="F105" i="30"/>
  <c r="F105" i="26"/>
  <c r="B58" i="63"/>
  <c r="N58" i="63" s="1"/>
  <c r="Q7" i="63"/>
  <c r="R7" i="63" s="1"/>
  <c r="I39" i="63"/>
  <c r="J39" i="63" s="1"/>
  <c r="B22" i="63"/>
  <c r="N22" i="63" s="1"/>
  <c r="D105" i="5"/>
  <c r="B11" i="63"/>
  <c r="N11" i="63" s="1"/>
  <c r="B23" i="63"/>
  <c r="N23" i="63" s="1"/>
  <c r="B46" i="63"/>
  <c r="N46" i="63" s="1"/>
  <c r="B48" i="63"/>
  <c r="F48" i="63" s="1"/>
  <c r="B50" i="63"/>
  <c r="F50" i="63" s="1"/>
  <c r="B52" i="63"/>
  <c r="N52" i="63" s="1"/>
  <c r="B54" i="63"/>
  <c r="N54" i="63" s="1"/>
  <c r="F95" i="9"/>
  <c r="F95" i="46"/>
  <c r="F95" i="55"/>
  <c r="B10" i="63"/>
  <c r="F10" i="63" s="1"/>
  <c r="B16" i="63"/>
  <c r="N16" i="63" s="1"/>
  <c r="F95" i="39"/>
  <c r="B20" i="63"/>
  <c r="N20" i="63" s="1"/>
  <c r="F105" i="42"/>
  <c r="B26" i="63"/>
  <c r="B34" i="63"/>
  <c r="N34" i="63" s="1"/>
  <c r="B36" i="63"/>
  <c r="F36" i="63" s="1"/>
  <c r="B38" i="63"/>
  <c r="F38" i="63" s="1"/>
  <c r="B44" i="63"/>
  <c r="N44" i="63" s="1"/>
  <c r="F105" i="16"/>
  <c r="F105" i="12"/>
  <c r="F105" i="8"/>
  <c r="F105" i="4"/>
  <c r="F105" i="56"/>
  <c r="B9" i="63"/>
  <c r="N9" i="63" s="1"/>
  <c r="B18" i="63"/>
  <c r="N18" i="63" s="1"/>
  <c r="F105" i="21"/>
  <c r="B14" i="63"/>
  <c r="N14" i="63" s="1"/>
  <c r="F95" i="24"/>
  <c r="B27" i="63"/>
  <c r="N27" i="63" s="1"/>
  <c r="B31" i="63"/>
  <c r="N31" i="63" s="1"/>
  <c r="B56" i="63"/>
  <c r="N56" i="63" s="1"/>
  <c r="B60" i="63"/>
  <c r="N60" i="63" s="1"/>
  <c r="I7" i="63"/>
  <c r="J7" i="63" s="1"/>
  <c r="F99" i="5"/>
  <c r="O7" i="63"/>
  <c r="P7" i="63" s="1"/>
  <c r="F101" i="5"/>
  <c r="S7" i="63"/>
  <c r="T7" i="63" s="1"/>
  <c r="F103" i="5"/>
  <c r="G7" i="63"/>
  <c r="H7" i="63" s="1"/>
  <c r="F105" i="5"/>
  <c r="B24" i="63"/>
  <c r="N24" i="63" s="1"/>
  <c r="D105" i="7"/>
  <c r="D105" i="47"/>
  <c r="D105" i="38"/>
  <c r="D105" i="25"/>
  <c r="B53" i="63"/>
  <c r="F53" i="63" s="1"/>
  <c r="F64" i="60"/>
  <c r="F39" i="63"/>
  <c r="F43" i="63"/>
  <c r="F40" i="63"/>
  <c r="F35" i="63"/>
  <c r="F37" i="63"/>
  <c r="F41" i="63"/>
  <c r="U39" i="63"/>
  <c r="V39" i="63" s="1"/>
  <c r="G39" i="63"/>
  <c r="H39" i="63" s="1"/>
  <c r="F99" i="37"/>
  <c r="F100" i="37"/>
  <c r="F98" i="37"/>
  <c r="F105" i="37"/>
  <c r="F103" i="37"/>
  <c r="F104" i="37"/>
  <c r="F101" i="37"/>
  <c r="F102" i="37"/>
  <c r="F101" i="35"/>
  <c r="F102" i="35"/>
  <c r="F99" i="35"/>
  <c r="F100" i="35"/>
  <c r="F105" i="35"/>
  <c r="F98" i="35"/>
  <c r="F103" i="35"/>
  <c r="F104" i="35"/>
  <c r="F103" i="33"/>
  <c r="F104" i="33"/>
  <c r="F105" i="33"/>
  <c r="F101" i="33"/>
  <c r="F102" i="33"/>
  <c r="F99" i="33"/>
  <c r="F100" i="33"/>
  <c r="F98" i="33"/>
  <c r="F95" i="20"/>
  <c r="F104" i="20"/>
  <c r="F102" i="20"/>
  <c r="F103" i="20"/>
  <c r="F100" i="20"/>
  <c r="F101" i="20"/>
  <c r="F98" i="20"/>
  <c r="F99" i="20"/>
  <c r="F95" i="17"/>
  <c r="F99" i="17"/>
  <c r="F100" i="17"/>
  <c r="F98" i="17"/>
  <c r="F103" i="17"/>
  <c r="F104" i="17"/>
  <c r="F101" i="17"/>
  <c r="F102" i="17"/>
  <c r="F95" i="13"/>
  <c r="F103" i="13"/>
  <c r="F104" i="13"/>
  <c r="F101" i="13"/>
  <c r="F102" i="13"/>
  <c r="F99" i="13"/>
  <c r="F100" i="13"/>
  <c r="F98" i="13"/>
  <c r="F105" i="34"/>
  <c r="F98" i="34"/>
  <c r="F99" i="34"/>
  <c r="F104" i="34"/>
  <c r="F102" i="34"/>
  <c r="F103" i="34"/>
  <c r="F100" i="34"/>
  <c r="F101" i="34"/>
  <c r="F95" i="32"/>
  <c r="F100" i="32"/>
  <c r="F101" i="32"/>
  <c r="F98" i="32"/>
  <c r="F99" i="32"/>
  <c r="F105" i="32"/>
  <c r="F104" i="32"/>
  <c r="F102" i="32"/>
  <c r="F103" i="32"/>
  <c r="F101" i="54"/>
  <c r="F104" i="54"/>
  <c r="F103" i="54"/>
  <c r="F102" i="54"/>
  <c r="F100" i="54"/>
  <c r="F99" i="54"/>
  <c r="F98" i="54"/>
  <c r="F95" i="44"/>
  <c r="F98" i="44"/>
  <c r="F103" i="44"/>
  <c r="F104" i="44"/>
  <c r="F101" i="44"/>
  <c r="F102" i="44"/>
  <c r="F99" i="44"/>
  <c r="F100" i="44"/>
  <c r="F95" i="31"/>
  <c r="F98" i="31"/>
  <c r="F103" i="31"/>
  <c r="F104" i="31"/>
  <c r="F101" i="31"/>
  <c r="F102" i="31"/>
  <c r="F99" i="31"/>
  <c r="F100" i="31"/>
  <c r="F99" i="29"/>
  <c r="F100" i="29"/>
  <c r="F98" i="29"/>
  <c r="F103" i="29"/>
  <c r="F104" i="29"/>
  <c r="F101" i="29"/>
  <c r="F102" i="29"/>
  <c r="F101" i="27"/>
  <c r="F102" i="27"/>
  <c r="F99" i="27"/>
  <c r="F100" i="27"/>
  <c r="F98" i="27"/>
  <c r="F103" i="27"/>
  <c r="F104" i="27"/>
  <c r="F98" i="18"/>
  <c r="F99" i="18"/>
  <c r="F104" i="18"/>
  <c r="F102" i="18"/>
  <c r="F103" i="18"/>
  <c r="F100" i="18"/>
  <c r="F101" i="18"/>
  <c r="F102" i="14"/>
  <c r="F103" i="14"/>
  <c r="F100" i="14"/>
  <c r="F101" i="14"/>
  <c r="F98" i="14"/>
  <c r="F99" i="14"/>
  <c r="F104" i="14"/>
  <c r="F103" i="10"/>
  <c r="F104" i="10"/>
  <c r="F101" i="10"/>
  <c r="F102" i="10"/>
  <c r="F99" i="10"/>
  <c r="F100" i="10"/>
  <c r="F98" i="10"/>
  <c r="F98" i="9"/>
  <c r="F99" i="9"/>
  <c r="F104" i="9"/>
  <c r="F102" i="9"/>
  <c r="F103" i="9"/>
  <c r="F100" i="9"/>
  <c r="F101" i="9"/>
  <c r="F98" i="55"/>
  <c r="F100" i="55"/>
  <c r="F99" i="55"/>
  <c r="F101" i="55"/>
  <c r="F102" i="55"/>
  <c r="F103" i="55"/>
  <c r="F104" i="55"/>
  <c r="F105" i="46"/>
  <c r="F103" i="46"/>
  <c r="F104" i="46"/>
  <c r="F101" i="46"/>
  <c r="F102" i="46"/>
  <c r="F99" i="46"/>
  <c r="F100" i="46"/>
  <c r="F98" i="46"/>
  <c r="F98" i="23"/>
  <c r="F103" i="23"/>
  <c r="F104" i="23"/>
  <c r="F101" i="23"/>
  <c r="F102" i="23"/>
  <c r="F99" i="23"/>
  <c r="F100" i="23"/>
  <c r="F100" i="24"/>
  <c r="F101" i="24"/>
  <c r="F98" i="24"/>
  <c r="F99" i="24"/>
  <c r="F104" i="24"/>
  <c r="F102" i="24"/>
  <c r="F103" i="24"/>
  <c r="F102" i="22"/>
  <c r="F103" i="22"/>
  <c r="F100" i="22"/>
  <c r="F101" i="22"/>
  <c r="F98" i="22"/>
  <c r="F99" i="22"/>
  <c r="F104" i="22"/>
  <c r="F101" i="3"/>
  <c r="F102" i="3"/>
  <c r="F99" i="3"/>
  <c r="F100" i="3"/>
  <c r="F98" i="3"/>
  <c r="F103" i="3"/>
  <c r="F104" i="3"/>
  <c r="F102" i="41"/>
  <c r="F103" i="41"/>
  <c r="F100" i="41"/>
  <c r="F101" i="41"/>
  <c r="F98" i="41"/>
  <c r="F99" i="41"/>
  <c r="F104" i="41"/>
  <c r="F104" i="28"/>
  <c r="F102" i="28"/>
  <c r="F103" i="28"/>
  <c r="F100" i="28"/>
  <c r="F101" i="28"/>
  <c r="F98" i="28"/>
  <c r="F99" i="28"/>
  <c r="F105" i="44"/>
  <c r="F105" i="29"/>
  <c r="F105" i="55"/>
  <c r="F105" i="54"/>
  <c r="F105" i="41"/>
  <c r="F105" i="20"/>
  <c r="F105" i="18"/>
  <c r="F105" i="14"/>
  <c r="F105" i="10"/>
  <c r="F105" i="24"/>
  <c r="F105" i="50"/>
  <c r="F99" i="50"/>
  <c r="F100" i="50"/>
  <c r="F98" i="50"/>
  <c r="F103" i="50"/>
  <c r="F104" i="50"/>
  <c r="F101" i="50"/>
  <c r="F102" i="50"/>
  <c r="F98" i="53"/>
  <c r="F99" i="53"/>
  <c r="F104" i="53"/>
  <c r="F102" i="53"/>
  <c r="F103" i="53"/>
  <c r="F100" i="53"/>
  <c r="F101" i="53"/>
  <c r="F98" i="45"/>
  <c r="F99" i="45"/>
  <c r="F104" i="45"/>
  <c r="F102" i="45"/>
  <c r="F103" i="45"/>
  <c r="F105" i="45"/>
  <c r="F100" i="45"/>
  <c r="F101" i="45"/>
  <c r="F95" i="19"/>
  <c r="F99" i="19"/>
  <c r="F98" i="19"/>
  <c r="F101" i="19"/>
  <c r="F104" i="19"/>
  <c r="F103" i="19"/>
  <c r="F102" i="19"/>
  <c r="F100" i="19"/>
  <c r="F95" i="15"/>
  <c r="F101" i="15"/>
  <c r="F102" i="15"/>
  <c r="F99" i="15"/>
  <c r="F100" i="15"/>
  <c r="F98" i="15"/>
  <c r="F103" i="15"/>
  <c r="F104" i="15"/>
  <c r="F95" i="11"/>
  <c r="F104" i="11"/>
  <c r="F102" i="11"/>
  <c r="F103" i="11"/>
  <c r="F100" i="11"/>
  <c r="F101" i="11"/>
  <c r="F98" i="11"/>
  <c r="F99" i="11"/>
  <c r="F102" i="49"/>
  <c r="F103" i="49"/>
  <c r="F100" i="49"/>
  <c r="F101" i="49"/>
  <c r="F105" i="49"/>
  <c r="F98" i="49"/>
  <c r="F99" i="49"/>
  <c r="F104" i="49"/>
  <c r="F95" i="48"/>
  <c r="F101" i="48"/>
  <c r="F102" i="48"/>
  <c r="F99" i="48"/>
  <c r="F100" i="48"/>
  <c r="F98" i="48"/>
  <c r="F103" i="48"/>
  <c r="F104" i="48"/>
  <c r="F99" i="42"/>
  <c r="F100" i="42"/>
  <c r="F98" i="42"/>
  <c r="F103" i="42"/>
  <c r="F104" i="42"/>
  <c r="F101" i="42"/>
  <c r="F102" i="42"/>
  <c r="F98" i="40"/>
  <c r="F101" i="40"/>
  <c r="F100" i="40"/>
  <c r="F99" i="40"/>
  <c r="F102" i="40"/>
  <c r="F104" i="40"/>
  <c r="F103" i="40"/>
  <c r="F100" i="16"/>
  <c r="F101" i="16"/>
  <c r="F98" i="16"/>
  <c r="F99" i="16"/>
  <c r="F104" i="16"/>
  <c r="F102" i="16"/>
  <c r="F103" i="16"/>
  <c r="F103" i="12"/>
  <c r="F102" i="12"/>
  <c r="F100" i="12"/>
  <c r="F99" i="12"/>
  <c r="F98" i="12"/>
  <c r="F101" i="12"/>
  <c r="F104" i="12"/>
  <c r="F98" i="8"/>
  <c r="F103" i="8"/>
  <c r="F104" i="8"/>
  <c r="F101" i="8"/>
  <c r="F102" i="8"/>
  <c r="F99" i="8"/>
  <c r="F100" i="8"/>
  <c r="F99" i="6"/>
  <c r="F100" i="6"/>
  <c r="F98" i="6"/>
  <c r="F103" i="6"/>
  <c r="F104" i="6"/>
  <c r="F101" i="6"/>
  <c r="F102" i="6"/>
  <c r="F100" i="4"/>
  <c r="F101" i="4"/>
  <c r="F98" i="4"/>
  <c r="F99" i="4"/>
  <c r="F104" i="4"/>
  <c r="F102" i="4"/>
  <c r="F103" i="4"/>
  <c r="F102" i="59"/>
  <c r="F103" i="59"/>
  <c r="F100" i="59"/>
  <c r="F101" i="59"/>
  <c r="F98" i="59"/>
  <c r="F99" i="59"/>
  <c r="F104" i="59"/>
  <c r="F102" i="56"/>
  <c r="F100" i="56"/>
  <c r="F99" i="56"/>
  <c r="F98" i="56"/>
  <c r="F101" i="56"/>
  <c r="F104" i="56"/>
  <c r="F103" i="56"/>
  <c r="F98" i="52"/>
  <c r="F103" i="52"/>
  <c r="F104" i="52"/>
  <c r="F101" i="52"/>
  <c r="F102" i="52"/>
  <c r="F99" i="52"/>
  <c r="F100" i="52"/>
  <c r="F100" i="51"/>
  <c r="F101" i="51"/>
  <c r="F98" i="51"/>
  <c r="F99" i="51"/>
  <c r="F104" i="51"/>
  <c r="F102" i="51"/>
  <c r="F103" i="51"/>
  <c r="F105" i="36"/>
  <c r="F104" i="36"/>
  <c r="F102" i="36"/>
  <c r="F103" i="36"/>
  <c r="F100" i="36"/>
  <c r="F101" i="36"/>
  <c r="F98" i="36"/>
  <c r="F99" i="36"/>
  <c r="F99" i="21"/>
  <c r="F100" i="21"/>
  <c r="F98" i="21"/>
  <c r="F103" i="21"/>
  <c r="F104" i="21"/>
  <c r="F101" i="21"/>
  <c r="F102" i="21"/>
  <c r="F100" i="1"/>
  <c r="F99" i="1"/>
  <c r="F98" i="1"/>
  <c r="F101" i="1"/>
  <c r="F104" i="1"/>
  <c r="F103" i="1"/>
  <c r="F102" i="1"/>
  <c r="F100" i="43"/>
  <c r="F101" i="43"/>
  <c r="F98" i="43"/>
  <c r="F99" i="43"/>
  <c r="F104" i="43"/>
  <c r="F102" i="43"/>
  <c r="F103" i="43"/>
  <c r="F98" i="39"/>
  <c r="F103" i="39"/>
  <c r="F104" i="39"/>
  <c r="F101" i="39"/>
  <c r="F102" i="39"/>
  <c r="F99" i="39"/>
  <c r="F100" i="39"/>
  <c r="F102" i="30"/>
  <c r="F103" i="30"/>
  <c r="F100" i="30"/>
  <c r="F101" i="30"/>
  <c r="F98" i="30"/>
  <c r="F99" i="30"/>
  <c r="F104" i="30"/>
  <c r="F100" i="26"/>
  <c r="F99" i="26"/>
  <c r="F102" i="26"/>
  <c r="F104" i="26"/>
  <c r="F103" i="26"/>
  <c r="F98" i="26"/>
  <c r="F101" i="26"/>
  <c r="F105" i="19"/>
  <c r="F105" i="17"/>
  <c r="F105" i="15"/>
  <c r="F105" i="13"/>
  <c r="F105" i="11"/>
  <c r="F105" i="9"/>
  <c r="F105" i="51"/>
  <c r="F105" i="40"/>
  <c r="F105" i="31"/>
  <c r="F105" i="27"/>
  <c r="F105" i="23"/>
  <c r="F105" i="52"/>
  <c r="F105" i="43"/>
  <c r="F105" i="39"/>
  <c r="F105" i="28"/>
  <c r="F105" i="3"/>
  <c r="F105" i="53"/>
  <c r="F105" i="48"/>
  <c r="F105" i="22"/>
  <c r="F105" i="6"/>
  <c r="F105" i="59"/>
  <c r="E13" i="57"/>
  <c r="E12" i="57"/>
  <c r="E19" i="57"/>
  <c r="E30" i="57"/>
  <c r="E14" i="57"/>
  <c r="E17" i="57"/>
  <c r="E16" i="57"/>
  <c r="E5" i="57"/>
  <c r="E31" i="57"/>
  <c r="E15" i="57"/>
  <c r="E26" i="57"/>
  <c r="E10" i="57"/>
  <c r="E9" i="57"/>
  <c r="E8" i="57"/>
  <c r="D105" i="41"/>
  <c r="D105" i="30"/>
  <c r="D105" i="26"/>
  <c r="D105" i="43"/>
  <c r="D105" i="39"/>
  <c r="D105" i="28"/>
  <c r="D105" i="3"/>
  <c r="D105" i="1"/>
  <c r="D105" i="24"/>
  <c r="D105" i="22"/>
  <c r="D105" i="53"/>
  <c r="D105" i="50"/>
  <c r="D105" i="45"/>
  <c r="D105" i="37"/>
  <c r="D105" i="35"/>
  <c r="D105" i="33"/>
  <c r="D105" i="19"/>
  <c r="D105" i="15"/>
  <c r="D105" i="11"/>
  <c r="F95" i="53"/>
  <c r="F95" i="45"/>
  <c r="D105" i="42"/>
  <c r="D105" i="40"/>
  <c r="D105" i="18"/>
  <c r="F95" i="18"/>
  <c r="D105" i="16"/>
  <c r="F95" i="16"/>
  <c r="D105" i="14"/>
  <c r="F95" i="14"/>
  <c r="D105" i="12"/>
  <c r="F95" i="12"/>
  <c r="D105" i="10"/>
  <c r="F95" i="10"/>
  <c r="D105" i="9"/>
  <c r="D105" i="8"/>
  <c r="D105" i="6"/>
  <c r="D105" i="4"/>
  <c r="D105" i="59"/>
  <c r="D105" i="56"/>
  <c r="D105" i="52"/>
  <c r="D105" i="51"/>
  <c r="F95" i="51"/>
  <c r="F95" i="40"/>
  <c r="D105" i="23"/>
  <c r="D105" i="21"/>
  <c r="F95" i="6"/>
  <c r="F95" i="37"/>
  <c r="F95" i="33"/>
  <c r="D105" i="20"/>
  <c r="D105" i="17"/>
  <c r="D105" i="13"/>
  <c r="D105" i="49"/>
  <c r="F95" i="49"/>
  <c r="F95" i="50"/>
  <c r="D105" i="34"/>
  <c r="D105" i="32"/>
  <c r="D105" i="54"/>
  <c r="F95" i="54"/>
  <c r="D105" i="48"/>
  <c r="D105" i="44"/>
  <c r="F95" i="35"/>
  <c r="D105" i="31"/>
  <c r="D105" i="29"/>
  <c r="D105" i="27"/>
  <c r="D105" i="55"/>
  <c r="D105" i="46"/>
  <c r="D105" i="36"/>
  <c r="F95" i="34"/>
  <c r="F95" i="27"/>
  <c r="F95" i="59"/>
  <c r="F98" i="60" l="1"/>
  <c r="E24" i="57"/>
  <c r="F24" i="57" s="1"/>
  <c r="E25" i="57"/>
  <c r="E18" i="57"/>
  <c r="F18" i="57" s="1"/>
  <c r="E7" i="57"/>
  <c r="E23" i="57"/>
  <c r="E20" i="57"/>
  <c r="E21" i="57"/>
  <c r="E32" i="57"/>
  <c r="E6" i="57"/>
  <c r="F6" i="57" s="1"/>
  <c r="E22" i="57"/>
  <c r="E11" i="57"/>
  <c r="E27" i="57"/>
  <c r="E28" i="57"/>
  <c r="S59" i="63"/>
  <c r="T59" i="63" s="1"/>
  <c r="F104" i="60"/>
  <c r="U64" i="63" s="1"/>
  <c r="V64" i="63" s="1"/>
  <c r="F64" i="63"/>
  <c r="U26" i="63"/>
  <c r="V26" i="63" s="1"/>
  <c r="Q39" i="63"/>
  <c r="R39" i="63" s="1"/>
  <c r="S39" i="63"/>
  <c r="T39" i="63" s="1"/>
  <c r="F101" i="60"/>
  <c r="O64" i="63" s="1"/>
  <c r="P64" i="63" s="1"/>
  <c r="F99" i="60"/>
  <c r="K64" i="63" s="1"/>
  <c r="L64" i="63" s="1"/>
  <c r="F27" i="57"/>
  <c r="X4" i="62" s="1"/>
  <c r="F32" i="57"/>
  <c r="F30" i="57"/>
  <c r="F100" i="60"/>
  <c r="G64" i="63" s="1"/>
  <c r="H64" i="63" s="1"/>
  <c r="F102" i="60"/>
  <c r="F103" i="60"/>
  <c r="S64" i="63" s="1"/>
  <c r="T64" i="63" s="1"/>
  <c r="D105" i="60"/>
  <c r="E9" i="60" s="1"/>
  <c r="F9" i="60" s="1"/>
  <c r="F95" i="60"/>
  <c r="O39" i="63"/>
  <c r="P39" i="63" s="1"/>
  <c r="F11" i="57"/>
  <c r="F8" i="57"/>
  <c r="F23" i="57"/>
  <c r="F29" i="57"/>
  <c r="N10" i="63"/>
  <c r="G57" i="63"/>
  <c r="H57" i="63" s="1"/>
  <c r="N45" i="63"/>
  <c r="F19" i="57"/>
  <c r="F9" i="57"/>
  <c r="F22" i="57"/>
  <c r="F7" i="57"/>
  <c r="F28" i="57"/>
  <c r="F118" i="56"/>
  <c r="F118" i="4"/>
  <c r="F118" i="8"/>
  <c r="F118" i="21"/>
  <c r="F118" i="22"/>
  <c r="F118" i="23"/>
  <c r="F118" i="24"/>
  <c r="F118" i="29"/>
  <c r="F118" i="32"/>
  <c r="F118" i="36"/>
  <c r="F122" i="36" s="1"/>
  <c r="F118" i="40"/>
  <c r="F118" i="50"/>
  <c r="F118" i="51"/>
  <c r="F118" i="12"/>
  <c r="F118" i="13"/>
  <c r="F118" i="14"/>
  <c r="F118" i="16"/>
  <c r="F118" i="17"/>
  <c r="F118" i="18"/>
  <c r="F118" i="19"/>
  <c r="F122" i="19" s="1"/>
  <c r="F118" i="20"/>
  <c r="F118" i="1"/>
  <c r="F118" i="3"/>
  <c r="F118" i="5"/>
  <c r="F118" i="7"/>
  <c r="F118" i="33"/>
  <c r="F118" i="35"/>
  <c r="F118" i="37"/>
  <c r="F118" i="26"/>
  <c r="F118" i="28"/>
  <c r="F118" i="30"/>
  <c r="F118" i="38"/>
  <c r="F118" i="39"/>
  <c r="F122" i="39" s="1"/>
  <c r="F118" i="41"/>
  <c r="F118" i="43"/>
  <c r="F118" i="47"/>
  <c r="F118" i="59"/>
  <c r="F118" i="6"/>
  <c r="F118" i="25"/>
  <c r="F118" i="27"/>
  <c r="F118" i="31"/>
  <c r="F118" i="34"/>
  <c r="F118" i="45"/>
  <c r="F122" i="45" s="1"/>
  <c r="F118" i="42"/>
  <c r="F118" i="46"/>
  <c r="F118" i="48"/>
  <c r="F118" i="53"/>
  <c r="F118" i="9"/>
  <c r="F118" i="10"/>
  <c r="F118" i="15"/>
  <c r="F118" i="44"/>
  <c r="F118" i="52"/>
  <c r="F118" i="54"/>
  <c r="F118" i="55"/>
  <c r="F122" i="55" s="1"/>
  <c r="F118" i="49"/>
  <c r="F118" i="11"/>
  <c r="I64" i="63"/>
  <c r="J64" i="63" s="1"/>
  <c r="F16" i="63"/>
  <c r="F13" i="57"/>
  <c r="F16" i="57"/>
  <c r="F10" i="57"/>
  <c r="F26" i="57"/>
  <c r="F17" i="57"/>
  <c r="F12" i="57"/>
  <c r="F14" i="57"/>
  <c r="F15" i="57"/>
  <c r="F31" i="57"/>
  <c r="S57" i="63"/>
  <c r="T57" i="63" s="1"/>
  <c r="I57" i="63"/>
  <c r="J57" i="63" s="1"/>
  <c r="S17" i="63"/>
  <c r="T17" i="63" s="1"/>
  <c r="N17" i="63"/>
  <c r="U59" i="63"/>
  <c r="V59" i="63" s="1"/>
  <c r="O57" i="63"/>
  <c r="P57" i="63" s="1"/>
  <c r="O17" i="63"/>
  <c r="P17" i="63" s="1"/>
  <c r="F55" i="63"/>
  <c r="F21" i="63"/>
  <c r="N47" i="63"/>
  <c r="F63" i="63"/>
  <c r="F34" i="63"/>
  <c r="N57" i="63"/>
  <c r="F33" i="63"/>
  <c r="I17" i="63"/>
  <c r="J17" i="63" s="1"/>
  <c r="G17" i="63"/>
  <c r="H17" i="63" s="1"/>
  <c r="Q17" i="63"/>
  <c r="R17" i="63" s="1"/>
  <c r="U17" i="63"/>
  <c r="V17" i="63" s="1"/>
  <c r="K17" i="63"/>
  <c r="L17" i="63" s="1"/>
  <c r="K57" i="63"/>
  <c r="L57" i="63" s="1"/>
  <c r="G59" i="63"/>
  <c r="H59" i="63" s="1"/>
  <c r="F25" i="63"/>
  <c r="F12" i="63"/>
  <c r="F19" i="63"/>
  <c r="F59" i="63"/>
  <c r="F57" i="63"/>
  <c r="N51" i="63"/>
  <c r="N36" i="63"/>
  <c r="N38" i="63"/>
  <c r="F49" i="63"/>
  <c r="Q59" i="63"/>
  <c r="R59" i="63" s="1"/>
  <c r="U57" i="63"/>
  <c r="V57" i="63" s="1"/>
  <c r="K59" i="63"/>
  <c r="L59" i="63" s="1"/>
  <c r="Q57" i="63"/>
  <c r="R57" i="63" s="1"/>
  <c r="O59" i="63"/>
  <c r="P59" i="63" s="1"/>
  <c r="I59" i="63"/>
  <c r="J59" i="63" s="1"/>
  <c r="F61" i="63"/>
  <c r="F29" i="63"/>
  <c r="F28" i="63"/>
  <c r="F13" i="63"/>
  <c r="F21" i="57"/>
  <c r="F20" i="57"/>
  <c r="F25" i="57"/>
  <c r="F58" i="63"/>
  <c r="I26" i="63"/>
  <c r="J26" i="63" s="1"/>
  <c r="Q26" i="63"/>
  <c r="R26" i="63" s="1"/>
  <c r="K26" i="63"/>
  <c r="L26" i="63" s="1"/>
  <c r="O26" i="63"/>
  <c r="P26" i="63" s="1"/>
  <c r="F20" i="63"/>
  <c r="F23" i="63"/>
  <c r="F11" i="63"/>
  <c r="F18" i="63"/>
  <c r="F60" i="63"/>
  <c r="G26" i="63"/>
  <c r="H26" i="63" s="1"/>
  <c r="S26" i="63"/>
  <c r="T26" i="63" s="1"/>
  <c r="F56" i="63"/>
  <c r="F44" i="63"/>
  <c r="F27" i="63"/>
  <c r="F46" i="63"/>
  <c r="N48" i="63"/>
  <c r="N53" i="63"/>
  <c r="N50" i="63"/>
  <c r="F52" i="63"/>
  <c r="F31" i="63"/>
  <c r="F54" i="63"/>
  <c r="F14" i="63"/>
  <c r="F9" i="63"/>
  <c r="F26" i="63"/>
  <c r="N26" i="63"/>
  <c r="F22" i="63"/>
  <c r="I38" i="63"/>
  <c r="J38" i="63" s="1"/>
  <c r="U38" i="63"/>
  <c r="V38" i="63" s="1"/>
  <c r="K38" i="63"/>
  <c r="L38" i="63" s="1"/>
  <c r="U34" i="63"/>
  <c r="V34" i="63" s="1"/>
  <c r="I34" i="63"/>
  <c r="J34" i="63" s="1"/>
  <c r="G34" i="63"/>
  <c r="H34" i="63" s="1"/>
  <c r="Q34" i="63"/>
  <c r="R34" i="63" s="1"/>
  <c r="K25" i="63"/>
  <c r="L25" i="63" s="1"/>
  <c r="O25" i="63"/>
  <c r="P25" i="63" s="1"/>
  <c r="S25" i="63"/>
  <c r="T25" i="63" s="1"/>
  <c r="S21" i="63"/>
  <c r="T21" i="63" s="1"/>
  <c r="U21" i="63"/>
  <c r="V21" i="63" s="1"/>
  <c r="I21" i="63"/>
  <c r="J21" i="63" s="1"/>
  <c r="G21" i="63"/>
  <c r="H21" i="63" s="1"/>
  <c r="S63" i="63"/>
  <c r="T63" i="63" s="1"/>
  <c r="O63" i="63"/>
  <c r="P63" i="63" s="1"/>
  <c r="K63" i="63"/>
  <c r="L63" i="63" s="1"/>
  <c r="Q43" i="63"/>
  <c r="R43" i="63" s="1"/>
  <c r="U43" i="63"/>
  <c r="V43" i="63" s="1"/>
  <c r="I43" i="63"/>
  <c r="J43" i="63" s="1"/>
  <c r="K43" i="63"/>
  <c r="L43" i="63" s="1"/>
  <c r="I28" i="63"/>
  <c r="J28" i="63" s="1"/>
  <c r="G28" i="63"/>
  <c r="H28" i="63" s="1"/>
  <c r="Q28" i="63"/>
  <c r="R28" i="63" s="1"/>
  <c r="Q13" i="63"/>
  <c r="R13" i="63" s="1"/>
  <c r="K13" i="63"/>
  <c r="L13" i="63" s="1"/>
  <c r="O13" i="63"/>
  <c r="P13" i="63" s="1"/>
  <c r="G12" i="63"/>
  <c r="H12" i="63" s="1"/>
  <c r="Q12" i="63"/>
  <c r="R12" i="63" s="1"/>
  <c r="U12" i="63"/>
  <c r="V12" i="63" s="1"/>
  <c r="I12" i="63"/>
  <c r="J12" i="63" s="1"/>
  <c r="U8" i="63"/>
  <c r="V8" i="63" s="1"/>
  <c r="I8" i="63"/>
  <c r="J8" i="63" s="1"/>
  <c r="G8" i="63"/>
  <c r="H8" i="63" s="1"/>
  <c r="U62" i="63"/>
  <c r="V62" i="63" s="1"/>
  <c r="I62" i="63"/>
  <c r="J62" i="63" s="1"/>
  <c r="G62" i="63"/>
  <c r="H62" i="63" s="1"/>
  <c r="Q62" i="63"/>
  <c r="R62" i="63" s="1"/>
  <c r="Q60" i="63"/>
  <c r="R60" i="63" s="1"/>
  <c r="K60" i="63"/>
  <c r="L60" i="63" s="1"/>
  <c r="O60" i="63"/>
  <c r="P60" i="63" s="1"/>
  <c r="Q58" i="63"/>
  <c r="R58" i="63" s="1"/>
  <c r="U58" i="63"/>
  <c r="V58" i="63" s="1"/>
  <c r="I58" i="63"/>
  <c r="J58" i="63" s="1"/>
  <c r="K58" i="63"/>
  <c r="L58" i="63" s="1"/>
  <c r="K56" i="63"/>
  <c r="L56" i="63" s="1"/>
  <c r="O56" i="63"/>
  <c r="P56" i="63" s="1"/>
  <c r="S56" i="63"/>
  <c r="T56" i="63" s="1"/>
  <c r="U52" i="63"/>
  <c r="V52" i="63" s="1"/>
  <c r="I52" i="63"/>
  <c r="J52" i="63" s="1"/>
  <c r="G52" i="63"/>
  <c r="H52" i="63" s="1"/>
  <c r="S52" i="63"/>
  <c r="T52" i="63" s="1"/>
  <c r="Q48" i="63"/>
  <c r="R48" i="63" s="1"/>
  <c r="K48" i="63"/>
  <c r="L48" i="63" s="1"/>
  <c r="O48" i="63"/>
  <c r="P48" i="63" s="1"/>
  <c r="S24" i="63"/>
  <c r="T24" i="63" s="1"/>
  <c r="Q24" i="63"/>
  <c r="R24" i="63" s="1"/>
  <c r="G24" i="63"/>
  <c r="H24" i="63" s="1"/>
  <c r="I24" i="63"/>
  <c r="J24" i="63" s="1"/>
  <c r="O22" i="63"/>
  <c r="P22" i="63" s="1"/>
  <c r="S22" i="63"/>
  <c r="T22" i="63" s="1"/>
  <c r="G22" i="63"/>
  <c r="H22" i="63" s="1"/>
  <c r="U16" i="63"/>
  <c r="V16" i="63" s="1"/>
  <c r="I16" i="63"/>
  <c r="J16" i="63" s="1"/>
  <c r="K16" i="63"/>
  <c r="L16" i="63" s="1"/>
  <c r="O16" i="63"/>
  <c r="P16" i="63" s="1"/>
  <c r="U15" i="63"/>
  <c r="V15" i="63" s="1"/>
  <c r="I15" i="63"/>
  <c r="J15" i="63" s="1"/>
  <c r="O15" i="63"/>
  <c r="P15" i="63" s="1"/>
  <c r="S15" i="63"/>
  <c r="T15" i="63" s="1"/>
  <c r="U49" i="63"/>
  <c r="V49" i="63" s="1"/>
  <c r="I49" i="63"/>
  <c r="J49" i="63" s="1"/>
  <c r="K49" i="63"/>
  <c r="L49" i="63" s="1"/>
  <c r="O49" i="63"/>
  <c r="P49" i="63" s="1"/>
  <c r="G45" i="63"/>
  <c r="H45" i="63" s="1"/>
  <c r="S45" i="63"/>
  <c r="T45" i="63" s="1"/>
  <c r="O45" i="63"/>
  <c r="P45" i="63" s="1"/>
  <c r="K45" i="63"/>
  <c r="L45" i="63" s="1"/>
  <c r="O19" i="63"/>
  <c r="P19" i="63" s="1"/>
  <c r="Q19" i="63"/>
  <c r="R19" i="63" s="1"/>
  <c r="K19" i="63"/>
  <c r="L19" i="63" s="1"/>
  <c r="O11" i="63"/>
  <c r="P11" i="63" s="1"/>
  <c r="S11" i="63"/>
  <c r="T11" i="63" s="1"/>
  <c r="U11" i="63"/>
  <c r="V11" i="63" s="1"/>
  <c r="I11" i="63"/>
  <c r="J11" i="63" s="1"/>
  <c r="O14" i="63"/>
  <c r="P14" i="63" s="1"/>
  <c r="S14" i="63"/>
  <c r="T14" i="63" s="1"/>
  <c r="G14" i="63"/>
  <c r="H14" i="63" s="1"/>
  <c r="K36" i="63"/>
  <c r="L36" i="63" s="1"/>
  <c r="O36" i="63"/>
  <c r="P36" i="63" s="1"/>
  <c r="S36" i="63"/>
  <c r="T36" i="63" s="1"/>
  <c r="U36" i="63"/>
  <c r="V36" i="63" s="1"/>
  <c r="K23" i="63"/>
  <c r="L23" i="63" s="1"/>
  <c r="O23" i="63"/>
  <c r="P23" i="63" s="1"/>
  <c r="S23" i="63"/>
  <c r="T23" i="63" s="1"/>
  <c r="U61" i="63"/>
  <c r="V61" i="63" s="1"/>
  <c r="I61" i="63"/>
  <c r="J61" i="63" s="1"/>
  <c r="K61" i="63"/>
  <c r="L61" i="63" s="1"/>
  <c r="O61" i="63"/>
  <c r="P61" i="63" s="1"/>
  <c r="K42" i="63"/>
  <c r="L42" i="63" s="1"/>
  <c r="O42" i="63"/>
  <c r="P42" i="63" s="1"/>
  <c r="S42" i="63"/>
  <c r="T42" i="63" s="1"/>
  <c r="S40" i="63"/>
  <c r="T40" i="63" s="1"/>
  <c r="U40" i="63"/>
  <c r="V40" i="63" s="1"/>
  <c r="I40" i="63"/>
  <c r="J40" i="63" s="1"/>
  <c r="G40" i="63"/>
  <c r="H40" i="63" s="1"/>
  <c r="K41" i="63"/>
  <c r="L41" i="63" s="1"/>
  <c r="O41" i="63"/>
  <c r="P41" i="63" s="1"/>
  <c r="S41" i="63"/>
  <c r="T41" i="63" s="1"/>
  <c r="I18" i="63"/>
  <c r="J18" i="63" s="1"/>
  <c r="K18" i="63"/>
  <c r="L18" i="63" s="1"/>
  <c r="O18" i="63"/>
  <c r="P18" i="63" s="1"/>
  <c r="S18" i="63"/>
  <c r="T18" i="63" s="1"/>
  <c r="U9" i="63"/>
  <c r="V9" i="63" s="1"/>
  <c r="Q9" i="63"/>
  <c r="R9" i="63" s="1"/>
  <c r="K9" i="63"/>
  <c r="L9" i="63" s="1"/>
  <c r="I9" i="63"/>
  <c r="J9" i="63" s="1"/>
  <c r="G55" i="63"/>
  <c r="H55" i="63" s="1"/>
  <c r="Q55" i="63"/>
  <c r="R55" i="63" s="1"/>
  <c r="K55" i="63"/>
  <c r="L55" i="63" s="1"/>
  <c r="I54" i="63"/>
  <c r="J54" i="63" s="1"/>
  <c r="K54" i="63"/>
  <c r="L54" i="63" s="1"/>
  <c r="O54" i="63"/>
  <c r="P54" i="63" s="1"/>
  <c r="S54" i="63"/>
  <c r="T54" i="63" s="1"/>
  <c r="K50" i="63"/>
  <c r="L50" i="63" s="1"/>
  <c r="O50" i="63"/>
  <c r="P50" i="63" s="1"/>
  <c r="S50" i="63"/>
  <c r="T50" i="63" s="1"/>
  <c r="O46" i="63"/>
  <c r="P46" i="63" s="1"/>
  <c r="S46" i="63"/>
  <c r="T46" i="63" s="1"/>
  <c r="U46" i="63"/>
  <c r="V46" i="63" s="1"/>
  <c r="I46" i="63"/>
  <c r="J46" i="63" s="1"/>
  <c r="S37" i="63"/>
  <c r="T37" i="63" s="1"/>
  <c r="G37" i="63"/>
  <c r="H37" i="63" s="1"/>
  <c r="Q37" i="63"/>
  <c r="R37" i="63" s="1"/>
  <c r="Q35" i="63"/>
  <c r="R35" i="63" s="1"/>
  <c r="U35" i="63"/>
  <c r="V35" i="63" s="1"/>
  <c r="I35" i="63"/>
  <c r="J35" i="63" s="1"/>
  <c r="K35" i="63"/>
  <c r="L35" i="63" s="1"/>
  <c r="K33" i="63"/>
  <c r="L33" i="63" s="1"/>
  <c r="O33" i="63"/>
  <c r="P33" i="63" s="1"/>
  <c r="S33" i="63"/>
  <c r="T33" i="63" s="1"/>
  <c r="K20" i="63"/>
  <c r="L20" i="63" s="1"/>
  <c r="O20" i="63"/>
  <c r="P20" i="63" s="1"/>
  <c r="S20" i="63"/>
  <c r="T20" i="63" s="1"/>
  <c r="K10" i="63"/>
  <c r="L10" i="63" s="1"/>
  <c r="Q10" i="63"/>
  <c r="R10" i="63" s="1"/>
  <c r="U10" i="63"/>
  <c r="V10" i="63" s="1"/>
  <c r="S32" i="63"/>
  <c r="T32" i="63" s="1"/>
  <c r="U32" i="63"/>
  <c r="V32" i="63" s="1"/>
  <c r="K32" i="63"/>
  <c r="L32" i="63" s="1"/>
  <c r="O32" i="63"/>
  <c r="P32" i="63" s="1"/>
  <c r="G30" i="63"/>
  <c r="H30" i="63" s="1"/>
  <c r="Q30" i="63"/>
  <c r="R30" i="63" s="1"/>
  <c r="K30" i="63"/>
  <c r="L30" i="63" s="1"/>
  <c r="G51" i="63"/>
  <c r="H51" i="63" s="1"/>
  <c r="Q51" i="63"/>
  <c r="R51" i="63" s="1"/>
  <c r="U51" i="63"/>
  <c r="V51" i="63" s="1"/>
  <c r="O47" i="63"/>
  <c r="P47" i="63" s="1"/>
  <c r="S47" i="63"/>
  <c r="T47" i="63" s="1"/>
  <c r="G47" i="63"/>
  <c r="H47" i="63" s="1"/>
  <c r="I44" i="63"/>
  <c r="J44" i="63" s="1"/>
  <c r="G44" i="63"/>
  <c r="H44" i="63" s="1"/>
  <c r="Q44" i="63"/>
  <c r="R44" i="63" s="1"/>
  <c r="G31" i="63"/>
  <c r="H31" i="63" s="1"/>
  <c r="Q31" i="63"/>
  <c r="R31" i="63" s="1"/>
  <c r="S31" i="63"/>
  <c r="T31" i="63" s="1"/>
  <c r="S29" i="63"/>
  <c r="T29" i="63" s="1"/>
  <c r="K29" i="63"/>
  <c r="L29" i="63" s="1"/>
  <c r="O29" i="63"/>
  <c r="P29" i="63" s="1"/>
  <c r="O27" i="63"/>
  <c r="P27" i="63" s="1"/>
  <c r="S27" i="63"/>
  <c r="T27" i="63" s="1"/>
  <c r="I27" i="63"/>
  <c r="J27" i="63" s="1"/>
  <c r="K27" i="63"/>
  <c r="L27" i="63" s="1"/>
  <c r="F24" i="63"/>
  <c r="AA4" i="62"/>
  <c r="O38" i="63"/>
  <c r="P38" i="63" s="1"/>
  <c r="S38" i="63"/>
  <c r="T38" i="63" s="1"/>
  <c r="Q38" i="63"/>
  <c r="R38" i="63" s="1"/>
  <c r="G38" i="63"/>
  <c r="H38" i="63" s="1"/>
  <c r="K34" i="63"/>
  <c r="L34" i="63" s="1"/>
  <c r="O34" i="63"/>
  <c r="P34" i="63" s="1"/>
  <c r="S34" i="63"/>
  <c r="T34" i="63" s="1"/>
  <c r="G25" i="63"/>
  <c r="H25" i="63" s="1"/>
  <c r="Q25" i="63"/>
  <c r="R25" i="63" s="1"/>
  <c r="U25" i="63"/>
  <c r="V25" i="63" s="1"/>
  <c r="I25" i="63"/>
  <c r="J25" i="63" s="1"/>
  <c r="Q21" i="63"/>
  <c r="R21" i="63" s="1"/>
  <c r="K21" i="63"/>
  <c r="L21" i="63" s="1"/>
  <c r="O21" i="63"/>
  <c r="P21" i="63" s="1"/>
  <c r="Q63" i="63"/>
  <c r="R63" i="63" s="1"/>
  <c r="U63" i="63"/>
  <c r="V63" i="63" s="1"/>
  <c r="I63" i="63"/>
  <c r="J63" i="63" s="1"/>
  <c r="G63" i="63"/>
  <c r="H63" i="63" s="1"/>
  <c r="O43" i="63"/>
  <c r="P43" i="63" s="1"/>
  <c r="S43" i="63"/>
  <c r="T43" i="63" s="1"/>
  <c r="G43" i="63"/>
  <c r="H43" i="63" s="1"/>
  <c r="K28" i="63"/>
  <c r="L28" i="63" s="1"/>
  <c r="O28" i="63"/>
  <c r="P28" i="63" s="1"/>
  <c r="S28" i="63"/>
  <c r="T28" i="63" s="1"/>
  <c r="U28" i="63"/>
  <c r="V28" i="63" s="1"/>
  <c r="S13" i="63"/>
  <c r="T13" i="63" s="1"/>
  <c r="U13" i="63"/>
  <c r="V13" i="63" s="1"/>
  <c r="I13" i="63"/>
  <c r="J13" i="63" s="1"/>
  <c r="G13" i="63"/>
  <c r="H13" i="63" s="1"/>
  <c r="K12" i="63"/>
  <c r="L12" i="63" s="1"/>
  <c r="O12" i="63"/>
  <c r="P12" i="63" s="1"/>
  <c r="S12" i="63"/>
  <c r="T12" i="63" s="1"/>
  <c r="S8" i="63"/>
  <c r="T8" i="63" s="1"/>
  <c r="O8" i="63"/>
  <c r="P8" i="63" s="1"/>
  <c r="K8" i="63"/>
  <c r="L8" i="63" s="1"/>
  <c r="Q8" i="63"/>
  <c r="R8" i="63" s="1"/>
  <c r="K62" i="63"/>
  <c r="L62" i="63" s="1"/>
  <c r="O62" i="63"/>
  <c r="P62" i="63" s="1"/>
  <c r="S62" i="63"/>
  <c r="T62" i="63" s="1"/>
  <c r="S60" i="63"/>
  <c r="T60" i="63" s="1"/>
  <c r="U60" i="63"/>
  <c r="V60" i="63" s="1"/>
  <c r="I60" i="63"/>
  <c r="J60" i="63" s="1"/>
  <c r="G60" i="63"/>
  <c r="H60" i="63" s="1"/>
  <c r="O58" i="63"/>
  <c r="P58" i="63" s="1"/>
  <c r="S58" i="63"/>
  <c r="T58" i="63" s="1"/>
  <c r="G58" i="63"/>
  <c r="H58" i="63" s="1"/>
  <c r="G56" i="63"/>
  <c r="H56" i="63" s="1"/>
  <c r="Q56" i="63"/>
  <c r="R56" i="63" s="1"/>
  <c r="U56" i="63"/>
  <c r="V56" i="63" s="1"/>
  <c r="I56" i="63"/>
  <c r="J56" i="63" s="1"/>
  <c r="O52" i="63"/>
  <c r="P52" i="63" s="1"/>
  <c r="K52" i="63"/>
  <c r="L52" i="63" s="1"/>
  <c r="Q52" i="63"/>
  <c r="R52" i="63" s="1"/>
  <c r="S48" i="63"/>
  <c r="T48" i="63" s="1"/>
  <c r="U48" i="63"/>
  <c r="V48" i="63" s="1"/>
  <c r="I48" i="63"/>
  <c r="J48" i="63" s="1"/>
  <c r="G48" i="63"/>
  <c r="H48" i="63" s="1"/>
  <c r="U24" i="63"/>
  <c r="V24" i="63" s="1"/>
  <c r="K24" i="63"/>
  <c r="L24" i="63" s="1"/>
  <c r="O24" i="63"/>
  <c r="P24" i="63" s="1"/>
  <c r="Q22" i="63"/>
  <c r="R22" i="63" s="1"/>
  <c r="U22" i="63"/>
  <c r="V22" i="63" s="1"/>
  <c r="I22" i="63"/>
  <c r="J22" i="63" s="1"/>
  <c r="K22" i="63"/>
  <c r="L22" i="63" s="1"/>
  <c r="S16" i="63"/>
  <c r="T16" i="63" s="1"/>
  <c r="G16" i="63"/>
  <c r="H16" i="63" s="1"/>
  <c r="Q16" i="63"/>
  <c r="R16" i="63" s="1"/>
  <c r="K15" i="63"/>
  <c r="L15" i="63" s="1"/>
  <c r="G15" i="63"/>
  <c r="H15" i="63" s="1"/>
  <c r="Q15" i="63"/>
  <c r="R15" i="63" s="1"/>
  <c r="S49" i="63"/>
  <c r="T49" i="63" s="1"/>
  <c r="G49" i="63"/>
  <c r="H49" i="63" s="1"/>
  <c r="Q49" i="63"/>
  <c r="R49" i="63" s="1"/>
  <c r="Q45" i="63"/>
  <c r="R45" i="63" s="1"/>
  <c r="U45" i="63"/>
  <c r="V45" i="63" s="1"/>
  <c r="I45" i="63"/>
  <c r="J45" i="63" s="1"/>
  <c r="G19" i="63"/>
  <c r="H19" i="63" s="1"/>
  <c r="S19" i="63"/>
  <c r="T19" i="63" s="1"/>
  <c r="U19" i="63"/>
  <c r="V19" i="63" s="1"/>
  <c r="I19" i="63"/>
  <c r="J19" i="63" s="1"/>
  <c r="G11" i="63"/>
  <c r="H11" i="63" s="1"/>
  <c r="Q11" i="63"/>
  <c r="R11" i="63" s="1"/>
  <c r="K11" i="63"/>
  <c r="L11" i="63" s="1"/>
  <c r="Q14" i="63"/>
  <c r="R14" i="63" s="1"/>
  <c r="U14" i="63"/>
  <c r="V14" i="63" s="1"/>
  <c r="I14" i="63"/>
  <c r="J14" i="63" s="1"/>
  <c r="K14" i="63"/>
  <c r="L14" i="63" s="1"/>
  <c r="I36" i="63"/>
  <c r="J36" i="63" s="1"/>
  <c r="G36" i="63"/>
  <c r="H36" i="63" s="1"/>
  <c r="Q36" i="63"/>
  <c r="R36" i="63" s="1"/>
  <c r="U23" i="63"/>
  <c r="V23" i="63" s="1"/>
  <c r="I23" i="63"/>
  <c r="J23" i="63" s="1"/>
  <c r="G23" i="63"/>
  <c r="H23" i="63" s="1"/>
  <c r="Q23" i="63"/>
  <c r="R23" i="63" s="1"/>
  <c r="S61" i="63"/>
  <c r="T61" i="63" s="1"/>
  <c r="G61" i="63"/>
  <c r="H61" i="63" s="1"/>
  <c r="Q61" i="63"/>
  <c r="R61" i="63" s="1"/>
  <c r="U42" i="63"/>
  <c r="V42" i="63" s="1"/>
  <c r="I42" i="63"/>
  <c r="J42" i="63" s="1"/>
  <c r="G42" i="63"/>
  <c r="H42" i="63" s="1"/>
  <c r="Q42" i="63"/>
  <c r="R42" i="63" s="1"/>
  <c r="Q40" i="63"/>
  <c r="R40" i="63" s="1"/>
  <c r="K40" i="63"/>
  <c r="L40" i="63" s="1"/>
  <c r="O40" i="63"/>
  <c r="P40" i="63" s="1"/>
  <c r="G41" i="63"/>
  <c r="H41" i="63" s="1"/>
  <c r="Q41" i="63"/>
  <c r="R41" i="63" s="1"/>
  <c r="U41" i="63"/>
  <c r="V41" i="63" s="1"/>
  <c r="I41" i="63"/>
  <c r="J41" i="63" s="1"/>
  <c r="G18" i="63"/>
  <c r="H18" i="63" s="1"/>
  <c r="Q18" i="63"/>
  <c r="R18" i="63" s="1"/>
  <c r="U18" i="63"/>
  <c r="V18" i="63" s="1"/>
  <c r="S9" i="63"/>
  <c r="T9" i="63" s="1"/>
  <c r="O9" i="63"/>
  <c r="P9" i="63" s="1"/>
  <c r="G9" i="63"/>
  <c r="H9" i="63" s="1"/>
  <c r="O55" i="63"/>
  <c r="P55" i="63" s="1"/>
  <c r="S55" i="63"/>
  <c r="T55" i="63" s="1"/>
  <c r="U55" i="63"/>
  <c r="V55" i="63" s="1"/>
  <c r="I55" i="63"/>
  <c r="J55" i="63" s="1"/>
  <c r="G54" i="63"/>
  <c r="H54" i="63" s="1"/>
  <c r="Q54" i="63"/>
  <c r="R54" i="63" s="1"/>
  <c r="U54" i="63"/>
  <c r="V54" i="63" s="1"/>
  <c r="U50" i="63"/>
  <c r="V50" i="63" s="1"/>
  <c r="I50" i="63"/>
  <c r="J50" i="63" s="1"/>
  <c r="G50" i="63"/>
  <c r="H50" i="63" s="1"/>
  <c r="Q50" i="63"/>
  <c r="R50" i="63" s="1"/>
  <c r="G46" i="63"/>
  <c r="H46" i="63" s="1"/>
  <c r="Q46" i="63"/>
  <c r="R46" i="63" s="1"/>
  <c r="K46" i="63"/>
  <c r="L46" i="63" s="1"/>
  <c r="U37" i="63"/>
  <c r="V37" i="63" s="1"/>
  <c r="I37" i="63"/>
  <c r="J37" i="63" s="1"/>
  <c r="K37" i="63"/>
  <c r="L37" i="63" s="1"/>
  <c r="O37" i="63"/>
  <c r="P37" i="63" s="1"/>
  <c r="O35" i="63"/>
  <c r="P35" i="63" s="1"/>
  <c r="S35" i="63"/>
  <c r="T35" i="63" s="1"/>
  <c r="G35" i="63"/>
  <c r="H35" i="63" s="1"/>
  <c r="G33" i="63"/>
  <c r="H33" i="63" s="1"/>
  <c r="Q33" i="63"/>
  <c r="R33" i="63" s="1"/>
  <c r="U33" i="63"/>
  <c r="V33" i="63" s="1"/>
  <c r="I33" i="63"/>
  <c r="J33" i="63" s="1"/>
  <c r="G20" i="63"/>
  <c r="H20" i="63" s="1"/>
  <c r="Q20" i="63"/>
  <c r="R20" i="63" s="1"/>
  <c r="U20" i="63"/>
  <c r="V20" i="63" s="1"/>
  <c r="I20" i="63"/>
  <c r="J20" i="63" s="1"/>
  <c r="I10" i="63"/>
  <c r="J10" i="63" s="1"/>
  <c r="G10" i="63"/>
  <c r="H10" i="63" s="1"/>
  <c r="S10" i="63"/>
  <c r="T10" i="63" s="1"/>
  <c r="O10" i="63"/>
  <c r="P10" i="63" s="1"/>
  <c r="Q32" i="63"/>
  <c r="R32" i="63" s="1"/>
  <c r="I32" i="63"/>
  <c r="J32" i="63" s="1"/>
  <c r="G32" i="63"/>
  <c r="H32" i="63" s="1"/>
  <c r="O30" i="63"/>
  <c r="P30" i="63" s="1"/>
  <c r="S30" i="63"/>
  <c r="T30" i="63" s="1"/>
  <c r="U30" i="63"/>
  <c r="V30" i="63" s="1"/>
  <c r="I30" i="63"/>
  <c r="J30" i="63" s="1"/>
  <c r="I51" i="63"/>
  <c r="J51" i="63" s="1"/>
  <c r="K51" i="63"/>
  <c r="L51" i="63" s="1"/>
  <c r="O51" i="63"/>
  <c r="P51" i="63" s="1"/>
  <c r="S51" i="63"/>
  <c r="T51" i="63" s="1"/>
  <c r="Q47" i="63"/>
  <c r="R47" i="63" s="1"/>
  <c r="U47" i="63"/>
  <c r="V47" i="63" s="1"/>
  <c r="I47" i="63"/>
  <c r="J47" i="63" s="1"/>
  <c r="K47" i="63"/>
  <c r="L47" i="63" s="1"/>
  <c r="K44" i="63"/>
  <c r="L44" i="63" s="1"/>
  <c r="O44" i="63"/>
  <c r="P44" i="63" s="1"/>
  <c r="S44" i="63"/>
  <c r="T44" i="63" s="1"/>
  <c r="U44" i="63"/>
  <c r="V44" i="63" s="1"/>
  <c r="I31" i="63"/>
  <c r="J31" i="63" s="1"/>
  <c r="K31" i="63"/>
  <c r="L31" i="63" s="1"/>
  <c r="O31" i="63"/>
  <c r="P31" i="63" s="1"/>
  <c r="U31" i="63"/>
  <c r="V31" i="63" s="1"/>
  <c r="U29" i="63"/>
  <c r="V29" i="63" s="1"/>
  <c r="I29" i="63"/>
  <c r="J29" i="63" s="1"/>
  <c r="G29" i="63"/>
  <c r="H29" i="63" s="1"/>
  <c r="Q29" i="63"/>
  <c r="R29" i="63" s="1"/>
  <c r="Q27" i="63"/>
  <c r="R27" i="63" s="1"/>
  <c r="U27" i="63"/>
  <c r="V27" i="63" s="1"/>
  <c r="G27" i="63"/>
  <c r="H27" i="63" s="1"/>
  <c r="E7" i="25"/>
  <c r="E30" i="25"/>
  <c r="E14" i="25"/>
  <c r="E25" i="25"/>
  <c r="E9" i="25"/>
  <c r="E12" i="25"/>
  <c r="E19" i="25"/>
  <c r="E8" i="25"/>
  <c r="E24" i="25"/>
  <c r="E26" i="25"/>
  <c r="E10" i="25"/>
  <c r="E21" i="25"/>
  <c r="E5" i="25"/>
  <c r="C39" i="63" s="1"/>
  <c r="D39" i="63" s="1"/>
  <c r="E20" i="25"/>
  <c r="E15" i="25"/>
  <c r="E22" i="25"/>
  <c r="E6" i="25"/>
  <c r="E17" i="25"/>
  <c r="E28" i="25"/>
  <c r="E23" i="25"/>
  <c r="E11" i="25"/>
  <c r="E27" i="25"/>
  <c r="E16" i="25"/>
  <c r="E32" i="25"/>
  <c r="E18" i="25"/>
  <c r="E29" i="25"/>
  <c r="E13" i="25"/>
  <c r="E31" i="25"/>
  <c r="E20" i="38"/>
  <c r="E5" i="38"/>
  <c r="C26" i="63" s="1"/>
  <c r="D26" i="63" s="1"/>
  <c r="E6" i="38"/>
  <c r="E22" i="38"/>
  <c r="E11" i="38"/>
  <c r="E27" i="38"/>
  <c r="E16" i="38"/>
  <c r="E32" i="38"/>
  <c r="E17" i="38"/>
  <c r="E10" i="38"/>
  <c r="E26" i="38"/>
  <c r="E15" i="38"/>
  <c r="E31" i="38"/>
  <c r="E13" i="38"/>
  <c r="E12" i="38"/>
  <c r="E21" i="38"/>
  <c r="E14" i="38"/>
  <c r="E30" i="38"/>
  <c r="E19" i="38"/>
  <c r="E8" i="38"/>
  <c r="E24" i="38"/>
  <c r="E9" i="38"/>
  <c r="E25" i="38"/>
  <c r="E18" i="38"/>
  <c r="E7" i="38"/>
  <c r="E23" i="38"/>
  <c r="E29" i="38"/>
  <c r="E28" i="38"/>
  <c r="E17" i="47"/>
  <c r="E16" i="47"/>
  <c r="E14" i="47"/>
  <c r="E30" i="47"/>
  <c r="E20" i="47"/>
  <c r="E5" i="47"/>
  <c r="E21" i="47"/>
  <c r="E7" i="47"/>
  <c r="E23" i="47"/>
  <c r="E11" i="47"/>
  <c r="E9" i="47"/>
  <c r="E8" i="47"/>
  <c r="E10" i="47"/>
  <c r="E18" i="47"/>
  <c r="E19" i="47"/>
  <c r="E32" i="47"/>
  <c r="E6" i="47"/>
  <c r="E22" i="47"/>
  <c r="E12" i="47"/>
  <c r="E28" i="47"/>
  <c r="E13" i="47"/>
  <c r="E29" i="47"/>
  <c r="E15" i="47"/>
  <c r="E31" i="47"/>
  <c r="E27" i="47"/>
  <c r="E25" i="47"/>
  <c r="E24" i="47"/>
  <c r="E26" i="47"/>
  <c r="E20" i="7"/>
  <c r="E19" i="7"/>
  <c r="E30" i="7"/>
  <c r="E14" i="7"/>
  <c r="E5" i="7"/>
  <c r="E8" i="7"/>
  <c r="E24" i="7"/>
  <c r="E9" i="7"/>
  <c r="F9" i="7" s="1"/>
  <c r="E25" i="7"/>
  <c r="E23" i="7"/>
  <c r="E7" i="7"/>
  <c r="E18" i="7"/>
  <c r="E29" i="7"/>
  <c r="E28" i="7"/>
  <c r="E27" i="7"/>
  <c r="E11" i="7"/>
  <c r="E22" i="7"/>
  <c r="E6" i="7"/>
  <c r="E21" i="7"/>
  <c r="E16" i="7"/>
  <c r="E32" i="7"/>
  <c r="E17" i="7"/>
  <c r="E31" i="7"/>
  <c r="E15" i="7"/>
  <c r="E26" i="7"/>
  <c r="E10" i="7"/>
  <c r="E13" i="7"/>
  <c r="E12" i="7"/>
  <c r="E29" i="5"/>
  <c r="E13" i="5"/>
  <c r="E24" i="5"/>
  <c r="E8" i="5"/>
  <c r="E32" i="5"/>
  <c r="E26" i="5"/>
  <c r="E14" i="5"/>
  <c r="E30" i="5"/>
  <c r="E19" i="5"/>
  <c r="E31" i="5"/>
  <c r="E17" i="5"/>
  <c r="E28" i="5"/>
  <c r="E12" i="5"/>
  <c r="E7" i="5"/>
  <c r="E10" i="5"/>
  <c r="E21" i="5"/>
  <c r="E5" i="5"/>
  <c r="C59" i="63" s="1"/>
  <c r="D59" i="63" s="1"/>
  <c r="E16" i="5"/>
  <c r="E15" i="5"/>
  <c r="E6" i="5"/>
  <c r="E22" i="5"/>
  <c r="E11" i="5"/>
  <c r="E27" i="5"/>
  <c r="E25" i="5"/>
  <c r="E9" i="5"/>
  <c r="E20" i="5"/>
  <c r="E23" i="5"/>
  <c r="E18" i="5"/>
  <c r="K53" i="63"/>
  <c r="L53" i="63" s="1"/>
  <c r="O53" i="63"/>
  <c r="P53" i="63" s="1"/>
  <c r="S53" i="63"/>
  <c r="T53" i="63" s="1"/>
  <c r="U53" i="63"/>
  <c r="V53" i="63" s="1"/>
  <c r="I53" i="63"/>
  <c r="J53" i="63" s="1"/>
  <c r="G53" i="63"/>
  <c r="H53" i="63" s="1"/>
  <c r="Q53" i="63"/>
  <c r="R53" i="63" s="1"/>
  <c r="F109" i="60"/>
  <c r="F118" i="60" s="1"/>
  <c r="F122" i="60" s="1"/>
  <c r="E8" i="36"/>
  <c r="F8" i="36" s="1"/>
  <c r="E16" i="36"/>
  <c r="E24" i="36"/>
  <c r="E32" i="36"/>
  <c r="E9" i="36"/>
  <c r="F9" i="36" s="1"/>
  <c r="E17" i="36"/>
  <c r="E25" i="36"/>
  <c r="F25" i="36" s="1"/>
  <c r="E6" i="36"/>
  <c r="E14" i="36"/>
  <c r="F14" i="36" s="1"/>
  <c r="E22" i="36"/>
  <c r="E30" i="36"/>
  <c r="E11" i="36"/>
  <c r="E19" i="36"/>
  <c r="F19" i="36" s="1"/>
  <c r="E27" i="36"/>
  <c r="E12" i="36"/>
  <c r="E20" i="36"/>
  <c r="E28" i="36"/>
  <c r="F28" i="36" s="1"/>
  <c r="E5" i="36"/>
  <c r="E13" i="36"/>
  <c r="F13" i="36" s="1"/>
  <c r="E21" i="36"/>
  <c r="E29" i="36"/>
  <c r="F29" i="36" s="1"/>
  <c r="E18" i="36"/>
  <c r="F18" i="36" s="1"/>
  <c r="E7" i="36"/>
  <c r="F7" i="36" s="1"/>
  <c r="E23" i="36"/>
  <c r="E10" i="36"/>
  <c r="F10" i="36" s="1"/>
  <c r="E26" i="36"/>
  <c r="E15" i="36"/>
  <c r="E31" i="36"/>
  <c r="E5" i="46"/>
  <c r="E13" i="46"/>
  <c r="E21" i="46"/>
  <c r="F21" i="46" s="1"/>
  <c r="E29" i="46"/>
  <c r="E10" i="46"/>
  <c r="F10" i="46" s="1"/>
  <c r="E18" i="46"/>
  <c r="E26" i="46"/>
  <c r="F26" i="46" s="1"/>
  <c r="E7" i="46"/>
  <c r="E15" i="46"/>
  <c r="F15" i="46" s="1"/>
  <c r="E23" i="46"/>
  <c r="E31" i="46"/>
  <c r="F31" i="46" s="1"/>
  <c r="E12" i="46"/>
  <c r="E20" i="46"/>
  <c r="E28" i="46"/>
  <c r="E9" i="46"/>
  <c r="F9" i="46" s="1"/>
  <c r="E17" i="46"/>
  <c r="E25" i="46"/>
  <c r="F25" i="46" s="1"/>
  <c r="E6" i="46"/>
  <c r="E14" i="46"/>
  <c r="F14" i="46" s="1"/>
  <c r="E22" i="46"/>
  <c r="E30" i="46"/>
  <c r="E11" i="46"/>
  <c r="E19" i="46"/>
  <c r="F19" i="46" s="1"/>
  <c r="E27" i="46"/>
  <c r="E8" i="46"/>
  <c r="F8" i="46" s="1"/>
  <c r="E16" i="46"/>
  <c r="E24" i="46"/>
  <c r="F24" i="46" s="1"/>
  <c r="E32" i="46"/>
  <c r="E17" i="55"/>
  <c r="F17" i="55" s="1"/>
  <c r="E31" i="55"/>
  <c r="F31" i="55" s="1"/>
  <c r="E15" i="55"/>
  <c r="F15" i="55" s="1"/>
  <c r="E30" i="55"/>
  <c r="E14" i="55"/>
  <c r="E32" i="55"/>
  <c r="E16" i="55"/>
  <c r="F16" i="55" s="1"/>
  <c r="E29" i="55"/>
  <c r="E13" i="55"/>
  <c r="F13" i="55" s="1"/>
  <c r="E27" i="55"/>
  <c r="E11" i="55"/>
  <c r="F11" i="55" s="1"/>
  <c r="E18" i="55"/>
  <c r="E28" i="55"/>
  <c r="F28" i="55" s="1"/>
  <c r="E25" i="55"/>
  <c r="E9" i="55"/>
  <c r="E23" i="55"/>
  <c r="E7" i="55"/>
  <c r="F7" i="55" s="1"/>
  <c r="E22" i="55"/>
  <c r="E6" i="55"/>
  <c r="F6" i="55" s="1"/>
  <c r="E24" i="55"/>
  <c r="E8" i="55"/>
  <c r="F8" i="55" s="1"/>
  <c r="E21" i="55"/>
  <c r="E5" i="55"/>
  <c r="E19" i="55"/>
  <c r="E26" i="55"/>
  <c r="F26" i="55" s="1"/>
  <c r="E10" i="55"/>
  <c r="E20" i="55"/>
  <c r="F20" i="55" s="1"/>
  <c r="E12" i="55"/>
  <c r="E17" i="27"/>
  <c r="F17" i="27" s="1"/>
  <c r="E6" i="27"/>
  <c r="E22" i="27"/>
  <c r="F22" i="27" s="1"/>
  <c r="E24" i="27"/>
  <c r="E8" i="27"/>
  <c r="F8" i="27" s="1"/>
  <c r="E19" i="27"/>
  <c r="E29" i="27"/>
  <c r="F29" i="27" s="1"/>
  <c r="E28" i="27"/>
  <c r="E12" i="27"/>
  <c r="F12" i="27" s="1"/>
  <c r="E23" i="27"/>
  <c r="E7" i="27"/>
  <c r="F7" i="27" s="1"/>
  <c r="E26" i="27"/>
  <c r="E21" i="27"/>
  <c r="F21" i="27" s="1"/>
  <c r="E9" i="27"/>
  <c r="E25" i="27"/>
  <c r="F25" i="27" s="1"/>
  <c r="E14" i="27"/>
  <c r="E30" i="27"/>
  <c r="F30" i="27" s="1"/>
  <c r="E32" i="27"/>
  <c r="E16" i="27"/>
  <c r="F16" i="27" s="1"/>
  <c r="E27" i="27"/>
  <c r="E11" i="27"/>
  <c r="E18" i="27"/>
  <c r="E13" i="27"/>
  <c r="F13" i="27" s="1"/>
  <c r="E20" i="27"/>
  <c r="E31" i="27"/>
  <c r="F31" i="27" s="1"/>
  <c r="E15" i="27"/>
  <c r="E10" i="27"/>
  <c r="F10" i="27" s="1"/>
  <c r="E5" i="27"/>
  <c r="E11" i="29"/>
  <c r="E27" i="29"/>
  <c r="E16" i="29"/>
  <c r="F16" i="29" s="1"/>
  <c r="E32" i="29"/>
  <c r="E17" i="29"/>
  <c r="F17" i="29" s="1"/>
  <c r="E30" i="29"/>
  <c r="E14" i="29"/>
  <c r="F14" i="29" s="1"/>
  <c r="E21" i="29"/>
  <c r="E28" i="29"/>
  <c r="F28" i="29" s="1"/>
  <c r="E23" i="29"/>
  <c r="E18" i="29"/>
  <c r="F18" i="29" s="1"/>
  <c r="E29" i="29"/>
  <c r="E20" i="29"/>
  <c r="F20" i="29" s="1"/>
  <c r="E15" i="29"/>
  <c r="E19" i="29"/>
  <c r="F19" i="29" s="1"/>
  <c r="E8" i="29"/>
  <c r="E24" i="29"/>
  <c r="F24" i="29" s="1"/>
  <c r="E9" i="29"/>
  <c r="E25" i="29"/>
  <c r="F25" i="29" s="1"/>
  <c r="E22" i="29"/>
  <c r="E6" i="29"/>
  <c r="F6" i="29" s="1"/>
  <c r="E5" i="29"/>
  <c r="E12" i="29"/>
  <c r="F12" i="29" s="1"/>
  <c r="E7" i="29"/>
  <c r="E26" i="29"/>
  <c r="E10" i="29"/>
  <c r="E13" i="29"/>
  <c r="F13" i="29" s="1"/>
  <c r="E31" i="29"/>
  <c r="E9" i="31"/>
  <c r="E25" i="31"/>
  <c r="E14" i="31"/>
  <c r="F14" i="31" s="1"/>
  <c r="E30" i="31"/>
  <c r="E19" i="31"/>
  <c r="F19" i="31" s="1"/>
  <c r="E8" i="31"/>
  <c r="E24" i="31"/>
  <c r="F24" i="31" s="1"/>
  <c r="E20" i="31"/>
  <c r="E15" i="31"/>
  <c r="F15" i="31" s="1"/>
  <c r="E18" i="31"/>
  <c r="E13" i="31"/>
  <c r="F13" i="31" s="1"/>
  <c r="E28" i="31"/>
  <c r="E23" i="31"/>
  <c r="F23" i="31" s="1"/>
  <c r="E10" i="31"/>
  <c r="E5" i="31"/>
  <c r="E17" i="31"/>
  <c r="E6" i="31"/>
  <c r="F6" i="31" s="1"/>
  <c r="E22" i="31"/>
  <c r="E11" i="31"/>
  <c r="F11" i="31" s="1"/>
  <c r="E27" i="31"/>
  <c r="E16" i="31"/>
  <c r="F16" i="31" s="1"/>
  <c r="E32" i="31"/>
  <c r="E31" i="31"/>
  <c r="F31" i="31" s="1"/>
  <c r="E29" i="31"/>
  <c r="E12" i="31"/>
  <c r="F12" i="31" s="1"/>
  <c r="E7" i="31"/>
  <c r="E26" i="31"/>
  <c r="F26" i="31" s="1"/>
  <c r="E21" i="31"/>
  <c r="E6" i="34"/>
  <c r="F6" i="34" s="1"/>
  <c r="E14" i="34"/>
  <c r="E22" i="34"/>
  <c r="F22" i="34" s="1"/>
  <c r="E30" i="34"/>
  <c r="E11" i="34"/>
  <c r="F11" i="34" s="1"/>
  <c r="E19" i="34"/>
  <c r="E27" i="34"/>
  <c r="F27" i="34" s="1"/>
  <c r="E8" i="34"/>
  <c r="E16" i="34"/>
  <c r="F16" i="34" s="1"/>
  <c r="E24" i="34"/>
  <c r="E32" i="34"/>
  <c r="F32" i="34" s="1"/>
  <c r="E9" i="34"/>
  <c r="E17" i="34"/>
  <c r="F17" i="34" s="1"/>
  <c r="E25" i="34"/>
  <c r="E10" i="34"/>
  <c r="F10" i="34" s="1"/>
  <c r="E18" i="34"/>
  <c r="E26" i="34"/>
  <c r="F26" i="34" s="1"/>
  <c r="E7" i="34"/>
  <c r="E15" i="34"/>
  <c r="F15" i="34" s="1"/>
  <c r="E23" i="34"/>
  <c r="E31" i="34"/>
  <c r="F31" i="34" s="1"/>
  <c r="E12" i="34"/>
  <c r="E28" i="34"/>
  <c r="F28" i="34" s="1"/>
  <c r="E13" i="34"/>
  <c r="E29" i="34"/>
  <c r="F29" i="34" s="1"/>
  <c r="E20" i="34"/>
  <c r="E5" i="34"/>
  <c r="E21" i="34"/>
  <c r="E19" i="21"/>
  <c r="F19" i="21" s="1"/>
  <c r="E8" i="21"/>
  <c r="E24" i="21"/>
  <c r="F24" i="21" s="1"/>
  <c r="E30" i="21"/>
  <c r="E14" i="21"/>
  <c r="F14" i="21" s="1"/>
  <c r="E25" i="21"/>
  <c r="E9" i="21"/>
  <c r="F9" i="21" s="1"/>
  <c r="E12" i="21"/>
  <c r="E7" i="21"/>
  <c r="F7" i="21" s="1"/>
  <c r="E18" i="21"/>
  <c r="E29" i="21"/>
  <c r="E13" i="21"/>
  <c r="E20" i="21"/>
  <c r="F20" i="21" s="1"/>
  <c r="E15" i="21"/>
  <c r="E11" i="21"/>
  <c r="F11" i="21" s="1"/>
  <c r="E27" i="21"/>
  <c r="E16" i="21"/>
  <c r="F16" i="21" s="1"/>
  <c r="E32" i="21"/>
  <c r="E22" i="21"/>
  <c r="F22" i="21" s="1"/>
  <c r="E6" i="21"/>
  <c r="E17" i="21"/>
  <c r="F17" i="21" s="1"/>
  <c r="E28" i="21"/>
  <c r="E23" i="21"/>
  <c r="F23" i="21" s="1"/>
  <c r="E26" i="21"/>
  <c r="E10" i="21"/>
  <c r="F10" i="21" s="1"/>
  <c r="E21" i="21"/>
  <c r="E5" i="21"/>
  <c r="E31" i="21"/>
  <c r="E9" i="23"/>
  <c r="F9" i="23" s="1"/>
  <c r="E25" i="23"/>
  <c r="E14" i="23"/>
  <c r="E30" i="23"/>
  <c r="E24" i="23"/>
  <c r="F24" i="23" s="1"/>
  <c r="E8" i="23"/>
  <c r="E19" i="23"/>
  <c r="F19" i="23" s="1"/>
  <c r="E29" i="23"/>
  <c r="E28" i="23"/>
  <c r="F28" i="23" s="1"/>
  <c r="E12" i="23"/>
  <c r="E23" i="23"/>
  <c r="F23" i="23" s="1"/>
  <c r="E7" i="23"/>
  <c r="E10" i="23"/>
  <c r="F10" i="23" s="1"/>
  <c r="E5" i="23"/>
  <c r="E17" i="23"/>
  <c r="F17" i="23" s="1"/>
  <c r="E6" i="23"/>
  <c r="E22" i="23"/>
  <c r="F22" i="23" s="1"/>
  <c r="E32" i="23"/>
  <c r="E16" i="23"/>
  <c r="F16" i="23" s="1"/>
  <c r="E27" i="23"/>
  <c r="E11" i="23"/>
  <c r="F11" i="23" s="1"/>
  <c r="E18" i="23"/>
  <c r="E13" i="23"/>
  <c r="F13" i="23" s="1"/>
  <c r="E20" i="23"/>
  <c r="E31" i="23"/>
  <c r="F31" i="23" s="1"/>
  <c r="E15" i="23"/>
  <c r="E26" i="23"/>
  <c r="F26" i="23" s="1"/>
  <c r="E21" i="23"/>
  <c r="E8" i="51"/>
  <c r="F8" i="51" s="1"/>
  <c r="E24" i="51"/>
  <c r="E9" i="51"/>
  <c r="F9" i="51" s="1"/>
  <c r="E25" i="51"/>
  <c r="E14" i="51"/>
  <c r="F14" i="51" s="1"/>
  <c r="E30" i="51"/>
  <c r="E19" i="51"/>
  <c r="F19" i="51" s="1"/>
  <c r="E12" i="51"/>
  <c r="E28" i="51"/>
  <c r="F28" i="51" s="1"/>
  <c r="E13" i="51"/>
  <c r="E29" i="51"/>
  <c r="F29" i="51" s="1"/>
  <c r="E23" i="51"/>
  <c r="E18" i="51"/>
  <c r="E31" i="51"/>
  <c r="E26" i="51"/>
  <c r="F26" i="51" s="1"/>
  <c r="E16" i="51"/>
  <c r="E32" i="51"/>
  <c r="F32" i="51" s="1"/>
  <c r="E17" i="51"/>
  <c r="E6" i="51"/>
  <c r="F6" i="51" s="1"/>
  <c r="E22" i="51"/>
  <c r="E11" i="51"/>
  <c r="F11" i="51" s="1"/>
  <c r="E27" i="51"/>
  <c r="E20" i="51"/>
  <c r="F20" i="51" s="1"/>
  <c r="E5" i="51"/>
  <c r="E21" i="51"/>
  <c r="F21" i="51" s="1"/>
  <c r="E7" i="51"/>
  <c r="E15" i="51"/>
  <c r="F15" i="51" s="1"/>
  <c r="E10" i="51"/>
  <c r="E17" i="52"/>
  <c r="F17" i="52" s="1"/>
  <c r="E6" i="52"/>
  <c r="E22" i="52"/>
  <c r="F22" i="52" s="1"/>
  <c r="E7" i="52"/>
  <c r="E23" i="52"/>
  <c r="E12" i="52"/>
  <c r="E28" i="52"/>
  <c r="F28" i="52" s="1"/>
  <c r="E13" i="52"/>
  <c r="E29" i="52"/>
  <c r="F29" i="52" s="1"/>
  <c r="E18" i="52"/>
  <c r="E11" i="52"/>
  <c r="F11" i="52" s="1"/>
  <c r="E27" i="52"/>
  <c r="E16" i="52"/>
  <c r="F16" i="52" s="1"/>
  <c r="E32" i="52"/>
  <c r="E9" i="52"/>
  <c r="F9" i="52" s="1"/>
  <c r="E25" i="52"/>
  <c r="E14" i="52"/>
  <c r="F14" i="52" s="1"/>
  <c r="E30" i="52"/>
  <c r="E15" i="52"/>
  <c r="F15" i="52" s="1"/>
  <c r="E31" i="52"/>
  <c r="E20" i="52"/>
  <c r="F20" i="52" s="1"/>
  <c r="E5" i="52"/>
  <c r="E21" i="52"/>
  <c r="F21" i="52" s="1"/>
  <c r="E10" i="52"/>
  <c r="E26" i="52"/>
  <c r="F26" i="52" s="1"/>
  <c r="E19" i="52"/>
  <c r="E8" i="52"/>
  <c r="F8" i="52" s="1"/>
  <c r="E24" i="52"/>
  <c r="E31" i="56"/>
  <c r="F31" i="56" s="1"/>
  <c r="E15" i="56"/>
  <c r="E22" i="56"/>
  <c r="F22" i="56" s="1"/>
  <c r="E6" i="56"/>
  <c r="E20" i="56"/>
  <c r="F20" i="56" s="1"/>
  <c r="E25" i="56"/>
  <c r="E9" i="56"/>
  <c r="F9" i="56" s="1"/>
  <c r="E19" i="56"/>
  <c r="E26" i="56"/>
  <c r="F26" i="56" s="1"/>
  <c r="E10" i="56"/>
  <c r="E24" i="56"/>
  <c r="F24" i="56" s="1"/>
  <c r="E8" i="56"/>
  <c r="E21" i="56"/>
  <c r="F21" i="56" s="1"/>
  <c r="E5" i="56"/>
  <c r="E23" i="56"/>
  <c r="F23" i="56" s="1"/>
  <c r="E30" i="56"/>
  <c r="E14" i="56"/>
  <c r="F14" i="56" s="1"/>
  <c r="E28" i="56"/>
  <c r="E12" i="56"/>
  <c r="F12" i="56" s="1"/>
  <c r="E17" i="56"/>
  <c r="E27" i="56"/>
  <c r="F27" i="56" s="1"/>
  <c r="E11" i="56"/>
  <c r="E18" i="56"/>
  <c r="F18" i="56" s="1"/>
  <c r="E32" i="56"/>
  <c r="E16" i="56"/>
  <c r="F16" i="56" s="1"/>
  <c r="E29" i="56"/>
  <c r="E13" i="56"/>
  <c r="F13" i="56" s="1"/>
  <c r="E7" i="56"/>
  <c r="E29" i="59"/>
  <c r="E28" i="59"/>
  <c r="E14" i="59"/>
  <c r="E30" i="59"/>
  <c r="E19" i="59"/>
  <c r="E8" i="59"/>
  <c r="E24" i="59"/>
  <c r="E9" i="59"/>
  <c r="E25" i="59"/>
  <c r="E18" i="59"/>
  <c r="E7" i="59"/>
  <c r="E23" i="59"/>
  <c r="E5" i="59"/>
  <c r="E12" i="59"/>
  <c r="E13" i="59"/>
  <c r="E6" i="59"/>
  <c r="E22" i="59"/>
  <c r="E11" i="59"/>
  <c r="E27" i="59"/>
  <c r="E16" i="59"/>
  <c r="E32" i="59"/>
  <c r="E17" i="59"/>
  <c r="E10" i="59"/>
  <c r="E26" i="59"/>
  <c r="E15" i="59"/>
  <c r="E31" i="59"/>
  <c r="E21" i="59"/>
  <c r="F21" i="59" s="1"/>
  <c r="E20" i="59"/>
  <c r="E18" i="4"/>
  <c r="E7" i="4"/>
  <c r="E8" i="4"/>
  <c r="E24" i="4"/>
  <c r="E9" i="4"/>
  <c r="E25" i="4"/>
  <c r="E14" i="4"/>
  <c r="E30" i="4"/>
  <c r="E19" i="4"/>
  <c r="E12" i="4"/>
  <c r="E28" i="4"/>
  <c r="E13" i="4"/>
  <c r="E29" i="4"/>
  <c r="E31" i="4"/>
  <c r="E26" i="4"/>
  <c r="E23" i="4"/>
  <c r="E16" i="4"/>
  <c r="E32" i="4"/>
  <c r="E17" i="4"/>
  <c r="F17" i="4" s="1"/>
  <c r="E6" i="4"/>
  <c r="E22" i="4"/>
  <c r="E11" i="4"/>
  <c r="E27" i="4"/>
  <c r="E20" i="4"/>
  <c r="E5" i="4"/>
  <c r="E21" i="4"/>
  <c r="E15" i="4"/>
  <c r="E10" i="4"/>
  <c r="E9" i="6"/>
  <c r="F9" i="6" s="1"/>
  <c r="E14" i="6"/>
  <c r="E15" i="6"/>
  <c r="F15" i="6" s="1"/>
  <c r="E31" i="6"/>
  <c r="E20" i="6"/>
  <c r="F20" i="6" s="1"/>
  <c r="E5" i="6"/>
  <c r="E21" i="6"/>
  <c r="F21" i="6" s="1"/>
  <c r="E10" i="6"/>
  <c r="E26" i="6"/>
  <c r="F26" i="6" s="1"/>
  <c r="E19" i="6"/>
  <c r="E8" i="6"/>
  <c r="E24" i="6"/>
  <c r="E22" i="6"/>
  <c r="F22" i="6" s="1"/>
  <c r="E17" i="6"/>
  <c r="E30" i="6"/>
  <c r="F30" i="6" s="1"/>
  <c r="E25" i="6"/>
  <c r="E7" i="6"/>
  <c r="F7" i="6" s="1"/>
  <c r="E23" i="6"/>
  <c r="E12" i="6"/>
  <c r="F12" i="6" s="1"/>
  <c r="E28" i="6"/>
  <c r="E13" i="6"/>
  <c r="F13" i="6" s="1"/>
  <c r="E29" i="6"/>
  <c r="E18" i="6"/>
  <c r="F18" i="6" s="1"/>
  <c r="E11" i="6"/>
  <c r="E27" i="6"/>
  <c r="F27" i="6" s="1"/>
  <c r="E16" i="6"/>
  <c r="E32" i="6"/>
  <c r="F32" i="6" s="1"/>
  <c r="E6" i="6"/>
  <c r="E24" i="8"/>
  <c r="F24" i="8" s="1"/>
  <c r="E5" i="8"/>
  <c r="E17" i="8"/>
  <c r="F17" i="8" s="1"/>
  <c r="E10" i="8"/>
  <c r="E26" i="8"/>
  <c r="F26" i="8" s="1"/>
  <c r="E11" i="8"/>
  <c r="E27" i="8"/>
  <c r="F27" i="8" s="1"/>
  <c r="E20" i="8"/>
  <c r="E9" i="8"/>
  <c r="F9" i="8" s="1"/>
  <c r="E21" i="8"/>
  <c r="E14" i="8"/>
  <c r="F14" i="8" s="1"/>
  <c r="E30" i="8"/>
  <c r="E16" i="8"/>
  <c r="F16" i="8" s="1"/>
  <c r="E8" i="8"/>
  <c r="E15" i="8"/>
  <c r="F15" i="8" s="1"/>
  <c r="E31" i="8"/>
  <c r="E6" i="8"/>
  <c r="F6" i="8" s="1"/>
  <c r="E25" i="8"/>
  <c r="E18" i="8"/>
  <c r="F18" i="8" s="1"/>
  <c r="E7" i="8"/>
  <c r="E19" i="8"/>
  <c r="E12" i="8"/>
  <c r="E28" i="8"/>
  <c r="E13" i="8"/>
  <c r="E29" i="8"/>
  <c r="F29" i="8" s="1"/>
  <c r="E22" i="8"/>
  <c r="E32" i="8"/>
  <c r="F32" i="8" s="1"/>
  <c r="E23" i="8"/>
  <c r="E14" i="9"/>
  <c r="F14" i="9" s="1"/>
  <c r="E30" i="9"/>
  <c r="E19" i="9"/>
  <c r="E25" i="9"/>
  <c r="E9" i="9"/>
  <c r="E24" i="9"/>
  <c r="E8" i="9"/>
  <c r="E31" i="9"/>
  <c r="E26" i="9"/>
  <c r="E29" i="9"/>
  <c r="E13" i="9"/>
  <c r="E28" i="9"/>
  <c r="E12" i="9"/>
  <c r="E7" i="9"/>
  <c r="E6" i="9"/>
  <c r="E22" i="9"/>
  <c r="E11" i="9"/>
  <c r="F11" i="9" s="1"/>
  <c r="E27" i="9"/>
  <c r="E17" i="9"/>
  <c r="F17" i="9" s="1"/>
  <c r="E32" i="9"/>
  <c r="E16" i="9"/>
  <c r="F16" i="9" s="1"/>
  <c r="E15" i="9"/>
  <c r="E10" i="9"/>
  <c r="F10" i="9" s="1"/>
  <c r="E21" i="9"/>
  <c r="E5" i="9"/>
  <c r="E20" i="9"/>
  <c r="E23" i="9"/>
  <c r="F23" i="9" s="1"/>
  <c r="E18" i="9"/>
  <c r="E15" i="16"/>
  <c r="E8" i="16"/>
  <c r="E24" i="16"/>
  <c r="E9" i="16"/>
  <c r="E25" i="16"/>
  <c r="E14" i="16"/>
  <c r="E30" i="16"/>
  <c r="E19" i="16"/>
  <c r="E12" i="16"/>
  <c r="E28" i="16"/>
  <c r="E13" i="16"/>
  <c r="E29" i="16"/>
  <c r="E23" i="16"/>
  <c r="F23" i="16" s="1"/>
  <c r="E18" i="16"/>
  <c r="E10" i="16"/>
  <c r="E31" i="16"/>
  <c r="E26" i="16"/>
  <c r="F26" i="16" s="1"/>
  <c r="E16" i="16"/>
  <c r="E32" i="16"/>
  <c r="E17" i="16"/>
  <c r="E6" i="16"/>
  <c r="E22" i="16"/>
  <c r="E11" i="16"/>
  <c r="F11" i="16" s="1"/>
  <c r="E27" i="16"/>
  <c r="E20" i="16"/>
  <c r="E5" i="16"/>
  <c r="E21" i="16"/>
  <c r="E7" i="16"/>
  <c r="E11" i="33"/>
  <c r="E19" i="33"/>
  <c r="E27" i="33"/>
  <c r="F27" i="33" s="1"/>
  <c r="E8" i="33"/>
  <c r="E16" i="33"/>
  <c r="E24" i="33"/>
  <c r="E32" i="33"/>
  <c r="F32" i="33" s="1"/>
  <c r="E9" i="33"/>
  <c r="E17" i="33"/>
  <c r="E25" i="33"/>
  <c r="E6" i="33"/>
  <c r="F6" i="33" s="1"/>
  <c r="E14" i="33"/>
  <c r="E22" i="33"/>
  <c r="F22" i="33" s="1"/>
  <c r="E30" i="33"/>
  <c r="E15" i="33"/>
  <c r="E31" i="33"/>
  <c r="E20" i="33"/>
  <c r="E13" i="33"/>
  <c r="E29" i="33"/>
  <c r="E18" i="33"/>
  <c r="E7" i="33"/>
  <c r="E23" i="33"/>
  <c r="E12" i="33"/>
  <c r="E28" i="33"/>
  <c r="E5" i="33"/>
  <c r="E21" i="33"/>
  <c r="E10" i="33"/>
  <c r="E26" i="33"/>
  <c r="E11" i="37"/>
  <c r="F11" i="37" s="1"/>
  <c r="E19" i="37"/>
  <c r="E27" i="37"/>
  <c r="E8" i="37"/>
  <c r="E16" i="37"/>
  <c r="F16" i="37" s="1"/>
  <c r="E24" i="37"/>
  <c r="E32" i="37"/>
  <c r="E9" i="37"/>
  <c r="E17" i="37"/>
  <c r="F17" i="37" s="1"/>
  <c r="E25" i="37"/>
  <c r="E6" i="37"/>
  <c r="F6" i="37" s="1"/>
  <c r="E14" i="37"/>
  <c r="E22" i="37"/>
  <c r="F22" i="37" s="1"/>
  <c r="E30" i="37"/>
  <c r="E15" i="37"/>
  <c r="F15" i="37" s="1"/>
  <c r="E31" i="37"/>
  <c r="E20" i="37"/>
  <c r="E13" i="37"/>
  <c r="E29" i="37"/>
  <c r="F29" i="37" s="1"/>
  <c r="E18" i="37"/>
  <c r="E7" i="37"/>
  <c r="F7" i="37" s="1"/>
  <c r="E23" i="37"/>
  <c r="E12" i="37"/>
  <c r="F12" i="37" s="1"/>
  <c r="E28" i="37"/>
  <c r="E5" i="37"/>
  <c r="E21" i="37"/>
  <c r="E10" i="37"/>
  <c r="E26" i="37"/>
  <c r="E11" i="50"/>
  <c r="E19" i="50"/>
  <c r="F19" i="50" s="1"/>
  <c r="E27" i="50"/>
  <c r="E8" i="50"/>
  <c r="F8" i="50" s="1"/>
  <c r="E16" i="50"/>
  <c r="F16" i="50" s="1"/>
  <c r="E24" i="50"/>
  <c r="E32" i="50"/>
  <c r="F32" i="50" s="1"/>
  <c r="E5" i="50"/>
  <c r="E13" i="50"/>
  <c r="F13" i="50" s="1"/>
  <c r="E21" i="50"/>
  <c r="E29" i="50"/>
  <c r="F29" i="50" s="1"/>
  <c r="E10" i="50"/>
  <c r="E18" i="50"/>
  <c r="F18" i="50" s="1"/>
  <c r="E26" i="50"/>
  <c r="E7" i="50"/>
  <c r="F7" i="50" s="1"/>
  <c r="E15" i="50"/>
  <c r="F15" i="50" s="1"/>
  <c r="E23" i="50"/>
  <c r="F23" i="50" s="1"/>
  <c r="E31" i="50"/>
  <c r="F31" i="50" s="1"/>
  <c r="E12" i="50"/>
  <c r="F12" i="50" s="1"/>
  <c r="E20" i="50"/>
  <c r="E28" i="50"/>
  <c r="F28" i="50" s="1"/>
  <c r="E9" i="50"/>
  <c r="E17" i="50"/>
  <c r="F17" i="50" s="1"/>
  <c r="E25" i="50"/>
  <c r="E6" i="50"/>
  <c r="F6" i="50" s="1"/>
  <c r="E14" i="50"/>
  <c r="E22" i="50"/>
  <c r="F22" i="50" s="1"/>
  <c r="E30" i="50"/>
  <c r="E12" i="53"/>
  <c r="E13" i="53"/>
  <c r="E14" i="53"/>
  <c r="F14" i="53" s="1"/>
  <c r="E30" i="53"/>
  <c r="E19" i="53"/>
  <c r="F19" i="53" s="1"/>
  <c r="E8" i="53"/>
  <c r="E24" i="53"/>
  <c r="F24" i="53" s="1"/>
  <c r="E9" i="53"/>
  <c r="E25" i="53"/>
  <c r="E18" i="53"/>
  <c r="E7" i="53"/>
  <c r="E23" i="53"/>
  <c r="E21" i="53"/>
  <c r="F21" i="53" s="1"/>
  <c r="E20" i="53"/>
  <c r="E29" i="53"/>
  <c r="F29" i="53" s="1"/>
  <c r="E28" i="53"/>
  <c r="E6" i="53"/>
  <c r="F6" i="53" s="1"/>
  <c r="E22" i="53"/>
  <c r="E11" i="53"/>
  <c r="E27" i="53"/>
  <c r="E16" i="53"/>
  <c r="E32" i="53"/>
  <c r="E17" i="53"/>
  <c r="E10" i="53"/>
  <c r="E26" i="53"/>
  <c r="E15" i="53"/>
  <c r="E31" i="53"/>
  <c r="F31" i="53" s="1"/>
  <c r="E5" i="53"/>
  <c r="E15" i="24"/>
  <c r="F15" i="24" s="1"/>
  <c r="E8" i="24"/>
  <c r="E24" i="24"/>
  <c r="F24" i="24" s="1"/>
  <c r="E9" i="24"/>
  <c r="E25" i="24"/>
  <c r="F25" i="24" s="1"/>
  <c r="E14" i="24"/>
  <c r="E30" i="24"/>
  <c r="E19" i="24"/>
  <c r="E12" i="24"/>
  <c r="E28" i="24"/>
  <c r="E13" i="24"/>
  <c r="F13" i="24" s="1"/>
  <c r="E29" i="24"/>
  <c r="E23" i="24"/>
  <c r="F23" i="24" s="1"/>
  <c r="E18" i="24"/>
  <c r="E10" i="24"/>
  <c r="E31" i="24"/>
  <c r="E26" i="24"/>
  <c r="E16" i="24"/>
  <c r="E32" i="24"/>
  <c r="F32" i="24" s="1"/>
  <c r="E17" i="24"/>
  <c r="E6" i="24"/>
  <c r="E22" i="24"/>
  <c r="E11" i="24"/>
  <c r="F11" i="24" s="1"/>
  <c r="E27" i="24"/>
  <c r="E20" i="24"/>
  <c r="E5" i="24"/>
  <c r="E21" i="24"/>
  <c r="E7" i="24"/>
  <c r="E15" i="44"/>
  <c r="E31" i="44"/>
  <c r="E20" i="44"/>
  <c r="E5" i="44"/>
  <c r="E21" i="44"/>
  <c r="E10" i="44"/>
  <c r="E26" i="44"/>
  <c r="E19" i="44"/>
  <c r="E8" i="44"/>
  <c r="F8" i="44" s="1"/>
  <c r="E24" i="44"/>
  <c r="E9" i="44"/>
  <c r="E25" i="44"/>
  <c r="E14" i="44"/>
  <c r="E30" i="44"/>
  <c r="E7" i="44"/>
  <c r="E23" i="44"/>
  <c r="E12" i="44"/>
  <c r="E28" i="44"/>
  <c r="E13" i="44"/>
  <c r="E29" i="44"/>
  <c r="E18" i="44"/>
  <c r="E11" i="44"/>
  <c r="E27" i="44"/>
  <c r="E16" i="44"/>
  <c r="E32" i="44"/>
  <c r="E17" i="44"/>
  <c r="E6" i="44"/>
  <c r="E22" i="44"/>
  <c r="E17" i="48"/>
  <c r="E6" i="48"/>
  <c r="E22" i="48"/>
  <c r="E7" i="48"/>
  <c r="E23" i="48"/>
  <c r="E12" i="48"/>
  <c r="E28" i="48"/>
  <c r="E13" i="48"/>
  <c r="E29" i="48"/>
  <c r="E18" i="48"/>
  <c r="E11" i="48"/>
  <c r="E27" i="48"/>
  <c r="E16" i="48"/>
  <c r="E32" i="48"/>
  <c r="E9" i="48"/>
  <c r="E25" i="48"/>
  <c r="E14" i="48"/>
  <c r="E30" i="48"/>
  <c r="E15" i="48"/>
  <c r="E31" i="48"/>
  <c r="E20" i="48"/>
  <c r="F20" i="48" s="1"/>
  <c r="E5" i="48"/>
  <c r="E21" i="48"/>
  <c r="E10" i="48"/>
  <c r="E26" i="48"/>
  <c r="F26" i="48" s="1"/>
  <c r="E19" i="48"/>
  <c r="E8" i="48"/>
  <c r="E24" i="48"/>
  <c r="E17" i="54"/>
  <c r="F17" i="54" s="1"/>
  <c r="E8" i="54"/>
  <c r="E24" i="54"/>
  <c r="F24" i="54" s="1"/>
  <c r="E7" i="54"/>
  <c r="E23" i="54"/>
  <c r="F23" i="54" s="1"/>
  <c r="E10" i="54"/>
  <c r="E26" i="54"/>
  <c r="F26" i="54" s="1"/>
  <c r="E13" i="54"/>
  <c r="E29" i="54"/>
  <c r="F29" i="54" s="1"/>
  <c r="E20" i="54"/>
  <c r="E11" i="54"/>
  <c r="F11" i="54" s="1"/>
  <c r="E27" i="54"/>
  <c r="E14" i="54"/>
  <c r="F14" i="54" s="1"/>
  <c r="E30" i="54"/>
  <c r="E9" i="54"/>
  <c r="F9" i="54" s="1"/>
  <c r="E25" i="54"/>
  <c r="E16" i="54"/>
  <c r="F16" i="54" s="1"/>
  <c r="E32" i="54"/>
  <c r="E15" i="54"/>
  <c r="E31" i="54"/>
  <c r="E18" i="54"/>
  <c r="E5" i="54"/>
  <c r="E21" i="54"/>
  <c r="F21" i="54" s="1"/>
  <c r="E12" i="54"/>
  <c r="E28" i="54"/>
  <c r="F28" i="54" s="1"/>
  <c r="E19" i="54"/>
  <c r="E6" i="54"/>
  <c r="F6" i="54" s="1"/>
  <c r="E22" i="54"/>
  <c r="E8" i="32"/>
  <c r="F8" i="32" s="1"/>
  <c r="E16" i="32"/>
  <c r="E24" i="32"/>
  <c r="F24" i="32" s="1"/>
  <c r="E32" i="32"/>
  <c r="E9" i="32"/>
  <c r="F9" i="32" s="1"/>
  <c r="E17" i="32"/>
  <c r="E25" i="32"/>
  <c r="F25" i="32" s="1"/>
  <c r="E6" i="32"/>
  <c r="E14" i="32"/>
  <c r="E22" i="32"/>
  <c r="E30" i="32"/>
  <c r="F30" i="32" s="1"/>
  <c r="E11" i="32"/>
  <c r="E19" i="32"/>
  <c r="E27" i="32"/>
  <c r="E12" i="32"/>
  <c r="F12" i="32" s="1"/>
  <c r="E20" i="32"/>
  <c r="E28" i="32"/>
  <c r="F28" i="32" s="1"/>
  <c r="E5" i="32"/>
  <c r="E13" i="32"/>
  <c r="F13" i="32" s="1"/>
  <c r="E21" i="32"/>
  <c r="E29" i="32"/>
  <c r="F29" i="32" s="1"/>
  <c r="E18" i="32"/>
  <c r="E7" i="32"/>
  <c r="F7" i="32" s="1"/>
  <c r="E23" i="32"/>
  <c r="E10" i="32"/>
  <c r="F10" i="32" s="1"/>
  <c r="E26" i="32"/>
  <c r="E15" i="32"/>
  <c r="F15" i="32" s="1"/>
  <c r="E31" i="32"/>
  <c r="E6" i="49"/>
  <c r="E14" i="49"/>
  <c r="E22" i="49"/>
  <c r="E30" i="49"/>
  <c r="E8" i="49"/>
  <c r="E16" i="49"/>
  <c r="E24" i="49"/>
  <c r="E32" i="49"/>
  <c r="E9" i="49"/>
  <c r="E17" i="49"/>
  <c r="E25" i="49"/>
  <c r="E15" i="49"/>
  <c r="E23" i="49"/>
  <c r="E31" i="49"/>
  <c r="E10" i="49"/>
  <c r="E18" i="49"/>
  <c r="E26" i="49"/>
  <c r="F26" i="49" s="1"/>
  <c r="E7" i="49"/>
  <c r="E20" i="49"/>
  <c r="E5" i="49"/>
  <c r="E21" i="49"/>
  <c r="E19" i="49"/>
  <c r="E12" i="49"/>
  <c r="E28" i="49"/>
  <c r="E13" i="49"/>
  <c r="F13" i="49" s="1"/>
  <c r="E29" i="49"/>
  <c r="E11" i="49"/>
  <c r="E27" i="49"/>
  <c r="E15" i="13"/>
  <c r="E31" i="13"/>
  <c r="E20" i="13"/>
  <c r="F20" i="13" s="1"/>
  <c r="E26" i="13"/>
  <c r="E10" i="13"/>
  <c r="E21" i="13"/>
  <c r="E5" i="13"/>
  <c r="E16" i="13"/>
  <c r="E11" i="13"/>
  <c r="F11" i="13" s="1"/>
  <c r="E30" i="13"/>
  <c r="E14" i="13"/>
  <c r="F14" i="13" s="1"/>
  <c r="E25" i="13"/>
  <c r="E9" i="13"/>
  <c r="F9" i="13" s="1"/>
  <c r="E24" i="13"/>
  <c r="E19" i="13"/>
  <c r="F19" i="13" s="1"/>
  <c r="E7" i="13"/>
  <c r="E23" i="13"/>
  <c r="F23" i="13" s="1"/>
  <c r="E12" i="13"/>
  <c r="E28" i="13"/>
  <c r="F28" i="13" s="1"/>
  <c r="E18" i="13"/>
  <c r="E29" i="13"/>
  <c r="F29" i="13" s="1"/>
  <c r="E13" i="13"/>
  <c r="E32" i="13"/>
  <c r="F32" i="13" s="1"/>
  <c r="E27" i="13"/>
  <c r="E22" i="13"/>
  <c r="F22" i="13" s="1"/>
  <c r="E6" i="13"/>
  <c r="E17" i="13"/>
  <c r="F17" i="13" s="1"/>
  <c r="E8" i="13"/>
  <c r="E15" i="17"/>
  <c r="E31" i="17"/>
  <c r="E20" i="17"/>
  <c r="F20" i="17" s="1"/>
  <c r="E26" i="17"/>
  <c r="E10" i="17"/>
  <c r="F10" i="17" s="1"/>
  <c r="E21" i="17"/>
  <c r="E5" i="17"/>
  <c r="E32" i="17"/>
  <c r="E27" i="17"/>
  <c r="F27" i="17" s="1"/>
  <c r="E30" i="17"/>
  <c r="E14" i="17"/>
  <c r="E25" i="17"/>
  <c r="E9" i="17"/>
  <c r="F9" i="17" s="1"/>
  <c r="E8" i="17"/>
  <c r="E7" i="17"/>
  <c r="F7" i="17" s="1"/>
  <c r="E23" i="17"/>
  <c r="E12" i="17"/>
  <c r="F12" i="17" s="1"/>
  <c r="E28" i="17"/>
  <c r="E18" i="17"/>
  <c r="F18" i="17" s="1"/>
  <c r="E29" i="17"/>
  <c r="E13" i="17"/>
  <c r="F13" i="17" s="1"/>
  <c r="E16" i="17"/>
  <c r="E11" i="17"/>
  <c r="F11" i="17" s="1"/>
  <c r="E22" i="17"/>
  <c r="E6" i="17"/>
  <c r="F6" i="17" s="1"/>
  <c r="E17" i="17"/>
  <c r="E24" i="17"/>
  <c r="F24" i="17" s="1"/>
  <c r="E19" i="17"/>
  <c r="E31" i="20"/>
  <c r="F31" i="20" s="1"/>
  <c r="E26" i="20"/>
  <c r="E8" i="20"/>
  <c r="F8" i="20" s="1"/>
  <c r="E24" i="20"/>
  <c r="E9" i="20"/>
  <c r="F9" i="20" s="1"/>
  <c r="E25" i="20"/>
  <c r="E14" i="20"/>
  <c r="F14" i="20" s="1"/>
  <c r="E30" i="20"/>
  <c r="E19" i="20"/>
  <c r="F19" i="20" s="1"/>
  <c r="E12" i="20"/>
  <c r="F12" i="20" s="1"/>
  <c r="E28" i="20"/>
  <c r="F28" i="20" s="1"/>
  <c r="E13" i="20"/>
  <c r="E29" i="20"/>
  <c r="F29" i="20" s="1"/>
  <c r="E7" i="20"/>
  <c r="E10" i="20"/>
  <c r="F10" i="20" s="1"/>
  <c r="E15" i="20"/>
  <c r="E16" i="20"/>
  <c r="F16" i="20" s="1"/>
  <c r="E32" i="20"/>
  <c r="E17" i="20"/>
  <c r="F17" i="20" s="1"/>
  <c r="E6" i="20"/>
  <c r="E22" i="20"/>
  <c r="F22" i="20" s="1"/>
  <c r="E11" i="20"/>
  <c r="E27" i="20"/>
  <c r="F27" i="20" s="1"/>
  <c r="E20" i="20"/>
  <c r="E5" i="20"/>
  <c r="E21" i="20"/>
  <c r="E23" i="20"/>
  <c r="F23" i="20" s="1"/>
  <c r="E18" i="20"/>
  <c r="E30" i="10"/>
  <c r="F30" i="10" s="1"/>
  <c r="E25" i="10"/>
  <c r="E7" i="10"/>
  <c r="F7" i="10" s="1"/>
  <c r="E23" i="10"/>
  <c r="E12" i="10"/>
  <c r="F12" i="10" s="1"/>
  <c r="E28" i="10"/>
  <c r="E13" i="10"/>
  <c r="F13" i="10" s="1"/>
  <c r="E29" i="10"/>
  <c r="E18" i="10"/>
  <c r="F18" i="10" s="1"/>
  <c r="E11" i="10"/>
  <c r="F11" i="10" s="1"/>
  <c r="E27" i="10"/>
  <c r="E16" i="10"/>
  <c r="E32" i="10"/>
  <c r="F32" i="10" s="1"/>
  <c r="E6" i="10"/>
  <c r="E9" i="10"/>
  <c r="F9" i="10" s="1"/>
  <c r="E14" i="10"/>
  <c r="E15" i="10"/>
  <c r="F15" i="10" s="1"/>
  <c r="E31" i="10"/>
  <c r="E20" i="10"/>
  <c r="F20" i="10" s="1"/>
  <c r="E5" i="10"/>
  <c r="E21" i="10"/>
  <c r="F21" i="10" s="1"/>
  <c r="E10" i="10"/>
  <c r="E26" i="10"/>
  <c r="F26" i="10" s="1"/>
  <c r="E19" i="10"/>
  <c r="E8" i="10"/>
  <c r="F8" i="10" s="1"/>
  <c r="E24" i="10"/>
  <c r="E22" i="10"/>
  <c r="F22" i="10" s="1"/>
  <c r="E17" i="10"/>
  <c r="E20" i="14"/>
  <c r="F20" i="14" s="1"/>
  <c r="E5" i="14"/>
  <c r="E14" i="14"/>
  <c r="F14" i="14" s="1"/>
  <c r="E30" i="14"/>
  <c r="E19" i="14"/>
  <c r="F19" i="14" s="1"/>
  <c r="E8" i="14"/>
  <c r="E24" i="14"/>
  <c r="F24" i="14" s="1"/>
  <c r="E9" i="14"/>
  <c r="E25" i="14"/>
  <c r="F25" i="14" s="1"/>
  <c r="E18" i="14"/>
  <c r="E7" i="14"/>
  <c r="F7" i="14" s="1"/>
  <c r="E23" i="14"/>
  <c r="E29" i="14"/>
  <c r="F29" i="14" s="1"/>
  <c r="E28" i="14"/>
  <c r="E21" i="14"/>
  <c r="F21" i="14" s="1"/>
  <c r="E6" i="14"/>
  <c r="E22" i="14"/>
  <c r="F22" i="14" s="1"/>
  <c r="E11" i="14"/>
  <c r="E27" i="14"/>
  <c r="F27" i="14" s="1"/>
  <c r="E16" i="14"/>
  <c r="F16" i="14" s="1"/>
  <c r="E32" i="14"/>
  <c r="F32" i="14" s="1"/>
  <c r="E17" i="14"/>
  <c r="E10" i="14"/>
  <c r="F10" i="14" s="1"/>
  <c r="E26" i="14"/>
  <c r="E15" i="14"/>
  <c r="F15" i="14" s="1"/>
  <c r="E31" i="14"/>
  <c r="E13" i="14"/>
  <c r="F13" i="14" s="1"/>
  <c r="E12" i="14"/>
  <c r="E20" i="18"/>
  <c r="E21" i="18"/>
  <c r="E14" i="18"/>
  <c r="F14" i="18" s="1"/>
  <c r="E30" i="18"/>
  <c r="E19" i="18"/>
  <c r="F19" i="18" s="1"/>
  <c r="E8" i="18"/>
  <c r="E24" i="18"/>
  <c r="F24" i="18" s="1"/>
  <c r="E9" i="18"/>
  <c r="E25" i="18"/>
  <c r="F25" i="18" s="1"/>
  <c r="E18" i="18"/>
  <c r="F18" i="18" s="1"/>
  <c r="E7" i="18"/>
  <c r="F7" i="18" s="1"/>
  <c r="E23" i="18"/>
  <c r="E13" i="18"/>
  <c r="F13" i="18" s="1"/>
  <c r="E12" i="18"/>
  <c r="E5" i="18"/>
  <c r="E6" i="18"/>
  <c r="E22" i="18"/>
  <c r="F22" i="18" s="1"/>
  <c r="E11" i="18"/>
  <c r="E27" i="18"/>
  <c r="F27" i="18" s="1"/>
  <c r="E16" i="18"/>
  <c r="E32" i="18"/>
  <c r="F32" i="18" s="1"/>
  <c r="E17" i="18"/>
  <c r="E10" i="18"/>
  <c r="F10" i="18" s="1"/>
  <c r="E26" i="18"/>
  <c r="F26" i="18" s="1"/>
  <c r="E15" i="18"/>
  <c r="F15" i="18" s="1"/>
  <c r="E31" i="18"/>
  <c r="E29" i="18"/>
  <c r="F29" i="18" s="1"/>
  <c r="E28" i="18"/>
  <c r="E5" i="40"/>
  <c r="E6" i="40"/>
  <c r="E9" i="40"/>
  <c r="E25" i="40"/>
  <c r="E10" i="40"/>
  <c r="E32" i="40"/>
  <c r="E19" i="40"/>
  <c r="F19" i="40" s="1"/>
  <c r="E8" i="40"/>
  <c r="E14" i="40"/>
  <c r="F14" i="40" s="1"/>
  <c r="E13" i="40"/>
  <c r="E29" i="40"/>
  <c r="E31" i="40"/>
  <c r="E28" i="40"/>
  <c r="F28" i="40" s="1"/>
  <c r="E23" i="40"/>
  <c r="E18" i="40"/>
  <c r="E16" i="40"/>
  <c r="E22" i="40"/>
  <c r="E17" i="40"/>
  <c r="E12" i="40"/>
  <c r="E26" i="40"/>
  <c r="E11" i="40"/>
  <c r="E27" i="40"/>
  <c r="E24" i="40"/>
  <c r="E30" i="40"/>
  <c r="E21" i="40"/>
  <c r="F21" i="40" s="1"/>
  <c r="E20" i="40"/>
  <c r="E15" i="40"/>
  <c r="E7" i="40"/>
  <c r="E5" i="42"/>
  <c r="E15" i="42"/>
  <c r="E31" i="42"/>
  <c r="E20" i="42"/>
  <c r="E13" i="42"/>
  <c r="E29" i="42"/>
  <c r="E18" i="42"/>
  <c r="E9" i="42"/>
  <c r="E19" i="42"/>
  <c r="E8" i="42"/>
  <c r="E24" i="42"/>
  <c r="E17" i="42"/>
  <c r="E6" i="42"/>
  <c r="E22" i="42"/>
  <c r="E7" i="42"/>
  <c r="E23" i="42"/>
  <c r="E12" i="42"/>
  <c r="F12" i="42" s="1"/>
  <c r="E28" i="42"/>
  <c r="E21" i="42"/>
  <c r="E10" i="42"/>
  <c r="E26" i="42"/>
  <c r="E11" i="42"/>
  <c r="E27" i="42"/>
  <c r="F27" i="42" s="1"/>
  <c r="E16" i="42"/>
  <c r="E32" i="42"/>
  <c r="E25" i="42"/>
  <c r="E14" i="42"/>
  <c r="E30" i="42"/>
  <c r="E8" i="11"/>
  <c r="F8" i="11" s="1"/>
  <c r="E24" i="11"/>
  <c r="E9" i="11"/>
  <c r="E25" i="11"/>
  <c r="E19" i="11"/>
  <c r="E30" i="11"/>
  <c r="E14" i="11"/>
  <c r="E21" i="11"/>
  <c r="E20" i="11"/>
  <c r="E23" i="11"/>
  <c r="E7" i="11"/>
  <c r="E18" i="11"/>
  <c r="E29" i="11"/>
  <c r="E28" i="11"/>
  <c r="E16" i="11"/>
  <c r="E32" i="11"/>
  <c r="E17" i="11"/>
  <c r="F17" i="11" s="1"/>
  <c r="E27" i="11"/>
  <c r="E11" i="11"/>
  <c r="E22" i="11"/>
  <c r="E6" i="11"/>
  <c r="E5" i="11"/>
  <c r="E31" i="11"/>
  <c r="E15" i="11"/>
  <c r="E26" i="11"/>
  <c r="E10" i="11"/>
  <c r="E13" i="11"/>
  <c r="F13" i="11" s="1"/>
  <c r="E12" i="11"/>
  <c r="E5" i="15"/>
  <c r="E21" i="15"/>
  <c r="E10" i="15"/>
  <c r="F10" i="15" s="1"/>
  <c r="E26" i="15"/>
  <c r="E20" i="15"/>
  <c r="E31" i="15"/>
  <c r="E15" i="15"/>
  <c r="E6" i="15"/>
  <c r="E24" i="15"/>
  <c r="E8" i="15"/>
  <c r="E19" i="15"/>
  <c r="E14" i="15"/>
  <c r="E9" i="15"/>
  <c r="E13" i="15"/>
  <c r="E29" i="15"/>
  <c r="F29" i="15" s="1"/>
  <c r="E18" i="15"/>
  <c r="E28" i="15"/>
  <c r="E12" i="15"/>
  <c r="E23" i="15"/>
  <c r="E7" i="15"/>
  <c r="E22" i="15"/>
  <c r="E17" i="15"/>
  <c r="E32" i="15"/>
  <c r="E16" i="15"/>
  <c r="E27" i="15"/>
  <c r="E11" i="15"/>
  <c r="E30" i="15"/>
  <c r="E25" i="15"/>
  <c r="E9" i="19"/>
  <c r="F9" i="19" s="1"/>
  <c r="E12" i="19"/>
  <c r="F12" i="19" s="1"/>
  <c r="E27" i="19"/>
  <c r="F27" i="19" s="1"/>
  <c r="E29" i="19"/>
  <c r="F29" i="19" s="1"/>
  <c r="E14" i="19"/>
  <c r="F14" i="19" s="1"/>
  <c r="E19" i="19"/>
  <c r="F19" i="19" s="1"/>
  <c r="E31" i="19"/>
  <c r="F31" i="19" s="1"/>
  <c r="E13" i="19"/>
  <c r="F13" i="19" s="1"/>
  <c r="E24" i="19"/>
  <c r="F24" i="19" s="1"/>
  <c r="E18" i="19"/>
  <c r="F18" i="19" s="1"/>
  <c r="E22" i="19"/>
  <c r="F22" i="19" s="1"/>
  <c r="E7" i="19"/>
  <c r="F7" i="19" s="1"/>
  <c r="E30" i="19"/>
  <c r="F30" i="19" s="1"/>
  <c r="E8" i="19"/>
  <c r="F8" i="19" s="1"/>
  <c r="E17" i="19"/>
  <c r="F17" i="19" s="1"/>
  <c r="E20" i="19"/>
  <c r="F20" i="19" s="1"/>
  <c r="E26" i="19"/>
  <c r="F26" i="19" s="1"/>
  <c r="E28" i="19"/>
  <c r="F28" i="19" s="1"/>
  <c r="E21" i="19"/>
  <c r="F21" i="19" s="1"/>
  <c r="E6" i="19"/>
  <c r="F6" i="19" s="1"/>
  <c r="E11" i="19"/>
  <c r="F11" i="19" s="1"/>
  <c r="E16" i="19"/>
  <c r="F16" i="19" s="1"/>
  <c r="E32" i="19"/>
  <c r="F32" i="19" s="1"/>
  <c r="E25" i="19"/>
  <c r="F25" i="19" s="1"/>
  <c r="E10" i="19"/>
  <c r="F10" i="19" s="1"/>
  <c r="E15" i="19"/>
  <c r="F15" i="19" s="1"/>
  <c r="E23" i="19"/>
  <c r="F23" i="19" s="1"/>
  <c r="E5" i="19"/>
  <c r="E9" i="35"/>
  <c r="F9" i="35" s="1"/>
  <c r="E17" i="35"/>
  <c r="E25" i="35"/>
  <c r="F25" i="35" s="1"/>
  <c r="E6" i="35"/>
  <c r="E14" i="35"/>
  <c r="E22" i="35"/>
  <c r="E30" i="35"/>
  <c r="E11" i="35"/>
  <c r="E19" i="35"/>
  <c r="E27" i="35"/>
  <c r="E8" i="35"/>
  <c r="E16" i="35"/>
  <c r="E24" i="35"/>
  <c r="E32" i="35"/>
  <c r="E5" i="35"/>
  <c r="E21" i="35"/>
  <c r="E10" i="35"/>
  <c r="F10" i="35" s="1"/>
  <c r="E26" i="35"/>
  <c r="E7" i="35"/>
  <c r="F7" i="35" s="1"/>
  <c r="E23" i="35"/>
  <c r="E12" i="35"/>
  <c r="F12" i="35" s="1"/>
  <c r="E28" i="35"/>
  <c r="E13" i="35"/>
  <c r="E29" i="35"/>
  <c r="E18" i="35"/>
  <c r="F18" i="35" s="1"/>
  <c r="E15" i="35"/>
  <c r="E31" i="35"/>
  <c r="F31" i="35" s="1"/>
  <c r="E20" i="35"/>
  <c r="E10" i="45"/>
  <c r="F10" i="45" s="1"/>
  <c r="E18" i="45"/>
  <c r="E26" i="45"/>
  <c r="F26" i="45" s="1"/>
  <c r="E7" i="45"/>
  <c r="E15" i="45"/>
  <c r="F15" i="45" s="1"/>
  <c r="E23" i="45"/>
  <c r="E31" i="45"/>
  <c r="F31" i="45" s="1"/>
  <c r="E12" i="45"/>
  <c r="E20" i="45"/>
  <c r="E28" i="45"/>
  <c r="E5" i="45"/>
  <c r="E13" i="45"/>
  <c r="E21" i="45"/>
  <c r="E29" i="45"/>
  <c r="E14" i="45"/>
  <c r="E30" i="45"/>
  <c r="E19" i="45"/>
  <c r="F19" i="45" s="1"/>
  <c r="E16" i="45"/>
  <c r="E32" i="45"/>
  <c r="F32" i="45" s="1"/>
  <c r="E17" i="45"/>
  <c r="E6" i="45"/>
  <c r="E22" i="45"/>
  <c r="E11" i="45"/>
  <c r="F11" i="45" s="1"/>
  <c r="E27" i="45"/>
  <c r="E8" i="45"/>
  <c r="F8" i="45" s="1"/>
  <c r="E24" i="45"/>
  <c r="E9" i="45"/>
  <c r="E25" i="45"/>
  <c r="E20" i="22"/>
  <c r="E5" i="22"/>
  <c r="E14" i="22"/>
  <c r="E30" i="22"/>
  <c r="E19" i="22"/>
  <c r="E8" i="22"/>
  <c r="E24" i="22"/>
  <c r="E9" i="22"/>
  <c r="E25" i="22"/>
  <c r="E18" i="22"/>
  <c r="E7" i="22"/>
  <c r="E23" i="22"/>
  <c r="E29" i="22"/>
  <c r="E28" i="22"/>
  <c r="E21" i="22"/>
  <c r="E6" i="22"/>
  <c r="E22" i="22"/>
  <c r="E11" i="22"/>
  <c r="E27" i="22"/>
  <c r="E16" i="22"/>
  <c r="E32" i="22"/>
  <c r="E17" i="22"/>
  <c r="E10" i="22"/>
  <c r="E26" i="22"/>
  <c r="E15" i="22"/>
  <c r="E31" i="22"/>
  <c r="E13" i="22"/>
  <c r="E12" i="22"/>
  <c r="E11" i="1"/>
  <c r="E26" i="1"/>
  <c r="E27" i="1"/>
  <c r="E12" i="1"/>
  <c r="E5" i="1"/>
  <c r="E32" i="1"/>
  <c r="E17" i="1"/>
  <c r="E6" i="1"/>
  <c r="E21" i="1"/>
  <c r="E20" i="1"/>
  <c r="E30" i="1"/>
  <c r="E31" i="1"/>
  <c r="E15" i="1"/>
  <c r="E9" i="1"/>
  <c r="E25" i="1"/>
  <c r="E18" i="1"/>
  <c r="E19" i="1"/>
  <c r="E13" i="1"/>
  <c r="E16" i="1"/>
  <c r="E7" i="1"/>
  <c r="E14" i="1"/>
  <c r="E29" i="1"/>
  <c r="E28" i="1"/>
  <c r="E22" i="1"/>
  <c r="E23" i="1"/>
  <c r="E8" i="1"/>
  <c r="E24" i="1"/>
  <c r="E10" i="1"/>
  <c r="E31" i="3"/>
  <c r="E16" i="3"/>
  <c r="E15" i="3"/>
  <c r="E14" i="3"/>
  <c r="E5" i="3"/>
  <c r="E21" i="3"/>
  <c r="E18" i="3"/>
  <c r="E26" i="3"/>
  <c r="E24" i="3"/>
  <c r="E20" i="3"/>
  <c r="E19" i="3"/>
  <c r="E30" i="3"/>
  <c r="E6" i="3"/>
  <c r="E17" i="3"/>
  <c r="E28" i="3"/>
  <c r="E23" i="3"/>
  <c r="E8" i="3"/>
  <c r="E7" i="3"/>
  <c r="E29" i="3"/>
  <c r="E13" i="3"/>
  <c r="E10" i="3"/>
  <c r="E25" i="3"/>
  <c r="E32" i="3"/>
  <c r="E27" i="3"/>
  <c r="E12" i="3"/>
  <c r="E11" i="3"/>
  <c r="E22" i="3"/>
  <c r="E9" i="3"/>
  <c r="E16" i="28"/>
  <c r="E32" i="28"/>
  <c r="E17" i="28"/>
  <c r="E6" i="28"/>
  <c r="E22" i="28"/>
  <c r="E11" i="28"/>
  <c r="E27" i="28"/>
  <c r="E20" i="28"/>
  <c r="E5" i="28"/>
  <c r="E21" i="28"/>
  <c r="E15" i="28"/>
  <c r="E10" i="28"/>
  <c r="E7" i="28"/>
  <c r="E8" i="28"/>
  <c r="E24" i="28"/>
  <c r="E9" i="28"/>
  <c r="E25" i="28"/>
  <c r="E14" i="28"/>
  <c r="E30" i="28"/>
  <c r="E19" i="28"/>
  <c r="E12" i="28"/>
  <c r="E28" i="28"/>
  <c r="E13" i="28"/>
  <c r="E29" i="28"/>
  <c r="E31" i="28"/>
  <c r="E26" i="28"/>
  <c r="E23" i="28"/>
  <c r="E18" i="28"/>
  <c r="E17" i="39"/>
  <c r="E6" i="39"/>
  <c r="E22" i="39"/>
  <c r="E11" i="39"/>
  <c r="E27" i="39"/>
  <c r="E16" i="39"/>
  <c r="E32" i="39"/>
  <c r="E31" i="39"/>
  <c r="E29" i="39"/>
  <c r="E28" i="39"/>
  <c r="E23" i="39"/>
  <c r="E10" i="39"/>
  <c r="E5" i="39"/>
  <c r="E9" i="39"/>
  <c r="E25" i="39"/>
  <c r="E14" i="39"/>
  <c r="E30" i="39"/>
  <c r="E19" i="39"/>
  <c r="E8" i="39"/>
  <c r="E24" i="39"/>
  <c r="E20" i="39"/>
  <c r="E15" i="39"/>
  <c r="E18" i="39"/>
  <c r="E13" i="39"/>
  <c r="E12" i="39"/>
  <c r="E7" i="39"/>
  <c r="E26" i="39"/>
  <c r="E21" i="39"/>
  <c r="E20" i="43"/>
  <c r="E5" i="43"/>
  <c r="E21" i="43"/>
  <c r="E10" i="43"/>
  <c r="E26" i="43"/>
  <c r="E15" i="43"/>
  <c r="E31" i="43"/>
  <c r="E19" i="43"/>
  <c r="E14" i="43"/>
  <c r="E17" i="43"/>
  <c r="E16" i="43"/>
  <c r="E11" i="43"/>
  <c r="E6" i="43"/>
  <c r="E25" i="43"/>
  <c r="E24" i="43"/>
  <c r="E12" i="43"/>
  <c r="E28" i="43"/>
  <c r="E13" i="43"/>
  <c r="E29" i="43"/>
  <c r="E18" i="43"/>
  <c r="E7" i="43"/>
  <c r="E23" i="43"/>
  <c r="E30" i="43"/>
  <c r="E32" i="43"/>
  <c r="E27" i="43"/>
  <c r="E22" i="43"/>
  <c r="E9" i="43"/>
  <c r="E8" i="43"/>
  <c r="E6" i="26"/>
  <c r="E9" i="26"/>
  <c r="E28" i="26"/>
  <c r="E27" i="26"/>
  <c r="E16" i="26"/>
  <c r="E18" i="26"/>
  <c r="E17" i="26"/>
  <c r="E10" i="26"/>
  <c r="E13" i="26"/>
  <c r="E32" i="26"/>
  <c r="E31" i="26"/>
  <c r="E21" i="26"/>
  <c r="E7" i="26"/>
  <c r="E30" i="26"/>
  <c r="E12" i="26"/>
  <c r="E14" i="26"/>
  <c r="E20" i="26"/>
  <c r="E19" i="26"/>
  <c r="E8" i="26"/>
  <c r="E11" i="26"/>
  <c r="E26" i="26"/>
  <c r="E25" i="26"/>
  <c r="E5" i="26"/>
  <c r="E24" i="26"/>
  <c r="E23" i="26"/>
  <c r="E22" i="26"/>
  <c r="E29" i="26"/>
  <c r="E15" i="26"/>
  <c r="E6" i="30"/>
  <c r="E22" i="30"/>
  <c r="E11" i="30"/>
  <c r="E27" i="30"/>
  <c r="E16" i="30"/>
  <c r="E32" i="30"/>
  <c r="E17" i="30"/>
  <c r="E10" i="30"/>
  <c r="E26" i="30"/>
  <c r="E15" i="30"/>
  <c r="E31" i="30"/>
  <c r="E5" i="30"/>
  <c r="E29" i="30"/>
  <c r="E28" i="30"/>
  <c r="E14" i="30"/>
  <c r="E30" i="30"/>
  <c r="E19" i="30"/>
  <c r="E8" i="30"/>
  <c r="E24" i="30"/>
  <c r="E9" i="30"/>
  <c r="E25" i="30"/>
  <c r="E18" i="30"/>
  <c r="E7" i="30"/>
  <c r="E23" i="30"/>
  <c r="E21" i="30"/>
  <c r="E20" i="30"/>
  <c r="E13" i="30"/>
  <c r="E12" i="30"/>
  <c r="E18" i="41"/>
  <c r="E7" i="41"/>
  <c r="E23" i="41"/>
  <c r="E12" i="41"/>
  <c r="E28" i="41"/>
  <c r="E13" i="41"/>
  <c r="E29" i="41"/>
  <c r="E25" i="41"/>
  <c r="E24" i="41"/>
  <c r="E27" i="41"/>
  <c r="E22" i="41"/>
  <c r="E17" i="41"/>
  <c r="E16" i="41"/>
  <c r="E30" i="41"/>
  <c r="E10" i="41"/>
  <c r="E26" i="41"/>
  <c r="E15" i="41"/>
  <c r="E31" i="41"/>
  <c r="E20" i="41"/>
  <c r="E5" i="41"/>
  <c r="E21" i="41"/>
  <c r="E9" i="41"/>
  <c r="E8" i="41"/>
  <c r="E11" i="41"/>
  <c r="E6" i="41"/>
  <c r="E32" i="41"/>
  <c r="E19" i="41"/>
  <c r="E14" i="41"/>
  <c r="E8" i="12"/>
  <c r="E32" i="12"/>
  <c r="E19" i="12"/>
  <c r="E22" i="12"/>
  <c r="E6" i="12"/>
  <c r="E27" i="12"/>
  <c r="E13" i="12"/>
  <c r="E20" i="12"/>
  <c r="E28" i="12"/>
  <c r="E15" i="12"/>
  <c r="E18" i="12"/>
  <c r="E30" i="12"/>
  <c r="E25" i="12"/>
  <c r="E9" i="12"/>
  <c r="E16" i="12"/>
  <c r="E29" i="12"/>
  <c r="E11" i="12"/>
  <c r="E14" i="12"/>
  <c r="E26" i="12"/>
  <c r="E21" i="12"/>
  <c r="E5" i="12"/>
  <c r="E12" i="12"/>
  <c r="E23" i="12"/>
  <c r="E7" i="12"/>
  <c r="E10" i="12"/>
  <c r="E31" i="12"/>
  <c r="E17" i="12"/>
  <c r="E24" i="12"/>
  <c r="E10" i="60"/>
  <c r="F10" i="60" s="1"/>
  <c r="E28" i="60"/>
  <c r="F28" i="60" s="1"/>
  <c r="E23" i="60"/>
  <c r="F23" i="60" s="1"/>
  <c r="F11" i="28"/>
  <c r="F21" i="24"/>
  <c r="F20" i="46"/>
  <c r="F27" i="46"/>
  <c r="F30" i="46"/>
  <c r="F14" i="55"/>
  <c r="F9" i="55"/>
  <c r="F11" i="27"/>
  <c r="F26" i="29"/>
  <c r="F11" i="29"/>
  <c r="F9" i="31"/>
  <c r="F29" i="21"/>
  <c r="F14" i="23"/>
  <c r="F18" i="51"/>
  <c r="F23" i="52"/>
  <c r="F28" i="56"/>
  <c r="F19" i="56"/>
  <c r="F29" i="56"/>
  <c r="F30" i="59"/>
  <c r="F26" i="4"/>
  <c r="F27" i="4"/>
  <c r="F8" i="6"/>
  <c r="F28" i="8"/>
  <c r="F19" i="8"/>
  <c r="F8" i="9"/>
  <c r="F24" i="16"/>
  <c r="F15" i="36"/>
  <c r="F30" i="36"/>
  <c r="F24" i="36"/>
  <c r="F16" i="36"/>
  <c r="F12" i="36"/>
  <c r="F23" i="48"/>
  <c r="F14" i="48"/>
  <c r="F15" i="54"/>
  <c r="F18" i="54"/>
  <c r="F19" i="32"/>
  <c r="F14" i="32"/>
  <c r="F12" i="49"/>
  <c r="F10" i="13"/>
  <c r="F15" i="13"/>
  <c r="F14" i="17"/>
  <c r="F15" i="17"/>
  <c r="F27" i="10"/>
  <c r="F20" i="18"/>
  <c r="F17" i="33"/>
  <c r="F16" i="33"/>
  <c r="F11" i="33"/>
  <c r="F10" i="37"/>
  <c r="F27" i="37"/>
  <c r="F32" i="37"/>
  <c r="F28" i="37"/>
  <c r="F20" i="37"/>
  <c r="F11" i="50"/>
  <c r="F27" i="50"/>
  <c r="F10" i="50"/>
  <c r="F24" i="50"/>
  <c r="F28" i="53"/>
  <c r="F20" i="53"/>
  <c r="F10" i="53"/>
  <c r="F18" i="53"/>
  <c r="F27" i="53"/>
  <c r="F12" i="53"/>
  <c r="F7" i="53"/>
  <c r="E33" i="57"/>
  <c r="F5" i="57"/>
  <c r="F21" i="44" l="1"/>
  <c r="F20" i="44"/>
  <c r="E13" i="60"/>
  <c r="F13" i="60" s="1"/>
  <c r="E19" i="60"/>
  <c r="F19" i="60" s="1"/>
  <c r="P61" i="62" s="1"/>
  <c r="E18" i="60"/>
  <c r="F18" i="60" s="1"/>
  <c r="F13" i="42"/>
  <c r="J19" i="62" s="1"/>
  <c r="F7" i="42"/>
  <c r="F18" i="42"/>
  <c r="O19" i="62" s="1"/>
  <c r="E24" i="60"/>
  <c r="F24" i="60" s="1"/>
  <c r="E5" i="60"/>
  <c r="F5" i="60" s="1"/>
  <c r="E16" i="60"/>
  <c r="F16" i="60" s="1"/>
  <c r="E17" i="60"/>
  <c r="F17" i="60" s="1"/>
  <c r="C16" i="66" s="1"/>
  <c r="R16" i="66" s="1"/>
  <c r="E6" i="60"/>
  <c r="F6" i="60" s="1"/>
  <c r="E30" i="60"/>
  <c r="F30" i="60" s="1"/>
  <c r="C29" i="66" s="1"/>
  <c r="R29" i="66" s="1"/>
  <c r="E29" i="60"/>
  <c r="F29" i="60" s="1"/>
  <c r="F32" i="42"/>
  <c r="AC19" i="62" s="1"/>
  <c r="F24" i="42"/>
  <c r="F24" i="40"/>
  <c r="F29" i="40"/>
  <c r="F11" i="49"/>
  <c r="H12" i="62" s="1"/>
  <c r="F20" i="49"/>
  <c r="F8" i="49"/>
  <c r="E12" i="62" s="1"/>
  <c r="F6" i="49"/>
  <c r="F8" i="48"/>
  <c r="E13" i="62" s="1"/>
  <c r="F17" i="48"/>
  <c r="F6" i="44"/>
  <c r="C17" i="62" s="1"/>
  <c r="F27" i="44"/>
  <c r="F13" i="44"/>
  <c r="F26" i="44"/>
  <c r="F10" i="16"/>
  <c r="F25" i="16"/>
  <c r="F16" i="4"/>
  <c r="M57" i="62" s="1"/>
  <c r="F29" i="4"/>
  <c r="F8" i="4"/>
  <c r="E57" i="62" s="1"/>
  <c r="F10" i="59"/>
  <c r="F13" i="59"/>
  <c r="J59" i="62" s="1"/>
  <c r="F7" i="59"/>
  <c r="F24" i="59"/>
  <c r="F14" i="59"/>
  <c r="F15" i="40"/>
  <c r="L21" i="62" s="1"/>
  <c r="F12" i="40"/>
  <c r="F18" i="40"/>
  <c r="O21" i="62" s="1"/>
  <c r="F9" i="40"/>
  <c r="F21" i="49"/>
  <c r="R12" i="62" s="1"/>
  <c r="F9" i="49"/>
  <c r="F22" i="49"/>
  <c r="F15" i="48"/>
  <c r="F11" i="48"/>
  <c r="F29" i="48"/>
  <c r="F28" i="48"/>
  <c r="F22" i="48"/>
  <c r="F18" i="44"/>
  <c r="O17" i="62" s="1"/>
  <c r="F12" i="44"/>
  <c r="F7" i="44"/>
  <c r="F21" i="16"/>
  <c r="F20" i="16"/>
  <c r="Q45" i="62" s="1"/>
  <c r="F32" i="16"/>
  <c r="F13" i="16"/>
  <c r="J45" i="62" s="1"/>
  <c r="F30" i="16"/>
  <c r="F22" i="4"/>
  <c r="F28" i="4"/>
  <c r="F19" i="4"/>
  <c r="P57" i="62" s="1"/>
  <c r="F9" i="4"/>
  <c r="F18" i="4"/>
  <c r="O57" i="62" s="1"/>
  <c r="F32" i="59"/>
  <c r="F27" i="59"/>
  <c r="X59" i="62" s="1"/>
  <c r="F25" i="59"/>
  <c r="F19" i="59"/>
  <c r="P59" i="62" s="1"/>
  <c r="F29" i="59"/>
  <c r="F17" i="53"/>
  <c r="N8" i="62" s="1"/>
  <c r="F11" i="53"/>
  <c r="F25" i="53"/>
  <c r="V8" i="62" s="1"/>
  <c r="F16" i="53"/>
  <c r="F26" i="53"/>
  <c r="W8" i="62" s="1"/>
  <c r="F7" i="33"/>
  <c r="F15" i="33"/>
  <c r="L28" i="62" s="1"/>
  <c r="F12" i="33"/>
  <c r="F20" i="33"/>
  <c r="F10" i="33"/>
  <c r="F29" i="33"/>
  <c r="F21" i="42"/>
  <c r="F31" i="42"/>
  <c r="F19" i="42"/>
  <c r="F6" i="42"/>
  <c r="C19" i="62" s="1"/>
  <c r="F14" i="42"/>
  <c r="F26" i="42"/>
  <c r="W19" i="62" s="1"/>
  <c r="F11" i="40"/>
  <c r="F10" i="40"/>
  <c r="G21" i="62" s="1"/>
  <c r="F22" i="40"/>
  <c r="F10" i="49"/>
  <c r="G12" i="62" s="1"/>
  <c r="F23" i="49"/>
  <c r="F24" i="49"/>
  <c r="U12" i="62" s="1"/>
  <c r="F25" i="49"/>
  <c r="F21" i="48"/>
  <c r="R13" i="62" s="1"/>
  <c r="F16" i="48"/>
  <c r="F9" i="48"/>
  <c r="F13" i="62" s="1"/>
  <c r="F15" i="44"/>
  <c r="F9" i="44"/>
  <c r="F17" i="62" s="1"/>
  <c r="F14" i="44"/>
  <c r="F32" i="44"/>
  <c r="AC17" i="62" s="1"/>
  <c r="F12" i="16"/>
  <c r="F6" i="16"/>
  <c r="C45" i="62" s="1"/>
  <c r="F15" i="16"/>
  <c r="F15" i="4"/>
  <c r="F14" i="4"/>
  <c r="F15" i="59"/>
  <c r="F22" i="59"/>
  <c r="F23" i="33"/>
  <c r="F31" i="33"/>
  <c r="F28" i="33"/>
  <c r="Y28" i="62" s="1"/>
  <c r="F29" i="42"/>
  <c r="F8" i="42"/>
  <c r="E19" i="62" s="1"/>
  <c r="F28" i="42"/>
  <c r="F27" i="40"/>
  <c r="X21" i="62" s="1"/>
  <c r="F13" i="40"/>
  <c r="F6" i="40"/>
  <c r="F13" i="53"/>
  <c r="F8" i="53"/>
  <c r="E8" i="62" s="1"/>
  <c r="F26" i="50"/>
  <c r="F32" i="49"/>
  <c r="F20" i="35"/>
  <c r="F15" i="35"/>
  <c r="L26" i="62" s="1"/>
  <c r="F17" i="15"/>
  <c r="F24" i="11"/>
  <c r="F32" i="26"/>
  <c r="F13" i="12"/>
  <c r="F27" i="39"/>
  <c r="F31" i="28"/>
  <c r="AB33" i="62" s="1"/>
  <c r="E15" i="60"/>
  <c r="F15" i="60" s="1"/>
  <c r="C14" i="66" s="1"/>
  <c r="R14" i="66" s="1"/>
  <c r="E14" i="60"/>
  <c r="F14" i="60" s="1"/>
  <c r="K61" i="62" s="1"/>
  <c r="E27" i="60"/>
  <c r="F27" i="60" s="1"/>
  <c r="E12" i="60"/>
  <c r="F12" i="60" s="1"/>
  <c r="I61" i="62" s="1"/>
  <c r="E26" i="60"/>
  <c r="F26" i="60" s="1"/>
  <c r="C25" i="66" s="1"/>
  <c r="R25" i="66" s="1"/>
  <c r="E7" i="60"/>
  <c r="F7" i="60" s="1"/>
  <c r="C6" i="66" s="1"/>
  <c r="R6" i="66" s="1"/>
  <c r="E32" i="60"/>
  <c r="F32" i="60" s="1"/>
  <c r="C31" i="66" s="1"/>
  <c r="R31" i="66" s="1"/>
  <c r="E31" i="60"/>
  <c r="F31" i="60" s="1"/>
  <c r="AB61" i="62" s="1"/>
  <c r="E20" i="60"/>
  <c r="F20" i="60" s="1"/>
  <c r="E11" i="60"/>
  <c r="F11" i="60" s="1"/>
  <c r="E21" i="60"/>
  <c r="F21" i="60" s="1"/>
  <c r="C20" i="66" s="1"/>
  <c r="R20" i="66" s="1"/>
  <c r="E22" i="60"/>
  <c r="E25" i="60"/>
  <c r="F25" i="60" s="1"/>
  <c r="C24" i="66" s="1"/>
  <c r="R24" i="66" s="1"/>
  <c r="E8" i="60"/>
  <c r="F8" i="60" s="1"/>
  <c r="C7" i="66" s="1"/>
  <c r="R7" i="66" s="1"/>
  <c r="Q64" i="63"/>
  <c r="R64" i="63" s="1"/>
  <c r="F6" i="9"/>
  <c r="C52" i="62" s="1"/>
  <c r="F12" i="9"/>
  <c r="F9" i="9"/>
  <c r="F52" i="62" s="1"/>
  <c r="F13" i="9"/>
  <c r="F19" i="9"/>
  <c r="F26" i="9"/>
  <c r="AC4" i="62"/>
  <c r="F122" i="18"/>
  <c r="F122" i="17"/>
  <c r="F122" i="16"/>
  <c r="F122" i="14"/>
  <c r="F122" i="13"/>
  <c r="F122" i="12"/>
  <c r="F122" i="51"/>
  <c r="F122" i="50"/>
  <c r="F122" i="40"/>
  <c r="F122" i="32"/>
  <c r="F122" i="29"/>
  <c r="F122" i="24"/>
  <c r="F122" i="23"/>
  <c r="F122" i="22"/>
  <c r="F122" i="21"/>
  <c r="F122" i="8"/>
  <c r="F122" i="4"/>
  <c r="F122" i="56"/>
  <c r="F122" i="11"/>
  <c r="F122" i="49"/>
  <c r="F122" i="54"/>
  <c r="F122" i="52"/>
  <c r="F122" i="44"/>
  <c r="F122" i="15"/>
  <c r="F122" i="10"/>
  <c r="F122" i="9"/>
  <c r="F122" i="53"/>
  <c r="F122" i="48"/>
  <c r="F122" i="46"/>
  <c r="F122" i="42"/>
  <c r="F122" i="34"/>
  <c r="F122" i="31"/>
  <c r="F122" i="27"/>
  <c r="F122" i="25"/>
  <c r="F122" i="6"/>
  <c r="F122" i="59"/>
  <c r="F122" i="47"/>
  <c r="F122" i="43"/>
  <c r="F122" i="41"/>
  <c r="F122" i="38"/>
  <c r="F122" i="30"/>
  <c r="F122" i="28"/>
  <c r="F122" i="26"/>
  <c r="F122" i="37"/>
  <c r="F122" i="35"/>
  <c r="F122" i="33"/>
  <c r="F122" i="7"/>
  <c r="F122" i="5"/>
  <c r="F122" i="3"/>
  <c r="F122" i="1"/>
  <c r="F122" i="20"/>
  <c r="F6" i="12"/>
  <c r="S4" i="62"/>
  <c r="H4" i="62"/>
  <c r="F28" i="12"/>
  <c r="F25" i="12"/>
  <c r="V49" i="62" s="1"/>
  <c r="F30" i="45"/>
  <c r="F8" i="15"/>
  <c r="E46" i="62" s="1"/>
  <c r="F12" i="18"/>
  <c r="F9" i="14"/>
  <c r="F47" i="62" s="1"/>
  <c r="F30" i="14"/>
  <c r="AA47" i="62" s="1"/>
  <c r="F23" i="17"/>
  <c r="T44" i="62" s="1"/>
  <c r="F25" i="13"/>
  <c r="F27" i="49"/>
  <c r="X12" i="62" s="1"/>
  <c r="F19" i="49"/>
  <c r="F18" i="32"/>
  <c r="O29" i="62" s="1"/>
  <c r="F32" i="32"/>
  <c r="F31" i="54"/>
  <c r="AB7" i="62" s="1"/>
  <c r="F10" i="44"/>
  <c r="F18" i="37"/>
  <c r="O24" i="62" s="1"/>
  <c r="F13" i="37"/>
  <c r="F14" i="33"/>
  <c r="K28" i="62" s="1"/>
  <c r="F9" i="33"/>
  <c r="F31" i="16"/>
  <c r="F22" i="9"/>
  <c r="F25" i="8"/>
  <c r="F25" i="6"/>
  <c r="F17" i="6"/>
  <c r="N55" i="62" s="1"/>
  <c r="F24" i="4"/>
  <c r="F13" i="52"/>
  <c r="F31" i="51"/>
  <c r="F25" i="51"/>
  <c r="V10" i="62" s="1"/>
  <c r="F9" i="53"/>
  <c r="F15" i="53"/>
  <c r="L8" i="62" s="1"/>
  <c r="F22" i="53"/>
  <c r="F30" i="53"/>
  <c r="AA8" i="62" s="1"/>
  <c r="F23" i="53"/>
  <c r="F32" i="53"/>
  <c r="AC8" i="62" s="1"/>
  <c r="F20" i="50"/>
  <c r="Q11" i="62" s="1"/>
  <c r="F14" i="50"/>
  <c r="K11" i="62" s="1"/>
  <c r="F30" i="50"/>
  <c r="AA11" i="62" s="1"/>
  <c r="F25" i="50"/>
  <c r="V11" i="62" s="1"/>
  <c r="F21" i="50"/>
  <c r="R11" i="62" s="1"/>
  <c r="F9" i="50"/>
  <c r="F11" i="62" s="1"/>
  <c r="F8" i="37"/>
  <c r="F24" i="37"/>
  <c r="U24" i="62" s="1"/>
  <c r="F19" i="37"/>
  <c r="P24" i="62" s="1"/>
  <c r="F9" i="37"/>
  <c r="F24" i="62" s="1"/>
  <c r="F25" i="37"/>
  <c r="V24" i="62" s="1"/>
  <c r="F14" i="37"/>
  <c r="K24" i="62" s="1"/>
  <c r="F30" i="37"/>
  <c r="AA24" i="62" s="1"/>
  <c r="F13" i="33"/>
  <c r="J28" i="62" s="1"/>
  <c r="F21" i="33"/>
  <c r="F18" i="33"/>
  <c r="O28" i="62" s="1"/>
  <c r="F26" i="33"/>
  <c r="F16" i="13"/>
  <c r="M48" i="62" s="1"/>
  <c r="F12" i="13"/>
  <c r="I48" i="62" s="1"/>
  <c r="F8" i="13"/>
  <c r="F30" i="48"/>
  <c r="F24" i="48"/>
  <c r="U13" i="62" s="1"/>
  <c r="F25" i="48"/>
  <c r="F32" i="36"/>
  <c r="AC25" i="62" s="1"/>
  <c r="F26" i="36"/>
  <c r="F31" i="36"/>
  <c r="AB25" i="62" s="1"/>
  <c r="F27" i="36"/>
  <c r="F23" i="36"/>
  <c r="T25" i="62" s="1"/>
  <c r="F11" i="36"/>
  <c r="F16" i="45"/>
  <c r="M16" i="62" s="1"/>
  <c r="F18" i="52"/>
  <c r="O9" i="62" s="1"/>
  <c r="F22" i="51"/>
  <c r="S10" i="62" s="1"/>
  <c r="F18" i="23"/>
  <c r="O38" i="62" s="1"/>
  <c r="F15" i="27"/>
  <c r="L34" i="62" s="1"/>
  <c r="F26" i="27"/>
  <c r="F21" i="55"/>
  <c r="F23" i="55"/>
  <c r="F22" i="46"/>
  <c r="F32" i="46"/>
  <c r="F13" i="46"/>
  <c r="J15" i="62" s="1"/>
  <c r="F22" i="45"/>
  <c r="F29" i="45"/>
  <c r="F12" i="15"/>
  <c r="F10" i="10"/>
  <c r="G51" i="62" s="1"/>
  <c r="F22" i="17"/>
  <c r="F26" i="17"/>
  <c r="W44" i="62" s="1"/>
  <c r="F31" i="17"/>
  <c r="F13" i="13"/>
  <c r="J48" i="62" s="1"/>
  <c r="F21" i="13"/>
  <c r="F30" i="49"/>
  <c r="AA12" i="62" s="1"/>
  <c r="F12" i="54"/>
  <c r="I7" i="62" s="1"/>
  <c r="F27" i="54"/>
  <c r="X7" i="62" s="1"/>
  <c r="F26" i="37"/>
  <c r="W24" i="62" s="1"/>
  <c r="F21" i="37"/>
  <c r="F23" i="37"/>
  <c r="F31" i="37"/>
  <c r="F30" i="33"/>
  <c r="F25" i="33"/>
  <c r="V28" i="62" s="1"/>
  <c r="F24" i="33"/>
  <c r="F8" i="33"/>
  <c r="E28" i="62" s="1"/>
  <c r="F19" i="33"/>
  <c r="F18" i="16"/>
  <c r="O45" i="62" s="1"/>
  <c r="F29" i="9"/>
  <c r="F30" i="9"/>
  <c r="AA52" i="62" s="1"/>
  <c r="F23" i="8"/>
  <c r="F20" i="4"/>
  <c r="F31" i="4"/>
  <c r="F12" i="4"/>
  <c r="F25" i="4"/>
  <c r="F32" i="23"/>
  <c r="AC38" i="62" s="1"/>
  <c r="F8" i="23"/>
  <c r="E38" i="62" s="1"/>
  <c r="F21" i="21"/>
  <c r="R40" i="62" s="1"/>
  <c r="F6" i="21"/>
  <c r="C40" i="62" s="1"/>
  <c r="F25" i="21"/>
  <c r="F30" i="21"/>
  <c r="AA40" i="62" s="1"/>
  <c r="F21" i="34"/>
  <c r="R27" i="62" s="1"/>
  <c r="F14" i="34"/>
  <c r="F29" i="31"/>
  <c r="F28" i="31"/>
  <c r="F10" i="29"/>
  <c r="G32" i="62" s="1"/>
  <c r="F22" i="29"/>
  <c r="F30" i="29"/>
  <c r="F27" i="29"/>
  <c r="X32" i="62" s="1"/>
  <c r="F9" i="27"/>
  <c r="F23" i="27"/>
  <c r="T34" i="62" s="1"/>
  <c r="F12" i="55"/>
  <c r="F24" i="55"/>
  <c r="F25" i="55"/>
  <c r="V6" i="62" s="1"/>
  <c r="F32" i="55"/>
  <c r="F16" i="46"/>
  <c r="F11" i="46"/>
  <c r="F29" i="46"/>
  <c r="Z15" i="62" s="1"/>
  <c r="F21" i="36"/>
  <c r="R25" i="62" s="1"/>
  <c r="F20" i="36"/>
  <c r="F22" i="36"/>
  <c r="S25" i="62" s="1"/>
  <c r="F6" i="36"/>
  <c r="F17" i="36"/>
  <c r="F123" i="39"/>
  <c r="F17" i="12"/>
  <c r="F26" i="35"/>
  <c r="W26" i="62" s="1"/>
  <c r="F25" i="15"/>
  <c r="V46" i="62" s="1"/>
  <c r="F16" i="15"/>
  <c r="M46" i="62" s="1"/>
  <c r="F31" i="15"/>
  <c r="F18" i="11"/>
  <c r="O50" i="62" s="1"/>
  <c r="F30" i="11"/>
  <c r="F22" i="16"/>
  <c r="F17" i="16"/>
  <c r="F29" i="16"/>
  <c r="F28" i="16"/>
  <c r="F14" i="16"/>
  <c r="K45" i="62" s="1"/>
  <c r="F9" i="16"/>
  <c r="F32" i="9"/>
  <c r="AC52" i="62" s="1"/>
  <c r="F27" i="9"/>
  <c r="F28" i="9"/>
  <c r="Y52" i="62" s="1"/>
  <c r="F31" i="9"/>
  <c r="AB52" i="62" s="1"/>
  <c r="F24" i="9"/>
  <c r="U52" i="62" s="1"/>
  <c r="F13" i="8"/>
  <c r="J53" i="62" s="1"/>
  <c r="F12" i="8"/>
  <c r="I53" i="62" s="1"/>
  <c r="F31" i="8"/>
  <c r="AB53" i="62" s="1"/>
  <c r="F8" i="8"/>
  <c r="F21" i="8"/>
  <c r="F20" i="8"/>
  <c r="Q53" i="62" s="1"/>
  <c r="F11" i="8"/>
  <c r="H53" i="62" s="1"/>
  <c r="F6" i="6"/>
  <c r="C55" i="62" s="1"/>
  <c r="F11" i="6"/>
  <c r="H55" i="62" s="1"/>
  <c r="F29" i="6"/>
  <c r="Z55" i="62" s="1"/>
  <c r="F19" i="6"/>
  <c r="F10" i="6"/>
  <c r="G55" i="62" s="1"/>
  <c r="F14" i="6"/>
  <c r="K55" i="62" s="1"/>
  <c r="F11" i="4"/>
  <c r="H57" i="62" s="1"/>
  <c r="F32" i="4"/>
  <c r="F26" i="59"/>
  <c r="F11" i="59"/>
  <c r="F6" i="59"/>
  <c r="F32" i="56"/>
  <c r="F11" i="56"/>
  <c r="H5" i="62" s="1"/>
  <c r="F8" i="56"/>
  <c r="F10" i="52"/>
  <c r="G9" i="62" s="1"/>
  <c r="F30" i="52"/>
  <c r="F25" i="52"/>
  <c r="V9" i="62" s="1"/>
  <c r="F6" i="52"/>
  <c r="F10" i="51"/>
  <c r="G10" i="62" s="1"/>
  <c r="F7" i="51"/>
  <c r="F16" i="51"/>
  <c r="M10" i="62" s="1"/>
  <c r="F21" i="23"/>
  <c r="F7" i="23"/>
  <c r="D38" i="62" s="1"/>
  <c r="F25" i="23"/>
  <c r="F32" i="21"/>
  <c r="AC40" i="62" s="1"/>
  <c r="F8" i="21"/>
  <c r="F20" i="34"/>
  <c r="Q27" i="62" s="1"/>
  <c r="F13" i="34"/>
  <c r="F12" i="34"/>
  <c r="I27" i="62" s="1"/>
  <c r="F25" i="34"/>
  <c r="F9" i="34"/>
  <c r="F27" i="62" s="1"/>
  <c r="F30" i="34"/>
  <c r="F21" i="31"/>
  <c r="R30" i="62" s="1"/>
  <c r="F7" i="31"/>
  <c r="F32" i="31"/>
  <c r="AC30" i="62" s="1"/>
  <c r="F20" i="31"/>
  <c r="F11" i="15"/>
  <c r="F27" i="11"/>
  <c r="F23" i="42"/>
  <c r="F15" i="42"/>
  <c r="F16" i="42"/>
  <c r="F20" i="42"/>
  <c r="F26" i="40"/>
  <c r="W21" i="62" s="1"/>
  <c r="F30" i="40"/>
  <c r="F6" i="18"/>
  <c r="C43" i="62" s="1"/>
  <c r="F28" i="18"/>
  <c r="F31" i="18"/>
  <c r="AB43" i="62" s="1"/>
  <c r="F23" i="18"/>
  <c r="F11" i="18"/>
  <c r="H43" i="62" s="1"/>
  <c r="F8" i="14"/>
  <c r="F17" i="14"/>
  <c r="N47" i="62" s="1"/>
  <c r="F6" i="10"/>
  <c r="F28" i="10"/>
  <c r="Y51" i="62" s="1"/>
  <c r="F31" i="10"/>
  <c r="F23" i="10"/>
  <c r="T51" i="62" s="1"/>
  <c r="F19" i="10"/>
  <c r="F21" i="20"/>
  <c r="R41" i="62" s="1"/>
  <c r="F13" i="20"/>
  <c r="F32" i="20"/>
  <c r="AC41" i="62" s="1"/>
  <c r="F24" i="20"/>
  <c r="F20" i="20"/>
  <c r="Q41" i="62" s="1"/>
  <c r="F19" i="17"/>
  <c r="F30" i="17"/>
  <c r="AA44" i="62" s="1"/>
  <c r="F24" i="13"/>
  <c r="F14" i="49"/>
  <c r="F16" i="49"/>
  <c r="F29" i="49"/>
  <c r="F26" i="32"/>
  <c r="F16" i="32"/>
  <c r="M29" i="62" s="1"/>
  <c r="F21" i="32"/>
  <c r="F17" i="32"/>
  <c r="N29" i="62" s="1"/>
  <c r="F10" i="54"/>
  <c r="F32" i="54"/>
  <c r="AC7" i="62" s="1"/>
  <c r="F19" i="54"/>
  <c r="F7" i="48"/>
  <c r="F19" i="48"/>
  <c r="F27" i="48"/>
  <c r="F19" i="44"/>
  <c r="F11" i="44"/>
  <c r="F25" i="44"/>
  <c r="F17" i="44"/>
  <c r="F22" i="44"/>
  <c r="F30" i="44"/>
  <c r="F31" i="44"/>
  <c r="F28" i="45"/>
  <c r="Y16" i="62" s="1"/>
  <c r="F25" i="45"/>
  <c r="F32" i="35"/>
  <c r="F17" i="35"/>
  <c r="F27" i="35"/>
  <c r="X26" i="62" s="1"/>
  <c r="F6" i="35"/>
  <c r="F26" i="15"/>
  <c r="F23" i="11"/>
  <c r="F10" i="11"/>
  <c r="F8" i="16"/>
  <c r="F16" i="16"/>
  <c r="M45" i="62" s="1"/>
  <c r="F27" i="16"/>
  <c r="F19" i="16"/>
  <c r="P45" i="62" s="1"/>
  <c r="F7" i="16"/>
  <c r="F18" i="9"/>
  <c r="F20" i="9"/>
  <c r="F7" i="9"/>
  <c r="D52" i="62" s="1"/>
  <c r="F15" i="9"/>
  <c r="F25" i="9"/>
  <c r="F21" i="9"/>
  <c r="F7" i="8"/>
  <c r="D53" i="62" s="1"/>
  <c r="F10" i="8"/>
  <c r="F22" i="8"/>
  <c r="F30" i="8"/>
  <c r="F31" i="6"/>
  <c r="F23" i="6"/>
  <c r="F16" i="6"/>
  <c r="M55" i="62" s="1"/>
  <c r="F24" i="6"/>
  <c r="F28" i="6"/>
  <c r="Y55" i="62" s="1"/>
  <c r="F23" i="4"/>
  <c r="F18" i="59"/>
  <c r="F8" i="31"/>
  <c r="F9" i="29"/>
  <c r="F32" i="62" s="1"/>
  <c r="F19" i="27"/>
  <c r="F6" i="27"/>
  <c r="C34" i="62" s="1"/>
  <c r="F14" i="27"/>
  <c r="F20" i="27"/>
  <c r="Q34" i="62" s="1"/>
  <c r="F24" i="27"/>
  <c r="F28" i="27"/>
  <c r="Y34" i="62" s="1"/>
  <c r="F32" i="27"/>
  <c r="F30" i="55"/>
  <c r="AA6" i="62" s="1"/>
  <c r="F19" i="55"/>
  <c r="F27" i="55"/>
  <c r="X6" i="62" s="1"/>
  <c r="F22" i="55"/>
  <c r="F18" i="55"/>
  <c r="O6" i="62" s="1"/>
  <c r="F10" i="55"/>
  <c r="F29" i="55"/>
  <c r="Z6" i="62" s="1"/>
  <c r="F18" i="46"/>
  <c r="F7" i="46"/>
  <c r="D15" i="62" s="1"/>
  <c r="F23" i="46"/>
  <c r="F12" i="46"/>
  <c r="I15" i="62" s="1"/>
  <c r="F28" i="46"/>
  <c r="F17" i="46"/>
  <c r="N15" i="62" s="1"/>
  <c r="F6" i="46"/>
  <c r="F7" i="24"/>
  <c r="F27" i="24"/>
  <c r="F22" i="24"/>
  <c r="S37" i="62" s="1"/>
  <c r="F17" i="24"/>
  <c r="F16" i="24"/>
  <c r="F31" i="24"/>
  <c r="F29" i="24"/>
  <c r="F28" i="24"/>
  <c r="F19" i="24"/>
  <c r="F14" i="24"/>
  <c r="F9" i="24"/>
  <c r="F10" i="4"/>
  <c r="F21" i="4"/>
  <c r="F6" i="4"/>
  <c r="F13" i="4"/>
  <c r="F30" i="4"/>
  <c r="F7" i="4"/>
  <c r="F20" i="59"/>
  <c r="F31" i="59"/>
  <c r="F17" i="59"/>
  <c r="F16" i="59"/>
  <c r="F12" i="59"/>
  <c r="F23" i="59"/>
  <c r="T59" i="62" s="1"/>
  <c r="F9" i="59"/>
  <c r="F8" i="59"/>
  <c r="F28" i="59"/>
  <c r="F7" i="56"/>
  <c r="F17" i="56"/>
  <c r="F30" i="56"/>
  <c r="AA5" i="62" s="1"/>
  <c r="F10" i="56"/>
  <c r="F25" i="56"/>
  <c r="F6" i="56"/>
  <c r="F15" i="56"/>
  <c r="L5" i="62" s="1"/>
  <c r="F24" i="52"/>
  <c r="F19" i="52"/>
  <c r="F31" i="52"/>
  <c r="F32" i="52"/>
  <c r="F27" i="52"/>
  <c r="F12" i="52"/>
  <c r="F7" i="52"/>
  <c r="F27" i="51"/>
  <c r="F17" i="51"/>
  <c r="F23" i="51"/>
  <c r="F13" i="51"/>
  <c r="F12" i="51"/>
  <c r="F30" i="51"/>
  <c r="F24" i="51"/>
  <c r="F15" i="23"/>
  <c r="F20" i="23"/>
  <c r="F27" i="23"/>
  <c r="F6" i="23"/>
  <c r="F12" i="23"/>
  <c r="F29" i="23"/>
  <c r="F30" i="23"/>
  <c r="F31" i="21"/>
  <c r="F26" i="21"/>
  <c r="F28" i="21"/>
  <c r="Y40" i="62" s="1"/>
  <c r="F27" i="21"/>
  <c r="F15" i="21"/>
  <c r="F13" i="21"/>
  <c r="F18" i="21"/>
  <c r="F12" i="21"/>
  <c r="F25" i="42"/>
  <c r="F17" i="42"/>
  <c r="F9" i="42"/>
  <c r="F19" i="62" s="1"/>
  <c r="F11" i="42"/>
  <c r="F10" i="42"/>
  <c r="G19" i="62" s="1"/>
  <c r="F22" i="42"/>
  <c r="F30" i="42"/>
  <c r="F31" i="40"/>
  <c r="F23" i="40"/>
  <c r="T21" i="62" s="1"/>
  <c r="F7" i="40"/>
  <c r="F25" i="40"/>
  <c r="V21" i="62" s="1"/>
  <c r="F17" i="40"/>
  <c r="F8" i="40"/>
  <c r="E21" i="62" s="1"/>
  <c r="F16" i="40"/>
  <c r="M21" i="62" s="1"/>
  <c r="F20" i="40"/>
  <c r="Q21" i="62" s="1"/>
  <c r="F32" i="40"/>
  <c r="F30" i="18"/>
  <c r="F8" i="18"/>
  <c r="F16" i="18"/>
  <c r="M43" i="62" s="1"/>
  <c r="F21" i="18"/>
  <c r="F17" i="18"/>
  <c r="N43" i="62" s="1"/>
  <c r="F9" i="18"/>
  <c r="F18" i="14"/>
  <c r="O47" i="62" s="1"/>
  <c r="F26" i="14"/>
  <c r="F6" i="14"/>
  <c r="C47" i="62" s="1"/>
  <c r="F12" i="14"/>
  <c r="F28" i="14"/>
  <c r="Y47" i="62" s="1"/>
  <c r="F31" i="14"/>
  <c r="F23" i="14"/>
  <c r="T47" i="62" s="1"/>
  <c r="F11" i="14"/>
  <c r="H47" i="62" s="1"/>
  <c r="F14" i="10"/>
  <c r="K51" i="62" s="1"/>
  <c r="F16" i="10"/>
  <c r="F24" i="10"/>
  <c r="U51" i="62" s="1"/>
  <c r="F29" i="10"/>
  <c r="F25" i="10"/>
  <c r="V51" i="62" s="1"/>
  <c r="F17" i="10"/>
  <c r="F6" i="20"/>
  <c r="C41" i="62" s="1"/>
  <c r="F15" i="20"/>
  <c r="L41" i="62" s="1"/>
  <c r="F25" i="20"/>
  <c r="V41" i="62" s="1"/>
  <c r="F11" i="20"/>
  <c r="F7" i="20"/>
  <c r="D41" i="62" s="1"/>
  <c r="F30" i="20"/>
  <c r="F26" i="20"/>
  <c r="W41" i="62" s="1"/>
  <c r="F18" i="20"/>
  <c r="F29" i="17"/>
  <c r="Z44" i="62" s="1"/>
  <c r="F25" i="17"/>
  <c r="F21" i="17"/>
  <c r="F17" i="17"/>
  <c r="F32" i="17"/>
  <c r="AC44" i="62" s="1"/>
  <c r="F28" i="17"/>
  <c r="F16" i="17"/>
  <c r="M44" i="62" s="1"/>
  <c r="F8" i="17"/>
  <c r="F31" i="13"/>
  <c r="AB48" i="62" s="1"/>
  <c r="F27" i="13"/>
  <c r="F7" i="13"/>
  <c r="D48" i="62" s="1"/>
  <c r="F30" i="13"/>
  <c r="F26" i="13"/>
  <c r="F18" i="13"/>
  <c r="F6" i="13"/>
  <c r="F18" i="49"/>
  <c r="F7" i="49"/>
  <c r="D12" i="62" s="1"/>
  <c r="F15" i="49"/>
  <c r="F31" i="49"/>
  <c r="AB12" i="62" s="1"/>
  <c r="F28" i="49"/>
  <c r="F17" i="49"/>
  <c r="F6" i="32"/>
  <c r="F22" i="32"/>
  <c r="S29" i="62" s="1"/>
  <c r="F20" i="32"/>
  <c r="F31" i="32"/>
  <c r="AB29" i="62" s="1"/>
  <c r="F27" i="32"/>
  <c r="F23" i="32"/>
  <c r="F11" i="32"/>
  <c r="F20" i="54"/>
  <c r="F22" i="54"/>
  <c r="F30" i="54"/>
  <c r="AA7" i="62" s="1"/>
  <c r="F8" i="54"/>
  <c r="F25" i="54"/>
  <c r="F13" i="54"/>
  <c r="F7" i="54"/>
  <c r="D7" i="62" s="1"/>
  <c r="F12" i="48"/>
  <c r="F6" i="48"/>
  <c r="C13" i="62" s="1"/>
  <c r="F32" i="48"/>
  <c r="F18" i="48"/>
  <c r="F10" i="48"/>
  <c r="F13" i="48"/>
  <c r="J13" i="62" s="1"/>
  <c r="F31" i="48"/>
  <c r="F23" i="44"/>
  <c r="F29" i="44"/>
  <c r="F16" i="44"/>
  <c r="M17" i="62" s="1"/>
  <c r="F24" i="44"/>
  <c r="F28" i="44"/>
  <c r="F12" i="45"/>
  <c r="F24" i="45"/>
  <c r="U16" i="62" s="1"/>
  <c r="F18" i="45"/>
  <c r="F27" i="45"/>
  <c r="X16" i="62" s="1"/>
  <c r="F23" i="45"/>
  <c r="F17" i="45"/>
  <c r="F13" i="45"/>
  <c r="F7" i="45"/>
  <c r="D16" i="62" s="1"/>
  <c r="F16" i="35"/>
  <c r="F28" i="35"/>
  <c r="Y26" i="62" s="1"/>
  <c r="F21" i="35"/>
  <c r="F29" i="35"/>
  <c r="F11" i="35"/>
  <c r="F23" i="35"/>
  <c r="T26" i="62" s="1"/>
  <c r="F22" i="35"/>
  <c r="S26" i="62" s="1"/>
  <c r="F21" i="15"/>
  <c r="R46" i="62" s="1"/>
  <c r="F13" i="15"/>
  <c r="F7" i="15"/>
  <c r="D46" i="62" s="1"/>
  <c r="F18" i="15"/>
  <c r="F14" i="15"/>
  <c r="F6" i="15"/>
  <c r="C46" i="62" s="1"/>
  <c r="F25" i="11"/>
  <c r="V50" i="62" s="1"/>
  <c r="F21" i="11"/>
  <c r="F15" i="11"/>
  <c r="L50" i="62" s="1"/>
  <c r="F32" i="11"/>
  <c r="F28" i="11"/>
  <c r="Y50" i="62" s="1"/>
  <c r="F22" i="11"/>
  <c r="F12" i="11"/>
  <c r="F27" i="12"/>
  <c r="F21" i="12"/>
  <c r="F15" i="12"/>
  <c r="F9" i="12"/>
  <c r="F49" i="62" s="1"/>
  <c r="F8" i="24"/>
  <c r="F18" i="24"/>
  <c r="O37" i="62" s="1"/>
  <c r="F8" i="34"/>
  <c r="E27" i="62" s="1"/>
  <c r="F24" i="34"/>
  <c r="F18" i="34"/>
  <c r="F23" i="34"/>
  <c r="F19" i="34"/>
  <c r="F7" i="34"/>
  <c r="F25" i="31"/>
  <c r="F17" i="31"/>
  <c r="N30" i="62" s="1"/>
  <c r="F27" i="31"/>
  <c r="F10" i="31"/>
  <c r="G30" i="62" s="1"/>
  <c r="F18" i="31"/>
  <c r="F22" i="31"/>
  <c r="S30" i="62" s="1"/>
  <c r="F30" i="31"/>
  <c r="F29" i="29"/>
  <c r="F21" i="29"/>
  <c r="F31" i="29"/>
  <c r="F23" i="29"/>
  <c r="F15" i="29"/>
  <c r="F7" i="29"/>
  <c r="F8" i="29"/>
  <c r="E32" i="62" s="1"/>
  <c r="F32" i="29"/>
  <c r="F27" i="27"/>
  <c r="X34" i="62" s="1"/>
  <c r="F18" i="27"/>
  <c r="G4" i="62"/>
  <c r="F12" i="12"/>
  <c r="I49" i="62" s="1"/>
  <c r="F123" i="36"/>
  <c r="F22" i="12"/>
  <c r="F24" i="12"/>
  <c r="F32" i="12"/>
  <c r="F31" i="12"/>
  <c r="AB49" i="62" s="1"/>
  <c r="F17" i="22"/>
  <c r="F8" i="1"/>
  <c r="F6" i="22"/>
  <c r="F14" i="3"/>
  <c r="F13" i="1"/>
  <c r="K4" i="62"/>
  <c r="U4" i="62"/>
  <c r="I4" i="62"/>
  <c r="L4" i="62"/>
  <c r="F14" i="12"/>
  <c r="F30" i="12"/>
  <c r="F20" i="12"/>
  <c r="F29" i="12"/>
  <c r="Z49" i="62" s="1"/>
  <c r="F7" i="12"/>
  <c r="D49" i="62" s="1"/>
  <c r="F16" i="22"/>
  <c r="F21" i="3"/>
  <c r="F10" i="1"/>
  <c r="F29" i="1"/>
  <c r="Z4" i="62"/>
  <c r="N4" i="62"/>
  <c r="C4" i="62"/>
  <c r="F12" i="3"/>
  <c r="F27" i="1"/>
  <c r="X60" i="62" s="1"/>
  <c r="F4" i="62"/>
  <c r="T4" i="62"/>
  <c r="E4" i="62"/>
  <c r="F7" i="30"/>
  <c r="F30" i="39"/>
  <c r="F8" i="22"/>
  <c r="F9" i="22"/>
  <c r="F26" i="22"/>
  <c r="F16" i="3"/>
  <c r="M58" i="62" s="1"/>
  <c r="F30" i="3"/>
  <c r="F9" i="3"/>
  <c r="F58" i="62" s="1"/>
  <c r="F20" i="1"/>
  <c r="F22" i="1"/>
  <c r="S60" i="62" s="1"/>
  <c r="F7" i="1"/>
  <c r="F32" i="1"/>
  <c r="AC60" i="62" s="1"/>
  <c r="F30" i="26"/>
  <c r="F19" i="43"/>
  <c r="P18" i="62" s="1"/>
  <c r="F9" i="39"/>
  <c r="F8" i="28"/>
  <c r="E33" i="62" s="1"/>
  <c r="F13" i="3"/>
  <c r="F25" i="3"/>
  <c r="V58" i="62" s="1"/>
  <c r="F24" i="26"/>
  <c r="F10" i="43"/>
  <c r="F28" i="39"/>
  <c r="Y22" i="62" s="1"/>
  <c r="F14" i="39"/>
  <c r="K22" i="62" s="1"/>
  <c r="F18" i="28"/>
  <c r="F11" i="22"/>
  <c r="F23" i="22"/>
  <c r="T39" i="62" s="1"/>
  <c r="F12" i="22"/>
  <c r="I39" i="62" s="1"/>
  <c r="F28" i="22"/>
  <c r="F31" i="22"/>
  <c r="AB39" i="62" s="1"/>
  <c r="F18" i="22"/>
  <c r="F30" i="22"/>
  <c r="AA39" i="62" s="1"/>
  <c r="F20" i="3"/>
  <c r="F26" i="3"/>
  <c r="F7" i="3"/>
  <c r="D58" i="62" s="1"/>
  <c r="F11" i="3"/>
  <c r="H58" i="62" s="1"/>
  <c r="F17" i="3"/>
  <c r="F23" i="3"/>
  <c r="T58" i="62" s="1"/>
  <c r="F27" i="3"/>
  <c r="X58" i="62" s="1"/>
  <c r="F12" i="1"/>
  <c r="F26" i="1"/>
  <c r="F18" i="1"/>
  <c r="O60" i="62" s="1"/>
  <c r="F6" i="1"/>
  <c r="F9" i="1"/>
  <c r="F60" i="62" s="1"/>
  <c r="F31" i="1"/>
  <c r="F22" i="26"/>
  <c r="S35" i="62" s="1"/>
  <c r="F9" i="26"/>
  <c r="F18" i="43"/>
  <c r="O18" i="62" s="1"/>
  <c r="F11" i="43"/>
  <c r="H18" i="62" s="1"/>
  <c r="F23" i="43"/>
  <c r="T18" i="62" s="1"/>
  <c r="F6" i="39"/>
  <c r="C22" i="62" s="1"/>
  <c r="F26" i="28"/>
  <c r="F10" i="28"/>
  <c r="G33" i="62" s="1"/>
  <c r="V4" i="62"/>
  <c r="Y4" i="62"/>
  <c r="W4" i="62"/>
  <c r="M4" i="62"/>
  <c r="R4" i="62"/>
  <c r="AB4" i="62"/>
  <c r="D4" i="62"/>
  <c r="P4" i="62"/>
  <c r="O4" i="62"/>
  <c r="J4" i="62"/>
  <c r="F16" i="41"/>
  <c r="M20" i="62" s="1"/>
  <c r="F22" i="41"/>
  <c r="S20" i="62" s="1"/>
  <c r="F21" i="41"/>
  <c r="R20" i="62" s="1"/>
  <c r="F31" i="30"/>
  <c r="AB31" i="62" s="1"/>
  <c r="F26" i="26"/>
  <c r="F6" i="26"/>
  <c r="F16" i="26"/>
  <c r="F29" i="26"/>
  <c r="F24" i="43"/>
  <c r="U18" i="62" s="1"/>
  <c r="F14" i="41"/>
  <c r="F9" i="41"/>
  <c r="F20" i="45"/>
  <c r="F6" i="45"/>
  <c r="C16" i="62" s="1"/>
  <c r="F14" i="45"/>
  <c r="F21" i="45"/>
  <c r="R16" i="62" s="1"/>
  <c r="F9" i="45"/>
  <c r="F8" i="35"/>
  <c r="E26" i="62" s="1"/>
  <c r="F24" i="35"/>
  <c r="U26" i="62" s="1"/>
  <c r="F13" i="35"/>
  <c r="J26" i="62" s="1"/>
  <c r="F19" i="35"/>
  <c r="P26" i="62" s="1"/>
  <c r="F14" i="35"/>
  <c r="K26" i="62" s="1"/>
  <c r="F30" i="35"/>
  <c r="F27" i="15"/>
  <c r="F23" i="15"/>
  <c r="T46" i="62" s="1"/>
  <c r="F19" i="15"/>
  <c r="F15" i="15"/>
  <c r="F30" i="15"/>
  <c r="F22" i="15"/>
  <c r="F29" i="11"/>
  <c r="F9" i="11"/>
  <c r="F20" i="11"/>
  <c r="F16" i="11"/>
  <c r="F24" i="22"/>
  <c r="U39" i="62" s="1"/>
  <c r="F32" i="22"/>
  <c r="AC39" i="62" s="1"/>
  <c r="F25" i="22"/>
  <c r="F10" i="24"/>
  <c r="F26" i="24"/>
  <c r="F32" i="3"/>
  <c r="F19" i="1"/>
  <c r="F14" i="30"/>
  <c r="K31" i="62" s="1"/>
  <c r="F19" i="30"/>
  <c r="F26" i="43"/>
  <c r="F14" i="43"/>
  <c r="F6" i="43"/>
  <c r="F16" i="28"/>
  <c r="F17" i="28"/>
  <c r="F6" i="41"/>
  <c r="Q4" i="62"/>
  <c r="C12" i="66"/>
  <c r="R12" i="66" s="1"/>
  <c r="C23" i="66"/>
  <c r="R23" i="66" s="1"/>
  <c r="C22" i="66"/>
  <c r="R22" i="66" s="1"/>
  <c r="C15" i="66"/>
  <c r="R15" i="66" s="1"/>
  <c r="C27" i="66"/>
  <c r="R27" i="66" s="1"/>
  <c r="C5" i="66"/>
  <c r="R5" i="66" s="1"/>
  <c r="C9" i="66"/>
  <c r="R9" i="66" s="1"/>
  <c r="C28" i="66"/>
  <c r="R28" i="66" s="1"/>
  <c r="C8" i="66"/>
  <c r="R8" i="66" s="1"/>
  <c r="C17" i="66"/>
  <c r="R17" i="66" s="1"/>
  <c r="F10" i="12"/>
  <c r="F23" i="12"/>
  <c r="F26" i="12"/>
  <c r="F11" i="12"/>
  <c r="F16" i="12"/>
  <c r="F18" i="12"/>
  <c r="F19" i="12"/>
  <c r="F8" i="12"/>
  <c r="F8" i="41"/>
  <c r="E20" i="62" s="1"/>
  <c r="F20" i="41"/>
  <c r="Q20" i="62" s="1"/>
  <c r="F15" i="41"/>
  <c r="L20" i="62" s="1"/>
  <c r="F10" i="41"/>
  <c r="G20" i="62" s="1"/>
  <c r="F28" i="41"/>
  <c r="Y20" i="62" s="1"/>
  <c r="F23" i="41"/>
  <c r="T20" i="62" s="1"/>
  <c r="F18" i="41"/>
  <c r="O20" i="62" s="1"/>
  <c r="F21" i="30"/>
  <c r="R31" i="62" s="1"/>
  <c r="F29" i="30"/>
  <c r="F26" i="30"/>
  <c r="F17" i="30"/>
  <c r="N31" i="62" s="1"/>
  <c r="F16" i="30"/>
  <c r="F11" i="30"/>
  <c r="F6" i="30"/>
  <c r="C31" i="62" s="1"/>
  <c r="F23" i="26"/>
  <c r="F20" i="26"/>
  <c r="F12" i="26"/>
  <c r="I35" i="62" s="1"/>
  <c r="F7" i="26"/>
  <c r="F31" i="26"/>
  <c r="AB35" i="62" s="1"/>
  <c r="F13" i="26"/>
  <c r="F28" i="26"/>
  <c r="F27" i="43"/>
  <c r="F30" i="43"/>
  <c r="AA18" i="62" s="1"/>
  <c r="F7" i="43"/>
  <c r="F28" i="43"/>
  <c r="Y18" i="62" s="1"/>
  <c r="F31" i="43"/>
  <c r="F21" i="43"/>
  <c r="F20" i="43"/>
  <c r="F26" i="39"/>
  <c r="W22" i="62" s="1"/>
  <c r="F18" i="39"/>
  <c r="F20" i="39"/>
  <c r="Q22" i="62" s="1"/>
  <c r="F8" i="39"/>
  <c r="F25" i="39"/>
  <c r="V22" i="62" s="1"/>
  <c r="F29" i="39"/>
  <c r="F17" i="39"/>
  <c r="N22" i="62" s="1"/>
  <c r="F23" i="28"/>
  <c r="F12" i="28"/>
  <c r="I33" i="62" s="1"/>
  <c r="F30" i="28"/>
  <c r="F24" i="28"/>
  <c r="U33" i="62" s="1"/>
  <c r="F15" i="28"/>
  <c r="F27" i="28"/>
  <c r="X33" i="62" s="1"/>
  <c r="F22" i="28"/>
  <c r="F10" i="3"/>
  <c r="G58" i="62" s="1"/>
  <c r="F8" i="3"/>
  <c r="E58" i="62" s="1"/>
  <c r="F19" i="3"/>
  <c r="P58" i="62" s="1"/>
  <c r="F24" i="3"/>
  <c r="U58" i="62" s="1"/>
  <c r="F18" i="3"/>
  <c r="O58" i="62" s="1"/>
  <c r="F15" i="3"/>
  <c r="L58" i="62" s="1"/>
  <c r="F31" i="3"/>
  <c r="AB58" i="62" s="1"/>
  <c r="F28" i="1"/>
  <c r="Y60" i="62" s="1"/>
  <c r="F14" i="1"/>
  <c r="K60" i="62" s="1"/>
  <c r="F25" i="1"/>
  <c r="V60" i="62" s="1"/>
  <c r="F30" i="1"/>
  <c r="AA60" i="62" s="1"/>
  <c r="F21" i="1"/>
  <c r="R60" i="62" s="1"/>
  <c r="F17" i="1"/>
  <c r="N60" i="62" s="1"/>
  <c r="F13" i="22"/>
  <c r="F10" i="22"/>
  <c r="F27" i="22"/>
  <c r="F7" i="22"/>
  <c r="F19" i="22"/>
  <c r="F20" i="22"/>
  <c r="F32" i="15"/>
  <c r="F28" i="15"/>
  <c r="F9" i="15"/>
  <c r="F24" i="15"/>
  <c r="F20" i="15"/>
  <c r="F26" i="11"/>
  <c r="F31" i="11"/>
  <c r="F6" i="11"/>
  <c r="F11" i="11"/>
  <c r="F7" i="11"/>
  <c r="F14" i="11"/>
  <c r="F19" i="11"/>
  <c r="F21" i="22"/>
  <c r="F29" i="22"/>
  <c r="Z39" i="62" s="1"/>
  <c r="F15" i="22"/>
  <c r="F14" i="22"/>
  <c r="K39" i="62" s="1"/>
  <c r="F22" i="22"/>
  <c r="F28" i="3"/>
  <c r="F22" i="3"/>
  <c r="F6" i="3"/>
  <c r="F29" i="3"/>
  <c r="F24" i="1"/>
  <c r="U60" i="62" s="1"/>
  <c r="F16" i="1"/>
  <c r="F11" i="1"/>
  <c r="F15" i="1"/>
  <c r="F23" i="1"/>
  <c r="T60" i="62" s="1"/>
  <c r="F24" i="41"/>
  <c r="F29" i="41"/>
  <c r="Z20" i="62" s="1"/>
  <c r="F24" i="30"/>
  <c r="U31" i="62" s="1"/>
  <c r="F13" i="30"/>
  <c r="F25" i="30"/>
  <c r="F8" i="26"/>
  <c r="F17" i="26"/>
  <c r="F16" i="43"/>
  <c r="M18" i="62" s="1"/>
  <c r="F9" i="43"/>
  <c r="F29" i="43"/>
  <c r="Z18" i="62" s="1"/>
  <c r="F12" i="39"/>
  <c r="I22" i="62" s="1"/>
  <c r="F22" i="39"/>
  <c r="F23" i="39"/>
  <c r="F32" i="39"/>
  <c r="F7" i="28"/>
  <c r="D33" i="62" s="1"/>
  <c r="F13" i="28"/>
  <c r="J33" i="62" s="1"/>
  <c r="F25" i="28"/>
  <c r="F12" i="24"/>
  <c r="F20" i="24"/>
  <c r="Q37" i="62" s="1"/>
  <c r="F6" i="24"/>
  <c r="C37" i="62" s="1"/>
  <c r="F30" i="24"/>
  <c r="F19" i="41"/>
  <c r="P20" i="62" s="1"/>
  <c r="Z8" i="62"/>
  <c r="S8" i="62"/>
  <c r="C8" i="62"/>
  <c r="I11" i="62"/>
  <c r="Y11" i="62"/>
  <c r="S11" i="62"/>
  <c r="Z11" i="62"/>
  <c r="N11" i="62"/>
  <c r="J11" i="62"/>
  <c r="E24" i="62"/>
  <c r="M24" i="62"/>
  <c r="AC24" i="62"/>
  <c r="H24" i="62"/>
  <c r="X24" i="62"/>
  <c r="N24" i="62"/>
  <c r="C24" i="62"/>
  <c r="S24" i="62"/>
  <c r="D28" i="62"/>
  <c r="AB28" i="62"/>
  <c r="I28" i="62"/>
  <c r="Q28" i="62"/>
  <c r="G28" i="62"/>
  <c r="Z28" i="62"/>
  <c r="W28" i="62"/>
  <c r="Z19" i="62"/>
  <c r="R19" i="62"/>
  <c r="AB19" i="62"/>
  <c r="L19" i="62"/>
  <c r="D19" i="62"/>
  <c r="I19" i="62"/>
  <c r="Q19" i="62"/>
  <c r="U19" i="62"/>
  <c r="Y19" i="62"/>
  <c r="P21" i="62"/>
  <c r="H21" i="62"/>
  <c r="Z21" i="62"/>
  <c r="R21" i="62"/>
  <c r="J21" i="62"/>
  <c r="K21" i="62"/>
  <c r="S21" i="62"/>
  <c r="AA21" i="62"/>
  <c r="G43" i="62"/>
  <c r="O43" i="62"/>
  <c r="W43" i="62"/>
  <c r="I43" i="62"/>
  <c r="Q43" i="62"/>
  <c r="Y43" i="62"/>
  <c r="X43" i="62"/>
  <c r="T43" i="62"/>
  <c r="P43" i="62"/>
  <c r="L43" i="62"/>
  <c r="D43" i="62"/>
  <c r="K47" i="62"/>
  <c r="S47" i="62"/>
  <c r="E47" i="62"/>
  <c r="M47" i="62"/>
  <c r="U47" i="62"/>
  <c r="AC47" i="62"/>
  <c r="Z47" i="62"/>
  <c r="V47" i="62"/>
  <c r="R47" i="62"/>
  <c r="J47" i="62"/>
  <c r="O51" i="62"/>
  <c r="W51" i="62"/>
  <c r="C51" i="62"/>
  <c r="I51" i="62"/>
  <c r="Q51" i="62"/>
  <c r="AB51" i="62"/>
  <c r="X51" i="62"/>
  <c r="P51" i="62"/>
  <c r="L51" i="62"/>
  <c r="H51" i="62"/>
  <c r="D51" i="62"/>
  <c r="I41" i="62"/>
  <c r="G41" i="62"/>
  <c r="X41" i="62"/>
  <c r="P41" i="62"/>
  <c r="Z41" i="62"/>
  <c r="J41" i="62"/>
  <c r="F41" i="62"/>
  <c r="Y41" i="62"/>
  <c r="U41" i="62"/>
  <c r="M41" i="62"/>
  <c r="AB44" i="62"/>
  <c r="X44" i="62"/>
  <c r="P44" i="62"/>
  <c r="L44" i="62"/>
  <c r="H44" i="62"/>
  <c r="D44" i="62"/>
  <c r="S44" i="62"/>
  <c r="O44" i="62"/>
  <c r="K44" i="62"/>
  <c r="G44" i="62"/>
  <c r="C44" i="62"/>
  <c r="Z48" i="62"/>
  <c r="V48" i="62"/>
  <c r="R48" i="62"/>
  <c r="N48" i="62"/>
  <c r="F48" i="62"/>
  <c r="AC48" i="62"/>
  <c r="Y48" i="62"/>
  <c r="U48" i="62"/>
  <c r="Q48" i="62"/>
  <c r="E48" i="62"/>
  <c r="C12" i="62"/>
  <c r="S12" i="62"/>
  <c r="P12" i="62"/>
  <c r="M12" i="62"/>
  <c r="J12" i="62"/>
  <c r="G29" i="62"/>
  <c r="W29" i="62"/>
  <c r="E29" i="62"/>
  <c r="U29" i="62"/>
  <c r="AC29" i="62"/>
  <c r="Z29" i="62"/>
  <c r="V29" i="62"/>
  <c r="R29" i="62"/>
  <c r="J29" i="62"/>
  <c r="F29" i="62"/>
  <c r="U7" i="62"/>
  <c r="G7" i="62"/>
  <c r="O7" i="62"/>
  <c r="W7" i="62"/>
  <c r="C7" i="62"/>
  <c r="T7" i="62"/>
  <c r="P7" i="62"/>
  <c r="L7" i="62"/>
  <c r="H7" i="62"/>
  <c r="F7" i="62"/>
  <c r="Q13" i="62"/>
  <c r="Z13" i="62"/>
  <c r="AA13" i="62"/>
  <c r="K13" i="62"/>
  <c r="L13" i="62"/>
  <c r="W13" i="62"/>
  <c r="N13" i="62"/>
  <c r="D13" i="62"/>
  <c r="P13" i="62"/>
  <c r="X17" i="62"/>
  <c r="P17" i="62"/>
  <c r="H17" i="62"/>
  <c r="G17" i="62"/>
  <c r="K17" i="62"/>
  <c r="W17" i="62"/>
  <c r="I25" i="62"/>
  <c r="Q25" i="62"/>
  <c r="Y25" i="62"/>
  <c r="C25" i="62"/>
  <c r="K25" i="62"/>
  <c r="AA25" i="62"/>
  <c r="Z25" i="62"/>
  <c r="V25" i="62"/>
  <c r="N25" i="62"/>
  <c r="J25" i="62"/>
  <c r="F25" i="62"/>
  <c r="E16" i="62"/>
  <c r="AC16" i="62"/>
  <c r="G16" i="62"/>
  <c r="W16" i="62"/>
  <c r="AB16" i="62"/>
  <c r="P16" i="62"/>
  <c r="L16" i="62"/>
  <c r="H16" i="62"/>
  <c r="I26" i="62"/>
  <c r="Q26" i="62"/>
  <c r="F26" i="62"/>
  <c r="V26" i="62"/>
  <c r="D26" i="62"/>
  <c r="AB26" i="62"/>
  <c r="G26" i="62"/>
  <c r="O26" i="62"/>
  <c r="AB42" i="62"/>
  <c r="X42" i="62"/>
  <c r="T42" i="62"/>
  <c r="P42" i="62"/>
  <c r="L42" i="62"/>
  <c r="H42" i="62"/>
  <c r="D42" i="62"/>
  <c r="AA42" i="62"/>
  <c r="W42" i="62"/>
  <c r="S42" i="62"/>
  <c r="O42" i="62"/>
  <c r="K42" i="62"/>
  <c r="G42" i="62"/>
  <c r="C42" i="62"/>
  <c r="Z46" i="62"/>
  <c r="N46" i="62"/>
  <c r="I46" i="62"/>
  <c r="AA45" i="62"/>
  <c r="I45" i="62"/>
  <c r="Y45" i="62"/>
  <c r="V45" i="62"/>
  <c r="R45" i="62"/>
  <c r="N45" i="62"/>
  <c r="U49" i="62"/>
  <c r="L49" i="62"/>
  <c r="K52" i="62"/>
  <c r="M52" i="62"/>
  <c r="E52" i="62"/>
  <c r="J52" i="62"/>
  <c r="N52" i="62"/>
  <c r="X52" i="62"/>
  <c r="T52" i="62"/>
  <c r="Z53" i="62"/>
  <c r="R53" i="62"/>
  <c r="X53" i="62"/>
  <c r="P53" i="62"/>
  <c r="E53" i="62"/>
  <c r="M53" i="62"/>
  <c r="U53" i="62"/>
  <c r="Y53" i="62"/>
  <c r="AC53" i="62"/>
  <c r="X55" i="62"/>
  <c r="P55" i="62"/>
  <c r="R55" i="62"/>
  <c r="J55" i="62"/>
  <c r="O55" i="62"/>
  <c r="S55" i="62"/>
  <c r="W55" i="62"/>
  <c r="AA55" i="62"/>
  <c r="X57" i="62"/>
  <c r="V57" i="62"/>
  <c r="N57" i="62"/>
  <c r="F57" i="62"/>
  <c r="Q57" i="62"/>
  <c r="Y57" i="62"/>
  <c r="AC57" i="62"/>
  <c r="Z59" i="62"/>
  <c r="R59" i="62"/>
  <c r="C59" i="62"/>
  <c r="G59" i="62"/>
  <c r="K59" i="62"/>
  <c r="S59" i="62"/>
  <c r="W59" i="62"/>
  <c r="AA59" i="62"/>
  <c r="Z5" i="62"/>
  <c r="R5" i="62"/>
  <c r="J5" i="62"/>
  <c r="X5" i="62"/>
  <c r="P5" i="62"/>
  <c r="AB5" i="62"/>
  <c r="E5" i="62"/>
  <c r="I5" i="62"/>
  <c r="M5" i="62"/>
  <c r="Q5" i="62"/>
  <c r="U5" i="62"/>
  <c r="Y5" i="62"/>
  <c r="AC5" i="62"/>
  <c r="F9" i="62"/>
  <c r="J9" i="62"/>
  <c r="N9" i="62"/>
  <c r="R9" i="62"/>
  <c r="Z9" i="62"/>
  <c r="C9" i="62"/>
  <c r="K9" i="62"/>
  <c r="S9" i="62"/>
  <c r="W9" i="62"/>
  <c r="AA9" i="62"/>
  <c r="AB10" i="62"/>
  <c r="AC10" i="62"/>
  <c r="E10" i="62"/>
  <c r="F10" i="62"/>
  <c r="C10" i="62"/>
  <c r="O10" i="62"/>
  <c r="Y10" i="62"/>
  <c r="L10" i="62"/>
  <c r="D10" i="62"/>
  <c r="R10" i="62"/>
  <c r="R38" i="62"/>
  <c r="M38" i="62"/>
  <c r="U38" i="62"/>
  <c r="P38" i="62"/>
  <c r="F38" i="62"/>
  <c r="V38" i="62"/>
  <c r="G38" i="62"/>
  <c r="W38" i="62"/>
  <c r="T38" i="62"/>
  <c r="D40" i="62"/>
  <c r="T40" i="62"/>
  <c r="K40" i="62"/>
  <c r="S40" i="62"/>
  <c r="V40" i="62"/>
  <c r="P40" i="62"/>
  <c r="E40" i="62"/>
  <c r="M40" i="62"/>
  <c r="U40" i="62"/>
  <c r="F40" i="62"/>
  <c r="Y27" i="62"/>
  <c r="C27" i="62"/>
  <c r="K27" i="62"/>
  <c r="S27" i="62"/>
  <c r="AA27" i="62"/>
  <c r="Z27" i="62"/>
  <c r="V27" i="62"/>
  <c r="N27" i="62"/>
  <c r="J27" i="62"/>
  <c r="Z30" i="62"/>
  <c r="J30" i="62"/>
  <c r="AB30" i="62"/>
  <c r="T30" i="62"/>
  <c r="L30" i="62"/>
  <c r="D30" i="62"/>
  <c r="I30" i="62"/>
  <c r="M30" i="62"/>
  <c r="Q30" i="62"/>
  <c r="U30" i="62"/>
  <c r="Y30" i="62"/>
  <c r="V32" i="62"/>
  <c r="N32" i="62"/>
  <c r="P32" i="62"/>
  <c r="H32" i="62"/>
  <c r="C32" i="62"/>
  <c r="K32" i="62"/>
  <c r="O32" i="62"/>
  <c r="S32" i="62"/>
  <c r="W32" i="62"/>
  <c r="AA32" i="62"/>
  <c r="Z34" i="62"/>
  <c r="R34" i="62"/>
  <c r="J34" i="62"/>
  <c r="AB34" i="62"/>
  <c r="D34" i="62"/>
  <c r="E34" i="62"/>
  <c r="I34" i="62"/>
  <c r="M34" i="62"/>
  <c r="N6" i="62"/>
  <c r="H6" i="62"/>
  <c r="J6" i="62"/>
  <c r="K6" i="62"/>
  <c r="C6" i="62"/>
  <c r="W6" i="62"/>
  <c r="G15" i="62"/>
  <c r="W15" i="62"/>
  <c r="L15" i="62"/>
  <c r="AB15" i="62"/>
  <c r="Q15" i="62"/>
  <c r="F15" i="62"/>
  <c r="V15" i="62"/>
  <c r="N39" i="62"/>
  <c r="F39" i="62"/>
  <c r="W58" i="62"/>
  <c r="I60" i="62"/>
  <c r="C60" i="62"/>
  <c r="Z60" i="62"/>
  <c r="C35" i="62"/>
  <c r="Z35" i="62"/>
  <c r="AC35" i="62"/>
  <c r="AA22" i="62"/>
  <c r="X22" i="62"/>
  <c r="W33" i="62"/>
  <c r="F18" i="5"/>
  <c r="F20" i="5"/>
  <c r="F25" i="5"/>
  <c r="F11" i="5"/>
  <c r="F6" i="5"/>
  <c r="F16" i="5"/>
  <c r="F21" i="5"/>
  <c r="F7" i="5"/>
  <c r="F28" i="5"/>
  <c r="F31" i="5"/>
  <c r="F30" i="5"/>
  <c r="F26" i="5"/>
  <c r="F8" i="5"/>
  <c r="F13" i="5"/>
  <c r="F13" i="7"/>
  <c r="F26" i="7"/>
  <c r="F31" i="7"/>
  <c r="F32" i="7"/>
  <c r="F21" i="7"/>
  <c r="F22" i="7"/>
  <c r="F27" i="7"/>
  <c r="F29" i="7"/>
  <c r="F7" i="7"/>
  <c r="F25" i="7"/>
  <c r="F24" i="7"/>
  <c r="E33" i="7"/>
  <c r="F5" i="7"/>
  <c r="C57" i="63"/>
  <c r="D57" i="63" s="1"/>
  <c r="F30" i="7"/>
  <c r="F20" i="7"/>
  <c r="F26" i="47"/>
  <c r="F25" i="47"/>
  <c r="F31" i="47"/>
  <c r="F29" i="47"/>
  <c r="F28" i="47"/>
  <c r="F22" i="47"/>
  <c r="F32" i="47"/>
  <c r="F18" i="47"/>
  <c r="F8" i="47"/>
  <c r="F11" i="47"/>
  <c r="F7" i="47"/>
  <c r="F5" i="47"/>
  <c r="E33" i="47"/>
  <c r="F30" i="47"/>
  <c r="F16" i="47"/>
  <c r="F29" i="38"/>
  <c r="F7" i="38"/>
  <c r="F25" i="38"/>
  <c r="F24" i="38"/>
  <c r="F19" i="38"/>
  <c r="F14" i="38"/>
  <c r="F12" i="38"/>
  <c r="F31" i="38"/>
  <c r="F26" i="38"/>
  <c r="F17" i="38"/>
  <c r="F16" i="38"/>
  <c r="F11" i="38"/>
  <c r="F6" i="38"/>
  <c r="F20" i="38"/>
  <c r="F31" i="25"/>
  <c r="F29" i="25"/>
  <c r="F32" i="25"/>
  <c r="F27" i="25"/>
  <c r="F23" i="25"/>
  <c r="F17" i="25"/>
  <c r="F22" i="25"/>
  <c r="F20" i="25"/>
  <c r="F21" i="25"/>
  <c r="F26" i="25"/>
  <c r="F8" i="25"/>
  <c r="F12" i="25"/>
  <c r="F25" i="25"/>
  <c r="F30" i="25"/>
  <c r="B4" i="62"/>
  <c r="D8" i="62"/>
  <c r="I8" i="62"/>
  <c r="AB8" i="62"/>
  <c r="K8" i="62"/>
  <c r="U8" i="62"/>
  <c r="C11" i="62"/>
  <c r="J8" i="62"/>
  <c r="P8" i="62"/>
  <c r="H8" i="62"/>
  <c r="M8" i="62"/>
  <c r="R8" i="62"/>
  <c r="X8" i="62"/>
  <c r="O8" i="62"/>
  <c r="G8" i="62"/>
  <c r="Q8" i="62"/>
  <c r="Y8" i="62"/>
  <c r="E11" i="62"/>
  <c r="M11" i="62"/>
  <c r="U11" i="62"/>
  <c r="AC11" i="62"/>
  <c r="G11" i="62"/>
  <c r="O11" i="62"/>
  <c r="W11" i="62"/>
  <c r="AB11" i="62"/>
  <c r="X11" i="62"/>
  <c r="T11" i="62"/>
  <c r="P11" i="62"/>
  <c r="L11" i="62"/>
  <c r="H11" i="62"/>
  <c r="D11" i="62"/>
  <c r="I24" i="62"/>
  <c r="Q24" i="62"/>
  <c r="Y24" i="62"/>
  <c r="D24" i="62"/>
  <c r="L24" i="62"/>
  <c r="T24" i="62"/>
  <c r="AB24" i="62"/>
  <c r="J24" i="62"/>
  <c r="R24" i="62"/>
  <c r="Z24" i="62"/>
  <c r="G24" i="62"/>
  <c r="C28" i="62"/>
  <c r="H28" i="62"/>
  <c r="P28" i="62"/>
  <c r="X28" i="62"/>
  <c r="M28" i="62"/>
  <c r="U28" i="62"/>
  <c r="AC28" i="62"/>
  <c r="F28" i="62"/>
  <c r="N28" i="62"/>
  <c r="S28" i="62"/>
  <c r="AA28" i="62"/>
  <c r="V19" i="62"/>
  <c r="X19" i="62"/>
  <c r="P19" i="62"/>
  <c r="K19" i="62"/>
  <c r="S19" i="62"/>
  <c r="AA19" i="62"/>
  <c r="F21" i="62"/>
  <c r="I21" i="62"/>
  <c r="U21" i="62"/>
  <c r="Y21" i="62"/>
  <c r="K43" i="62"/>
  <c r="S43" i="62"/>
  <c r="AA43" i="62"/>
  <c r="U43" i="62"/>
  <c r="AC43" i="62"/>
  <c r="Z43" i="62"/>
  <c r="V43" i="62"/>
  <c r="J43" i="62"/>
  <c r="F43" i="62"/>
  <c r="G47" i="62"/>
  <c r="Q47" i="62"/>
  <c r="X47" i="62"/>
  <c r="P47" i="62"/>
  <c r="L47" i="62"/>
  <c r="D47" i="62"/>
  <c r="S51" i="62"/>
  <c r="AA51" i="62"/>
  <c r="E51" i="62"/>
  <c r="AC51" i="62"/>
  <c r="R51" i="62"/>
  <c r="J51" i="62"/>
  <c r="F51" i="62"/>
  <c r="E41" i="62"/>
  <c r="AB41" i="62"/>
  <c r="T41" i="62"/>
  <c r="N41" i="62"/>
  <c r="S41" i="62"/>
  <c r="K41" i="62"/>
  <c r="R44" i="62"/>
  <c r="J44" i="62"/>
  <c r="F44" i="62"/>
  <c r="U44" i="62"/>
  <c r="Q44" i="62"/>
  <c r="I44" i="62"/>
  <c r="T48" i="62"/>
  <c r="P48" i="62"/>
  <c r="L48" i="62"/>
  <c r="H48" i="62"/>
  <c r="W48" i="62"/>
  <c r="S48" i="62"/>
  <c r="K48" i="62"/>
  <c r="G48" i="62"/>
  <c r="C48" i="62"/>
  <c r="W12" i="62"/>
  <c r="T12" i="62"/>
  <c r="I12" i="62"/>
  <c r="Q12" i="62"/>
  <c r="F12" i="62"/>
  <c r="N12" i="62"/>
  <c r="V12" i="62"/>
  <c r="K29" i="62"/>
  <c r="AA29" i="62"/>
  <c r="I29" i="62"/>
  <c r="Y29" i="62"/>
  <c r="T29" i="62"/>
  <c r="P29" i="62"/>
  <c r="L29" i="62"/>
  <c r="D29" i="62"/>
  <c r="Q7" i="62"/>
  <c r="Y7" i="62"/>
  <c r="K7" i="62"/>
  <c r="M7" i="62"/>
  <c r="Z7" i="62"/>
  <c r="V7" i="62"/>
  <c r="R7" i="62"/>
  <c r="N7" i="62"/>
  <c r="Y13" i="62"/>
  <c r="S13" i="62"/>
  <c r="M13" i="62"/>
  <c r="O13" i="62"/>
  <c r="H13" i="62"/>
  <c r="T13" i="62"/>
  <c r="T17" i="62"/>
  <c r="L17" i="62"/>
  <c r="D17" i="62"/>
  <c r="R17" i="62"/>
  <c r="J17" i="62"/>
  <c r="E17" i="62"/>
  <c r="I17" i="62"/>
  <c r="Y17" i="62"/>
  <c r="E25" i="62"/>
  <c r="M25" i="62"/>
  <c r="U25" i="62"/>
  <c r="G25" i="62"/>
  <c r="O25" i="62"/>
  <c r="W25" i="62"/>
  <c r="X25" i="62"/>
  <c r="P25" i="62"/>
  <c r="L25" i="62"/>
  <c r="H25" i="62"/>
  <c r="D25" i="62"/>
  <c r="Q16" i="62"/>
  <c r="K16" i="62"/>
  <c r="S16" i="62"/>
  <c r="AA16" i="62"/>
  <c r="Z16" i="62"/>
  <c r="V16" i="62"/>
  <c r="N16" i="62"/>
  <c r="F16" i="62"/>
  <c r="AC26" i="62"/>
  <c r="Z26" i="62"/>
  <c r="AA26" i="62"/>
  <c r="Z42" i="62"/>
  <c r="V42" i="62"/>
  <c r="R42" i="62"/>
  <c r="N42" i="62"/>
  <c r="J42" i="62"/>
  <c r="F42" i="62"/>
  <c r="AC42" i="62"/>
  <c r="Y42" i="62"/>
  <c r="U42" i="62"/>
  <c r="Q42" i="62"/>
  <c r="M42" i="62"/>
  <c r="I42" i="62"/>
  <c r="E42" i="62"/>
  <c r="AB46" i="62"/>
  <c r="L46" i="62"/>
  <c r="H46" i="62"/>
  <c r="W46" i="62"/>
  <c r="S46" i="62"/>
  <c r="K46" i="62"/>
  <c r="G46" i="62"/>
  <c r="G45" i="62"/>
  <c r="W45" i="62"/>
  <c r="U45" i="62"/>
  <c r="AC45" i="62"/>
  <c r="AB45" i="62"/>
  <c r="X45" i="62"/>
  <c r="T45" i="62"/>
  <c r="L45" i="62"/>
  <c r="H45" i="62"/>
  <c r="K49" i="62"/>
  <c r="S49" i="62"/>
  <c r="Q49" i="62"/>
  <c r="Y49" i="62"/>
  <c r="C49" i="62"/>
  <c r="R49" i="62"/>
  <c r="N49" i="62"/>
  <c r="J49" i="62"/>
  <c r="O52" i="62"/>
  <c r="G52" i="62"/>
  <c r="I52" i="62"/>
  <c r="H52" i="62"/>
  <c r="L52" i="62"/>
  <c r="P52" i="62"/>
  <c r="Z52" i="62"/>
  <c r="V52" i="62"/>
  <c r="W52" i="62"/>
  <c r="S52" i="62"/>
  <c r="V53" i="62"/>
  <c r="N53" i="62"/>
  <c r="F53" i="62"/>
  <c r="T53" i="62"/>
  <c r="L53" i="62"/>
  <c r="C53" i="62"/>
  <c r="G53" i="62"/>
  <c r="K53" i="62"/>
  <c r="O53" i="62"/>
  <c r="S53" i="62"/>
  <c r="W53" i="62"/>
  <c r="AB55" i="62"/>
  <c r="T55" i="62"/>
  <c r="L55" i="62"/>
  <c r="D55" i="62"/>
  <c r="V55" i="62"/>
  <c r="F55" i="62"/>
  <c r="E55" i="62"/>
  <c r="I55" i="62"/>
  <c r="Q55" i="62"/>
  <c r="AC55" i="62"/>
  <c r="T57" i="62"/>
  <c r="L57" i="62"/>
  <c r="Z57" i="62"/>
  <c r="R57" i="62"/>
  <c r="C57" i="62"/>
  <c r="K57" i="62"/>
  <c r="S57" i="62"/>
  <c r="W57" i="62"/>
  <c r="AA57" i="62"/>
  <c r="L59" i="62"/>
  <c r="D59" i="62"/>
  <c r="V59" i="62"/>
  <c r="F59" i="62"/>
  <c r="I59" i="62"/>
  <c r="Q59" i="62"/>
  <c r="U59" i="62"/>
  <c r="AC59" i="62"/>
  <c r="V5" i="62"/>
  <c r="F5" i="62"/>
  <c r="T5" i="62"/>
  <c r="C5" i="62"/>
  <c r="K5" i="62"/>
  <c r="O5" i="62"/>
  <c r="S5" i="62"/>
  <c r="W5" i="62"/>
  <c r="H9" i="62"/>
  <c r="L9" i="62"/>
  <c r="P9" i="62"/>
  <c r="T9" i="62"/>
  <c r="AB9" i="62"/>
  <c r="E9" i="62"/>
  <c r="M9" i="62"/>
  <c r="Q9" i="62"/>
  <c r="U9" i="62"/>
  <c r="Y9" i="62"/>
  <c r="Q10" i="62"/>
  <c r="N10" i="62"/>
  <c r="T10" i="62"/>
  <c r="K10" i="62"/>
  <c r="P10" i="62"/>
  <c r="W10" i="62"/>
  <c r="I10" i="62"/>
  <c r="H10" i="62"/>
  <c r="Z10" i="62"/>
  <c r="AA10" i="62"/>
  <c r="J38" i="62"/>
  <c r="I38" i="62"/>
  <c r="Y38" i="62"/>
  <c r="H38" i="62"/>
  <c r="X38" i="62"/>
  <c r="N38" i="62"/>
  <c r="K38" i="62"/>
  <c r="S38" i="62"/>
  <c r="AA38" i="62"/>
  <c r="AB38" i="62"/>
  <c r="L40" i="62"/>
  <c r="G40" i="62"/>
  <c r="O40" i="62"/>
  <c r="N40" i="62"/>
  <c r="H40" i="62"/>
  <c r="X40" i="62"/>
  <c r="Q40" i="62"/>
  <c r="Z40" i="62"/>
  <c r="M27" i="62"/>
  <c r="U27" i="62"/>
  <c r="AC27" i="62"/>
  <c r="G27" i="62"/>
  <c r="W27" i="62"/>
  <c r="AB27" i="62"/>
  <c r="X27" i="62"/>
  <c r="T27" i="62"/>
  <c r="P27" i="62"/>
  <c r="L27" i="62"/>
  <c r="H27" i="62"/>
  <c r="D27" i="62"/>
  <c r="F30" i="62"/>
  <c r="X30" i="62"/>
  <c r="P30" i="62"/>
  <c r="H30" i="62"/>
  <c r="C30" i="62"/>
  <c r="K30" i="62"/>
  <c r="W30" i="62"/>
  <c r="AA30" i="62"/>
  <c r="Z32" i="62"/>
  <c r="J32" i="62"/>
  <c r="AB32" i="62"/>
  <c r="T32" i="62"/>
  <c r="L32" i="62"/>
  <c r="I32" i="62"/>
  <c r="M32" i="62"/>
  <c r="Q32" i="62"/>
  <c r="U32" i="62"/>
  <c r="Y32" i="62"/>
  <c r="AC32" i="62"/>
  <c r="V34" i="62"/>
  <c r="N34" i="62"/>
  <c r="F34" i="62"/>
  <c r="H34" i="62"/>
  <c r="G34" i="62"/>
  <c r="K34" i="62"/>
  <c r="S34" i="62"/>
  <c r="W34" i="62"/>
  <c r="AA34" i="62"/>
  <c r="F6" i="62"/>
  <c r="R6" i="62"/>
  <c r="D6" i="62"/>
  <c r="L6" i="62"/>
  <c r="T6" i="62"/>
  <c r="AC6" i="62"/>
  <c r="Q6" i="62"/>
  <c r="M6" i="62"/>
  <c r="I6" i="62"/>
  <c r="E6" i="62"/>
  <c r="AB6" i="62"/>
  <c r="Y6" i="62"/>
  <c r="U6" i="62"/>
  <c r="K15" i="62"/>
  <c r="S15" i="62"/>
  <c r="AA15" i="62"/>
  <c r="H15" i="62"/>
  <c r="P15" i="62"/>
  <c r="X15" i="62"/>
  <c r="E15" i="62"/>
  <c r="M15" i="62"/>
  <c r="U15" i="62"/>
  <c r="AC15" i="62"/>
  <c r="R15" i="62"/>
  <c r="H39" i="62"/>
  <c r="M39" i="62"/>
  <c r="V39" i="62"/>
  <c r="H37" i="62"/>
  <c r="T37" i="62"/>
  <c r="J37" i="62"/>
  <c r="U37" i="62"/>
  <c r="AC37" i="62"/>
  <c r="L37" i="62"/>
  <c r="V37" i="62"/>
  <c r="R37" i="62"/>
  <c r="G37" i="62"/>
  <c r="I58" i="62"/>
  <c r="AA58" i="62"/>
  <c r="K58" i="62"/>
  <c r="R58" i="62"/>
  <c r="AC58" i="62"/>
  <c r="E60" i="62"/>
  <c r="P60" i="62"/>
  <c r="AB60" i="62"/>
  <c r="K20" i="62"/>
  <c r="C20" i="62"/>
  <c r="F20" i="62"/>
  <c r="W31" i="62"/>
  <c r="M31" i="62"/>
  <c r="H31" i="62"/>
  <c r="Z31" i="62"/>
  <c r="Y35" i="62"/>
  <c r="J35" i="62"/>
  <c r="Q18" i="62"/>
  <c r="G18" i="62"/>
  <c r="D18" i="62"/>
  <c r="R18" i="62"/>
  <c r="X18" i="62"/>
  <c r="AB18" i="62"/>
  <c r="E22" i="62"/>
  <c r="O22" i="62"/>
  <c r="Z22" i="62"/>
  <c r="AA33" i="62"/>
  <c r="S33" i="62"/>
  <c r="H33" i="62"/>
  <c r="L33" i="62"/>
  <c r="T33" i="62"/>
  <c r="F32" i="41"/>
  <c r="F11" i="41"/>
  <c r="F31" i="41"/>
  <c r="F26" i="41"/>
  <c r="F30" i="41"/>
  <c r="F17" i="41"/>
  <c r="F27" i="41"/>
  <c r="F25" i="41"/>
  <c r="F13" i="41"/>
  <c r="F12" i="41"/>
  <c r="F7" i="41"/>
  <c r="F12" i="30"/>
  <c r="F20" i="30"/>
  <c r="F23" i="30"/>
  <c r="F18" i="30"/>
  <c r="F9" i="30"/>
  <c r="F8" i="30"/>
  <c r="F30" i="30"/>
  <c r="F28" i="30"/>
  <c r="F15" i="30"/>
  <c r="F10" i="30"/>
  <c r="F32" i="30"/>
  <c r="F27" i="30"/>
  <c r="F22" i="30"/>
  <c r="F15" i="26"/>
  <c r="F25" i="26"/>
  <c r="F11" i="26"/>
  <c r="F19" i="26"/>
  <c r="F14" i="26"/>
  <c r="F21" i="26"/>
  <c r="F10" i="26"/>
  <c r="F18" i="26"/>
  <c r="F27" i="26"/>
  <c r="F8" i="43"/>
  <c r="F22" i="43"/>
  <c r="F32" i="43"/>
  <c r="F13" i="43"/>
  <c r="F12" i="43"/>
  <c r="F25" i="43"/>
  <c r="F17" i="43"/>
  <c r="F15" i="43"/>
  <c r="F21" i="39"/>
  <c r="F7" i="39"/>
  <c r="F13" i="39"/>
  <c r="F15" i="39"/>
  <c r="F24" i="39"/>
  <c r="F19" i="39"/>
  <c r="F10" i="39"/>
  <c r="F31" i="39"/>
  <c r="F16" i="39"/>
  <c r="F11" i="39"/>
  <c r="F29" i="28"/>
  <c r="F28" i="28"/>
  <c r="F19" i="28"/>
  <c r="F14" i="28"/>
  <c r="F9" i="28"/>
  <c r="F21" i="28"/>
  <c r="F20" i="28"/>
  <c r="F6" i="28"/>
  <c r="F32" i="28"/>
  <c r="F23" i="5"/>
  <c r="F9" i="5"/>
  <c r="F27" i="5"/>
  <c r="F22" i="5"/>
  <c r="F15" i="5"/>
  <c r="F5" i="5"/>
  <c r="E33" i="5"/>
  <c r="F10" i="5"/>
  <c r="F12" i="5"/>
  <c r="F17" i="5"/>
  <c r="F19" i="5"/>
  <c r="F14" i="5"/>
  <c r="F32" i="5"/>
  <c r="F24" i="5"/>
  <c r="F29" i="5"/>
  <c r="F12" i="7"/>
  <c r="F10" i="7"/>
  <c r="F15" i="7"/>
  <c r="F17" i="7"/>
  <c r="F16" i="7"/>
  <c r="F6" i="7"/>
  <c r="F11" i="7"/>
  <c r="F28" i="7"/>
  <c r="F18" i="7"/>
  <c r="F23" i="7"/>
  <c r="F8" i="7"/>
  <c r="F14" i="7"/>
  <c r="F19" i="7"/>
  <c r="F24" i="47"/>
  <c r="F27" i="47"/>
  <c r="F15" i="47"/>
  <c r="F13" i="47"/>
  <c r="F12" i="47"/>
  <c r="F6" i="47"/>
  <c r="F19" i="47"/>
  <c r="F10" i="47"/>
  <c r="F9" i="47"/>
  <c r="F23" i="47"/>
  <c r="F21" i="47"/>
  <c r="F20" i="47"/>
  <c r="F14" i="47"/>
  <c r="F17" i="47"/>
  <c r="F28" i="38"/>
  <c r="F23" i="38"/>
  <c r="F18" i="38"/>
  <c r="F9" i="38"/>
  <c r="F8" i="38"/>
  <c r="F30" i="38"/>
  <c r="F21" i="38"/>
  <c r="F13" i="38"/>
  <c r="F15" i="38"/>
  <c r="F10" i="38"/>
  <c r="F32" i="38"/>
  <c r="F27" i="38"/>
  <c r="F22" i="38"/>
  <c r="E33" i="38"/>
  <c r="F5" i="38"/>
  <c r="F13" i="25"/>
  <c r="F18" i="25"/>
  <c r="F16" i="25"/>
  <c r="F11" i="25"/>
  <c r="F28" i="25"/>
  <c r="F6" i="25"/>
  <c r="F15" i="25"/>
  <c r="F5" i="25"/>
  <c r="E33" i="25"/>
  <c r="F10" i="25"/>
  <c r="F24" i="25"/>
  <c r="F19" i="25"/>
  <c r="F9" i="25"/>
  <c r="F14" i="25"/>
  <c r="F7" i="25"/>
  <c r="N50" i="62"/>
  <c r="J50" i="62"/>
  <c r="F50" i="62"/>
  <c r="U50" i="62"/>
  <c r="M50" i="62"/>
  <c r="I50" i="62"/>
  <c r="E50" i="62"/>
  <c r="X50" i="62"/>
  <c r="AA50" i="62"/>
  <c r="G50" i="62"/>
  <c r="F22" i="60"/>
  <c r="F33" i="57"/>
  <c r="D4" i="65"/>
  <c r="C7" i="63"/>
  <c r="D7" i="63" s="1"/>
  <c r="U61" i="62"/>
  <c r="G61" i="62"/>
  <c r="H61" i="62"/>
  <c r="Z61" i="62"/>
  <c r="F61" i="62"/>
  <c r="Y61" i="62"/>
  <c r="AC61" i="62"/>
  <c r="J61" i="62"/>
  <c r="O61" i="62"/>
  <c r="T61" i="62"/>
  <c r="M61" i="62"/>
  <c r="C61" i="62"/>
  <c r="F5" i="41"/>
  <c r="E33" i="41"/>
  <c r="F5" i="30"/>
  <c r="E33" i="30"/>
  <c r="F5" i="26"/>
  <c r="E33" i="26"/>
  <c r="F5" i="43"/>
  <c r="E33" i="43"/>
  <c r="F5" i="39"/>
  <c r="E33" i="39"/>
  <c r="F5" i="28"/>
  <c r="E33" i="28"/>
  <c r="F5" i="3"/>
  <c r="E33" i="3"/>
  <c r="F5" i="1"/>
  <c r="E33" i="1"/>
  <c r="E33" i="24"/>
  <c r="F5" i="24"/>
  <c r="F5" i="22"/>
  <c r="E33" i="22"/>
  <c r="E33" i="33"/>
  <c r="F5" i="33"/>
  <c r="F5" i="10"/>
  <c r="E33" i="10"/>
  <c r="E33" i="48"/>
  <c r="F5" i="48"/>
  <c r="F5" i="44"/>
  <c r="E33" i="44"/>
  <c r="F5" i="15"/>
  <c r="E33" i="15"/>
  <c r="F5" i="11"/>
  <c r="E33" i="11"/>
  <c r="F5" i="9"/>
  <c r="E33" i="9"/>
  <c r="F5" i="8"/>
  <c r="E33" i="8"/>
  <c r="F5" i="4"/>
  <c r="E33" i="4"/>
  <c r="F5" i="56"/>
  <c r="E33" i="56"/>
  <c r="F5" i="52"/>
  <c r="E33" i="52"/>
  <c r="E33" i="46"/>
  <c r="F5" i="46"/>
  <c r="F5" i="53"/>
  <c r="E33" i="53"/>
  <c r="E33" i="50"/>
  <c r="F5" i="50"/>
  <c r="E33" i="37"/>
  <c r="F5" i="37"/>
  <c r="F5" i="42"/>
  <c r="E33" i="42"/>
  <c r="F5" i="40"/>
  <c r="E33" i="40"/>
  <c r="F5" i="18"/>
  <c r="E33" i="18"/>
  <c r="F5" i="14"/>
  <c r="E33" i="14"/>
  <c r="F5" i="20"/>
  <c r="E33" i="20"/>
  <c r="F5" i="17"/>
  <c r="E33" i="17"/>
  <c r="F5" i="13"/>
  <c r="E33" i="13"/>
  <c r="E33" i="49"/>
  <c r="F5" i="49"/>
  <c r="E33" i="32"/>
  <c r="F5" i="32"/>
  <c r="F5" i="54"/>
  <c r="E33" i="54"/>
  <c r="E33" i="36"/>
  <c r="F5" i="36"/>
  <c r="E33" i="45"/>
  <c r="F5" i="45"/>
  <c r="E33" i="35"/>
  <c r="F5" i="35"/>
  <c r="F5" i="19"/>
  <c r="E33" i="19"/>
  <c r="F5" i="16"/>
  <c r="E33" i="16"/>
  <c r="F5" i="12"/>
  <c r="E33" i="12"/>
  <c r="F5" i="6"/>
  <c r="E33" i="6"/>
  <c r="F5" i="59"/>
  <c r="E33" i="59"/>
  <c r="E33" i="51"/>
  <c r="F5" i="51"/>
  <c r="F5" i="23"/>
  <c r="E33" i="23"/>
  <c r="F5" i="21"/>
  <c r="E33" i="21"/>
  <c r="E33" i="34"/>
  <c r="F5" i="34"/>
  <c r="F5" i="31"/>
  <c r="E33" i="31"/>
  <c r="F5" i="29"/>
  <c r="E33" i="29"/>
  <c r="F5" i="27"/>
  <c r="E33" i="27"/>
  <c r="E33" i="55"/>
  <c r="F5" i="55"/>
  <c r="E61" i="62" l="1"/>
  <c r="N61" i="62"/>
  <c r="Q17" i="62"/>
  <c r="S17" i="62"/>
  <c r="C18" i="66"/>
  <c r="R18" i="66" s="1"/>
  <c r="AA61" i="62"/>
  <c r="V17" i="62"/>
  <c r="N35" i="62"/>
  <c r="Z12" i="62"/>
  <c r="K12" i="62"/>
  <c r="C10" i="66"/>
  <c r="R10" i="66" s="1"/>
  <c r="C13" i="66"/>
  <c r="R13" i="66" s="1"/>
  <c r="AC12" i="62"/>
  <c r="T35" i="62"/>
  <c r="D35" i="62"/>
  <c r="Q35" i="62"/>
  <c r="AA35" i="62"/>
  <c r="F8" i="62"/>
  <c r="O59" i="62"/>
  <c r="H59" i="62"/>
  <c r="U57" i="62"/>
  <c r="I57" i="62"/>
  <c r="AB57" i="62"/>
  <c r="F45" i="62"/>
  <c r="Z45" i="62"/>
  <c r="S45" i="62"/>
  <c r="AA17" i="62"/>
  <c r="N17" i="62"/>
  <c r="X13" i="62"/>
  <c r="V13" i="62"/>
  <c r="C21" i="62"/>
  <c r="M19" i="62"/>
  <c r="T19" i="62"/>
  <c r="R28" i="62"/>
  <c r="T28" i="62"/>
  <c r="T8" i="62"/>
  <c r="V61" i="62"/>
  <c r="W61" i="62"/>
  <c r="L61" i="62"/>
  <c r="D61" i="62"/>
  <c r="E33" i="60"/>
  <c r="F33" i="60" s="1"/>
  <c r="R61" i="62"/>
  <c r="W39" i="62"/>
  <c r="D31" i="62"/>
  <c r="J60" i="62"/>
  <c r="C39" i="62"/>
  <c r="AC49" i="62"/>
  <c r="E37" i="62"/>
  <c r="J46" i="62"/>
  <c r="H26" i="62"/>
  <c r="R26" i="62"/>
  <c r="J16" i="62"/>
  <c r="T16" i="62"/>
  <c r="O16" i="62"/>
  <c r="I16" i="62"/>
  <c r="U17" i="62"/>
  <c r="Z17" i="62"/>
  <c r="AB13" i="62"/>
  <c r="G13" i="62"/>
  <c r="AC13" i="62"/>
  <c r="I13" i="62"/>
  <c r="J7" i="62"/>
  <c r="E7" i="62"/>
  <c r="S7" i="62"/>
  <c r="H29" i="62"/>
  <c r="X29" i="62"/>
  <c r="Q29" i="62"/>
  <c r="C29" i="62"/>
  <c r="Y12" i="62"/>
  <c r="L12" i="62"/>
  <c r="O12" i="62"/>
  <c r="O48" i="62"/>
  <c r="AA48" i="62"/>
  <c r="X48" i="62"/>
  <c r="E44" i="62"/>
  <c r="Y44" i="62"/>
  <c r="N44" i="62"/>
  <c r="V44" i="62"/>
  <c r="O41" i="62"/>
  <c r="AA41" i="62"/>
  <c r="H41" i="62"/>
  <c r="N51" i="62"/>
  <c r="M51" i="62"/>
  <c r="AB47" i="62"/>
  <c r="W47" i="62"/>
  <c r="R43" i="62"/>
  <c r="AC21" i="62"/>
  <c r="N21" i="62"/>
  <c r="AB21" i="62"/>
  <c r="H19" i="62"/>
  <c r="F37" i="62"/>
  <c r="K37" i="62"/>
  <c r="P37" i="62"/>
  <c r="Y37" i="62"/>
  <c r="Z37" i="62"/>
  <c r="AB37" i="62"/>
  <c r="M37" i="62"/>
  <c r="N37" i="62"/>
  <c r="X37" i="62"/>
  <c r="D37" i="62"/>
  <c r="C15" i="62"/>
  <c r="Y15" i="62"/>
  <c r="T15" i="62"/>
  <c r="O15" i="62"/>
  <c r="G6" i="62"/>
  <c r="S6" i="62"/>
  <c r="P6" i="62"/>
  <c r="AC34" i="62"/>
  <c r="U34" i="62"/>
  <c r="E30" i="62"/>
  <c r="C26" i="62"/>
  <c r="N26" i="62"/>
  <c r="AB17" i="62"/>
  <c r="C50" i="62"/>
  <c r="K50" i="62"/>
  <c r="S50" i="62"/>
  <c r="W50" i="62"/>
  <c r="D50" i="62"/>
  <c r="H50" i="62"/>
  <c r="P50" i="62"/>
  <c r="T50" i="62"/>
  <c r="AB50" i="62"/>
  <c r="Q50" i="62"/>
  <c r="AC50" i="62"/>
  <c r="R50" i="62"/>
  <c r="Z50" i="62"/>
  <c r="H60" i="62"/>
  <c r="D60" i="62"/>
  <c r="G60" i="62"/>
  <c r="W60" i="62"/>
  <c r="E39" i="62"/>
  <c r="O34" i="62"/>
  <c r="P34" i="62"/>
  <c r="D32" i="62"/>
  <c r="R32" i="62"/>
  <c r="O30" i="62"/>
  <c r="V30" i="62"/>
  <c r="O27" i="62"/>
  <c r="J40" i="62"/>
  <c r="I40" i="62"/>
  <c r="W40" i="62"/>
  <c r="AB40" i="62"/>
  <c r="L38" i="62"/>
  <c r="C38" i="62"/>
  <c r="Q38" i="62"/>
  <c r="Z38" i="62"/>
  <c r="X10" i="62"/>
  <c r="J10" i="62"/>
  <c r="U10" i="62"/>
  <c r="AC9" i="62"/>
  <c r="I9" i="62"/>
  <c r="X9" i="62"/>
  <c r="D9" i="62"/>
  <c r="G5" i="62"/>
  <c r="D5" i="62"/>
  <c r="N5" i="62"/>
  <c r="Y59" i="62"/>
  <c r="M59" i="62"/>
  <c r="E59" i="62"/>
  <c r="N59" i="62"/>
  <c r="AB59" i="62"/>
  <c r="G57" i="62"/>
  <c r="J57" i="62"/>
  <c r="D57" i="62"/>
  <c r="U55" i="62"/>
  <c r="AA53" i="62"/>
  <c r="R52" i="62"/>
  <c r="Q52" i="62"/>
  <c r="AA49" i="62"/>
  <c r="D45" i="62"/>
  <c r="E45" i="62"/>
  <c r="O46" i="62"/>
  <c r="M26" i="62"/>
  <c r="Z51" i="62"/>
  <c r="I47" i="62"/>
  <c r="E43" i="62"/>
  <c r="D21" i="62"/>
  <c r="N19" i="62"/>
  <c r="Q60" i="62"/>
  <c r="X49" i="62"/>
  <c r="I37" i="62"/>
  <c r="AC22" i="62"/>
  <c r="S22" i="62"/>
  <c r="E35" i="62"/>
  <c r="J31" i="62"/>
  <c r="C58" i="62"/>
  <c r="Y58" i="62"/>
  <c r="Q46" i="62"/>
  <c r="U46" i="62"/>
  <c r="F46" i="62"/>
  <c r="Y46" i="62"/>
  <c r="AC46" i="62"/>
  <c r="Q39" i="62"/>
  <c r="P39" i="62"/>
  <c r="D39" i="62"/>
  <c r="X39" i="62"/>
  <c r="G39" i="62"/>
  <c r="J39" i="62"/>
  <c r="E49" i="62"/>
  <c r="P49" i="62"/>
  <c r="O49" i="62"/>
  <c r="M49" i="62"/>
  <c r="H49" i="62"/>
  <c r="W49" i="62"/>
  <c r="T49" i="62"/>
  <c r="G49" i="62"/>
  <c r="M33" i="62"/>
  <c r="K18" i="62"/>
  <c r="P31" i="62"/>
  <c r="W37" i="62"/>
  <c r="AA46" i="62"/>
  <c r="P46" i="62"/>
  <c r="X46" i="62"/>
  <c r="M35" i="62"/>
  <c r="W35" i="62"/>
  <c r="F35" i="62"/>
  <c r="N58" i="62"/>
  <c r="Q58" i="62"/>
  <c r="O39" i="62"/>
  <c r="Y39" i="62"/>
  <c r="O33" i="62"/>
  <c r="U35" i="62"/>
  <c r="J58" i="62"/>
  <c r="F22" i="62"/>
  <c r="V33" i="62"/>
  <c r="N33" i="62"/>
  <c r="T22" i="62"/>
  <c r="F18" i="62"/>
  <c r="C18" i="62"/>
  <c r="W18" i="62"/>
  <c r="V31" i="62"/>
  <c r="AA37" i="62"/>
  <c r="U20" i="62"/>
  <c r="L60" i="62"/>
  <c r="M60" i="62"/>
  <c r="Z58" i="62"/>
  <c r="S58" i="62"/>
  <c r="S39" i="62"/>
  <c r="L39" i="62"/>
  <c r="R39" i="62"/>
  <c r="C19" i="66"/>
  <c r="R19" i="66" s="1"/>
  <c r="C11" i="66"/>
  <c r="R11" i="66" s="1"/>
  <c r="C4" i="66"/>
  <c r="Q61" i="62"/>
  <c r="C21" i="66"/>
  <c r="R21" i="66" s="1"/>
  <c r="C30" i="66"/>
  <c r="R30" i="66" s="1"/>
  <c r="C26" i="66"/>
  <c r="R26" i="66" s="1"/>
  <c r="S61" i="62"/>
  <c r="X61" i="62"/>
  <c r="B6" i="62"/>
  <c r="B27" i="62"/>
  <c r="B10" i="62"/>
  <c r="B26" i="62"/>
  <c r="B29" i="62"/>
  <c r="B12" i="62"/>
  <c r="B24" i="62"/>
  <c r="B11" i="62"/>
  <c r="C8" i="63"/>
  <c r="D8" i="63" s="1"/>
  <c r="B13" i="62"/>
  <c r="B28" i="62"/>
  <c r="B34" i="62"/>
  <c r="B32" i="62"/>
  <c r="B30" i="62"/>
  <c r="B40" i="62"/>
  <c r="B38" i="62"/>
  <c r="B59" i="62"/>
  <c r="B55" i="62"/>
  <c r="B49" i="62"/>
  <c r="B45" i="62"/>
  <c r="B42" i="62"/>
  <c r="B7" i="62"/>
  <c r="B48" i="62"/>
  <c r="B44" i="62"/>
  <c r="B41" i="62"/>
  <c r="B47" i="62"/>
  <c r="B43" i="62"/>
  <c r="B21" i="62"/>
  <c r="B19" i="62"/>
  <c r="B8" i="62"/>
  <c r="B9" i="62"/>
  <c r="B5" i="62"/>
  <c r="B57" i="62"/>
  <c r="B53" i="62"/>
  <c r="B52" i="62"/>
  <c r="B46" i="62"/>
  <c r="B17" i="62"/>
  <c r="B51" i="62"/>
  <c r="B39" i="62"/>
  <c r="B60" i="62"/>
  <c r="B58" i="62"/>
  <c r="B33" i="62"/>
  <c r="B22" i="62"/>
  <c r="B18" i="62"/>
  <c r="B35" i="62"/>
  <c r="B31" i="62"/>
  <c r="B20" i="62"/>
  <c r="AD4" i="62"/>
  <c r="D36" i="62"/>
  <c r="K36" i="62"/>
  <c r="F36" i="62"/>
  <c r="P36" i="62"/>
  <c r="U36" i="62"/>
  <c r="G36" i="62"/>
  <c r="D36" i="65"/>
  <c r="E36" i="65" s="1"/>
  <c r="F33" i="25"/>
  <c r="F33" i="38"/>
  <c r="D23" i="65"/>
  <c r="E23" i="65" s="1"/>
  <c r="S23" i="62"/>
  <c r="X23" i="62"/>
  <c r="AC23" i="62"/>
  <c r="G23" i="62"/>
  <c r="R23" i="62"/>
  <c r="AA23" i="62"/>
  <c r="E23" i="62"/>
  <c r="T23" i="62"/>
  <c r="Y23" i="62"/>
  <c r="K14" i="62"/>
  <c r="Q14" i="62"/>
  <c r="F14" i="62"/>
  <c r="C14" i="62"/>
  <c r="I14" i="62"/>
  <c r="U14" i="62"/>
  <c r="K54" i="62"/>
  <c r="E54" i="62"/>
  <c r="O54" i="62"/>
  <c r="Y54" i="62"/>
  <c r="C54" i="62"/>
  <c r="M54" i="62"/>
  <c r="G54" i="62"/>
  <c r="I54" i="62"/>
  <c r="U56" i="62"/>
  <c r="K56" i="62"/>
  <c r="I56" i="62"/>
  <c r="G56" i="62"/>
  <c r="D56" i="65"/>
  <c r="E56" i="65" s="1"/>
  <c r="F33" i="5"/>
  <c r="L56" i="62"/>
  <c r="X56" i="62"/>
  <c r="F56" i="62"/>
  <c r="T56" i="62"/>
  <c r="AC33" i="62"/>
  <c r="C33" i="62"/>
  <c r="Q33" i="62"/>
  <c r="R33" i="62"/>
  <c r="F33" i="62"/>
  <c r="K33" i="62"/>
  <c r="P33" i="62"/>
  <c r="Y33" i="62"/>
  <c r="Z33" i="62"/>
  <c r="H22" i="62"/>
  <c r="M22" i="62"/>
  <c r="AB22" i="62"/>
  <c r="G22" i="62"/>
  <c r="P22" i="62"/>
  <c r="U22" i="62"/>
  <c r="L22" i="62"/>
  <c r="J22" i="62"/>
  <c r="D22" i="62"/>
  <c r="R22" i="62"/>
  <c r="L18" i="62"/>
  <c r="N18" i="62"/>
  <c r="V18" i="62"/>
  <c r="I18" i="62"/>
  <c r="J18" i="62"/>
  <c r="AC18" i="62"/>
  <c r="S18" i="62"/>
  <c r="E18" i="62"/>
  <c r="X35" i="62"/>
  <c r="O35" i="62"/>
  <c r="G35" i="62"/>
  <c r="R35" i="62"/>
  <c r="K35" i="62"/>
  <c r="P35" i="62"/>
  <c r="H35" i="62"/>
  <c r="V35" i="62"/>
  <c r="L35" i="62"/>
  <c r="S31" i="62"/>
  <c r="X31" i="62"/>
  <c r="AC31" i="62"/>
  <c r="G31" i="62"/>
  <c r="L31" i="62"/>
  <c r="Y31" i="62"/>
  <c r="AA31" i="62"/>
  <c r="E31" i="62"/>
  <c r="F31" i="62"/>
  <c r="O31" i="62"/>
  <c r="T31" i="62"/>
  <c r="Q31" i="62"/>
  <c r="I31" i="62"/>
  <c r="D20" i="62"/>
  <c r="I20" i="62"/>
  <c r="J20" i="62"/>
  <c r="V20" i="62"/>
  <c r="X20" i="62"/>
  <c r="N20" i="62"/>
  <c r="AA20" i="62"/>
  <c r="W20" i="62"/>
  <c r="AB20" i="62"/>
  <c r="H20" i="62"/>
  <c r="AC20" i="62"/>
  <c r="H23" i="62"/>
  <c r="N23" i="62"/>
  <c r="D23" i="62"/>
  <c r="B14" i="62"/>
  <c r="D14" i="62"/>
  <c r="O14" i="62"/>
  <c r="AC14" i="62"/>
  <c r="S14" i="62"/>
  <c r="Y14" i="62"/>
  <c r="AB14" i="62"/>
  <c r="W14" i="62"/>
  <c r="Q54" i="62"/>
  <c r="AA54" i="62"/>
  <c r="F33" i="7"/>
  <c r="D54" i="65"/>
  <c r="E54" i="65" s="1"/>
  <c r="U54" i="62"/>
  <c r="S54" i="62"/>
  <c r="AB54" i="62"/>
  <c r="W54" i="62"/>
  <c r="E56" i="62"/>
  <c r="W56" i="62"/>
  <c r="AA56" i="62"/>
  <c r="AB56" i="62"/>
  <c r="Y56" i="62"/>
  <c r="M56" i="62"/>
  <c r="C56" i="62"/>
  <c r="Q56" i="62"/>
  <c r="O56" i="62"/>
  <c r="B16" i="62"/>
  <c r="B25" i="62"/>
  <c r="B15" i="62"/>
  <c r="C56" i="63"/>
  <c r="D56" i="63" s="1"/>
  <c r="B37" i="62"/>
  <c r="C63" i="63"/>
  <c r="D63" i="63" s="1"/>
  <c r="C21" i="63"/>
  <c r="D21" i="63" s="1"/>
  <c r="C34" i="63"/>
  <c r="D34" i="63" s="1"/>
  <c r="B36" i="62"/>
  <c r="L36" i="62"/>
  <c r="C36" i="62"/>
  <c r="Y36" i="62"/>
  <c r="H36" i="62"/>
  <c r="M36" i="62"/>
  <c r="O36" i="62"/>
  <c r="J36" i="62"/>
  <c r="B23" i="62"/>
  <c r="L23" i="62"/>
  <c r="J23" i="62"/>
  <c r="F23" i="62"/>
  <c r="O23" i="62"/>
  <c r="N14" i="62"/>
  <c r="R14" i="62"/>
  <c r="T14" i="62"/>
  <c r="G14" i="62"/>
  <c r="P14" i="62"/>
  <c r="J14" i="62"/>
  <c r="L14" i="62"/>
  <c r="X14" i="62"/>
  <c r="P54" i="62"/>
  <c r="F54" i="62"/>
  <c r="T54" i="62"/>
  <c r="H54" i="62"/>
  <c r="N54" i="62"/>
  <c r="L54" i="62"/>
  <c r="Z56" i="62"/>
  <c r="AC56" i="62"/>
  <c r="P56" i="62"/>
  <c r="N56" i="62"/>
  <c r="B56" i="62"/>
  <c r="S56" i="62"/>
  <c r="AA36" i="62"/>
  <c r="V36" i="62"/>
  <c r="I36" i="62"/>
  <c r="E36" i="62"/>
  <c r="W36" i="62"/>
  <c r="R36" i="62"/>
  <c r="Q36" i="62"/>
  <c r="S36" i="62"/>
  <c r="N36" i="62"/>
  <c r="T36" i="62"/>
  <c r="X36" i="62"/>
  <c r="AC36" i="62"/>
  <c r="Z36" i="62"/>
  <c r="AB36" i="62"/>
  <c r="Q23" i="62"/>
  <c r="C23" i="62"/>
  <c r="M23" i="62"/>
  <c r="W23" i="62"/>
  <c r="AB23" i="62"/>
  <c r="I23" i="62"/>
  <c r="K23" i="62"/>
  <c r="P23" i="62"/>
  <c r="U23" i="62"/>
  <c r="V23" i="62"/>
  <c r="Z23" i="62"/>
  <c r="M14" i="62"/>
  <c r="AA14" i="62"/>
  <c r="C17" i="63"/>
  <c r="D17" i="63" s="1"/>
  <c r="F33" i="47"/>
  <c r="D14" i="65"/>
  <c r="E14" i="65" s="1"/>
  <c r="H14" i="62"/>
  <c r="E14" i="62"/>
  <c r="Z14" i="62"/>
  <c r="V14" i="62"/>
  <c r="B54" i="62"/>
  <c r="V54" i="62"/>
  <c r="D54" i="62"/>
  <c r="Z54" i="62"/>
  <c r="X54" i="62"/>
  <c r="R54" i="62"/>
  <c r="AC54" i="62"/>
  <c r="J54" i="62"/>
  <c r="J56" i="62"/>
  <c r="D56" i="62"/>
  <c r="R56" i="62"/>
  <c r="H56" i="62"/>
  <c r="V56" i="62"/>
  <c r="B50" i="62"/>
  <c r="C53" i="63"/>
  <c r="D53" i="63" s="1"/>
  <c r="F33" i="27"/>
  <c r="D34" i="65"/>
  <c r="E34" i="65" s="1"/>
  <c r="F33" i="21"/>
  <c r="D40" i="65"/>
  <c r="E40" i="65" s="1"/>
  <c r="F33" i="6"/>
  <c r="D55" i="65"/>
  <c r="E55" i="65" s="1"/>
  <c r="F33" i="16"/>
  <c r="D45" i="65"/>
  <c r="E45" i="65" s="1"/>
  <c r="F33" i="13"/>
  <c r="D48" i="65"/>
  <c r="E48" i="65" s="1"/>
  <c r="F33" i="20"/>
  <c r="D41" i="65"/>
  <c r="E41" i="65" s="1"/>
  <c r="F33" i="18"/>
  <c r="D43" i="65"/>
  <c r="E43" i="65" s="1"/>
  <c r="F33" i="42"/>
  <c r="D19" i="65"/>
  <c r="E19" i="65" s="1"/>
  <c r="F33" i="53"/>
  <c r="D8" i="65"/>
  <c r="E8" i="65" s="1"/>
  <c r="F33" i="52"/>
  <c r="D9" i="65"/>
  <c r="E9" i="65" s="1"/>
  <c r="F33" i="4"/>
  <c r="D57" i="65"/>
  <c r="E57" i="65" s="1"/>
  <c r="F33" i="9"/>
  <c r="D52" i="65"/>
  <c r="E52" i="65" s="1"/>
  <c r="F33" i="15"/>
  <c r="D46" i="65"/>
  <c r="E46" i="65" s="1"/>
  <c r="F33" i="10"/>
  <c r="D51" i="65"/>
  <c r="E51" i="65" s="1"/>
  <c r="F33" i="3"/>
  <c r="D58" i="65"/>
  <c r="E58" i="65" s="1"/>
  <c r="F33" i="39"/>
  <c r="D22" i="65"/>
  <c r="E22" i="65" s="1"/>
  <c r="F33" i="26"/>
  <c r="D35" i="65"/>
  <c r="E35" i="65" s="1"/>
  <c r="F33" i="41"/>
  <c r="D20" i="65"/>
  <c r="E20" i="65" s="1"/>
  <c r="F33" i="55"/>
  <c r="D6" i="65"/>
  <c r="E6" i="65" s="1"/>
  <c r="F33" i="34"/>
  <c r="D27" i="65"/>
  <c r="E27" i="65" s="1"/>
  <c r="F33" i="51"/>
  <c r="D10" i="65"/>
  <c r="E10" i="65" s="1"/>
  <c r="F33" i="35"/>
  <c r="D26" i="65"/>
  <c r="E26" i="65" s="1"/>
  <c r="F33" i="45"/>
  <c r="D16" i="65"/>
  <c r="E16" i="65" s="1"/>
  <c r="F33" i="36"/>
  <c r="D25" i="65"/>
  <c r="E25" i="65" s="1"/>
  <c r="F33" i="32"/>
  <c r="D29" i="65"/>
  <c r="E29" i="65" s="1"/>
  <c r="F33" i="49"/>
  <c r="D12" i="65"/>
  <c r="E12" i="65" s="1"/>
  <c r="F33" i="37"/>
  <c r="D24" i="65"/>
  <c r="E24" i="65" s="1"/>
  <c r="F33" i="50"/>
  <c r="D11" i="65"/>
  <c r="E11" i="65" s="1"/>
  <c r="F33" i="46"/>
  <c r="D15" i="65"/>
  <c r="E15" i="65" s="1"/>
  <c r="F33" i="48"/>
  <c r="D13" i="65"/>
  <c r="E13" i="65" s="1"/>
  <c r="F33" i="33"/>
  <c r="D28" i="65"/>
  <c r="E28" i="65" s="1"/>
  <c r="F33" i="24"/>
  <c r="D37" i="65"/>
  <c r="E37" i="65" s="1"/>
  <c r="C37" i="63"/>
  <c r="D37" i="63" s="1"/>
  <c r="C30" i="63"/>
  <c r="D30" i="63" s="1"/>
  <c r="C44" i="63"/>
  <c r="D44" i="63" s="1"/>
  <c r="C29" i="63"/>
  <c r="D29" i="63" s="1"/>
  <c r="C61" i="63"/>
  <c r="D61" i="63" s="1"/>
  <c r="C9" i="63"/>
  <c r="D9" i="63" s="1"/>
  <c r="C43" i="63"/>
  <c r="D43" i="63" s="1"/>
  <c r="C12" i="63"/>
  <c r="D12" i="63" s="1"/>
  <c r="C60" i="63"/>
  <c r="D60" i="63" s="1"/>
  <c r="C48" i="63"/>
  <c r="D48" i="63" s="1"/>
  <c r="C27" i="63"/>
  <c r="D27" i="63" s="1"/>
  <c r="C40" i="63"/>
  <c r="D40" i="63" s="1"/>
  <c r="C16" i="63"/>
  <c r="D16" i="63" s="1"/>
  <c r="C32" i="63"/>
  <c r="D32" i="63" s="1"/>
  <c r="C51" i="63"/>
  <c r="D51" i="63" s="1"/>
  <c r="C54" i="63"/>
  <c r="D54" i="63" s="1"/>
  <c r="C46" i="63"/>
  <c r="D46" i="63" s="1"/>
  <c r="C49" i="63"/>
  <c r="D49" i="63" s="1"/>
  <c r="C23" i="63"/>
  <c r="D23" i="63" s="1"/>
  <c r="F33" i="29"/>
  <c r="D32" i="65"/>
  <c r="E32" i="65" s="1"/>
  <c r="F33" i="31"/>
  <c r="D30" i="65"/>
  <c r="E30" i="65" s="1"/>
  <c r="F33" i="23"/>
  <c r="D38" i="65"/>
  <c r="E38" i="65" s="1"/>
  <c r="F33" i="59"/>
  <c r="D59" i="65"/>
  <c r="E59" i="65" s="1"/>
  <c r="F33" i="12"/>
  <c r="D49" i="65"/>
  <c r="E49" i="65" s="1"/>
  <c r="F33" i="19"/>
  <c r="D42" i="65"/>
  <c r="E42" i="65" s="1"/>
  <c r="F33" i="54"/>
  <c r="D7" i="65"/>
  <c r="E7" i="65" s="1"/>
  <c r="F33" i="17"/>
  <c r="D44" i="65"/>
  <c r="E44" i="65" s="1"/>
  <c r="F33" i="14"/>
  <c r="D47" i="65"/>
  <c r="E47" i="65" s="1"/>
  <c r="F33" i="40"/>
  <c r="D21" i="65"/>
  <c r="E21" i="65" s="1"/>
  <c r="F33" i="56"/>
  <c r="D5" i="65"/>
  <c r="E5" i="65" s="1"/>
  <c r="F33" i="8"/>
  <c r="D53" i="65"/>
  <c r="E53" i="65" s="1"/>
  <c r="F33" i="11"/>
  <c r="D50" i="65"/>
  <c r="E50" i="65" s="1"/>
  <c r="F33" i="44"/>
  <c r="D17" i="65"/>
  <c r="E17" i="65" s="1"/>
  <c r="F33" i="22"/>
  <c r="D39" i="65"/>
  <c r="E39" i="65" s="1"/>
  <c r="F33" i="1"/>
  <c r="D60" i="65"/>
  <c r="E60" i="65" s="1"/>
  <c r="F33" i="28"/>
  <c r="D33" i="65"/>
  <c r="E33" i="65" s="1"/>
  <c r="F33" i="43"/>
  <c r="D18" i="65"/>
  <c r="E18" i="65" s="1"/>
  <c r="F33" i="30"/>
  <c r="D31" i="65"/>
  <c r="E31" i="65" s="1"/>
  <c r="C18" i="63"/>
  <c r="D18" i="63" s="1"/>
  <c r="C33" i="63"/>
  <c r="D33" i="63" s="1"/>
  <c r="C41" i="63"/>
  <c r="D41" i="63" s="1"/>
  <c r="C11" i="63"/>
  <c r="D11" i="63" s="1"/>
  <c r="C22" i="63"/>
  <c r="D22" i="63" s="1"/>
  <c r="C45" i="63"/>
  <c r="D45" i="63" s="1"/>
  <c r="C19" i="63"/>
  <c r="D19" i="63" s="1"/>
  <c r="C36" i="63"/>
  <c r="D36" i="63" s="1"/>
  <c r="C38" i="63"/>
  <c r="D38" i="63" s="1"/>
  <c r="C28" i="63"/>
  <c r="D28" i="63" s="1"/>
  <c r="C35" i="63"/>
  <c r="D35" i="63" s="1"/>
  <c r="C13" i="63"/>
  <c r="D13" i="63" s="1"/>
  <c r="C62" i="63"/>
  <c r="D62" i="63" s="1"/>
  <c r="C58" i="63"/>
  <c r="D58" i="63" s="1"/>
  <c r="C55" i="63"/>
  <c r="D55" i="63" s="1"/>
  <c r="C31" i="63"/>
  <c r="D31" i="63" s="1"/>
  <c r="C14" i="63"/>
  <c r="D14" i="63" s="1"/>
  <c r="C20" i="63"/>
  <c r="D20" i="63" s="1"/>
  <c r="C10" i="63"/>
  <c r="D10" i="63" s="1"/>
  <c r="C15" i="63"/>
  <c r="D15" i="63" s="1"/>
  <c r="C47" i="63"/>
  <c r="D47" i="63" s="1"/>
  <c r="C50" i="63"/>
  <c r="D50" i="63" s="1"/>
  <c r="C24" i="63"/>
  <c r="D24" i="63" s="1"/>
  <c r="C42" i="63"/>
  <c r="D42" i="63" s="1"/>
  <c r="C25" i="63"/>
  <c r="D25" i="63" s="1"/>
  <c r="C52" i="63"/>
  <c r="D52" i="63" s="1"/>
  <c r="E4" i="65"/>
  <c r="C64" i="63"/>
  <c r="D64" i="63" s="1"/>
  <c r="B61" i="62"/>
  <c r="C18" i="64" l="1"/>
  <c r="B62" i="62"/>
  <c r="C50" i="64"/>
  <c r="C58" i="64"/>
  <c r="D58" i="64" s="1"/>
  <c r="E58" i="64" s="1"/>
  <c r="C33" i="66"/>
  <c r="R33" i="66" s="1"/>
  <c r="C34" i="64"/>
  <c r="D34" i="64" s="1"/>
  <c r="E34" i="64" s="1"/>
  <c r="B63" i="62"/>
  <c r="C10" i="64"/>
  <c r="D10" i="64" s="1"/>
  <c r="E10" i="64" s="1"/>
  <c r="C26" i="64"/>
  <c r="C42" i="64"/>
  <c r="D42" i="64" s="1"/>
  <c r="E42" i="64" s="1"/>
  <c r="C61" i="64"/>
  <c r="C6" i="64"/>
  <c r="C14" i="64"/>
  <c r="C22" i="64"/>
  <c r="C30" i="64"/>
  <c r="C38" i="64"/>
  <c r="D38" i="64" s="1"/>
  <c r="E38" i="64" s="1"/>
  <c r="C46" i="64"/>
  <c r="C54" i="64"/>
  <c r="D54" i="64" s="1"/>
  <c r="E54" i="64" s="1"/>
  <c r="R4" i="66"/>
  <c r="C8" i="64"/>
  <c r="D8" i="64" s="1"/>
  <c r="E8" i="64" s="1"/>
  <c r="C12" i="64"/>
  <c r="C16" i="64"/>
  <c r="D16" i="64" s="1"/>
  <c r="E16" i="64" s="1"/>
  <c r="C20" i="64"/>
  <c r="C24" i="64"/>
  <c r="D24" i="64" s="1"/>
  <c r="E24" i="64" s="1"/>
  <c r="C28" i="64"/>
  <c r="C32" i="64"/>
  <c r="D32" i="64" s="1"/>
  <c r="E32" i="64" s="1"/>
  <c r="C36" i="64"/>
  <c r="C40" i="64"/>
  <c r="C44" i="64"/>
  <c r="C48" i="64"/>
  <c r="D48" i="64" s="1"/>
  <c r="E48" i="64" s="1"/>
  <c r="C52" i="64"/>
  <c r="C56" i="64"/>
  <c r="D56" i="64" s="1"/>
  <c r="E56" i="64" s="1"/>
  <c r="B65" i="62"/>
  <c r="C59" i="64"/>
  <c r="B64" i="62"/>
  <c r="C32" i="66"/>
  <c r="R32" i="66" s="1"/>
  <c r="C34" i="66"/>
  <c r="R34" i="66" s="1"/>
  <c r="C7" i="64"/>
  <c r="D7" i="64" s="1"/>
  <c r="E7" i="64" s="1"/>
  <c r="C9" i="64"/>
  <c r="C11" i="64"/>
  <c r="D11" i="64" s="1"/>
  <c r="E11" i="64" s="1"/>
  <c r="C13" i="64"/>
  <c r="C15" i="64"/>
  <c r="D15" i="64" s="1"/>
  <c r="E15" i="64" s="1"/>
  <c r="C17" i="64"/>
  <c r="C19" i="64"/>
  <c r="D19" i="64" s="1"/>
  <c r="E19" i="64" s="1"/>
  <c r="C21" i="64"/>
  <c r="C23" i="64"/>
  <c r="D23" i="64" s="1"/>
  <c r="E23" i="64" s="1"/>
  <c r="C25" i="64"/>
  <c r="C27" i="64"/>
  <c r="D27" i="64" s="1"/>
  <c r="E27" i="64" s="1"/>
  <c r="C29" i="64"/>
  <c r="C31" i="64"/>
  <c r="D31" i="64" s="1"/>
  <c r="E31" i="64" s="1"/>
  <c r="C33" i="64"/>
  <c r="C35" i="64"/>
  <c r="D35" i="64" s="1"/>
  <c r="E35" i="64" s="1"/>
  <c r="C37" i="64"/>
  <c r="D37" i="64" s="1"/>
  <c r="E37" i="64" s="1"/>
  <c r="C39" i="64"/>
  <c r="D39" i="64" s="1"/>
  <c r="E39" i="64" s="1"/>
  <c r="C41" i="64"/>
  <c r="D41" i="64" s="1"/>
  <c r="E41" i="64" s="1"/>
  <c r="C43" i="64"/>
  <c r="D43" i="64" s="1"/>
  <c r="E43" i="64" s="1"/>
  <c r="C45" i="64"/>
  <c r="D45" i="64" s="1"/>
  <c r="E45" i="64" s="1"/>
  <c r="C47" i="64"/>
  <c r="D47" i="64" s="1"/>
  <c r="E47" i="64" s="1"/>
  <c r="C49" i="64"/>
  <c r="D49" i="64" s="1"/>
  <c r="E49" i="64" s="1"/>
  <c r="C51" i="64"/>
  <c r="D51" i="64" s="1"/>
  <c r="E51" i="64" s="1"/>
  <c r="C53" i="64"/>
  <c r="D53" i="64" s="1"/>
  <c r="E53" i="64" s="1"/>
  <c r="C55" i="64"/>
  <c r="D55" i="64" s="1"/>
  <c r="E55" i="64" s="1"/>
  <c r="C57" i="64"/>
  <c r="D57" i="64" s="1"/>
  <c r="E57" i="64" s="1"/>
  <c r="C60" i="64"/>
  <c r="D60" i="64" s="1"/>
  <c r="E60" i="64" s="1"/>
  <c r="C62" i="64"/>
  <c r="D62" i="64" s="1"/>
  <c r="E62" i="64" s="1"/>
  <c r="AD61" i="62"/>
  <c r="AD37" i="62"/>
  <c r="AD28" i="62"/>
  <c r="AD13" i="62"/>
  <c r="AD15" i="62"/>
  <c r="AD11" i="62"/>
  <c r="AD24" i="62"/>
  <c r="AD12" i="62"/>
  <c r="AD29" i="62"/>
  <c r="AD25" i="62"/>
  <c r="AD16" i="62"/>
  <c r="AD26" i="62"/>
  <c r="AD10" i="62"/>
  <c r="AD27" i="62"/>
  <c r="AD6" i="62"/>
  <c r="AD20" i="62"/>
  <c r="AD35" i="62"/>
  <c r="AD22" i="62"/>
  <c r="AD58" i="62"/>
  <c r="AD51" i="62"/>
  <c r="AD46" i="62"/>
  <c r="AD52" i="62"/>
  <c r="AD57" i="62"/>
  <c r="AD9" i="62"/>
  <c r="AD8" i="62"/>
  <c r="AD19" i="62"/>
  <c r="AD43" i="62"/>
  <c r="AD41" i="62"/>
  <c r="AD48" i="62"/>
  <c r="AD45" i="62"/>
  <c r="AD55" i="62"/>
  <c r="AD40" i="62"/>
  <c r="AD34" i="62"/>
  <c r="W62" i="62"/>
  <c r="W65" i="62"/>
  <c r="W64" i="62"/>
  <c r="W63" i="62"/>
  <c r="AB65" i="62"/>
  <c r="AB64" i="62"/>
  <c r="AB62" i="62"/>
  <c r="AB63" i="62"/>
  <c r="Y65" i="62"/>
  <c r="Y62" i="62"/>
  <c r="Y63" i="62"/>
  <c r="Y64" i="62"/>
  <c r="S65" i="62"/>
  <c r="S62" i="62"/>
  <c r="S63" i="62"/>
  <c r="S64" i="62"/>
  <c r="AC62" i="62"/>
  <c r="AC65" i="62"/>
  <c r="AC63" i="62"/>
  <c r="AC64" i="62"/>
  <c r="O62" i="62"/>
  <c r="O65" i="62"/>
  <c r="O64" i="62"/>
  <c r="O63" i="62"/>
  <c r="D62" i="62"/>
  <c r="D65" i="62"/>
  <c r="D64" i="62"/>
  <c r="D63" i="62"/>
  <c r="AD31" i="62"/>
  <c r="AD18" i="62"/>
  <c r="AD33" i="62"/>
  <c r="AD60" i="62"/>
  <c r="AD39" i="62"/>
  <c r="AD17" i="62"/>
  <c r="AD53" i="62"/>
  <c r="AD5" i="62"/>
  <c r="AD21" i="62"/>
  <c r="AD47" i="62"/>
  <c r="AD44" i="62"/>
  <c r="AD7" i="62"/>
  <c r="AD42" i="62"/>
  <c r="AD49" i="62"/>
  <c r="AD59" i="62"/>
  <c r="AD38" i="62"/>
  <c r="AD30" i="62"/>
  <c r="AD32" i="62"/>
  <c r="V65" i="62"/>
  <c r="V64" i="62"/>
  <c r="V62" i="62"/>
  <c r="V63" i="62"/>
  <c r="Z65" i="62"/>
  <c r="Z62" i="62"/>
  <c r="Z63" i="62"/>
  <c r="Z64" i="62"/>
  <c r="E62" i="62"/>
  <c r="E65" i="62"/>
  <c r="E63" i="62"/>
  <c r="E64" i="62"/>
  <c r="H62" i="62"/>
  <c r="H65" i="62"/>
  <c r="H64" i="62"/>
  <c r="H63" i="62"/>
  <c r="AD14" i="62"/>
  <c r="AA65" i="62"/>
  <c r="AA62" i="62"/>
  <c r="AA63" i="62"/>
  <c r="AA64" i="62"/>
  <c r="M62" i="62"/>
  <c r="M65" i="62"/>
  <c r="M64" i="62"/>
  <c r="M63" i="62"/>
  <c r="X62" i="62"/>
  <c r="X65" i="62"/>
  <c r="X64" i="62"/>
  <c r="X63" i="62"/>
  <c r="L65" i="62"/>
  <c r="L62" i="62"/>
  <c r="L63" i="62"/>
  <c r="L64" i="62"/>
  <c r="J65" i="62"/>
  <c r="J62" i="62"/>
  <c r="J63" i="62"/>
  <c r="J64" i="62"/>
  <c r="P65" i="62"/>
  <c r="P64" i="62"/>
  <c r="P62" i="62"/>
  <c r="P63" i="62"/>
  <c r="G62" i="62"/>
  <c r="G65" i="62"/>
  <c r="G63" i="62"/>
  <c r="G64" i="62"/>
  <c r="T62" i="62"/>
  <c r="T65" i="62"/>
  <c r="T63" i="62"/>
  <c r="T64" i="62"/>
  <c r="R62" i="62"/>
  <c r="R65" i="62"/>
  <c r="R64" i="62"/>
  <c r="R63" i="62"/>
  <c r="N62" i="62"/>
  <c r="N65" i="62"/>
  <c r="N63" i="62"/>
  <c r="N64" i="62"/>
  <c r="AD54" i="62"/>
  <c r="AD56" i="62"/>
  <c r="U62" i="62"/>
  <c r="U65" i="62"/>
  <c r="U63" i="62"/>
  <c r="U64" i="62"/>
  <c r="I65" i="62"/>
  <c r="I64" i="62"/>
  <c r="I62" i="62"/>
  <c r="I63" i="62"/>
  <c r="C65" i="62"/>
  <c r="C62" i="62"/>
  <c r="C63" i="62"/>
  <c r="C64" i="62"/>
  <c r="F65" i="62"/>
  <c r="F64" i="62"/>
  <c r="F62" i="62"/>
  <c r="F63" i="62"/>
  <c r="Q65" i="62"/>
  <c r="Q62" i="62"/>
  <c r="Q63" i="62"/>
  <c r="Q64" i="62"/>
  <c r="K65" i="62"/>
  <c r="K64" i="62"/>
  <c r="K62" i="62"/>
  <c r="K63" i="62"/>
  <c r="AD23" i="62"/>
  <c r="AD36" i="62"/>
  <c r="AD50" i="62"/>
  <c r="D61" i="65"/>
  <c r="B61" i="65"/>
  <c r="C61" i="65" s="1"/>
  <c r="D61" i="64"/>
  <c r="E61" i="64" s="1"/>
  <c r="D59" i="64"/>
  <c r="E59" i="64" s="1"/>
  <c r="D52" i="64"/>
  <c r="E52" i="64" s="1"/>
  <c r="D50" i="64"/>
  <c r="E50" i="64" s="1"/>
  <c r="D46" i="64"/>
  <c r="E46" i="64" s="1"/>
  <c r="D44" i="64"/>
  <c r="E44" i="64" s="1"/>
  <c r="D40" i="64"/>
  <c r="E40" i="64" s="1"/>
  <c r="D36" i="64"/>
  <c r="E36" i="64" s="1"/>
  <c r="D33" i="64"/>
  <c r="E33" i="64" s="1"/>
  <c r="D30" i="64"/>
  <c r="E30" i="64" s="1"/>
  <c r="D29" i="64"/>
  <c r="E29" i="64" s="1"/>
  <c r="D28" i="64"/>
  <c r="E28" i="64" s="1"/>
  <c r="D26" i="64"/>
  <c r="E26" i="64" s="1"/>
  <c r="D25" i="64"/>
  <c r="E25" i="64" s="1"/>
  <c r="D22" i="64"/>
  <c r="E22" i="64" s="1"/>
  <c r="D21" i="64"/>
  <c r="E21" i="64" s="1"/>
  <c r="D20" i="64"/>
  <c r="E20" i="64" s="1"/>
  <c r="D18" i="64"/>
  <c r="E18" i="64" s="1"/>
  <c r="D17" i="64"/>
  <c r="E17" i="64" s="1"/>
  <c r="D14" i="64"/>
  <c r="E14" i="64" s="1"/>
  <c r="D13" i="64"/>
  <c r="E13" i="64" s="1"/>
  <c r="D12" i="64"/>
  <c r="E12" i="64" s="1"/>
  <c r="D9" i="64"/>
  <c r="E9" i="64" s="1"/>
  <c r="C63" i="64" l="1"/>
  <c r="D63" i="64" s="1"/>
  <c r="E63" i="64" s="1"/>
  <c r="AD65" i="62"/>
  <c r="AD64" i="62"/>
  <c r="AD62" i="62"/>
  <c r="AD63" i="62"/>
  <c r="E61" i="65"/>
  <c r="D6" i="64"/>
  <c r="E6" i="64" s="1"/>
</calcChain>
</file>

<file path=xl/comments1.xml><?xml version="1.0" encoding="utf-8"?>
<comments xmlns="http://schemas.openxmlformats.org/spreadsheetml/2006/main">
  <authors>
    <author>Paul Turcotte</author>
  </authors>
  <commentList>
    <comment ref="C109" authorId="0">
      <text>
        <r>
          <rPr>
            <b/>
            <sz val="9"/>
            <color indexed="81"/>
            <rFont val="Tahoma"/>
            <family val="2"/>
          </rPr>
          <t>Paul Turcotte:</t>
        </r>
        <r>
          <rPr>
            <sz val="9"/>
            <color indexed="81"/>
            <rFont val="Tahoma"/>
            <family val="2"/>
          </rPr>
          <t xml:space="preserve">
Reported $18,877,886 on AFR immaterial difference of $17,864</t>
        </r>
      </text>
    </comment>
  </commentList>
</comments>
</file>

<file path=xl/comments2.xml><?xml version="1.0" encoding="utf-8"?>
<comments xmlns="http://schemas.openxmlformats.org/spreadsheetml/2006/main">
  <authors>
    <author>Paul Turcotte</author>
  </authors>
  <commentList>
    <comment ref="E120" authorId="0">
      <text>
        <r>
          <rPr>
            <b/>
            <sz val="9"/>
            <color indexed="81"/>
            <rFont val="Tahoma"/>
            <family val="2"/>
          </rPr>
          <t>Paul Turcotte:</t>
        </r>
        <r>
          <rPr>
            <sz val="9"/>
            <color indexed="81"/>
            <rFont val="Tahoma"/>
            <family val="2"/>
          </rPr>
          <t xml:space="preserve">
Off by 29,977, immaterial</t>
        </r>
      </text>
    </comment>
  </commentList>
</comments>
</file>

<file path=xl/comments3.xml><?xml version="1.0" encoding="utf-8"?>
<comments xmlns="http://schemas.openxmlformats.org/spreadsheetml/2006/main">
  <authors>
    <author>Paul Turcotte</author>
  </authors>
  <commentList>
    <comment ref="F109" authorId="0">
      <text>
        <r>
          <rPr>
            <b/>
            <sz val="9"/>
            <color indexed="81"/>
            <rFont val="Tahoma"/>
            <family val="2"/>
          </rPr>
          <t>Paul Turcotte:</t>
        </r>
        <r>
          <rPr>
            <sz val="9"/>
            <color indexed="81"/>
            <rFont val="Tahoma"/>
            <family val="2"/>
          </rPr>
          <t xml:space="preserve">
Reported $13,010,419 on AFR an immaterial difference of $1,223,051 or 5 percent</t>
        </r>
      </text>
    </comment>
  </commentList>
</comments>
</file>

<file path=xl/comments4.xml><?xml version="1.0" encoding="utf-8"?>
<comments xmlns="http://schemas.openxmlformats.org/spreadsheetml/2006/main">
  <authors>
    <author>Paul Turcotte</author>
  </authors>
  <commentList>
    <comment ref="C109" authorId="0">
      <text>
        <r>
          <rPr>
            <b/>
            <sz val="9"/>
            <color indexed="81"/>
            <rFont val="Tahoma"/>
            <family val="2"/>
          </rPr>
          <t>Paul Turcotte:</t>
        </r>
        <r>
          <rPr>
            <sz val="9"/>
            <color indexed="81"/>
            <rFont val="Tahoma"/>
            <family val="2"/>
          </rPr>
          <t xml:space="preserve">
Only totals tie to AFR due to Non-State Funded programs.</t>
        </r>
      </text>
    </comment>
  </commentList>
</comments>
</file>

<file path=xl/comments5.xml><?xml version="1.0" encoding="utf-8"?>
<comments xmlns="http://schemas.openxmlformats.org/spreadsheetml/2006/main">
  <authors>
    <author>Paul Turcotte</author>
  </authors>
  <commentList>
    <comment ref="E120" authorId="0">
      <text>
        <r>
          <rPr>
            <b/>
            <sz val="9"/>
            <color indexed="81"/>
            <rFont val="Tahoma"/>
            <family val="2"/>
          </rPr>
          <t>Paul Turcotte:</t>
        </r>
        <r>
          <rPr>
            <sz val="9"/>
            <color indexed="81"/>
            <rFont val="Tahoma"/>
            <family val="2"/>
          </rPr>
          <t xml:space="preserve">
Includes Buliding Depreciation of $4,597,024 or 5 percent.</t>
        </r>
      </text>
    </comment>
  </commentList>
</comments>
</file>

<file path=xl/comments6.xml><?xml version="1.0" encoding="utf-8"?>
<comments xmlns="http://schemas.openxmlformats.org/spreadsheetml/2006/main">
  <authors>
    <author>Paul Turcotte</author>
  </authors>
  <commentList>
    <comment ref="F118" authorId="0">
      <text>
        <r>
          <rPr>
            <b/>
            <sz val="10"/>
            <color indexed="81"/>
            <rFont val="Courier New"/>
            <family val="3"/>
          </rPr>
          <t>Paul Turcotte:</t>
        </r>
        <r>
          <rPr>
            <sz val="10"/>
            <color indexed="81"/>
            <rFont val="Courier New"/>
            <family val="3"/>
          </rPr>
          <t xml:space="preserve">
Reconciliation of Total Unrestricted Educational Activities on RFOE to AFR:
Total Unrestricted Educational Activities per RFOE  $278,472,299
Richland Collegiate High School expenses excluded        534,361
Unrestricted Educational Activities per AFR         $279,006,660    
Depreciation expense for Restricted and Auxiliary Fund equipment in the amount of $979,569 is excluded.       
Richland Collegiate High School expenses excluded by function:
  Instruction                                                                       253,894
  Public Service                                                                  20,500
  Academic Support                                                         36,565
  Student Services                                                            78,775
  Institutional Support                                                     102,264
  Operation &amp; Maintenance of Plant                          42,363
  Total RCHS excluded expenses                             534,361</t>
        </r>
      </text>
    </comment>
    <comment ref="E120" authorId="0">
      <text>
        <r>
          <rPr>
            <b/>
            <sz val="9"/>
            <color indexed="81"/>
            <rFont val="Tahoma"/>
            <family val="2"/>
          </rPr>
          <t>Paul Turcotte:</t>
        </r>
        <r>
          <rPr>
            <sz val="9"/>
            <color indexed="81"/>
            <rFont val="Tahoma"/>
            <family val="2"/>
          </rPr>
          <t xml:space="preserve">
$979,569 for Auxiliary</t>
        </r>
      </text>
    </comment>
  </commentList>
</comments>
</file>

<file path=xl/comments7.xml><?xml version="1.0" encoding="utf-8"?>
<comments xmlns="http://schemas.openxmlformats.org/spreadsheetml/2006/main">
  <authors>
    <author>Paul Turcotte</author>
  </authors>
  <commentList>
    <comment ref="E120" authorId="0">
      <text>
        <r>
          <rPr>
            <b/>
            <sz val="9"/>
            <color indexed="81"/>
            <rFont val="Tahoma"/>
            <family val="2"/>
          </rPr>
          <t>Paul Turcotte:</t>
        </r>
        <r>
          <rPr>
            <sz val="9"/>
            <color indexed="81"/>
            <rFont val="Tahoma"/>
            <family val="2"/>
          </rPr>
          <t xml:space="preserve">
I will submitted it today, the reason our depreciation is only $281,629 is because we didn't include the Auxiliary depreciation for $164,123. We only included the total equipment depreciation for Administrative $208,100 and Physical Plant $73,529 the, our total is $281,629. </t>
        </r>
      </text>
    </comment>
  </commentList>
</comments>
</file>

<file path=xl/connections.xml><?xml version="1.0" encoding="utf-8"?>
<connections xmlns="http://schemas.openxmlformats.org/spreadsheetml/2006/main">
  <connection id="1" keepAlive="1" name="Broadway AP_FRP_RFOE CCSurvey" type="5" refreshedVersion="4" background="1" saveData="1">
    <dbPr connection="Provider=SQLOLEDB.1;Integrated Security=SSPI;Persist Security Info=True;Initial Catalog=AP_FRP_RFOE;Data Source=Broadway;Use Procedure for Prepare=1;Auto Translate=True;Packet Size=4096;Workstation ID=TURCOTTEPL;Use Encryption for Data=False;Tag with column collation when possible=False" command="&quot;AP_FRP_RFOE&quot;.&quot;dbo&quot;.&quot;CCSurvey&quot;" commandType="3"/>
  </connection>
  <connection id="2" odcFile="\\THECB-AUVFS41\UserDoc$\turcottepl\My Documents\My Data Sources\Broadway AP_FRP_RFOE CCSurvey.odc" keepAlive="1" name="Broadway AP_FRP_RFOE CCSurvey1" type="5" refreshedVersion="0" new="1" background="1">
    <dbPr connection="Provider=SQLOLEDB.1;Integrated Security=SSPI;Persist Security Info=True;Data Source=Broadway;Use Procedure for Prepare=1;Auto Translate=True;Packet Size=4096;Workstation ID=TURCOTTEPL;Use Encryption for Data=False;Tag with column collation when possible=False;Initial Catalog=AP_FRP_RFOE" command="&quot;AP_FRP_RFOE&quot;.&quot;dbo&quot;.&quot;CCSurvey&quot;" commandType="3"/>
  </connection>
</connections>
</file>

<file path=xl/sharedStrings.xml><?xml version="1.0" encoding="utf-8"?>
<sst xmlns="http://schemas.openxmlformats.org/spreadsheetml/2006/main" count="10135" uniqueCount="1434">
  <si>
    <t>Agriculture</t>
  </si>
  <si>
    <t>Architecture and Precision Production Trades</t>
  </si>
  <si>
    <t>Biology, Physical Sciences, and Science Technology</t>
  </si>
  <si>
    <t>Business Management, Marketing, and Administrative Services</t>
  </si>
  <si>
    <t>Career Pilot</t>
  </si>
  <si>
    <t>Communications</t>
  </si>
  <si>
    <t>Computer and Information Sciences</t>
  </si>
  <si>
    <t>Construction Trades</t>
  </si>
  <si>
    <t>Consumer and Homemaking Education</t>
  </si>
  <si>
    <t>Engineering</t>
  </si>
  <si>
    <t>Engineering Related</t>
  </si>
  <si>
    <t>English Language, Lit, Philosophy, Humanities, &amp; Interdisciplinary</t>
  </si>
  <si>
    <t>Foreign Languages</t>
  </si>
  <si>
    <t>Health Occupations - Dental Hygiene</t>
  </si>
  <si>
    <t>Health Occupations - Other</t>
  </si>
  <si>
    <t>Health Occupations - Respiratory Therapy</t>
  </si>
  <si>
    <t>Health Occupations - Vocational Nursing</t>
  </si>
  <si>
    <t>Mathematics</t>
  </si>
  <si>
    <t>Mechanics and Repairers - Automotive</t>
  </si>
  <si>
    <t>Mechanics and Repairers - Electronics</t>
  </si>
  <si>
    <t>Physical Education and Fitness</t>
  </si>
  <si>
    <t>Protective Services and Public Administration</t>
  </si>
  <si>
    <t>Psychology, Social Sciences, and History</t>
  </si>
  <si>
    <t>Visual and Performing Arts</t>
  </si>
  <si>
    <t>Developmental Education - Math</t>
  </si>
  <si>
    <t>Developmental Education - Reading/Writing</t>
  </si>
  <si>
    <t>Fund</t>
  </si>
  <si>
    <t>Contact Hours</t>
  </si>
  <si>
    <t>Research</t>
  </si>
  <si>
    <t>Local Benefits</t>
  </si>
  <si>
    <t>Institutional Support</t>
  </si>
  <si>
    <t>Student Services</t>
  </si>
  <si>
    <t>Academic Support</t>
  </si>
  <si>
    <t>Scholarships and Fellowships</t>
  </si>
  <si>
    <t>Equipment Depreciation</t>
  </si>
  <si>
    <t>Total</t>
  </si>
  <si>
    <t>FICE</t>
  </si>
  <si>
    <t>Password</t>
  </si>
  <si>
    <t>Approved</t>
  </si>
  <si>
    <t>ApprovalDate</t>
  </si>
  <si>
    <t>LastMod</t>
  </si>
  <si>
    <t>CBNote</t>
  </si>
  <si>
    <t>dist_name</t>
  </si>
  <si>
    <t>person</t>
  </si>
  <si>
    <t>title</t>
  </si>
  <si>
    <t>phone</t>
  </si>
  <si>
    <t>email</t>
  </si>
  <si>
    <t>GrandTotal</t>
  </si>
  <si>
    <t>SecATotal</t>
  </si>
  <si>
    <t>SecBTotal</t>
  </si>
  <si>
    <t>AFRExb2</t>
  </si>
  <si>
    <t>Difference</t>
  </si>
  <si>
    <t>Sec2Local</t>
  </si>
  <si>
    <t>Sec2State</t>
  </si>
  <si>
    <t>Sec2_Total</t>
  </si>
  <si>
    <t>Sec3SW1</t>
  </si>
  <si>
    <t>Sec3SW2</t>
  </si>
  <si>
    <t>Sec3SW3</t>
  </si>
  <si>
    <t>Sec3SW4</t>
  </si>
  <si>
    <t>Sec3SW5</t>
  </si>
  <si>
    <t>Sec3SW6</t>
  </si>
  <si>
    <t>Sec3SWTotal</t>
  </si>
  <si>
    <t>Sec3Oth1</t>
  </si>
  <si>
    <t>Sec3Oth2</t>
  </si>
  <si>
    <t>Sec3Oth3</t>
  </si>
  <si>
    <t>Sec3Oth4</t>
  </si>
  <si>
    <t>Sec3Oth5</t>
  </si>
  <si>
    <t>Sec3Oth6</t>
  </si>
  <si>
    <t>Sec3OthTotal</t>
  </si>
  <si>
    <t>Sec3_1</t>
  </si>
  <si>
    <t>Sec3_2</t>
  </si>
  <si>
    <t>Sec3_3</t>
  </si>
  <si>
    <t>Sec3_4</t>
  </si>
  <si>
    <t>Sec3_5</t>
  </si>
  <si>
    <t>Sec3_6</t>
  </si>
  <si>
    <t>Sec3_Total</t>
  </si>
  <si>
    <t>Sec4SW1</t>
  </si>
  <si>
    <t>Sec4SW2</t>
  </si>
  <si>
    <t>Sec4SW3</t>
  </si>
  <si>
    <t>Sec4SW4</t>
  </si>
  <si>
    <t>Sec4SWTotal</t>
  </si>
  <si>
    <t>Sec4Oth1</t>
  </si>
  <si>
    <t>Sec4Oth2</t>
  </si>
  <si>
    <t>Sec4Oth3</t>
  </si>
  <si>
    <t>Sec4Oth4</t>
  </si>
  <si>
    <t>Sec4OthTotal</t>
  </si>
  <si>
    <t>Sec4_1</t>
  </si>
  <si>
    <t>Sec4_2</t>
  </si>
  <si>
    <t>Sec4_3</t>
  </si>
  <si>
    <t>Sec4_4</t>
  </si>
  <si>
    <t>Sec4_Total</t>
  </si>
  <si>
    <t>Sec5SW1</t>
  </si>
  <si>
    <t>Sec5SW2</t>
  </si>
  <si>
    <t>Sec5SW3</t>
  </si>
  <si>
    <t>Sec5SW4</t>
  </si>
  <si>
    <t>Sec5SW5</t>
  </si>
  <si>
    <t>Sec5SWTotal</t>
  </si>
  <si>
    <t>Sec5SB1</t>
  </si>
  <si>
    <t>Sec5SB2</t>
  </si>
  <si>
    <t>Sec5SB3</t>
  </si>
  <si>
    <t>Sec5SB4</t>
  </si>
  <si>
    <t>Sec5SB5</t>
  </si>
  <si>
    <t>Sec5SBTotal</t>
  </si>
  <si>
    <t>Sec5Oth1</t>
  </si>
  <si>
    <t>Sec5Oth2</t>
  </si>
  <si>
    <t>Sec5Oth3</t>
  </si>
  <si>
    <t>Sec5Oth4</t>
  </si>
  <si>
    <t>Sec5Oth5</t>
  </si>
  <si>
    <t>Sec5OthTotal</t>
  </si>
  <si>
    <t>Sec5_1</t>
  </si>
  <si>
    <t>Sec5_2</t>
  </si>
  <si>
    <t>Sec5_3</t>
  </si>
  <si>
    <t>Sec5_4</t>
  </si>
  <si>
    <t>Sec5_5</t>
  </si>
  <si>
    <t>Sec5_Total</t>
  </si>
  <si>
    <t>Sec6SW1</t>
  </si>
  <si>
    <t>Sec6SW2</t>
  </si>
  <si>
    <t>Sec6SW3</t>
  </si>
  <si>
    <t>Sec6SWTotal</t>
  </si>
  <si>
    <t>Sec6SB1</t>
  </si>
  <si>
    <t>Sec6SB2</t>
  </si>
  <si>
    <t>Sec6SB3</t>
  </si>
  <si>
    <t>Sec6SBTotal</t>
  </si>
  <si>
    <t>Sec6Oth1</t>
  </si>
  <si>
    <t>Sec6Oth2</t>
  </si>
  <si>
    <t>Sec6Oth3</t>
  </si>
  <si>
    <t>Sec6OthTotal</t>
  </si>
  <si>
    <t>Sec6_1</t>
  </si>
  <si>
    <t>Sec6_2</t>
  </si>
  <si>
    <t>Sec6_3</t>
  </si>
  <si>
    <t>Sec6_Total</t>
  </si>
  <si>
    <t>FICE_Link</t>
  </si>
  <si>
    <t>LocalBenefits</t>
  </si>
  <si>
    <t>StateBenefits</t>
  </si>
  <si>
    <t>HRS1</t>
  </si>
  <si>
    <t>HRS2</t>
  </si>
  <si>
    <t>HRS3</t>
  </si>
  <si>
    <t>HRS4</t>
  </si>
  <si>
    <t>HRS5</t>
  </si>
  <si>
    <t>HRS6</t>
  </si>
  <si>
    <t>HRS7</t>
  </si>
  <si>
    <t>HRS8</t>
  </si>
  <si>
    <t>HRS9</t>
  </si>
  <si>
    <t>HRS10</t>
  </si>
  <si>
    <t>HRS11</t>
  </si>
  <si>
    <t>HRS12</t>
  </si>
  <si>
    <t>HRS13</t>
  </si>
  <si>
    <t>HRS14</t>
  </si>
  <si>
    <t>HRS15</t>
  </si>
  <si>
    <t>HRS16</t>
  </si>
  <si>
    <t>HRS17</t>
  </si>
  <si>
    <t>HRS18</t>
  </si>
  <si>
    <t>HRS19</t>
  </si>
  <si>
    <t>HRS20</t>
  </si>
  <si>
    <t>HRS21</t>
  </si>
  <si>
    <t>HRS22</t>
  </si>
  <si>
    <t>HRS23</t>
  </si>
  <si>
    <t>HRS24</t>
  </si>
  <si>
    <t>HRS25</t>
  </si>
  <si>
    <t>HRS26</t>
  </si>
  <si>
    <t>HRS27</t>
  </si>
  <si>
    <t>HRS28</t>
  </si>
  <si>
    <t>HRS29</t>
  </si>
  <si>
    <t>HRSTotal</t>
  </si>
  <si>
    <t>FacSal1</t>
  </si>
  <si>
    <t>FacSal2</t>
  </si>
  <si>
    <t>FacSal3</t>
  </si>
  <si>
    <t>FacSal4</t>
  </si>
  <si>
    <t>FacSal5</t>
  </si>
  <si>
    <t>FacSal6</t>
  </si>
  <si>
    <t>FacSal7</t>
  </si>
  <si>
    <t>FacSal8</t>
  </si>
  <si>
    <t>FacSal9</t>
  </si>
  <si>
    <t>FacSal10</t>
  </si>
  <si>
    <t>FacSal11</t>
  </si>
  <si>
    <t>FacSal12</t>
  </si>
  <si>
    <t>FacSal13</t>
  </si>
  <si>
    <t>FacSal14</t>
  </si>
  <si>
    <t>FacSal15</t>
  </si>
  <si>
    <t>FacSal16</t>
  </si>
  <si>
    <t>FacSal17</t>
  </si>
  <si>
    <t>FacSal18</t>
  </si>
  <si>
    <t>FacSal19</t>
  </si>
  <si>
    <t>FacSal20</t>
  </si>
  <si>
    <t>FacSal21</t>
  </si>
  <si>
    <t>FacSal22</t>
  </si>
  <si>
    <t>FacSal23</t>
  </si>
  <si>
    <t>FacSal24</t>
  </si>
  <si>
    <t>FacSal25</t>
  </si>
  <si>
    <t>FacSal26</t>
  </si>
  <si>
    <t>FacSal27</t>
  </si>
  <si>
    <t>FacSal28</t>
  </si>
  <si>
    <t>FacSal29</t>
  </si>
  <si>
    <t>FacSalTotal</t>
  </si>
  <si>
    <t>OthSal1</t>
  </si>
  <si>
    <t>OthSal2</t>
  </si>
  <si>
    <t>OthSal3</t>
  </si>
  <si>
    <t>OthSal4</t>
  </si>
  <si>
    <t>OthSal5</t>
  </si>
  <si>
    <t>OthSal6</t>
  </si>
  <si>
    <t>OthSal7</t>
  </si>
  <si>
    <t>OthSal8</t>
  </si>
  <si>
    <t>OthSal9</t>
  </si>
  <si>
    <t>OthSal10</t>
  </si>
  <si>
    <t>OthSal11</t>
  </si>
  <si>
    <t>OthSal12</t>
  </si>
  <si>
    <t>OthSal13</t>
  </si>
  <si>
    <t>OthSal14</t>
  </si>
  <si>
    <t>OthSal15</t>
  </si>
  <si>
    <t>OthSal16</t>
  </si>
  <si>
    <t>OthSal17</t>
  </si>
  <si>
    <t>OthSal18</t>
  </si>
  <si>
    <t>OthSal19</t>
  </si>
  <si>
    <t>OthSal20</t>
  </si>
  <si>
    <t>OthSal21</t>
  </si>
  <si>
    <t>OthSal22</t>
  </si>
  <si>
    <t>OthSal23</t>
  </si>
  <si>
    <t>OthSal24</t>
  </si>
  <si>
    <t>OthSal25</t>
  </si>
  <si>
    <t>OthSal26</t>
  </si>
  <si>
    <t>OthSal27</t>
  </si>
  <si>
    <t>OthSal28</t>
  </si>
  <si>
    <t>OthSal29</t>
  </si>
  <si>
    <t>OthSalTotal</t>
  </si>
  <si>
    <t>Benefits1</t>
  </si>
  <si>
    <t>Benefits2</t>
  </si>
  <si>
    <t>Benefits3</t>
  </si>
  <si>
    <t>Benefits4</t>
  </si>
  <si>
    <t>Benefits5</t>
  </si>
  <si>
    <t>Benefits6</t>
  </si>
  <si>
    <t>Benefits7</t>
  </si>
  <si>
    <t>Benefits8</t>
  </si>
  <si>
    <t>Benefits9</t>
  </si>
  <si>
    <t>Benefits10</t>
  </si>
  <si>
    <t>Benefits11</t>
  </si>
  <si>
    <t>Benefits12</t>
  </si>
  <si>
    <t>Benefits13</t>
  </si>
  <si>
    <t>Benefits14</t>
  </si>
  <si>
    <t>Benefits15</t>
  </si>
  <si>
    <t>Benefits16</t>
  </si>
  <si>
    <t>Benefits17</t>
  </si>
  <si>
    <t>Benefits18</t>
  </si>
  <si>
    <t>Benefits19</t>
  </si>
  <si>
    <t>Benefits20</t>
  </si>
  <si>
    <t>Benefits21</t>
  </si>
  <si>
    <t>Benefits22</t>
  </si>
  <si>
    <t>Benefits23</t>
  </si>
  <si>
    <t>Benefits24</t>
  </si>
  <si>
    <t>Benefits25</t>
  </si>
  <si>
    <t>Benefits26</t>
  </si>
  <si>
    <t>Benefits27</t>
  </si>
  <si>
    <t>Benefits28</t>
  </si>
  <si>
    <t>Benefits29</t>
  </si>
  <si>
    <t>BenefitsTotal</t>
  </si>
  <si>
    <t>OtherOps1</t>
  </si>
  <si>
    <t>OtherOps2</t>
  </si>
  <si>
    <t>OtherOps3</t>
  </si>
  <si>
    <t>OtherOps4</t>
  </si>
  <si>
    <t>OtherOps5</t>
  </si>
  <si>
    <t>OtherOps6</t>
  </si>
  <si>
    <t>OtherOps7</t>
  </si>
  <si>
    <t>OtherOps8</t>
  </si>
  <si>
    <t>OtherOps9</t>
  </si>
  <si>
    <t>OtherOps10</t>
  </si>
  <si>
    <t>OtherOps11</t>
  </si>
  <si>
    <t>OtherOps12</t>
  </si>
  <si>
    <t>OtherOps13</t>
  </si>
  <si>
    <t>OtherOps14</t>
  </si>
  <si>
    <t>OtherOps15</t>
  </si>
  <si>
    <t>OtherOps16</t>
  </si>
  <si>
    <t>OtherOps17</t>
  </si>
  <si>
    <t>OtherOps18</t>
  </si>
  <si>
    <t>OtherOps19</t>
  </si>
  <si>
    <t>OtherOps20</t>
  </si>
  <si>
    <t>OtherOps21</t>
  </si>
  <si>
    <t>OtherOps22</t>
  </si>
  <si>
    <t>OtherOps23</t>
  </si>
  <si>
    <t>OtherOps24</t>
  </si>
  <si>
    <t>OtherOps25</t>
  </si>
  <si>
    <t>OtherOps26</t>
  </si>
  <si>
    <t>OtherOps27</t>
  </si>
  <si>
    <t>OtherOps28</t>
  </si>
  <si>
    <t>OtherOps29</t>
  </si>
  <si>
    <t>OtherOpsTotal</t>
  </si>
  <si>
    <t>DOE1</t>
  </si>
  <si>
    <t>DOE2</t>
  </si>
  <si>
    <t>DOE3</t>
  </si>
  <si>
    <t>DOE4</t>
  </si>
  <si>
    <t>DOE5</t>
  </si>
  <si>
    <t>DOE6</t>
  </si>
  <si>
    <t>DOE7</t>
  </si>
  <si>
    <t>DOE8</t>
  </si>
  <si>
    <t>DOE9</t>
  </si>
  <si>
    <t>DOE10</t>
  </si>
  <si>
    <t>DOE11</t>
  </si>
  <si>
    <t>DOE12</t>
  </si>
  <si>
    <t>DOE13</t>
  </si>
  <si>
    <t>DOE14</t>
  </si>
  <si>
    <t>DOE15</t>
  </si>
  <si>
    <t>DOE16</t>
  </si>
  <si>
    <t>DOE17</t>
  </si>
  <si>
    <t>DOE18</t>
  </si>
  <si>
    <t>DOE19</t>
  </si>
  <si>
    <t>DOE20</t>
  </si>
  <si>
    <t>DOE21</t>
  </si>
  <si>
    <t>DOE22</t>
  </si>
  <si>
    <t>DOE23</t>
  </si>
  <si>
    <t>DOE24</t>
  </si>
  <si>
    <t>DOE25</t>
  </si>
  <si>
    <t>DOE26</t>
  </si>
  <si>
    <t>DOE27</t>
  </si>
  <si>
    <t>DOE28</t>
  </si>
  <si>
    <t>DOE29</t>
  </si>
  <si>
    <t>DOETotal</t>
  </si>
  <si>
    <t>Total1</t>
  </si>
  <si>
    <t>Total2</t>
  </si>
  <si>
    <t>Total3</t>
  </si>
  <si>
    <t>Total4</t>
  </si>
  <si>
    <t>Total5</t>
  </si>
  <si>
    <t>Total6</t>
  </si>
  <si>
    <t>Total7</t>
  </si>
  <si>
    <t>Total8</t>
  </si>
  <si>
    <t>Total9</t>
  </si>
  <si>
    <t>Total10</t>
  </si>
  <si>
    <t>Total11</t>
  </si>
  <si>
    <t>Total12</t>
  </si>
  <si>
    <t>Total13</t>
  </si>
  <si>
    <t>Total14</t>
  </si>
  <si>
    <t>Total15</t>
  </si>
  <si>
    <t>Total16</t>
  </si>
  <si>
    <t>Total17</t>
  </si>
  <si>
    <t>Total18</t>
  </si>
  <si>
    <t>Total19</t>
  </si>
  <si>
    <t>Total20</t>
  </si>
  <si>
    <t>Total21</t>
  </si>
  <si>
    <t>Total22</t>
  </si>
  <si>
    <t>Total23</t>
  </si>
  <si>
    <t>Total24</t>
  </si>
  <si>
    <t>Total25</t>
  </si>
  <si>
    <t>Total26</t>
  </si>
  <si>
    <t>Total27</t>
  </si>
  <si>
    <t>Total28</t>
  </si>
  <si>
    <t>Total29</t>
  </si>
  <si>
    <t>Sec1_Total</t>
  </si>
  <si>
    <t>Comments</t>
  </si>
  <si>
    <t>PartA</t>
  </si>
  <si>
    <t>PartB</t>
  </si>
  <si>
    <t>GrandTotalExpenses</t>
  </si>
  <si>
    <t>AFRDifference</t>
  </si>
  <si>
    <t>Depreciation</t>
  </si>
  <si>
    <t>003539</t>
  </si>
  <si>
    <t>Alvin Community College</t>
  </si>
  <si>
    <t>003540</t>
  </si>
  <si>
    <t>Amarillo College</t>
  </si>
  <si>
    <t>003546</t>
  </si>
  <si>
    <t>Coastal Bend College</t>
  </si>
  <si>
    <t>003549</t>
  </si>
  <si>
    <t>Blinn College</t>
  </si>
  <si>
    <t>003553</t>
  </si>
  <si>
    <t>Cisco Junior College</t>
  </si>
  <si>
    <t>003554</t>
  </si>
  <si>
    <t>Clarendon College</t>
  </si>
  <si>
    <t>003558</t>
  </si>
  <si>
    <t>North Central Texas College</t>
  </si>
  <si>
    <t>003563</t>
  </si>
  <si>
    <t>Del Mar College</t>
  </si>
  <si>
    <t>003568</t>
  </si>
  <si>
    <t>Frank Phillips College</t>
  </si>
  <si>
    <t>003570</t>
  </si>
  <si>
    <t>Grayson County College</t>
  </si>
  <si>
    <t>003572</t>
  </si>
  <si>
    <t>003573</t>
  </si>
  <si>
    <t>Hill College</t>
  </si>
  <si>
    <t>003574</t>
  </si>
  <si>
    <t>003580</t>
  </si>
  <si>
    <t>Kilgore College</t>
  </si>
  <si>
    <t>003582</t>
  </si>
  <si>
    <t>003583</t>
  </si>
  <si>
    <t>Lee College</t>
  </si>
  <si>
    <t>003590</t>
  </si>
  <si>
    <t>003593</t>
  </si>
  <si>
    <t>Navarro College</t>
  </si>
  <si>
    <t>003596</t>
  </si>
  <si>
    <t>Odessa College</t>
  </si>
  <si>
    <t>003600</t>
  </si>
  <si>
    <t>Panola College</t>
  </si>
  <si>
    <t>003601</t>
  </si>
  <si>
    <t>Paris Junior College</t>
  </si>
  <si>
    <t>003603</t>
  </si>
  <si>
    <t>Ranger College</t>
  </si>
  <si>
    <t>003607</t>
  </si>
  <si>
    <t>Alamo Community College District</t>
  </si>
  <si>
    <t>003609</t>
  </si>
  <si>
    <t>San Jacinto College District</t>
  </si>
  <si>
    <t>003611</t>
  </si>
  <si>
    <t>South Plains College</t>
  </si>
  <si>
    <t>003614</t>
  </si>
  <si>
    <t>Southwest Texas Junior College</t>
  </si>
  <si>
    <t>003626</t>
  </si>
  <si>
    <t>003627</t>
  </si>
  <si>
    <t>003628</t>
  </si>
  <si>
    <t>Texarkana College</t>
  </si>
  <si>
    <t>003634</t>
  </si>
  <si>
    <t>003643</t>
  </si>
  <si>
    <t>Texas Southmost College</t>
  </si>
  <si>
    <t>003648</t>
  </si>
  <si>
    <t>Tyler Junior College</t>
  </si>
  <si>
    <t>003662</t>
  </si>
  <si>
    <t>003664</t>
  </si>
  <si>
    <t>Weatherford College</t>
  </si>
  <si>
    <t>003668</t>
  </si>
  <si>
    <t>Wharton County Junior College</t>
  </si>
  <si>
    <t>004003</t>
  </si>
  <si>
    <t>006661</t>
  </si>
  <si>
    <t>Angelina College</t>
  </si>
  <si>
    <t>006662</t>
  </si>
  <si>
    <t>Galveston College</t>
  </si>
  <si>
    <t>007096</t>
  </si>
  <si>
    <t>007857</t>
  </si>
  <si>
    <t>Brazosport College</t>
  </si>
  <si>
    <t>009225</t>
  </si>
  <si>
    <t>009549</t>
  </si>
  <si>
    <t>Western Texas College</t>
  </si>
  <si>
    <t>009797</t>
  </si>
  <si>
    <t>Midland College</t>
  </si>
  <si>
    <t>009932</t>
  </si>
  <si>
    <t>010060</t>
  </si>
  <si>
    <t>Vernon College</t>
  </si>
  <si>
    <t>010387</t>
  </si>
  <si>
    <t>010633</t>
  </si>
  <si>
    <t>Houston Community College System</t>
  </si>
  <si>
    <t>011145</t>
  </si>
  <si>
    <t>012015</t>
  </si>
  <si>
    <t>Austin Community College</t>
  </si>
  <si>
    <t>023154</t>
  </si>
  <si>
    <t>Northeast Texas Community College</t>
  </si>
  <si>
    <t>023485</t>
  </si>
  <si>
    <t>023582</t>
  </si>
  <si>
    <t>023614</t>
  </si>
  <si>
    <t>029150</t>
  </si>
  <si>
    <t>031034</t>
  </si>
  <si>
    <t>South Texas College</t>
  </si>
  <si>
    <t>033965</t>
  </si>
  <si>
    <t>036273</t>
  </si>
  <si>
    <t>Faculty Salaries</t>
  </si>
  <si>
    <t>Departmental Operating Expense</t>
  </si>
  <si>
    <t>Mechanics and Repairers - Diesel, Aviation Mechanics, and Transportation Workers</t>
  </si>
  <si>
    <t>Expense</t>
  </si>
  <si>
    <t>Expense per Contact Hour</t>
  </si>
  <si>
    <t>Health Occupations - Dental Assistants, Medical Lab, and Assoc. Degree Nursing</t>
  </si>
  <si>
    <t>Total Expense by
 Discipline</t>
  </si>
  <si>
    <t>Departmental Operating Expense by
 Discipline</t>
  </si>
  <si>
    <t>Faculty Salaries by
 Discipline</t>
  </si>
  <si>
    <t>Allocated Administrative Expense</t>
  </si>
  <si>
    <t>Not Used</t>
  </si>
  <si>
    <t>Other Allocated Administrative Expenses - Institutional Support - Salaries and Wages</t>
  </si>
  <si>
    <t>Other Allocated Administrative Expenses - Student Services - Salaries and Wages</t>
  </si>
  <si>
    <t>Other Allocated Administrative Expenses - Academic Support - Salaries and Wages</t>
  </si>
  <si>
    <t>Other Allocated Administrative Expenses - Scholarships and Fellowships - Salaries and Wages</t>
  </si>
  <si>
    <t>Other Allocated Administrative Expenses - Total - Salaries and Wages</t>
  </si>
  <si>
    <t>Other Allocated Administrative Expenses - Institutional Support - Other Operating Expenses</t>
  </si>
  <si>
    <t>Other Allocated Administrative Expenses - Student Services - Other Operating Expenses</t>
  </si>
  <si>
    <t>Other Allocated Administrative Expenses - Academic Support - Other Operating Expenses</t>
  </si>
  <si>
    <t>Other Allocated Administrative Expenses - Research - Salaries and Support</t>
  </si>
  <si>
    <t>Other Allocated Administrative Expenses - Scholarships and Fellowships - Other Operating Expenses</t>
  </si>
  <si>
    <t>Other Allocated Administrative Expenses - Equipment Depreciation - Other Operating Expenses</t>
  </si>
  <si>
    <t>Other Allocated Administrative Expenses - Total - Other Operating Expenses</t>
  </si>
  <si>
    <t>Reconciling Items Non-Fundable, Unrestricted Operating Expenses - Public Services - Museums - Salaries and Wages</t>
  </si>
  <si>
    <t>Reconciling Items Non-Fundable, Unrestricted Operating Expenses - Public Services - Non-state Funded Educational Programs - Salaries and Wages</t>
  </si>
  <si>
    <t>Reconciling Items Non-Fundable, Unrestricted Operating Expenses - Public Services - Other Public Services - Salaries and Wages</t>
  </si>
  <si>
    <t>Reconciling Items Non-Fundable, Unrestricted Operating Expenses - Public Services - Total - Salaries and Wages</t>
  </si>
  <si>
    <t>Reconciling Items Non-Fundable, Unrestricted Operating Expenses - Public Services - Non-state Funded Educational Programs - Other Operating Expenses</t>
  </si>
  <si>
    <t>Reconciling Items Non-Fundable, Unrestricted Operating Expenses - Public Services - Museums - Other Operating Expenses</t>
  </si>
  <si>
    <t>Reconciling Items Non-Fundable, Unrestricted Operating Expenses - Public Services - Other Public Services - Other Operating Expenses</t>
  </si>
  <si>
    <t>Reconciling Items Non-Fundable, Unrestricted Operating Expenses - Public Services - Depreciation of Public Service Equipment - Other Operating Expenses</t>
  </si>
  <si>
    <t>Reconciling Items Non-Fundable, Unrestricted Operating Expenses - Public Services - Total - Other Operating Expenses</t>
  </si>
  <si>
    <t xml:space="preserve">Reconciling Items Non-Fundable, Unrestricted Operating Expenses - Public Services - Non-state Funded Educational Programs </t>
  </si>
  <si>
    <t xml:space="preserve">Reconciling Items Non-Fundable, Unrestricted Operating Expenses - Public Services - Museums </t>
  </si>
  <si>
    <t xml:space="preserve">Reconciling Items Non-Fundable, Unrestricted Operating Expenses - Public Services - Other Public Services </t>
  </si>
  <si>
    <t xml:space="preserve">Reconciling Items Non-Fundable, Unrestricted Operating Expenses - Public Services - Depreciation of Public Service Equipment </t>
  </si>
  <si>
    <t xml:space="preserve">Reconciling Items Non-Fundable, Unrestricted Operating Expenses - Public Services - Total </t>
  </si>
  <si>
    <t>Reconciling Items Non-Fundable, Unrestricted Operating Expenses - Operations And Maintenance Of Plant - Physical Plant Services - Salaries And Wages</t>
  </si>
  <si>
    <t>Reconciling Items Non-Fundable, Unrestricted Operating Expenses - Operations And Maintenance Of Plant - Major Repairs and Renovations - Salaries And Wages</t>
  </si>
  <si>
    <t>Reconciling Items Non-Fundable, Unrestricted Operating Expenses - Operations And Maintenance Of Plant - Total - Salaries And Wages</t>
  </si>
  <si>
    <t>Reconciling Items Non-Fundable, Unrestricted Operating Expenses - Operations And Maintenance Of Plant - Staff Benefits</t>
  </si>
  <si>
    <t>Reconciling Items Non-Fundable, Unrestricted Operating Expenses - Operations And Maintenance Of Plant - Physical Plant Services - Other Operating Expense</t>
  </si>
  <si>
    <t>Reconciling Items Non-Fundable, Unrestricted Operating Expenses - Operations And Maintenance Of Plant - Major Repairs and Renovations - Other Operating Expenses</t>
  </si>
  <si>
    <t>Reconciling Items Non-Fundable, Unrestricted Operating Expenses - Operations And Maintenance Of Plant - Depreciation of Physical Plant Equipment - Other Operating Expenses</t>
  </si>
  <si>
    <t>Reconciling Items Non-Fundable, Unrestricted Operating Expenses - Operations And Maintenance Of Plant - Total - Other Operating Expenses</t>
  </si>
  <si>
    <t>Reconciling Items Non-Fundable, Unrestricted Operating Expenses - Operations And Maintenance Of Plant - Physical Plant Services - Total</t>
  </si>
  <si>
    <t>Reconciling Items Non-Fundable, Unrestricted Operating Expenses - Operations And Maintenance Of Plant - Major Repairs and Renovations - Total</t>
  </si>
  <si>
    <t>Reconciling Items Non-Fundable, Unrestricted Operating Expenses - Operations And Maintenance Of Plant - Staff Benefits - Total</t>
  </si>
  <si>
    <t>Reconciling Items Non-Fundable, Unrestricted Operating Expenses - Operations And Maintenance Of Plant - Depreciation of Physical Plant Equipment - Total</t>
  </si>
  <si>
    <t>Reconciling Items Non-Fundable, Unrestricted Operating Expenses - Operations And Maintenance Of Plant - Total</t>
  </si>
  <si>
    <t>Instructional Staff Benefits - Local Paid Benefits</t>
  </si>
  <si>
    <t>Fundable, Unrestricted Operating Expenses - Instructional Programs - 
Agriculture - Contact Hours</t>
  </si>
  <si>
    <t>Fundable, Unrestricted Operating Expenses - Instructional Programs - 
Architecture and Precision Production Trades - Contact Hours</t>
  </si>
  <si>
    <t>Fundable, Unrestricted Operating Expenses - Instructional Programs - 
Biology, Physical Sciences, and Science Technology - Contact Hours</t>
  </si>
  <si>
    <t>Fundable, Unrestricted Operating Expenses - Instructional Programs - 
Business Management, Marketing, and Administrative Services - Contact Hours</t>
  </si>
  <si>
    <t>Fundable, Unrestricted Operating Expenses - Instructional Programs - 
Career Pilot - Contact Hours</t>
  </si>
  <si>
    <t>Fundable, Unrestricted Operating Expenses - Instructional Programs - 
Communications - Contact Hours</t>
  </si>
  <si>
    <t>Fundable, Unrestricted Operating Expenses - Instructional Programs - 
Computer and Information Sciences - Contact Hours</t>
  </si>
  <si>
    <t>Fundable, Unrestricted Operating Expenses - Instructional Programs - 
Construction Trades - Contact Hours</t>
  </si>
  <si>
    <t>Fundable, Unrestricted Operating Expenses - Instructional Programs - 
Consumer and Homemaking Education - Contact Hours</t>
  </si>
  <si>
    <t>Fundable, Unrestricted Operating Expenses - Instructional Programs - 
Engineering - Contact Hours</t>
  </si>
  <si>
    <t>Fundable, Unrestricted Operating Expenses - Instructional Programs - 
Engineering Related - Contact Hours</t>
  </si>
  <si>
    <t>Fundable, Unrestricted Operating Expenses - Instructional Programs - 
English Language, Lit, Philosophy, Humanities, &amp; Interdisciplinary - Contact Hours</t>
  </si>
  <si>
    <t>Fundable, Unrestricted Operating Expenses - Instructional Programs - 
Foreign Languages - Contact Hours</t>
  </si>
  <si>
    <t>Fundable, Unrestricted Operating Expenses - Instructional Programs - 
Health Occupations - Dental Assistants, Medical Lab, and Assoc. Degree Nursing - Contact Hours</t>
  </si>
  <si>
    <t>Fundable, Unrestricted Operating Expenses - Instructional Programs - 
Health Occupations - Dental Hygiene - Contact Hours</t>
  </si>
  <si>
    <t>Fundable, Unrestricted Operating Expenses - Instructional Programs - 
Health Occupations - Other - Contact Hours</t>
  </si>
  <si>
    <t>Fundable, Unrestricted Operating Expenses - Instructional Programs - 
Health Occupations - Respiratory Therapy - Contact Hours</t>
  </si>
  <si>
    <t>Fundable, Unrestricted Operating Expenses - Instructional Programs - 
Health Occupations - Vocational Nursing - Contact Hours</t>
  </si>
  <si>
    <t>Fundable, Unrestricted Operating Expenses - Instructional Programs - 
Mathematics - Contact Hours</t>
  </si>
  <si>
    <t>Fundable, Unrestricted Operating Expenses - Instructional Programs - 
Mechanics and Repairers - Automotive - Contact Hours</t>
  </si>
  <si>
    <t>Fundable, Unrestricted Operating Expenses - Instructional Programs - 
Mechanics and Repairers - Diesel, Aviation Mechanics, and Transportation Workers - Contact Hours</t>
  </si>
  <si>
    <t>Fundable, Unrestricted Operating Expenses - Instructional Programs - 
Mechanics and Repairers - Electronics - Contact Hours</t>
  </si>
  <si>
    <t>Fundable, Unrestricted Operating Expenses - Instructional Programs - 
Physical Education and Fitness - Contact Hours</t>
  </si>
  <si>
    <t>Fundable, Unrestricted Operating Expenses - Instructional Programs - 
Protective Services and Public Administration - Contact Hours</t>
  </si>
  <si>
    <t>Fundable, Unrestricted Operating Expenses - Instructional Programs - 
Psychology, Social Sciences, and History - Contact Hours</t>
  </si>
  <si>
    <t>Fundable, Unrestricted Operating Expenses - Instructional Programs - 
Visual and Performing Arts - Contact Hours</t>
  </si>
  <si>
    <t>Fundable, Unrestricted Operating Expenses - Instructional Programs - 
Developmental Education - Math - Contact Hours</t>
  </si>
  <si>
    <t>Fundable, Unrestricted Operating Expenses - Instructional Programs - 
Developmental Education - Reading/Writing - Contact Hours</t>
  </si>
  <si>
    <t>Fundable, Unrestricted Operating Expenses - Instructional Programs - 
Total - Contact Hours</t>
  </si>
  <si>
    <t>Fundable, Unrestricted Operating Expenses - Instructional Programs - 
Agriculture - Faculty Salaries</t>
  </si>
  <si>
    <t>Fundable, Unrestricted Operating Expenses - Instructional Programs - 
Architecture and Precision Production Trades - Faculty Salaries</t>
  </si>
  <si>
    <t>Fundable, Unrestricted Operating Expenses - Instructional Programs - 
Biology, Physical Sciences, and Science Technology - Faculty Salaries</t>
  </si>
  <si>
    <t>Fundable, Unrestricted Operating Expenses - Instructional Programs - 
Business Management, Marketing, and Administrative Services - Faculty Salaries</t>
  </si>
  <si>
    <t>Fundable, Unrestricted Operating Expenses - Instructional Programs - 
Career Pilot - Faculty Salaries</t>
  </si>
  <si>
    <t>Fundable, Unrestricted Operating Expenses - Instructional Programs - 
Communications - Faculty Salaries</t>
  </si>
  <si>
    <t>Fundable, Unrestricted Operating Expenses - Instructional Programs - 
Computer and Information Sciences - Faculty Salaries</t>
  </si>
  <si>
    <t>Fundable, Unrestricted Operating Expenses - Instructional Programs - 
Construction Trades - Faculty Salaries</t>
  </si>
  <si>
    <t>Fundable, Unrestricted Operating Expenses - Instructional Programs - 
Consumer and Homemaking Education - Faculty Salaries</t>
  </si>
  <si>
    <t>Fundable, Unrestricted Operating Expenses - Instructional Programs - 
Engineering - Faculty Salaries</t>
  </si>
  <si>
    <t>Fundable, Unrestricted Operating Expenses - Instructional Programs - 
Engineering Related - Faculty Salaries</t>
  </si>
  <si>
    <t>Fundable, Unrestricted Operating Expenses - Instructional Programs - 
English Language, Lit, Philosophy, Humanities, &amp; Interdisciplinary - Faculty Salaries</t>
  </si>
  <si>
    <t>Fundable, Unrestricted Operating Expenses - Instructional Programs - 
Foreign Languages - Faculty Salaries</t>
  </si>
  <si>
    <t>Fundable, Unrestricted Operating Expenses - Instructional Programs - 
Health Occupations - Dental Assistants, Medical Lab, and Assoc. Degree Nursing - Faculty Salaries</t>
  </si>
  <si>
    <t>Fundable, Unrestricted Operating Expenses - Instructional Programs - 
Health Occupations - Dental Hygiene - Faculty Salaries</t>
  </si>
  <si>
    <t>Fundable, Unrestricted Operating Expenses - Instructional Programs - 
Health Occupations - Other - Faculty Salaries</t>
  </si>
  <si>
    <t>Fundable, Unrestricted Operating Expenses - Instructional Programs - 
Health Occupations - Respiratory Therapy - Faculty Salaries</t>
  </si>
  <si>
    <t>Fundable, Unrestricted Operating Expenses - Instructional Programs - 
Health Occupations - Vocational Nursing - Faculty Salaries</t>
  </si>
  <si>
    <t>Fundable, Unrestricted Operating Expenses - Instructional Programs - 
Mathematics - Faculty Salaries</t>
  </si>
  <si>
    <t>Fundable, Unrestricted Operating Expenses - Instructional Programs - 
Mechanics and Repairers - Automotive - Faculty Salaries</t>
  </si>
  <si>
    <t>Fundable, Unrestricted Operating Expenses - Instructional Programs - 
Mechanics and Repairers - Diesel, Aviation Mechanics, and Transportation Workers - Faculty Salaries</t>
  </si>
  <si>
    <t>Fundable, Unrestricted Operating Expenses - Instructional Programs - 
Mechanics and Repairers - Electronics - Faculty Salaries</t>
  </si>
  <si>
    <t>Fundable, Unrestricted Operating Expenses - Instructional Programs - 
Physical Education and Fitness - Faculty Salaries</t>
  </si>
  <si>
    <t>Fundable, Unrestricted Operating Expenses - Instructional Programs - 
Protective Services and Public Administration - Faculty Salaries</t>
  </si>
  <si>
    <t>Fundable, Unrestricted Operating Expenses - Instructional Programs - 
Psychology, Social Sciences, and History - Faculty Salaries</t>
  </si>
  <si>
    <t>Fundable, Unrestricted Operating Expenses - Instructional Programs - 
Visual and Performing Arts - Faculty Salaries</t>
  </si>
  <si>
    <t>Fundable, Unrestricted Operating Expenses - Instructional Programs - 
Developmental Education - Math - Faculty Salaries</t>
  </si>
  <si>
    <t>Fundable, Unrestricted Operating Expenses - Instructional Programs - 
Developmental Education - Reading/Writing - Faculty Salaries</t>
  </si>
  <si>
    <t>Fundable, Unrestricted Operating Expenses - Instructional Programs - 
Total - Faculty Salaries</t>
  </si>
  <si>
    <t>Fundable, Unrestricted Operating Expenses - Instructional Programs - 
Agriculture - Other Salaries and Wages</t>
  </si>
  <si>
    <t>Fundable, Unrestricted Operating Expenses - Instructional Programs - 
Architecture and Precision Production Trades - Other Salaries and Wages</t>
  </si>
  <si>
    <t>Fundable, Unrestricted Operating Expenses - Instructional Programs - 
Biology, Physical Sciences, and Science Technology - Other Salaries and Wages</t>
  </si>
  <si>
    <t>Fundable, Unrestricted Operating Expenses - Instructional Programs - 
Business Management, Marketing, and Administrative Services - Other Salaries and Wages</t>
  </si>
  <si>
    <t>Fundable, Unrestricted Operating Expenses - Instructional Programs - 
Career Pilot - Other Salaries and Wages</t>
  </si>
  <si>
    <t>Fundable, Unrestricted Operating Expenses - Instructional Programs - 
Communications - Other Salaries and Wages</t>
  </si>
  <si>
    <t>Fundable, Unrestricted Operating Expenses - Instructional Programs - 
Computer and Information Sciences - Other Salaries and Wages</t>
  </si>
  <si>
    <t>Fundable, Unrestricted Operating Expenses - Instructional Programs - 
Construction Trades - Other Salaries and Wages</t>
  </si>
  <si>
    <t>Fundable, Unrestricted Operating Expenses - Instructional Programs - 
Consumer and Homemaking Education - Other Salaries and Wages</t>
  </si>
  <si>
    <t>Fundable, Unrestricted Operating Expenses - Instructional Programs - 
Engineering - Other Salaries and Wages</t>
  </si>
  <si>
    <t>Fundable, Unrestricted Operating Expenses - Instructional Programs - 
Engineering Related - Other Salaries and Wages</t>
  </si>
  <si>
    <t>Fundable, Unrestricted Operating Expenses - Instructional Programs - 
English Language, Lit, Philosophy, Humanities, &amp; Interdisciplinary - Other Salaries and Wages</t>
  </si>
  <si>
    <t>Fundable, Unrestricted Operating Expenses - Instructional Programs - 
Foreign Languages - Other Salaries and Wages</t>
  </si>
  <si>
    <t>Fundable, Unrestricted Operating Expenses - Instructional Programs - 
Health Occupations - Dental Assistants, Medical Lab, and Assoc. Degree Nursing - Other Salaries and Wages</t>
  </si>
  <si>
    <t>Fundable, Unrestricted Operating Expenses - Instructional Programs - 
Health Occupations - Dental Hygiene - Other Salaries and Wages</t>
  </si>
  <si>
    <t>Fundable, Unrestricted Operating Expenses - Instructional Programs - 
Health Occupations - Other - Other Salaries and Wages</t>
  </si>
  <si>
    <t>Fundable, Unrestricted Operating Expenses - Instructional Programs - 
Health Occupations - Respiratory Therapy - Other Salaries and Wages</t>
  </si>
  <si>
    <t>Fundable, Unrestricted Operating Expenses - Instructional Programs - 
Health Occupations - Vocational Nursing - Other Salaries and Wages</t>
  </si>
  <si>
    <t>Fundable, Unrestricted Operating Expenses - Instructional Programs - 
Mathematics - Other Salaries and Wages</t>
  </si>
  <si>
    <t>Fundable, Unrestricted Operating Expenses - Instructional Programs - 
Mechanics and Repairers - Automotive - Other Salaries and Wages</t>
  </si>
  <si>
    <t>Fundable, Unrestricted Operating Expenses - Instructional Programs - 
Mechanics and Repairers - Diesel, Aviation Mechanics, and Transportation Workers - Other Salaries and Wages</t>
  </si>
  <si>
    <t>Fundable, Unrestricted Operating Expenses - Instructional Programs - 
Mechanics and Repairers - Electronics - Other Salaries and Wages</t>
  </si>
  <si>
    <t>Fundable, Unrestricted Operating Expenses - Instructional Programs - 
Physical Education and Fitness - Other Salaries and Wages</t>
  </si>
  <si>
    <t>Fundable, Unrestricted Operating Expenses - Instructional Programs - 
Protective Services and Public Administration - Other Salaries and Wages</t>
  </si>
  <si>
    <t>Fundable, Unrestricted Operating Expenses - Instructional Programs - 
Psychology, Social Sciences, and History - Other Salaries and Wages</t>
  </si>
  <si>
    <t>Fundable, Unrestricted Operating Expenses - Instructional Programs - 
Visual and Performing Arts - Other Salaries and Wages</t>
  </si>
  <si>
    <t>Fundable, Unrestricted Operating Expenses - Instructional Programs - 
Developmental Education - Math - Other Salaries and Wages</t>
  </si>
  <si>
    <t>Fundable, Unrestricted Operating Expenses - Instructional Programs - 
Developmental Education - Reading/Writing - Other Salaries and Wages</t>
  </si>
  <si>
    <t>Fundable, Unrestricted Operating Expenses - Instructional Programs - 
Total - Other Salaries and Wages</t>
  </si>
  <si>
    <t>Fundable, Unrestricted Operating Expenses - Instructional Programs - 
Agriculture - Staff Benefits</t>
  </si>
  <si>
    <t>Fundable, Unrestricted Operating Expenses - Instructional Programs - 
Architecture and Precision Production Trades - Staff Benefits</t>
  </si>
  <si>
    <t>Fundable, Unrestricted Operating Expenses - Instructional Programs - 
Biology, Physical Sciences, and Science Technology - Staff Benefits</t>
  </si>
  <si>
    <t>Fundable, Unrestricted Operating Expenses - Instructional Programs - 
Business Management, Marketing, and Administrative Services - Staff Benefits</t>
  </si>
  <si>
    <t>Fundable, Unrestricted Operating Expenses - Instructional Programs - 
Career Pilot - Staff Benefits</t>
  </si>
  <si>
    <t>Fundable, Unrestricted Operating Expenses - Instructional Programs - 
Communications - Staff Benefits</t>
  </si>
  <si>
    <t>Fundable, Unrestricted Operating Expenses - Instructional Programs - 
Computer and Information Sciences - Staff Benefits</t>
  </si>
  <si>
    <t>Fundable, Unrestricted Operating Expenses - Instructional Programs - 
Construction Trades - Staff Benefits</t>
  </si>
  <si>
    <t>Fundable, Unrestricted Operating Expenses - Instructional Programs - 
Consumer and Homemaking Education - Staff Benefits</t>
  </si>
  <si>
    <t>Fundable, Unrestricted Operating Expenses - Instructional Programs - 
Engineering - Staff Benefits</t>
  </si>
  <si>
    <t>Fundable, Unrestricted Operating Expenses - Instructional Programs - 
Engineering Related - Staff Benefits</t>
  </si>
  <si>
    <t>Fundable, Unrestricted Operating Expenses - Instructional Programs - 
English Language, Lit, Philosophy, Humanities, &amp; Interdisciplinary - Staff Benefits</t>
  </si>
  <si>
    <t>Fundable, Unrestricted Operating Expenses - Instructional Programs - 
Foreign Languages - Staff Benefits</t>
  </si>
  <si>
    <t>Fundable, Unrestricted Operating Expenses - Instructional Programs - 
Health Occupations - Dental Assistants, Medical Lab, and Assoc. Degree Nursing - Staff Benefits</t>
  </si>
  <si>
    <t>Fundable, Unrestricted Operating Expenses - Instructional Programs - 
Health Occupations - Dental Hygiene - Staff Benefits</t>
  </si>
  <si>
    <t>Fundable, Unrestricted Operating Expenses - Instructional Programs - 
Health Occupations - Other - Staff Benefits</t>
  </si>
  <si>
    <t>Fundable, Unrestricted Operating Expenses - Instructional Programs - 
Health Occupations - Respiratory Therapy - Staff Benefits</t>
  </si>
  <si>
    <t>Fundable, Unrestricted Operating Expenses - Instructional Programs - 
Health Occupations - Vocational Nursing - Staff Benefits</t>
  </si>
  <si>
    <t>Fundable, Unrestricted Operating Expenses - Instructional Programs - 
Mathematics - Staff Benefits</t>
  </si>
  <si>
    <t>Fundable, Unrestricted Operating Expenses - Instructional Programs - 
Mechanics and Repairers - Automotive - Staff Benefits</t>
  </si>
  <si>
    <t>Fundable, Unrestricted Operating Expenses - Instructional Programs - 
Mechanics and Repairers - Diesel, Aviation Mechanics, and Transportation Workers - Staff Benefits</t>
  </si>
  <si>
    <t>Fundable, Unrestricted Operating Expenses - Instructional Programs - 
Mechanics and Repairers - Electronics - Staff Benefits</t>
  </si>
  <si>
    <t>Fundable, Unrestricted Operating Expenses - Instructional Programs - 
Physical Education and Fitness - Staff Benefits</t>
  </si>
  <si>
    <t>Fundable, Unrestricted Operating Expenses - Instructional Programs - 
Protective Services and Public Administration - Staff Benefits</t>
  </si>
  <si>
    <t>Fundable, Unrestricted Operating Expenses - Instructional Programs - 
Psychology, Social Sciences, and History - Staff Benefits</t>
  </si>
  <si>
    <t>Fundable, Unrestricted Operating Expenses - Instructional Programs - 
Visual and Performing Arts - Staff Benefits</t>
  </si>
  <si>
    <t>Fundable, Unrestricted Operating Expenses - Instructional Programs - 
Developmental Education - Math - Staff Benefits</t>
  </si>
  <si>
    <t>Fundable, Unrestricted Operating Expenses - Instructional Programs - 
Developmental Education - Reading/Writing - Staff Benefits</t>
  </si>
  <si>
    <t>Fundable, Unrestricted Operating Expenses - Instructional Programs - 
Total - Staff Benefits</t>
  </si>
  <si>
    <t>Fundable, Unrestricted Operating Expenses - Instructional Programs - 
Agriculture - Other Operating Expense</t>
  </si>
  <si>
    <t>Fundable, Unrestricted Operating Expenses - Instructional Programs - 
Architecture and Precision Production Trades - Other Operating Expense</t>
  </si>
  <si>
    <t>Fundable, Unrestricted Operating Expenses - Instructional Programs - 
Biology, Physical Sciences, and Science Technology - Other Operating Expense</t>
  </si>
  <si>
    <t>Fundable, Unrestricted Operating Expenses - Instructional Programs - 
Business Management, Marketing, and Administrative Services - Other Operating Expense</t>
  </si>
  <si>
    <t>Fundable, Unrestricted Operating Expenses - Instructional Programs - 
Career Pilot - Other Operating Expense</t>
  </si>
  <si>
    <t>Fundable, Unrestricted Operating Expenses - Instructional Programs - 
Communications - Other Operating Expense</t>
  </si>
  <si>
    <t>Fundable, Unrestricted Operating Expenses - Instructional Programs - 
Computer and Information Sciences - Other Operating Expense</t>
  </si>
  <si>
    <t>Fundable, Unrestricted Operating Expenses - Instructional Programs - 
Construction Trades - Other Operating Expense</t>
  </si>
  <si>
    <t>Fundable, Unrestricted Operating Expenses - Instructional Programs - 
Consumer and Homemaking Education - Other Operating Expense</t>
  </si>
  <si>
    <t>Fundable, Unrestricted Operating Expenses - Instructional Programs - 
Engineering - Other Operating Expense</t>
  </si>
  <si>
    <t>Fundable, Unrestricted Operating Expenses - Instructional Programs - 
Engineering Related - Other Operating Expense</t>
  </si>
  <si>
    <t>Fundable, Unrestricted Operating Expenses - Instructional Programs - 
English Language, Lit, Philosophy, Humanities, &amp; Interdisciplinary - Other Operating Expense</t>
  </si>
  <si>
    <t>Fundable, Unrestricted Operating Expenses - Instructional Programs - 
Foreign Languages - Other Operating Expense</t>
  </si>
  <si>
    <t>Fundable, Unrestricted Operating Expenses - Instructional Programs - 
Health Occupations - Dental Assistants, Medical Lab, and Assoc. Degree Nursing - Other Operating Expense</t>
  </si>
  <si>
    <t>Fundable, Unrestricted Operating Expenses - Instructional Programs - 
Health Occupations - Dental Hygiene - Other Operating Expense</t>
  </si>
  <si>
    <t>Fundable, Unrestricted Operating Expenses - Instructional Programs - 
Health Occupations - Other - Other Operating Expense</t>
  </si>
  <si>
    <t>Fundable, Unrestricted Operating Expenses - Instructional Programs - 
Health Occupations - Respiratory Therapy - Other Operating Expense</t>
  </si>
  <si>
    <t>Fundable, Unrestricted Operating Expenses - Instructional Programs - 
Health Occupations - Vocational Nursing - Other Operating Expense</t>
  </si>
  <si>
    <t>Fundable, Unrestricted Operating Expenses - Instructional Programs - 
Mathematics - Other Operating Expense</t>
  </si>
  <si>
    <t>Fundable, Unrestricted Operating Expenses - Instructional Programs - 
Mechanics and Repairers - Automotive - Other Operating Expense</t>
  </si>
  <si>
    <t>Fundable, Unrestricted Operating Expenses - Instructional Programs - 
Mechanics and Repairers - Diesel, Aviation Mechanics, and Transportation Workers - Other Operating Expense</t>
  </si>
  <si>
    <t>Fundable, Unrestricted Operating Expenses - Instructional Programs - 
Mechanics and Repairers - Electronics - Other Operating Expense</t>
  </si>
  <si>
    <t>Fundable, Unrestricted Operating Expenses - Instructional Programs - 
Physical Education and Fitness - Other Operating Expense</t>
  </si>
  <si>
    <t>Fundable, Unrestricted Operating Expenses - Instructional Programs - 
Protective Services and Public Administration - Other Operating Expense</t>
  </si>
  <si>
    <t>Fundable, Unrestricted Operating Expenses - Instructional Programs - 
Psychology, Social Sciences, and History - Other Operating Expense</t>
  </si>
  <si>
    <t>Fundable, Unrestricted Operating Expenses - Instructional Programs - 
Visual and Performing Arts - Other Operating Expense</t>
  </si>
  <si>
    <t>Fundable, Unrestricted Operating Expenses - Instructional Programs - 
Developmental Education - Math - Other Operating Expense</t>
  </si>
  <si>
    <t>Fundable, Unrestricted Operating Expenses - Instructional Programs - 
Developmental Education - Reading/Writing - Other Operating Expense</t>
  </si>
  <si>
    <t>Fundable, Unrestricted Operating Expenses - Instructional Programs - 
Total - Other Operating Expense</t>
  </si>
  <si>
    <t>Fundable, Unrestricted Operating Expenses - Instructional Programs - 
Agriculture - Departmental Operating Expense</t>
  </si>
  <si>
    <t>Fundable, Unrestricted Operating Expenses - Instructional Programs - 
Architecture and Precision Production Trades - Departmental Operating Expense</t>
  </si>
  <si>
    <t>Fundable, Unrestricted Operating Expenses - Instructional Programs - 
Biology, Physical Sciences, and Science Technology - Departmental Operating Expense</t>
  </si>
  <si>
    <t>Fundable, Unrestricted Operating Expenses - Instructional Programs - 
Business Management, Marketing, and Administrative Services - Departmental Operating Expense</t>
  </si>
  <si>
    <t>Fundable, Unrestricted Operating Expenses - Instructional Programs - 
Career Pilot - Departmental Operating Expense</t>
  </si>
  <si>
    <t>Fundable, Unrestricted Operating Expenses - Instructional Programs - 
Communications - Departmental Operating Expense</t>
  </si>
  <si>
    <t>Fundable, Unrestricted Operating Expenses - Instructional Programs - 
Computer and Information Sciences - Departmental Operating Expense</t>
  </si>
  <si>
    <t>Fundable, Unrestricted Operating Expenses - Instructional Programs - 
Construction Trades - Departmental Operating Expense</t>
  </si>
  <si>
    <t>Fundable, Unrestricted Operating Expenses - Instructional Programs - 
Consumer and Homemaking Education - Departmental Operating Expense</t>
  </si>
  <si>
    <t>Fundable, Unrestricted Operating Expenses - Instructional Programs - 
Engineering - Departmental Operating Expense</t>
  </si>
  <si>
    <t>Fundable, Unrestricted Operating Expenses - Instructional Programs - 
Engineering Related - Departmental Operating Expense</t>
  </si>
  <si>
    <t>Fundable, Unrestricted Operating Expenses - Instructional Programs - 
English Language, Lit, Philosophy, Humanities, &amp; Interdisciplinary - Departmental Operating Expense</t>
  </si>
  <si>
    <t>Fundable, Unrestricted Operating Expenses - Instructional Programs - 
Foreign Languages - Departmental Operating Expense</t>
  </si>
  <si>
    <t>Fundable, Unrestricted Operating Expenses - Instructional Programs - 
Health Occupations - Dental Assistants, Medical Lab, and Assoc. Degree Nursing - Departmental Operating Expense</t>
  </si>
  <si>
    <t>Fundable, Unrestricted Operating Expenses - Instructional Programs - 
Health Occupations - Dental Hygiene - Departmental Operating Expense</t>
  </si>
  <si>
    <t>Fundable, Unrestricted Operating Expenses - Instructional Programs - 
Health Occupations - Other - Departmental Operating Expense</t>
  </si>
  <si>
    <t>Fundable, Unrestricted Operating Expenses - Instructional Programs - 
Health Occupations - Respiratory Therapy - Departmental Operating Expense</t>
  </si>
  <si>
    <t>Fundable, Unrestricted Operating Expenses - Instructional Programs - 
Health Occupations - Vocational Nursing - Departmental Operating Expense</t>
  </si>
  <si>
    <t>Fundable, Unrestricted Operating Expenses - Instructional Programs - 
Mathematics - Departmental Operating Expense</t>
  </si>
  <si>
    <t>Fundable, Unrestricted Operating Expenses - Instructional Programs - 
Mechanics and Repairers - Automotive - Departmental Operating Expense</t>
  </si>
  <si>
    <t>Fundable, Unrestricted Operating Expenses - Instructional Programs - 
Mechanics and Repairers - Diesel, Aviation Mechanics, and Transportation Workers - Departmental Operating Expense</t>
  </si>
  <si>
    <t>Fundable, Unrestricted Operating Expenses - Instructional Programs - 
Mechanics and Repairers - Electronics - Departmental Operating Expense</t>
  </si>
  <si>
    <t>Fundable, Unrestricted Operating Expenses - Instructional Programs - 
Physical Education and Fitness - Departmental Operating Expense</t>
  </si>
  <si>
    <t>Fundable, Unrestricted Operating Expenses - Instructional Programs - 
Protective Services and Public Administration - Departmental Operating Expense</t>
  </si>
  <si>
    <t>Fundable, Unrestricted Operating Expenses - Instructional Programs - 
Psychology, Social Sciences, and History - Departmental Operating Expense</t>
  </si>
  <si>
    <t>Fundable, Unrestricted Operating Expenses - Instructional Programs - 
Visual and Performing Arts - Departmental Operating Expense</t>
  </si>
  <si>
    <t>Fundable, Unrestricted Operating Expenses - Instructional Programs - 
Developmental Education - Math - Departmental Operating Expense</t>
  </si>
  <si>
    <t>Fundable, Unrestricted Operating Expenses - Instructional Programs - 
Developmental Education - Reading/Writing - Departmental Operating Expense</t>
  </si>
  <si>
    <t>Fundable, Unrestricted Operating Expenses - Instructional Programs - 
Total - Departmental Operating Expense</t>
  </si>
  <si>
    <t>Fundable, Unrestricted Operating Expenses - Instructional Programs - 
Agriculture - Total</t>
  </si>
  <si>
    <t>Fundable, Unrestricted Operating Expenses - Instructional Programs - 
Architecture and Precision Production Trades - Total</t>
  </si>
  <si>
    <t>Fundable, Unrestricted Operating Expenses - Instructional Programs - 
Biology, Physical Sciences, and Science Technology - Total</t>
  </si>
  <si>
    <t>Fundable, Unrestricted Operating Expenses - Instructional Programs - 
Business Management, Marketing, and Administrative Services - Total</t>
  </si>
  <si>
    <t>Fundable, Unrestricted Operating Expenses - Instructional Programs - 
Career Pilot - Total</t>
  </si>
  <si>
    <t>Fundable, Unrestricted Operating Expenses - Instructional Programs - 
Communications - Total</t>
  </si>
  <si>
    <t>Fundable, Unrestricted Operating Expenses - Instructional Programs - 
Computer and Information Sciences - Total</t>
  </si>
  <si>
    <t>Fundable, Unrestricted Operating Expenses - Instructional Programs - 
Construction Trades - Total</t>
  </si>
  <si>
    <t>Fundable, Unrestricted Operating Expenses - Instructional Programs - 
Consumer and Homemaking Education - Total</t>
  </si>
  <si>
    <t>Fundable, Unrestricted Operating Expenses - Instructional Programs - 
Engineering - Total</t>
  </si>
  <si>
    <t>Fundable, Unrestricted Operating Expenses - Instructional Programs - 
Engineering Related - Total</t>
  </si>
  <si>
    <t>Fundable, Unrestricted Operating Expenses - Instructional Programs - 
English Language, Lit, Philosophy, Humanities, &amp; Interdisciplinary - Total</t>
  </si>
  <si>
    <t>Fundable, Unrestricted Operating Expenses - Instructional Programs - 
Foreign Languages - Total</t>
  </si>
  <si>
    <t>Fundable, Unrestricted Operating Expenses - Instructional Programs - 
Health Occupations - Dental Assistants, Medical Lab, and Assoc. Degree Nursing - Total</t>
  </si>
  <si>
    <t>Fundable, Unrestricted Operating Expenses - Instructional Programs - 
Health Occupations - Dental Hygiene - Total</t>
  </si>
  <si>
    <t>Fundable, Unrestricted Operating Expenses - Instructional Programs - 
Health Occupations - Other - Total</t>
  </si>
  <si>
    <t>Fundable, Unrestricted Operating Expenses - Instructional Programs - 
Health Occupations - Respiratory Therapy - Total</t>
  </si>
  <si>
    <t>Fundable, Unrestricted Operating Expenses - Instructional Programs - 
Health Occupations - Vocational Nursing - Total</t>
  </si>
  <si>
    <t>Fundable, Unrestricted Operating Expenses - Instructional Programs - 
Mathematics - Total</t>
  </si>
  <si>
    <t>Fundable, Unrestricted Operating Expenses - Instructional Programs - 
Mechanics and Repairers - Automotive - Total</t>
  </si>
  <si>
    <t>Fundable, Unrestricted Operating Expenses - Instructional Programs - 
Mechanics and Repairers - Diesel, Aviation Mechanics, and Transportation Workers - Total</t>
  </si>
  <si>
    <t>Fundable, Unrestricted Operating Expenses - Instructional Programs - 
Mechanics and Repairers - Electronics - Total</t>
  </si>
  <si>
    <t>Fundable, Unrestricted Operating Expenses - Instructional Programs - 
Physical Education and Fitness - Total</t>
  </si>
  <si>
    <t>Fundable, Unrestricted Operating Expenses - Instructional Programs - 
Protective Services and Public Administration - Total</t>
  </si>
  <si>
    <t>Fundable, Unrestricted Operating Expenses - Instructional Programs - 
Psychology, Social Sciences, and History - Total</t>
  </si>
  <si>
    <t>Fundable, Unrestricted Operating Expenses - Instructional Programs - 
Visual and Performing Arts - Total</t>
  </si>
  <si>
    <t>Fundable, Unrestricted Operating Expenses - Instructional Programs - 
Developmental Education - Math - Total</t>
  </si>
  <si>
    <t>Fundable, Unrestricted Operating Expenses - Instructional Programs - 
Developmental Education - Reading/Writing - Total</t>
  </si>
  <si>
    <t>Fundable, Unrestricted Operating Expenses - Instructional Programs - 
Total - Total</t>
  </si>
  <si>
    <t>Depreciation Expense - Equipment and Furniture - AFR Schedule B</t>
  </si>
  <si>
    <t>Reconciliation Difference</t>
  </si>
  <si>
    <t>Total Unrestricted Educational Activities - AFR Schedule B</t>
  </si>
  <si>
    <t>Website Field Name</t>
  </si>
  <si>
    <t>Section and Part</t>
  </si>
  <si>
    <t>Model Address</t>
  </si>
  <si>
    <t>D104</t>
  </si>
  <si>
    <t>D98</t>
  </si>
  <si>
    <t>D99</t>
  </si>
  <si>
    <t>D100</t>
  </si>
  <si>
    <t>D101</t>
  </si>
  <si>
    <t>D102</t>
  </si>
  <si>
    <t>D103</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</si>
  <si>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</si>
  <si>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</si>
  <si>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</si>
  <si>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</si>
  <si>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</si>
  <si>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</si>
  <si>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</si>
  <si>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</si>
  <si>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</si>
  <si>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</si>
  <si>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</si>
  <si>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</si>
  <si>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</si>
  <si>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</si>
  <si>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</si>
  <si>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</si>
  <si>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</si>
  <si>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</si>
  <si>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</si>
  <si>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</si>
  <si>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</si>
  <si>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</si>
  <si>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</si>
  <si>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</si>
  <si>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</si>
  <si>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</si>
  <si>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</si>
  <si>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</si>
  <si>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</si>
  <si>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</si>
  <si>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</si>
  <si>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</si>
  <si>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</si>
  <si>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</si>
  <si>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</si>
  <si>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</si>
  <si>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</si>
  <si>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</si>
  <si>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</si>
  <si>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</si>
  <si>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</si>
  <si>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</si>
  <si>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</si>
  <si>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</si>
  <si>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</si>
  <si>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</si>
  <si>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</si>
  <si>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</si>
  <si>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</si>
  <si>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</si>
  <si>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</si>
  <si>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</si>
  <si>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</si>
  <si>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</si>
  <si>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</si>
  <si>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</si>
  <si>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</si>
  <si>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</si>
  <si>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</si>
  <si>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</si>
  <si>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</si>
  <si>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</si>
  <si>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</si>
  <si>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</si>
  <si>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</si>
  <si>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</si>
  <si>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</si>
  <si>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</si>
  <si>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</si>
  <si>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</si>
  <si>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</si>
  <si>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</si>
  <si>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</si>
  <si>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</si>
  <si>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</si>
  <si>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</si>
  <si>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</si>
  <si>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</si>
  <si>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</si>
  <si>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</si>
  <si>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</si>
  <si>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</si>
  <si>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</si>
  <si>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</si>
  <si>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I36</t>
  </si>
  <si>
    <t>I37</t>
  </si>
  <si>
    <t>I38</t>
  </si>
  <si>
    <t>I39</t>
  </si>
  <si>
    <t>I40</t>
  </si>
  <si>
    <t>I41</t>
  </si>
  <si>
    <t>I42</t>
  </si>
  <si>
    <t>I43</t>
  </si>
  <si>
    <t>I44</t>
  </si>
  <si>
    <t>I45</t>
  </si>
  <si>
    <t>I46</t>
  </si>
  <si>
    <t>I47</t>
  </si>
  <si>
    <t>I48</t>
  </si>
  <si>
    <t>I49</t>
  </si>
  <si>
    <t>I50</t>
  </si>
  <si>
    <t>I51</t>
  </si>
  <si>
    <t>I52</t>
  </si>
  <si>
    <t>I53</t>
  </si>
  <si>
    <t>I54</t>
  </si>
  <si>
    <t>I55</t>
  </si>
  <si>
    <t>I56</t>
  </si>
  <si>
    <t>I57</t>
  </si>
  <si>
    <t>I58</t>
  </si>
  <si>
    <t>I59</t>
  </si>
  <si>
    <t>I60</t>
  </si>
  <si>
    <t>I61</t>
  </si>
  <si>
    <t>I62</t>
  </si>
  <si>
    <t>I63</t>
  </si>
  <si>
    <t>I64</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</si>
  <si>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</si>
  <si>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</si>
  <si>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</si>
  <si>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</si>
  <si>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</si>
  <si>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</si>
  <si>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</si>
  <si>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</si>
  <si>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</si>
  <si>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</si>
  <si>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</si>
  <si>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</si>
  <si>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</si>
  <si>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</si>
  <si>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</si>
  <si>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</si>
  <si>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</si>
  <si>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</si>
  <si>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</si>
  <si>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</si>
  <si>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</si>
  <si>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</si>
  <si>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</si>
  <si>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</si>
  <si>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</si>
  <si>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</si>
  <si>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</si>
  <si>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</si>
  <si>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</si>
  <si>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</si>
  <si>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</si>
  <si>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</si>
  <si>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</si>
  <si>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</si>
  <si>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</si>
  <si>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</si>
  <si>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</si>
  <si>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</si>
  <si>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</si>
  <si>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</si>
  <si>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</si>
  <si>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</si>
  <si>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</si>
  <si>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</si>
  <si>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</si>
  <si>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</si>
  <si>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</si>
  <si>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</si>
  <si>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</si>
  <si>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</si>
  <si>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</si>
  <si>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</si>
  <si>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</si>
  <si>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</si>
  <si>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</si>
  <si>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</si>
  <si>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Total Expenses</t>
  </si>
  <si>
    <t>Total Fundable Expenses</t>
  </si>
  <si>
    <t>Section 1 Comments</t>
  </si>
  <si>
    <t>Other Allocated Administrative Expenses - Institutional Support - Total</t>
  </si>
  <si>
    <t>Other Allocated Administrative Expenses - Student Services - Total</t>
  </si>
  <si>
    <t>Other Allocated Administrative Expenses - Academic Support - Total</t>
  </si>
  <si>
    <t>Other Allocated Administrative Expenses - Research - Total</t>
  </si>
  <si>
    <t>Other Allocated Administrative Expenses - Scholarships and Fellowships - Total</t>
  </si>
  <si>
    <t>Other Allocated Administrative Expenses - Equipment Depreciation - Total</t>
  </si>
  <si>
    <t>Other Fundable Staff Benefits Excluding Instructional (Section 1) and Physical Plant (Section 5) Local</t>
  </si>
  <si>
    <t>Other Allocated Administrative Expenses - Total</t>
  </si>
  <si>
    <t>Website Password</t>
  </si>
  <si>
    <t>Certification Date</t>
  </si>
  <si>
    <t>Last Modification Date</t>
  </si>
  <si>
    <t>Staff Notes</t>
  </si>
  <si>
    <t>Institution Name</t>
  </si>
  <si>
    <t>Institution Contact</t>
  </si>
  <si>
    <t>Institution Contact Title</t>
  </si>
  <si>
    <t>Institution Contact Phone</t>
  </si>
  <si>
    <t>Institution Contact Email</t>
  </si>
  <si>
    <t>FICE Code</t>
  </si>
  <si>
    <t>Password Page</t>
  </si>
  <si>
    <t>Coded</t>
  </si>
  <si>
    <t>Unknown</t>
  </si>
  <si>
    <t>Contact Information</t>
  </si>
  <si>
    <t>Part A Section 1</t>
  </si>
  <si>
    <t>Part A Section 2</t>
  </si>
  <si>
    <t>Part A Section 3</t>
  </si>
  <si>
    <t>Part B Section 4</t>
  </si>
  <si>
    <t>Part B Section 5</t>
  </si>
  <si>
    <t>Part A</t>
  </si>
  <si>
    <t>Part B</t>
  </si>
  <si>
    <t>All</t>
  </si>
  <si>
    <t>Unrestricted - Educational Activities</t>
  </si>
  <si>
    <t>Instruction</t>
  </si>
  <si>
    <t>Public Service</t>
  </si>
  <si>
    <t>Operation and Maintenance of Plant</t>
  </si>
  <si>
    <t>Salaries and Wages</t>
  </si>
  <si>
    <t>Other Expenses</t>
  </si>
  <si>
    <t>Annual Financial Report - Schedule B</t>
  </si>
  <si>
    <t>Other</t>
  </si>
  <si>
    <t>Depreciation Expense - Equipment</t>
  </si>
  <si>
    <t xml:space="preserve">Each year, the Texas Higher Education Coordinating Board revises the Texas Public Community and Technical Colleges Expense per Contact Hour Rates used in its Instruction and Operations Formula Funding Recommendation to the Legislative Budget Board (LBB).  The Report of Fundable Operating Expenses (RFOE),  completed by the institutions, collects departmental operating expense, faculty salaries, institutional support, student services, academic support, research, scholarships and fellowships, equipment depreciation, and local benefits for input into this summary using Annual Financial Report (AFR) Schedule B, which ties to the AFR Statement of Revenues, Expenses and Changes in Net Assets (SRECNA). The RFOE subcategorizes the expenditures collected in Schedule B funded with unrestricted funds, totals them for all institutions, and divides them by the statewide contact hours to determine rates by discipline. </t>
  </si>
  <si>
    <t>Rate History</t>
  </si>
  <si>
    <t>Expense per Contact Hour by
 Discipline</t>
  </si>
  <si>
    <t>Year over Year Change</t>
  </si>
  <si>
    <t>College Of The Mainland</t>
  </si>
  <si>
    <t>Mclennan Community College</t>
  </si>
  <si>
    <t>TSTC-Harlingen</t>
  </si>
  <si>
    <t>TSTC-West Texas</t>
  </si>
  <si>
    <t>TSTC-Marshall</t>
  </si>
  <si>
    <t>TSTC-Waco</t>
  </si>
  <si>
    <t>Lamar-IOT</t>
  </si>
  <si>
    <t>Lamar-Orange</t>
  </si>
  <si>
    <t>Lamar-Port Arthur</t>
  </si>
  <si>
    <t>Institution</t>
  </si>
  <si>
    <t>Discipline</t>
  </si>
  <si>
    <t>All Disciplines</t>
  </si>
  <si>
    <t>Average</t>
  </si>
  <si>
    <t>Median</t>
  </si>
  <si>
    <t>Average (Excluding zero values)</t>
  </si>
  <si>
    <t>High</t>
  </si>
  <si>
    <t>Low (Excluding zero values)</t>
  </si>
  <si>
    <t>Median (Excluding zero values)</t>
  </si>
  <si>
    <t>Discipline Summary of Expense per Contact Hour by Institution</t>
  </si>
  <si>
    <t>AG</t>
  </si>
  <si>
    <t>ARCH</t>
  </si>
  <si>
    <t>AG - Agriculture</t>
  </si>
  <si>
    <t>ARCH - Architecture and Precision Production Trades</t>
  </si>
  <si>
    <t>BA - Business Management, Marketing, and Administrative Services</t>
  </si>
  <si>
    <t>SCI - Biology, Physical Sciences, and Science Technology</t>
  </si>
  <si>
    <t>CP - Career Pilot</t>
  </si>
  <si>
    <t>COMM - Communications</t>
  </si>
  <si>
    <t>CS - Computer and Information Sciences</t>
  </si>
  <si>
    <t>CNSTR - Construction Trades</t>
  </si>
  <si>
    <t>HE - Consumer and Homemaking Education</t>
  </si>
  <si>
    <t>ENG - Engineering</t>
  </si>
  <si>
    <t>LA - English Language, Lit, Philosophy, Humanities, &amp; Interdisciplinary</t>
  </si>
  <si>
    <t>FL - Foreign Languages</t>
  </si>
  <si>
    <t>HODA - Health Occupations - Dental Assistants, Medical Lab, and Assoc. Degree Nursing</t>
  </si>
  <si>
    <t>HODH - Health Occupations - Dental Hygiene</t>
  </si>
  <si>
    <t>HOO - Health Occupations - Other</t>
  </si>
  <si>
    <t>HORT - Health Occupations - Respiratory Therapy</t>
  </si>
  <si>
    <t>NUR - Health Occupations - Vocational Nursing</t>
  </si>
  <si>
    <t>MATH - Mathematics</t>
  </si>
  <si>
    <t>AUTO - Mechanics and Repairers - Automotive</t>
  </si>
  <si>
    <t>MECH - Mechanics and Repairers - Diesel, Aviation Mechanics, and Transportation Workers</t>
  </si>
  <si>
    <t>ELECT - Mechanics and Repairers - Electronics</t>
  </si>
  <si>
    <t>PE - Physical Education and Fitness</t>
  </si>
  <si>
    <t>PA - Protective Services and Public Administration</t>
  </si>
  <si>
    <t>SS - Psychology, Social Sciences, and History</t>
  </si>
  <si>
    <t>FA - Visual and Performing Arts</t>
  </si>
  <si>
    <t>DEM - Developmental Education - Math</t>
  </si>
  <si>
    <t>DER - Developmental Education - Reading/Writing</t>
  </si>
  <si>
    <t>Total - All Disciplines</t>
  </si>
  <si>
    <t>SCI</t>
  </si>
  <si>
    <t>BA</t>
  </si>
  <si>
    <t>CP</t>
  </si>
  <si>
    <t>COMM</t>
  </si>
  <si>
    <t>CS</t>
  </si>
  <si>
    <t>CNSTR</t>
  </si>
  <si>
    <t>HE</t>
  </si>
  <si>
    <t>ENG</t>
  </si>
  <si>
    <t>ENGR - Engineering Related</t>
  </si>
  <si>
    <t>ENGR</t>
  </si>
  <si>
    <t>LA</t>
  </si>
  <si>
    <t>FL</t>
  </si>
  <si>
    <t>HODA</t>
  </si>
  <si>
    <t>HODH</t>
  </si>
  <si>
    <t>HOO</t>
  </si>
  <si>
    <t>HORT</t>
  </si>
  <si>
    <t>NUR</t>
  </si>
  <si>
    <t>MATH</t>
  </si>
  <si>
    <t>AUTO</t>
  </si>
  <si>
    <t>MECH</t>
  </si>
  <si>
    <t>ELECT</t>
  </si>
  <si>
    <t>PE</t>
  </si>
  <si>
    <t>PA</t>
  </si>
  <si>
    <t>SS</t>
  </si>
  <si>
    <t>FA</t>
  </si>
  <si>
    <t>DEM</t>
  </si>
  <si>
    <t>DER</t>
  </si>
  <si>
    <t>Instructional Support</t>
  </si>
  <si>
    <t>Total Non-fundable Expenses</t>
  </si>
  <si>
    <t>This calculation is completed to indicate the relative change in financing assuming the legislature were to fund the institutions at the same total as the previous biennium. The percent funded used against the current rates is adjusted so that the total funded for all institutions is equal to the previous biennium's percent funded.</t>
  </si>
  <si>
    <t>Percent Change</t>
  </si>
  <si>
    <t>Total FTSE</t>
  </si>
  <si>
    <t>Total Expenditure</t>
  </si>
  <si>
    <t>Average Expenditure per FTSE</t>
  </si>
  <si>
    <t>Total for Instutions Reporting Expense</t>
  </si>
  <si>
    <t>Standard Deviation</t>
  </si>
  <si>
    <t>Summary of Expense divided  Contact Hours</t>
  </si>
  <si>
    <t>Average Total Expenditure per Full-Time Student Equivalent (FTSE)</t>
  </si>
  <si>
    <t>Discipline Analysis by Institution</t>
  </si>
  <si>
    <t>Percent of Rates to Maintain Funding Total</t>
  </si>
  <si>
    <t>Percent of Rates Funded</t>
  </si>
  <si>
    <t>Annual State Funded Semester Credit Hours</t>
  </si>
  <si>
    <t>Alvin</t>
  </si>
  <si>
    <t>Austin</t>
  </si>
  <si>
    <t>Mclennan</t>
  </si>
  <si>
    <t>Northeast Texas</t>
  </si>
  <si>
    <t>Cisco</t>
  </si>
  <si>
    <t>Laredo</t>
  </si>
  <si>
    <t>Paris</t>
  </si>
  <si>
    <t>Southwest Texas</t>
  </si>
  <si>
    <t>Temple</t>
  </si>
  <si>
    <t>Tyler</t>
  </si>
  <si>
    <t>Amarillo</t>
  </si>
  <si>
    <t>Angelina</t>
  </si>
  <si>
    <t>Blinn</t>
  </si>
  <si>
    <t>Brazosport</t>
  </si>
  <si>
    <t>Clarendon</t>
  </si>
  <si>
    <t>Coastal Bend</t>
  </si>
  <si>
    <t>Del Mar</t>
  </si>
  <si>
    <t>Frank Phillips</t>
  </si>
  <si>
    <t>Galveston</t>
  </si>
  <si>
    <t>Hill</t>
  </si>
  <si>
    <t xml:space="preserve">Howard </t>
  </si>
  <si>
    <t>Kilgore</t>
  </si>
  <si>
    <t>Lee</t>
  </si>
  <si>
    <t>Lonestar</t>
  </si>
  <si>
    <t>Midland</t>
  </si>
  <si>
    <t>Navarro</t>
  </si>
  <si>
    <t>North Central Texas</t>
  </si>
  <si>
    <t>Odessa</t>
  </si>
  <si>
    <t>Panola</t>
  </si>
  <si>
    <t>Ranger</t>
  </si>
  <si>
    <t>South Plains</t>
  </si>
  <si>
    <t>South Texas</t>
  </si>
  <si>
    <t>Texarkana</t>
  </si>
  <si>
    <t>Texas Southmost</t>
  </si>
  <si>
    <t>Vernon</t>
  </si>
  <si>
    <t>Victoria</t>
  </si>
  <si>
    <t>Weatherford</t>
  </si>
  <si>
    <t>Western Texas</t>
  </si>
  <si>
    <t>Collin</t>
  </si>
  <si>
    <t>Dallas</t>
  </si>
  <si>
    <t>El Paso</t>
  </si>
  <si>
    <t>Houston</t>
  </si>
  <si>
    <t>San Jacinto</t>
  </si>
  <si>
    <t>Tarrant</t>
  </si>
  <si>
    <t>Trinity Valley</t>
  </si>
  <si>
    <t>Wharton</t>
  </si>
  <si>
    <t>Alamo</t>
  </si>
  <si>
    <t>Central Texas</t>
  </si>
  <si>
    <t>Grayson</t>
  </si>
  <si>
    <t>Community and Technical Colleges, Report of Fundable Operating Expenses, Fiscal Year (FY) 2012</t>
  </si>
  <si>
    <t>Contact Hours for fall 2011 and spring and summer 2012</t>
  </si>
  <si>
    <t>per Hour</t>
  </si>
  <si>
    <t>ACC001</t>
  </si>
  <si>
    <t/>
  </si>
  <si>
    <t>FORDOG</t>
  </si>
  <si>
    <t>Terry Berg</t>
  </si>
  <si>
    <t>Vice-President of Business Affairs</t>
  </si>
  <si>
    <t>(806) 371-5008</t>
  </si>
  <si>
    <t>tlberg@actx.edu</t>
  </si>
  <si>
    <t>NEBGAB</t>
  </si>
  <si>
    <t>Ruth L. Cude</t>
  </si>
  <si>
    <t>Dean of Administrative Services</t>
  </si>
  <si>
    <t>(361) 354-2267</t>
  </si>
  <si>
    <t>rcude@coastalbend.edu</t>
  </si>
  <si>
    <t>FINEEL</t>
  </si>
  <si>
    <t>Thomas J. Brazzel</t>
  </si>
  <si>
    <t>Director of Accounting</t>
  </si>
  <si>
    <t>(979) 830-4041</t>
  </si>
  <si>
    <t>thomas.brazzel@blinn.edu</t>
  </si>
  <si>
    <t>PORELF</t>
  </si>
  <si>
    <t>Audra Taylor</t>
  </si>
  <si>
    <t>Dean of Business Services</t>
  </si>
  <si>
    <t>(254) 442-5017</t>
  </si>
  <si>
    <t>audra.taylor@cisco.edu</t>
  </si>
  <si>
    <t>BONFOX</t>
  </si>
  <si>
    <t>Annette Ferguson</t>
  </si>
  <si>
    <t>(806) 874-3571 x104</t>
  </si>
  <si>
    <t>annette.ferguson@clarendoncollege.edu</t>
  </si>
  <si>
    <t>ALTNOT</t>
  </si>
  <si>
    <t>Janie Neighbors</t>
  </si>
  <si>
    <t>Vice President of Financial Services</t>
  </si>
  <si>
    <t>(940) 668-3333</t>
  </si>
  <si>
    <t>jneighbors@nctc.edu</t>
  </si>
  <si>
    <t>CEMJOK</t>
  </si>
  <si>
    <t>John Johnson</t>
  </si>
  <si>
    <t>Comptroller</t>
  </si>
  <si>
    <t>(361) 698-1259</t>
  </si>
  <si>
    <t>jjohnson@delmar.edu</t>
  </si>
  <si>
    <t>TAPKOP</t>
  </si>
  <si>
    <t>Bridey McCormack</t>
  </si>
  <si>
    <t>(806) 457-4200 ext 714</t>
  </si>
  <si>
    <t>bmccormack@fpctx.edu</t>
  </si>
  <si>
    <t>FOPKAM</t>
  </si>
  <si>
    <t>Giles Brown</t>
  </si>
  <si>
    <t>Vice President of Business Services</t>
  </si>
  <si>
    <t>(903) 863-8620</t>
  </si>
  <si>
    <t>browng@grayson.edu</t>
  </si>
  <si>
    <t>BEDWUB</t>
  </si>
  <si>
    <t>Trinity Valley Community College</t>
  </si>
  <si>
    <t>Courtney Walker</t>
  </si>
  <si>
    <t>Senior Accountant</t>
  </si>
  <si>
    <t>903-670-2688</t>
  </si>
  <si>
    <t>cwalker@tvcc.edu</t>
  </si>
  <si>
    <t>GOPLAR</t>
  </si>
  <si>
    <t>Billy Curbo</t>
  </si>
  <si>
    <t>Vice President for Administrative Services</t>
  </si>
  <si>
    <t>bdcurbo@hillcollege.edu</t>
  </si>
  <si>
    <t>FETLAX</t>
  </si>
  <si>
    <t>Howard College</t>
  </si>
  <si>
    <t>Brenda Claxton</t>
  </si>
  <si>
    <t>Controller</t>
  </si>
  <si>
    <t>(432) 264-5012</t>
  </si>
  <si>
    <t>bclaxton@howardcollege.edu</t>
  </si>
  <si>
    <t>REPMOP</t>
  </si>
  <si>
    <t>Duane McNaney</t>
  </si>
  <si>
    <t>Vice President Finance and CFO</t>
  </si>
  <si>
    <t>(903) 983-8107</t>
  </si>
  <si>
    <t>mcnaneyd@kilgore.cc.tx.us</t>
  </si>
  <si>
    <t>PENMEG</t>
  </si>
  <si>
    <t>Laredo Community College</t>
  </si>
  <si>
    <t>Cesar E Vela Jr</t>
  </si>
  <si>
    <t>(956) 721-5370</t>
  </si>
  <si>
    <t>cvela@laredo.edu</t>
  </si>
  <si>
    <t>NUKMET</t>
  </si>
  <si>
    <t>Steve Evans</t>
  </si>
  <si>
    <t>VP for Finance and Administration</t>
  </si>
  <si>
    <t>(281) 425-6887</t>
  </si>
  <si>
    <t>sevans@lee.edu</t>
  </si>
  <si>
    <t>ERTMOR</t>
  </si>
  <si>
    <t>McLennan Community College</t>
  </si>
  <si>
    <t>Gene Gooch</t>
  </si>
  <si>
    <t>Vice President Finance &amp; Administration</t>
  </si>
  <si>
    <t>(254) 299-8649</t>
  </si>
  <si>
    <t>ggooch@mclennan.edu</t>
  </si>
  <si>
    <t>BULLDOGS</t>
  </si>
  <si>
    <t>Rhina Sandoval</t>
  </si>
  <si>
    <t>Chief Accountant</t>
  </si>
  <si>
    <t>(903) 875-7465</t>
  </si>
  <si>
    <t>rhina.sandoval@navarrocolleg.edu</t>
  </si>
  <si>
    <t>ORBNIC</t>
  </si>
  <si>
    <t>Kristi Gibbs</t>
  </si>
  <si>
    <t>(432) 335-6663</t>
  </si>
  <si>
    <t>kgibbs@odessa.edu</t>
  </si>
  <si>
    <t>ORGOAT</t>
  </si>
  <si>
    <t>Stephen K. Williams</t>
  </si>
  <si>
    <t>Vice President of Finance &amp; Business Services</t>
  </si>
  <si>
    <t>(903) 693-2023</t>
  </si>
  <si>
    <t>swilliams@panola.edu</t>
  </si>
  <si>
    <t>parisjc</t>
  </si>
  <si>
    <t>Keitha Carlton</t>
  </si>
  <si>
    <t>(903) 782-0289</t>
  </si>
  <si>
    <t>kcarlton@parisjc.edu</t>
  </si>
  <si>
    <t>OPTORD</t>
  </si>
  <si>
    <t>ROCKCUT</t>
  </si>
  <si>
    <t>Pamela K. Ansboury</t>
  </si>
  <si>
    <t>Associate Vice Chancellor for Finance and Fiscal Services</t>
  </si>
  <si>
    <t>(210) 485-0301</t>
  </si>
  <si>
    <t>pansboury@alamo.edu</t>
  </si>
  <si>
    <t>OCTPAC</t>
  </si>
  <si>
    <t>Anita Dewease</t>
  </si>
  <si>
    <t>(281) 998-6141</t>
  </si>
  <si>
    <t>anita.dewease@sjcd.edu</t>
  </si>
  <si>
    <t>OLDQUE</t>
  </si>
  <si>
    <t>Tony Riley</t>
  </si>
  <si>
    <t>Vice President for Finance and Administration</t>
  </si>
  <si>
    <t>(806) 894-9611 x2205</t>
  </si>
  <si>
    <t>triley@spc.cc.tx.us</t>
  </si>
  <si>
    <t>TUNRAG</t>
  </si>
  <si>
    <t>Anne Tarski</t>
  </si>
  <si>
    <t>Associate Dean of Finance</t>
  </si>
  <si>
    <t>(830) 591-7294</t>
  </si>
  <si>
    <t>sharon1</t>
  </si>
  <si>
    <t>Tarrant County College District</t>
  </si>
  <si>
    <t>Nancy H. Chang</t>
  </si>
  <si>
    <t>Associate Vice Chancellor for Finance</t>
  </si>
  <si>
    <t>(817) 515-5222</t>
  </si>
  <si>
    <t>nancy.chang@tccd.edu</t>
  </si>
  <si>
    <t>RATSIS</t>
  </si>
  <si>
    <t>Temple College</t>
  </si>
  <si>
    <t>(254) 298-8601</t>
  </si>
  <si>
    <t>FUNSEL</t>
  </si>
  <si>
    <t>Baylor70</t>
  </si>
  <si>
    <t>Texas State Technical College-Waco</t>
  </si>
  <si>
    <t>Vice President-Administrative &amp; Financial Services</t>
  </si>
  <si>
    <t>(254) 867-4801</t>
  </si>
  <si>
    <t>ABESAC</t>
  </si>
  <si>
    <t>BADWEL</t>
  </si>
  <si>
    <t>Carol Hutson</t>
  </si>
  <si>
    <t>Director, Accounting Services/Controller</t>
  </si>
  <si>
    <t>(903) 510-2569</t>
  </si>
  <si>
    <t>chut@tjc.edu</t>
  </si>
  <si>
    <t>BAMYAP</t>
  </si>
  <si>
    <t>Victoria College, The</t>
  </si>
  <si>
    <t>Tracey Bergstrom</t>
  </si>
  <si>
    <t>Director Of Finance</t>
  </si>
  <si>
    <t>361-582-2565</t>
  </si>
  <si>
    <t>tracey.bergstrom@victoriacollege.edu</t>
  </si>
  <si>
    <t>COTYET</t>
  </si>
  <si>
    <t>Andra Cantrell</t>
  </si>
  <si>
    <t>Vice President of Financial and Administrative Affairs</t>
  </si>
  <si>
    <t>(817) 598-6260</t>
  </si>
  <si>
    <t>acantrell@wc.edu</t>
  </si>
  <si>
    <t>COPZIG</t>
  </si>
  <si>
    <t>Gus Wessels Jr., CPA</t>
  </si>
  <si>
    <t>Dean of Financial and Business Services</t>
  </si>
  <si>
    <t>(979) 532-6505</t>
  </si>
  <si>
    <t>gusw@wcjc.edu</t>
  </si>
  <si>
    <t>BELELK</t>
  </si>
  <si>
    <t>Central Texas College</t>
  </si>
  <si>
    <t>Bob Liberty</t>
  </si>
  <si>
    <t>(254)526-1310</t>
  </si>
  <si>
    <t>bob.liberty@ctcd.edu</t>
  </si>
  <si>
    <t>BETEEK</t>
  </si>
  <si>
    <t>Sheryl Rawls</t>
  </si>
  <si>
    <t>Coordinator of Accounting</t>
  </si>
  <si>
    <t>(936) 633-5487</t>
  </si>
  <si>
    <t>srawls@angelina.edu</t>
  </si>
  <si>
    <t>LIDKEN</t>
  </si>
  <si>
    <t>Jeff Engbrock</t>
  </si>
  <si>
    <t>Director of Business Services</t>
  </si>
  <si>
    <t>(409) 944-1205</t>
  </si>
  <si>
    <t>mengbroc@gc.edu</t>
  </si>
  <si>
    <t>ACTHUB</t>
  </si>
  <si>
    <t>College of the Mainland Community College District</t>
  </si>
  <si>
    <t>Lisa Templer</t>
  </si>
  <si>
    <t>Vice President of College and Financial Services</t>
  </si>
  <si>
    <t>(409) 933-8261</t>
  </si>
  <si>
    <t>ltempler@com.edu</t>
  </si>
  <si>
    <t>becker45</t>
  </si>
  <si>
    <t>Chris Bahr</t>
  </si>
  <si>
    <t>Internal Auditor</t>
  </si>
  <si>
    <t>(979) 230-3119</t>
  </si>
  <si>
    <t>chris.bahr@brazosport.edu</t>
  </si>
  <si>
    <t>rfoe01</t>
  </si>
  <si>
    <t>Texas State Technical College-Harlingen</t>
  </si>
  <si>
    <t>Gisela Figueroa</t>
  </si>
  <si>
    <t>(956) 364-4416</t>
  </si>
  <si>
    <t>gisela.figueroa@harlingen.tstc.edu</t>
  </si>
  <si>
    <t>CATZAG</t>
  </si>
  <si>
    <t>Patricia Claxton</t>
  </si>
  <si>
    <t>Chief Financial Officer</t>
  </si>
  <si>
    <t>(325) 574-7607</t>
  </si>
  <si>
    <t>pclaxton@wtc.edu</t>
  </si>
  <si>
    <t>ORTMAD</t>
  </si>
  <si>
    <t>Bob Vincent</t>
  </si>
  <si>
    <t>(432) 685-4571</t>
  </si>
  <si>
    <t>bvincent@midland.edu</t>
  </si>
  <si>
    <t>hearty2</t>
  </si>
  <si>
    <t>Texas State Technical College-West Texas</t>
  </si>
  <si>
    <t>Kevin L. Shipp</t>
  </si>
  <si>
    <t>(325) 235-7337</t>
  </si>
  <si>
    <t>kevin.shipp@sweetwater.tstc.edu</t>
  </si>
  <si>
    <t>BAGWEN</t>
  </si>
  <si>
    <t>Garry David</t>
  </si>
  <si>
    <t>(940) 552-6291 ext 2273</t>
  </si>
  <si>
    <t>GDavid@vernoncollege.edu</t>
  </si>
  <si>
    <t>TATJOG</t>
  </si>
  <si>
    <t>El Paso Community College</t>
  </si>
  <si>
    <t>Josette Shaughnessy</t>
  </si>
  <si>
    <t>Associate Vice President Budget &amp; Financial Services</t>
  </si>
  <si>
    <t>(915) 831-6401</t>
  </si>
  <si>
    <t>josettes@epcc.edu</t>
  </si>
  <si>
    <t>YENLEM</t>
  </si>
  <si>
    <t>Dr. Arthur Tyler</t>
  </si>
  <si>
    <t>Deputy Chancellor</t>
  </si>
  <si>
    <t>(713) 718-8464</t>
  </si>
  <si>
    <t>arthur.tyler@hccs.edu</t>
  </si>
  <si>
    <t>ADENET</t>
  </si>
  <si>
    <t>Lone Star College System District</t>
  </si>
  <si>
    <t>Cynthia Gilliam</t>
  </si>
  <si>
    <t>Vice Chancellor, Administration &amp; Finance/CFO</t>
  </si>
  <si>
    <t>(832)-832-6512</t>
  </si>
  <si>
    <t>Cynthia.f.gilliam@lonestar.edu</t>
  </si>
  <si>
    <t>GETEAT</t>
  </si>
  <si>
    <t>Neil Vickers</t>
  </si>
  <si>
    <t>Associate Vice President, Finance &amp; Budget</t>
  </si>
  <si>
    <t>(512) 223-1078</t>
  </si>
  <si>
    <t>nvickers@austincc.edu</t>
  </si>
  <si>
    <t>AOLNAG</t>
  </si>
  <si>
    <t>Beth Thompson</t>
  </si>
  <si>
    <t>(903) 434-8106</t>
  </si>
  <si>
    <t>bthompson@ntcc.edu</t>
  </si>
  <si>
    <t>JEPMUD</t>
  </si>
  <si>
    <t>Lamar State College-Port Arthur</t>
  </si>
  <si>
    <t>Raymond Mathers</t>
  </si>
  <si>
    <t>Accountant</t>
  </si>
  <si>
    <t>409-984-6122</t>
  </si>
  <si>
    <t>mathersrm@lamarpa.edu</t>
  </si>
  <si>
    <t>PUPMED</t>
  </si>
  <si>
    <t>Lamar State College-Orange</t>
  </si>
  <si>
    <t>Brenda Bedair</t>
  </si>
  <si>
    <t>(409) 882-3356</t>
  </si>
  <si>
    <t>brenda.bedair@lsco.edu</t>
  </si>
  <si>
    <t>tennis59</t>
  </si>
  <si>
    <t>Collin County Community College District</t>
  </si>
  <si>
    <t>Julie Bradley</t>
  </si>
  <si>
    <t>Associate Vice President - Controller</t>
  </si>
  <si>
    <t>(972) 758-3821</t>
  </si>
  <si>
    <t>jbradley@collin.edu</t>
  </si>
  <si>
    <t>NANBEG</t>
  </si>
  <si>
    <t>Dallas County Community College District</t>
  </si>
  <si>
    <t>Edward DesPlas</t>
  </si>
  <si>
    <t>Executive Vice Chancellor Business Affairs</t>
  </si>
  <si>
    <t>(972) 860-7783</t>
  </si>
  <si>
    <t>edesplas@dcccd.edu</t>
  </si>
  <si>
    <t>UPPROT</t>
  </si>
  <si>
    <t>Diana Pena</t>
  </si>
  <si>
    <t>Vice President of Finance and Administrative Services</t>
  </si>
  <si>
    <t>(956) 872-3558</t>
  </si>
  <si>
    <t>dpena@southtexascollege.edu</t>
  </si>
  <si>
    <t>AMEVAN</t>
  </si>
  <si>
    <t>Texas State Technical Collage-Marshall</t>
  </si>
  <si>
    <t>Deborah Sanders</t>
  </si>
  <si>
    <t>(903) 923-3239</t>
  </si>
  <si>
    <t>deborah.sanders@tstc.edu</t>
  </si>
  <si>
    <t>CUPMAX</t>
  </si>
  <si>
    <t>Lamar Institute of Technology</t>
  </si>
  <si>
    <t>Jonathan Wolfe</t>
  </si>
  <si>
    <t>Vice President of Finance &amp; Operations</t>
  </si>
  <si>
    <t>(409) 880-7633</t>
  </si>
  <si>
    <t>jonathan.wolfe@lit.edu</t>
  </si>
  <si>
    <t>999999</t>
  </si>
  <si>
    <t>THECB*/</t>
  </si>
  <si>
    <t>ZZ Test Institution</t>
  </si>
  <si>
    <t>Paul Turcotte</t>
  </si>
  <si>
    <t>Program Director</t>
  </si>
  <si>
    <t>(512) 427-6235</t>
  </si>
  <si>
    <t>paul.turcotte@thecb.state.tx.us</t>
  </si>
  <si>
    <t>1</t>
  </si>
  <si>
    <t>Nov 30 2012  1:14PM</t>
  </si>
  <si>
    <t>ahtarski@swtjc.edu</t>
  </si>
  <si>
    <t>Director of Fical Affairs</t>
  </si>
  <si>
    <t>281-756-3509</t>
  </si>
  <si>
    <t>Victoria College</t>
  </si>
  <si>
    <t>Dec 14 2012 10:47AM</t>
  </si>
  <si>
    <t>Dec 18 2012  9:54AM</t>
  </si>
  <si>
    <t>Jan  4 2013  3:13PM</t>
  </si>
  <si>
    <t>Jan  3 2013  5:09PM</t>
  </si>
  <si>
    <t>Jan  3 2013  2:35PM</t>
  </si>
  <si>
    <t>Jan  4 2013 11:38AM</t>
  </si>
  <si>
    <t>Reconciliation of Total Unrestricted Educational Activities on RFOE to AFR:_x000D_
_x000D_
Total Unrestricted Educational Activities per RFOE  $278,472,299_x000D_
Richland Collegiate High School expenses excluded        534,361_x000D_
Unrestricted Educational Activities per AFR         $279,006,660    _x000D_
_x000D_
Depreciation expense for Restricted and Auxiliary Fund equipment in the amount of $979,569 is excluded.       _x000D_
_x000D_
Richland Collegiate High School expenses excluded by function:_x000D_
  Instruction                                            253,894_x000D_
  Public Service                                          20,500_x000D_
  Academic Support                                        36,565_x000D_
  Student Services                                        78,775_x000D_
  Institutional Support                                  102,264_x000D_
  Operation &amp; Maintenance of Plant                        42,363_x000D_
_x000D_
  Total RCHS excluded expenses                           534,361</t>
  </si>
  <si>
    <t>Van D. Miller</t>
  </si>
  <si>
    <t>Vice President Administrative Services/CFO</t>
  </si>
  <si>
    <t>van.miller@templejc.edu</t>
  </si>
  <si>
    <t>Jan  8 2013  9:58AM</t>
  </si>
  <si>
    <t>Jan  7 2013  8:35AM</t>
  </si>
  <si>
    <t>Jan 10 2013  2:57PM</t>
  </si>
  <si>
    <t>Jan 15 2013  3:02PM</t>
  </si>
  <si>
    <t>Jan 17 2013 11:04AM</t>
  </si>
  <si>
    <t>David Kofnovec</t>
  </si>
  <si>
    <t>david.kofnovec@tstc.edu</t>
  </si>
  <si>
    <t>Jan 18 2013  2:35PM</t>
  </si>
  <si>
    <t>Kim Jones</t>
  </si>
  <si>
    <t>(903) 832-3004</t>
  </si>
  <si>
    <t>kimberly.jones@texarkanacollege.edu</t>
  </si>
  <si>
    <t>Jan 22 2013  9:13AM</t>
  </si>
  <si>
    <t>Debbie Kraft</t>
  </si>
  <si>
    <t>dkraft@alvincollege.edu</t>
  </si>
  <si>
    <t>Jan 22 2013  4:00PM</t>
  </si>
  <si>
    <t>Multi-disciplined includes the operation of the Child Care Center, Dental Clinic and Carter Fitness Center.  These departments are operated so that students can have clinicals, and do observations and/or training.</t>
  </si>
  <si>
    <t>Jan 22 2013 11:45AM</t>
  </si>
  <si>
    <t>(254) 659-7701</t>
  </si>
  <si>
    <t>Tammy Adams</t>
  </si>
  <si>
    <t>254-647-3234 ext 244</t>
  </si>
  <si>
    <t>tadams@rangercollege.edu</t>
  </si>
  <si>
    <t>Jan 22 2013  4:10PM</t>
  </si>
  <si>
    <t>Jan 22 2013  1:57PM</t>
  </si>
  <si>
    <t>Jan 24 2013  3:02PM</t>
  </si>
  <si>
    <t>Jan 24 2013  3:38PM</t>
  </si>
  <si>
    <t>Chet Lewis</t>
  </si>
  <si>
    <t>Vice President of Finance &amp; Administration</t>
  </si>
  <si>
    <t>(956) 295-3385</t>
  </si>
  <si>
    <t>chet.lewis@tsc.edu</t>
  </si>
  <si>
    <t>Jan 24 2013  5:20PM</t>
  </si>
  <si>
    <t>Assistant Chief Financial Officer</t>
  </si>
  <si>
    <t>The Equipment depreciation total amount on Schedule B is $445,752. However, in this report we didn't include the Auxiliary depreciation for $164,123. We only included the total equipment depreciation for Administrative $208,100 and Physical Plant $73,529 then, our total is $281,629.</t>
  </si>
  <si>
    <t>Jan 28 2013 10:47AM</t>
  </si>
  <si>
    <t>Jan 28 2013 10:46AM</t>
  </si>
  <si>
    <t>Jan 28 2013  3:43PM</t>
  </si>
  <si>
    <t>Study Total</t>
  </si>
  <si>
    <t>Jan 29 2013  9:41AM</t>
  </si>
  <si>
    <t>Jan 29 2013 11:04AM</t>
  </si>
  <si>
    <t>Jan 29 2013  9:45AM</t>
  </si>
  <si>
    <t>Jan 29 2013 12:36PM</t>
  </si>
  <si>
    <t>Jan 29 2013  1:53PM</t>
  </si>
  <si>
    <t>Jan 29 2013  4:05PM</t>
  </si>
  <si>
    <t>Jan 30 2013 11:40AM</t>
  </si>
  <si>
    <t>Jan 30 2013 11:49AM</t>
  </si>
  <si>
    <t>Sent Email 1/30</t>
  </si>
  <si>
    <t>Jan 30 2013  2:30PM</t>
  </si>
  <si>
    <t>Jan 30 2013  2:46PM</t>
  </si>
  <si>
    <t>Jan 30 2013  1:16PM</t>
  </si>
  <si>
    <t>Jan 30 2013  3:34PM</t>
  </si>
  <si>
    <t>Jan 31 2013  8:29AM</t>
  </si>
  <si>
    <t>Jan 30 2013  5:43PM</t>
  </si>
  <si>
    <t>Jan 30 2013  3:57PM</t>
  </si>
  <si>
    <t>Our Bachelor program expenses of $82,994 ($80,119 faculty salaries and $2,875 other operating expenses) have been reported under Public Service for RFOE purposes and under Instruction on our AFS. There were 23,136 contact hours associated with the Bachelor program.</t>
  </si>
  <si>
    <t>Jan 30 2013  5:33PM</t>
  </si>
  <si>
    <t>Sent Email 1/31</t>
  </si>
  <si>
    <t>Jan 31 2013 11:17AM</t>
  </si>
  <si>
    <t>Jan 31 2013 11:08AM</t>
  </si>
  <si>
    <t>Jan 31 2013 12:06PM</t>
  </si>
  <si>
    <t>Jan 31 2013  2:41PM</t>
  </si>
  <si>
    <t>Jan 31 2013  3:13PM</t>
  </si>
  <si>
    <t>Jan 31 2013  3:09PM</t>
  </si>
  <si>
    <t>Jan 31 2013  2:44PM</t>
  </si>
  <si>
    <t>Jan 31 2013  3:17PM</t>
  </si>
  <si>
    <t>Jan 31 2013  4:10PM</t>
  </si>
  <si>
    <t>Jan 31 2013  4:44PM</t>
  </si>
  <si>
    <t>Jan 31 2013  4:49PM</t>
  </si>
  <si>
    <t>Jan 31 2013  4:53PM</t>
  </si>
  <si>
    <t>Jan 31 2013  5:27PM</t>
  </si>
  <si>
    <t>Jan 31 2013  6:10PM</t>
  </si>
  <si>
    <t>Sent Email 1/31, VM 2/1</t>
  </si>
  <si>
    <t>Feb  1 2013  8:55AM</t>
  </si>
  <si>
    <t>Feb  1 2013  9:30AM</t>
  </si>
  <si>
    <t>Feb  1 2013 12:40PM</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</si>
</sst>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
    <numFmt numFmtId="167" formatCode="&quot;$&quot;#,##0.00"/>
    <numFmt numFmtId="168" formatCode="&quot;$&quot;#,##0"/>
    <numFmt numFmtId="169" formatCode="&quot;$&quot;#,##0\ ;\(&quot;$&quot;#,##0\)"/>
  </numFmts>
  <fonts count="25" x14ac:knownFonts="1">
    <font>
      <sz val="11"/>
      <color theme="1"/>
      <name val="Calibri"/>
      <family val="2"/>
      <scheme val="minor"/>
    </font>
    <font>
      <sz val="11"/>
      <color theme="1"/>
      <name val="Calibri"/>
      <family val="2"/>
      <scheme val="minor"/>
    </font>
    <font>
      <sz val="11"/>
      <color theme="1"/>
      <name val="Tahoma"/>
      <family val="2"/>
    </font>
    <font>
      <b/>
      <sz val="11"/>
      <color theme="1"/>
      <name val="Tahoma"/>
      <family val="2"/>
    </font>
    <font>
      <sz val="10"/>
      <name val="MS Sans Serif"/>
      <family val="2"/>
    </font>
    <font>
      <sz val="11"/>
      <name val="Tahoma"/>
      <family val="2"/>
    </font>
    <font>
      <b/>
      <sz val="11"/>
      <name val="Tahoma"/>
      <family val="2"/>
    </font>
    <font>
      <b/>
      <sz val="11"/>
      <color theme="0"/>
      <name val="Tahoma"/>
      <family val="2"/>
    </font>
    <font>
      <sz val="11"/>
      <color theme="0"/>
      <name val="Tahoma"/>
      <family val="2"/>
    </font>
    <font>
      <sz val="12"/>
      <name val="Arial"/>
      <family val="2"/>
    </font>
    <font>
      <sz val="10"/>
      <name val="Arial"/>
      <family val="2"/>
    </font>
    <font>
      <sz val="11"/>
      <color indexed="8"/>
      <name val="Calibri"/>
      <family val="2"/>
    </font>
    <font>
      <sz val="11"/>
      <color indexed="8"/>
      <name val="Tahoma"/>
      <family val="2"/>
    </font>
    <font>
      <sz val="10"/>
      <name val="System"/>
      <family val="2"/>
    </font>
    <font>
      <i/>
      <sz val="10"/>
      <name val="System"/>
      <family val="2"/>
    </font>
    <font>
      <sz val="10"/>
      <color indexed="24"/>
      <name val="Arial"/>
      <family val="2"/>
    </font>
    <font>
      <b/>
      <sz val="18"/>
      <color indexed="24"/>
      <name val="Arial"/>
      <family val="2"/>
    </font>
    <font>
      <b/>
      <sz val="12"/>
      <color indexed="24"/>
      <name val="Arial"/>
      <family val="2"/>
    </font>
    <font>
      <sz val="10"/>
      <name val="Verdana"/>
      <family val="2"/>
    </font>
    <font>
      <sz val="10"/>
      <color indexed="8"/>
      <name val="Arial"/>
      <family val="2"/>
    </font>
    <font>
      <b/>
      <sz val="11"/>
      <color indexed="8"/>
      <name val="Tahoma"/>
      <family val="2"/>
    </font>
    <font>
      <sz val="9"/>
      <color indexed="81"/>
      <name val="Tahoma"/>
      <family val="2"/>
    </font>
    <font>
      <b/>
      <sz val="9"/>
      <color indexed="81"/>
      <name val="Tahoma"/>
      <family val="2"/>
    </font>
    <font>
      <b/>
      <sz val="10"/>
      <color indexed="81"/>
      <name val="Courier New"/>
      <family val="3"/>
    </font>
    <font>
      <sz val="10"/>
      <color indexed="81"/>
      <name val="Courier New"/>
      <family val="3"/>
    </font>
  </fonts>
  <fills count="5">
    <fill>
      <patternFill patternType="none"/>
    </fill>
    <fill>
      <patternFill patternType="gray125"/>
    </fill>
    <fill>
      <patternFill patternType="solid">
        <fgColor rgb="FFFF0000"/>
        <bgColor indexed="64"/>
      </patternFill>
    </fill>
    <fill>
      <patternFill patternType="solid">
        <fgColor rgb="FFFFE1E1"/>
        <bgColor indexed="64"/>
      </patternFill>
    </fill>
    <fill>
      <patternFill patternType="solid">
        <fgColor theme="9" tint="0.7999816888943144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double">
        <color indexed="64"/>
      </bottom>
      <diagonal/>
    </border>
  </borders>
  <cellStyleXfs count="29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37" fontId="9" fillId="0" borderId="0"/>
    <xf numFmtId="9" fontId="10"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0" fontId="4" fillId="0" borderId="0"/>
    <xf numFmtId="43" fontId="4" fillId="0" borderId="0" applyFont="0" applyFill="0" applyBorder="0" applyAlignment="0" applyProtection="0"/>
    <xf numFmtId="0" fontId="1" fillId="0" borderId="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9" fillId="0" borderId="0"/>
    <xf numFmtId="0" fontId="1" fillId="0" borderId="0"/>
    <xf numFmtId="0" fontId="1" fillId="0" borderId="0"/>
    <xf numFmtId="0" fontId="1" fillId="0" borderId="0"/>
    <xf numFmtId="9" fontId="1" fillId="0" borderId="0" applyFont="0" applyFill="0" applyBorder="0" applyAlignment="0" applyProtection="0"/>
    <xf numFmtId="0" fontId="10" fillId="0" borderId="0"/>
    <xf numFmtId="44" fontId="10" fillId="0" borderId="0" applyFont="0" applyFill="0" applyBorder="0" applyAlignment="0" applyProtection="0"/>
    <xf numFmtId="0" fontId="10" fillId="0" borderId="0"/>
    <xf numFmtId="0" fontId="4" fillId="0" borderId="0"/>
    <xf numFmtId="0" fontId="4" fillId="0" borderId="0"/>
    <xf numFmtId="0" fontId="9" fillId="0" borderId="0"/>
    <xf numFmtId="43"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3" fontId="10" fillId="0" borderId="0"/>
    <xf numFmtId="43" fontId="4" fillId="0" borderId="0" applyFont="0" applyFill="0" applyBorder="0" applyAlignment="0" applyProtection="0"/>
    <xf numFmtId="43" fontId="10" fillId="0" borderId="0" applyFont="0" applyFill="0" applyBorder="0" applyAlignment="0" applyProtection="0"/>
    <xf numFmtId="3" fontId="10" fillId="0" borderId="0"/>
    <xf numFmtId="44" fontId="10" fillId="0" borderId="0" applyFont="0" applyFill="0" applyBorder="0" applyAlignment="0" applyProtection="0"/>
    <xf numFmtId="44" fontId="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 fillId="0" borderId="0"/>
    <xf numFmtId="0" fontId="9" fillId="0" borderId="0"/>
    <xf numFmtId="0" fontId="9" fillId="0" borderId="0"/>
    <xf numFmtId="0" fontId="9" fillId="0" borderId="0"/>
    <xf numFmtId="0" fontId="2" fillId="0" borderId="0"/>
    <xf numFmtId="9" fontId="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4" fillId="0" borderId="0" applyFont="0" applyFill="0" applyBorder="0" applyAlignment="0" applyProtection="0"/>
    <xf numFmtId="0" fontId="10" fillId="0" borderId="0"/>
    <xf numFmtId="0" fontId="10" fillId="0" borderId="0"/>
    <xf numFmtId="0" fontId="10"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43" fontId="14" fillId="0" borderId="0" applyFont="0" applyFill="0" applyBorder="0" applyAlignment="0" applyProtection="0"/>
    <xf numFmtId="0" fontId="1" fillId="0" borderId="0"/>
    <xf numFmtId="43" fontId="10" fillId="0" borderId="0" applyFont="0" applyFill="0" applyBorder="0" applyAlignment="0" applyProtection="0"/>
    <xf numFmtId="3" fontId="15" fillId="0" borderId="0" applyFont="0" applyFill="0" applyBorder="0" applyAlignment="0" applyProtection="0"/>
    <xf numFmtId="169" fontId="15" fillId="0" borderId="0" applyFont="0" applyFill="0" applyBorder="0" applyAlignment="0" applyProtection="0"/>
    <xf numFmtId="0" fontId="15" fillId="0" borderId="0" applyFont="0" applyFill="0" applyBorder="0" applyAlignment="0" applyProtection="0"/>
    <xf numFmtId="2" fontId="15" fillId="0" borderId="0" applyFon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5" fillId="0" borderId="37" applyNumberFormat="0" applyFont="0" applyFill="0" applyAlignment="0" applyProtection="0"/>
    <xf numFmtId="43"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4"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43" fontId="19" fillId="0" borderId="0" applyFont="0" applyFill="0" applyBorder="0" applyAlignment="0" applyProtection="0"/>
    <xf numFmtId="43" fontId="4" fillId="0" borderId="0" applyFont="0" applyFill="0" applyBorder="0" applyAlignment="0" applyProtection="0"/>
    <xf numFmtId="43" fontId="10" fillId="0" borderId="0" applyFont="0" applyFill="0" applyBorder="0" applyAlignment="0" applyProtection="0"/>
    <xf numFmtId="43" fontId="4" fillId="0" borderId="0" applyFont="0" applyFill="0" applyBorder="0" applyAlignment="0" applyProtection="0"/>
    <xf numFmtId="0" fontId="19" fillId="0" borderId="0"/>
    <xf numFmtId="0" fontId="4" fillId="0" borderId="0"/>
    <xf numFmtId="0" fontId="10" fillId="0" borderId="0"/>
    <xf numFmtId="0" fontId="4" fillId="0" borderId="0"/>
  </cellStyleXfs>
  <cellXfs count="232">
    <xf numFmtId="0" fontId="0" fillId="0" borderId="0" xfId="0"/>
    <xf numFmtId="0" fontId="2" fillId="0" borderId="0" xfId="0" applyFont="1"/>
    <xf numFmtId="22" fontId="0" fillId="0" borderId="0" xfId="0" applyNumberFormat="1"/>
    <xf numFmtId="43" fontId="2" fillId="0" borderId="0" xfId="2" applyNumberFormat="1" applyFont="1"/>
    <xf numFmtId="0" fontId="2" fillId="0" borderId="0" xfId="0" quotePrefix="1" applyFont="1"/>
    <xf numFmtId="165" fontId="2" fillId="0" borderId="0" xfId="2" applyNumberFormat="1" applyFont="1"/>
    <xf numFmtId="0" fontId="3" fillId="0" borderId="0" xfId="0" quotePrefix="1" applyFont="1"/>
    <xf numFmtId="0" fontId="2" fillId="0" borderId="0" xfId="0" applyFont="1"/>
    <xf numFmtId="0" fontId="2" fillId="0" borderId="0" xfId="0" applyFont="1"/>
    <xf numFmtId="44" fontId="2" fillId="0" borderId="0" xfId="2" applyNumberFormat="1" applyFont="1"/>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horizontal="right"/>
    </xf>
    <xf numFmtId="164" fontId="2" fillId="0" borderId="1" xfId="1" applyNumberFormat="1" applyFont="1" applyBorder="1"/>
    <xf numFmtId="165" fontId="2" fillId="0" borderId="1" xfId="2" applyNumberFormat="1" applyFont="1" applyBorder="1"/>
    <xf numFmtId="44" fontId="2" fillId="0" borderId="1" xfId="2" applyNumberFormat="1" applyFont="1" applyBorder="1"/>
    <xf numFmtId="164" fontId="2" fillId="0" borderId="1" xfId="2" applyNumberFormat="1" applyFont="1" applyBorder="1"/>
    <xf numFmtId="43" fontId="2" fillId="0" borderId="1" xfId="2" applyNumberFormat="1" applyFont="1" applyBorder="1"/>
    <xf numFmtId="0" fontId="5" fillId="0" borderId="5" xfId="4" applyFont="1" applyBorder="1" applyAlignment="1">
      <alignment horizontal="center"/>
    </xf>
    <xf numFmtId="44" fontId="2" fillId="0" borderId="6" xfId="2" applyNumberFormat="1" applyFont="1" applyBorder="1"/>
    <xf numFmtId="43" fontId="2" fillId="0" borderId="6" xfId="2" applyNumberFormat="1" applyFont="1" applyBorder="1"/>
    <xf numFmtId="0" fontId="5" fillId="0" borderId="7" xfId="4" applyFont="1" applyBorder="1" applyAlignment="1">
      <alignment horizontal="center"/>
    </xf>
    <xf numFmtId="164" fontId="2" fillId="0" borderId="8" xfId="1" applyNumberFormat="1" applyFont="1" applyBorder="1"/>
    <xf numFmtId="164" fontId="2" fillId="0" borderId="8" xfId="2" applyNumberFormat="1" applyFont="1" applyBorder="1"/>
    <xf numFmtId="43" fontId="2" fillId="0" borderId="9" xfId="2" applyNumberFormat="1" applyFont="1" applyBorder="1"/>
    <xf numFmtId="0" fontId="7" fillId="2" borderId="2" xfId="0" applyFont="1" applyFill="1" applyBorder="1" applyAlignment="1">
      <alignment horizontal="center"/>
    </xf>
    <xf numFmtId="0" fontId="7" fillId="2" borderId="3" xfId="0" applyFont="1" applyFill="1" applyBorder="1" applyAlignment="1">
      <alignment horizontal="center" wrapText="1"/>
    </xf>
    <xf numFmtId="164" fontId="7" fillId="2" borderId="3" xfId="1" applyNumberFormat="1" applyFont="1" applyFill="1" applyBorder="1" applyAlignment="1">
      <alignment horizontal="center" wrapText="1"/>
    </xf>
    <xf numFmtId="43" fontId="7" fillId="2" borderId="4" xfId="1" applyFont="1" applyFill="1" applyBorder="1" applyAlignment="1">
      <alignment horizontal="center" wrapText="1"/>
    </xf>
    <xf numFmtId="0" fontId="3" fillId="0" borderId="0" xfId="0" applyFont="1" applyAlignment="1">
      <alignment horizontal="right"/>
    </xf>
    <xf numFmtId="165" fontId="3" fillId="0" borderId="0" xfId="2" applyNumberFormat="1" applyFont="1"/>
    <xf numFmtId="44" fontId="3" fillId="0" borderId="0" xfId="2" applyNumberFormat="1" applyFont="1"/>
    <xf numFmtId="0" fontId="7" fillId="2" borderId="3" xfId="0" applyFont="1" applyFill="1" applyBorder="1" applyAlignment="1">
      <alignment horizontal="center"/>
    </xf>
    <xf numFmtId="164" fontId="3" fillId="0" borderId="0" xfId="0" applyNumberFormat="1" applyFont="1"/>
    <xf numFmtId="0" fontId="2" fillId="0" borderId="10" xfId="0" applyFont="1" applyBorder="1"/>
    <xf numFmtId="0" fontId="2" fillId="0" borderId="11" xfId="0" applyFont="1" applyBorder="1"/>
    <xf numFmtId="0" fontId="2" fillId="0" borderId="12" xfId="0" applyFont="1" applyBorder="1"/>
    <xf numFmtId="0" fontId="6" fillId="0" borderId="0" xfId="4" applyFont="1" applyAlignment="1"/>
    <xf numFmtId="0" fontId="6" fillId="0" borderId="0" xfId="4" applyFont="1" applyAlignment="1">
      <alignment horizontal="right"/>
    </xf>
    <xf numFmtId="0" fontId="0" fillId="0" borderId="0" xfId="0" applyAlignment="1">
      <alignment horizontal="center" wrapText="1"/>
    </xf>
    <xf numFmtId="0" fontId="0" fillId="0" borderId="0" xfId="0" applyAlignment="1"/>
    <xf numFmtId="0" fontId="2" fillId="0" borderId="5" xfId="0" applyFont="1" applyBorder="1"/>
    <xf numFmtId="0" fontId="2" fillId="0" borderId="7" xfId="0" applyFont="1" applyBorder="1"/>
    <xf numFmtId="0" fontId="7" fillId="2" borderId="4" xfId="0" applyFont="1" applyFill="1" applyBorder="1" applyAlignment="1">
      <alignment horizontal="center"/>
    </xf>
    <xf numFmtId="0" fontId="7" fillId="2" borderId="2" xfId="0" applyFont="1" applyFill="1" applyBorder="1" applyAlignment="1">
      <alignment horizontal="center" wrapText="1"/>
    </xf>
    <xf numFmtId="0" fontId="7" fillId="2" borderId="4" xfId="0" applyFont="1" applyFill="1" applyBorder="1" applyAlignment="1">
      <alignment horizontal="center" wrapText="1"/>
    </xf>
    <xf numFmtId="165" fontId="2" fillId="0" borderId="6" xfId="2" applyNumberFormat="1" applyFont="1" applyBorder="1"/>
    <xf numFmtId="41" fontId="2" fillId="0" borderId="6" xfId="2" applyNumberFormat="1" applyFont="1" applyBorder="1"/>
    <xf numFmtId="41" fontId="2" fillId="0" borderId="9" xfId="2" applyNumberFormat="1" applyFont="1" applyBorder="1"/>
    <xf numFmtId="41" fontId="2" fillId="0" borderId="1" xfId="2" applyNumberFormat="1" applyFont="1" applyBorder="1"/>
    <xf numFmtId="41" fontId="3" fillId="0" borderId="1" xfId="2" applyNumberFormat="1" applyFont="1" applyBorder="1"/>
    <xf numFmtId="41" fontId="2" fillId="0" borderId="8" xfId="2" applyNumberFormat="1" applyFont="1" applyBorder="1"/>
    <xf numFmtId="41" fontId="2" fillId="0" borderId="28" xfId="2" applyNumberFormat="1" applyFont="1" applyBorder="1"/>
    <xf numFmtId="41" fontId="2" fillId="0" borderId="29" xfId="2" applyNumberFormat="1" applyFont="1" applyBorder="1"/>
    <xf numFmtId="0" fontId="2" fillId="0" borderId="23" xfId="0" applyFont="1" applyBorder="1" applyAlignment="1">
      <alignment wrapText="1"/>
    </xf>
    <xf numFmtId="0" fontId="8" fillId="0" borderId="0" xfId="0" applyFont="1"/>
    <xf numFmtId="0" fontId="2" fillId="0" borderId="0" xfId="0" applyFont="1"/>
    <xf numFmtId="0" fontId="3" fillId="0" borderId="0" xfId="0" applyFont="1"/>
    <xf numFmtId="164" fontId="3" fillId="0" borderId="0" xfId="1" applyNumberFormat="1" applyFont="1"/>
    <xf numFmtId="0" fontId="7" fillId="2" borderId="3" xfId="1" applyNumberFormat="1" applyFont="1" applyFill="1" applyBorder="1" applyAlignment="1">
      <alignment horizontal="center" wrapText="1"/>
    </xf>
    <xf numFmtId="0" fontId="2" fillId="0" borderId="0" xfId="0" applyFont="1"/>
    <xf numFmtId="164" fontId="2" fillId="0" borderId="0" xfId="1" applyNumberFormat="1" applyFont="1"/>
    <xf numFmtId="44" fontId="2" fillId="0" borderId="0" xfId="2" applyFont="1"/>
    <xf numFmtId="0" fontId="3" fillId="0" borderId="0" xfId="0" applyFont="1"/>
    <xf numFmtId="43" fontId="2" fillId="0" borderId="0" xfId="0" applyNumberFormat="1" applyFont="1"/>
    <xf numFmtId="43" fontId="2" fillId="0" borderId="8" xfId="2" applyNumberFormat="1" applyFont="1" applyBorder="1"/>
    <xf numFmtId="0" fontId="7" fillId="2" borderId="2" xfId="1" applyNumberFormat="1" applyFont="1" applyFill="1" applyBorder="1" applyAlignment="1">
      <alignment horizontal="center" wrapText="1"/>
    </xf>
    <xf numFmtId="166" fontId="2" fillId="0" borderId="5" xfId="3" applyNumberFormat="1" applyFont="1" applyBorder="1"/>
    <xf numFmtId="166" fontId="2" fillId="0" borderId="7" xfId="3" applyNumberFormat="1" applyFont="1" applyBorder="1"/>
    <xf numFmtId="0" fontId="0" fillId="0" borderId="0" xfId="0"/>
    <xf numFmtId="0" fontId="2" fillId="0" borderId="0" xfId="0" applyFont="1"/>
    <xf numFmtId="164" fontId="2" fillId="0" borderId="0" xfId="0" applyNumberFormat="1" applyFont="1"/>
    <xf numFmtId="0" fontId="3" fillId="0" borderId="0" xfId="0" applyFont="1"/>
    <xf numFmtId="43" fontId="2" fillId="3" borderId="10" xfId="2" applyNumberFormat="1" applyFont="1" applyFill="1" applyBorder="1"/>
    <xf numFmtId="43" fontId="2" fillId="0" borderId="27" xfId="0" applyNumberFormat="1" applyFont="1" applyBorder="1"/>
    <xf numFmtId="0" fontId="12" fillId="0" borderId="26" xfId="27" applyFont="1" applyFill="1" applyBorder="1" applyAlignment="1" applyProtection="1">
      <alignment horizontal="left" wrapText="1"/>
    </xf>
    <xf numFmtId="43" fontId="2" fillId="3" borderId="1" xfId="2" applyNumberFormat="1" applyFont="1" applyFill="1" applyBorder="1"/>
    <xf numFmtId="44" fontId="2" fillId="3" borderId="1" xfId="2" applyNumberFormat="1" applyFont="1" applyFill="1" applyBorder="1"/>
    <xf numFmtId="0" fontId="8" fillId="0" borderId="0" xfId="4" applyFont="1" applyFill="1" applyBorder="1" applyAlignment="1"/>
    <xf numFmtId="41" fontId="2" fillId="0" borderId="1" xfId="2" applyNumberFormat="1" applyFont="1" applyFill="1" applyBorder="1"/>
    <xf numFmtId="165" fontId="2" fillId="0" borderId="19" xfId="2" applyNumberFormat="1" applyFont="1" applyFill="1" applyBorder="1"/>
    <xf numFmtId="165" fontId="2" fillId="0" borderId="8" xfId="2" applyNumberFormat="1" applyFont="1" applyFill="1" applyBorder="1"/>
    <xf numFmtId="164" fontId="2" fillId="0" borderId="8" xfId="1" applyNumberFormat="1" applyFont="1" applyFill="1" applyBorder="1"/>
    <xf numFmtId="165" fontId="2" fillId="0" borderId="17" xfId="2" applyNumberFormat="1" applyFont="1" applyFill="1" applyBorder="1"/>
    <xf numFmtId="0" fontId="12" fillId="0" borderId="7" xfId="27" applyFont="1" applyFill="1" applyBorder="1" applyAlignment="1" applyProtection="1">
      <alignment horizontal="left" wrapText="1"/>
    </xf>
    <xf numFmtId="165" fontId="2" fillId="0" borderId="1" xfId="2" applyNumberFormat="1" applyFont="1" applyFill="1" applyBorder="1"/>
    <xf numFmtId="0" fontId="2" fillId="0" borderId="0" xfId="0" applyFont="1" applyAlignment="1">
      <alignment wrapText="1"/>
    </xf>
    <xf numFmtId="164" fontId="2" fillId="0" borderId="1" xfId="1" applyNumberFormat="1" applyFont="1" applyFill="1" applyBorder="1"/>
    <xf numFmtId="0" fontId="5" fillId="0" borderId="0" xfId="0" applyFont="1" applyFill="1" applyBorder="1" applyAlignment="1"/>
    <xf numFmtId="0" fontId="6" fillId="0" borderId="0" xfId="0" applyFont="1" applyFill="1" applyBorder="1" applyAlignment="1"/>
    <xf numFmtId="0" fontId="5" fillId="0" borderId="0" xfId="4" applyFont="1" applyFill="1" applyBorder="1" applyAlignment="1"/>
    <xf numFmtId="0" fontId="7" fillId="0" borderId="0" xfId="0" applyFont="1" applyFill="1" applyBorder="1" applyAlignment="1"/>
    <xf numFmtId="0" fontId="12" fillId="0" borderId="2" xfId="27" applyFont="1" applyFill="1" applyBorder="1" applyAlignment="1" applyProtection="1">
      <alignment horizontal="left" wrapText="1"/>
    </xf>
    <xf numFmtId="3" fontId="5" fillId="0" borderId="7" xfId="60" applyNumberFormat="1" applyFont="1" applyFill="1" applyBorder="1" applyAlignment="1" applyProtection="1">
      <alignment horizontal="left"/>
    </xf>
    <xf numFmtId="0" fontId="12" fillId="0" borderId="5" xfId="27" applyFont="1" applyFill="1" applyBorder="1" applyAlignment="1" applyProtection="1">
      <alignment horizontal="left" wrapText="1"/>
    </xf>
    <xf numFmtId="37" fontId="5" fillId="0" borderId="5" xfId="7" applyFont="1" applyFill="1" applyBorder="1"/>
    <xf numFmtId="37" fontId="5" fillId="0" borderId="5" xfId="7" applyFont="1" applyBorder="1"/>
    <xf numFmtId="43" fontId="2" fillId="0" borderId="6" xfId="0" applyNumberFormat="1" applyFont="1" applyBorder="1"/>
    <xf numFmtId="44" fontId="2" fillId="0" borderId="6" xfId="0" applyNumberFormat="1" applyFont="1" applyBorder="1"/>
    <xf numFmtId="3" fontId="5" fillId="0" borderId="5" xfId="60" applyNumberFormat="1" applyFont="1" applyFill="1" applyBorder="1" applyAlignment="1" applyProtection="1">
      <alignment horizontal="left"/>
    </xf>
    <xf numFmtId="165" fontId="5" fillId="0" borderId="8" xfId="2" applyNumberFormat="1" applyFont="1" applyFill="1" applyBorder="1" applyAlignment="1">
      <alignment horizontal="right" indent="1"/>
    </xf>
    <xf numFmtId="164" fontId="5" fillId="0" borderId="17" xfId="140" applyNumberFormat="1" applyFont="1" applyFill="1" applyBorder="1" applyAlignment="1">
      <alignment horizontal="right" indent="1"/>
    </xf>
    <xf numFmtId="10" fontId="5" fillId="0" borderId="9" xfId="3" applyNumberFormat="1" applyFont="1" applyFill="1" applyBorder="1" applyAlignment="1">
      <alignment horizontal="right" indent="1"/>
    </xf>
    <xf numFmtId="10" fontId="5" fillId="0" borderId="6" xfId="3" applyNumberFormat="1" applyFont="1" applyFill="1" applyBorder="1" applyAlignment="1">
      <alignment horizontal="right" indent="1"/>
    </xf>
    <xf numFmtId="165" fontId="5" fillId="0" borderId="19" xfId="2" applyNumberFormat="1" applyFont="1" applyFill="1" applyBorder="1" applyAlignment="1">
      <alignment horizontal="right" indent="1"/>
    </xf>
    <xf numFmtId="3" fontId="5" fillId="3" borderId="18" xfId="60" quotePrefix="1" applyNumberFormat="1" applyFont="1" applyFill="1" applyBorder="1" applyAlignment="1" applyProtection="1">
      <alignment horizontal="right"/>
    </xf>
    <xf numFmtId="3" fontId="5" fillId="3" borderId="18" xfId="60" applyNumberFormat="1" applyFont="1" applyFill="1" applyBorder="1" applyAlignment="1" applyProtection="1">
      <alignment horizontal="right"/>
    </xf>
    <xf numFmtId="3" fontId="5" fillId="3" borderId="13" xfId="60" applyNumberFormat="1" applyFont="1" applyFill="1" applyBorder="1" applyAlignment="1" applyProtection="1">
      <alignment horizontal="right"/>
    </xf>
    <xf numFmtId="10" fontId="6" fillId="3" borderId="30" xfId="3" applyNumberFormat="1" applyFont="1" applyFill="1" applyBorder="1" applyAlignment="1" applyProtection="1">
      <alignment horizontal="center" wrapText="1"/>
    </xf>
    <xf numFmtId="3" fontId="7" fillId="2" borderId="30" xfId="38" applyNumberFormat="1" applyFont="1" applyFill="1" applyBorder="1" applyAlignment="1" applyProtection="1">
      <alignment horizontal="center" wrapText="1"/>
    </xf>
    <xf numFmtId="165" fontId="5" fillId="0" borderId="1" xfId="140" applyNumberFormat="1" applyFont="1" applyFill="1" applyBorder="1" applyAlignment="1">
      <alignment horizontal="right" indent="1"/>
    </xf>
    <xf numFmtId="165" fontId="5" fillId="0" borderId="17" xfId="140" applyNumberFormat="1" applyFont="1" applyFill="1" applyBorder="1" applyAlignment="1">
      <alignment horizontal="right" indent="1"/>
    </xf>
    <xf numFmtId="10" fontId="6" fillId="3" borderId="31" xfId="108" quotePrefix="1" applyNumberFormat="1" applyFont="1" applyFill="1" applyBorder="1" applyAlignment="1" applyProtection="1">
      <alignment horizontal="center" wrapText="1"/>
    </xf>
    <xf numFmtId="167" fontId="7" fillId="2" borderId="31" xfId="38" applyNumberFormat="1" applyFont="1" applyFill="1" applyBorder="1" applyAlignment="1" applyProtection="1">
      <alignment horizontal="center" wrapText="1"/>
    </xf>
    <xf numFmtId="3" fontId="7" fillId="2" borderId="31" xfId="38" quotePrefix="1" applyNumberFormat="1" applyFont="1" applyFill="1" applyBorder="1" applyAlignment="1" applyProtection="1">
      <alignment horizontal="center" wrapText="1"/>
    </xf>
    <xf numFmtId="3" fontId="7" fillId="2" borderId="32" xfId="38" applyNumberFormat="1" applyFont="1" applyFill="1" applyBorder="1" applyAlignment="1" applyProtection="1">
      <alignment horizontal="center"/>
    </xf>
    <xf numFmtId="41" fontId="5" fillId="0" borderId="1" xfId="140" applyNumberFormat="1" applyFont="1" applyFill="1" applyBorder="1" applyAlignment="1">
      <alignment horizontal="right" indent="1"/>
    </xf>
    <xf numFmtId="0" fontId="5" fillId="0" borderId="0" xfId="38" applyFont="1" applyFill="1" applyBorder="1" applyAlignment="1">
      <alignment vertical="top" wrapText="1"/>
    </xf>
    <xf numFmtId="0" fontId="10" fillId="0" borderId="0" xfId="60"/>
    <xf numFmtId="0" fontId="6" fillId="0" borderId="0" xfId="60" applyFont="1"/>
    <xf numFmtId="0" fontId="5" fillId="0" borderId="0" xfId="38" applyFont="1" applyFill="1" applyBorder="1" applyAlignment="1">
      <alignment horizontal="right"/>
    </xf>
    <xf numFmtId="3" fontId="6" fillId="0" borderId="0" xfId="38" applyNumberFormat="1" applyFont="1" applyFill="1" applyBorder="1" applyAlignment="1" applyProtection="1">
      <alignment horizontal="left"/>
    </xf>
    <xf numFmtId="10" fontId="6" fillId="3" borderId="31" xfId="3" applyNumberFormat="1" applyFont="1" applyFill="1" applyBorder="1" applyAlignment="1" applyProtection="1">
      <alignment horizontal="center" wrapText="1"/>
    </xf>
    <xf numFmtId="0" fontId="10" fillId="0" borderId="0" xfId="60"/>
    <xf numFmtId="0" fontId="5" fillId="0" borderId="0" xfId="38" applyFont="1" applyFill="1" applyBorder="1" applyAlignment="1">
      <alignment horizontal="right"/>
    </xf>
    <xf numFmtId="168" fontId="0" fillId="0" borderId="0" xfId="0" applyNumberFormat="1"/>
    <xf numFmtId="0" fontId="7" fillId="2" borderId="34" xfId="60" applyFont="1" applyFill="1" applyBorder="1" applyAlignment="1">
      <alignment horizontal="center" wrapText="1"/>
    </xf>
    <xf numFmtId="37" fontId="5" fillId="0" borderId="33" xfId="7" applyFont="1" applyBorder="1"/>
    <xf numFmtId="0" fontId="7" fillId="2" borderId="30" xfId="60" applyFont="1" applyFill="1" applyBorder="1" applyAlignment="1">
      <alignment horizontal="center" wrapText="1"/>
    </xf>
    <xf numFmtId="0" fontId="7" fillId="2" borderId="31" xfId="60" applyFont="1" applyFill="1" applyBorder="1" applyAlignment="1">
      <alignment horizontal="center" wrapText="1"/>
    </xf>
    <xf numFmtId="0" fontId="10" fillId="0" borderId="0" xfId="60"/>
    <xf numFmtId="0" fontId="5" fillId="0" borderId="0" xfId="60" applyFont="1"/>
    <xf numFmtId="0" fontId="6" fillId="0" borderId="0" xfId="60" applyFont="1" applyFill="1" applyAlignment="1">
      <alignment horizontal="left"/>
    </xf>
    <xf numFmtId="0" fontId="6" fillId="0" borderId="0" xfId="60" quotePrefix="1" applyFont="1" applyFill="1" applyAlignment="1">
      <alignment horizontal="left"/>
    </xf>
    <xf numFmtId="164" fontId="5" fillId="0" borderId="3" xfId="33" applyNumberFormat="1" applyFont="1" applyFill="1" applyBorder="1" applyAlignment="1">
      <alignment horizontal="right"/>
    </xf>
    <xf numFmtId="168" fontId="5" fillId="0" borderId="3" xfId="60" applyNumberFormat="1" applyFont="1" applyFill="1" applyBorder="1"/>
    <xf numFmtId="168" fontId="5" fillId="0" borderId="4" xfId="60" applyNumberFormat="1" applyFont="1" applyFill="1" applyBorder="1"/>
    <xf numFmtId="3" fontId="5" fillId="0" borderId="1" xfId="60" applyNumberFormat="1" applyFont="1" applyFill="1" applyBorder="1" applyAlignment="1">
      <alignment horizontal="right"/>
    </xf>
    <xf numFmtId="3" fontId="5" fillId="0" borderId="6" xfId="60" applyNumberFormat="1" applyFont="1" applyFill="1" applyBorder="1" applyAlignment="1">
      <alignment horizontal="right"/>
    </xf>
    <xf numFmtId="3" fontId="5" fillId="0" borderId="1" xfId="60" applyNumberFormat="1" applyFont="1" applyFill="1" applyBorder="1"/>
    <xf numFmtId="3" fontId="5" fillId="0" borderId="6" xfId="60" applyNumberFormat="1" applyFont="1" applyFill="1" applyBorder="1"/>
    <xf numFmtId="3" fontId="6" fillId="0" borderId="8" xfId="60" applyNumberFormat="1" applyFont="1" applyFill="1" applyBorder="1" applyAlignment="1">
      <alignment horizontal="right"/>
    </xf>
    <xf numFmtId="168" fontId="6" fillId="0" borderId="8" xfId="60" applyNumberFormat="1" applyFont="1" applyFill="1" applyBorder="1"/>
    <xf numFmtId="168" fontId="6" fillId="0" borderId="9" xfId="60" applyNumberFormat="1" applyFont="1" applyFill="1" applyBorder="1"/>
    <xf numFmtId="166" fontId="2" fillId="0" borderId="0" xfId="3" applyNumberFormat="1" applyFont="1"/>
    <xf numFmtId="44" fontId="2" fillId="0" borderId="0" xfId="0" applyNumberFormat="1" applyFont="1"/>
    <xf numFmtId="3" fontId="6" fillId="3" borderId="32" xfId="38" applyNumberFormat="1" applyFont="1" applyFill="1" applyBorder="1" applyAlignment="1" applyProtection="1">
      <alignment horizontal="right"/>
    </xf>
    <xf numFmtId="44" fontId="2" fillId="0" borderId="3" xfId="2" applyFont="1" applyBorder="1"/>
    <xf numFmtId="44" fontId="2" fillId="0" borderId="4" xfId="2" applyFont="1" applyBorder="1"/>
    <xf numFmtId="0" fontId="7" fillId="2" borderId="33" xfId="0" applyFont="1" applyFill="1" applyBorder="1" applyAlignment="1">
      <alignment horizontal="center" wrapText="1"/>
    </xf>
    <xf numFmtId="0" fontId="7" fillId="2" borderId="38" xfId="0" applyFont="1" applyFill="1" applyBorder="1" applyAlignment="1">
      <alignment horizontal="center" wrapText="1"/>
    </xf>
    <xf numFmtId="0" fontId="7" fillId="2" borderId="6" xfId="0" applyFont="1" applyFill="1" applyBorder="1" applyAlignment="1">
      <alignment horizontal="center" wrapText="1"/>
    </xf>
    <xf numFmtId="44" fontId="2" fillId="0" borderId="1" xfId="2" applyFont="1" applyFill="1" applyBorder="1"/>
    <xf numFmtId="43" fontId="2" fillId="0" borderId="1" xfId="1" applyFont="1" applyFill="1" applyBorder="1"/>
    <xf numFmtId="43" fontId="2" fillId="0" borderId="8" xfId="1" applyFont="1" applyFill="1" applyBorder="1"/>
    <xf numFmtId="44" fontId="2" fillId="0" borderId="6" xfId="2" applyFont="1" applyFill="1" applyBorder="1"/>
    <xf numFmtId="43" fontId="2" fillId="0" borderId="6" xfId="1" applyFont="1" applyFill="1" applyBorder="1"/>
    <xf numFmtId="43" fontId="2" fillId="0" borderId="9" xfId="1" applyFont="1" applyFill="1" applyBorder="1"/>
    <xf numFmtId="0" fontId="0" fillId="0" borderId="0" xfId="0" quotePrefix="1"/>
    <xf numFmtId="0" fontId="5" fillId="0" borderId="17" xfId="4" applyFont="1" applyBorder="1" applyAlignment="1">
      <alignment horizontal="left" wrapText="1"/>
    </xf>
    <xf numFmtId="0" fontId="7" fillId="2" borderId="16" xfId="0" applyFont="1" applyFill="1" applyBorder="1" applyAlignment="1">
      <alignment horizontal="center" wrapText="1"/>
    </xf>
    <xf numFmtId="0" fontId="5" fillId="0" borderId="19" xfId="4" applyFont="1" applyBorder="1" applyAlignment="1">
      <alignment horizontal="left" wrapText="1"/>
    </xf>
    <xf numFmtId="0" fontId="7" fillId="2" borderId="2" xfId="0" applyFont="1" applyFill="1" applyBorder="1" applyAlignment="1">
      <alignment horizontal="center"/>
    </xf>
    <xf numFmtId="0" fontId="7" fillId="2" borderId="13" xfId="1" applyNumberFormat="1" applyFont="1" applyFill="1" applyBorder="1" applyAlignment="1">
      <alignment horizontal="center" wrapText="1"/>
    </xf>
    <xf numFmtId="166" fontId="2" fillId="0" borderId="18" xfId="3" applyNumberFormat="1" applyFont="1" applyBorder="1"/>
    <xf numFmtId="166" fontId="2" fillId="0" borderId="20" xfId="3" applyNumberFormat="1" applyFont="1" applyBorder="1"/>
    <xf numFmtId="0" fontId="7" fillId="2" borderId="40" xfId="1" applyNumberFormat="1" applyFont="1" applyFill="1" applyBorder="1" applyAlignment="1">
      <alignment horizontal="center" wrapText="1"/>
    </xf>
    <xf numFmtId="44" fontId="2" fillId="0" borderId="36" xfId="2" applyNumberFormat="1" applyFont="1" applyBorder="1"/>
    <xf numFmtId="166" fontId="2" fillId="0" borderId="36" xfId="3" applyNumberFormat="1" applyFont="1" applyBorder="1"/>
    <xf numFmtId="43" fontId="2" fillId="0" borderId="36" xfId="2" applyNumberFormat="1" applyFont="1" applyBorder="1"/>
    <xf numFmtId="43" fontId="2" fillId="0" borderId="41" xfId="2" applyNumberFormat="1" applyFont="1" applyBorder="1"/>
    <xf numFmtId="166" fontId="2" fillId="0" borderId="41" xfId="3" applyNumberFormat="1" applyFont="1" applyBorder="1"/>
    <xf numFmtId="44" fontId="5" fillId="0" borderId="1" xfId="140" applyNumberFormat="1" applyFont="1" applyFill="1" applyBorder="1" applyAlignment="1">
      <alignment horizontal="right" indent="1"/>
    </xf>
    <xf numFmtId="165" fontId="0" fillId="0" borderId="0" xfId="0" applyNumberFormat="1"/>
    <xf numFmtId="164" fontId="2" fillId="0" borderId="0" xfId="1" applyNumberFormat="1" applyFont="1"/>
    <xf numFmtId="0" fontId="2" fillId="0" borderId="0" xfId="0" applyFont="1"/>
    <xf numFmtId="165" fontId="2" fillId="0" borderId="0" xfId="2" applyNumberFormat="1" applyFont="1"/>
    <xf numFmtId="165" fontId="2" fillId="0" borderId="6" xfId="2" applyNumberFormat="1" applyFont="1" applyBorder="1"/>
    <xf numFmtId="41" fontId="2" fillId="0" borderId="6" xfId="2" applyNumberFormat="1" applyFont="1" applyBorder="1"/>
    <xf numFmtId="41" fontId="2" fillId="0" borderId="9" xfId="2" applyNumberFormat="1" applyFont="1" applyBorder="1"/>
    <xf numFmtId="9" fontId="2" fillId="0" borderId="0" xfId="3" applyFont="1"/>
    <xf numFmtId="165" fontId="2" fillId="0" borderId="0" xfId="0" applyNumberFormat="1" applyFont="1"/>
    <xf numFmtId="41" fontId="2" fillId="0" borderId="0" xfId="0" applyNumberFormat="1" applyFont="1"/>
    <xf numFmtId="165" fontId="3" fillId="0" borderId="6" xfId="2" applyNumberFormat="1" applyFont="1" applyBorder="1"/>
    <xf numFmtId="0" fontId="2" fillId="0" borderId="0" xfId="0" applyFont="1" applyBorder="1" applyAlignment="1">
      <alignment wrapText="1"/>
    </xf>
    <xf numFmtId="41" fontId="2" fillId="0" borderId="0" xfId="2" applyNumberFormat="1" applyFont="1" applyBorder="1"/>
    <xf numFmtId="0" fontId="2" fillId="0" borderId="7" xfId="0" applyFont="1" applyBorder="1" applyAlignment="1">
      <alignment wrapText="1"/>
    </xf>
    <xf numFmtId="165" fontId="3" fillId="0" borderId="42" xfId="2" applyNumberFormat="1" applyFont="1" applyBorder="1"/>
    <xf numFmtId="165" fontId="20" fillId="0" borderId="42" xfId="2" applyNumberFormat="1" applyFont="1" applyBorder="1"/>
    <xf numFmtId="0" fontId="2" fillId="0" borderId="0" xfId="0" applyFont="1" applyBorder="1" applyAlignment="1">
      <alignment horizontal="right" wrapText="1"/>
    </xf>
    <xf numFmtId="165" fontId="2" fillId="4" borderId="1" xfId="2" applyNumberFormat="1" applyFont="1" applyFill="1" applyBorder="1"/>
    <xf numFmtId="41" fontId="2" fillId="4" borderId="1" xfId="2" applyNumberFormat="1" applyFont="1" applyFill="1" applyBorder="1"/>
    <xf numFmtId="165" fontId="2" fillId="4" borderId="0" xfId="2" applyNumberFormat="1" applyFont="1" applyFill="1"/>
    <xf numFmtId="41" fontId="2" fillId="4" borderId="8" xfId="2" applyNumberFormat="1" applyFont="1" applyFill="1" applyBorder="1"/>
    <xf numFmtId="165" fontId="3" fillId="4" borderId="1" xfId="2" applyNumberFormat="1" applyFont="1" applyFill="1" applyBorder="1"/>
    <xf numFmtId="41" fontId="3" fillId="4" borderId="1" xfId="2" applyNumberFormat="1" applyFont="1" applyFill="1" applyBorder="1"/>
    <xf numFmtId="41" fontId="3" fillId="4" borderId="8" xfId="2" applyNumberFormat="1" applyFont="1" applyFill="1" applyBorder="1"/>
    <xf numFmtId="165" fontId="12" fillId="0" borderId="42" xfId="2" applyNumberFormat="1" applyFont="1" applyBorder="1"/>
    <xf numFmtId="41" fontId="3" fillId="0" borderId="0" xfId="2" applyNumberFormat="1" applyFont="1" applyBorder="1"/>
    <xf numFmtId="0" fontId="2" fillId="0" borderId="0" xfId="0" quotePrefix="1" applyFont="1" applyAlignment="1">
      <alignment horizontal="left" vertical="top" wrapText="1"/>
    </xf>
    <xf numFmtId="0" fontId="5" fillId="0" borderId="17" xfId="4" applyFont="1" applyBorder="1" applyAlignment="1">
      <alignment horizontal="left" wrapText="1"/>
    </xf>
    <xf numFmtId="0" fontId="5" fillId="0" borderId="18" xfId="4" applyFont="1" applyBorder="1" applyAlignment="1">
      <alignment horizontal="left" wrapText="1"/>
    </xf>
    <xf numFmtId="0" fontId="7" fillId="2" borderId="16" xfId="0" applyFont="1" applyFill="1" applyBorder="1" applyAlignment="1">
      <alignment horizontal="center" wrapText="1"/>
    </xf>
    <xf numFmtId="0" fontId="7" fillId="2" borderId="13" xfId="0" applyFont="1" applyFill="1" applyBorder="1" applyAlignment="1">
      <alignment horizontal="center" wrapText="1"/>
    </xf>
    <xf numFmtId="0" fontId="5" fillId="0" borderId="19" xfId="4" applyFont="1" applyBorder="1" applyAlignment="1">
      <alignment horizontal="left" wrapText="1"/>
    </xf>
    <xf numFmtId="0" fontId="5" fillId="0" borderId="20" xfId="4" applyFont="1" applyBorder="1" applyAlignment="1">
      <alignment horizontal="left" wrapText="1"/>
    </xf>
    <xf numFmtId="164" fontId="2" fillId="0" borderId="24" xfId="1" applyNumberFormat="1" applyFont="1" applyBorder="1" applyAlignment="1">
      <alignment horizontal="left" wrapText="1"/>
    </xf>
    <xf numFmtId="164" fontId="2" fillId="0" borderId="15" xfId="1" applyNumberFormat="1" applyFont="1" applyBorder="1" applyAlignment="1">
      <alignment horizontal="left" wrapText="1"/>
    </xf>
    <xf numFmtId="0" fontId="7" fillId="2" borderId="21" xfId="0" applyFont="1" applyFill="1" applyBorder="1" applyAlignment="1">
      <alignment horizontal="center"/>
    </xf>
    <xf numFmtId="0" fontId="7" fillId="2" borderId="13" xfId="0" applyFont="1" applyFill="1" applyBorder="1" applyAlignment="1">
      <alignment horizontal="center"/>
    </xf>
    <xf numFmtId="164" fontId="2" fillId="0" borderId="22" xfId="1" applyNumberFormat="1" applyFont="1" applyBorder="1" applyAlignment="1">
      <alignment horizontal="left" wrapText="1"/>
    </xf>
    <xf numFmtId="164" fontId="2" fillId="0" borderId="14" xfId="1" applyNumberFormat="1" applyFont="1" applyBorder="1" applyAlignment="1">
      <alignment horizontal="left" wrapText="1"/>
    </xf>
    <xf numFmtId="164" fontId="2" fillId="0" borderId="25" xfId="1" applyNumberFormat="1" applyFont="1" applyBorder="1" applyAlignment="1">
      <alignment horizontal="left" wrapText="1"/>
    </xf>
    <xf numFmtId="164" fontId="2" fillId="0" borderId="18" xfId="1" applyNumberFormat="1" applyFont="1" applyBorder="1" applyAlignment="1">
      <alignment horizontal="left" wrapText="1"/>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5" fillId="0" borderId="5" xfId="4" applyFont="1" applyBorder="1" applyAlignment="1">
      <alignment horizontal="left"/>
    </xf>
    <xf numFmtId="0" fontId="5" fillId="0" borderId="1" xfId="4" applyFont="1" applyBorder="1" applyAlignment="1">
      <alignment horizontal="left"/>
    </xf>
    <xf numFmtId="0" fontId="5" fillId="0" borderId="6" xfId="4" applyFont="1" applyBorder="1" applyAlignment="1">
      <alignment horizontal="left"/>
    </xf>
    <xf numFmtId="0" fontId="5" fillId="0" borderId="7" xfId="4" applyFont="1" applyBorder="1" applyAlignment="1">
      <alignment horizontal="left"/>
    </xf>
    <xf numFmtId="0" fontId="5" fillId="0" borderId="8" xfId="4" applyFont="1" applyBorder="1" applyAlignment="1">
      <alignment horizontal="left"/>
    </xf>
    <xf numFmtId="0" fontId="5" fillId="0" borderId="9" xfId="4" applyFont="1" applyBorder="1" applyAlignment="1">
      <alignment horizontal="left"/>
    </xf>
    <xf numFmtId="0" fontId="2" fillId="0" borderId="25" xfId="0" applyFont="1" applyBorder="1" applyAlignment="1">
      <alignment horizontal="left"/>
    </xf>
    <xf numFmtId="0" fontId="2" fillId="0" borderId="35" xfId="0" applyFont="1" applyBorder="1" applyAlignment="1">
      <alignment horizontal="left"/>
    </xf>
    <xf numFmtId="0" fontId="2" fillId="0" borderId="36" xfId="0" applyFont="1" applyBorder="1" applyAlignment="1">
      <alignment horizontal="left"/>
    </xf>
    <xf numFmtId="0" fontId="7" fillId="2" borderId="40" xfId="0" applyFont="1" applyFill="1" applyBorder="1" applyAlignment="1">
      <alignment horizontal="center" wrapText="1"/>
    </xf>
    <xf numFmtId="0" fontId="7" fillId="2" borderId="39" xfId="0" applyFont="1" applyFill="1" applyBorder="1" applyAlignment="1">
      <alignment horizontal="center" wrapText="1"/>
    </xf>
    <xf numFmtId="0" fontId="7" fillId="2" borderId="38" xfId="0" applyFont="1" applyFill="1" applyBorder="1" applyAlignment="1">
      <alignment horizontal="center" wrapText="1"/>
    </xf>
    <xf numFmtId="0" fontId="5" fillId="0" borderId="0" xfId="38" applyFont="1" applyFill="1" applyBorder="1" applyAlignment="1">
      <alignment horizontal="left" vertical="top" wrapText="1"/>
    </xf>
  </cellXfs>
  <cellStyles count="290">
    <cellStyle name="Comma" xfId="1" builtinId="3"/>
    <cellStyle name="Comma 10" xfId="108"/>
    <cellStyle name="Comma 11" xfId="109"/>
    <cellStyle name="Comma 12" xfId="110"/>
    <cellStyle name="Comma 13" xfId="111"/>
    <cellStyle name="Comma 14" xfId="112"/>
    <cellStyle name="Comma 15" xfId="113"/>
    <cellStyle name="Comma 16" xfId="114"/>
    <cellStyle name="Comma 17" xfId="115"/>
    <cellStyle name="Comma 18" xfId="116"/>
    <cellStyle name="Comma 19" xfId="117"/>
    <cellStyle name="Comma 2" xfId="5"/>
    <cellStyle name="Comma 2 10" xfId="118"/>
    <cellStyle name="Comma 2 11" xfId="119"/>
    <cellStyle name="Comma 2 12" xfId="120"/>
    <cellStyle name="Comma 2 13" xfId="121"/>
    <cellStyle name="Comma 2 14" xfId="122"/>
    <cellStyle name="Comma 2 15" xfId="123"/>
    <cellStyle name="Comma 2 16" xfId="124"/>
    <cellStyle name="Comma 2 17" xfId="125"/>
    <cellStyle name="Comma 2 18" xfId="126"/>
    <cellStyle name="Comma 2 19" xfId="127"/>
    <cellStyle name="Comma 2 2" xfId="9"/>
    <cellStyle name="Comma 2 2 2" xfId="32"/>
    <cellStyle name="Comma 2 2 3" xfId="77"/>
    <cellStyle name="Comma 2 20" xfId="128"/>
    <cellStyle name="Comma 2 21" xfId="129"/>
    <cellStyle name="Comma 2 22" xfId="130"/>
    <cellStyle name="Comma 2 23" xfId="131"/>
    <cellStyle name="Comma 2 24" xfId="132"/>
    <cellStyle name="Comma 2 25" xfId="67"/>
    <cellStyle name="Comma 2 26" xfId="282"/>
    <cellStyle name="Comma 2 27" xfId="283"/>
    <cellStyle name="Comma 2 28" xfId="284"/>
    <cellStyle name="Comma 2 29" xfId="285"/>
    <cellStyle name="Comma 2 3" xfId="75"/>
    <cellStyle name="Comma 2 4" xfId="89"/>
    <cellStyle name="Comma 2 5" xfId="95"/>
    <cellStyle name="Comma 2 6" xfId="94"/>
    <cellStyle name="Comma 2 7" xfId="99"/>
    <cellStyle name="Comma 2 8" xfId="133"/>
    <cellStyle name="Comma 2 9" xfId="134"/>
    <cellStyle name="Comma 20" xfId="135"/>
    <cellStyle name="Comma 3" xfId="12"/>
    <cellStyle name="Comma 3 2" xfId="33"/>
    <cellStyle name="Comma 3 3" xfId="28"/>
    <cellStyle name="Comma 3 4" xfId="90"/>
    <cellStyle name="Comma 3 5" xfId="96"/>
    <cellStyle name="Comma 3 6" xfId="97"/>
    <cellStyle name="Comma 3 7" xfId="93"/>
    <cellStyle name="Comma 4" xfId="15"/>
    <cellStyle name="Comma 4 2" xfId="136"/>
    <cellStyle name="Comma 5" xfId="16"/>
    <cellStyle name="Comma 5 2" xfId="65"/>
    <cellStyle name="Comma 5 3" xfId="137"/>
    <cellStyle name="Comma 6" xfId="14"/>
    <cellStyle name="Comma 6 2" xfId="138"/>
    <cellStyle name="Comma 9" xfId="139"/>
    <cellStyle name="Comma0" xfId="31"/>
    <cellStyle name="Comma0 2" xfId="34"/>
    <cellStyle name="Comma0 3" xfId="68"/>
    <cellStyle name="Currency" xfId="2" builtinId="4"/>
    <cellStyle name="Currency 10" xfId="140"/>
    <cellStyle name="Currency 11" xfId="141"/>
    <cellStyle name="Currency 12" xfId="142"/>
    <cellStyle name="Currency 13" xfId="143"/>
    <cellStyle name="Currency 14" xfId="144"/>
    <cellStyle name="Currency 15" xfId="145"/>
    <cellStyle name="Currency 16" xfId="146"/>
    <cellStyle name="Currency 17" xfId="147"/>
    <cellStyle name="Currency 18" xfId="148"/>
    <cellStyle name="Currency 19" xfId="149"/>
    <cellStyle name="Currency 2" xfId="30"/>
    <cellStyle name="Currency 2 10" xfId="150"/>
    <cellStyle name="Currency 2 11" xfId="151"/>
    <cellStyle name="Currency 2 12" xfId="152"/>
    <cellStyle name="Currency 2 13" xfId="153"/>
    <cellStyle name="Currency 2 14" xfId="154"/>
    <cellStyle name="Currency 2 15" xfId="155"/>
    <cellStyle name="Currency 2 16" xfId="156"/>
    <cellStyle name="Currency 2 17" xfId="157"/>
    <cellStyle name="Currency 2 18" xfId="158"/>
    <cellStyle name="Currency 2 19" xfId="159"/>
    <cellStyle name="Currency 2 2" xfId="35"/>
    <cellStyle name="Currency 2 20" xfId="160"/>
    <cellStyle name="Currency 2 21" xfId="161"/>
    <cellStyle name="Currency 2 22" xfId="162"/>
    <cellStyle name="Currency 2 23" xfId="163"/>
    <cellStyle name="Currency 2 24" xfId="164"/>
    <cellStyle name="Currency 2 3" xfId="85"/>
    <cellStyle name="Currency 2 4" xfId="86"/>
    <cellStyle name="Currency 2 5" xfId="98"/>
    <cellStyle name="Currency 2 6" xfId="102"/>
    <cellStyle name="Currency 2 7" xfId="105"/>
    <cellStyle name="Currency 2 8" xfId="165"/>
    <cellStyle name="Currency 2 9" xfId="166"/>
    <cellStyle name="Currency 3" xfId="58"/>
    <cellStyle name="Currency 3 2" xfId="36"/>
    <cellStyle name="Currency 4" xfId="63"/>
    <cellStyle name="Currency 4 2" xfId="167"/>
    <cellStyle name="Currency 5" xfId="23"/>
    <cellStyle name="Currency 7" xfId="168"/>
    <cellStyle name="Currency 8" xfId="169"/>
    <cellStyle name="Currency 9" xfId="170"/>
    <cellStyle name="Currency0" xfId="69"/>
    <cellStyle name="Date" xfId="70"/>
    <cellStyle name="Fixed" xfId="71"/>
    <cellStyle name="Heading 1 10" xfId="171"/>
    <cellStyle name="Heading 1 11" xfId="172"/>
    <cellStyle name="Heading 1 12" xfId="173"/>
    <cellStyle name="Heading 1 13" xfId="174"/>
    <cellStyle name="Heading 1 14" xfId="175"/>
    <cellStyle name="Heading 1 15" xfId="176"/>
    <cellStyle name="Heading 1 16" xfId="177"/>
    <cellStyle name="Heading 1 17" xfId="178"/>
    <cellStyle name="Heading 1 18" xfId="179"/>
    <cellStyle name="Heading 1 19" xfId="180"/>
    <cellStyle name="Heading 1 2" xfId="181"/>
    <cellStyle name="Heading 1 20" xfId="72"/>
    <cellStyle name="Heading 1 3" xfId="182"/>
    <cellStyle name="Heading 1 4" xfId="183"/>
    <cellStyle name="Heading 1 5" xfId="184"/>
    <cellStyle name="Heading 1 6" xfId="185"/>
    <cellStyle name="Heading 1 7" xfId="186"/>
    <cellStyle name="Heading 1 8" xfId="187"/>
    <cellStyle name="Heading 1 9" xfId="188"/>
    <cellStyle name="Heading 2 10" xfId="189"/>
    <cellStyle name="Heading 2 11" xfId="190"/>
    <cellStyle name="Heading 2 12" xfId="191"/>
    <cellStyle name="Heading 2 13" xfId="192"/>
    <cellStyle name="Heading 2 14" xfId="193"/>
    <cellStyle name="Heading 2 15" xfId="194"/>
    <cellStyle name="Heading 2 16" xfId="195"/>
    <cellStyle name="Heading 2 17" xfId="196"/>
    <cellStyle name="Heading 2 18" xfId="197"/>
    <cellStyle name="Heading 2 19" xfId="198"/>
    <cellStyle name="Heading 2 2" xfId="199"/>
    <cellStyle name="Heading 2 20" xfId="73"/>
    <cellStyle name="Heading 2 3" xfId="200"/>
    <cellStyle name="Heading 2 4" xfId="201"/>
    <cellStyle name="Heading 2 5" xfId="202"/>
    <cellStyle name="Heading 2 6" xfId="203"/>
    <cellStyle name="Heading 2 7" xfId="204"/>
    <cellStyle name="Heading 2 8" xfId="205"/>
    <cellStyle name="Heading 2 9" xfId="206"/>
    <cellStyle name="Normal" xfId="0" builtinId="0"/>
    <cellStyle name="Normal 10" xfId="60"/>
    <cellStyle name="Normal 10 2" xfId="61"/>
    <cellStyle name="Normal 11" xfId="62"/>
    <cellStyle name="Normal 11 2" xfId="207"/>
    <cellStyle name="Normal 12" xfId="66"/>
    <cellStyle name="Normal 12 2" xfId="208"/>
    <cellStyle name="Normal 13" xfId="209"/>
    <cellStyle name="Normal 14" xfId="210"/>
    <cellStyle name="Normal 15" xfId="211"/>
    <cellStyle name="Normal 16" xfId="212"/>
    <cellStyle name="Normal 17" xfId="213"/>
    <cellStyle name="Normal 18" xfId="214"/>
    <cellStyle name="Normal 19" xfId="215"/>
    <cellStyle name="Normal 2" xfId="4"/>
    <cellStyle name="Normal 2 10" xfId="38"/>
    <cellStyle name="Normal 2 11" xfId="39"/>
    <cellStyle name="Normal 2 12" xfId="40"/>
    <cellStyle name="Normal 2 13" xfId="41"/>
    <cellStyle name="Normal 2 14" xfId="24"/>
    <cellStyle name="Normal 2 15" xfId="216"/>
    <cellStyle name="Normal 2 16" xfId="217"/>
    <cellStyle name="Normal 2 17" xfId="218"/>
    <cellStyle name="Normal 2 18" xfId="219"/>
    <cellStyle name="Normal 2 19" xfId="220"/>
    <cellStyle name="Normal 2 2" xfId="11"/>
    <cellStyle name="Normal 2 2 2" xfId="37"/>
    <cellStyle name="Normal 2 2 2 2" xfId="79"/>
    <cellStyle name="Normal 2 2 3" xfId="88"/>
    <cellStyle name="Normal 2 2 4" xfId="92"/>
    <cellStyle name="Normal 2 20" xfId="221"/>
    <cellStyle name="Normal 2 21" xfId="222"/>
    <cellStyle name="Normal 2 22" xfId="223"/>
    <cellStyle name="Normal 2 23" xfId="224"/>
    <cellStyle name="Normal 2 24" xfId="225"/>
    <cellStyle name="Normal 2 25" xfId="226"/>
    <cellStyle name="Normal 2 26" xfId="227"/>
    <cellStyle name="Normal 2 27" xfId="286"/>
    <cellStyle name="Normal 2 28" xfId="287"/>
    <cellStyle name="Normal 2 29" xfId="288"/>
    <cellStyle name="Normal 2 3" xfId="7"/>
    <cellStyle name="Normal 2 3 2" xfId="42"/>
    <cellStyle name="Normal 2 3 3" xfId="81"/>
    <cellStyle name="Normal 2 30" xfId="289"/>
    <cellStyle name="Normal 2 4" xfId="43"/>
    <cellStyle name="Normal 2 4 2" xfId="83"/>
    <cellStyle name="Normal 2 5" xfId="44"/>
    <cellStyle name="Normal 2 6" xfId="45"/>
    <cellStyle name="Normal 2 7" xfId="46"/>
    <cellStyle name="Normal 2 8" xfId="47"/>
    <cellStyle name="Normal 2 9" xfId="48"/>
    <cellStyle name="Normal 20" xfId="228"/>
    <cellStyle name="Normal 3" xfId="17"/>
    <cellStyle name="Normal 3 2" xfId="49"/>
    <cellStyle name="Normal 3 2 2" xfId="80"/>
    <cellStyle name="Normal 3 3" xfId="59"/>
    <cellStyle name="Normal 3 3 2" xfId="82"/>
    <cellStyle name="Normal 3 4" xfId="25"/>
    <cellStyle name="Normal 3 4 2" xfId="84"/>
    <cellStyle name="Normal 4" xfId="18"/>
    <cellStyle name="Normal 4 2" xfId="50"/>
    <cellStyle name="Normal 4 3" xfId="26"/>
    <cellStyle name="Normal 4 4" xfId="78"/>
    <cellStyle name="Normal 5" xfId="19"/>
    <cellStyle name="Normal 5 2" xfId="27"/>
    <cellStyle name="Normal 5 3" xfId="229"/>
    <cellStyle name="Normal 6" xfId="20"/>
    <cellStyle name="Normal 6 2" xfId="51"/>
    <cellStyle name="Normal 6 3" xfId="230"/>
    <cellStyle name="Normal 7" xfId="13"/>
    <cellStyle name="Normal 7 2" xfId="52"/>
    <cellStyle name="Normal 8" xfId="22"/>
    <cellStyle name="Normal 8 2" xfId="53"/>
    <cellStyle name="Normal 9" xfId="54"/>
    <cellStyle name="Normal 9 2" xfId="231"/>
    <cellStyle name="Percent" xfId="3" builtinId="5"/>
    <cellStyle name="Percent 10" xfId="232"/>
    <cellStyle name="Percent 11" xfId="233"/>
    <cellStyle name="Percent 12" xfId="234"/>
    <cellStyle name="Percent 13" xfId="235"/>
    <cellStyle name="Percent 14" xfId="236"/>
    <cellStyle name="Percent 15" xfId="237"/>
    <cellStyle name="Percent 16" xfId="238"/>
    <cellStyle name="Percent 17" xfId="239"/>
    <cellStyle name="Percent 18" xfId="240"/>
    <cellStyle name="Percent 19" xfId="241"/>
    <cellStyle name="Percent 2" xfId="6"/>
    <cellStyle name="Percent 2 10" xfId="242"/>
    <cellStyle name="Percent 2 11" xfId="243"/>
    <cellStyle name="Percent 2 12" xfId="244"/>
    <cellStyle name="Percent 2 13" xfId="245"/>
    <cellStyle name="Percent 2 14" xfId="246"/>
    <cellStyle name="Percent 2 15" xfId="247"/>
    <cellStyle name="Percent 2 16" xfId="248"/>
    <cellStyle name="Percent 2 17" xfId="249"/>
    <cellStyle name="Percent 2 18" xfId="250"/>
    <cellStyle name="Percent 2 19" xfId="251"/>
    <cellStyle name="Percent 2 2" xfId="8"/>
    <cellStyle name="Percent 2 2 2" xfId="55"/>
    <cellStyle name="Percent 2 20" xfId="252"/>
    <cellStyle name="Percent 2 21" xfId="253"/>
    <cellStyle name="Percent 2 22" xfId="254"/>
    <cellStyle name="Percent 2 23" xfId="255"/>
    <cellStyle name="Percent 2 24" xfId="256"/>
    <cellStyle name="Percent 2 3" xfId="87"/>
    <cellStyle name="Percent 2 4" xfId="76"/>
    <cellStyle name="Percent 2 5" xfId="100"/>
    <cellStyle name="Percent 2 6" xfId="103"/>
    <cellStyle name="Percent 2 7" xfId="106"/>
    <cellStyle name="Percent 2 8" xfId="257"/>
    <cellStyle name="Percent 2 9" xfId="258"/>
    <cellStyle name="Percent 20" xfId="259"/>
    <cellStyle name="Percent 3" xfId="10"/>
    <cellStyle name="Percent 3 2" xfId="56"/>
    <cellStyle name="Percent 3 3" xfId="29"/>
    <cellStyle name="Percent 3 4" xfId="91"/>
    <cellStyle name="Percent 3 5" xfId="101"/>
    <cellStyle name="Percent 3 6" xfId="104"/>
    <cellStyle name="Percent 3 7" xfId="107"/>
    <cellStyle name="Percent 4" xfId="21"/>
    <cellStyle name="Percent 4 2" xfId="57"/>
    <cellStyle name="Percent 5" xfId="64"/>
    <cellStyle name="Percent 5 2" xfId="260"/>
    <cellStyle name="Percent 6" xfId="261"/>
    <cellStyle name="Percent 8" xfId="262"/>
    <cellStyle name="Percent 9" xfId="263"/>
    <cellStyle name="Total 10" xfId="264"/>
    <cellStyle name="Total 11" xfId="265"/>
    <cellStyle name="Total 12" xfId="266"/>
    <cellStyle name="Total 13" xfId="267"/>
    <cellStyle name="Total 14" xfId="268"/>
    <cellStyle name="Total 15" xfId="269"/>
    <cellStyle name="Total 16" xfId="270"/>
    <cellStyle name="Total 17" xfId="271"/>
    <cellStyle name="Total 18" xfId="272"/>
    <cellStyle name="Total 19" xfId="273"/>
    <cellStyle name="Total 2" xfId="274"/>
    <cellStyle name="Total 20" xfId="74"/>
    <cellStyle name="Total 3" xfId="275"/>
    <cellStyle name="Total 4" xfId="276"/>
    <cellStyle name="Total 5" xfId="277"/>
    <cellStyle name="Total 6" xfId="278"/>
    <cellStyle name="Total 7" xfId="279"/>
    <cellStyle name="Total 8" xfId="280"/>
    <cellStyle name="Total 9" xfId="281"/>
  </cellStyles>
  <dxfs count="3">
    <dxf>
      <numFmt numFmtId="27" formatCode="m/d/yyyy\ h:mm"/>
    </dxf>
    <dxf>
      <font>
        <b/>
        <i val="0"/>
        <strike val="0"/>
        <u val="none"/>
        <color theme="0"/>
      </font>
      <fill>
        <patternFill>
          <bgColor rgb="FFFF0000"/>
        </patternFill>
      </fill>
    </dxf>
    <dxf>
      <alignment horizontal="center" vertical="bottom" textRotation="0" wrapText="1" indent="0" justifyLastLine="0" shrinkToFit="0" readingOrder="0"/>
    </dxf>
  </dxfs>
  <tableStyles count="0" defaultTableStyle="TableStyleMedium2" defaultPivotStyle="PivotStyleLight16"/>
  <colors>
    <mruColors>
      <color rgb="FFFFE1E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onnections" Target="connection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trlProps/ctrlProp1.xml><?xml version="1.0" encoding="utf-8"?>
<formControlPr xmlns="http://schemas.microsoft.com/office/spreadsheetml/2009/9/main" objectType="Drop" dropLines="30" dropStyle="combo" dx="16" fmlaLink="A3" fmlaRange="$X$3:$X$31" noThreeD="1"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1</xdr:row>
          <xdr:rowOff>171450</xdr:rowOff>
        </xdr:from>
        <xdr:to>
          <xdr:col>3</xdr:col>
          <xdr:colOff>314325</xdr:colOff>
          <xdr:row>3</xdr:row>
          <xdr:rowOff>85725</xdr:rowOff>
        </xdr:to>
        <xdr:sp macro="" textlink="">
          <xdr:nvSpPr>
            <xdr:cNvPr id="63489" name="Drop Down 1" hidden="1">
              <a:extLst>
                <a:ext uri="{63B3BB69-23CF-44E3-9099-C40C66FF867C}">
                  <a14:compatExt spid="_x0000_s63489"/>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TC%20Expenditure%20Study%20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ate History"/>
      <sheetName val="FTSE Summary"/>
      <sheetName val="Discipline Summary"/>
      <sheetName val="Discipline Analysis"/>
      <sheetName val="Neutral"/>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Data"/>
    </sheetNames>
    <sheetDataSet>
      <sheetData sheetId="0">
        <row r="1">
          <cell r="A1" t="str">
            <v>Community and Technical Colleges, Report of Fundable Operating Expenses, Fiscal Year (FY) 2010</v>
          </cell>
        </row>
        <row r="5">
          <cell r="F5">
            <v>8.3546442290931431</v>
          </cell>
        </row>
        <row r="6">
          <cell r="F6">
            <v>9.1518481254453672</v>
          </cell>
        </row>
        <row r="7">
          <cell r="F7">
            <v>7.4246458040228518</v>
          </cell>
        </row>
        <row r="8">
          <cell r="F8">
            <v>7.5459725534394755</v>
          </cell>
        </row>
        <row r="9">
          <cell r="F9">
            <v>31.732203333682957</v>
          </cell>
        </row>
        <row r="10">
          <cell r="F10">
            <v>8.541594870968245</v>
          </cell>
        </row>
        <row r="11">
          <cell r="F11">
            <v>9.0091906669667399</v>
          </cell>
        </row>
        <row r="12">
          <cell r="F12">
            <v>9.1499254382485358</v>
          </cell>
        </row>
        <row r="13">
          <cell r="F13">
            <v>7.5340118023845886</v>
          </cell>
        </row>
        <row r="14">
          <cell r="F14">
            <v>10.56902124915373</v>
          </cell>
        </row>
        <row r="15">
          <cell r="F15">
            <v>8.153855531845009</v>
          </cell>
        </row>
        <row r="16">
          <cell r="F16">
            <v>7.8328440633494703</v>
          </cell>
        </row>
        <row r="17">
          <cell r="F17">
            <v>7.1257352266631182</v>
          </cell>
        </row>
        <row r="18">
          <cell r="F18">
            <v>12.111094836233011</v>
          </cell>
        </row>
        <row r="19">
          <cell r="F19">
            <v>17.633103100940758</v>
          </cell>
        </row>
        <row r="20">
          <cell r="F20">
            <v>9.5915482693631073</v>
          </cell>
        </row>
        <row r="21">
          <cell r="F21">
            <v>13.077344395368245</v>
          </cell>
        </row>
        <row r="22">
          <cell r="F22">
            <v>9.5527306305894655</v>
          </cell>
        </row>
        <row r="23">
          <cell r="F23">
            <v>7.2223418419406</v>
          </cell>
        </row>
        <row r="24">
          <cell r="F24">
            <v>9.4803055374889773</v>
          </cell>
        </row>
        <row r="25">
          <cell r="F25">
            <v>9.9406163548426232</v>
          </cell>
        </row>
        <row r="26">
          <cell r="F26">
            <v>8.8233437865140854</v>
          </cell>
        </row>
        <row r="27">
          <cell r="F27">
            <v>8.9122924849299654</v>
          </cell>
        </row>
        <row r="28">
          <cell r="F28">
            <v>8.1073405502530669</v>
          </cell>
        </row>
        <row r="29">
          <cell r="F29">
            <v>6.7497984570272118</v>
          </cell>
        </row>
        <row r="30">
          <cell r="F30">
            <v>9.1497976957113369</v>
          </cell>
        </row>
        <row r="31">
          <cell r="F31">
            <v>0</v>
          </cell>
        </row>
        <row r="32">
          <cell r="F32">
            <v>0</v>
          </cell>
        </row>
      </sheetData>
      <sheetData sheetId="1">
        <row r="4">
          <cell r="C4">
            <v>8.3546442290931431</v>
          </cell>
        </row>
      </sheetData>
      <sheetData sheetId="2"/>
      <sheetData sheetId="3"/>
      <sheetData sheetId="4"/>
      <sheetData sheetId="5">
        <row r="6">
          <cell r="A6" t="str">
            <v>Alamo Community College District</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ow r="1">
          <cell r="G1" t="str">
            <v>Institution Name</v>
          </cell>
        </row>
      </sheetData>
    </sheetDataSet>
  </externalBook>
</externalLink>
</file>

<file path=xl/queryTables/queryTable1.xml><?xml version="1.0" encoding="utf-8"?>
<queryTable xmlns="http://schemas.openxmlformats.org/spreadsheetml/2006/main" name="Broadway AP_FRP_RFOE CCSurvey" adjustColumnWidth="0" connectionId="1" autoFormatId="16" applyNumberFormats="0" applyBorderFormats="0" applyFontFormats="0" applyPatternFormats="0" applyAlignmentFormats="0" applyWidthHeightFormats="0">
  <queryTableRefresh nextId="315">
    <queryTableFields count="314">
      <queryTableField id="1" name="FICE" tableColumnId="1"/>
      <queryTableField id="2" name="Password" tableColumnId="2"/>
      <queryTableField id="3" name="Approved" tableColumnId="3"/>
      <queryTableField id="4" name="ApprovalDate" tableColumnId="4"/>
      <queryTableField id="5" name="LastMod" tableColumnId="5"/>
      <queryTableField id="6" name="CBNote" tableColumnId="6"/>
      <queryTableField id="7" name="dist_name" tableColumnId="7"/>
      <queryTableField id="8" name="person" tableColumnId="8"/>
      <queryTableField id="9" name="title" tableColumnId="9"/>
      <queryTableField id="10" name="phone" tableColumnId="10"/>
      <queryTableField id="11" name="email" tableColumnId="11"/>
      <queryTableField id="12" name="GrandTotal" tableColumnId="12"/>
      <queryTableField id="13" name="SecATotal" tableColumnId="13"/>
      <queryTableField id="14" name="SecBTotal" tableColumnId="14"/>
      <queryTableField id="15" name="AFRExb2" tableColumnId="15"/>
      <queryTableField id="16" name="Difference" tableColumnId="16"/>
      <queryTableField id="17" name="Sec2Local" tableColumnId="17"/>
      <queryTableField id="18" name="Sec2State" tableColumnId="18"/>
      <queryTableField id="19" name="Sec2_Total" tableColumnId="19"/>
      <queryTableField id="20" name="Sec3SW1" tableColumnId="20"/>
      <queryTableField id="21" name="Sec3SW2" tableColumnId="21"/>
      <queryTableField id="22" name="Sec3SW3" tableColumnId="22"/>
      <queryTableField id="23" name="Sec3SW4" tableColumnId="23"/>
      <queryTableField id="24" name="Sec3SW5" tableColumnId="24"/>
      <queryTableField id="25" name="Sec3SW6" tableColumnId="25"/>
      <queryTableField id="26" name="Sec3SWTotal" tableColumnId="26"/>
      <queryTableField id="27" name="Sec3Oth1" tableColumnId="27"/>
      <queryTableField id="28" name="Sec3Oth2" tableColumnId="28"/>
      <queryTableField id="29" name="Sec3Oth3" tableColumnId="29"/>
      <queryTableField id="30" name="Sec3Oth4" tableColumnId="30"/>
      <queryTableField id="31" name="Sec3Oth5" tableColumnId="31"/>
      <queryTableField id="32" name="Sec3Oth6" tableColumnId="32"/>
      <queryTableField id="33" name="Sec3OthTotal" tableColumnId="33"/>
      <queryTableField id="34" name="Sec3_1" tableColumnId="34"/>
      <queryTableField id="35" name="Sec3_2" tableColumnId="35"/>
      <queryTableField id="36" name="Sec3_3" tableColumnId="36"/>
      <queryTableField id="37" name="Sec3_4" tableColumnId="37"/>
      <queryTableField id="38" name="Sec3_5" tableColumnId="38"/>
      <queryTableField id="39" name="Sec3_6" tableColumnId="39"/>
      <queryTableField id="40" name="Sec3_Total" tableColumnId="40"/>
      <queryTableField id="41" name="Sec4SW1" tableColumnId="41"/>
      <queryTableField id="42" name="Sec4SW2" tableColumnId="42"/>
      <queryTableField id="43" name="Sec4SW3" tableColumnId="43"/>
      <queryTableField id="44" name="Sec4SW4" tableColumnId="44"/>
      <queryTableField id="45" name="Sec4SWTotal" tableColumnId="45"/>
      <queryTableField id="46" name="Sec4Oth1" tableColumnId="46"/>
      <queryTableField id="47" name="Sec4Oth2" tableColumnId="47"/>
      <queryTableField id="48" name="Sec4Oth3" tableColumnId="48"/>
      <queryTableField id="49" name="Sec4Oth4" tableColumnId="49"/>
      <queryTableField id="50" name="Sec4OthTotal" tableColumnId="50"/>
      <queryTableField id="51" name="Sec4_1" tableColumnId="51"/>
      <queryTableField id="52" name="Sec4_2" tableColumnId="52"/>
      <queryTableField id="53" name="Sec4_3" tableColumnId="53"/>
      <queryTableField id="54" name="Sec4_4" tableColumnId="54"/>
      <queryTableField id="55" name="Sec4_Total" tableColumnId="55"/>
      <queryTableField id="56" name="Sec5SW1" tableColumnId="56"/>
      <queryTableField id="57" name="Sec5SW2" tableColumnId="57"/>
      <queryTableField id="58" name="Sec5SW3" tableColumnId="58"/>
      <queryTableField id="59" name="Sec5SW4" tableColumnId="59"/>
      <queryTableField id="60" name="Sec5SW5" tableColumnId="60"/>
      <queryTableField id="61" name="Sec5SWTotal" tableColumnId="61"/>
      <queryTableField id="62" name="Sec5SB1" tableColumnId="62"/>
      <queryTableField id="63" name="Sec5SB2" tableColumnId="63"/>
      <queryTableField id="64" name="Sec5SB3" tableColumnId="64"/>
      <queryTableField id="65" name="Sec5SB4" tableColumnId="65"/>
      <queryTableField id="66" name="Sec5SB5" tableColumnId="66"/>
      <queryTableField id="67" name="Sec5SBTotal" tableColumnId="67"/>
      <queryTableField id="68" name="Sec5Oth1" tableColumnId="68"/>
      <queryTableField id="69" name="Sec5Oth2" tableColumnId="69"/>
      <queryTableField id="70" name="Sec5Oth3" tableColumnId="70"/>
      <queryTableField id="71" name="Sec5Oth4" tableColumnId="71"/>
      <queryTableField id="72" name="Sec5Oth5" tableColumnId="72"/>
      <queryTableField id="73" name="Sec5OthTotal" tableColumnId="73"/>
      <queryTableField id="74" name="Sec5_1" tableColumnId="74"/>
      <queryTableField id="75" name="Sec5_2" tableColumnId="75"/>
      <queryTableField id="76" name="Sec5_3" tableColumnId="76"/>
      <queryTableField id="77" name="Sec5_4" tableColumnId="77"/>
      <queryTableField id="78" name="Sec5_5" tableColumnId="78"/>
      <queryTableField id="79" name="Sec5_Total" tableColumnId="79"/>
      <queryTableField id="80" name="Sec6SW1" tableColumnId="80"/>
      <queryTableField id="81" name="Sec6SW2" tableColumnId="81"/>
      <queryTableField id="82" name="Sec6SW3" tableColumnId="82"/>
      <queryTableField id="83" name="Sec6SWTotal" tableColumnId="83"/>
      <queryTableField id="84" name="Sec6SB1" tableColumnId="84"/>
      <queryTableField id="85" name="Sec6SB2" tableColumnId="85"/>
      <queryTableField id="86" name="Sec6SB3" tableColumnId="86"/>
      <queryTableField id="87" name="Sec6SBTotal" tableColumnId="87"/>
      <queryTableField id="88" name="Sec6Oth1" tableColumnId="88"/>
      <queryTableField id="89" name="Sec6Oth2" tableColumnId="89"/>
      <queryTableField id="90" name="Sec6Oth3" tableColumnId="90"/>
      <queryTableField id="91" name="Sec6OthTotal" tableColumnId="91"/>
      <queryTableField id="92" name="Sec6_1" tableColumnId="92"/>
      <queryTableField id="93" name="Sec6_2" tableColumnId="93"/>
      <queryTableField id="94" name="Sec6_3" tableColumnId="94"/>
      <queryTableField id="95" name="Sec6_Total" tableColumnId="95"/>
      <queryTableField id="96" name="FICE_Link" tableColumnId="96"/>
      <queryTableField id="97" name="LocalBenefits" tableColumnId="97"/>
      <queryTableField id="98" name="StateBenefits" tableColumnId="98"/>
      <queryTableField id="99" name="HRS1" tableColumnId="99"/>
      <queryTableField id="100" name="HRS2" tableColumnId="100"/>
      <queryTableField id="101" name="HRS3" tableColumnId="101"/>
      <queryTableField id="102" name="HRS4" tableColumnId="102"/>
      <queryTableField id="103" name="HRS5" tableColumnId="103"/>
      <queryTableField id="104" name="HRS6" tableColumnId="104"/>
      <queryTableField id="105" name="HRS7" tableColumnId="105"/>
      <queryTableField id="106" name="HRS8" tableColumnId="106"/>
      <queryTableField id="107" name="HRS9" tableColumnId="107"/>
      <queryTableField id="108" name="HRS10" tableColumnId="108"/>
      <queryTableField id="109" name="HRS11" tableColumnId="109"/>
      <queryTableField id="110" name="HRS12" tableColumnId="110"/>
      <queryTableField id="111" name="HRS13" tableColumnId="111"/>
      <queryTableField id="112" name="HRS14" tableColumnId="112"/>
      <queryTableField id="113" name="HRS15" tableColumnId="113"/>
      <queryTableField id="114" name="HRS16" tableColumnId="114"/>
      <queryTableField id="115" name="HRS17" tableColumnId="115"/>
      <queryTableField id="116" name="HRS18" tableColumnId="116"/>
      <queryTableField id="117" name="HRS19" tableColumnId="117"/>
      <queryTableField id="118" name="HRS20" tableColumnId="118"/>
      <queryTableField id="119" name="HRS21" tableColumnId="119"/>
      <queryTableField id="120" name="HRS22" tableColumnId="120"/>
      <queryTableField id="121" name="HRS23" tableColumnId="121"/>
      <queryTableField id="122" name="HRS24" tableColumnId="122"/>
      <queryTableField id="123" name="HRS25" tableColumnId="123"/>
      <queryTableField id="124" name="HRS26" tableColumnId="124"/>
      <queryTableField id="125" name="HRS27" tableColumnId="125"/>
      <queryTableField id="126" name="HRS28" tableColumnId="126"/>
      <queryTableField id="127" name="HRS29" tableColumnId="127"/>
      <queryTableField id="128" name="HRSTotal" tableColumnId="128"/>
      <queryTableField id="129" name="FacSal1" tableColumnId="129"/>
      <queryTableField id="130" name="FacSal2" tableColumnId="130"/>
      <queryTableField id="131" name="FacSal3" tableColumnId="131"/>
      <queryTableField id="132" name="FacSal4" tableColumnId="132"/>
      <queryTableField id="133" name="FacSal5" tableColumnId="133"/>
      <queryTableField id="134" name="FacSal6" tableColumnId="134"/>
      <queryTableField id="135" name="FacSal7" tableColumnId="135"/>
      <queryTableField id="136" name="FacSal8" tableColumnId="136"/>
      <queryTableField id="137" name="FacSal9" tableColumnId="137"/>
      <queryTableField id="138" name="FacSal10" tableColumnId="138"/>
      <queryTableField id="139" name="FacSal11" tableColumnId="139"/>
      <queryTableField id="140" name="FacSal12" tableColumnId="140"/>
      <queryTableField id="141" name="FacSal13" tableColumnId="141"/>
      <queryTableField id="142" name="FacSal14" tableColumnId="142"/>
      <queryTableField id="143" name="FacSal15" tableColumnId="143"/>
      <queryTableField id="144" name="FacSal16" tableColumnId="144"/>
      <queryTableField id="145" name="FacSal17" tableColumnId="145"/>
      <queryTableField id="146" name="FacSal18" tableColumnId="146"/>
      <queryTableField id="147" name="FacSal19" tableColumnId="147"/>
      <queryTableField id="148" name="FacSal20" tableColumnId="148"/>
      <queryTableField id="149" name="FacSal21" tableColumnId="149"/>
      <queryTableField id="150" name="FacSal22" tableColumnId="150"/>
      <queryTableField id="151" name="FacSal23" tableColumnId="151"/>
      <queryTableField id="152" name="FacSal24" tableColumnId="152"/>
      <queryTableField id="153" name="FacSal25" tableColumnId="153"/>
      <queryTableField id="154" name="FacSal26" tableColumnId="154"/>
      <queryTableField id="155" name="FacSal27" tableColumnId="155"/>
      <queryTableField id="156" name="FacSal28" tableColumnId="156"/>
      <queryTableField id="157" name="FacSal29" tableColumnId="157"/>
      <queryTableField id="158" name="FacSalTotal" tableColumnId="158"/>
      <queryTableField id="159" name="OthSal1" tableColumnId="159"/>
      <queryTableField id="160" name="OthSal2" tableColumnId="160"/>
      <queryTableField id="161" name="OthSal3" tableColumnId="161"/>
      <queryTableField id="162" name="OthSal4" tableColumnId="162"/>
      <queryTableField id="163" name="OthSal5" tableColumnId="163"/>
      <queryTableField id="164" name="OthSal6" tableColumnId="164"/>
      <queryTableField id="165" name="OthSal7" tableColumnId="165"/>
      <queryTableField id="166" name="OthSal8" tableColumnId="166"/>
      <queryTableField id="167" name="OthSal9" tableColumnId="167"/>
      <queryTableField id="168" name="OthSal10" tableColumnId="168"/>
      <queryTableField id="169" name="OthSal11" tableColumnId="169"/>
      <queryTableField id="170" name="OthSal12" tableColumnId="170"/>
      <queryTableField id="171" name="OthSal13" tableColumnId="171"/>
      <queryTableField id="172" name="OthSal14" tableColumnId="172"/>
      <queryTableField id="173" name="OthSal15" tableColumnId="173"/>
      <queryTableField id="174" name="OthSal16" tableColumnId="174"/>
      <queryTableField id="175" name="OthSal17" tableColumnId="175"/>
      <queryTableField id="176" name="OthSal18" tableColumnId="176"/>
      <queryTableField id="177" name="OthSal19" tableColumnId="177"/>
      <queryTableField id="178" name="OthSal20" tableColumnId="178"/>
      <queryTableField id="179" name="OthSal21" tableColumnId="179"/>
      <queryTableField id="180" name="OthSal22" tableColumnId="180"/>
      <queryTableField id="181" name="OthSal23" tableColumnId="181"/>
      <queryTableField id="182" name="OthSal24" tableColumnId="182"/>
      <queryTableField id="183" name="OthSal25" tableColumnId="183"/>
      <queryTableField id="184" name="OthSal26" tableColumnId="184"/>
      <queryTableField id="185" name="OthSal27" tableColumnId="185"/>
      <queryTableField id="186" name="OthSal28" tableColumnId="186"/>
      <queryTableField id="187" name="OthSal29" tableColumnId="187"/>
      <queryTableField id="188" name="OthSalTotal" tableColumnId="188"/>
      <queryTableField id="189" name="Benefits1" tableColumnId="189"/>
      <queryTableField id="190" name="Benefits2" tableColumnId="190"/>
      <queryTableField id="191" name="Benefits3" tableColumnId="191"/>
      <queryTableField id="192" name="Benefits4" tableColumnId="192"/>
      <queryTableField id="193" name="Benefits5" tableColumnId="193"/>
      <queryTableField id="194" name="Benefits6" tableColumnId="194"/>
      <queryTableField id="195" name="Benefits7" tableColumnId="195"/>
      <queryTableField id="196" name="Benefits8" tableColumnId="196"/>
      <queryTableField id="197" name="Benefits9" tableColumnId="197"/>
      <queryTableField id="198" name="Benefits10" tableColumnId="198"/>
      <queryTableField id="199" name="Benefits11" tableColumnId="199"/>
      <queryTableField id="200" name="Benefits12" tableColumnId="200"/>
      <queryTableField id="201" name="Benefits13" tableColumnId="201"/>
      <queryTableField id="202" name="Benefits14" tableColumnId="202"/>
      <queryTableField id="203" name="Benefits15" tableColumnId="203"/>
      <queryTableField id="204" name="Benefits16" tableColumnId="204"/>
      <queryTableField id="205" name="Benefits17" tableColumnId="205"/>
      <queryTableField id="206" name="Benefits18" tableColumnId="206"/>
      <queryTableField id="207" name="Benefits19" tableColumnId="207"/>
      <queryTableField id="208" name="Benefits20" tableColumnId="208"/>
      <queryTableField id="209" name="Benefits21" tableColumnId="209"/>
      <queryTableField id="210" name="Benefits22" tableColumnId="210"/>
      <queryTableField id="211" name="Benefits23" tableColumnId="211"/>
      <queryTableField id="212" name="Benefits24" tableColumnId="212"/>
      <queryTableField id="213" name="Benefits25" tableColumnId="213"/>
      <queryTableField id="214" name="Benefits26" tableColumnId="214"/>
      <queryTableField id="215" name="Benefits27" tableColumnId="215"/>
      <queryTableField id="216" name="Benefits28" tableColumnId="216"/>
      <queryTableField id="217" name="Benefits29" tableColumnId="217"/>
      <queryTableField id="218" name="BenefitsTotal" tableColumnId="218"/>
      <queryTableField id="219" name="OtherOps1" tableColumnId="219"/>
      <queryTableField id="220" name="OtherOps2" tableColumnId="220"/>
      <queryTableField id="221" name="OtherOps3" tableColumnId="221"/>
      <queryTableField id="222" name="OtherOps4" tableColumnId="222"/>
      <queryTableField id="223" name="OtherOps5" tableColumnId="223"/>
      <queryTableField id="224" name="OtherOps6" tableColumnId="224"/>
      <queryTableField id="225" name="OtherOps7" tableColumnId="225"/>
      <queryTableField id="226" name="OtherOps8" tableColumnId="226"/>
      <queryTableField id="227" name="OtherOps9" tableColumnId="227"/>
      <queryTableField id="228" name="OtherOps10" tableColumnId="228"/>
      <queryTableField id="229" name="OtherOps11" tableColumnId="229"/>
      <queryTableField id="230" name="OtherOps12" tableColumnId="230"/>
      <queryTableField id="231" name="OtherOps13" tableColumnId="231"/>
      <queryTableField id="232" name="OtherOps14" tableColumnId="232"/>
      <queryTableField id="233" name="OtherOps15" tableColumnId="233"/>
      <queryTableField id="234" name="OtherOps16" tableColumnId="234"/>
      <queryTableField id="235" name="OtherOps17" tableColumnId="235"/>
      <queryTableField id="236" name="OtherOps18" tableColumnId="236"/>
      <queryTableField id="237" name="OtherOps19" tableColumnId="237"/>
      <queryTableField id="238" name="OtherOps20" tableColumnId="238"/>
      <queryTableField id="239" name="OtherOps21" tableColumnId="239"/>
      <queryTableField id="240" name="OtherOps22" tableColumnId="240"/>
      <queryTableField id="241" name="OtherOps23" tableColumnId="241"/>
      <queryTableField id="242" name="OtherOps24" tableColumnId="242"/>
      <queryTableField id="243" name="OtherOps25" tableColumnId="243"/>
      <queryTableField id="244" name="OtherOps26" tableColumnId="244"/>
      <queryTableField id="245" name="OtherOps27" tableColumnId="245"/>
      <queryTableField id="246" name="OtherOps28" tableColumnId="246"/>
      <queryTableField id="247" name="OtherOps29" tableColumnId="247"/>
      <queryTableField id="248" name="OtherOpsTotal" tableColumnId="248"/>
      <queryTableField id="249" name="DOE1" tableColumnId="249"/>
      <queryTableField id="250" name="DOE2" tableColumnId="250"/>
      <queryTableField id="251" name="DOE3" tableColumnId="251"/>
      <queryTableField id="252" name="DOE4" tableColumnId="252"/>
      <queryTableField id="253" name="DOE5" tableColumnId="253"/>
      <queryTableField id="254" name="DOE6" tableColumnId="254"/>
      <queryTableField id="255" name="DOE7" tableColumnId="255"/>
      <queryTableField id="256" name="DOE8" tableColumnId="256"/>
      <queryTableField id="257" name="DOE9" tableColumnId="257"/>
      <queryTableField id="258" name="DOE10" tableColumnId="258"/>
      <queryTableField id="259" name="DOE11" tableColumnId="259"/>
      <queryTableField id="260" name="DOE12" tableColumnId="260"/>
      <queryTableField id="261" name="DOE13" tableColumnId="261"/>
      <queryTableField id="262" name="DOE14" tableColumnId="262"/>
      <queryTableField id="263" name="DOE15" tableColumnId="263"/>
      <queryTableField id="264" name="DOE16" tableColumnId="264"/>
      <queryTableField id="265" name="DOE17" tableColumnId="265"/>
      <queryTableField id="266" name="DOE18" tableColumnId="266"/>
      <queryTableField id="267" name="DOE19" tableColumnId="267"/>
      <queryTableField id="268" name="DOE20" tableColumnId="268"/>
      <queryTableField id="269" name="DOE21" tableColumnId="269"/>
      <queryTableField id="270" name="DOE22" tableColumnId="270"/>
      <queryTableField id="271" name="DOE23" tableColumnId="271"/>
      <queryTableField id="272" name="DOE24" tableColumnId="272"/>
      <queryTableField id="273" name="DOE25" tableColumnId="273"/>
      <queryTableField id="274" name="DOE26" tableColumnId="274"/>
      <queryTableField id="275" name="DOE27" tableColumnId="275"/>
      <queryTableField id="276" name="DOE28" tableColumnId="276"/>
      <queryTableField id="277" name="DOE29" tableColumnId="277"/>
      <queryTableField id="278" name="DOETotal" tableColumnId="278"/>
      <queryTableField id="279" name="Total1" tableColumnId="279"/>
      <queryTableField id="280" name="Total2" tableColumnId="280"/>
      <queryTableField id="281" name="Total3" tableColumnId="281"/>
      <queryTableField id="282" name="Total4" tableColumnId="282"/>
      <queryTableField id="283" name="Total5" tableColumnId="283"/>
      <queryTableField id="284" name="Total6" tableColumnId="284"/>
      <queryTableField id="285" name="Total7" tableColumnId="285"/>
      <queryTableField id="286" name="Total8" tableColumnId="286"/>
      <queryTableField id="287" name="Total9" tableColumnId="287"/>
      <queryTableField id="288" name="Total10" tableColumnId="288"/>
      <queryTableField id="289" name="Total11" tableColumnId="289"/>
      <queryTableField id="290" name="Total12" tableColumnId="290"/>
      <queryTableField id="291" name="Total13" tableColumnId="291"/>
      <queryTableField id="292" name="Total14" tableColumnId="292"/>
      <queryTableField id="293" name="Total15" tableColumnId="293"/>
      <queryTableField id="294" name="Total16" tableColumnId="294"/>
      <queryTableField id="295" name="Total17" tableColumnId="295"/>
      <queryTableField id="296" name="Total18" tableColumnId="296"/>
      <queryTableField id="297" name="Total19" tableColumnId="297"/>
      <queryTableField id="298" name="Total20" tableColumnId="298"/>
      <queryTableField id="299" name="Total21" tableColumnId="299"/>
      <queryTableField id="300" name="Total22" tableColumnId="300"/>
      <queryTableField id="301" name="Total23" tableColumnId="301"/>
      <queryTableField id="302" name="Total24" tableColumnId="302"/>
      <queryTableField id="303" name="Total25" tableColumnId="303"/>
      <queryTableField id="304" name="Total26" tableColumnId="304"/>
      <queryTableField id="305" name="Total27" tableColumnId="305"/>
      <queryTableField id="306" name="Total28" tableColumnId="306"/>
      <queryTableField id="307" name="Total29" tableColumnId="307"/>
      <queryTableField id="308" name="Sec1_Total" tableColumnId="308"/>
      <queryTableField id="309" name="Comments" tableColumnId="309"/>
      <queryTableField id="310" name="PartA" tableColumnId="310"/>
      <queryTableField id="311" name="PartB" tableColumnId="311"/>
      <queryTableField id="312" name="GrandTotalExpenses" tableColumnId="312"/>
      <queryTableField id="313" name="AFRDifference" tableColumnId="313"/>
      <queryTableField id="314" name="Depreciation" tableColumnId="3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Broadway_AP_FRP_RFOE_CCSurvey" displayName="Table_Broadway_AP_FRP_RFOE_CCSurvey" ref="A4:LB62" tableType="queryTable" totalsRowShown="0" headerRowDxfId="2">
  <autoFilter ref="A4:LB62"/>
  <tableColumns count="314">
    <tableColumn id="1" uniqueName="1" name="FICE" queryTableFieldId="1"/>
    <tableColumn id="2" uniqueName="2" name="Password" queryTableFieldId="2"/>
    <tableColumn id="3" uniqueName="3" name="Approved" queryTableFieldId="3"/>
    <tableColumn id="4" uniqueName="4" name="ApprovalDate" queryTableFieldId="4"/>
    <tableColumn id="5" uniqueName="5" name="LastMod" queryTableFieldId="5" dataDxfId="0"/>
    <tableColumn id="6" uniqueName="6" name="CBNote" queryTableFieldId="6"/>
    <tableColumn id="7" uniqueName="7" name="dist_name" queryTableFieldId="7"/>
    <tableColumn id="8" uniqueName="8" name="person" queryTableFieldId="8"/>
    <tableColumn id="9" uniqueName="9" name="title" queryTableFieldId="9"/>
    <tableColumn id="10" uniqueName="10" name="phone" queryTableFieldId="10"/>
    <tableColumn id="11" uniqueName="11" name="email" queryTableFieldId="11"/>
    <tableColumn id="12" uniqueName="12" name="GrandTotal" queryTableFieldId="12"/>
    <tableColumn id="13" uniqueName="13" name="SecATotal" queryTableFieldId="13"/>
    <tableColumn id="14" uniqueName="14" name="SecBTotal" queryTableFieldId="14"/>
    <tableColumn id="15" uniqueName="15" name="AFRExb2" queryTableFieldId="15"/>
    <tableColumn id="16" uniqueName="16" name="Difference" queryTableFieldId="16"/>
    <tableColumn id="17" uniqueName="17" name="Sec2Local" queryTableFieldId="17"/>
    <tableColumn id="18" uniqueName="18" name="Sec2State" queryTableFieldId="18"/>
    <tableColumn id="19" uniqueName="19" name="Sec2_Total" queryTableFieldId="19"/>
    <tableColumn id="20" uniqueName="20" name="Sec3SW1" queryTableFieldId="20"/>
    <tableColumn id="21" uniqueName="21" name="Sec3SW2" queryTableFieldId="21"/>
    <tableColumn id="22" uniqueName="22" name="Sec3SW3" queryTableFieldId="22"/>
    <tableColumn id="23" uniqueName="23" name="Sec3SW4" queryTableFieldId="23"/>
    <tableColumn id="24" uniqueName="24" name="Sec3SW5" queryTableFieldId="24"/>
    <tableColumn id="25" uniqueName="25" name="Sec3SW6" queryTableFieldId="25"/>
    <tableColumn id="26" uniqueName="26" name="Sec3SWTotal" queryTableFieldId="26"/>
    <tableColumn id="27" uniqueName="27" name="Sec3Oth1" queryTableFieldId="27"/>
    <tableColumn id="28" uniqueName="28" name="Sec3Oth2" queryTableFieldId="28"/>
    <tableColumn id="29" uniqueName="29" name="Sec3Oth3" queryTableFieldId="29"/>
    <tableColumn id="30" uniqueName="30" name="Sec3Oth4" queryTableFieldId="30"/>
    <tableColumn id="31" uniqueName="31" name="Sec3Oth5" queryTableFieldId="31"/>
    <tableColumn id="32" uniqueName="32" name="Sec3Oth6" queryTableFieldId="32"/>
    <tableColumn id="33" uniqueName="33" name="Sec3OthTotal" queryTableFieldId="33"/>
    <tableColumn id="34" uniqueName="34" name="Sec3_1" queryTableFieldId="34"/>
    <tableColumn id="35" uniqueName="35" name="Sec3_2" queryTableFieldId="35"/>
    <tableColumn id="36" uniqueName="36" name="Sec3_3" queryTableFieldId="36"/>
    <tableColumn id="37" uniqueName="37" name="Sec3_4" queryTableFieldId="37"/>
    <tableColumn id="38" uniqueName="38" name="Sec3_5" queryTableFieldId="38"/>
    <tableColumn id="39" uniqueName="39" name="Sec3_6" queryTableFieldId="39"/>
    <tableColumn id="40" uniqueName="40" name="Sec3_Total" queryTableFieldId="40"/>
    <tableColumn id="41" uniqueName="41" name="Sec4SW1" queryTableFieldId="41"/>
    <tableColumn id="42" uniqueName="42" name="Sec4SW2" queryTableFieldId="42"/>
    <tableColumn id="43" uniqueName="43" name="Sec4SW3" queryTableFieldId="43"/>
    <tableColumn id="44" uniqueName="44" name="Sec4SW4" queryTableFieldId="44"/>
    <tableColumn id="45" uniqueName="45" name="Sec4SWTotal" queryTableFieldId="45"/>
    <tableColumn id="46" uniqueName="46" name="Sec4Oth1" queryTableFieldId="46"/>
    <tableColumn id="47" uniqueName="47" name="Sec4Oth2" queryTableFieldId="47"/>
    <tableColumn id="48" uniqueName="48" name="Sec4Oth3" queryTableFieldId="48"/>
    <tableColumn id="49" uniqueName="49" name="Sec4Oth4" queryTableFieldId="49"/>
    <tableColumn id="50" uniqueName="50" name="Sec4OthTotal" queryTableFieldId="50"/>
    <tableColumn id="51" uniqueName="51" name="Sec4_1" queryTableFieldId="51"/>
    <tableColumn id="52" uniqueName="52" name="Sec4_2" queryTableFieldId="52"/>
    <tableColumn id="53" uniqueName="53" name="Sec4_3" queryTableFieldId="53"/>
    <tableColumn id="54" uniqueName="54" name="Sec4_4" queryTableFieldId="54"/>
    <tableColumn id="55" uniqueName="55" name="Sec4_Total" queryTableFieldId="55"/>
    <tableColumn id="56" uniqueName="56" name="Sec5SW1" queryTableFieldId="56"/>
    <tableColumn id="57" uniqueName="57" name="Sec5SW2" queryTableFieldId="57"/>
    <tableColumn id="58" uniqueName="58" name="Sec5SW3" queryTableFieldId="58"/>
    <tableColumn id="59" uniqueName="59" name="Sec5SW4" queryTableFieldId="59"/>
    <tableColumn id="60" uniqueName="60" name="Sec5SW5" queryTableFieldId="60"/>
    <tableColumn id="61" uniqueName="61" name="Sec5SWTotal" queryTableFieldId="61"/>
    <tableColumn id="62" uniqueName="62" name="Sec5SB1" queryTableFieldId="62"/>
    <tableColumn id="63" uniqueName="63" name="Sec5SB2" queryTableFieldId="63"/>
    <tableColumn id="64" uniqueName="64" name="Sec5SB3" queryTableFieldId="64"/>
    <tableColumn id="65" uniqueName="65" name="Sec5SB4" queryTableFieldId="65"/>
    <tableColumn id="66" uniqueName="66" name="Sec5SB5" queryTableFieldId="66"/>
    <tableColumn id="67" uniqueName="67" name="Sec5SBTotal" queryTableFieldId="67"/>
    <tableColumn id="68" uniqueName="68" name="Sec5Oth1" queryTableFieldId="68"/>
    <tableColumn id="69" uniqueName="69" name="Sec5Oth2" queryTableFieldId="69"/>
    <tableColumn id="70" uniqueName="70" name="Sec5Oth3" queryTableFieldId="70"/>
    <tableColumn id="71" uniqueName="71" name="Sec5Oth4" queryTableFieldId="71"/>
    <tableColumn id="72" uniqueName="72" name="Sec5Oth5" queryTableFieldId="72"/>
    <tableColumn id="73" uniqueName="73" name="Sec5OthTotal" queryTableFieldId="73"/>
    <tableColumn id="74" uniqueName="74" name="Sec5_1" queryTableFieldId="74"/>
    <tableColumn id="75" uniqueName="75" name="Sec5_2" queryTableFieldId="75"/>
    <tableColumn id="76" uniqueName="76" name="Sec5_3" queryTableFieldId="76"/>
    <tableColumn id="77" uniqueName="77" name="Sec5_4" queryTableFieldId="77"/>
    <tableColumn id="78" uniqueName="78" name="Sec5_5" queryTableFieldId="78"/>
    <tableColumn id="79" uniqueName="79" name="Sec5_Total" queryTableFieldId="79"/>
    <tableColumn id="80" uniqueName="80" name="Sec6SW1" queryTableFieldId="80"/>
    <tableColumn id="81" uniqueName="81" name="Sec6SW2" queryTableFieldId="81"/>
    <tableColumn id="82" uniqueName="82" name="Sec6SW3" queryTableFieldId="82"/>
    <tableColumn id="83" uniqueName="83" name="Sec6SWTotal" queryTableFieldId="83"/>
    <tableColumn id="84" uniqueName="84" name="Sec6SB1" queryTableFieldId="84"/>
    <tableColumn id="85" uniqueName="85" name="Sec6SB2" queryTableFieldId="85"/>
    <tableColumn id="86" uniqueName="86" name="Sec6SB3" queryTableFieldId="86"/>
    <tableColumn id="87" uniqueName="87" name="Sec6SBTotal" queryTableFieldId="87"/>
    <tableColumn id="88" uniqueName="88" name="Sec6Oth1" queryTableFieldId="88"/>
    <tableColumn id="89" uniqueName="89" name="Sec6Oth2" queryTableFieldId="89"/>
    <tableColumn id="90" uniqueName="90" name="Sec6Oth3" queryTableFieldId="90"/>
    <tableColumn id="91" uniqueName="91" name="Sec6OthTotal" queryTableFieldId="91"/>
    <tableColumn id="92" uniqueName="92" name="Sec6_1" queryTableFieldId="92"/>
    <tableColumn id="93" uniqueName="93" name="Sec6_2" queryTableFieldId="93"/>
    <tableColumn id="94" uniqueName="94" name="Sec6_3" queryTableFieldId="94"/>
    <tableColumn id="95" uniqueName="95" name="Sec6_Total" queryTableFieldId="95"/>
    <tableColumn id="96" uniqueName="96" name="FICE_Link" queryTableFieldId="96"/>
    <tableColumn id="97" uniqueName="97" name="LocalBenefits" queryTableFieldId="97"/>
    <tableColumn id="98" uniqueName="98" name="StateBenefits" queryTableFieldId="98"/>
    <tableColumn id="99" uniqueName="99" name="HRS1" queryTableFieldId="99"/>
    <tableColumn id="100" uniqueName="100" name="HRS2" queryTableFieldId="100"/>
    <tableColumn id="101" uniqueName="101" name="HRS3" queryTableFieldId="101"/>
    <tableColumn id="102" uniqueName="102" name="HRS4" queryTableFieldId="102"/>
    <tableColumn id="103" uniqueName="103" name="HRS5" queryTableFieldId="103"/>
    <tableColumn id="104" uniqueName="104" name="HRS6" queryTableFieldId="104"/>
    <tableColumn id="105" uniqueName="105" name="HRS7" queryTableFieldId="105"/>
    <tableColumn id="106" uniqueName="106" name="HRS8" queryTableFieldId="106"/>
    <tableColumn id="107" uniqueName="107" name="HRS9" queryTableFieldId="107"/>
    <tableColumn id="108" uniqueName="108" name="HRS10" queryTableFieldId="108"/>
    <tableColumn id="109" uniqueName="109" name="HRS11" queryTableFieldId="109"/>
    <tableColumn id="110" uniqueName="110" name="HRS12" queryTableFieldId="110"/>
    <tableColumn id="111" uniqueName="111" name="HRS13" queryTableFieldId="111"/>
    <tableColumn id="112" uniqueName="112" name="HRS14" queryTableFieldId="112"/>
    <tableColumn id="113" uniqueName="113" name="HRS15" queryTableFieldId="113"/>
    <tableColumn id="114" uniqueName="114" name="HRS16" queryTableFieldId="114"/>
    <tableColumn id="115" uniqueName="115" name="HRS17" queryTableFieldId="115"/>
    <tableColumn id="116" uniqueName="116" name="HRS18" queryTableFieldId="116"/>
    <tableColumn id="117" uniqueName="117" name="HRS19" queryTableFieldId="117"/>
    <tableColumn id="118" uniqueName="118" name="HRS20" queryTableFieldId="118"/>
    <tableColumn id="119" uniqueName="119" name="HRS21" queryTableFieldId="119"/>
    <tableColumn id="120" uniqueName="120" name="HRS22" queryTableFieldId="120"/>
    <tableColumn id="121" uniqueName="121" name="HRS23" queryTableFieldId="121"/>
    <tableColumn id="122" uniqueName="122" name="HRS24" queryTableFieldId="122"/>
    <tableColumn id="123" uniqueName="123" name="HRS25" queryTableFieldId="123"/>
    <tableColumn id="124" uniqueName="124" name="HRS26" queryTableFieldId="124"/>
    <tableColumn id="125" uniqueName="125" name="HRS27" queryTableFieldId="125"/>
    <tableColumn id="126" uniqueName="126" name="HRS28" queryTableFieldId="126"/>
    <tableColumn id="127" uniqueName="127" name="HRS29" queryTableFieldId="127"/>
    <tableColumn id="128" uniqueName="128" name="HRSTotal" queryTableFieldId="128"/>
    <tableColumn id="129" uniqueName="129" name="FacSal1" queryTableFieldId="129"/>
    <tableColumn id="130" uniqueName="130" name="FacSal2" queryTableFieldId="130"/>
    <tableColumn id="131" uniqueName="131" name="FacSal3" queryTableFieldId="131"/>
    <tableColumn id="132" uniqueName="132" name="FacSal4" queryTableFieldId="132"/>
    <tableColumn id="133" uniqueName="133" name="FacSal5" queryTableFieldId="133"/>
    <tableColumn id="134" uniqueName="134" name="FacSal6" queryTableFieldId="134"/>
    <tableColumn id="135" uniqueName="135" name="FacSal7" queryTableFieldId="135"/>
    <tableColumn id="136" uniqueName="136" name="FacSal8" queryTableFieldId="136"/>
    <tableColumn id="137" uniqueName="137" name="FacSal9" queryTableFieldId="137"/>
    <tableColumn id="138" uniqueName="138" name="FacSal10" queryTableFieldId="138"/>
    <tableColumn id="139" uniqueName="139" name="FacSal11" queryTableFieldId="139"/>
    <tableColumn id="140" uniqueName="140" name="FacSal12" queryTableFieldId="140"/>
    <tableColumn id="141" uniqueName="141" name="FacSal13" queryTableFieldId="141"/>
    <tableColumn id="142" uniqueName="142" name="FacSal14" queryTableFieldId="142"/>
    <tableColumn id="143" uniqueName="143" name="FacSal15" queryTableFieldId="143"/>
    <tableColumn id="144" uniqueName="144" name="FacSal16" queryTableFieldId="144"/>
    <tableColumn id="145" uniqueName="145" name="FacSal17" queryTableFieldId="145"/>
    <tableColumn id="146" uniqueName="146" name="FacSal18" queryTableFieldId="146"/>
    <tableColumn id="147" uniqueName="147" name="FacSal19" queryTableFieldId="147"/>
    <tableColumn id="148" uniqueName="148" name="FacSal20" queryTableFieldId="148"/>
    <tableColumn id="149" uniqueName="149" name="FacSal21" queryTableFieldId="149"/>
    <tableColumn id="150" uniqueName="150" name="FacSal22" queryTableFieldId="150"/>
    <tableColumn id="151" uniqueName="151" name="FacSal23" queryTableFieldId="151"/>
    <tableColumn id="152" uniqueName="152" name="FacSal24" queryTableFieldId="152"/>
    <tableColumn id="153" uniqueName="153" name="FacSal25" queryTableFieldId="153"/>
    <tableColumn id="154" uniqueName="154" name="FacSal26" queryTableFieldId="154"/>
    <tableColumn id="155" uniqueName="155" name="FacSal27" queryTableFieldId="155"/>
    <tableColumn id="156" uniqueName="156" name="FacSal28" queryTableFieldId="156"/>
    <tableColumn id="157" uniqueName="157" name="FacSal29" queryTableFieldId="157"/>
    <tableColumn id="158" uniqueName="158" name="FacSalTotal" queryTableFieldId="158"/>
    <tableColumn id="159" uniqueName="159" name="OthSal1" queryTableFieldId="159"/>
    <tableColumn id="160" uniqueName="160" name="OthSal2" queryTableFieldId="160"/>
    <tableColumn id="161" uniqueName="161" name="OthSal3" queryTableFieldId="161"/>
    <tableColumn id="162" uniqueName="162" name="OthSal4" queryTableFieldId="162"/>
    <tableColumn id="163" uniqueName="163" name="OthSal5" queryTableFieldId="163"/>
    <tableColumn id="164" uniqueName="164" name="OthSal6" queryTableFieldId="164"/>
    <tableColumn id="165" uniqueName="165" name="OthSal7" queryTableFieldId="165"/>
    <tableColumn id="166" uniqueName="166" name="OthSal8" queryTableFieldId="166"/>
    <tableColumn id="167" uniqueName="167" name="OthSal9" queryTableFieldId="167"/>
    <tableColumn id="168" uniqueName="168" name="OthSal10" queryTableFieldId="168"/>
    <tableColumn id="169" uniqueName="169" name="OthSal11" queryTableFieldId="169"/>
    <tableColumn id="170" uniqueName="170" name="OthSal12" queryTableFieldId="170"/>
    <tableColumn id="171" uniqueName="171" name="OthSal13" queryTableFieldId="171"/>
    <tableColumn id="172" uniqueName="172" name="OthSal14" queryTableFieldId="172"/>
    <tableColumn id="173" uniqueName="173" name="OthSal15" queryTableFieldId="173"/>
    <tableColumn id="174" uniqueName="174" name="OthSal16" queryTableFieldId="174"/>
    <tableColumn id="175" uniqueName="175" name="OthSal17" queryTableFieldId="175"/>
    <tableColumn id="176" uniqueName="176" name="OthSal18" queryTableFieldId="176"/>
    <tableColumn id="177" uniqueName="177" name="OthSal19" queryTableFieldId="177"/>
    <tableColumn id="178" uniqueName="178" name="OthSal20" queryTableFieldId="178"/>
    <tableColumn id="179" uniqueName="179" name="OthSal21" queryTableFieldId="179"/>
    <tableColumn id="180" uniqueName="180" name="OthSal22" queryTableFieldId="180"/>
    <tableColumn id="181" uniqueName="181" name="OthSal23" queryTableFieldId="181"/>
    <tableColumn id="182" uniqueName="182" name="OthSal24" queryTableFieldId="182"/>
    <tableColumn id="183" uniqueName="183" name="OthSal25" queryTableFieldId="183"/>
    <tableColumn id="184" uniqueName="184" name="OthSal26" queryTableFieldId="184"/>
    <tableColumn id="185" uniqueName="185" name="OthSal27" queryTableFieldId="185"/>
    <tableColumn id="186" uniqueName="186" name="OthSal28" queryTableFieldId="186"/>
    <tableColumn id="187" uniqueName="187" name="OthSal29" queryTableFieldId="187"/>
    <tableColumn id="188" uniqueName="188" name="OthSalTotal" queryTableFieldId="188"/>
    <tableColumn id="189" uniqueName="189" name="Benefits1" queryTableFieldId="189"/>
    <tableColumn id="190" uniqueName="190" name="Benefits2" queryTableFieldId="190"/>
    <tableColumn id="191" uniqueName="191" name="Benefits3" queryTableFieldId="191"/>
    <tableColumn id="192" uniqueName="192" name="Benefits4" queryTableFieldId="192"/>
    <tableColumn id="193" uniqueName="193" name="Benefits5" queryTableFieldId="193"/>
    <tableColumn id="194" uniqueName="194" name="Benefits6" queryTableFieldId="194"/>
    <tableColumn id="195" uniqueName="195" name="Benefits7" queryTableFieldId="195"/>
    <tableColumn id="196" uniqueName="196" name="Benefits8" queryTableFieldId="196"/>
    <tableColumn id="197" uniqueName="197" name="Benefits9" queryTableFieldId="197"/>
    <tableColumn id="198" uniqueName="198" name="Benefits10" queryTableFieldId="198"/>
    <tableColumn id="199" uniqueName="199" name="Benefits11" queryTableFieldId="199"/>
    <tableColumn id="200" uniqueName="200" name="Benefits12" queryTableFieldId="200"/>
    <tableColumn id="201" uniqueName="201" name="Benefits13" queryTableFieldId="201"/>
    <tableColumn id="202" uniqueName="202" name="Benefits14" queryTableFieldId="202"/>
    <tableColumn id="203" uniqueName="203" name="Benefits15" queryTableFieldId="203"/>
    <tableColumn id="204" uniqueName="204" name="Benefits16" queryTableFieldId="204"/>
    <tableColumn id="205" uniqueName="205" name="Benefits17" queryTableFieldId="205"/>
    <tableColumn id="206" uniqueName="206" name="Benefits18" queryTableFieldId="206"/>
    <tableColumn id="207" uniqueName="207" name="Benefits19" queryTableFieldId="207"/>
    <tableColumn id="208" uniqueName="208" name="Benefits20" queryTableFieldId="208"/>
    <tableColumn id="209" uniqueName="209" name="Benefits21" queryTableFieldId="209"/>
    <tableColumn id="210" uniqueName="210" name="Benefits22" queryTableFieldId="210"/>
    <tableColumn id="211" uniqueName="211" name="Benefits23" queryTableFieldId="211"/>
    <tableColumn id="212" uniqueName="212" name="Benefits24" queryTableFieldId="212"/>
    <tableColumn id="213" uniqueName="213" name="Benefits25" queryTableFieldId="213"/>
    <tableColumn id="214" uniqueName="214" name="Benefits26" queryTableFieldId="214"/>
    <tableColumn id="215" uniqueName="215" name="Benefits27" queryTableFieldId="215"/>
    <tableColumn id="216" uniqueName="216" name="Benefits28" queryTableFieldId="216"/>
    <tableColumn id="217" uniqueName="217" name="Benefits29" queryTableFieldId="217"/>
    <tableColumn id="218" uniqueName="218" name="BenefitsTotal" queryTableFieldId="218"/>
    <tableColumn id="219" uniqueName="219" name="OtherOps1" queryTableFieldId="219"/>
    <tableColumn id="220" uniqueName="220" name="OtherOps2" queryTableFieldId="220"/>
    <tableColumn id="221" uniqueName="221" name="OtherOps3" queryTableFieldId="221"/>
    <tableColumn id="222" uniqueName="222" name="OtherOps4" queryTableFieldId="222"/>
    <tableColumn id="223" uniqueName="223" name="OtherOps5" queryTableFieldId="223"/>
    <tableColumn id="224" uniqueName="224" name="OtherOps6" queryTableFieldId="224"/>
    <tableColumn id="225" uniqueName="225" name="OtherOps7" queryTableFieldId="225"/>
    <tableColumn id="226" uniqueName="226" name="OtherOps8" queryTableFieldId="226"/>
    <tableColumn id="227" uniqueName="227" name="OtherOps9" queryTableFieldId="227"/>
    <tableColumn id="228" uniqueName="228" name="OtherOps10" queryTableFieldId="228"/>
    <tableColumn id="229" uniqueName="229" name="OtherOps11" queryTableFieldId="229"/>
    <tableColumn id="230" uniqueName="230" name="OtherOps12" queryTableFieldId="230"/>
    <tableColumn id="231" uniqueName="231" name="OtherOps13" queryTableFieldId="231"/>
    <tableColumn id="232" uniqueName="232" name="OtherOps14" queryTableFieldId="232"/>
    <tableColumn id="233" uniqueName="233" name="OtherOps15" queryTableFieldId="233"/>
    <tableColumn id="234" uniqueName="234" name="OtherOps16" queryTableFieldId="234"/>
    <tableColumn id="235" uniqueName="235" name="OtherOps17" queryTableFieldId="235"/>
    <tableColumn id="236" uniqueName="236" name="OtherOps18" queryTableFieldId="236"/>
    <tableColumn id="237" uniqueName="237" name="OtherOps19" queryTableFieldId="237"/>
    <tableColumn id="238" uniqueName="238" name="OtherOps20" queryTableFieldId="238"/>
    <tableColumn id="239" uniqueName="239" name="OtherOps21" queryTableFieldId="239"/>
    <tableColumn id="240" uniqueName="240" name="OtherOps22" queryTableFieldId="240"/>
    <tableColumn id="241" uniqueName="241" name="OtherOps23" queryTableFieldId="241"/>
    <tableColumn id="242" uniqueName="242" name="OtherOps24" queryTableFieldId="242"/>
    <tableColumn id="243" uniqueName="243" name="OtherOps25" queryTableFieldId="243"/>
    <tableColumn id="244" uniqueName="244" name="OtherOps26" queryTableFieldId="244"/>
    <tableColumn id="245" uniqueName="245" name="OtherOps27" queryTableFieldId="245"/>
    <tableColumn id="246" uniqueName="246" name="OtherOps28" queryTableFieldId="246"/>
    <tableColumn id="247" uniqueName="247" name="OtherOps29" queryTableFieldId="247"/>
    <tableColumn id="248" uniqueName="248" name="OtherOpsTotal" queryTableFieldId="248"/>
    <tableColumn id="249" uniqueName="249" name="DOE1" queryTableFieldId="249"/>
    <tableColumn id="250" uniqueName="250" name="DOE2" queryTableFieldId="250"/>
    <tableColumn id="251" uniqueName="251" name="DOE3" queryTableFieldId="251"/>
    <tableColumn id="252" uniqueName="252" name="DOE4" queryTableFieldId="252"/>
    <tableColumn id="253" uniqueName="253" name="DOE5" queryTableFieldId="253"/>
    <tableColumn id="254" uniqueName="254" name="DOE6" queryTableFieldId="254"/>
    <tableColumn id="255" uniqueName="255" name="DOE7" queryTableFieldId="255"/>
    <tableColumn id="256" uniqueName="256" name="DOE8" queryTableFieldId="256"/>
    <tableColumn id="257" uniqueName="257" name="DOE9" queryTableFieldId="257"/>
    <tableColumn id="258" uniqueName="258" name="DOE10" queryTableFieldId="258"/>
    <tableColumn id="259" uniqueName="259" name="DOE11" queryTableFieldId="259"/>
    <tableColumn id="260" uniqueName="260" name="DOE12" queryTableFieldId="260"/>
    <tableColumn id="261" uniqueName="261" name="DOE13" queryTableFieldId="261"/>
    <tableColumn id="262" uniqueName="262" name="DOE14" queryTableFieldId="262"/>
    <tableColumn id="263" uniqueName="263" name="DOE15" queryTableFieldId="263"/>
    <tableColumn id="264" uniqueName="264" name="DOE16" queryTableFieldId="264"/>
    <tableColumn id="265" uniqueName="265" name="DOE17" queryTableFieldId="265"/>
    <tableColumn id="266" uniqueName="266" name="DOE18" queryTableFieldId="266"/>
    <tableColumn id="267" uniqueName="267" name="DOE19" queryTableFieldId="267"/>
    <tableColumn id="268" uniqueName="268" name="DOE20" queryTableFieldId="268"/>
    <tableColumn id="269" uniqueName="269" name="DOE21" queryTableFieldId="269"/>
    <tableColumn id="270" uniqueName="270" name="DOE22" queryTableFieldId="270"/>
    <tableColumn id="271" uniqueName="271" name="DOE23" queryTableFieldId="271"/>
    <tableColumn id="272" uniqueName="272" name="DOE24" queryTableFieldId="272"/>
    <tableColumn id="273" uniqueName="273" name="DOE25" queryTableFieldId="273"/>
    <tableColumn id="274" uniqueName="274" name="DOE26" queryTableFieldId="274"/>
    <tableColumn id="275" uniqueName="275" name="DOE27" queryTableFieldId="275"/>
    <tableColumn id="276" uniqueName="276" name="DOE28" queryTableFieldId="276"/>
    <tableColumn id="277" uniqueName="277" name="DOE29" queryTableFieldId="277"/>
    <tableColumn id="278" uniqueName="278" name="DOETotal" queryTableFieldId="278"/>
    <tableColumn id="279" uniqueName="279" name="Total1" queryTableFieldId="279"/>
    <tableColumn id="280" uniqueName="280" name="Total2" queryTableFieldId="280"/>
    <tableColumn id="281" uniqueName="281" name="Total3" queryTableFieldId="281"/>
    <tableColumn id="282" uniqueName="282" name="Total4" queryTableFieldId="282"/>
    <tableColumn id="283" uniqueName="283" name="Total5" queryTableFieldId="283"/>
    <tableColumn id="284" uniqueName="284" name="Total6" queryTableFieldId="284"/>
    <tableColumn id="285" uniqueName="285" name="Total7" queryTableFieldId="285"/>
    <tableColumn id="286" uniqueName="286" name="Total8" queryTableFieldId="286"/>
    <tableColumn id="287" uniqueName="287" name="Total9" queryTableFieldId="287"/>
    <tableColumn id="288" uniqueName="288" name="Total10" queryTableFieldId="288"/>
    <tableColumn id="289" uniqueName="289" name="Total11" queryTableFieldId="289"/>
    <tableColumn id="290" uniqueName="290" name="Total12" queryTableFieldId="290"/>
    <tableColumn id="291" uniqueName="291" name="Total13" queryTableFieldId="291"/>
    <tableColumn id="292" uniqueName="292" name="Total14" queryTableFieldId="292"/>
    <tableColumn id="293" uniqueName="293" name="Total15" queryTableFieldId="293"/>
    <tableColumn id="294" uniqueName="294" name="Total16" queryTableFieldId="294"/>
    <tableColumn id="295" uniqueName="295" name="Total17" queryTableFieldId="295"/>
    <tableColumn id="296" uniqueName="296" name="Total18" queryTableFieldId="296"/>
    <tableColumn id="297" uniqueName="297" name="Total19" queryTableFieldId="297"/>
    <tableColumn id="298" uniqueName="298" name="Total20" queryTableFieldId="298"/>
    <tableColumn id="299" uniqueName="299" name="Total21" queryTableFieldId="299"/>
    <tableColumn id="300" uniqueName="300" name="Total22" queryTableFieldId="300"/>
    <tableColumn id="301" uniqueName="301" name="Total23" queryTableFieldId="301"/>
    <tableColumn id="302" uniqueName="302" name="Total24" queryTableFieldId="302"/>
    <tableColumn id="303" uniqueName="303" name="Total25" queryTableFieldId="303"/>
    <tableColumn id="304" uniqueName="304" name="Total26" queryTableFieldId="304"/>
    <tableColumn id="305" uniqueName="305" name="Total27" queryTableFieldId="305"/>
    <tableColumn id="306" uniqueName="306" name="Total28" queryTableFieldId="306"/>
    <tableColumn id="307" uniqueName="307" name="Total29" queryTableFieldId="307"/>
    <tableColumn id="308" uniqueName="308" name="Sec1_Total" queryTableFieldId="308"/>
    <tableColumn id="309" uniqueName="309" name="Comments" queryTableFieldId="309"/>
    <tableColumn id="310" uniqueName="310" name="PartA" queryTableFieldId="310"/>
    <tableColumn id="311" uniqueName="311" name="PartB" queryTableFieldId="311"/>
    <tableColumn id="312" uniqueName="312" name="GrandTotalExpenses" queryTableFieldId="312"/>
    <tableColumn id="313" uniqueName="313" name="AFRDifference" queryTableFieldId="313"/>
    <tableColumn id="314" uniqueName="314" name="Depreciation" queryTableFieldId="3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4"/>
  <sheetViews>
    <sheetView showGridLines="0" tabSelected="1" zoomScale="70" zoomScaleNormal="70" workbookViewId="0"/>
  </sheetViews>
  <sheetFormatPr defaultRowHeight="14.25" x14ac:dyDescent="0.2"/>
  <cols>
    <col min="1" max="1" width="9.42578125" style="11" customWidth="1"/>
    <col min="2" max="2" width="42.42578125" style="11" customWidth="1"/>
    <col min="3" max="3" width="17.85546875" style="11" customWidth="1"/>
    <col min="4" max="4" width="15.85546875" style="11" customWidth="1"/>
    <col min="5" max="5" width="18.28515625" style="11" bestFit="1" customWidth="1"/>
    <col min="6" max="6" width="20.28515625" style="11" bestFit="1" customWidth="1"/>
    <col min="7" max="7" width="2.85546875" style="11" customWidth="1"/>
    <col min="8" max="8" width="15" style="11" bestFit="1" customWidth="1"/>
    <col min="9" max="9" width="16.140625" style="11" bestFit="1" customWidth="1"/>
    <col min="10" max="10" width="17.7109375" style="11" bestFit="1" customWidth="1"/>
    <col min="11" max="11" width="16.85546875" style="11" bestFit="1" customWidth="1"/>
    <col min="12" max="12" width="17.7109375" style="11" bestFit="1" customWidth="1"/>
    <col min="13" max="13" width="9.140625" style="11"/>
    <col min="14" max="14" width="20.5703125" style="11" bestFit="1" customWidth="1"/>
    <col min="15" max="15" width="18.140625" style="11" bestFit="1" customWidth="1"/>
    <col min="16" max="16" width="19.5703125" style="11" bestFit="1" customWidth="1"/>
    <col min="17" max="17" width="11" style="11" bestFit="1" customWidth="1"/>
    <col min="18" max="18" width="18.28515625" style="11" bestFit="1" customWidth="1"/>
    <col min="19" max="19" width="13.42578125" style="11" bestFit="1" customWidth="1"/>
    <col min="20" max="20" width="15.28515625" style="11" bestFit="1" customWidth="1"/>
    <col min="21" max="21" width="16.42578125" style="11" bestFit="1" customWidth="1"/>
    <col min="22" max="22" width="14.85546875" style="11" bestFit="1" customWidth="1"/>
    <col min="23" max="23" width="16.42578125" style="11" bestFit="1" customWidth="1"/>
    <col min="24" max="24" width="9.140625" style="11"/>
    <col min="25" max="25" width="13.140625" style="11" bestFit="1" customWidth="1"/>
    <col min="26" max="26" width="11.140625" style="11" bestFit="1" customWidth="1"/>
    <col min="27" max="27" width="13.140625" style="11" bestFit="1" customWidth="1"/>
    <col min="28" max="28" width="10" style="11" bestFit="1" customWidth="1"/>
    <col min="29" max="31" width="11.140625" style="11" bestFit="1" customWidth="1"/>
    <col min="32" max="32" width="13.140625" style="11" bestFit="1" customWidth="1"/>
    <col min="33" max="33" width="9.140625" style="11"/>
    <col min="34" max="34" width="17.85546875" style="11" bestFit="1" customWidth="1"/>
    <col min="35" max="35" width="9.140625" style="11"/>
    <col min="36" max="36" width="14.5703125" style="11" bestFit="1" customWidth="1"/>
    <col min="37" max="16384" width="9.140625" style="11"/>
  </cols>
  <sheetData>
    <row r="1" spans="1:6" x14ac:dyDescent="0.2">
      <c r="A1" s="39" t="s">
        <v>1066</v>
      </c>
      <c r="B1" s="39"/>
      <c r="C1" s="39"/>
      <c r="D1" s="39"/>
      <c r="E1" s="39"/>
      <c r="F1" s="39"/>
    </row>
    <row r="2" spans="1:6" x14ac:dyDescent="0.2">
      <c r="A2" s="6" t="s">
        <v>1011</v>
      </c>
      <c r="B2" s="12"/>
      <c r="C2" s="12"/>
    </row>
    <row r="3" spans="1:6" ht="15" thickBot="1" x14ac:dyDescent="0.25">
      <c r="A3" s="6" t="s">
        <v>1067</v>
      </c>
    </row>
    <row r="4" spans="1:6" ht="29.25" customHeight="1" x14ac:dyDescent="0.2">
      <c r="A4" s="27" t="s">
        <v>26</v>
      </c>
      <c r="B4" s="204" t="s">
        <v>450</v>
      </c>
      <c r="C4" s="205"/>
      <c r="D4" s="29" t="s">
        <v>27</v>
      </c>
      <c r="E4" s="29" t="s">
        <v>447</v>
      </c>
      <c r="F4" s="30" t="s">
        <v>448</v>
      </c>
    </row>
    <row r="5" spans="1:6" x14ac:dyDescent="0.2">
      <c r="A5" s="20">
        <v>1</v>
      </c>
      <c r="B5" s="202" t="s">
        <v>0</v>
      </c>
      <c r="C5" s="203"/>
      <c r="D5" s="15">
        <f>D36</f>
        <v>1622682</v>
      </c>
      <c r="E5" s="17">
        <f>E36+E67+IFERROR($E$105/$D$105*D5,0)</f>
        <v>14698531.072333621</v>
      </c>
      <c r="F5" s="21">
        <f>IFERROR(E5/D5,"")</f>
        <v>9.0581710232403019</v>
      </c>
    </row>
    <row r="6" spans="1:6" x14ac:dyDescent="0.2">
      <c r="A6" s="20">
        <v>2</v>
      </c>
      <c r="B6" s="202" t="s">
        <v>1</v>
      </c>
      <c r="C6" s="203"/>
      <c r="D6" s="15">
        <f t="shared" ref="D6:D32" si="0">D37</f>
        <v>4408564</v>
      </c>
      <c r="E6" s="18">
        <f t="shared" ref="E6:E32" si="1">E37+E68+IFERROR($E$105/$D$105*D6,0)</f>
        <v>41437240.981397092</v>
      </c>
      <c r="F6" s="22">
        <f t="shared" ref="F6:F33" si="2">IFERROR(E6/D6,"")</f>
        <v>9.3992603898677878</v>
      </c>
    </row>
    <row r="7" spans="1:6" x14ac:dyDescent="0.2">
      <c r="A7" s="20">
        <v>3</v>
      </c>
      <c r="B7" s="202" t="s">
        <v>2</v>
      </c>
      <c r="C7" s="203"/>
      <c r="D7" s="15">
        <f t="shared" si="0"/>
        <v>38841237</v>
      </c>
      <c r="E7" s="18">
        <f t="shared" si="1"/>
        <v>303194501.78146017</v>
      </c>
      <c r="F7" s="22">
        <f t="shared" si="2"/>
        <v>7.805994999115506</v>
      </c>
    </row>
    <row r="8" spans="1:6" x14ac:dyDescent="0.2">
      <c r="A8" s="20">
        <v>4</v>
      </c>
      <c r="B8" s="202" t="s">
        <v>3</v>
      </c>
      <c r="C8" s="203"/>
      <c r="D8" s="15">
        <f t="shared" si="0"/>
        <v>21395229</v>
      </c>
      <c r="E8" s="18">
        <f t="shared" si="1"/>
        <v>166291547.78107873</v>
      </c>
      <c r="F8" s="22">
        <f t="shared" si="2"/>
        <v>7.7723658756388501</v>
      </c>
    </row>
    <row r="9" spans="1:6" x14ac:dyDescent="0.2">
      <c r="A9" s="20">
        <v>5</v>
      </c>
      <c r="B9" s="202" t="s">
        <v>4</v>
      </c>
      <c r="C9" s="203"/>
      <c r="D9" s="15">
        <f t="shared" si="0"/>
        <v>198523</v>
      </c>
      <c r="E9" s="18">
        <f t="shared" si="1"/>
        <v>5811341.1672095256</v>
      </c>
      <c r="F9" s="22">
        <f t="shared" si="2"/>
        <v>29.272886099895356</v>
      </c>
    </row>
    <row r="10" spans="1:6" x14ac:dyDescent="0.2">
      <c r="A10" s="20">
        <v>6</v>
      </c>
      <c r="B10" s="202" t="s">
        <v>5</v>
      </c>
      <c r="C10" s="203"/>
      <c r="D10" s="15">
        <f t="shared" si="0"/>
        <v>3948618</v>
      </c>
      <c r="E10" s="18">
        <f t="shared" si="1"/>
        <v>34998288.729998752</v>
      </c>
      <c r="F10" s="22">
        <f t="shared" si="2"/>
        <v>8.8634273383747821</v>
      </c>
    </row>
    <row r="11" spans="1:6" x14ac:dyDescent="0.2">
      <c r="A11" s="20">
        <v>7</v>
      </c>
      <c r="B11" s="202" t="s">
        <v>6</v>
      </c>
      <c r="C11" s="203"/>
      <c r="D11" s="15">
        <f t="shared" si="0"/>
        <v>12167284</v>
      </c>
      <c r="E11" s="18">
        <f t="shared" si="1"/>
        <v>115398879.5366521</v>
      </c>
      <c r="F11" s="22">
        <f t="shared" si="2"/>
        <v>9.4843581802357946</v>
      </c>
    </row>
    <row r="12" spans="1:6" x14ac:dyDescent="0.2">
      <c r="A12" s="20">
        <v>8</v>
      </c>
      <c r="B12" s="202" t="s">
        <v>7</v>
      </c>
      <c r="C12" s="203"/>
      <c r="D12" s="15">
        <f t="shared" si="0"/>
        <v>1877680</v>
      </c>
      <c r="E12" s="18">
        <f t="shared" si="1"/>
        <v>17801770.226608414</v>
      </c>
      <c r="F12" s="22">
        <f t="shared" si="2"/>
        <v>9.480726336014877</v>
      </c>
    </row>
    <row r="13" spans="1:6" x14ac:dyDescent="0.2">
      <c r="A13" s="20">
        <v>9</v>
      </c>
      <c r="B13" s="202" t="s">
        <v>8</v>
      </c>
      <c r="C13" s="203"/>
      <c r="D13" s="15">
        <f t="shared" si="0"/>
        <v>10305568</v>
      </c>
      <c r="E13" s="18">
        <f t="shared" si="1"/>
        <v>85748387.491389602</v>
      </c>
      <c r="F13" s="22">
        <f t="shared" si="2"/>
        <v>8.3205881996401949</v>
      </c>
    </row>
    <row r="14" spans="1:6" x14ac:dyDescent="0.2">
      <c r="A14" s="20">
        <v>10</v>
      </c>
      <c r="B14" s="202" t="s">
        <v>9</v>
      </c>
      <c r="C14" s="203"/>
      <c r="D14" s="15">
        <f t="shared" si="0"/>
        <v>275947</v>
      </c>
      <c r="E14" s="18">
        <f t="shared" si="1"/>
        <v>4317775.4578964002</v>
      </c>
      <c r="F14" s="22">
        <f t="shared" si="2"/>
        <v>15.647118678211397</v>
      </c>
    </row>
    <row r="15" spans="1:6" x14ac:dyDescent="0.2">
      <c r="A15" s="20">
        <v>11</v>
      </c>
      <c r="B15" s="202" t="s">
        <v>10</v>
      </c>
      <c r="C15" s="203"/>
      <c r="D15" s="15">
        <f t="shared" si="0"/>
        <v>8000857</v>
      </c>
      <c r="E15" s="18">
        <f t="shared" si="1"/>
        <v>70430092.508810073</v>
      </c>
      <c r="F15" s="22">
        <f t="shared" si="2"/>
        <v>8.8028185616628409</v>
      </c>
    </row>
    <row r="16" spans="1:6" x14ac:dyDescent="0.2">
      <c r="A16" s="20">
        <v>12</v>
      </c>
      <c r="B16" s="202" t="s">
        <v>11</v>
      </c>
      <c r="C16" s="203"/>
      <c r="D16" s="15">
        <f t="shared" si="0"/>
        <v>34525850</v>
      </c>
      <c r="E16" s="18">
        <f t="shared" si="1"/>
        <v>293118392.09680998</v>
      </c>
      <c r="F16" s="22">
        <f t="shared" si="2"/>
        <v>8.4898240621682017</v>
      </c>
    </row>
    <row r="17" spans="1:6" x14ac:dyDescent="0.2">
      <c r="A17" s="20">
        <v>13</v>
      </c>
      <c r="B17" s="202" t="s">
        <v>12</v>
      </c>
      <c r="C17" s="203"/>
      <c r="D17" s="15">
        <f t="shared" si="0"/>
        <v>7404357</v>
      </c>
      <c r="E17" s="18">
        <f t="shared" si="1"/>
        <v>56286525.428076454</v>
      </c>
      <c r="F17" s="22">
        <f t="shared" si="2"/>
        <v>7.6018113967325522</v>
      </c>
    </row>
    <row r="18" spans="1:6" x14ac:dyDescent="0.2">
      <c r="A18" s="20">
        <v>14</v>
      </c>
      <c r="B18" s="202" t="s">
        <v>449</v>
      </c>
      <c r="C18" s="203"/>
      <c r="D18" s="15">
        <f t="shared" si="0"/>
        <v>9688277</v>
      </c>
      <c r="E18" s="18">
        <f t="shared" si="1"/>
        <v>123935815.27620578</v>
      </c>
      <c r="F18" s="22">
        <f t="shared" si="2"/>
        <v>12.792348451247397</v>
      </c>
    </row>
    <row r="19" spans="1:6" x14ac:dyDescent="0.2">
      <c r="A19" s="20">
        <v>15</v>
      </c>
      <c r="B19" s="202" t="s">
        <v>13</v>
      </c>
      <c r="C19" s="203"/>
      <c r="D19" s="15">
        <f t="shared" si="0"/>
        <v>514849</v>
      </c>
      <c r="E19" s="18">
        <f t="shared" si="1"/>
        <v>9934948.34012511</v>
      </c>
      <c r="F19" s="22">
        <f t="shared" si="2"/>
        <v>19.296819727968998</v>
      </c>
    </row>
    <row r="20" spans="1:6" x14ac:dyDescent="0.2">
      <c r="A20" s="20">
        <v>16</v>
      </c>
      <c r="B20" s="202" t="s">
        <v>14</v>
      </c>
      <c r="C20" s="203"/>
      <c r="D20" s="15">
        <f t="shared" si="0"/>
        <v>13292784</v>
      </c>
      <c r="E20" s="18">
        <f t="shared" si="1"/>
        <v>134680779.59007323</v>
      </c>
      <c r="F20" s="22">
        <f t="shared" si="2"/>
        <v>10.131871516912726</v>
      </c>
    </row>
    <row r="21" spans="1:6" x14ac:dyDescent="0.2">
      <c r="A21" s="20">
        <v>17</v>
      </c>
      <c r="B21" s="202" t="s">
        <v>15</v>
      </c>
      <c r="C21" s="203"/>
      <c r="D21" s="15">
        <f t="shared" si="0"/>
        <v>879030</v>
      </c>
      <c r="E21" s="18">
        <f t="shared" si="1"/>
        <v>12296390.637715476</v>
      </c>
      <c r="F21" s="22">
        <f t="shared" si="2"/>
        <v>13.988590420936118</v>
      </c>
    </row>
    <row r="22" spans="1:6" x14ac:dyDescent="0.2">
      <c r="A22" s="20">
        <v>18</v>
      </c>
      <c r="B22" s="202" t="s">
        <v>16</v>
      </c>
      <c r="C22" s="203"/>
      <c r="D22" s="15">
        <f t="shared" si="0"/>
        <v>5683397</v>
      </c>
      <c r="E22" s="18">
        <f t="shared" si="1"/>
        <v>57763126.432771601</v>
      </c>
      <c r="F22" s="22">
        <f t="shared" si="2"/>
        <v>10.163486103957123</v>
      </c>
    </row>
    <row r="23" spans="1:6" x14ac:dyDescent="0.2">
      <c r="A23" s="20">
        <v>19</v>
      </c>
      <c r="B23" s="202" t="s">
        <v>17</v>
      </c>
      <c r="C23" s="203"/>
      <c r="D23" s="15">
        <f t="shared" si="0"/>
        <v>17068700</v>
      </c>
      <c r="E23" s="18">
        <f t="shared" si="1"/>
        <v>133156731.62232703</v>
      </c>
      <c r="F23" s="22">
        <f t="shared" si="2"/>
        <v>7.8012228009354567</v>
      </c>
    </row>
    <row r="24" spans="1:6" x14ac:dyDescent="0.2">
      <c r="A24" s="20">
        <v>20</v>
      </c>
      <c r="B24" s="202" t="s">
        <v>18</v>
      </c>
      <c r="C24" s="203"/>
      <c r="D24" s="15">
        <f t="shared" si="0"/>
        <v>3755265</v>
      </c>
      <c r="E24" s="18">
        <f t="shared" si="1"/>
        <v>36398959.781879574</v>
      </c>
      <c r="F24" s="22">
        <f t="shared" si="2"/>
        <v>9.6927806111897752</v>
      </c>
    </row>
    <row r="25" spans="1:6" x14ac:dyDescent="0.2">
      <c r="A25" s="20">
        <v>21</v>
      </c>
      <c r="B25" s="202" t="s">
        <v>446</v>
      </c>
      <c r="C25" s="203"/>
      <c r="D25" s="15">
        <f t="shared" si="0"/>
        <v>2545941</v>
      </c>
      <c r="E25" s="18">
        <f t="shared" si="1"/>
        <v>26624416.737156838</v>
      </c>
      <c r="F25" s="22">
        <f t="shared" si="2"/>
        <v>10.457593768731027</v>
      </c>
    </row>
    <row r="26" spans="1:6" x14ac:dyDescent="0.2">
      <c r="A26" s="20">
        <v>22</v>
      </c>
      <c r="B26" s="202" t="s">
        <v>19</v>
      </c>
      <c r="C26" s="203"/>
      <c r="D26" s="15">
        <f t="shared" si="0"/>
        <v>1297416</v>
      </c>
      <c r="E26" s="18">
        <f t="shared" si="1"/>
        <v>11324332.301996816</v>
      </c>
      <c r="F26" s="22">
        <f t="shared" si="2"/>
        <v>8.7283741698860009</v>
      </c>
    </row>
    <row r="27" spans="1:6" x14ac:dyDescent="0.2">
      <c r="A27" s="20">
        <v>23</v>
      </c>
      <c r="B27" s="202" t="s">
        <v>20</v>
      </c>
      <c r="C27" s="203"/>
      <c r="D27" s="15">
        <f t="shared" si="0"/>
        <v>6598139</v>
      </c>
      <c r="E27" s="18">
        <f t="shared" si="1"/>
        <v>62247825.699917346</v>
      </c>
      <c r="F27" s="22">
        <f t="shared" si="2"/>
        <v>9.4341488865144161</v>
      </c>
    </row>
    <row r="28" spans="1:6" x14ac:dyDescent="0.2">
      <c r="A28" s="20">
        <v>24</v>
      </c>
      <c r="B28" s="202" t="s">
        <v>21</v>
      </c>
      <c r="C28" s="203"/>
      <c r="D28" s="15">
        <f t="shared" si="0"/>
        <v>8263547</v>
      </c>
      <c r="E28" s="18">
        <f t="shared" si="1"/>
        <v>71714000.493886217</v>
      </c>
      <c r="F28" s="22">
        <f t="shared" si="2"/>
        <v>8.678355734394227</v>
      </c>
    </row>
    <row r="29" spans="1:6" x14ac:dyDescent="0.2">
      <c r="A29" s="20">
        <v>25</v>
      </c>
      <c r="B29" s="202" t="s">
        <v>22</v>
      </c>
      <c r="C29" s="203"/>
      <c r="D29" s="15">
        <f t="shared" si="0"/>
        <v>53623156</v>
      </c>
      <c r="E29" s="18">
        <f t="shared" si="1"/>
        <v>384095243.07464868</v>
      </c>
      <c r="F29" s="22">
        <f t="shared" si="2"/>
        <v>7.1628615644078968</v>
      </c>
    </row>
    <row r="30" spans="1:6" x14ac:dyDescent="0.2">
      <c r="A30" s="20">
        <v>26</v>
      </c>
      <c r="B30" s="202" t="s">
        <v>23</v>
      </c>
      <c r="C30" s="203"/>
      <c r="D30" s="15">
        <f t="shared" si="0"/>
        <v>16412799</v>
      </c>
      <c r="E30" s="18">
        <f t="shared" si="1"/>
        <v>156884564.87734085</v>
      </c>
      <c r="F30" s="22">
        <f t="shared" si="2"/>
        <v>9.5586721605096638</v>
      </c>
    </row>
    <row r="31" spans="1:6" x14ac:dyDescent="0.2">
      <c r="A31" s="20">
        <v>28</v>
      </c>
      <c r="B31" s="202" t="s">
        <v>24</v>
      </c>
      <c r="C31" s="203"/>
      <c r="D31" s="15">
        <f t="shared" si="0"/>
        <v>18811512</v>
      </c>
      <c r="E31" s="18">
        <f t="shared" si="1"/>
        <v>139717425.72354335</v>
      </c>
      <c r="F31" s="22">
        <f t="shared" si="2"/>
        <v>7.4272299708573852</v>
      </c>
    </row>
    <row r="32" spans="1:6" ht="15.75" customHeight="1" thickBot="1" x14ac:dyDescent="0.25">
      <c r="A32" s="23">
        <v>29</v>
      </c>
      <c r="B32" s="206" t="s">
        <v>25</v>
      </c>
      <c r="C32" s="207"/>
      <c r="D32" s="24">
        <f t="shared" si="0"/>
        <v>16713968</v>
      </c>
      <c r="E32" s="25">
        <f t="shared" si="1"/>
        <v>125805639.15069115</v>
      </c>
      <c r="F32" s="26">
        <f t="shared" si="2"/>
        <v>7.5269761884605231</v>
      </c>
    </row>
    <row r="33" spans="1:12" x14ac:dyDescent="0.2">
      <c r="B33" s="14" t="s">
        <v>35</v>
      </c>
      <c r="C33" s="14"/>
      <c r="D33" s="63">
        <f>SUM(D5:D32)</f>
        <v>320121176</v>
      </c>
      <c r="E33" s="5">
        <f>SUM(E5:E32)</f>
        <v>2696113474</v>
      </c>
      <c r="F33" s="9">
        <f t="shared" si="2"/>
        <v>8.4221653427888192</v>
      </c>
    </row>
    <row r="34" spans="1:12" ht="15" thickBot="1" x14ac:dyDescent="0.25">
      <c r="H34" s="73"/>
      <c r="I34" s="73"/>
      <c r="J34" s="73"/>
      <c r="K34" s="73"/>
      <c r="L34" s="73"/>
    </row>
    <row r="35" spans="1:12" ht="29.25" customHeight="1" x14ac:dyDescent="0.2">
      <c r="A35" s="27" t="s">
        <v>26</v>
      </c>
      <c r="B35" s="204" t="s">
        <v>451</v>
      </c>
      <c r="C35" s="205"/>
      <c r="D35" s="29" t="s">
        <v>27</v>
      </c>
      <c r="E35" s="29" t="s">
        <v>447</v>
      </c>
      <c r="F35" s="30" t="s">
        <v>448</v>
      </c>
    </row>
    <row r="36" spans="1:12" x14ac:dyDescent="0.2">
      <c r="A36" s="20">
        <v>1</v>
      </c>
      <c r="B36" s="202" t="s">
        <v>0</v>
      </c>
      <c r="C36" s="203"/>
      <c r="D36" s="15">
        <f>SUM('1:57'!D36)</f>
        <v>1622682</v>
      </c>
      <c r="E36" s="16">
        <f>SUM('1:57'!E36)</f>
        <v>3193312</v>
      </c>
      <c r="F36" s="21">
        <f t="shared" ref="F36:F64" si="3">IFERROR(E36/D36,"")</f>
        <v>1.9679222423124185</v>
      </c>
    </row>
    <row r="37" spans="1:12" x14ac:dyDescent="0.2">
      <c r="A37" s="20">
        <v>2</v>
      </c>
      <c r="B37" s="202" t="s">
        <v>1</v>
      </c>
      <c r="C37" s="203"/>
      <c r="D37" s="15">
        <f>SUM('1:57'!D37)</f>
        <v>4408564</v>
      </c>
      <c r="E37" s="18">
        <f>SUM('1:57'!E37)</f>
        <v>8584755</v>
      </c>
      <c r="F37" s="22">
        <f t="shared" si="3"/>
        <v>1.9472905463094106</v>
      </c>
    </row>
    <row r="38" spans="1:12" x14ac:dyDescent="0.2">
      <c r="A38" s="20">
        <v>3</v>
      </c>
      <c r="B38" s="202" t="s">
        <v>2</v>
      </c>
      <c r="C38" s="203"/>
      <c r="D38" s="15">
        <f>SUM('1:57'!D38)</f>
        <v>38841237</v>
      </c>
      <c r="E38" s="18">
        <f>SUM('1:57'!E38)</f>
        <v>43857452</v>
      </c>
      <c r="F38" s="22">
        <f t="shared" si="3"/>
        <v>1.1291466335122129</v>
      </c>
    </row>
    <row r="39" spans="1:12" x14ac:dyDescent="0.2">
      <c r="A39" s="20">
        <v>4</v>
      </c>
      <c r="B39" s="202" t="s">
        <v>3</v>
      </c>
      <c r="C39" s="203"/>
      <c r="D39" s="15">
        <f>SUM('1:57'!D39)</f>
        <v>21395229</v>
      </c>
      <c r="E39" s="18">
        <f>SUM('1:57'!E39)</f>
        <v>24714644</v>
      </c>
      <c r="F39" s="22">
        <f t="shared" si="3"/>
        <v>1.1551474396464745</v>
      </c>
    </row>
    <row r="40" spans="1:12" x14ac:dyDescent="0.2">
      <c r="A40" s="20">
        <v>5</v>
      </c>
      <c r="B40" s="202" t="s">
        <v>4</v>
      </c>
      <c r="C40" s="203"/>
      <c r="D40" s="15">
        <f>SUM('1:57'!D40)</f>
        <v>198523</v>
      </c>
      <c r="E40" s="18">
        <f>SUM('1:57'!E40)</f>
        <v>3353138</v>
      </c>
      <c r="F40" s="22">
        <f t="shared" si="3"/>
        <v>16.890425794492327</v>
      </c>
    </row>
    <row r="41" spans="1:12" x14ac:dyDescent="0.2">
      <c r="A41" s="20">
        <v>6</v>
      </c>
      <c r="B41" s="202" t="s">
        <v>5</v>
      </c>
      <c r="C41" s="203"/>
      <c r="D41" s="15">
        <f>SUM('1:57'!D41)</f>
        <v>3948618</v>
      </c>
      <c r="E41" s="18">
        <f>SUM('1:57'!E41)</f>
        <v>9450129</v>
      </c>
      <c r="F41" s="22">
        <f t="shared" si="3"/>
        <v>2.3932750648454726</v>
      </c>
    </row>
    <row r="42" spans="1:12" x14ac:dyDescent="0.2">
      <c r="A42" s="20">
        <v>7</v>
      </c>
      <c r="B42" s="202" t="s">
        <v>6</v>
      </c>
      <c r="C42" s="203"/>
      <c r="D42" s="15">
        <f>SUM('1:57'!D42)</f>
        <v>12167284</v>
      </c>
      <c r="E42" s="18">
        <f>SUM('1:57'!E42)</f>
        <v>21169024</v>
      </c>
      <c r="F42" s="22">
        <f t="shared" si="3"/>
        <v>1.7398315022481599</v>
      </c>
    </row>
    <row r="43" spans="1:12" x14ac:dyDescent="0.2">
      <c r="A43" s="20">
        <v>8</v>
      </c>
      <c r="B43" s="202" t="s">
        <v>7</v>
      </c>
      <c r="C43" s="203"/>
      <c r="D43" s="15">
        <f>SUM('1:57'!D43)</f>
        <v>1877680</v>
      </c>
      <c r="E43" s="18">
        <f>SUM('1:57'!E43)</f>
        <v>4109900</v>
      </c>
      <c r="F43" s="22">
        <f t="shared" si="3"/>
        <v>2.1888181159729028</v>
      </c>
    </row>
    <row r="44" spans="1:12" x14ac:dyDescent="0.2">
      <c r="A44" s="20">
        <v>9</v>
      </c>
      <c r="B44" s="202" t="s">
        <v>8</v>
      </c>
      <c r="C44" s="203"/>
      <c r="D44" s="15">
        <f>SUM('1:57'!D44)</f>
        <v>10305568</v>
      </c>
      <c r="E44" s="18">
        <f>SUM('1:57'!E44)</f>
        <v>16817152</v>
      </c>
      <c r="F44" s="22">
        <f t="shared" si="3"/>
        <v>1.6318510537216386</v>
      </c>
    </row>
    <row r="45" spans="1:12" x14ac:dyDescent="0.2">
      <c r="A45" s="20">
        <v>10</v>
      </c>
      <c r="B45" s="202" t="s">
        <v>9</v>
      </c>
      <c r="C45" s="203"/>
      <c r="D45" s="15">
        <f>SUM('1:57'!D45)</f>
        <v>275947</v>
      </c>
      <c r="E45" s="18">
        <f>SUM('1:57'!E45)</f>
        <v>855492</v>
      </c>
      <c r="F45" s="22">
        <f t="shared" si="3"/>
        <v>3.1002040246858997</v>
      </c>
    </row>
    <row r="46" spans="1:12" x14ac:dyDescent="0.2">
      <c r="A46" s="20">
        <v>11</v>
      </c>
      <c r="B46" s="202" t="s">
        <v>10</v>
      </c>
      <c r="C46" s="203"/>
      <c r="D46" s="15">
        <f>SUM('1:57'!D46)</f>
        <v>8000857</v>
      </c>
      <c r="E46" s="18">
        <f>SUM('1:57'!E46)</f>
        <v>14710708</v>
      </c>
      <c r="F46" s="22">
        <f t="shared" si="3"/>
        <v>1.8386415355255068</v>
      </c>
    </row>
    <row r="47" spans="1:12" x14ac:dyDescent="0.2">
      <c r="A47" s="20">
        <v>12</v>
      </c>
      <c r="B47" s="202" t="s">
        <v>11</v>
      </c>
      <c r="C47" s="203"/>
      <c r="D47" s="15">
        <f>SUM('1:57'!D47)</f>
        <v>34525850</v>
      </c>
      <c r="E47" s="18">
        <f>SUM('1:57'!E47)</f>
        <v>38273619</v>
      </c>
      <c r="F47" s="22">
        <f t="shared" si="3"/>
        <v>1.1085496519274689</v>
      </c>
    </row>
    <row r="48" spans="1:12" x14ac:dyDescent="0.2">
      <c r="A48" s="20">
        <v>13</v>
      </c>
      <c r="B48" s="202" t="s">
        <v>12</v>
      </c>
      <c r="C48" s="203"/>
      <c r="D48" s="15">
        <f>SUM('1:57'!D48)</f>
        <v>7404357</v>
      </c>
      <c r="E48" s="18">
        <f>SUM('1:57'!E48)</f>
        <v>6095734</v>
      </c>
      <c r="F48" s="22">
        <f t="shared" si="3"/>
        <v>0.82326311386660589</v>
      </c>
    </row>
    <row r="49" spans="1:6" x14ac:dyDescent="0.2">
      <c r="A49" s="20">
        <v>14</v>
      </c>
      <c r="B49" s="202" t="s">
        <v>449</v>
      </c>
      <c r="C49" s="203"/>
      <c r="D49" s="15">
        <f>SUM('1:57'!D49)</f>
        <v>9688277</v>
      </c>
      <c r="E49" s="18">
        <f>SUM('1:57'!E49)</f>
        <v>25982628</v>
      </c>
      <c r="F49" s="22">
        <f t="shared" si="3"/>
        <v>2.6818626263472853</v>
      </c>
    </row>
    <row r="50" spans="1:6" x14ac:dyDescent="0.2">
      <c r="A50" s="20">
        <v>15</v>
      </c>
      <c r="B50" s="202" t="s">
        <v>13</v>
      </c>
      <c r="C50" s="203"/>
      <c r="D50" s="15">
        <f>SUM('1:57'!D50)</f>
        <v>514849</v>
      </c>
      <c r="E50" s="18">
        <f>SUM('1:57'!E50)</f>
        <v>2617214</v>
      </c>
      <c r="F50" s="22">
        <f t="shared" si="3"/>
        <v>5.0834594220829796</v>
      </c>
    </row>
    <row r="51" spans="1:6" x14ac:dyDescent="0.2">
      <c r="A51" s="20">
        <v>16</v>
      </c>
      <c r="B51" s="202" t="s">
        <v>14</v>
      </c>
      <c r="C51" s="203"/>
      <c r="D51" s="15">
        <f>SUM('1:57'!D51)</f>
        <v>13292784</v>
      </c>
      <c r="E51" s="18">
        <f>SUM('1:57'!E51)</f>
        <v>26938855</v>
      </c>
      <c r="F51" s="22">
        <f t="shared" si="3"/>
        <v>2.0265773520430335</v>
      </c>
    </row>
    <row r="52" spans="1:6" x14ac:dyDescent="0.2">
      <c r="A52" s="20">
        <v>17</v>
      </c>
      <c r="B52" s="202" t="s">
        <v>15</v>
      </c>
      <c r="C52" s="203"/>
      <c r="D52" s="15">
        <f>SUM('1:57'!D52)</f>
        <v>879030</v>
      </c>
      <c r="E52" s="18">
        <f>SUM('1:57'!E52)</f>
        <v>2152911</v>
      </c>
      <c r="F52" s="22">
        <f t="shared" si="3"/>
        <v>2.4491894474591311</v>
      </c>
    </row>
    <row r="53" spans="1:6" x14ac:dyDescent="0.2">
      <c r="A53" s="20">
        <v>18</v>
      </c>
      <c r="B53" s="202" t="s">
        <v>16</v>
      </c>
      <c r="C53" s="203"/>
      <c r="D53" s="15">
        <f>SUM('1:57'!D53)</f>
        <v>5683397</v>
      </c>
      <c r="E53" s="18">
        <f>SUM('1:57'!E53)</f>
        <v>9171880</v>
      </c>
      <c r="F53" s="22">
        <f t="shared" si="3"/>
        <v>1.6138024494857566</v>
      </c>
    </row>
    <row r="54" spans="1:6" x14ac:dyDescent="0.2">
      <c r="A54" s="20">
        <v>19</v>
      </c>
      <c r="B54" s="202" t="s">
        <v>17</v>
      </c>
      <c r="C54" s="203"/>
      <c r="D54" s="15">
        <f>SUM('1:57'!D54)</f>
        <v>17068700</v>
      </c>
      <c r="E54" s="18">
        <f>SUM('1:57'!E54)</f>
        <v>15451888</v>
      </c>
      <c r="F54" s="22">
        <f t="shared" si="3"/>
        <v>0.90527620732686143</v>
      </c>
    </row>
    <row r="55" spans="1:6" x14ac:dyDescent="0.2">
      <c r="A55" s="20">
        <v>20</v>
      </c>
      <c r="B55" s="202" t="s">
        <v>18</v>
      </c>
      <c r="C55" s="203"/>
      <c r="D55" s="15">
        <f>SUM('1:57'!D55)</f>
        <v>3755265</v>
      </c>
      <c r="E55" s="18">
        <f>SUM('1:57'!E55)</f>
        <v>7058926</v>
      </c>
      <c r="F55" s="22">
        <f t="shared" si="3"/>
        <v>1.8797411101480188</v>
      </c>
    </row>
    <row r="56" spans="1:6" ht="14.25" customHeight="1" x14ac:dyDescent="0.2">
      <c r="A56" s="20">
        <v>21</v>
      </c>
      <c r="B56" s="202" t="s">
        <v>446</v>
      </c>
      <c r="C56" s="203"/>
      <c r="D56" s="15">
        <f>SUM('1:57'!D56)</f>
        <v>2545941</v>
      </c>
      <c r="E56" s="18">
        <f>SUM('1:57'!E56)</f>
        <v>8151694</v>
      </c>
      <c r="F56" s="22">
        <f t="shared" si="3"/>
        <v>3.2018393199213966</v>
      </c>
    </row>
    <row r="57" spans="1:6" x14ac:dyDescent="0.2">
      <c r="A57" s="20">
        <v>22</v>
      </c>
      <c r="B57" s="202" t="s">
        <v>19</v>
      </c>
      <c r="C57" s="203"/>
      <c r="D57" s="15">
        <f>SUM('1:57'!D57)</f>
        <v>1297416</v>
      </c>
      <c r="E57" s="18">
        <f>SUM('1:57'!E57)</f>
        <v>2253135</v>
      </c>
      <c r="F57" s="22">
        <f t="shared" si="3"/>
        <v>1.7366326606115541</v>
      </c>
    </row>
    <row r="58" spans="1:6" x14ac:dyDescent="0.2">
      <c r="A58" s="20">
        <v>23</v>
      </c>
      <c r="B58" s="202" t="s">
        <v>20</v>
      </c>
      <c r="C58" s="203"/>
      <c r="D58" s="15">
        <f>SUM('1:57'!D58)</f>
        <v>6598139</v>
      </c>
      <c r="E58" s="18">
        <f>SUM('1:57'!E58)</f>
        <v>9628493</v>
      </c>
      <c r="F58" s="22">
        <f t="shared" si="3"/>
        <v>1.4592740468183529</v>
      </c>
    </row>
    <row r="59" spans="1:6" x14ac:dyDescent="0.2">
      <c r="A59" s="20">
        <v>24</v>
      </c>
      <c r="B59" s="202" t="s">
        <v>21</v>
      </c>
      <c r="C59" s="203"/>
      <c r="D59" s="15">
        <f>SUM('1:57'!D59)</f>
        <v>8263547</v>
      </c>
      <c r="E59" s="18">
        <f>SUM('1:57'!E59)</f>
        <v>16678575</v>
      </c>
      <c r="F59" s="22">
        <f t="shared" si="3"/>
        <v>2.0183312323388494</v>
      </c>
    </row>
    <row r="60" spans="1:6" x14ac:dyDescent="0.2">
      <c r="A60" s="20">
        <v>25</v>
      </c>
      <c r="B60" s="202" t="s">
        <v>22</v>
      </c>
      <c r="C60" s="203"/>
      <c r="D60" s="15">
        <f>SUM('1:57'!D60)</f>
        <v>53623156</v>
      </c>
      <c r="E60" s="18">
        <f>SUM('1:57'!E60)</f>
        <v>34881583</v>
      </c>
      <c r="F60" s="22">
        <f t="shared" si="3"/>
        <v>0.65049477878549333</v>
      </c>
    </row>
    <row r="61" spans="1:6" x14ac:dyDescent="0.2">
      <c r="A61" s="20">
        <v>26</v>
      </c>
      <c r="B61" s="202" t="s">
        <v>23</v>
      </c>
      <c r="C61" s="203"/>
      <c r="D61" s="15">
        <f>SUM('1:57'!D61)</f>
        <v>16412799</v>
      </c>
      <c r="E61" s="18">
        <f>SUM('1:57'!E61)</f>
        <v>25769383</v>
      </c>
      <c r="F61" s="22">
        <f t="shared" si="3"/>
        <v>1.5700785100700982</v>
      </c>
    </row>
    <row r="62" spans="1:6" x14ac:dyDescent="0.2">
      <c r="A62" s="20">
        <v>28</v>
      </c>
      <c r="B62" s="202" t="s">
        <v>24</v>
      </c>
      <c r="C62" s="203"/>
      <c r="D62" s="15">
        <f>SUM('1:57'!D62)</f>
        <v>18811512</v>
      </c>
      <c r="E62" s="18">
        <f>SUM('1:57'!E62)</f>
        <v>14957177</v>
      </c>
      <c r="F62" s="22">
        <f t="shared" si="3"/>
        <v>0.79510764472308237</v>
      </c>
    </row>
    <row r="63" spans="1:6" ht="15.75" customHeight="1" thickBot="1" x14ac:dyDescent="0.25">
      <c r="A63" s="23">
        <v>29</v>
      </c>
      <c r="B63" s="206" t="s">
        <v>25</v>
      </c>
      <c r="C63" s="207"/>
      <c r="D63" s="24">
        <f>SUM('1:57'!D63)</f>
        <v>16713968</v>
      </c>
      <c r="E63" s="25">
        <f>SUM('1:57'!E63)</f>
        <v>12942992</v>
      </c>
      <c r="F63" s="26">
        <f t="shared" si="3"/>
        <v>0.77438176260717984</v>
      </c>
    </row>
    <row r="64" spans="1:6" x14ac:dyDescent="0.2">
      <c r="C64" s="14" t="s">
        <v>35</v>
      </c>
      <c r="D64" s="63">
        <f>SUM(D36:D63)</f>
        <v>320121176</v>
      </c>
      <c r="E64" s="5">
        <f>SUM(E36:E63)</f>
        <v>409822393</v>
      </c>
      <c r="F64" s="9">
        <f t="shared" si="3"/>
        <v>1.2802101945295865</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1622682</v>
      </c>
      <c r="E67" s="16">
        <f>SUM('1:57'!E67)</f>
        <v>5259237</v>
      </c>
      <c r="F67" s="21">
        <f>IFERROR(E67/D67,"")</f>
        <v>3.2410768098740235</v>
      </c>
    </row>
    <row r="68" spans="1:6" x14ac:dyDescent="0.2">
      <c r="A68" s="20">
        <v>2</v>
      </c>
      <c r="B68" s="202" t="s">
        <v>1</v>
      </c>
      <c r="C68" s="203"/>
      <c r="D68" s="15">
        <f t="shared" ref="D68:D94" si="4">D37</f>
        <v>4408564</v>
      </c>
      <c r="E68" s="18">
        <f>SUM('1:57'!E68)</f>
        <v>15883165</v>
      </c>
      <c r="F68" s="22">
        <f t="shared" ref="F68:F95" si="5">IFERROR(E68/D68,"")</f>
        <v>3.602797872504516</v>
      </c>
    </row>
    <row r="69" spans="1:6" x14ac:dyDescent="0.2">
      <c r="A69" s="20">
        <v>3</v>
      </c>
      <c r="B69" s="202" t="s">
        <v>2</v>
      </c>
      <c r="C69" s="203"/>
      <c r="D69" s="15">
        <f t="shared" si="4"/>
        <v>38841237</v>
      </c>
      <c r="E69" s="18">
        <f>SUM('1:57'!E69)</f>
        <v>109830449</v>
      </c>
      <c r="F69" s="22">
        <f t="shared" si="5"/>
        <v>2.8276763945494321</v>
      </c>
    </row>
    <row r="70" spans="1:6" x14ac:dyDescent="0.2">
      <c r="A70" s="20">
        <v>4</v>
      </c>
      <c r="B70" s="202" t="s">
        <v>3</v>
      </c>
      <c r="C70" s="203"/>
      <c r="D70" s="15">
        <f t="shared" si="4"/>
        <v>21395229</v>
      </c>
      <c r="E70" s="18">
        <f>SUM('1:57'!E70)</f>
        <v>59222988</v>
      </c>
      <c r="F70" s="22">
        <f t="shared" si="5"/>
        <v>2.7680464649385152</v>
      </c>
    </row>
    <row r="71" spans="1:6" x14ac:dyDescent="0.2">
      <c r="A71" s="20">
        <v>5</v>
      </c>
      <c r="B71" s="202" t="s">
        <v>4</v>
      </c>
      <c r="C71" s="203"/>
      <c r="D71" s="15">
        <f t="shared" si="4"/>
        <v>198523</v>
      </c>
      <c r="E71" s="18">
        <f>SUM('1:57'!E71)</f>
        <v>1694054</v>
      </c>
      <c r="F71" s="22">
        <f t="shared" si="5"/>
        <v>8.5332883343491694</v>
      </c>
    </row>
    <row r="72" spans="1:6" x14ac:dyDescent="0.2">
      <c r="A72" s="20">
        <v>6</v>
      </c>
      <c r="B72" s="202" t="s">
        <v>5</v>
      </c>
      <c r="C72" s="203"/>
      <c r="D72" s="15">
        <f t="shared" si="4"/>
        <v>3948618</v>
      </c>
      <c r="E72" s="18">
        <f>SUM('1:57'!E72)</f>
        <v>10349250</v>
      </c>
      <c r="F72" s="22">
        <f t="shared" si="5"/>
        <v>2.6209803024754486</v>
      </c>
    </row>
    <row r="73" spans="1:6" x14ac:dyDescent="0.2">
      <c r="A73" s="20">
        <v>7</v>
      </c>
      <c r="B73" s="202" t="s">
        <v>6</v>
      </c>
      <c r="C73" s="203"/>
      <c r="D73" s="15">
        <f t="shared" si="4"/>
        <v>12167284</v>
      </c>
      <c r="E73" s="18">
        <f>SUM('1:57'!E73)</f>
        <v>47395887</v>
      </c>
      <c r="F73" s="22">
        <f t="shared" si="5"/>
        <v>3.8953547069337744</v>
      </c>
    </row>
    <row r="74" spans="1:6" x14ac:dyDescent="0.2">
      <c r="A74" s="20">
        <v>8</v>
      </c>
      <c r="B74" s="202" t="s">
        <v>7</v>
      </c>
      <c r="C74" s="203"/>
      <c r="D74" s="15">
        <f t="shared" si="4"/>
        <v>1877680</v>
      </c>
      <c r="E74" s="18">
        <f>SUM('1:57'!E74)</f>
        <v>6464357</v>
      </c>
      <c r="F74" s="22">
        <f t="shared" si="5"/>
        <v>3.4427362489881128</v>
      </c>
    </row>
    <row r="75" spans="1:6" x14ac:dyDescent="0.2">
      <c r="A75" s="20">
        <v>9</v>
      </c>
      <c r="B75" s="202" t="s">
        <v>8</v>
      </c>
      <c r="C75" s="203"/>
      <c r="D75" s="15">
        <f t="shared" si="4"/>
        <v>10305568</v>
      </c>
      <c r="E75" s="18">
        <f>SUM('1:57'!E75)</f>
        <v>29263332</v>
      </c>
      <c r="F75" s="22">
        <f t="shared" si="5"/>
        <v>2.8395651748646946</v>
      </c>
    </row>
    <row r="76" spans="1:6" x14ac:dyDescent="0.2">
      <c r="A76" s="20">
        <v>10</v>
      </c>
      <c r="B76" s="202" t="s">
        <v>9</v>
      </c>
      <c r="C76" s="203"/>
      <c r="D76" s="15">
        <f t="shared" si="4"/>
        <v>275947</v>
      </c>
      <c r="E76" s="18">
        <f>SUM('1:57'!E76)</f>
        <v>2400116</v>
      </c>
      <c r="F76" s="22">
        <f t="shared" si="5"/>
        <v>8.6977426824716346</v>
      </c>
    </row>
    <row r="77" spans="1:6" x14ac:dyDescent="0.2">
      <c r="A77" s="20">
        <v>11</v>
      </c>
      <c r="B77" s="202" t="s">
        <v>10</v>
      </c>
      <c r="C77" s="203"/>
      <c r="D77" s="15">
        <f t="shared" si="4"/>
        <v>8000857</v>
      </c>
      <c r="E77" s="18">
        <f>SUM('1:57'!E77)</f>
        <v>24922710</v>
      </c>
      <c r="F77" s="22">
        <f t="shared" si="5"/>
        <v>3.1150050550834743</v>
      </c>
    </row>
    <row r="78" spans="1:6" x14ac:dyDescent="0.2">
      <c r="A78" s="20">
        <v>12</v>
      </c>
      <c r="B78" s="202" t="s">
        <v>11</v>
      </c>
      <c r="C78" s="203"/>
      <c r="D78" s="15">
        <f t="shared" si="4"/>
        <v>34525850</v>
      </c>
      <c r="E78" s="18">
        <f>SUM('1:57'!E78)</f>
        <v>121948839</v>
      </c>
      <c r="F78" s="22">
        <f t="shared" si="5"/>
        <v>3.5321024391868701</v>
      </c>
    </row>
    <row r="79" spans="1:6" x14ac:dyDescent="0.2">
      <c r="A79" s="20">
        <v>13</v>
      </c>
      <c r="B79" s="202" t="s">
        <v>12</v>
      </c>
      <c r="C79" s="203"/>
      <c r="D79" s="15">
        <f t="shared" si="4"/>
        <v>7404357</v>
      </c>
      <c r="E79" s="18">
        <f>SUM('1:57'!E79)</f>
        <v>21690148</v>
      </c>
      <c r="F79" s="22">
        <f t="shared" si="5"/>
        <v>2.9293763118120859</v>
      </c>
    </row>
    <row r="80" spans="1:6" x14ac:dyDescent="0.2">
      <c r="A80" s="20">
        <v>14</v>
      </c>
      <c r="B80" s="202" t="s">
        <v>449</v>
      </c>
      <c r="C80" s="203"/>
      <c r="D80" s="15">
        <f t="shared" si="4"/>
        <v>9688277</v>
      </c>
      <c r="E80" s="18">
        <f>SUM('1:57'!E80)</f>
        <v>60661343</v>
      </c>
      <c r="F80" s="22">
        <f t="shared" si="5"/>
        <v>6.2613138538462518</v>
      </c>
    </row>
    <row r="81" spans="1:6" x14ac:dyDescent="0.2">
      <c r="A81" s="20">
        <v>15</v>
      </c>
      <c r="B81" s="202" t="s">
        <v>13</v>
      </c>
      <c r="C81" s="203"/>
      <c r="D81" s="15">
        <f t="shared" si="4"/>
        <v>514849</v>
      </c>
      <c r="E81" s="18">
        <f>SUM('1:57'!E81)</f>
        <v>5335992</v>
      </c>
      <c r="F81" s="22">
        <f t="shared" si="5"/>
        <v>10.364188334832155</v>
      </c>
    </row>
    <row r="82" spans="1:6" x14ac:dyDescent="0.2">
      <c r="A82" s="20">
        <v>16</v>
      </c>
      <c r="B82" s="202" t="s">
        <v>14</v>
      </c>
      <c r="C82" s="203"/>
      <c r="D82" s="15">
        <f t="shared" si="4"/>
        <v>13292784</v>
      </c>
      <c r="E82" s="18">
        <f>SUM('1:57'!E82)</f>
        <v>56575713</v>
      </c>
      <c r="F82" s="22">
        <f t="shared" si="5"/>
        <v>4.2561221938158331</v>
      </c>
    </row>
    <row r="83" spans="1:6" x14ac:dyDescent="0.2">
      <c r="A83" s="20">
        <v>17</v>
      </c>
      <c r="B83" s="202" t="s">
        <v>15</v>
      </c>
      <c r="C83" s="203"/>
      <c r="D83" s="15">
        <f t="shared" si="4"/>
        <v>879030</v>
      </c>
      <c r="E83" s="18">
        <f>SUM('1:57'!E83)</f>
        <v>6759942</v>
      </c>
      <c r="F83" s="22">
        <f t="shared" si="5"/>
        <v>7.6902290024231252</v>
      </c>
    </row>
    <row r="84" spans="1:6" x14ac:dyDescent="0.2">
      <c r="A84" s="20">
        <v>18</v>
      </c>
      <c r="B84" s="202" t="s">
        <v>16</v>
      </c>
      <c r="C84" s="203"/>
      <c r="D84" s="15">
        <f t="shared" si="4"/>
        <v>5683397</v>
      </c>
      <c r="E84" s="18">
        <f>SUM('1:57'!E84)</f>
        <v>26714874</v>
      </c>
      <c r="F84" s="22">
        <f t="shared" si="5"/>
        <v>4.7005116834175054</v>
      </c>
    </row>
    <row r="85" spans="1:6" x14ac:dyDescent="0.2">
      <c r="A85" s="20">
        <v>19</v>
      </c>
      <c r="B85" s="202" t="s">
        <v>17</v>
      </c>
      <c r="C85" s="203"/>
      <c r="D85" s="15">
        <f t="shared" si="4"/>
        <v>17068700</v>
      </c>
      <c r="E85" s="18">
        <f>SUM('1:57'!E85)</f>
        <v>52004482</v>
      </c>
      <c r="F85" s="22">
        <f t="shared" si="5"/>
        <v>3.0467746225547345</v>
      </c>
    </row>
    <row r="86" spans="1:6" x14ac:dyDescent="0.2">
      <c r="A86" s="20">
        <v>20</v>
      </c>
      <c r="B86" s="202" t="s">
        <v>18</v>
      </c>
      <c r="C86" s="203"/>
      <c r="D86" s="15">
        <f t="shared" si="4"/>
        <v>3755265</v>
      </c>
      <c r="E86" s="18">
        <f>SUM('1:57'!E86)</f>
        <v>14885373</v>
      </c>
      <c r="F86" s="22">
        <f t="shared" si="5"/>
        <v>3.9638675299878972</v>
      </c>
    </row>
    <row r="87" spans="1:6" x14ac:dyDescent="0.2">
      <c r="A87" s="20">
        <v>21</v>
      </c>
      <c r="B87" s="202" t="s">
        <v>446</v>
      </c>
      <c r="C87" s="203"/>
      <c r="D87" s="15">
        <f t="shared" si="4"/>
        <v>2545941</v>
      </c>
      <c r="E87" s="18">
        <f>SUM('1:57'!E87)</f>
        <v>8672958</v>
      </c>
      <c r="F87" s="22">
        <f t="shared" si="5"/>
        <v>3.4065824777557689</v>
      </c>
    </row>
    <row r="88" spans="1:6" x14ac:dyDescent="0.2">
      <c r="A88" s="20">
        <v>22</v>
      </c>
      <c r="B88" s="202" t="s">
        <v>19</v>
      </c>
      <c r="C88" s="203"/>
      <c r="D88" s="15">
        <f t="shared" si="4"/>
        <v>1297416</v>
      </c>
      <c r="E88" s="18">
        <f>SUM('1:57'!E88)</f>
        <v>4077220</v>
      </c>
      <c r="F88" s="22">
        <f t="shared" si="5"/>
        <v>3.1425695382205863</v>
      </c>
    </row>
    <row r="89" spans="1:6" x14ac:dyDescent="0.2">
      <c r="A89" s="20">
        <v>23</v>
      </c>
      <c r="B89" s="202" t="s">
        <v>20</v>
      </c>
      <c r="C89" s="203"/>
      <c r="D89" s="15">
        <f t="shared" si="4"/>
        <v>6598139</v>
      </c>
      <c r="E89" s="18">
        <f>SUM('1:57'!E89)</f>
        <v>27221961</v>
      </c>
      <c r="F89" s="22">
        <f t="shared" si="5"/>
        <v>4.1257028686422039</v>
      </c>
    </row>
    <row r="90" spans="1:6" x14ac:dyDescent="0.2">
      <c r="A90" s="20">
        <v>24</v>
      </c>
      <c r="B90" s="202" t="s">
        <v>21</v>
      </c>
      <c r="C90" s="203"/>
      <c r="D90" s="15">
        <f t="shared" si="4"/>
        <v>8263547</v>
      </c>
      <c r="E90" s="18">
        <f>SUM('1:57'!E90)</f>
        <v>23227612</v>
      </c>
      <c r="F90" s="22">
        <f t="shared" si="5"/>
        <v>2.810852531001518</v>
      </c>
    </row>
    <row r="91" spans="1:6" x14ac:dyDescent="0.2">
      <c r="A91" s="20">
        <v>25</v>
      </c>
      <c r="B91" s="202" t="s">
        <v>22</v>
      </c>
      <c r="C91" s="203"/>
      <c r="D91" s="15">
        <f t="shared" si="4"/>
        <v>53623156</v>
      </c>
      <c r="E91" s="18">
        <f>SUM('1:57'!E91)</f>
        <v>142808911</v>
      </c>
      <c r="F91" s="22">
        <f t="shared" si="5"/>
        <v>2.6631948145685418</v>
      </c>
    </row>
    <row r="92" spans="1:6" x14ac:dyDescent="0.2">
      <c r="A92" s="20">
        <v>26</v>
      </c>
      <c r="B92" s="202" t="s">
        <v>23</v>
      </c>
      <c r="C92" s="203"/>
      <c r="D92" s="15">
        <f t="shared" si="4"/>
        <v>16412799</v>
      </c>
      <c r="E92" s="18">
        <f>SUM('1:57'!E92)</f>
        <v>67939496</v>
      </c>
      <c r="F92" s="22">
        <f t="shared" si="5"/>
        <v>4.1394216793857037</v>
      </c>
    </row>
    <row r="93" spans="1:6" x14ac:dyDescent="0.2">
      <c r="A93" s="20">
        <v>28</v>
      </c>
      <c r="B93" s="202" t="s">
        <v>24</v>
      </c>
      <c r="C93" s="203"/>
      <c r="D93" s="15">
        <f t="shared" si="4"/>
        <v>18811512</v>
      </c>
      <c r="E93" s="18">
        <f>SUM('1:57'!E93)</f>
        <v>52351504</v>
      </c>
      <c r="F93" s="22">
        <f t="shared" si="5"/>
        <v>2.7829503550804424</v>
      </c>
    </row>
    <row r="94" spans="1:6" ht="15.75" customHeight="1" thickBot="1" x14ac:dyDescent="0.25">
      <c r="A94" s="23">
        <v>29</v>
      </c>
      <c r="B94" s="206" t="s">
        <v>25</v>
      </c>
      <c r="C94" s="207"/>
      <c r="D94" s="24">
        <f t="shared" si="4"/>
        <v>16713968</v>
      </c>
      <c r="E94" s="25">
        <f>SUM('1:57'!E94)</f>
        <v>48527710</v>
      </c>
      <c r="F94" s="26">
        <f t="shared" si="5"/>
        <v>2.9034224547994825</v>
      </c>
    </row>
    <row r="95" spans="1:6" x14ac:dyDescent="0.2">
      <c r="C95" s="14" t="s">
        <v>35</v>
      </c>
      <c r="D95" s="63">
        <f>SUM(D67:D94)</f>
        <v>320121176</v>
      </c>
      <c r="E95" s="5">
        <f>SUM(E67:E94)</f>
        <v>1054089623</v>
      </c>
      <c r="F95" s="9">
        <f t="shared" si="5"/>
        <v>3.2927831772053717</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SUM('1:57'!E98)</f>
        <v>495297014</v>
      </c>
      <c r="F98" s="21">
        <f t="shared" ref="F98:F105" si="6">IFERROR(E98/$D$95,"")</f>
        <v>1.5472172762479168</v>
      </c>
    </row>
    <row r="99" spans="2:6" x14ac:dyDescent="0.2">
      <c r="B99" s="212" t="s">
        <v>31</v>
      </c>
      <c r="C99" s="213"/>
      <c r="D99" s="37"/>
      <c r="E99" s="18">
        <f>SUM('1:57'!E99)</f>
        <v>278545033</v>
      </c>
      <c r="F99" s="22">
        <f t="shared" si="6"/>
        <v>0.87012373402001997</v>
      </c>
    </row>
    <row r="100" spans="2:6" x14ac:dyDescent="0.2">
      <c r="B100" s="212" t="s">
        <v>32</v>
      </c>
      <c r="C100" s="213"/>
      <c r="D100" s="37"/>
      <c r="E100" s="18">
        <f>SUM('1:57'!E100)</f>
        <v>255996327</v>
      </c>
      <c r="F100" s="22">
        <f t="shared" si="6"/>
        <v>0.79968570089221469</v>
      </c>
    </row>
    <row r="101" spans="2:6" x14ac:dyDescent="0.2">
      <c r="B101" s="212" t="s">
        <v>28</v>
      </c>
      <c r="C101" s="213"/>
      <c r="D101" s="37"/>
      <c r="E101" s="18">
        <f>SUM('1:57'!E101)</f>
        <v>569268</v>
      </c>
      <c r="F101" s="22">
        <f t="shared" si="6"/>
        <v>1.7782891063726444E-3</v>
      </c>
    </row>
    <row r="102" spans="2:6" x14ac:dyDescent="0.2">
      <c r="B102" s="212" t="s">
        <v>33</v>
      </c>
      <c r="C102" s="213"/>
      <c r="D102" s="37"/>
      <c r="E102" s="18">
        <f>SUM('1:57'!E102)</f>
        <v>22457861</v>
      </c>
      <c r="F102" s="22">
        <f t="shared" si="6"/>
        <v>7.0154249964394733E-2</v>
      </c>
    </row>
    <row r="103" spans="2:6" x14ac:dyDescent="0.2">
      <c r="B103" s="214" t="s">
        <v>34</v>
      </c>
      <c r="C103" s="215"/>
      <c r="D103" s="37"/>
      <c r="E103" s="18">
        <f>SUM('1:57'!E103)</f>
        <v>58806953</v>
      </c>
      <c r="F103" s="22">
        <f t="shared" si="6"/>
        <v>0.18370216470777928</v>
      </c>
    </row>
    <row r="104" spans="2:6" ht="15.75" customHeight="1" thickBot="1" x14ac:dyDescent="0.25">
      <c r="B104" s="208" t="s">
        <v>29</v>
      </c>
      <c r="C104" s="209"/>
      <c r="D104" s="38"/>
      <c r="E104" s="25">
        <f>SUM('1:57'!E104)</f>
        <v>120529002</v>
      </c>
      <c r="F104" s="26">
        <f t="shared" si="6"/>
        <v>0.3765105561151631</v>
      </c>
    </row>
    <row r="105" spans="2:6" x14ac:dyDescent="0.2">
      <c r="C105" s="14" t="s">
        <v>35</v>
      </c>
      <c r="D105" s="13">
        <f>D95</f>
        <v>320121176</v>
      </c>
      <c r="E105" s="5">
        <f>SUM(E98:E104)</f>
        <v>1232201458</v>
      </c>
      <c r="F105" s="9">
        <f t="shared" si="6"/>
        <v>3.849171971053861</v>
      </c>
    </row>
    <row r="107" spans="2:6" ht="15" thickBot="1" x14ac:dyDescent="0.25">
      <c r="B107" s="12" t="s">
        <v>919</v>
      </c>
    </row>
    <row r="108" spans="2:6" ht="28.5" x14ac:dyDescent="0.2">
      <c r="B108" s="46" t="s">
        <v>913</v>
      </c>
      <c r="C108" s="28" t="s">
        <v>917</v>
      </c>
      <c r="D108" s="28" t="s">
        <v>29</v>
      </c>
      <c r="E108" s="28" t="s">
        <v>918</v>
      </c>
      <c r="F108" s="47" t="s">
        <v>35</v>
      </c>
    </row>
    <row r="109" spans="2:6" x14ac:dyDescent="0.2">
      <c r="B109" s="43" t="s">
        <v>914</v>
      </c>
      <c r="C109" s="16">
        <f>SUM('1:57'!C109)</f>
        <v>1186386937</v>
      </c>
      <c r="D109" s="16">
        <f>SUM('1:57'!D109)</f>
        <v>147731339</v>
      </c>
      <c r="E109" s="16">
        <f>SUM('1:57'!E109)</f>
        <v>133579894</v>
      </c>
      <c r="F109" s="48">
        <f>SUM('1:57'!F109)</f>
        <v>1467698170</v>
      </c>
    </row>
    <row r="110" spans="2:6" x14ac:dyDescent="0.2">
      <c r="B110" s="43" t="s">
        <v>28</v>
      </c>
      <c r="C110" s="51">
        <f>SUM('1:57'!C110)</f>
        <v>443384</v>
      </c>
      <c r="D110" s="52">
        <f>SUM('1:57'!D110)</f>
        <v>0</v>
      </c>
      <c r="E110" s="51">
        <f>SUM('1:57'!E110)</f>
        <v>125884</v>
      </c>
      <c r="F110" s="49">
        <f>SUM('1:57'!F110)</f>
        <v>569268</v>
      </c>
    </row>
    <row r="111" spans="2:6" x14ac:dyDescent="0.2">
      <c r="B111" s="43" t="s">
        <v>915</v>
      </c>
      <c r="C111" s="51">
        <f>SUM('1:57'!C111)</f>
        <v>58019978</v>
      </c>
      <c r="D111" s="52">
        <f>SUM('1:57'!D111)</f>
        <v>0</v>
      </c>
      <c r="E111" s="51">
        <f>SUM('1:57'!E111)</f>
        <v>31959713</v>
      </c>
      <c r="F111" s="49">
        <f>SUM('1:57'!F111)</f>
        <v>89979691</v>
      </c>
    </row>
    <row r="112" spans="2:6" x14ac:dyDescent="0.2">
      <c r="B112" s="43" t="s">
        <v>32</v>
      </c>
      <c r="C112" s="51">
        <f>SUM('1:57'!C112)</f>
        <v>199453868</v>
      </c>
      <c r="D112" s="52">
        <f>SUM('1:57'!D112)</f>
        <v>0</v>
      </c>
      <c r="E112" s="51">
        <f>SUM('1:57'!E112)</f>
        <v>56542459</v>
      </c>
      <c r="F112" s="49">
        <f>SUM('1:57'!F112)</f>
        <v>255996327</v>
      </c>
    </row>
    <row r="113" spans="1:6" x14ac:dyDescent="0.2">
      <c r="B113" s="43" t="s">
        <v>31</v>
      </c>
      <c r="C113" s="51">
        <f>SUM('1:57'!C113)</f>
        <v>220739251</v>
      </c>
      <c r="D113" s="52">
        <f>SUM('1:57'!D113)</f>
        <v>0</v>
      </c>
      <c r="E113" s="51">
        <f>SUM('1:57'!E113)</f>
        <v>57805782</v>
      </c>
      <c r="F113" s="49">
        <f>SUM('1:57'!F113)</f>
        <v>278545033</v>
      </c>
    </row>
    <row r="114" spans="1:6" x14ac:dyDescent="0.2">
      <c r="B114" s="43" t="s">
        <v>1002</v>
      </c>
      <c r="C114" s="51">
        <f>SUM('1:57'!C114)</f>
        <v>308936629</v>
      </c>
      <c r="D114" s="52">
        <f>SUM('1:57'!D114)</f>
        <v>0</v>
      </c>
      <c r="E114" s="51">
        <f>SUM('1:57'!E114)</f>
        <v>186360385</v>
      </c>
      <c r="F114" s="49">
        <f>SUM('1:57'!F114)</f>
        <v>495297014</v>
      </c>
    </row>
    <row r="115" spans="1:6" x14ac:dyDescent="0.2">
      <c r="B115" s="43" t="s">
        <v>916</v>
      </c>
      <c r="C115" s="51">
        <f>SUM('1:57'!C115)</f>
        <v>93619629</v>
      </c>
      <c r="D115" s="51">
        <f>SUM('1:57'!D115)</f>
        <v>25697992</v>
      </c>
      <c r="E115" s="51">
        <f>SUM('1:57'!E115)</f>
        <v>295004183</v>
      </c>
      <c r="F115" s="49">
        <f>SUM('1:57'!F115)</f>
        <v>414321804</v>
      </c>
    </row>
    <row r="116" spans="1:6" x14ac:dyDescent="0.2">
      <c r="B116" s="43" t="s">
        <v>33</v>
      </c>
      <c r="C116" s="51">
        <f>SUM('1:57'!C116)</f>
        <v>267302</v>
      </c>
      <c r="D116" s="51">
        <f>SUM('1:57'!D116)</f>
        <v>0</v>
      </c>
      <c r="E116" s="51">
        <f>SUM('1:57'!E116)</f>
        <v>22190559</v>
      </c>
      <c r="F116" s="49">
        <f>SUM('1:57'!F116)</f>
        <v>22457861</v>
      </c>
    </row>
    <row r="117" spans="1:6" ht="15" thickBot="1" x14ac:dyDescent="0.25">
      <c r="B117" s="44" t="s">
        <v>920</v>
      </c>
      <c r="C117" s="53">
        <f>SUM('1:57'!C117)</f>
        <v>0</v>
      </c>
      <c r="D117" s="53">
        <f>SUM('1:57'!D117)</f>
        <v>120529002</v>
      </c>
      <c r="E117" s="53">
        <f>SUM('1:57'!E117)</f>
        <v>0</v>
      </c>
      <c r="F117" s="50">
        <f>SUM('1:57'!F117)</f>
        <v>120529002</v>
      </c>
    </row>
    <row r="118" spans="1:6" x14ac:dyDescent="0.2">
      <c r="B118" s="14" t="s">
        <v>35</v>
      </c>
      <c r="C118" s="5">
        <f>SUM(C109:C117)</f>
        <v>2067866978</v>
      </c>
      <c r="D118" s="178">
        <f t="shared" ref="D118:F118" si="7">SUM(D109:D117)</f>
        <v>293958333</v>
      </c>
      <c r="E118" s="178">
        <f t="shared" si="7"/>
        <v>783568859</v>
      </c>
      <c r="F118" s="178">
        <f t="shared" si="7"/>
        <v>3145394170</v>
      </c>
    </row>
    <row r="119" spans="1:6" ht="15" thickBot="1" x14ac:dyDescent="0.25"/>
    <row r="120" spans="1:6" ht="15" thickBot="1" x14ac:dyDescent="0.25">
      <c r="B120" s="56" t="s">
        <v>921</v>
      </c>
      <c r="C120" s="54">
        <f>SUM('1:57'!C120)</f>
        <v>0</v>
      </c>
      <c r="D120" s="54">
        <f>SUM('1:57'!D120)</f>
        <v>0</v>
      </c>
      <c r="E120" s="54">
        <f>SUM('1:57'!E120)</f>
        <v>82050493</v>
      </c>
      <c r="F120" s="55">
        <f>SUM('1:57'!F120)</f>
        <v>82050493</v>
      </c>
    </row>
    <row r="121" spans="1:6" s="177" customFormat="1" x14ac:dyDescent="0.2">
      <c r="B121" s="14" t="s">
        <v>35</v>
      </c>
      <c r="C121" s="178">
        <f>SUM(C120:C120)</f>
        <v>0</v>
      </c>
      <c r="D121" s="178">
        <f>SUM(D120:D120)</f>
        <v>0</v>
      </c>
      <c r="E121" s="178">
        <f>SUM(E120:E120)</f>
        <v>82050493</v>
      </c>
      <c r="F121" s="178">
        <f>SUM(F120:F120)</f>
        <v>82050493</v>
      </c>
    </row>
    <row r="122" spans="1:6" s="177" customFormat="1" x14ac:dyDescent="0.2">
      <c r="B122" s="191" t="s">
        <v>1396</v>
      </c>
      <c r="C122" s="187"/>
      <c r="D122" s="187"/>
      <c r="E122" s="187"/>
      <c r="F122" s="200">
        <f>F118+F121</f>
        <v>3227444663</v>
      </c>
    </row>
    <row r="123" spans="1:6" s="177" customFormat="1" x14ac:dyDescent="0.2">
      <c r="B123" s="186"/>
      <c r="C123" s="187"/>
      <c r="D123" s="187"/>
      <c r="E123" s="187"/>
      <c r="F123" s="187"/>
    </row>
    <row r="124" spans="1:6" s="58" customFormat="1" ht="113.25" customHeight="1" x14ac:dyDescent="0.2">
      <c r="A124" s="201" t="s">
        <v>922</v>
      </c>
      <c r="B124" s="201"/>
      <c r="C124" s="201"/>
      <c r="D124" s="201"/>
      <c r="E124" s="201"/>
      <c r="F124" s="201"/>
    </row>
  </sheetData>
  <mergeCells count="96">
    <mergeCell ref="B104:C104"/>
    <mergeCell ref="B91:C91"/>
    <mergeCell ref="B92:C92"/>
    <mergeCell ref="B93:C93"/>
    <mergeCell ref="B94:C94"/>
    <mergeCell ref="B97:C97"/>
    <mergeCell ref="B98:C98"/>
    <mergeCell ref="B99:C99"/>
    <mergeCell ref="B100:C100"/>
    <mergeCell ref="B101:C101"/>
    <mergeCell ref="B102:C102"/>
    <mergeCell ref="B103:C103"/>
    <mergeCell ref="B90:C90"/>
    <mergeCell ref="B79:C79"/>
    <mergeCell ref="B80:C80"/>
    <mergeCell ref="B81:C81"/>
    <mergeCell ref="B82:C82"/>
    <mergeCell ref="B83:C83"/>
    <mergeCell ref="B84:C84"/>
    <mergeCell ref="B85:C85"/>
    <mergeCell ref="B86:C86"/>
    <mergeCell ref="B87:C87"/>
    <mergeCell ref="B88:C88"/>
    <mergeCell ref="B89:C89"/>
    <mergeCell ref="B78:C78"/>
    <mergeCell ref="B67:C67"/>
    <mergeCell ref="B68:C68"/>
    <mergeCell ref="B69:C69"/>
    <mergeCell ref="B70:C70"/>
    <mergeCell ref="B71:C71"/>
    <mergeCell ref="B72:C72"/>
    <mergeCell ref="B73:C73"/>
    <mergeCell ref="B74:C74"/>
    <mergeCell ref="B75:C75"/>
    <mergeCell ref="B76:C76"/>
    <mergeCell ref="B77:C77"/>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18:C18"/>
    <mergeCell ref="B19:C19"/>
    <mergeCell ref="B20:C20"/>
    <mergeCell ref="B21:C21"/>
    <mergeCell ref="B22:C22"/>
    <mergeCell ref="A124:F124"/>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s>
  <pageMargins left="0.25" right="0.25" top="0.75" bottom="0.75" header="0.3" footer="0.3"/>
  <pageSetup orientation="landscape" r:id="rId1"/>
  <rowBreaks count="2" manualBreakCount="2">
    <brk id="64" max="16383" man="1"/>
    <brk id="9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4"/>
  <sheetViews>
    <sheetView showGridLines="0" zoomScale="70" zoomScaleNormal="70" workbookViewId="0"/>
  </sheetViews>
  <sheetFormatPr defaultRowHeight="14.25" x14ac:dyDescent="0.2"/>
  <cols>
    <col min="1" max="1" width="6.5703125" style="72" customWidth="1"/>
    <col min="2" max="2" width="43.5703125" style="72" customWidth="1"/>
    <col min="3" max="6" width="9.140625" style="72" bestFit="1" customWidth="1"/>
    <col min="7" max="16" width="8.140625" style="72" customWidth="1"/>
    <col min="17" max="17" width="2.85546875" style="72" customWidth="1"/>
    <col min="18" max="30" width="9.42578125" style="72" customWidth="1"/>
    <col min="31" max="44" width="9.140625" style="72"/>
    <col min="45" max="45" width="17.85546875" style="72" bestFit="1" customWidth="1"/>
    <col min="46" max="48" width="9.140625" style="72"/>
    <col min="49" max="49" width="17.85546875" style="72" bestFit="1" customWidth="1"/>
    <col min="50" max="16384" width="9.140625" style="72"/>
  </cols>
  <sheetData>
    <row r="1" spans="1:30" x14ac:dyDescent="0.2">
      <c r="A1" s="39" t="str">
        <f>Summary!A1</f>
        <v>Community and Technical Colleges, Report of Fundable Operating Expenses, Fiscal Year (FY) 2012</v>
      </c>
      <c r="B1" s="39"/>
      <c r="C1" s="39"/>
      <c r="D1" s="39"/>
      <c r="E1" s="39"/>
      <c r="F1" s="39"/>
      <c r="G1" s="39"/>
      <c r="H1" s="39"/>
      <c r="I1" s="39"/>
      <c r="J1" s="39"/>
      <c r="K1" s="39"/>
      <c r="L1" s="39"/>
      <c r="M1" s="39"/>
      <c r="N1" s="39"/>
      <c r="O1" s="39"/>
      <c r="P1" s="39"/>
    </row>
    <row r="2" spans="1:30" ht="15" thickBot="1" x14ac:dyDescent="0.25">
      <c r="A2" s="6" t="s">
        <v>923</v>
      </c>
      <c r="R2" s="74" t="s">
        <v>925</v>
      </c>
      <c r="S2" s="74"/>
      <c r="T2" s="74"/>
      <c r="U2" s="74"/>
      <c r="V2" s="74"/>
      <c r="W2" s="74"/>
      <c r="X2" s="74"/>
      <c r="Y2" s="74"/>
      <c r="Z2" s="74"/>
      <c r="AA2" s="74"/>
      <c r="AB2" s="74"/>
      <c r="AC2" s="74"/>
      <c r="AD2" s="74"/>
    </row>
    <row r="3" spans="1:30" ht="29.25" customHeight="1" x14ac:dyDescent="0.2">
      <c r="A3" s="164" t="s">
        <v>26</v>
      </c>
      <c r="B3" s="162" t="s">
        <v>924</v>
      </c>
      <c r="C3" s="61">
        <v>2012</v>
      </c>
      <c r="D3" s="61">
        <v>2011</v>
      </c>
      <c r="E3" s="61">
        <v>2010</v>
      </c>
      <c r="F3" s="61">
        <v>2009</v>
      </c>
      <c r="G3" s="61">
        <v>2008</v>
      </c>
      <c r="H3" s="61">
        <v>2007</v>
      </c>
      <c r="I3" s="61">
        <v>2006</v>
      </c>
      <c r="J3" s="61">
        <v>2005</v>
      </c>
      <c r="K3" s="61">
        <v>2004</v>
      </c>
      <c r="L3" s="61">
        <v>2003</v>
      </c>
      <c r="M3" s="61">
        <v>2002</v>
      </c>
      <c r="N3" s="61">
        <v>2001</v>
      </c>
      <c r="O3" s="61">
        <v>2000</v>
      </c>
      <c r="P3" s="168">
        <v>1999</v>
      </c>
      <c r="R3" s="68">
        <v>2012</v>
      </c>
      <c r="S3" s="165">
        <v>2011</v>
      </c>
      <c r="T3" s="165">
        <v>2010</v>
      </c>
      <c r="U3" s="165">
        <v>2009</v>
      </c>
      <c r="V3" s="165">
        <v>2008</v>
      </c>
      <c r="W3" s="165">
        <v>2007</v>
      </c>
      <c r="X3" s="165">
        <v>2006</v>
      </c>
      <c r="Y3" s="165">
        <v>2005</v>
      </c>
      <c r="Z3" s="165">
        <v>2004</v>
      </c>
      <c r="AA3" s="165">
        <v>2003</v>
      </c>
      <c r="AB3" s="165">
        <v>2002</v>
      </c>
      <c r="AC3" s="165">
        <v>2001</v>
      </c>
      <c r="AD3" s="168">
        <v>2000</v>
      </c>
    </row>
    <row r="4" spans="1:30" x14ac:dyDescent="0.2">
      <c r="A4" s="20">
        <v>1</v>
      </c>
      <c r="B4" s="161" t="s">
        <v>0</v>
      </c>
      <c r="C4" s="17">
        <f>Summary!F5</f>
        <v>9.0581710232403019</v>
      </c>
      <c r="D4" s="17">
        <v>8.6593498930426573</v>
      </c>
      <c r="E4" s="17">
        <f>[1]Summary!F5</f>
        <v>8.3546442290931431</v>
      </c>
      <c r="F4" s="17">
        <v>8.9459923907540038</v>
      </c>
      <c r="G4" s="17">
        <v>7.6999999999999993</v>
      </c>
      <c r="H4" s="17">
        <v>7.3699999999999992</v>
      </c>
      <c r="I4" s="17"/>
      <c r="J4" s="17">
        <v>7.25</v>
      </c>
      <c r="K4" s="17">
        <v>9.82</v>
      </c>
      <c r="L4" s="17">
        <v>7.1800000000000006</v>
      </c>
      <c r="M4" s="17">
        <v>7.58</v>
      </c>
      <c r="N4" s="17">
        <v>7</v>
      </c>
      <c r="O4" s="17">
        <v>6.669999999999999</v>
      </c>
      <c r="P4" s="169">
        <v>6.8100000000000005</v>
      </c>
      <c r="R4" s="69">
        <f t="shared" ref="R4:R31" si="0">IFERROR(C4/D4-1,"")</f>
        <v>4.6056705771651218E-2</v>
      </c>
      <c r="S4" s="166">
        <f t="shared" ref="S4:S31" si="1">IFERROR(D4/E4-1,"")</f>
        <v>3.6471411061220982E-2</v>
      </c>
      <c r="T4" s="166">
        <f t="shared" ref="T4:T31" si="2">IFERROR(E4/F4-1,"")</f>
        <v>-6.6102019298835968E-2</v>
      </c>
      <c r="U4" s="166">
        <f t="shared" ref="U4:U31" si="3">IFERROR(F4/G4-1,"")</f>
        <v>0.16181719360441615</v>
      </c>
      <c r="V4" s="166">
        <f t="shared" ref="V4:V31" si="4">IFERROR(G4/H4-1,"")</f>
        <v>4.4776119402984982E-2</v>
      </c>
      <c r="W4" s="166" t="str">
        <f t="shared" ref="W4:W31" si="5">IFERROR(H4/I4-1,"")</f>
        <v/>
      </c>
      <c r="X4" s="166">
        <f t="shared" ref="X4:X31" si="6">IFERROR(I4/J4-1,"")</f>
        <v>-1</v>
      </c>
      <c r="Y4" s="166">
        <f t="shared" ref="Y4:Y31" si="7">IFERROR(J4/K4-1,"")</f>
        <v>-0.26171079429735233</v>
      </c>
      <c r="Z4" s="166">
        <f t="shared" ref="Z4:Z31" si="8">IFERROR(K4/L4-1,"")</f>
        <v>0.36768802228412256</v>
      </c>
      <c r="AA4" s="166">
        <f t="shared" ref="AA4:AA31" si="9">IFERROR(L4/M4-1,"")</f>
        <v>-5.2770448548812632E-2</v>
      </c>
      <c r="AB4" s="166">
        <f t="shared" ref="AB4:AB31" si="10">IFERROR(M4/N4-1,"")</f>
        <v>8.2857142857142962E-2</v>
      </c>
      <c r="AC4" s="166">
        <f t="shared" ref="AC4:AC31" si="11">IFERROR(N4/O4-1,"")</f>
        <v>4.947526236881572E-2</v>
      </c>
      <c r="AD4" s="170">
        <f t="shared" ref="AD4:AD31" si="12">IFERROR(O4/P4-1,"")</f>
        <v>-2.0558002936857722E-2</v>
      </c>
    </row>
    <row r="5" spans="1:30" ht="28.5" x14ac:dyDescent="0.2">
      <c r="A5" s="20">
        <v>2</v>
      </c>
      <c r="B5" s="161" t="s">
        <v>1</v>
      </c>
      <c r="C5" s="19">
        <f>Summary!F6</f>
        <v>9.3992603898677878</v>
      </c>
      <c r="D5" s="19">
        <v>9.184542131826074</v>
      </c>
      <c r="E5" s="19">
        <f>[1]Summary!F6</f>
        <v>9.1518481254453672</v>
      </c>
      <c r="F5" s="19">
        <v>9.8950420932895486</v>
      </c>
      <c r="G5" s="19">
        <v>8.879999999999999</v>
      </c>
      <c r="H5" s="19">
        <v>10.29</v>
      </c>
      <c r="I5" s="19"/>
      <c r="J5" s="19">
        <v>8.82</v>
      </c>
      <c r="K5" s="19">
        <v>11.31</v>
      </c>
      <c r="L5" s="19">
        <v>7.3100000000000005</v>
      </c>
      <c r="M5" s="19">
        <v>7.27</v>
      </c>
      <c r="N5" s="19">
        <v>7.5600000000000005</v>
      </c>
      <c r="O5" s="19">
        <v>6.8299999999999992</v>
      </c>
      <c r="P5" s="171">
        <v>6.6400000000000006</v>
      </c>
      <c r="R5" s="69">
        <f t="shared" si="0"/>
        <v>2.3378221250428766E-2</v>
      </c>
      <c r="S5" s="166">
        <f t="shared" si="1"/>
        <v>3.5723938960270374E-3</v>
      </c>
      <c r="T5" s="166">
        <f t="shared" si="2"/>
        <v>-7.5107711603186411E-2</v>
      </c>
      <c r="U5" s="166">
        <f t="shared" si="3"/>
        <v>0.11430654203711144</v>
      </c>
      <c r="V5" s="166">
        <f t="shared" si="4"/>
        <v>-0.13702623906705547</v>
      </c>
      <c r="W5" s="166" t="str">
        <f t="shared" si="5"/>
        <v/>
      </c>
      <c r="X5" s="166">
        <f t="shared" si="6"/>
        <v>-1</v>
      </c>
      <c r="Y5" s="166">
        <f t="shared" si="7"/>
        <v>-0.22015915119363394</v>
      </c>
      <c r="Z5" s="166">
        <f t="shared" si="8"/>
        <v>0.54719562243502051</v>
      </c>
      <c r="AA5" s="166">
        <f t="shared" si="9"/>
        <v>5.5020632737277086E-3</v>
      </c>
      <c r="AB5" s="166">
        <f t="shared" si="10"/>
        <v>-3.8359788359788483E-2</v>
      </c>
      <c r="AC5" s="166">
        <f t="shared" si="11"/>
        <v>0.10688140556368975</v>
      </c>
      <c r="AD5" s="170">
        <f t="shared" si="12"/>
        <v>2.8614457831324991E-2</v>
      </c>
    </row>
    <row r="6" spans="1:30" ht="28.5" x14ac:dyDescent="0.2">
      <c r="A6" s="20">
        <v>3</v>
      </c>
      <c r="B6" s="161" t="s">
        <v>2</v>
      </c>
      <c r="C6" s="19">
        <f>Summary!F7</f>
        <v>7.805994999115506</v>
      </c>
      <c r="D6" s="19">
        <v>7.4925173725292336</v>
      </c>
      <c r="E6" s="19">
        <f>[1]Summary!F7</f>
        <v>7.4246458040228518</v>
      </c>
      <c r="F6" s="19">
        <v>7.7869596956256011</v>
      </c>
      <c r="G6" s="19">
        <v>6.85</v>
      </c>
      <c r="H6" s="19">
        <v>6.65</v>
      </c>
      <c r="I6" s="19"/>
      <c r="J6" s="19">
        <v>6.1899999999999995</v>
      </c>
      <c r="K6" s="19">
        <v>7.98</v>
      </c>
      <c r="L6" s="19">
        <v>5.86</v>
      </c>
      <c r="M6" s="19">
        <v>6.0399999999999991</v>
      </c>
      <c r="N6" s="19">
        <v>5.9</v>
      </c>
      <c r="O6" s="19">
        <v>5.6899999999999995</v>
      </c>
      <c r="P6" s="171">
        <v>5.51</v>
      </c>
      <c r="R6" s="69">
        <f t="shared" si="0"/>
        <v>4.1838758724219272E-2</v>
      </c>
      <c r="S6" s="166">
        <f t="shared" si="1"/>
        <v>9.1413880605062392E-3</v>
      </c>
      <c r="T6" s="166">
        <f t="shared" si="2"/>
        <v>-4.6528286489819992E-2</v>
      </c>
      <c r="U6" s="166">
        <f t="shared" si="3"/>
        <v>0.13678243731760609</v>
      </c>
      <c r="V6" s="166">
        <f t="shared" si="4"/>
        <v>3.007518796992481E-2</v>
      </c>
      <c r="W6" s="166" t="str">
        <f t="shared" si="5"/>
        <v/>
      </c>
      <c r="X6" s="166">
        <f t="shared" si="6"/>
        <v>-1</v>
      </c>
      <c r="Y6" s="166">
        <f t="shared" si="7"/>
        <v>-0.22431077694235602</v>
      </c>
      <c r="Z6" s="166">
        <f t="shared" si="8"/>
        <v>0.36177474402730381</v>
      </c>
      <c r="AA6" s="166">
        <f t="shared" si="9"/>
        <v>-2.9801324503311077E-2</v>
      </c>
      <c r="AB6" s="166">
        <f t="shared" si="10"/>
        <v>2.3728813559321882E-2</v>
      </c>
      <c r="AC6" s="166">
        <f t="shared" si="11"/>
        <v>3.6906854130052791E-2</v>
      </c>
      <c r="AD6" s="170">
        <f t="shared" si="12"/>
        <v>3.2667876588021727E-2</v>
      </c>
    </row>
    <row r="7" spans="1:30" ht="28.5" x14ac:dyDescent="0.2">
      <c r="A7" s="20">
        <v>4</v>
      </c>
      <c r="B7" s="161" t="s">
        <v>3</v>
      </c>
      <c r="C7" s="19">
        <f>Summary!F8</f>
        <v>7.7723658756388501</v>
      </c>
      <c r="D7" s="19">
        <v>7.4560900009859781</v>
      </c>
      <c r="E7" s="19">
        <f>[1]Summary!F8</f>
        <v>7.5459725534394755</v>
      </c>
      <c r="F7" s="19">
        <v>7.9514487703004368</v>
      </c>
      <c r="G7" s="19">
        <v>7.1099999999999994</v>
      </c>
      <c r="H7" s="19">
        <v>6.9700000000000006</v>
      </c>
      <c r="I7" s="19"/>
      <c r="J7" s="19">
        <v>6.58</v>
      </c>
      <c r="K7" s="19">
        <v>8.86</v>
      </c>
      <c r="L7" s="19">
        <v>6.69</v>
      </c>
      <c r="M7" s="19">
        <v>6.4599999999999991</v>
      </c>
      <c r="N7" s="19">
        <v>6.07</v>
      </c>
      <c r="O7" s="19">
        <v>6.129999999999999</v>
      </c>
      <c r="P7" s="171">
        <v>6.22</v>
      </c>
      <c r="R7" s="69">
        <f t="shared" si="0"/>
        <v>4.2418462573687865E-2</v>
      </c>
      <c r="S7" s="166">
        <f t="shared" si="1"/>
        <v>-1.191132777345294E-2</v>
      </c>
      <c r="T7" s="166">
        <f t="shared" si="2"/>
        <v>-5.0994004812740634E-2</v>
      </c>
      <c r="U7" s="166">
        <f t="shared" si="3"/>
        <v>0.11834722507741735</v>
      </c>
      <c r="V7" s="166">
        <f t="shared" si="4"/>
        <v>2.0086083213773032E-2</v>
      </c>
      <c r="W7" s="166" t="str">
        <f t="shared" si="5"/>
        <v/>
      </c>
      <c r="X7" s="166">
        <f t="shared" si="6"/>
        <v>-1</v>
      </c>
      <c r="Y7" s="166">
        <f t="shared" si="7"/>
        <v>-0.2573363431151241</v>
      </c>
      <c r="Z7" s="166">
        <f t="shared" si="8"/>
        <v>0.32436472346786238</v>
      </c>
      <c r="AA7" s="166">
        <f t="shared" si="9"/>
        <v>3.5603715170278827E-2</v>
      </c>
      <c r="AB7" s="166">
        <f t="shared" si="10"/>
        <v>6.4250411861614287E-2</v>
      </c>
      <c r="AC7" s="166">
        <f t="shared" si="11"/>
        <v>-9.7879282218594765E-3</v>
      </c>
      <c r="AD7" s="170">
        <f t="shared" si="12"/>
        <v>-1.4469453376205865E-2</v>
      </c>
    </row>
    <row r="8" spans="1:30" x14ac:dyDescent="0.2">
      <c r="A8" s="20">
        <v>5</v>
      </c>
      <c r="B8" s="161" t="s">
        <v>4</v>
      </c>
      <c r="C8" s="19">
        <f>Summary!F9</f>
        <v>29.272886099895356</v>
      </c>
      <c r="D8" s="19">
        <v>32.970587980750146</v>
      </c>
      <c r="E8" s="19">
        <f>[1]Summary!F9</f>
        <v>31.732203333682957</v>
      </c>
      <c r="F8" s="19">
        <v>35.064015681109112</v>
      </c>
      <c r="G8" s="19">
        <v>33.869999999999997</v>
      </c>
      <c r="H8" s="19">
        <v>30.76</v>
      </c>
      <c r="I8" s="19"/>
      <c r="J8" s="19">
        <v>23.45</v>
      </c>
      <c r="K8" s="19">
        <v>25.28</v>
      </c>
      <c r="L8" s="19">
        <v>13.77</v>
      </c>
      <c r="M8" s="19">
        <v>11.03</v>
      </c>
      <c r="N8" s="19">
        <v>16.04</v>
      </c>
      <c r="O8" s="19">
        <v>19.419999999999998</v>
      </c>
      <c r="P8" s="171">
        <v>18.690000000000001</v>
      </c>
      <c r="R8" s="69">
        <f t="shared" si="0"/>
        <v>-0.11215152981237975</v>
      </c>
      <c r="S8" s="166">
        <f t="shared" si="1"/>
        <v>3.9026115963169739E-2</v>
      </c>
      <c r="T8" s="166">
        <f t="shared" si="2"/>
        <v>-9.502084352595086E-2</v>
      </c>
      <c r="U8" s="166">
        <f t="shared" si="3"/>
        <v>3.5252898763186158E-2</v>
      </c>
      <c r="V8" s="166">
        <f t="shared" si="4"/>
        <v>0.10110533159947965</v>
      </c>
      <c r="W8" s="166" t="str">
        <f t="shared" si="5"/>
        <v/>
      </c>
      <c r="X8" s="166">
        <f t="shared" si="6"/>
        <v>-1</v>
      </c>
      <c r="Y8" s="166">
        <f t="shared" si="7"/>
        <v>-7.2389240506329222E-2</v>
      </c>
      <c r="Z8" s="166">
        <f t="shared" si="8"/>
        <v>0.8358750907770518</v>
      </c>
      <c r="AA8" s="166">
        <f t="shared" si="9"/>
        <v>0.24841341795104266</v>
      </c>
      <c r="AB8" s="166">
        <f t="shared" si="10"/>
        <v>-0.31234413965087282</v>
      </c>
      <c r="AC8" s="166">
        <f t="shared" si="11"/>
        <v>-0.17404737384140057</v>
      </c>
      <c r="AD8" s="170">
        <f t="shared" si="12"/>
        <v>3.9058319957196108E-2</v>
      </c>
    </row>
    <row r="9" spans="1:30" x14ac:dyDescent="0.2">
      <c r="A9" s="20">
        <v>6</v>
      </c>
      <c r="B9" s="161" t="s">
        <v>5</v>
      </c>
      <c r="C9" s="19">
        <f>Summary!F10</f>
        <v>8.8634273383747821</v>
      </c>
      <c r="D9" s="19">
        <v>8.8221233203678562</v>
      </c>
      <c r="E9" s="19">
        <f>[1]Summary!F10</f>
        <v>8.541594870968245</v>
      </c>
      <c r="F9" s="19">
        <v>8.9135549933875176</v>
      </c>
      <c r="G9" s="19">
        <v>7.65</v>
      </c>
      <c r="H9" s="19">
        <v>7.3000000000000007</v>
      </c>
      <c r="I9" s="19"/>
      <c r="J9" s="19">
        <v>7.3</v>
      </c>
      <c r="K9" s="19">
        <v>10.010000000000002</v>
      </c>
      <c r="L9" s="19">
        <v>7.2100000000000009</v>
      </c>
      <c r="M9" s="19">
        <v>7.26</v>
      </c>
      <c r="N9" s="19">
        <v>6.99</v>
      </c>
      <c r="O9" s="19">
        <v>9.2100000000000009</v>
      </c>
      <c r="P9" s="171">
        <v>8.2100000000000009</v>
      </c>
      <c r="R9" s="69">
        <f t="shared" si="0"/>
        <v>4.6818681293614439E-3</v>
      </c>
      <c r="S9" s="166">
        <f t="shared" si="1"/>
        <v>3.284263110547303E-2</v>
      </c>
      <c r="T9" s="166">
        <f t="shared" si="2"/>
        <v>-4.1729716448174692E-2</v>
      </c>
      <c r="U9" s="166">
        <f t="shared" si="3"/>
        <v>0.16517058737091728</v>
      </c>
      <c r="V9" s="166">
        <f t="shared" si="4"/>
        <v>4.7945205479452024E-2</v>
      </c>
      <c r="W9" s="166" t="str">
        <f t="shared" si="5"/>
        <v/>
      </c>
      <c r="X9" s="166">
        <f t="shared" si="6"/>
        <v>-1</v>
      </c>
      <c r="Y9" s="166">
        <f t="shared" si="7"/>
        <v>-0.27072927072927089</v>
      </c>
      <c r="Z9" s="166">
        <f t="shared" si="8"/>
        <v>0.38834951456310685</v>
      </c>
      <c r="AA9" s="166">
        <f t="shared" si="9"/>
        <v>-6.8870523415976992E-3</v>
      </c>
      <c r="AB9" s="166">
        <f t="shared" si="10"/>
        <v>3.8626609442059978E-2</v>
      </c>
      <c r="AC9" s="166">
        <f t="shared" si="11"/>
        <v>-0.24104234527687296</v>
      </c>
      <c r="AD9" s="170">
        <f t="shared" si="12"/>
        <v>0.12180267965895242</v>
      </c>
    </row>
    <row r="10" spans="1:30" x14ac:dyDescent="0.2">
      <c r="A10" s="20">
        <v>7</v>
      </c>
      <c r="B10" s="161" t="s">
        <v>6</v>
      </c>
      <c r="C10" s="19">
        <f>Summary!F11</f>
        <v>9.4843581802357946</v>
      </c>
      <c r="D10" s="19">
        <v>9.2148507431372622</v>
      </c>
      <c r="E10" s="19">
        <f>[1]Summary!F11</f>
        <v>9.0091906669667399</v>
      </c>
      <c r="F10" s="19">
        <v>9.8773789312762741</v>
      </c>
      <c r="G10" s="19">
        <v>8.52</v>
      </c>
      <c r="H10" s="19">
        <v>8.44</v>
      </c>
      <c r="I10" s="19"/>
      <c r="J10" s="19">
        <v>7.57</v>
      </c>
      <c r="K10" s="19">
        <v>9.93</v>
      </c>
      <c r="L10" s="19">
        <v>6.94</v>
      </c>
      <c r="M10" s="19">
        <v>6.92</v>
      </c>
      <c r="N10" s="19">
        <v>6.6899999999999995</v>
      </c>
      <c r="O10" s="19">
        <v>6.3199999999999994</v>
      </c>
      <c r="P10" s="171">
        <v>5.4399999999999995</v>
      </c>
      <c r="R10" s="69">
        <f t="shared" si="0"/>
        <v>2.9247075683699775E-2</v>
      </c>
      <c r="S10" s="166">
        <f t="shared" si="1"/>
        <v>2.28278081542439E-2</v>
      </c>
      <c r="T10" s="166">
        <f t="shared" si="2"/>
        <v>-8.7896624230994647E-2</v>
      </c>
      <c r="U10" s="166">
        <f t="shared" si="3"/>
        <v>0.15931677597139382</v>
      </c>
      <c r="V10" s="166">
        <f t="shared" si="4"/>
        <v>9.4786729857820884E-3</v>
      </c>
      <c r="W10" s="166" t="str">
        <f t="shared" si="5"/>
        <v/>
      </c>
      <c r="X10" s="166">
        <f t="shared" si="6"/>
        <v>-1</v>
      </c>
      <c r="Y10" s="166">
        <f t="shared" si="7"/>
        <v>-0.2376636455186304</v>
      </c>
      <c r="Z10" s="166">
        <f t="shared" si="8"/>
        <v>0.4308357348703169</v>
      </c>
      <c r="AA10" s="166">
        <f t="shared" si="9"/>
        <v>2.8901734104047616E-3</v>
      </c>
      <c r="AB10" s="166">
        <f t="shared" si="10"/>
        <v>3.4379671150971625E-2</v>
      </c>
      <c r="AC10" s="166">
        <f t="shared" si="11"/>
        <v>5.8544303797468444E-2</v>
      </c>
      <c r="AD10" s="170">
        <f t="shared" si="12"/>
        <v>0.16176470588235303</v>
      </c>
    </row>
    <row r="11" spans="1:30" x14ac:dyDescent="0.2">
      <c r="A11" s="20">
        <v>8</v>
      </c>
      <c r="B11" s="161" t="s">
        <v>7</v>
      </c>
      <c r="C11" s="19">
        <f>Summary!F12</f>
        <v>9.480726336014877</v>
      </c>
      <c r="D11" s="19">
        <v>9.4265511206134125</v>
      </c>
      <c r="E11" s="19">
        <f>[1]Summary!F12</f>
        <v>9.1499254382485358</v>
      </c>
      <c r="F11" s="19">
        <v>10.673804372943733</v>
      </c>
      <c r="G11" s="19">
        <v>8.0299999999999994</v>
      </c>
      <c r="H11" s="19">
        <v>7.77</v>
      </c>
      <c r="I11" s="19"/>
      <c r="J11" s="19">
        <v>8.1999999999999993</v>
      </c>
      <c r="K11" s="19">
        <v>10.92</v>
      </c>
      <c r="L11" s="19">
        <v>7.36</v>
      </c>
      <c r="M11" s="19">
        <v>6.75</v>
      </c>
      <c r="N11" s="19">
        <v>6.1199999999999992</v>
      </c>
      <c r="O11" s="19">
        <v>6.42</v>
      </c>
      <c r="P11" s="171">
        <v>5.99</v>
      </c>
      <c r="R11" s="69">
        <f t="shared" si="0"/>
        <v>5.7470876366434442E-3</v>
      </c>
      <c r="S11" s="166">
        <f t="shared" si="1"/>
        <v>3.0232561372415701E-2</v>
      </c>
      <c r="T11" s="166">
        <f t="shared" si="2"/>
        <v>-0.14276811542077439</v>
      </c>
      <c r="U11" s="166">
        <f t="shared" si="3"/>
        <v>0.32924089326821093</v>
      </c>
      <c r="V11" s="166">
        <f t="shared" si="4"/>
        <v>3.3462033462033469E-2</v>
      </c>
      <c r="W11" s="166" t="str">
        <f t="shared" si="5"/>
        <v/>
      </c>
      <c r="X11" s="166">
        <f t="shared" si="6"/>
        <v>-1</v>
      </c>
      <c r="Y11" s="166">
        <f t="shared" si="7"/>
        <v>-0.2490842490842492</v>
      </c>
      <c r="Z11" s="166">
        <f t="shared" si="8"/>
        <v>0.48369565217391286</v>
      </c>
      <c r="AA11" s="166">
        <f t="shared" si="9"/>
        <v>9.0370370370370434E-2</v>
      </c>
      <c r="AB11" s="166">
        <f t="shared" si="10"/>
        <v>0.10294117647058831</v>
      </c>
      <c r="AC11" s="166">
        <f t="shared" si="11"/>
        <v>-4.6728971962616939E-2</v>
      </c>
      <c r="AD11" s="170">
        <f t="shared" si="12"/>
        <v>7.178631051752915E-2</v>
      </c>
    </row>
    <row r="12" spans="1:30" x14ac:dyDescent="0.2">
      <c r="A12" s="20">
        <v>9</v>
      </c>
      <c r="B12" s="161" t="s">
        <v>8</v>
      </c>
      <c r="C12" s="19">
        <f>Summary!F13</f>
        <v>8.3205881996401949</v>
      </c>
      <c r="D12" s="19">
        <v>7.5205661378393867</v>
      </c>
      <c r="E12" s="19">
        <f>[1]Summary!F13</f>
        <v>7.5340118023845886</v>
      </c>
      <c r="F12" s="19">
        <v>7.7785581546913374</v>
      </c>
      <c r="G12" s="19">
        <v>6.75</v>
      </c>
      <c r="H12" s="19">
        <v>6.49</v>
      </c>
      <c r="I12" s="19"/>
      <c r="J12" s="19">
        <v>6.14</v>
      </c>
      <c r="K12" s="19">
        <v>8.0800000000000018</v>
      </c>
      <c r="L12" s="19">
        <v>5.49</v>
      </c>
      <c r="M12" s="19">
        <v>5.51</v>
      </c>
      <c r="N12" s="19">
        <v>5.52</v>
      </c>
      <c r="O12" s="19">
        <v>5.1399999999999988</v>
      </c>
      <c r="P12" s="171">
        <v>5.35</v>
      </c>
      <c r="R12" s="69">
        <f t="shared" si="0"/>
        <v>0.1063779038888486</v>
      </c>
      <c r="S12" s="166">
        <f t="shared" si="1"/>
        <v>-1.7846619965402599E-3</v>
      </c>
      <c r="T12" s="166">
        <f t="shared" si="2"/>
        <v>-3.1438519510104901E-2</v>
      </c>
      <c r="U12" s="166">
        <f t="shared" si="3"/>
        <v>0.15237898588019805</v>
      </c>
      <c r="V12" s="166">
        <f t="shared" si="4"/>
        <v>4.006163328197232E-2</v>
      </c>
      <c r="W12" s="166" t="str">
        <f t="shared" si="5"/>
        <v/>
      </c>
      <c r="X12" s="166">
        <f t="shared" si="6"/>
        <v>-1</v>
      </c>
      <c r="Y12" s="166">
        <f t="shared" si="7"/>
        <v>-0.24009900990099031</v>
      </c>
      <c r="Z12" s="166">
        <f t="shared" si="8"/>
        <v>0.47176684881602937</v>
      </c>
      <c r="AA12" s="166">
        <f t="shared" si="9"/>
        <v>-3.6297640653356611E-3</v>
      </c>
      <c r="AB12" s="166">
        <f t="shared" si="10"/>
        <v>-1.8115942028985588E-3</v>
      </c>
      <c r="AC12" s="166">
        <f t="shared" si="11"/>
        <v>7.3929961089494345E-2</v>
      </c>
      <c r="AD12" s="170">
        <f t="shared" si="12"/>
        <v>-3.9252336448598268E-2</v>
      </c>
    </row>
    <row r="13" spans="1:30" x14ac:dyDescent="0.2">
      <c r="A13" s="20">
        <v>10</v>
      </c>
      <c r="B13" s="161" t="s">
        <v>9</v>
      </c>
      <c r="C13" s="19">
        <f>Summary!F14</f>
        <v>15.647118678211397</v>
      </c>
      <c r="D13" s="19">
        <v>14.989515969541129</v>
      </c>
      <c r="E13" s="19">
        <f>[1]Summary!F14</f>
        <v>10.56902124915373</v>
      </c>
      <c r="F13" s="19">
        <v>11.277205573362895</v>
      </c>
      <c r="G13" s="19">
        <v>7.8599999999999994</v>
      </c>
      <c r="H13" s="19">
        <v>7.5299999999999994</v>
      </c>
      <c r="I13" s="19"/>
      <c r="J13" s="19">
        <v>10.3</v>
      </c>
      <c r="K13" s="19">
        <v>11.38</v>
      </c>
      <c r="L13" s="19">
        <v>8.9200000000000017</v>
      </c>
      <c r="M13" s="19">
        <v>8.5399999999999991</v>
      </c>
      <c r="N13" s="19">
        <v>11.49</v>
      </c>
      <c r="O13" s="19">
        <v>9.8299999999999983</v>
      </c>
      <c r="P13" s="171">
        <v>7.6400000000000006</v>
      </c>
      <c r="R13" s="69">
        <f t="shared" si="0"/>
        <v>4.3870843461958575E-2</v>
      </c>
      <c r="S13" s="166">
        <f t="shared" si="1"/>
        <v>0.41825014977061881</v>
      </c>
      <c r="T13" s="166">
        <f t="shared" si="2"/>
        <v>-6.2797855337666131E-2</v>
      </c>
      <c r="U13" s="166">
        <f t="shared" si="3"/>
        <v>0.43475897879935066</v>
      </c>
      <c r="V13" s="166">
        <f t="shared" si="4"/>
        <v>4.3824701195219085E-2</v>
      </c>
      <c r="W13" s="166" t="str">
        <f t="shared" si="5"/>
        <v/>
      </c>
      <c r="X13" s="166">
        <f t="shared" si="6"/>
        <v>-1</v>
      </c>
      <c r="Y13" s="166">
        <f t="shared" si="7"/>
        <v>-9.4903339191564129E-2</v>
      </c>
      <c r="Z13" s="166">
        <f t="shared" si="8"/>
        <v>0.2757847533632285</v>
      </c>
      <c r="AA13" s="166">
        <f t="shared" si="9"/>
        <v>4.4496487119438211E-2</v>
      </c>
      <c r="AB13" s="166">
        <f t="shared" si="10"/>
        <v>-0.25674499564839004</v>
      </c>
      <c r="AC13" s="166">
        <f t="shared" si="11"/>
        <v>0.1688708036622586</v>
      </c>
      <c r="AD13" s="170">
        <f t="shared" si="12"/>
        <v>0.28664921465968551</v>
      </c>
    </row>
    <row r="14" spans="1:30" x14ac:dyDescent="0.2">
      <c r="A14" s="20">
        <v>11</v>
      </c>
      <c r="B14" s="161" t="s">
        <v>10</v>
      </c>
      <c r="C14" s="19">
        <f>Summary!F15</f>
        <v>8.8028185616628409</v>
      </c>
      <c r="D14" s="19">
        <v>8.2751103927636702</v>
      </c>
      <c r="E14" s="19">
        <f>[1]Summary!F15</f>
        <v>8.153855531845009</v>
      </c>
      <c r="F14" s="19">
        <v>8.4264374352275713</v>
      </c>
      <c r="G14" s="19">
        <v>7.41</v>
      </c>
      <c r="H14" s="19">
        <v>7.09</v>
      </c>
      <c r="I14" s="19"/>
      <c r="J14" s="19">
        <v>6.82</v>
      </c>
      <c r="K14" s="19">
        <v>9.52</v>
      </c>
      <c r="L14" s="19">
        <v>7.23</v>
      </c>
      <c r="M14" s="19">
        <v>6.8899999999999988</v>
      </c>
      <c r="N14" s="19">
        <v>6.58</v>
      </c>
      <c r="O14" s="19">
        <v>6.71</v>
      </c>
      <c r="P14" s="171">
        <v>6.42</v>
      </c>
      <c r="R14" s="69">
        <f t="shared" si="0"/>
        <v>6.3770529195675163E-2</v>
      </c>
      <c r="S14" s="166">
        <f t="shared" si="1"/>
        <v>1.4870862065816448E-2</v>
      </c>
      <c r="T14" s="166">
        <f t="shared" si="2"/>
        <v>-3.234841597980731E-2</v>
      </c>
      <c r="U14" s="166">
        <f t="shared" si="3"/>
        <v>0.13717104389036039</v>
      </c>
      <c r="V14" s="166">
        <f t="shared" si="4"/>
        <v>4.5133991537376739E-2</v>
      </c>
      <c r="W14" s="166" t="str">
        <f t="shared" si="5"/>
        <v/>
      </c>
      <c r="X14" s="166">
        <f t="shared" si="6"/>
        <v>-1</v>
      </c>
      <c r="Y14" s="166">
        <f t="shared" si="7"/>
        <v>-0.28361344537815125</v>
      </c>
      <c r="Z14" s="166">
        <f t="shared" si="8"/>
        <v>0.31673582295988911</v>
      </c>
      <c r="AA14" s="166">
        <f t="shared" si="9"/>
        <v>4.9346879535558941E-2</v>
      </c>
      <c r="AB14" s="166">
        <f t="shared" si="10"/>
        <v>4.711246200607877E-2</v>
      </c>
      <c r="AC14" s="166">
        <f t="shared" si="11"/>
        <v>-1.9374068554396384E-2</v>
      </c>
      <c r="AD14" s="170">
        <f t="shared" si="12"/>
        <v>4.5171339563862878E-2</v>
      </c>
    </row>
    <row r="15" spans="1:30" ht="28.5" x14ac:dyDescent="0.2">
      <c r="A15" s="20">
        <v>12</v>
      </c>
      <c r="B15" s="161" t="s">
        <v>11</v>
      </c>
      <c r="C15" s="19">
        <f>Summary!F16</f>
        <v>8.4898240621682017</v>
      </c>
      <c r="D15" s="19">
        <v>8.1700753253750644</v>
      </c>
      <c r="E15" s="19">
        <f>[1]Summary!F16</f>
        <v>7.8328440633494703</v>
      </c>
      <c r="F15" s="19">
        <v>8.2593827201899597</v>
      </c>
      <c r="G15" s="19">
        <v>7.3099999999999987</v>
      </c>
      <c r="H15" s="19">
        <v>7.08</v>
      </c>
      <c r="I15" s="19"/>
      <c r="J15" s="19">
        <v>6.48</v>
      </c>
      <c r="K15" s="19">
        <v>8.33</v>
      </c>
      <c r="L15" s="19">
        <v>5.83</v>
      </c>
      <c r="M15" s="19">
        <v>5.9399999999999995</v>
      </c>
      <c r="N15" s="19">
        <v>5.75</v>
      </c>
      <c r="O15" s="19">
        <v>5.68</v>
      </c>
      <c r="P15" s="171">
        <v>5.26</v>
      </c>
      <c r="R15" s="69">
        <f t="shared" si="0"/>
        <v>3.9136571458532776E-2</v>
      </c>
      <c r="S15" s="166">
        <f t="shared" si="1"/>
        <v>4.3053488528327355E-2</v>
      </c>
      <c r="T15" s="166">
        <f t="shared" si="2"/>
        <v>-5.1642921909626605E-2</v>
      </c>
      <c r="U15" s="166">
        <f t="shared" si="3"/>
        <v>0.12987451712584974</v>
      </c>
      <c r="V15" s="166">
        <f t="shared" si="4"/>
        <v>3.2485875706214529E-2</v>
      </c>
      <c r="W15" s="166" t="str">
        <f t="shared" si="5"/>
        <v/>
      </c>
      <c r="X15" s="166">
        <f t="shared" si="6"/>
        <v>-1</v>
      </c>
      <c r="Y15" s="166">
        <f t="shared" si="7"/>
        <v>-0.22208883553421366</v>
      </c>
      <c r="Z15" s="166">
        <f t="shared" si="8"/>
        <v>0.42881646655231553</v>
      </c>
      <c r="AA15" s="166">
        <f t="shared" si="9"/>
        <v>-1.8518518518518379E-2</v>
      </c>
      <c r="AB15" s="166">
        <f t="shared" si="10"/>
        <v>3.3043478260869508E-2</v>
      </c>
      <c r="AC15" s="166">
        <f t="shared" si="11"/>
        <v>1.2323943661971981E-2</v>
      </c>
      <c r="AD15" s="170">
        <f t="shared" si="12"/>
        <v>7.9847908745247054E-2</v>
      </c>
    </row>
    <row r="16" spans="1:30" x14ac:dyDescent="0.2">
      <c r="A16" s="20">
        <v>13</v>
      </c>
      <c r="B16" s="161" t="s">
        <v>12</v>
      </c>
      <c r="C16" s="19">
        <f>Summary!F17</f>
        <v>7.6018113967325522</v>
      </c>
      <c r="D16" s="19">
        <v>7.2876417845229691</v>
      </c>
      <c r="E16" s="19">
        <f>[1]Summary!F17</f>
        <v>7.1257352266631182</v>
      </c>
      <c r="F16" s="19">
        <v>7.5285434016318522</v>
      </c>
      <c r="G16" s="19">
        <v>6.8699999999999992</v>
      </c>
      <c r="H16" s="19">
        <v>6.68</v>
      </c>
      <c r="I16" s="19"/>
      <c r="J16" s="19">
        <v>5.97</v>
      </c>
      <c r="K16" s="19">
        <v>7.870000000000001</v>
      </c>
      <c r="L16" s="19">
        <v>6.1400000000000006</v>
      </c>
      <c r="M16" s="19">
        <v>6.06</v>
      </c>
      <c r="N16" s="19">
        <v>5.93</v>
      </c>
      <c r="O16" s="19">
        <v>5.81</v>
      </c>
      <c r="P16" s="171">
        <v>5.6999999999999993</v>
      </c>
      <c r="R16" s="69">
        <f t="shared" si="0"/>
        <v>4.310991422174415E-2</v>
      </c>
      <c r="S16" s="166">
        <f t="shared" si="1"/>
        <v>2.2721382806089707E-2</v>
      </c>
      <c r="T16" s="166">
        <f t="shared" si="2"/>
        <v>-5.3504131341186589E-2</v>
      </c>
      <c r="U16" s="166">
        <f t="shared" si="3"/>
        <v>9.5857845943501108E-2</v>
      </c>
      <c r="V16" s="166">
        <f t="shared" si="4"/>
        <v>2.8443113772455009E-2</v>
      </c>
      <c r="W16" s="166" t="str">
        <f t="shared" si="5"/>
        <v/>
      </c>
      <c r="X16" s="166">
        <f t="shared" si="6"/>
        <v>-1</v>
      </c>
      <c r="Y16" s="166">
        <f t="shared" si="7"/>
        <v>-0.24142312579415515</v>
      </c>
      <c r="Z16" s="166">
        <f t="shared" si="8"/>
        <v>0.28175895765472325</v>
      </c>
      <c r="AA16" s="166">
        <f t="shared" si="9"/>
        <v>1.3201320132013361E-2</v>
      </c>
      <c r="AB16" s="166">
        <f t="shared" si="10"/>
        <v>2.1922428330522825E-2</v>
      </c>
      <c r="AC16" s="166">
        <f t="shared" si="11"/>
        <v>2.0654044750430423E-2</v>
      </c>
      <c r="AD16" s="170">
        <f t="shared" si="12"/>
        <v>1.9298245614035148E-2</v>
      </c>
    </row>
    <row r="17" spans="1:30" ht="28.5" x14ac:dyDescent="0.2">
      <c r="A17" s="20">
        <v>14</v>
      </c>
      <c r="B17" s="161" t="s">
        <v>449</v>
      </c>
      <c r="C17" s="19">
        <f>Summary!F18</f>
        <v>12.792348451247397</v>
      </c>
      <c r="D17" s="19">
        <v>12.176011057763569</v>
      </c>
      <c r="E17" s="19">
        <f>[1]Summary!F18</f>
        <v>12.111094836233011</v>
      </c>
      <c r="F17" s="19">
        <v>12.214498350729462</v>
      </c>
      <c r="G17" s="19">
        <v>10.549999999999999</v>
      </c>
      <c r="H17" s="19">
        <v>10.75</v>
      </c>
      <c r="I17" s="19"/>
      <c r="J17" s="19">
        <v>9.9600000000000009</v>
      </c>
      <c r="K17" s="19">
        <v>11.930000000000001</v>
      </c>
      <c r="L17" s="19">
        <v>8.9</v>
      </c>
      <c r="M17" s="19">
        <v>9.8099999999999987</v>
      </c>
      <c r="N17" s="19">
        <v>9.73</v>
      </c>
      <c r="O17" s="19">
        <v>8.92</v>
      </c>
      <c r="P17" s="171">
        <v>9.0399999999999991</v>
      </c>
      <c r="R17" s="69">
        <f t="shared" si="0"/>
        <v>5.0618990945383802E-2</v>
      </c>
      <c r="S17" s="166">
        <f t="shared" si="1"/>
        <v>5.3600621915985691E-3</v>
      </c>
      <c r="T17" s="166">
        <f t="shared" si="2"/>
        <v>-8.465637435717932E-3</v>
      </c>
      <c r="U17" s="166">
        <f t="shared" si="3"/>
        <v>0.1577723555193804</v>
      </c>
      <c r="V17" s="166">
        <f t="shared" si="4"/>
        <v>-1.8604651162790753E-2</v>
      </c>
      <c r="W17" s="166" t="str">
        <f t="shared" si="5"/>
        <v/>
      </c>
      <c r="X17" s="166">
        <f t="shared" si="6"/>
        <v>-1</v>
      </c>
      <c r="Y17" s="166">
        <f t="shared" si="7"/>
        <v>-0.16512992455993303</v>
      </c>
      <c r="Z17" s="166">
        <f t="shared" si="8"/>
        <v>0.34044943820224738</v>
      </c>
      <c r="AA17" s="166">
        <f t="shared" si="9"/>
        <v>-9.2762487257899928E-2</v>
      </c>
      <c r="AB17" s="166">
        <f t="shared" si="10"/>
        <v>8.2219938335044152E-3</v>
      </c>
      <c r="AC17" s="166">
        <f t="shared" si="11"/>
        <v>9.0807174887892472E-2</v>
      </c>
      <c r="AD17" s="170">
        <f t="shared" si="12"/>
        <v>-1.327433628318575E-2</v>
      </c>
    </row>
    <row r="18" spans="1:30" x14ac:dyDescent="0.2">
      <c r="A18" s="20">
        <v>15</v>
      </c>
      <c r="B18" s="161" t="s">
        <v>13</v>
      </c>
      <c r="C18" s="19">
        <f>Summary!F19</f>
        <v>19.296819727968998</v>
      </c>
      <c r="D18" s="19">
        <v>18.840819137712817</v>
      </c>
      <c r="E18" s="19">
        <f>[1]Summary!F19</f>
        <v>17.633103100940758</v>
      </c>
      <c r="F18" s="19">
        <v>17.743962007010442</v>
      </c>
      <c r="G18" s="19">
        <v>16.87</v>
      </c>
      <c r="H18" s="19">
        <v>16.05</v>
      </c>
      <c r="I18" s="19"/>
      <c r="J18" s="19">
        <v>14.870000000000001</v>
      </c>
      <c r="K18" s="19">
        <v>17.009999999999998</v>
      </c>
      <c r="L18" s="19">
        <v>12.530000000000001</v>
      </c>
      <c r="M18" s="19">
        <v>12.22</v>
      </c>
      <c r="N18" s="19">
        <v>11.790000000000001</v>
      </c>
      <c r="O18" s="19">
        <v>12.639999999999997</v>
      </c>
      <c r="P18" s="171">
        <v>11.21</v>
      </c>
      <c r="R18" s="69">
        <f t="shared" si="0"/>
        <v>2.4202800680965364E-2</v>
      </c>
      <c r="S18" s="166">
        <f t="shared" si="1"/>
        <v>6.8491406751181705E-2</v>
      </c>
      <c r="T18" s="166">
        <f t="shared" si="2"/>
        <v>-6.2476974435520249E-3</v>
      </c>
      <c r="U18" s="166">
        <f t="shared" si="3"/>
        <v>5.1805690990541775E-2</v>
      </c>
      <c r="V18" s="166">
        <f t="shared" si="4"/>
        <v>5.109034267912782E-2</v>
      </c>
      <c r="W18" s="166" t="str">
        <f t="shared" si="5"/>
        <v/>
      </c>
      <c r="X18" s="166">
        <f t="shared" si="6"/>
        <v>-1</v>
      </c>
      <c r="Y18" s="166">
        <f t="shared" si="7"/>
        <v>-0.12580834803057006</v>
      </c>
      <c r="Z18" s="166">
        <f t="shared" si="8"/>
        <v>0.35754189944134041</v>
      </c>
      <c r="AA18" s="166">
        <f t="shared" si="9"/>
        <v>2.5368248772504209E-2</v>
      </c>
      <c r="AB18" s="166">
        <f t="shared" si="10"/>
        <v>3.6471586089906749E-2</v>
      </c>
      <c r="AC18" s="166">
        <f t="shared" si="11"/>
        <v>-6.7246835443037667E-2</v>
      </c>
      <c r="AD18" s="170">
        <f t="shared" si="12"/>
        <v>0.12756467439785868</v>
      </c>
    </row>
    <row r="19" spans="1:30" x14ac:dyDescent="0.2">
      <c r="A19" s="20">
        <v>16</v>
      </c>
      <c r="B19" s="161" t="s">
        <v>14</v>
      </c>
      <c r="C19" s="19">
        <f>Summary!F20</f>
        <v>10.131871516912726</v>
      </c>
      <c r="D19" s="19">
        <v>9.5001599415979037</v>
      </c>
      <c r="E19" s="19">
        <f>[1]Summary!F20</f>
        <v>9.5915482693631073</v>
      </c>
      <c r="F19" s="19">
        <v>9.9532602049975178</v>
      </c>
      <c r="G19" s="19">
        <v>8.34</v>
      </c>
      <c r="H19" s="19">
        <v>8.09</v>
      </c>
      <c r="I19" s="19"/>
      <c r="J19" s="19">
        <v>7.39</v>
      </c>
      <c r="K19" s="19">
        <v>9.24</v>
      </c>
      <c r="L19" s="19">
        <v>6.78</v>
      </c>
      <c r="M19" s="19">
        <v>6.5499999999999989</v>
      </c>
      <c r="N19" s="19">
        <v>6.6899999999999995</v>
      </c>
      <c r="O19" s="19">
        <v>6.26</v>
      </c>
      <c r="P19" s="171">
        <v>6.51</v>
      </c>
      <c r="R19" s="69">
        <f t="shared" si="0"/>
        <v>6.6494835792056284E-2</v>
      </c>
      <c r="S19" s="166">
        <f t="shared" si="1"/>
        <v>-9.5280058233259135E-3</v>
      </c>
      <c r="T19" s="166">
        <f t="shared" si="2"/>
        <v>-3.6341050890319915E-2</v>
      </c>
      <c r="U19" s="166">
        <f t="shared" si="3"/>
        <v>0.1934364754193667</v>
      </c>
      <c r="V19" s="166">
        <f t="shared" si="4"/>
        <v>3.0902348578492056E-2</v>
      </c>
      <c r="W19" s="166" t="str">
        <f t="shared" si="5"/>
        <v/>
      </c>
      <c r="X19" s="166">
        <f t="shared" si="6"/>
        <v>-1</v>
      </c>
      <c r="Y19" s="166">
        <f t="shared" si="7"/>
        <v>-0.20021645021645029</v>
      </c>
      <c r="Z19" s="166">
        <f t="shared" si="8"/>
        <v>0.36283185840707954</v>
      </c>
      <c r="AA19" s="166">
        <f t="shared" si="9"/>
        <v>3.5114503816794151E-2</v>
      </c>
      <c r="AB19" s="166">
        <f t="shared" si="10"/>
        <v>-2.0926756352765419E-2</v>
      </c>
      <c r="AC19" s="166">
        <f t="shared" si="11"/>
        <v>6.8690095846645427E-2</v>
      </c>
      <c r="AD19" s="170">
        <f t="shared" si="12"/>
        <v>-3.8402457757296449E-2</v>
      </c>
    </row>
    <row r="20" spans="1:30" x14ac:dyDescent="0.2">
      <c r="A20" s="20">
        <v>17</v>
      </c>
      <c r="B20" s="161" t="s">
        <v>15</v>
      </c>
      <c r="C20" s="19">
        <f>Summary!F21</f>
        <v>13.988590420936118</v>
      </c>
      <c r="D20" s="19">
        <v>13.818106619875689</v>
      </c>
      <c r="E20" s="19">
        <f>[1]Summary!F21</f>
        <v>13.077344395368245</v>
      </c>
      <c r="F20" s="19">
        <v>12.498638367095474</v>
      </c>
      <c r="G20" s="19">
        <v>11.1</v>
      </c>
      <c r="H20" s="19">
        <v>11.56</v>
      </c>
      <c r="I20" s="19"/>
      <c r="J20" s="19">
        <v>9.26</v>
      </c>
      <c r="K20" s="19">
        <v>12.15</v>
      </c>
      <c r="L20" s="19">
        <v>10.030000000000001</v>
      </c>
      <c r="M20" s="19">
        <v>11.94</v>
      </c>
      <c r="N20" s="19">
        <v>10.23</v>
      </c>
      <c r="O20" s="19">
        <v>8.7399999999999984</v>
      </c>
      <c r="P20" s="171">
        <v>8.64</v>
      </c>
      <c r="R20" s="69">
        <f t="shared" si="0"/>
        <v>1.2337710639401811E-2</v>
      </c>
      <c r="S20" s="166">
        <f t="shared" si="1"/>
        <v>5.6644698045102304E-2</v>
      </c>
      <c r="T20" s="166">
        <f t="shared" si="2"/>
        <v>4.6301525916319086E-2</v>
      </c>
      <c r="U20" s="166">
        <f t="shared" si="3"/>
        <v>0.12600345649508782</v>
      </c>
      <c r="V20" s="166">
        <f t="shared" si="4"/>
        <v>-3.979238754325265E-2</v>
      </c>
      <c r="W20" s="166" t="str">
        <f t="shared" si="5"/>
        <v/>
      </c>
      <c r="X20" s="166">
        <f t="shared" si="6"/>
        <v>-1</v>
      </c>
      <c r="Y20" s="166">
        <f t="shared" si="7"/>
        <v>-0.23786008230452682</v>
      </c>
      <c r="Z20" s="166">
        <f t="shared" si="8"/>
        <v>0.21136590229312047</v>
      </c>
      <c r="AA20" s="166">
        <f t="shared" si="9"/>
        <v>-0.15996649916247896</v>
      </c>
      <c r="AB20" s="166">
        <f t="shared" si="10"/>
        <v>0.1671554252199412</v>
      </c>
      <c r="AC20" s="166">
        <f t="shared" si="11"/>
        <v>0.17048054919908484</v>
      </c>
      <c r="AD20" s="170">
        <f t="shared" si="12"/>
        <v>1.1574074074073737E-2</v>
      </c>
    </row>
    <row r="21" spans="1:30" x14ac:dyDescent="0.2">
      <c r="A21" s="20">
        <v>18</v>
      </c>
      <c r="B21" s="161" t="s">
        <v>16</v>
      </c>
      <c r="C21" s="19">
        <f>Summary!F22</f>
        <v>10.163486103957123</v>
      </c>
      <c r="D21" s="19">
        <v>9.7265388435843345</v>
      </c>
      <c r="E21" s="19">
        <f>[1]Summary!F22</f>
        <v>9.5527306305894655</v>
      </c>
      <c r="F21" s="19">
        <v>9.6819620212801532</v>
      </c>
      <c r="G21" s="19">
        <v>8.42</v>
      </c>
      <c r="H21" s="19">
        <v>8.24</v>
      </c>
      <c r="I21" s="19"/>
      <c r="J21" s="19">
        <v>6.89</v>
      </c>
      <c r="K21" s="19">
        <v>9.32</v>
      </c>
      <c r="L21" s="19">
        <v>6.5400000000000009</v>
      </c>
      <c r="M21" s="19">
        <v>6.66</v>
      </c>
      <c r="N21" s="19">
        <v>6.59</v>
      </c>
      <c r="O21" s="19">
        <v>6.9999999999999991</v>
      </c>
      <c r="P21" s="171">
        <v>5.76</v>
      </c>
      <c r="R21" s="69">
        <f t="shared" si="0"/>
        <v>4.4923201089254849E-2</v>
      </c>
      <c r="S21" s="166">
        <f t="shared" si="1"/>
        <v>1.8194610495799513E-2</v>
      </c>
      <c r="T21" s="166">
        <f t="shared" si="2"/>
        <v>-1.334764486853468E-2</v>
      </c>
      <c r="U21" s="166">
        <f t="shared" si="3"/>
        <v>0.14987672461759538</v>
      </c>
      <c r="V21" s="166">
        <f t="shared" si="4"/>
        <v>2.1844660194174637E-2</v>
      </c>
      <c r="W21" s="166" t="str">
        <f t="shared" si="5"/>
        <v/>
      </c>
      <c r="X21" s="166">
        <f t="shared" si="6"/>
        <v>-1</v>
      </c>
      <c r="Y21" s="166">
        <f t="shared" si="7"/>
        <v>-0.26072961373390569</v>
      </c>
      <c r="Z21" s="166">
        <f t="shared" si="8"/>
        <v>0.4250764525993882</v>
      </c>
      <c r="AA21" s="166">
        <f t="shared" si="9"/>
        <v>-1.8018018018017945E-2</v>
      </c>
      <c r="AB21" s="166">
        <f t="shared" si="10"/>
        <v>1.0622154779969639E-2</v>
      </c>
      <c r="AC21" s="166">
        <f t="shared" si="11"/>
        <v>-5.8571428571428497E-2</v>
      </c>
      <c r="AD21" s="170">
        <f t="shared" si="12"/>
        <v>0.21527777777777768</v>
      </c>
    </row>
    <row r="22" spans="1:30" x14ac:dyDescent="0.2">
      <c r="A22" s="20">
        <v>19</v>
      </c>
      <c r="B22" s="161" t="s">
        <v>17</v>
      </c>
      <c r="C22" s="19">
        <f>Summary!F23</f>
        <v>7.8012228009354567</v>
      </c>
      <c r="D22" s="19">
        <v>7.3149260053224614</v>
      </c>
      <c r="E22" s="19">
        <f>[1]Summary!F23</f>
        <v>7.2223418419406</v>
      </c>
      <c r="F22" s="19">
        <v>7.5967619035937064</v>
      </c>
      <c r="G22" s="19">
        <v>6.9799999999999995</v>
      </c>
      <c r="H22" s="19">
        <v>6.84</v>
      </c>
      <c r="I22" s="19"/>
      <c r="J22" s="19">
        <v>6.1099999999999994</v>
      </c>
      <c r="K22" s="19">
        <v>8.0300000000000011</v>
      </c>
      <c r="L22" s="19">
        <v>5.5600000000000005</v>
      </c>
      <c r="M22" s="19">
        <v>5.5499999999999989</v>
      </c>
      <c r="N22" s="19">
        <v>5.3900000000000006</v>
      </c>
      <c r="O22" s="19">
        <v>5.26</v>
      </c>
      <c r="P22" s="171">
        <v>4.96</v>
      </c>
      <c r="R22" s="69">
        <f t="shared" si="0"/>
        <v>6.6480070373802436E-2</v>
      </c>
      <c r="S22" s="166">
        <f t="shared" si="1"/>
        <v>1.2819133379178949E-2</v>
      </c>
      <c r="T22" s="166">
        <f t="shared" si="2"/>
        <v>-4.9286796980695713E-2</v>
      </c>
      <c r="U22" s="166">
        <f t="shared" si="3"/>
        <v>8.8361304239786165E-2</v>
      </c>
      <c r="V22" s="166">
        <f t="shared" si="4"/>
        <v>2.0467836257309857E-2</v>
      </c>
      <c r="W22" s="166" t="str">
        <f t="shared" si="5"/>
        <v/>
      </c>
      <c r="X22" s="166">
        <f t="shared" si="6"/>
        <v>-1</v>
      </c>
      <c r="Y22" s="166">
        <f t="shared" si="7"/>
        <v>-0.2391033623910338</v>
      </c>
      <c r="Z22" s="166">
        <f t="shared" si="8"/>
        <v>0.44424460431654689</v>
      </c>
      <c r="AA22" s="166">
        <f t="shared" si="9"/>
        <v>1.8018018018020054E-3</v>
      </c>
      <c r="AB22" s="166">
        <f t="shared" si="10"/>
        <v>2.9684601113172171E-2</v>
      </c>
      <c r="AC22" s="166">
        <f t="shared" si="11"/>
        <v>2.4714828897338448E-2</v>
      </c>
      <c r="AD22" s="170">
        <f t="shared" si="12"/>
        <v>6.0483870967741993E-2</v>
      </c>
    </row>
    <row r="23" spans="1:30" x14ac:dyDescent="0.2">
      <c r="A23" s="20">
        <v>20</v>
      </c>
      <c r="B23" s="161" t="s">
        <v>18</v>
      </c>
      <c r="C23" s="19">
        <f>Summary!F24</f>
        <v>9.6927806111897752</v>
      </c>
      <c r="D23" s="19">
        <v>9.4668079195513872</v>
      </c>
      <c r="E23" s="19">
        <f>[1]Summary!F24</f>
        <v>9.4803055374889773</v>
      </c>
      <c r="F23" s="19">
        <v>10.076582128857593</v>
      </c>
      <c r="G23" s="19">
        <v>8.57</v>
      </c>
      <c r="H23" s="19">
        <v>8.5299999999999994</v>
      </c>
      <c r="I23" s="19"/>
      <c r="J23" s="19">
        <v>7.6000000000000005</v>
      </c>
      <c r="K23" s="19">
        <v>9.5400000000000009</v>
      </c>
      <c r="L23" s="19">
        <v>7.0500000000000007</v>
      </c>
      <c r="M23" s="19">
        <v>7.6199999999999992</v>
      </c>
      <c r="N23" s="19">
        <v>7.74</v>
      </c>
      <c r="O23" s="19">
        <v>7.669999999999999</v>
      </c>
      <c r="P23" s="171">
        <v>6.49</v>
      </c>
      <c r="R23" s="69">
        <f t="shared" si="0"/>
        <v>2.3869998584390428E-2</v>
      </c>
      <c r="S23" s="166">
        <f t="shared" si="1"/>
        <v>-1.4237534733679835E-3</v>
      </c>
      <c r="T23" s="166">
        <f t="shared" si="2"/>
        <v>-5.9174488307993101E-2</v>
      </c>
      <c r="U23" s="166">
        <f t="shared" si="3"/>
        <v>0.17579721456914732</v>
      </c>
      <c r="V23" s="166">
        <f t="shared" si="4"/>
        <v>4.6893317702227932E-3</v>
      </c>
      <c r="W23" s="166" t="str">
        <f t="shared" si="5"/>
        <v/>
      </c>
      <c r="X23" s="166">
        <f t="shared" si="6"/>
        <v>-1</v>
      </c>
      <c r="Y23" s="166">
        <f t="shared" si="7"/>
        <v>-0.20335429769392033</v>
      </c>
      <c r="Z23" s="166">
        <f t="shared" si="8"/>
        <v>0.35319148936170208</v>
      </c>
      <c r="AA23" s="166">
        <f t="shared" si="9"/>
        <v>-7.480314960629908E-2</v>
      </c>
      <c r="AB23" s="166">
        <f t="shared" si="10"/>
        <v>-1.5503875968992387E-2</v>
      </c>
      <c r="AC23" s="166">
        <f t="shared" si="11"/>
        <v>9.1264667535855271E-3</v>
      </c>
      <c r="AD23" s="170">
        <f t="shared" si="12"/>
        <v>0.18181818181818166</v>
      </c>
    </row>
    <row r="24" spans="1:30" ht="28.5" x14ac:dyDescent="0.2">
      <c r="A24" s="20">
        <v>21</v>
      </c>
      <c r="B24" s="161" t="s">
        <v>446</v>
      </c>
      <c r="C24" s="19">
        <f>Summary!F25</f>
        <v>10.457593768731027</v>
      </c>
      <c r="D24" s="19">
        <v>9.6834851240418764</v>
      </c>
      <c r="E24" s="19">
        <f>[1]Summary!F25</f>
        <v>9.9406163548426232</v>
      </c>
      <c r="F24" s="19">
        <v>10.221683915849301</v>
      </c>
      <c r="G24" s="19">
        <v>9.33</v>
      </c>
      <c r="H24" s="19">
        <v>8.879999999999999</v>
      </c>
      <c r="I24" s="19"/>
      <c r="J24" s="19">
        <v>9.3099999999999987</v>
      </c>
      <c r="K24" s="19">
        <v>10.89</v>
      </c>
      <c r="L24" s="19">
        <v>8.3000000000000007</v>
      </c>
      <c r="M24" s="19">
        <v>8.76</v>
      </c>
      <c r="N24" s="19">
        <v>7.41</v>
      </c>
      <c r="O24" s="19">
        <v>7.8199999999999994</v>
      </c>
      <c r="P24" s="171">
        <v>7.32</v>
      </c>
      <c r="R24" s="69">
        <f t="shared" si="0"/>
        <v>7.9941119831662188E-2</v>
      </c>
      <c r="S24" s="166">
        <f t="shared" si="1"/>
        <v>-2.586672914657695E-2</v>
      </c>
      <c r="T24" s="166">
        <f t="shared" si="2"/>
        <v>-2.74971876767649E-2</v>
      </c>
      <c r="U24" s="166">
        <f t="shared" si="3"/>
        <v>9.5571695160696857E-2</v>
      </c>
      <c r="V24" s="166">
        <f t="shared" si="4"/>
        <v>5.067567567567588E-2</v>
      </c>
      <c r="W24" s="166" t="str">
        <f t="shared" si="5"/>
        <v/>
      </c>
      <c r="X24" s="166">
        <f t="shared" si="6"/>
        <v>-1</v>
      </c>
      <c r="Y24" s="166">
        <f t="shared" si="7"/>
        <v>-0.14508723599632711</v>
      </c>
      <c r="Z24" s="166">
        <f t="shared" si="8"/>
        <v>0.31204819277108431</v>
      </c>
      <c r="AA24" s="166">
        <f t="shared" si="9"/>
        <v>-5.2511415525114069E-2</v>
      </c>
      <c r="AB24" s="166">
        <f t="shared" si="10"/>
        <v>0.18218623481781382</v>
      </c>
      <c r="AC24" s="166">
        <f t="shared" si="11"/>
        <v>-5.2429667519181544E-2</v>
      </c>
      <c r="AD24" s="170">
        <f t="shared" si="12"/>
        <v>6.8306010928961713E-2</v>
      </c>
    </row>
    <row r="25" spans="1:30" x14ac:dyDescent="0.2">
      <c r="A25" s="20">
        <v>22</v>
      </c>
      <c r="B25" s="161" t="s">
        <v>19</v>
      </c>
      <c r="C25" s="19">
        <f>Summary!F26</f>
        <v>8.7283741698860009</v>
      </c>
      <c r="D25" s="19">
        <v>8.645772996720904</v>
      </c>
      <c r="E25" s="19">
        <f>[1]Summary!F26</f>
        <v>8.8233437865140854</v>
      </c>
      <c r="F25" s="19">
        <v>9.3156647280961771</v>
      </c>
      <c r="G25" s="19">
        <v>7.2200000000000006</v>
      </c>
      <c r="H25" s="19">
        <v>7.52</v>
      </c>
      <c r="I25" s="19"/>
      <c r="J25" s="19">
        <v>8.52</v>
      </c>
      <c r="K25" s="19">
        <v>10.200000000000001</v>
      </c>
      <c r="L25" s="19">
        <v>7.1400000000000006</v>
      </c>
      <c r="M25" s="19">
        <v>8.36</v>
      </c>
      <c r="N25" s="19">
        <v>7.41</v>
      </c>
      <c r="O25" s="19">
        <v>7.3299999999999992</v>
      </c>
      <c r="P25" s="171">
        <v>6.4700000000000006</v>
      </c>
      <c r="R25" s="69">
        <f t="shared" si="0"/>
        <v>9.5539373051345411E-3</v>
      </c>
      <c r="S25" s="166">
        <f t="shared" si="1"/>
        <v>-2.0125112892527941E-2</v>
      </c>
      <c r="T25" s="166">
        <f t="shared" si="2"/>
        <v>-5.2848718363300962E-2</v>
      </c>
      <c r="U25" s="166">
        <f t="shared" si="3"/>
        <v>0.29025827258949799</v>
      </c>
      <c r="V25" s="166">
        <f t="shared" si="4"/>
        <v>-3.9893617021276473E-2</v>
      </c>
      <c r="W25" s="166" t="str">
        <f t="shared" si="5"/>
        <v/>
      </c>
      <c r="X25" s="166">
        <f t="shared" si="6"/>
        <v>-1</v>
      </c>
      <c r="Y25" s="166">
        <f t="shared" si="7"/>
        <v>-0.16470588235294126</v>
      </c>
      <c r="Z25" s="166">
        <f t="shared" si="8"/>
        <v>0.4285714285714286</v>
      </c>
      <c r="AA25" s="166">
        <f t="shared" si="9"/>
        <v>-0.14593301435406691</v>
      </c>
      <c r="AB25" s="166">
        <f t="shared" si="10"/>
        <v>0.12820512820512819</v>
      </c>
      <c r="AC25" s="166">
        <f t="shared" si="11"/>
        <v>1.0914051841746319E-2</v>
      </c>
      <c r="AD25" s="170">
        <f t="shared" si="12"/>
        <v>0.13292117465224096</v>
      </c>
    </row>
    <row r="26" spans="1:30" x14ac:dyDescent="0.2">
      <c r="A26" s="20">
        <v>23</v>
      </c>
      <c r="B26" s="161" t="s">
        <v>20</v>
      </c>
      <c r="C26" s="19">
        <f>Summary!F27</f>
        <v>9.4341488865144161</v>
      </c>
      <c r="D26" s="19">
        <v>8.934093014327031</v>
      </c>
      <c r="E26" s="19">
        <f>[1]Summary!F27</f>
        <v>8.9122924849299654</v>
      </c>
      <c r="F26" s="19">
        <v>9.3467053854110613</v>
      </c>
      <c r="G26" s="19">
        <v>8.3199999999999985</v>
      </c>
      <c r="H26" s="19">
        <v>8.02</v>
      </c>
      <c r="I26" s="19"/>
      <c r="J26" s="19">
        <v>7.42</v>
      </c>
      <c r="K26" s="19">
        <v>9.6900000000000013</v>
      </c>
      <c r="L26" s="19">
        <v>6.8800000000000008</v>
      </c>
      <c r="M26" s="19">
        <v>7.32</v>
      </c>
      <c r="N26" s="19">
        <v>6.98</v>
      </c>
      <c r="O26" s="19">
        <v>6.879999999999999</v>
      </c>
      <c r="P26" s="171">
        <v>6.21</v>
      </c>
      <c r="R26" s="69">
        <f t="shared" si="0"/>
        <v>5.5971643835079687E-2</v>
      </c>
      <c r="S26" s="166">
        <f t="shared" si="1"/>
        <v>2.4461191588953657E-3</v>
      </c>
      <c r="T26" s="166">
        <f t="shared" si="2"/>
        <v>-4.6477649884969718E-2</v>
      </c>
      <c r="U26" s="166">
        <f t="shared" si="3"/>
        <v>0.12340208959267573</v>
      </c>
      <c r="V26" s="166">
        <f t="shared" si="4"/>
        <v>3.740648379052347E-2</v>
      </c>
      <c r="W26" s="166" t="str">
        <f t="shared" si="5"/>
        <v/>
      </c>
      <c r="X26" s="166">
        <f t="shared" si="6"/>
        <v>-1</v>
      </c>
      <c r="Y26" s="166">
        <f t="shared" si="7"/>
        <v>-0.23426212590299289</v>
      </c>
      <c r="Z26" s="166">
        <f t="shared" si="8"/>
        <v>0.40843023255813948</v>
      </c>
      <c r="AA26" s="166">
        <f t="shared" si="9"/>
        <v>-6.0109289617486295E-2</v>
      </c>
      <c r="AB26" s="166">
        <f t="shared" si="10"/>
        <v>4.871060171919761E-2</v>
      </c>
      <c r="AC26" s="166">
        <f t="shared" si="11"/>
        <v>1.453488372093048E-2</v>
      </c>
      <c r="AD26" s="170">
        <f t="shared" si="12"/>
        <v>0.10789049919484683</v>
      </c>
    </row>
    <row r="27" spans="1:30" x14ac:dyDescent="0.2">
      <c r="A27" s="20">
        <v>24</v>
      </c>
      <c r="B27" s="161" t="s">
        <v>21</v>
      </c>
      <c r="C27" s="19">
        <f>Summary!F28</f>
        <v>8.678355734394227</v>
      </c>
      <c r="D27" s="19">
        <v>8.2251881379607674</v>
      </c>
      <c r="E27" s="19">
        <f>[1]Summary!F28</f>
        <v>8.1073405502530669</v>
      </c>
      <c r="F27" s="19">
        <v>8.5938489145308665</v>
      </c>
      <c r="G27" s="19">
        <v>7.58</v>
      </c>
      <c r="H27" s="19">
        <v>7.4399999999999995</v>
      </c>
      <c r="I27" s="19"/>
      <c r="J27" s="19">
        <v>6.81</v>
      </c>
      <c r="K27" s="19">
        <v>8.5500000000000007</v>
      </c>
      <c r="L27" s="19">
        <v>6.2200000000000006</v>
      </c>
      <c r="M27" s="19">
        <v>6.34</v>
      </c>
      <c r="N27" s="19">
        <v>5.9</v>
      </c>
      <c r="O27" s="19">
        <v>5.5799999999999992</v>
      </c>
      <c r="P27" s="171">
        <v>4.9399999999999995</v>
      </c>
      <c r="R27" s="69">
        <f t="shared" si="0"/>
        <v>5.5095104067225842E-2</v>
      </c>
      <c r="S27" s="166">
        <f t="shared" si="1"/>
        <v>1.4535911866194073E-2</v>
      </c>
      <c r="T27" s="166">
        <f t="shared" si="2"/>
        <v>-5.6611230790337697E-2</v>
      </c>
      <c r="U27" s="166">
        <f t="shared" si="3"/>
        <v>0.13375315495130158</v>
      </c>
      <c r="V27" s="166">
        <f t="shared" si="4"/>
        <v>1.8817204301075252E-2</v>
      </c>
      <c r="W27" s="166" t="str">
        <f t="shared" si="5"/>
        <v/>
      </c>
      <c r="X27" s="166">
        <f t="shared" si="6"/>
        <v>-1</v>
      </c>
      <c r="Y27" s="166">
        <f t="shared" si="7"/>
        <v>-0.20350877192982464</v>
      </c>
      <c r="Z27" s="166">
        <f t="shared" si="8"/>
        <v>0.37459807073954976</v>
      </c>
      <c r="AA27" s="166">
        <f t="shared" si="9"/>
        <v>-1.8927444794952564E-2</v>
      </c>
      <c r="AB27" s="166">
        <f t="shared" si="10"/>
        <v>7.4576271186440612E-2</v>
      </c>
      <c r="AC27" s="166">
        <f t="shared" si="11"/>
        <v>5.7347670250896376E-2</v>
      </c>
      <c r="AD27" s="170">
        <f t="shared" si="12"/>
        <v>0.12955465587044523</v>
      </c>
    </row>
    <row r="28" spans="1:30" x14ac:dyDescent="0.2">
      <c r="A28" s="20">
        <v>25</v>
      </c>
      <c r="B28" s="161" t="s">
        <v>22</v>
      </c>
      <c r="C28" s="19">
        <f>Summary!F29</f>
        <v>7.1628615644078968</v>
      </c>
      <c r="D28" s="19">
        <v>6.8411454211079334</v>
      </c>
      <c r="E28" s="19">
        <f>[1]Summary!F29</f>
        <v>6.7497984570272118</v>
      </c>
      <c r="F28" s="19">
        <v>7.0742804305984075</v>
      </c>
      <c r="G28" s="19">
        <v>6.3100000000000005</v>
      </c>
      <c r="H28" s="19">
        <v>6.2</v>
      </c>
      <c r="I28" s="19"/>
      <c r="J28" s="19">
        <v>5.63</v>
      </c>
      <c r="K28" s="19">
        <v>7.4200000000000008</v>
      </c>
      <c r="L28" s="19">
        <v>5.36</v>
      </c>
      <c r="M28" s="19">
        <v>5.3199999999999994</v>
      </c>
      <c r="N28" s="19">
        <v>5.27</v>
      </c>
      <c r="O28" s="19">
        <v>5.17</v>
      </c>
      <c r="P28" s="171">
        <v>4.97</v>
      </c>
      <c r="R28" s="69">
        <f t="shared" si="0"/>
        <v>4.7026648828035089E-2</v>
      </c>
      <c r="S28" s="166">
        <f t="shared" si="1"/>
        <v>1.3533287647369718E-2</v>
      </c>
      <c r="T28" s="166">
        <f t="shared" si="2"/>
        <v>-4.5867841507627127E-2</v>
      </c>
      <c r="U28" s="166">
        <f t="shared" si="3"/>
        <v>0.12112209676678409</v>
      </c>
      <c r="V28" s="166">
        <f t="shared" si="4"/>
        <v>1.7741935483871041E-2</v>
      </c>
      <c r="W28" s="166" t="str">
        <f t="shared" si="5"/>
        <v/>
      </c>
      <c r="X28" s="166">
        <f t="shared" si="6"/>
        <v>-1</v>
      </c>
      <c r="Y28" s="166">
        <f t="shared" si="7"/>
        <v>-0.24123989218328856</v>
      </c>
      <c r="Z28" s="166">
        <f t="shared" si="8"/>
        <v>0.38432835820895539</v>
      </c>
      <c r="AA28" s="166">
        <f t="shared" si="9"/>
        <v>7.5187969924814801E-3</v>
      </c>
      <c r="AB28" s="166">
        <f t="shared" si="10"/>
        <v>9.4876660341556285E-3</v>
      </c>
      <c r="AC28" s="166">
        <f t="shared" si="11"/>
        <v>1.934235976789167E-2</v>
      </c>
      <c r="AD28" s="170">
        <f t="shared" si="12"/>
        <v>4.0241448692152959E-2</v>
      </c>
    </row>
    <row r="29" spans="1:30" x14ac:dyDescent="0.2">
      <c r="A29" s="20">
        <v>26</v>
      </c>
      <c r="B29" s="161" t="s">
        <v>23</v>
      </c>
      <c r="C29" s="19">
        <f>Summary!F30</f>
        <v>9.5586721605096638</v>
      </c>
      <c r="D29" s="19">
        <v>9.3143411287229885</v>
      </c>
      <c r="E29" s="19">
        <f>[1]Summary!F30</f>
        <v>9.1497976957113369</v>
      </c>
      <c r="F29" s="19">
        <v>9.6981825054517703</v>
      </c>
      <c r="G29" s="19">
        <v>8.36</v>
      </c>
      <c r="H29" s="19">
        <v>8.44</v>
      </c>
      <c r="I29" s="19"/>
      <c r="J29" s="19">
        <v>7.54</v>
      </c>
      <c r="K29" s="19">
        <v>9.81</v>
      </c>
      <c r="L29" s="19">
        <v>7.1800000000000006</v>
      </c>
      <c r="M29" s="19">
        <v>7.5</v>
      </c>
      <c r="N29" s="19">
        <v>7.5299999999999994</v>
      </c>
      <c r="O29" s="19">
        <v>7.35</v>
      </c>
      <c r="P29" s="171">
        <v>7.33</v>
      </c>
      <c r="R29" s="69">
        <f t="shared" si="0"/>
        <v>2.6231703177933108E-2</v>
      </c>
      <c r="S29" s="166">
        <f t="shared" si="1"/>
        <v>1.7983286459849923E-2</v>
      </c>
      <c r="T29" s="166">
        <f t="shared" si="2"/>
        <v>-5.6545111357943822E-2</v>
      </c>
      <c r="U29" s="166">
        <f t="shared" si="3"/>
        <v>0.16006967768561853</v>
      </c>
      <c r="V29" s="166">
        <f t="shared" si="4"/>
        <v>-9.4786729857819774E-3</v>
      </c>
      <c r="W29" s="166" t="str">
        <f t="shared" si="5"/>
        <v/>
      </c>
      <c r="X29" s="166">
        <f t="shared" si="6"/>
        <v>-1</v>
      </c>
      <c r="Y29" s="166">
        <f t="shared" si="7"/>
        <v>-0.23139653414882777</v>
      </c>
      <c r="Z29" s="166">
        <f t="shared" si="8"/>
        <v>0.36629526462395545</v>
      </c>
      <c r="AA29" s="166">
        <f t="shared" si="9"/>
        <v>-4.2666666666666631E-2</v>
      </c>
      <c r="AB29" s="166">
        <f t="shared" si="10"/>
        <v>-3.9840637450198058E-3</v>
      </c>
      <c r="AC29" s="166">
        <f t="shared" si="11"/>
        <v>2.4489795918367419E-2</v>
      </c>
      <c r="AD29" s="170">
        <f t="shared" si="12"/>
        <v>2.7285129604364133E-3</v>
      </c>
    </row>
    <row r="30" spans="1:30" x14ac:dyDescent="0.2">
      <c r="A30" s="20">
        <v>28</v>
      </c>
      <c r="B30" s="161" t="s">
        <v>24</v>
      </c>
      <c r="C30" s="19">
        <f>Summary!F31</f>
        <v>7.4272299708573852</v>
      </c>
      <c r="D30" s="19">
        <v>7.2125950604159295</v>
      </c>
      <c r="E30" s="19">
        <f>[1]Summary!F31</f>
        <v>0</v>
      </c>
      <c r="F30" s="19">
        <v>0</v>
      </c>
      <c r="G30" s="19">
        <v>0</v>
      </c>
      <c r="H30" s="19">
        <v>0</v>
      </c>
      <c r="I30" s="19"/>
      <c r="J30" s="19">
        <v>0</v>
      </c>
      <c r="K30" s="19">
        <v>0</v>
      </c>
      <c r="L30" s="19">
        <v>0</v>
      </c>
      <c r="M30" s="19">
        <v>0</v>
      </c>
      <c r="N30" s="19">
        <v>0</v>
      </c>
      <c r="O30" s="19">
        <v>0</v>
      </c>
      <c r="P30" s="171">
        <v>0</v>
      </c>
      <c r="R30" s="69">
        <f t="shared" si="0"/>
        <v>2.9758347535606466E-2</v>
      </c>
      <c r="S30" s="166" t="str">
        <f t="shared" si="1"/>
        <v/>
      </c>
      <c r="T30" s="166" t="str">
        <f t="shared" si="2"/>
        <v/>
      </c>
      <c r="U30" s="166" t="str">
        <f t="shared" si="3"/>
        <v/>
      </c>
      <c r="V30" s="166" t="str">
        <f t="shared" si="4"/>
        <v/>
      </c>
      <c r="W30" s="166" t="str">
        <f t="shared" si="5"/>
        <v/>
      </c>
      <c r="X30" s="166" t="str">
        <f t="shared" si="6"/>
        <v/>
      </c>
      <c r="Y30" s="166" t="str">
        <f t="shared" si="7"/>
        <v/>
      </c>
      <c r="Z30" s="166" t="str">
        <f t="shared" si="8"/>
        <v/>
      </c>
      <c r="AA30" s="166" t="str">
        <f t="shared" si="9"/>
        <v/>
      </c>
      <c r="AB30" s="166" t="str">
        <f t="shared" si="10"/>
        <v/>
      </c>
      <c r="AC30" s="166" t="str">
        <f t="shared" si="11"/>
        <v/>
      </c>
      <c r="AD30" s="170" t="str">
        <f t="shared" si="12"/>
        <v/>
      </c>
    </row>
    <row r="31" spans="1:30" ht="15" thickBot="1" x14ac:dyDescent="0.25">
      <c r="A31" s="23">
        <v>29</v>
      </c>
      <c r="B31" s="163" t="s">
        <v>25</v>
      </c>
      <c r="C31" s="67">
        <f>Summary!F32</f>
        <v>7.5269761884605231</v>
      </c>
      <c r="D31" s="67">
        <v>7.0255506957702556</v>
      </c>
      <c r="E31" s="67">
        <f>[1]Summary!F32</f>
        <v>0</v>
      </c>
      <c r="F31" s="67">
        <v>0</v>
      </c>
      <c r="G31" s="67">
        <v>0</v>
      </c>
      <c r="H31" s="67">
        <v>0</v>
      </c>
      <c r="I31" s="67"/>
      <c r="J31" s="67">
        <v>0</v>
      </c>
      <c r="K31" s="67">
        <v>0</v>
      </c>
      <c r="L31" s="67">
        <v>0</v>
      </c>
      <c r="M31" s="67">
        <v>0</v>
      </c>
      <c r="N31" s="67">
        <v>0</v>
      </c>
      <c r="O31" s="67">
        <v>0</v>
      </c>
      <c r="P31" s="172">
        <v>0</v>
      </c>
      <c r="R31" s="70">
        <f t="shared" si="0"/>
        <v>7.1371699444450876E-2</v>
      </c>
      <c r="S31" s="167" t="str">
        <f t="shared" si="1"/>
        <v/>
      </c>
      <c r="T31" s="167" t="str">
        <f t="shared" si="2"/>
        <v/>
      </c>
      <c r="U31" s="167" t="str">
        <f t="shared" si="3"/>
        <v/>
      </c>
      <c r="V31" s="167" t="str">
        <f t="shared" si="4"/>
        <v/>
      </c>
      <c r="W31" s="167" t="str">
        <f t="shared" si="5"/>
        <v/>
      </c>
      <c r="X31" s="167" t="str">
        <f t="shared" si="6"/>
        <v/>
      </c>
      <c r="Y31" s="167" t="str">
        <f t="shared" si="7"/>
        <v/>
      </c>
      <c r="Z31" s="167" t="str">
        <f t="shared" si="8"/>
        <v/>
      </c>
      <c r="AA31" s="167" t="str">
        <f t="shared" si="9"/>
        <v/>
      </c>
      <c r="AB31" s="167" t="str">
        <f t="shared" si="10"/>
        <v/>
      </c>
      <c r="AC31" s="167" t="str">
        <f t="shared" si="11"/>
        <v/>
      </c>
      <c r="AD31" s="173" t="str">
        <f t="shared" si="12"/>
        <v/>
      </c>
    </row>
    <row r="32" spans="1:30" x14ac:dyDescent="0.2">
      <c r="B32" s="14" t="s">
        <v>938</v>
      </c>
      <c r="C32" s="64">
        <f t="shared" ref="C32:H32" si="13">AVERAGE(C4:C31)</f>
        <v>10.458595829203828</v>
      </c>
      <c r="D32" s="64">
        <f t="shared" si="13"/>
        <v>10.221252259920382</v>
      </c>
      <c r="E32" s="64">
        <f t="shared" si="13"/>
        <v>9.3741839584452027</v>
      </c>
      <c r="F32" s="64">
        <f t="shared" si="13"/>
        <v>9.8712269670461357</v>
      </c>
      <c r="G32" s="64">
        <f t="shared" si="13"/>
        <v>8.67</v>
      </c>
      <c r="H32" s="64">
        <f t="shared" si="13"/>
        <v>8.463571428571429</v>
      </c>
      <c r="I32" s="64"/>
      <c r="J32" s="64">
        <f t="shared" ref="J32:P32" si="14">AVERAGE(J4:J31)</f>
        <v>7.7992857142857117</v>
      </c>
      <c r="K32" s="64">
        <f t="shared" si="14"/>
        <v>9.7524999999999995</v>
      </c>
      <c r="L32" s="64">
        <f t="shared" si="14"/>
        <v>6.9428571428571448</v>
      </c>
      <c r="M32" s="64">
        <f t="shared" si="14"/>
        <v>7.007142857142858</v>
      </c>
      <c r="N32" s="64">
        <f t="shared" si="14"/>
        <v>7.0107142857142861</v>
      </c>
      <c r="O32" s="64">
        <f t="shared" si="14"/>
        <v>7.017142857142856</v>
      </c>
      <c r="P32" s="64">
        <f t="shared" si="14"/>
        <v>6.5617857142857163</v>
      </c>
      <c r="R32" s="146">
        <f t="shared" ref="R32:X34" si="15">IFERROR(C32/D32-1,"")</f>
        <v>2.3220595994300819E-2</v>
      </c>
      <c r="S32" s="146">
        <f t="shared" si="15"/>
        <v>9.0361817650490561E-2</v>
      </c>
      <c r="T32" s="146">
        <f t="shared" si="15"/>
        <v>-5.0352707952136977E-2</v>
      </c>
      <c r="U32" s="146">
        <f t="shared" si="15"/>
        <v>0.13854982318871234</v>
      </c>
      <c r="V32" s="146">
        <f t="shared" si="15"/>
        <v>2.4390243902439046E-2</v>
      </c>
      <c r="W32" s="146" t="str">
        <f t="shared" si="15"/>
        <v/>
      </c>
      <c r="X32" s="146">
        <f t="shared" si="15"/>
        <v>-1</v>
      </c>
      <c r="Y32" s="146">
        <f t="shared" ref="Y32:AD34" si="16">IFERROR(J32/K32-1,"")</f>
        <v>-0.20027831691507691</v>
      </c>
      <c r="Z32" s="146">
        <f t="shared" si="16"/>
        <v>0.40468106995884723</v>
      </c>
      <c r="AA32" s="146">
        <f t="shared" si="16"/>
        <v>-9.1743119266053386E-3</v>
      </c>
      <c r="AB32" s="146">
        <f t="shared" si="16"/>
        <v>-5.0942435048384471E-4</v>
      </c>
      <c r="AC32" s="146">
        <f t="shared" si="16"/>
        <v>-9.1612377850136539E-4</v>
      </c>
      <c r="AD32" s="146">
        <f t="shared" si="16"/>
        <v>6.9395308332879324E-2</v>
      </c>
    </row>
    <row r="33" spans="2:30" x14ac:dyDescent="0.2">
      <c r="B33" s="14" t="s">
        <v>939</v>
      </c>
      <c r="C33" s="147">
        <f t="shared" ref="C33:H33" si="17">MEDIAN(C4:C31)</f>
        <v>9.2287157065540448</v>
      </c>
      <c r="D33" s="147">
        <f t="shared" si="17"/>
        <v>8.8781081673474436</v>
      </c>
      <c r="E33" s="147">
        <f t="shared" si="17"/>
        <v>8.8678181357220254</v>
      </c>
      <c r="F33" s="147">
        <f t="shared" si="17"/>
        <v>9.3311850567536183</v>
      </c>
      <c r="G33" s="147">
        <f t="shared" si="17"/>
        <v>7.7799999999999994</v>
      </c>
      <c r="H33" s="147">
        <f t="shared" si="17"/>
        <v>7.5249999999999995</v>
      </c>
      <c r="I33" s="147"/>
      <c r="J33" s="147">
        <f t="shared" ref="J33:P33" si="18">MEDIAN(J4:J31)</f>
        <v>7.3449999999999998</v>
      </c>
      <c r="K33" s="147">
        <f t="shared" si="18"/>
        <v>9.615000000000002</v>
      </c>
      <c r="L33" s="147">
        <f t="shared" si="18"/>
        <v>6.995000000000001</v>
      </c>
      <c r="M33" s="147">
        <f t="shared" si="18"/>
        <v>6.9049999999999994</v>
      </c>
      <c r="N33" s="147">
        <f t="shared" si="18"/>
        <v>6.6899999999999995</v>
      </c>
      <c r="O33" s="147">
        <f t="shared" si="18"/>
        <v>6.6899999999999995</v>
      </c>
      <c r="P33" s="147">
        <f t="shared" si="18"/>
        <v>6.32</v>
      </c>
      <c r="R33" s="146">
        <f t="shared" si="15"/>
        <v>3.9491244372995116E-2</v>
      </c>
      <c r="S33" s="146">
        <f t="shared" si="15"/>
        <v>1.1603791900025584E-3</v>
      </c>
      <c r="T33" s="146">
        <f t="shared" si="15"/>
        <v>-4.9657885704048166E-2</v>
      </c>
      <c r="U33" s="146">
        <f t="shared" si="15"/>
        <v>0.19938111269326719</v>
      </c>
      <c r="V33" s="146">
        <f t="shared" si="15"/>
        <v>3.3887043189368748E-2</v>
      </c>
      <c r="W33" s="146" t="str">
        <f t="shared" si="15"/>
        <v/>
      </c>
      <c r="X33" s="146">
        <f t="shared" si="15"/>
        <v>-1</v>
      </c>
      <c r="Y33" s="146">
        <f t="shared" si="16"/>
        <v>-0.23608944357774331</v>
      </c>
      <c r="Z33" s="146">
        <f t="shared" si="16"/>
        <v>0.37455325232308812</v>
      </c>
      <c r="AA33" s="146">
        <f t="shared" si="16"/>
        <v>1.3034033309196502E-2</v>
      </c>
      <c r="AB33" s="146">
        <f t="shared" si="16"/>
        <v>3.2137518684603794E-2</v>
      </c>
      <c r="AC33" s="146">
        <f t="shared" si="16"/>
        <v>0</v>
      </c>
      <c r="AD33" s="146">
        <f t="shared" si="16"/>
        <v>5.8544303797468222E-2</v>
      </c>
    </row>
    <row r="34" spans="2:30" x14ac:dyDescent="0.2">
      <c r="B34" s="14" t="s">
        <v>1010</v>
      </c>
      <c r="C34" s="64">
        <f t="shared" ref="C34:H34" si="19">STDEV(C4:C31)</f>
        <v>4.5646175367844979</v>
      </c>
      <c r="D34" s="64">
        <f t="shared" si="19"/>
        <v>5.18949112940214</v>
      </c>
      <c r="E34" s="64">
        <f t="shared" si="19"/>
        <v>5.4500749567038866</v>
      </c>
      <c r="F34" s="64">
        <f t="shared" si="19"/>
        <v>5.9203333911590876</v>
      </c>
      <c r="G34" s="64">
        <f t="shared" si="19"/>
        <v>5.7536854533678099</v>
      </c>
      <c r="H34" s="64">
        <f t="shared" si="19"/>
        <v>5.2587227109122772</v>
      </c>
      <c r="I34" s="64"/>
      <c r="J34" s="64">
        <f t="shared" ref="J34:P34" si="20">STDEV(J4:J31)</f>
        <v>4.1137528406386368</v>
      </c>
      <c r="K34" s="64">
        <f t="shared" si="20"/>
        <v>4.4105652824905679</v>
      </c>
      <c r="L34" s="64">
        <f t="shared" si="20"/>
        <v>2.7509807774855881</v>
      </c>
      <c r="M34" s="64">
        <f t="shared" si="20"/>
        <v>2.6772025990973756</v>
      </c>
      <c r="N34" s="64">
        <f t="shared" si="20"/>
        <v>3.0868057666898725</v>
      </c>
      <c r="O34" s="64">
        <f t="shared" si="20"/>
        <v>3.4645515525558972</v>
      </c>
      <c r="P34" s="64">
        <f t="shared" si="20"/>
        <v>3.252536393250347</v>
      </c>
      <c r="R34" s="146">
        <f t="shared" si="15"/>
        <v>-0.12041134227540939</v>
      </c>
      <c r="S34" s="146">
        <f t="shared" si="15"/>
        <v>-4.7812888698202993E-2</v>
      </c>
      <c r="T34" s="146">
        <f t="shared" si="15"/>
        <v>-7.9431073114470951E-2</v>
      </c>
      <c r="U34" s="146">
        <f t="shared" si="15"/>
        <v>2.8963685822229523E-2</v>
      </c>
      <c r="V34" s="146">
        <f t="shared" si="15"/>
        <v>9.4122236456477326E-2</v>
      </c>
      <c r="W34" s="146" t="str">
        <f t="shared" si="15"/>
        <v/>
      </c>
      <c r="X34" s="146">
        <f t="shared" si="15"/>
        <v>-1</v>
      </c>
      <c r="Y34" s="146">
        <f t="shared" si="16"/>
        <v>-6.7295782477189925E-2</v>
      </c>
      <c r="Z34" s="146">
        <f t="shared" si="16"/>
        <v>0.60327012045567585</v>
      </c>
      <c r="AA34" s="146">
        <f t="shared" si="16"/>
        <v>2.7557936187977417E-2</v>
      </c>
      <c r="AB34" s="146">
        <f t="shared" si="16"/>
        <v>-0.13269483036884877</v>
      </c>
      <c r="AC34" s="146">
        <f t="shared" si="16"/>
        <v>-0.10903165391992831</v>
      </c>
      <c r="AD34" s="146">
        <f t="shared" si="16"/>
        <v>6.5184561730200263E-2</v>
      </c>
    </row>
  </sheetData>
  <pageMargins left="0.25" right="0.25" top="0.25" bottom="0.2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
  <sheetViews>
    <sheetView showGridLines="0" zoomScale="70" zoomScaleNormal="70" workbookViewId="0">
      <pane xSplit="1" ySplit="3" topLeftCell="B4" activePane="bottomRight" state="frozen"/>
      <selection pane="topRight" activeCell="B1" sqref="B1"/>
      <selection pane="bottomLeft" activeCell="A5" sqref="A5"/>
      <selection pane="bottomRight" activeCell="B4" sqref="B4"/>
    </sheetView>
  </sheetViews>
  <sheetFormatPr defaultRowHeight="15" x14ac:dyDescent="0.25"/>
  <cols>
    <col min="1" max="1" width="37.5703125" customWidth="1"/>
    <col min="2" max="2" width="22.7109375" style="71" customWidth="1"/>
    <col min="3" max="3" width="12.5703125" bestFit="1" customWidth="1"/>
    <col min="4" max="4" width="19.28515625" customWidth="1"/>
    <col min="5" max="5" width="25.5703125" customWidth="1"/>
    <col min="6" max="6" width="3.28515625" customWidth="1"/>
  </cols>
  <sheetData>
    <row r="1" spans="1:5" x14ac:dyDescent="0.25">
      <c r="A1" s="134" t="str">
        <f>Summary!A1</f>
        <v>Community and Technical Colleges, Report of Fundable Operating Expenses, Fiscal Year (FY) 2012</v>
      </c>
      <c r="B1" s="134"/>
      <c r="C1" s="133"/>
      <c r="D1" s="132"/>
      <c r="E1" s="132"/>
    </row>
    <row r="2" spans="1:5" ht="15.75" thickBot="1" x14ac:dyDescent="0.3">
      <c r="A2" s="135" t="s">
        <v>1012</v>
      </c>
      <c r="B2" s="135"/>
      <c r="C2" s="132"/>
      <c r="D2" s="132"/>
      <c r="E2" s="132"/>
    </row>
    <row r="3" spans="1:5" ht="44.25" thickBot="1" x14ac:dyDescent="0.3">
      <c r="A3" s="128" t="s">
        <v>935</v>
      </c>
      <c r="B3" s="131" t="s">
        <v>1016</v>
      </c>
      <c r="C3" s="131" t="s">
        <v>1006</v>
      </c>
      <c r="D3" s="131" t="s">
        <v>1007</v>
      </c>
      <c r="E3" s="130" t="s">
        <v>1008</v>
      </c>
    </row>
    <row r="4" spans="1:5" x14ac:dyDescent="0.25">
      <c r="A4" s="129" t="s">
        <v>1063</v>
      </c>
      <c r="B4" s="109">
        <v>1152210</v>
      </c>
      <c r="C4" s="136">
        <f>B4/30</f>
        <v>38407</v>
      </c>
      <c r="D4" s="137">
        <f>'1'!$E$33</f>
        <v>209097769</v>
      </c>
      <c r="E4" s="138">
        <f>IFERROR(D4/C4,"")</f>
        <v>5444.261957455672</v>
      </c>
    </row>
    <row r="5" spans="1:5" x14ac:dyDescent="0.25">
      <c r="A5" s="98" t="s">
        <v>1017</v>
      </c>
      <c r="B5" s="108">
        <v>102531</v>
      </c>
      <c r="C5" s="139">
        <f t="shared" ref="C5:C60" si="0">B5/30</f>
        <v>3417.7</v>
      </c>
      <c r="D5" s="139">
        <f>'2'!$E$33</f>
        <v>23163486.000000004</v>
      </c>
      <c r="E5" s="140">
        <f t="shared" ref="E5:E61" si="1">IFERROR(D5/C5,"")</f>
        <v>6777.5070954150469</v>
      </c>
    </row>
    <row r="6" spans="1:5" x14ac:dyDescent="0.25">
      <c r="A6" s="98" t="s">
        <v>1027</v>
      </c>
      <c r="B6" s="108">
        <v>204401</v>
      </c>
      <c r="C6" s="139">
        <f t="shared" si="0"/>
        <v>6813.3666666666668</v>
      </c>
      <c r="D6" s="139">
        <f>'3'!$E$33</f>
        <v>42811409.999999993</v>
      </c>
      <c r="E6" s="140">
        <f t="shared" si="1"/>
        <v>6283.4443080024057</v>
      </c>
    </row>
    <row r="7" spans="1:5" x14ac:dyDescent="0.25">
      <c r="A7" s="98" t="s">
        <v>1028</v>
      </c>
      <c r="B7" s="108">
        <v>110577</v>
      </c>
      <c r="C7" s="139">
        <f t="shared" si="0"/>
        <v>3685.9</v>
      </c>
      <c r="D7" s="139">
        <f>'4'!$E$33</f>
        <v>16986394.000000004</v>
      </c>
      <c r="E7" s="140">
        <f t="shared" si="1"/>
        <v>4608.4793401882862</v>
      </c>
    </row>
    <row r="8" spans="1:5" x14ac:dyDescent="0.25">
      <c r="A8" s="98" t="s">
        <v>1018</v>
      </c>
      <c r="B8" s="108">
        <v>807288</v>
      </c>
      <c r="C8" s="139">
        <f t="shared" si="0"/>
        <v>26909.599999999999</v>
      </c>
      <c r="D8" s="139">
        <f>'5'!$E$33</f>
        <v>186729556</v>
      </c>
      <c r="E8" s="140">
        <f t="shared" si="1"/>
        <v>6939.1427594613078</v>
      </c>
    </row>
    <row r="9" spans="1:5" x14ac:dyDescent="0.25">
      <c r="A9" s="98" t="s">
        <v>1029</v>
      </c>
      <c r="B9" s="108">
        <v>401913</v>
      </c>
      <c r="C9" s="139">
        <f t="shared" si="0"/>
        <v>13397.1</v>
      </c>
      <c r="D9" s="141">
        <f>'6'!$E$33</f>
        <v>50415846.000000007</v>
      </c>
      <c r="E9" s="142">
        <f t="shared" si="1"/>
        <v>3763.1909890946554</v>
      </c>
    </row>
    <row r="10" spans="1:5" x14ac:dyDescent="0.25">
      <c r="A10" s="98" t="s">
        <v>1030</v>
      </c>
      <c r="B10" s="108">
        <v>79245</v>
      </c>
      <c r="C10" s="139">
        <f t="shared" si="0"/>
        <v>2641.5</v>
      </c>
      <c r="D10" s="141">
        <f>'7'!$E$33</f>
        <v>17727779</v>
      </c>
      <c r="E10" s="142">
        <f t="shared" si="1"/>
        <v>6711.2545901949652</v>
      </c>
    </row>
    <row r="11" spans="1:5" x14ac:dyDescent="0.25">
      <c r="A11" s="98" t="s">
        <v>1064</v>
      </c>
      <c r="B11" s="108">
        <v>316196</v>
      </c>
      <c r="C11" s="139">
        <f t="shared" si="0"/>
        <v>10539.866666666667</v>
      </c>
      <c r="D11" s="139">
        <f>'8'!$E$33</f>
        <v>45639874.999999985</v>
      </c>
      <c r="E11" s="140">
        <f t="shared" si="1"/>
        <v>4330.2136965679501</v>
      </c>
    </row>
    <row r="12" spans="1:5" x14ac:dyDescent="0.25">
      <c r="A12" s="98" t="s">
        <v>1021</v>
      </c>
      <c r="B12" s="108">
        <v>89266</v>
      </c>
      <c r="C12" s="139">
        <f t="shared" si="0"/>
        <v>2975.5333333333333</v>
      </c>
      <c r="D12" s="141">
        <f>'9'!$E$33</f>
        <v>11535601.000000002</v>
      </c>
      <c r="E12" s="142">
        <f t="shared" si="1"/>
        <v>3876.8179374005786</v>
      </c>
    </row>
    <row r="13" spans="1:5" x14ac:dyDescent="0.25">
      <c r="A13" s="98" t="s">
        <v>1031</v>
      </c>
      <c r="B13" s="108">
        <v>32284.000000000004</v>
      </c>
      <c r="C13" s="139">
        <f t="shared" si="0"/>
        <v>1076.1333333333334</v>
      </c>
      <c r="D13" s="139">
        <f>'10'!$E$33</f>
        <v>4943342</v>
      </c>
      <c r="E13" s="140">
        <f t="shared" si="1"/>
        <v>4593.6147937058604</v>
      </c>
    </row>
    <row r="14" spans="1:5" x14ac:dyDescent="0.25">
      <c r="A14" s="98" t="s">
        <v>1032</v>
      </c>
      <c r="B14" s="108">
        <v>72723</v>
      </c>
      <c r="C14" s="139">
        <f t="shared" si="0"/>
        <v>2424.1</v>
      </c>
      <c r="D14" s="139">
        <f>'11'!$E$33</f>
        <v>16124743.999999998</v>
      </c>
      <c r="E14" s="140">
        <f t="shared" si="1"/>
        <v>6651.847696052143</v>
      </c>
    </row>
    <row r="15" spans="1:5" x14ac:dyDescent="0.25">
      <c r="A15" s="98" t="s">
        <v>926</v>
      </c>
      <c r="B15" s="107">
        <v>84095</v>
      </c>
      <c r="C15" s="139">
        <f t="shared" si="0"/>
        <v>2803.1666666666665</v>
      </c>
      <c r="D15" s="141">
        <f>'12'!$E$33</f>
        <v>27041085.000000004</v>
      </c>
      <c r="E15" s="142">
        <f t="shared" si="1"/>
        <v>9646.6204887329823</v>
      </c>
    </row>
    <row r="16" spans="1:5" x14ac:dyDescent="0.25">
      <c r="A16" s="98" t="s">
        <v>1055</v>
      </c>
      <c r="B16" s="107">
        <v>533689</v>
      </c>
      <c r="C16" s="139">
        <f t="shared" si="0"/>
        <v>17789.633333333335</v>
      </c>
      <c r="D16" s="141">
        <f>'13'!$E$33</f>
        <v>80980072.999999985</v>
      </c>
      <c r="E16" s="142">
        <f t="shared" si="1"/>
        <v>4552.0934289445713</v>
      </c>
    </row>
    <row r="17" spans="1:5" x14ac:dyDescent="0.25">
      <c r="A17" s="98" t="s">
        <v>1056</v>
      </c>
      <c r="B17" s="108">
        <v>1402650</v>
      </c>
      <c r="C17" s="139">
        <f t="shared" si="0"/>
        <v>46755</v>
      </c>
      <c r="D17" s="141">
        <f>'14'!$E$33</f>
        <v>243828148.99999997</v>
      </c>
      <c r="E17" s="142">
        <f t="shared" si="1"/>
        <v>5215.0176237835522</v>
      </c>
    </row>
    <row r="18" spans="1:5" x14ac:dyDescent="0.25">
      <c r="A18" s="98" t="s">
        <v>1033</v>
      </c>
      <c r="B18" s="108">
        <v>221332</v>
      </c>
      <c r="C18" s="139">
        <f t="shared" si="0"/>
        <v>7377.7333333333336</v>
      </c>
      <c r="D18" s="139">
        <f>'15'!$E$33</f>
        <v>55245804.000000007</v>
      </c>
      <c r="E18" s="140">
        <f t="shared" si="1"/>
        <v>7488.1811938626142</v>
      </c>
    </row>
    <row r="19" spans="1:5" x14ac:dyDescent="0.25">
      <c r="A19" s="97" t="s">
        <v>1057</v>
      </c>
      <c r="B19" s="108">
        <v>573271</v>
      </c>
      <c r="C19" s="139">
        <f t="shared" si="0"/>
        <v>19109.033333333333</v>
      </c>
      <c r="D19" s="139">
        <f>'16'!$E$33</f>
        <v>93518766</v>
      </c>
      <c r="E19" s="140">
        <f t="shared" si="1"/>
        <v>4893.9558777611292</v>
      </c>
    </row>
    <row r="20" spans="1:5" x14ac:dyDescent="0.25">
      <c r="A20" s="98" t="s">
        <v>1034</v>
      </c>
      <c r="B20" s="108">
        <v>20815</v>
      </c>
      <c r="C20" s="139">
        <f t="shared" si="0"/>
        <v>693.83333333333337</v>
      </c>
      <c r="D20" s="139">
        <f>'17'!$E$33</f>
        <v>5960329</v>
      </c>
      <c r="E20" s="140">
        <f t="shared" si="1"/>
        <v>8590.4333413403783</v>
      </c>
    </row>
    <row r="21" spans="1:5" x14ac:dyDescent="0.25">
      <c r="A21" s="98" t="s">
        <v>1035</v>
      </c>
      <c r="B21" s="108">
        <v>46907</v>
      </c>
      <c r="C21" s="139">
        <f t="shared" si="0"/>
        <v>1563.5666666666666</v>
      </c>
      <c r="D21" s="139">
        <f>'18'!$E$33</f>
        <v>12223267</v>
      </c>
      <c r="E21" s="140">
        <f t="shared" si="1"/>
        <v>7817.5540964035217</v>
      </c>
    </row>
    <row r="22" spans="1:5" x14ac:dyDescent="0.25">
      <c r="A22" s="98" t="s">
        <v>1065</v>
      </c>
      <c r="B22" s="108">
        <v>111186</v>
      </c>
      <c r="C22" s="139">
        <f t="shared" si="0"/>
        <v>3706.2</v>
      </c>
      <c r="D22" s="139">
        <f>'19'!$E$33</f>
        <v>17909954.999999996</v>
      </c>
      <c r="E22" s="140">
        <f t="shared" si="1"/>
        <v>4832.4307916464295</v>
      </c>
    </row>
    <row r="23" spans="1:5" x14ac:dyDescent="0.25">
      <c r="A23" s="98" t="s">
        <v>1036</v>
      </c>
      <c r="B23" s="108">
        <v>93510</v>
      </c>
      <c r="C23" s="139">
        <f t="shared" si="0"/>
        <v>3117</v>
      </c>
      <c r="D23" s="139">
        <f>'20'!$E$33</f>
        <v>13657092</v>
      </c>
      <c r="E23" s="140">
        <f t="shared" si="1"/>
        <v>4381.4860442733398</v>
      </c>
    </row>
    <row r="24" spans="1:5" x14ac:dyDescent="0.25">
      <c r="A24" s="98" t="s">
        <v>1058</v>
      </c>
      <c r="B24" s="108">
        <v>1154606</v>
      </c>
      <c r="C24" s="139">
        <f t="shared" si="0"/>
        <v>38486.866666666669</v>
      </c>
      <c r="D24" s="139">
        <f>'21'!$E$33</f>
        <v>193030817</v>
      </c>
      <c r="E24" s="140">
        <f t="shared" si="1"/>
        <v>5015.4983691406414</v>
      </c>
    </row>
    <row r="25" spans="1:5" x14ac:dyDescent="0.25">
      <c r="A25" s="98" t="s">
        <v>1037</v>
      </c>
      <c r="B25" s="108">
        <v>82200</v>
      </c>
      <c r="C25" s="139">
        <f t="shared" si="0"/>
        <v>2740</v>
      </c>
      <c r="D25" s="141">
        <f>'22'!$E$33</f>
        <v>18554773.000000004</v>
      </c>
      <c r="E25" s="142">
        <f t="shared" si="1"/>
        <v>6771.8149635036507</v>
      </c>
    </row>
    <row r="26" spans="1:5" x14ac:dyDescent="0.25">
      <c r="A26" s="98" t="s">
        <v>1038</v>
      </c>
      <c r="B26" s="108">
        <v>134874</v>
      </c>
      <c r="C26" s="139">
        <f t="shared" si="0"/>
        <v>4495.8</v>
      </c>
      <c r="D26" s="141">
        <f>'23'!$E$33</f>
        <v>24659540</v>
      </c>
      <c r="E26" s="142">
        <f t="shared" si="1"/>
        <v>5485.0171270964011</v>
      </c>
    </row>
    <row r="27" spans="1:5" x14ac:dyDescent="0.25">
      <c r="A27" s="98" t="s">
        <v>1022</v>
      </c>
      <c r="B27" s="108">
        <v>184628</v>
      </c>
      <c r="C27" s="139">
        <f t="shared" si="0"/>
        <v>6154.2666666666664</v>
      </c>
      <c r="D27" s="139">
        <f>'24'!$E$33</f>
        <v>40632446</v>
      </c>
      <c r="E27" s="140">
        <f t="shared" si="1"/>
        <v>6602.3213163767141</v>
      </c>
    </row>
    <row r="28" spans="1:5" x14ac:dyDescent="0.25">
      <c r="A28" s="98" t="s">
        <v>1039</v>
      </c>
      <c r="B28" s="108">
        <v>129969.99999999999</v>
      </c>
      <c r="C28" s="139">
        <f t="shared" si="0"/>
        <v>4332.333333333333</v>
      </c>
      <c r="D28" s="141">
        <f>'25'!$E$33</f>
        <v>29010292.000000004</v>
      </c>
      <c r="E28" s="142">
        <f t="shared" si="1"/>
        <v>6696.2280526275308</v>
      </c>
    </row>
    <row r="29" spans="1:5" x14ac:dyDescent="0.25">
      <c r="A29" s="97" t="s">
        <v>1040</v>
      </c>
      <c r="B29" s="107">
        <v>1158780</v>
      </c>
      <c r="C29" s="139">
        <f t="shared" si="0"/>
        <v>38626</v>
      </c>
      <c r="D29" s="141">
        <f>'26'!$E$33</f>
        <v>207007058.99999997</v>
      </c>
      <c r="E29" s="142">
        <f t="shared" si="1"/>
        <v>5359.2673069952871</v>
      </c>
    </row>
    <row r="30" spans="1:5" x14ac:dyDescent="0.25">
      <c r="A30" s="98" t="s">
        <v>1019</v>
      </c>
      <c r="B30" s="108">
        <v>215595</v>
      </c>
      <c r="C30" s="139">
        <f t="shared" si="0"/>
        <v>7186.5</v>
      </c>
      <c r="D30" s="141">
        <f>'27'!$E$33</f>
        <v>42200547.999999993</v>
      </c>
      <c r="E30" s="142">
        <f t="shared" si="1"/>
        <v>5872.1975927085496</v>
      </c>
    </row>
    <row r="31" spans="1:5" x14ac:dyDescent="0.25">
      <c r="A31" s="98" t="s">
        <v>1041</v>
      </c>
      <c r="B31" s="108">
        <v>119553</v>
      </c>
      <c r="C31" s="139">
        <f t="shared" si="0"/>
        <v>3985.1</v>
      </c>
      <c r="D31" s="141">
        <f>'28'!$E$33</f>
        <v>29785137.000000007</v>
      </c>
      <c r="E31" s="142">
        <f t="shared" si="1"/>
        <v>7474.125366992047</v>
      </c>
    </row>
    <row r="32" spans="1:5" x14ac:dyDescent="0.25">
      <c r="A32" s="98" t="s">
        <v>1042</v>
      </c>
      <c r="B32" s="108">
        <v>236739</v>
      </c>
      <c r="C32" s="139">
        <f t="shared" si="0"/>
        <v>7891.3</v>
      </c>
      <c r="D32" s="141">
        <f>'29'!$E$33</f>
        <v>27300539.999999993</v>
      </c>
      <c r="E32" s="142">
        <f t="shared" si="1"/>
        <v>3459.5744680851053</v>
      </c>
    </row>
    <row r="33" spans="1:5" x14ac:dyDescent="0.25">
      <c r="A33" s="98" t="s">
        <v>1043</v>
      </c>
      <c r="B33" s="108">
        <v>189523</v>
      </c>
      <c r="C33" s="139">
        <f t="shared" si="0"/>
        <v>6317.4333333333334</v>
      </c>
      <c r="D33" s="139">
        <f>'30'!$E$33</f>
        <v>23292997</v>
      </c>
      <c r="E33" s="140">
        <f t="shared" si="1"/>
        <v>3687.0981886103532</v>
      </c>
    </row>
    <row r="34" spans="1:5" x14ac:dyDescent="0.25">
      <c r="A34" s="98" t="s">
        <v>1020</v>
      </c>
      <c r="B34" s="108">
        <v>72930</v>
      </c>
      <c r="C34" s="139">
        <f t="shared" si="0"/>
        <v>2431</v>
      </c>
      <c r="D34" s="139">
        <f>'31'!$E$33</f>
        <v>11625103</v>
      </c>
      <c r="E34" s="140">
        <f t="shared" si="1"/>
        <v>4782.0250925545042</v>
      </c>
    </row>
    <row r="35" spans="1:5" x14ac:dyDescent="0.25">
      <c r="A35" s="98" t="s">
        <v>1044</v>
      </c>
      <c r="B35" s="107">
        <v>95324</v>
      </c>
      <c r="C35" s="139">
        <f t="shared" si="0"/>
        <v>3177.4666666666667</v>
      </c>
      <c r="D35" s="139">
        <f>'32'!$E$33</f>
        <v>26076034</v>
      </c>
      <c r="E35" s="140">
        <f t="shared" si="1"/>
        <v>8206.5484033401863</v>
      </c>
    </row>
    <row r="36" spans="1:5" x14ac:dyDescent="0.25">
      <c r="A36" s="98" t="s">
        <v>1045</v>
      </c>
      <c r="B36" s="108">
        <v>52818</v>
      </c>
      <c r="C36" s="139">
        <f t="shared" si="0"/>
        <v>1760.6</v>
      </c>
      <c r="D36" s="139">
        <f>'33'!$E$33</f>
        <v>11034987</v>
      </c>
      <c r="E36" s="140">
        <f t="shared" si="1"/>
        <v>6267.7422469612638</v>
      </c>
    </row>
    <row r="37" spans="1:5" x14ac:dyDescent="0.25">
      <c r="A37" s="98" t="s">
        <v>1023</v>
      </c>
      <c r="B37" s="107">
        <v>125940</v>
      </c>
      <c r="C37" s="139">
        <f t="shared" si="0"/>
        <v>4198</v>
      </c>
      <c r="D37" s="139">
        <f>'34'!$E$33</f>
        <v>16489053.999999998</v>
      </c>
      <c r="E37" s="140">
        <f t="shared" si="1"/>
        <v>3927.8356360171506</v>
      </c>
    </row>
    <row r="38" spans="1:5" x14ac:dyDescent="0.25">
      <c r="A38" s="98" t="s">
        <v>1046</v>
      </c>
      <c r="B38" s="107">
        <v>38899</v>
      </c>
      <c r="C38" s="139">
        <f t="shared" si="0"/>
        <v>1296.6333333333334</v>
      </c>
      <c r="D38" s="139">
        <f>'35'!$E$33</f>
        <v>4578438.0000000009</v>
      </c>
      <c r="E38" s="140">
        <f t="shared" si="1"/>
        <v>3531.0198205609404</v>
      </c>
    </row>
    <row r="39" spans="1:5" x14ac:dyDescent="0.25">
      <c r="A39" s="98" t="s">
        <v>1059</v>
      </c>
      <c r="B39" s="108">
        <v>590220</v>
      </c>
      <c r="C39" s="139">
        <f t="shared" si="0"/>
        <v>19674</v>
      </c>
      <c r="D39" s="139">
        <f>'36'!$E$33</f>
        <v>110447212.99999997</v>
      </c>
      <c r="E39" s="140">
        <f t="shared" si="1"/>
        <v>5613.8666768323665</v>
      </c>
    </row>
    <row r="40" spans="1:5" x14ac:dyDescent="0.25">
      <c r="A40" s="98" t="s">
        <v>1047</v>
      </c>
      <c r="B40" s="107">
        <v>213116</v>
      </c>
      <c r="C40" s="139">
        <f t="shared" si="0"/>
        <v>7103.8666666666668</v>
      </c>
      <c r="D40" s="141">
        <f>'37'!$E$33</f>
        <v>37245852.999999993</v>
      </c>
      <c r="E40" s="142">
        <f t="shared" si="1"/>
        <v>5243.0394245387479</v>
      </c>
    </row>
    <row r="41" spans="1:5" x14ac:dyDescent="0.25">
      <c r="A41" s="98" t="s">
        <v>1048</v>
      </c>
      <c r="B41" s="107">
        <v>551799</v>
      </c>
      <c r="C41" s="139">
        <f t="shared" si="0"/>
        <v>18393.3</v>
      </c>
      <c r="D41" s="141">
        <f>'38'!$E$33</f>
        <v>87208268</v>
      </c>
      <c r="E41" s="142">
        <f t="shared" si="1"/>
        <v>4741.3062365100341</v>
      </c>
    </row>
    <row r="42" spans="1:5" x14ac:dyDescent="0.25">
      <c r="A42" s="98" t="s">
        <v>1024</v>
      </c>
      <c r="B42" s="107">
        <v>103498</v>
      </c>
      <c r="C42" s="139">
        <f t="shared" si="0"/>
        <v>3449.9333333333334</v>
      </c>
      <c r="D42" s="141">
        <f>'39'!$E$33</f>
        <v>19784522</v>
      </c>
      <c r="E42" s="142">
        <f t="shared" si="1"/>
        <v>5734.7548744903279</v>
      </c>
    </row>
    <row r="43" spans="1:5" x14ac:dyDescent="0.25">
      <c r="A43" s="98" t="s">
        <v>1060</v>
      </c>
      <c r="B43" s="107">
        <v>974520</v>
      </c>
      <c r="C43" s="139">
        <f t="shared" si="0"/>
        <v>32484</v>
      </c>
      <c r="D43" s="141">
        <f>'40'!$E$33</f>
        <v>177328874</v>
      </c>
      <c r="E43" s="142">
        <f t="shared" si="1"/>
        <v>5458.960534416944</v>
      </c>
    </row>
    <row r="44" spans="1:5" x14ac:dyDescent="0.25">
      <c r="A44" s="98" t="s">
        <v>1025</v>
      </c>
      <c r="B44" s="107">
        <v>118213</v>
      </c>
      <c r="C44" s="139">
        <f t="shared" si="0"/>
        <v>3940.4333333333334</v>
      </c>
      <c r="D44" s="141">
        <f>'41'!$E$33</f>
        <v>20556550</v>
      </c>
      <c r="E44" s="142">
        <f t="shared" si="1"/>
        <v>5216.8247147098882</v>
      </c>
    </row>
    <row r="45" spans="1:5" x14ac:dyDescent="0.25">
      <c r="A45" s="98" t="s">
        <v>1049</v>
      </c>
      <c r="B45" s="107">
        <v>83208</v>
      </c>
      <c r="C45" s="139">
        <f t="shared" si="0"/>
        <v>2773.6</v>
      </c>
      <c r="D45" s="141">
        <f>'42'!$E$33</f>
        <v>17543374</v>
      </c>
      <c r="E45" s="142">
        <f t="shared" si="1"/>
        <v>6325.1276319584658</v>
      </c>
    </row>
    <row r="46" spans="1:5" x14ac:dyDescent="0.25">
      <c r="A46" s="98" t="s">
        <v>1050</v>
      </c>
      <c r="B46" s="107">
        <v>172893</v>
      </c>
      <c r="C46" s="139">
        <f t="shared" si="0"/>
        <v>5763.1</v>
      </c>
      <c r="D46" s="141">
        <f>'43'!$E$33</f>
        <v>46641859</v>
      </c>
      <c r="E46" s="142">
        <f t="shared" si="1"/>
        <v>8093.1892557824776</v>
      </c>
    </row>
    <row r="47" spans="1:5" x14ac:dyDescent="0.25">
      <c r="A47" s="98" t="s">
        <v>1061</v>
      </c>
      <c r="B47" s="107">
        <v>159127</v>
      </c>
      <c r="C47" s="139">
        <f t="shared" si="0"/>
        <v>5304.2333333333336</v>
      </c>
      <c r="D47" s="141">
        <f>'44'!$E$33</f>
        <v>24327503.000000004</v>
      </c>
      <c r="E47" s="142">
        <f t="shared" si="1"/>
        <v>4586.4315295330152</v>
      </c>
    </row>
    <row r="48" spans="1:5" x14ac:dyDescent="0.25">
      <c r="A48" s="98" t="s">
        <v>1026</v>
      </c>
      <c r="B48" s="107">
        <v>252642.99999999997</v>
      </c>
      <c r="C48" s="139">
        <f t="shared" si="0"/>
        <v>8421.4333333333325</v>
      </c>
      <c r="D48" s="141">
        <f>'45'!$E$33</f>
        <v>48326938.999999993</v>
      </c>
      <c r="E48" s="142">
        <f t="shared" si="1"/>
        <v>5738.5645753098242</v>
      </c>
    </row>
    <row r="49" spans="1:5" x14ac:dyDescent="0.25">
      <c r="A49" s="98" t="s">
        <v>1051</v>
      </c>
      <c r="B49" s="107">
        <v>66164</v>
      </c>
      <c r="C49" s="139">
        <f t="shared" si="0"/>
        <v>2205.4666666666667</v>
      </c>
      <c r="D49" s="141">
        <f>'46'!$E$33</f>
        <v>12898183</v>
      </c>
      <c r="E49" s="142">
        <f t="shared" si="1"/>
        <v>5848.2783689015178</v>
      </c>
    </row>
    <row r="50" spans="1:5" x14ac:dyDescent="0.25">
      <c r="A50" s="98" t="s">
        <v>1052</v>
      </c>
      <c r="B50" s="107">
        <v>84413</v>
      </c>
      <c r="C50" s="139">
        <f t="shared" si="0"/>
        <v>2813.7666666666669</v>
      </c>
      <c r="D50" s="141">
        <f>'47'!$E$33</f>
        <v>20263082.999999996</v>
      </c>
      <c r="E50" s="142">
        <f t="shared" si="1"/>
        <v>7201.4084323504658</v>
      </c>
    </row>
    <row r="51" spans="1:5" x14ac:dyDescent="0.25">
      <c r="A51" s="98" t="s">
        <v>1053</v>
      </c>
      <c r="B51" s="107">
        <v>112950</v>
      </c>
      <c r="C51" s="139">
        <f t="shared" si="0"/>
        <v>3765</v>
      </c>
      <c r="D51" s="141">
        <f>'48'!$E$33</f>
        <v>24375471</v>
      </c>
      <c r="E51" s="142">
        <f t="shared" si="1"/>
        <v>6474.2286852589641</v>
      </c>
    </row>
    <row r="52" spans="1:5" x14ac:dyDescent="0.25">
      <c r="A52" s="98" t="s">
        <v>1054</v>
      </c>
      <c r="B52" s="107">
        <v>48120</v>
      </c>
      <c r="C52" s="139">
        <f t="shared" si="0"/>
        <v>1604</v>
      </c>
      <c r="D52" s="141">
        <f>'49'!$E$33</f>
        <v>7821075.0000000009</v>
      </c>
      <c r="E52" s="142">
        <f t="shared" si="1"/>
        <v>4875.9819201995015</v>
      </c>
    </row>
    <row r="53" spans="1:5" x14ac:dyDescent="0.25">
      <c r="A53" s="98" t="s">
        <v>1062</v>
      </c>
      <c r="B53" s="107">
        <v>146130</v>
      </c>
      <c r="C53" s="139">
        <f t="shared" si="0"/>
        <v>4871</v>
      </c>
      <c r="D53" s="141">
        <f>'50'!$E$33</f>
        <v>25547423.999999989</v>
      </c>
      <c r="E53" s="142">
        <f t="shared" si="1"/>
        <v>5244.8006569492891</v>
      </c>
    </row>
    <row r="54" spans="1:5" x14ac:dyDescent="0.25">
      <c r="A54" s="96" t="s">
        <v>928</v>
      </c>
      <c r="B54" s="107">
        <v>122241</v>
      </c>
      <c r="C54" s="139">
        <f t="shared" si="0"/>
        <v>4074.7</v>
      </c>
      <c r="D54" s="141">
        <f>'51'!$E$33</f>
        <v>25076144.999999993</v>
      </c>
      <c r="E54" s="142">
        <f t="shared" si="1"/>
        <v>6154.1082779100288</v>
      </c>
    </row>
    <row r="55" spans="1:5" x14ac:dyDescent="0.25">
      <c r="A55" s="96" t="s">
        <v>929</v>
      </c>
      <c r="B55" s="107">
        <v>23761</v>
      </c>
      <c r="C55" s="139">
        <f t="shared" si="0"/>
        <v>792.0333333333333</v>
      </c>
      <c r="D55" s="141">
        <f>'52'!$E$33</f>
        <v>12484222.999999996</v>
      </c>
      <c r="E55" s="142">
        <f t="shared" si="1"/>
        <v>15762.244434156808</v>
      </c>
    </row>
    <row r="56" spans="1:5" x14ac:dyDescent="0.25">
      <c r="A56" s="96" t="s">
        <v>930</v>
      </c>
      <c r="B56" s="107">
        <v>19267</v>
      </c>
      <c r="C56" s="139">
        <f t="shared" si="0"/>
        <v>642.23333333333335</v>
      </c>
      <c r="D56" s="141">
        <f>'53'!$E$33</f>
        <v>5373179.9999999991</v>
      </c>
      <c r="E56" s="142">
        <f t="shared" si="1"/>
        <v>8366.3985052161715</v>
      </c>
    </row>
    <row r="57" spans="1:5" x14ac:dyDescent="0.25">
      <c r="A57" s="96" t="s">
        <v>931</v>
      </c>
      <c r="B57" s="107">
        <v>140668</v>
      </c>
      <c r="C57" s="139">
        <f t="shared" si="0"/>
        <v>4688.9333333333334</v>
      </c>
      <c r="D57" s="141">
        <f>'54'!$E$33</f>
        <v>41635811.000000015</v>
      </c>
      <c r="E57" s="142">
        <f t="shared" si="1"/>
        <v>8879.5911650126563</v>
      </c>
    </row>
    <row r="58" spans="1:5" x14ac:dyDescent="0.25">
      <c r="A58" s="96" t="s">
        <v>932</v>
      </c>
      <c r="B58" s="107">
        <v>61789</v>
      </c>
      <c r="C58" s="139">
        <f t="shared" si="0"/>
        <v>2059.6333333333332</v>
      </c>
      <c r="D58" s="141">
        <f>'55'!$E$33</f>
        <v>21767538.000000004</v>
      </c>
      <c r="E58" s="142">
        <f t="shared" si="1"/>
        <v>10568.647170208293</v>
      </c>
    </row>
    <row r="59" spans="1:5" x14ac:dyDescent="0.25">
      <c r="A59" s="96" t="s">
        <v>933</v>
      </c>
      <c r="B59" s="107">
        <v>53098</v>
      </c>
      <c r="C59" s="139">
        <f t="shared" si="0"/>
        <v>1769.9333333333334</v>
      </c>
      <c r="D59" s="141">
        <f>'56'!$E$33</f>
        <v>12972935</v>
      </c>
      <c r="E59" s="142">
        <f t="shared" si="1"/>
        <v>7329.6178763795242</v>
      </c>
    </row>
    <row r="60" spans="1:5" x14ac:dyDescent="0.25">
      <c r="A60" s="77" t="s">
        <v>934</v>
      </c>
      <c r="B60" s="107">
        <v>61119</v>
      </c>
      <c r="C60" s="139">
        <f t="shared" si="0"/>
        <v>2037.3</v>
      </c>
      <c r="D60" s="141">
        <f>'57'!$E$33</f>
        <v>15669364</v>
      </c>
      <c r="E60" s="142">
        <f t="shared" si="1"/>
        <v>7691.2403671526044</v>
      </c>
    </row>
    <row r="61" spans="1:5" ht="30" thickBot="1" x14ac:dyDescent="0.3">
      <c r="A61" s="86" t="s">
        <v>1009</v>
      </c>
      <c r="B61" s="143">
        <f>SUMIF(D4:D60,"&gt;0",B4:B60)</f>
        <v>14607425</v>
      </c>
      <c r="C61" s="143">
        <f>B61/30</f>
        <v>486914.16666666669</v>
      </c>
      <c r="D61" s="144">
        <f>SUM(D4:D60)</f>
        <v>2696113474</v>
      </c>
      <c r="E61" s="145">
        <f t="shared" si="1"/>
        <v>5537.1432144953678</v>
      </c>
    </row>
    <row r="63" spans="1:5" x14ac:dyDescent="0.25">
      <c r="D63" s="127"/>
    </row>
    <row r="87" ht="15" customHeight="1" x14ac:dyDescent="0.25"/>
  </sheetData>
  <pageMargins left="0.25" right="0.25" top="0.25" bottom="0.2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6"/>
  <sheetViews>
    <sheetView showGridLines="0" zoomScale="70" zoomScaleNormal="70" workbookViewId="0">
      <pane xSplit="1" ySplit="3" topLeftCell="B4" activePane="bottomRight" state="frozen"/>
      <selection activeCell="A49" sqref="A49"/>
      <selection pane="topRight" activeCell="A49" sqref="A49"/>
      <selection pane="bottomLeft" activeCell="A49" sqref="A49"/>
      <selection pane="bottomRight" activeCell="B4" sqref="B4"/>
    </sheetView>
  </sheetViews>
  <sheetFormatPr defaultRowHeight="14.25" x14ac:dyDescent="0.2"/>
  <cols>
    <col min="1" max="1" width="31.5703125" style="62" customWidth="1"/>
    <col min="2" max="6" width="9.7109375" style="62" customWidth="1"/>
    <col min="7" max="7" width="11" style="62" customWidth="1"/>
    <col min="8" max="10" width="9.7109375" style="62" customWidth="1"/>
    <col min="11" max="11" width="13.42578125" style="62" bestFit="1" customWidth="1"/>
    <col min="12" max="12" width="9.7109375" style="62" customWidth="1"/>
    <col min="13" max="14" width="11.140625" style="62" bestFit="1" customWidth="1"/>
    <col min="15" max="19" width="9.7109375" style="62" customWidth="1"/>
    <col min="20" max="20" width="11.140625" style="62" bestFit="1" customWidth="1"/>
    <col min="21" max="25" width="9.7109375" style="62" customWidth="1"/>
    <col min="26" max="26" width="11.140625" style="62" bestFit="1" customWidth="1"/>
    <col min="27" max="30" width="9.7109375" style="62" customWidth="1"/>
    <col min="31" max="31" width="8.140625" style="62" bestFit="1" customWidth="1"/>
    <col min="32" max="37" width="9.140625" style="62"/>
    <col min="38" max="38" width="17.85546875" style="62" bestFit="1" customWidth="1"/>
    <col min="39" max="41" width="9.140625" style="62"/>
    <col min="42" max="42" width="17.85546875" style="62" bestFit="1" customWidth="1"/>
    <col min="43" max="16384" width="9.140625" style="62"/>
  </cols>
  <sheetData>
    <row r="1" spans="1:30" x14ac:dyDescent="0.2">
      <c r="A1" s="39" t="str">
        <f>Summary!A1</f>
        <v>Community and Technical Colleges, Report of Fundable Operating Expenses, Fiscal Year (FY) 2012</v>
      </c>
      <c r="B1" s="39"/>
      <c r="C1" s="39"/>
      <c r="E1" s="39"/>
      <c r="F1" s="39"/>
      <c r="G1" s="39"/>
      <c r="H1" s="39"/>
      <c r="J1" s="39"/>
      <c r="K1" s="40"/>
      <c r="L1" s="39"/>
    </row>
    <row r="2" spans="1:30" ht="15" thickBot="1" x14ac:dyDescent="0.25">
      <c r="A2" s="65" t="s">
        <v>944</v>
      </c>
    </row>
    <row r="3" spans="1:30" s="72" customFormat="1" x14ac:dyDescent="0.2">
      <c r="A3" s="27" t="s">
        <v>935</v>
      </c>
      <c r="B3" s="34" t="s">
        <v>945</v>
      </c>
      <c r="C3" s="34" t="s">
        <v>946</v>
      </c>
      <c r="D3" s="34" t="s">
        <v>975</v>
      </c>
      <c r="E3" s="34" t="s">
        <v>976</v>
      </c>
      <c r="F3" s="34" t="s">
        <v>977</v>
      </c>
      <c r="G3" s="34" t="s">
        <v>978</v>
      </c>
      <c r="H3" s="34" t="s">
        <v>979</v>
      </c>
      <c r="I3" s="34" t="s">
        <v>980</v>
      </c>
      <c r="J3" s="34" t="s">
        <v>981</v>
      </c>
      <c r="K3" s="34" t="s">
        <v>982</v>
      </c>
      <c r="L3" s="34" t="s">
        <v>984</v>
      </c>
      <c r="M3" s="34" t="s">
        <v>985</v>
      </c>
      <c r="N3" s="34" t="s">
        <v>986</v>
      </c>
      <c r="O3" s="34" t="s">
        <v>987</v>
      </c>
      <c r="P3" s="34" t="s">
        <v>988</v>
      </c>
      <c r="Q3" s="34" t="s">
        <v>989</v>
      </c>
      <c r="R3" s="34" t="s">
        <v>990</v>
      </c>
      <c r="S3" s="34" t="s">
        <v>991</v>
      </c>
      <c r="T3" s="34" t="s">
        <v>992</v>
      </c>
      <c r="U3" s="34" t="s">
        <v>993</v>
      </c>
      <c r="V3" s="34" t="s">
        <v>994</v>
      </c>
      <c r="W3" s="34" t="s">
        <v>995</v>
      </c>
      <c r="X3" s="34" t="s">
        <v>996</v>
      </c>
      <c r="Y3" s="34" t="s">
        <v>997</v>
      </c>
      <c r="Z3" s="34" t="s">
        <v>998</v>
      </c>
      <c r="AA3" s="34" t="s">
        <v>999</v>
      </c>
      <c r="AB3" s="34" t="s">
        <v>1000</v>
      </c>
      <c r="AC3" s="34" t="s">
        <v>1001</v>
      </c>
      <c r="AD3" s="45" t="s">
        <v>35</v>
      </c>
    </row>
    <row r="4" spans="1:30" x14ac:dyDescent="0.2">
      <c r="A4" s="98" t="s">
        <v>1063</v>
      </c>
      <c r="B4" s="79">
        <f>'1'!$F$5</f>
        <v>6.5219431526397393</v>
      </c>
      <c r="C4" s="79">
        <f>'1'!$F$6</f>
        <v>10.071415699808526</v>
      </c>
      <c r="D4" s="79">
        <f>'1'!$F$7</f>
        <v>8.7560483898165451</v>
      </c>
      <c r="E4" s="79">
        <f>'1'!$F$8</f>
        <v>9.1285740141275831</v>
      </c>
      <c r="F4" s="79">
        <f>'1'!$F$9</f>
        <v>36.093932912755143</v>
      </c>
      <c r="G4" s="79">
        <f>'1'!$F$10</f>
        <v>8.8482940315899601</v>
      </c>
      <c r="H4" s="79">
        <f>'1'!$F$11</f>
        <v>11.964127894070929</v>
      </c>
      <c r="I4" s="79">
        <f>'1'!$F$12</f>
        <v>9.2635351295695063</v>
      </c>
      <c r="J4" s="79">
        <f>'1'!$F$13</f>
        <v>8.6868188985999257</v>
      </c>
      <c r="K4" s="79">
        <f>'1'!$F$14</f>
        <v>16.030699998621746</v>
      </c>
      <c r="L4" s="79">
        <f>'1'!$F$15</f>
        <v>10.990391920999459</v>
      </c>
      <c r="M4" s="79">
        <f>'1'!$F$16</f>
        <v>8.5975772100028784</v>
      </c>
      <c r="N4" s="79">
        <f>'1'!$F$17</f>
        <v>8.2445898380281779</v>
      </c>
      <c r="O4" s="79">
        <f>'1'!$F$18</f>
        <v>16.117753747096657</v>
      </c>
      <c r="P4" s="79" t="str">
        <f>'1'!$F$19</f>
        <v/>
      </c>
      <c r="Q4" s="79">
        <f>'1'!$F$20</f>
        <v>9.9100058183366553</v>
      </c>
      <c r="R4" s="79">
        <f>'1'!$F$21</f>
        <v>13.760940269978121</v>
      </c>
      <c r="S4" s="79">
        <f>'1'!$F$22</f>
        <v>13.507537834877912</v>
      </c>
      <c r="T4" s="79">
        <f>'1'!$F$23</f>
        <v>8.1788859521579127</v>
      </c>
      <c r="U4" s="79">
        <f>'1'!$F$24</f>
        <v>9.9351226635507928</v>
      </c>
      <c r="V4" s="79">
        <f>'1'!$F$25</f>
        <v>8.6963294410658651</v>
      </c>
      <c r="W4" s="79">
        <f>'1'!$F$26</f>
        <v>6.3442273585391176</v>
      </c>
      <c r="X4" s="79">
        <f>'1'!$F$27</f>
        <v>9.5827267620881535</v>
      </c>
      <c r="Y4" s="79">
        <f>'1'!$F$28</f>
        <v>8.5695726730948802</v>
      </c>
      <c r="Z4" s="79">
        <f>'1'!$F$29</f>
        <v>7.735452138299479</v>
      </c>
      <c r="AA4" s="79">
        <f>'1'!$F$30</f>
        <v>9.806023880602881</v>
      </c>
      <c r="AB4" s="79">
        <f>'1'!$F$31</f>
        <v>7.6116670431901214</v>
      </c>
      <c r="AC4" s="79">
        <f>'1'!$F$32</f>
        <v>8.1002669105303102</v>
      </c>
      <c r="AD4" s="100">
        <f>'1'!$F$33</f>
        <v>8.9002933467532976</v>
      </c>
    </row>
    <row r="5" spans="1:30" x14ac:dyDescent="0.2">
      <c r="A5" s="98" t="s">
        <v>1017</v>
      </c>
      <c r="B5" s="78">
        <f>'2'!$F$5</f>
        <v>10.343713045995598</v>
      </c>
      <c r="C5" s="78">
        <f>'2'!$F$6</f>
        <v>11.070997465468656</v>
      </c>
      <c r="D5" s="78">
        <f>'2'!$F$7</f>
        <v>6.4783441561104942</v>
      </c>
      <c r="E5" s="78">
        <f>'2'!$F$8</f>
        <v>9.0742023384648025</v>
      </c>
      <c r="F5" s="78">
        <f>'2'!$F$9</f>
        <v>4.1040665813491337</v>
      </c>
      <c r="G5" s="78">
        <f>'2'!$F$10</f>
        <v>13.130687533212804</v>
      </c>
      <c r="H5" s="78">
        <f>'2'!$F$11</f>
        <v>18.943358437458819</v>
      </c>
      <c r="I5" s="78">
        <f>'2'!$F$12</f>
        <v>4.5883911352998554</v>
      </c>
      <c r="J5" s="78">
        <f>'2'!$F$13</f>
        <v>9.1492700697212257</v>
      </c>
      <c r="K5" s="78" t="str">
        <f>'2'!$F$14</f>
        <v/>
      </c>
      <c r="L5" s="78">
        <f>'2'!$F$15</f>
        <v>13.268210834480422</v>
      </c>
      <c r="M5" s="78">
        <f>'2'!$F$16</f>
        <v>8.0579115854937022</v>
      </c>
      <c r="N5" s="78">
        <f>'2'!$F$17</f>
        <v>7.6928692346883034</v>
      </c>
      <c r="O5" s="78">
        <f>'2'!$F$18</f>
        <v>12.19974105561824</v>
      </c>
      <c r="P5" s="78" t="str">
        <f>'2'!$F$19</f>
        <v/>
      </c>
      <c r="Q5" s="78">
        <f>'2'!$F$20</f>
        <v>10.766217827692259</v>
      </c>
      <c r="R5" s="78">
        <f>'2'!$F$21</f>
        <v>19.243442300566628</v>
      </c>
      <c r="S5" s="78">
        <f>'2'!$F$22</f>
        <v>12.595659156551338</v>
      </c>
      <c r="T5" s="78">
        <f>'2'!$F$23</f>
        <v>8.8350715074202313</v>
      </c>
      <c r="U5" s="78">
        <f>'2'!$F$24</f>
        <v>10.765598775977743</v>
      </c>
      <c r="V5" s="78" t="str">
        <f>'2'!$F$25</f>
        <v/>
      </c>
      <c r="W5" s="78">
        <f>'2'!$F$26</f>
        <v>4.3634062466589478</v>
      </c>
      <c r="X5" s="78">
        <f>'2'!$F$27</f>
        <v>13.901829110296346</v>
      </c>
      <c r="Y5" s="78">
        <f>'2'!$F$28</f>
        <v>9.5590831361765591</v>
      </c>
      <c r="Z5" s="78">
        <f>'2'!$F$29</f>
        <v>8.1644058183149451</v>
      </c>
      <c r="AA5" s="78">
        <f>'2'!$F$30</f>
        <v>15.141399811259156</v>
      </c>
      <c r="AB5" s="78">
        <f>'2'!$F$31</f>
        <v>8.5828598533603699</v>
      </c>
      <c r="AC5" s="78">
        <f>'2'!$F$32</f>
        <v>9.9382504272430161</v>
      </c>
      <c r="AD5" s="99">
        <f>'2'!$F$33</f>
        <v>9.7497831252275571</v>
      </c>
    </row>
    <row r="6" spans="1:30" x14ac:dyDescent="0.2">
      <c r="A6" s="98" t="s">
        <v>1027</v>
      </c>
      <c r="B6" s="78">
        <f>'3'!$F$5</f>
        <v>8.6962809547908968</v>
      </c>
      <c r="C6" s="78">
        <f>'3'!$F$6</f>
        <v>10.009046927135072</v>
      </c>
      <c r="D6" s="78">
        <f>'3'!$F$7</f>
        <v>8.0919282278878129</v>
      </c>
      <c r="E6" s="78">
        <f>'3'!$F$8</f>
        <v>8.4139605664354651</v>
      </c>
      <c r="F6" s="78">
        <f>'3'!$F$9</f>
        <v>10.010037035180041</v>
      </c>
      <c r="G6" s="78">
        <f>'3'!$F$10</f>
        <v>8.9330666206863736</v>
      </c>
      <c r="H6" s="78">
        <f>'3'!$F$11</f>
        <v>8.3377964256715682</v>
      </c>
      <c r="I6" s="78">
        <f>'3'!$F$12</f>
        <v>10.042889125291449</v>
      </c>
      <c r="J6" s="78">
        <f>'3'!$F$13</f>
        <v>7.4299042071570707</v>
      </c>
      <c r="K6" s="78">
        <f>'3'!$F$14</f>
        <v>8.0913959676419154</v>
      </c>
      <c r="L6" s="78">
        <f>'3'!$F$15</f>
        <v>9.2023274168869253</v>
      </c>
      <c r="M6" s="78">
        <f>'3'!$F$16</f>
        <v>8.6678077567044323</v>
      </c>
      <c r="N6" s="78">
        <f>'3'!$F$17</f>
        <v>8.0658454741883006</v>
      </c>
      <c r="O6" s="78">
        <f>'3'!$F$18</f>
        <v>10.200287668386391</v>
      </c>
      <c r="P6" s="78">
        <f>'3'!$F$19</f>
        <v>8.5941653381506633</v>
      </c>
      <c r="Q6" s="78">
        <f>'3'!$F$20</f>
        <v>8.6723011697726839</v>
      </c>
      <c r="R6" s="78">
        <f>'3'!$F$21</f>
        <v>8.6188041291971356</v>
      </c>
      <c r="S6" s="78">
        <f>'3'!$F$22</f>
        <v>10.525111525356904</v>
      </c>
      <c r="T6" s="78">
        <f>'3'!$F$23</f>
        <v>8.3249000947035316</v>
      </c>
      <c r="U6" s="78">
        <f>'3'!$F$24</f>
        <v>10.009040982156508</v>
      </c>
      <c r="V6" s="78">
        <f>'3'!$F$25</f>
        <v>10.052029821284917</v>
      </c>
      <c r="W6" s="78">
        <f>'3'!$F$26</f>
        <v>9.5722388919245009</v>
      </c>
      <c r="X6" s="78">
        <f>'3'!$F$27</f>
        <v>6.3584279565892565</v>
      </c>
      <c r="Y6" s="78">
        <f>'3'!$F$28</f>
        <v>8.7039650349433355</v>
      </c>
      <c r="Z6" s="78">
        <f>'3'!$F$29</f>
        <v>6.5972223648639137</v>
      </c>
      <c r="AA6" s="78">
        <f>'3'!$F$30</f>
        <v>8.029001763811257</v>
      </c>
      <c r="AB6" s="78">
        <f>'3'!$F$31</f>
        <v>8.3248960496979088</v>
      </c>
      <c r="AC6" s="78">
        <f>'3'!$F$32</f>
        <v>8.6678101157809824</v>
      </c>
      <c r="AD6" s="99">
        <f>'3'!$F$33</f>
        <v>8.4342467604772491</v>
      </c>
    </row>
    <row r="7" spans="1:30" x14ac:dyDescent="0.2">
      <c r="A7" s="98" t="s">
        <v>1028</v>
      </c>
      <c r="B7" s="78" t="str">
        <f>'4'!$F$5</f>
        <v/>
      </c>
      <c r="C7" s="78">
        <f>'4'!$F$6</f>
        <v>8.6595053747034125</v>
      </c>
      <c r="D7" s="78">
        <f>'4'!$F$7</f>
        <v>5.6761265177397542</v>
      </c>
      <c r="E7" s="78">
        <f>'4'!$F$8</f>
        <v>6.5461663737138176</v>
      </c>
      <c r="F7" s="78">
        <f>'4'!$F$9</f>
        <v>12.005645601332308</v>
      </c>
      <c r="G7" s="78">
        <f>'4'!$F$10</f>
        <v>11.765992668889844</v>
      </c>
      <c r="H7" s="78">
        <f>'4'!$F$11</f>
        <v>13.644237109598276</v>
      </c>
      <c r="I7" s="78">
        <f>'4'!$F$12</f>
        <v>7.1030541240077349</v>
      </c>
      <c r="J7" s="78">
        <f>'4'!$F$13</f>
        <v>7.2103076188955875</v>
      </c>
      <c r="K7" s="78">
        <f>'4'!$F$14</f>
        <v>206.75043726799896</v>
      </c>
      <c r="L7" s="78">
        <f>'4'!$F$15</f>
        <v>7.1060965921791928</v>
      </c>
      <c r="M7" s="78">
        <f>'4'!$F$16</f>
        <v>5.7577060724660107</v>
      </c>
      <c r="N7" s="78">
        <f>'4'!$F$17</f>
        <v>5.6233817178121432</v>
      </c>
      <c r="O7" s="78">
        <f>'4'!$F$18</f>
        <v>9.0435832707414558</v>
      </c>
      <c r="P7" s="78" t="str">
        <f>'4'!$F$19</f>
        <v/>
      </c>
      <c r="Q7" s="78">
        <f>'4'!$F$20</f>
        <v>8.1622338884387844</v>
      </c>
      <c r="R7" s="78">
        <f>'4'!$F$21</f>
        <v>12.534675120663552</v>
      </c>
      <c r="S7" s="78">
        <f>'4'!$F$22</f>
        <v>5.5744460888162655</v>
      </c>
      <c r="T7" s="78">
        <f>'4'!$F$23</f>
        <v>6.8765962583449118</v>
      </c>
      <c r="U7" s="78">
        <f>'4'!$F$24</f>
        <v>6.2911924763323084</v>
      </c>
      <c r="V7" s="78">
        <f>'4'!$F$25</f>
        <v>8.7493721930926078</v>
      </c>
      <c r="W7" s="78">
        <f>'4'!$F$26</f>
        <v>7.0997676251418316</v>
      </c>
      <c r="X7" s="78">
        <f>'4'!$F$27</f>
        <v>7.6610487423961802</v>
      </c>
      <c r="Y7" s="78">
        <f>'4'!$F$28</f>
        <v>6.6466964886789137</v>
      </c>
      <c r="Z7" s="78">
        <f>'4'!$F$29</f>
        <v>5.8939432970624361</v>
      </c>
      <c r="AA7" s="78">
        <f>'4'!$F$30</f>
        <v>7.6294205070942906</v>
      </c>
      <c r="AB7" s="78">
        <f>'4'!$F$31</f>
        <v>6.8766858077186006</v>
      </c>
      <c r="AC7" s="78">
        <f>'4'!$F$32</f>
        <v>5.7310689524909542</v>
      </c>
      <c r="AD7" s="99">
        <f>'4'!$F$33</f>
        <v>6.8336158145496411</v>
      </c>
    </row>
    <row r="8" spans="1:30" x14ac:dyDescent="0.2">
      <c r="A8" s="98" t="s">
        <v>1018</v>
      </c>
      <c r="B8" s="78">
        <f>'5'!$F$5</f>
        <v>8.298612313715811</v>
      </c>
      <c r="C8" s="78">
        <f>'5'!$F$6</f>
        <v>17.564606715982642</v>
      </c>
      <c r="D8" s="78">
        <f>'5'!$F$7</f>
        <v>11.589608403471956</v>
      </c>
      <c r="E8" s="78">
        <f>'5'!$F$8</f>
        <v>10.147730462284018</v>
      </c>
      <c r="F8" s="78" t="str">
        <f>'5'!$F$9</f>
        <v/>
      </c>
      <c r="G8" s="78">
        <f>'5'!$F$10</f>
        <v>8.3980085960538577</v>
      </c>
      <c r="H8" s="78">
        <f>'5'!$F$11</f>
        <v>16.97531733208131</v>
      </c>
      <c r="I8" s="78">
        <f>'5'!$F$12</f>
        <v>5.746909439780401</v>
      </c>
      <c r="J8" s="78">
        <f>'5'!$F$13</f>
        <v>15.01482302744056</v>
      </c>
      <c r="K8" s="78">
        <f>'5'!$F$14</f>
        <v>15.694387313722917</v>
      </c>
      <c r="L8" s="78">
        <f>'5'!$F$15</f>
        <v>13.302279715043454</v>
      </c>
      <c r="M8" s="78">
        <f>'5'!$F$16</f>
        <v>10.442438103548152</v>
      </c>
      <c r="N8" s="78">
        <f>'5'!$F$17</f>
        <v>10.358198994001434</v>
      </c>
      <c r="O8" s="78">
        <f>'5'!$F$18</f>
        <v>17.820208545108375</v>
      </c>
      <c r="P8" s="78">
        <f>'5'!$F$19</f>
        <v>35.264737724323886</v>
      </c>
      <c r="Q8" s="78">
        <f>'5'!$F$20</f>
        <v>16.143988661690226</v>
      </c>
      <c r="R8" s="78" t="str">
        <f>'5'!$F$21</f>
        <v/>
      </c>
      <c r="S8" s="78">
        <f>'5'!$F$22</f>
        <v>20.208627303040302</v>
      </c>
      <c r="T8" s="78">
        <f>'5'!$F$23</f>
        <v>9.6479514861819968</v>
      </c>
      <c r="U8" s="78">
        <f>'5'!$F$24</f>
        <v>16.331196310393761</v>
      </c>
      <c r="V8" s="78">
        <f>'5'!$F$25</f>
        <v>23.903614627562494</v>
      </c>
      <c r="W8" s="78">
        <f>'5'!$F$26</f>
        <v>37.308561641857061</v>
      </c>
      <c r="X8" s="78">
        <f>'5'!$F$27</f>
        <v>10.244921402977759</v>
      </c>
      <c r="Y8" s="78">
        <f>'5'!$F$28</f>
        <v>9.5013883336230354</v>
      </c>
      <c r="Z8" s="78">
        <f>'5'!$F$29</f>
        <v>9.0710837194360785</v>
      </c>
      <c r="AA8" s="78">
        <f>'5'!$F$30</f>
        <v>15.081343223169268</v>
      </c>
      <c r="AB8" s="78">
        <f>'5'!$F$31</f>
        <v>9.7502304808114868</v>
      </c>
      <c r="AC8" s="78">
        <f>'5'!$F$32</f>
        <v>10.752457271973492</v>
      </c>
      <c r="AD8" s="99">
        <f>'5'!$F$33</f>
        <v>11.470021697452996</v>
      </c>
    </row>
    <row r="9" spans="1:30" x14ac:dyDescent="0.2">
      <c r="A9" s="98" t="s">
        <v>1029</v>
      </c>
      <c r="B9" s="78">
        <f>'6'!$F$5</f>
        <v>8.0617658222606288</v>
      </c>
      <c r="C9" s="78">
        <f>'6'!$F$6</f>
        <v>10.53795025898498</v>
      </c>
      <c r="D9" s="78">
        <f>'6'!$F$7</f>
        <v>4.8068863587206661</v>
      </c>
      <c r="E9" s="78">
        <f>'6'!$F$8</f>
        <v>6.814119371123331</v>
      </c>
      <c r="F9" s="78" t="str">
        <f>'6'!$F$9</f>
        <v/>
      </c>
      <c r="G9" s="78">
        <f>'6'!$F$10</f>
        <v>3.5824527460845572</v>
      </c>
      <c r="H9" s="78">
        <f>'6'!$F$11</f>
        <v>16.115687591316597</v>
      </c>
      <c r="I9" s="78">
        <f>'6'!$F$12</f>
        <v>8.9368365190779713</v>
      </c>
      <c r="J9" s="78">
        <f>'6'!$F$13</f>
        <v>3.520914404907463</v>
      </c>
      <c r="K9" s="78" t="str">
        <f>'6'!$F$14</f>
        <v/>
      </c>
      <c r="L9" s="78">
        <f>'6'!$F$15</f>
        <v>7.4676268584518928</v>
      </c>
      <c r="M9" s="78">
        <f>'6'!$F$16</f>
        <v>6.6750957941715106</v>
      </c>
      <c r="N9" s="78">
        <f>'6'!$F$17</f>
        <v>7.0192074026493643</v>
      </c>
      <c r="O9" s="78">
        <f>'6'!$F$18</f>
        <v>14.715109089482674</v>
      </c>
      <c r="P9" s="78">
        <f>'6'!$F$19</f>
        <v>26.100695666976581</v>
      </c>
      <c r="Q9" s="78">
        <f>'6'!$F$20</f>
        <v>8.9428308370824876</v>
      </c>
      <c r="R9" s="78" t="str">
        <f>'6'!$F$21</f>
        <v/>
      </c>
      <c r="S9" s="78">
        <f>'6'!$F$22</f>
        <v>11.013356704738225</v>
      </c>
      <c r="T9" s="78">
        <f>'6'!$F$23</f>
        <v>5.9320670546716228</v>
      </c>
      <c r="U9" s="78">
        <f>'6'!$F$24</f>
        <v>8.9345607051074101</v>
      </c>
      <c r="V9" s="78">
        <f>'6'!$F$25</f>
        <v>8.9370281725748768</v>
      </c>
      <c r="W9" s="78">
        <f>'6'!$F$26</f>
        <v>8.9369284299751346</v>
      </c>
      <c r="X9" s="78">
        <f>'6'!$F$27</f>
        <v>7.8143595424885355</v>
      </c>
      <c r="Y9" s="78">
        <f>'6'!$F$28</f>
        <v>9.8782837804094328</v>
      </c>
      <c r="Z9" s="78">
        <f>'6'!$F$29</f>
        <v>4.9999061116596524</v>
      </c>
      <c r="AA9" s="78">
        <f>'6'!$F$30</f>
        <v>6.760901860675828</v>
      </c>
      <c r="AB9" s="78">
        <f>'6'!$F$31</f>
        <v>5.9320691038917595</v>
      </c>
      <c r="AC9" s="78">
        <f>'6'!$F$32</f>
        <v>6.6750965151379296</v>
      </c>
      <c r="AD9" s="99">
        <f>'6'!$F$33</f>
        <v>6.3978720563810398</v>
      </c>
    </row>
    <row r="10" spans="1:30" x14ac:dyDescent="0.2">
      <c r="A10" s="98" t="s">
        <v>1030</v>
      </c>
      <c r="B10" s="78">
        <f>'7'!$F$5</f>
        <v>6.5153113647046741</v>
      </c>
      <c r="C10" s="78">
        <f>'7'!$F$6</f>
        <v>9.9731761277859672</v>
      </c>
      <c r="D10" s="78">
        <f>'7'!$F$7</f>
        <v>9.9269027646304924</v>
      </c>
      <c r="E10" s="78">
        <f>'7'!$F$8</f>
        <v>11.875573660930185</v>
      </c>
      <c r="F10" s="78" t="str">
        <f>'7'!$F$9</f>
        <v/>
      </c>
      <c r="G10" s="78">
        <f>'7'!$F$10</f>
        <v>5.3472496087522918</v>
      </c>
      <c r="H10" s="78">
        <f>'7'!$F$11</f>
        <v>11.003575333465847</v>
      </c>
      <c r="I10" s="78">
        <f>'7'!$F$12</f>
        <v>10.045942552394584</v>
      </c>
      <c r="J10" s="78">
        <f>'7'!$F$13</f>
        <v>9.9116178829651247</v>
      </c>
      <c r="K10" s="78" t="str">
        <f>'7'!$F$14</f>
        <v/>
      </c>
      <c r="L10" s="78">
        <f>'7'!$F$15</f>
        <v>8.8611876016813103</v>
      </c>
      <c r="M10" s="78">
        <f>'7'!$F$16</f>
        <v>9.6999470433599377</v>
      </c>
      <c r="N10" s="78">
        <f>'7'!$F$17</f>
        <v>9.564878740580065</v>
      </c>
      <c r="O10" s="78">
        <f>'7'!$F$18</f>
        <v>13.845884245446925</v>
      </c>
      <c r="P10" s="78" t="str">
        <f>'7'!$F$19</f>
        <v/>
      </c>
      <c r="Q10" s="78">
        <f>'7'!$F$20</f>
        <v>13.772610305861953</v>
      </c>
      <c r="R10" s="78" t="str">
        <f>'7'!$F$21</f>
        <v/>
      </c>
      <c r="S10" s="78">
        <f>'7'!$F$22</f>
        <v>18.197154911782594</v>
      </c>
      <c r="T10" s="78">
        <f>'7'!$F$23</f>
        <v>9.0123540878564707</v>
      </c>
      <c r="U10" s="78">
        <f>'7'!$F$24</f>
        <v>11.06453932837846</v>
      </c>
      <c r="V10" s="78" t="str">
        <f>'7'!$F$25</f>
        <v/>
      </c>
      <c r="W10" s="78">
        <f>'7'!$F$26</f>
        <v>8.7963567516094336</v>
      </c>
      <c r="X10" s="78" t="str">
        <f>'7'!$F$27</f>
        <v/>
      </c>
      <c r="Y10" s="78">
        <f>'7'!$F$28</f>
        <v>9.2388388280831464</v>
      </c>
      <c r="Z10" s="78">
        <f>'7'!$F$29</f>
        <v>10.225756719588587</v>
      </c>
      <c r="AA10" s="78">
        <f>'7'!$F$30</f>
        <v>12.252515619625495</v>
      </c>
      <c r="AB10" s="78">
        <f>'7'!$F$31</f>
        <v>9.012350010358718</v>
      </c>
      <c r="AC10" s="78">
        <f>'7'!$F$32</f>
        <v>9.6998648569792412</v>
      </c>
      <c r="AD10" s="99">
        <f>'7'!$F$33</f>
        <v>10.332890744988095</v>
      </c>
    </row>
    <row r="11" spans="1:30" x14ac:dyDescent="0.2">
      <c r="A11" s="98" t="s">
        <v>1064</v>
      </c>
      <c r="B11" s="78">
        <f>'8'!$F$5</f>
        <v>5.7119477267690888</v>
      </c>
      <c r="C11" s="78">
        <f>'8'!$F$6</f>
        <v>5.8323165631347935</v>
      </c>
      <c r="D11" s="78">
        <f>'8'!$F$7</f>
        <v>6.2577389285060319</v>
      </c>
      <c r="E11" s="78">
        <f>'8'!$F$8</f>
        <v>6.2865036592896271</v>
      </c>
      <c r="F11" s="78">
        <f>'8'!$F$9</f>
        <v>41.533857069796639</v>
      </c>
      <c r="G11" s="78">
        <f>'8'!$F$10</f>
        <v>28.214669899498354</v>
      </c>
      <c r="H11" s="78">
        <f>'8'!$F$11</f>
        <v>6.8412520640265679</v>
      </c>
      <c r="I11" s="78">
        <f>'8'!$F$12</f>
        <v>4.3478173982695498</v>
      </c>
      <c r="J11" s="78">
        <f>'8'!$F$13</f>
        <v>9.9888423595433284</v>
      </c>
      <c r="K11" s="78">
        <f>'8'!$F$14</f>
        <v>5.7542575186578198</v>
      </c>
      <c r="L11" s="78">
        <f>'8'!$F$15</f>
        <v>4.2116306686852685</v>
      </c>
      <c r="M11" s="78">
        <f>'8'!$F$16</f>
        <v>6.8497965083368637</v>
      </c>
      <c r="N11" s="78">
        <f>'8'!$F$17</f>
        <v>5.8936347533140037</v>
      </c>
      <c r="O11" s="78">
        <f>'8'!$F$18</f>
        <v>10.987729057595262</v>
      </c>
      <c r="P11" s="78" t="str">
        <f>'8'!$F$19</f>
        <v/>
      </c>
      <c r="Q11" s="78">
        <f>'8'!$F$20</f>
        <v>12.174939235404496</v>
      </c>
      <c r="R11" s="78" t="str">
        <f>'8'!$F$21</f>
        <v/>
      </c>
      <c r="S11" s="78">
        <f>'8'!$F$22</f>
        <v>10.247112198281958</v>
      </c>
      <c r="T11" s="78">
        <f>'8'!$F$23</f>
        <v>6.4059483970620876</v>
      </c>
      <c r="U11" s="78">
        <f>'8'!$F$24</f>
        <v>8.5084938974960114</v>
      </c>
      <c r="V11" s="78">
        <f>'8'!$F$25</f>
        <v>5.9643142711115775</v>
      </c>
      <c r="W11" s="78">
        <f>'8'!$F$26</f>
        <v>5.870912263775792</v>
      </c>
      <c r="X11" s="78">
        <f>'8'!$F$27</f>
        <v>6.757415283289375</v>
      </c>
      <c r="Y11" s="78">
        <f>'8'!$F$28</f>
        <v>6.4786476278882059</v>
      </c>
      <c r="Z11" s="78">
        <f>'8'!$F$29</f>
        <v>5.1611214142968578</v>
      </c>
      <c r="AA11" s="78">
        <f>'8'!$F$30</f>
        <v>5.6828896663858961</v>
      </c>
      <c r="AB11" s="78">
        <f>'8'!$F$31</f>
        <v>4.7115101495300946</v>
      </c>
      <c r="AC11" s="78">
        <f>'8'!$F$32</f>
        <v>4.8669308259730144</v>
      </c>
      <c r="AD11" s="99">
        <f>'8'!$F$33</f>
        <v>6.6203312321508747</v>
      </c>
    </row>
    <row r="12" spans="1:30" x14ac:dyDescent="0.2">
      <c r="A12" s="98" t="s">
        <v>1021</v>
      </c>
      <c r="B12" s="78">
        <f>'9'!$F$5</f>
        <v>11.946923979349402</v>
      </c>
      <c r="C12" s="78">
        <f>'9'!$F$6</f>
        <v>9.2203758813901207</v>
      </c>
      <c r="D12" s="78">
        <f>'9'!$F$7</f>
        <v>5.3892290158029059</v>
      </c>
      <c r="E12" s="78">
        <f>'9'!$F$8</f>
        <v>5.0979897951882851</v>
      </c>
      <c r="F12" s="78" t="str">
        <f>'9'!$F$9</f>
        <v/>
      </c>
      <c r="G12" s="78" t="str">
        <f>'9'!$F$10</f>
        <v/>
      </c>
      <c r="H12" s="78">
        <f>'9'!$F$11</f>
        <v>14.848485287807732</v>
      </c>
      <c r="I12" s="78">
        <f>'9'!$F$12</f>
        <v>7.6692086294717949</v>
      </c>
      <c r="J12" s="78">
        <f>'9'!$F$13</f>
        <v>5.113650741228005</v>
      </c>
      <c r="K12" s="78" t="str">
        <f>'9'!$F$14</f>
        <v/>
      </c>
      <c r="L12" s="78">
        <f>'9'!$F$15</f>
        <v>5.738636460412784</v>
      </c>
      <c r="M12" s="78">
        <f>'9'!$F$16</f>
        <v>6.0010827164589795</v>
      </c>
      <c r="N12" s="78">
        <f>'9'!$F$17</f>
        <v>4.1988796559289261</v>
      </c>
      <c r="O12" s="78">
        <f>'9'!$F$18</f>
        <v>8.4617608852403059</v>
      </c>
      <c r="P12" s="78" t="str">
        <f>'9'!$F$19</f>
        <v/>
      </c>
      <c r="Q12" s="78">
        <f>'9'!$F$20</f>
        <v>5.4367112481611226</v>
      </c>
      <c r="R12" s="78">
        <f>'9'!$F$21</f>
        <v>8.7814971589382402</v>
      </c>
      <c r="S12" s="78">
        <f>'9'!$F$22</f>
        <v>9.6208144664033703</v>
      </c>
      <c r="T12" s="78">
        <f>'9'!$F$23</f>
        <v>5.1189858837574986</v>
      </c>
      <c r="U12" s="78">
        <f>'9'!$F$24</f>
        <v>6.6310422433887419</v>
      </c>
      <c r="V12" s="78" t="str">
        <f>'9'!$F$25</f>
        <v/>
      </c>
      <c r="W12" s="78">
        <f>'9'!$F$26</f>
        <v>5.4383283985915645</v>
      </c>
      <c r="X12" s="78">
        <f>'9'!$F$27</f>
        <v>13.510840670854916</v>
      </c>
      <c r="Y12" s="78">
        <f>'9'!$F$28</f>
        <v>7.6038051625148597</v>
      </c>
      <c r="Z12" s="78">
        <f>'9'!$F$29</f>
        <v>5.1075796164590521</v>
      </c>
      <c r="AA12" s="78">
        <f>'9'!$F$30</f>
        <v>6.6554998258875395</v>
      </c>
      <c r="AB12" s="78">
        <f>'9'!$F$31</f>
        <v>6.7314656018504486</v>
      </c>
      <c r="AC12" s="78">
        <f>'9'!$F$32</f>
        <v>6.6655980080808197</v>
      </c>
      <c r="AD12" s="99">
        <f>'9'!$F$33</f>
        <v>6.3060054534402168</v>
      </c>
    </row>
    <row r="13" spans="1:30" x14ac:dyDescent="0.2">
      <c r="A13" s="98" t="s">
        <v>1031</v>
      </c>
      <c r="B13" s="78">
        <f>'10'!$F$5</f>
        <v>8.5934686956649919</v>
      </c>
      <c r="C13" s="78">
        <f>'10'!$F$6</f>
        <v>7.2038554052294472</v>
      </c>
      <c r="D13" s="78">
        <f>'10'!$F$7</f>
        <v>5.8444132484993805</v>
      </c>
      <c r="E13" s="78">
        <f>'10'!$F$8</f>
        <v>8.6928726703434087</v>
      </c>
      <c r="F13" s="78" t="str">
        <f>'10'!$F$9</f>
        <v/>
      </c>
      <c r="G13" s="78" t="str">
        <f>'10'!$F$10</f>
        <v/>
      </c>
      <c r="H13" s="78">
        <f>'10'!$F$11</f>
        <v>9.9000798757403565</v>
      </c>
      <c r="I13" s="78" t="str">
        <f>'10'!$F$12</f>
        <v/>
      </c>
      <c r="J13" s="78">
        <f>'10'!$F$13</f>
        <v>5.4085988184053964</v>
      </c>
      <c r="K13" s="78" t="str">
        <f>'10'!$F$14</f>
        <v/>
      </c>
      <c r="L13" s="78">
        <f>'10'!$F$15</f>
        <v>6.3912038973654672</v>
      </c>
      <c r="M13" s="78">
        <f>'10'!$F$16</f>
        <v>5.7354621406347244</v>
      </c>
      <c r="N13" s="78">
        <f>'10'!$F$17</f>
        <v>5.1206133053594343</v>
      </c>
      <c r="O13" s="78" t="str">
        <f>'10'!$F$18</f>
        <v/>
      </c>
      <c r="P13" s="78" t="str">
        <f>'10'!$F$19</f>
        <v/>
      </c>
      <c r="Q13" s="78">
        <f>'10'!$F$20</f>
        <v>4.8647356351515292</v>
      </c>
      <c r="R13" s="78" t="str">
        <f>'10'!$F$21</f>
        <v/>
      </c>
      <c r="S13" s="78">
        <f>'10'!$F$22</f>
        <v>7.2720723278570487</v>
      </c>
      <c r="T13" s="78">
        <f>'10'!$F$23</f>
        <v>7.5989366640198961</v>
      </c>
      <c r="U13" s="78" t="str">
        <f>'10'!$F$24</f>
        <v/>
      </c>
      <c r="V13" s="78" t="str">
        <f>'10'!$F$25</f>
        <v/>
      </c>
      <c r="W13" s="78" t="str">
        <f>'10'!$F$26</f>
        <v/>
      </c>
      <c r="X13" s="78">
        <f>'10'!$F$27</f>
        <v>11.740245498992152</v>
      </c>
      <c r="Y13" s="78">
        <f>'10'!$F$28</f>
        <v>6.214400345756145</v>
      </c>
      <c r="Z13" s="78">
        <f>'10'!$F$29</f>
        <v>5.4998383008947149</v>
      </c>
      <c r="AA13" s="78">
        <f>'10'!$F$30</f>
        <v>5.3235885389192497</v>
      </c>
      <c r="AB13" s="78">
        <f>'10'!$F$31</f>
        <v>6.1527080253324433</v>
      </c>
      <c r="AC13" s="78">
        <f>'10'!$F$32</f>
        <v>5.4460515322957281</v>
      </c>
      <c r="AD13" s="99">
        <f>'10'!$F$33</f>
        <v>6.7304978154285617</v>
      </c>
    </row>
    <row r="14" spans="1:30" x14ac:dyDescent="0.2">
      <c r="A14" s="98" t="s">
        <v>1032</v>
      </c>
      <c r="B14" s="78">
        <f>'11'!$F$5</f>
        <v>9.2544135754486145</v>
      </c>
      <c r="C14" s="78">
        <f>'11'!$F$6</f>
        <v>9.5846670281983783</v>
      </c>
      <c r="D14" s="78">
        <f>'11'!$F$7</f>
        <v>8.1919752298678663</v>
      </c>
      <c r="E14" s="78">
        <f>'11'!$F$8</f>
        <v>9.360640930456519</v>
      </c>
      <c r="F14" s="78" t="str">
        <f>'11'!$F$9</f>
        <v/>
      </c>
      <c r="G14" s="78">
        <f>'11'!$F$10</f>
        <v>15.439995192529729</v>
      </c>
      <c r="H14" s="78">
        <f>'11'!$F$11</f>
        <v>9.631964478455906</v>
      </c>
      <c r="I14" s="78" t="str">
        <f>'11'!$F$12</f>
        <v/>
      </c>
      <c r="J14" s="78">
        <f>'11'!$F$13</f>
        <v>9.796438036678607</v>
      </c>
      <c r="K14" s="78" t="str">
        <f>'11'!$F$14</f>
        <v/>
      </c>
      <c r="L14" s="78">
        <f>'11'!$F$15</f>
        <v>9.1432380752020013</v>
      </c>
      <c r="M14" s="78">
        <f>'11'!$F$16</f>
        <v>7.2395669753666114</v>
      </c>
      <c r="N14" s="78">
        <f>'11'!$F$17</f>
        <v>7.1560230319498732</v>
      </c>
      <c r="O14" s="78">
        <f>'11'!$F$18</f>
        <v>29.169950436056979</v>
      </c>
      <c r="P14" s="78">
        <f>'11'!$F$19</f>
        <v>19.14928643299336</v>
      </c>
      <c r="Q14" s="78">
        <f>'11'!$F$20</f>
        <v>9.4056519331198487</v>
      </c>
      <c r="R14" s="78" t="str">
        <f>'11'!$F$21</f>
        <v/>
      </c>
      <c r="S14" s="78">
        <f>'11'!$F$22</f>
        <v>9.8764022507219682</v>
      </c>
      <c r="T14" s="78">
        <f>'11'!$F$23</f>
        <v>8.2581281978020566</v>
      </c>
      <c r="U14" s="78">
        <f>'11'!$F$24</f>
        <v>8.7434833234254761</v>
      </c>
      <c r="V14" s="78">
        <f>'11'!$F$25</f>
        <v>10.049110105761937</v>
      </c>
      <c r="W14" s="78">
        <f>'11'!$F$26</f>
        <v>14.812097139398162</v>
      </c>
      <c r="X14" s="78">
        <f>'11'!$F$27</f>
        <v>10.411058373067043</v>
      </c>
      <c r="Y14" s="78">
        <f>'11'!$F$28</f>
        <v>10.201589192211214</v>
      </c>
      <c r="Z14" s="78">
        <f>'11'!$F$29</f>
        <v>7.3183200953531742</v>
      </c>
      <c r="AA14" s="78">
        <f>'11'!$F$30</f>
        <v>8.6787189842027299</v>
      </c>
      <c r="AB14" s="78">
        <f>'11'!$F$31</f>
        <v>8.0399140160714282</v>
      </c>
      <c r="AC14" s="78">
        <f>'11'!$F$32</f>
        <v>7.8750191270376044</v>
      </c>
      <c r="AD14" s="99">
        <f>'11'!$F$33</f>
        <v>9.1202529390304932</v>
      </c>
    </row>
    <row r="15" spans="1:30" x14ac:dyDescent="0.2">
      <c r="A15" s="98" t="s">
        <v>926</v>
      </c>
      <c r="B15" s="78">
        <f>'12'!$F$5</f>
        <v>27.725463018825984</v>
      </c>
      <c r="C15" s="78">
        <f>'12'!$F$6</f>
        <v>21.114280165750127</v>
      </c>
      <c r="D15" s="78">
        <f>'12'!$F$7</f>
        <v>10.31573289446162</v>
      </c>
      <c r="E15" s="78">
        <f>'12'!$F$8</f>
        <v>10.871101574483838</v>
      </c>
      <c r="F15" s="78" t="str">
        <f>'12'!$F$9</f>
        <v/>
      </c>
      <c r="G15" s="78">
        <f>'12'!$F$10</f>
        <v>13.800268087052103</v>
      </c>
      <c r="H15" s="78">
        <f>'12'!$F$11</f>
        <v>19.187867862348075</v>
      </c>
      <c r="I15" s="78">
        <f>'12'!$F$12</f>
        <v>8.7445736426076586</v>
      </c>
      <c r="J15" s="78">
        <f>'12'!$F$13</f>
        <v>16.44682418098855</v>
      </c>
      <c r="K15" s="78" t="str">
        <f>'12'!$F$14</f>
        <v/>
      </c>
      <c r="L15" s="78">
        <f>'12'!$F$15</f>
        <v>7.3759759258856334</v>
      </c>
      <c r="M15" s="78">
        <f>'12'!$F$16</f>
        <v>15.090014460652506</v>
      </c>
      <c r="N15" s="78">
        <f>'12'!$F$17</f>
        <v>13.011412652769495</v>
      </c>
      <c r="O15" s="78">
        <f>'12'!$F$18</f>
        <v>17.050910347809971</v>
      </c>
      <c r="P15" s="78" t="str">
        <f>'12'!$F$19</f>
        <v/>
      </c>
      <c r="Q15" s="78">
        <f>'12'!$F$20</f>
        <v>14.650518607627415</v>
      </c>
      <c r="R15" s="78" t="str">
        <f>'12'!$F$21</f>
        <v/>
      </c>
      <c r="S15" s="78">
        <f>'12'!$F$22</f>
        <v>18.380482173731707</v>
      </c>
      <c r="T15" s="78">
        <f>'12'!$F$23</f>
        <v>14.03720701273275</v>
      </c>
      <c r="U15" s="78" t="str">
        <f>'12'!$F$24</f>
        <v/>
      </c>
      <c r="V15" s="78" t="str">
        <f>'12'!$F$25</f>
        <v/>
      </c>
      <c r="W15" s="78">
        <f>'12'!$F$26</f>
        <v>10.847559898696733</v>
      </c>
      <c r="X15" s="78">
        <f>'12'!$F$27</f>
        <v>12.409324209501081</v>
      </c>
      <c r="Y15" s="78">
        <f>'12'!$F$28</f>
        <v>16.570437409761265</v>
      </c>
      <c r="Z15" s="78">
        <f>'12'!$F$29</f>
        <v>11.416778253380167</v>
      </c>
      <c r="AA15" s="78">
        <f>'12'!$F$30</f>
        <v>16.032004210727798</v>
      </c>
      <c r="AB15" s="78">
        <f>'12'!$F$31</f>
        <v>10.772026115494523</v>
      </c>
      <c r="AC15" s="78">
        <f>'12'!$F$32</f>
        <v>14.816079579607782</v>
      </c>
      <c r="AD15" s="99">
        <f>'12'!$F$33</f>
        <v>13.421711725707754</v>
      </c>
    </row>
    <row r="16" spans="1:30" x14ac:dyDescent="0.2">
      <c r="A16" s="98" t="s">
        <v>1055</v>
      </c>
      <c r="B16" s="78">
        <f>'13'!$F$5</f>
        <v>6.3280942841090706</v>
      </c>
      <c r="C16" s="78">
        <f>'13'!$F$6</f>
        <v>3.3940302855080118</v>
      </c>
      <c r="D16" s="78">
        <f>'13'!$F$7</f>
        <v>7.5241071661686298</v>
      </c>
      <c r="E16" s="78">
        <f>'13'!$F$8</f>
        <v>6.4857673970419434</v>
      </c>
      <c r="F16" s="78">
        <f>'13'!$F$9</f>
        <v>3.3910225592386962</v>
      </c>
      <c r="G16" s="78">
        <f>'13'!$F$10</f>
        <v>5.2722708660955178</v>
      </c>
      <c r="H16" s="78">
        <f>'13'!$F$11</f>
        <v>7.806340239619816</v>
      </c>
      <c r="I16" s="78">
        <f>'13'!$F$12</f>
        <v>3.3902604442381707</v>
      </c>
      <c r="J16" s="78">
        <f>'13'!$F$13</f>
        <v>6.4130349450585813</v>
      </c>
      <c r="K16" s="78">
        <f>'13'!$F$14</f>
        <v>19.385347489809089</v>
      </c>
      <c r="L16" s="78">
        <f>'13'!$F$15</f>
        <v>8.9248147765162997</v>
      </c>
      <c r="M16" s="78">
        <f>'13'!$F$16</f>
        <v>6.975462241320062</v>
      </c>
      <c r="N16" s="78">
        <f>'13'!$F$17</f>
        <v>5.1330632183111975</v>
      </c>
      <c r="O16" s="78">
        <f>'13'!$F$18</f>
        <v>20.447107630291153</v>
      </c>
      <c r="P16" s="78">
        <f>'13'!$F$19</f>
        <v>22.990521513578187</v>
      </c>
      <c r="Q16" s="78">
        <f>'13'!$F$20</f>
        <v>5.6195968437467929</v>
      </c>
      <c r="R16" s="78">
        <f>'13'!$F$21</f>
        <v>18.95178941389435</v>
      </c>
      <c r="S16" s="78" t="str">
        <f>'13'!$F$22</f>
        <v/>
      </c>
      <c r="T16" s="78">
        <f>'13'!$F$23</f>
        <v>6.5740788310334448</v>
      </c>
      <c r="U16" s="78" t="str">
        <f>'13'!$F$24</f>
        <v/>
      </c>
      <c r="V16" s="78">
        <f>'13'!$F$25</f>
        <v>3.3916752130442438</v>
      </c>
      <c r="W16" s="78">
        <f>'13'!$F$26</f>
        <v>3.3916144331735927</v>
      </c>
      <c r="X16" s="78">
        <f>'13'!$F$27</f>
        <v>7.8020780503378226</v>
      </c>
      <c r="Y16" s="78">
        <f>'13'!$F$28</f>
        <v>9.5425775753342386</v>
      </c>
      <c r="Z16" s="78">
        <f>'13'!$F$29</f>
        <v>6.3718371911153504</v>
      </c>
      <c r="AA16" s="78">
        <f>'13'!$F$30</f>
        <v>8.6325457367490248</v>
      </c>
      <c r="AB16" s="78">
        <f>'13'!$F$31</f>
        <v>6.4762039849598674</v>
      </c>
      <c r="AC16" s="78">
        <f>'13'!$F$32</f>
        <v>7.2586729167540591</v>
      </c>
      <c r="AD16" s="99">
        <f>'13'!$F$33</f>
        <v>7.2178130438367205</v>
      </c>
    </row>
    <row r="17" spans="1:30" x14ac:dyDescent="0.2">
      <c r="A17" s="98" t="s">
        <v>1056</v>
      </c>
      <c r="B17" s="78">
        <f>'14'!$F$5</f>
        <v>17.093045653635563</v>
      </c>
      <c r="C17" s="78">
        <f>'14'!$F$6</f>
        <v>8.8055314404851082</v>
      </c>
      <c r="D17" s="78">
        <f>'14'!$F$7</f>
        <v>7.5475849149633092</v>
      </c>
      <c r="E17" s="78">
        <f>'14'!$F$8</f>
        <v>7.5111983510344524</v>
      </c>
      <c r="F17" s="78">
        <f>'14'!$F$9</f>
        <v>16.819229729969869</v>
      </c>
      <c r="G17" s="78">
        <f>'14'!$F$10</f>
        <v>8.9873230662644055</v>
      </c>
      <c r="H17" s="78">
        <f>'14'!$F$11</f>
        <v>7.5715205455386094</v>
      </c>
      <c r="I17" s="78">
        <f>'14'!$F$12</f>
        <v>13.049596266770482</v>
      </c>
      <c r="J17" s="78">
        <f>'14'!$F$13</f>
        <v>7.1326407385865238</v>
      </c>
      <c r="K17" s="78">
        <f>'14'!$F$14</f>
        <v>9.7679608209367164</v>
      </c>
      <c r="L17" s="78">
        <f>'14'!$F$15</f>
        <v>6.5220504063625819</v>
      </c>
      <c r="M17" s="78">
        <f>'14'!$F$16</f>
        <v>9.8651014921843476</v>
      </c>
      <c r="N17" s="78">
        <f>'14'!$F$17</f>
        <v>6.907091112220364</v>
      </c>
      <c r="O17" s="78">
        <f>'14'!$F$18</f>
        <v>11.357149221490518</v>
      </c>
      <c r="P17" s="78" t="str">
        <f>'14'!$F$19</f>
        <v/>
      </c>
      <c r="Q17" s="78">
        <f>'14'!$F$20</f>
        <v>7.7047482256650275</v>
      </c>
      <c r="R17" s="78">
        <f>'14'!$F$21</f>
        <v>18.172186727123673</v>
      </c>
      <c r="S17" s="78">
        <f>'14'!$F$22</f>
        <v>18.063859908481763</v>
      </c>
      <c r="T17" s="78">
        <f>'14'!$F$23</f>
        <v>6.7948825785694931</v>
      </c>
      <c r="U17" s="78">
        <f>'14'!$F$24</f>
        <v>9.4397849953545894</v>
      </c>
      <c r="V17" s="78">
        <f>'14'!$F$25</f>
        <v>5.2808972696759922</v>
      </c>
      <c r="W17" s="78">
        <f>'14'!$F$26</f>
        <v>9.6455625552289384</v>
      </c>
      <c r="X17" s="78">
        <f>'14'!$F$27</f>
        <v>9.5846671063816373</v>
      </c>
      <c r="Y17" s="78">
        <f>'14'!$F$28</f>
        <v>7.1046935012256043</v>
      </c>
      <c r="Z17" s="78">
        <f>'14'!$F$29</f>
        <v>6.5867650300377498</v>
      </c>
      <c r="AA17" s="78">
        <f>'14'!$F$30</f>
        <v>8.3085216397310884</v>
      </c>
      <c r="AB17" s="78">
        <f>'14'!$F$31</f>
        <v>7.2419807455006762</v>
      </c>
      <c r="AC17" s="78">
        <f>'14'!$F$32</f>
        <v>5.6653703539492675</v>
      </c>
      <c r="AD17" s="99">
        <f>'14'!$F$33</f>
        <v>7.6776755224003059</v>
      </c>
    </row>
    <row r="18" spans="1:30" x14ac:dyDescent="0.2">
      <c r="A18" s="98" t="s">
        <v>1033</v>
      </c>
      <c r="B18" s="78">
        <f>'15'!$F$5</f>
        <v>5.3016629065824619</v>
      </c>
      <c r="C18" s="78">
        <f>'15'!$F$6</f>
        <v>8.0079286705689654</v>
      </c>
      <c r="D18" s="78">
        <f>'15'!$F$7</f>
        <v>8.2802773417505495</v>
      </c>
      <c r="E18" s="78">
        <f>'15'!$F$8</f>
        <v>10.479156241694065</v>
      </c>
      <c r="F18" s="78" t="str">
        <f>'15'!$F$9</f>
        <v/>
      </c>
      <c r="G18" s="78">
        <f>'15'!$F$10</f>
        <v>10.466116197955326</v>
      </c>
      <c r="H18" s="78">
        <f>'15'!$F$11</f>
        <v>10.158772036137384</v>
      </c>
      <c r="I18" s="78">
        <f>'15'!$F$12</f>
        <v>5.1560122142394302</v>
      </c>
      <c r="J18" s="78">
        <f>'15'!$F$13</f>
        <v>9.5167690246934846</v>
      </c>
      <c r="K18" s="78">
        <f>'15'!$F$14</f>
        <v>6.4454946059288671</v>
      </c>
      <c r="L18" s="78">
        <f>'15'!$F$15</f>
        <v>8.9607027614658321</v>
      </c>
      <c r="M18" s="78">
        <f>'15'!$F$16</f>
        <v>12.312635371069765</v>
      </c>
      <c r="N18" s="78">
        <f>'15'!$F$17</f>
        <v>8.6884304802731886</v>
      </c>
      <c r="O18" s="78">
        <f>'15'!$F$18</f>
        <v>14.179397168228782</v>
      </c>
      <c r="P18" s="78">
        <f>'15'!$F$19</f>
        <v>19.432521347519813</v>
      </c>
      <c r="Q18" s="78">
        <f>'15'!$F$20</f>
        <v>11.027283946981408</v>
      </c>
      <c r="R18" s="78">
        <f>'15'!$F$21</f>
        <v>15.974720858312295</v>
      </c>
      <c r="S18" s="78">
        <f>'15'!$F$22</f>
        <v>14.528480717039978</v>
      </c>
      <c r="T18" s="78">
        <f>'15'!$F$23</f>
        <v>10.685502459051506</v>
      </c>
      <c r="U18" s="78">
        <f>'15'!$F$24</f>
        <v>12.863142104374363</v>
      </c>
      <c r="V18" s="78">
        <f>'15'!$F$25</f>
        <v>8.7395646901389412</v>
      </c>
      <c r="W18" s="78">
        <f>'15'!$F$26</f>
        <v>10.05249978920852</v>
      </c>
      <c r="X18" s="78">
        <f>'15'!$F$27</f>
        <v>9.5642065081295744</v>
      </c>
      <c r="Y18" s="78">
        <f>'15'!$F$28</f>
        <v>11.888675015914234</v>
      </c>
      <c r="Z18" s="78">
        <f>'15'!$F$29</f>
        <v>8.5509665983524776</v>
      </c>
      <c r="AA18" s="78">
        <f>'15'!$F$30</f>
        <v>9.7081155138069075</v>
      </c>
      <c r="AB18" s="78">
        <f>'15'!$F$31</f>
        <v>10.946994596246826</v>
      </c>
      <c r="AC18" s="78">
        <f>'15'!$F$32</f>
        <v>10.649169345745911</v>
      </c>
      <c r="AD18" s="99">
        <f>'15'!$F$33</f>
        <v>10.223075001434117</v>
      </c>
    </row>
    <row r="19" spans="1:30" x14ac:dyDescent="0.2">
      <c r="A19" s="97" t="s">
        <v>1057</v>
      </c>
      <c r="B19" s="78">
        <f>'16'!$F$5</f>
        <v>5.635700717236956</v>
      </c>
      <c r="C19" s="78">
        <f>'16'!$F$6</f>
        <v>7.4389768328122683</v>
      </c>
      <c r="D19" s="78">
        <f>'16'!$F$7</f>
        <v>6.6305457713689711</v>
      </c>
      <c r="E19" s="78">
        <f>'16'!$F$8</f>
        <v>10.063898899718069</v>
      </c>
      <c r="F19" s="78" t="str">
        <f>'16'!$F$9</f>
        <v/>
      </c>
      <c r="G19" s="78">
        <f>'16'!$F$10</f>
        <v>14.518708631681148</v>
      </c>
      <c r="H19" s="78">
        <f>'16'!$F$11</f>
        <v>7.8215325096938617</v>
      </c>
      <c r="I19" s="78">
        <f>'16'!$F$12</f>
        <v>9.7207689748710333</v>
      </c>
      <c r="J19" s="78">
        <f>'16'!$F$13</f>
        <v>8.1570250303247587</v>
      </c>
      <c r="K19" s="78">
        <f>'16'!$F$14</f>
        <v>7.3200105946970382</v>
      </c>
      <c r="L19" s="78">
        <f>'16'!$F$15</f>
        <v>7.5501585394675654</v>
      </c>
      <c r="M19" s="78">
        <f>'16'!$F$16</f>
        <v>7.1053401505778284</v>
      </c>
      <c r="N19" s="78">
        <f>'16'!$F$17</f>
        <v>8.1299019637580656</v>
      </c>
      <c r="O19" s="78">
        <f>'16'!$F$18</f>
        <v>16.12796866331751</v>
      </c>
      <c r="P19" s="78">
        <f>'16'!$F$19</f>
        <v>26.942426242334854</v>
      </c>
      <c r="Q19" s="78">
        <f>'16'!$F$20</f>
        <v>11.06642184668655</v>
      </c>
      <c r="R19" s="78">
        <f>'16'!$F$21</f>
        <v>15.59199831981879</v>
      </c>
      <c r="S19" s="78">
        <f>'16'!$F$22</f>
        <v>11.229050613307431</v>
      </c>
      <c r="T19" s="78">
        <f>'16'!$F$23</f>
        <v>7.0607968084072459</v>
      </c>
      <c r="U19" s="78">
        <f>'16'!$F$24</f>
        <v>7.8739234360907568</v>
      </c>
      <c r="V19" s="78">
        <f>'16'!$F$25</f>
        <v>16.286017535101575</v>
      </c>
      <c r="W19" s="78">
        <f>'16'!$F$26</f>
        <v>11.598480632463561</v>
      </c>
      <c r="X19" s="78">
        <f>'16'!$F$27</f>
        <v>18.301661894289378</v>
      </c>
      <c r="Y19" s="78">
        <f>'16'!$F$28</f>
        <v>7.5686049876798789</v>
      </c>
      <c r="Z19" s="78">
        <f>'16'!$F$29</f>
        <v>6.3949221562257748</v>
      </c>
      <c r="AA19" s="78">
        <f>'16'!$F$30</f>
        <v>7.8974744514141708</v>
      </c>
      <c r="AB19" s="78">
        <f>'16'!$F$31</f>
        <v>6.4156479447143733</v>
      </c>
      <c r="AC19" s="78">
        <f>'16'!$F$32</f>
        <v>7.7643930244059565</v>
      </c>
      <c r="AD19" s="99">
        <f>'16'!$F$33</f>
        <v>7.7743912065088274</v>
      </c>
    </row>
    <row r="20" spans="1:30" x14ac:dyDescent="0.2">
      <c r="A20" s="98" t="s">
        <v>1034</v>
      </c>
      <c r="B20" s="78">
        <f>'17'!$F$5</f>
        <v>15.544913493806321</v>
      </c>
      <c r="C20" s="78">
        <f>'17'!$F$6</f>
        <v>10.203326002052362</v>
      </c>
      <c r="D20" s="78">
        <f>'17'!$F$7</f>
        <v>10.293752345215632</v>
      </c>
      <c r="E20" s="78">
        <f>'17'!$F$8</f>
        <v>10.940531972745211</v>
      </c>
      <c r="F20" s="78" t="str">
        <f>'17'!$F$9</f>
        <v/>
      </c>
      <c r="G20" s="78" t="str">
        <f>'17'!$F$10</f>
        <v/>
      </c>
      <c r="H20" s="78">
        <f>'17'!$F$11</f>
        <v>8.9805256281698416</v>
      </c>
      <c r="I20" s="78">
        <f>'17'!$F$12</f>
        <v>6.1869171740408682</v>
      </c>
      <c r="J20" s="78">
        <f>'17'!$F$13</f>
        <v>10.043164455020502</v>
      </c>
      <c r="K20" s="78" t="str">
        <f>'17'!$F$14</f>
        <v/>
      </c>
      <c r="L20" s="78">
        <f>'17'!$F$15</f>
        <v>10.170192155581155</v>
      </c>
      <c r="M20" s="78">
        <f>'17'!$F$16</f>
        <v>9.9343835089880876</v>
      </c>
      <c r="N20" s="78">
        <f>'17'!$F$17</f>
        <v>9.5377982507087715</v>
      </c>
      <c r="O20" s="78">
        <f>'17'!$F$18</f>
        <v>13.284824661319012</v>
      </c>
      <c r="P20" s="78" t="str">
        <f>'17'!$F$19</f>
        <v/>
      </c>
      <c r="Q20" s="78">
        <f>'17'!$F$20</f>
        <v>10.424880807016729</v>
      </c>
      <c r="R20" s="78" t="str">
        <f>'17'!$F$21</f>
        <v/>
      </c>
      <c r="S20" s="78">
        <f>'17'!$F$22</f>
        <v>10.391450230437469</v>
      </c>
      <c r="T20" s="78">
        <f>'17'!$F$23</f>
        <v>10.395486830922536</v>
      </c>
      <c r="U20" s="78" t="str">
        <f>'17'!$F$24</f>
        <v/>
      </c>
      <c r="V20" s="78">
        <f>'17'!$F$25</f>
        <v>5.602277160383033</v>
      </c>
      <c r="W20" s="78">
        <f>'17'!$F$26</f>
        <v>53.084034826154173</v>
      </c>
      <c r="X20" s="78">
        <f>'17'!$F$27</f>
        <v>9.5952374556188875</v>
      </c>
      <c r="Y20" s="78">
        <f>'17'!$F$28</f>
        <v>7.7219063646389525</v>
      </c>
      <c r="Z20" s="78">
        <f>'17'!$F$29</f>
        <v>10.035404981779159</v>
      </c>
      <c r="AA20" s="78">
        <f>'17'!$F$30</f>
        <v>8.0933068041761551</v>
      </c>
      <c r="AB20" s="78">
        <f>'17'!$F$31</f>
        <v>10.730398546077376</v>
      </c>
      <c r="AC20" s="78">
        <f>'17'!$F$32</f>
        <v>10.389856938314317</v>
      </c>
      <c r="AD20" s="99">
        <f>'17'!$F$33</f>
        <v>10.174647747873856</v>
      </c>
    </row>
    <row r="21" spans="1:30" x14ac:dyDescent="0.2">
      <c r="A21" s="98" t="s">
        <v>1035</v>
      </c>
      <c r="B21" s="78">
        <f>'18'!$F$5</f>
        <v>10.64799900490212</v>
      </c>
      <c r="C21" s="78">
        <f>'18'!$F$6</f>
        <v>11.157174086034436</v>
      </c>
      <c r="D21" s="78">
        <f>'18'!$F$7</f>
        <v>10.27992384258892</v>
      </c>
      <c r="E21" s="78">
        <f>'18'!$F$8</f>
        <v>10.099859663228058</v>
      </c>
      <c r="F21" s="78" t="str">
        <f>'18'!$F$9</f>
        <v/>
      </c>
      <c r="G21" s="78" t="str">
        <f>'18'!$F$10</f>
        <v/>
      </c>
      <c r="H21" s="78">
        <f>'18'!$F$11</f>
        <v>12.762952724022504</v>
      </c>
      <c r="I21" s="78" t="str">
        <f>'18'!$F$12</f>
        <v/>
      </c>
      <c r="J21" s="78">
        <f>'18'!$F$13</f>
        <v>11.072514361682588</v>
      </c>
      <c r="K21" s="78" t="str">
        <f>'18'!$F$14</f>
        <v/>
      </c>
      <c r="L21" s="78">
        <f>'18'!$F$15</f>
        <v>13.285665858991095</v>
      </c>
      <c r="M21" s="78">
        <f>'18'!$F$16</f>
        <v>9.8377772058632225</v>
      </c>
      <c r="N21" s="78">
        <f>'18'!$F$17</f>
        <v>7.3267774846006484</v>
      </c>
      <c r="O21" s="78">
        <f>'18'!$F$18</f>
        <v>19.15655706467442</v>
      </c>
      <c r="P21" s="78" t="str">
        <f>'18'!$F$19</f>
        <v/>
      </c>
      <c r="Q21" s="78">
        <f>'18'!$F$20</f>
        <v>11.648394404889739</v>
      </c>
      <c r="R21" s="78" t="str">
        <f>'18'!$F$21</f>
        <v/>
      </c>
      <c r="S21" s="78">
        <f>'18'!$F$22</f>
        <v>14.027332851181841</v>
      </c>
      <c r="T21" s="78">
        <f>'18'!$F$23</f>
        <v>10.931916125152195</v>
      </c>
      <c r="U21" s="78">
        <f>'18'!$F$24</f>
        <v>16.522113779016895</v>
      </c>
      <c r="V21" s="78">
        <f>'18'!$F$25</f>
        <v>13.181113779016892</v>
      </c>
      <c r="W21" s="78" t="str">
        <f>'18'!$F$26</f>
        <v/>
      </c>
      <c r="X21" s="78">
        <f>'18'!$F$27</f>
        <v>14.7000289468826</v>
      </c>
      <c r="Y21" s="78">
        <f>'18'!$F$28</f>
        <v>11.637956269859382</v>
      </c>
      <c r="Z21" s="78">
        <f>'18'!$F$29</f>
        <v>9.3734095788381602</v>
      </c>
      <c r="AA21" s="78">
        <f>'18'!$F$30</f>
        <v>11.642537886159749</v>
      </c>
      <c r="AB21" s="78">
        <f>'18'!$F$31</f>
        <v>8.8317655542802562</v>
      </c>
      <c r="AC21" s="78">
        <f>'18'!$F$32</f>
        <v>11.956623134112434</v>
      </c>
      <c r="AD21" s="99">
        <f>'18'!$F$33</f>
        <v>11.389891424269081</v>
      </c>
    </row>
    <row r="22" spans="1:30" x14ac:dyDescent="0.2">
      <c r="A22" s="98" t="s">
        <v>1065</v>
      </c>
      <c r="B22" s="78">
        <f>'19'!$F$5</f>
        <v>7.1008675718506806</v>
      </c>
      <c r="C22" s="78">
        <f>'19'!$F$6</f>
        <v>6.8135852769608904</v>
      </c>
      <c r="D22" s="78">
        <f>'19'!$F$7</f>
        <v>6.8170115556140924</v>
      </c>
      <c r="E22" s="78">
        <f>'19'!$F$8</f>
        <v>8.0608431815436301</v>
      </c>
      <c r="F22" s="78" t="str">
        <f>'19'!$F$9</f>
        <v/>
      </c>
      <c r="G22" s="78" t="str">
        <f>'19'!$F$10</f>
        <v/>
      </c>
      <c r="H22" s="78">
        <f>'19'!$F$11</f>
        <v>7.4416932035390513</v>
      </c>
      <c r="I22" s="78">
        <f>'19'!$F$12</f>
        <v>4.7867776950157657</v>
      </c>
      <c r="J22" s="78">
        <f>'19'!$F$13</f>
        <v>6.7449535608024336</v>
      </c>
      <c r="K22" s="78">
        <f>'19'!$F$14</f>
        <v>11.03138785802547</v>
      </c>
      <c r="L22" s="78">
        <f>'19'!$F$15</f>
        <v>9.3387826231658444</v>
      </c>
      <c r="M22" s="78">
        <f>'19'!$F$16</f>
        <v>5.6226883951004885</v>
      </c>
      <c r="N22" s="78">
        <f>'19'!$F$17</f>
        <v>8.1240671085994567</v>
      </c>
      <c r="O22" s="78">
        <f>'19'!$F$18</f>
        <v>10.014869988316162</v>
      </c>
      <c r="P22" s="78" t="str">
        <f>'19'!$F$19</f>
        <v/>
      </c>
      <c r="Q22" s="78">
        <f>'19'!$F$20</f>
        <v>8.2002769224973679</v>
      </c>
      <c r="R22" s="78" t="str">
        <f>'19'!$F$21</f>
        <v/>
      </c>
      <c r="S22" s="78">
        <f>'19'!$F$22</f>
        <v>7.1351984036290563</v>
      </c>
      <c r="T22" s="78">
        <f>'19'!$F$23</f>
        <v>6.2582833224930905</v>
      </c>
      <c r="U22" s="78">
        <f>'19'!$F$24</f>
        <v>8.2149309548980867</v>
      </c>
      <c r="V22" s="78">
        <f>'19'!$F$25</f>
        <v>2.9305106650430135</v>
      </c>
      <c r="W22" s="78">
        <f>'19'!$F$26</f>
        <v>10.747539650550261</v>
      </c>
      <c r="X22" s="78">
        <f>'19'!$F$27</f>
        <v>3.5285074599148083</v>
      </c>
      <c r="Y22" s="78">
        <f>'19'!$F$28</f>
        <v>7.4728656933166588</v>
      </c>
      <c r="Z22" s="78">
        <f>'19'!$F$29</f>
        <v>5.9061960626708574</v>
      </c>
      <c r="AA22" s="78">
        <f>'19'!$F$30</f>
        <v>6.8648886290012809</v>
      </c>
      <c r="AB22" s="78">
        <f>'19'!$F$31</f>
        <v>5.5141333502281995</v>
      </c>
      <c r="AC22" s="78">
        <f>'19'!$F$32</f>
        <v>6.8827980265284872</v>
      </c>
      <c r="AD22" s="99">
        <f>'19'!$F$33</f>
        <v>7.035375338806614</v>
      </c>
    </row>
    <row r="23" spans="1:30" x14ac:dyDescent="0.2">
      <c r="A23" s="98" t="s">
        <v>1036</v>
      </c>
      <c r="B23" s="78">
        <f>'20'!$F$5</f>
        <v>8.1165648128294023</v>
      </c>
      <c r="C23" s="78">
        <f>'20'!$F$6</f>
        <v>7.0960200587755669</v>
      </c>
      <c r="D23" s="78">
        <f>'20'!$F$7</f>
        <v>5.9693239987502178</v>
      </c>
      <c r="E23" s="78">
        <f>'20'!$F$8</f>
        <v>3.4086908070859616</v>
      </c>
      <c r="F23" s="78" t="str">
        <f>'20'!$F$9</f>
        <v/>
      </c>
      <c r="G23" s="78">
        <f>'20'!$F$10</f>
        <v>4.7929673555632748</v>
      </c>
      <c r="H23" s="78">
        <f>'20'!$F$11</f>
        <v>17.426127261760538</v>
      </c>
      <c r="I23" s="78">
        <f>'20'!$F$12</f>
        <v>12.759504310021816</v>
      </c>
      <c r="J23" s="78">
        <f>'20'!$F$13</f>
        <v>5.5724691395518899</v>
      </c>
      <c r="K23" s="78">
        <f>'20'!$F$14</f>
        <v>4.4976457181363747</v>
      </c>
      <c r="L23" s="78">
        <f>'20'!$F$15</f>
        <v>4.8068957181363743</v>
      </c>
      <c r="M23" s="78">
        <f>'20'!$F$16</f>
        <v>4.9483419564314994</v>
      </c>
      <c r="N23" s="78">
        <f>'20'!$F$17</f>
        <v>4.6522589332854487</v>
      </c>
      <c r="O23" s="78">
        <f>'20'!$F$18</f>
        <v>8.3489928171533965</v>
      </c>
      <c r="P23" s="78" t="str">
        <f>'20'!$F$19</f>
        <v/>
      </c>
      <c r="Q23" s="78">
        <f>'20'!$F$20</f>
        <v>6.8251231561924195</v>
      </c>
      <c r="R23" s="78" t="str">
        <f>'20'!$F$21</f>
        <v/>
      </c>
      <c r="S23" s="78">
        <f>'20'!$F$22</f>
        <v>8.0498258260474724</v>
      </c>
      <c r="T23" s="78">
        <f>'20'!$F$23</f>
        <v>4.8088858485347474</v>
      </c>
      <c r="U23" s="78">
        <f>'20'!$F$24</f>
        <v>7.5052633770261563</v>
      </c>
      <c r="V23" s="78" t="str">
        <f>'20'!$F$25</f>
        <v/>
      </c>
      <c r="W23" s="78" t="str">
        <f>'20'!$F$26</f>
        <v/>
      </c>
      <c r="X23" s="78">
        <f>'20'!$F$27</f>
        <v>11.433846240706977</v>
      </c>
      <c r="Y23" s="78">
        <f>'20'!$F$28</f>
        <v>6.4165167416495139</v>
      </c>
      <c r="Z23" s="78">
        <f>'20'!$F$29</f>
        <v>5.1109359399726868</v>
      </c>
      <c r="AA23" s="78">
        <f>'20'!$F$30</f>
        <v>6.1848954268883771</v>
      </c>
      <c r="AB23" s="78">
        <f>'20'!$F$31</f>
        <v>4.7164463254238242</v>
      </c>
      <c r="AC23" s="78">
        <f>'20'!$F$32</f>
        <v>4.9205892507663087</v>
      </c>
      <c r="AD23" s="99">
        <f>'20'!$F$33</f>
        <v>5.9307517634281313</v>
      </c>
    </row>
    <row r="24" spans="1:30" x14ac:dyDescent="0.2">
      <c r="A24" s="98" t="s">
        <v>1058</v>
      </c>
      <c r="B24" s="78">
        <f>'21'!$F$5</f>
        <v>6.8367270613697837</v>
      </c>
      <c r="C24" s="78">
        <f>'21'!$F$6</f>
        <v>10.007252379764076</v>
      </c>
      <c r="D24" s="78">
        <f>'21'!$F$7</f>
        <v>6.9735462449743562</v>
      </c>
      <c r="E24" s="78">
        <f>'21'!$F$8</f>
        <v>6.398165607228373</v>
      </c>
      <c r="F24" s="78" t="str">
        <f>'21'!$F$9</f>
        <v/>
      </c>
      <c r="G24" s="78">
        <f>'21'!$F$10</f>
        <v>5.9994549588697978</v>
      </c>
      <c r="H24" s="78">
        <f>'21'!$F$11</f>
        <v>14.628803880014678</v>
      </c>
      <c r="I24" s="78">
        <f>'21'!$F$12</f>
        <v>8.7521190323737716</v>
      </c>
      <c r="J24" s="78">
        <f>'21'!$F$13</f>
        <v>7.0158780783527845</v>
      </c>
      <c r="K24" s="78">
        <f>'21'!$F$14</f>
        <v>6.6994725772902477</v>
      </c>
      <c r="L24" s="78">
        <f>'21'!$F$15</f>
        <v>6.6994762534066679</v>
      </c>
      <c r="M24" s="78">
        <f>'21'!$F$16</f>
        <v>8.0386044045590488</v>
      </c>
      <c r="N24" s="78">
        <f>'21'!$F$17</f>
        <v>7.1070843169310072</v>
      </c>
      <c r="O24" s="78">
        <f>'21'!$F$18</f>
        <v>10.458052337723267</v>
      </c>
      <c r="P24" s="78">
        <f>'21'!$F$19</f>
        <v>18.060692624733772</v>
      </c>
      <c r="Q24" s="78">
        <f>'21'!$F$20</f>
        <v>9.4792133519462993</v>
      </c>
      <c r="R24" s="78">
        <f>'21'!$F$21</f>
        <v>18.074046347616896</v>
      </c>
      <c r="S24" s="78">
        <f>'21'!$F$22</f>
        <v>12.329300830264453</v>
      </c>
      <c r="T24" s="78">
        <f>'21'!$F$23</f>
        <v>6.7621515093174462</v>
      </c>
      <c r="U24" s="78">
        <f>'21'!$F$24</f>
        <v>8.5691230450734981</v>
      </c>
      <c r="V24" s="78">
        <f>'21'!$F$25</f>
        <v>14.131470627644658</v>
      </c>
      <c r="W24" s="78">
        <f>'21'!$F$26</f>
        <v>7.7067215722645104</v>
      </c>
      <c r="X24" s="78">
        <f>'21'!$F$27</f>
        <v>10.156314901422224</v>
      </c>
      <c r="Y24" s="78">
        <f>'21'!$F$28</f>
        <v>10.35578728377061</v>
      </c>
      <c r="Z24" s="78">
        <f>'21'!$F$29</f>
        <v>6.4047736671047479</v>
      </c>
      <c r="AA24" s="78">
        <f>'21'!$F$30</f>
        <v>8.0180561614728134</v>
      </c>
      <c r="AB24" s="78">
        <f>'21'!$F$31</f>
        <v>6.7621521745945987</v>
      </c>
      <c r="AC24" s="78">
        <f>'21'!$F$32</f>
        <v>8.0386043680251227</v>
      </c>
      <c r="AD24" s="99">
        <f>'21'!$F$33</f>
        <v>7.498870764892458</v>
      </c>
    </row>
    <row r="25" spans="1:30" x14ac:dyDescent="0.2">
      <c r="A25" s="98" t="s">
        <v>1037</v>
      </c>
      <c r="B25" s="78">
        <f>'22'!$F$5</f>
        <v>9.0880857211131634</v>
      </c>
      <c r="C25" s="78">
        <f>'22'!$F$6</f>
        <v>6.077349511428471</v>
      </c>
      <c r="D25" s="78">
        <f>'22'!$F$7</f>
        <v>7.5509798120020788</v>
      </c>
      <c r="E25" s="78">
        <f>'22'!$F$8</f>
        <v>7.5800023137993211</v>
      </c>
      <c r="F25" s="78">
        <f>'22'!$F$9</f>
        <v>7.7403414038548108</v>
      </c>
      <c r="G25" s="78">
        <f>'22'!$F$10</f>
        <v>6.106785982897815</v>
      </c>
      <c r="H25" s="78">
        <f>'22'!$F$11</f>
        <v>9.5263176168046364</v>
      </c>
      <c r="I25" s="78">
        <f>'22'!$F$12</f>
        <v>5.6855802937233975</v>
      </c>
      <c r="J25" s="78">
        <f>'22'!$F$13</f>
        <v>8.2532398606634896</v>
      </c>
      <c r="K25" s="78" t="str">
        <f>'22'!$F$14</f>
        <v/>
      </c>
      <c r="L25" s="78">
        <f>'22'!$F$15</f>
        <v>6.691825558676916</v>
      </c>
      <c r="M25" s="78">
        <f>'22'!$F$16</f>
        <v>7.3693607804034551</v>
      </c>
      <c r="N25" s="78">
        <f>'22'!$F$17</f>
        <v>7.4756774086365816</v>
      </c>
      <c r="O25" s="78">
        <f>'22'!$F$18</f>
        <v>15.006582846483481</v>
      </c>
      <c r="P25" s="78">
        <f>'22'!$F$19</f>
        <v>21.673263644657489</v>
      </c>
      <c r="Q25" s="78">
        <f>'22'!$F$20</f>
        <v>7.1166260042700475</v>
      </c>
      <c r="R25" s="78">
        <f>'22'!$F$21</f>
        <v>18.228912286942844</v>
      </c>
      <c r="S25" s="78">
        <f>'22'!$F$22</f>
        <v>9.7851472336182681</v>
      </c>
      <c r="T25" s="78">
        <f>'22'!$F$23</f>
        <v>8.7576328172946454</v>
      </c>
      <c r="U25" s="78">
        <f>'22'!$F$24</f>
        <v>6.0922919992545781</v>
      </c>
      <c r="V25" s="78">
        <f>'22'!$F$25</f>
        <v>6.5687016557026068</v>
      </c>
      <c r="W25" s="78">
        <f>'22'!$F$26</f>
        <v>5.3949365969766765</v>
      </c>
      <c r="X25" s="78">
        <f>'22'!$F$27</f>
        <v>38.317241521406793</v>
      </c>
      <c r="Y25" s="78">
        <f>'22'!$F$28</f>
        <v>6.219303658975436</v>
      </c>
      <c r="Z25" s="78">
        <f>'22'!$F$29</f>
        <v>6.6422507054351643</v>
      </c>
      <c r="AA25" s="78">
        <f>'22'!$F$30</f>
        <v>9.0028362142988563</v>
      </c>
      <c r="AB25" s="78">
        <f>'22'!$F$31</f>
        <v>7.0959567401895889</v>
      </c>
      <c r="AC25" s="78">
        <f>'22'!$F$32</f>
        <v>7.1072658495159109</v>
      </c>
      <c r="AD25" s="99">
        <f>'22'!$F$33</f>
        <v>7.865038026472293</v>
      </c>
    </row>
    <row r="26" spans="1:30" x14ac:dyDescent="0.2">
      <c r="A26" s="98" t="s">
        <v>1038</v>
      </c>
      <c r="B26" s="78">
        <f>'23'!$F$5</f>
        <v>5.1687222918128786</v>
      </c>
      <c r="C26" s="78">
        <f>'23'!$F$6</f>
        <v>6.8380900610935402</v>
      </c>
      <c r="D26" s="78">
        <f>'23'!$F$7</f>
        <v>7.3545664573515248</v>
      </c>
      <c r="E26" s="78">
        <f>'23'!$F$8</f>
        <v>6.5467961070040035</v>
      </c>
      <c r="F26" s="78" t="str">
        <f>'23'!$F$9</f>
        <v/>
      </c>
      <c r="G26" s="78">
        <f>'23'!$F$10</f>
        <v>11.211345202994051</v>
      </c>
      <c r="H26" s="78">
        <f>'23'!$F$11</f>
        <v>6.861107652622497</v>
      </c>
      <c r="I26" s="78">
        <f>'23'!$F$12</f>
        <v>45.53512532527845</v>
      </c>
      <c r="J26" s="78">
        <f>'23'!$F$13</f>
        <v>6.0128620124020298</v>
      </c>
      <c r="K26" s="78">
        <f>'23'!$F$14</f>
        <v>12.765463041535718</v>
      </c>
      <c r="L26" s="78">
        <f>'23'!$F$15</f>
        <v>6.6784018509654475</v>
      </c>
      <c r="M26" s="78">
        <f>'23'!$F$16</f>
        <v>6.7265378960657696</v>
      </c>
      <c r="N26" s="78">
        <f>'23'!$F$17</f>
        <v>8.231173816334767</v>
      </c>
      <c r="O26" s="78">
        <f>'23'!$F$18</f>
        <v>9.3255158422847622</v>
      </c>
      <c r="P26" s="78" t="str">
        <f>'23'!$F$19</f>
        <v/>
      </c>
      <c r="Q26" s="78">
        <f>'23'!$F$20</f>
        <v>7.5770461500243229</v>
      </c>
      <c r="R26" s="78" t="str">
        <f>'23'!$F$21</f>
        <v/>
      </c>
      <c r="S26" s="78">
        <f>'23'!$F$22</f>
        <v>7.2167159201775348</v>
      </c>
      <c r="T26" s="78">
        <f>'23'!$F$23</f>
        <v>6.079686547159759</v>
      </c>
      <c r="U26" s="78">
        <f>'23'!$F$24</f>
        <v>8.2867696493086704</v>
      </c>
      <c r="V26" s="78">
        <f>'23'!$F$25</f>
        <v>5.1459558746686422</v>
      </c>
      <c r="W26" s="78">
        <f>'23'!$F$26</f>
        <v>3.1009279396077778</v>
      </c>
      <c r="X26" s="78">
        <f>'23'!$F$27</f>
        <v>8.8290601882748483</v>
      </c>
      <c r="Y26" s="78">
        <f>'23'!$F$28</f>
        <v>7.8190749571642195</v>
      </c>
      <c r="Z26" s="78">
        <f>'23'!$F$29</f>
        <v>5.7285441388157272</v>
      </c>
      <c r="AA26" s="78">
        <f>'23'!$F$30</f>
        <v>8.1207730761503676</v>
      </c>
      <c r="AB26" s="78">
        <f>'23'!$F$31</f>
        <v>6.2166172411963512</v>
      </c>
      <c r="AC26" s="78">
        <f>'23'!$F$32</f>
        <v>5.0206017491944301</v>
      </c>
      <c r="AD26" s="99">
        <f>'23'!$F$33</f>
        <v>6.9945525998181832</v>
      </c>
    </row>
    <row r="27" spans="1:30" x14ac:dyDescent="0.2">
      <c r="A27" s="98" t="s">
        <v>1022</v>
      </c>
      <c r="B27" s="78">
        <f>'24'!$F$5</f>
        <v>5.3860169683915711</v>
      </c>
      <c r="C27" s="78">
        <f>'24'!$F$6</f>
        <v>5.3860169683915711</v>
      </c>
      <c r="D27" s="78">
        <f>'24'!$F$7</f>
        <v>9.7457454751789019</v>
      </c>
      <c r="E27" s="78">
        <f>'24'!$F$8</f>
        <v>10.857436384267299</v>
      </c>
      <c r="F27" s="78" t="str">
        <f>'24'!$F$9</f>
        <v/>
      </c>
      <c r="G27" s="78">
        <f>'24'!$F$10</f>
        <v>8.0217047007335776</v>
      </c>
      <c r="H27" s="78">
        <f>'24'!$F$11</f>
        <v>13.758037677668767</v>
      </c>
      <c r="I27" s="78">
        <f>'24'!$F$12</f>
        <v>30.892488949449184</v>
      </c>
      <c r="J27" s="78">
        <f>'24'!$F$13</f>
        <v>5.3860169683915711</v>
      </c>
      <c r="K27" s="78" t="str">
        <f>'24'!$F$14</f>
        <v/>
      </c>
      <c r="L27" s="78">
        <f>'24'!$F$15</f>
        <v>5.3860169683915711</v>
      </c>
      <c r="M27" s="78">
        <f>'24'!$F$16</f>
        <v>14.367375355438838</v>
      </c>
      <c r="N27" s="78">
        <f>'24'!$F$17</f>
        <v>33.020466570513584</v>
      </c>
      <c r="O27" s="78">
        <f>'24'!$F$18</f>
        <v>17.030066593142681</v>
      </c>
      <c r="P27" s="78" t="str">
        <f>'24'!$F$19</f>
        <v/>
      </c>
      <c r="Q27" s="78">
        <f>'24'!$F$20</f>
        <v>10.459221541596145</v>
      </c>
      <c r="R27" s="78" t="str">
        <f>'24'!$F$21</f>
        <v/>
      </c>
      <c r="S27" s="78">
        <f>'24'!$F$22</f>
        <v>19.750446001518423</v>
      </c>
      <c r="T27" s="78">
        <f>'24'!$F$23</f>
        <v>9.7240793318541581</v>
      </c>
      <c r="U27" s="78">
        <f>'24'!$F$24</f>
        <v>10.081239312203747</v>
      </c>
      <c r="V27" s="78">
        <f>'24'!$F$25</f>
        <v>12.051542751472757</v>
      </c>
      <c r="W27" s="78">
        <f>'24'!$F$26</f>
        <v>17.96504652354087</v>
      </c>
      <c r="X27" s="78">
        <f>'24'!$F$27</f>
        <v>12.415977142178681</v>
      </c>
      <c r="Y27" s="78">
        <f>'24'!$F$28</f>
        <v>10.599318998715269</v>
      </c>
      <c r="Z27" s="78">
        <f>'24'!$F$29</f>
        <v>8.0949392403332343</v>
      </c>
      <c r="AA27" s="78">
        <f>'24'!$F$30</f>
        <v>12.013273106920767</v>
      </c>
      <c r="AB27" s="78">
        <f>'24'!$F$31</f>
        <v>9.723798365183205</v>
      </c>
      <c r="AC27" s="78">
        <f>'24'!$F$32</f>
        <v>8.0159158346631507</v>
      </c>
      <c r="AD27" s="99">
        <f>'24'!$F$33</f>
        <v>10.788771856037645</v>
      </c>
    </row>
    <row r="28" spans="1:30" x14ac:dyDescent="0.2">
      <c r="A28" s="98" t="s">
        <v>1039</v>
      </c>
      <c r="B28" s="78">
        <f>'25'!$F$5</f>
        <v>6.1735628165067471</v>
      </c>
      <c r="C28" s="78">
        <f>'25'!$F$6</f>
        <v>13.355631557226578</v>
      </c>
      <c r="D28" s="78">
        <f>'25'!$F$7</f>
        <v>8.4029530753591501</v>
      </c>
      <c r="E28" s="78">
        <f>'25'!$F$8</f>
        <v>9.4532329143994929</v>
      </c>
      <c r="F28" s="78">
        <f>'25'!$F$9</f>
        <v>15.644657514414664</v>
      </c>
      <c r="G28" s="78">
        <f>'25'!$F$10</f>
        <v>10.00548355260343</v>
      </c>
      <c r="H28" s="78">
        <f>'25'!$F$11</f>
        <v>11.061244776911998</v>
      </c>
      <c r="I28" s="78">
        <f>'25'!$F$12</f>
        <v>13.585678266447989</v>
      </c>
      <c r="J28" s="78">
        <f>'25'!$F$13</f>
        <v>7.6856357660884029</v>
      </c>
      <c r="K28" s="78" t="str">
        <f>'25'!$F$14</f>
        <v/>
      </c>
      <c r="L28" s="78">
        <f>'25'!$F$15</f>
        <v>8.7059292689255798</v>
      </c>
      <c r="M28" s="78">
        <f>'25'!$F$16</f>
        <v>11.535143694231181</v>
      </c>
      <c r="N28" s="78">
        <f>'25'!$F$17</f>
        <v>14.066330691248835</v>
      </c>
      <c r="O28" s="78">
        <f>'25'!$F$18</f>
        <v>14.512985551180876</v>
      </c>
      <c r="P28" s="78" t="str">
        <f>'25'!$F$19</f>
        <v/>
      </c>
      <c r="Q28" s="78">
        <f>'25'!$F$20</f>
        <v>12.804973178288076</v>
      </c>
      <c r="R28" s="78" t="str">
        <f>'25'!$F$21</f>
        <v/>
      </c>
      <c r="S28" s="78">
        <f>'25'!$F$22</f>
        <v>11.863624533562328</v>
      </c>
      <c r="T28" s="78">
        <f>'25'!$F$23</f>
        <v>9.0823779248948604</v>
      </c>
      <c r="U28" s="78">
        <f>'25'!$F$24</f>
        <v>7.8444383387015959</v>
      </c>
      <c r="V28" s="78">
        <f>'25'!$F$25</f>
        <v>9.4036718699355593</v>
      </c>
      <c r="W28" s="78">
        <f>'25'!$F$26</f>
        <v>4.4066007615411014</v>
      </c>
      <c r="X28" s="78">
        <f>'25'!$F$27</f>
        <v>19.610136377032113</v>
      </c>
      <c r="Y28" s="78">
        <f>'25'!$F$28</f>
        <v>7.2448300970354289</v>
      </c>
      <c r="Z28" s="78">
        <f>'25'!$F$29</f>
        <v>8.2576099596077821</v>
      </c>
      <c r="AA28" s="78">
        <f>'25'!$F$30</f>
        <v>11.486208728660925</v>
      </c>
      <c r="AB28" s="78">
        <f>'25'!$F$31</f>
        <v>8.7009645632385286</v>
      </c>
      <c r="AC28" s="78">
        <f>'25'!$F$32</f>
        <v>9.7367418905733594</v>
      </c>
      <c r="AD28" s="99">
        <f>'25'!$F$33</f>
        <v>10.04479844991034</v>
      </c>
    </row>
    <row r="29" spans="1:30" x14ac:dyDescent="0.2">
      <c r="A29" s="97" t="s">
        <v>1040</v>
      </c>
      <c r="B29" s="78">
        <f>'26'!$F$5</f>
        <v>6.7729659149402117</v>
      </c>
      <c r="C29" s="78">
        <f>'26'!$F$6</f>
        <v>10.378858937678627</v>
      </c>
      <c r="D29" s="78">
        <f>'26'!$F$7</f>
        <v>8.0207125250909268</v>
      </c>
      <c r="E29" s="78">
        <f>'26'!$F$8</f>
        <v>8.5340999641437882</v>
      </c>
      <c r="F29" s="78">
        <f>'26'!$F$9</f>
        <v>9.6312361233010773</v>
      </c>
      <c r="G29" s="78">
        <f>'26'!$F$10</f>
        <v>7.0583943135294565</v>
      </c>
      <c r="H29" s="78">
        <f>'26'!$F$11</f>
        <v>8.6744007209436322</v>
      </c>
      <c r="I29" s="78">
        <f>'26'!$F$12</f>
        <v>9.5013366731776543</v>
      </c>
      <c r="J29" s="78">
        <f>'26'!$F$13</f>
        <v>9.3043779422428212</v>
      </c>
      <c r="K29" s="78" t="str">
        <f>'26'!$F$14</f>
        <v/>
      </c>
      <c r="L29" s="78">
        <f>'26'!$F$15</f>
        <v>10.000560596382572</v>
      </c>
      <c r="M29" s="78">
        <f>'26'!$F$16</f>
        <v>8.8413175980685761</v>
      </c>
      <c r="N29" s="78">
        <f>'26'!$F$17</f>
        <v>7.4986340143201407</v>
      </c>
      <c r="O29" s="78">
        <f>'26'!$F$18</f>
        <v>13.178398561233898</v>
      </c>
      <c r="P29" s="78">
        <f>'26'!$F$19</f>
        <v>23.070412984696869</v>
      </c>
      <c r="Q29" s="78">
        <f>'26'!$F$20</f>
        <v>10.901054220736931</v>
      </c>
      <c r="R29" s="78">
        <f>'26'!$F$21</f>
        <v>14.421636757684423</v>
      </c>
      <c r="S29" s="78">
        <f>'26'!$F$22</f>
        <v>10.496623900224861</v>
      </c>
      <c r="T29" s="78">
        <f>'26'!$F$23</f>
        <v>8.779736269158203</v>
      </c>
      <c r="U29" s="78">
        <f>'26'!$F$24</f>
        <v>9.2528017840642924</v>
      </c>
      <c r="V29" s="78">
        <f>'26'!$F$25</f>
        <v>11.600873425999932</v>
      </c>
      <c r="W29" s="78">
        <f>'26'!$F$26</f>
        <v>9.9390634858927172</v>
      </c>
      <c r="X29" s="78">
        <f>'26'!$F$27</f>
        <v>8.7495642465645247</v>
      </c>
      <c r="Y29" s="78">
        <f>'26'!$F$28</f>
        <v>8.6003873531965738</v>
      </c>
      <c r="Z29" s="78">
        <f>'26'!$F$29</f>
        <v>7.3754692443690404</v>
      </c>
      <c r="AA29" s="78">
        <f>'26'!$F$30</f>
        <v>9.9387695032933649</v>
      </c>
      <c r="AB29" s="78">
        <f>'26'!$F$31</f>
        <v>6.5904729734751601</v>
      </c>
      <c r="AC29" s="78">
        <f>'26'!$F$32</f>
        <v>7.3342292903656308</v>
      </c>
      <c r="AD29" s="99">
        <f>'26'!$F$33</f>
        <v>8.4013413197196734</v>
      </c>
    </row>
    <row r="30" spans="1:30" x14ac:dyDescent="0.2">
      <c r="A30" s="98" t="s">
        <v>1019</v>
      </c>
      <c r="B30" s="78">
        <f>'27'!$F$5</f>
        <v>10.810867766057823</v>
      </c>
      <c r="C30" s="78" t="str">
        <f>'27'!$F$6</f>
        <v/>
      </c>
      <c r="D30" s="78">
        <f>'27'!$F$7</f>
        <v>7.1721217021997044</v>
      </c>
      <c r="E30" s="78">
        <f>'27'!$F$8</f>
        <v>8.8585346889797592</v>
      </c>
      <c r="F30" s="78" t="str">
        <f>'27'!$F$9</f>
        <v/>
      </c>
      <c r="G30" s="78">
        <f>'27'!$F$10</f>
        <v>3.8564795850835427</v>
      </c>
      <c r="H30" s="78">
        <f>'27'!$F$11</f>
        <v>11.96588718828351</v>
      </c>
      <c r="I30" s="78">
        <f>'27'!$F$12</f>
        <v>3.1763993375035655</v>
      </c>
      <c r="J30" s="78">
        <f>'27'!$F$13</f>
        <v>11.82941358945609</v>
      </c>
      <c r="K30" s="78">
        <f>'27'!$F$14</f>
        <v>3.0653067224914587</v>
      </c>
      <c r="L30" s="78">
        <f>'27'!$F$15</f>
        <v>13.171487151864996</v>
      </c>
      <c r="M30" s="78">
        <f>'27'!$F$16</f>
        <v>10.290766353356759</v>
      </c>
      <c r="N30" s="78">
        <f>'27'!$F$17</f>
        <v>7.0613589314102585</v>
      </c>
      <c r="O30" s="78">
        <f>'27'!$F$18</f>
        <v>15.951752696563364</v>
      </c>
      <c r="P30" s="78" t="str">
        <f>'27'!$F$19</f>
        <v/>
      </c>
      <c r="Q30" s="78">
        <f>'27'!$F$20</f>
        <v>9.9592499527262994</v>
      </c>
      <c r="R30" s="78">
        <f>'27'!$F$21</f>
        <v>12.152206319960591</v>
      </c>
      <c r="S30" s="78">
        <f>'27'!$F$22</f>
        <v>8.4202799478410792</v>
      </c>
      <c r="T30" s="78">
        <f>'27'!$F$23</f>
        <v>8.4633111724279857</v>
      </c>
      <c r="U30" s="78" t="str">
        <f>'27'!$F$24</f>
        <v/>
      </c>
      <c r="V30" s="78">
        <f>'27'!$F$25</f>
        <v>13.534587851678033</v>
      </c>
      <c r="W30" s="78">
        <f>'27'!$F$26</f>
        <v>3.0696794331141697</v>
      </c>
      <c r="X30" s="78">
        <f>'27'!$F$27</f>
        <v>8.8221793904573307</v>
      </c>
      <c r="Y30" s="78">
        <f>'27'!$F$28</f>
        <v>8.2147937847965746</v>
      </c>
      <c r="Z30" s="78">
        <f>'27'!$F$29</f>
        <v>6.495935367526962</v>
      </c>
      <c r="AA30" s="78">
        <f>'27'!$F$30</f>
        <v>10.697653577946847</v>
      </c>
      <c r="AB30" s="78">
        <f>'27'!$F$31</f>
        <v>8.0424318399628802</v>
      </c>
      <c r="AC30" s="78">
        <f>'27'!$F$32</f>
        <v>3.7716615169086167</v>
      </c>
      <c r="AD30" s="99">
        <f>'27'!$F$33</f>
        <v>8.920486730948296</v>
      </c>
    </row>
    <row r="31" spans="1:30" x14ac:dyDescent="0.2">
      <c r="A31" s="98" t="s">
        <v>1041</v>
      </c>
      <c r="B31" s="78">
        <f>'28'!$F$5</f>
        <v>9.4961276255455349</v>
      </c>
      <c r="C31" s="78">
        <f>'28'!$F$6</f>
        <v>10.340388911714298</v>
      </c>
      <c r="D31" s="78">
        <f>'28'!$F$7</f>
        <v>10.02493321687213</v>
      </c>
      <c r="E31" s="78">
        <f>'28'!$F$8</f>
        <v>9.0222100232036269</v>
      </c>
      <c r="F31" s="78">
        <f>'28'!$F$9</f>
        <v>98.679214395450174</v>
      </c>
      <c r="G31" s="78">
        <f>'28'!$F$10</f>
        <v>27.305379249733441</v>
      </c>
      <c r="H31" s="78">
        <f>'28'!$F$11</f>
        <v>15.386929781081873</v>
      </c>
      <c r="I31" s="78">
        <f>'28'!$F$12</f>
        <v>6.2902898827600362</v>
      </c>
      <c r="J31" s="78">
        <f>'28'!$F$13</f>
        <v>12.240151441777996</v>
      </c>
      <c r="K31" s="78">
        <f>'28'!$F$14</f>
        <v>5.7586635156193662</v>
      </c>
      <c r="L31" s="78">
        <f>'28'!$F$15</f>
        <v>16.422991048384219</v>
      </c>
      <c r="M31" s="78">
        <f>'28'!$F$16</f>
        <v>9.9138903212080223</v>
      </c>
      <c r="N31" s="78">
        <f>'28'!$F$17</f>
        <v>6.4499434983788335</v>
      </c>
      <c r="O31" s="78">
        <f>'28'!$F$18</f>
        <v>13.029904304373172</v>
      </c>
      <c r="P31" s="78" t="str">
        <f>'28'!$F$19</f>
        <v/>
      </c>
      <c r="Q31" s="78">
        <f>'28'!$F$20</f>
        <v>11.321056038516828</v>
      </c>
      <c r="R31" s="78">
        <f>'28'!$F$21</f>
        <v>14.295896900536766</v>
      </c>
      <c r="S31" s="78">
        <f>'28'!$F$22</f>
        <v>11.331993764022474</v>
      </c>
      <c r="T31" s="78">
        <f>'28'!$F$23</f>
        <v>10.003144232711159</v>
      </c>
      <c r="U31" s="78">
        <f>'28'!$F$24</f>
        <v>17.305237748514354</v>
      </c>
      <c r="V31" s="78">
        <f>'28'!$F$25</f>
        <v>19.644835790792808</v>
      </c>
      <c r="W31" s="78">
        <f>'28'!$F$26</f>
        <v>13.244941031342638</v>
      </c>
      <c r="X31" s="78">
        <f>'28'!$F$27</f>
        <v>11.342408912766352</v>
      </c>
      <c r="Y31" s="78">
        <f>'28'!$F$28</f>
        <v>8.8115274361042708</v>
      </c>
      <c r="Z31" s="78">
        <f>'28'!$F$29</f>
        <v>9.1445063358298153</v>
      </c>
      <c r="AA31" s="78">
        <f>'28'!$F$30</f>
        <v>11.381972444568781</v>
      </c>
      <c r="AB31" s="78">
        <f>'28'!$F$31</f>
        <v>9.601884456456748</v>
      </c>
      <c r="AC31" s="78">
        <f>'28'!$F$32</f>
        <v>9.5629898781659612</v>
      </c>
      <c r="AD31" s="99">
        <f>'28'!$F$33</f>
        <v>10.449425678911345</v>
      </c>
    </row>
    <row r="32" spans="1:30" x14ac:dyDescent="0.2">
      <c r="A32" s="98" t="s">
        <v>1042</v>
      </c>
      <c r="B32" s="78">
        <f>'29'!$F$5</f>
        <v>10.610139626453988</v>
      </c>
      <c r="C32" s="78">
        <f>'29'!$F$6</f>
        <v>3.8267987316895322</v>
      </c>
      <c r="D32" s="78">
        <f>'29'!$F$7</f>
        <v>4.7690485134682117</v>
      </c>
      <c r="E32" s="78">
        <f>'29'!$F$8</f>
        <v>5.8223743780241835</v>
      </c>
      <c r="F32" s="78" t="str">
        <f>'29'!$F$9</f>
        <v/>
      </c>
      <c r="G32" s="78">
        <f>'29'!$F$10</f>
        <v>6.4593493314403814</v>
      </c>
      <c r="H32" s="78">
        <f>'29'!$F$11</f>
        <v>4.1775792016745621</v>
      </c>
      <c r="I32" s="78">
        <f>'29'!$F$12</f>
        <v>7.4598755092200157</v>
      </c>
      <c r="J32" s="78">
        <f>'29'!$F$13</f>
        <v>2.8211081422558051</v>
      </c>
      <c r="K32" s="78">
        <f>'29'!$F$14</f>
        <v>2.8944707594753778</v>
      </c>
      <c r="L32" s="78">
        <f>'29'!$F$15</f>
        <v>4.6049974725762715</v>
      </c>
      <c r="M32" s="78">
        <f>'29'!$F$16</f>
        <v>5.2291646376405367</v>
      </c>
      <c r="N32" s="78">
        <f>'29'!$F$17</f>
        <v>3.7754210909845982</v>
      </c>
      <c r="O32" s="78">
        <f>'29'!$F$18</f>
        <v>9.2016734011817913</v>
      </c>
      <c r="P32" s="78" t="str">
        <f>'29'!$F$19</f>
        <v/>
      </c>
      <c r="Q32" s="78">
        <f>'29'!$F$20</f>
        <v>5.1039518691460426</v>
      </c>
      <c r="R32" s="78" t="str">
        <f>'29'!$F$21</f>
        <v/>
      </c>
      <c r="S32" s="78">
        <f>'29'!$F$22</f>
        <v>7.8885853438592655</v>
      </c>
      <c r="T32" s="78">
        <f>'29'!$F$23</f>
        <v>5.7836593905601017</v>
      </c>
      <c r="U32" s="78" t="str">
        <f>'29'!$F$24</f>
        <v/>
      </c>
      <c r="V32" s="78">
        <f>'29'!$F$25</f>
        <v>2.6651552247868833</v>
      </c>
      <c r="W32" s="78">
        <f>'29'!$F$26</f>
        <v>4.6124842274888458</v>
      </c>
      <c r="X32" s="78">
        <f>'29'!$F$27</f>
        <v>5.3492163685232441</v>
      </c>
      <c r="Y32" s="78">
        <f>'29'!$F$28</f>
        <v>4.4335318721597021</v>
      </c>
      <c r="Z32" s="78">
        <f>'29'!$F$29</f>
        <v>4.826882507526328</v>
      </c>
      <c r="AA32" s="78">
        <f>'29'!$F$30</f>
        <v>5.6561067573123909</v>
      </c>
      <c r="AB32" s="78">
        <f>'29'!$F$31</f>
        <v>4.6608651293904364</v>
      </c>
      <c r="AC32" s="78">
        <f>'29'!$F$32</f>
        <v>4.2700680731060938</v>
      </c>
      <c r="AD32" s="99">
        <f>'29'!$F$33</f>
        <v>4.9226314677229608</v>
      </c>
    </row>
    <row r="33" spans="1:30" x14ac:dyDescent="0.2">
      <c r="A33" s="98" t="s">
        <v>1043</v>
      </c>
      <c r="B33" s="78">
        <f>'30'!$F$5</f>
        <v>8.1300939332720734</v>
      </c>
      <c r="C33" s="78">
        <f>'30'!$F$6</f>
        <v>17.354871433641495</v>
      </c>
      <c r="D33" s="78">
        <f>'30'!$F$7</f>
        <v>5.8422062069662735</v>
      </c>
      <c r="E33" s="78">
        <f>'30'!$F$8</f>
        <v>4.964206091609042</v>
      </c>
      <c r="F33" s="78" t="str">
        <f>'30'!$F$9</f>
        <v/>
      </c>
      <c r="G33" s="78">
        <f>'30'!$F$10</f>
        <v>6.7558766052818271</v>
      </c>
      <c r="H33" s="78">
        <f>'30'!$F$11</f>
        <v>14.781138197375459</v>
      </c>
      <c r="I33" s="78" t="str">
        <f>'30'!$F$12</f>
        <v/>
      </c>
      <c r="J33" s="78">
        <f>'30'!$F$13</f>
        <v>5.8518480973675944</v>
      </c>
      <c r="K33" s="78" t="str">
        <f>'30'!$F$14</f>
        <v/>
      </c>
      <c r="L33" s="78">
        <f>'30'!$F$15</f>
        <v>5.7642023862680274</v>
      </c>
      <c r="M33" s="78">
        <f>'30'!$F$16</f>
        <v>6.6918392350187741</v>
      </c>
      <c r="N33" s="78">
        <f>'30'!$F$17</f>
        <v>4.8115990724009139</v>
      </c>
      <c r="O33" s="78">
        <f>'30'!$F$18</f>
        <v>9.6745378707014442</v>
      </c>
      <c r="P33" s="78" t="str">
        <f>'30'!$F$19</f>
        <v/>
      </c>
      <c r="Q33" s="78">
        <f>'30'!$F$20</f>
        <v>8.4734791316789213</v>
      </c>
      <c r="R33" s="78" t="str">
        <f>'30'!$F$21</f>
        <v/>
      </c>
      <c r="S33" s="78">
        <f>'30'!$F$22</f>
        <v>7.3483040461405711</v>
      </c>
      <c r="T33" s="78">
        <f>'30'!$F$23</f>
        <v>5.2872986961877109</v>
      </c>
      <c r="U33" s="78" t="str">
        <f>'30'!$F$24</f>
        <v/>
      </c>
      <c r="V33" s="78">
        <f>'30'!$F$25</f>
        <v>10.8370789284441</v>
      </c>
      <c r="W33" s="78">
        <f>'30'!$F$26</f>
        <v>7.027307103047276</v>
      </c>
      <c r="X33" s="78">
        <f>'30'!$F$27</f>
        <v>6.7045524098534068</v>
      </c>
      <c r="Y33" s="78">
        <f>'30'!$F$28</f>
        <v>6.9071539096560981</v>
      </c>
      <c r="Z33" s="78">
        <f>'30'!$F$29</f>
        <v>5.344527718317388</v>
      </c>
      <c r="AA33" s="78">
        <f>'30'!$F$30</f>
        <v>6.27447808972462</v>
      </c>
      <c r="AB33" s="78">
        <f>'30'!$F$31</f>
        <v>5.9548644222712621</v>
      </c>
      <c r="AC33" s="78">
        <f>'30'!$F$32</f>
        <v>6.6070667531194252</v>
      </c>
      <c r="AD33" s="99">
        <f>'30'!$F$33</f>
        <v>6.3247153769102376</v>
      </c>
    </row>
    <row r="34" spans="1:30" x14ac:dyDescent="0.2">
      <c r="A34" s="98" t="s">
        <v>1020</v>
      </c>
      <c r="B34" s="78">
        <f>'31'!$F$5</f>
        <v>16.912565522513731</v>
      </c>
      <c r="C34" s="78">
        <f>'31'!$F$6</f>
        <v>6.2442586203072512</v>
      </c>
      <c r="D34" s="78">
        <f>'31'!$F$7</f>
        <v>7.3298568103612087</v>
      </c>
      <c r="E34" s="78">
        <f>'31'!$F$8</f>
        <v>7.2141900469577873</v>
      </c>
      <c r="F34" s="78" t="str">
        <f>'31'!$F$9</f>
        <v/>
      </c>
      <c r="G34" s="78">
        <f>'31'!$F$10</f>
        <v>12.749562456245215</v>
      </c>
      <c r="H34" s="78">
        <f>'31'!$F$11</f>
        <v>11.987733923648104</v>
      </c>
      <c r="I34" s="78">
        <f>'31'!$F$12</f>
        <v>10.501106008383367</v>
      </c>
      <c r="J34" s="78">
        <f>'31'!$F$13</f>
        <v>5.6752673764202823</v>
      </c>
      <c r="K34" s="78" t="str">
        <f>'31'!$F$14</f>
        <v/>
      </c>
      <c r="L34" s="78">
        <f>'31'!$F$15</f>
        <v>12.959874965812615</v>
      </c>
      <c r="M34" s="78">
        <f>'31'!$F$16</f>
        <v>5.8805759786433125</v>
      </c>
      <c r="N34" s="78">
        <f>'31'!$F$17</f>
        <v>8.0679425499903079</v>
      </c>
      <c r="O34" s="78">
        <f>'31'!$F$18</f>
        <v>8.4445348674743475</v>
      </c>
      <c r="P34" s="78">
        <f>'31'!$F$19</f>
        <v>16.280953111772099</v>
      </c>
      <c r="Q34" s="78">
        <f>'31'!$F$20</f>
        <v>8.8984826868864282</v>
      </c>
      <c r="R34" s="78" t="str">
        <f>'31'!$F$21</f>
        <v/>
      </c>
      <c r="S34" s="78">
        <f>'31'!$F$22</f>
        <v>11.950778978426538</v>
      </c>
      <c r="T34" s="78">
        <f>'31'!$F$23</f>
        <v>7.7694005629599143</v>
      </c>
      <c r="U34" s="78">
        <f>'31'!$F$24</f>
        <v>12.533184005509581</v>
      </c>
      <c r="V34" s="78" t="str">
        <f>'31'!$F$25</f>
        <v/>
      </c>
      <c r="W34" s="78" t="str">
        <f>'31'!$F$26</f>
        <v/>
      </c>
      <c r="X34" s="78">
        <f>'31'!$F$27</f>
        <v>6.1278943827779342</v>
      </c>
      <c r="Y34" s="78">
        <f>'31'!$F$28</f>
        <v>9.2179677530526991</v>
      </c>
      <c r="Z34" s="78">
        <f>'31'!$F$29</f>
        <v>5.9811002283360564</v>
      </c>
      <c r="AA34" s="78">
        <f>'31'!$F$30</f>
        <v>9.5599859531700826</v>
      </c>
      <c r="AB34" s="78">
        <f>'31'!$F$31</f>
        <v>4.8910673571231378</v>
      </c>
      <c r="AC34" s="78">
        <f>'31'!$F$32</f>
        <v>6.1299668250553383</v>
      </c>
      <c r="AD34" s="99">
        <f>'31'!$F$33</f>
        <v>7.5647327151455999</v>
      </c>
    </row>
    <row r="35" spans="1:30" x14ac:dyDescent="0.2">
      <c r="A35" s="98" t="s">
        <v>1044</v>
      </c>
      <c r="B35" s="78">
        <f>'32'!$F$5</f>
        <v>9.4216298586917517</v>
      </c>
      <c r="C35" s="78">
        <f>'32'!$F$6</f>
        <v>12.330741498838895</v>
      </c>
      <c r="D35" s="78">
        <f>'32'!$F$7</f>
        <v>9.7287774743396618</v>
      </c>
      <c r="E35" s="78">
        <f>'32'!$F$8</f>
        <v>11.708731128853881</v>
      </c>
      <c r="F35" s="78" t="str">
        <f>'32'!$F$9</f>
        <v/>
      </c>
      <c r="G35" s="78">
        <f>'32'!$F$10</f>
        <v>6.1796410287858832</v>
      </c>
      <c r="H35" s="78">
        <f>'32'!$F$11</f>
        <v>6.7683258203725565</v>
      </c>
      <c r="I35" s="78">
        <f>'32'!$F$12</f>
        <v>6.4667529057724966</v>
      </c>
      <c r="J35" s="78">
        <f>'32'!$F$13</f>
        <v>9.7228169164888136</v>
      </c>
      <c r="K35" s="78" t="str">
        <f>'32'!$F$14</f>
        <v/>
      </c>
      <c r="L35" s="78">
        <f>'32'!$F$15</f>
        <v>10.564650432402919</v>
      </c>
      <c r="M35" s="78">
        <f>'32'!$F$16</f>
        <v>10.707442669496709</v>
      </c>
      <c r="N35" s="78">
        <f>'32'!$F$17</f>
        <v>10.838546251527406</v>
      </c>
      <c r="O35" s="78">
        <f>'32'!$F$18</f>
        <v>14.974901329405403</v>
      </c>
      <c r="P35" s="78" t="str">
        <f>'32'!$F$19</f>
        <v/>
      </c>
      <c r="Q35" s="78">
        <f>'32'!$F$20</f>
        <v>12.922721869840387</v>
      </c>
      <c r="R35" s="78" t="str">
        <f>'32'!$F$21</f>
        <v/>
      </c>
      <c r="S35" s="78">
        <f>'32'!$F$22</f>
        <v>11.120380433866362</v>
      </c>
      <c r="T35" s="78">
        <f>'32'!$F$23</f>
        <v>10.699444058171848</v>
      </c>
      <c r="U35" s="78">
        <f>'32'!$F$24</f>
        <v>7.9617305913039935</v>
      </c>
      <c r="V35" s="78">
        <f>'32'!$F$25</f>
        <v>28.054750359408306</v>
      </c>
      <c r="W35" s="78">
        <f>'32'!$F$26</f>
        <v>13.557849850886539</v>
      </c>
      <c r="X35" s="78">
        <f>'32'!$F$27</f>
        <v>10.692567845504195</v>
      </c>
      <c r="Y35" s="78">
        <f>'32'!$F$28</f>
        <v>12.464223018939904</v>
      </c>
      <c r="Z35" s="78">
        <f>'32'!$F$29</f>
        <v>9.3588624638347273</v>
      </c>
      <c r="AA35" s="78">
        <f>'32'!$F$30</f>
        <v>11.03938667107427</v>
      </c>
      <c r="AB35" s="78">
        <f>'32'!$F$31</f>
        <v>9.6302227001025678</v>
      </c>
      <c r="AC35" s="78">
        <f>'32'!$F$32</f>
        <v>11.709523934259748</v>
      </c>
      <c r="AD35" s="99">
        <f>'32'!$F$33</f>
        <v>10.931152192075469</v>
      </c>
    </row>
    <row r="36" spans="1:30" x14ac:dyDescent="0.2">
      <c r="A36" s="98" t="s">
        <v>1045</v>
      </c>
      <c r="B36" s="78">
        <f>'33'!$F$5</f>
        <v>19.512195231006171</v>
      </c>
      <c r="C36" s="78">
        <f>'33'!$F$6</f>
        <v>15.618840273352545</v>
      </c>
      <c r="D36" s="78">
        <f>'33'!$F$7</f>
        <v>7.3282486220595624</v>
      </c>
      <c r="E36" s="78">
        <f>'33'!$F$8</f>
        <v>8.9492673969897236</v>
      </c>
      <c r="F36" s="78" t="str">
        <f>'33'!$F$9</f>
        <v/>
      </c>
      <c r="G36" s="78">
        <f>'33'!$F$10</f>
        <v>24.758039765056349</v>
      </c>
      <c r="H36" s="78">
        <f>'33'!$F$11</f>
        <v>11.099292825504012</v>
      </c>
      <c r="I36" s="78">
        <f>'33'!$F$12</f>
        <v>12.662287351187578</v>
      </c>
      <c r="J36" s="78">
        <f>'33'!$F$13</f>
        <v>6.682897999984065</v>
      </c>
      <c r="K36" s="78" t="str">
        <f>'33'!$F$14</f>
        <v/>
      </c>
      <c r="L36" s="78">
        <f>'33'!$F$15</f>
        <v>6.2360170839284574</v>
      </c>
      <c r="M36" s="78">
        <f>'33'!$F$16</f>
        <v>8.2336753465002239</v>
      </c>
      <c r="N36" s="78">
        <f>'33'!$F$17</f>
        <v>9.0611184025954827</v>
      </c>
      <c r="O36" s="78">
        <f>'33'!$F$18</f>
        <v>13.503622895340797</v>
      </c>
      <c r="P36" s="78" t="str">
        <f>'33'!$F$19</f>
        <v/>
      </c>
      <c r="Q36" s="78">
        <f>'33'!$F$20</f>
        <v>9.0284371324236421</v>
      </c>
      <c r="R36" s="78" t="str">
        <f>'33'!$F$21</f>
        <v/>
      </c>
      <c r="S36" s="78">
        <f>'33'!$F$22</f>
        <v>9.1874923434641484</v>
      </c>
      <c r="T36" s="78">
        <f>'33'!$F$23</f>
        <v>13.536777275104962</v>
      </c>
      <c r="U36" s="78">
        <f>'33'!$F$24</f>
        <v>12.663400296365648</v>
      </c>
      <c r="V36" s="78">
        <f>'33'!$F$25</f>
        <v>35.704441407932222</v>
      </c>
      <c r="W36" s="78">
        <f>'33'!$F$26</f>
        <v>19.512382196818137</v>
      </c>
      <c r="X36" s="78">
        <f>'33'!$F$27</f>
        <v>9.5275865861463593</v>
      </c>
      <c r="Y36" s="78">
        <f>'33'!$F$28</f>
        <v>8.1253462726728376</v>
      </c>
      <c r="Z36" s="78">
        <f>'33'!$F$29</f>
        <v>6.7474025041189787</v>
      </c>
      <c r="AA36" s="78">
        <f>'33'!$F$30</f>
        <v>9.2294536165896695</v>
      </c>
      <c r="AB36" s="78">
        <f>'33'!$F$31</f>
        <v>6.5822206710501758</v>
      </c>
      <c r="AC36" s="78">
        <f>'33'!$F$32</f>
        <v>6.5822102212166449</v>
      </c>
      <c r="AD36" s="99">
        <f>'33'!$F$33</f>
        <v>8.95737712103797</v>
      </c>
    </row>
    <row r="37" spans="1:30" x14ac:dyDescent="0.2">
      <c r="A37" s="98" t="s">
        <v>1023</v>
      </c>
      <c r="B37" s="78" t="str">
        <f>'34'!$F$5</f>
        <v/>
      </c>
      <c r="C37" s="78">
        <f>'34'!$F$6</f>
        <v>6.8438595512774159</v>
      </c>
      <c r="D37" s="78">
        <f>'34'!$F$7</f>
        <v>4.4116518177140129</v>
      </c>
      <c r="E37" s="78">
        <f>'34'!$F$8</f>
        <v>4.3573719589451594</v>
      </c>
      <c r="F37" s="78" t="str">
        <f>'34'!$F$9</f>
        <v/>
      </c>
      <c r="G37" s="78">
        <f>'34'!$F$10</f>
        <v>5.5845941664845924</v>
      </c>
      <c r="H37" s="78">
        <f>'34'!$F$11</f>
        <v>4.9235551872344567</v>
      </c>
      <c r="I37" s="78">
        <f>'34'!$F$12</f>
        <v>8.259119292252036</v>
      </c>
      <c r="J37" s="78">
        <f>'34'!$F$13</f>
        <v>6.3922438998647744</v>
      </c>
      <c r="K37" s="78">
        <f>'34'!$F$14</f>
        <v>8.2585055178625808</v>
      </c>
      <c r="L37" s="78">
        <f>'34'!$F$15</f>
        <v>4.0666074212371992</v>
      </c>
      <c r="M37" s="78">
        <f>'34'!$F$16</f>
        <v>5.212459342234478</v>
      </c>
      <c r="N37" s="78">
        <f>'34'!$F$17</f>
        <v>5.0421167127640052</v>
      </c>
      <c r="O37" s="78">
        <f>'34'!$F$18</f>
        <v>11.659048123276239</v>
      </c>
      <c r="P37" s="78" t="str">
        <f>'34'!$F$19</f>
        <v/>
      </c>
      <c r="Q37" s="78">
        <f>'34'!$F$20</f>
        <v>6.7608942597508825</v>
      </c>
      <c r="R37" s="78" t="str">
        <f>'34'!$F$21</f>
        <v/>
      </c>
      <c r="S37" s="78">
        <f>'34'!$F$22</f>
        <v>8.3979494814186104</v>
      </c>
      <c r="T37" s="78">
        <f>'34'!$F$23</f>
        <v>6.6808038064680879</v>
      </c>
      <c r="U37" s="78" t="str">
        <f>'34'!$F$24</f>
        <v/>
      </c>
      <c r="V37" s="78">
        <f>'34'!$F$25</f>
        <v>8.2585994145761958</v>
      </c>
      <c r="W37" s="78" t="str">
        <f>'34'!$F$26</f>
        <v/>
      </c>
      <c r="X37" s="78">
        <f>'34'!$F$27</f>
        <v>5.9582470218708616</v>
      </c>
      <c r="Y37" s="78">
        <f>'34'!$F$28</f>
        <v>6.4550924588984211</v>
      </c>
      <c r="Z37" s="78">
        <f>'34'!$F$29</f>
        <v>5.0350166580537952</v>
      </c>
      <c r="AA37" s="78">
        <f>'34'!$F$30</f>
        <v>5.9445658764297544</v>
      </c>
      <c r="AB37" s="78">
        <f>'34'!$F$31</f>
        <v>4.2713311831608571</v>
      </c>
      <c r="AC37" s="78">
        <f>'34'!$F$32</f>
        <v>6.028162447057559</v>
      </c>
      <c r="AD37" s="99">
        <f>'34'!$F$33</f>
        <v>5.4778599042498861</v>
      </c>
    </row>
    <row r="38" spans="1:30" x14ac:dyDescent="0.2">
      <c r="A38" s="98" t="s">
        <v>1046</v>
      </c>
      <c r="B38" s="78">
        <f>'35'!$F$5</f>
        <v>5.5042266256067851</v>
      </c>
      <c r="C38" s="78">
        <f>'35'!$F$6</f>
        <v>4.2884020411798378</v>
      </c>
      <c r="D38" s="78">
        <f>'35'!$F$7</f>
        <v>4.2908283861219232</v>
      </c>
      <c r="E38" s="78">
        <f>'35'!$F$8</f>
        <v>5.7470148092118256</v>
      </c>
      <c r="F38" s="78" t="str">
        <f>'35'!$F$9</f>
        <v/>
      </c>
      <c r="G38" s="78" t="str">
        <f>'35'!$F$10</f>
        <v/>
      </c>
      <c r="H38" s="78">
        <f>'35'!$F$11</f>
        <v>3.7116888117739566</v>
      </c>
      <c r="I38" s="78" t="str">
        <f>'35'!$F$12</f>
        <v/>
      </c>
      <c r="J38" s="78">
        <f>'35'!$F$13</f>
        <v>4.5205314879859015</v>
      </c>
      <c r="K38" s="78" t="str">
        <f>'35'!$F$14</f>
        <v/>
      </c>
      <c r="L38" s="78">
        <f>'35'!$F$15</f>
        <v>11.861549857930017</v>
      </c>
      <c r="M38" s="78">
        <f>'35'!$F$16</f>
        <v>5.0904863496637347</v>
      </c>
      <c r="N38" s="78">
        <f>'35'!$F$17</f>
        <v>4.759568505948665</v>
      </c>
      <c r="O38" s="78">
        <f>'35'!$F$18</f>
        <v>11.216066222556675</v>
      </c>
      <c r="P38" s="78" t="str">
        <f>'35'!$F$19</f>
        <v/>
      </c>
      <c r="Q38" s="78">
        <f>'35'!$F$20</f>
        <v>3.5683803745124485</v>
      </c>
      <c r="R38" s="78" t="str">
        <f>'35'!$F$21</f>
        <v/>
      </c>
      <c r="S38" s="78">
        <f>'35'!$F$22</f>
        <v>4.5958660246638523</v>
      </c>
      <c r="T38" s="78">
        <f>'35'!$F$23</f>
        <v>4.9264500415452845</v>
      </c>
      <c r="U38" s="78" t="str">
        <f>'35'!$F$24</f>
        <v/>
      </c>
      <c r="V38" s="78">
        <f>'35'!$F$25</f>
        <v>2.8400044033845626</v>
      </c>
      <c r="W38" s="78" t="str">
        <f>'35'!$F$26</f>
        <v/>
      </c>
      <c r="X38" s="78">
        <f>'35'!$F$27</f>
        <v>14.45822281493691</v>
      </c>
      <c r="Y38" s="78">
        <f>'35'!$F$28</f>
        <v>2.6058348127412878</v>
      </c>
      <c r="Z38" s="78">
        <f>'35'!$F$29</f>
        <v>3.2021446323823755</v>
      </c>
      <c r="AA38" s="78">
        <f>'35'!$F$30</f>
        <v>5.0566188755079304</v>
      </c>
      <c r="AB38" s="78">
        <f>'35'!$F$31</f>
        <v>4.5957695855707978</v>
      </c>
      <c r="AC38" s="78">
        <f>'35'!$F$32</f>
        <v>4.5413950544697039</v>
      </c>
      <c r="AD38" s="99">
        <f>'35'!$F$33</f>
        <v>5.1007269344533519</v>
      </c>
    </row>
    <row r="39" spans="1:30" x14ac:dyDescent="0.2">
      <c r="A39" s="98" t="s">
        <v>1059</v>
      </c>
      <c r="B39" s="78">
        <f>'36'!$F$5</f>
        <v>4.5951510807535101</v>
      </c>
      <c r="C39" s="78">
        <f>'36'!$F$6</f>
        <v>7.6513921351446372</v>
      </c>
      <c r="D39" s="78">
        <f>'36'!$F$7</f>
        <v>7.2386344760575598</v>
      </c>
      <c r="E39" s="78">
        <f>'36'!$F$8</f>
        <v>7.2359244769988109</v>
      </c>
      <c r="F39" s="78">
        <f>'36'!$F$9</f>
        <v>23.312448347686402</v>
      </c>
      <c r="G39" s="78">
        <f>'36'!$F$10</f>
        <v>7.4562139111614529</v>
      </c>
      <c r="H39" s="78">
        <f>'36'!$F$11</f>
        <v>9.4234250194548839</v>
      </c>
      <c r="I39" s="78">
        <f>'36'!$F$12</f>
        <v>4.9824821890927247</v>
      </c>
      <c r="J39" s="78">
        <f>'36'!$F$13</f>
        <v>9.5288751532915992</v>
      </c>
      <c r="K39" s="78">
        <f>'36'!$F$14</f>
        <v>1305.4685094153156</v>
      </c>
      <c r="L39" s="78">
        <f>'36'!$F$15</f>
        <v>8.0038967463843491</v>
      </c>
      <c r="M39" s="78">
        <f>'36'!$F$16</f>
        <v>7.6614864046191489</v>
      </c>
      <c r="N39" s="78">
        <f>'36'!$F$17</f>
        <v>7.7941974277801291</v>
      </c>
      <c r="O39" s="78">
        <f>'36'!$F$18</f>
        <v>11.518158763918054</v>
      </c>
      <c r="P39" s="78" t="str">
        <f>'36'!$F$19</f>
        <v/>
      </c>
      <c r="Q39" s="78">
        <f>'36'!$F$20</f>
        <v>10.973495517591308</v>
      </c>
      <c r="R39" s="78">
        <f>'36'!$F$21</f>
        <v>11.626409099410795</v>
      </c>
      <c r="S39" s="78">
        <f>'36'!$F$22</f>
        <v>11.28365344285635</v>
      </c>
      <c r="T39" s="78">
        <f>'36'!$F$23</f>
        <v>8.0991813818230813</v>
      </c>
      <c r="U39" s="78">
        <f>'36'!$F$24</f>
        <v>10.850504271548477</v>
      </c>
      <c r="V39" s="78">
        <f>'36'!$F$25</f>
        <v>9.7404989900733714</v>
      </c>
      <c r="W39" s="78">
        <f>'36'!$F$26</f>
        <v>6.5026572849895912</v>
      </c>
      <c r="X39" s="78">
        <f>'36'!$F$27</f>
        <v>8.437508104047545</v>
      </c>
      <c r="Y39" s="78">
        <f>'36'!$F$28</f>
        <v>9.3715154434512673</v>
      </c>
      <c r="Z39" s="78">
        <f>'36'!$F$29</f>
        <v>7.7156203973369388</v>
      </c>
      <c r="AA39" s="78">
        <f>'36'!$F$30</f>
        <v>9.9451672253828161</v>
      </c>
      <c r="AB39" s="78">
        <f>'36'!$F$31</f>
        <v>8.0991811348041178</v>
      </c>
      <c r="AC39" s="78">
        <f>'36'!$F$32</f>
        <v>7.6614852927139738</v>
      </c>
      <c r="AD39" s="99">
        <f>'36'!$F$33</f>
        <v>8.5203561807043027</v>
      </c>
    </row>
    <row r="40" spans="1:30" x14ac:dyDescent="0.2">
      <c r="A40" s="98" t="s">
        <v>1047</v>
      </c>
      <c r="B40" s="78">
        <f>'37'!$F$5</f>
        <v>12.932416396881036</v>
      </c>
      <c r="C40" s="78">
        <f>'37'!$F$6</f>
        <v>9.5337085901843999</v>
      </c>
      <c r="D40" s="78">
        <f>'37'!$F$7</f>
        <v>6.7269633034697565</v>
      </c>
      <c r="E40" s="78">
        <f>'37'!$F$8</f>
        <v>6.0943626331930023</v>
      </c>
      <c r="F40" s="78" t="str">
        <f>'37'!$F$9</f>
        <v/>
      </c>
      <c r="G40" s="78">
        <f>'37'!$F$10</f>
        <v>10.400986700822051</v>
      </c>
      <c r="H40" s="78">
        <f>'37'!$F$11</f>
        <v>23.643843367308449</v>
      </c>
      <c r="I40" s="78">
        <f>'37'!$F$12</f>
        <v>7.2514742663811287</v>
      </c>
      <c r="J40" s="78">
        <f>'37'!$F$13</f>
        <v>6.462817450844442</v>
      </c>
      <c r="K40" s="78">
        <f>'37'!$F$14</f>
        <v>17.628085207260725</v>
      </c>
      <c r="L40" s="78">
        <f>'37'!$F$15</f>
        <v>10.185520245229402</v>
      </c>
      <c r="M40" s="78">
        <f>'37'!$F$16</f>
        <v>6.0704197236445392</v>
      </c>
      <c r="N40" s="78">
        <f>'37'!$F$17</f>
        <v>7.1117507204079518</v>
      </c>
      <c r="O40" s="78">
        <f>'37'!$F$18</f>
        <v>10.444058464305511</v>
      </c>
      <c r="P40" s="78" t="str">
        <f>'37'!$F$19</f>
        <v/>
      </c>
      <c r="Q40" s="78">
        <f>'37'!$F$20</f>
        <v>13.093648405549454</v>
      </c>
      <c r="R40" s="78">
        <f>'37'!$F$21</f>
        <v>8.0578668337667487</v>
      </c>
      <c r="S40" s="78">
        <f>'37'!$F$22</f>
        <v>4.4671854227779662</v>
      </c>
      <c r="T40" s="78">
        <f>'37'!$F$23</f>
        <v>6.4563734091218681</v>
      </c>
      <c r="U40" s="78">
        <f>'37'!$F$24</f>
        <v>6.7993830972655847</v>
      </c>
      <c r="V40" s="78">
        <f>'37'!$F$25</f>
        <v>5.9898657001921567</v>
      </c>
      <c r="W40" s="78">
        <f>'37'!$F$26</f>
        <v>14.896114053414573</v>
      </c>
      <c r="X40" s="78">
        <f>'37'!$F$27</f>
        <v>12.762078978738389</v>
      </c>
      <c r="Y40" s="78">
        <f>'37'!$F$28</f>
        <v>4.6928877442282078</v>
      </c>
      <c r="Z40" s="78">
        <f>'37'!$F$29</f>
        <v>7.5371520408508639</v>
      </c>
      <c r="AA40" s="78">
        <f>'37'!$F$30</f>
        <v>12.22180969202901</v>
      </c>
      <c r="AB40" s="78">
        <f>'37'!$F$31</f>
        <v>6.8250083849603671</v>
      </c>
      <c r="AC40" s="78">
        <f>'37'!$F$32</f>
        <v>13.176033352865121</v>
      </c>
      <c r="AD40" s="99">
        <f>'37'!$F$33</f>
        <v>7.9040838210536863</v>
      </c>
    </row>
    <row r="41" spans="1:30" x14ac:dyDescent="0.2">
      <c r="A41" s="98" t="s">
        <v>1048</v>
      </c>
      <c r="B41" s="78">
        <f>'38'!$F$5</f>
        <v>8.0078461137811487</v>
      </c>
      <c r="C41" s="78">
        <f>'38'!$F$6</f>
        <v>9.2313712240114381</v>
      </c>
      <c r="D41" s="78">
        <f>'38'!$F$7</f>
        <v>7.0958635762096307</v>
      </c>
      <c r="E41" s="78">
        <f>'38'!$F$8</f>
        <v>5.4692807946624242</v>
      </c>
      <c r="F41" s="78" t="str">
        <f>'38'!$F$9</f>
        <v/>
      </c>
      <c r="G41" s="78">
        <f>'38'!$F$10</f>
        <v>9.9075685688157016</v>
      </c>
      <c r="H41" s="78">
        <f>'38'!$F$11</f>
        <v>6.297887460957508</v>
      </c>
      <c r="I41" s="78">
        <f>'38'!$F$12</f>
        <v>21.873346013688078</v>
      </c>
      <c r="J41" s="78">
        <f>'38'!$F$13</f>
        <v>10.627260582231493</v>
      </c>
      <c r="K41" s="78">
        <f>'38'!$F$14</f>
        <v>8.7636180213095933</v>
      </c>
      <c r="L41" s="78">
        <f>'38'!$F$15</f>
        <v>6.5729645710356959</v>
      </c>
      <c r="M41" s="78">
        <f>'38'!$F$16</f>
        <v>8.2562885052071735</v>
      </c>
      <c r="N41" s="78">
        <f>'38'!$F$17</f>
        <v>6.3685690648171462</v>
      </c>
      <c r="O41" s="78">
        <f>'38'!$F$18</f>
        <v>10.990507539886162</v>
      </c>
      <c r="P41" s="78" t="str">
        <f>'38'!$F$19</f>
        <v/>
      </c>
      <c r="Q41" s="78">
        <f>'38'!$F$20</f>
        <v>9.9928138319860658</v>
      </c>
      <c r="R41" s="78">
        <f>'38'!$F$21</f>
        <v>13.420340694946949</v>
      </c>
      <c r="S41" s="78">
        <f>'38'!$F$22</f>
        <v>12.377716837661254</v>
      </c>
      <c r="T41" s="78">
        <f>'38'!$F$23</f>
        <v>5.9641349604306866</v>
      </c>
      <c r="U41" s="78">
        <f>'38'!$F$24</f>
        <v>7.686966304238136</v>
      </c>
      <c r="V41" s="78">
        <f>'38'!$F$25</f>
        <v>7.0414157507111357</v>
      </c>
      <c r="W41" s="78">
        <f>'38'!$F$26</f>
        <v>8.1558468464276235</v>
      </c>
      <c r="X41" s="78">
        <f>'38'!$F$27</f>
        <v>9.4225904398086158</v>
      </c>
      <c r="Y41" s="78">
        <f>'38'!$F$28</f>
        <v>6.3974810894479557</v>
      </c>
      <c r="Z41" s="78">
        <f>'38'!$F$29</f>
        <v>6.9879915477397994</v>
      </c>
      <c r="AA41" s="78">
        <f>'38'!$F$30</f>
        <v>7.399048815133491</v>
      </c>
      <c r="AB41" s="78">
        <f>'38'!$F$31</f>
        <v>7.9236049430421023</v>
      </c>
      <c r="AC41" s="78">
        <f>'38'!$F$32</f>
        <v>7.007778464605706</v>
      </c>
      <c r="AD41" s="99">
        <f>'38'!$F$33</f>
        <v>7.5128628780099964</v>
      </c>
    </row>
    <row r="42" spans="1:30" x14ac:dyDescent="0.2">
      <c r="A42" s="98" t="s">
        <v>1024</v>
      </c>
      <c r="B42" s="78">
        <f>'39'!$F$5</f>
        <v>9.6120779664092275</v>
      </c>
      <c r="C42" s="78">
        <f>'39'!$F$6</f>
        <v>9.8855416675973213</v>
      </c>
      <c r="D42" s="78">
        <f>'39'!$F$7</f>
        <v>8.170478047456136</v>
      </c>
      <c r="E42" s="78">
        <f>'39'!$F$8</f>
        <v>8.9438627025123942</v>
      </c>
      <c r="F42" s="78" t="str">
        <f>'39'!$F$9</f>
        <v/>
      </c>
      <c r="G42" s="78">
        <f>'39'!$F$10</f>
        <v>9.4174483804708053</v>
      </c>
      <c r="H42" s="78">
        <f>'39'!$F$11</f>
        <v>6.489416537498319</v>
      </c>
      <c r="I42" s="78">
        <f>'39'!$F$12</f>
        <v>10.464158029203576</v>
      </c>
      <c r="J42" s="78">
        <f>'39'!$F$13</f>
        <v>8.0607987621179422</v>
      </c>
      <c r="K42" s="78">
        <f>'39'!$F$14</f>
        <v>10.079729610400156</v>
      </c>
      <c r="L42" s="78">
        <f>'39'!$F$15</f>
        <v>8.3789724600557403</v>
      </c>
      <c r="M42" s="78">
        <f>'39'!$F$16</f>
        <v>10.169534684657581</v>
      </c>
      <c r="N42" s="78">
        <f>'39'!$F$17</f>
        <v>4.2227465343027397</v>
      </c>
      <c r="O42" s="78">
        <f>'39'!$F$18</f>
        <v>19.242638155878808</v>
      </c>
      <c r="P42" s="78" t="str">
        <f>'39'!$F$19</f>
        <v/>
      </c>
      <c r="Q42" s="78">
        <f>'39'!$F$20</f>
        <v>11.148037699885684</v>
      </c>
      <c r="R42" s="78" t="str">
        <f>'39'!$F$21</f>
        <v/>
      </c>
      <c r="S42" s="78">
        <f>'39'!$F$22</f>
        <v>12.009939176408798</v>
      </c>
      <c r="T42" s="78">
        <f>'39'!$F$23</f>
        <v>11.702302109646089</v>
      </c>
      <c r="U42" s="78">
        <f>'39'!$F$24</f>
        <v>10.004695616616162</v>
      </c>
      <c r="V42" s="78">
        <f>'39'!$F$25</f>
        <v>13.66684731177795</v>
      </c>
      <c r="W42" s="78">
        <f>'39'!$F$26</f>
        <v>9.6491740548446003</v>
      </c>
      <c r="X42" s="78">
        <f>'39'!$F$27</f>
        <v>8.9624899911224922</v>
      </c>
      <c r="Y42" s="78">
        <f>'39'!$F$28</f>
        <v>7.4061865602002133</v>
      </c>
      <c r="Z42" s="78">
        <f>'39'!$F$29</f>
        <v>7.229316151702176</v>
      </c>
      <c r="AA42" s="78">
        <f>'39'!$F$30</f>
        <v>7.4053241296088048</v>
      </c>
      <c r="AB42" s="78">
        <f>'39'!$F$31</f>
        <v>7.7376537175430125</v>
      </c>
      <c r="AC42" s="78">
        <f>'39'!$F$32</f>
        <v>5.9401439710368837</v>
      </c>
      <c r="AD42" s="99">
        <f>'39'!$F$33</f>
        <v>8.5703897899651462</v>
      </c>
    </row>
    <row r="43" spans="1:30" x14ac:dyDescent="0.2">
      <c r="A43" s="98" t="s">
        <v>1060</v>
      </c>
      <c r="B43" s="78">
        <f>'40'!$F$5</f>
        <v>9.5758976780637557</v>
      </c>
      <c r="C43" s="78">
        <f>'40'!$F$6</f>
        <v>16.762402707207123</v>
      </c>
      <c r="D43" s="78">
        <f>'40'!$F$7</f>
        <v>8.6453515702522257</v>
      </c>
      <c r="E43" s="78">
        <f>'40'!$F$8</f>
        <v>7.5437235249917318</v>
      </c>
      <c r="F43" s="78" t="str">
        <f>'40'!$F$9</f>
        <v/>
      </c>
      <c r="G43" s="78">
        <f>'40'!$F$10</f>
        <v>9.2052371577349525</v>
      </c>
      <c r="H43" s="78">
        <f>'40'!$F$11</f>
        <v>10.768518931783426</v>
      </c>
      <c r="I43" s="78">
        <f>'40'!$F$12</f>
        <v>9.2306969760365725</v>
      </c>
      <c r="J43" s="78">
        <f>'40'!$F$13</f>
        <v>9.0502275562622252</v>
      </c>
      <c r="K43" s="78">
        <f>'40'!$F$14</f>
        <v>10.466238222862099</v>
      </c>
      <c r="L43" s="78">
        <f>'40'!$F$15</f>
        <v>10.967165383740699</v>
      </c>
      <c r="M43" s="78">
        <f>'40'!$F$16</f>
        <v>8.6537598378362475</v>
      </c>
      <c r="N43" s="78">
        <f>'40'!$F$17</f>
        <v>8.4253715412293015</v>
      </c>
      <c r="O43" s="78">
        <f>'40'!$F$18</f>
        <v>17.519542350341268</v>
      </c>
      <c r="P43" s="78">
        <f>'40'!$F$19</f>
        <v>28.23559947871637</v>
      </c>
      <c r="Q43" s="78">
        <f>'40'!$F$20</f>
        <v>13.852160696463054</v>
      </c>
      <c r="R43" s="78">
        <f>'40'!$F$21</f>
        <v>20.786264180258989</v>
      </c>
      <c r="S43" s="78" t="str">
        <f>'40'!$F$22</f>
        <v/>
      </c>
      <c r="T43" s="78">
        <f>'40'!$F$23</f>
        <v>8.487681914469464</v>
      </c>
      <c r="U43" s="78">
        <f>'40'!$F$24</f>
        <v>13.027536587449932</v>
      </c>
      <c r="V43" s="78">
        <f>'40'!$F$25</f>
        <v>10.711201950036944</v>
      </c>
      <c r="W43" s="78">
        <f>'40'!$F$26</f>
        <v>4.8471863906668906</v>
      </c>
      <c r="X43" s="78">
        <f>'40'!$F$27</f>
        <v>9.8222297012218771</v>
      </c>
      <c r="Y43" s="78">
        <f>'40'!$F$28</f>
        <v>14.260840074111082</v>
      </c>
      <c r="Z43" s="78">
        <f>'40'!$F$29</f>
        <v>7.8523912978398709</v>
      </c>
      <c r="AA43" s="78">
        <f>'40'!$F$30</f>
        <v>10.375683611469745</v>
      </c>
      <c r="AB43" s="78">
        <f>'40'!$F$31</f>
        <v>8.4876815470683766</v>
      </c>
      <c r="AC43" s="78">
        <f>'40'!$F$32</f>
        <v>8.6537595768539806</v>
      </c>
      <c r="AD43" s="99">
        <f>'40'!$F$33</f>
        <v>9.1626000061797441</v>
      </c>
    </row>
    <row r="44" spans="1:30" x14ac:dyDescent="0.2">
      <c r="A44" s="98" t="s">
        <v>1025</v>
      </c>
      <c r="B44" s="78">
        <f>'41'!$F$5</f>
        <v>8.2228200041189599</v>
      </c>
      <c r="C44" s="78" t="str">
        <f>'41'!$F$6</f>
        <v/>
      </c>
      <c r="D44" s="78">
        <f>'41'!$F$7</f>
        <v>7.6743113816144657</v>
      </c>
      <c r="E44" s="78">
        <f>'41'!$F$8</f>
        <v>5.6002260953959517</v>
      </c>
      <c r="F44" s="78" t="str">
        <f>'41'!$F$9</f>
        <v/>
      </c>
      <c r="G44" s="78">
        <f>'41'!$F$10</f>
        <v>11.350087943081483</v>
      </c>
      <c r="H44" s="78">
        <f>'41'!$F$11</f>
        <v>8.3452637138536776</v>
      </c>
      <c r="I44" s="78" t="str">
        <f>'41'!$F$12</f>
        <v/>
      </c>
      <c r="J44" s="78">
        <f>'41'!$F$13</f>
        <v>7.7326937631873056</v>
      </c>
      <c r="K44" s="78" t="str">
        <f>'41'!$F$14</f>
        <v/>
      </c>
      <c r="L44" s="78">
        <f>'41'!$F$15</f>
        <v>17.500048674709323</v>
      </c>
      <c r="M44" s="78">
        <f>'41'!$F$16</f>
        <v>7.2345084400330242</v>
      </c>
      <c r="N44" s="78">
        <f>'41'!$F$17</f>
        <v>7.3540434898061475</v>
      </c>
      <c r="O44" s="78">
        <f>'41'!$F$18</f>
        <v>10.422908999206431</v>
      </c>
      <c r="P44" s="78">
        <f>'41'!$F$19</f>
        <v>23.414550160392469</v>
      </c>
      <c r="Q44" s="78">
        <f>'41'!$F$20</f>
        <v>8.6099920781167754</v>
      </c>
      <c r="R44" s="78">
        <f>'41'!$F$21</f>
        <v>9.8917806543744344</v>
      </c>
      <c r="S44" s="78">
        <f>'41'!$F$22</f>
        <v>9.7454321956007686</v>
      </c>
      <c r="T44" s="78">
        <f>'41'!$F$23</f>
        <v>8.2699682483510593</v>
      </c>
      <c r="U44" s="78" t="str">
        <f>'41'!$F$24</f>
        <v/>
      </c>
      <c r="V44" s="78">
        <f>'41'!$F$25</f>
        <v>8.5568623194987197</v>
      </c>
      <c r="W44" s="78">
        <f>'41'!$F$26</f>
        <v>8.6993278268284104</v>
      </c>
      <c r="X44" s="78">
        <f>'41'!$F$27</f>
        <v>6.7791836037419477</v>
      </c>
      <c r="Y44" s="78">
        <f>'41'!$F$28</f>
        <v>7.4450524914008129</v>
      </c>
      <c r="Z44" s="78">
        <f>'41'!$F$29</f>
        <v>6.8137062901287422</v>
      </c>
      <c r="AA44" s="78">
        <f>'41'!$F$30</f>
        <v>9.7815899545337075</v>
      </c>
      <c r="AB44" s="78">
        <f>'41'!$F$31</f>
        <v>6.8961323688944134</v>
      </c>
      <c r="AC44" s="78">
        <f>'41'!$F$32</f>
        <v>6.8012153005607274</v>
      </c>
      <c r="AD44" s="99">
        <f>'41'!$F$33</f>
        <v>7.9738084700247365</v>
      </c>
    </row>
    <row r="45" spans="1:30" x14ac:dyDescent="0.2">
      <c r="A45" s="98" t="s">
        <v>1049</v>
      </c>
      <c r="B45" s="78">
        <f>'42'!$F$5</f>
        <v>7.4649610016623011</v>
      </c>
      <c r="C45" s="78">
        <f>'42'!$F$6</f>
        <v>6.4091816207652323</v>
      </c>
      <c r="D45" s="78">
        <f>'42'!$F$7</f>
        <v>8.2839308435981511</v>
      </c>
      <c r="E45" s="78">
        <f>'42'!$F$8</f>
        <v>6.6701873479732239</v>
      </c>
      <c r="F45" s="78" t="str">
        <f>'42'!$F$9</f>
        <v/>
      </c>
      <c r="G45" s="78">
        <f>'42'!$F$10</f>
        <v>12.173639276809206</v>
      </c>
      <c r="H45" s="78">
        <f>'42'!$F$11</f>
        <v>4.2514649808634406</v>
      </c>
      <c r="I45" s="78">
        <f>'42'!$F$12</f>
        <v>8.3947667465919871</v>
      </c>
      <c r="J45" s="78">
        <f>'42'!$F$13</f>
        <v>6.8127349518157825</v>
      </c>
      <c r="K45" s="78" t="str">
        <f>'42'!$F$14</f>
        <v/>
      </c>
      <c r="L45" s="78">
        <f>'42'!$F$15</f>
        <v>5.7689917463136933</v>
      </c>
      <c r="M45" s="78">
        <f>'42'!$F$16</f>
        <v>5.4046391637765838</v>
      </c>
      <c r="N45" s="78">
        <f>'42'!$F$17</f>
        <v>7.2833648209726869</v>
      </c>
      <c r="O45" s="78">
        <f>'42'!$F$18</f>
        <v>14.720615769569639</v>
      </c>
      <c r="P45" s="78">
        <f>'42'!$F$19</f>
        <v>9.9097746847112784</v>
      </c>
      <c r="Q45" s="78">
        <f>'42'!$F$20</f>
        <v>8.5515075608716948</v>
      </c>
      <c r="R45" s="78" t="str">
        <f>'42'!$F$21</f>
        <v/>
      </c>
      <c r="S45" s="78">
        <f>'42'!$F$22</f>
        <v>9.0701582084384551</v>
      </c>
      <c r="T45" s="78">
        <f>'42'!$F$23</f>
        <v>6.7541626898046667</v>
      </c>
      <c r="U45" s="78">
        <f>'42'!$F$24</f>
        <v>7.931700627471848</v>
      </c>
      <c r="V45" s="78">
        <f>'42'!$F$25</f>
        <v>18.798557865706869</v>
      </c>
      <c r="W45" s="78">
        <f>'42'!$F$26</f>
        <v>5.5425147462175914</v>
      </c>
      <c r="X45" s="78">
        <f>'42'!$F$27</f>
        <v>4.6473842247630825</v>
      </c>
      <c r="Y45" s="78">
        <f>'42'!$F$28</f>
        <v>6.4284086367483901</v>
      </c>
      <c r="Z45" s="78">
        <f>'42'!$F$29</f>
        <v>7.210187013974565</v>
      </c>
      <c r="AA45" s="78">
        <f>'42'!$F$30</f>
        <v>10.322450061406826</v>
      </c>
      <c r="AB45" s="78">
        <f>'42'!$F$31</f>
        <v>5.7460798349624795</v>
      </c>
      <c r="AC45" s="78">
        <f>'42'!$F$32</f>
        <v>5.5786050434313434</v>
      </c>
      <c r="AD45" s="99">
        <f>'42'!$F$33</f>
        <v>7.5607171732321063</v>
      </c>
    </row>
    <row r="46" spans="1:30" x14ac:dyDescent="0.2">
      <c r="A46" s="98" t="s">
        <v>1050</v>
      </c>
      <c r="B46" s="78">
        <f>'43'!$F$5</f>
        <v>12.602874572041276</v>
      </c>
      <c r="C46" s="78">
        <f>'43'!$F$6</f>
        <v>9.3259647374500574</v>
      </c>
      <c r="D46" s="78">
        <f>'43'!$F$7</f>
        <v>11.287837920493972</v>
      </c>
      <c r="E46" s="78">
        <f>'43'!$F$8</f>
        <v>19.373997616611998</v>
      </c>
      <c r="F46" s="78" t="str">
        <f>'43'!$F$9</f>
        <v/>
      </c>
      <c r="G46" s="78">
        <f>'43'!$F$10</f>
        <v>8.5182126716576914</v>
      </c>
      <c r="H46" s="78">
        <f>'43'!$F$11</f>
        <v>12.920707306852846</v>
      </c>
      <c r="I46" s="78">
        <f>'43'!$F$12</f>
        <v>13.763491157524239</v>
      </c>
      <c r="J46" s="78">
        <f>'43'!$F$13</f>
        <v>28.555494579284531</v>
      </c>
      <c r="K46" s="78">
        <f>'43'!$F$14</f>
        <v>102.23352432583032</v>
      </c>
      <c r="L46" s="78">
        <f>'43'!$F$15</f>
        <v>14.103195038168437</v>
      </c>
      <c r="M46" s="78">
        <f>'43'!$F$16</f>
        <v>10.770480206910669</v>
      </c>
      <c r="N46" s="78">
        <f>'43'!$F$17</f>
        <v>10.856792938175815</v>
      </c>
      <c r="O46" s="78">
        <f>'43'!$F$18</f>
        <v>18.262630325425196</v>
      </c>
      <c r="P46" s="78" t="str">
        <f>'43'!$F$19</f>
        <v/>
      </c>
      <c r="Q46" s="78">
        <f>'43'!$F$20</f>
        <v>17.862176862778995</v>
      </c>
      <c r="R46" s="78">
        <f>'43'!$F$21</f>
        <v>20.595128036839032</v>
      </c>
      <c r="S46" s="78">
        <f>'43'!$F$22</f>
        <v>17.643203783550909</v>
      </c>
      <c r="T46" s="78">
        <f>'43'!$F$23</f>
        <v>9.9267868445858021</v>
      </c>
      <c r="U46" s="78">
        <f>'43'!$F$24</f>
        <v>13.720273899476815</v>
      </c>
      <c r="V46" s="78" t="str">
        <f>'43'!$F$25</f>
        <v/>
      </c>
      <c r="W46" s="78">
        <f>'43'!$F$26</f>
        <v>13.452608742438787</v>
      </c>
      <c r="X46" s="78">
        <f>'43'!$F$27</f>
        <v>11.684336055794448</v>
      </c>
      <c r="Y46" s="78">
        <f>'43'!$F$28</f>
        <v>10.742189942638538</v>
      </c>
      <c r="Z46" s="78">
        <f>'43'!$F$29</f>
        <v>10.675715285744756</v>
      </c>
      <c r="AA46" s="78">
        <f>'43'!$F$30</f>
        <v>14.721044412455031</v>
      </c>
      <c r="AB46" s="78">
        <f>'43'!$F$31</f>
        <v>9.8913027503224935</v>
      </c>
      <c r="AC46" s="78">
        <f>'43'!$F$32</f>
        <v>9.6580050910925976</v>
      </c>
      <c r="AD46" s="99">
        <f>'43'!$F$33</f>
        <v>12.94835688180237</v>
      </c>
    </row>
    <row r="47" spans="1:30" x14ac:dyDescent="0.2">
      <c r="A47" s="98" t="s">
        <v>1061</v>
      </c>
      <c r="B47" s="78">
        <f>'44'!$F$5</f>
        <v>7.814065879730804</v>
      </c>
      <c r="C47" s="78">
        <f>'44'!$F$6</f>
        <v>5.2532902995209012</v>
      </c>
      <c r="D47" s="78">
        <f>'44'!$F$7</f>
        <v>6.3188191845158928</v>
      </c>
      <c r="E47" s="78">
        <f>'44'!$F$8</f>
        <v>7.053324719721016</v>
      </c>
      <c r="F47" s="78" t="str">
        <f>'44'!$F$9</f>
        <v/>
      </c>
      <c r="G47" s="78">
        <f>'44'!$F$10</f>
        <v>10.598295301516156</v>
      </c>
      <c r="H47" s="78">
        <f>'44'!$F$11</f>
        <v>4.062269763966178</v>
      </c>
      <c r="I47" s="78">
        <f>'44'!$F$12</f>
        <v>5.6857308217317923</v>
      </c>
      <c r="J47" s="78">
        <f>'44'!$F$13</f>
        <v>6.2437656471755014</v>
      </c>
      <c r="K47" s="78" t="str">
        <f>'44'!$F$14</f>
        <v/>
      </c>
      <c r="L47" s="78">
        <f>'44'!$F$15</f>
        <v>5.7797332015135234</v>
      </c>
      <c r="M47" s="78">
        <f>'44'!$F$16</f>
        <v>6.2158107204441153</v>
      </c>
      <c r="N47" s="78">
        <f>'44'!$F$17</f>
        <v>5.5913247680855278</v>
      </c>
      <c r="O47" s="78">
        <f>'44'!$F$18</f>
        <v>8.1808253370626289</v>
      </c>
      <c r="P47" s="78" t="str">
        <f>'44'!$F$19</f>
        <v/>
      </c>
      <c r="Q47" s="78">
        <f>'44'!$F$20</f>
        <v>5.9878833495154797</v>
      </c>
      <c r="R47" s="78" t="str">
        <f>'44'!$F$21</f>
        <v/>
      </c>
      <c r="S47" s="78">
        <f>'44'!$F$22</f>
        <v>7.2555232949038411</v>
      </c>
      <c r="T47" s="78">
        <f>'44'!$F$23</f>
        <v>6.5027220615820189</v>
      </c>
      <c r="U47" s="78">
        <f>'44'!$F$24</f>
        <v>6.1268759823922849</v>
      </c>
      <c r="V47" s="78" t="str">
        <f>'44'!$F$25</f>
        <v/>
      </c>
      <c r="W47" s="78">
        <f>'44'!$F$26</f>
        <v>4.4425543137266246</v>
      </c>
      <c r="X47" s="78">
        <f>'44'!$F$27</f>
        <v>7.7831891341270101</v>
      </c>
      <c r="Y47" s="78">
        <f>'44'!$F$28</f>
        <v>6.5233352709516454</v>
      </c>
      <c r="Z47" s="78">
        <f>'44'!$F$29</f>
        <v>5.9226956314588044</v>
      </c>
      <c r="AA47" s="78">
        <f>'44'!$F$30</f>
        <v>8.4823029024242338</v>
      </c>
      <c r="AB47" s="78">
        <f>'44'!$F$31</f>
        <v>6.7342146731626604</v>
      </c>
      <c r="AC47" s="78">
        <f>'44'!$F$32</f>
        <v>7.6582640145630618</v>
      </c>
      <c r="AD47" s="99">
        <f>'44'!$F$33</f>
        <v>6.4755124378268381</v>
      </c>
    </row>
    <row r="48" spans="1:30" x14ac:dyDescent="0.2">
      <c r="A48" s="98" t="s">
        <v>1026</v>
      </c>
      <c r="B48" s="78">
        <f>'45'!$F$5</f>
        <v>6.2845055751547667</v>
      </c>
      <c r="C48" s="78">
        <f>'45'!$F$6</f>
        <v>9.4125175628427442</v>
      </c>
      <c r="D48" s="78">
        <f>'45'!$F$7</f>
        <v>7.7084878669101071</v>
      </c>
      <c r="E48" s="78">
        <f>'45'!$F$8</f>
        <v>6.897498239660969</v>
      </c>
      <c r="F48" s="78" t="str">
        <f>'45'!$F$9</f>
        <v/>
      </c>
      <c r="G48" s="78">
        <f>'45'!$F$10</f>
        <v>14.114252705453829</v>
      </c>
      <c r="H48" s="78">
        <f>'45'!$F$11</f>
        <v>9.7846546126795193</v>
      </c>
      <c r="I48" s="78">
        <f>'45'!$F$12</f>
        <v>7.1633113181215879</v>
      </c>
      <c r="J48" s="78">
        <f>'45'!$F$13</f>
        <v>8.0526517792879968</v>
      </c>
      <c r="K48" s="78">
        <f>'45'!$F$14</f>
        <v>6.625697132771335</v>
      </c>
      <c r="L48" s="78">
        <f>'45'!$F$15</f>
        <v>8.3939382272295902</v>
      </c>
      <c r="M48" s="78">
        <f>'45'!$F$16</f>
        <v>8.2525760286658674</v>
      </c>
      <c r="N48" s="78">
        <f>'45'!$F$17</f>
        <v>6.9037251767445564</v>
      </c>
      <c r="O48" s="78">
        <f>'45'!$F$18</f>
        <v>10.752521000156218</v>
      </c>
      <c r="P48" s="78">
        <f>'45'!$F$19</f>
        <v>17.150528497876557</v>
      </c>
      <c r="Q48" s="78">
        <f>'45'!$F$20</f>
        <v>9.4305176853942978</v>
      </c>
      <c r="R48" s="78">
        <f>'45'!$F$21</f>
        <v>11.041528237940677</v>
      </c>
      <c r="S48" s="78">
        <f>'45'!$F$22</f>
        <v>7.949910247554274</v>
      </c>
      <c r="T48" s="78">
        <f>'45'!$F$23</f>
        <v>7.9824459580555249</v>
      </c>
      <c r="U48" s="78">
        <f>'45'!$F$24</f>
        <v>8.9389164308887636</v>
      </c>
      <c r="V48" s="78">
        <f>'45'!$F$25</f>
        <v>6.6122801280384067</v>
      </c>
      <c r="W48" s="78">
        <f>'45'!$F$26</f>
        <v>6.6228118386536874</v>
      </c>
      <c r="X48" s="78">
        <f>'45'!$F$27</f>
        <v>14.034900817943628</v>
      </c>
      <c r="Y48" s="78">
        <f>'45'!$F$28</f>
        <v>8.6450866465158072</v>
      </c>
      <c r="Z48" s="78">
        <f>'45'!$F$29</f>
        <v>7.6884444760631458</v>
      </c>
      <c r="AA48" s="78">
        <f>'45'!$F$30</f>
        <v>10.10002151242872</v>
      </c>
      <c r="AB48" s="78">
        <f>'45'!$F$31</f>
        <v>8.6675577251437108</v>
      </c>
      <c r="AC48" s="78">
        <f>'45'!$F$32</f>
        <v>6.5599846442850618</v>
      </c>
      <c r="AD48" s="99">
        <f>'45'!$F$33</f>
        <v>8.4830775317788856</v>
      </c>
    </row>
    <row r="49" spans="1:30" x14ac:dyDescent="0.2">
      <c r="A49" s="98" t="s">
        <v>1051</v>
      </c>
      <c r="B49" s="78">
        <f>'46'!$F$5</f>
        <v>9.6765441817051911</v>
      </c>
      <c r="C49" s="78">
        <f>'46'!$F$6</f>
        <v>8.8643707492293071</v>
      </c>
      <c r="D49" s="78">
        <f>'46'!$F$7</f>
        <v>6.9999116115810605</v>
      </c>
      <c r="E49" s="78">
        <f>'46'!$F$8</f>
        <v>7.4606221917387483</v>
      </c>
      <c r="F49" s="78" t="str">
        <f>'46'!$F$9</f>
        <v/>
      </c>
      <c r="G49" s="78" t="str">
        <f>'46'!$F$10</f>
        <v/>
      </c>
      <c r="H49" s="78">
        <f>'46'!$F$11</f>
        <v>7.4845296665392995</v>
      </c>
      <c r="I49" s="78">
        <f>'46'!$F$12</f>
        <v>6.6091361111821678</v>
      </c>
      <c r="J49" s="78">
        <f>'46'!$F$13</f>
        <v>8.2179337484597905</v>
      </c>
      <c r="K49" s="78" t="str">
        <f>'46'!$F$14</f>
        <v/>
      </c>
      <c r="L49" s="78">
        <f>'46'!$F$15</f>
        <v>6.6090543579342054</v>
      </c>
      <c r="M49" s="78">
        <f>'46'!$F$16</f>
        <v>7.8967053565206555</v>
      </c>
      <c r="N49" s="78">
        <f>'46'!$F$17</f>
        <v>7.3972992468084868</v>
      </c>
      <c r="O49" s="78">
        <f>'46'!$F$18</f>
        <v>8.0851765103685409</v>
      </c>
      <c r="P49" s="78" t="str">
        <f>'46'!$F$19</f>
        <v/>
      </c>
      <c r="Q49" s="78">
        <f>'46'!$F$20</f>
        <v>7.3927988665922761</v>
      </c>
      <c r="R49" s="78" t="str">
        <f>'46'!$F$21</f>
        <v/>
      </c>
      <c r="S49" s="78">
        <f>'46'!$F$22</f>
        <v>7.9305174207575027</v>
      </c>
      <c r="T49" s="78">
        <f>'46'!$F$23</f>
        <v>9.3020940950884281</v>
      </c>
      <c r="U49" s="78">
        <f>'46'!$F$24</f>
        <v>9.2254269201153836</v>
      </c>
      <c r="V49" s="78" t="str">
        <f>'46'!$F$25</f>
        <v/>
      </c>
      <c r="W49" s="78">
        <f>'46'!$F$26</f>
        <v>31.892563684011915</v>
      </c>
      <c r="X49" s="78">
        <f>'46'!$F$27</f>
        <v>7.4594260475832161</v>
      </c>
      <c r="Y49" s="78">
        <f>'46'!$F$28</f>
        <v>7.8960613507832447</v>
      </c>
      <c r="Z49" s="78">
        <f>'46'!$F$29</f>
        <v>7.4740515315249869</v>
      </c>
      <c r="AA49" s="78">
        <f>'46'!$F$30</f>
        <v>7.1527222002512882</v>
      </c>
      <c r="AB49" s="78">
        <f>'46'!$F$31</f>
        <v>7.0265148613922435</v>
      </c>
      <c r="AC49" s="78">
        <f>'46'!$F$32</f>
        <v>7.5226222244739809</v>
      </c>
      <c r="AD49" s="99">
        <f>'46'!$F$33</f>
        <v>7.7827750768883579</v>
      </c>
    </row>
    <row r="50" spans="1:30" x14ac:dyDescent="0.2">
      <c r="A50" s="98" t="s">
        <v>1052</v>
      </c>
      <c r="B50" s="78">
        <f>'47'!$F$5</f>
        <v>8.90578700874552</v>
      </c>
      <c r="C50" s="78">
        <f>'47'!$F$6</f>
        <v>10.03526759977046</v>
      </c>
      <c r="D50" s="78">
        <f>'47'!$F$7</f>
        <v>9.4123567698237931</v>
      </c>
      <c r="E50" s="78">
        <f>'47'!$F$8</f>
        <v>8.0401062120657159</v>
      </c>
      <c r="F50" s="78" t="str">
        <f>'47'!$F$9</f>
        <v/>
      </c>
      <c r="G50" s="78">
        <f>'47'!$F$10</f>
        <v>12.688476733268331</v>
      </c>
      <c r="H50" s="78">
        <f>'47'!$F$11</f>
        <v>15.182218588596617</v>
      </c>
      <c r="I50" s="78">
        <f>'47'!$F$12</f>
        <v>61.62930636915263</v>
      </c>
      <c r="J50" s="78">
        <f>'47'!$F$13</f>
        <v>8.1535504844637998</v>
      </c>
      <c r="K50" s="78" t="str">
        <f>'47'!$F$14</f>
        <v/>
      </c>
      <c r="L50" s="78">
        <f>'47'!$F$15</f>
        <v>7.9773533999706574</v>
      </c>
      <c r="M50" s="78">
        <f>'47'!$F$16</f>
        <v>10.055810694297842</v>
      </c>
      <c r="N50" s="78">
        <f>'47'!$F$17</f>
        <v>7.3577144647028572</v>
      </c>
      <c r="O50" s="78">
        <f>'47'!$F$18</f>
        <v>13.747781388364801</v>
      </c>
      <c r="P50" s="78" t="str">
        <f>'47'!$F$19</f>
        <v/>
      </c>
      <c r="Q50" s="78">
        <f>'47'!$F$20</f>
        <v>11.015033486525219</v>
      </c>
      <c r="R50" s="78">
        <f>'47'!$F$21</f>
        <v>16.254577987046201</v>
      </c>
      <c r="S50" s="78">
        <f>'47'!$F$22</f>
        <v>11.840839193000615</v>
      </c>
      <c r="T50" s="78">
        <f>'47'!$F$23</f>
        <v>11.596382972254801</v>
      </c>
      <c r="U50" s="78" t="str">
        <f>'47'!$F$24</f>
        <v/>
      </c>
      <c r="V50" s="78">
        <f>'47'!$F$25</f>
        <v>16.015253383014525</v>
      </c>
      <c r="W50" s="78">
        <f>'47'!$F$26</f>
        <v>6.0869445594851133</v>
      </c>
      <c r="X50" s="78">
        <f>'47'!$F$27</f>
        <v>9.4222803167161828</v>
      </c>
      <c r="Y50" s="78">
        <f>'47'!$F$28</f>
        <v>13.846660885382114</v>
      </c>
      <c r="Z50" s="78">
        <f>'47'!$F$29</f>
        <v>8.3209962960155028</v>
      </c>
      <c r="AA50" s="78">
        <f>'47'!$F$30</f>
        <v>13.065569679716818</v>
      </c>
      <c r="AB50" s="78">
        <f>'47'!$F$31</f>
        <v>8.8407549919488435</v>
      </c>
      <c r="AC50" s="78">
        <f>'47'!$F$32</f>
        <v>8.8154517957129368</v>
      </c>
      <c r="AD50" s="99">
        <f>'47'!$F$33</f>
        <v>10.447219920734884</v>
      </c>
    </row>
    <row r="51" spans="1:30" x14ac:dyDescent="0.2">
      <c r="A51" s="98" t="s">
        <v>1053</v>
      </c>
      <c r="B51" s="78">
        <f>'48'!$F$5</f>
        <v>11.286221050785725</v>
      </c>
      <c r="C51" s="78">
        <f>'48'!$F$6</f>
        <v>11.488427960151672</v>
      </c>
      <c r="D51" s="78">
        <f>'48'!$F$7</f>
        <v>8.0690670799463184</v>
      </c>
      <c r="E51" s="78">
        <f>'48'!$F$8</f>
        <v>8.2412505232127415</v>
      </c>
      <c r="F51" s="78" t="str">
        <f>'48'!$F$9</f>
        <v/>
      </c>
      <c r="G51" s="78">
        <f>'48'!$F$10</f>
        <v>10.326191349286297</v>
      </c>
      <c r="H51" s="78">
        <f>'48'!$F$11</f>
        <v>7.9750238818443853</v>
      </c>
      <c r="I51" s="78">
        <f>'48'!$F$12</f>
        <v>12.169810145207723</v>
      </c>
      <c r="J51" s="78">
        <f>'48'!$F$13</f>
        <v>11.164595507445364</v>
      </c>
      <c r="K51" s="78" t="str">
        <f>'48'!$F$14</f>
        <v/>
      </c>
      <c r="L51" s="78">
        <f>'48'!$F$15</f>
        <v>13.605959099445231</v>
      </c>
      <c r="M51" s="78">
        <f>'48'!$F$16</f>
        <v>9.0045018370934873</v>
      </c>
      <c r="N51" s="78">
        <f>'48'!$F$17</f>
        <v>9.1651259947580996</v>
      </c>
      <c r="O51" s="78">
        <f>'48'!$F$18</f>
        <v>14.98463495590717</v>
      </c>
      <c r="P51" s="78" t="str">
        <f>'48'!$F$19</f>
        <v/>
      </c>
      <c r="Q51" s="78">
        <f>'48'!$F$20</f>
        <v>9.6998882550540753</v>
      </c>
      <c r="R51" s="78">
        <f>'48'!$F$21</f>
        <v>11.529515338285783</v>
      </c>
      <c r="S51" s="78">
        <f>'48'!$F$22</f>
        <v>11.140601957870807</v>
      </c>
      <c r="T51" s="78">
        <f>'48'!$F$23</f>
        <v>11.358030205686557</v>
      </c>
      <c r="U51" s="78">
        <f>'48'!$F$24</f>
        <v>11.381925409780854</v>
      </c>
      <c r="V51" s="78">
        <f>'48'!$F$25</f>
        <v>18.635161965104999</v>
      </c>
      <c r="W51" s="78">
        <f>'48'!$F$26</f>
        <v>8.245081456498772</v>
      </c>
      <c r="X51" s="78">
        <f>'48'!$F$27</f>
        <v>7.2931166249794641</v>
      </c>
      <c r="Y51" s="78">
        <f>'48'!$F$28</f>
        <v>9.3396782898002364</v>
      </c>
      <c r="Z51" s="78">
        <f>'48'!$F$29</f>
        <v>7.703147646438282</v>
      </c>
      <c r="AA51" s="78">
        <f>'48'!$F$30</f>
        <v>10.796045837440111</v>
      </c>
      <c r="AB51" s="78">
        <f>'48'!$F$31</f>
        <v>7.8010141831300182</v>
      </c>
      <c r="AC51" s="78">
        <f>'48'!$F$32</f>
        <v>10.989636681595341</v>
      </c>
      <c r="AD51" s="99">
        <f>'48'!$F$33</f>
        <v>9.454559453193756</v>
      </c>
    </row>
    <row r="52" spans="1:30" x14ac:dyDescent="0.2">
      <c r="A52" s="98" t="s">
        <v>1054</v>
      </c>
      <c r="B52" s="78">
        <f>'49'!$F$5</f>
        <v>7.6131339981040167</v>
      </c>
      <c r="C52" s="78">
        <f>'49'!$F$6</f>
        <v>8.2390264386532444</v>
      </c>
      <c r="D52" s="78">
        <f>'49'!$F$7</f>
        <v>5.4939706986436398</v>
      </c>
      <c r="E52" s="78">
        <f>'49'!$F$8</f>
        <v>7.6811163098456259</v>
      </c>
      <c r="F52" s="78" t="str">
        <f>'49'!$F$9</f>
        <v/>
      </c>
      <c r="G52" s="78">
        <f>'49'!$F$10</f>
        <v>5.4804409532888831</v>
      </c>
      <c r="H52" s="78">
        <f>'49'!$F$11</f>
        <v>5.8620282562511035</v>
      </c>
      <c r="I52" s="78">
        <f>'49'!$F$12</f>
        <v>6.0222651572269337</v>
      </c>
      <c r="J52" s="78">
        <f>'49'!$F$13</f>
        <v>7.7704587541693089</v>
      </c>
      <c r="K52" s="78" t="str">
        <f>'49'!$F$14</f>
        <v/>
      </c>
      <c r="L52" s="78">
        <f>'49'!$F$15</f>
        <v>3.6582557232646695</v>
      </c>
      <c r="M52" s="78">
        <f>'49'!$F$16</f>
        <v>6.0191321050673903</v>
      </c>
      <c r="N52" s="78">
        <f>'49'!$F$17</f>
        <v>4.7354119004208464</v>
      </c>
      <c r="O52" s="78" t="str">
        <f>'49'!$F$18</f>
        <v/>
      </c>
      <c r="P52" s="78" t="str">
        <f>'49'!$F$19</f>
        <v/>
      </c>
      <c r="Q52" s="78">
        <f>'49'!$F$20</f>
        <v>6.7291429691057045</v>
      </c>
      <c r="R52" s="78" t="str">
        <f>'49'!$F$21</f>
        <v/>
      </c>
      <c r="S52" s="78">
        <f>'49'!$F$22</f>
        <v>9.1673069092821482</v>
      </c>
      <c r="T52" s="78">
        <f>'49'!$F$23</f>
        <v>5.6322657549436554</v>
      </c>
      <c r="U52" s="78" t="str">
        <f>'49'!$F$24</f>
        <v/>
      </c>
      <c r="V52" s="78">
        <f>'49'!$F$25</f>
        <v>3.6582557232646695</v>
      </c>
      <c r="W52" s="78">
        <f>'49'!$F$26</f>
        <v>6.4603972502665323</v>
      </c>
      <c r="X52" s="78">
        <f>'49'!$F$27</f>
        <v>10.290644289156143</v>
      </c>
      <c r="Y52" s="78">
        <f>'49'!$F$28</f>
        <v>4.856422787286192</v>
      </c>
      <c r="Z52" s="78">
        <f>'49'!$F$29</f>
        <v>6.5073060456644454</v>
      </c>
      <c r="AA52" s="78">
        <f>'49'!$F$30</f>
        <v>8.5234474197287131</v>
      </c>
      <c r="AB52" s="78">
        <f>'49'!$F$31</f>
        <v>6.9883857011407757</v>
      </c>
      <c r="AC52" s="78">
        <f>'49'!$F$32</f>
        <v>5.5123081303335297</v>
      </c>
      <c r="AD52" s="99">
        <f>'49'!$F$33</f>
        <v>6.4073979708872129</v>
      </c>
    </row>
    <row r="53" spans="1:30" x14ac:dyDescent="0.2">
      <c r="A53" s="98" t="s">
        <v>1062</v>
      </c>
      <c r="B53" s="78">
        <f>'50'!$F$5</f>
        <v>11.485946961662203</v>
      </c>
      <c r="C53" s="78">
        <f>'50'!$F$6</f>
        <v>7.4772194610925959</v>
      </c>
      <c r="D53" s="78">
        <f>'50'!$F$7</f>
        <v>7.973868792063719</v>
      </c>
      <c r="E53" s="78">
        <f>'50'!$F$8</f>
        <v>6.1844843648300172</v>
      </c>
      <c r="F53" s="78" t="str">
        <f>'50'!$F$9</f>
        <v/>
      </c>
      <c r="G53" s="78">
        <f>'50'!$F$10</f>
        <v>9.9134036716189122</v>
      </c>
      <c r="H53" s="78">
        <f>'50'!$F$11</f>
        <v>11.762944752873548</v>
      </c>
      <c r="I53" s="78">
        <f>'50'!$F$12</f>
        <v>14.341682642166669</v>
      </c>
      <c r="J53" s="78">
        <f>'50'!$F$13</f>
        <v>8.3562579408329221</v>
      </c>
      <c r="K53" s="78" t="str">
        <f>'50'!$F$14</f>
        <v/>
      </c>
      <c r="L53" s="78">
        <f>'50'!$F$15</f>
        <v>8.5131501131987157</v>
      </c>
      <c r="M53" s="78">
        <f>'50'!$F$16</f>
        <v>7.7295331647933798</v>
      </c>
      <c r="N53" s="78">
        <f>'50'!$F$17</f>
        <v>9.3984672819486228</v>
      </c>
      <c r="O53" s="78">
        <f>'50'!$F$18</f>
        <v>17.479267957807206</v>
      </c>
      <c r="P53" s="78">
        <f>'50'!$F$19</f>
        <v>21.276748101017844</v>
      </c>
      <c r="Q53" s="78">
        <f>'50'!$F$20</f>
        <v>10.231799518014022</v>
      </c>
      <c r="R53" s="78" t="str">
        <f>'50'!$F$21</f>
        <v/>
      </c>
      <c r="S53" s="78">
        <f>'50'!$F$22</f>
        <v>11.241996632800518</v>
      </c>
      <c r="T53" s="78">
        <f>'50'!$F$23</f>
        <v>8.1825832316798301</v>
      </c>
      <c r="U53" s="78">
        <f>'50'!$F$24</f>
        <v>8.6927651434803845</v>
      </c>
      <c r="V53" s="78" t="str">
        <f>'50'!$F$25</f>
        <v/>
      </c>
      <c r="W53" s="78">
        <f>'50'!$F$26</f>
        <v>12.37724135723079</v>
      </c>
      <c r="X53" s="78">
        <f>'50'!$F$27</f>
        <v>9.5079955793632198</v>
      </c>
      <c r="Y53" s="78">
        <f>'50'!$F$28</f>
        <v>11.611070952159119</v>
      </c>
      <c r="Z53" s="78">
        <f>'50'!$F$29</f>
        <v>7.3386008038866555</v>
      </c>
      <c r="AA53" s="78">
        <f>'50'!$F$30</f>
        <v>9.6200078753677847</v>
      </c>
      <c r="AB53" s="78">
        <f>'50'!$F$31</f>
        <v>5.1538770806086758</v>
      </c>
      <c r="AC53" s="78">
        <f>'50'!$F$32</f>
        <v>9.4043468726447337</v>
      </c>
      <c r="AD53" s="99">
        <f>'50'!$F$33</f>
        <v>8.6705042465997462</v>
      </c>
    </row>
    <row r="54" spans="1:30" x14ac:dyDescent="0.2">
      <c r="A54" s="96" t="s">
        <v>928</v>
      </c>
      <c r="B54" s="78">
        <f>'51'!$F$5</f>
        <v>11.11841774633014</v>
      </c>
      <c r="C54" s="78">
        <f>'51'!$F$6</f>
        <v>10.719789035465029</v>
      </c>
      <c r="D54" s="78">
        <f>'51'!$F$7</f>
        <v>7.3579653164929573</v>
      </c>
      <c r="E54" s="78">
        <f>'51'!$F$8</f>
        <v>6.2594866850211961</v>
      </c>
      <c r="F54" s="78" t="str">
        <f>'51'!$F$9</f>
        <v/>
      </c>
      <c r="G54" s="78">
        <f>'51'!$F$10</f>
        <v>14.68042364895525</v>
      </c>
      <c r="H54" s="78">
        <f>'51'!$F$11</f>
        <v>13.271456012267995</v>
      </c>
      <c r="I54" s="78">
        <f>'51'!$F$12</f>
        <v>27.247385878748485</v>
      </c>
      <c r="J54" s="78">
        <f>'51'!$F$13</f>
        <v>8.8541448307472486</v>
      </c>
      <c r="K54" s="78">
        <f>'51'!$F$14</f>
        <v>38.785205796189146</v>
      </c>
      <c r="L54" s="78">
        <f>'51'!$F$15</f>
        <v>7.6266060233049844</v>
      </c>
      <c r="M54" s="78">
        <f>'51'!$F$16</f>
        <v>8.814085765505455</v>
      </c>
      <c r="N54" s="78">
        <f>'51'!$F$17</f>
        <v>6.8898523384030321</v>
      </c>
      <c r="O54" s="78">
        <f>'51'!$F$18</f>
        <v>9.4325493109433207</v>
      </c>
      <c r="P54" s="78">
        <f>'51'!$F$19</f>
        <v>13.5963476327018</v>
      </c>
      <c r="Q54" s="78">
        <f>'51'!$F$20</f>
        <v>15.361737677467241</v>
      </c>
      <c r="R54" s="78" t="str">
        <f>'51'!$F$21</f>
        <v/>
      </c>
      <c r="S54" s="78">
        <f>'51'!$F$22</f>
        <v>10.738149455563169</v>
      </c>
      <c r="T54" s="78">
        <f>'51'!$F$23</f>
        <v>8.4584190365083369</v>
      </c>
      <c r="U54" s="78">
        <f>'51'!$F$24</f>
        <v>7.735342577861779</v>
      </c>
      <c r="V54" s="78">
        <f>'51'!$F$25</f>
        <v>8.8403399597965322</v>
      </c>
      <c r="W54" s="78">
        <f>'51'!$F$26</f>
        <v>7.3014067393134798</v>
      </c>
      <c r="X54" s="78">
        <f>'51'!$F$27</f>
        <v>8.5537124742226762</v>
      </c>
      <c r="Y54" s="78">
        <f>'51'!$F$28</f>
        <v>7.4417014133991106</v>
      </c>
      <c r="Z54" s="78">
        <f>'51'!$F$29</f>
        <v>5.7030523607393118</v>
      </c>
      <c r="AA54" s="78">
        <f>'51'!$F$30</f>
        <v>5.8481354463767978</v>
      </c>
      <c r="AB54" s="78">
        <f>'51'!$F$31</f>
        <v>8.0363102745907735</v>
      </c>
      <c r="AC54" s="78">
        <f>'51'!$F$32</f>
        <v>8.8540533175920721</v>
      </c>
      <c r="AD54" s="99">
        <f>'51'!$F$33</f>
        <v>8.484250802964258</v>
      </c>
    </row>
    <row r="55" spans="1:30" x14ac:dyDescent="0.2">
      <c r="A55" s="96" t="s">
        <v>929</v>
      </c>
      <c r="B55" s="78">
        <f>'52'!$F$5</f>
        <v>18.37238983720767</v>
      </c>
      <c r="C55" s="78">
        <f>'52'!$F$6</f>
        <v>18.373001371598999</v>
      </c>
      <c r="D55" s="78" t="str">
        <f>'52'!$F$7</f>
        <v/>
      </c>
      <c r="E55" s="78">
        <f>'52'!$F$8</f>
        <v>13.309818570768108</v>
      </c>
      <c r="F55" s="78" t="str">
        <f>'52'!$F$9</f>
        <v/>
      </c>
      <c r="G55" s="78">
        <f>'52'!$F$10</f>
        <v>18.37299728447281</v>
      </c>
      <c r="H55" s="78">
        <f>'52'!$F$11</f>
        <v>13.309825567823273</v>
      </c>
      <c r="I55" s="78">
        <f>'52'!$F$12</f>
        <v>18.372723573261599</v>
      </c>
      <c r="J55" s="78">
        <f>'52'!$F$13</f>
        <v>18.372968570166904</v>
      </c>
      <c r="K55" s="78" t="str">
        <f>'52'!$F$14</f>
        <v/>
      </c>
      <c r="L55" s="78">
        <f>'52'!$F$15</f>
        <v>21.619404864543785</v>
      </c>
      <c r="M55" s="78">
        <f>'52'!$F$16</f>
        <v>133.87054540825449</v>
      </c>
      <c r="N55" s="78">
        <f>'52'!$F$17</f>
        <v>133.86882235061037</v>
      </c>
      <c r="O55" s="78">
        <f>'52'!$F$18</f>
        <v>17.296040573965296</v>
      </c>
      <c r="P55" s="78" t="str">
        <f>'52'!$F$19</f>
        <v/>
      </c>
      <c r="Q55" s="78">
        <f>'52'!$F$20</f>
        <v>17.29601535812866</v>
      </c>
      <c r="R55" s="78" t="str">
        <f>'52'!$F$21</f>
        <v/>
      </c>
      <c r="S55" s="78">
        <f>'52'!$F$22</f>
        <v>17.296009504541718</v>
      </c>
      <c r="T55" s="78">
        <f>'52'!$F$23</f>
        <v>133.87139269693074</v>
      </c>
      <c r="U55" s="78">
        <f>'52'!$F$24</f>
        <v>14.865356871385552</v>
      </c>
      <c r="V55" s="78">
        <f>'52'!$F$25</f>
        <v>14.865386339890719</v>
      </c>
      <c r="W55" s="78">
        <f>'52'!$F$26</f>
        <v>18.373150648509171</v>
      </c>
      <c r="X55" s="78">
        <f>'52'!$F$27</f>
        <v>10.82120330299133</v>
      </c>
      <c r="Y55" s="78">
        <f>'52'!$F$28</f>
        <v>13.309629228917256</v>
      </c>
      <c r="Z55" s="78">
        <f>'52'!$F$29</f>
        <v>133.87079007985082</v>
      </c>
      <c r="AA55" s="78">
        <f>'52'!$F$30</f>
        <v>13.309798469154472</v>
      </c>
      <c r="AB55" s="78">
        <f>'52'!$F$31</f>
        <v>10.824239316391665</v>
      </c>
      <c r="AC55" s="78">
        <f>'52'!$F$32</f>
        <v>10.823219432023588</v>
      </c>
      <c r="AD55" s="99">
        <f>'52'!$F$33</f>
        <v>17.338861466582589</v>
      </c>
    </row>
    <row r="56" spans="1:30" x14ac:dyDescent="0.2">
      <c r="A56" s="96" t="s">
        <v>930</v>
      </c>
      <c r="B56" s="78" t="str">
        <f>'53'!$F$5</f>
        <v/>
      </c>
      <c r="C56" s="78">
        <f>'53'!$F$6</f>
        <v>13.567753131415524</v>
      </c>
      <c r="D56" s="78">
        <f>'53'!$F$7</f>
        <v>8.3791849349281602</v>
      </c>
      <c r="E56" s="78">
        <f>'53'!$F$8</f>
        <v>8.632161800878956</v>
      </c>
      <c r="F56" s="78" t="str">
        <f>'53'!$F$9</f>
        <v/>
      </c>
      <c r="G56" s="78">
        <f>'53'!$F$10</f>
        <v>9.468775283383053</v>
      </c>
      <c r="H56" s="78">
        <f>'53'!$F$11</f>
        <v>8.6321345826036175</v>
      </c>
      <c r="I56" s="78">
        <f>'53'!$F$12</f>
        <v>9.4689777886223592</v>
      </c>
      <c r="J56" s="78" t="str">
        <f>'53'!$F$13</f>
        <v/>
      </c>
      <c r="K56" s="78" t="str">
        <f>'53'!$F$14</f>
        <v/>
      </c>
      <c r="L56" s="78">
        <f>'53'!$F$15</f>
        <v>11.624167181809391</v>
      </c>
      <c r="M56" s="78">
        <f>'53'!$F$16</f>
        <v>8.3537293369967465</v>
      </c>
      <c r="N56" s="78" t="str">
        <f>'53'!$F$17</f>
        <v/>
      </c>
      <c r="O56" s="78" t="str">
        <f>'53'!$F$18</f>
        <v/>
      </c>
      <c r="P56" s="78" t="str">
        <f>'53'!$F$19</f>
        <v/>
      </c>
      <c r="Q56" s="78">
        <f>'53'!$F$20</f>
        <v>9.4691996369630882</v>
      </c>
      <c r="R56" s="78" t="str">
        <f>'53'!$F$21</f>
        <v/>
      </c>
      <c r="S56" s="78" t="str">
        <f>'53'!$F$22</f>
        <v/>
      </c>
      <c r="T56" s="78">
        <f>'53'!$F$23</f>
        <v>8.5828801070009817</v>
      </c>
      <c r="U56" s="78">
        <f>'53'!$F$24</f>
        <v>12.073371401924886</v>
      </c>
      <c r="V56" s="78">
        <f>'53'!$F$25</f>
        <v>12.07300314741105</v>
      </c>
      <c r="W56" s="78">
        <f>'53'!$F$26</f>
        <v>9.4689905692606491</v>
      </c>
      <c r="X56" s="78" t="str">
        <f>'53'!$F$27</f>
        <v/>
      </c>
      <c r="Y56" s="78" t="str">
        <f>'53'!$F$28</f>
        <v/>
      </c>
      <c r="Z56" s="78">
        <f>'53'!$F$29</f>
        <v>8.0040937283789173</v>
      </c>
      <c r="AA56" s="78">
        <f>'53'!$F$30</f>
        <v>8.6318715061566955</v>
      </c>
      <c r="AB56" s="78">
        <f>'53'!$F$31</f>
        <v>14.808314917894226</v>
      </c>
      <c r="AC56" s="78">
        <f>'53'!$F$32</f>
        <v>14.622586375095322</v>
      </c>
      <c r="AD56" s="99">
        <f>'53'!$F$33</f>
        <v>10.494000281236815</v>
      </c>
    </row>
    <row r="57" spans="1:30" x14ac:dyDescent="0.2">
      <c r="A57" s="96" t="s">
        <v>931</v>
      </c>
      <c r="B57" s="78">
        <f>'54'!$F$5</f>
        <v>13.549517786236182</v>
      </c>
      <c r="C57" s="78">
        <f>'54'!$F$6</f>
        <v>9.5823042513618937</v>
      </c>
      <c r="D57" s="78">
        <f>'54'!$F$7</f>
        <v>10.655087891654203</v>
      </c>
      <c r="E57" s="78">
        <f>'54'!$F$8</f>
        <v>7.4461328210937685</v>
      </c>
      <c r="F57" s="78">
        <f>'54'!$F$9</f>
        <v>27.916216772747589</v>
      </c>
      <c r="G57" s="78">
        <f>'54'!$F$10</f>
        <v>7.9551619956226505</v>
      </c>
      <c r="H57" s="78">
        <f>'54'!$F$11</f>
        <v>8.6416508452044649</v>
      </c>
      <c r="I57" s="78">
        <f>'54'!$F$12</f>
        <v>8.4913547813489192</v>
      </c>
      <c r="J57" s="78">
        <f>'54'!$F$13</f>
        <v>16.40954852675333</v>
      </c>
      <c r="K57" s="78" t="str">
        <f>'54'!$F$14</f>
        <v/>
      </c>
      <c r="L57" s="78">
        <f>'54'!$F$15</f>
        <v>12.324894767316035</v>
      </c>
      <c r="M57" s="78">
        <f>'54'!$F$16</f>
        <v>8.0222941350140307</v>
      </c>
      <c r="N57" s="78">
        <f>'54'!$F$17</f>
        <v>12.297709984000107</v>
      </c>
      <c r="O57" s="78">
        <f>'54'!$F$18</f>
        <v>8.7019416390742474</v>
      </c>
      <c r="P57" s="78" t="str">
        <f>'54'!$F$19</f>
        <v/>
      </c>
      <c r="Q57" s="78">
        <f>'54'!$F$20</f>
        <v>8.2402240497252848</v>
      </c>
      <c r="R57" s="78" t="str">
        <f>'54'!$F$21</f>
        <v/>
      </c>
      <c r="S57" s="78" t="str">
        <f>'54'!$F$22</f>
        <v/>
      </c>
      <c r="T57" s="78">
        <f>'54'!$F$23</f>
        <v>9.6561223597905315</v>
      </c>
      <c r="U57" s="78">
        <f>'54'!$F$24</f>
        <v>10.684033272233769</v>
      </c>
      <c r="V57" s="78">
        <f>'54'!$F$25</f>
        <v>10.208018052923858</v>
      </c>
      <c r="W57" s="78">
        <f>'54'!$F$26</f>
        <v>7.6496687356793149</v>
      </c>
      <c r="X57" s="78" t="str">
        <f>'54'!$F$27</f>
        <v/>
      </c>
      <c r="Y57" s="78">
        <f>'54'!$F$28</f>
        <v>13.53154477125309</v>
      </c>
      <c r="Z57" s="78">
        <f>'54'!$F$29</f>
        <v>11.336282540167099</v>
      </c>
      <c r="AA57" s="78">
        <f>'54'!$F$30</f>
        <v>12.911438524474578</v>
      </c>
      <c r="AB57" s="78">
        <f>'54'!$F$31</f>
        <v>9.6108739241589696</v>
      </c>
      <c r="AC57" s="78">
        <f>'54'!$F$32</f>
        <v>8.0325229417900079</v>
      </c>
      <c r="AD57" s="99">
        <f>'54'!$F$33</f>
        <v>10.35658725568843</v>
      </c>
    </row>
    <row r="58" spans="1:30" x14ac:dyDescent="0.2">
      <c r="A58" s="96" t="s">
        <v>932</v>
      </c>
      <c r="B58" s="78" t="str">
        <f>'55'!$F$5</f>
        <v/>
      </c>
      <c r="C58" s="78">
        <f>'55'!$F$6</f>
        <v>14.45139410563039</v>
      </c>
      <c r="D58" s="78">
        <f>'55'!$F$7</f>
        <v>14.451397988685912</v>
      </c>
      <c r="E58" s="78">
        <f>'55'!$F$8</f>
        <v>14.451402792412056</v>
      </c>
      <c r="F58" s="78" t="str">
        <f>'55'!$F$9</f>
        <v/>
      </c>
      <c r="G58" s="78" t="str">
        <f>'55'!$F$10</f>
        <v/>
      </c>
      <c r="H58" s="78">
        <f>'55'!$F$11</f>
        <v>14.451414077207941</v>
      </c>
      <c r="I58" s="78">
        <f>'55'!$F$12</f>
        <v>14.45137611949264</v>
      </c>
      <c r="J58" s="78">
        <f>'55'!$F$13</f>
        <v>14.451411396376145</v>
      </c>
      <c r="K58" s="78" t="str">
        <f>'55'!$F$14</f>
        <v/>
      </c>
      <c r="L58" s="78">
        <f>'55'!$F$15</f>
        <v>14.451398311087706</v>
      </c>
      <c r="M58" s="78">
        <f>'55'!$F$16</f>
        <v>14.451409945246285</v>
      </c>
      <c r="N58" s="78" t="str">
        <f>'55'!$F$17</f>
        <v/>
      </c>
      <c r="O58" s="78">
        <f>'55'!$F$18</f>
        <v>14.45139902603395</v>
      </c>
      <c r="P58" s="78">
        <f>'55'!$F$19</f>
        <v>14.451375040383624</v>
      </c>
      <c r="Q58" s="78">
        <f>'55'!$F$20</f>
        <v>14.451399746573951</v>
      </c>
      <c r="R58" s="78">
        <f>'55'!$F$21</f>
        <v>14.451373673552677</v>
      </c>
      <c r="S58" s="78" t="str">
        <f>'55'!$F$22</f>
        <v/>
      </c>
      <c r="T58" s="78">
        <f>'55'!$F$23</f>
        <v>14.451417814097059</v>
      </c>
      <c r="U58" s="78">
        <f>'55'!$F$24</f>
        <v>14.451226667528255</v>
      </c>
      <c r="V58" s="78">
        <f>'55'!$F$25</f>
        <v>14.451391791309456</v>
      </c>
      <c r="W58" s="78">
        <f>'55'!$F$26</f>
        <v>14.45137879783943</v>
      </c>
      <c r="X58" s="78" t="str">
        <f>'55'!$F$27</f>
        <v/>
      </c>
      <c r="Y58" s="78">
        <f>'55'!$F$28</f>
        <v>14.451410000153803</v>
      </c>
      <c r="Z58" s="78">
        <f>'55'!$F$29</f>
        <v>14.451398812361475</v>
      </c>
      <c r="AA58" s="78">
        <f>'55'!$F$30</f>
        <v>14.451393361690867</v>
      </c>
      <c r="AB58" s="78">
        <f>'55'!$F$31</f>
        <v>14.451409473507267</v>
      </c>
      <c r="AC58" s="78">
        <f>'55'!$F$32</f>
        <v>14.451409351275609</v>
      </c>
      <c r="AD58" s="99">
        <f>'55'!$F$33</f>
        <v>14.45140075604578</v>
      </c>
    </row>
    <row r="59" spans="1:30" x14ac:dyDescent="0.2">
      <c r="A59" s="96" t="s">
        <v>933</v>
      </c>
      <c r="B59" s="78">
        <f>'56'!$F$5</f>
        <v>11.139481485964799</v>
      </c>
      <c r="C59" s="78">
        <f>'56'!$F$6</f>
        <v>6.116404562887876</v>
      </c>
      <c r="D59" s="78">
        <f>'56'!$F$7</f>
        <v>11.023690621261354</v>
      </c>
      <c r="E59" s="78">
        <f>'56'!$F$8</f>
        <v>11.085758304384475</v>
      </c>
      <c r="F59" s="78" t="str">
        <f>'56'!$F$9</f>
        <v/>
      </c>
      <c r="G59" s="78">
        <f>'56'!$F$10</f>
        <v>6.116404562887876</v>
      </c>
      <c r="H59" s="78">
        <f>'56'!$F$11</f>
        <v>11.000635085148151</v>
      </c>
      <c r="I59" s="78">
        <f>'56'!$F$12</f>
        <v>11.139842062887876</v>
      </c>
      <c r="J59" s="78">
        <f>'56'!$F$13</f>
        <v>10.788360335432392</v>
      </c>
      <c r="K59" s="78" t="str">
        <f>'56'!$F$14</f>
        <v/>
      </c>
      <c r="L59" s="78">
        <f>'56'!$F$15</f>
        <v>10.438357338892981</v>
      </c>
      <c r="M59" s="78">
        <f>'56'!$F$16</f>
        <v>11.28337078119338</v>
      </c>
      <c r="N59" s="78">
        <f>'56'!$F$17</f>
        <v>10.974020456927613</v>
      </c>
      <c r="O59" s="78">
        <f>'56'!$F$18</f>
        <v>11.095773747465302</v>
      </c>
      <c r="P59" s="78" t="str">
        <f>'56'!$F$19</f>
        <v/>
      </c>
      <c r="Q59" s="78">
        <f>'56'!$F$20</f>
        <v>11.050591983066676</v>
      </c>
      <c r="R59" s="78" t="str">
        <f>'56'!$F$21</f>
        <v/>
      </c>
      <c r="S59" s="78">
        <f>'56'!$F$22</f>
        <v>11.136496097990328</v>
      </c>
      <c r="T59" s="78">
        <f>'56'!$F$23</f>
        <v>11.105814384829291</v>
      </c>
      <c r="U59" s="78" t="str">
        <f>'56'!$F$24</f>
        <v/>
      </c>
      <c r="V59" s="78">
        <f>'56'!$F$25</f>
        <v>6.1164045628878769</v>
      </c>
      <c r="W59" s="78">
        <f>'56'!$F$26</f>
        <v>10.755827639810953</v>
      </c>
      <c r="X59" s="78">
        <f>'56'!$F$27</f>
        <v>11.140312926971516</v>
      </c>
      <c r="Y59" s="78">
        <f>'56'!$F$28</f>
        <v>10.633181405836593</v>
      </c>
      <c r="Z59" s="78">
        <f>'56'!$F$29</f>
        <v>11.068382702515404</v>
      </c>
      <c r="AA59" s="78">
        <f>'56'!$F$30</f>
        <v>10.887380250159447</v>
      </c>
      <c r="AB59" s="78">
        <f>'56'!$F$31</f>
        <v>11.140412720099594</v>
      </c>
      <c r="AC59" s="78">
        <f>'56'!$F$32</f>
        <v>9.7603368300562678</v>
      </c>
      <c r="AD59" s="99">
        <f>'56'!$F$33</f>
        <v>11.046963240753987</v>
      </c>
    </row>
    <row r="60" spans="1:30" ht="15" thickBot="1" x14ac:dyDescent="0.25">
      <c r="A60" s="77" t="s">
        <v>934</v>
      </c>
      <c r="B60" s="75" t="str">
        <f>'57'!$F$5</f>
        <v/>
      </c>
      <c r="C60" s="75">
        <f>'57'!$F$6</f>
        <v>9.0322561864737985</v>
      </c>
      <c r="D60" s="75">
        <f>'57'!$F$7</f>
        <v>9.0321426421281501</v>
      </c>
      <c r="E60" s="75">
        <f>'57'!$F$8</f>
        <v>9.0321377727960304</v>
      </c>
      <c r="F60" s="75" t="str">
        <f>'57'!$F$9</f>
        <v/>
      </c>
      <c r="G60" s="75">
        <f>'57'!$F$10</f>
        <v>9.0321927954035015</v>
      </c>
      <c r="H60" s="75">
        <f>'57'!$F$11</f>
        <v>9.0321474098275907</v>
      </c>
      <c r="I60" s="75">
        <f>'57'!$F$12</f>
        <v>9.0321391738567876</v>
      </c>
      <c r="J60" s="75">
        <f>'57'!$F$13</f>
        <v>9.0321483219725565</v>
      </c>
      <c r="K60" s="75" t="str">
        <f>'57'!$F$14</f>
        <v/>
      </c>
      <c r="L60" s="75">
        <f>'57'!$F$15</f>
        <v>9.0321443237852499</v>
      </c>
      <c r="M60" s="75">
        <f>'57'!$F$16</f>
        <v>9.0321503113679249</v>
      </c>
      <c r="N60" s="75">
        <f>'57'!$F$17</f>
        <v>9.0321503113679249</v>
      </c>
      <c r="O60" s="75">
        <f>'57'!$F$18</f>
        <v>9.0321418065929375</v>
      </c>
      <c r="P60" s="75" t="str">
        <f>'57'!$F$19</f>
        <v/>
      </c>
      <c r="Q60" s="75">
        <f>'57'!$F$20</f>
        <v>9.0321588028933828</v>
      </c>
      <c r="R60" s="75" t="str">
        <f>'57'!$F$21</f>
        <v/>
      </c>
      <c r="S60" s="75">
        <f>'57'!$F$22</f>
        <v>9.032147131973133</v>
      </c>
      <c r="T60" s="75">
        <f>'57'!$F$23</f>
        <v>9.0321372016342085</v>
      </c>
      <c r="U60" s="75">
        <f>'57'!$F$24</f>
        <v>9.0321434279563952</v>
      </c>
      <c r="V60" s="75">
        <f>'57'!$F$25</f>
        <v>9.0321492838805835</v>
      </c>
      <c r="W60" s="75">
        <f>'57'!$F$26</f>
        <v>9.0320630762454783</v>
      </c>
      <c r="X60" s="75">
        <f>'57'!$F$27</f>
        <v>9.0320944348807508</v>
      </c>
      <c r="Y60" s="75">
        <f>'57'!$F$28</f>
        <v>9.0320781237957366</v>
      </c>
      <c r="Z60" s="75">
        <f>'57'!$F$29</f>
        <v>9.0321500503885197</v>
      </c>
      <c r="AA60" s="75">
        <f>'57'!$F$30</f>
        <v>9.0321612659022268</v>
      </c>
      <c r="AB60" s="75">
        <f>'57'!$F$31</f>
        <v>9.0321140009118519</v>
      </c>
      <c r="AC60" s="75">
        <f>'57'!$F$32</f>
        <v>9.0321762460151138</v>
      </c>
      <c r="AD60" s="76">
        <f>'57'!$F$33</f>
        <v>9.0321458298267743</v>
      </c>
    </row>
    <row r="61" spans="1:30" s="72" customFormat="1" x14ac:dyDescent="0.2">
      <c r="A61" s="94" t="s">
        <v>35</v>
      </c>
      <c r="B61" s="149">
        <f>Summary!$F$5</f>
        <v>9.0581710232403019</v>
      </c>
      <c r="C61" s="149">
        <f>Summary!$F$6</f>
        <v>9.3992603898677878</v>
      </c>
      <c r="D61" s="149">
        <f>Summary!$F$7</f>
        <v>7.805994999115506</v>
      </c>
      <c r="E61" s="149">
        <f>Summary!$F$8</f>
        <v>7.7723658756388501</v>
      </c>
      <c r="F61" s="149">
        <f>Summary!$F$9</f>
        <v>29.272886099895356</v>
      </c>
      <c r="G61" s="149">
        <f>Summary!$F$10</f>
        <v>8.8634273383747821</v>
      </c>
      <c r="H61" s="149">
        <f>Summary!$F$11</f>
        <v>9.4843581802357946</v>
      </c>
      <c r="I61" s="149">
        <f>Summary!$F$12</f>
        <v>9.480726336014877</v>
      </c>
      <c r="J61" s="149">
        <f>Summary!$F$13</f>
        <v>8.3205881996401949</v>
      </c>
      <c r="K61" s="149">
        <f>Summary!$F$14</f>
        <v>15.647118678211397</v>
      </c>
      <c r="L61" s="149">
        <f>Summary!$F$15</f>
        <v>8.8028185616628409</v>
      </c>
      <c r="M61" s="149">
        <f>Summary!$F$16</f>
        <v>8.4898240621682017</v>
      </c>
      <c r="N61" s="149">
        <f>Summary!$F$17</f>
        <v>7.6018113967325522</v>
      </c>
      <c r="O61" s="149">
        <f>Summary!$F$18</f>
        <v>12.792348451247397</v>
      </c>
      <c r="P61" s="149">
        <f>Summary!$F$19</f>
        <v>19.296819727968998</v>
      </c>
      <c r="Q61" s="149">
        <f>Summary!$F$20</f>
        <v>10.131871516912726</v>
      </c>
      <c r="R61" s="149">
        <f>Summary!$F$21</f>
        <v>13.988590420936118</v>
      </c>
      <c r="S61" s="149">
        <f>Summary!$F$22</f>
        <v>10.163486103957123</v>
      </c>
      <c r="T61" s="149">
        <f>Summary!$F$23</f>
        <v>7.8012228009354567</v>
      </c>
      <c r="U61" s="149">
        <f>Summary!$F$24</f>
        <v>9.6927806111897752</v>
      </c>
      <c r="V61" s="149">
        <f>Summary!$F$25</f>
        <v>10.457593768731027</v>
      </c>
      <c r="W61" s="149">
        <f>Summary!$F$26</f>
        <v>8.7283741698860009</v>
      </c>
      <c r="X61" s="149">
        <f>Summary!$F$27</f>
        <v>9.4341488865144161</v>
      </c>
      <c r="Y61" s="149">
        <f>Summary!$F$28</f>
        <v>8.678355734394227</v>
      </c>
      <c r="Z61" s="149">
        <f>Summary!$F$29</f>
        <v>7.1628615644078968</v>
      </c>
      <c r="AA61" s="149">
        <f>Summary!$F$30</f>
        <v>9.5586721605096638</v>
      </c>
      <c r="AB61" s="149">
        <f>Summary!$F$31</f>
        <v>7.4272299708573852</v>
      </c>
      <c r="AC61" s="149">
        <f>Summary!$F$32</f>
        <v>7.5269761884605231</v>
      </c>
      <c r="AD61" s="150">
        <f>Summary!$F$33</f>
        <v>8.4221653427888192</v>
      </c>
    </row>
    <row r="62" spans="1:30" s="72" customFormat="1" x14ac:dyDescent="0.2">
      <c r="A62" s="101" t="s">
        <v>940</v>
      </c>
      <c r="B62" s="19">
        <f>AVERAGE(B$4:B$60)</f>
        <v>9.7600514496872766</v>
      </c>
      <c r="C62" s="19">
        <f t="shared" ref="C62:AD62" si="0">AVERAGE(C$4:C$60)</f>
        <v>9.7102311298692481</v>
      </c>
      <c r="D62" s="19">
        <f t="shared" si="0"/>
        <v>7.8859457130318349</v>
      </c>
      <c r="E62" s="19">
        <f t="shared" si="0"/>
        <v>8.3171909165845364</v>
      </c>
      <c r="F62" s="19">
        <f t="shared" si="0"/>
        <v>23.606300465159734</v>
      </c>
      <c r="G62" s="19">
        <f t="shared" si="0"/>
        <v>10.422991283619586</v>
      </c>
      <c r="H62" s="19">
        <f t="shared" si="0"/>
        <v>10.688924868839376</v>
      </c>
      <c r="I62" s="19">
        <f t="shared" si="0"/>
        <v>11.531227665176946</v>
      </c>
      <c r="J62" s="19">
        <f t="shared" si="0"/>
        <v>9.0075637450770092</v>
      </c>
      <c r="K62" s="19">
        <f t="shared" si="0"/>
        <v>74.010460600815634</v>
      </c>
      <c r="L62" s="19">
        <f t="shared" si="0"/>
        <v>9.2204882267201427</v>
      </c>
      <c r="M62" s="19">
        <f t="shared" si="0"/>
        <v>10.574869284358018</v>
      </c>
      <c r="N62" s="19">
        <f t="shared" si="0"/>
        <v>10.377170290896037</v>
      </c>
      <c r="O62" s="19">
        <f t="shared" si="0"/>
        <v>13.260343382010538</v>
      </c>
      <c r="P62" s="19">
        <f t="shared" si="0"/>
        <v>20.310811123752085</v>
      </c>
      <c r="Q62" s="19">
        <f t="shared" si="0"/>
        <v>9.9871312828530083</v>
      </c>
      <c r="R62" s="19">
        <f t="shared" si="0"/>
        <v>14.435730735319021</v>
      </c>
      <c r="S62" s="19">
        <f t="shared" si="0"/>
        <v>11.027966369017035</v>
      </c>
      <c r="T62" s="19">
        <f t="shared" si="0"/>
        <v>10.621896815350983</v>
      </c>
      <c r="U62" s="19">
        <f t="shared" si="0"/>
        <v>10.078456605292802</v>
      </c>
      <c r="V62" s="19">
        <f t="shared" si="0"/>
        <v>11.026487364278369</v>
      </c>
      <c r="W62" s="19">
        <f t="shared" si="0"/>
        <v>10.830462115055463</v>
      </c>
      <c r="X62" s="19">
        <f t="shared" si="0"/>
        <v>10.373967516465884</v>
      </c>
      <c r="Y62" s="19">
        <f t="shared" si="0"/>
        <v>8.8295910881981996</v>
      </c>
      <c r="Z62" s="19">
        <f t="shared" si="0"/>
        <v>9.6597418156309534</v>
      </c>
      <c r="AA62" s="19">
        <f t="shared" si="0"/>
        <v>9.5229850313456463</v>
      </c>
      <c r="AB62" s="19">
        <f t="shared" si="0"/>
        <v>7.8493896707611288</v>
      </c>
      <c r="AC62" s="19">
        <f t="shared" si="0"/>
        <v>8.1700757149126559</v>
      </c>
      <c r="AD62" s="22">
        <f t="shared" si="0"/>
        <v>8.7905623924637109</v>
      </c>
    </row>
    <row r="63" spans="1:30" s="72" customFormat="1" x14ac:dyDescent="0.2">
      <c r="A63" s="101" t="s">
        <v>941</v>
      </c>
      <c r="B63" s="19">
        <f>MAX(B$4:B$60)</f>
        <v>27.725463018825984</v>
      </c>
      <c r="C63" s="19">
        <f t="shared" ref="C63:AD63" si="1">MAX(C$4:C$60)</f>
        <v>21.114280165750127</v>
      </c>
      <c r="D63" s="19">
        <f t="shared" si="1"/>
        <v>14.451397988685912</v>
      </c>
      <c r="E63" s="19">
        <f t="shared" si="1"/>
        <v>19.373997616611998</v>
      </c>
      <c r="F63" s="19">
        <f t="shared" si="1"/>
        <v>98.679214395450174</v>
      </c>
      <c r="G63" s="19">
        <f t="shared" si="1"/>
        <v>28.214669899498354</v>
      </c>
      <c r="H63" s="19">
        <f t="shared" si="1"/>
        <v>23.643843367308449</v>
      </c>
      <c r="I63" s="19">
        <f t="shared" si="1"/>
        <v>61.62930636915263</v>
      </c>
      <c r="J63" s="19">
        <f t="shared" si="1"/>
        <v>28.555494579284531</v>
      </c>
      <c r="K63" s="19">
        <f t="shared" si="1"/>
        <v>1305.4685094153156</v>
      </c>
      <c r="L63" s="19">
        <f t="shared" si="1"/>
        <v>21.619404864543785</v>
      </c>
      <c r="M63" s="19">
        <f t="shared" si="1"/>
        <v>133.87054540825449</v>
      </c>
      <c r="N63" s="19">
        <f t="shared" si="1"/>
        <v>133.86882235061037</v>
      </c>
      <c r="O63" s="19">
        <f t="shared" si="1"/>
        <v>29.169950436056979</v>
      </c>
      <c r="P63" s="19">
        <f t="shared" si="1"/>
        <v>35.264737724323886</v>
      </c>
      <c r="Q63" s="19">
        <f t="shared" si="1"/>
        <v>17.862176862778995</v>
      </c>
      <c r="R63" s="19">
        <f t="shared" si="1"/>
        <v>20.786264180258989</v>
      </c>
      <c r="S63" s="19">
        <f t="shared" si="1"/>
        <v>20.208627303040302</v>
      </c>
      <c r="T63" s="19">
        <f t="shared" si="1"/>
        <v>133.87139269693074</v>
      </c>
      <c r="U63" s="19">
        <f t="shared" si="1"/>
        <v>17.305237748514354</v>
      </c>
      <c r="V63" s="19">
        <f t="shared" si="1"/>
        <v>35.704441407932222</v>
      </c>
      <c r="W63" s="19">
        <f t="shared" si="1"/>
        <v>53.084034826154173</v>
      </c>
      <c r="X63" s="19">
        <f t="shared" si="1"/>
        <v>38.317241521406793</v>
      </c>
      <c r="Y63" s="19">
        <f t="shared" si="1"/>
        <v>16.570437409761265</v>
      </c>
      <c r="Z63" s="19">
        <f t="shared" si="1"/>
        <v>133.87079007985082</v>
      </c>
      <c r="AA63" s="19">
        <f t="shared" si="1"/>
        <v>16.032004210727798</v>
      </c>
      <c r="AB63" s="19">
        <f t="shared" si="1"/>
        <v>14.808314917894226</v>
      </c>
      <c r="AC63" s="19">
        <f t="shared" si="1"/>
        <v>14.816079579607782</v>
      </c>
      <c r="AD63" s="22">
        <f t="shared" si="1"/>
        <v>17.338861466582589</v>
      </c>
    </row>
    <row r="64" spans="1:30" s="72" customFormat="1" x14ac:dyDescent="0.2">
      <c r="A64" s="101" t="s">
        <v>942</v>
      </c>
      <c r="B64" s="19">
        <f>MIN(B$4:B$60)</f>
        <v>4.5951510807535101</v>
      </c>
      <c r="C64" s="19">
        <f t="shared" ref="C64:AD64" si="2">MIN(C$4:C$60)</f>
        <v>3.3940302855080118</v>
      </c>
      <c r="D64" s="19">
        <f t="shared" si="2"/>
        <v>4.2908283861219232</v>
      </c>
      <c r="E64" s="19">
        <f t="shared" si="2"/>
        <v>3.4086908070859616</v>
      </c>
      <c r="F64" s="19">
        <f t="shared" si="2"/>
        <v>3.3910225592386962</v>
      </c>
      <c r="G64" s="19">
        <f t="shared" si="2"/>
        <v>3.5824527460845572</v>
      </c>
      <c r="H64" s="19">
        <f t="shared" si="2"/>
        <v>3.7116888117739566</v>
      </c>
      <c r="I64" s="19">
        <f t="shared" si="2"/>
        <v>3.1763993375035655</v>
      </c>
      <c r="J64" s="19">
        <f t="shared" si="2"/>
        <v>2.8211081422558051</v>
      </c>
      <c r="K64" s="19">
        <f t="shared" si="2"/>
        <v>2.8944707594753778</v>
      </c>
      <c r="L64" s="19">
        <f t="shared" si="2"/>
        <v>3.6582557232646695</v>
      </c>
      <c r="M64" s="19">
        <f t="shared" si="2"/>
        <v>4.9483419564314994</v>
      </c>
      <c r="N64" s="19">
        <f t="shared" si="2"/>
        <v>3.7754210909845982</v>
      </c>
      <c r="O64" s="19">
        <f t="shared" si="2"/>
        <v>8.0851765103685409</v>
      </c>
      <c r="P64" s="19">
        <f t="shared" si="2"/>
        <v>8.5941653381506633</v>
      </c>
      <c r="Q64" s="19">
        <f t="shared" si="2"/>
        <v>3.5683803745124485</v>
      </c>
      <c r="R64" s="19">
        <f t="shared" si="2"/>
        <v>8.0578668337667487</v>
      </c>
      <c r="S64" s="19">
        <f t="shared" si="2"/>
        <v>4.4671854227779662</v>
      </c>
      <c r="T64" s="19">
        <f t="shared" si="2"/>
        <v>4.8088858485347474</v>
      </c>
      <c r="U64" s="19">
        <f t="shared" si="2"/>
        <v>6.0922919992545781</v>
      </c>
      <c r="V64" s="19">
        <f t="shared" si="2"/>
        <v>2.6651552247868833</v>
      </c>
      <c r="W64" s="19">
        <f t="shared" si="2"/>
        <v>3.0696794331141697</v>
      </c>
      <c r="X64" s="19">
        <f t="shared" si="2"/>
        <v>3.5285074599148083</v>
      </c>
      <c r="Y64" s="19">
        <f t="shared" si="2"/>
        <v>2.6058348127412878</v>
      </c>
      <c r="Z64" s="19">
        <f t="shared" si="2"/>
        <v>3.2021446323823755</v>
      </c>
      <c r="AA64" s="19">
        <f t="shared" si="2"/>
        <v>5.0566188755079304</v>
      </c>
      <c r="AB64" s="19">
        <f t="shared" si="2"/>
        <v>4.2713311831608571</v>
      </c>
      <c r="AC64" s="19">
        <f t="shared" si="2"/>
        <v>3.7716615169086167</v>
      </c>
      <c r="AD64" s="22">
        <f t="shared" si="2"/>
        <v>4.9226314677229608</v>
      </c>
    </row>
    <row r="65" spans="1:30" s="72" customFormat="1" ht="15" thickBot="1" x14ac:dyDescent="0.25">
      <c r="A65" s="95" t="s">
        <v>943</v>
      </c>
      <c r="B65" s="67">
        <f>MEDIAN(B$4:B$60)</f>
        <v>8.8010339817682084</v>
      </c>
      <c r="C65" s="67">
        <f t="shared" ref="C65:AD65" si="3">MEDIAN(C$4:C$60)</f>
        <v>9.4125175628427442</v>
      </c>
      <c r="D65" s="67">
        <f t="shared" si="3"/>
        <v>7.6126455968082727</v>
      </c>
      <c r="E65" s="67">
        <f t="shared" si="3"/>
        <v>8.0401062120657159</v>
      </c>
      <c r="F65" s="67">
        <f t="shared" si="3"/>
        <v>15.644657514414664</v>
      </c>
      <c r="G65" s="67">
        <f t="shared" si="3"/>
        <v>9.4174483804708053</v>
      </c>
      <c r="H65" s="67">
        <f t="shared" si="3"/>
        <v>9.9000798757403565</v>
      </c>
      <c r="I65" s="67">
        <f t="shared" si="3"/>
        <v>8.9368365190779713</v>
      </c>
      <c r="J65" s="67">
        <f t="shared" si="3"/>
        <v>8.1874793893922746</v>
      </c>
      <c r="K65" s="67">
        <f t="shared" si="3"/>
        <v>9.7679608209367164</v>
      </c>
      <c r="L65" s="67">
        <f t="shared" si="3"/>
        <v>8.7059292689255798</v>
      </c>
      <c r="M65" s="67">
        <f t="shared" si="3"/>
        <v>8.2336753465002239</v>
      </c>
      <c r="N65" s="67">
        <f t="shared" si="3"/>
        <v>7.3972992468084868</v>
      </c>
      <c r="O65" s="67">
        <f t="shared" si="3"/>
        <v>13.104151432803535</v>
      </c>
      <c r="P65" s="67">
        <f t="shared" si="3"/>
        <v>20.354634724268827</v>
      </c>
      <c r="Q65" s="67">
        <f t="shared" si="3"/>
        <v>9.6998882550540753</v>
      </c>
      <c r="R65" s="67">
        <f t="shared" si="3"/>
        <v>14.358766829110595</v>
      </c>
      <c r="S65" s="67">
        <f t="shared" si="3"/>
        <v>10.631630490460036</v>
      </c>
      <c r="T65" s="67">
        <f t="shared" si="3"/>
        <v>8.3249000947035316</v>
      </c>
      <c r="U65" s="67">
        <f t="shared" si="3"/>
        <v>9.2391143520898389</v>
      </c>
      <c r="V65" s="67">
        <f t="shared" si="3"/>
        <v>9.5720854300044653</v>
      </c>
      <c r="W65" s="67">
        <f t="shared" si="3"/>
        <v>8.7963567516094336</v>
      </c>
      <c r="X65" s="67">
        <f t="shared" si="3"/>
        <v>9.5642065081295744</v>
      </c>
      <c r="Y65" s="67">
        <f t="shared" si="3"/>
        <v>8.5849800131457279</v>
      </c>
      <c r="Z65" s="67">
        <f t="shared" si="3"/>
        <v>7.3183200953531742</v>
      </c>
      <c r="AA65" s="67">
        <f t="shared" si="3"/>
        <v>9.2294536165896695</v>
      </c>
      <c r="AB65" s="67">
        <f t="shared" si="3"/>
        <v>7.7376537175430125</v>
      </c>
      <c r="AC65" s="67">
        <f t="shared" si="3"/>
        <v>7.7643930244059565</v>
      </c>
      <c r="AD65" s="26">
        <f t="shared" si="3"/>
        <v>8.484250802964258</v>
      </c>
    </row>
    <row r="66" spans="1:30" ht="15" thickBot="1" x14ac:dyDescent="0.25">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row>
    <row r="67" spans="1:30" ht="15" customHeight="1" x14ac:dyDescent="0.2">
      <c r="B67" s="216" t="s">
        <v>936</v>
      </c>
      <c r="C67" s="217"/>
      <c r="D67" s="217"/>
      <c r="E67" s="217"/>
      <c r="F67" s="217"/>
      <c r="G67" s="217"/>
      <c r="H67" s="217"/>
      <c r="I67" s="217"/>
      <c r="J67" s="217"/>
      <c r="K67" s="218"/>
      <c r="L67" s="216" t="s">
        <v>936</v>
      </c>
      <c r="M67" s="217"/>
      <c r="N67" s="217"/>
      <c r="O67" s="217"/>
      <c r="P67" s="217"/>
      <c r="Q67" s="217"/>
      <c r="R67" s="217"/>
      <c r="S67" s="217"/>
      <c r="T67" s="217"/>
      <c r="U67" s="218"/>
      <c r="V67" s="216" t="s">
        <v>936</v>
      </c>
      <c r="W67" s="217"/>
      <c r="X67" s="217"/>
      <c r="Y67" s="217"/>
      <c r="Z67" s="217"/>
      <c r="AA67" s="217"/>
      <c r="AB67" s="217"/>
      <c r="AC67" s="217"/>
      <c r="AD67" s="218"/>
    </row>
    <row r="68" spans="1:30" x14ac:dyDescent="0.2">
      <c r="B68" s="219" t="s">
        <v>947</v>
      </c>
      <c r="C68" s="220"/>
      <c r="D68" s="220"/>
      <c r="E68" s="220"/>
      <c r="F68" s="220"/>
      <c r="G68" s="220"/>
      <c r="H68" s="220"/>
      <c r="I68" s="220"/>
      <c r="J68" s="220"/>
      <c r="K68" s="221"/>
      <c r="L68" s="219" t="s">
        <v>983</v>
      </c>
      <c r="M68" s="220"/>
      <c r="N68" s="220"/>
      <c r="O68" s="220"/>
      <c r="P68" s="220"/>
      <c r="Q68" s="220"/>
      <c r="R68" s="220"/>
      <c r="S68" s="220"/>
      <c r="T68" s="220"/>
      <c r="U68" s="221"/>
      <c r="V68" s="219" t="s">
        <v>966</v>
      </c>
      <c r="W68" s="220"/>
      <c r="X68" s="220"/>
      <c r="Y68" s="220"/>
      <c r="Z68" s="220"/>
      <c r="AA68" s="220"/>
      <c r="AB68" s="220"/>
      <c r="AC68" s="220"/>
      <c r="AD68" s="221"/>
    </row>
    <row r="69" spans="1:30" x14ac:dyDescent="0.2">
      <c r="B69" s="219" t="s">
        <v>948</v>
      </c>
      <c r="C69" s="220"/>
      <c r="D69" s="220"/>
      <c r="E69" s="220"/>
      <c r="F69" s="220"/>
      <c r="G69" s="220"/>
      <c r="H69" s="220"/>
      <c r="I69" s="220"/>
      <c r="J69" s="220"/>
      <c r="K69" s="221"/>
      <c r="L69" s="219" t="s">
        <v>957</v>
      </c>
      <c r="M69" s="220"/>
      <c r="N69" s="220"/>
      <c r="O69" s="220"/>
      <c r="P69" s="220"/>
      <c r="Q69" s="220"/>
      <c r="R69" s="220"/>
      <c r="S69" s="220"/>
      <c r="T69" s="220"/>
      <c r="U69" s="221"/>
      <c r="V69" s="219" t="s">
        <v>967</v>
      </c>
      <c r="W69" s="220"/>
      <c r="X69" s="220"/>
      <c r="Y69" s="220"/>
      <c r="Z69" s="220"/>
      <c r="AA69" s="220"/>
      <c r="AB69" s="220"/>
      <c r="AC69" s="220"/>
      <c r="AD69" s="221"/>
    </row>
    <row r="70" spans="1:30" x14ac:dyDescent="0.2">
      <c r="B70" s="219" t="s">
        <v>950</v>
      </c>
      <c r="C70" s="220"/>
      <c r="D70" s="220"/>
      <c r="E70" s="220"/>
      <c r="F70" s="220"/>
      <c r="G70" s="220"/>
      <c r="H70" s="220"/>
      <c r="I70" s="220"/>
      <c r="J70" s="220"/>
      <c r="K70" s="221"/>
      <c r="L70" s="219" t="s">
        <v>958</v>
      </c>
      <c r="M70" s="220"/>
      <c r="N70" s="220"/>
      <c r="O70" s="220"/>
      <c r="P70" s="220"/>
      <c r="Q70" s="220"/>
      <c r="R70" s="220"/>
      <c r="S70" s="220"/>
      <c r="T70" s="220"/>
      <c r="U70" s="221"/>
      <c r="V70" s="219" t="s">
        <v>968</v>
      </c>
      <c r="W70" s="220"/>
      <c r="X70" s="220"/>
      <c r="Y70" s="220"/>
      <c r="Z70" s="220"/>
      <c r="AA70" s="220"/>
      <c r="AB70" s="220"/>
      <c r="AC70" s="220"/>
      <c r="AD70" s="221"/>
    </row>
    <row r="71" spans="1:30" x14ac:dyDescent="0.2">
      <c r="B71" s="219" t="s">
        <v>949</v>
      </c>
      <c r="C71" s="220"/>
      <c r="D71" s="220"/>
      <c r="E71" s="220"/>
      <c r="F71" s="220"/>
      <c r="G71" s="220"/>
      <c r="H71" s="220"/>
      <c r="I71" s="220"/>
      <c r="J71" s="220"/>
      <c r="K71" s="221"/>
      <c r="L71" s="219" t="s">
        <v>959</v>
      </c>
      <c r="M71" s="220"/>
      <c r="N71" s="220"/>
      <c r="O71" s="220"/>
      <c r="P71" s="220"/>
      <c r="Q71" s="220"/>
      <c r="R71" s="220"/>
      <c r="S71" s="220"/>
      <c r="T71" s="220"/>
      <c r="U71" s="221"/>
      <c r="V71" s="219" t="s">
        <v>969</v>
      </c>
      <c r="W71" s="220"/>
      <c r="X71" s="220"/>
      <c r="Y71" s="220"/>
      <c r="Z71" s="220"/>
      <c r="AA71" s="220"/>
      <c r="AB71" s="220"/>
      <c r="AC71" s="220"/>
      <c r="AD71" s="221"/>
    </row>
    <row r="72" spans="1:30" x14ac:dyDescent="0.2">
      <c r="B72" s="219" t="s">
        <v>951</v>
      </c>
      <c r="C72" s="220"/>
      <c r="D72" s="220"/>
      <c r="E72" s="220"/>
      <c r="F72" s="220"/>
      <c r="G72" s="220"/>
      <c r="H72" s="220"/>
      <c r="I72" s="220"/>
      <c r="J72" s="220"/>
      <c r="K72" s="221"/>
      <c r="L72" s="219" t="s">
        <v>960</v>
      </c>
      <c r="M72" s="220"/>
      <c r="N72" s="220"/>
      <c r="O72" s="220"/>
      <c r="P72" s="220"/>
      <c r="Q72" s="220"/>
      <c r="R72" s="220"/>
      <c r="S72" s="220"/>
      <c r="T72" s="220"/>
      <c r="U72" s="221"/>
      <c r="V72" s="219" t="s">
        <v>970</v>
      </c>
      <c r="W72" s="220"/>
      <c r="X72" s="220"/>
      <c r="Y72" s="220"/>
      <c r="Z72" s="220"/>
      <c r="AA72" s="220"/>
      <c r="AB72" s="220"/>
      <c r="AC72" s="220"/>
      <c r="AD72" s="221"/>
    </row>
    <row r="73" spans="1:30" x14ac:dyDescent="0.2">
      <c r="B73" s="219" t="s">
        <v>952</v>
      </c>
      <c r="C73" s="220"/>
      <c r="D73" s="220"/>
      <c r="E73" s="220"/>
      <c r="F73" s="220"/>
      <c r="G73" s="220"/>
      <c r="H73" s="220"/>
      <c r="I73" s="220"/>
      <c r="J73" s="220"/>
      <c r="K73" s="221"/>
      <c r="L73" s="219" t="s">
        <v>961</v>
      </c>
      <c r="M73" s="220"/>
      <c r="N73" s="220"/>
      <c r="O73" s="220"/>
      <c r="P73" s="220"/>
      <c r="Q73" s="220"/>
      <c r="R73" s="220"/>
      <c r="S73" s="220"/>
      <c r="T73" s="220"/>
      <c r="U73" s="221"/>
      <c r="V73" s="219" t="s">
        <v>971</v>
      </c>
      <c r="W73" s="220"/>
      <c r="X73" s="220"/>
      <c r="Y73" s="220"/>
      <c r="Z73" s="220"/>
      <c r="AA73" s="220"/>
      <c r="AB73" s="220"/>
      <c r="AC73" s="220"/>
      <c r="AD73" s="221"/>
    </row>
    <row r="74" spans="1:30" x14ac:dyDescent="0.2">
      <c r="B74" s="219" t="s">
        <v>953</v>
      </c>
      <c r="C74" s="220"/>
      <c r="D74" s="220"/>
      <c r="E74" s="220"/>
      <c r="F74" s="220"/>
      <c r="G74" s="220"/>
      <c r="H74" s="220"/>
      <c r="I74" s="220"/>
      <c r="J74" s="220"/>
      <c r="K74" s="221"/>
      <c r="L74" s="219" t="s">
        <v>962</v>
      </c>
      <c r="M74" s="220"/>
      <c r="N74" s="220"/>
      <c r="O74" s="220"/>
      <c r="P74" s="220"/>
      <c r="Q74" s="220"/>
      <c r="R74" s="220"/>
      <c r="S74" s="220"/>
      <c r="T74" s="220"/>
      <c r="U74" s="221"/>
      <c r="V74" s="225"/>
      <c r="W74" s="226"/>
      <c r="X74" s="226"/>
      <c r="Y74" s="226"/>
      <c r="Z74" s="226"/>
      <c r="AA74" s="226"/>
      <c r="AB74" s="226"/>
      <c r="AC74" s="226"/>
      <c r="AD74" s="227"/>
    </row>
    <row r="75" spans="1:30" x14ac:dyDescent="0.2">
      <c r="B75" s="219" t="s">
        <v>954</v>
      </c>
      <c r="C75" s="220"/>
      <c r="D75" s="220"/>
      <c r="E75" s="220"/>
      <c r="F75" s="220"/>
      <c r="G75" s="220"/>
      <c r="H75" s="220"/>
      <c r="I75" s="220"/>
      <c r="J75" s="220"/>
      <c r="K75" s="221"/>
      <c r="L75" s="219" t="s">
        <v>963</v>
      </c>
      <c r="M75" s="220"/>
      <c r="N75" s="220"/>
      <c r="O75" s="220"/>
      <c r="P75" s="220"/>
      <c r="Q75" s="220"/>
      <c r="R75" s="220"/>
      <c r="S75" s="220"/>
      <c r="T75" s="220"/>
      <c r="U75" s="221"/>
      <c r="V75" s="219" t="s">
        <v>972</v>
      </c>
      <c r="W75" s="220"/>
      <c r="X75" s="220"/>
      <c r="Y75" s="220"/>
      <c r="Z75" s="220"/>
      <c r="AA75" s="220"/>
      <c r="AB75" s="220"/>
      <c r="AC75" s="220"/>
      <c r="AD75" s="221"/>
    </row>
    <row r="76" spans="1:30" x14ac:dyDescent="0.2">
      <c r="B76" s="219" t="s">
        <v>955</v>
      </c>
      <c r="C76" s="220"/>
      <c r="D76" s="220"/>
      <c r="E76" s="220"/>
      <c r="F76" s="220"/>
      <c r="G76" s="220"/>
      <c r="H76" s="220"/>
      <c r="I76" s="220"/>
      <c r="J76" s="220"/>
      <c r="K76" s="221"/>
      <c r="L76" s="219" t="s">
        <v>964</v>
      </c>
      <c r="M76" s="220"/>
      <c r="N76" s="220"/>
      <c r="O76" s="220"/>
      <c r="P76" s="220"/>
      <c r="Q76" s="220"/>
      <c r="R76" s="220"/>
      <c r="S76" s="220"/>
      <c r="T76" s="220"/>
      <c r="U76" s="221"/>
      <c r="V76" s="219" t="s">
        <v>973</v>
      </c>
      <c r="W76" s="220"/>
      <c r="X76" s="220"/>
      <c r="Y76" s="220"/>
      <c r="Z76" s="220"/>
      <c r="AA76" s="220"/>
      <c r="AB76" s="220"/>
      <c r="AC76" s="220"/>
      <c r="AD76" s="221"/>
    </row>
    <row r="77" spans="1:30" ht="15" thickBot="1" x14ac:dyDescent="0.25">
      <c r="B77" s="222" t="s">
        <v>956</v>
      </c>
      <c r="C77" s="223"/>
      <c r="D77" s="223"/>
      <c r="E77" s="223"/>
      <c r="F77" s="223"/>
      <c r="G77" s="223"/>
      <c r="H77" s="223"/>
      <c r="I77" s="223"/>
      <c r="J77" s="223"/>
      <c r="K77" s="224"/>
      <c r="L77" s="222" t="s">
        <v>965</v>
      </c>
      <c r="M77" s="223"/>
      <c r="N77" s="223"/>
      <c r="O77" s="223"/>
      <c r="P77" s="223"/>
      <c r="Q77" s="223"/>
      <c r="R77" s="223"/>
      <c r="S77" s="223"/>
      <c r="T77" s="223"/>
      <c r="U77" s="224"/>
      <c r="V77" s="222" t="s">
        <v>974</v>
      </c>
      <c r="W77" s="223"/>
      <c r="X77" s="223"/>
      <c r="Y77" s="223"/>
      <c r="Z77" s="223"/>
      <c r="AA77" s="223"/>
      <c r="AB77" s="223"/>
      <c r="AC77" s="223"/>
      <c r="AD77" s="224"/>
    </row>
    <row r="95" s="72" customFormat="1" x14ac:dyDescent="0.2"/>
    <row r="96" s="72" customFormat="1" x14ac:dyDescent="0.2"/>
  </sheetData>
  <mergeCells count="33">
    <mergeCell ref="V77:AD77"/>
    <mergeCell ref="V74:AD74"/>
    <mergeCell ref="V67:AD67"/>
    <mergeCell ref="L67:U67"/>
    <mergeCell ref="L68:U68"/>
    <mergeCell ref="L69:U69"/>
    <mergeCell ref="L70:U70"/>
    <mergeCell ref="L71:U71"/>
    <mergeCell ref="L72:U72"/>
    <mergeCell ref="L73:U73"/>
    <mergeCell ref="L74:U74"/>
    <mergeCell ref="L75:U75"/>
    <mergeCell ref="L76:U76"/>
    <mergeCell ref="L77:U77"/>
    <mergeCell ref="V71:AD71"/>
    <mergeCell ref="V72:AD72"/>
    <mergeCell ref="V73:AD73"/>
    <mergeCell ref="V75:AD75"/>
    <mergeCell ref="V76:AD76"/>
    <mergeCell ref="V68:AD68"/>
    <mergeCell ref="V69:AD69"/>
    <mergeCell ref="V70:AD70"/>
    <mergeCell ref="B77:K77"/>
    <mergeCell ref="B68:K68"/>
    <mergeCell ref="B69:K69"/>
    <mergeCell ref="B70:K70"/>
    <mergeCell ref="B71:K71"/>
    <mergeCell ref="B72:K72"/>
    <mergeCell ref="B67:K67"/>
    <mergeCell ref="B73:K73"/>
    <mergeCell ref="B74:K74"/>
    <mergeCell ref="B75:K75"/>
    <mergeCell ref="B76:K76"/>
  </mergeCells>
  <conditionalFormatting sqref="B4:AC60">
    <cfRule type="top10" dxfId="1" priority="1" rank="10"/>
  </conditionalFormatting>
  <pageMargins left="0.25" right="0.25"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90"/>
  <sheetViews>
    <sheetView showGridLines="0" zoomScale="70" zoomScaleNormal="70" workbookViewId="0">
      <pane xSplit="1" ySplit="6" topLeftCell="B7" activePane="bottomRight" state="frozen"/>
      <selection pane="topRight" activeCell="B1" sqref="B1"/>
      <selection pane="bottomLeft" activeCell="A7" sqref="A7"/>
      <selection pane="bottomRight" activeCell="E4" sqref="E4"/>
    </sheetView>
  </sheetViews>
  <sheetFormatPr defaultRowHeight="14.25" x14ac:dyDescent="0.2"/>
  <cols>
    <col min="1" max="1" width="27.140625" style="72" customWidth="1"/>
    <col min="2" max="2" width="12.140625" style="72" bestFit="1" customWidth="1"/>
    <col min="3" max="3" width="14.5703125" style="72" bestFit="1" customWidth="1"/>
    <col min="4" max="4" width="11.42578125" style="72" bestFit="1" customWidth="1"/>
    <col min="5" max="5" width="13.5703125" style="72" bestFit="1" customWidth="1"/>
    <col min="6" max="6" width="11.42578125" style="72" bestFit="1" customWidth="1"/>
    <col min="7" max="7" width="13.42578125" style="72" bestFit="1" customWidth="1"/>
    <col min="8" max="8" width="11.42578125" style="72" bestFit="1" customWidth="1"/>
    <col min="9" max="9" width="13.42578125" style="72" bestFit="1" customWidth="1"/>
    <col min="10" max="10" width="11.42578125" style="72" bestFit="1" customWidth="1"/>
    <col min="11" max="11" width="13.42578125" style="72" bestFit="1" customWidth="1"/>
    <col min="12" max="12" width="11.42578125" style="72" bestFit="1" customWidth="1"/>
    <col min="13" max="13" width="13.42578125" style="72" bestFit="1" customWidth="1"/>
    <col min="14" max="20" width="11.42578125" style="72" bestFit="1" customWidth="1"/>
    <col min="21" max="21" width="11.7109375" style="72" bestFit="1" customWidth="1"/>
    <col min="22" max="22" width="11.42578125" style="72" bestFit="1" customWidth="1"/>
    <col min="23" max="27" width="13.140625" style="72" customWidth="1"/>
    <col min="28" max="29" width="9.140625" style="72"/>
    <col min="30" max="30" width="17.85546875" style="72" bestFit="1" customWidth="1"/>
    <col min="31" max="33" width="9.140625" style="72"/>
    <col min="34" max="34" width="17.85546875" style="72" bestFit="1" customWidth="1"/>
    <col min="35" max="16384" width="9.140625" style="72"/>
  </cols>
  <sheetData>
    <row r="1" spans="1:24" x14ac:dyDescent="0.2">
      <c r="A1" s="39" t="str">
        <f>Summary!A1</f>
        <v>Community and Technical Colleges, Report of Fundable Operating Expenses, Fiscal Year (FY) 2012</v>
      </c>
      <c r="B1" s="39"/>
      <c r="D1" s="39"/>
      <c r="E1" s="39"/>
      <c r="F1" s="39"/>
      <c r="G1" s="39"/>
      <c r="I1" s="39"/>
      <c r="J1" s="40"/>
      <c r="K1" s="39"/>
    </row>
    <row r="2" spans="1:24" x14ac:dyDescent="0.2">
      <c r="A2" s="74" t="s">
        <v>1013</v>
      </c>
      <c r="B2" s="74"/>
      <c r="X2" s="93" t="s">
        <v>936</v>
      </c>
    </row>
    <row r="3" spans="1:24" x14ac:dyDescent="0.2">
      <c r="A3" s="4">
        <v>1</v>
      </c>
      <c r="X3" s="80" t="s">
        <v>0</v>
      </c>
    </row>
    <row r="4" spans="1:24" ht="15" thickBot="1" x14ac:dyDescent="0.25">
      <c r="X4" s="80" t="s">
        <v>1</v>
      </c>
    </row>
    <row r="5" spans="1:24" s="88" customFormat="1" ht="56.25" customHeight="1" x14ac:dyDescent="0.2">
      <c r="A5" s="46" t="s">
        <v>935</v>
      </c>
      <c r="B5" s="229" t="s">
        <v>27</v>
      </c>
      <c r="C5" s="204" t="s">
        <v>35</v>
      </c>
      <c r="D5" s="205"/>
      <c r="E5" s="204" t="s">
        <v>444</v>
      </c>
      <c r="F5" s="205"/>
      <c r="G5" s="204" t="s">
        <v>32</v>
      </c>
      <c r="H5" s="205"/>
      <c r="I5" s="204" t="s">
        <v>30</v>
      </c>
      <c r="J5" s="205"/>
      <c r="K5" s="204" t="s">
        <v>31</v>
      </c>
      <c r="L5" s="205"/>
      <c r="M5" s="204" t="s">
        <v>445</v>
      </c>
      <c r="N5" s="205"/>
      <c r="O5" s="204" t="s">
        <v>28</v>
      </c>
      <c r="P5" s="205"/>
      <c r="Q5" s="204" t="s">
        <v>33</v>
      </c>
      <c r="R5" s="205"/>
      <c r="S5" s="204" t="s">
        <v>34</v>
      </c>
      <c r="T5" s="205"/>
      <c r="U5" s="204" t="s">
        <v>29</v>
      </c>
      <c r="V5" s="228"/>
      <c r="X5" s="80" t="s">
        <v>2</v>
      </c>
    </row>
    <row r="6" spans="1:24" s="88" customFormat="1" x14ac:dyDescent="0.2">
      <c r="A6" s="151"/>
      <c r="B6" s="230"/>
      <c r="C6" s="152" t="s">
        <v>447</v>
      </c>
      <c r="D6" s="152" t="s">
        <v>1068</v>
      </c>
      <c r="E6" s="152" t="s">
        <v>447</v>
      </c>
      <c r="F6" s="152" t="s">
        <v>1068</v>
      </c>
      <c r="G6" s="152" t="s">
        <v>447</v>
      </c>
      <c r="H6" s="152" t="s">
        <v>1068</v>
      </c>
      <c r="I6" s="152" t="s">
        <v>447</v>
      </c>
      <c r="J6" s="152" t="s">
        <v>1068</v>
      </c>
      <c r="K6" s="152" t="s">
        <v>447</v>
      </c>
      <c r="L6" s="152" t="s">
        <v>1068</v>
      </c>
      <c r="M6" s="152" t="s">
        <v>447</v>
      </c>
      <c r="N6" s="152" t="s">
        <v>1068</v>
      </c>
      <c r="O6" s="152" t="s">
        <v>447</v>
      </c>
      <c r="P6" s="152" t="s">
        <v>1068</v>
      </c>
      <c r="Q6" s="152" t="s">
        <v>447</v>
      </c>
      <c r="R6" s="152" t="s">
        <v>1068</v>
      </c>
      <c r="S6" s="152" t="s">
        <v>447</v>
      </c>
      <c r="T6" s="152" t="s">
        <v>1068</v>
      </c>
      <c r="U6" s="152" t="s">
        <v>447</v>
      </c>
      <c r="V6" s="153" t="s">
        <v>1068</v>
      </c>
      <c r="X6" s="80" t="s">
        <v>3</v>
      </c>
    </row>
    <row r="7" spans="1:24" x14ac:dyDescent="0.2">
      <c r="A7" s="98" t="s">
        <v>1063</v>
      </c>
      <c r="B7" s="89">
        <f ca="1">OFFSET('1'!$D$4,$A$3,0)</f>
        <v>88855</v>
      </c>
      <c r="C7" s="87">
        <f ca="1">OFFSET('1'!$E$4,$A$3,0)</f>
        <v>579507.25882780401</v>
      </c>
      <c r="D7" s="154">
        <f ca="1">IFERROR(C7/$B7,"")</f>
        <v>6.5219431526397393</v>
      </c>
      <c r="E7" s="87">
        <f ca="1">OFFSET('1'!$E$66,$A$3,0)</f>
        <v>115581</v>
      </c>
      <c r="F7" s="154">
        <f ca="1">IFERROR(E7/$B7,"")</f>
        <v>1.3007821732035338</v>
      </c>
      <c r="G7" s="87">
        <f ca="1">'1'!$F$100*B7</f>
        <v>68826.941804655668</v>
      </c>
      <c r="H7" s="154">
        <f ca="1">IFERROR(G7/$B7,"")</f>
        <v>0.77459841094654969</v>
      </c>
      <c r="I7" s="87">
        <f ca="1">'1'!$F$98*'Discipline Analysis'!B7</f>
        <v>167105.77661719438</v>
      </c>
      <c r="J7" s="154">
        <f ca="1">IFERROR(I7/$B7,"")</f>
        <v>1.8806569874198906</v>
      </c>
      <c r="K7" s="87">
        <f ca="1">'1'!$F$99*'Discipline Analysis'!B7</f>
        <v>80983.00460061965</v>
      </c>
      <c r="L7" s="154">
        <f ca="1">IFERROR(K7/$B7,"")</f>
        <v>0.91140627539946706</v>
      </c>
      <c r="M7" s="87">
        <f ca="1">OFFSET('1'!$E$35,$A$3,0)</f>
        <v>90393</v>
      </c>
      <c r="N7" s="154">
        <f ca="1">IFERROR(M7/$B7,"")</f>
        <v>1.0173090990940297</v>
      </c>
      <c r="O7" s="87">
        <f ca="1">'1'!$F$101*'Discipline Analysis'!B7</f>
        <v>0</v>
      </c>
      <c r="P7" s="154">
        <f ca="1">IFERROR(O7/$B7,"")</f>
        <v>0</v>
      </c>
      <c r="Q7" s="87">
        <f ca="1">'1'!$F$102*'Discipline Analysis'!B7</f>
        <v>1134.3259728696926</v>
      </c>
      <c r="R7" s="154">
        <f ca="1">IFERROR(Q7/$B7,"")</f>
        <v>1.2766034245340077E-2</v>
      </c>
      <c r="S7" s="87">
        <f ca="1">'1'!$F$103*'Discipline Analysis'!B7</f>
        <v>18389.218377560941</v>
      </c>
      <c r="T7" s="154">
        <f ca="1">IFERROR(S7/$B7,"")</f>
        <v>0.20695760933611998</v>
      </c>
      <c r="U7" s="85">
        <f ca="1">'1'!$F$104*'Discipline Analysis'!B7</f>
        <v>37093.991454903618</v>
      </c>
      <c r="V7" s="157">
        <f ca="1">IFERROR(U7/$B7,"")</f>
        <v>0.4174665629948075</v>
      </c>
      <c r="X7" s="80" t="s">
        <v>4</v>
      </c>
    </row>
    <row r="8" spans="1:24" x14ac:dyDescent="0.2">
      <c r="A8" s="98" t="s">
        <v>1017</v>
      </c>
      <c r="B8" s="89">
        <f ca="1">OFFSET('2'!$D$4,$A$3,0)</f>
        <v>1152</v>
      </c>
      <c r="C8" s="81">
        <f ca="1">OFFSET('2'!$E$4,$A$3,0)</f>
        <v>11915.957428986929</v>
      </c>
      <c r="D8" s="155">
        <f t="shared" ref="D8:D64" ca="1" si="0">IFERROR(C8/$B8,"")</f>
        <v>10.343713045995598</v>
      </c>
      <c r="E8" s="81">
        <f ca="1">OFFSET('2'!$E$66,$A$3,0)</f>
        <v>6395</v>
      </c>
      <c r="F8" s="155">
        <f t="shared" ref="F8:F64" ca="1" si="1">IFERROR(E8/$B8,"")</f>
        <v>5.5512152777777777</v>
      </c>
      <c r="G8" s="81">
        <f ca="1">'2'!$F$100*B8</f>
        <v>1387.9903005099347</v>
      </c>
      <c r="H8" s="155">
        <f t="shared" ref="H8:H64" ca="1" si="2">IFERROR(G8/$B8,"")</f>
        <v>1.2048526914148738</v>
      </c>
      <c r="I8" s="81">
        <f ca="1">'2'!$F$98*'Discipline Analysis'!B8</f>
        <v>1572.1802529258628</v>
      </c>
      <c r="J8" s="155">
        <f t="shared" ref="J8:J64" ca="1" si="3">IFERROR(I8/$B8,"")</f>
        <v>1.3647398028870337</v>
      </c>
      <c r="K8" s="81">
        <f ca="1">'2'!$F$99*'Discipline Analysis'!B8</f>
        <v>997.74475154632455</v>
      </c>
      <c r="L8" s="155">
        <f t="shared" ref="L8:L64" ca="1" si="4">IFERROR(K8/$B8,"")</f>
        <v>0.86609787460618448</v>
      </c>
      <c r="M8" s="81">
        <f ca="1">OFFSET('2'!$E$35,$A$3,0)</f>
        <v>1013</v>
      </c>
      <c r="N8" s="155">
        <f t="shared" ref="N8:N64" ca="1" si="5">IFERROR(M8/$B8,"")</f>
        <v>0.87934027777777779</v>
      </c>
      <c r="O8" s="81">
        <f ca="1">'2'!$F$101*'Discipline Analysis'!B8</f>
        <v>0</v>
      </c>
      <c r="P8" s="155">
        <f t="shared" ref="P8:P64" ca="1" si="6">IFERROR(O8/$B8,"")</f>
        <v>0</v>
      </c>
      <c r="Q8" s="81">
        <f ca="1">'2'!$F$102*'Discipline Analysis'!B8</f>
        <v>0</v>
      </c>
      <c r="R8" s="155">
        <f t="shared" ref="R8:R64" ca="1" si="7">IFERROR(Q8/$B8,"")</f>
        <v>0</v>
      </c>
      <c r="S8" s="81">
        <f ca="1">'2'!$F$103*'Discipline Analysis'!B8</f>
        <v>185.56073735318074</v>
      </c>
      <c r="T8" s="155">
        <f t="shared" ref="T8:T64" ca="1" si="8">IFERROR(S8/$B8,"")</f>
        <v>0.16107702895241383</v>
      </c>
      <c r="U8" s="81">
        <f ca="1">'2'!$F$104*'Discipline Analysis'!B8</f>
        <v>364.48138665162611</v>
      </c>
      <c r="V8" s="158">
        <f t="shared" ref="V8:V64" ca="1" si="9">IFERROR(U8/$B8,"")</f>
        <v>0.31639009257953654</v>
      </c>
      <c r="X8" s="80" t="s">
        <v>5</v>
      </c>
    </row>
    <row r="9" spans="1:24" x14ac:dyDescent="0.2">
      <c r="A9" s="98" t="s">
        <v>1027</v>
      </c>
      <c r="B9" s="89">
        <f ca="1">OFFSET('3'!$D$4,$A$3,0)</f>
        <v>13888</v>
      </c>
      <c r="C9" s="81">
        <f ca="1">OFFSET('3'!$E$4,$A$3,0)</f>
        <v>120773.94990013598</v>
      </c>
      <c r="D9" s="155">
        <f t="shared" ca="1" si="0"/>
        <v>8.6962809547908968</v>
      </c>
      <c r="E9" s="81">
        <f ca="1">OFFSET('3'!$E$66,$A$3,0)</f>
        <v>42588</v>
      </c>
      <c r="F9" s="155">
        <f t="shared" ca="1" si="1"/>
        <v>3.066532258064516</v>
      </c>
      <c r="G9" s="81">
        <f ca="1">'3'!$F$100*B9</f>
        <v>5744.2270997351807</v>
      </c>
      <c r="H9" s="155">
        <f t="shared" ca="1" si="2"/>
        <v>0.4136108222735585</v>
      </c>
      <c r="I9" s="81">
        <f ca="1">'3'!$F$98*'Discipline Analysis'!B9</f>
        <v>26815.348274257463</v>
      </c>
      <c r="J9" s="155">
        <f t="shared" ca="1" si="3"/>
        <v>1.9308286487800592</v>
      </c>
      <c r="K9" s="81">
        <f ca="1">'3'!$F$99*'Discipline Analysis'!B9</f>
        <v>8391.6467481050659</v>
      </c>
      <c r="L9" s="155">
        <f t="shared" ca="1" si="4"/>
        <v>0.60423723704673571</v>
      </c>
      <c r="M9" s="81">
        <f ca="1">OFFSET('3'!$E$35,$A$3,0)</f>
        <v>24761</v>
      </c>
      <c r="N9" s="155">
        <f t="shared" ca="1" si="5"/>
        <v>1.7829061059907834</v>
      </c>
      <c r="O9" s="81">
        <f ca="1">'3'!$F$101*'Discipline Analysis'!B9</f>
        <v>0</v>
      </c>
      <c r="P9" s="155">
        <f t="shared" ca="1" si="6"/>
        <v>0</v>
      </c>
      <c r="Q9" s="81">
        <f ca="1">'3'!$F$102*'Discipline Analysis'!B9</f>
        <v>0</v>
      </c>
      <c r="R9" s="155">
        <f t="shared" ca="1" si="7"/>
        <v>0</v>
      </c>
      <c r="S9" s="81">
        <f ca="1">'3'!$F$103*'Discipline Analysis'!B9</f>
        <v>4602.2098046810206</v>
      </c>
      <c r="T9" s="155">
        <f t="shared" ca="1" si="8"/>
        <v>0.3313803142771472</v>
      </c>
      <c r="U9" s="81">
        <f ca="1">'3'!$F$104*'Discipline Analysis'!B9</f>
        <v>7871.5179733572486</v>
      </c>
      <c r="V9" s="158">
        <f t="shared" ca="1" si="9"/>
        <v>0.56678556835809679</v>
      </c>
      <c r="X9" s="80" t="s">
        <v>6</v>
      </c>
    </row>
    <row r="10" spans="1:24" x14ac:dyDescent="0.2">
      <c r="A10" s="98" t="s">
        <v>1028</v>
      </c>
      <c r="B10" s="89">
        <f ca="1">OFFSET('4'!$D$4,$A$3,0)</f>
        <v>0</v>
      </c>
      <c r="C10" s="81">
        <f ca="1">OFFSET('4'!$E$4,$A$3,0)</f>
        <v>0</v>
      </c>
      <c r="D10" s="155" t="str">
        <f t="shared" ca="1" si="0"/>
        <v/>
      </c>
      <c r="E10" s="81">
        <f ca="1">OFFSET('4'!$E$66,$A$3,0)</f>
        <v>0</v>
      </c>
      <c r="F10" s="155" t="str">
        <f t="shared" ca="1" si="1"/>
        <v/>
      </c>
      <c r="G10" s="81">
        <f ca="1">'4'!$F$100*B10</f>
        <v>0</v>
      </c>
      <c r="H10" s="155" t="str">
        <f t="shared" ca="1" si="2"/>
        <v/>
      </c>
      <c r="I10" s="81">
        <f ca="1">'4'!$F$98*'Discipline Analysis'!B10</f>
        <v>0</v>
      </c>
      <c r="J10" s="155" t="str">
        <f t="shared" ca="1" si="3"/>
        <v/>
      </c>
      <c r="K10" s="81">
        <f ca="1">'4'!$F$99*'Discipline Analysis'!B10</f>
        <v>0</v>
      </c>
      <c r="L10" s="155" t="str">
        <f t="shared" ca="1" si="4"/>
        <v/>
      </c>
      <c r="M10" s="81">
        <f ca="1">OFFSET('4'!$E$35,$A$3,0)</f>
        <v>0</v>
      </c>
      <c r="N10" s="155" t="str">
        <f t="shared" ca="1" si="5"/>
        <v/>
      </c>
      <c r="O10" s="81">
        <f ca="1">'4'!$F$101*'Discipline Analysis'!B10</f>
        <v>0</v>
      </c>
      <c r="P10" s="155" t="str">
        <f t="shared" ca="1" si="6"/>
        <v/>
      </c>
      <c r="Q10" s="81">
        <f ca="1">'4'!$F$102*'Discipline Analysis'!B10</f>
        <v>0</v>
      </c>
      <c r="R10" s="155" t="str">
        <f t="shared" ca="1" si="7"/>
        <v/>
      </c>
      <c r="S10" s="81">
        <f ca="1">'4'!$F$103*'Discipline Analysis'!B10</f>
        <v>0</v>
      </c>
      <c r="T10" s="155" t="str">
        <f t="shared" ca="1" si="8"/>
        <v/>
      </c>
      <c r="U10" s="81">
        <f ca="1">'4'!$F$104*'Discipline Analysis'!B10</f>
        <v>0</v>
      </c>
      <c r="V10" s="158" t="str">
        <f t="shared" ca="1" si="9"/>
        <v/>
      </c>
      <c r="X10" s="80" t="s">
        <v>7</v>
      </c>
    </row>
    <row r="11" spans="1:24" x14ac:dyDescent="0.2">
      <c r="A11" s="98" t="s">
        <v>1018</v>
      </c>
      <c r="B11" s="89">
        <f ca="1">OFFSET('5'!$D$4,$A$3,0)</f>
        <v>67324</v>
      </c>
      <c r="C11" s="81">
        <f ca="1">OFFSET('5'!$E$4,$A$3,0)</f>
        <v>558695.77540860325</v>
      </c>
      <c r="D11" s="155">
        <f t="shared" ca="1" si="0"/>
        <v>8.298612313715811</v>
      </c>
      <c r="E11" s="81">
        <f ca="1">OFFSET('5'!$E$66,$A$3,0)</f>
        <v>143811</v>
      </c>
      <c r="F11" s="155">
        <f t="shared" ca="1" si="1"/>
        <v>2.1361030241815699</v>
      </c>
      <c r="G11" s="81">
        <f ca="1">'5'!$F$100*B11</f>
        <v>87780.875061848157</v>
      </c>
      <c r="H11" s="155">
        <f t="shared" ca="1" si="2"/>
        <v>1.3038570949713053</v>
      </c>
      <c r="I11" s="81">
        <f ca="1">'5'!$F$98*'Discipline Analysis'!B11</f>
        <v>126827.81173836936</v>
      </c>
      <c r="J11" s="155">
        <f t="shared" ca="1" si="3"/>
        <v>1.8838424891326921</v>
      </c>
      <c r="K11" s="81">
        <f ca="1">'5'!$F$99*'Discipline Analysis'!B11</f>
        <v>87474.898441140918</v>
      </c>
      <c r="L11" s="155">
        <f t="shared" ca="1" si="4"/>
        <v>1.2993122577556431</v>
      </c>
      <c r="M11" s="81">
        <f ca="1">OFFSET('5'!$E$35,$A$3,0)</f>
        <v>71570</v>
      </c>
      <c r="N11" s="155">
        <f t="shared" ca="1" si="5"/>
        <v>1.0630681480601272</v>
      </c>
      <c r="O11" s="81">
        <f ca="1">'5'!$F$101*'Discipline Analysis'!B11</f>
        <v>0</v>
      </c>
      <c r="P11" s="155">
        <f t="shared" ca="1" si="6"/>
        <v>0</v>
      </c>
      <c r="Q11" s="81">
        <f ca="1">'5'!$F$102*'Discipline Analysis'!B11</f>
        <v>0</v>
      </c>
      <c r="R11" s="155">
        <f t="shared" ca="1" si="7"/>
        <v>0</v>
      </c>
      <c r="S11" s="81">
        <f ca="1">'5'!$F$103*'Discipline Analysis'!B11</f>
        <v>13497.833019109397</v>
      </c>
      <c r="T11" s="155">
        <f t="shared" ca="1" si="8"/>
        <v>0.20049065740463129</v>
      </c>
      <c r="U11" s="81">
        <f ca="1">'5'!$F$104*'Discipline Analysis'!B11</f>
        <v>27733.357148135376</v>
      </c>
      <c r="V11" s="158">
        <f t="shared" ca="1" si="9"/>
        <v>0.41193864220984161</v>
      </c>
      <c r="X11" s="80" t="s">
        <v>8</v>
      </c>
    </row>
    <row r="12" spans="1:24" x14ac:dyDescent="0.2">
      <c r="A12" s="98" t="s">
        <v>1029</v>
      </c>
      <c r="B12" s="89">
        <f ca="1">OFFSET('6'!$D$4,$A$3,0)</f>
        <v>76304</v>
      </c>
      <c r="C12" s="81">
        <f ca="1">OFFSET('6'!$E$4,$A$3,0)</f>
        <v>615144.97930177499</v>
      </c>
      <c r="D12" s="155">
        <f t="shared" ca="1" si="0"/>
        <v>8.0617658222606288</v>
      </c>
      <c r="E12" s="81">
        <f ca="1">OFFSET('6'!$E$66,$A$3,0)</f>
        <v>374165</v>
      </c>
      <c r="F12" s="155">
        <f t="shared" ca="1" si="1"/>
        <v>4.9036092472216399</v>
      </c>
      <c r="G12" s="81">
        <f ca="1">'6'!$F$100*B12</f>
        <v>32433.936987569694</v>
      </c>
      <c r="H12" s="155">
        <f t="shared" ca="1" si="2"/>
        <v>0.42506208046196392</v>
      </c>
      <c r="I12" s="81">
        <f ca="1">'6'!$F$98*'Discipline Analysis'!B12</f>
        <v>61085.265456664492</v>
      </c>
      <c r="J12" s="155">
        <f t="shared" ca="1" si="3"/>
        <v>0.80055128770004835</v>
      </c>
      <c r="K12" s="81">
        <f ca="1">'6'!$F$99*'Discipline Analysis'!B12</f>
        <v>41474.408045790304</v>
      </c>
      <c r="L12" s="155">
        <f t="shared" ca="1" si="4"/>
        <v>0.54354172842564352</v>
      </c>
      <c r="M12" s="81">
        <f ca="1">OFFSET('6'!$E$35,$A$3,0)</f>
        <v>83474</v>
      </c>
      <c r="N12" s="155">
        <f t="shared" ca="1" si="5"/>
        <v>1.0939662403019501</v>
      </c>
      <c r="O12" s="81">
        <f ca="1">'6'!$F$101*'Discipline Analysis'!B12</f>
        <v>0</v>
      </c>
      <c r="P12" s="155">
        <f t="shared" ca="1" si="6"/>
        <v>0</v>
      </c>
      <c r="Q12" s="81">
        <f ca="1">'6'!$F$102*'Discipline Analysis'!B12</f>
        <v>5419.1060332259913</v>
      </c>
      <c r="R12" s="155">
        <f t="shared" ca="1" si="7"/>
        <v>7.1019946965113115E-2</v>
      </c>
      <c r="S12" s="81">
        <f ca="1">'6'!$F$103*'Discipline Analysis'!B12</f>
        <v>9769.6204878722292</v>
      </c>
      <c r="T12" s="155">
        <f t="shared" ca="1" si="8"/>
        <v>0.12803549601426176</v>
      </c>
      <c r="U12" s="81">
        <f ca="1">'6'!$F$104*'Discipline Analysis'!B12</f>
        <v>7323.6422906522967</v>
      </c>
      <c r="V12" s="158">
        <f t="shared" ca="1" si="9"/>
        <v>9.5979795170008084E-2</v>
      </c>
      <c r="X12" s="80" t="s">
        <v>9</v>
      </c>
    </row>
    <row r="13" spans="1:24" x14ac:dyDescent="0.2">
      <c r="A13" s="98" t="s">
        <v>1030</v>
      </c>
      <c r="B13" s="89">
        <f ca="1">OFFSET('7'!$D$4,$A$3,0)</f>
        <v>10752</v>
      </c>
      <c r="C13" s="81">
        <f ca="1">OFFSET('7'!$E$4,$A$3,0)</f>
        <v>70052.627793304651</v>
      </c>
      <c r="D13" s="155">
        <f t="shared" ca="1" si="0"/>
        <v>6.5153113647046741</v>
      </c>
      <c r="E13" s="81">
        <f ca="1">OFFSET('7'!$E$66,$A$3,0)</f>
        <v>9870</v>
      </c>
      <c r="F13" s="155">
        <f t="shared" ca="1" si="1"/>
        <v>0.91796875</v>
      </c>
      <c r="G13" s="81">
        <f ca="1">'7'!$F$100*B13</f>
        <v>8925.9839980415745</v>
      </c>
      <c r="H13" s="155">
        <f t="shared" ca="1" si="2"/>
        <v>0.8301696426749976</v>
      </c>
      <c r="I13" s="81">
        <f ca="1">'7'!$F$98*'Discipline Analysis'!B13</f>
        <v>29173.170697076643</v>
      </c>
      <c r="J13" s="155">
        <f t="shared" ca="1" si="3"/>
        <v>2.7132785246537057</v>
      </c>
      <c r="K13" s="81">
        <f ca="1">'7'!$F$99*'Discipline Analysis'!B13</f>
        <v>11001.901205654949</v>
      </c>
      <c r="L13" s="155">
        <f t="shared" ca="1" si="4"/>
        <v>1.0232422996330868</v>
      </c>
      <c r="M13" s="81">
        <f ca="1">OFFSET('7'!$E$35,$A$3,0)</f>
        <v>2689</v>
      </c>
      <c r="N13" s="155">
        <f t="shared" ca="1" si="5"/>
        <v>0.25009300595238093</v>
      </c>
      <c r="O13" s="81">
        <f ca="1">'7'!$F$101*'Discipline Analysis'!B13</f>
        <v>0</v>
      </c>
      <c r="P13" s="155">
        <f t="shared" ca="1" si="6"/>
        <v>0</v>
      </c>
      <c r="Q13" s="81">
        <f ca="1">'7'!$F$102*'Discipline Analysis'!B13</f>
        <v>617.05092311144654</v>
      </c>
      <c r="R13" s="155">
        <f t="shared" ca="1" si="7"/>
        <v>5.7389408771525909E-2</v>
      </c>
      <c r="S13" s="81">
        <f ca="1">'7'!$F$103*'Discipline Analysis'!B13</f>
        <v>2277.8072502499031</v>
      </c>
      <c r="T13" s="155">
        <f t="shared" ca="1" si="8"/>
        <v>0.21184963264973056</v>
      </c>
      <c r="U13" s="81">
        <f ca="1">'7'!$F$104*'Discipline Analysis'!B13</f>
        <v>5497.7137191701177</v>
      </c>
      <c r="V13" s="158">
        <f t="shared" ca="1" si="9"/>
        <v>0.51132010036924458</v>
      </c>
      <c r="X13" s="80" t="s">
        <v>10</v>
      </c>
    </row>
    <row r="14" spans="1:24" x14ac:dyDescent="0.2">
      <c r="A14" s="98" t="s">
        <v>1064</v>
      </c>
      <c r="B14" s="89">
        <f ca="1">OFFSET('8'!$D$4,$A$3,0)</f>
        <v>87104</v>
      </c>
      <c r="C14" s="81">
        <f ca="1">OFFSET('8'!$E$4,$A$3,0)</f>
        <v>497533.49479249469</v>
      </c>
      <c r="D14" s="155">
        <f t="shared" ca="1" si="0"/>
        <v>5.7119477267690888</v>
      </c>
      <c r="E14" s="81">
        <f ca="1">OFFSET('8'!$E$66,$A$3,0)</f>
        <v>169607</v>
      </c>
      <c r="F14" s="155">
        <f t="shared" ca="1" si="1"/>
        <v>1.9471780859662013</v>
      </c>
      <c r="G14" s="81">
        <f ca="1">'8'!$F$100*B14</f>
        <v>31775.649619315405</v>
      </c>
      <c r="H14" s="155">
        <f t="shared" ca="1" si="2"/>
        <v>0.36480126767215521</v>
      </c>
      <c r="I14" s="81">
        <f ca="1">'8'!$F$98*'Discipline Analysis'!B14</f>
        <v>109312.14040478709</v>
      </c>
      <c r="J14" s="155">
        <f t="shared" ca="1" si="3"/>
        <v>1.2549612004590729</v>
      </c>
      <c r="K14" s="81">
        <f ca="1">'8'!$F$99*'Discipline Analysis'!B14</f>
        <v>57429.276477626008</v>
      </c>
      <c r="L14" s="155">
        <f t="shared" ca="1" si="4"/>
        <v>0.65931847535849109</v>
      </c>
      <c r="M14" s="81">
        <f ca="1">OFFSET('8'!$E$35,$A$3,0)</f>
        <v>96339</v>
      </c>
      <c r="N14" s="155">
        <f t="shared" ca="1" si="5"/>
        <v>1.106022685525349</v>
      </c>
      <c r="O14" s="81">
        <f ca="1">'8'!$F$101*'Discipline Analysis'!B14</f>
        <v>0</v>
      </c>
      <c r="P14" s="155">
        <f t="shared" ca="1" si="6"/>
        <v>0</v>
      </c>
      <c r="Q14" s="81">
        <f ca="1">'8'!$F$102*'Discipline Analysis'!B14</f>
        <v>0</v>
      </c>
      <c r="R14" s="155">
        <f t="shared" ca="1" si="7"/>
        <v>0</v>
      </c>
      <c r="S14" s="81">
        <f ca="1">'8'!$F$103*'Discipline Analysis'!B14</f>
        <v>10570.155311887502</v>
      </c>
      <c r="T14" s="155">
        <f t="shared" ca="1" si="8"/>
        <v>0.12135097483338884</v>
      </c>
      <c r="U14" s="81">
        <f ca="1">'8'!$F$104*'Discipline Analysis'!B14</f>
        <v>22500.272978878707</v>
      </c>
      <c r="V14" s="158">
        <f t="shared" ca="1" si="9"/>
        <v>0.25831503695443042</v>
      </c>
      <c r="X14" s="80" t="s">
        <v>11</v>
      </c>
    </row>
    <row r="15" spans="1:24" x14ac:dyDescent="0.2">
      <c r="A15" s="98" t="s">
        <v>1021</v>
      </c>
      <c r="B15" s="89">
        <f ca="1">OFFSET('9'!$D$4,$A$3,0)</f>
        <v>5744</v>
      </c>
      <c r="C15" s="81">
        <f ca="1">OFFSET('9'!$E$4,$A$3,0)</f>
        <v>68623.131337382962</v>
      </c>
      <c r="D15" s="155">
        <f t="shared" ca="1" si="0"/>
        <v>11.946923979349402</v>
      </c>
      <c r="E15" s="81">
        <f ca="1">OFFSET('9'!$E$66,$A$3,0)</f>
        <v>46000</v>
      </c>
      <c r="F15" s="155">
        <f t="shared" ca="1" si="1"/>
        <v>8.0083565459610035</v>
      </c>
      <c r="G15" s="81">
        <f ca="1">'9'!$F$100*B15</f>
        <v>2555.5547421314336</v>
      </c>
      <c r="H15" s="155">
        <f t="shared" ca="1" si="2"/>
        <v>0.4449085553849989</v>
      </c>
      <c r="I15" s="81">
        <f ca="1">'9'!$F$98*'Discipline Analysis'!B15</f>
        <v>6895.4978811613601</v>
      </c>
      <c r="J15" s="155">
        <f t="shared" ca="1" si="3"/>
        <v>1.2004696868317131</v>
      </c>
      <c r="K15" s="81">
        <f ca="1">'9'!$F$99*'Discipline Analysis'!B15</f>
        <v>3984.1946007880592</v>
      </c>
      <c r="L15" s="155">
        <f t="shared" ca="1" si="4"/>
        <v>0.69362719373051174</v>
      </c>
      <c r="M15" s="81">
        <f ca="1">OFFSET('9'!$E$35,$A$3,0)</f>
        <v>5469</v>
      </c>
      <c r="N15" s="155">
        <f t="shared" ca="1" si="5"/>
        <v>0.95212395543175488</v>
      </c>
      <c r="O15" s="81">
        <f ca="1">'9'!$F$101*'Discipline Analysis'!B15</f>
        <v>0</v>
      </c>
      <c r="P15" s="155">
        <f t="shared" ca="1" si="6"/>
        <v>0</v>
      </c>
      <c r="Q15" s="81">
        <f ca="1">'9'!$F$102*'Discipline Analysis'!B15</f>
        <v>0</v>
      </c>
      <c r="R15" s="155">
        <f t="shared" ca="1" si="7"/>
        <v>0</v>
      </c>
      <c r="S15" s="81">
        <f ca="1">'9'!$F$103*'Discipline Analysis'!B15</f>
        <v>907.82193883575394</v>
      </c>
      <c r="T15" s="155">
        <f t="shared" ca="1" si="8"/>
        <v>0.15804699492265911</v>
      </c>
      <c r="U15" s="81">
        <f ca="1">'9'!$F$104*'Discipline Analysis'!B15</f>
        <v>2811.0621744663545</v>
      </c>
      <c r="V15" s="158">
        <f t="shared" ca="1" si="9"/>
        <v>0.4893910470867609</v>
      </c>
      <c r="X15" s="80" t="s">
        <v>12</v>
      </c>
    </row>
    <row r="16" spans="1:24" x14ac:dyDescent="0.2">
      <c r="A16" s="98" t="s">
        <v>1031</v>
      </c>
      <c r="B16" s="89">
        <f ca="1">OFFSET('10'!$D$4,$A$3,0)</f>
        <v>40736</v>
      </c>
      <c r="C16" s="81">
        <f ca="1">OFFSET('10'!$E$4,$A$3,0)</f>
        <v>350063.54078660911</v>
      </c>
      <c r="D16" s="155">
        <f t="shared" ca="1" si="0"/>
        <v>8.5934686956649919</v>
      </c>
      <c r="E16" s="81">
        <f ca="1">OFFSET('10'!$E$66,$A$3,0)</f>
        <v>173596</v>
      </c>
      <c r="F16" s="155">
        <f t="shared" ca="1" si="1"/>
        <v>4.2614886095836608</v>
      </c>
      <c r="G16" s="81">
        <f ca="1">'10'!$F$100*B16</f>
        <v>19487.993159684072</v>
      </c>
      <c r="H16" s="155">
        <f t="shared" ca="1" si="2"/>
        <v>0.47839731833474253</v>
      </c>
      <c r="I16" s="81">
        <f ca="1">'10'!$F$98*'Discipline Analysis'!B16</f>
        <v>51444.778919191958</v>
      </c>
      <c r="J16" s="155">
        <f t="shared" ca="1" si="3"/>
        <v>1.2628824361545552</v>
      </c>
      <c r="K16" s="81">
        <f ca="1">'10'!$F$99*'Discipline Analysis'!B16</f>
        <v>22151.058639643063</v>
      </c>
      <c r="L16" s="155">
        <f t="shared" ca="1" si="4"/>
        <v>0.54377107815306025</v>
      </c>
      <c r="M16" s="81">
        <f ca="1">OFFSET('10'!$E$35,$A$3,0)</f>
        <v>51982</v>
      </c>
      <c r="N16" s="155">
        <f t="shared" ca="1" si="5"/>
        <v>1.2760703063629222</v>
      </c>
      <c r="O16" s="81">
        <f ca="1">'10'!$F$101*'Discipline Analysis'!B16</f>
        <v>0</v>
      </c>
      <c r="P16" s="155">
        <f t="shared" ca="1" si="6"/>
        <v>0</v>
      </c>
      <c r="Q16" s="81">
        <f ca="1">'10'!$F$102*'Discipline Analysis'!B16</f>
        <v>0</v>
      </c>
      <c r="R16" s="155">
        <f t="shared" ca="1" si="7"/>
        <v>0</v>
      </c>
      <c r="S16" s="81">
        <f ca="1">'10'!$F$103*'Discipline Analysis'!B16</f>
        <v>26492.828751111349</v>
      </c>
      <c r="T16" s="155">
        <f t="shared" ca="1" si="8"/>
        <v>0.65035420147072243</v>
      </c>
      <c r="U16" s="81">
        <f ca="1">'10'!$F$104*'Discipline Analysis'!B16</f>
        <v>4908.8813169786608</v>
      </c>
      <c r="V16" s="158">
        <f t="shared" ca="1" si="9"/>
        <v>0.12050474560532848</v>
      </c>
      <c r="X16" s="80" t="s">
        <v>449</v>
      </c>
    </row>
    <row r="17" spans="1:24" x14ac:dyDescent="0.2">
      <c r="A17" s="98" t="s">
        <v>1032</v>
      </c>
      <c r="B17" s="89">
        <f ca="1">OFFSET('11'!$D$4,$A$3,0)</f>
        <v>7956</v>
      </c>
      <c r="C17" s="81">
        <f ca="1">OFFSET('11'!$E$4,$A$3,0)</f>
        <v>73628.114406269175</v>
      </c>
      <c r="D17" s="155">
        <f t="shared" ca="1" si="0"/>
        <v>9.2544135754486145</v>
      </c>
      <c r="E17" s="81">
        <f ca="1">OFFSET('11'!$E$66,$A$3,0)</f>
        <v>33493</v>
      </c>
      <c r="F17" s="155">
        <f t="shared" ca="1" si="1"/>
        <v>4.2097787833081952</v>
      </c>
      <c r="G17" s="81">
        <f ca="1">'11'!$F$100*B17</f>
        <v>4050.8161322160727</v>
      </c>
      <c r="H17" s="155">
        <f t="shared" ca="1" si="2"/>
        <v>0.50915235447663054</v>
      </c>
      <c r="I17" s="81">
        <f ca="1">'11'!$F$98*'Discipline Analysis'!B17</f>
        <v>23078.621197218352</v>
      </c>
      <c r="J17" s="155">
        <f t="shared" ca="1" si="3"/>
        <v>2.9007819503793804</v>
      </c>
      <c r="K17" s="81">
        <f ca="1">'11'!$F$99*'Discipline Analysis'!B17</f>
        <v>3472.8995353546206</v>
      </c>
      <c r="L17" s="155">
        <f t="shared" ca="1" si="4"/>
        <v>0.43651326487614639</v>
      </c>
      <c r="M17" s="81">
        <f ca="1">OFFSET('11'!$E$35,$A$3,0)</f>
        <v>5707</v>
      </c>
      <c r="N17" s="155">
        <f t="shared" ca="1" si="5"/>
        <v>0.7173202614379085</v>
      </c>
      <c r="O17" s="81">
        <f ca="1">'11'!$F$101*'Discipline Analysis'!B17</f>
        <v>0</v>
      </c>
      <c r="P17" s="155">
        <f t="shared" ca="1" si="6"/>
        <v>0</v>
      </c>
      <c r="Q17" s="81">
        <f ca="1">'11'!$F$102*'Discipline Analysis'!B17</f>
        <v>911.97126268725094</v>
      </c>
      <c r="R17" s="155">
        <f t="shared" ca="1" si="7"/>
        <v>0.11462685554138398</v>
      </c>
      <c r="S17" s="81">
        <f ca="1">'11'!$F$103*'Discipline Analysis'!B17</f>
        <v>2484.6809195623341</v>
      </c>
      <c r="T17" s="155">
        <f t="shared" ca="1" si="8"/>
        <v>0.31230278023659302</v>
      </c>
      <c r="U17" s="81">
        <f ca="1">'11'!$F$104*'Discipline Analysis'!B17</f>
        <v>429.12535923054952</v>
      </c>
      <c r="V17" s="158">
        <f t="shared" ca="1" si="9"/>
        <v>5.3937325192376762E-2</v>
      </c>
      <c r="X17" s="80" t="s">
        <v>13</v>
      </c>
    </row>
    <row r="18" spans="1:24" x14ac:dyDescent="0.2">
      <c r="A18" s="98" t="s">
        <v>926</v>
      </c>
      <c r="B18" s="89">
        <f ca="1">OFFSET('12'!$D$4,$A$3,0)</f>
        <v>4104</v>
      </c>
      <c r="C18" s="81">
        <f ca="1">OFFSET('12'!$E$4,$A$3,0)</f>
        <v>113785.30022926183</v>
      </c>
      <c r="D18" s="155">
        <f t="shared" ca="1" si="0"/>
        <v>27.725463018825984</v>
      </c>
      <c r="E18" s="81">
        <f ca="1">OFFSET('12'!$E$66,$A$3,0)</f>
        <v>61078</v>
      </c>
      <c r="F18" s="155">
        <f t="shared" ca="1" si="1"/>
        <v>14.882553606237817</v>
      </c>
      <c r="G18" s="81">
        <f ca="1">'12'!$F$100*B18</f>
        <v>4446.8923759894024</v>
      </c>
      <c r="H18" s="155">
        <f t="shared" ca="1" si="2"/>
        <v>1.08355077387656</v>
      </c>
      <c r="I18" s="81">
        <f ca="1">'12'!$F$98*'Discipline Analysis'!B18</f>
        <v>12450.958066278956</v>
      </c>
      <c r="J18" s="155">
        <f t="shared" ca="1" si="3"/>
        <v>3.0338591779432154</v>
      </c>
      <c r="K18" s="81">
        <f ca="1">'12'!$F$99*'Discipline Analysis'!B18</f>
        <v>5951.8141207220633</v>
      </c>
      <c r="L18" s="155">
        <f t="shared" ca="1" si="4"/>
        <v>1.4502471054390993</v>
      </c>
      <c r="M18" s="81">
        <f ca="1">OFFSET('12'!$E$35,$A$3,0)</f>
        <v>24571</v>
      </c>
      <c r="N18" s="155">
        <f t="shared" ca="1" si="5"/>
        <v>5.9870857699805065</v>
      </c>
      <c r="O18" s="81">
        <f ca="1">'12'!$F$101*'Discipline Analysis'!B18</f>
        <v>0</v>
      </c>
      <c r="P18" s="155">
        <f t="shared" ca="1" si="6"/>
        <v>0</v>
      </c>
      <c r="Q18" s="81">
        <f ca="1">'12'!$F$102*'Discipline Analysis'!B18</f>
        <v>0</v>
      </c>
      <c r="R18" s="155">
        <f t="shared" ca="1" si="7"/>
        <v>0</v>
      </c>
      <c r="S18" s="81">
        <f ca="1">'12'!$F$103*'Discipline Analysis'!B18</f>
        <v>612.28162425976325</v>
      </c>
      <c r="T18" s="155">
        <f t="shared" ca="1" si="8"/>
        <v>0.14919142891319767</v>
      </c>
      <c r="U18" s="81">
        <f ca="1">'12'!$F$104*'Discipline Analysis'!B18</f>
        <v>4674.3540420116469</v>
      </c>
      <c r="V18" s="158">
        <f t="shared" ca="1" si="9"/>
        <v>1.1389751564355866</v>
      </c>
      <c r="X18" s="80" t="s">
        <v>14</v>
      </c>
    </row>
    <row r="19" spans="1:24" x14ac:dyDescent="0.2">
      <c r="A19" s="98" t="s">
        <v>1055</v>
      </c>
      <c r="B19" s="89">
        <f ca="1">OFFSET('13'!$D$4,$A$3,0)</f>
        <v>112466</v>
      </c>
      <c r="C19" s="81">
        <f ca="1">OFFSET('13'!$E$4,$A$3,0)</f>
        <v>711695.45175661077</v>
      </c>
      <c r="D19" s="155">
        <f t="shared" ca="1" si="0"/>
        <v>6.3280942841090706</v>
      </c>
      <c r="E19" s="81">
        <f ca="1">OFFSET('13'!$E$66,$A$3,0)</f>
        <v>261437</v>
      </c>
      <c r="F19" s="155">
        <f t="shared" ca="1" si="1"/>
        <v>2.3245869862891895</v>
      </c>
      <c r="G19" s="81">
        <f ca="1">'13'!$F$100*B19</f>
        <v>79621.093339572486</v>
      </c>
      <c r="H19" s="155">
        <f t="shared" ca="1" si="2"/>
        <v>0.7079570122487906</v>
      </c>
      <c r="I19" s="81">
        <f ca="1">'13'!$F$98*'Discipline Analysis'!B19</f>
        <v>125227.22804052774</v>
      </c>
      <c r="J19" s="155">
        <f t="shared" ca="1" si="3"/>
        <v>1.1134674305170251</v>
      </c>
      <c r="K19" s="81">
        <f ca="1">'13'!$F$99*'Discipline Analysis'!B19</f>
        <v>71295.954436370681</v>
      </c>
      <c r="L19" s="155">
        <f t="shared" ca="1" si="4"/>
        <v>0.63393340597487846</v>
      </c>
      <c r="M19" s="81">
        <f ca="1">OFFSET('13'!$E$35,$A$3,0)</f>
        <v>133682</v>
      </c>
      <c r="N19" s="155">
        <f t="shared" ca="1" si="5"/>
        <v>1.1886436789785357</v>
      </c>
      <c r="O19" s="81">
        <f ca="1">'13'!$F$101*'Discipline Analysis'!B19</f>
        <v>0</v>
      </c>
      <c r="P19" s="155">
        <f t="shared" ca="1" si="6"/>
        <v>0</v>
      </c>
      <c r="Q19" s="81">
        <f ca="1">'13'!$F$102*'Discipline Analysis'!B19</f>
        <v>0</v>
      </c>
      <c r="R19" s="155">
        <f t="shared" ca="1" si="7"/>
        <v>0</v>
      </c>
      <c r="S19" s="81">
        <f ca="1">'13'!$F$103*'Discipline Analysis'!B19</f>
        <v>21984.382814347373</v>
      </c>
      <c r="T19" s="155">
        <f t="shared" ca="1" si="8"/>
        <v>0.195475813262207</v>
      </c>
      <c r="U19" s="81">
        <f ca="1">'13'!$F$104*'Discipline Analysis'!B19</f>
        <v>18447.793125792428</v>
      </c>
      <c r="V19" s="158">
        <f t="shared" ca="1" si="9"/>
        <v>0.16402995683844387</v>
      </c>
      <c r="X19" s="80" t="s">
        <v>15</v>
      </c>
    </row>
    <row r="20" spans="1:24" x14ac:dyDescent="0.2">
      <c r="A20" s="98" t="s">
        <v>1056</v>
      </c>
      <c r="B20" s="89">
        <f ca="1">OFFSET('14'!$D$4,$A$3,0)</f>
        <v>78312</v>
      </c>
      <c r="C20" s="81">
        <f ca="1">OFFSET('14'!$E$4,$A$3,0)</f>
        <v>1338590.5912275082</v>
      </c>
      <c r="D20" s="155">
        <f t="shared" ca="1" si="0"/>
        <v>17.093045653635563</v>
      </c>
      <c r="E20" s="81">
        <f ca="1">OFFSET('14'!$E$66,$A$3,0)</f>
        <v>489422</v>
      </c>
      <c r="F20" s="155">
        <f t="shared" ca="1" si="1"/>
        <v>6.2496424558177548</v>
      </c>
      <c r="G20" s="81">
        <f ca="1">'14'!$F$100*B20</f>
        <v>34466.62977852967</v>
      </c>
      <c r="H20" s="155">
        <f t="shared" ca="1" si="2"/>
        <v>0.44011939138994882</v>
      </c>
      <c r="I20" s="81">
        <f ca="1">'14'!$F$98*'Discipline Analysis'!B20</f>
        <v>118012.45314581312</v>
      </c>
      <c r="J20" s="155">
        <f t="shared" ca="1" si="3"/>
        <v>1.506952359099667</v>
      </c>
      <c r="K20" s="81">
        <f ca="1">'14'!$F$99*'Discipline Analysis'!B20</f>
        <v>67549.881255311848</v>
      </c>
      <c r="L20" s="155">
        <f t="shared" ca="1" si="4"/>
        <v>0.8625738233643867</v>
      </c>
      <c r="M20" s="81">
        <f ca="1">OFFSET('14'!$E$35,$A$3,0)</f>
        <v>595820</v>
      </c>
      <c r="N20" s="155">
        <f t="shared" ca="1" si="5"/>
        <v>7.6082848094800282</v>
      </c>
      <c r="O20" s="81">
        <f ca="1">'14'!$F$101*'Discipline Analysis'!B20</f>
        <v>0</v>
      </c>
      <c r="P20" s="155">
        <f t="shared" ca="1" si="6"/>
        <v>0</v>
      </c>
      <c r="Q20" s="81">
        <f ca="1">'14'!$F$102*'Discipline Analysis'!B20</f>
        <v>0</v>
      </c>
      <c r="R20" s="155">
        <f t="shared" ca="1" si="7"/>
        <v>0</v>
      </c>
      <c r="S20" s="81">
        <f ca="1">'14'!$F$103*'Discipline Analysis'!B20</f>
        <v>8131.6273883024814</v>
      </c>
      <c r="T20" s="155">
        <f t="shared" ca="1" si="8"/>
        <v>0.10383628803124019</v>
      </c>
      <c r="U20" s="81">
        <f ca="1">'14'!$F$104*'Discipline Analysis'!B20</f>
        <v>25187.999659551089</v>
      </c>
      <c r="V20" s="158">
        <f t="shared" ca="1" si="9"/>
        <v>0.32163652645253715</v>
      </c>
      <c r="X20" s="80" t="s">
        <v>16</v>
      </c>
    </row>
    <row r="21" spans="1:24" x14ac:dyDescent="0.2">
      <c r="A21" s="98" t="s">
        <v>1033</v>
      </c>
      <c r="B21" s="89">
        <f ca="1">OFFSET('15'!$D$4,$A$3,0)</f>
        <v>272</v>
      </c>
      <c r="C21" s="81">
        <f ca="1">OFFSET('15'!$E$4,$A$3,0)</f>
        <v>1442.0523105904297</v>
      </c>
      <c r="D21" s="155">
        <f t="shared" ca="1" si="0"/>
        <v>5.3016629065824619</v>
      </c>
      <c r="E21" s="81">
        <f ca="1">OFFSET('15'!$E$66,$A$3,0)</f>
        <v>93</v>
      </c>
      <c r="F21" s="155">
        <f t="shared" ca="1" si="1"/>
        <v>0.34191176470588236</v>
      </c>
      <c r="G21" s="81">
        <f ca="1">'15'!$F$100*B21</f>
        <v>184.99697448015647</v>
      </c>
      <c r="H21" s="155">
        <f t="shared" ca="1" si="2"/>
        <v>0.68013593558881058</v>
      </c>
      <c r="I21" s="81">
        <f ca="1">'15'!$F$98*'Discipline Analysis'!B21</f>
        <v>639.88701765164149</v>
      </c>
      <c r="J21" s="155">
        <f t="shared" ca="1" si="3"/>
        <v>2.3525258001898584</v>
      </c>
      <c r="K21" s="81">
        <f ca="1">'15'!$F$99*'Discipline Analysis'!B21</f>
        <v>178.89975888364793</v>
      </c>
      <c r="L21" s="155">
        <f t="shared" ca="1" si="4"/>
        <v>0.65771970177811745</v>
      </c>
      <c r="M21" s="81">
        <f ca="1">OFFSET('15'!$E$35,$A$3,0)</f>
        <v>165</v>
      </c>
      <c r="N21" s="155">
        <f t="shared" ca="1" si="5"/>
        <v>0.60661764705882348</v>
      </c>
      <c r="O21" s="81">
        <f ca="1">'15'!$F$101*'Discipline Analysis'!B21</f>
        <v>0</v>
      </c>
      <c r="P21" s="155">
        <f t="shared" ca="1" si="6"/>
        <v>0</v>
      </c>
      <c r="Q21" s="81">
        <f ca="1">'15'!$F$102*'Discipline Analysis'!B21</f>
        <v>0</v>
      </c>
      <c r="R21" s="155">
        <f t="shared" ca="1" si="7"/>
        <v>0</v>
      </c>
      <c r="S21" s="81">
        <f ca="1">'15'!$F$103*'Discipline Analysis'!B21</f>
        <v>0</v>
      </c>
      <c r="T21" s="155">
        <f t="shared" ca="1" si="8"/>
        <v>0</v>
      </c>
      <c r="U21" s="81">
        <f ca="1">'15'!$F$104*'Discipline Analysis'!B21</f>
        <v>180.26855957498387</v>
      </c>
      <c r="V21" s="158">
        <f t="shared" ca="1" si="9"/>
        <v>0.66275205726097008</v>
      </c>
      <c r="X21" s="80" t="s">
        <v>17</v>
      </c>
    </row>
    <row r="22" spans="1:24" x14ac:dyDescent="0.2">
      <c r="A22" s="97" t="s">
        <v>1057</v>
      </c>
      <c r="B22" s="89">
        <f ca="1">OFFSET('16'!$D$4,$A$3,0)</f>
        <v>6000</v>
      </c>
      <c r="C22" s="81">
        <f ca="1">OFFSET('16'!$E$4,$A$3,0)</f>
        <v>33814.204303421735</v>
      </c>
      <c r="D22" s="155">
        <f t="shared" ca="1" si="0"/>
        <v>5.635700717236956</v>
      </c>
      <c r="E22" s="81">
        <f ca="1">OFFSET('16'!$E$66,$A$3,0)</f>
        <v>5692</v>
      </c>
      <c r="F22" s="155">
        <f t="shared" ca="1" si="1"/>
        <v>0.94866666666666666</v>
      </c>
      <c r="G22" s="81">
        <f ca="1">'16'!$F$100*B22</f>
        <v>6940.0929198320173</v>
      </c>
      <c r="H22" s="155">
        <f t="shared" ca="1" si="2"/>
        <v>1.1566821533053362</v>
      </c>
      <c r="I22" s="81">
        <f ca="1">'16'!$F$98*'Discipline Analysis'!B22</f>
        <v>8738.8545706616442</v>
      </c>
      <c r="J22" s="155">
        <f t="shared" ca="1" si="3"/>
        <v>1.4564757617769406</v>
      </c>
      <c r="K22" s="81">
        <f ca="1">'16'!$F$99*'Discipline Analysis'!B22</f>
        <v>3776.8761847852193</v>
      </c>
      <c r="L22" s="155">
        <f t="shared" ca="1" si="4"/>
        <v>0.62947936413086991</v>
      </c>
      <c r="M22" s="81">
        <f ca="1">OFFSET('16'!$E$35,$A$3,0)</f>
        <v>5180</v>
      </c>
      <c r="N22" s="155">
        <f t="shared" ca="1" si="5"/>
        <v>0.86333333333333329</v>
      </c>
      <c r="O22" s="81">
        <f ca="1">'16'!$F$101*'Discipline Analysis'!B22</f>
        <v>21.791693279261029</v>
      </c>
      <c r="P22" s="155">
        <f t="shared" ca="1" si="6"/>
        <v>3.6319488798768384E-3</v>
      </c>
      <c r="Q22" s="81">
        <f ca="1">'16'!$F$102*'Discipline Analysis'!B22</f>
        <v>1009.1271326757435</v>
      </c>
      <c r="R22" s="155">
        <f t="shared" ca="1" si="7"/>
        <v>0.16818785544595724</v>
      </c>
      <c r="S22" s="81">
        <f ca="1">'16'!$F$103*'Discipline Analysis'!B22</f>
        <v>541.77614096640309</v>
      </c>
      <c r="T22" s="155">
        <f t="shared" ca="1" si="8"/>
        <v>9.029602349440051E-2</v>
      </c>
      <c r="U22" s="81">
        <f ca="1">'16'!$F$104*'Discipline Analysis'!B22</f>
        <v>1913.6856612214453</v>
      </c>
      <c r="V22" s="158">
        <f t="shared" ca="1" si="9"/>
        <v>0.31894761020357421</v>
      </c>
      <c r="X22" s="80" t="s">
        <v>18</v>
      </c>
    </row>
    <row r="23" spans="1:24" x14ac:dyDescent="0.2">
      <c r="A23" s="98" t="s">
        <v>1034</v>
      </c>
      <c r="B23" s="89">
        <f ca="1">OFFSET('17'!$D$4,$A$3,0)</f>
        <v>12608</v>
      </c>
      <c r="C23" s="81">
        <f ca="1">OFFSET('17'!$E$4,$A$3,0)</f>
        <v>195990.26932991011</v>
      </c>
      <c r="D23" s="155">
        <f t="shared" ca="1" si="0"/>
        <v>15.544913493806321</v>
      </c>
      <c r="E23" s="81">
        <f ca="1">OFFSET('17'!$E$66,$A$3,0)</f>
        <v>96356</v>
      </c>
      <c r="F23" s="155">
        <f t="shared" ca="1" si="1"/>
        <v>7.6424492385786804</v>
      </c>
      <c r="G23" s="81">
        <f ca="1">'17'!$F$100*B23</f>
        <v>2834.422825459797</v>
      </c>
      <c r="H23" s="155">
        <f t="shared" ca="1" si="2"/>
        <v>0.22481145506502198</v>
      </c>
      <c r="I23" s="81">
        <f ca="1">'17'!$F$98*'Discipline Analysis'!B23</f>
        <v>27777.494347919604</v>
      </c>
      <c r="J23" s="155">
        <f t="shared" ca="1" si="3"/>
        <v>2.2031642090672277</v>
      </c>
      <c r="K23" s="81">
        <f ca="1">'17'!$F$99*'Discipline Analysis'!B23</f>
        <v>6252.4748225509647</v>
      </c>
      <c r="L23" s="155">
        <f t="shared" ca="1" si="4"/>
        <v>0.49591329493583158</v>
      </c>
      <c r="M23" s="81">
        <f ca="1">OFFSET('17'!$E$35,$A$3,0)</f>
        <v>50221</v>
      </c>
      <c r="N23" s="155">
        <f t="shared" ca="1" si="5"/>
        <v>3.9832645939086295</v>
      </c>
      <c r="O23" s="81">
        <f ca="1">'17'!$F$101*'Discipline Analysis'!B23</f>
        <v>0</v>
      </c>
      <c r="P23" s="155">
        <f t="shared" ca="1" si="6"/>
        <v>0</v>
      </c>
      <c r="Q23" s="81">
        <f ca="1">'17'!$F$102*'Discipline Analysis'!B23</f>
        <v>2673.2183229145685</v>
      </c>
      <c r="R23" s="155">
        <f t="shared" ca="1" si="7"/>
        <v>0.21202556495198036</v>
      </c>
      <c r="S23" s="81">
        <f ca="1">'17'!$F$103*'Discipline Analysis'!B23</f>
        <v>4673.4239896756926</v>
      </c>
      <c r="T23" s="155">
        <f t="shared" ca="1" si="8"/>
        <v>0.37067131897808475</v>
      </c>
      <c r="U23" s="81">
        <f ca="1">'17'!$F$104*'Discipline Analysis'!B23</f>
        <v>5202.2350213894797</v>
      </c>
      <c r="V23" s="158">
        <f t="shared" ca="1" si="9"/>
        <v>0.41261381832086608</v>
      </c>
      <c r="X23" s="80" t="s">
        <v>446</v>
      </c>
    </row>
    <row r="24" spans="1:24" x14ac:dyDescent="0.2">
      <c r="A24" s="98" t="s">
        <v>1035</v>
      </c>
      <c r="B24" s="89">
        <f ca="1">OFFSET('18'!$D$4,$A$3,0)</f>
        <v>26208</v>
      </c>
      <c r="C24" s="81">
        <f ca="1">OFFSET('18'!$E$4,$A$3,0)</f>
        <v>279062.75792047475</v>
      </c>
      <c r="D24" s="155">
        <f t="shared" ca="1" si="0"/>
        <v>10.64799900490212</v>
      </c>
      <c r="E24" s="81">
        <f ca="1">OFFSET('18'!$E$66,$A$3,0)</f>
        <v>83434</v>
      </c>
      <c r="F24" s="155">
        <f t="shared" ca="1" si="1"/>
        <v>3.183531746031746</v>
      </c>
      <c r="G24" s="81">
        <f ca="1">'18'!$F$100*B24</f>
        <v>24696.11083446394</v>
      </c>
      <c r="H24" s="155">
        <f t="shared" ca="1" si="2"/>
        <v>0.94231192133943609</v>
      </c>
      <c r="I24" s="81">
        <f ca="1">'18'!$F$98*'Discipline Analysis'!B24</f>
        <v>73705.457665528593</v>
      </c>
      <c r="J24" s="155">
        <f t="shared" ca="1" si="3"/>
        <v>2.8123266813770069</v>
      </c>
      <c r="K24" s="81">
        <f ca="1">'18'!$F$99*'Discipline Analysis'!B24</f>
        <v>38549.937918387426</v>
      </c>
      <c r="L24" s="155">
        <f t="shared" ca="1" si="4"/>
        <v>1.4709225396210099</v>
      </c>
      <c r="M24" s="81">
        <f ca="1">OFFSET('18'!$E$35,$A$3,0)</f>
        <v>30594</v>
      </c>
      <c r="N24" s="155">
        <f t="shared" ca="1" si="5"/>
        <v>1.1673534798534799</v>
      </c>
      <c r="O24" s="81">
        <f ca="1">'18'!$F$101*'Discipline Analysis'!B24</f>
        <v>0</v>
      </c>
      <c r="P24" s="155">
        <f t="shared" ca="1" si="6"/>
        <v>0</v>
      </c>
      <c r="Q24" s="81">
        <f ca="1">'18'!$F$102*'Discipline Analysis'!B24</f>
        <v>0</v>
      </c>
      <c r="R24" s="155">
        <f t="shared" ca="1" si="7"/>
        <v>0</v>
      </c>
      <c r="S24" s="81">
        <f ca="1">'18'!$F$103*'Discipline Analysis'!B24</f>
        <v>8934.5765360130008</v>
      </c>
      <c r="T24" s="155">
        <f t="shared" ca="1" si="8"/>
        <v>0.3409102768625229</v>
      </c>
      <c r="U24" s="81">
        <f ca="1">'18'!$F$104*'Discipline Analysis'!B24</f>
        <v>19148.674966081733</v>
      </c>
      <c r="V24" s="158">
        <f t="shared" ca="1" si="9"/>
        <v>0.73064235981691594</v>
      </c>
      <c r="X24" s="80" t="s">
        <v>19</v>
      </c>
    </row>
    <row r="25" spans="1:24" x14ac:dyDescent="0.2">
      <c r="A25" s="98" t="s">
        <v>1065</v>
      </c>
      <c r="B25" s="89">
        <f ca="1">OFFSET('19'!$D$4,$A$3,0)</f>
        <v>12104</v>
      </c>
      <c r="C25" s="81">
        <f ca="1">OFFSET('19'!$E$4,$A$3,0)</f>
        <v>85948.901089680643</v>
      </c>
      <c r="D25" s="155">
        <f t="shared" ca="1" si="0"/>
        <v>7.1008675718506806</v>
      </c>
      <c r="E25" s="81">
        <f ca="1">OFFSET('19'!$E$66,$A$3,0)</f>
        <v>25852</v>
      </c>
      <c r="F25" s="155">
        <f t="shared" ca="1" si="1"/>
        <v>2.1358228684732321</v>
      </c>
      <c r="G25" s="81">
        <f ca="1">'19'!$F$100*B25</f>
        <v>5996.3226460305614</v>
      </c>
      <c r="H25" s="155">
        <f t="shared" ca="1" si="2"/>
        <v>0.49540008642023803</v>
      </c>
      <c r="I25" s="81">
        <f ca="1">'19'!$F$98*'Discipline Analysis'!B25</f>
        <v>16333.538990454492</v>
      </c>
      <c r="J25" s="155">
        <f t="shared" ca="1" si="3"/>
        <v>1.3494331618022548</v>
      </c>
      <c r="K25" s="81">
        <f ca="1">'19'!$F$99*'Discipline Analysis'!B25</f>
        <v>7389.3976195152618</v>
      </c>
      <c r="L25" s="155">
        <f t="shared" ca="1" si="4"/>
        <v>0.61049220253761249</v>
      </c>
      <c r="M25" s="81">
        <f ca="1">OFFSET('19'!$E$35,$A$3,0)</f>
        <v>24626</v>
      </c>
      <c r="N25" s="155">
        <f t="shared" ca="1" si="5"/>
        <v>2.034534038334435</v>
      </c>
      <c r="O25" s="81">
        <f ca="1">'19'!$F$101*'Discipline Analysis'!B25</f>
        <v>0</v>
      </c>
      <c r="P25" s="155">
        <f t="shared" ca="1" si="6"/>
        <v>0</v>
      </c>
      <c r="Q25" s="81">
        <f ca="1">'19'!$F$102*'Discipline Analysis'!B25</f>
        <v>0</v>
      </c>
      <c r="R25" s="155">
        <f t="shared" ca="1" si="7"/>
        <v>0</v>
      </c>
      <c r="S25" s="81">
        <f ca="1">'19'!$F$103*'Discipline Analysis'!B25</f>
        <v>2213.0868586243469</v>
      </c>
      <c r="T25" s="155">
        <f t="shared" ca="1" si="8"/>
        <v>0.18283929763915621</v>
      </c>
      <c r="U25" s="81">
        <f ca="1">'19'!$F$104*'Discipline Analysis'!B25</f>
        <v>3538.5549750559767</v>
      </c>
      <c r="V25" s="158">
        <f t="shared" ca="1" si="9"/>
        <v>0.2923459166437522</v>
      </c>
      <c r="X25" s="80" t="s">
        <v>20</v>
      </c>
    </row>
    <row r="26" spans="1:24" x14ac:dyDescent="0.2">
      <c r="A26" s="98" t="s">
        <v>1036</v>
      </c>
      <c r="B26" s="89">
        <f ca="1">OFFSET('20'!$D$4,$A$3,0)</f>
        <v>15376</v>
      </c>
      <c r="C26" s="81">
        <f ca="1">OFFSET('20'!$E$4,$A$3,0)</f>
        <v>124800.30056206489</v>
      </c>
      <c r="D26" s="155">
        <f t="shared" ca="1" si="0"/>
        <v>8.1165648128294023</v>
      </c>
      <c r="E26" s="81">
        <f ca="1">OFFSET('20'!$E$66,$A$3,0)</f>
        <v>64690</v>
      </c>
      <c r="F26" s="155">
        <f t="shared" ca="1" si="1"/>
        <v>4.2072060353798131</v>
      </c>
      <c r="G26" s="81">
        <f ca="1">'20'!$F$100*B26</f>
        <v>7537.7194261318709</v>
      </c>
      <c r="H26" s="155">
        <f t="shared" ca="1" si="2"/>
        <v>0.49022628942064717</v>
      </c>
      <c r="I26" s="81">
        <f ca="1">'20'!$F$98*'Discipline Analysis'!B26</f>
        <v>18862.917958848495</v>
      </c>
      <c r="J26" s="155">
        <f t="shared" ca="1" si="3"/>
        <v>1.2267766622560154</v>
      </c>
      <c r="K26" s="81">
        <f ca="1">'20'!$F$99*'Discipline Analysis'!B26</f>
        <v>8793.662120960118</v>
      </c>
      <c r="L26" s="155">
        <f t="shared" ca="1" si="4"/>
        <v>0.57190830651405555</v>
      </c>
      <c r="M26" s="81">
        <f ca="1">OFFSET('20'!$E$35,$A$3,0)</f>
        <v>15460</v>
      </c>
      <c r="N26" s="155">
        <f t="shared" ca="1" si="5"/>
        <v>1.0054630593132154</v>
      </c>
      <c r="O26" s="81">
        <f ca="1">'20'!$F$101*'Discipline Analysis'!B26</f>
        <v>0</v>
      </c>
      <c r="P26" s="155">
        <f t="shared" ca="1" si="6"/>
        <v>0</v>
      </c>
      <c r="Q26" s="81">
        <f ca="1">'20'!$F$102*'Discipline Analysis'!B26</f>
        <v>0</v>
      </c>
      <c r="R26" s="155">
        <f t="shared" ca="1" si="7"/>
        <v>0</v>
      </c>
      <c r="S26" s="81">
        <f ca="1">'20'!$F$103*'Discipline Analysis'!B26</f>
        <v>2248.6832186954866</v>
      </c>
      <c r="T26" s="155">
        <f t="shared" ca="1" si="8"/>
        <v>0.14624630714720907</v>
      </c>
      <c r="U26" s="81">
        <f ca="1">'20'!$F$104*'Discipline Analysis'!B26</f>
        <v>7207.3178374289282</v>
      </c>
      <c r="V26" s="158">
        <f t="shared" ca="1" si="9"/>
        <v>0.46873815279844744</v>
      </c>
      <c r="X26" s="80" t="s">
        <v>21</v>
      </c>
    </row>
    <row r="27" spans="1:24" x14ac:dyDescent="0.2">
      <c r="A27" s="98" t="s">
        <v>1058</v>
      </c>
      <c r="B27" s="89">
        <f ca="1">OFFSET('21'!$D$4,$A$3,0)</f>
        <v>97632</v>
      </c>
      <c r="C27" s="81">
        <f ca="1">OFFSET('21'!$E$4,$A$3,0)</f>
        <v>667483.3364556547</v>
      </c>
      <c r="D27" s="155">
        <f t="shared" ca="1" si="0"/>
        <v>6.8367270613697837</v>
      </c>
      <c r="E27" s="81">
        <f ca="1">OFFSET('21'!$E$66,$A$3,0)</f>
        <v>217287</v>
      </c>
      <c r="F27" s="155">
        <f t="shared" ca="1" si="1"/>
        <v>2.2255715339233038</v>
      </c>
      <c r="G27" s="81">
        <f ca="1">'21'!$F$100*B27</f>
        <v>59491.614973250398</v>
      </c>
      <c r="H27" s="155">
        <f t="shared" ca="1" si="2"/>
        <v>0.60934544998822515</v>
      </c>
      <c r="I27" s="81">
        <f ca="1">'21'!$F$98*'Discipline Analysis'!B27</f>
        <v>176079.97190011793</v>
      </c>
      <c r="J27" s="155">
        <f t="shared" ca="1" si="3"/>
        <v>1.8035067590556164</v>
      </c>
      <c r="K27" s="81">
        <f ca="1">'21'!$F$99*'Discipline Analysis'!B27</f>
        <v>94771.020631655309</v>
      </c>
      <c r="L27" s="155">
        <f t="shared" ca="1" si="4"/>
        <v>0.97069629457201845</v>
      </c>
      <c r="M27" s="81">
        <f ca="1">OFFSET('21'!$E$35,$A$3,0)</f>
        <v>87686</v>
      </c>
      <c r="N27" s="155">
        <f t="shared" ca="1" si="5"/>
        <v>0.89812766306129133</v>
      </c>
      <c r="O27" s="81">
        <f ca="1">'21'!$F$101*'Discipline Analysis'!B27</f>
        <v>0</v>
      </c>
      <c r="P27" s="155">
        <f t="shared" ca="1" si="6"/>
        <v>0</v>
      </c>
      <c r="Q27" s="81">
        <f ca="1">'21'!$F$102*'Discipline Analysis'!B27</f>
        <v>0</v>
      </c>
      <c r="R27" s="155">
        <f t="shared" ca="1" si="7"/>
        <v>0</v>
      </c>
      <c r="S27" s="81">
        <f ca="1">'21'!$F$103*'Discipline Analysis'!B27</f>
        <v>14837.578433241066</v>
      </c>
      <c r="T27" s="155">
        <f t="shared" ca="1" si="8"/>
        <v>0.15197454147452746</v>
      </c>
      <c r="U27" s="81">
        <f ca="1">'21'!$F$104*'Discipline Analysis'!B27</f>
        <v>17330.150517389979</v>
      </c>
      <c r="V27" s="158">
        <f t="shared" ca="1" si="9"/>
        <v>0.17750481929480066</v>
      </c>
      <c r="X27" s="80" t="s">
        <v>22</v>
      </c>
    </row>
    <row r="28" spans="1:24" x14ac:dyDescent="0.2">
      <c r="A28" s="98" t="s">
        <v>1037</v>
      </c>
      <c r="B28" s="89">
        <f ca="1">OFFSET('22'!$D$4,$A$3,0)</f>
        <v>43069</v>
      </c>
      <c r="C28" s="81">
        <f ca="1">OFFSET('22'!$E$4,$A$3,0)</f>
        <v>391414.76392262283</v>
      </c>
      <c r="D28" s="155">
        <f t="shared" ca="1" si="0"/>
        <v>9.0880857211131634</v>
      </c>
      <c r="E28" s="81">
        <f ca="1">OFFSET('22'!$E$66,$A$3,0)</f>
        <v>151254</v>
      </c>
      <c r="F28" s="155">
        <f t="shared" ca="1" si="1"/>
        <v>3.5118995100884627</v>
      </c>
      <c r="G28" s="81">
        <f ca="1">'22'!$F$100*B28</f>
        <v>19741.140421152402</v>
      </c>
      <c r="H28" s="155">
        <f t="shared" ca="1" si="2"/>
        <v>0.45836077970587669</v>
      </c>
      <c r="I28" s="81">
        <f ca="1">'22'!$F$98*'Discipline Analysis'!B28</f>
        <v>77844.81872889596</v>
      </c>
      <c r="J28" s="155">
        <f t="shared" ca="1" si="3"/>
        <v>1.8074443039981416</v>
      </c>
      <c r="K28" s="81">
        <f ca="1">'22'!$F$99*'Discipline Analysis'!B28</f>
        <v>30675.717462166394</v>
      </c>
      <c r="L28" s="155">
        <f t="shared" ca="1" si="4"/>
        <v>0.71224587202318124</v>
      </c>
      <c r="M28" s="81">
        <f ca="1">OFFSET('22'!$E$35,$A$3,0)</f>
        <v>72442</v>
      </c>
      <c r="N28" s="155">
        <f t="shared" ca="1" si="5"/>
        <v>1.6819986533237363</v>
      </c>
      <c r="O28" s="81">
        <f ca="1">'22'!$F$101*'Discipline Analysis'!B28</f>
        <v>0</v>
      </c>
      <c r="P28" s="155">
        <f t="shared" ca="1" si="6"/>
        <v>0</v>
      </c>
      <c r="Q28" s="81">
        <f ca="1">'22'!$F$102*'Discipline Analysis'!B28</f>
        <v>795.11151789673045</v>
      </c>
      <c r="R28" s="155">
        <f t="shared" ca="1" si="7"/>
        <v>1.8461341519346409E-2</v>
      </c>
      <c r="S28" s="81">
        <f ca="1">'22'!$F$103*'Discipline Analysis'!B28</f>
        <v>7789.4566826300706</v>
      </c>
      <c r="T28" s="155">
        <f t="shared" ca="1" si="8"/>
        <v>0.18085993829970676</v>
      </c>
      <c r="U28" s="81">
        <f ca="1">'22'!$F$104*'Discipline Analysis'!B28</f>
        <v>30872.519109881287</v>
      </c>
      <c r="V28" s="158">
        <f t="shared" ca="1" si="9"/>
        <v>0.71681532215471189</v>
      </c>
      <c r="X28" s="80" t="s">
        <v>23</v>
      </c>
    </row>
    <row r="29" spans="1:24" x14ac:dyDescent="0.2">
      <c r="A29" s="98" t="s">
        <v>1038</v>
      </c>
      <c r="B29" s="89">
        <f ca="1">OFFSET('23'!$D$4,$A$3,0)</f>
        <v>18040</v>
      </c>
      <c r="C29" s="81">
        <f ca="1">OFFSET('23'!$E$4,$A$3,0)</f>
        <v>93243.750144304329</v>
      </c>
      <c r="D29" s="155">
        <f t="shared" ca="1" si="0"/>
        <v>5.1687222918128786</v>
      </c>
      <c r="E29" s="81">
        <f ca="1">OFFSET('23'!$E$66,$A$3,0)</f>
        <v>27822</v>
      </c>
      <c r="F29" s="155">
        <f t="shared" ca="1" si="1"/>
        <v>1.5422394678492239</v>
      </c>
      <c r="G29" s="81">
        <f ca="1">'23'!$F$100*B29</f>
        <v>13542.499439092224</v>
      </c>
      <c r="H29" s="155">
        <f t="shared" ca="1" si="2"/>
        <v>0.75069287356387049</v>
      </c>
      <c r="I29" s="81">
        <f ca="1">'23'!$F$98*'Discipline Analysis'!B29</f>
        <v>19321.612736790303</v>
      </c>
      <c r="J29" s="155">
        <f t="shared" ca="1" si="3"/>
        <v>1.0710428346336087</v>
      </c>
      <c r="K29" s="81">
        <f ca="1">'23'!$F$99*'Discipline Analysis'!B29</f>
        <v>7860.2910139879477</v>
      </c>
      <c r="L29" s="155">
        <f t="shared" ca="1" si="4"/>
        <v>0.4357145794893541</v>
      </c>
      <c r="M29" s="81">
        <f ca="1">OFFSET('23'!$E$35,$A$3,0)</f>
        <v>10001</v>
      </c>
      <c r="N29" s="155">
        <f t="shared" ca="1" si="5"/>
        <v>0.55437915742793786</v>
      </c>
      <c r="O29" s="81">
        <f ca="1">'23'!$F$101*'Discipline Analysis'!B29</f>
        <v>0</v>
      </c>
      <c r="P29" s="155">
        <f t="shared" ca="1" si="6"/>
        <v>0</v>
      </c>
      <c r="Q29" s="81">
        <f ca="1">'23'!$F$102*'Discipline Analysis'!B29</f>
        <v>1978.3576450099063</v>
      </c>
      <c r="R29" s="155">
        <f t="shared" ca="1" si="7"/>
        <v>0.10966505792737839</v>
      </c>
      <c r="S29" s="81">
        <f ca="1">'23'!$F$103*'Discipline Analysis'!B29</f>
        <v>1455.1235259329435</v>
      </c>
      <c r="T29" s="155">
        <f t="shared" ca="1" si="8"/>
        <v>8.0660949331094425E-2</v>
      </c>
      <c r="U29" s="81">
        <f ca="1">'23'!$F$104*'Discipline Analysis'!B29</f>
        <v>11262.865783491015</v>
      </c>
      <c r="V29" s="158">
        <f t="shared" ca="1" si="9"/>
        <v>0.62432737159041107</v>
      </c>
      <c r="X29" s="80" t="s">
        <v>24</v>
      </c>
    </row>
    <row r="30" spans="1:24" x14ac:dyDescent="0.2">
      <c r="A30" s="98" t="s">
        <v>1022</v>
      </c>
      <c r="B30" s="89">
        <f ca="1">OFFSET('24'!$D$4,$A$3,0)</f>
        <v>1824</v>
      </c>
      <c r="C30" s="81">
        <f ca="1">OFFSET('24'!$E$4,$A$3,0)</f>
        <v>9824.0949503462252</v>
      </c>
      <c r="D30" s="155">
        <f t="shared" ca="1" si="0"/>
        <v>5.3860169683915711</v>
      </c>
      <c r="E30" s="81">
        <f ca="1">OFFSET('24'!$E$66,$A$3,0)</f>
        <v>0</v>
      </c>
      <c r="F30" s="155">
        <f t="shared" ca="1" si="1"/>
        <v>0</v>
      </c>
      <c r="G30" s="81">
        <f ca="1">'24'!$F$100*B30</f>
        <v>1291.5316112165674</v>
      </c>
      <c r="H30" s="155">
        <f t="shared" ca="1" si="2"/>
        <v>0.70807654123715313</v>
      </c>
      <c r="I30" s="81">
        <f ca="1">'24'!$F$98*'Discipline Analysis'!B30</f>
        <v>4664.4485798471078</v>
      </c>
      <c r="J30" s="155">
        <f t="shared" ca="1" si="3"/>
        <v>2.5572634757933703</v>
      </c>
      <c r="K30" s="81">
        <f ca="1">'24'!$F$99*'Discipline Analysis'!B30</f>
        <v>1891.7380867983175</v>
      </c>
      <c r="L30" s="155">
        <f t="shared" ca="1" si="4"/>
        <v>1.0371371089903056</v>
      </c>
      <c r="M30" s="81">
        <f ca="1">OFFSET('24'!$E$35,$A$3,0)</f>
        <v>0</v>
      </c>
      <c r="N30" s="155">
        <f t="shared" ca="1" si="5"/>
        <v>0</v>
      </c>
      <c r="O30" s="81">
        <f ca="1">'24'!$F$101*'Discipline Analysis'!B30</f>
        <v>0</v>
      </c>
      <c r="P30" s="155">
        <f t="shared" ca="1" si="6"/>
        <v>0</v>
      </c>
      <c r="Q30" s="81">
        <f ca="1">'24'!$F$102*'Discipline Analysis'!B30</f>
        <v>106.86553135153693</v>
      </c>
      <c r="R30" s="155">
        <f t="shared" ca="1" si="7"/>
        <v>5.8588558855009285E-2</v>
      </c>
      <c r="S30" s="81">
        <f ca="1">'24'!$F$103*'Discipline Analysis'!B30</f>
        <v>507.20336340890856</v>
      </c>
      <c r="T30" s="155">
        <f t="shared" ca="1" si="8"/>
        <v>0.27807201941277881</v>
      </c>
      <c r="U30" s="81">
        <f ca="1">'24'!$F$104*'Discipline Analysis'!B30</f>
        <v>1362.3077777237886</v>
      </c>
      <c r="V30" s="158">
        <f t="shared" ca="1" si="9"/>
        <v>0.74687926410295424</v>
      </c>
      <c r="X30" s="80" t="s">
        <v>25</v>
      </c>
    </row>
    <row r="31" spans="1:24" x14ac:dyDescent="0.2">
      <c r="A31" s="98" t="s">
        <v>1039</v>
      </c>
      <c r="B31" s="89">
        <f ca="1">OFFSET('25'!$D$4,$A$3,0)</f>
        <v>51232</v>
      </c>
      <c r="C31" s="81">
        <f ca="1">OFFSET('25'!$E$4,$A$3,0)</f>
        <v>316283.97021527367</v>
      </c>
      <c r="D31" s="155">
        <f t="shared" ca="1" si="0"/>
        <v>6.1735628165067471</v>
      </c>
      <c r="E31" s="81">
        <f ca="1">OFFSET('25'!$E$66,$A$3,0)</f>
        <v>66062</v>
      </c>
      <c r="F31" s="155">
        <f t="shared" ca="1" si="1"/>
        <v>1.2894675202998127</v>
      </c>
      <c r="G31" s="81">
        <f ca="1">'25'!$F$100*B31</f>
        <v>44101.787551708032</v>
      </c>
      <c r="H31" s="155">
        <f t="shared" ca="1" si="2"/>
        <v>0.86082502248024739</v>
      </c>
      <c r="I31" s="81">
        <f ca="1">'25'!$F$98*'Discipline Analysis'!B31</f>
        <v>118168.86278444827</v>
      </c>
      <c r="J31" s="155">
        <f t="shared" ca="1" si="3"/>
        <v>2.3065440112517228</v>
      </c>
      <c r="K31" s="81">
        <f ca="1">'25'!$F$99*'Discipline Analysis'!B31</f>
        <v>37953.502656252873</v>
      </c>
      <c r="L31" s="155">
        <f t="shared" ca="1" si="4"/>
        <v>0.74081633854334938</v>
      </c>
      <c r="M31" s="81">
        <f ca="1">OFFSET('25'!$E$35,$A$3,0)</f>
        <v>24463</v>
      </c>
      <c r="N31" s="155">
        <f t="shared" ca="1" si="5"/>
        <v>0.47749453466583386</v>
      </c>
      <c r="O31" s="81">
        <f ca="1">'25'!$F$101*'Discipline Analysis'!B31</f>
        <v>0</v>
      </c>
      <c r="P31" s="155">
        <f t="shared" ca="1" si="6"/>
        <v>0</v>
      </c>
      <c r="Q31" s="81">
        <f ca="1">'25'!$F$102*'Discipline Analysis'!B31</f>
        <v>0</v>
      </c>
      <c r="R31" s="155">
        <f t="shared" ca="1" si="7"/>
        <v>0</v>
      </c>
      <c r="S31" s="81">
        <f ca="1">'25'!$F$103*'Discipline Analysis'!B31</f>
        <v>0</v>
      </c>
      <c r="T31" s="155">
        <f t="shared" ca="1" si="8"/>
        <v>0</v>
      </c>
      <c r="U31" s="81">
        <f ca="1">'25'!$F$104*'Discipline Analysis'!B31</f>
        <v>25534.817222864516</v>
      </c>
      <c r="V31" s="158">
        <f t="shared" ca="1" si="9"/>
        <v>0.49841538926578149</v>
      </c>
      <c r="X31" s="80" t="s">
        <v>937</v>
      </c>
    </row>
    <row r="32" spans="1:24" x14ac:dyDescent="0.2">
      <c r="A32" s="97" t="s">
        <v>1040</v>
      </c>
      <c r="B32" s="89">
        <f ca="1">OFFSET('26'!$D$4,$A$3,0)</f>
        <v>80500</v>
      </c>
      <c r="C32" s="81">
        <f ca="1">OFFSET('26'!$E$4,$A$3,0)</f>
        <v>545223.75615268701</v>
      </c>
      <c r="D32" s="155">
        <f t="shared" ca="1" si="0"/>
        <v>6.7729659149402117</v>
      </c>
      <c r="E32" s="81">
        <f ca="1">OFFSET('26'!$E$66,$A$3,0)</f>
        <v>151133</v>
      </c>
      <c r="F32" s="155">
        <f t="shared" ca="1" si="1"/>
        <v>1.8774285714285714</v>
      </c>
      <c r="G32" s="81">
        <f ca="1">'26'!$F$100*B32</f>
        <v>125277.33054899919</v>
      </c>
      <c r="H32" s="155">
        <f t="shared" ca="1" si="2"/>
        <v>1.5562401310434681</v>
      </c>
      <c r="I32" s="81">
        <f ca="1">'26'!$F$98*'Discipline Analysis'!B32</f>
        <v>75709.01471333146</v>
      </c>
      <c r="J32" s="155">
        <f t="shared" ca="1" si="3"/>
        <v>0.94048465482399335</v>
      </c>
      <c r="K32" s="81">
        <f ca="1">'26'!$F$99*'Discipline Analysis'!B32</f>
        <v>97638.899083566677</v>
      </c>
      <c r="L32" s="155">
        <f t="shared" ca="1" si="4"/>
        <v>1.2129055786778469</v>
      </c>
      <c r="M32" s="81">
        <f ca="1">OFFSET('26'!$E$35,$A$3,0)</f>
        <v>30411</v>
      </c>
      <c r="N32" s="155">
        <f t="shared" ca="1" si="5"/>
        <v>0.37777639751552794</v>
      </c>
      <c r="O32" s="81">
        <f ca="1">'26'!$F$101*'Discipline Analysis'!B32</f>
        <v>0</v>
      </c>
      <c r="P32" s="155">
        <f t="shared" ca="1" si="6"/>
        <v>0</v>
      </c>
      <c r="Q32" s="81">
        <f ca="1">'26'!$F$102*'Discipline Analysis'!B32</f>
        <v>0</v>
      </c>
      <c r="R32" s="155">
        <f t="shared" ca="1" si="7"/>
        <v>0</v>
      </c>
      <c r="S32" s="81">
        <f ca="1">'26'!$F$103*'Discipline Analysis'!B32</f>
        <v>31538.58616659584</v>
      </c>
      <c r="T32" s="155">
        <f t="shared" ca="1" si="8"/>
        <v>0.3917836790881471</v>
      </c>
      <c r="U32" s="81">
        <f ca="1">'26'!$F$104*'Discipline Analysis'!B32</f>
        <v>33515.925640193862</v>
      </c>
      <c r="V32" s="158">
        <f t="shared" ca="1" si="9"/>
        <v>0.41634690236265665</v>
      </c>
    </row>
    <row r="33" spans="1:22" x14ac:dyDescent="0.2">
      <c r="A33" s="98" t="s">
        <v>1019</v>
      </c>
      <c r="B33" s="89">
        <f ca="1">OFFSET('27'!$D$4,$A$3,0)</f>
        <v>52640</v>
      </c>
      <c r="C33" s="81">
        <f ca="1">OFFSET('27'!$E$4,$A$3,0)</f>
        <v>569084.07920528378</v>
      </c>
      <c r="D33" s="155">
        <f t="shared" ca="1" si="0"/>
        <v>10.810867766057823</v>
      </c>
      <c r="E33" s="81">
        <f ca="1">OFFSET('27'!$E$66,$A$3,0)</f>
        <v>137135</v>
      </c>
      <c r="F33" s="155">
        <f t="shared" ca="1" si="1"/>
        <v>2.6051481762917934</v>
      </c>
      <c r="G33" s="81">
        <f ca="1">'27'!$F$100*B33</f>
        <v>22566.396556990498</v>
      </c>
      <c r="H33" s="155">
        <f t="shared" ca="1" si="2"/>
        <v>0.42869294371182554</v>
      </c>
      <c r="I33" s="81">
        <f ca="1">'27'!$F$98*'Discipline Analysis'!B33</f>
        <v>79207.94208945948</v>
      </c>
      <c r="J33" s="155">
        <f t="shared" ca="1" si="3"/>
        <v>1.5047101460763579</v>
      </c>
      <c r="K33" s="81">
        <f ca="1">'27'!$F$99*'Discipline Analysis'!B33</f>
        <v>27526.785028573726</v>
      </c>
      <c r="L33" s="155">
        <f t="shared" ca="1" si="4"/>
        <v>0.52292524750330027</v>
      </c>
      <c r="M33" s="81">
        <f ca="1">OFFSET('27'!$E$35,$A$3,0)</f>
        <v>273145</v>
      </c>
      <c r="N33" s="155">
        <f t="shared" ca="1" si="5"/>
        <v>5.188924772036474</v>
      </c>
      <c r="O33" s="81">
        <f ca="1">'27'!$F$101*'Discipline Analysis'!B33</f>
        <v>0</v>
      </c>
      <c r="P33" s="155">
        <f t="shared" ca="1" si="6"/>
        <v>0</v>
      </c>
      <c r="Q33" s="81">
        <f ca="1">'27'!$F$102*'Discipline Analysis'!B33</f>
        <v>18875.723058418916</v>
      </c>
      <c r="R33" s="155">
        <f t="shared" ca="1" si="7"/>
        <v>0.35858136509154476</v>
      </c>
      <c r="S33" s="81">
        <f ca="1">'27'!$F$103*'Discipline Analysis'!B33</f>
        <v>0</v>
      </c>
      <c r="T33" s="155">
        <f t="shared" ca="1" si="8"/>
        <v>0</v>
      </c>
      <c r="U33" s="81">
        <f ca="1">'27'!$F$104*'Discipline Analysis'!B33</f>
        <v>10627.232471841116</v>
      </c>
      <c r="V33" s="158">
        <f t="shared" ca="1" si="9"/>
        <v>0.20188511534652576</v>
      </c>
    </row>
    <row r="34" spans="1:22" x14ac:dyDescent="0.2">
      <c r="A34" s="98" t="s">
        <v>1041</v>
      </c>
      <c r="B34" s="89">
        <f ca="1">OFFSET('28'!$D$4,$A$3,0)</f>
        <v>4416</v>
      </c>
      <c r="C34" s="81">
        <f ca="1">OFFSET('28'!$E$4,$A$3,0)</f>
        <v>41934.899594409086</v>
      </c>
      <c r="D34" s="155">
        <f t="shared" ca="1" si="0"/>
        <v>9.4961276255455349</v>
      </c>
      <c r="E34" s="81">
        <f ca="1">OFFSET('28'!$E$66,$A$3,0)</f>
        <v>16737</v>
      </c>
      <c r="F34" s="155">
        <f t="shared" ca="1" si="1"/>
        <v>3.7900815217391304</v>
      </c>
      <c r="G34" s="81">
        <f ca="1">'28'!$F$100*B34</f>
        <v>7282.3504893508261</v>
      </c>
      <c r="H34" s="155">
        <f t="shared" ca="1" si="2"/>
        <v>1.6490829912479226</v>
      </c>
      <c r="I34" s="81">
        <f ca="1">'28'!$F$98*'Discipline Analysis'!B34</f>
        <v>6648.3643014037634</v>
      </c>
      <c r="J34" s="155">
        <f t="shared" ca="1" si="3"/>
        <v>1.5055172783975914</v>
      </c>
      <c r="K34" s="81">
        <f ca="1">'28'!$F$99*'Discipline Analysis'!B34</f>
        <v>3506.3105905152556</v>
      </c>
      <c r="L34" s="155">
        <f t="shared" ca="1" si="4"/>
        <v>0.79400149241740392</v>
      </c>
      <c r="M34" s="81">
        <f ca="1">OFFSET('28'!$E$35,$A$3,0)</f>
        <v>3649</v>
      </c>
      <c r="N34" s="155">
        <f t="shared" ca="1" si="5"/>
        <v>0.82631340579710144</v>
      </c>
      <c r="O34" s="81">
        <f ca="1">'28'!$F$101*'Discipline Analysis'!B34</f>
        <v>0</v>
      </c>
      <c r="P34" s="155">
        <f t="shared" ca="1" si="6"/>
        <v>0</v>
      </c>
      <c r="Q34" s="81">
        <f ca="1">'28'!$F$102*'Discipline Analysis'!B34</f>
        <v>25.791936525600363</v>
      </c>
      <c r="R34" s="155">
        <f t="shared" ca="1" si="7"/>
        <v>5.8405653364131255E-3</v>
      </c>
      <c r="S34" s="81">
        <f ca="1">'28'!$F$103*'Discipline Analysis'!B34</f>
        <v>1058.8482312538306</v>
      </c>
      <c r="T34" s="155">
        <f t="shared" ca="1" si="8"/>
        <v>0.23977541468610294</v>
      </c>
      <c r="U34" s="81">
        <f ca="1">'28'!$F$104*'Discipline Analysis'!B34</f>
        <v>3027.2340453598063</v>
      </c>
      <c r="V34" s="158">
        <f t="shared" ca="1" si="9"/>
        <v>0.68551495592386913</v>
      </c>
    </row>
    <row r="35" spans="1:22" x14ac:dyDescent="0.2">
      <c r="A35" s="98" t="s">
        <v>1042</v>
      </c>
      <c r="B35" s="89">
        <f ca="1">OFFSET('29'!$D$4,$A$3,0)</f>
        <v>17408</v>
      </c>
      <c r="C35" s="81">
        <f ca="1">OFFSET('29'!$E$4,$A$3,0)</f>
        <v>184701.31061731101</v>
      </c>
      <c r="D35" s="155">
        <f t="shared" ca="1" si="0"/>
        <v>10.610139626453988</v>
      </c>
      <c r="E35" s="81">
        <f ca="1">OFFSET('29'!$E$66,$A$3,0)</f>
        <v>115959</v>
      </c>
      <c r="F35" s="155">
        <f t="shared" ca="1" si="1"/>
        <v>6.6612477022058822</v>
      </c>
      <c r="G35" s="81">
        <f ca="1">'29'!$F$100*B35</f>
        <v>8928.7470769523716</v>
      </c>
      <c r="H35" s="155">
        <f t="shared" ca="1" si="2"/>
        <v>0.51291056278448821</v>
      </c>
      <c r="I35" s="81">
        <f ca="1">'29'!$F$98*'Discipline Analysis'!B35</f>
        <v>13876.7265674755</v>
      </c>
      <c r="J35" s="155">
        <f t="shared" ca="1" si="3"/>
        <v>0.79714651697354666</v>
      </c>
      <c r="K35" s="81">
        <f ca="1">'29'!$F$99*'Discipline Analysis'!B35</f>
        <v>8622.9258215583195</v>
      </c>
      <c r="L35" s="155">
        <f t="shared" ca="1" si="4"/>
        <v>0.49534270574209094</v>
      </c>
      <c r="M35" s="81">
        <f ca="1">OFFSET('29'!$E$35,$A$3,0)</f>
        <v>32351</v>
      </c>
      <c r="N35" s="155">
        <f t="shared" ca="1" si="5"/>
        <v>1.8583984375</v>
      </c>
      <c r="O35" s="81">
        <f ca="1">'29'!$F$101*'Discipline Analysis'!B35</f>
        <v>0</v>
      </c>
      <c r="P35" s="155">
        <f t="shared" ca="1" si="6"/>
        <v>0</v>
      </c>
      <c r="Q35" s="81">
        <f ca="1">'29'!$F$102*'Discipline Analysis'!B35</f>
        <v>0</v>
      </c>
      <c r="R35" s="155">
        <f t="shared" ca="1" si="7"/>
        <v>0</v>
      </c>
      <c r="S35" s="81">
        <f ca="1">'29'!$F$103*'Discipline Analysis'!B35</f>
        <v>653.20130604025599</v>
      </c>
      <c r="T35" s="155">
        <f t="shared" ca="1" si="8"/>
        <v>3.7523052966466908E-2</v>
      </c>
      <c r="U35" s="81">
        <f ca="1">'29'!$F$104*'Discipline Analysis'!B35</f>
        <v>4309.709845284573</v>
      </c>
      <c r="V35" s="158">
        <f t="shared" ca="1" si="9"/>
        <v>0.24757064828151271</v>
      </c>
    </row>
    <row r="36" spans="1:22" x14ac:dyDescent="0.2">
      <c r="A36" s="98" t="s">
        <v>1043</v>
      </c>
      <c r="B36" s="89">
        <f ca="1">OFFSET('30'!$D$4,$A$3,0)</f>
        <v>89952</v>
      </c>
      <c r="C36" s="81">
        <f ca="1">OFFSET('30'!$E$4,$A$3,0)</f>
        <v>731318.20948568953</v>
      </c>
      <c r="D36" s="155">
        <f t="shared" ca="1" si="0"/>
        <v>8.1300939332720734</v>
      </c>
      <c r="E36" s="81">
        <f ca="1">OFFSET('30'!$E$66,$A$3,0)</f>
        <v>238984</v>
      </c>
      <c r="F36" s="155">
        <f t="shared" ca="1" si="1"/>
        <v>2.6567947349697616</v>
      </c>
      <c r="G36" s="81">
        <f ca="1">'30'!$F$100*B36</f>
        <v>52406.44656303143</v>
      </c>
      <c r="H36" s="155">
        <f t="shared" ca="1" si="2"/>
        <v>0.58260457313935687</v>
      </c>
      <c r="I36" s="81">
        <f ca="1">'30'!$F$98*'Discipline Analysis'!B36</f>
        <v>101169.8993231606</v>
      </c>
      <c r="J36" s="155">
        <f t="shared" ca="1" si="3"/>
        <v>1.1247098377263496</v>
      </c>
      <c r="K36" s="81">
        <f ca="1">'30'!$F$99*'Discipline Analysis'!B36</f>
        <v>40843.648273770363</v>
      </c>
      <c r="L36" s="155">
        <f t="shared" ca="1" si="4"/>
        <v>0.45406047974219987</v>
      </c>
      <c r="M36" s="81">
        <f ca="1">OFFSET('30'!$E$35,$A$3,0)</f>
        <v>269259</v>
      </c>
      <c r="N36" s="155">
        <f t="shared" ca="1" si="5"/>
        <v>2.9933631270010674</v>
      </c>
      <c r="O36" s="81">
        <f ca="1">'30'!$F$101*'Discipline Analysis'!B36</f>
        <v>2630.5965119976281</v>
      </c>
      <c r="P36" s="155">
        <f t="shared" ca="1" si="6"/>
        <v>2.9244447171798606E-2</v>
      </c>
      <c r="Q36" s="81">
        <f ca="1">'30'!$F$102*'Discipline Analysis'!B36</f>
        <v>0</v>
      </c>
      <c r="R36" s="155">
        <f t="shared" ca="1" si="7"/>
        <v>0</v>
      </c>
      <c r="S36" s="81">
        <f ca="1">'30'!$F$103*'Discipline Analysis'!B36</f>
        <v>9953.1232335366094</v>
      </c>
      <c r="T36" s="155">
        <f t="shared" ca="1" si="8"/>
        <v>0.11064927109499077</v>
      </c>
      <c r="U36" s="81">
        <f ca="1">'30'!$F$104*'Discipline Analysis'!B36</f>
        <v>16071.495580192855</v>
      </c>
      <c r="V36" s="158">
        <f t="shared" ca="1" si="9"/>
        <v>0.1786674624265481</v>
      </c>
    </row>
    <row r="37" spans="1:22" x14ac:dyDescent="0.2">
      <c r="A37" s="98" t="s">
        <v>1020</v>
      </c>
      <c r="B37" s="89">
        <f ca="1">OFFSET('31'!$D$4,$A$3,0)</f>
        <v>21312</v>
      </c>
      <c r="C37" s="81">
        <f ca="1">OFFSET('31'!$E$4,$A$3,0)</f>
        <v>360440.59641581262</v>
      </c>
      <c r="D37" s="155">
        <f t="shared" ca="1" si="0"/>
        <v>16.912565522513731</v>
      </c>
      <c r="E37" s="81">
        <f ca="1">OFFSET('31'!$E$66,$A$3,0)</f>
        <v>182335</v>
      </c>
      <c r="F37" s="155">
        <f t="shared" ca="1" si="1"/>
        <v>8.5555086336336341</v>
      </c>
      <c r="G37" s="81">
        <f ca="1">'31'!$F$100*B37</f>
        <v>9683.2269868228414</v>
      </c>
      <c r="H37" s="155">
        <f t="shared" ca="1" si="2"/>
        <v>0.45435562062794865</v>
      </c>
      <c r="I37" s="81">
        <f ca="1">'31'!$F$98*'Discipline Analysis'!B37</f>
        <v>35547.861270863832</v>
      </c>
      <c r="J37" s="155">
        <f t="shared" ca="1" si="3"/>
        <v>1.667973971042785</v>
      </c>
      <c r="K37" s="81">
        <f ca="1">'31'!$F$99*'Discipline Analysis'!B37</f>
        <v>11539.725118594437</v>
      </c>
      <c r="L37" s="155">
        <f t="shared" ca="1" si="4"/>
        <v>0.54146608101512939</v>
      </c>
      <c r="M37" s="81">
        <f ca="1">OFFSET('31'!$E$35,$A$3,0)</f>
        <v>115698</v>
      </c>
      <c r="N37" s="155">
        <f t="shared" ca="1" si="5"/>
        <v>5.4287725225225225</v>
      </c>
      <c r="O37" s="81">
        <f ca="1">'31'!$F$101*'Discipline Analysis'!B37</f>
        <v>0</v>
      </c>
      <c r="P37" s="155">
        <f t="shared" ca="1" si="6"/>
        <v>0</v>
      </c>
      <c r="Q37" s="81">
        <f ca="1">'31'!$F$102*'Discipline Analysis'!B37</f>
        <v>0</v>
      </c>
      <c r="R37" s="155">
        <f t="shared" ca="1" si="7"/>
        <v>0</v>
      </c>
      <c r="S37" s="81">
        <f ca="1">'31'!$F$103*'Discipline Analysis'!B37</f>
        <v>0</v>
      </c>
      <c r="T37" s="155">
        <f t="shared" ca="1" si="8"/>
        <v>0</v>
      </c>
      <c r="U37" s="81">
        <f ca="1">'31'!$F$104*'Discipline Analysis'!B37</f>
        <v>5636.7830395314795</v>
      </c>
      <c r="V37" s="158">
        <f t="shared" ca="1" si="9"/>
        <v>0.2644886936717098</v>
      </c>
    </row>
    <row r="38" spans="1:22" x14ac:dyDescent="0.2">
      <c r="A38" s="98" t="s">
        <v>1044</v>
      </c>
      <c r="B38" s="89">
        <f ca="1">OFFSET('32'!$D$4,$A$3,0)</f>
        <v>20336</v>
      </c>
      <c r="C38" s="81">
        <f ca="1">OFFSET('32'!$E$4,$A$3,0)</f>
        <v>191598.26480635547</v>
      </c>
      <c r="D38" s="155">
        <f t="shared" ca="1" si="0"/>
        <v>9.4216298586917517</v>
      </c>
      <c r="E38" s="81">
        <f ca="1">OFFSET('32'!$E$66,$A$3,0)</f>
        <v>65521</v>
      </c>
      <c r="F38" s="155">
        <f t="shared" ca="1" si="1"/>
        <v>3.2219217151848936</v>
      </c>
      <c r="G38" s="81">
        <f ca="1">'32'!$F$100*B38</f>
        <v>22056.864433516286</v>
      </c>
      <c r="H38" s="155">
        <f t="shared" ca="1" si="2"/>
        <v>1.0846215791461589</v>
      </c>
      <c r="I38" s="81">
        <f ca="1">'32'!$F$98*'Discipline Analysis'!B38</f>
        <v>39162.800621594237</v>
      </c>
      <c r="J38" s="155">
        <f t="shared" ca="1" si="3"/>
        <v>1.9257868126275688</v>
      </c>
      <c r="K38" s="81">
        <f ca="1">'32'!$F$99*'Discipline Analysis'!B38</f>
        <v>18703.65825899117</v>
      </c>
      <c r="L38" s="155">
        <f t="shared" ca="1" si="4"/>
        <v>0.91973142500940064</v>
      </c>
      <c r="M38" s="81">
        <f ca="1">OFFSET('32'!$E$35,$A$3,0)</f>
        <v>18211</v>
      </c>
      <c r="N38" s="155">
        <f t="shared" ca="1" si="5"/>
        <v>0.89550550747442959</v>
      </c>
      <c r="O38" s="81">
        <f ca="1">'32'!$F$101*'Discipline Analysis'!B38</f>
        <v>0</v>
      </c>
      <c r="P38" s="155">
        <f t="shared" ca="1" si="6"/>
        <v>0</v>
      </c>
      <c r="Q38" s="81">
        <f ca="1">'32'!$F$102*'Discipline Analysis'!B38</f>
        <v>5589.5891231907717</v>
      </c>
      <c r="R38" s="155">
        <f t="shared" ca="1" si="7"/>
        <v>0.27486177828436131</v>
      </c>
      <c r="S38" s="81">
        <f ca="1">'32'!$F$103*'Discipline Analysis'!B38</f>
        <v>6462.8214962278016</v>
      </c>
      <c r="T38" s="155">
        <f t="shared" ca="1" si="8"/>
        <v>0.31780200119137497</v>
      </c>
      <c r="U38" s="81">
        <f ca="1">'32'!$F$104*'Discipline Analysis'!B38</f>
        <v>15890.530872835183</v>
      </c>
      <c r="V38" s="158">
        <f t="shared" ca="1" si="9"/>
        <v>0.78139903977356329</v>
      </c>
    </row>
    <row r="39" spans="1:22" x14ac:dyDescent="0.2">
      <c r="A39" s="98" t="s">
        <v>1045</v>
      </c>
      <c r="B39" s="89">
        <f ca="1">OFFSET('33'!$D$4,$A$3,0)</f>
        <v>5760</v>
      </c>
      <c r="C39" s="81">
        <f ca="1">OFFSET('33'!$E$4,$A$3,0)</f>
        <v>112390.24453059555</v>
      </c>
      <c r="D39" s="155">
        <f t="shared" ca="1" si="0"/>
        <v>19.512195231006171</v>
      </c>
      <c r="E39" s="81">
        <f ca="1">OFFSET('33'!$E$66,$A$3,0)</f>
        <v>41932</v>
      </c>
      <c r="F39" s="155">
        <f t="shared" ca="1" si="1"/>
        <v>7.2798611111111109</v>
      </c>
      <c r="G39" s="81">
        <f ca="1">'33'!$F$100*B39</f>
        <v>7824.6517698856442</v>
      </c>
      <c r="H39" s="155">
        <f t="shared" ca="1" si="2"/>
        <v>1.3584464878273688</v>
      </c>
      <c r="I39" s="81">
        <f ca="1">'33'!$F$98*'Discipline Analysis'!B39</f>
        <v>7921.3091504159274</v>
      </c>
      <c r="J39" s="155">
        <f t="shared" ca="1" si="3"/>
        <v>1.3752272830583208</v>
      </c>
      <c r="K39" s="81">
        <f ca="1">'33'!$F$99*'Discipline Analysis'!B39</f>
        <v>4040.0989655373951</v>
      </c>
      <c r="L39" s="155">
        <f t="shared" ca="1" si="4"/>
        <v>0.70140607040579772</v>
      </c>
      <c r="M39" s="81">
        <f ca="1">OFFSET('33'!$E$35,$A$3,0)</f>
        <v>47490</v>
      </c>
      <c r="N39" s="155">
        <f t="shared" ca="1" si="5"/>
        <v>8.2447916666666661</v>
      </c>
      <c r="O39" s="81">
        <f ca="1">'33'!$F$101*'Discipline Analysis'!B39</f>
        <v>0</v>
      </c>
      <c r="P39" s="155">
        <f t="shared" ca="1" si="6"/>
        <v>0</v>
      </c>
      <c r="Q39" s="81">
        <f ca="1">'33'!$F$102*'Discipline Analysis'!B39</f>
        <v>0</v>
      </c>
      <c r="R39" s="155">
        <f t="shared" ca="1" si="7"/>
        <v>0</v>
      </c>
      <c r="S39" s="81">
        <f ca="1">'33'!$F$103*'Discipline Analysis'!B39</f>
        <v>0</v>
      </c>
      <c r="T39" s="155">
        <f t="shared" ca="1" si="8"/>
        <v>0</v>
      </c>
      <c r="U39" s="81">
        <f ca="1">'33'!$F$104*'Discipline Analysis'!B39</f>
        <v>3182.1846447565799</v>
      </c>
      <c r="V39" s="158">
        <f t="shared" ca="1" si="9"/>
        <v>0.55246261193690627</v>
      </c>
    </row>
    <row r="40" spans="1:22" x14ac:dyDescent="0.2">
      <c r="A40" s="98" t="s">
        <v>1023</v>
      </c>
      <c r="B40" s="89">
        <f ca="1">OFFSET('34'!$D$4,$A$3,0)</f>
        <v>0</v>
      </c>
      <c r="C40" s="81">
        <f ca="1">OFFSET('34'!$E$4,$A$3,0)</f>
        <v>0</v>
      </c>
      <c r="D40" s="155" t="str">
        <f t="shared" ca="1" si="0"/>
        <v/>
      </c>
      <c r="E40" s="81">
        <f ca="1">OFFSET('34'!$E$66,$A$3,0)</f>
        <v>0</v>
      </c>
      <c r="F40" s="155" t="str">
        <f t="shared" ca="1" si="1"/>
        <v/>
      </c>
      <c r="G40" s="81">
        <f ca="1">'34'!$F$100*B40</f>
        <v>0</v>
      </c>
      <c r="H40" s="155" t="str">
        <f t="shared" ca="1" si="2"/>
        <v/>
      </c>
      <c r="I40" s="81">
        <f ca="1">'34'!$F$98*'Discipline Analysis'!B40</f>
        <v>0</v>
      </c>
      <c r="J40" s="155" t="str">
        <f t="shared" ca="1" si="3"/>
        <v/>
      </c>
      <c r="K40" s="81">
        <f ca="1">'34'!$F$99*'Discipline Analysis'!B40</f>
        <v>0</v>
      </c>
      <c r="L40" s="155" t="str">
        <f t="shared" ca="1" si="4"/>
        <v/>
      </c>
      <c r="M40" s="81">
        <f ca="1">OFFSET('34'!$E$35,$A$3,0)</f>
        <v>0</v>
      </c>
      <c r="N40" s="155" t="str">
        <f t="shared" ca="1" si="5"/>
        <v/>
      </c>
      <c r="O40" s="81">
        <f ca="1">'34'!$F$101*'Discipline Analysis'!B40</f>
        <v>0</v>
      </c>
      <c r="P40" s="155" t="str">
        <f t="shared" ca="1" si="6"/>
        <v/>
      </c>
      <c r="Q40" s="81">
        <f ca="1">'34'!$F$102*'Discipline Analysis'!B40</f>
        <v>0</v>
      </c>
      <c r="R40" s="155" t="str">
        <f t="shared" ca="1" si="7"/>
        <v/>
      </c>
      <c r="S40" s="81">
        <f ca="1">'34'!$F$103*'Discipline Analysis'!B40</f>
        <v>0</v>
      </c>
      <c r="T40" s="155" t="str">
        <f t="shared" ca="1" si="8"/>
        <v/>
      </c>
      <c r="U40" s="81">
        <f ca="1">'34'!$F$104*'Discipline Analysis'!B40</f>
        <v>0</v>
      </c>
      <c r="V40" s="158" t="str">
        <f t="shared" ca="1" si="9"/>
        <v/>
      </c>
    </row>
    <row r="41" spans="1:22" x14ac:dyDescent="0.2">
      <c r="A41" s="98" t="s">
        <v>1046</v>
      </c>
      <c r="B41" s="89">
        <f ca="1">OFFSET('35'!$D$4,$A$3,0)</f>
        <v>4176</v>
      </c>
      <c r="C41" s="81">
        <f ca="1">OFFSET('35'!$E$4,$A$3,0)</f>
        <v>22985.650388533933</v>
      </c>
      <c r="D41" s="155">
        <f t="shared" ca="1" si="0"/>
        <v>5.5042266256067851</v>
      </c>
      <c r="E41" s="81">
        <f ca="1">OFFSET('35'!$E$66,$A$3,0)</f>
        <v>11250</v>
      </c>
      <c r="F41" s="155">
        <f t="shared" ca="1" si="1"/>
        <v>2.6939655172413794</v>
      </c>
      <c r="G41" s="81">
        <f ca="1">'35'!$F$100*B41</f>
        <v>1975.5635942313156</v>
      </c>
      <c r="H41" s="155">
        <f t="shared" ca="1" si="2"/>
        <v>0.47307557333125372</v>
      </c>
      <c r="I41" s="81">
        <f ca="1">'35'!$F$98*'Discipline Analysis'!B41</f>
        <v>4033.8418613978311</v>
      </c>
      <c r="J41" s="155">
        <f t="shared" ca="1" si="3"/>
        <v>0.96595830014315875</v>
      </c>
      <c r="K41" s="81">
        <f ca="1">'35'!$F$99*'Discipline Analysis'!B41</f>
        <v>1448.2581358169796</v>
      </c>
      <c r="L41" s="155">
        <f t="shared" ca="1" si="4"/>
        <v>0.34680510915157559</v>
      </c>
      <c r="M41" s="81">
        <f ca="1">OFFSET('35'!$E$35,$A$3,0)</f>
        <v>3511</v>
      </c>
      <c r="N41" s="155">
        <f t="shared" ca="1" si="5"/>
        <v>0.84075670498084287</v>
      </c>
      <c r="O41" s="81">
        <f ca="1">'35'!$F$101*'Discipline Analysis'!B41</f>
        <v>0</v>
      </c>
      <c r="P41" s="155">
        <f t="shared" ca="1" si="6"/>
        <v>0</v>
      </c>
      <c r="Q41" s="81">
        <f ca="1">'35'!$F$102*'Discipline Analysis'!B41</f>
        <v>0</v>
      </c>
      <c r="R41" s="155">
        <f t="shared" ca="1" si="7"/>
        <v>0</v>
      </c>
      <c r="S41" s="81">
        <f ca="1">'35'!$F$103*'Discipline Analysis'!B41</f>
        <v>0</v>
      </c>
      <c r="T41" s="155">
        <f t="shared" ca="1" si="8"/>
        <v>0</v>
      </c>
      <c r="U41" s="81">
        <f ca="1">'35'!$F$104*'Discipline Analysis'!B41</f>
        <v>766.98679708780583</v>
      </c>
      <c r="V41" s="158">
        <f t="shared" ca="1" si="9"/>
        <v>0.1836654207585742</v>
      </c>
    </row>
    <row r="42" spans="1:22" x14ac:dyDescent="0.2">
      <c r="A42" s="98" t="s">
        <v>1059</v>
      </c>
      <c r="B42" s="89">
        <f ca="1">OFFSET('36'!$D$4,$A$3,0)</f>
        <v>17136</v>
      </c>
      <c r="C42" s="81">
        <f ca="1">OFFSET('36'!$E$4,$A$3,0)</f>
        <v>78742.508919792148</v>
      </c>
      <c r="D42" s="155">
        <f t="shared" ca="1" si="0"/>
        <v>4.5951510807535101</v>
      </c>
      <c r="E42" s="81">
        <f ca="1">OFFSET('36'!$E$66,$A$3,0)</f>
        <v>7296</v>
      </c>
      <c r="F42" s="155">
        <f t="shared" ca="1" si="1"/>
        <v>0.42577030812324929</v>
      </c>
      <c r="G42" s="81">
        <f ca="1">'36'!$F$100*B42</f>
        <v>11506.743442168812</v>
      </c>
      <c r="H42" s="155">
        <f t="shared" ca="1" si="2"/>
        <v>0.67149529891274584</v>
      </c>
      <c r="I42" s="81">
        <f ca="1">'36'!$F$98*'Discipline Analysis'!B42</f>
        <v>36617.015609501257</v>
      </c>
      <c r="J42" s="155">
        <f t="shared" ca="1" si="3"/>
        <v>2.1368473161473656</v>
      </c>
      <c r="K42" s="81">
        <f ca="1">'36'!$F$99*'Discipline Analysis'!B42</f>
        <v>13067.976921556588</v>
      </c>
      <c r="L42" s="155">
        <f t="shared" ca="1" si="4"/>
        <v>0.76260369523556193</v>
      </c>
      <c r="M42" s="81">
        <f ca="1">OFFSET('36'!$E$35,$A$3,0)</f>
        <v>821</v>
      </c>
      <c r="N42" s="155">
        <f t="shared" ca="1" si="5"/>
        <v>4.7910830999066296E-2</v>
      </c>
      <c r="O42" s="81">
        <f ca="1">'36'!$F$101*'Discipline Analysis'!B42</f>
        <v>0</v>
      </c>
      <c r="P42" s="155">
        <f t="shared" ca="1" si="6"/>
        <v>0</v>
      </c>
      <c r="Q42" s="81">
        <f ca="1">'36'!$F$102*'Discipline Analysis'!B42</f>
        <v>0</v>
      </c>
      <c r="R42" s="155">
        <f t="shared" ca="1" si="7"/>
        <v>0</v>
      </c>
      <c r="S42" s="81">
        <f ca="1">'36'!$F$103*'Discipline Analysis'!B42</f>
        <v>4282.1710930693234</v>
      </c>
      <c r="T42" s="155">
        <f t="shared" ca="1" si="8"/>
        <v>0.24989327107080553</v>
      </c>
      <c r="U42" s="81">
        <f ca="1">'36'!$F$104*'Discipline Analysis'!B42</f>
        <v>5151.6018534961649</v>
      </c>
      <c r="V42" s="158">
        <f t="shared" ca="1" si="9"/>
        <v>0.30063036026471551</v>
      </c>
    </row>
    <row r="43" spans="1:22" x14ac:dyDescent="0.2">
      <c r="A43" s="98" t="s">
        <v>1047</v>
      </c>
      <c r="B43" s="89">
        <f ca="1">OFFSET('37'!$D$4,$A$3,0)</f>
        <v>35608</v>
      </c>
      <c r="C43" s="81">
        <f ca="1">OFFSET('37'!$E$4,$A$3,0)</f>
        <v>460497.48306013993</v>
      </c>
      <c r="D43" s="155">
        <f t="shared" ca="1" si="0"/>
        <v>12.932416396881036</v>
      </c>
      <c r="E43" s="81">
        <f ca="1">OFFSET('37'!$E$66,$A$3,0)</f>
        <v>256783</v>
      </c>
      <c r="F43" s="155">
        <f t="shared" ca="1" si="1"/>
        <v>7.2113850820040444</v>
      </c>
      <c r="G43" s="81">
        <f ca="1">'37'!$F$100*B43</f>
        <v>13995.704689224569</v>
      </c>
      <c r="H43" s="155">
        <f t="shared" ca="1" si="2"/>
        <v>0.39304944645092588</v>
      </c>
      <c r="I43" s="81">
        <f ca="1">'37'!$F$98*'Discipline Analysis'!B43</f>
        <v>28709.746219888719</v>
      </c>
      <c r="J43" s="155">
        <f t="shared" ca="1" si="3"/>
        <v>0.80627236070233432</v>
      </c>
      <c r="K43" s="81">
        <f ca="1">'37'!$F$99*'Discipline Analysis'!B43</f>
        <v>31879.316287896876</v>
      </c>
      <c r="L43" s="155">
        <f t="shared" ca="1" si="4"/>
        <v>0.89528522489038631</v>
      </c>
      <c r="M43" s="81">
        <f ca="1">OFFSET('37'!$E$35,$A$3,0)</f>
        <v>101788</v>
      </c>
      <c r="N43" s="155">
        <f t="shared" ca="1" si="5"/>
        <v>2.8585711076162661</v>
      </c>
      <c r="O43" s="81">
        <f ca="1">'37'!$F$101*'Discipline Analysis'!B43</f>
        <v>0</v>
      </c>
      <c r="P43" s="155">
        <f t="shared" ca="1" si="6"/>
        <v>0</v>
      </c>
      <c r="Q43" s="81">
        <f ca="1">'37'!$F$102*'Discipline Analysis'!B43</f>
        <v>747.30093974634929</v>
      </c>
      <c r="R43" s="155">
        <f t="shared" ca="1" si="7"/>
        <v>2.0986883277531714E-2</v>
      </c>
      <c r="S43" s="81">
        <f ca="1">'37'!$F$103*'Discipline Analysis'!B43</f>
        <v>7745.8371484068375</v>
      </c>
      <c r="T43" s="155">
        <f t="shared" ca="1" si="8"/>
        <v>0.21753081185146139</v>
      </c>
      <c r="U43" s="81">
        <f ca="1">'37'!$F$104*'Discipline Analysis'!B43</f>
        <v>18848.577774976558</v>
      </c>
      <c r="V43" s="158">
        <f t="shared" ca="1" si="9"/>
        <v>0.52933548008808573</v>
      </c>
    </row>
    <row r="44" spans="1:22" x14ac:dyDescent="0.2">
      <c r="A44" s="98" t="s">
        <v>1048</v>
      </c>
      <c r="B44" s="89">
        <f ca="1">OFFSET('38'!$D$4,$A$3,0)</f>
        <v>8160</v>
      </c>
      <c r="C44" s="81">
        <f ca="1">OFFSET('38'!$E$4,$A$3,0)</f>
        <v>65344.02428845418</v>
      </c>
      <c r="D44" s="155">
        <f t="shared" ca="1" si="0"/>
        <v>8.0078461137811487</v>
      </c>
      <c r="E44" s="81">
        <f ca="1">OFFSET('38'!$E$66,$A$3,0)</f>
        <v>23186</v>
      </c>
      <c r="F44" s="155">
        <f t="shared" ca="1" si="1"/>
        <v>2.8414215686274509</v>
      </c>
      <c r="G44" s="81">
        <f ca="1">'38'!$F$100*B44</f>
        <v>5353.8444679859622</v>
      </c>
      <c r="H44" s="155">
        <f t="shared" ca="1" si="2"/>
        <v>0.65610839068455418</v>
      </c>
      <c r="I44" s="81">
        <f ca="1">'38'!$F$98*'Discipline Analysis'!B44</f>
        <v>11622.495782814765</v>
      </c>
      <c r="J44" s="155">
        <f t="shared" ca="1" si="3"/>
        <v>1.4243254635802409</v>
      </c>
      <c r="K44" s="81">
        <f ca="1">'38'!$F$99*'Discipline Analysis'!B44</f>
        <v>5211.3914320648746</v>
      </c>
      <c r="L44" s="155">
        <f t="shared" ca="1" si="4"/>
        <v>0.63865091079226399</v>
      </c>
      <c r="M44" s="81">
        <f ca="1">OFFSET('38'!$E$35,$A$3,0)</f>
        <v>15835</v>
      </c>
      <c r="N44" s="155">
        <f t="shared" ca="1" si="5"/>
        <v>1.9405637254901962</v>
      </c>
      <c r="O44" s="81">
        <f ca="1">'38'!$F$101*'Discipline Analysis'!B44</f>
        <v>0</v>
      </c>
      <c r="P44" s="155">
        <f t="shared" ca="1" si="6"/>
        <v>0</v>
      </c>
      <c r="Q44" s="81">
        <f ca="1">'38'!$F$102*'Discipline Analysis'!B44</f>
        <v>0</v>
      </c>
      <c r="R44" s="155">
        <f t="shared" ca="1" si="7"/>
        <v>0</v>
      </c>
      <c r="S44" s="81">
        <f ca="1">'38'!$F$103*'Discipline Analysis'!B44</f>
        <v>1620.0177035200543</v>
      </c>
      <c r="T44" s="155">
        <f t="shared" ca="1" si="8"/>
        <v>0.19853158131373214</v>
      </c>
      <c r="U44" s="81">
        <f ca="1">'38'!$F$104*'Discipline Analysis'!B44</f>
        <v>2515.2749020685205</v>
      </c>
      <c r="V44" s="158">
        <f t="shared" ca="1" si="9"/>
        <v>0.30824447329271087</v>
      </c>
    </row>
    <row r="45" spans="1:22" x14ac:dyDescent="0.2">
      <c r="A45" s="98" t="s">
        <v>1024</v>
      </c>
      <c r="B45" s="89">
        <f ca="1">OFFSET('39'!$D$4,$A$3,0)</f>
        <v>23520</v>
      </c>
      <c r="C45" s="81">
        <f ca="1">OFFSET('39'!$E$4,$A$3,0)</f>
        <v>226076.07376994501</v>
      </c>
      <c r="D45" s="155">
        <f t="shared" ca="1" si="0"/>
        <v>9.6120779664092275</v>
      </c>
      <c r="E45" s="81">
        <f ca="1">OFFSET('39'!$E$66,$A$3,0)</f>
        <v>107542</v>
      </c>
      <c r="F45" s="155">
        <f t="shared" ca="1" si="1"/>
        <v>4.572363945578231</v>
      </c>
      <c r="G45" s="81">
        <f ca="1">'39'!$F$100*B45</f>
        <v>22757.366745304476</v>
      </c>
      <c r="H45" s="155">
        <f t="shared" ca="1" si="2"/>
        <v>0.96757511672212915</v>
      </c>
      <c r="I45" s="81">
        <f ca="1">'39'!$F$98*'Discipline Analysis'!B45</f>
        <v>39545.21180658738</v>
      </c>
      <c r="J45" s="155">
        <f t="shared" ca="1" si="3"/>
        <v>1.681344039395722</v>
      </c>
      <c r="K45" s="81">
        <f ca="1">'39'!$F$99*'Discipline Analysis'!B45</f>
        <v>16014.238739530963</v>
      </c>
      <c r="L45" s="155">
        <f t="shared" ca="1" si="4"/>
        <v>0.68087749742903758</v>
      </c>
      <c r="M45" s="81">
        <f ca="1">OFFSET('39'!$E$35,$A$3,0)</f>
        <v>28418</v>
      </c>
      <c r="N45" s="155">
        <f t="shared" ca="1" si="5"/>
        <v>1.2082482993197279</v>
      </c>
      <c r="O45" s="81">
        <f ca="1">'39'!$F$101*'Discipline Analysis'!B45</f>
        <v>0</v>
      </c>
      <c r="P45" s="155">
        <f t="shared" ca="1" si="6"/>
        <v>0</v>
      </c>
      <c r="Q45" s="81">
        <f ca="1">'39'!$F$102*'Discipline Analysis'!B45</f>
        <v>0</v>
      </c>
      <c r="R45" s="155">
        <f t="shared" ca="1" si="7"/>
        <v>0</v>
      </c>
      <c r="S45" s="81">
        <f ca="1">'39'!$F$103*'Discipline Analysis'!B45</f>
        <v>3331.6147030462548</v>
      </c>
      <c r="T45" s="155">
        <f t="shared" ca="1" si="8"/>
        <v>0.14165028499346322</v>
      </c>
      <c r="U45" s="81">
        <f ca="1">'39'!$F$104*'Discipline Analysis'!B45</f>
        <v>8467.6417754759204</v>
      </c>
      <c r="V45" s="158">
        <f t="shared" ca="1" si="9"/>
        <v>0.360018782970915</v>
      </c>
    </row>
    <row r="46" spans="1:22" x14ac:dyDescent="0.2">
      <c r="A46" s="98" t="s">
        <v>1060</v>
      </c>
      <c r="B46" s="89">
        <f ca="1">OFFSET('40'!$D$4,$A$3,0)</f>
        <v>30584</v>
      </c>
      <c r="C46" s="81">
        <f ca="1">OFFSET('40'!$E$4,$A$3,0)</f>
        <v>292869.25458590192</v>
      </c>
      <c r="D46" s="155">
        <f t="shared" ca="1" si="0"/>
        <v>9.5758976780637557</v>
      </c>
      <c r="E46" s="81">
        <f ca="1">OFFSET('40'!$E$66,$A$3,0)</f>
        <v>95632</v>
      </c>
      <c r="F46" s="155">
        <f t="shared" ca="1" si="1"/>
        <v>3.1268637195919435</v>
      </c>
      <c r="G46" s="81">
        <f ca="1">'40'!$F$100*B46</f>
        <v>27569.251077295674</v>
      </c>
      <c r="H46" s="155">
        <f t="shared" ca="1" si="2"/>
        <v>0.9014272520695682</v>
      </c>
      <c r="I46" s="81">
        <f ca="1">'40'!$F$98*'Discipline Analysis'!B46</f>
        <v>39161.154450908609</v>
      </c>
      <c r="J46" s="155">
        <f t="shared" ca="1" si="3"/>
        <v>1.2804458033909432</v>
      </c>
      <c r="K46" s="81">
        <f ca="1">'40'!$F$99*'Discipline Analysis'!B46</f>
        <v>30060.218361960808</v>
      </c>
      <c r="L46" s="155">
        <f t="shared" ca="1" si="4"/>
        <v>0.98287399823308941</v>
      </c>
      <c r="M46" s="81">
        <f ca="1">OFFSET('40'!$E$35,$A$3,0)</f>
        <v>77400</v>
      </c>
      <c r="N46" s="155">
        <f t="shared" ca="1" si="5"/>
        <v>2.5307350248495943</v>
      </c>
      <c r="O46" s="81">
        <f ca="1">'40'!$F$101*'Discipline Analysis'!B46</f>
        <v>0</v>
      </c>
      <c r="P46" s="155">
        <f t="shared" ca="1" si="6"/>
        <v>0</v>
      </c>
      <c r="Q46" s="81">
        <f ca="1">'40'!$F$102*'Discipline Analysis'!B46</f>
        <v>2129.6429891894791</v>
      </c>
      <c r="R46" s="155">
        <f t="shared" ca="1" si="7"/>
        <v>6.9632585312237746E-2</v>
      </c>
      <c r="S46" s="81">
        <f ca="1">'40'!$F$103*'Discipline Analysis'!B46</f>
        <v>3451.1601381327687</v>
      </c>
      <c r="T46" s="155">
        <f t="shared" ca="1" si="8"/>
        <v>0.11284201341004345</v>
      </c>
      <c r="U46" s="81">
        <f ca="1">'40'!$F$104*'Discipline Analysis'!B46</f>
        <v>17465.827568414566</v>
      </c>
      <c r="V46" s="158">
        <f t="shared" ca="1" si="9"/>
        <v>0.5710772812063355</v>
      </c>
    </row>
    <row r="47" spans="1:22" x14ac:dyDescent="0.2">
      <c r="A47" s="98" t="s">
        <v>1025</v>
      </c>
      <c r="B47" s="89">
        <f ca="1">OFFSET('41'!$D$4,$A$3,0)</f>
        <v>12416</v>
      </c>
      <c r="C47" s="81">
        <f ca="1">OFFSET('41'!$E$4,$A$3,0)</f>
        <v>102094.533171141</v>
      </c>
      <c r="D47" s="155">
        <f t="shared" ca="1" si="0"/>
        <v>8.2228200041189599</v>
      </c>
      <c r="E47" s="81">
        <f ca="1">OFFSET('41'!$E$66,$A$3,0)</f>
        <v>43097</v>
      </c>
      <c r="F47" s="155">
        <f t="shared" ca="1" si="1"/>
        <v>3.4710856958762886</v>
      </c>
      <c r="G47" s="81">
        <f ca="1">'41'!$F$100*B47</f>
        <v>9453.575859510187</v>
      </c>
      <c r="H47" s="155">
        <f t="shared" ca="1" si="2"/>
        <v>0.76140269487034362</v>
      </c>
      <c r="I47" s="81">
        <f ca="1">'41'!$F$98*'Discipline Analysis'!B47</f>
        <v>20347.821693407586</v>
      </c>
      <c r="J47" s="155">
        <f t="shared" ca="1" si="3"/>
        <v>1.6388387317499666</v>
      </c>
      <c r="K47" s="81">
        <f ca="1">'41'!$F$99*'Discipline Analysis'!B47</f>
        <v>6784.8435160622012</v>
      </c>
      <c r="L47" s="155">
        <f t="shared" ca="1" si="4"/>
        <v>0.54645969040449427</v>
      </c>
      <c r="M47" s="81">
        <f ca="1">OFFSET('41'!$E$35,$A$3,0)</f>
        <v>15469</v>
      </c>
      <c r="N47" s="155">
        <f t="shared" ca="1" si="5"/>
        <v>1.2458923969072164</v>
      </c>
      <c r="O47" s="81">
        <f ca="1">'41'!$F$101*'Discipline Analysis'!B47</f>
        <v>0</v>
      </c>
      <c r="P47" s="155">
        <f t="shared" ca="1" si="6"/>
        <v>0</v>
      </c>
      <c r="Q47" s="81">
        <f ca="1">'41'!$F$102*'Discipline Analysis'!B47</f>
        <v>0</v>
      </c>
      <c r="R47" s="155">
        <f t="shared" ca="1" si="7"/>
        <v>0</v>
      </c>
      <c r="S47" s="81">
        <f ca="1">'41'!$F$103*'Discipline Analysis'!B47</f>
        <v>1476.4007666381306</v>
      </c>
      <c r="T47" s="155">
        <f t="shared" ca="1" si="8"/>
        <v>0.11891114422021026</v>
      </c>
      <c r="U47" s="81">
        <f ca="1">'41'!$F$104*'Discipline Analysis'!B47</f>
        <v>5465.8913355228788</v>
      </c>
      <c r="V47" s="158">
        <f t="shared" ca="1" si="9"/>
        <v>0.44022965009043802</v>
      </c>
    </row>
    <row r="48" spans="1:22" x14ac:dyDescent="0.2">
      <c r="A48" s="98" t="s">
        <v>1049</v>
      </c>
      <c r="B48" s="89">
        <f ca="1">OFFSET('42'!$D$4,$A$3,0)</f>
        <v>880</v>
      </c>
      <c r="C48" s="81">
        <f ca="1">OFFSET('42'!$E$4,$A$3,0)</f>
        <v>6569.165681462825</v>
      </c>
      <c r="D48" s="155">
        <f t="shared" ca="1" si="0"/>
        <v>7.4649610016623011</v>
      </c>
      <c r="E48" s="81">
        <f ca="1">OFFSET('42'!$E$66,$A$3,0)</f>
        <v>2376</v>
      </c>
      <c r="F48" s="155">
        <f t="shared" ca="1" si="1"/>
        <v>2.7</v>
      </c>
      <c r="G48" s="81">
        <f ca="1">'42'!$F$100*B48</f>
        <v>550.9058531279145</v>
      </c>
      <c r="H48" s="155">
        <f t="shared" ca="1" si="2"/>
        <v>0.62602937855444829</v>
      </c>
      <c r="I48" s="81">
        <f ca="1">'42'!$F$98*'Discipline Analysis'!B48</f>
        <v>1402.5974214034889</v>
      </c>
      <c r="J48" s="155">
        <f t="shared" ca="1" si="3"/>
        <v>1.5938607061403283</v>
      </c>
      <c r="K48" s="81">
        <f ca="1">'42'!$F$99*'Discipline Analysis'!B48</f>
        <v>591.40547128600565</v>
      </c>
      <c r="L48" s="155">
        <f t="shared" ca="1" si="4"/>
        <v>0.67205167191591553</v>
      </c>
      <c r="M48" s="81">
        <f ca="1">OFFSET('42'!$E$35,$A$3,0)</f>
        <v>1156</v>
      </c>
      <c r="N48" s="155">
        <f t="shared" ca="1" si="5"/>
        <v>1.3136363636363637</v>
      </c>
      <c r="O48" s="81">
        <f ca="1">'42'!$F$101*'Discipline Analysis'!B48</f>
        <v>0</v>
      </c>
      <c r="P48" s="155">
        <f t="shared" ca="1" si="6"/>
        <v>0</v>
      </c>
      <c r="Q48" s="81">
        <f ca="1">'42'!$F$102*'Discipline Analysis'!B48</f>
        <v>0</v>
      </c>
      <c r="R48" s="155">
        <f t="shared" ca="1" si="7"/>
        <v>0</v>
      </c>
      <c r="S48" s="81">
        <f ca="1">'42'!$F$103*'Discipline Analysis'!B48</f>
        <v>216.32993899148914</v>
      </c>
      <c r="T48" s="155">
        <f t="shared" ca="1" si="8"/>
        <v>0.2458294761266922</v>
      </c>
      <c r="U48" s="81">
        <f ca="1">'42'!$F$104*'Discipline Analysis'!B48</f>
        <v>275.92699665392712</v>
      </c>
      <c r="V48" s="158">
        <f t="shared" ca="1" si="9"/>
        <v>0.31355340528855352</v>
      </c>
    </row>
    <row r="49" spans="1:22" x14ac:dyDescent="0.2">
      <c r="A49" s="98" t="s">
        <v>1050</v>
      </c>
      <c r="B49" s="89">
        <f ca="1">OFFSET('43'!$D$4,$A$3,0)</f>
        <v>19632</v>
      </c>
      <c r="C49" s="81">
        <f ca="1">OFFSET('43'!$E$4,$A$3,0)</f>
        <v>247419.63359831434</v>
      </c>
      <c r="D49" s="155">
        <f t="shared" ca="1" si="0"/>
        <v>12.602874572041276</v>
      </c>
      <c r="E49" s="81">
        <f ca="1">OFFSET('43'!$E$66,$A$3,0)</f>
        <v>30872</v>
      </c>
      <c r="F49" s="155">
        <f t="shared" ca="1" si="1"/>
        <v>1.5725346373268134</v>
      </c>
      <c r="G49" s="81">
        <f ca="1">'43'!$F$100*B49</f>
        <v>27427.939252861837</v>
      </c>
      <c r="H49" s="155">
        <f t="shared" ca="1" si="2"/>
        <v>1.3971036701742989</v>
      </c>
      <c r="I49" s="81">
        <f ca="1">'43'!$F$98*'Discipline Analysis'!B49</f>
        <v>40252.024288861219</v>
      </c>
      <c r="J49" s="155">
        <f t="shared" ca="1" si="3"/>
        <v>2.0503272355776905</v>
      </c>
      <c r="K49" s="81">
        <f ca="1">'43'!$F$99*'Discipline Analysis'!B49</f>
        <v>40287.39534693912</v>
      </c>
      <c r="L49" s="155">
        <f t="shared" ca="1" si="4"/>
        <v>2.0521289398400122</v>
      </c>
      <c r="M49" s="81">
        <f ca="1">OFFSET('43'!$E$35,$A$3,0)</f>
        <v>82860</v>
      </c>
      <c r="N49" s="155">
        <f t="shared" ca="1" si="5"/>
        <v>4.2206601466992666</v>
      </c>
      <c r="O49" s="81">
        <f ca="1">'43'!$F$101*'Discipline Analysis'!B49</f>
        <v>0</v>
      </c>
      <c r="P49" s="155">
        <f t="shared" ca="1" si="6"/>
        <v>0</v>
      </c>
      <c r="Q49" s="81">
        <f ca="1">'43'!$F$102*'Discipline Analysis'!B49</f>
        <v>12861.979483890849</v>
      </c>
      <c r="R49" s="155">
        <f t="shared" ca="1" si="7"/>
        <v>0.65515380419166913</v>
      </c>
      <c r="S49" s="81">
        <f ca="1">'43'!$F$103*'Discipline Analysis'!B49</f>
        <v>0</v>
      </c>
      <c r="T49" s="155">
        <f t="shared" ca="1" si="8"/>
        <v>0</v>
      </c>
      <c r="U49" s="81">
        <f ca="1">'43'!$F$104*'Discipline Analysis'!B49</f>
        <v>12858.295225761318</v>
      </c>
      <c r="V49" s="158">
        <f t="shared" ca="1" si="9"/>
        <v>0.65496613823152594</v>
      </c>
    </row>
    <row r="50" spans="1:22" x14ac:dyDescent="0.2">
      <c r="A50" s="98" t="s">
        <v>1061</v>
      </c>
      <c r="B50" s="89">
        <f ca="1">OFFSET('44'!$D$4,$A$3,0)</f>
        <v>60832</v>
      </c>
      <c r="C50" s="81">
        <f ca="1">OFFSET('44'!$E$4,$A$3,0)</f>
        <v>475345.25559578429</v>
      </c>
      <c r="D50" s="155">
        <f t="shared" ca="1" si="0"/>
        <v>7.814065879730804</v>
      </c>
      <c r="E50" s="81">
        <f ca="1">OFFSET('44'!$E$66,$A$3,0)</f>
        <v>227129</v>
      </c>
      <c r="F50" s="155">
        <f t="shared" ca="1" si="1"/>
        <v>3.7337092319831666</v>
      </c>
      <c r="G50" s="81">
        <f ca="1">'44'!$F$100*B50</f>
        <v>60360.609587936262</v>
      </c>
      <c r="H50" s="155">
        <f t="shared" ca="1" si="2"/>
        <v>0.99225094667175606</v>
      </c>
      <c r="I50" s="81">
        <f ca="1">'44'!$F$98*'Discipline Analysis'!B50</f>
        <v>47961.351273914341</v>
      </c>
      <c r="J50" s="155">
        <f t="shared" ca="1" si="3"/>
        <v>0.78842305487102748</v>
      </c>
      <c r="K50" s="81">
        <f ca="1">'44'!$F$99*'Discipline Analysis'!B50</f>
        <v>35437.849396009311</v>
      </c>
      <c r="L50" s="155">
        <f t="shared" ca="1" si="4"/>
        <v>0.58255275835102105</v>
      </c>
      <c r="M50" s="81">
        <f ca="1">OFFSET('44'!$E$35,$A$3,0)</f>
        <v>69931</v>
      </c>
      <c r="N50" s="155">
        <f t="shared" ca="1" si="5"/>
        <v>1.1495758811152026</v>
      </c>
      <c r="O50" s="81">
        <f ca="1">'44'!$F$101*'Discipline Analysis'!B50</f>
        <v>0</v>
      </c>
      <c r="P50" s="155">
        <f t="shared" ca="1" si="6"/>
        <v>0</v>
      </c>
      <c r="Q50" s="81">
        <f ca="1">'44'!$F$102*'Discipline Analysis'!B50</f>
        <v>21.309074686585504</v>
      </c>
      <c r="R50" s="155">
        <f t="shared" ca="1" si="7"/>
        <v>3.5029383690468016E-4</v>
      </c>
      <c r="S50" s="81">
        <f ca="1">'44'!$F$103*'Discipline Analysis'!B50</f>
        <v>9966.4938770447334</v>
      </c>
      <c r="T50" s="155">
        <f t="shared" ca="1" si="8"/>
        <v>0.16383636699508045</v>
      </c>
      <c r="U50" s="81">
        <f ca="1">'44'!$F$104*'Discipline Analysis'!B50</f>
        <v>24537.642386193096</v>
      </c>
      <c r="V50" s="158">
        <f t="shared" ca="1" si="9"/>
        <v>0.40336734590664614</v>
      </c>
    </row>
    <row r="51" spans="1:22" x14ac:dyDescent="0.2">
      <c r="A51" s="98" t="s">
        <v>1026</v>
      </c>
      <c r="B51" s="89">
        <f ca="1">OFFSET('45'!$D$4,$A$3,0)</f>
        <v>37040</v>
      </c>
      <c r="C51" s="81">
        <f ca="1">OFFSET('45'!$E$4,$A$3,0)</f>
        <v>232778.08650373257</v>
      </c>
      <c r="D51" s="155">
        <f t="shared" ca="1" si="0"/>
        <v>6.2845055751547667</v>
      </c>
      <c r="E51" s="81">
        <f ca="1">OFFSET('45'!$E$66,$A$3,0)</f>
        <v>51829</v>
      </c>
      <c r="F51" s="155">
        <f t="shared" ca="1" si="1"/>
        <v>1.3992710583153347</v>
      </c>
      <c r="G51" s="81">
        <f ca="1">'45'!$F$100*B51</f>
        <v>14099.690285743172</v>
      </c>
      <c r="H51" s="155">
        <f t="shared" ca="1" si="2"/>
        <v>0.38066118482028005</v>
      </c>
      <c r="I51" s="81">
        <f ca="1">'45'!$F$98*'Discipline Analysis'!B51</f>
        <v>47607.393021845004</v>
      </c>
      <c r="J51" s="155">
        <f t="shared" ca="1" si="3"/>
        <v>1.2852967878467874</v>
      </c>
      <c r="K51" s="81">
        <f ca="1">'45'!$F$99*'Discipline Analysis'!B51</f>
        <v>42360.883686182431</v>
      </c>
      <c r="L51" s="155">
        <f t="shared" ca="1" si="4"/>
        <v>1.1436523673375387</v>
      </c>
      <c r="M51" s="81">
        <f ca="1">OFFSET('45'!$E$35,$A$3,0)</f>
        <v>37189</v>
      </c>
      <c r="N51" s="155">
        <f t="shared" ca="1" si="5"/>
        <v>1.0040226781857451</v>
      </c>
      <c r="O51" s="81">
        <f ca="1">'45'!$F$101*'Discipline Analysis'!B51</f>
        <v>0</v>
      </c>
      <c r="P51" s="155">
        <f t="shared" ca="1" si="6"/>
        <v>0</v>
      </c>
      <c r="Q51" s="81">
        <f ca="1">'45'!$F$102*'Discipline Analysis'!B51</f>
        <v>8699.757438478433</v>
      </c>
      <c r="R51" s="155">
        <f t="shared" ca="1" si="7"/>
        <v>0.23487466086604841</v>
      </c>
      <c r="S51" s="81">
        <f ca="1">'45'!$F$103*'Discipline Analysis'!B51</f>
        <v>6434.3858515843103</v>
      </c>
      <c r="T51" s="155">
        <f t="shared" ca="1" si="8"/>
        <v>0.17371452083110989</v>
      </c>
      <c r="U51" s="81">
        <f ca="1">'45'!$F$104*'Discipline Analysis'!B51</f>
        <v>24557.976219899228</v>
      </c>
      <c r="V51" s="158">
        <f t="shared" ca="1" si="9"/>
        <v>0.66301231695192298</v>
      </c>
    </row>
    <row r="52" spans="1:22" x14ac:dyDescent="0.2">
      <c r="A52" s="98" t="s">
        <v>1051</v>
      </c>
      <c r="B52" s="89">
        <f ca="1">OFFSET('46'!$D$4,$A$3,0)</f>
        <v>9952</v>
      </c>
      <c r="C52" s="81">
        <f ca="1">OFFSET('46'!$E$4,$A$3,0)</f>
        <v>96300.967696330059</v>
      </c>
      <c r="D52" s="155">
        <f t="shared" ca="1" si="0"/>
        <v>9.6765441817051911</v>
      </c>
      <c r="E52" s="81">
        <f ca="1">OFFSET('46'!$E$66,$A$3,0)</f>
        <v>45531</v>
      </c>
      <c r="F52" s="155">
        <f t="shared" ca="1" si="1"/>
        <v>4.5750602893890679</v>
      </c>
      <c r="G52" s="81">
        <f ca="1">'46'!$F$100*B52</f>
        <v>13720.71259714</v>
      </c>
      <c r="H52" s="155">
        <f t="shared" ca="1" si="2"/>
        <v>1.3786889667544213</v>
      </c>
      <c r="I52" s="81">
        <f ca="1">'46'!$F$98*'Discipline Analysis'!B52</f>
        <v>15146.556638526059</v>
      </c>
      <c r="J52" s="155">
        <f t="shared" ca="1" si="3"/>
        <v>1.5219610770223131</v>
      </c>
      <c r="K52" s="81">
        <f ca="1">'46'!$F$99*'Discipline Analysis'!B52</f>
        <v>8009.2296199841549</v>
      </c>
      <c r="L52" s="155">
        <f t="shared" ca="1" si="4"/>
        <v>0.80478593448393843</v>
      </c>
      <c r="M52" s="81">
        <f ca="1">OFFSET('46'!$E$35,$A$3,0)</f>
        <v>9746</v>
      </c>
      <c r="N52" s="155">
        <f t="shared" ca="1" si="5"/>
        <v>0.97930064308681675</v>
      </c>
      <c r="O52" s="81">
        <f ca="1">'46'!$F$101*'Discipline Analysis'!B52</f>
        <v>0</v>
      </c>
      <c r="P52" s="155">
        <f t="shared" ca="1" si="6"/>
        <v>0</v>
      </c>
      <c r="Q52" s="81">
        <f ca="1">'46'!$F$102*'Discipline Analysis'!B52</f>
        <v>0</v>
      </c>
      <c r="R52" s="155">
        <f t="shared" ca="1" si="7"/>
        <v>0</v>
      </c>
      <c r="S52" s="81">
        <f ca="1">'46'!$F$103*'Discipline Analysis'!B52</f>
        <v>484.27690549474949</v>
      </c>
      <c r="T52" s="155">
        <f t="shared" ca="1" si="8"/>
        <v>4.8661264619649265E-2</v>
      </c>
      <c r="U52" s="81">
        <f ca="1">'46'!$F$104*'Discipline Analysis'!B52</f>
        <v>3663.1919351850902</v>
      </c>
      <c r="V52" s="158">
        <f t="shared" ca="1" si="9"/>
        <v>0.36808600634898414</v>
      </c>
    </row>
    <row r="53" spans="1:22" x14ac:dyDescent="0.2">
      <c r="A53" s="98" t="s">
        <v>1052</v>
      </c>
      <c r="B53" s="89">
        <f ca="1">OFFSET('47'!$D$4,$A$3,0)</f>
        <v>10944</v>
      </c>
      <c r="C53" s="81">
        <f ca="1">OFFSET('47'!$E$4,$A$3,0)</f>
        <v>97464.933023710968</v>
      </c>
      <c r="D53" s="155">
        <f t="shared" ca="1" si="0"/>
        <v>8.90578700874552</v>
      </c>
      <c r="E53" s="81">
        <f ca="1">OFFSET('47'!$E$66,$A$3,0)</f>
        <v>33805</v>
      </c>
      <c r="F53" s="155">
        <f t="shared" ca="1" si="1"/>
        <v>3.0889071637426899</v>
      </c>
      <c r="G53" s="81">
        <f ca="1">'47'!$F$100*B53</f>
        <v>11784.53449043008</v>
      </c>
      <c r="H53" s="155">
        <f t="shared" ca="1" si="2"/>
        <v>1.0768032246372514</v>
      </c>
      <c r="I53" s="81">
        <f ca="1">'47'!$F$98*'Discipline Analysis'!B53</f>
        <v>24496.949317038288</v>
      </c>
      <c r="J53" s="155">
        <f t="shared" ca="1" si="3"/>
        <v>2.2383908367176799</v>
      </c>
      <c r="K53" s="81">
        <f ca="1">'47'!$F$99*'Discipline Analysis'!B53</f>
        <v>8937.0655615402811</v>
      </c>
      <c r="L53" s="155">
        <f t="shared" ca="1" si="4"/>
        <v>0.8166178327430812</v>
      </c>
      <c r="M53" s="81">
        <f ca="1">OFFSET('47'!$E$35,$A$3,0)</f>
        <v>5581</v>
      </c>
      <c r="N53" s="155">
        <f t="shared" ca="1" si="5"/>
        <v>0.50995979532163738</v>
      </c>
      <c r="O53" s="81">
        <f ca="1">'47'!$F$101*'Discipline Analysis'!B53</f>
        <v>0</v>
      </c>
      <c r="P53" s="155">
        <f t="shared" ca="1" si="6"/>
        <v>0</v>
      </c>
      <c r="Q53" s="81">
        <f ca="1">'47'!$F$102*'Discipline Analysis'!B53</f>
        <v>2692.6106125748684</v>
      </c>
      <c r="R53" s="155">
        <f t="shared" ca="1" si="7"/>
        <v>0.24603532644141707</v>
      </c>
      <c r="S53" s="81">
        <f ca="1">'47'!$F$103*'Discipline Analysis'!B53</f>
        <v>3982.8351461950015</v>
      </c>
      <c r="T53" s="155">
        <f t="shared" ca="1" si="8"/>
        <v>0.36392865005436781</v>
      </c>
      <c r="U53" s="81">
        <f ca="1">'47'!$F$104*'Discipline Analysis'!B53</f>
        <v>6184.9378959324422</v>
      </c>
      <c r="V53" s="158">
        <f t="shared" ca="1" si="9"/>
        <v>0.56514417908739423</v>
      </c>
    </row>
    <row r="54" spans="1:22" x14ac:dyDescent="0.2">
      <c r="A54" s="98" t="s">
        <v>1053</v>
      </c>
      <c r="B54" s="89">
        <f ca="1">OFFSET('48'!$D$4,$A$3,0)</f>
        <v>31072</v>
      </c>
      <c r="C54" s="81">
        <f ca="1">OFFSET('48'!$E$4,$A$3,0)</f>
        <v>350685.46049001405</v>
      </c>
      <c r="D54" s="155">
        <f t="shared" ca="1" si="0"/>
        <v>11.286221050785725</v>
      </c>
      <c r="E54" s="81">
        <f ca="1">OFFSET('48'!$E$66,$A$3,0)</f>
        <v>113207</v>
      </c>
      <c r="F54" s="155">
        <f t="shared" ca="1" si="1"/>
        <v>3.6433766735324409</v>
      </c>
      <c r="G54" s="81">
        <f ca="1">'48'!$F$100*B54</f>
        <v>19349.991701869272</v>
      </c>
      <c r="H54" s="155">
        <f t="shared" ca="1" si="2"/>
        <v>0.62274690080681228</v>
      </c>
      <c r="I54" s="81">
        <f ca="1">'48'!$F$98*'Discipline Analysis'!B54</f>
        <v>74367.88784607382</v>
      </c>
      <c r="J54" s="155">
        <f t="shared" ca="1" si="3"/>
        <v>2.393405247363344</v>
      </c>
      <c r="K54" s="81">
        <f ca="1">'48'!$F$99*'Discipline Analysis'!B54</f>
        <v>22122.001533645365</v>
      </c>
      <c r="L54" s="155">
        <f t="shared" ca="1" si="4"/>
        <v>0.71195936964615625</v>
      </c>
      <c r="M54" s="81">
        <f ca="1">OFFSET('48'!$E$35,$A$3,0)</f>
        <v>105192</v>
      </c>
      <c r="N54" s="155">
        <f t="shared" ca="1" si="5"/>
        <v>3.385427394438723</v>
      </c>
      <c r="O54" s="81">
        <f ca="1">'48'!$F$101*'Discipline Analysis'!B54</f>
        <v>0</v>
      </c>
      <c r="P54" s="155">
        <f t="shared" ca="1" si="6"/>
        <v>0</v>
      </c>
      <c r="Q54" s="81">
        <f ca="1">'48'!$F$102*'Discipline Analysis'!B54</f>
        <v>0</v>
      </c>
      <c r="R54" s="155">
        <f t="shared" ca="1" si="7"/>
        <v>0</v>
      </c>
      <c r="S54" s="81">
        <f ca="1">'48'!$F$103*'Discipline Analysis'!B54</f>
        <v>7119.3427092306911</v>
      </c>
      <c r="T54" s="155">
        <f t="shared" ca="1" si="8"/>
        <v>0.22912405732591051</v>
      </c>
      <c r="U54" s="81">
        <f ca="1">'48'!$F$104*'Discipline Analysis'!B54</f>
        <v>9327.2366991948948</v>
      </c>
      <c r="V54" s="158">
        <f t="shared" ca="1" si="9"/>
        <v>0.30018140767233825</v>
      </c>
    </row>
    <row r="55" spans="1:22" x14ac:dyDescent="0.2">
      <c r="A55" s="98" t="s">
        <v>1054</v>
      </c>
      <c r="B55" s="89">
        <f ca="1">OFFSET('49'!$D$4,$A$3,0)</f>
        <v>64736</v>
      </c>
      <c r="C55" s="81">
        <f ca="1">OFFSET('49'!$E$4,$A$3,0)</f>
        <v>492843.84250126162</v>
      </c>
      <c r="D55" s="155">
        <f t="shared" ca="1" si="0"/>
        <v>7.6131339981040167</v>
      </c>
      <c r="E55" s="81">
        <f ca="1">OFFSET('49'!$E$66,$A$3,0)</f>
        <v>218074</v>
      </c>
      <c r="F55" s="155">
        <f t="shared" ca="1" si="1"/>
        <v>3.368666584280771</v>
      </c>
      <c r="G55" s="81">
        <f ca="1">'49'!$F$100*B55</f>
        <v>30533.101252465938</v>
      </c>
      <c r="H55" s="155">
        <f t="shared" ca="1" si="2"/>
        <v>0.47165566690042537</v>
      </c>
      <c r="I55" s="81">
        <f ca="1">'49'!$F$98*'Discipline Analysis'!B55</f>
        <v>135438.68257099602</v>
      </c>
      <c r="J55" s="155">
        <f t="shared" ca="1" si="3"/>
        <v>2.0921694663092563</v>
      </c>
      <c r="K55" s="81">
        <f ca="1">'49'!$F$99*'Discipline Analysis'!B55</f>
        <v>30447.131807129423</v>
      </c>
      <c r="L55" s="155">
        <f t="shared" ca="1" si="4"/>
        <v>0.47032766632367495</v>
      </c>
      <c r="M55" s="81">
        <f ca="1">OFFSET('49'!$E$35,$A$3,0)</f>
        <v>37949</v>
      </c>
      <c r="N55" s="155">
        <f t="shared" ca="1" si="5"/>
        <v>0.58621169055857636</v>
      </c>
      <c r="O55" s="81">
        <f ca="1">'49'!$F$101*'Discipline Analysis'!B55</f>
        <v>0</v>
      </c>
      <c r="P55" s="155">
        <f t="shared" ca="1" si="6"/>
        <v>0</v>
      </c>
      <c r="Q55" s="81">
        <f ca="1">'49'!$F$102*'Discipline Analysis'!B55</f>
        <v>20205.630499610037</v>
      </c>
      <c r="R55" s="155">
        <f t="shared" ca="1" si="7"/>
        <v>0.312123555666245</v>
      </c>
      <c r="S55" s="81">
        <f ca="1">'49'!$F$103*'Discipline Analysis'!B55</f>
        <v>1263.4485479653163</v>
      </c>
      <c r="T55" s="155">
        <f t="shared" ca="1" si="8"/>
        <v>1.9516938766147372E-2</v>
      </c>
      <c r="U55" s="81">
        <f ca="1">'49'!$F$104*'Discipline Analysis'!B55</f>
        <v>18932.847823094922</v>
      </c>
      <c r="V55" s="158">
        <f t="shared" ca="1" si="9"/>
        <v>0.29246242929892058</v>
      </c>
    </row>
    <row r="56" spans="1:22" x14ac:dyDescent="0.2">
      <c r="A56" s="98" t="s">
        <v>1062</v>
      </c>
      <c r="B56" s="89">
        <f ca="1">OFFSET('50'!$D$4,$A$3,0)</f>
        <v>4400</v>
      </c>
      <c r="C56" s="81">
        <f ca="1">OFFSET('50'!$E$4,$A$3,0)</f>
        <v>50538.166631313688</v>
      </c>
      <c r="D56" s="155">
        <f t="shared" ca="1" si="0"/>
        <v>11.485946961662203</v>
      </c>
      <c r="E56" s="81">
        <f ca="1">OFFSET('50'!$E$66,$A$3,0)</f>
        <v>25343</v>
      </c>
      <c r="F56" s="155">
        <f t="shared" ca="1" si="1"/>
        <v>5.7597727272727273</v>
      </c>
      <c r="G56" s="81">
        <f ca="1">'50'!$F$100*B56</f>
        <v>3156.0146955260097</v>
      </c>
      <c r="H56" s="155">
        <f t="shared" ca="1" si="2"/>
        <v>0.71727606716500225</v>
      </c>
      <c r="I56" s="81">
        <f ca="1">'50'!$F$98*'Discipline Analysis'!B56</f>
        <v>8219.0382745484003</v>
      </c>
      <c r="J56" s="155">
        <f t="shared" ca="1" si="3"/>
        <v>1.8679632442155456</v>
      </c>
      <c r="K56" s="81">
        <f ca="1">'50'!$F$99*'Discipline Analysis'!B56</f>
        <v>2709.8809255126889</v>
      </c>
      <c r="L56" s="155">
        <f t="shared" ca="1" si="4"/>
        <v>0.61588202852561114</v>
      </c>
      <c r="M56" s="81">
        <f ca="1">OFFSET('50'!$E$35,$A$3,0)</f>
        <v>7400</v>
      </c>
      <c r="N56" s="155">
        <f t="shared" ca="1" si="5"/>
        <v>1.6818181818181819</v>
      </c>
      <c r="O56" s="81">
        <f ca="1">'50'!$F$101*'Discipline Analysis'!B56</f>
        <v>0</v>
      </c>
      <c r="P56" s="155">
        <f t="shared" ca="1" si="6"/>
        <v>0</v>
      </c>
      <c r="Q56" s="81">
        <f ca="1">'50'!$F$102*'Discipline Analysis'!B56</f>
        <v>1071.4766627919803</v>
      </c>
      <c r="R56" s="155">
        <f t="shared" ca="1" si="7"/>
        <v>0.2435174233618137</v>
      </c>
      <c r="S56" s="81">
        <f ca="1">'50'!$F$103*'Discipline Analysis'!B56</f>
        <v>1016.8230173342723</v>
      </c>
      <c r="T56" s="155">
        <f t="shared" ca="1" si="8"/>
        <v>0.23109614030324371</v>
      </c>
      <c r="U56" s="81">
        <f ca="1">'50'!$F$104*'Discipline Analysis'!B56</f>
        <v>1621.933055600336</v>
      </c>
      <c r="V56" s="158">
        <f t="shared" ca="1" si="9"/>
        <v>0.36862114900007636</v>
      </c>
    </row>
    <row r="57" spans="1:22" x14ac:dyDescent="0.2">
      <c r="A57" s="96" t="s">
        <v>928</v>
      </c>
      <c r="B57" s="89">
        <f ca="1">OFFSET('51'!$D$4,$A$3,0)</f>
        <v>28592</v>
      </c>
      <c r="C57" s="81">
        <f ca="1">OFFSET('51'!$E$4,$A$3,0)</f>
        <v>317897.80020307138</v>
      </c>
      <c r="D57" s="155">
        <f t="shared" ca="1" si="0"/>
        <v>11.11841774633014</v>
      </c>
      <c r="E57" s="81">
        <f ca="1">OFFSET('51'!$E$66,$A$3,0)</f>
        <v>86768</v>
      </c>
      <c r="F57" s="155">
        <f t="shared" ca="1" si="1"/>
        <v>3.0346950195858979</v>
      </c>
      <c r="G57" s="81">
        <f ca="1">'51'!$F$100*B57</f>
        <v>18726.906722163367</v>
      </c>
      <c r="H57" s="155">
        <f t="shared" ca="1" si="2"/>
        <v>0.65497015676284853</v>
      </c>
      <c r="I57" s="81">
        <f ca="1">'51'!$F$98*'Discipline Analysis'!B57</f>
        <v>30100.803782365139</v>
      </c>
      <c r="J57" s="155">
        <f t="shared" ca="1" si="3"/>
        <v>1.0527701378835037</v>
      </c>
      <c r="K57" s="81">
        <f ca="1">'51'!$F$99*'Discipline Analysis'!B57</f>
        <v>33484.980782653736</v>
      </c>
      <c r="L57" s="155">
        <f t="shared" ca="1" si="4"/>
        <v>1.1711311129915269</v>
      </c>
      <c r="M57" s="81">
        <f ca="1">OFFSET('51'!$E$35,$A$3,0)</f>
        <v>115580</v>
      </c>
      <c r="N57" s="155">
        <f t="shared" ca="1" si="5"/>
        <v>4.0423894795747062</v>
      </c>
      <c r="O57" s="81">
        <f ca="1">'51'!$F$101*'Discipline Analysis'!B57</f>
        <v>2027.271280286885</v>
      </c>
      <c r="P57" s="155">
        <f t="shared" ca="1" si="6"/>
        <v>7.0903444330123286E-2</v>
      </c>
      <c r="Q57" s="81">
        <f ca="1">'51'!$F$102*'Discipline Analysis'!B57</f>
        <v>15670.57492207195</v>
      </c>
      <c r="R57" s="155">
        <f t="shared" ca="1" si="7"/>
        <v>0.54807550790682535</v>
      </c>
      <c r="S57" s="81">
        <f ca="1">'51'!$F$103*'Discipline Analysis'!B57</f>
        <v>12565.816061721249</v>
      </c>
      <c r="T57" s="155">
        <f t="shared" ca="1" si="8"/>
        <v>0.43948713142561724</v>
      </c>
      <c r="U57" s="81">
        <f ca="1">'51'!$F$104*'Discipline Analysis'!B57</f>
        <v>2973.4466518090508</v>
      </c>
      <c r="V57" s="158">
        <f t="shared" ca="1" si="9"/>
        <v>0.10399575586909103</v>
      </c>
    </row>
    <row r="58" spans="1:22" x14ac:dyDescent="0.2">
      <c r="A58" s="96" t="s">
        <v>929</v>
      </c>
      <c r="B58" s="89">
        <f ca="1">OFFSET('52'!$D$4,$A$3,0)</f>
        <v>7248</v>
      </c>
      <c r="C58" s="81">
        <f ca="1">OFFSET('52'!$E$4,$A$3,0)</f>
        <v>133163.08154008118</v>
      </c>
      <c r="D58" s="155">
        <f t="shared" ca="1" si="0"/>
        <v>18.37238983720767</v>
      </c>
      <c r="E58" s="81">
        <f ca="1">OFFSET('52'!$E$66,$A$3,0)</f>
        <v>39558</v>
      </c>
      <c r="F58" s="155">
        <f t="shared" ca="1" si="1"/>
        <v>5.4577814569536427</v>
      </c>
      <c r="G58" s="81">
        <f ca="1">'52'!$F$100*B58</f>
        <v>13741.890463240992</v>
      </c>
      <c r="H58" s="155">
        <f t="shared" ca="1" si="2"/>
        <v>1.8959561897407551</v>
      </c>
      <c r="I58" s="81">
        <f ca="1">'52'!$F$98*'Discipline Analysis'!B58</f>
        <v>17180.617065779275</v>
      </c>
      <c r="J58" s="155">
        <f t="shared" ca="1" si="3"/>
        <v>2.3703941867797012</v>
      </c>
      <c r="K58" s="81">
        <f ca="1">'52'!$F$99*'Discipline Analysis'!B58</f>
        <v>24389.740355048649</v>
      </c>
      <c r="L58" s="155">
        <f t="shared" ca="1" si="4"/>
        <v>3.3650304021866235</v>
      </c>
      <c r="M58" s="81">
        <f ca="1">OFFSET('52'!$E$35,$A$3,0)</f>
        <v>22874</v>
      </c>
      <c r="N58" s="155">
        <f t="shared" ca="1" si="5"/>
        <v>3.1559050772626933</v>
      </c>
      <c r="O58" s="81">
        <f ca="1">'52'!$F$101*'Discipline Analysis'!B58</f>
        <v>0</v>
      </c>
      <c r="P58" s="155">
        <f t="shared" ca="1" si="6"/>
        <v>0</v>
      </c>
      <c r="Q58" s="81">
        <f ca="1">'52'!$F$102*'Discipline Analysis'!B58</f>
        <v>6936.7346523817596</v>
      </c>
      <c r="R58" s="155">
        <f t="shared" ca="1" si="7"/>
        <v>0.95705500170830016</v>
      </c>
      <c r="S58" s="81">
        <f ca="1">'52'!$F$103*'Discipline Analysis'!B58</f>
        <v>7292.1314085559443</v>
      </c>
      <c r="T58" s="155">
        <f t="shared" ca="1" si="8"/>
        <v>1.0060887704961292</v>
      </c>
      <c r="U58" s="81">
        <f ca="1">'52'!$F$104*'Discipline Analysis'!B58</f>
        <v>1189.9675950745402</v>
      </c>
      <c r="V58" s="158">
        <f t="shared" ca="1" si="9"/>
        <v>0.16417875207982066</v>
      </c>
    </row>
    <row r="59" spans="1:22" x14ac:dyDescent="0.2">
      <c r="A59" s="96" t="s">
        <v>930</v>
      </c>
      <c r="B59" s="89">
        <f ca="1">OFFSET('53'!$D$4,$A$3,0)</f>
        <v>0</v>
      </c>
      <c r="C59" s="81">
        <f ca="1">OFFSET('53'!$E$4,$A$3,0)</f>
        <v>0</v>
      </c>
      <c r="D59" s="155" t="str">
        <f t="shared" ca="1" si="0"/>
        <v/>
      </c>
      <c r="E59" s="81">
        <f ca="1">OFFSET('53'!$E$66,$A$3,0)</f>
        <v>0</v>
      </c>
      <c r="F59" s="155" t="str">
        <f t="shared" ca="1" si="1"/>
        <v/>
      </c>
      <c r="G59" s="81">
        <f ca="1">'53'!$F$100*B59</f>
        <v>0</v>
      </c>
      <c r="H59" s="155" t="str">
        <f t="shared" ca="1" si="2"/>
        <v/>
      </c>
      <c r="I59" s="81">
        <f ca="1">'53'!$F$98*'Discipline Analysis'!B59</f>
        <v>0</v>
      </c>
      <c r="J59" s="155" t="str">
        <f t="shared" ca="1" si="3"/>
        <v/>
      </c>
      <c r="K59" s="81">
        <f ca="1">'53'!$F$99*'Discipline Analysis'!B59</f>
        <v>0</v>
      </c>
      <c r="L59" s="155" t="str">
        <f t="shared" ca="1" si="4"/>
        <v/>
      </c>
      <c r="M59" s="81">
        <f ca="1">OFFSET('53'!$E$35,$A$3,0)</f>
        <v>0</v>
      </c>
      <c r="N59" s="155" t="str">
        <f t="shared" ca="1" si="5"/>
        <v/>
      </c>
      <c r="O59" s="81">
        <f ca="1">'53'!$F$101*'Discipline Analysis'!B59</f>
        <v>0</v>
      </c>
      <c r="P59" s="155" t="str">
        <f t="shared" ca="1" si="6"/>
        <v/>
      </c>
      <c r="Q59" s="81">
        <f ca="1">'53'!$F$102*'Discipline Analysis'!B59</f>
        <v>0</v>
      </c>
      <c r="R59" s="155" t="str">
        <f t="shared" ca="1" si="7"/>
        <v/>
      </c>
      <c r="S59" s="81">
        <f ca="1">'53'!$F$103*'Discipline Analysis'!B59</f>
        <v>0</v>
      </c>
      <c r="T59" s="155" t="str">
        <f t="shared" ca="1" si="8"/>
        <v/>
      </c>
      <c r="U59" s="81">
        <f ca="1">'53'!$F$104*'Discipline Analysis'!B59</f>
        <v>0</v>
      </c>
      <c r="V59" s="158" t="str">
        <f t="shared" ca="1" si="9"/>
        <v/>
      </c>
    </row>
    <row r="60" spans="1:22" x14ac:dyDescent="0.2">
      <c r="A60" s="96" t="s">
        <v>931</v>
      </c>
      <c r="B60" s="89">
        <f ca="1">OFFSET('54'!$D$4,$A$3,0)</f>
        <v>43328</v>
      </c>
      <c r="C60" s="81">
        <f ca="1">OFFSET('54'!$E$4,$A$3,0)</f>
        <v>587073.50664204126</v>
      </c>
      <c r="D60" s="155">
        <f t="shared" ca="1" si="0"/>
        <v>13.549517786236182</v>
      </c>
      <c r="E60" s="81">
        <f ca="1">OFFSET('54'!$E$66,$A$3,0)</f>
        <v>221409</v>
      </c>
      <c r="F60" s="155">
        <f t="shared" ca="1" si="1"/>
        <v>5.1100673929098965</v>
      </c>
      <c r="G60" s="81">
        <f ca="1">'54'!$F$100*B60</f>
        <v>50810.337590557749</v>
      </c>
      <c r="H60" s="155">
        <f t="shared" ca="1" si="2"/>
        <v>1.1726905832385004</v>
      </c>
      <c r="I60" s="81">
        <f ca="1">'54'!$F$98*'Discipline Analysis'!B60</f>
        <v>52894.912068851867</v>
      </c>
      <c r="J60" s="155">
        <f t="shared" ca="1" si="3"/>
        <v>1.220802069535909</v>
      </c>
      <c r="K60" s="81">
        <f ca="1">'54'!$F$99*'Discipline Analysis'!B60</f>
        <v>59570.132995043808</v>
      </c>
      <c r="L60" s="155">
        <f t="shared" ca="1" si="4"/>
        <v>1.3748645909122001</v>
      </c>
      <c r="M60" s="81">
        <f ca="1">OFFSET('54'!$E$35,$A$3,0)</f>
        <v>154095</v>
      </c>
      <c r="N60" s="155">
        <f t="shared" ca="1" si="5"/>
        <v>3.5564761816838995</v>
      </c>
      <c r="O60" s="81">
        <f ca="1">'54'!$F$101*'Discipline Analysis'!B60</f>
        <v>0</v>
      </c>
      <c r="P60" s="155">
        <f t="shared" ca="1" si="6"/>
        <v>0</v>
      </c>
      <c r="Q60" s="81">
        <f ca="1">'54'!$F$102*'Discipline Analysis'!B60</f>
        <v>32365.972081662097</v>
      </c>
      <c r="R60" s="155">
        <f t="shared" ca="1" si="7"/>
        <v>0.74699898637514073</v>
      </c>
      <c r="S60" s="81">
        <f ca="1">'54'!$F$103*'Discipline Analysis'!B60</f>
        <v>12007.349025489868</v>
      </c>
      <c r="T60" s="155">
        <f t="shared" ca="1" si="8"/>
        <v>0.27712677773010219</v>
      </c>
      <c r="U60" s="81">
        <f ca="1">'54'!$F$104*'Discipline Analysis'!B60</f>
        <v>3920.8028804357964</v>
      </c>
      <c r="V60" s="158">
        <f t="shared" ca="1" si="9"/>
        <v>9.0491203850530749E-2</v>
      </c>
    </row>
    <row r="61" spans="1:22" x14ac:dyDescent="0.2">
      <c r="A61" s="96" t="s">
        <v>932</v>
      </c>
      <c r="B61" s="89">
        <f ca="1">OFFSET('55'!$D$4,$A$3,0)</f>
        <v>0</v>
      </c>
      <c r="C61" s="81">
        <f ca="1">OFFSET('55'!$E$4,$A$3,0)</f>
        <v>0</v>
      </c>
      <c r="D61" s="155" t="str">
        <f t="shared" ca="1" si="0"/>
        <v/>
      </c>
      <c r="E61" s="81">
        <f ca="1">OFFSET('55'!$E$66,$A$3,0)</f>
        <v>0</v>
      </c>
      <c r="F61" s="155" t="str">
        <f t="shared" ca="1" si="1"/>
        <v/>
      </c>
      <c r="G61" s="81">
        <f ca="1">'55'!$F$100*B61</f>
        <v>0</v>
      </c>
      <c r="H61" s="155" t="str">
        <f t="shared" ca="1" si="2"/>
        <v/>
      </c>
      <c r="I61" s="81">
        <f ca="1">'55'!$F$98*'Discipline Analysis'!B61</f>
        <v>0</v>
      </c>
      <c r="J61" s="155" t="str">
        <f t="shared" ca="1" si="3"/>
        <v/>
      </c>
      <c r="K61" s="81">
        <f ca="1">'55'!$F$99*'Discipline Analysis'!B61</f>
        <v>0</v>
      </c>
      <c r="L61" s="155" t="str">
        <f t="shared" ca="1" si="4"/>
        <v/>
      </c>
      <c r="M61" s="81">
        <f ca="1">OFFSET('55'!$E$35,$A$3,0)</f>
        <v>0</v>
      </c>
      <c r="N61" s="155" t="str">
        <f t="shared" ca="1" si="5"/>
        <v/>
      </c>
      <c r="O61" s="81">
        <f ca="1">'55'!$F$101*'Discipline Analysis'!B61</f>
        <v>0</v>
      </c>
      <c r="P61" s="155" t="str">
        <f t="shared" ca="1" si="6"/>
        <v/>
      </c>
      <c r="Q61" s="81">
        <f ca="1">'55'!$F$102*'Discipline Analysis'!B61</f>
        <v>0</v>
      </c>
      <c r="R61" s="155" t="str">
        <f t="shared" ca="1" si="7"/>
        <v/>
      </c>
      <c r="S61" s="81">
        <f ca="1">'55'!$F$103*'Discipline Analysis'!B61</f>
        <v>0</v>
      </c>
      <c r="T61" s="155" t="str">
        <f t="shared" ca="1" si="8"/>
        <v/>
      </c>
      <c r="U61" s="81">
        <f ca="1">'55'!$F$104*'Discipline Analysis'!B61</f>
        <v>0</v>
      </c>
      <c r="V61" s="158" t="str">
        <f t="shared" ca="1" si="9"/>
        <v/>
      </c>
    </row>
    <row r="62" spans="1:22" x14ac:dyDescent="0.2">
      <c r="A62" s="96" t="s">
        <v>933</v>
      </c>
      <c r="B62" s="89">
        <f ca="1">OFFSET('56'!$D$4,$A$3,0)</f>
        <v>1040</v>
      </c>
      <c r="C62" s="81">
        <f ca="1">OFFSET('56'!$E$4,$A$3,0)</f>
        <v>11585.060745403391</v>
      </c>
      <c r="D62" s="155">
        <f t="shared" ca="1" si="0"/>
        <v>11.139481485964799</v>
      </c>
      <c r="E62" s="81">
        <f ca="1">OFFSET('56'!$E$66,$A$3,0)</f>
        <v>3229</v>
      </c>
      <c r="F62" s="155">
        <f t="shared" ca="1" si="1"/>
        <v>3.1048076923076922</v>
      </c>
      <c r="G62" s="81">
        <f ca="1">'56'!$F$100*B62</f>
        <v>1897.9222442487039</v>
      </c>
      <c r="H62" s="155">
        <f t="shared" ca="1" si="2"/>
        <v>1.8249252348545231</v>
      </c>
      <c r="I62" s="81">
        <f ca="1">'56'!$F$98*'Discipline Analysis'!B62</f>
        <v>1952.2148876308815</v>
      </c>
      <c r="J62" s="155">
        <f t="shared" ca="1" si="3"/>
        <v>1.8771296996450784</v>
      </c>
      <c r="K62" s="81">
        <f ca="1">'56'!$F$99*'Discipline Analysis'!B62</f>
        <v>1080.6650180866934</v>
      </c>
      <c r="L62" s="155">
        <f t="shared" ca="1" si="4"/>
        <v>1.0391009789295129</v>
      </c>
      <c r="M62" s="81">
        <f ca="1">OFFSET('56'!$E$35,$A$3,0)</f>
        <v>1995</v>
      </c>
      <c r="N62" s="155">
        <f t="shared" ca="1" si="5"/>
        <v>1.9182692307692308</v>
      </c>
      <c r="O62" s="81">
        <f ca="1">'56'!$F$101*'Discipline Analysis'!B62</f>
        <v>0</v>
      </c>
      <c r="P62" s="155">
        <f t="shared" ca="1" si="6"/>
        <v>0</v>
      </c>
      <c r="Q62" s="81">
        <f ca="1">'56'!$F$102*'Discipline Analysis'!B62</f>
        <v>395.7590620806169</v>
      </c>
      <c r="R62" s="155">
        <f t="shared" ca="1" si="7"/>
        <v>0.38053755969290087</v>
      </c>
      <c r="S62" s="81">
        <f ca="1">'56'!$F$103*'Discipline Analysis'!B62</f>
        <v>0</v>
      </c>
      <c r="T62" s="155">
        <f t="shared" ca="1" si="8"/>
        <v>0</v>
      </c>
      <c r="U62" s="81">
        <f ca="1">'56'!$F$104*'Discipline Analysis'!B62</f>
        <v>1034.4995333564952</v>
      </c>
      <c r="V62" s="158">
        <f t="shared" ca="1" si="9"/>
        <v>0.99471108976586087</v>
      </c>
    </row>
    <row r="63" spans="1:22" x14ac:dyDescent="0.2">
      <c r="A63" s="77" t="s">
        <v>934</v>
      </c>
      <c r="B63" s="89">
        <f ca="1">OFFSET('57'!$D$4,$A$3,0)</f>
        <v>0</v>
      </c>
      <c r="C63" s="81">
        <f ca="1">OFFSET('57'!$E$4,$A$3,0)</f>
        <v>0</v>
      </c>
      <c r="D63" s="155" t="str">
        <f t="shared" ca="1" si="0"/>
        <v/>
      </c>
      <c r="E63" s="81">
        <f ca="1">OFFSET('57'!$E$66,$A$3,0)</f>
        <v>0</v>
      </c>
      <c r="F63" s="155" t="str">
        <f t="shared" ca="1" si="1"/>
        <v/>
      </c>
      <c r="G63" s="81">
        <f ca="1">'57'!$F$100*B63</f>
        <v>0</v>
      </c>
      <c r="H63" s="155" t="str">
        <f t="shared" ca="1" si="2"/>
        <v/>
      </c>
      <c r="I63" s="81">
        <f ca="1">'57'!$F$98*'Discipline Analysis'!B63</f>
        <v>0</v>
      </c>
      <c r="J63" s="155" t="str">
        <f t="shared" ca="1" si="3"/>
        <v/>
      </c>
      <c r="K63" s="81">
        <f ca="1">'57'!$F$99*'Discipline Analysis'!B63</f>
        <v>0</v>
      </c>
      <c r="L63" s="155" t="str">
        <f t="shared" ca="1" si="4"/>
        <v/>
      </c>
      <c r="M63" s="81">
        <f ca="1">OFFSET('57'!$E$35,$A$3,0)</f>
        <v>0</v>
      </c>
      <c r="N63" s="155" t="str">
        <f t="shared" ca="1" si="5"/>
        <v/>
      </c>
      <c r="O63" s="81">
        <f ca="1">'57'!$F$101*'Discipline Analysis'!B63</f>
        <v>0</v>
      </c>
      <c r="P63" s="155" t="str">
        <f t="shared" ca="1" si="6"/>
        <v/>
      </c>
      <c r="Q63" s="81">
        <f ca="1">'57'!$F$102*'Discipline Analysis'!B63</f>
        <v>0</v>
      </c>
      <c r="R63" s="155" t="str">
        <f t="shared" ca="1" si="7"/>
        <v/>
      </c>
      <c r="S63" s="81">
        <f ca="1">'57'!$F$103*'Discipline Analysis'!B63</f>
        <v>0</v>
      </c>
      <c r="T63" s="155" t="str">
        <f t="shared" ca="1" si="8"/>
        <v/>
      </c>
      <c r="U63" s="81">
        <f ca="1">'57'!$F$104*'Discipline Analysis'!B63</f>
        <v>0</v>
      </c>
      <c r="V63" s="158" t="str">
        <f t="shared" ca="1" si="9"/>
        <v/>
      </c>
    </row>
    <row r="64" spans="1:22" ht="15" thickBot="1" x14ac:dyDescent="0.25">
      <c r="A64" s="86" t="s">
        <v>35</v>
      </c>
      <c r="B64" s="84">
        <f ca="1">OFFSET(Summary!$D$4,$A$3,0)</f>
        <v>1622682</v>
      </c>
      <c r="C64" s="83">
        <f ca="1">OFFSET(Summary!$E$4,$A$3,0)</f>
        <v>14698531.072333621</v>
      </c>
      <c r="D64" s="156">
        <f t="shared" ca="1" si="0"/>
        <v>9.0581710232403019</v>
      </c>
      <c r="E64" s="83">
        <f ca="1">OFFSET(Summary!$E$66,$A$3,0)</f>
        <v>5259237</v>
      </c>
      <c r="F64" s="156">
        <f t="shared" ca="1" si="1"/>
        <v>3.2410768098740235</v>
      </c>
      <c r="G64" s="83">
        <f ca="1">Summary!$F$100*B64</f>
        <v>1297635.5924951807</v>
      </c>
      <c r="H64" s="156">
        <f t="shared" ca="1" si="2"/>
        <v>0.79968570089221469</v>
      </c>
      <c r="I64" s="83">
        <f ca="1">Summary!$F$98*'Discipline Analysis'!B64</f>
        <v>2510641.6242565224</v>
      </c>
      <c r="J64" s="156">
        <f t="shared" ca="1" si="3"/>
        <v>1.5472172762479171</v>
      </c>
      <c r="K64" s="83">
        <f ca="1">Summary!$F$99*'Discipline Analysis'!B64</f>
        <v>1411934.1209670741</v>
      </c>
      <c r="L64" s="156">
        <f t="shared" ca="1" si="4"/>
        <v>0.87012373402001997</v>
      </c>
      <c r="M64" s="83">
        <f ca="1">OFFSET(Summary!$E$35,$A$3,0)</f>
        <v>3193312</v>
      </c>
      <c r="N64" s="156">
        <f t="shared" ca="1" si="5"/>
        <v>1.9679222423124185</v>
      </c>
      <c r="O64" s="83">
        <f ca="1">Summary!$F$101*'Discipline Analysis'!B64</f>
        <v>2885.5977237069751</v>
      </c>
      <c r="P64" s="156">
        <f t="shared" ca="1" si="6"/>
        <v>1.7782891063726442E-3</v>
      </c>
      <c r="Q64" s="83">
        <f ca="1">Summary!$F$102*'Discipline Analysis'!B64</f>
        <v>113838.03864072397</v>
      </c>
      <c r="R64" s="156">
        <f t="shared" ca="1" si="7"/>
        <v>7.0154249964394733E-2</v>
      </c>
      <c r="S64" s="83">
        <f ca="1">Summary!$F$103*'Discipline Analysis'!B64</f>
        <v>298090.19603234867</v>
      </c>
      <c r="T64" s="156">
        <f t="shared" ca="1" si="8"/>
        <v>0.18370216470777925</v>
      </c>
      <c r="U64" s="82">
        <f ca="1">Summary!$F$104*'Discipline Analysis'!B64</f>
        <v>610956.90221806511</v>
      </c>
      <c r="V64" s="159">
        <f t="shared" ca="1" si="9"/>
        <v>0.3765105561151631</v>
      </c>
    </row>
    <row r="65" spans="2:22" x14ac:dyDescent="0.2">
      <c r="C65" s="3"/>
      <c r="D65" s="3"/>
      <c r="E65" s="3"/>
      <c r="F65" s="3"/>
      <c r="G65" s="3"/>
      <c r="H65" s="3"/>
      <c r="I65" s="3"/>
      <c r="J65" s="3"/>
      <c r="K65" s="3"/>
      <c r="L65" s="3"/>
      <c r="M65" s="3"/>
      <c r="N65" s="3"/>
      <c r="O65" s="3"/>
      <c r="P65" s="3"/>
      <c r="Q65" s="3"/>
      <c r="R65" s="3"/>
      <c r="S65" s="3"/>
      <c r="T65" s="3"/>
      <c r="U65" s="3"/>
      <c r="V65" s="3"/>
    </row>
    <row r="66" spans="2:22" ht="15" customHeight="1" x14ac:dyDescent="0.2">
      <c r="C66" s="66"/>
      <c r="G66" s="66"/>
      <c r="I66" s="66"/>
      <c r="K66" s="66"/>
      <c r="M66" s="66"/>
      <c r="O66" s="66"/>
      <c r="Q66" s="66"/>
      <c r="S66" s="66"/>
      <c r="U66" s="66"/>
    </row>
    <row r="80" spans="2:22" x14ac:dyDescent="0.2">
      <c r="B80" s="91"/>
      <c r="C80" s="91"/>
      <c r="D80" s="91"/>
      <c r="E80" s="91"/>
      <c r="F80" s="91"/>
      <c r="G80" s="91"/>
      <c r="H80" s="91"/>
      <c r="I80" s="91"/>
      <c r="J80" s="91"/>
      <c r="K80" s="91"/>
      <c r="L80" s="91"/>
      <c r="M80" s="91"/>
      <c r="N80" s="91"/>
      <c r="O80" s="91"/>
      <c r="P80" s="91"/>
      <c r="Q80" s="91"/>
      <c r="R80" s="91"/>
      <c r="S80" s="91"/>
      <c r="T80" s="91"/>
      <c r="U80" s="91"/>
      <c r="V80" s="91"/>
    </row>
    <row r="81" spans="2:21" x14ac:dyDescent="0.2">
      <c r="B81" s="92"/>
      <c r="C81" s="92"/>
      <c r="D81" s="92"/>
      <c r="E81" s="92"/>
      <c r="F81" s="92"/>
      <c r="G81" s="92"/>
      <c r="H81" s="92"/>
      <c r="I81" s="92"/>
      <c r="K81" s="92"/>
      <c r="L81" s="92"/>
      <c r="M81" s="92"/>
      <c r="N81" s="92"/>
      <c r="O81" s="92"/>
      <c r="P81" s="92"/>
      <c r="Q81" s="92"/>
      <c r="R81" s="92"/>
      <c r="S81" s="92"/>
      <c r="U81" s="92"/>
    </row>
    <row r="82" spans="2:21" x14ac:dyDescent="0.2">
      <c r="B82" s="92"/>
      <c r="C82" s="92"/>
      <c r="D82" s="92"/>
      <c r="E82" s="92"/>
      <c r="F82" s="92"/>
      <c r="G82" s="92"/>
      <c r="H82" s="92"/>
      <c r="I82" s="92"/>
      <c r="K82" s="92"/>
      <c r="L82" s="92"/>
      <c r="M82" s="92"/>
      <c r="N82" s="92"/>
      <c r="O82" s="92"/>
      <c r="P82" s="92"/>
      <c r="Q82" s="92"/>
      <c r="R82" s="92"/>
      <c r="S82" s="92"/>
      <c r="U82" s="92"/>
    </row>
    <row r="83" spans="2:21" x14ac:dyDescent="0.2">
      <c r="B83" s="92"/>
      <c r="C83" s="92"/>
      <c r="D83" s="92"/>
      <c r="E83" s="92"/>
      <c r="F83" s="92"/>
      <c r="G83" s="92"/>
      <c r="H83" s="92"/>
      <c r="I83" s="92"/>
      <c r="K83" s="92"/>
      <c r="L83" s="92"/>
      <c r="M83" s="92"/>
      <c r="N83" s="92"/>
      <c r="O83" s="92"/>
      <c r="P83" s="92"/>
      <c r="Q83" s="92"/>
      <c r="R83" s="92"/>
      <c r="S83" s="92"/>
      <c r="U83" s="92"/>
    </row>
    <row r="84" spans="2:21" x14ac:dyDescent="0.2">
      <c r="B84" s="92"/>
      <c r="C84" s="92"/>
      <c r="D84" s="92"/>
      <c r="E84" s="92"/>
      <c r="F84" s="92"/>
      <c r="G84" s="92"/>
      <c r="H84" s="92"/>
      <c r="I84" s="92"/>
      <c r="K84" s="92"/>
      <c r="L84" s="92"/>
      <c r="M84" s="92"/>
      <c r="N84" s="92"/>
      <c r="O84" s="92"/>
      <c r="P84" s="92"/>
      <c r="Q84" s="92"/>
      <c r="R84" s="92"/>
      <c r="S84" s="92"/>
      <c r="U84" s="92"/>
    </row>
    <row r="85" spans="2:21" x14ac:dyDescent="0.2">
      <c r="B85" s="92"/>
      <c r="C85" s="92"/>
      <c r="D85" s="92"/>
      <c r="E85" s="92"/>
      <c r="F85" s="92"/>
      <c r="G85" s="92"/>
      <c r="H85" s="92"/>
      <c r="I85" s="92"/>
      <c r="K85" s="92"/>
      <c r="L85" s="92"/>
      <c r="M85" s="92"/>
      <c r="N85" s="92"/>
      <c r="O85" s="92"/>
      <c r="P85" s="92"/>
      <c r="Q85" s="92"/>
      <c r="R85" s="92"/>
      <c r="S85" s="92"/>
      <c r="U85" s="92"/>
    </row>
    <row r="86" spans="2:21" x14ac:dyDescent="0.2">
      <c r="B86" s="92"/>
      <c r="C86" s="92"/>
      <c r="D86" s="92"/>
      <c r="E86" s="92"/>
      <c r="F86" s="92"/>
      <c r="G86" s="92"/>
      <c r="H86" s="92"/>
      <c r="I86" s="92"/>
      <c r="K86" s="92"/>
      <c r="L86" s="92"/>
      <c r="M86" s="92"/>
      <c r="N86" s="92"/>
      <c r="O86" s="92"/>
      <c r="P86" s="92"/>
      <c r="Q86" s="92"/>
      <c r="R86" s="92"/>
      <c r="S86" s="92"/>
      <c r="U86" s="92"/>
    </row>
    <row r="87" spans="2:21" x14ac:dyDescent="0.2">
      <c r="B87" s="92"/>
      <c r="C87" s="92"/>
      <c r="D87" s="92"/>
      <c r="E87" s="92"/>
      <c r="F87" s="92"/>
      <c r="G87" s="92"/>
      <c r="H87" s="92"/>
      <c r="I87" s="92"/>
      <c r="K87" s="92"/>
      <c r="L87" s="92"/>
      <c r="M87" s="92"/>
      <c r="N87" s="92"/>
      <c r="O87" s="92"/>
      <c r="P87" s="92"/>
      <c r="Q87" s="92"/>
      <c r="R87" s="92"/>
      <c r="S87" s="92"/>
      <c r="U87" s="90"/>
    </row>
    <row r="88" spans="2:21" x14ac:dyDescent="0.2">
      <c r="B88" s="92"/>
      <c r="C88" s="92"/>
      <c r="D88" s="92"/>
      <c r="E88" s="92"/>
      <c r="F88" s="92"/>
      <c r="G88" s="92"/>
      <c r="H88" s="92"/>
      <c r="I88" s="92"/>
      <c r="K88" s="92"/>
      <c r="L88" s="92"/>
      <c r="M88" s="92"/>
      <c r="N88" s="92"/>
      <c r="O88" s="92"/>
      <c r="P88" s="92"/>
      <c r="Q88" s="92"/>
      <c r="R88" s="92"/>
      <c r="S88" s="92"/>
      <c r="U88" s="92"/>
    </row>
    <row r="89" spans="2:21" x14ac:dyDescent="0.2">
      <c r="B89" s="92"/>
      <c r="C89" s="92"/>
      <c r="D89" s="92"/>
      <c r="E89" s="92"/>
      <c r="F89" s="92"/>
      <c r="G89" s="92"/>
      <c r="H89" s="92"/>
      <c r="I89" s="92"/>
      <c r="K89" s="92"/>
      <c r="L89" s="92"/>
      <c r="M89" s="92"/>
      <c r="N89" s="92"/>
      <c r="O89" s="92"/>
      <c r="P89" s="92"/>
      <c r="Q89" s="92"/>
      <c r="R89" s="92"/>
      <c r="S89" s="92"/>
      <c r="U89" s="92"/>
    </row>
    <row r="90" spans="2:21" x14ac:dyDescent="0.2">
      <c r="B90" s="92"/>
      <c r="C90" s="92"/>
      <c r="D90" s="92"/>
      <c r="E90" s="92"/>
      <c r="F90" s="92"/>
      <c r="G90" s="92"/>
      <c r="H90" s="92"/>
      <c r="I90" s="92"/>
      <c r="K90" s="92"/>
      <c r="L90" s="92"/>
      <c r="M90" s="92"/>
      <c r="N90" s="92"/>
      <c r="O90" s="92"/>
      <c r="P90" s="92"/>
      <c r="Q90" s="92"/>
      <c r="R90" s="92"/>
      <c r="S90" s="92"/>
      <c r="U90" s="92"/>
    </row>
  </sheetData>
  <mergeCells count="11">
    <mergeCell ref="K5:L5"/>
    <mergeCell ref="B5:B6"/>
    <mergeCell ref="C5:D5"/>
    <mergeCell ref="E5:F5"/>
    <mergeCell ref="G5:H5"/>
    <mergeCell ref="I5:J5"/>
    <mergeCell ref="M5:N5"/>
    <mergeCell ref="O5:P5"/>
    <mergeCell ref="Q5:R5"/>
    <mergeCell ref="S5:T5"/>
    <mergeCell ref="U5:V5"/>
  </mergeCells>
  <pageMargins left="0.25" right="0.25" top="0.25" bottom="0.25" header="0.3" footer="0.3"/>
  <pageSetup scale="58" orientation="landscape" r:id="rId1"/>
  <colBreaks count="1" manualBreakCount="1">
    <brk id="12" max="62" man="1"/>
  </colBreaks>
  <drawing r:id="rId2"/>
  <legacyDrawing r:id="rId3"/>
  <mc:AlternateContent xmlns:mc="http://schemas.openxmlformats.org/markup-compatibility/2006">
    <mc:Choice Requires="x14">
      <controls>
        <mc:AlternateContent xmlns:mc="http://schemas.openxmlformats.org/markup-compatibility/2006">
          <mc:Choice Requires="x14">
            <control shapeId="63489" r:id="rId4" name="Drop Down 1">
              <controlPr defaultSize="0" autoLine="0" autoPict="0">
                <anchor moveWithCells="1" sizeWithCells="1">
                  <from>
                    <xdr:col>0</xdr:col>
                    <xdr:colOff>0</xdr:colOff>
                    <xdr:row>1</xdr:row>
                    <xdr:rowOff>171450</xdr:rowOff>
                  </from>
                  <to>
                    <xdr:col>3</xdr:col>
                    <xdr:colOff>314325</xdr:colOff>
                    <xdr:row>3</xdr:row>
                    <xdr:rowOff>85725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
  <sheetViews>
    <sheetView showGridLines="0" zoomScale="70" zoomScaleNormal="70" workbookViewId="0"/>
  </sheetViews>
  <sheetFormatPr defaultRowHeight="15" x14ac:dyDescent="0.25"/>
  <cols>
    <col min="1" max="1" width="37.5703125" customWidth="1"/>
    <col min="2" max="2" width="23.5703125" customWidth="1"/>
    <col min="3" max="3" width="29.7109375" customWidth="1"/>
    <col min="4" max="4" width="18" style="71" customWidth="1"/>
    <col min="5" max="5" width="18" customWidth="1"/>
  </cols>
  <sheetData>
    <row r="1" spans="1:6" x14ac:dyDescent="0.25">
      <c r="A1" s="121" t="str">
        <f>Summary!A1</f>
        <v>Community and Technical Colleges, Report of Fundable Operating Expenses, Fiscal Year (FY) 2012</v>
      </c>
      <c r="B1" s="120"/>
      <c r="C1" s="120"/>
      <c r="D1" s="125"/>
      <c r="E1" s="120"/>
      <c r="F1" s="120"/>
    </row>
    <row r="2" spans="1:6" x14ac:dyDescent="0.25">
      <c r="A2" s="123" t="s">
        <v>1014</v>
      </c>
      <c r="B2" s="122"/>
      <c r="C2" s="122"/>
      <c r="D2" s="126"/>
      <c r="E2" s="122"/>
      <c r="F2" s="122"/>
    </row>
    <row r="3" spans="1:6" ht="47.25" customHeight="1" thickBot="1" x14ac:dyDescent="0.3">
      <c r="A3" s="231" t="s">
        <v>1004</v>
      </c>
      <c r="B3" s="231"/>
      <c r="C3" s="231"/>
      <c r="D3" s="231"/>
      <c r="E3" s="231"/>
      <c r="F3" s="119"/>
    </row>
    <row r="4" spans="1:6" ht="60" customHeight="1" thickBot="1" x14ac:dyDescent="0.3">
      <c r="A4" s="117" t="s">
        <v>935</v>
      </c>
      <c r="B4" s="116" t="str">
        <f>"FY 2012 - 2013 Rates @ "&amp;TEXT(B5,"0.00%")&amp;" (Using FY 2012 CH)"</f>
        <v>FY 2012 - 2013 Rates @ 35.86% (Using FY 2012 CH)</v>
      </c>
      <c r="C4" s="115" t="str">
        <f>"Annual Budget Neutral Percent Funded "&amp;TEXT(C5,"0.00%")&amp;" (Using FY 2012 CH)"</f>
        <v>Annual Budget Neutral Percent Funded 34.29% (Using FY 2012 CH)</v>
      </c>
      <c r="D4" s="115" t="s">
        <v>51</v>
      </c>
      <c r="E4" s="111" t="s">
        <v>1005</v>
      </c>
    </row>
    <row r="5" spans="1:6" x14ac:dyDescent="0.25">
      <c r="A5" s="148" t="s">
        <v>1015</v>
      </c>
      <c r="B5" s="114">
        <v>0.35862938974938285</v>
      </c>
      <c r="C5" s="124">
        <v>0.34286102465205209</v>
      </c>
      <c r="D5" s="124">
        <f>C5-B5</f>
        <v>-1.5768365097330761E-2</v>
      </c>
      <c r="E5" s="110"/>
    </row>
    <row r="6" spans="1:6" x14ac:dyDescent="0.25">
      <c r="A6" s="98" t="s">
        <v>391</v>
      </c>
      <c r="B6" s="112">
        <f>$B$5*('Rate History'!$D$4*SUMIF(Data!$G:$G,Neutral!$A6,Data!$CU:$CU)+'Rate History'!$D$5*SUMIF(Data!$G:$G,Neutral!$A6,Data!$CV:$CV)+'Rate History'!$D$6*SUMIF(Data!$G:$G,Neutral!$A6,Data!$CW:$CW)+'Rate History'!$D$7*SUMIF(Data!$G:$G,Neutral!$A6,Data!$CX:$CX)+'Rate History'!$D$8*SUMIF(Data!$G:$G,Neutral!$A6,Data!$CY:$CY)+'Rate History'!$D$9*SUMIF(Data!$G:$G,Neutral!$A6,Data!$CZ:$CZ)+'Rate History'!$D$10*SUMIF(Data!$G:$G,Neutral!$A6,Data!$DA:$DA)+'Rate History'!$D$11*SUMIF(Data!$G:$G,Neutral!$A6,Data!$DB:$DB)+'Rate History'!$D$12*SUMIF(Data!$G:$G,Neutral!$A6,Data!$DC:$DC)+'Rate History'!$D$13*SUMIF(Data!$G:$G,Neutral!$A6,Data!$DD:$DD)+'Rate History'!$D$14*SUMIF(Data!$G:$G,Neutral!$A6,Data!$DE:$DE)+'Rate History'!$D$15*SUMIF(Data!$G:$G,Neutral!$A6,Data!$DF:$DF)+'Rate History'!$D$16*SUMIF(Data!$G:$G,Neutral!$A6,Data!$DG:$DG)+'Rate History'!$D$17*SUMIF(Data!$G:$G,Neutral!$A6,Data!$DH:$DH)+'Rate History'!$D$18*SUMIF(Data!$G:$G,Neutral!$A6,Data!$DI:$DI)+'Rate History'!$D$19*SUMIF(Data!$G:$G,Neutral!$A6,Data!$DJ:$DJ)+'Rate History'!$D$20*SUMIF(Data!$G:$G,Neutral!$A6,Data!$DK:$DK)+'Rate History'!$D$21*SUMIF(Data!$G:$G,Neutral!$A6,Data!$DL:$DL)+'Rate History'!$D$22*SUMIF(Data!$G:$G,Neutral!$A6,Data!$DM:$DM)+'Rate History'!$D$23*SUMIF(Data!$G:$G,Neutral!$A6,Data!$DN:$DN)+'Rate History'!$D$24*SUMIF(Data!$G:$G,Neutral!$A6,Data!$DO:$DO)+'Rate History'!$D$25*SUMIF(Data!$G:$G,Neutral!$A6,Data!$DP:$DP)+'Rate History'!$D$26*SUMIF(Data!$G:$G,Neutral!$A6,Data!$DQ:$DQ)+'Rate History'!$D$27*SUMIF(Data!$G:$G,Neutral!$A6,Data!$DR:$DR)+'Rate History'!$D$28*SUMIF(Data!$G:$G,Neutral!$A6,Data!$DS:$DS)+'Rate History'!$D$29*SUMIF(Data!$G:$G,Neutral!$A6,Data!$DT:$DT)+'Rate History'!$D$30*SUMIF(Data!$G:$G,Neutral!$A6,Data!$DV:$DV)+'Rate History'!$D$31*SUMIF(Data!$G:$G,Neutral!$A6,Data!$DW:$DW))</f>
        <v>66889938.581025772</v>
      </c>
      <c r="C6" s="174">
        <f>$C$5*('Rate History'!$C$4*SUMIF(Data!$G:$G,Neutral!$A6,Data!$CU:$CU)+'Rate History'!$C$5*SUMIF(Data!$G:$G,Neutral!$A6,Data!$CV:$CV)+'Rate History'!$C$6*SUMIF(Data!$G:$G,Neutral!$A6,Data!$CW:$CW)+'Rate History'!$C$7*SUMIF(Data!$G:$G,Neutral!$A6,Data!$CX:$CX)+'Rate History'!$C$8*SUMIF(Data!$G:$G,Neutral!$A6,Data!$CY:$CY)+'Rate History'!$C$9*SUMIF(Data!$G:$G,Neutral!$A6,Data!$CZ:$CZ)+'Rate History'!$C$10*SUMIF(Data!$G:$G,Neutral!$A6,Data!$DA:$DA)+'Rate History'!$C$11*SUMIF(Data!$G:$G,Neutral!$A6,Data!$DB:$DB)+'Rate History'!$C$12*SUMIF(Data!$G:$G,Neutral!$A6,Data!$DC:$DC)+'Rate History'!$C$13*SUMIF(Data!$G:$G,Neutral!$A6,Data!$DD:$DD)+'Rate History'!$C$14*SUMIF(Data!$G:$G,Neutral!$A6,Data!$DE:$DE)+'Rate History'!$C$15*SUMIF(Data!$G:$G,Neutral!$A6,Data!$DF:$DF)+'Rate History'!$C$16*SUMIF(Data!$G:$G,Neutral!$A6,Data!$DG:$DG)+'Rate History'!$C$17*SUMIF(Data!$G:$G,Neutral!$A6,Data!$DH:$DH)+'Rate History'!$C$18*SUMIF(Data!$G:$G,Neutral!$A6,Data!$DI:$DI)+'Rate History'!$C$19*SUMIF(Data!$G:$G,Neutral!$A6,Data!$DJ:$DJ)+'Rate History'!$C$20*SUMIF(Data!$G:$G,Neutral!$A6,Data!$DK:$DK)+'Rate History'!$C$21*SUMIF(Data!$G:$G,Neutral!$A6,Data!$DL:$DL)+'Rate History'!$C$22*SUMIF(Data!$G:$G,Neutral!$A6,Data!$DM:$DM)+'Rate History'!$C$23*SUMIF(Data!$G:$G,Neutral!$A6,Data!$DN:$DN)+'Rate History'!$C$24*SUMIF(Data!$G:$G,Neutral!$A6,Data!$DO:$DO)+'Rate History'!$C$25*SUMIF(Data!$G:$G,Neutral!$A6,Data!$DP:$DP)+'Rate History'!$C$26*SUMIF(Data!$G:$G,Neutral!$A6,Data!$DQ:$DQ)+'Rate History'!$C$27*SUMIF(Data!$G:$G,Neutral!$A6,Data!$DR:$DR)+'Rate History'!$C$28*SUMIF(Data!$G:$G,Neutral!$A6,Data!$DS:$DS)+'Rate History'!$C$29*SUMIF(Data!$G:$G,Neutral!$A6,Data!$DT:$DT)+'Rate History'!$C$30*SUMIF(Data!$G:$G,Neutral!$A6,Data!$DV:$DV)+'Rate History'!$C$31*SUMIF(Data!$G:$G,Neutral!$A6,Data!$DW:$DW))</f>
        <v>66890056.055340216</v>
      </c>
      <c r="D6" s="113">
        <f>C6-B6</f>
        <v>117.47431444376707</v>
      </c>
      <c r="E6" s="105">
        <f t="shared" ref="E6:E37" si="0">IFERROR(D6/B6,"")</f>
        <v>1.7562329542501664E-6</v>
      </c>
    </row>
    <row r="7" spans="1:6" x14ac:dyDescent="0.25">
      <c r="A7" s="98" t="s">
        <v>351</v>
      </c>
      <c r="B7" s="118">
        <f>$B$5*('Rate History'!$D$4*SUMIF(Data!$G:$G,Neutral!$A7,Data!$CU:$CU)+'Rate History'!$D$5*SUMIF(Data!$G:$G,Neutral!$A7,Data!$CV:$CV)+'Rate History'!$D$6*SUMIF(Data!$G:$G,Neutral!$A7,Data!$CW:$CW)+'Rate History'!$D$7*SUMIF(Data!$G:$G,Neutral!$A7,Data!$CX:$CX)+'Rate History'!$D$8*SUMIF(Data!$G:$G,Neutral!$A7,Data!$CY:$CY)+'Rate History'!$D$9*SUMIF(Data!$G:$G,Neutral!$A7,Data!$CZ:$CZ)+'Rate History'!$D$10*SUMIF(Data!$G:$G,Neutral!$A7,Data!$DA:$DA)+'Rate History'!$D$11*SUMIF(Data!$G:$G,Neutral!$A7,Data!$DB:$DB)+'Rate History'!$D$12*SUMIF(Data!$G:$G,Neutral!$A7,Data!$DC:$DC)+'Rate History'!$D$13*SUMIF(Data!$G:$G,Neutral!$A7,Data!$DD:$DD)+'Rate History'!$D$14*SUMIF(Data!$G:$G,Neutral!$A7,Data!$DE:$DE)+'Rate History'!$D$15*SUMIF(Data!$G:$G,Neutral!$A7,Data!$DF:$DF)+'Rate History'!$D$16*SUMIF(Data!$G:$G,Neutral!$A7,Data!$DG:$DG)+'Rate History'!$D$17*SUMIF(Data!$G:$G,Neutral!$A7,Data!$DH:$DH)+'Rate History'!$D$18*SUMIF(Data!$G:$G,Neutral!$A7,Data!$DI:$DI)+'Rate History'!$D$19*SUMIF(Data!$G:$G,Neutral!$A7,Data!$DJ:$DJ)+'Rate History'!$D$20*SUMIF(Data!$G:$G,Neutral!$A7,Data!$DK:$DK)+'Rate History'!$D$21*SUMIF(Data!$G:$G,Neutral!$A7,Data!$DL:$DL)+'Rate History'!$D$22*SUMIF(Data!$G:$G,Neutral!$A7,Data!$DM:$DM)+'Rate History'!$D$23*SUMIF(Data!$G:$G,Neutral!$A7,Data!$DN:$DN)+'Rate History'!$D$24*SUMIF(Data!$G:$G,Neutral!$A7,Data!$DO:$DO)+'Rate History'!$D$25*SUMIF(Data!$G:$G,Neutral!$A7,Data!$DP:$DP)+'Rate History'!$D$26*SUMIF(Data!$G:$G,Neutral!$A7,Data!$DQ:$DQ)+'Rate History'!$D$27*SUMIF(Data!$G:$G,Neutral!$A7,Data!$DR:$DR)+'Rate History'!$D$28*SUMIF(Data!$G:$G,Neutral!$A7,Data!$DS:$DS)+'Rate History'!$D$29*SUMIF(Data!$G:$G,Neutral!$A7,Data!$DT:$DT)+'Rate History'!$D$30*SUMIF(Data!$G:$G,Neutral!$A7,Data!$DV:$DV)+'Rate History'!$D$31*SUMIF(Data!$G:$G,Neutral!$A7,Data!$DW:$DW))</f>
        <v>7017591.682328321</v>
      </c>
      <c r="C7" s="118">
        <f>$C$5*('Rate History'!$C$4*SUMIF(Data!$G:$G,Neutral!$A7,Data!$CU:$CU)+'Rate History'!$C$5*SUMIF(Data!$G:$G,Neutral!$A7,Data!$CV:$CV)+'Rate History'!$C$6*SUMIF(Data!$G:$G,Neutral!$A7,Data!$CW:$CW)+'Rate History'!$C$7*SUMIF(Data!$G:$G,Neutral!$A7,Data!$CX:$CX)+'Rate History'!$C$8*SUMIF(Data!$G:$G,Neutral!$A7,Data!$CY:$CY)+'Rate History'!$C$9*SUMIF(Data!$G:$G,Neutral!$A7,Data!$CZ:$CZ)+'Rate History'!$C$10*SUMIF(Data!$G:$G,Neutral!$A7,Data!$DA:$DA)+'Rate History'!$C$11*SUMIF(Data!$G:$G,Neutral!$A7,Data!$DB:$DB)+'Rate History'!$C$12*SUMIF(Data!$G:$G,Neutral!$A7,Data!$DC:$DC)+'Rate History'!$C$13*SUMIF(Data!$G:$G,Neutral!$A7,Data!$DD:$DD)+'Rate History'!$C$14*SUMIF(Data!$G:$G,Neutral!$A7,Data!$DE:$DE)+'Rate History'!$C$15*SUMIF(Data!$G:$G,Neutral!$A7,Data!$DF:$DF)+'Rate History'!$C$16*SUMIF(Data!$G:$G,Neutral!$A7,Data!$DG:$DG)+'Rate History'!$C$17*SUMIF(Data!$G:$G,Neutral!$A7,Data!$DH:$DH)+'Rate History'!$C$18*SUMIF(Data!$G:$G,Neutral!$A7,Data!$DI:$DI)+'Rate History'!$C$19*SUMIF(Data!$G:$G,Neutral!$A7,Data!$DJ:$DJ)+'Rate History'!$C$20*SUMIF(Data!$G:$G,Neutral!$A7,Data!$DK:$DK)+'Rate History'!$C$21*SUMIF(Data!$G:$G,Neutral!$A7,Data!$DL:$DL)+'Rate History'!$C$22*SUMIF(Data!$G:$G,Neutral!$A7,Data!$DM:$DM)+'Rate History'!$C$23*SUMIF(Data!$G:$G,Neutral!$A7,Data!$DN:$DN)+'Rate History'!$C$24*SUMIF(Data!$G:$G,Neutral!$A7,Data!$DO:$DO)+'Rate History'!$C$25*SUMIF(Data!$G:$G,Neutral!$A7,Data!$DP:$DP)+'Rate History'!$C$26*SUMIF(Data!$G:$G,Neutral!$A7,Data!$DQ:$DQ)+'Rate History'!$C$27*SUMIF(Data!$G:$G,Neutral!$A7,Data!$DR:$DR)+'Rate History'!$C$28*SUMIF(Data!$G:$G,Neutral!$A7,Data!$DS:$DS)+'Rate History'!$C$29*SUMIF(Data!$G:$G,Neutral!$A7,Data!$DT:$DT)+'Rate History'!$C$30*SUMIF(Data!$G:$G,Neutral!$A7,Data!$DV:$DV)+'Rate History'!$C$31*SUMIF(Data!$G:$G,Neutral!$A7,Data!$DW:$DW))</f>
        <v>7024015.6403211541</v>
      </c>
      <c r="D7" s="103">
        <f t="shared" ref="D7:D63" si="1">C7-B7</f>
        <v>6423.9579928331077</v>
      </c>
      <c r="E7" s="105">
        <f t="shared" si="0"/>
        <v>9.1540777572025173E-4</v>
      </c>
    </row>
    <row r="8" spans="1:6" x14ac:dyDescent="0.25">
      <c r="A8" s="98" t="s">
        <v>353</v>
      </c>
      <c r="B8" s="118">
        <f>$B$5*('Rate History'!$D$4*SUMIF(Data!$G:$G,Neutral!$A8,Data!$CU:$CU)+'Rate History'!$D$5*SUMIF(Data!$G:$G,Neutral!$A8,Data!$CV:$CV)+'Rate History'!$D$6*SUMIF(Data!$G:$G,Neutral!$A8,Data!$CW:$CW)+'Rate History'!$D$7*SUMIF(Data!$G:$G,Neutral!$A8,Data!$CX:$CX)+'Rate History'!$D$8*SUMIF(Data!$G:$G,Neutral!$A8,Data!$CY:$CY)+'Rate History'!$D$9*SUMIF(Data!$G:$G,Neutral!$A8,Data!$CZ:$CZ)+'Rate History'!$D$10*SUMIF(Data!$G:$G,Neutral!$A8,Data!$DA:$DA)+'Rate History'!$D$11*SUMIF(Data!$G:$G,Neutral!$A8,Data!$DB:$DB)+'Rate History'!$D$12*SUMIF(Data!$G:$G,Neutral!$A8,Data!$DC:$DC)+'Rate History'!$D$13*SUMIF(Data!$G:$G,Neutral!$A8,Data!$DD:$DD)+'Rate History'!$D$14*SUMIF(Data!$G:$G,Neutral!$A8,Data!$DE:$DE)+'Rate History'!$D$15*SUMIF(Data!$G:$G,Neutral!$A8,Data!$DF:$DF)+'Rate History'!$D$16*SUMIF(Data!$G:$G,Neutral!$A8,Data!$DG:$DG)+'Rate History'!$D$17*SUMIF(Data!$G:$G,Neutral!$A8,Data!$DH:$DH)+'Rate History'!$D$18*SUMIF(Data!$G:$G,Neutral!$A8,Data!$DI:$DI)+'Rate History'!$D$19*SUMIF(Data!$G:$G,Neutral!$A8,Data!$DJ:$DJ)+'Rate History'!$D$20*SUMIF(Data!$G:$G,Neutral!$A8,Data!$DK:$DK)+'Rate History'!$D$21*SUMIF(Data!$G:$G,Neutral!$A8,Data!$DL:$DL)+'Rate History'!$D$22*SUMIF(Data!$G:$G,Neutral!$A8,Data!$DM:$DM)+'Rate History'!$D$23*SUMIF(Data!$G:$G,Neutral!$A8,Data!$DN:$DN)+'Rate History'!$D$24*SUMIF(Data!$G:$G,Neutral!$A8,Data!$DO:$DO)+'Rate History'!$D$25*SUMIF(Data!$G:$G,Neutral!$A8,Data!$DP:$DP)+'Rate History'!$D$26*SUMIF(Data!$G:$G,Neutral!$A8,Data!$DQ:$DQ)+'Rate History'!$D$27*SUMIF(Data!$G:$G,Neutral!$A8,Data!$DR:$DR)+'Rate History'!$D$28*SUMIF(Data!$G:$G,Neutral!$A8,Data!$DS:$DS)+'Rate History'!$D$29*SUMIF(Data!$G:$G,Neutral!$A8,Data!$DT:$DT)+'Rate History'!$D$30*SUMIF(Data!$G:$G,Neutral!$A8,Data!$DV:$DV)+'Rate History'!$D$31*SUMIF(Data!$G:$G,Neutral!$A8,Data!$DW:$DW))</f>
        <v>15391154.9578389</v>
      </c>
      <c r="C8" s="118">
        <f>$C$5*('Rate History'!$C$4*SUMIF(Data!$G:$G,Neutral!$A8,Data!$CU:$CU)+'Rate History'!$C$5*SUMIF(Data!$G:$G,Neutral!$A8,Data!$CV:$CV)+'Rate History'!$C$6*SUMIF(Data!$G:$G,Neutral!$A8,Data!$CW:$CW)+'Rate History'!$C$7*SUMIF(Data!$G:$G,Neutral!$A8,Data!$CX:$CX)+'Rate History'!$C$8*SUMIF(Data!$G:$G,Neutral!$A8,Data!$CY:$CY)+'Rate History'!$C$9*SUMIF(Data!$G:$G,Neutral!$A8,Data!$CZ:$CZ)+'Rate History'!$C$10*SUMIF(Data!$G:$G,Neutral!$A8,Data!$DA:$DA)+'Rate History'!$C$11*SUMIF(Data!$G:$G,Neutral!$A8,Data!$DB:$DB)+'Rate History'!$C$12*SUMIF(Data!$G:$G,Neutral!$A8,Data!$DC:$DC)+'Rate History'!$C$13*SUMIF(Data!$G:$G,Neutral!$A8,Data!$DD:$DD)+'Rate History'!$C$14*SUMIF(Data!$G:$G,Neutral!$A8,Data!$DE:$DE)+'Rate History'!$C$15*SUMIF(Data!$G:$G,Neutral!$A8,Data!$DF:$DF)+'Rate History'!$C$16*SUMIF(Data!$G:$G,Neutral!$A8,Data!$DG:$DG)+'Rate History'!$C$17*SUMIF(Data!$G:$G,Neutral!$A8,Data!$DH:$DH)+'Rate History'!$C$18*SUMIF(Data!$G:$G,Neutral!$A8,Data!$DI:$DI)+'Rate History'!$C$19*SUMIF(Data!$G:$G,Neutral!$A8,Data!$DJ:$DJ)+'Rate History'!$C$20*SUMIF(Data!$G:$G,Neutral!$A8,Data!$DK:$DK)+'Rate History'!$C$21*SUMIF(Data!$G:$G,Neutral!$A8,Data!$DL:$DL)+'Rate History'!$C$22*SUMIF(Data!$G:$G,Neutral!$A8,Data!$DM:$DM)+'Rate History'!$C$23*SUMIF(Data!$G:$G,Neutral!$A8,Data!$DN:$DN)+'Rate History'!$C$24*SUMIF(Data!$G:$G,Neutral!$A8,Data!$DO:$DO)+'Rate History'!$C$25*SUMIF(Data!$G:$G,Neutral!$A8,Data!$DP:$DP)+'Rate History'!$C$26*SUMIF(Data!$G:$G,Neutral!$A8,Data!$DQ:$DQ)+'Rate History'!$C$27*SUMIF(Data!$G:$G,Neutral!$A8,Data!$DR:$DR)+'Rate History'!$C$28*SUMIF(Data!$G:$G,Neutral!$A8,Data!$DS:$DS)+'Rate History'!$C$29*SUMIF(Data!$G:$G,Neutral!$A8,Data!$DT:$DT)+'Rate History'!$C$30*SUMIF(Data!$G:$G,Neutral!$A8,Data!$DV:$DV)+'Rate History'!$C$31*SUMIF(Data!$G:$G,Neutral!$A8,Data!$DW:$DW))</f>
        <v>15438272.273979241</v>
      </c>
      <c r="D8" s="103">
        <f t="shared" si="1"/>
        <v>47117.316140340641</v>
      </c>
      <c r="E8" s="105">
        <f t="shared" si="0"/>
        <v>3.0613242650996261E-3</v>
      </c>
    </row>
    <row r="9" spans="1:6" x14ac:dyDescent="0.25">
      <c r="A9" s="98" t="s">
        <v>414</v>
      </c>
      <c r="B9" s="118">
        <f>$B$5*('Rate History'!$D$4*SUMIF(Data!$G:$G,Neutral!$A9,Data!$CU:$CU)+'Rate History'!$D$5*SUMIF(Data!$G:$G,Neutral!$A9,Data!$CV:$CV)+'Rate History'!$D$6*SUMIF(Data!$G:$G,Neutral!$A9,Data!$CW:$CW)+'Rate History'!$D$7*SUMIF(Data!$G:$G,Neutral!$A9,Data!$CX:$CX)+'Rate History'!$D$8*SUMIF(Data!$G:$G,Neutral!$A9,Data!$CY:$CY)+'Rate History'!$D$9*SUMIF(Data!$G:$G,Neutral!$A9,Data!$CZ:$CZ)+'Rate History'!$D$10*SUMIF(Data!$G:$G,Neutral!$A9,Data!$DA:$DA)+'Rate History'!$D$11*SUMIF(Data!$G:$G,Neutral!$A9,Data!$DB:$DB)+'Rate History'!$D$12*SUMIF(Data!$G:$G,Neutral!$A9,Data!$DC:$DC)+'Rate History'!$D$13*SUMIF(Data!$G:$G,Neutral!$A9,Data!$DD:$DD)+'Rate History'!$D$14*SUMIF(Data!$G:$G,Neutral!$A9,Data!$DE:$DE)+'Rate History'!$D$15*SUMIF(Data!$G:$G,Neutral!$A9,Data!$DF:$DF)+'Rate History'!$D$16*SUMIF(Data!$G:$G,Neutral!$A9,Data!$DG:$DG)+'Rate History'!$D$17*SUMIF(Data!$G:$G,Neutral!$A9,Data!$DH:$DH)+'Rate History'!$D$18*SUMIF(Data!$G:$G,Neutral!$A9,Data!$DI:$DI)+'Rate History'!$D$19*SUMIF(Data!$G:$G,Neutral!$A9,Data!$DJ:$DJ)+'Rate History'!$D$20*SUMIF(Data!$G:$G,Neutral!$A9,Data!$DK:$DK)+'Rate History'!$D$21*SUMIF(Data!$G:$G,Neutral!$A9,Data!$DL:$DL)+'Rate History'!$D$22*SUMIF(Data!$G:$G,Neutral!$A9,Data!$DM:$DM)+'Rate History'!$D$23*SUMIF(Data!$G:$G,Neutral!$A9,Data!$DN:$DN)+'Rate History'!$D$24*SUMIF(Data!$G:$G,Neutral!$A9,Data!$DO:$DO)+'Rate History'!$D$25*SUMIF(Data!$G:$G,Neutral!$A9,Data!$DP:$DP)+'Rate History'!$D$26*SUMIF(Data!$G:$G,Neutral!$A9,Data!$DQ:$DQ)+'Rate History'!$D$27*SUMIF(Data!$G:$G,Neutral!$A9,Data!$DR:$DR)+'Rate History'!$D$28*SUMIF(Data!$G:$G,Neutral!$A9,Data!$DS:$DS)+'Rate History'!$D$29*SUMIF(Data!$G:$G,Neutral!$A9,Data!$DT:$DT)+'Rate History'!$D$30*SUMIF(Data!$G:$G,Neutral!$A9,Data!$DV:$DV)+'Rate History'!$D$31*SUMIF(Data!$G:$G,Neutral!$A9,Data!$DW:$DW))</f>
        <v>7434671.6307984451</v>
      </c>
      <c r="C9" s="118">
        <f>$C$5*('Rate History'!$C$4*SUMIF(Data!$G:$G,Neutral!$A9,Data!$CU:$CU)+'Rate History'!$C$5*SUMIF(Data!$G:$G,Neutral!$A9,Data!$CV:$CV)+'Rate History'!$C$6*SUMIF(Data!$G:$G,Neutral!$A9,Data!$CW:$CW)+'Rate History'!$C$7*SUMIF(Data!$G:$G,Neutral!$A9,Data!$CX:$CX)+'Rate History'!$C$8*SUMIF(Data!$G:$G,Neutral!$A9,Data!$CY:$CY)+'Rate History'!$C$9*SUMIF(Data!$G:$G,Neutral!$A9,Data!$CZ:$CZ)+'Rate History'!$C$10*SUMIF(Data!$G:$G,Neutral!$A9,Data!$DA:$DA)+'Rate History'!$C$11*SUMIF(Data!$G:$G,Neutral!$A9,Data!$DB:$DB)+'Rate History'!$C$12*SUMIF(Data!$G:$G,Neutral!$A9,Data!$DC:$DC)+'Rate History'!$C$13*SUMIF(Data!$G:$G,Neutral!$A9,Data!$DD:$DD)+'Rate History'!$C$14*SUMIF(Data!$G:$G,Neutral!$A9,Data!$DE:$DE)+'Rate History'!$C$15*SUMIF(Data!$G:$G,Neutral!$A9,Data!$DF:$DF)+'Rate History'!$C$16*SUMIF(Data!$G:$G,Neutral!$A9,Data!$DG:$DG)+'Rate History'!$C$17*SUMIF(Data!$G:$G,Neutral!$A9,Data!$DH:$DH)+'Rate History'!$C$18*SUMIF(Data!$G:$G,Neutral!$A9,Data!$DI:$DI)+'Rate History'!$C$19*SUMIF(Data!$G:$G,Neutral!$A9,Data!$DJ:$DJ)+'Rate History'!$C$20*SUMIF(Data!$G:$G,Neutral!$A9,Data!$DK:$DK)+'Rate History'!$C$21*SUMIF(Data!$G:$G,Neutral!$A9,Data!$DL:$DL)+'Rate History'!$C$22*SUMIF(Data!$G:$G,Neutral!$A9,Data!$DM:$DM)+'Rate History'!$C$23*SUMIF(Data!$G:$G,Neutral!$A9,Data!$DN:$DN)+'Rate History'!$C$24*SUMIF(Data!$G:$G,Neutral!$A9,Data!$DO:$DO)+'Rate History'!$C$25*SUMIF(Data!$G:$G,Neutral!$A9,Data!$DP:$DP)+'Rate History'!$C$26*SUMIF(Data!$G:$G,Neutral!$A9,Data!$DQ:$DQ)+'Rate History'!$C$27*SUMIF(Data!$G:$G,Neutral!$A9,Data!$DR:$DR)+'Rate History'!$C$28*SUMIF(Data!$G:$G,Neutral!$A9,Data!$DS:$DS)+'Rate History'!$C$29*SUMIF(Data!$G:$G,Neutral!$A9,Data!$DT:$DT)+'Rate History'!$C$30*SUMIF(Data!$G:$G,Neutral!$A9,Data!$DV:$DV)+'Rate History'!$C$31*SUMIF(Data!$G:$G,Neutral!$A9,Data!$DW:$DW))</f>
        <v>7446139.7918011872</v>
      </c>
      <c r="D9" s="103">
        <f t="shared" si="1"/>
        <v>11468.161002742127</v>
      </c>
      <c r="E9" s="105">
        <f t="shared" si="0"/>
        <v>1.5425242125334465E-3</v>
      </c>
    </row>
    <row r="10" spans="1:6" x14ac:dyDescent="0.25">
      <c r="A10" s="98" t="s">
        <v>433</v>
      </c>
      <c r="B10" s="118">
        <f>$B$5*('Rate History'!$D$4*SUMIF(Data!$G:$G,Neutral!$A10,Data!$CU:$CU)+'Rate History'!$D$5*SUMIF(Data!$G:$G,Neutral!$A10,Data!$CV:$CV)+'Rate History'!$D$6*SUMIF(Data!$G:$G,Neutral!$A10,Data!$CW:$CW)+'Rate History'!$D$7*SUMIF(Data!$G:$G,Neutral!$A10,Data!$CX:$CX)+'Rate History'!$D$8*SUMIF(Data!$G:$G,Neutral!$A10,Data!$CY:$CY)+'Rate History'!$D$9*SUMIF(Data!$G:$G,Neutral!$A10,Data!$CZ:$CZ)+'Rate History'!$D$10*SUMIF(Data!$G:$G,Neutral!$A10,Data!$DA:$DA)+'Rate History'!$D$11*SUMIF(Data!$G:$G,Neutral!$A10,Data!$DB:$DB)+'Rate History'!$D$12*SUMIF(Data!$G:$G,Neutral!$A10,Data!$DC:$DC)+'Rate History'!$D$13*SUMIF(Data!$G:$G,Neutral!$A10,Data!$DD:$DD)+'Rate History'!$D$14*SUMIF(Data!$G:$G,Neutral!$A10,Data!$DE:$DE)+'Rate History'!$D$15*SUMIF(Data!$G:$G,Neutral!$A10,Data!$DF:$DF)+'Rate History'!$D$16*SUMIF(Data!$G:$G,Neutral!$A10,Data!$DG:$DG)+'Rate History'!$D$17*SUMIF(Data!$G:$G,Neutral!$A10,Data!$DH:$DH)+'Rate History'!$D$18*SUMIF(Data!$G:$G,Neutral!$A10,Data!$DI:$DI)+'Rate History'!$D$19*SUMIF(Data!$G:$G,Neutral!$A10,Data!$DJ:$DJ)+'Rate History'!$D$20*SUMIF(Data!$G:$G,Neutral!$A10,Data!$DK:$DK)+'Rate History'!$D$21*SUMIF(Data!$G:$G,Neutral!$A10,Data!$DL:$DL)+'Rate History'!$D$22*SUMIF(Data!$G:$G,Neutral!$A10,Data!$DM:$DM)+'Rate History'!$D$23*SUMIF(Data!$G:$G,Neutral!$A10,Data!$DN:$DN)+'Rate History'!$D$24*SUMIF(Data!$G:$G,Neutral!$A10,Data!$DO:$DO)+'Rate History'!$D$25*SUMIF(Data!$G:$G,Neutral!$A10,Data!$DP:$DP)+'Rate History'!$D$26*SUMIF(Data!$G:$G,Neutral!$A10,Data!$DQ:$DQ)+'Rate History'!$D$27*SUMIF(Data!$G:$G,Neutral!$A10,Data!$DR:$DR)+'Rate History'!$D$28*SUMIF(Data!$G:$G,Neutral!$A10,Data!$DS:$DS)+'Rate History'!$D$29*SUMIF(Data!$G:$G,Neutral!$A10,Data!$DT:$DT)+'Rate History'!$D$30*SUMIF(Data!$G:$G,Neutral!$A10,Data!$DV:$DV)+'Rate History'!$D$31*SUMIF(Data!$G:$G,Neutral!$A10,Data!$DW:$DW))</f>
        <v>46302480.714268185</v>
      </c>
      <c r="C10" s="118">
        <f>$C$5*('Rate History'!$C$4*SUMIF(Data!$G:$G,Neutral!$A10,Data!$CU:$CU)+'Rate History'!$C$5*SUMIF(Data!$G:$G,Neutral!$A10,Data!$CV:$CV)+'Rate History'!$C$6*SUMIF(Data!$G:$G,Neutral!$A10,Data!$CW:$CW)+'Rate History'!$C$7*SUMIF(Data!$G:$G,Neutral!$A10,Data!$CX:$CX)+'Rate History'!$C$8*SUMIF(Data!$G:$G,Neutral!$A10,Data!$CY:$CY)+'Rate History'!$C$9*SUMIF(Data!$G:$G,Neutral!$A10,Data!$CZ:$CZ)+'Rate History'!$C$10*SUMIF(Data!$G:$G,Neutral!$A10,Data!$DA:$DA)+'Rate History'!$C$11*SUMIF(Data!$G:$G,Neutral!$A10,Data!$DB:$DB)+'Rate History'!$C$12*SUMIF(Data!$G:$G,Neutral!$A10,Data!$DC:$DC)+'Rate History'!$C$13*SUMIF(Data!$G:$G,Neutral!$A10,Data!$DD:$DD)+'Rate History'!$C$14*SUMIF(Data!$G:$G,Neutral!$A10,Data!$DE:$DE)+'Rate History'!$C$15*SUMIF(Data!$G:$G,Neutral!$A10,Data!$DF:$DF)+'Rate History'!$C$16*SUMIF(Data!$G:$G,Neutral!$A10,Data!$DG:$DG)+'Rate History'!$C$17*SUMIF(Data!$G:$G,Neutral!$A10,Data!$DH:$DH)+'Rate History'!$C$18*SUMIF(Data!$G:$G,Neutral!$A10,Data!$DI:$DI)+'Rate History'!$C$19*SUMIF(Data!$G:$G,Neutral!$A10,Data!$DJ:$DJ)+'Rate History'!$C$20*SUMIF(Data!$G:$G,Neutral!$A10,Data!$DK:$DK)+'Rate History'!$C$21*SUMIF(Data!$G:$G,Neutral!$A10,Data!$DL:$DL)+'Rate History'!$C$22*SUMIF(Data!$G:$G,Neutral!$A10,Data!$DM:$DM)+'Rate History'!$C$23*SUMIF(Data!$G:$G,Neutral!$A10,Data!$DN:$DN)+'Rate History'!$C$24*SUMIF(Data!$G:$G,Neutral!$A10,Data!$DO:$DO)+'Rate History'!$C$25*SUMIF(Data!$G:$G,Neutral!$A10,Data!$DP:$DP)+'Rate History'!$C$26*SUMIF(Data!$G:$G,Neutral!$A10,Data!$DQ:$DQ)+'Rate History'!$C$27*SUMIF(Data!$G:$G,Neutral!$A10,Data!$DR:$DR)+'Rate History'!$C$28*SUMIF(Data!$G:$G,Neutral!$A10,Data!$DS:$DS)+'Rate History'!$C$29*SUMIF(Data!$G:$G,Neutral!$A10,Data!$DT:$DT)+'Rate History'!$C$30*SUMIF(Data!$G:$G,Neutral!$A10,Data!$DV:$DV)+'Rate History'!$C$31*SUMIF(Data!$G:$G,Neutral!$A10,Data!$DW:$DW))</f>
        <v>46235560.986101225</v>
      </c>
      <c r="D10" s="103">
        <f t="shared" si="1"/>
        <v>-66919.72816696018</v>
      </c>
      <c r="E10" s="105">
        <f t="shared" si="0"/>
        <v>-1.4452730638757926E-3</v>
      </c>
    </row>
    <row r="11" spans="1:6" x14ac:dyDescent="0.25">
      <c r="A11" s="98" t="s">
        <v>357</v>
      </c>
      <c r="B11" s="118">
        <f>$B$5*('Rate History'!$D$4*SUMIF(Data!$G:$G,Neutral!$A11,Data!$CU:$CU)+'Rate History'!$D$5*SUMIF(Data!$G:$G,Neutral!$A11,Data!$CV:$CV)+'Rate History'!$D$6*SUMIF(Data!$G:$G,Neutral!$A11,Data!$CW:$CW)+'Rate History'!$D$7*SUMIF(Data!$G:$G,Neutral!$A11,Data!$CX:$CX)+'Rate History'!$D$8*SUMIF(Data!$G:$G,Neutral!$A11,Data!$CY:$CY)+'Rate History'!$D$9*SUMIF(Data!$G:$G,Neutral!$A11,Data!$CZ:$CZ)+'Rate History'!$D$10*SUMIF(Data!$G:$G,Neutral!$A11,Data!$DA:$DA)+'Rate History'!$D$11*SUMIF(Data!$G:$G,Neutral!$A11,Data!$DB:$DB)+'Rate History'!$D$12*SUMIF(Data!$G:$G,Neutral!$A11,Data!$DC:$DC)+'Rate History'!$D$13*SUMIF(Data!$G:$G,Neutral!$A11,Data!$DD:$DD)+'Rate History'!$D$14*SUMIF(Data!$G:$G,Neutral!$A11,Data!$DE:$DE)+'Rate History'!$D$15*SUMIF(Data!$G:$G,Neutral!$A11,Data!$DF:$DF)+'Rate History'!$D$16*SUMIF(Data!$G:$G,Neutral!$A11,Data!$DG:$DG)+'Rate History'!$D$17*SUMIF(Data!$G:$G,Neutral!$A11,Data!$DH:$DH)+'Rate History'!$D$18*SUMIF(Data!$G:$G,Neutral!$A11,Data!$DI:$DI)+'Rate History'!$D$19*SUMIF(Data!$G:$G,Neutral!$A11,Data!$DJ:$DJ)+'Rate History'!$D$20*SUMIF(Data!$G:$G,Neutral!$A11,Data!$DK:$DK)+'Rate History'!$D$21*SUMIF(Data!$G:$G,Neutral!$A11,Data!$DL:$DL)+'Rate History'!$D$22*SUMIF(Data!$G:$G,Neutral!$A11,Data!$DM:$DM)+'Rate History'!$D$23*SUMIF(Data!$G:$G,Neutral!$A11,Data!$DN:$DN)+'Rate History'!$D$24*SUMIF(Data!$G:$G,Neutral!$A11,Data!$DO:$DO)+'Rate History'!$D$25*SUMIF(Data!$G:$G,Neutral!$A11,Data!$DP:$DP)+'Rate History'!$D$26*SUMIF(Data!$G:$G,Neutral!$A11,Data!$DQ:$DQ)+'Rate History'!$D$27*SUMIF(Data!$G:$G,Neutral!$A11,Data!$DR:$DR)+'Rate History'!$D$28*SUMIF(Data!$G:$G,Neutral!$A11,Data!$DS:$DS)+'Rate History'!$D$29*SUMIF(Data!$G:$G,Neutral!$A11,Data!$DT:$DT)+'Rate History'!$D$30*SUMIF(Data!$G:$G,Neutral!$A11,Data!$DV:$DV)+'Rate History'!$D$31*SUMIF(Data!$G:$G,Neutral!$A11,Data!$DW:$DW))</f>
        <v>22022854.686046194</v>
      </c>
      <c r="C11" s="118">
        <f>$C$5*('Rate History'!$C$4*SUMIF(Data!$G:$G,Neutral!$A11,Data!$CU:$CU)+'Rate History'!$C$5*SUMIF(Data!$G:$G,Neutral!$A11,Data!$CV:$CV)+'Rate History'!$C$6*SUMIF(Data!$G:$G,Neutral!$A11,Data!$CW:$CW)+'Rate History'!$C$7*SUMIF(Data!$G:$G,Neutral!$A11,Data!$CX:$CX)+'Rate History'!$C$8*SUMIF(Data!$G:$G,Neutral!$A11,Data!$CY:$CY)+'Rate History'!$C$9*SUMIF(Data!$G:$G,Neutral!$A11,Data!$CZ:$CZ)+'Rate History'!$C$10*SUMIF(Data!$G:$G,Neutral!$A11,Data!$DA:$DA)+'Rate History'!$C$11*SUMIF(Data!$G:$G,Neutral!$A11,Data!$DB:$DB)+'Rate History'!$C$12*SUMIF(Data!$G:$G,Neutral!$A11,Data!$DC:$DC)+'Rate History'!$C$13*SUMIF(Data!$G:$G,Neutral!$A11,Data!$DD:$DD)+'Rate History'!$C$14*SUMIF(Data!$G:$G,Neutral!$A11,Data!$DE:$DE)+'Rate History'!$C$15*SUMIF(Data!$G:$G,Neutral!$A11,Data!$DF:$DF)+'Rate History'!$C$16*SUMIF(Data!$G:$G,Neutral!$A11,Data!$DG:$DG)+'Rate History'!$C$17*SUMIF(Data!$G:$G,Neutral!$A11,Data!$DH:$DH)+'Rate History'!$C$18*SUMIF(Data!$G:$G,Neutral!$A11,Data!$DI:$DI)+'Rate History'!$C$19*SUMIF(Data!$G:$G,Neutral!$A11,Data!$DJ:$DJ)+'Rate History'!$C$20*SUMIF(Data!$G:$G,Neutral!$A11,Data!$DK:$DK)+'Rate History'!$C$21*SUMIF(Data!$G:$G,Neutral!$A11,Data!$DL:$DL)+'Rate History'!$C$22*SUMIF(Data!$G:$G,Neutral!$A11,Data!$DM:$DM)+'Rate History'!$C$23*SUMIF(Data!$G:$G,Neutral!$A11,Data!$DN:$DN)+'Rate History'!$C$24*SUMIF(Data!$G:$G,Neutral!$A11,Data!$DO:$DO)+'Rate History'!$C$25*SUMIF(Data!$G:$G,Neutral!$A11,Data!$DP:$DP)+'Rate History'!$C$26*SUMIF(Data!$G:$G,Neutral!$A11,Data!$DQ:$DQ)+'Rate History'!$C$27*SUMIF(Data!$G:$G,Neutral!$A11,Data!$DR:$DR)+'Rate History'!$C$28*SUMIF(Data!$G:$G,Neutral!$A11,Data!$DS:$DS)+'Rate History'!$C$29*SUMIF(Data!$G:$G,Neutral!$A11,Data!$DT:$DT)+'Rate History'!$C$30*SUMIF(Data!$G:$G,Neutral!$A11,Data!$DV:$DV)+'Rate History'!$C$31*SUMIF(Data!$G:$G,Neutral!$A11,Data!$DW:$DW))</f>
        <v>22050686.234195143</v>
      </c>
      <c r="D11" s="103">
        <f t="shared" si="1"/>
        <v>27831.548148948699</v>
      </c>
      <c r="E11" s="105">
        <f t="shared" si="0"/>
        <v>1.2637575167120784E-3</v>
      </c>
    </row>
    <row r="12" spans="1:6" x14ac:dyDescent="0.25">
      <c r="A12" s="98" t="s">
        <v>419</v>
      </c>
      <c r="B12" s="118">
        <f>$B$5*('Rate History'!$D$4*SUMIF(Data!$G:$G,Neutral!$A12,Data!$CU:$CU)+'Rate History'!$D$5*SUMIF(Data!$G:$G,Neutral!$A12,Data!$CV:$CV)+'Rate History'!$D$6*SUMIF(Data!$G:$G,Neutral!$A12,Data!$CW:$CW)+'Rate History'!$D$7*SUMIF(Data!$G:$G,Neutral!$A12,Data!$CX:$CX)+'Rate History'!$D$8*SUMIF(Data!$G:$G,Neutral!$A12,Data!$CY:$CY)+'Rate History'!$D$9*SUMIF(Data!$G:$G,Neutral!$A12,Data!$CZ:$CZ)+'Rate History'!$D$10*SUMIF(Data!$G:$G,Neutral!$A12,Data!$DA:$DA)+'Rate History'!$D$11*SUMIF(Data!$G:$G,Neutral!$A12,Data!$DB:$DB)+'Rate History'!$D$12*SUMIF(Data!$G:$G,Neutral!$A12,Data!$DC:$DC)+'Rate History'!$D$13*SUMIF(Data!$G:$G,Neutral!$A12,Data!$DD:$DD)+'Rate History'!$D$14*SUMIF(Data!$G:$G,Neutral!$A12,Data!$DE:$DE)+'Rate History'!$D$15*SUMIF(Data!$G:$G,Neutral!$A12,Data!$DF:$DF)+'Rate History'!$D$16*SUMIF(Data!$G:$G,Neutral!$A12,Data!$DG:$DG)+'Rate History'!$D$17*SUMIF(Data!$G:$G,Neutral!$A12,Data!$DH:$DH)+'Rate History'!$D$18*SUMIF(Data!$G:$G,Neutral!$A12,Data!$DI:$DI)+'Rate History'!$D$19*SUMIF(Data!$G:$G,Neutral!$A12,Data!$DJ:$DJ)+'Rate History'!$D$20*SUMIF(Data!$G:$G,Neutral!$A12,Data!$DK:$DK)+'Rate History'!$D$21*SUMIF(Data!$G:$G,Neutral!$A12,Data!$DL:$DL)+'Rate History'!$D$22*SUMIF(Data!$G:$G,Neutral!$A12,Data!$DM:$DM)+'Rate History'!$D$23*SUMIF(Data!$G:$G,Neutral!$A12,Data!$DN:$DN)+'Rate History'!$D$24*SUMIF(Data!$G:$G,Neutral!$A12,Data!$DO:$DO)+'Rate History'!$D$25*SUMIF(Data!$G:$G,Neutral!$A12,Data!$DP:$DP)+'Rate History'!$D$26*SUMIF(Data!$G:$G,Neutral!$A12,Data!$DQ:$DQ)+'Rate History'!$D$27*SUMIF(Data!$G:$G,Neutral!$A12,Data!$DR:$DR)+'Rate History'!$D$28*SUMIF(Data!$G:$G,Neutral!$A12,Data!$DS:$DS)+'Rate History'!$D$29*SUMIF(Data!$G:$G,Neutral!$A12,Data!$DT:$DT)+'Rate History'!$D$30*SUMIF(Data!$G:$G,Neutral!$A12,Data!$DV:$DV)+'Rate History'!$D$31*SUMIF(Data!$G:$G,Neutral!$A12,Data!$DW:$DW))</f>
        <v>4912010.3186341664</v>
      </c>
      <c r="C12" s="118">
        <f>$C$5*('Rate History'!$C$4*SUMIF(Data!$G:$G,Neutral!$A12,Data!$CU:$CU)+'Rate History'!$C$5*SUMIF(Data!$G:$G,Neutral!$A12,Data!$CV:$CV)+'Rate History'!$C$6*SUMIF(Data!$G:$G,Neutral!$A12,Data!$CW:$CW)+'Rate History'!$C$7*SUMIF(Data!$G:$G,Neutral!$A12,Data!$CX:$CX)+'Rate History'!$C$8*SUMIF(Data!$G:$G,Neutral!$A12,Data!$CY:$CY)+'Rate History'!$C$9*SUMIF(Data!$G:$G,Neutral!$A12,Data!$CZ:$CZ)+'Rate History'!$C$10*SUMIF(Data!$G:$G,Neutral!$A12,Data!$DA:$DA)+'Rate History'!$C$11*SUMIF(Data!$G:$G,Neutral!$A12,Data!$DB:$DB)+'Rate History'!$C$12*SUMIF(Data!$G:$G,Neutral!$A12,Data!$DC:$DC)+'Rate History'!$C$13*SUMIF(Data!$G:$G,Neutral!$A12,Data!$DD:$DD)+'Rate History'!$C$14*SUMIF(Data!$G:$G,Neutral!$A12,Data!$DE:$DE)+'Rate History'!$C$15*SUMIF(Data!$G:$G,Neutral!$A12,Data!$DF:$DF)+'Rate History'!$C$16*SUMIF(Data!$G:$G,Neutral!$A12,Data!$DG:$DG)+'Rate History'!$C$17*SUMIF(Data!$G:$G,Neutral!$A12,Data!$DH:$DH)+'Rate History'!$C$18*SUMIF(Data!$G:$G,Neutral!$A12,Data!$DI:$DI)+'Rate History'!$C$19*SUMIF(Data!$G:$G,Neutral!$A12,Data!$DJ:$DJ)+'Rate History'!$C$20*SUMIF(Data!$G:$G,Neutral!$A12,Data!$DK:$DK)+'Rate History'!$C$21*SUMIF(Data!$G:$G,Neutral!$A12,Data!$DL:$DL)+'Rate History'!$C$22*SUMIF(Data!$G:$G,Neutral!$A12,Data!$DM:$DM)+'Rate History'!$C$23*SUMIF(Data!$G:$G,Neutral!$A12,Data!$DN:$DN)+'Rate History'!$C$24*SUMIF(Data!$G:$G,Neutral!$A12,Data!$DO:$DO)+'Rate History'!$C$25*SUMIF(Data!$G:$G,Neutral!$A12,Data!$DP:$DP)+'Rate History'!$C$26*SUMIF(Data!$G:$G,Neutral!$A12,Data!$DQ:$DQ)+'Rate History'!$C$27*SUMIF(Data!$G:$G,Neutral!$A12,Data!$DR:$DR)+'Rate History'!$C$28*SUMIF(Data!$G:$G,Neutral!$A12,Data!$DS:$DS)+'Rate History'!$C$29*SUMIF(Data!$G:$G,Neutral!$A12,Data!$DT:$DT)+'Rate History'!$C$30*SUMIF(Data!$G:$G,Neutral!$A12,Data!$DV:$DV)+'Rate History'!$C$31*SUMIF(Data!$G:$G,Neutral!$A12,Data!$DW:$DW))</f>
        <v>4898796.0086434325</v>
      </c>
      <c r="D12" s="103">
        <f t="shared" si="1"/>
        <v>-13214.309990733862</v>
      </c>
      <c r="E12" s="105">
        <f t="shared" si="0"/>
        <v>-2.6902040373580145E-3</v>
      </c>
    </row>
    <row r="13" spans="1:6" x14ac:dyDescent="0.25">
      <c r="A13" s="98" t="s">
        <v>1225</v>
      </c>
      <c r="B13" s="118">
        <f>$B$5*('Rate History'!$D$4*SUMIF(Data!$G:$G,Neutral!$A13,Data!$CU:$CU)+'Rate History'!$D$5*SUMIF(Data!$G:$G,Neutral!$A13,Data!$CV:$CV)+'Rate History'!$D$6*SUMIF(Data!$G:$G,Neutral!$A13,Data!$CW:$CW)+'Rate History'!$D$7*SUMIF(Data!$G:$G,Neutral!$A13,Data!$CX:$CX)+'Rate History'!$D$8*SUMIF(Data!$G:$G,Neutral!$A13,Data!$CY:$CY)+'Rate History'!$D$9*SUMIF(Data!$G:$G,Neutral!$A13,Data!$CZ:$CZ)+'Rate History'!$D$10*SUMIF(Data!$G:$G,Neutral!$A13,Data!$DA:$DA)+'Rate History'!$D$11*SUMIF(Data!$G:$G,Neutral!$A13,Data!$DB:$DB)+'Rate History'!$D$12*SUMIF(Data!$G:$G,Neutral!$A13,Data!$DC:$DC)+'Rate History'!$D$13*SUMIF(Data!$G:$G,Neutral!$A13,Data!$DD:$DD)+'Rate History'!$D$14*SUMIF(Data!$G:$G,Neutral!$A13,Data!$DE:$DE)+'Rate History'!$D$15*SUMIF(Data!$G:$G,Neutral!$A13,Data!$DF:$DF)+'Rate History'!$D$16*SUMIF(Data!$G:$G,Neutral!$A13,Data!$DG:$DG)+'Rate History'!$D$17*SUMIF(Data!$G:$G,Neutral!$A13,Data!$DH:$DH)+'Rate History'!$D$18*SUMIF(Data!$G:$G,Neutral!$A13,Data!$DI:$DI)+'Rate History'!$D$19*SUMIF(Data!$G:$G,Neutral!$A13,Data!$DJ:$DJ)+'Rate History'!$D$20*SUMIF(Data!$G:$G,Neutral!$A13,Data!$DK:$DK)+'Rate History'!$D$21*SUMIF(Data!$G:$G,Neutral!$A13,Data!$DL:$DL)+'Rate History'!$D$22*SUMIF(Data!$G:$G,Neutral!$A13,Data!$DM:$DM)+'Rate History'!$D$23*SUMIF(Data!$G:$G,Neutral!$A13,Data!$DN:$DN)+'Rate History'!$D$24*SUMIF(Data!$G:$G,Neutral!$A13,Data!$DO:$DO)+'Rate History'!$D$25*SUMIF(Data!$G:$G,Neutral!$A13,Data!$DP:$DP)+'Rate History'!$D$26*SUMIF(Data!$G:$G,Neutral!$A13,Data!$DQ:$DQ)+'Rate History'!$D$27*SUMIF(Data!$G:$G,Neutral!$A13,Data!$DR:$DR)+'Rate History'!$D$28*SUMIF(Data!$G:$G,Neutral!$A13,Data!$DS:$DS)+'Rate History'!$D$29*SUMIF(Data!$G:$G,Neutral!$A13,Data!$DT:$DT)+'Rate History'!$D$30*SUMIF(Data!$G:$G,Neutral!$A13,Data!$DV:$DV)+'Rate History'!$D$31*SUMIF(Data!$G:$G,Neutral!$A13,Data!$DW:$DW))</f>
        <v>20012682.53586838</v>
      </c>
      <c r="C13" s="118">
        <f>$C$5*('Rate History'!$C$4*SUMIF(Data!$G:$G,Neutral!$A13,Data!$CU:$CU)+'Rate History'!$C$5*SUMIF(Data!$G:$G,Neutral!$A13,Data!$CV:$CV)+'Rate History'!$C$6*SUMIF(Data!$G:$G,Neutral!$A13,Data!$CW:$CW)+'Rate History'!$C$7*SUMIF(Data!$G:$G,Neutral!$A13,Data!$CX:$CX)+'Rate History'!$C$8*SUMIF(Data!$G:$G,Neutral!$A13,Data!$CY:$CY)+'Rate History'!$C$9*SUMIF(Data!$G:$G,Neutral!$A13,Data!$CZ:$CZ)+'Rate History'!$C$10*SUMIF(Data!$G:$G,Neutral!$A13,Data!$DA:$DA)+'Rate History'!$C$11*SUMIF(Data!$G:$G,Neutral!$A13,Data!$DB:$DB)+'Rate History'!$C$12*SUMIF(Data!$G:$G,Neutral!$A13,Data!$DC:$DC)+'Rate History'!$C$13*SUMIF(Data!$G:$G,Neutral!$A13,Data!$DD:$DD)+'Rate History'!$C$14*SUMIF(Data!$G:$G,Neutral!$A13,Data!$DE:$DE)+'Rate History'!$C$15*SUMIF(Data!$G:$G,Neutral!$A13,Data!$DF:$DF)+'Rate History'!$C$16*SUMIF(Data!$G:$G,Neutral!$A13,Data!$DG:$DG)+'Rate History'!$C$17*SUMIF(Data!$G:$G,Neutral!$A13,Data!$DH:$DH)+'Rate History'!$C$18*SUMIF(Data!$G:$G,Neutral!$A13,Data!$DI:$DI)+'Rate History'!$C$19*SUMIF(Data!$G:$G,Neutral!$A13,Data!$DJ:$DJ)+'Rate History'!$C$20*SUMIF(Data!$G:$G,Neutral!$A13,Data!$DK:$DK)+'Rate History'!$C$21*SUMIF(Data!$G:$G,Neutral!$A13,Data!$DL:$DL)+'Rate History'!$C$22*SUMIF(Data!$G:$G,Neutral!$A13,Data!$DM:$DM)+'Rate History'!$C$23*SUMIF(Data!$G:$G,Neutral!$A13,Data!$DN:$DN)+'Rate History'!$C$24*SUMIF(Data!$G:$G,Neutral!$A13,Data!$DO:$DO)+'Rate History'!$C$25*SUMIF(Data!$G:$G,Neutral!$A13,Data!$DP:$DP)+'Rate History'!$C$26*SUMIF(Data!$G:$G,Neutral!$A13,Data!$DQ:$DQ)+'Rate History'!$C$27*SUMIF(Data!$G:$G,Neutral!$A13,Data!$DR:$DR)+'Rate History'!$C$28*SUMIF(Data!$G:$G,Neutral!$A13,Data!$DS:$DS)+'Rate History'!$C$29*SUMIF(Data!$G:$G,Neutral!$A13,Data!$DT:$DT)+'Rate History'!$C$30*SUMIF(Data!$G:$G,Neutral!$A13,Data!$DV:$DV)+'Rate History'!$C$31*SUMIF(Data!$G:$G,Neutral!$A13,Data!$DW:$DW))</f>
        <v>19957092.437168922</v>
      </c>
      <c r="D13" s="103">
        <f t="shared" si="1"/>
        <v>-55590.098699457943</v>
      </c>
      <c r="E13" s="105">
        <f t="shared" si="0"/>
        <v>-2.7777434933984879E-3</v>
      </c>
    </row>
    <row r="14" spans="1:6" x14ac:dyDescent="0.25">
      <c r="A14" s="98" t="s">
        <v>359</v>
      </c>
      <c r="B14" s="118">
        <f>$B$5*('Rate History'!$D$4*SUMIF(Data!$G:$G,Neutral!$A14,Data!$CU:$CU)+'Rate History'!$D$5*SUMIF(Data!$G:$G,Neutral!$A14,Data!$CV:$CV)+'Rate History'!$D$6*SUMIF(Data!$G:$G,Neutral!$A14,Data!$CW:$CW)+'Rate History'!$D$7*SUMIF(Data!$G:$G,Neutral!$A14,Data!$CX:$CX)+'Rate History'!$D$8*SUMIF(Data!$G:$G,Neutral!$A14,Data!$CY:$CY)+'Rate History'!$D$9*SUMIF(Data!$G:$G,Neutral!$A14,Data!$CZ:$CZ)+'Rate History'!$D$10*SUMIF(Data!$G:$G,Neutral!$A14,Data!$DA:$DA)+'Rate History'!$D$11*SUMIF(Data!$G:$G,Neutral!$A14,Data!$DB:$DB)+'Rate History'!$D$12*SUMIF(Data!$G:$G,Neutral!$A14,Data!$DC:$DC)+'Rate History'!$D$13*SUMIF(Data!$G:$G,Neutral!$A14,Data!$DD:$DD)+'Rate History'!$D$14*SUMIF(Data!$G:$G,Neutral!$A14,Data!$DE:$DE)+'Rate History'!$D$15*SUMIF(Data!$G:$G,Neutral!$A14,Data!$DF:$DF)+'Rate History'!$D$16*SUMIF(Data!$G:$G,Neutral!$A14,Data!$DG:$DG)+'Rate History'!$D$17*SUMIF(Data!$G:$G,Neutral!$A14,Data!$DH:$DH)+'Rate History'!$D$18*SUMIF(Data!$G:$G,Neutral!$A14,Data!$DI:$DI)+'Rate History'!$D$19*SUMIF(Data!$G:$G,Neutral!$A14,Data!$DJ:$DJ)+'Rate History'!$D$20*SUMIF(Data!$G:$G,Neutral!$A14,Data!$DK:$DK)+'Rate History'!$D$21*SUMIF(Data!$G:$G,Neutral!$A14,Data!$DL:$DL)+'Rate History'!$D$22*SUMIF(Data!$G:$G,Neutral!$A14,Data!$DM:$DM)+'Rate History'!$D$23*SUMIF(Data!$G:$G,Neutral!$A14,Data!$DN:$DN)+'Rate History'!$D$24*SUMIF(Data!$G:$G,Neutral!$A14,Data!$DO:$DO)+'Rate History'!$D$25*SUMIF(Data!$G:$G,Neutral!$A14,Data!$DP:$DP)+'Rate History'!$D$26*SUMIF(Data!$G:$G,Neutral!$A14,Data!$DQ:$DQ)+'Rate History'!$D$27*SUMIF(Data!$G:$G,Neutral!$A14,Data!$DR:$DR)+'Rate History'!$D$28*SUMIF(Data!$G:$G,Neutral!$A14,Data!$DS:$DS)+'Rate History'!$D$29*SUMIF(Data!$G:$G,Neutral!$A14,Data!$DT:$DT)+'Rate History'!$D$30*SUMIF(Data!$G:$G,Neutral!$A14,Data!$DV:$DV)+'Rate History'!$D$31*SUMIF(Data!$G:$G,Neutral!$A14,Data!$DW:$DW))</f>
        <v>5267029.0951291407</v>
      </c>
      <c r="C14" s="118">
        <f>$C$5*('Rate History'!$C$4*SUMIF(Data!$G:$G,Neutral!$A14,Data!$CU:$CU)+'Rate History'!$C$5*SUMIF(Data!$G:$G,Neutral!$A14,Data!$CV:$CV)+'Rate History'!$C$6*SUMIF(Data!$G:$G,Neutral!$A14,Data!$CW:$CW)+'Rate History'!$C$7*SUMIF(Data!$G:$G,Neutral!$A14,Data!$CX:$CX)+'Rate History'!$C$8*SUMIF(Data!$G:$G,Neutral!$A14,Data!$CY:$CY)+'Rate History'!$C$9*SUMIF(Data!$G:$G,Neutral!$A14,Data!$CZ:$CZ)+'Rate History'!$C$10*SUMIF(Data!$G:$G,Neutral!$A14,Data!$DA:$DA)+'Rate History'!$C$11*SUMIF(Data!$G:$G,Neutral!$A14,Data!$DB:$DB)+'Rate History'!$C$12*SUMIF(Data!$G:$G,Neutral!$A14,Data!$DC:$DC)+'Rate History'!$C$13*SUMIF(Data!$G:$G,Neutral!$A14,Data!$DD:$DD)+'Rate History'!$C$14*SUMIF(Data!$G:$G,Neutral!$A14,Data!$DE:$DE)+'Rate History'!$C$15*SUMIF(Data!$G:$G,Neutral!$A14,Data!$DF:$DF)+'Rate History'!$C$16*SUMIF(Data!$G:$G,Neutral!$A14,Data!$DG:$DG)+'Rate History'!$C$17*SUMIF(Data!$G:$G,Neutral!$A14,Data!$DH:$DH)+'Rate History'!$C$18*SUMIF(Data!$G:$G,Neutral!$A14,Data!$DI:$DI)+'Rate History'!$C$19*SUMIF(Data!$G:$G,Neutral!$A14,Data!$DJ:$DJ)+'Rate History'!$C$20*SUMIF(Data!$G:$G,Neutral!$A14,Data!$DK:$DK)+'Rate History'!$C$21*SUMIF(Data!$G:$G,Neutral!$A14,Data!$DL:$DL)+'Rate History'!$C$22*SUMIF(Data!$G:$G,Neutral!$A14,Data!$DM:$DM)+'Rate History'!$C$23*SUMIF(Data!$G:$G,Neutral!$A14,Data!$DN:$DN)+'Rate History'!$C$24*SUMIF(Data!$G:$G,Neutral!$A14,Data!$DO:$DO)+'Rate History'!$C$25*SUMIF(Data!$G:$G,Neutral!$A14,Data!$DP:$DP)+'Rate History'!$C$26*SUMIF(Data!$G:$G,Neutral!$A14,Data!$DQ:$DQ)+'Rate History'!$C$27*SUMIF(Data!$G:$G,Neutral!$A14,Data!$DR:$DR)+'Rate History'!$C$28*SUMIF(Data!$G:$G,Neutral!$A14,Data!$DS:$DS)+'Rate History'!$C$29*SUMIF(Data!$G:$G,Neutral!$A14,Data!$DT:$DT)+'Rate History'!$C$30*SUMIF(Data!$G:$G,Neutral!$A14,Data!$DV:$DV)+'Rate History'!$C$31*SUMIF(Data!$G:$G,Neutral!$A14,Data!$DW:$DW))</f>
        <v>5274259.9317333223</v>
      </c>
      <c r="D14" s="103">
        <f t="shared" si="1"/>
        <v>7230.8366041816771</v>
      </c>
      <c r="E14" s="105">
        <f t="shared" si="0"/>
        <v>1.3728491856763488E-3</v>
      </c>
    </row>
    <row r="15" spans="1:6" x14ac:dyDescent="0.25">
      <c r="A15" s="98" t="s">
        <v>361</v>
      </c>
      <c r="B15" s="118">
        <f>$B$5*('Rate History'!$D$4*SUMIF(Data!$G:$G,Neutral!$A15,Data!$CU:$CU)+'Rate History'!$D$5*SUMIF(Data!$G:$G,Neutral!$A15,Data!$CV:$CV)+'Rate History'!$D$6*SUMIF(Data!$G:$G,Neutral!$A15,Data!$CW:$CW)+'Rate History'!$D$7*SUMIF(Data!$G:$G,Neutral!$A15,Data!$CX:$CX)+'Rate History'!$D$8*SUMIF(Data!$G:$G,Neutral!$A15,Data!$CY:$CY)+'Rate History'!$D$9*SUMIF(Data!$G:$G,Neutral!$A15,Data!$CZ:$CZ)+'Rate History'!$D$10*SUMIF(Data!$G:$G,Neutral!$A15,Data!$DA:$DA)+'Rate History'!$D$11*SUMIF(Data!$G:$G,Neutral!$A15,Data!$DB:$DB)+'Rate History'!$D$12*SUMIF(Data!$G:$G,Neutral!$A15,Data!$DC:$DC)+'Rate History'!$D$13*SUMIF(Data!$G:$G,Neutral!$A15,Data!$DD:$DD)+'Rate History'!$D$14*SUMIF(Data!$G:$G,Neutral!$A15,Data!$DE:$DE)+'Rate History'!$D$15*SUMIF(Data!$G:$G,Neutral!$A15,Data!$DF:$DF)+'Rate History'!$D$16*SUMIF(Data!$G:$G,Neutral!$A15,Data!$DG:$DG)+'Rate History'!$D$17*SUMIF(Data!$G:$G,Neutral!$A15,Data!$DH:$DH)+'Rate History'!$D$18*SUMIF(Data!$G:$G,Neutral!$A15,Data!$DI:$DI)+'Rate History'!$D$19*SUMIF(Data!$G:$G,Neutral!$A15,Data!$DJ:$DJ)+'Rate History'!$D$20*SUMIF(Data!$G:$G,Neutral!$A15,Data!$DK:$DK)+'Rate History'!$D$21*SUMIF(Data!$G:$G,Neutral!$A15,Data!$DL:$DL)+'Rate History'!$D$22*SUMIF(Data!$G:$G,Neutral!$A15,Data!$DM:$DM)+'Rate History'!$D$23*SUMIF(Data!$G:$G,Neutral!$A15,Data!$DN:$DN)+'Rate History'!$D$24*SUMIF(Data!$G:$G,Neutral!$A15,Data!$DO:$DO)+'Rate History'!$D$25*SUMIF(Data!$G:$G,Neutral!$A15,Data!$DP:$DP)+'Rate History'!$D$26*SUMIF(Data!$G:$G,Neutral!$A15,Data!$DQ:$DQ)+'Rate History'!$D$27*SUMIF(Data!$G:$G,Neutral!$A15,Data!$DR:$DR)+'Rate History'!$D$28*SUMIF(Data!$G:$G,Neutral!$A15,Data!$DS:$DS)+'Rate History'!$D$29*SUMIF(Data!$G:$G,Neutral!$A15,Data!$DT:$DT)+'Rate History'!$D$30*SUMIF(Data!$G:$G,Neutral!$A15,Data!$DV:$DV)+'Rate History'!$D$31*SUMIF(Data!$G:$G,Neutral!$A15,Data!$DW:$DW))</f>
        <v>2135311.6291271481</v>
      </c>
      <c r="C15" s="118">
        <f>$C$5*('Rate History'!$C$4*SUMIF(Data!$G:$G,Neutral!$A15,Data!$CU:$CU)+'Rate History'!$C$5*SUMIF(Data!$G:$G,Neutral!$A15,Data!$CV:$CV)+'Rate History'!$C$6*SUMIF(Data!$G:$G,Neutral!$A15,Data!$CW:$CW)+'Rate History'!$C$7*SUMIF(Data!$G:$G,Neutral!$A15,Data!$CX:$CX)+'Rate History'!$C$8*SUMIF(Data!$G:$G,Neutral!$A15,Data!$CY:$CY)+'Rate History'!$C$9*SUMIF(Data!$G:$G,Neutral!$A15,Data!$CZ:$CZ)+'Rate History'!$C$10*SUMIF(Data!$G:$G,Neutral!$A15,Data!$DA:$DA)+'Rate History'!$C$11*SUMIF(Data!$G:$G,Neutral!$A15,Data!$DB:$DB)+'Rate History'!$C$12*SUMIF(Data!$G:$G,Neutral!$A15,Data!$DC:$DC)+'Rate History'!$C$13*SUMIF(Data!$G:$G,Neutral!$A15,Data!$DD:$DD)+'Rate History'!$C$14*SUMIF(Data!$G:$G,Neutral!$A15,Data!$DE:$DE)+'Rate History'!$C$15*SUMIF(Data!$G:$G,Neutral!$A15,Data!$DF:$DF)+'Rate History'!$C$16*SUMIF(Data!$G:$G,Neutral!$A15,Data!$DG:$DG)+'Rate History'!$C$17*SUMIF(Data!$G:$G,Neutral!$A15,Data!$DH:$DH)+'Rate History'!$C$18*SUMIF(Data!$G:$G,Neutral!$A15,Data!$DI:$DI)+'Rate History'!$C$19*SUMIF(Data!$G:$G,Neutral!$A15,Data!$DJ:$DJ)+'Rate History'!$C$20*SUMIF(Data!$G:$G,Neutral!$A15,Data!$DK:$DK)+'Rate History'!$C$21*SUMIF(Data!$G:$G,Neutral!$A15,Data!$DL:$DL)+'Rate History'!$C$22*SUMIF(Data!$G:$G,Neutral!$A15,Data!$DM:$DM)+'Rate History'!$C$23*SUMIF(Data!$G:$G,Neutral!$A15,Data!$DN:$DN)+'Rate History'!$C$24*SUMIF(Data!$G:$G,Neutral!$A15,Data!$DO:$DO)+'Rate History'!$C$25*SUMIF(Data!$G:$G,Neutral!$A15,Data!$DP:$DP)+'Rate History'!$C$26*SUMIF(Data!$G:$G,Neutral!$A15,Data!$DQ:$DQ)+'Rate History'!$C$27*SUMIF(Data!$G:$G,Neutral!$A15,Data!$DR:$DR)+'Rate History'!$C$28*SUMIF(Data!$G:$G,Neutral!$A15,Data!$DS:$DS)+'Rate History'!$C$29*SUMIF(Data!$G:$G,Neutral!$A15,Data!$DT:$DT)+'Rate History'!$C$30*SUMIF(Data!$G:$G,Neutral!$A15,Data!$DV:$DV)+'Rate History'!$C$31*SUMIF(Data!$G:$G,Neutral!$A15,Data!$DW:$DW))</f>
        <v>2143751.7423397843</v>
      </c>
      <c r="D15" s="103">
        <f t="shared" si="1"/>
        <v>8440.1132126362063</v>
      </c>
      <c r="E15" s="105">
        <f t="shared" si="0"/>
        <v>3.9526376841240145E-3</v>
      </c>
    </row>
    <row r="16" spans="1:6" x14ac:dyDescent="0.25">
      <c r="A16" s="98" t="s">
        <v>355</v>
      </c>
      <c r="B16" s="118">
        <f>$B$5*('Rate History'!$D$4*SUMIF(Data!$G:$G,Neutral!$A16,Data!$CU:$CU)+'Rate History'!$D$5*SUMIF(Data!$G:$G,Neutral!$A16,Data!$CV:$CV)+'Rate History'!$D$6*SUMIF(Data!$G:$G,Neutral!$A16,Data!$CW:$CW)+'Rate History'!$D$7*SUMIF(Data!$G:$G,Neutral!$A16,Data!$CX:$CX)+'Rate History'!$D$8*SUMIF(Data!$G:$G,Neutral!$A16,Data!$CY:$CY)+'Rate History'!$D$9*SUMIF(Data!$G:$G,Neutral!$A16,Data!$CZ:$CZ)+'Rate History'!$D$10*SUMIF(Data!$G:$G,Neutral!$A16,Data!$DA:$DA)+'Rate History'!$D$11*SUMIF(Data!$G:$G,Neutral!$A16,Data!$DB:$DB)+'Rate History'!$D$12*SUMIF(Data!$G:$G,Neutral!$A16,Data!$DC:$DC)+'Rate History'!$D$13*SUMIF(Data!$G:$G,Neutral!$A16,Data!$DD:$DD)+'Rate History'!$D$14*SUMIF(Data!$G:$G,Neutral!$A16,Data!$DE:$DE)+'Rate History'!$D$15*SUMIF(Data!$G:$G,Neutral!$A16,Data!$DF:$DF)+'Rate History'!$D$16*SUMIF(Data!$G:$G,Neutral!$A16,Data!$DG:$DG)+'Rate History'!$D$17*SUMIF(Data!$G:$G,Neutral!$A16,Data!$DH:$DH)+'Rate History'!$D$18*SUMIF(Data!$G:$G,Neutral!$A16,Data!$DI:$DI)+'Rate History'!$D$19*SUMIF(Data!$G:$G,Neutral!$A16,Data!$DJ:$DJ)+'Rate History'!$D$20*SUMIF(Data!$G:$G,Neutral!$A16,Data!$DK:$DK)+'Rate History'!$D$21*SUMIF(Data!$G:$G,Neutral!$A16,Data!$DL:$DL)+'Rate History'!$D$22*SUMIF(Data!$G:$G,Neutral!$A16,Data!$DM:$DM)+'Rate History'!$D$23*SUMIF(Data!$G:$G,Neutral!$A16,Data!$DN:$DN)+'Rate History'!$D$24*SUMIF(Data!$G:$G,Neutral!$A16,Data!$DO:$DO)+'Rate History'!$D$25*SUMIF(Data!$G:$G,Neutral!$A16,Data!$DP:$DP)+'Rate History'!$D$26*SUMIF(Data!$G:$G,Neutral!$A16,Data!$DQ:$DQ)+'Rate History'!$D$27*SUMIF(Data!$G:$G,Neutral!$A16,Data!$DR:$DR)+'Rate History'!$D$28*SUMIF(Data!$G:$G,Neutral!$A16,Data!$DS:$DS)+'Rate History'!$D$29*SUMIF(Data!$G:$G,Neutral!$A16,Data!$DT:$DT)+'Rate History'!$D$30*SUMIF(Data!$G:$G,Neutral!$A16,Data!$DV:$DV)+'Rate History'!$D$31*SUMIF(Data!$G:$G,Neutral!$A16,Data!$DW:$DW))</f>
        <v>5272562.8927479098</v>
      </c>
      <c r="C16" s="118">
        <f>$C$5*('Rate History'!$C$4*SUMIF(Data!$G:$G,Neutral!$A16,Data!$CU:$CU)+'Rate History'!$C$5*SUMIF(Data!$G:$G,Neutral!$A16,Data!$CV:$CV)+'Rate History'!$C$6*SUMIF(Data!$G:$G,Neutral!$A16,Data!$CW:$CW)+'Rate History'!$C$7*SUMIF(Data!$G:$G,Neutral!$A16,Data!$CX:$CX)+'Rate History'!$C$8*SUMIF(Data!$G:$G,Neutral!$A16,Data!$CY:$CY)+'Rate History'!$C$9*SUMIF(Data!$G:$G,Neutral!$A16,Data!$CZ:$CZ)+'Rate History'!$C$10*SUMIF(Data!$G:$G,Neutral!$A16,Data!$DA:$DA)+'Rate History'!$C$11*SUMIF(Data!$G:$G,Neutral!$A16,Data!$DB:$DB)+'Rate History'!$C$12*SUMIF(Data!$G:$G,Neutral!$A16,Data!$DC:$DC)+'Rate History'!$C$13*SUMIF(Data!$G:$G,Neutral!$A16,Data!$DD:$DD)+'Rate History'!$C$14*SUMIF(Data!$G:$G,Neutral!$A16,Data!$DE:$DE)+'Rate History'!$C$15*SUMIF(Data!$G:$G,Neutral!$A16,Data!$DF:$DF)+'Rate History'!$C$16*SUMIF(Data!$G:$G,Neutral!$A16,Data!$DG:$DG)+'Rate History'!$C$17*SUMIF(Data!$G:$G,Neutral!$A16,Data!$DH:$DH)+'Rate History'!$C$18*SUMIF(Data!$G:$G,Neutral!$A16,Data!$DI:$DI)+'Rate History'!$C$19*SUMIF(Data!$G:$G,Neutral!$A16,Data!$DJ:$DJ)+'Rate History'!$C$20*SUMIF(Data!$G:$G,Neutral!$A16,Data!$DK:$DK)+'Rate History'!$C$21*SUMIF(Data!$G:$G,Neutral!$A16,Data!$DL:$DL)+'Rate History'!$C$22*SUMIF(Data!$G:$G,Neutral!$A16,Data!$DM:$DM)+'Rate History'!$C$23*SUMIF(Data!$G:$G,Neutral!$A16,Data!$DN:$DN)+'Rate History'!$C$24*SUMIF(Data!$G:$G,Neutral!$A16,Data!$DO:$DO)+'Rate History'!$C$25*SUMIF(Data!$G:$G,Neutral!$A16,Data!$DP:$DP)+'Rate History'!$C$26*SUMIF(Data!$G:$G,Neutral!$A16,Data!$DQ:$DQ)+'Rate History'!$C$27*SUMIF(Data!$G:$G,Neutral!$A16,Data!$DR:$DR)+'Rate History'!$C$28*SUMIF(Data!$G:$G,Neutral!$A16,Data!$DS:$DS)+'Rate History'!$C$29*SUMIF(Data!$G:$G,Neutral!$A16,Data!$DT:$DT)+'Rate History'!$C$30*SUMIF(Data!$G:$G,Neutral!$A16,Data!$DV:$DV)+'Rate History'!$C$31*SUMIF(Data!$G:$G,Neutral!$A16,Data!$DW:$DW))</f>
        <v>5279355.4865306038</v>
      </c>
      <c r="D16" s="103">
        <f t="shared" si="1"/>
        <v>6792.593782694079</v>
      </c>
      <c r="E16" s="105">
        <f t="shared" si="0"/>
        <v>1.2882907081178453E-3</v>
      </c>
    </row>
    <row r="17" spans="1:5" x14ac:dyDescent="0.25">
      <c r="A17" s="98" t="s">
        <v>1240</v>
      </c>
      <c r="B17" s="118">
        <f>$B$5*('Rate History'!$D$4*SUMIF(Data!$G:$G,Neutral!$A17,Data!$CU:$CU)+'Rate History'!$D$5*SUMIF(Data!$G:$G,Neutral!$A17,Data!$CV:$CV)+'Rate History'!$D$6*SUMIF(Data!$G:$G,Neutral!$A17,Data!$CW:$CW)+'Rate History'!$D$7*SUMIF(Data!$G:$G,Neutral!$A17,Data!$CX:$CX)+'Rate History'!$D$8*SUMIF(Data!$G:$G,Neutral!$A17,Data!$CY:$CY)+'Rate History'!$D$9*SUMIF(Data!$G:$G,Neutral!$A17,Data!$CZ:$CZ)+'Rate History'!$D$10*SUMIF(Data!$G:$G,Neutral!$A17,Data!$DA:$DA)+'Rate History'!$D$11*SUMIF(Data!$G:$G,Neutral!$A17,Data!$DB:$DB)+'Rate History'!$D$12*SUMIF(Data!$G:$G,Neutral!$A17,Data!$DC:$DC)+'Rate History'!$D$13*SUMIF(Data!$G:$G,Neutral!$A17,Data!$DD:$DD)+'Rate History'!$D$14*SUMIF(Data!$G:$G,Neutral!$A17,Data!$DE:$DE)+'Rate History'!$D$15*SUMIF(Data!$G:$G,Neutral!$A17,Data!$DF:$DF)+'Rate History'!$D$16*SUMIF(Data!$G:$G,Neutral!$A17,Data!$DG:$DG)+'Rate History'!$D$17*SUMIF(Data!$G:$G,Neutral!$A17,Data!$DH:$DH)+'Rate History'!$D$18*SUMIF(Data!$G:$G,Neutral!$A17,Data!$DI:$DI)+'Rate History'!$D$19*SUMIF(Data!$G:$G,Neutral!$A17,Data!$DJ:$DJ)+'Rate History'!$D$20*SUMIF(Data!$G:$G,Neutral!$A17,Data!$DK:$DK)+'Rate History'!$D$21*SUMIF(Data!$G:$G,Neutral!$A17,Data!$DL:$DL)+'Rate History'!$D$22*SUMIF(Data!$G:$G,Neutral!$A17,Data!$DM:$DM)+'Rate History'!$D$23*SUMIF(Data!$G:$G,Neutral!$A17,Data!$DN:$DN)+'Rate History'!$D$24*SUMIF(Data!$G:$G,Neutral!$A17,Data!$DO:$DO)+'Rate History'!$D$25*SUMIF(Data!$G:$G,Neutral!$A17,Data!$DP:$DP)+'Rate History'!$D$26*SUMIF(Data!$G:$G,Neutral!$A17,Data!$DQ:$DQ)+'Rate History'!$D$27*SUMIF(Data!$G:$G,Neutral!$A17,Data!$DR:$DR)+'Rate History'!$D$28*SUMIF(Data!$G:$G,Neutral!$A17,Data!$DS:$DS)+'Rate History'!$D$29*SUMIF(Data!$G:$G,Neutral!$A17,Data!$DT:$DT)+'Rate History'!$D$30*SUMIF(Data!$G:$G,Neutral!$A17,Data!$DV:$DV)+'Rate History'!$D$31*SUMIF(Data!$G:$G,Neutral!$A17,Data!$DW:$DW))</f>
        <v>5837060.0380963217</v>
      </c>
      <c r="C17" s="118">
        <f>$C$5*('Rate History'!$C$4*SUMIF(Data!$G:$G,Neutral!$A17,Data!$CU:$CU)+'Rate History'!$C$5*SUMIF(Data!$G:$G,Neutral!$A17,Data!$CV:$CV)+'Rate History'!$C$6*SUMIF(Data!$G:$G,Neutral!$A17,Data!$CW:$CW)+'Rate History'!$C$7*SUMIF(Data!$G:$G,Neutral!$A17,Data!$CX:$CX)+'Rate History'!$C$8*SUMIF(Data!$G:$G,Neutral!$A17,Data!$CY:$CY)+'Rate History'!$C$9*SUMIF(Data!$G:$G,Neutral!$A17,Data!$CZ:$CZ)+'Rate History'!$C$10*SUMIF(Data!$G:$G,Neutral!$A17,Data!$DA:$DA)+'Rate History'!$C$11*SUMIF(Data!$G:$G,Neutral!$A17,Data!$DB:$DB)+'Rate History'!$C$12*SUMIF(Data!$G:$G,Neutral!$A17,Data!$DC:$DC)+'Rate History'!$C$13*SUMIF(Data!$G:$G,Neutral!$A17,Data!$DD:$DD)+'Rate History'!$C$14*SUMIF(Data!$G:$G,Neutral!$A17,Data!$DE:$DE)+'Rate History'!$C$15*SUMIF(Data!$G:$G,Neutral!$A17,Data!$DF:$DF)+'Rate History'!$C$16*SUMIF(Data!$G:$G,Neutral!$A17,Data!$DG:$DG)+'Rate History'!$C$17*SUMIF(Data!$G:$G,Neutral!$A17,Data!$DH:$DH)+'Rate History'!$C$18*SUMIF(Data!$G:$G,Neutral!$A17,Data!$DI:$DI)+'Rate History'!$C$19*SUMIF(Data!$G:$G,Neutral!$A17,Data!$DJ:$DJ)+'Rate History'!$C$20*SUMIF(Data!$G:$G,Neutral!$A17,Data!$DK:$DK)+'Rate History'!$C$21*SUMIF(Data!$G:$G,Neutral!$A17,Data!$DL:$DL)+'Rate History'!$C$22*SUMIF(Data!$G:$G,Neutral!$A17,Data!$DM:$DM)+'Rate History'!$C$23*SUMIF(Data!$G:$G,Neutral!$A17,Data!$DN:$DN)+'Rate History'!$C$24*SUMIF(Data!$G:$G,Neutral!$A17,Data!$DO:$DO)+'Rate History'!$C$25*SUMIF(Data!$G:$G,Neutral!$A17,Data!$DP:$DP)+'Rate History'!$C$26*SUMIF(Data!$G:$G,Neutral!$A17,Data!$DQ:$DQ)+'Rate History'!$C$27*SUMIF(Data!$G:$G,Neutral!$A17,Data!$DR:$DR)+'Rate History'!$C$28*SUMIF(Data!$G:$G,Neutral!$A17,Data!$DS:$DS)+'Rate History'!$C$29*SUMIF(Data!$G:$G,Neutral!$A17,Data!$DT:$DT)+'Rate History'!$C$30*SUMIF(Data!$G:$G,Neutral!$A17,Data!$DV:$DV)+'Rate History'!$C$31*SUMIF(Data!$G:$G,Neutral!$A17,Data!$DW:$DW))</f>
        <v>5847465.1783769783</v>
      </c>
      <c r="D17" s="103">
        <f t="shared" si="1"/>
        <v>10405.140280656517</v>
      </c>
      <c r="E17" s="105">
        <f t="shared" si="0"/>
        <v>1.7825994957643115E-3</v>
      </c>
    </row>
    <row r="18" spans="1:5" x14ac:dyDescent="0.25">
      <c r="A18" s="98" t="s">
        <v>1311</v>
      </c>
      <c r="B18" s="118">
        <f>$B$5*('Rate History'!$D$4*SUMIF(Data!$G:$G,Neutral!$A18,Data!$CU:$CU)+'Rate History'!$D$5*SUMIF(Data!$G:$G,Neutral!$A18,Data!$CV:$CV)+'Rate History'!$D$6*SUMIF(Data!$G:$G,Neutral!$A18,Data!$CW:$CW)+'Rate History'!$D$7*SUMIF(Data!$G:$G,Neutral!$A18,Data!$CX:$CX)+'Rate History'!$D$8*SUMIF(Data!$G:$G,Neutral!$A18,Data!$CY:$CY)+'Rate History'!$D$9*SUMIF(Data!$G:$G,Neutral!$A18,Data!$CZ:$CZ)+'Rate History'!$D$10*SUMIF(Data!$G:$G,Neutral!$A18,Data!$DA:$DA)+'Rate History'!$D$11*SUMIF(Data!$G:$G,Neutral!$A18,Data!$DB:$DB)+'Rate History'!$D$12*SUMIF(Data!$G:$G,Neutral!$A18,Data!$DC:$DC)+'Rate History'!$D$13*SUMIF(Data!$G:$G,Neutral!$A18,Data!$DD:$DD)+'Rate History'!$D$14*SUMIF(Data!$G:$G,Neutral!$A18,Data!$DE:$DE)+'Rate History'!$D$15*SUMIF(Data!$G:$G,Neutral!$A18,Data!$DF:$DF)+'Rate History'!$D$16*SUMIF(Data!$G:$G,Neutral!$A18,Data!$DG:$DG)+'Rate History'!$D$17*SUMIF(Data!$G:$G,Neutral!$A18,Data!$DH:$DH)+'Rate History'!$D$18*SUMIF(Data!$G:$G,Neutral!$A18,Data!$DI:$DI)+'Rate History'!$D$19*SUMIF(Data!$G:$G,Neutral!$A18,Data!$DJ:$DJ)+'Rate History'!$D$20*SUMIF(Data!$G:$G,Neutral!$A18,Data!$DK:$DK)+'Rate History'!$D$21*SUMIF(Data!$G:$G,Neutral!$A18,Data!$DL:$DL)+'Rate History'!$D$22*SUMIF(Data!$G:$G,Neutral!$A18,Data!$DM:$DM)+'Rate History'!$D$23*SUMIF(Data!$G:$G,Neutral!$A18,Data!$DN:$DN)+'Rate History'!$D$24*SUMIF(Data!$G:$G,Neutral!$A18,Data!$DO:$DO)+'Rate History'!$D$25*SUMIF(Data!$G:$G,Neutral!$A18,Data!$DP:$DP)+'Rate History'!$D$26*SUMIF(Data!$G:$G,Neutral!$A18,Data!$DQ:$DQ)+'Rate History'!$D$27*SUMIF(Data!$G:$G,Neutral!$A18,Data!$DR:$DR)+'Rate History'!$D$28*SUMIF(Data!$G:$G,Neutral!$A18,Data!$DS:$DS)+'Rate History'!$D$29*SUMIF(Data!$G:$G,Neutral!$A18,Data!$DT:$DT)+'Rate History'!$D$30*SUMIF(Data!$G:$G,Neutral!$A18,Data!$DV:$DV)+'Rate History'!$D$31*SUMIF(Data!$G:$G,Neutral!$A18,Data!$DW:$DW))</f>
        <v>31725694.929277502</v>
      </c>
      <c r="C18" s="118">
        <f>$C$5*('Rate History'!$C$4*SUMIF(Data!$G:$G,Neutral!$A18,Data!$CU:$CU)+'Rate History'!$C$5*SUMIF(Data!$G:$G,Neutral!$A18,Data!$CV:$CV)+'Rate History'!$C$6*SUMIF(Data!$G:$G,Neutral!$A18,Data!$CW:$CW)+'Rate History'!$C$7*SUMIF(Data!$G:$G,Neutral!$A18,Data!$CX:$CX)+'Rate History'!$C$8*SUMIF(Data!$G:$G,Neutral!$A18,Data!$CY:$CY)+'Rate History'!$C$9*SUMIF(Data!$G:$G,Neutral!$A18,Data!$CZ:$CZ)+'Rate History'!$C$10*SUMIF(Data!$G:$G,Neutral!$A18,Data!$DA:$DA)+'Rate History'!$C$11*SUMIF(Data!$G:$G,Neutral!$A18,Data!$DB:$DB)+'Rate History'!$C$12*SUMIF(Data!$G:$G,Neutral!$A18,Data!$DC:$DC)+'Rate History'!$C$13*SUMIF(Data!$G:$G,Neutral!$A18,Data!$DD:$DD)+'Rate History'!$C$14*SUMIF(Data!$G:$G,Neutral!$A18,Data!$DE:$DE)+'Rate History'!$C$15*SUMIF(Data!$G:$G,Neutral!$A18,Data!$DF:$DF)+'Rate History'!$C$16*SUMIF(Data!$G:$G,Neutral!$A18,Data!$DG:$DG)+'Rate History'!$C$17*SUMIF(Data!$G:$G,Neutral!$A18,Data!$DH:$DH)+'Rate History'!$C$18*SUMIF(Data!$G:$G,Neutral!$A18,Data!$DI:$DI)+'Rate History'!$C$19*SUMIF(Data!$G:$G,Neutral!$A18,Data!$DJ:$DJ)+'Rate History'!$C$20*SUMIF(Data!$G:$G,Neutral!$A18,Data!$DK:$DK)+'Rate History'!$C$21*SUMIF(Data!$G:$G,Neutral!$A18,Data!$DL:$DL)+'Rate History'!$C$22*SUMIF(Data!$G:$G,Neutral!$A18,Data!$DM:$DM)+'Rate History'!$C$23*SUMIF(Data!$G:$G,Neutral!$A18,Data!$DN:$DN)+'Rate History'!$C$24*SUMIF(Data!$G:$G,Neutral!$A18,Data!$DO:$DO)+'Rate History'!$C$25*SUMIF(Data!$G:$G,Neutral!$A18,Data!$DP:$DP)+'Rate History'!$C$26*SUMIF(Data!$G:$G,Neutral!$A18,Data!$DQ:$DQ)+'Rate History'!$C$27*SUMIF(Data!$G:$G,Neutral!$A18,Data!$DR:$DR)+'Rate History'!$C$28*SUMIF(Data!$G:$G,Neutral!$A18,Data!$DS:$DS)+'Rate History'!$C$29*SUMIF(Data!$G:$G,Neutral!$A18,Data!$DT:$DT)+'Rate History'!$C$30*SUMIF(Data!$G:$G,Neutral!$A18,Data!$DV:$DV)+'Rate History'!$C$31*SUMIF(Data!$G:$G,Neutral!$A18,Data!$DW:$DW))</f>
        <v>31690367.188171003</v>
      </c>
      <c r="D18" s="103">
        <f t="shared" si="1"/>
        <v>-35327.741106498986</v>
      </c>
      <c r="E18" s="105">
        <f t="shared" si="0"/>
        <v>-1.1135371876093217E-3</v>
      </c>
    </row>
    <row r="19" spans="1:5" x14ac:dyDescent="0.25">
      <c r="A19" s="98" t="s">
        <v>1317</v>
      </c>
      <c r="B19" s="118">
        <f>$B$5*('Rate History'!$D$4*SUMIF(Data!$G:$G,Neutral!$A19,Data!$CU:$CU)+'Rate History'!$D$5*SUMIF(Data!$G:$G,Neutral!$A19,Data!$CV:$CV)+'Rate History'!$D$6*SUMIF(Data!$G:$G,Neutral!$A19,Data!$CW:$CW)+'Rate History'!$D$7*SUMIF(Data!$G:$G,Neutral!$A19,Data!$CX:$CX)+'Rate History'!$D$8*SUMIF(Data!$G:$G,Neutral!$A19,Data!$CY:$CY)+'Rate History'!$D$9*SUMIF(Data!$G:$G,Neutral!$A19,Data!$CZ:$CZ)+'Rate History'!$D$10*SUMIF(Data!$G:$G,Neutral!$A19,Data!$DA:$DA)+'Rate History'!$D$11*SUMIF(Data!$G:$G,Neutral!$A19,Data!$DB:$DB)+'Rate History'!$D$12*SUMIF(Data!$G:$G,Neutral!$A19,Data!$DC:$DC)+'Rate History'!$D$13*SUMIF(Data!$G:$G,Neutral!$A19,Data!$DD:$DD)+'Rate History'!$D$14*SUMIF(Data!$G:$G,Neutral!$A19,Data!$DE:$DE)+'Rate History'!$D$15*SUMIF(Data!$G:$G,Neutral!$A19,Data!$DF:$DF)+'Rate History'!$D$16*SUMIF(Data!$G:$G,Neutral!$A19,Data!$DG:$DG)+'Rate History'!$D$17*SUMIF(Data!$G:$G,Neutral!$A19,Data!$DH:$DH)+'Rate History'!$D$18*SUMIF(Data!$G:$G,Neutral!$A19,Data!$DI:$DI)+'Rate History'!$D$19*SUMIF(Data!$G:$G,Neutral!$A19,Data!$DJ:$DJ)+'Rate History'!$D$20*SUMIF(Data!$G:$G,Neutral!$A19,Data!$DK:$DK)+'Rate History'!$D$21*SUMIF(Data!$G:$G,Neutral!$A19,Data!$DL:$DL)+'Rate History'!$D$22*SUMIF(Data!$G:$G,Neutral!$A19,Data!$DM:$DM)+'Rate History'!$D$23*SUMIF(Data!$G:$G,Neutral!$A19,Data!$DN:$DN)+'Rate History'!$D$24*SUMIF(Data!$G:$G,Neutral!$A19,Data!$DO:$DO)+'Rate History'!$D$25*SUMIF(Data!$G:$G,Neutral!$A19,Data!$DP:$DP)+'Rate History'!$D$26*SUMIF(Data!$G:$G,Neutral!$A19,Data!$DQ:$DQ)+'Rate History'!$D$27*SUMIF(Data!$G:$G,Neutral!$A19,Data!$DR:$DR)+'Rate History'!$D$28*SUMIF(Data!$G:$G,Neutral!$A19,Data!$DS:$DS)+'Rate History'!$D$29*SUMIF(Data!$G:$G,Neutral!$A19,Data!$DT:$DT)+'Rate History'!$D$30*SUMIF(Data!$G:$G,Neutral!$A19,Data!$DV:$DV)+'Rate History'!$D$31*SUMIF(Data!$G:$G,Neutral!$A19,Data!$DW:$DW))</f>
        <v>90627757.077229574</v>
      </c>
      <c r="C19" s="118">
        <f>$C$5*('Rate History'!$C$4*SUMIF(Data!$G:$G,Neutral!$A19,Data!$CU:$CU)+'Rate History'!$C$5*SUMIF(Data!$G:$G,Neutral!$A19,Data!$CV:$CV)+'Rate History'!$C$6*SUMIF(Data!$G:$G,Neutral!$A19,Data!$CW:$CW)+'Rate History'!$C$7*SUMIF(Data!$G:$G,Neutral!$A19,Data!$CX:$CX)+'Rate History'!$C$8*SUMIF(Data!$G:$G,Neutral!$A19,Data!$CY:$CY)+'Rate History'!$C$9*SUMIF(Data!$G:$G,Neutral!$A19,Data!$CZ:$CZ)+'Rate History'!$C$10*SUMIF(Data!$G:$G,Neutral!$A19,Data!$DA:$DA)+'Rate History'!$C$11*SUMIF(Data!$G:$G,Neutral!$A19,Data!$DB:$DB)+'Rate History'!$C$12*SUMIF(Data!$G:$G,Neutral!$A19,Data!$DC:$DC)+'Rate History'!$C$13*SUMIF(Data!$G:$G,Neutral!$A19,Data!$DD:$DD)+'Rate History'!$C$14*SUMIF(Data!$G:$G,Neutral!$A19,Data!$DE:$DE)+'Rate History'!$C$15*SUMIF(Data!$G:$G,Neutral!$A19,Data!$DF:$DF)+'Rate History'!$C$16*SUMIF(Data!$G:$G,Neutral!$A19,Data!$DG:$DG)+'Rate History'!$C$17*SUMIF(Data!$G:$G,Neutral!$A19,Data!$DH:$DH)+'Rate History'!$C$18*SUMIF(Data!$G:$G,Neutral!$A19,Data!$DI:$DI)+'Rate History'!$C$19*SUMIF(Data!$G:$G,Neutral!$A19,Data!$DJ:$DJ)+'Rate History'!$C$20*SUMIF(Data!$G:$G,Neutral!$A19,Data!$DK:$DK)+'Rate History'!$C$21*SUMIF(Data!$G:$G,Neutral!$A19,Data!$DL:$DL)+'Rate History'!$C$22*SUMIF(Data!$G:$G,Neutral!$A19,Data!$DM:$DM)+'Rate History'!$C$23*SUMIF(Data!$G:$G,Neutral!$A19,Data!$DN:$DN)+'Rate History'!$C$24*SUMIF(Data!$G:$G,Neutral!$A19,Data!$DO:$DO)+'Rate History'!$C$25*SUMIF(Data!$G:$G,Neutral!$A19,Data!$DP:$DP)+'Rate History'!$C$26*SUMIF(Data!$G:$G,Neutral!$A19,Data!$DQ:$DQ)+'Rate History'!$C$27*SUMIF(Data!$G:$G,Neutral!$A19,Data!$DR:$DR)+'Rate History'!$C$28*SUMIF(Data!$G:$G,Neutral!$A19,Data!$DS:$DS)+'Rate History'!$C$29*SUMIF(Data!$G:$G,Neutral!$A19,Data!$DT:$DT)+'Rate History'!$C$30*SUMIF(Data!$G:$G,Neutral!$A19,Data!$DV:$DV)+'Rate History'!$C$31*SUMIF(Data!$G:$G,Neutral!$A19,Data!$DW:$DW))</f>
        <v>90450416.811907694</v>
      </c>
      <c r="D19" s="103">
        <f t="shared" si="1"/>
        <v>-177340.26532188058</v>
      </c>
      <c r="E19" s="105">
        <f t="shared" si="0"/>
        <v>-1.9567985685749441E-3</v>
      </c>
    </row>
    <row r="20" spans="1:5" x14ac:dyDescent="0.25">
      <c r="A20" s="98" t="s">
        <v>365</v>
      </c>
      <c r="B20" s="118">
        <f>$B$5*('Rate History'!$D$4*SUMIF(Data!$G:$G,Neutral!$A20,Data!$CU:$CU)+'Rate History'!$D$5*SUMIF(Data!$G:$G,Neutral!$A20,Data!$CV:$CV)+'Rate History'!$D$6*SUMIF(Data!$G:$G,Neutral!$A20,Data!$CW:$CW)+'Rate History'!$D$7*SUMIF(Data!$G:$G,Neutral!$A20,Data!$CX:$CX)+'Rate History'!$D$8*SUMIF(Data!$G:$G,Neutral!$A20,Data!$CY:$CY)+'Rate History'!$D$9*SUMIF(Data!$G:$G,Neutral!$A20,Data!$CZ:$CZ)+'Rate History'!$D$10*SUMIF(Data!$G:$G,Neutral!$A20,Data!$DA:$DA)+'Rate History'!$D$11*SUMIF(Data!$G:$G,Neutral!$A20,Data!$DB:$DB)+'Rate History'!$D$12*SUMIF(Data!$G:$G,Neutral!$A20,Data!$DC:$DC)+'Rate History'!$D$13*SUMIF(Data!$G:$G,Neutral!$A20,Data!$DD:$DD)+'Rate History'!$D$14*SUMIF(Data!$G:$G,Neutral!$A20,Data!$DE:$DE)+'Rate History'!$D$15*SUMIF(Data!$G:$G,Neutral!$A20,Data!$DF:$DF)+'Rate History'!$D$16*SUMIF(Data!$G:$G,Neutral!$A20,Data!$DG:$DG)+'Rate History'!$D$17*SUMIF(Data!$G:$G,Neutral!$A20,Data!$DH:$DH)+'Rate History'!$D$18*SUMIF(Data!$G:$G,Neutral!$A20,Data!$DI:$DI)+'Rate History'!$D$19*SUMIF(Data!$G:$G,Neutral!$A20,Data!$DJ:$DJ)+'Rate History'!$D$20*SUMIF(Data!$G:$G,Neutral!$A20,Data!$DK:$DK)+'Rate History'!$D$21*SUMIF(Data!$G:$G,Neutral!$A20,Data!$DL:$DL)+'Rate History'!$D$22*SUMIF(Data!$G:$G,Neutral!$A20,Data!$DM:$DM)+'Rate History'!$D$23*SUMIF(Data!$G:$G,Neutral!$A20,Data!$DN:$DN)+'Rate History'!$D$24*SUMIF(Data!$G:$G,Neutral!$A20,Data!$DO:$DO)+'Rate History'!$D$25*SUMIF(Data!$G:$G,Neutral!$A20,Data!$DP:$DP)+'Rate History'!$D$26*SUMIF(Data!$G:$G,Neutral!$A20,Data!$DQ:$DQ)+'Rate History'!$D$27*SUMIF(Data!$G:$G,Neutral!$A20,Data!$DR:$DR)+'Rate History'!$D$28*SUMIF(Data!$G:$G,Neutral!$A20,Data!$DS:$DS)+'Rate History'!$D$29*SUMIF(Data!$G:$G,Neutral!$A20,Data!$DT:$DT)+'Rate History'!$D$30*SUMIF(Data!$G:$G,Neutral!$A20,Data!$DV:$DV)+'Rate History'!$D$31*SUMIF(Data!$G:$G,Neutral!$A20,Data!$DW:$DW))</f>
        <v>16242838.42883081</v>
      </c>
      <c r="C20" s="118">
        <f>$C$5*('Rate History'!$C$4*SUMIF(Data!$G:$G,Neutral!$A20,Data!$CU:$CU)+'Rate History'!$C$5*SUMIF(Data!$G:$G,Neutral!$A20,Data!$CV:$CV)+'Rate History'!$C$6*SUMIF(Data!$G:$G,Neutral!$A20,Data!$CW:$CW)+'Rate History'!$C$7*SUMIF(Data!$G:$G,Neutral!$A20,Data!$CX:$CX)+'Rate History'!$C$8*SUMIF(Data!$G:$G,Neutral!$A20,Data!$CY:$CY)+'Rate History'!$C$9*SUMIF(Data!$G:$G,Neutral!$A20,Data!$CZ:$CZ)+'Rate History'!$C$10*SUMIF(Data!$G:$G,Neutral!$A20,Data!$DA:$DA)+'Rate History'!$C$11*SUMIF(Data!$G:$G,Neutral!$A20,Data!$DB:$DB)+'Rate History'!$C$12*SUMIF(Data!$G:$G,Neutral!$A20,Data!$DC:$DC)+'Rate History'!$C$13*SUMIF(Data!$G:$G,Neutral!$A20,Data!$DD:$DD)+'Rate History'!$C$14*SUMIF(Data!$G:$G,Neutral!$A20,Data!$DE:$DE)+'Rate History'!$C$15*SUMIF(Data!$G:$G,Neutral!$A20,Data!$DF:$DF)+'Rate History'!$C$16*SUMIF(Data!$G:$G,Neutral!$A20,Data!$DG:$DG)+'Rate History'!$C$17*SUMIF(Data!$G:$G,Neutral!$A20,Data!$DH:$DH)+'Rate History'!$C$18*SUMIF(Data!$G:$G,Neutral!$A20,Data!$DI:$DI)+'Rate History'!$C$19*SUMIF(Data!$G:$G,Neutral!$A20,Data!$DJ:$DJ)+'Rate History'!$C$20*SUMIF(Data!$G:$G,Neutral!$A20,Data!$DK:$DK)+'Rate History'!$C$21*SUMIF(Data!$G:$G,Neutral!$A20,Data!$DL:$DL)+'Rate History'!$C$22*SUMIF(Data!$G:$G,Neutral!$A20,Data!$DM:$DM)+'Rate History'!$C$23*SUMIF(Data!$G:$G,Neutral!$A20,Data!$DN:$DN)+'Rate History'!$C$24*SUMIF(Data!$G:$G,Neutral!$A20,Data!$DO:$DO)+'Rate History'!$C$25*SUMIF(Data!$G:$G,Neutral!$A20,Data!$DP:$DP)+'Rate History'!$C$26*SUMIF(Data!$G:$G,Neutral!$A20,Data!$DQ:$DQ)+'Rate History'!$C$27*SUMIF(Data!$G:$G,Neutral!$A20,Data!$DR:$DR)+'Rate History'!$C$28*SUMIF(Data!$G:$G,Neutral!$A20,Data!$DS:$DS)+'Rate History'!$C$29*SUMIF(Data!$G:$G,Neutral!$A20,Data!$DT:$DT)+'Rate History'!$C$30*SUMIF(Data!$G:$G,Neutral!$A20,Data!$DV:$DV)+'Rate History'!$C$31*SUMIF(Data!$G:$G,Neutral!$A20,Data!$DW:$DW))</f>
        <v>16271902.811055852</v>
      </c>
      <c r="D20" s="103">
        <f t="shared" si="1"/>
        <v>29064.382225042209</v>
      </c>
      <c r="E20" s="105">
        <f t="shared" si="0"/>
        <v>1.7893659628758813E-3</v>
      </c>
    </row>
    <row r="21" spans="1:5" x14ac:dyDescent="0.25">
      <c r="A21" s="97" t="s">
        <v>1274</v>
      </c>
      <c r="B21" s="118">
        <f>$B$5*('Rate History'!$D$4*SUMIF(Data!$G:$G,Neutral!$A21,Data!$CU:$CU)+'Rate History'!$D$5*SUMIF(Data!$G:$G,Neutral!$A21,Data!$CV:$CV)+'Rate History'!$D$6*SUMIF(Data!$G:$G,Neutral!$A21,Data!$CW:$CW)+'Rate History'!$D$7*SUMIF(Data!$G:$G,Neutral!$A21,Data!$CX:$CX)+'Rate History'!$D$8*SUMIF(Data!$G:$G,Neutral!$A21,Data!$CY:$CY)+'Rate History'!$D$9*SUMIF(Data!$G:$G,Neutral!$A21,Data!$CZ:$CZ)+'Rate History'!$D$10*SUMIF(Data!$G:$G,Neutral!$A21,Data!$DA:$DA)+'Rate History'!$D$11*SUMIF(Data!$G:$G,Neutral!$A21,Data!$DB:$DB)+'Rate History'!$D$12*SUMIF(Data!$G:$G,Neutral!$A21,Data!$DC:$DC)+'Rate History'!$D$13*SUMIF(Data!$G:$G,Neutral!$A21,Data!$DD:$DD)+'Rate History'!$D$14*SUMIF(Data!$G:$G,Neutral!$A21,Data!$DE:$DE)+'Rate History'!$D$15*SUMIF(Data!$G:$G,Neutral!$A21,Data!$DF:$DF)+'Rate History'!$D$16*SUMIF(Data!$G:$G,Neutral!$A21,Data!$DG:$DG)+'Rate History'!$D$17*SUMIF(Data!$G:$G,Neutral!$A21,Data!$DH:$DH)+'Rate History'!$D$18*SUMIF(Data!$G:$G,Neutral!$A21,Data!$DI:$DI)+'Rate History'!$D$19*SUMIF(Data!$G:$G,Neutral!$A21,Data!$DJ:$DJ)+'Rate History'!$D$20*SUMIF(Data!$G:$G,Neutral!$A21,Data!$DK:$DK)+'Rate History'!$D$21*SUMIF(Data!$G:$G,Neutral!$A21,Data!$DL:$DL)+'Rate History'!$D$22*SUMIF(Data!$G:$G,Neutral!$A21,Data!$DM:$DM)+'Rate History'!$D$23*SUMIF(Data!$G:$G,Neutral!$A21,Data!$DN:$DN)+'Rate History'!$D$24*SUMIF(Data!$G:$G,Neutral!$A21,Data!$DO:$DO)+'Rate History'!$D$25*SUMIF(Data!$G:$G,Neutral!$A21,Data!$DP:$DP)+'Rate History'!$D$26*SUMIF(Data!$G:$G,Neutral!$A21,Data!$DQ:$DQ)+'Rate History'!$D$27*SUMIF(Data!$G:$G,Neutral!$A21,Data!$DR:$DR)+'Rate History'!$D$28*SUMIF(Data!$G:$G,Neutral!$A21,Data!$DS:$DS)+'Rate History'!$D$29*SUMIF(Data!$G:$G,Neutral!$A21,Data!$DT:$DT)+'Rate History'!$D$30*SUMIF(Data!$G:$G,Neutral!$A21,Data!$DV:$DV)+'Rate History'!$D$31*SUMIF(Data!$G:$G,Neutral!$A21,Data!$DW:$DW))</f>
        <v>33916912.641201183</v>
      </c>
      <c r="C21" s="118">
        <f>$C$5*('Rate History'!$C$4*SUMIF(Data!$G:$G,Neutral!$A21,Data!$CU:$CU)+'Rate History'!$C$5*SUMIF(Data!$G:$G,Neutral!$A21,Data!$CV:$CV)+'Rate History'!$C$6*SUMIF(Data!$G:$G,Neutral!$A21,Data!$CW:$CW)+'Rate History'!$C$7*SUMIF(Data!$G:$G,Neutral!$A21,Data!$CX:$CX)+'Rate History'!$C$8*SUMIF(Data!$G:$G,Neutral!$A21,Data!$CY:$CY)+'Rate History'!$C$9*SUMIF(Data!$G:$G,Neutral!$A21,Data!$CZ:$CZ)+'Rate History'!$C$10*SUMIF(Data!$G:$G,Neutral!$A21,Data!$DA:$DA)+'Rate History'!$C$11*SUMIF(Data!$G:$G,Neutral!$A21,Data!$DB:$DB)+'Rate History'!$C$12*SUMIF(Data!$G:$G,Neutral!$A21,Data!$DC:$DC)+'Rate History'!$C$13*SUMIF(Data!$G:$G,Neutral!$A21,Data!$DD:$DD)+'Rate History'!$C$14*SUMIF(Data!$G:$G,Neutral!$A21,Data!$DE:$DE)+'Rate History'!$C$15*SUMIF(Data!$G:$G,Neutral!$A21,Data!$DF:$DF)+'Rate History'!$C$16*SUMIF(Data!$G:$G,Neutral!$A21,Data!$DG:$DG)+'Rate History'!$C$17*SUMIF(Data!$G:$G,Neutral!$A21,Data!$DH:$DH)+'Rate History'!$C$18*SUMIF(Data!$G:$G,Neutral!$A21,Data!$DI:$DI)+'Rate History'!$C$19*SUMIF(Data!$G:$G,Neutral!$A21,Data!$DJ:$DJ)+'Rate History'!$C$20*SUMIF(Data!$G:$G,Neutral!$A21,Data!$DK:$DK)+'Rate History'!$C$21*SUMIF(Data!$G:$G,Neutral!$A21,Data!$DL:$DL)+'Rate History'!$C$22*SUMIF(Data!$G:$G,Neutral!$A21,Data!$DM:$DM)+'Rate History'!$C$23*SUMIF(Data!$G:$G,Neutral!$A21,Data!$DN:$DN)+'Rate History'!$C$24*SUMIF(Data!$G:$G,Neutral!$A21,Data!$DO:$DO)+'Rate History'!$C$25*SUMIF(Data!$G:$G,Neutral!$A21,Data!$DP:$DP)+'Rate History'!$C$26*SUMIF(Data!$G:$G,Neutral!$A21,Data!$DQ:$DQ)+'Rate History'!$C$27*SUMIF(Data!$G:$G,Neutral!$A21,Data!$DR:$DR)+'Rate History'!$C$28*SUMIF(Data!$G:$G,Neutral!$A21,Data!$DS:$DS)+'Rate History'!$C$29*SUMIF(Data!$G:$G,Neutral!$A21,Data!$DT:$DT)+'Rate History'!$C$30*SUMIF(Data!$G:$G,Neutral!$A21,Data!$DV:$DV)+'Rate History'!$C$31*SUMIF(Data!$G:$G,Neutral!$A21,Data!$DW:$DW))</f>
        <v>33976207.548286505</v>
      </c>
      <c r="D21" s="103">
        <f t="shared" si="1"/>
        <v>59294.907085321844</v>
      </c>
      <c r="E21" s="105">
        <f t="shared" si="0"/>
        <v>1.7482401099589554E-3</v>
      </c>
    </row>
    <row r="22" spans="1:5" x14ac:dyDescent="0.25">
      <c r="A22" s="98" t="s">
        <v>367</v>
      </c>
      <c r="B22" s="118">
        <f>$B$5*('Rate History'!$D$4*SUMIF(Data!$G:$G,Neutral!$A22,Data!$CU:$CU)+'Rate History'!$D$5*SUMIF(Data!$G:$G,Neutral!$A22,Data!$CV:$CV)+'Rate History'!$D$6*SUMIF(Data!$G:$G,Neutral!$A22,Data!$CW:$CW)+'Rate History'!$D$7*SUMIF(Data!$G:$G,Neutral!$A22,Data!$CX:$CX)+'Rate History'!$D$8*SUMIF(Data!$G:$G,Neutral!$A22,Data!$CY:$CY)+'Rate History'!$D$9*SUMIF(Data!$G:$G,Neutral!$A22,Data!$CZ:$CZ)+'Rate History'!$D$10*SUMIF(Data!$G:$G,Neutral!$A22,Data!$DA:$DA)+'Rate History'!$D$11*SUMIF(Data!$G:$G,Neutral!$A22,Data!$DB:$DB)+'Rate History'!$D$12*SUMIF(Data!$G:$G,Neutral!$A22,Data!$DC:$DC)+'Rate History'!$D$13*SUMIF(Data!$G:$G,Neutral!$A22,Data!$DD:$DD)+'Rate History'!$D$14*SUMIF(Data!$G:$G,Neutral!$A22,Data!$DE:$DE)+'Rate History'!$D$15*SUMIF(Data!$G:$G,Neutral!$A22,Data!$DF:$DF)+'Rate History'!$D$16*SUMIF(Data!$G:$G,Neutral!$A22,Data!$DG:$DG)+'Rate History'!$D$17*SUMIF(Data!$G:$G,Neutral!$A22,Data!$DH:$DH)+'Rate History'!$D$18*SUMIF(Data!$G:$G,Neutral!$A22,Data!$DI:$DI)+'Rate History'!$D$19*SUMIF(Data!$G:$G,Neutral!$A22,Data!$DJ:$DJ)+'Rate History'!$D$20*SUMIF(Data!$G:$G,Neutral!$A22,Data!$DK:$DK)+'Rate History'!$D$21*SUMIF(Data!$G:$G,Neutral!$A22,Data!$DL:$DL)+'Rate History'!$D$22*SUMIF(Data!$G:$G,Neutral!$A22,Data!$DM:$DM)+'Rate History'!$D$23*SUMIF(Data!$G:$G,Neutral!$A22,Data!$DN:$DN)+'Rate History'!$D$24*SUMIF(Data!$G:$G,Neutral!$A22,Data!$DO:$DO)+'Rate History'!$D$25*SUMIF(Data!$G:$G,Neutral!$A22,Data!$DP:$DP)+'Rate History'!$D$26*SUMIF(Data!$G:$G,Neutral!$A22,Data!$DQ:$DQ)+'Rate History'!$D$27*SUMIF(Data!$G:$G,Neutral!$A22,Data!$DR:$DR)+'Rate History'!$D$28*SUMIF(Data!$G:$G,Neutral!$A22,Data!$DS:$DS)+'Rate History'!$D$29*SUMIF(Data!$G:$G,Neutral!$A22,Data!$DT:$DT)+'Rate History'!$D$30*SUMIF(Data!$G:$G,Neutral!$A22,Data!$DV:$DV)+'Rate History'!$D$31*SUMIF(Data!$G:$G,Neutral!$A22,Data!$DW:$DW))</f>
        <v>1698848.5817944186</v>
      </c>
      <c r="C22" s="118">
        <f>$C$5*('Rate History'!$C$4*SUMIF(Data!$G:$G,Neutral!$A22,Data!$CU:$CU)+'Rate History'!$C$5*SUMIF(Data!$G:$G,Neutral!$A22,Data!$CV:$CV)+'Rate History'!$C$6*SUMIF(Data!$G:$G,Neutral!$A22,Data!$CW:$CW)+'Rate History'!$C$7*SUMIF(Data!$G:$G,Neutral!$A22,Data!$CX:$CX)+'Rate History'!$C$8*SUMIF(Data!$G:$G,Neutral!$A22,Data!$CY:$CY)+'Rate History'!$C$9*SUMIF(Data!$G:$G,Neutral!$A22,Data!$CZ:$CZ)+'Rate History'!$C$10*SUMIF(Data!$G:$G,Neutral!$A22,Data!$DA:$DA)+'Rate History'!$C$11*SUMIF(Data!$G:$G,Neutral!$A22,Data!$DB:$DB)+'Rate History'!$C$12*SUMIF(Data!$G:$G,Neutral!$A22,Data!$DC:$DC)+'Rate History'!$C$13*SUMIF(Data!$G:$G,Neutral!$A22,Data!$DD:$DD)+'Rate History'!$C$14*SUMIF(Data!$G:$G,Neutral!$A22,Data!$DE:$DE)+'Rate History'!$C$15*SUMIF(Data!$G:$G,Neutral!$A22,Data!$DF:$DF)+'Rate History'!$C$16*SUMIF(Data!$G:$G,Neutral!$A22,Data!$DG:$DG)+'Rate History'!$C$17*SUMIF(Data!$G:$G,Neutral!$A22,Data!$DH:$DH)+'Rate History'!$C$18*SUMIF(Data!$G:$G,Neutral!$A22,Data!$DI:$DI)+'Rate History'!$C$19*SUMIF(Data!$G:$G,Neutral!$A22,Data!$DJ:$DJ)+'Rate History'!$C$20*SUMIF(Data!$G:$G,Neutral!$A22,Data!$DK:$DK)+'Rate History'!$C$21*SUMIF(Data!$G:$G,Neutral!$A22,Data!$DL:$DL)+'Rate History'!$C$22*SUMIF(Data!$G:$G,Neutral!$A22,Data!$DM:$DM)+'Rate History'!$C$23*SUMIF(Data!$G:$G,Neutral!$A22,Data!$DN:$DN)+'Rate History'!$C$24*SUMIF(Data!$G:$G,Neutral!$A22,Data!$DO:$DO)+'Rate History'!$C$25*SUMIF(Data!$G:$G,Neutral!$A22,Data!$DP:$DP)+'Rate History'!$C$26*SUMIF(Data!$G:$G,Neutral!$A22,Data!$DQ:$DQ)+'Rate History'!$C$27*SUMIF(Data!$G:$G,Neutral!$A22,Data!$DR:$DR)+'Rate History'!$C$28*SUMIF(Data!$G:$G,Neutral!$A22,Data!$DS:$DS)+'Rate History'!$C$29*SUMIF(Data!$G:$G,Neutral!$A22,Data!$DT:$DT)+'Rate History'!$C$30*SUMIF(Data!$G:$G,Neutral!$A22,Data!$DV:$DV)+'Rate History'!$C$31*SUMIF(Data!$G:$G,Neutral!$A22,Data!$DW:$DW))</f>
        <v>1707601.8067191357</v>
      </c>
      <c r="D22" s="103">
        <f t="shared" si="1"/>
        <v>8753.2249247170985</v>
      </c>
      <c r="E22" s="105">
        <f t="shared" si="0"/>
        <v>5.1524456143533723E-3</v>
      </c>
    </row>
    <row r="23" spans="1:5" x14ac:dyDescent="0.25">
      <c r="A23" s="98" t="s">
        <v>416</v>
      </c>
      <c r="B23" s="118">
        <f>$B$5*('Rate History'!$D$4*SUMIF(Data!$G:$G,Neutral!$A23,Data!$CU:$CU)+'Rate History'!$D$5*SUMIF(Data!$G:$G,Neutral!$A23,Data!$CV:$CV)+'Rate History'!$D$6*SUMIF(Data!$G:$G,Neutral!$A23,Data!$CW:$CW)+'Rate History'!$D$7*SUMIF(Data!$G:$G,Neutral!$A23,Data!$CX:$CX)+'Rate History'!$D$8*SUMIF(Data!$G:$G,Neutral!$A23,Data!$CY:$CY)+'Rate History'!$D$9*SUMIF(Data!$G:$G,Neutral!$A23,Data!$CZ:$CZ)+'Rate History'!$D$10*SUMIF(Data!$G:$G,Neutral!$A23,Data!$DA:$DA)+'Rate History'!$D$11*SUMIF(Data!$G:$G,Neutral!$A23,Data!$DB:$DB)+'Rate History'!$D$12*SUMIF(Data!$G:$G,Neutral!$A23,Data!$DC:$DC)+'Rate History'!$D$13*SUMIF(Data!$G:$G,Neutral!$A23,Data!$DD:$DD)+'Rate History'!$D$14*SUMIF(Data!$G:$G,Neutral!$A23,Data!$DE:$DE)+'Rate History'!$D$15*SUMIF(Data!$G:$G,Neutral!$A23,Data!$DF:$DF)+'Rate History'!$D$16*SUMIF(Data!$G:$G,Neutral!$A23,Data!$DG:$DG)+'Rate History'!$D$17*SUMIF(Data!$G:$G,Neutral!$A23,Data!$DH:$DH)+'Rate History'!$D$18*SUMIF(Data!$G:$G,Neutral!$A23,Data!$DI:$DI)+'Rate History'!$D$19*SUMIF(Data!$G:$G,Neutral!$A23,Data!$DJ:$DJ)+'Rate History'!$D$20*SUMIF(Data!$G:$G,Neutral!$A23,Data!$DK:$DK)+'Rate History'!$D$21*SUMIF(Data!$G:$G,Neutral!$A23,Data!$DL:$DL)+'Rate History'!$D$22*SUMIF(Data!$G:$G,Neutral!$A23,Data!$DM:$DM)+'Rate History'!$D$23*SUMIF(Data!$G:$G,Neutral!$A23,Data!$DN:$DN)+'Rate History'!$D$24*SUMIF(Data!$G:$G,Neutral!$A23,Data!$DO:$DO)+'Rate History'!$D$25*SUMIF(Data!$G:$G,Neutral!$A23,Data!$DP:$DP)+'Rate History'!$D$26*SUMIF(Data!$G:$G,Neutral!$A23,Data!$DQ:$DQ)+'Rate History'!$D$27*SUMIF(Data!$G:$G,Neutral!$A23,Data!$DR:$DR)+'Rate History'!$D$28*SUMIF(Data!$G:$G,Neutral!$A23,Data!$DS:$DS)+'Rate History'!$D$29*SUMIF(Data!$G:$G,Neutral!$A23,Data!$DT:$DT)+'Rate History'!$D$30*SUMIF(Data!$G:$G,Neutral!$A23,Data!$DV:$DV)+'Rate History'!$D$31*SUMIF(Data!$G:$G,Neutral!$A23,Data!$DW:$DW))</f>
        <v>3222233.5381330433</v>
      </c>
      <c r="C23" s="118">
        <f>$C$5*('Rate History'!$C$4*SUMIF(Data!$G:$G,Neutral!$A23,Data!$CU:$CU)+'Rate History'!$C$5*SUMIF(Data!$G:$G,Neutral!$A23,Data!$CV:$CV)+'Rate History'!$C$6*SUMIF(Data!$G:$G,Neutral!$A23,Data!$CW:$CW)+'Rate History'!$C$7*SUMIF(Data!$G:$G,Neutral!$A23,Data!$CX:$CX)+'Rate History'!$C$8*SUMIF(Data!$G:$G,Neutral!$A23,Data!$CY:$CY)+'Rate History'!$C$9*SUMIF(Data!$G:$G,Neutral!$A23,Data!$CZ:$CZ)+'Rate History'!$C$10*SUMIF(Data!$G:$G,Neutral!$A23,Data!$DA:$DA)+'Rate History'!$C$11*SUMIF(Data!$G:$G,Neutral!$A23,Data!$DB:$DB)+'Rate History'!$C$12*SUMIF(Data!$G:$G,Neutral!$A23,Data!$DC:$DC)+'Rate History'!$C$13*SUMIF(Data!$G:$G,Neutral!$A23,Data!$DD:$DD)+'Rate History'!$C$14*SUMIF(Data!$G:$G,Neutral!$A23,Data!$DE:$DE)+'Rate History'!$C$15*SUMIF(Data!$G:$G,Neutral!$A23,Data!$DF:$DF)+'Rate History'!$C$16*SUMIF(Data!$G:$G,Neutral!$A23,Data!$DG:$DG)+'Rate History'!$C$17*SUMIF(Data!$G:$G,Neutral!$A23,Data!$DH:$DH)+'Rate History'!$C$18*SUMIF(Data!$G:$G,Neutral!$A23,Data!$DI:$DI)+'Rate History'!$C$19*SUMIF(Data!$G:$G,Neutral!$A23,Data!$DJ:$DJ)+'Rate History'!$C$20*SUMIF(Data!$G:$G,Neutral!$A23,Data!$DK:$DK)+'Rate History'!$C$21*SUMIF(Data!$G:$G,Neutral!$A23,Data!$DL:$DL)+'Rate History'!$C$22*SUMIF(Data!$G:$G,Neutral!$A23,Data!$DM:$DM)+'Rate History'!$C$23*SUMIF(Data!$G:$G,Neutral!$A23,Data!$DN:$DN)+'Rate History'!$C$24*SUMIF(Data!$G:$G,Neutral!$A23,Data!$DO:$DO)+'Rate History'!$C$25*SUMIF(Data!$G:$G,Neutral!$A23,Data!$DP:$DP)+'Rate History'!$C$26*SUMIF(Data!$G:$G,Neutral!$A23,Data!$DQ:$DQ)+'Rate History'!$C$27*SUMIF(Data!$G:$G,Neutral!$A23,Data!$DR:$DR)+'Rate History'!$C$28*SUMIF(Data!$G:$G,Neutral!$A23,Data!$DS:$DS)+'Rate History'!$C$29*SUMIF(Data!$G:$G,Neutral!$A23,Data!$DT:$DT)+'Rate History'!$C$30*SUMIF(Data!$G:$G,Neutral!$A23,Data!$DV:$DV)+'Rate History'!$C$31*SUMIF(Data!$G:$G,Neutral!$A23,Data!$DW:$DW))</f>
        <v>3231676.4075957206</v>
      </c>
      <c r="D23" s="103">
        <f t="shared" si="1"/>
        <v>9442.8694626772776</v>
      </c>
      <c r="E23" s="105">
        <f t="shared" si="0"/>
        <v>2.9305354037586179E-3</v>
      </c>
    </row>
    <row r="24" spans="1:5" x14ac:dyDescent="0.25">
      <c r="A24" s="98" t="s">
        <v>369</v>
      </c>
      <c r="B24" s="118">
        <f>$B$5*('Rate History'!$D$4*SUMIF(Data!$G:$G,Neutral!$A24,Data!$CU:$CU)+'Rate History'!$D$5*SUMIF(Data!$G:$G,Neutral!$A24,Data!$CV:$CV)+'Rate History'!$D$6*SUMIF(Data!$G:$G,Neutral!$A24,Data!$CW:$CW)+'Rate History'!$D$7*SUMIF(Data!$G:$G,Neutral!$A24,Data!$CX:$CX)+'Rate History'!$D$8*SUMIF(Data!$G:$G,Neutral!$A24,Data!$CY:$CY)+'Rate History'!$D$9*SUMIF(Data!$G:$G,Neutral!$A24,Data!$CZ:$CZ)+'Rate History'!$D$10*SUMIF(Data!$G:$G,Neutral!$A24,Data!$DA:$DA)+'Rate History'!$D$11*SUMIF(Data!$G:$G,Neutral!$A24,Data!$DB:$DB)+'Rate History'!$D$12*SUMIF(Data!$G:$G,Neutral!$A24,Data!$DC:$DC)+'Rate History'!$D$13*SUMIF(Data!$G:$G,Neutral!$A24,Data!$DD:$DD)+'Rate History'!$D$14*SUMIF(Data!$G:$G,Neutral!$A24,Data!$DE:$DE)+'Rate History'!$D$15*SUMIF(Data!$G:$G,Neutral!$A24,Data!$DF:$DF)+'Rate History'!$D$16*SUMIF(Data!$G:$G,Neutral!$A24,Data!$DG:$DG)+'Rate History'!$D$17*SUMIF(Data!$G:$G,Neutral!$A24,Data!$DH:$DH)+'Rate History'!$D$18*SUMIF(Data!$G:$G,Neutral!$A24,Data!$DI:$DI)+'Rate History'!$D$19*SUMIF(Data!$G:$G,Neutral!$A24,Data!$DJ:$DJ)+'Rate History'!$D$20*SUMIF(Data!$G:$G,Neutral!$A24,Data!$DK:$DK)+'Rate History'!$D$21*SUMIF(Data!$G:$G,Neutral!$A24,Data!$DL:$DL)+'Rate History'!$D$22*SUMIF(Data!$G:$G,Neutral!$A24,Data!$DM:$DM)+'Rate History'!$D$23*SUMIF(Data!$G:$G,Neutral!$A24,Data!$DN:$DN)+'Rate History'!$D$24*SUMIF(Data!$G:$G,Neutral!$A24,Data!$DO:$DO)+'Rate History'!$D$25*SUMIF(Data!$G:$G,Neutral!$A24,Data!$DP:$DP)+'Rate History'!$D$26*SUMIF(Data!$G:$G,Neutral!$A24,Data!$DQ:$DQ)+'Rate History'!$D$27*SUMIF(Data!$G:$G,Neutral!$A24,Data!$DR:$DR)+'Rate History'!$D$28*SUMIF(Data!$G:$G,Neutral!$A24,Data!$DS:$DS)+'Rate History'!$D$29*SUMIF(Data!$G:$G,Neutral!$A24,Data!$DT:$DT)+'Rate History'!$D$30*SUMIF(Data!$G:$G,Neutral!$A24,Data!$DV:$DV)+'Rate History'!$D$31*SUMIF(Data!$G:$G,Neutral!$A24,Data!$DW:$DW))</f>
        <v>7628484.6226045405</v>
      </c>
      <c r="C24" s="118">
        <f>$C$5*('Rate History'!$C$4*SUMIF(Data!$G:$G,Neutral!$A24,Data!$CU:$CU)+'Rate History'!$C$5*SUMIF(Data!$G:$G,Neutral!$A24,Data!$CV:$CV)+'Rate History'!$C$6*SUMIF(Data!$G:$G,Neutral!$A24,Data!$CW:$CW)+'Rate History'!$C$7*SUMIF(Data!$G:$G,Neutral!$A24,Data!$CX:$CX)+'Rate History'!$C$8*SUMIF(Data!$G:$G,Neutral!$A24,Data!$CY:$CY)+'Rate History'!$C$9*SUMIF(Data!$G:$G,Neutral!$A24,Data!$CZ:$CZ)+'Rate History'!$C$10*SUMIF(Data!$G:$G,Neutral!$A24,Data!$DA:$DA)+'Rate History'!$C$11*SUMIF(Data!$G:$G,Neutral!$A24,Data!$DB:$DB)+'Rate History'!$C$12*SUMIF(Data!$G:$G,Neutral!$A24,Data!$DC:$DC)+'Rate History'!$C$13*SUMIF(Data!$G:$G,Neutral!$A24,Data!$DD:$DD)+'Rate History'!$C$14*SUMIF(Data!$G:$G,Neutral!$A24,Data!$DE:$DE)+'Rate History'!$C$15*SUMIF(Data!$G:$G,Neutral!$A24,Data!$DF:$DF)+'Rate History'!$C$16*SUMIF(Data!$G:$G,Neutral!$A24,Data!$DG:$DG)+'Rate History'!$C$17*SUMIF(Data!$G:$G,Neutral!$A24,Data!$DH:$DH)+'Rate History'!$C$18*SUMIF(Data!$G:$G,Neutral!$A24,Data!$DI:$DI)+'Rate History'!$C$19*SUMIF(Data!$G:$G,Neutral!$A24,Data!$DJ:$DJ)+'Rate History'!$C$20*SUMIF(Data!$G:$G,Neutral!$A24,Data!$DK:$DK)+'Rate History'!$C$21*SUMIF(Data!$G:$G,Neutral!$A24,Data!$DL:$DL)+'Rate History'!$C$22*SUMIF(Data!$G:$G,Neutral!$A24,Data!$DM:$DM)+'Rate History'!$C$23*SUMIF(Data!$G:$G,Neutral!$A24,Data!$DN:$DN)+'Rate History'!$C$24*SUMIF(Data!$G:$G,Neutral!$A24,Data!$DO:$DO)+'Rate History'!$C$25*SUMIF(Data!$G:$G,Neutral!$A24,Data!$DP:$DP)+'Rate History'!$C$26*SUMIF(Data!$G:$G,Neutral!$A24,Data!$DQ:$DQ)+'Rate History'!$C$27*SUMIF(Data!$G:$G,Neutral!$A24,Data!$DR:$DR)+'Rate History'!$C$28*SUMIF(Data!$G:$G,Neutral!$A24,Data!$DS:$DS)+'Rate History'!$C$29*SUMIF(Data!$G:$G,Neutral!$A24,Data!$DT:$DT)+'Rate History'!$C$30*SUMIF(Data!$G:$G,Neutral!$A24,Data!$DV:$DV)+'Rate History'!$C$31*SUMIF(Data!$G:$G,Neutral!$A24,Data!$DW:$DW))</f>
        <v>7659895.6887265546</v>
      </c>
      <c r="D24" s="103">
        <f t="shared" si="1"/>
        <v>31411.066122014076</v>
      </c>
      <c r="E24" s="105">
        <f t="shared" si="0"/>
        <v>4.1176023386004564E-3</v>
      </c>
    </row>
    <row r="25" spans="1:5" x14ac:dyDescent="0.25">
      <c r="A25" s="98" t="s">
        <v>372</v>
      </c>
      <c r="B25" s="118">
        <f>$B$5*('Rate History'!$D$4*SUMIF(Data!$G:$G,Neutral!$A25,Data!$CU:$CU)+'Rate History'!$D$5*SUMIF(Data!$G:$G,Neutral!$A25,Data!$CV:$CV)+'Rate History'!$D$6*SUMIF(Data!$G:$G,Neutral!$A25,Data!$CW:$CW)+'Rate History'!$D$7*SUMIF(Data!$G:$G,Neutral!$A25,Data!$CX:$CX)+'Rate History'!$D$8*SUMIF(Data!$G:$G,Neutral!$A25,Data!$CY:$CY)+'Rate History'!$D$9*SUMIF(Data!$G:$G,Neutral!$A25,Data!$CZ:$CZ)+'Rate History'!$D$10*SUMIF(Data!$G:$G,Neutral!$A25,Data!$DA:$DA)+'Rate History'!$D$11*SUMIF(Data!$G:$G,Neutral!$A25,Data!$DB:$DB)+'Rate History'!$D$12*SUMIF(Data!$G:$G,Neutral!$A25,Data!$DC:$DC)+'Rate History'!$D$13*SUMIF(Data!$G:$G,Neutral!$A25,Data!$DD:$DD)+'Rate History'!$D$14*SUMIF(Data!$G:$G,Neutral!$A25,Data!$DE:$DE)+'Rate History'!$D$15*SUMIF(Data!$G:$G,Neutral!$A25,Data!$DF:$DF)+'Rate History'!$D$16*SUMIF(Data!$G:$G,Neutral!$A25,Data!$DG:$DG)+'Rate History'!$D$17*SUMIF(Data!$G:$G,Neutral!$A25,Data!$DH:$DH)+'Rate History'!$D$18*SUMIF(Data!$G:$G,Neutral!$A25,Data!$DI:$DI)+'Rate History'!$D$19*SUMIF(Data!$G:$G,Neutral!$A25,Data!$DJ:$DJ)+'Rate History'!$D$20*SUMIF(Data!$G:$G,Neutral!$A25,Data!$DK:$DK)+'Rate History'!$D$21*SUMIF(Data!$G:$G,Neutral!$A25,Data!$DL:$DL)+'Rate History'!$D$22*SUMIF(Data!$G:$G,Neutral!$A25,Data!$DM:$DM)+'Rate History'!$D$23*SUMIF(Data!$G:$G,Neutral!$A25,Data!$DN:$DN)+'Rate History'!$D$24*SUMIF(Data!$G:$G,Neutral!$A25,Data!$DO:$DO)+'Rate History'!$D$25*SUMIF(Data!$G:$G,Neutral!$A25,Data!$DP:$DP)+'Rate History'!$D$26*SUMIF(Data!$G:$G,Neutral!$A25,Data!$DQ:$DQ)+'Rate History'!$D$27*SUMIF(Data!$G:$G,Neutral!$A25,Data!$DR:$DR)+'Rate History'!$D$28*SUMIF(Data!$G:$G,Neutral!$A25,Data!$DS:$DS)+'Rate History'!$D$29*SUMIF(Data!$G:$G,Neutral!$A25,Data!$DT:$DT)+'Rate History'!$D$30*SUMIF(Data!$G:$G,Neutral!$A25,Data!$DV:$DV)+'Rate History'!$D$31*SUMIF(Data!$G:$G,Neutral!$A25,Data!$DW:$DW))</f>
        <v>6622128.9561995855</v>
      </c>
      <c r="C25" s="118">
        <f>$C$5*('Rate History'!$C$4*SUMIF(Data!$G:$G,Neutral!$A25,Data!$CU:$CU)+'Rate History'!$C$5*SUMIF(Data!$G:$G,Neutral!$A25,Data!$CV:$CV)+'Rate History'!$C$6*SUMIF(Data!$G:$G,Neutral!$A25,Data!$CW:$CW)+'Rate History'!$C$7*SUMIF(Data!$G:$G,Neutral!$A25,Data!$CX:$CX)+'Rate History'!$C$8*SUMIF(Data!$G:$G,Neutral!$A25,Data!$CY:$CY)+'Rate History'!$C$9*SUMIF(Data!$G:$G,Neutral!$A25,Data!$CZ:$CZ)+'Rate History'!$C$10*SUMIF(Data!$G:$G,Neutral!$A25,Data!$DA:$DA)+'Rate History'!$C$11*SUMIF(Data!$G:$G,Neutral!$A25,Data!$DB:$DB)+'Rate History'!$C$12*SUMIF(Data!$G:$G,Neutral!$A25,Data!$DC:$DC)+'Rate History'!$C$13*SUMIF(Data!$G:$G,Neutral!$A25,Data!$DD:$DD)+'Rate History'!$C$14*SUMIF(Data!$G:$G,Neutral!$A25,Data!$DE:$DE)+'Rate History'!$C$15*SUMIF(Data!$G:$G,Neutral!$A25,Data!$DF:$DF)+'Rate History'!$C$16*SUMIF(Data!$G:$G,Neutral!$A25,Data!$DG:$DG)+'Rate History'!$C$17*SUMIF(Data!$G:$G,Neutral!$A25,Data!$DH:$DH)+'Rate History'!$C$18*SUMIF(Data!$G:$G,Neutral!$A25,Data!$DI:$DI)+'Rate History'!$C$19*SUMIF(Data!$G:$G,Neutral!$A25,Data!$DJ:$DJ)+'Rate History'!$C$20*SUMIF(Data!$G:$G,Neutral!$A25,Data!$DK:$DK)+'Rate History'!$C$21*SUMIF(Data!$G:$G,Neutral!$A25,Data!$DL:$DL)+'Rate History'!$C$22*SUMIF(Data!$G:$G,Neutral!$A25,Data!$DM:$DM)+'Rate History'!$C$23*SUMIF(Data!$G:$G,Neutral!$A25,Data!$DN:$DN)+'Rate History'!$C$24*SUMIF(Data!$G:$G,Neutral!$A25,Data!$DO:$DO)+'Rate History'!$C$25*SUMIF(Data!$G:$G,Neutral!$A25,Data!$DP:$DP)+'Rate History'!$C$26*SUMIF(Data!$G:$G,Neutral!$A25,Data!$DQ:$DQ)+'Rate History'!$C$27*SUMIF(Data!$G:$G,Neutral!$A25,Data!$DR:$DR)+'Rate History'!$C$28*SUMIF(Data!$G:$G,Neutral!$A25,Data!$DS:$DS)+'Rate History'!$C$29*SUMIF(Data!$G:$G,Neutral!$A25,Data!$DT:$DT)+'Rate History'!$C$30*SUMIF(Data!$G:$G,Neutral!$A25,Data!$DV:$DV)+'Rate History'!$C$31*SUMIF(Data!$G:$G,Neutral!$A25,Data!$DW:$DW))</f>
        <v>6654891.5231929468</v>
      </c>
      <c r="D25" s="103">
        <f t="shared" si="1"/>
        <v>32762.566993361339</v>
      </c>
      <c r="E25" s="105">
        <f t="shared" si="0"/>
        <v>4.9474371776903076E-3</v>
      </c>
    </row>
    <row r="26" spans="1:5" x14ac:dyDescent="0.25">
      <c r="A26" s="98" t="s">
        <v>430</v>
      </c>
      <c r="B26" s="118">
        <f>$B$5*('Rate History'!$D$4*SUMIF(Data!$G:$G,Neutral!$A26,Data!$CU:$CU)+'Rate History'!$D$5*SUMIF(Data!$G:$G,Neutral!$A26,Data!$CV:$CV)+'Rate History'!$D$6*SUMIF(Data!$G:$G,Neutral!$A26,Data!$CW:$CW)+'Rate History'!$D$7*SUMIF(Data!$G:$G,Neutral!$A26,Data!$CX:$CX)+'Rate History'!$D$8*SUMIF(Data!$G:$G,Neutral!$A26,Data!$CY:$CY)+'Rate History'!$D$9*SUMIF(Data!$G:$G,Neutral!$A26,Data!$CZ:$CZ)+'Rate History'!$D$10*SUMIF(Data!$G:$G,Neutral!$A26,Data!$DA:$DA)+'Rate History'!$D$11*SUMIF(Data!$G:$G,Neutral!$A26,Data!$DB:$DB)+'Rate History'!$D$12*SUMIF(Data!$G:$G,Neutral!$A26,Data!$DC:$DC)+'Rate History'!$D$13*SUMIF(Data!$G:$G,Neutral!$A26,Data!$DD:$DD)+'Rate History'!$D$14*SUMIF(Data!$G:$G,Neutral!$A26,Data!$DE:$DE)+'Rate History'!$D$15*SUMIF(Data!$G:$G,Neutral!$A26,Data!$DF:$DF)+'Rate History'!$D$16*SUMIF(Data!$G:$G,Neutral!$A26,Data!$DG:$DG)+'Rate History'!$D$17*SUMIF(Data!$G:$G,Neutral!$A26,Data!$DH:$DH)+'Rate History'!$D$18*SUMIF(Data!$G:$G,Neutral!$A26,Data!$DI:$DI)+'Rate History'!$D$19*SUMIF(Data!$G:$G,Neutral!$A26,Data!$DJ:$DJ)+'Rate History'!$D$20*SUMIF(Data!$G:$G,Neutral!$A26,Data!$DK:$DK)+'Rate History'!$D$21*SUMIF(Data!$G:$G,Neutral!$A26,Data!$DL:$DL)+'Rate History'!$D$22*SUMIF(Data!$G:$G,Neutral!$A26,Data!$DM:$DM)+'Rate History'!$D$23*SUMIF(Data!$G:$G,Neutral!$A26,Data!$DN:$DN)+'Rate History'!$D$24*SUMIF(Data!$G:$G,Neutral!$A26,Data!$DO:$DO)+'Rate History'!$D$25*SUMIF(Data!$G:$G,Neutral!$A26,Data!$DP:$DP)+'Rate History'!$D$26*SUMIF(Data!$G:$G,Neutral!$A26,Data!$DQ:$DQ)+'Rate History'!$D$27*SUMIF(Data!$G:$G,Neutral!$A26,Data!$DR:$DR)+'Rate History'!$D$28*SUMIF(Data!$G:$G,Neutral!$A26,Data!$DS:$DS)+'Rate History'!$D$29*SUMIF(Data!$G:$G,Neutral!$A26,Data!$DT:$DT)+'Rate History'!$D$30*SUMIF(Data!$G:$G,Neutral!$A26,Data!$DV:$DV)+'Rate History'!$D$31*SUMIF(Data!$G:$G,Neutral!$A26,Data!$DW:$DW))</f>
        <v>72216671.25270091</v>
      </c>
      <c r="C26" s="118">
        <f>$C$5*('Rate History'!$C$4*SUMIF(Data!$G:$G,Neutral!$A26,Data!$CU:$CU)+'Rate History'!$C$5*SUMIF(Data!$G:$G,Neutral!$A26,Data!$CV:$CV)+'Rate History'!$C$6*SUMIF(Data!$G:$G,Neutral!$A26,Data!$CW:$CW)+'Rate History'!$C$7*SUMIF(Data!$G:$G,Neutral!$A26,Data!$CX:$CX)+'Rate History'!$C$8*SUMIF(Data!$G:$G,Neutral!$A26,Data!$CY:$CY)+'Rate History'!$C$9*SUMIF(Data!$G:$G,Neutral!$A26,Data!$CZ:$CZ)+'Rate History'!$C$10*SUMIF(Data!$G:$G,Neutral!$A26,Data!$DA:$DA)+'Rate History'!$C$11*SUMIF(Data!$G:$G,Neutral!$A26,Data!$DB:$DB)+'Rate History'!$C$12*SUMIF(Data!$G:$G,Neutral!$A26,Data!$DC:$DC)+'Rate History'!$C$13*SUMIF(Data!$G:$G,Neutral!$A26,Data!$DD:$DD)+'Rate History'!$C$14*SUMIF(Data!$G:$G,Neutral!$A26,Data!$DE:$DE)+'Rate History'!$C$15*SUMIF(Data!$G:$G,Neutral!$A26,Data!$DF:$DF)+'Rate History'!$C$16*SUMIF(Data!$G:$G,Neutral!$A26,Data!$DG:$DG)+'Rate History'!$C$17*SUMIF(Data!$G:$G,Neutral!$A26,Data!$DH:$DH)+'Rate History'!$C$18*SUMIF(Data!$G:$G,Neutral!$A26,Data!$DI:$DI)+'Rate History'!$C$19*SUMIF(Data!$G:$G,Neutral!$A26,Data!$DJ:$DJ)+'Rate History'!$C$20*SUMIF(Data!$G:$G,Neutral!$A26,Data!$DK:$DK)+'Rate History'!$C$21*SUMIF(Data!$G:$G,Neutral!$A26,Data!$DL:$DL)+'Rate History'!$C$22*SUMIF(Data!$G:$G,Neutral!$A26,Data!$DM:$DM)+'Rate History'!$C$23*SUMIF(Data!$G:$G,Neutral!$A26,Data!$DN:$DN)+'Rate History'!$C$24*SUMIF(Data!$G:$G,Neutral!$A26,Data!$DO:$DO)+'Rate History'!$C$25*SUMIF(Data!$G:$G,Neutral!$A26,Data!$DP:$DP)+'Rate History'!$C$26*SUMIF(Data!$G:$G,Neutral!$A26,Data!$DQ:$DQ)+'Rate History'!$C$27*SUMIF(Data!$G:$G,Neutral!$A26,Data!$DR:$DR)+'Rate History'!$C$28*SUMIF(Data!$G:$G,Neutral!$A26,Data!$DS:$DS)+'Rate History'!$C$29*SUMIF(Data!$G:$G,Neutral!$A26,Data!$DT:$DT)+'Rate History'!$C$30*SUMIF(Data!$G:$G,Neutral!$A26,Data!$DV:$DV)+'Rate History'!$C$31*SUMIF(Data!$G:$G,Neutral!$A26,Data!$DW:$DW))</f>
        <v>72255656.779307187</v>
      </c>
      <c r="D26" s="103">
        <f t="shared" si="1"/>
        <v>38985.526606276631</v>
      </c>
      <c r="E26" s="105">
        <f t="shared" si="0"/>
        <v>5.3984109112227422E-4</v>
      </c>
    </row>
    <row r="27" spans="1:5" x14ac:dyDescent="0.25">
      <c r="A27" s="98" t="s">
        <v>1125</v>
      </c>
      <c r="B27" s="118">
        <f>$B$5*('Rate History'!$D$4*SUMIF(Data!$G:$G,Neutral!$A27,Data!$CU:$CU)+'Rate History'!$D$5*SUMIF(Data!$G:$G,Neutral!$A27,Data!$CV:$CV)+'Rate History'!$D$6*SUMIF(Data!$G:$G,Neutral!$A27,Data!$CW:$CW)+'Rate History'!$D$7*SUMIF(Data!$G:$G,Neutral!$A27,Data!$CX:$CX)+'Rate History'!$D$8*SUMIF(Data!$G:$G,Neutral!$A27,Data!$CY:$CY)+'Rate History'!$D$9*SUMIF(Data!$G:$G,Neutral!$A27,Data!$CZ:$CZ)+'Rate History'!$D$10*SUMIF(Data!$G:$G,Neutral!$A27,Data!$DA:$DA)+'Rate History'!$D$11*SUMIF(Data!$G:$G,Neutral!$A27,Data!$DB:$DB)+'Rate History'!$D$12*SUMIF(Data!$G:$G,Neutral!$A27,Data!$DC:$DC)+'Rate History'!$D$13*SUMIF(Data!$G:$G,Neutral!$A27,Data!$DD:$DD)+'Rate History'!$D$14*SUMIF(Data!$G:$G,Neutral!$A27,Data!$DE:$DE)+'Rate History'!$D$15*SUMIF(Data!$G:$G,Neutral!$A27,Data!$DF:$DF)+'Rate History'!$D$16*SUMIF(Data!$G:$G,Neutral!$A27,Data!$DG:$DG)+'Rate History'!$D$17*SUMIF(Data!$G:$G,Neutral!$A27,Data!$DH:$DH)+'Rate History'!$D$18*SUMIF(Data!$G:$G,Neutral!$A27,Data!$DI:$DI)+'Rate History'!$D$19*SUMIF(Data!$G:$G,Neutral!$A27,Data!$DJ:$DJ)+'Rate History'!$D$20*SUMIF(Data!$G:$G,Neutral!$A27,Data!$DK:$DK)+'Rate History'!$D$21*SUMIF(Data!$G:$G,Neutral!$A27,Data!$DL:$DL)+'Rate History'!$D$22*SUMIF(Data!$G:$G,Neutral!$A27,Data!$DM:$DM)+'Rate History'!$D$23*SUMIF(Data!$G:$G,Neutral!$A27,Data!$DN:$DN)+'Rate History'!$D$24*SUMIF(Data!$G:$G,Neutral!$A27,Data!$DO:$DO)+'Rate History'!$D$25*SUMIF(Data!$G:$G,Neutral!$A27,Data!$DP:$DP)+'Rate History'!$D$26*SUMIF(Data!$G:$G,Neutral!$A27,Data!$DQ:$DQ)+'Rate History'!$D$27*SUMIF(Data!$G:$G,Neutral!$A27,Data!$DR:$DR)+'Rate History'!$D$28*SUMIF(Data!$G:$G,Neutral!$A27,Data!$DS:$DS)+'Rate History'!$D$29*SUMIF(Data!$G:$G,Neutral!$A27,Data!$DT:$DT)+'Rate History'!$D$30*SUMIF(Data!$G:$G,Neutral!$A27,Data!$DV:$DV)+'Rate History'!$D$31*SUMIF(Data!$G:$G,Neutral!$A27,Data!$DW:$DW))</f>
        <v>6907315.9262561528</v>
      </c>
      <c r="C27" s="118">
        <f>$C$5*('Rate History'!$C$4*SUMIF(Data!$G:$G,Neutral!$A27,Data!$CU:$CU)+'Rate History'!$C$5*SUMIF(Data!$G:$G,Neutral!$A27,Data!$CV:$CV)+'Rate History'!$C$6*SUMIF(Data!$G:$G,Neutral!$A27,Data!$CW:$CW)+'Rate History'!$C$7*SUMIF(Data!$G:$G,Neutral!$A27,Data!$CX:$CX)+'Rate History'!$C$8*SUMIF(Data!$G:$G,Neutral!$A27,Data!$CY:$CY)+'Rate History'!$C$9*SUMIF(Data!$G:$G,Neutral!$A27,Data!$CZ:$CZ)+'Rate History'!$C$10*SUMIF(Data!$G:$G,Neutral!$A27,Data!$DA:$DA)+'Rate History'!$C$11*SUMIF(Data!$G:$G,Neutral!$A27,Data!$DB:$DB)+'Rate History'!$C$12*SUMIF(Data!$G:$G,Neutral!$A27,Data!$DC:$DC)+'Rate History'!$C$13*SUMIF(Data!$G:$G,Neutral!$A27,Data!$DD:$DD)+'Rate History'!$C$14*SUMIF(Data!$G:$G,Neutral!$A27,Data!$DE:$DE)+'Rate History'!$C$15*SUMIF(Data!$G:$G,Neutral!$A27,Data!$DF:$DF)+'Rate History'!$C$16*SUMIF(Data!$G:$G,Neutral!$A27,Data!$DG:$DG)+'Rate History'!$C$17*SUMIF(Data!$G:$G,Neutral!$A27,Data!$DH:$DH)+'Rate History'!$C$18*SUMIF(Data!$G:$G,Neutral!$A27,Data!$DI:$DI)+'Rate History'!$C$19*SUMIF(Data!$G:$G,Neutral!$A27,Data!$DJ:$DJ)+'Rate History'!$C$20*SUMIF(Data!$G:$G,Neutral!$A27,Data!$DK:$DK)+'Rate History'!$C$21*SUMIF(Data!$G:$G,Neutral!$A27,Data!$DL:$DL)+'Rate History'!$C$22*SUMIF(Data!$G:$G,Neutral!$A27,Data!$DM:$DM)+'Rate History'!$C$23*SUMIF(Data!$G:$G,Neutral!$A27,Data!$DN:$DN)+'Rate History'!$C$24*SUMIF(Data!$G:$G,Neutral!$A27,Data!$DO:$DO)+'Rate History'!$C$25*SUMIF(Data!$G:$G,Neutral!$A27,Data!$DP:$DP)+'Rate History'!$C$26*SUMIF(Data!$G:$G,Neutral!$A27,Data!$DQ:$DQ)+'Rate History'!$C$27*SUMIF(Data!$G:$G,Neutral!$A27,Data!$DR:$DR)+'Rate History'!$C$28*SUMIF(Data!$G:$G,Neutral!$A27,Data!$DS:$DS)+'Rate History'!$C$29*SUMIF(Data!$G:$G,Neutral!$A27,Data!$DT:$DT)+'Rate History'!$C$30*SUMIF(Data!$G:$G,Neutral!$A27,Data!$DV:$DV)+'Rate History'!$C$31*SUMIF(Data!$G:$G,Neutral!$A27,Data!$DW:$DW))</f>
        <v>6932251.1195977144</v>
      </c>
      <c r="D27" s="103">
        <f t="shared" si="1"/>
        <v>24935.193341561593</v>
      </c>
      <c r="E27" s="105">
        <f t="shared" si="0"/>
        <v>3.6099685619963764E-3</v>
      </c>
    </row>
    <row r="28" spans="1:5" x14ac:dyDescent="0.25">
      <c r="A28" s="98" t="s">
        <v>375</v>
      </c>
      <c r="B28" s="118">
        <f>$B$5*('Rate History'!$D$4*SUMIF(Data!$G:$G,Neutral!$A28,Data!$CU:$CU)+'Rate History'!$D$5*SUMIF(Data!$G:$G,Neutral!$A28,Data!$CV:$CV)+'Rate History'!$D$6*SUMIF(Data!$G:$G,Neutral!$A28,Data!$CW:$CW)+'Rate History'!$D$7*SUMIF(Data!$G:$G,Neutral!$A28,Data!$CX:$CX)+'Rate History'!$D$8*SUMIF(Data!$G:$G,Neutral!$A28,Data!$CY:$CY)+'Rate History'!$D$9*SUMIF(Data!$G:$G,Neutral!$A28,Data!$CZ:$CZ)+'Rate History'!$D$10*SUMIF(Data!$G:$G,Neutral!$A28,Data!$DA:$DA)+'Rate History'!$D$11*SUMIF(Data!$G:$G,Neutral!$A28,Data!$DB:$DB)+'Rate History'!$D$12*SUMIF(Data!$G:$G,Neutral!$A28,Data!$DC:$DC)+'Rate History'!$D$13*SUMIF(Data!$G:$G,Neutral!$A28,Data!$DD:$DD)+'Rate History'!$D$14*SUMIF(Data!$G:$G,Neutral!$A28,Data!$DE:$DE)+'Rate History'!$D$15*SUMIF(Data!$G:$G,Neutral!$A28,Data!$DF:$DF)+'Rate History'!$D$16*SUMIF(Data!$G:$G,Neutral!$A28,Data!$DG:$DG)+'Rate History'!$D$17*SUMIF(Data!$G:$G,Neutral!$A28,Data!$DH:$DH)+'Rate History'!$D$18*SUMIF(Data!$G:$G,Neutral!$A28,Data!$DI:$DI)+'Rate History'!$D$19*SUMIF(Data!$G:$G,Neutral!$A28,Data!$DJ:$DJ)+'Rate History'!$D$20*SUMIF(Data!$G:$G,Neutral!$A28,Data!$DK:$DK)+'Rate History'!$D$21*SUMIF(Data!$G:$G,Neutral!$A28,Data!$DL:$DL)+'Rate History'!$D$22*SUMIF(Data!$G:$G,Neutral!$A28,Data!$DM:$DM)+'Rate History'!$D$23*SUMIF(Data!$G:$G,Neutral!$A28,Data!$DN:$DN)+'Rate History'!$D$24*SUMIF(Data!$G:$G,Neutral!$A28,Data!$DO:$DO)+'Rate History'!$D$25*SUMIF(Data!$G:$G,Neutral!$A28,Data!$DP:$DP)+'Rate History'!$D$26*SUMIF(Data!$G:$G,Neutral!$A28,Data!$DQ:$DQ)+'Rate History'!$D$27*SUMIF(Data!$G:$G,Neutral!$A28,Data!$DR:$DR)+'Rate History'!$D$28*SUMIF(Data!$G:$G,Neutral!$A28,Data!$DS:$DS)+'Rate History'!$D$29*SUMIF(Data!$G:$G,Neutral!$A28,Data!$DT:$DT)+'Rate History'!$D$30*SUMIF(Data!$G:$G,Neutral!$A28,Data!$DV:$DV)+'Rate History'!$D$31*SUMIF(Data!$G:$G,Neutral!$A28,Data!$DW:$DW))</f>
        <v>10411764.05053268</v>
      </c>
      <c r="C28" s="118">
        <f>$C$5*('Rate History'!$C$4*SUMIF(Data!$G:$G,Neutral!$A28,Data!$CU:$CU)+'Rate History'!$C$5*SUMIF(Data!$G:$G,Neutral!$A28,Data!$CV:$CV)+'Rate History'!$C$6*SUMIF(Data!$G:$G,Neutral!$A28,Data!$CW:$CW)+'Rate History'!$C$7*SUMIF(Data!$G:$G,Neutral!$A28,Data!$CX:$CX)+'Rate History'!$C$8*SUMIF(Data!$G:$G,Neutral!$A28,Data!$CY:$CY)+'Rate History'!$C$9*SUMIF(Data!$G:$G,Neutral!$A28,Data!$CZ:$CZ)+'Rate History'!$C$10*SUMIF(Data!$G:$G,Neutral!$A28,Data!$DA:$DA)+'Rate History'!$C$11*SUMIF(Data!$G:$G,Neutral!$A28,Data!$DB:$DB)+'Rate History'!$C$12*SUMIF(Data!$G:$G,Neutral!$A28,Data!$DC:$DC)+'Rate History'!$C$13*SUMIF(Data!$G:$G,Neutral!$A28,Data!$DD:$DD)+'Rate History'!$C$14*SUMIF(Data!$G:$G,Neutral!$A28,Data!$DE:$DE)+'Rate History'!$C$15*SUMIF(Data!$G:$G,Neutral!$A28,Data!$DF:$DF)+'Rate History'!$C$16*SUMIF(Data!$G:$G,Neutral!$A28,Data!$DG:$DG)+'Rate History'!$C$17*SUMIF(Data!$G:$G,Neutral!$A28,Data!$DH:$DH)+'Rate History'!$C$18*SUMIF(Data!$G:$G,Neutral!$A28,Data!$DI:$DI)+'Rate History'!$C$19*SUMIF(Data!$G:$G,Neutral!$A28,Data!$DJ:$DJ)+'Rate History'!$C$20*SUMIF(Data!$G:$G,Neutral!$A28,Data!$DK:$DK)+'Rate History'!$C$21*SUMIF(Data!$G:$G,Neutral!$A28,Data!$DL:$DL)+'Rate History'!$C$22*SUMIF(Data!$G:$G,Neutral!$A28,Data!$DM:$DM)+'Rate History'!$C$23*SUMIF(Data!$G:$G,Neutral!$A28,Data!$DN:$DN)+'Rate History'!$C$24*SUMIF(Data!$G:$G,Neutral!$A28,Data!$DO:$DO)+'Rate History'!$C$25*SUMIF(Data!$G:$G,Neutral!$A28,Data!$DP:$DP)+'Rate History'!$C$26*SUMIF(Data!$G:$G,Neutral!$A28,Data!$DQ:$DQ)+'Rate History'!$C$27*SUMIF(Data!$G:$G,Neutral!$A28,Data!$DR:$DR)+'Rate History'!$C$28*SUMIF(Data!$G:$G,Neutral!$A28,Data!$DS:$DS)+'Rate History'!$C$29*SUMIF(Data!$G:$G,Neutral!$A28,Data!$DT:$DT)+'Rate History'!$C$30*SUMIF(Data!$G:$G,Neutral!$A28,Data!$DV:$DV)+'Rate History'!$C$31*SUMIF(Data!$G:$G,Neutral!$A28,Data!$DW:$DW))</f>
        <v>10443951.155527713</v>
      </c>
      <c r="D28" s="103">
        <f t="shared" si="1"/>
        <v>32187.104995032772</v>
      </c>
      <c r="E28" s="105">
        <f t="shared" si="0"/>
        <v>3.0914170585133491E-3</v>
      </c>
    </row>
    <row r="29" spans="1:5" x14ac:dyDescent="0.25">
      <c r="A29" s="98" t="s">
        <v>1136</v>
      </c>
      <c r="B29" s="118">
        <f>$B$5*('Rate History'!$D$4*SUMIF(Data!$G:$G,Neutral!$A29,Data!$CU:$CU)+'Rate History'!$D$5*SUMIF(Data!$G:$G,Neutral!$A29,Data!$CV:$CV)+'Rate History'!$D$6*SUMIF(Data!$G:$G,Neutral!$A29,Data!$CW:$CW)+'Rate History'!$D$7*SUMIF(Data!$G:$G,Neutral!$A29,Data!$CX:$CX)+'Rate History'!$D$8*SUMIF(Data!$G:$G,Neutral!$A29,Data!$CY:$CY)+'Rate History'!$D$9*SUMIF(Data!$G:$G,Neutral!$A29,Data!$CZ:$CZ)+'Rate History'!$D$10*SUMIF(Data!$G:$G,Neutral!$A29,Data!$DA:$DA)+'Rate History'!$D$11*SUMIF(Data!$G:$G,Neutral!$A29,Data!$DB:$DB)+'Rate History'!$D$12*SUMIF(Data!$G:$G,Neutral!$A29,Data!$DC:$DC)+'Rate History'!$D$13*SUMIF(Data!$G:$G,Neutral!$A29,Data!$DD:$DD)+'Rate History'!$D$14*SUMIF(Data!$G:$G,Neutral!$A29,Data!$DE:$DE)+'Rate History'!$D$15*SUMIF(Data!$G:$G,Neutral!$A29,Data!$DF:$DF)+'Rate History'!$D$16*SUMIF(Data!$G:$G,Neutral!$A29,Data!$DG:$DG)+'Rate History'!$D$17*SUMIF(Data!$G:$G,Neutral!$A29,Data!$DH:$DH)+'Rate History'!$D$18*SUMIF(Data!$G:$G,Neutral!$A29,Data!$DI:$DI)+'Rate History'!$D$19*SUMIF(Data!$G:$G,Neutral!$A29,Data!$DJ:$DJ)+'Rate History'!$D$20*SUMIF(Data!$G:$G,Neutral!$A29,Data!$DK:$DK)+'Rate History'!$D$21*SUMIF(Data!$G:$G,Neutral!$A29,Data!$DL:$DL)+'Rate History'!$D$22*SUMIF(Data!$G:$G,Neutral!$A29,Data!$DM:$DM)+'Rate History'!$D$23*SUMIF(Data!$G:$G,Neutral!$A29,Data!$DN:$DN)+'Rate History'!$D$24*SUMIF(Data!$G:$G,Neutral!$A29,Data!$DO:$DO)+'Rate History'!$D$25*SUMIF(Data!$G:$G,Neutral!$A29,Data!$DP:$DP)+'Rate History'!$D$26*SUMIF(Data!$G:$G,Neutral!$A29,Data!$DQ:$DQ)+'Rate History'!$D$27*SUMIF(Data!$G:$G,Neutral!$A29,Data!$DR:$DR)+'Rate History'!$D$28*SUMIF(Data!$G:$G,Neutral!$A29,Data!$DS:$DS)+'Rate History'!$D$29*SUMIF(Data!$G:$G,Neutral!$A29,Data!$DT:$DT)+'Rate History'!$D$30*SUMIF(Data!$G:$G,Neutral!$A29,Data!$DV:$DV)+'Rate History'!$D$31*SUMIF(Data!$G:$G,Neutral!$A29,Data!$DW:$DW))</f>
        <v>10888713.029106218</v>
      </c>
      <c r="C29" s="118">
        <f>$C$5*('Rate History'!$C$4*SUMIF(Data!$G:$G,Neutral!$A29,Data!$CU:$CU)+'Rate History'!$C$5*SUMIF(Data!$G:$G,Neutral!$A29,Data!$CV:$CV)+'Rate History'!$C$6*SUMIF(Data!$G:$G,Neutral!$A29,Data!$CW:$CW)+'Rate History'!$C$7*SUMIF(Data!$G:$G,Neutral!$A29,Data!$CX:$CX)+'Rate History'!$C$8*SUMIF(Data!$G:$G,Neutral!$A29,Data!$CY:$CY)+'Rate History'!$C$9*SUMIF(Data!$G:$G,Neutral!$A29,Data!$CZ:$CZ)+'Rate History'!$C$10*SUMIF(Data!$G:$G,Neutral!$A29,Data!$DA:$DA)+'Rate History'!$C$11*SUMIF(Data!$G:$G,Neutral!$A29,Data!$DB:$DB)+'Rate History'!$C$12*SUMIF(Data!$G:$G,Neutral!$A29,Data!$DC:$DC)+'Rate History'!$C$13*SUMIF(Data!$G:$G,Neutral!$A29,Data!$DD:$DD)+'Rate History'!$C$14*SUMIF(Data!$G:$G,Neutral!$A29,Data!$DE:$DE)+'Rate History'!$C$15*SUMIF(Data!$G:$G,Neutral!$A29,Data!$DF:$DF)+'Rate History'!$C$16*SUMIF(Data!$G:$G,Neutral!$A29,Data!$DG:$DG)+'Rate History'!$C$17*SUMIF(Data!$G:$G,Neutral!$A29,Data!$DH:$DH)+'Rate History'!$C$18*SUMIF(Data!$G:$G,Neutral!$A29,Data!$DI:$DI)+'Rate History'!$C$19*SUMIF(Data!$G:$G,Neutral!$A29,Data!$DJ:$DJ)+'Rate History'!$C$20*SUMIF(Data!$G:$G,Neutral!$A29,Data!$DK:$DK)+'Rate History'!$C$21*SUMIF(Data!$G:$G,Neutral!$A29,Data!$DL:$DL)+'Rate History'!$C$22*SUMIF(Data!$G:$G,Neutral!$A29,Data!$DM:$DM)+'Rate History'!$C$23*SUMIF(Data!$G:$G,Neutral!$A29,Data!$DN:$DN)+'Rate History'!$C$24*SUMIF(Data!$G:$G,Neutral!$A29,Data!$DO:$DO)+'Rate History'!$C$25*SUMIF(Data!$G:$G,Neutral!$A29,Data!$DP:$DP)+'Rate History'!$C$26*SUMIF(Data!$G:$G,Neutral!$A29,Data!$DQ:$DQ)+'Rate History'!$C$27*SUMIF(Data!$G:$G,Neutral!$A29,Data!$DR:$DR)+'Rate History'!$C$28*SUMIF(Data!$G:$G,Neutral!$A29,Data!$DS:$DS)+'Rate History'!$C$29*SUMIF(Data!$G:$G,Neutral!$A29,Data!$DT:$DT)+'Rate History'!$C$30*SUMIF(Data!$G:$G,Neutral!$A29,Data!$DV:$DV)+'Rate History'!$C$31*SUMIF(Data!$G:$G,Neutral!$A29,Data!$DW:$DW))</f>
        <v>10907395.136216195</v>
      </c>
      <c r="D29" s="103">
        <f t="shared" si="1"/>
        <v>18682.107109976932</v>
      </c>
      <c r="E29" s="105">
        <f t="shared" si="0"/>
        <v>1.7157314239101057E-3</v>
      </c>
    </row>
    <row r="30" spans="1:5" x14ac:dyDescent="0.25">
      <c r="A30" s="98" t="s">
        <v>378</v>
      </c>
      <c r="B30" s="118">
        <f>$B$5*('Rate History'!$D$4*SUMIF(Data!$G:$G,Neutral!$A30,Data!$CU:$CU)+'Rate History'!$D$5*SUMIF(Data!$G:$G,Neutral!$A30,Data!$CV:$CV)+'Rate History'!$D$6*SUMIF(Data!$G:$G,Neutral!$A30,Data!$CW:$CW)+'Rate History'!$D$7*SUMIF(Data!$G:$G,Neutral!$A30,Data!$CX:$CX)+'Rate History'!$D$8*SUMIF(Data!$G:$G,Neutral!$A30,Data!$CY:$CY)+'Rate History'!$D$9*SUMIF(Data!$G:$G,Neutral!$A30,Data!$CZ:$CZ)+'Rate History'!$D$10*SUMIF(Data!$G:$G,Neutral!$A30,Data!$DA:$DA)+'Rate History'!$D$11*SUMIF(Data!$G:$G,Neutral!$A30,Data!$DB:$DB)+'Rate History'!$D$12*SUMIF(Data!$G:$G,Neutral!$A30,Data!$DC:$DC)+'Rate History'!$D$13*SUMIF(Data!$G:$G,Neutral!$A30,Data!$DD:$DD)+'Rate History'!$D$14*SUMIF(Data!$G:$G,Neutral!$A30,Data!$DE:$DE)+'Rate History'!$D$15*SUMIF(Data!$G:$G,Neutral!$A30,Data!$DF:$DF)+'Rate History'!$D$16*SUMIF(Data!$G:$G,Neutral!$A30,Data!$DG:$DG)+'Rate History'!$D$17*SUMIF(Data!$G:$G,Neutral!$A30,Data!$DH:$DH)+'Rate History'!$D$18*SUMIF(Data!$G:$G,Neutral!$A30,Data!$DI:$DI)+'Rate History'!$D$19*SUMIF(Data!$G:$G,Neutral!$A30,Data!$DJ:$DJ)+'Rate History'!$D$20*SUMIF(Data!$G:$G,Neutral!$A30,Data!$DK:$DK)+'Rate History'!$D$21*SUMIF(Data!$G:$G,Neutral!$A30,Data!$DL:$DL)+'Rate History'!$D$22*SUMIF(Data!$G:$G,Neutral!$A30,Data!$DM:$DM)+'Rate History'!$D$23*SUMIF(Data!$G:$G,Neutral!$A30,Data!$DN:$DN)+'Rate History'!$D$24*SUMIF(Data!$G:$G,Neutral!$A30,Data!$DO:$DO)+'Rate History'!$D$25*SUMIF(Data!$G:$G,Neutral!$A30,Data!$DP:$DP)+'Rate History'!$D$26*SUMIF(Data!$G:$G,Neutral!$A30,Data!$DQ:$DQ)+'Rate History'!$D$27*SUMIF(Data!$G:$G,Neutral!$A30,Data!$DR:$DR)+'Rate History'!$D$28*SUMIF(Data!$G:$G,Neutral!$A30,Data!$DS:$DS)+'Rate History'!$D$29*SUMIF(Data!$G:$G,Neutral!$A30,Data!$DT:$DT)+'Rate History'!$D$30*SUMIF(Data!$G:$G,Neutral!$A30,Data!$DV:$DV)+'Rate History'!$D$31*SUMIF(Data!$G:$G,Neutral!$A30,Data!$DW:$DW))</f>
        <v>8605607.4608346447</v>
      </c>
      <c r="C30" s="118">
        <f>$C$5*('Rate History'!$C$4*SUMIF(Data!$G:$G,Neutral!$A30,Data!$CU:$CU)+'Rate History'!$C$5*SUMIF(Data!$G:$G,Neutral!$A30,Data!$CV:$CV)+'Rate History'!$C$6*SUMIF(Data!$G:$G,Neutral!$A30,Data!$CW:$CW)+'Rate History'!$C$7*SUMIF(Data!$G:$G,Neutral!$A30,Data!$CX:$CX)+'Rate History'!$C$8*SUMIF(Data!$G:$G,Neutral!$A30,Data!$CY:$CY)+'Rate History'!$C$9*SUMIF(Data!$G:$G,Neutral!$A30,Data!$CZ:$CZ)+'Rate History'!$C$10*SUMIF(Data!$G:$G,Neutral!$A30,Data!$DA:$DA)+'Rate History'!$C$11*SUMIF(Data!$G:$G,Neutral!$A30,Data!$DB:$DB)+'Rate History'!$C$12*SUMIF(Data!$G:$G,Neutral!$A30,Data!$DC:$DC)+'Rate History'!$C$13*SUMIF(Data!$G:$G,Neutral!$A30,Data!$DD:$DD)+'Rate History'!$C$14*SUMIF(Data!$G:$G,Neutral!$A30,Data!$DE:$DE)+'Rate History'!$C$15*SUMIF(Data!$G:$G,Neutral!$A30,Data!$DF:$DF)+'Rate History'!$C$16*SUMIF(Data!$G:$G,Neutral!$A30,Data!$DG:$DG)+'Rate History'!$C$17*SUMIF(Data!$G:$G,Neutral!$A30,Data!$DH:$DH)+'Rate History'!$C$18*SUMIF(Data!$G:$G,Neutral!$A30,Data!$DI:$DI)+'Rate History'!$C$19*SUMIF(Data!$G:$G,Neutral!$A30,Data!$DJ:$DJ)+'Rate History'!$C$20*SUMIF(Data!$G:$G,Neutral!$A30,Data!$DK:$DK)+'Rate History'!$C$21*SUMIF(Data!$G:$G,Neutral!$A30,Data!$DL:$DL)+'Rate History'!$C$22*SUMIF(Data!$G:$G,Neutral!$A30,Data!$DM:$DM)+'Rate History'!$C$23*SUMIF(Data!$G:$G,Neutral!$A30,Data!$DN:$DN)+'Rate History'!$C$24*SUMIF(Data!$G:$G,Neutral!$A30,Data!$DO:$DO)+'Rate History'!$C$25*SUMIF(Data!$G:$G,Neutral!$A30,Data!$DP:$DP)+'Rate History'!$C$26*SUMIF(Data!$G:$G,Neutral!$A30,Data!$DQ:$DQ)+'Rate History'!$C$27*SUMIF(Data!$G:$G,Neutral!$A30,Data!$DR:$DR)+'Rate History'!$C$28*SUMIF(Data!$G:$G,Neutral!$A30,Data!$DS:$DS)+'Rate History'!$C$29*SUMIF(Data!$G:$G,Neutral!$A30,Data!$DT:$DT)+'Rate History'!$C$30*SUMIF(Data!$G:$G,Neutral!$A30,Data!$DV:$DV)+'Rate History'!$C$31*SUMIF(Data!$G:$G,Neutral!$A30,Data!$DW:$DW))</f>
        <v>8596699.130726045</v>
      </c>
      <c r="D30" s="103">
        <f t="shared" si="1"/>
        <v>-8908.3301085997373</v>
      </c>
      <c r="E30" s="105">
        <f t="shared" si="0"/>
        <v>-1.0351773711667453E-3</v>
      </c>
    </row>
    <row r="31" spans="1:5" x14ac:dyDescent="0.25">
      <c r="A31" s="97" t="s">
        <v>1285</v>
      </c>
      <c r="B31" s="118">
        <f>$B$5*('Rate History'!$D$4*SUMIF(Data!$G:$G,Neutral!$A31,Data!$CU:$CU)+'Rate History'!$D$5*SUMIF(Data!$G:$G,Neutral!$A31,Data!$CV:$CV)+'Rate History'!$D$6*SUMIF(Data!$G:$G,Neutral!$A31,Data!$CW:$CW)+'Rate History'!$D$7*SUMIF(Data!$G:$G,Neutral!$A31,Data!$CX:$CX)+'Rate History'!$D$8*SUMIF(Data!$G:$G,Neutral!$A31,Data!$CY:$CY)+'Rate History'!$D$9*SUMIF(Data!$G:$G,Neutral!$A31,Data!$CZ:$CZ)+'Rate History'!$D$10*SUMIF(Data!$G:$G,Neutral!$A31,Data!$DA:$DA)+'Rate History'!$D$11*SUMIF(Data!$G:$G,Neutral!$A31,Data!$DB:$DB)+'Rate History'!$D$12*SUMIF(Data!$G:$G,Neutral!$A31,Data!$DC:$DC)+'Rate History'!$D$13*SUMIF(Data!$G:$G,Neutral!$A31,Data!$DD:$DD)+'Rate History'!$D$14*SUMIF(Data!$G:$G,Neutral!$A31,Data!$DE:$DE)+'Rate History'!$D$15*SUMIF(Data!$G:$G,Neutral!$A31,Data!$DF:$DF)+'Rate History'!$D$16*SUMIF(Data!$G:$G,Neutral!$A31,Data!$DG:$DG)+'Rate History'!$D$17*SUMIF(Data!$G:$G,Neutral!$A31,Data!$DH:$DH)+'Rate History'!$D$18*SUMIF(Data!$G:$G,Neutral!$A31,Data!$DI:$DI)+'Rate History'!$D$19*SUMIF(Data!$G:$G,Neutral!$A31,Data!$DJ:$DJ)+'Rate History'!$D$20*SUMIF(Data!$G:$G,Neutral!$A31,Data!$DK:$DK)+'Rate History'!$D$21*SUMIF(Data!$G:$G,Neutral!$A31,Data!$DL:$DL)+'Rate History'!$D$22*SUMIF(Data!$G:$G,Neutral!$A31,Data!$DM:$DM)+'Rate History'!$D$23*SUMIF(Data!$G:$G,Neutral!$A31,Data!$DN:$DN)+'Rate History'!$D$24*SUMIF(Data!$G:$G,Neutral!$A31,Data!$DO:$DO)+'Rate History'!$D$25*SUMIF(Data!$G:$G,Neutral!$A31,Data!$DP:$DP)+'Rate History'!$D$26*SUMIF(Data!$G:$G,Neutral!$A31,Data!$DQ:$DQ)+'Rate History'!$D$27*SUMIF(Data!$G:$G,Neutral!$A31,Data!$DR:$DR)+'Rate History'!$D$28*SUMIF(Data!$G:$G,Neutral!$A31,Data!$DS:$DS)+'Rate History'!$D$29*SUMIF(Data!$G:$G,Neutral!$A31,Data!$DT:$DT)+'Rate History'!$D$30*SUMIF(Data!$G:$G,Neutral!$A31,Data!$DV:$DV)+'Rate History'!$D$31*SUMIF(Data!$G:$G,Neutral!$A31,Data!$DW:$DW))</f>
        <v>69730313.158812582</v>
      </c>
      <c r="C31" s="118">
        <f>$C$5*('Rate History'!$C$4*SUMIF(Data!$G:$G,Neutral!$A31,Data!$CU:$CU)+'Rate History'!$C$5*SUMIF(Data!$G:$G,Neutral!$A31,Data!$CV:$CV)+'Rate History'!$C$6*SUMIF(Data!$G:$G,Neutral!$A31,Data!$CW:$CW)+'Rate History'!$C$7*SUMIF(Data!$G:$G,Neutral!$A31,Data!$CX:$CX)+'Rate History'!$C$8*SUMIF(Data!$G:$G,Neutral!$A31,Data!$CY:$CY)+'Rate History'!$C$9*SUMIF(Data!$G:$G,Neutral!$A31,Data!$CZ:$CZ)+'Rate History'!$C$10*SUMIF(Data!$G:$G,Neutral!$A31,Data!$DA:$DA)+'Rate History'!$C$11*SUMIF(Data!$G:$G,Neutral!$A31,Data!$DB:$DB)+'Rate History'!$C$12*SUMIF(Data!$G:$G,Neutral!$A31,Data!$DC:$DC)+'Rate History'!$C$13*SUMIF(Data!$G:$G,Neutral!$A31,Data!$DD:$DD)+'Rate History'!$C$14*SUMIF(Data!$G:$G,Neutral!$A31,Data!$DE:$DE)+'Rate History'!$C$15*SUMIF(Data!$G:$G,Neutral!$A31,Data!$DF:$DF)+'Rate History'!$C$16*SUMIF(Data!$G:$G,Neutral!$A31,Data!$DG:$DG)+'Rate History'!$C$17*SUMIF(Data!$G:$G,Neutral!$A31,Data!$DH:$DH)+'Rate History'!$C$18*SUMIF(Data!$G:$G,Neutral!$A31,Data!$DI:$DI)+'Rate History'!$C$19*SUMIF(Data!$G:$G,Neutral!$A31,Data!$DJ:$DJ)+'Rate History'!$C$20*SUMIF(Data!$G:$G,Neutral!$A31,Data!$DK:$DK)+'Rate History'!$C$21*SUMIF(Data!$G:$G,Neutral!$A31,Data!$DL:$DL)+'Rate History'!$C$22*SUMIF(Data!$G:$G,Neutral!$A31,Data!$DM:$DM)+'Rate History'!$C$23*SUMIF(Data!$G:$G,Neutral!$A31,Data!$DN:$DN)+'Rate History'!$C$24*SUMIF(Data!$G:$G,Neutral!$A31,Data!$DO:$DO)+'Rate History'!$C$25*SUMIF(Data!$G:$G,Neutral!$A31,Data!$DP:$DP)+'Rate History'!$C$26*SUMIF(Data!$G:$G,Neutral!$A31,Data!$DQ:$DQ)+'Rate History'!$C$27*SUMIF(Data!$G:$G,Neutral!$A31,Data!$DR:$DR)+'Rate History'!$C$28*SUMIF(Data!$G:$G,Neutral!$A31,Data!$DS:$DS)+'Rate History'!$C$29*SUMIF(Data!$G:$G,Neutral!$A31,Data!$DT:$DT)+'Rate History'!$C$30*SUMIF(Data!$G:$G,Neutral!$A31,Data!$DV:$DV)+'Rate History'!$C$31*SUMIF(Data!$G:$G,Neutral!$A31,Data!$DW:$DW))</f>
        <v>69672671.997275472</v>
      </c>
      <c r="D31" s="103">
        <f t="shared" si="1"/>
        <v>-57641.161537110806</v>
      </c>
      <c r="E31" s="105">
        <f t="shared" si="0"/>
        <v>-8.2662989632402157E-4</v>
      </c>
    </row>
    <row r="32" spans="1:5" x14ac:dyDescent="0.25">
      <c r="A32" s="98" t="s">
        <v>927</v>
      </c>
      <c r="B32" s="118">
        <f>$B$5*('Rate History'!$D$4*SUMIF(Data!$G:$G,Neutral!$A32,Data!$CU:$CU)+'Rate History'!$D$5*SUMIF(Data!$G:$G,Neutral!$A32,Data!$CV:$CV)+'Rate History'!$D$6*SUMIF(Data!$G:$G,Neutral!$A32,Data!$CW:$CW)+'Rate History'!$D$7*SUMIF(Data!$G:$G,Neutral!$A32,Data!$CX:$CX)+'Rate History'!$D$8*SUMIF(Data!$G:$G,Neutral!$A32,Data!$CY:$CY)+'Rate History'!$D$9*SUMIF(Data!$G:$G,Neutral!$A32,Data!$CZ:$CZ)+'Rate History'!$D$10*SUMIF(Data!$G:$G,Neutral!$A32,Data!$DA:$DA)+'Rate History'!$D$11*SUMIF(Data!$G:$G,Neutral!$A32,Data!$DB:$DB)+'Rate History'!$D$12*SUMIF(Data!$G:$G,Neutral!$A32,Data!$DC:$DC)+'Rate History'!$D$13*SUMIF(Data!$G:$G,Neutral!$A32,Data!$DD:$DD)+'Rate History'!$D$14*SUMIF(Data!$G:$G,Neutral!$A32,Data!$DE:$DE)+'Rate History'!$D$15*SUMIF(Data!$G:$G,Neutral!$A32,Data!$DF:$DF)+'Rate History'!$D$16*SUMIF(Data!$G:$G,Neutral!$A32,Data!$DG:$DG)+'Rate History'!$D$17*SUMIF(Data!$G:$G,Neutral!$A32,Data!$DH:$DH)+'Rate History'!$D$18*SUMIF(Data!$G:$G,Neutral!$A32,Data!$DI:$DI)+'Rate History'!$D$19*SUMIF(Data!$G:$G,Neutral!$A32,Data!$DJ:$DJ)+'Rate History'!$D$20*SUMIF(Data!$G:$G,Neutral!$A32,Data!$DK:$DK)+'Rate History'!$D$21*SUMIF(Data!$G:$G,Neutral!$A32,Data!$DL:$DL)+'Rate History'!$D$22*SUMIF(Data!$G:$G,Neutral!$A32,Data!$DM:$DM)+'Rate History'!$D$23*SUMIF(Data!$G:$G,Neutral!$A32,Data!$DN:$DN)+'Rate History'!$D$24*SUMIF(Data!$G:$G,Neutral!$A32,Data!$DO:$DO)+'Rate History'!$D$25*SUMIF(Data!$G:$G,Neutral!$A32,Data!$DP:$DP)+'Rate History'!$D$26*SUMIF(Data!$G:$G,Neutral!$A32,Data!$DQ:$DQ)+'Rate History'!$D$27*SUMIF(Data!$G:$G,Neutral!$A32,Data!$DR:$DR)+'Rate History'!$D$28*SUMIF(Data!$G:$G,Neutral!$A32,Data!$DS:$DS)+'Rate History'!$D$29*SUMIF(Data!$G:$G,Neutral!$A32,Data!$DT:$DT)+'Rate History'!$D$30*SUMIF(Data!$G:$G,Neutral!$A32,Data!$DV:$DV)+'Rate History'!$D$31*SUMIF(Data!$G:$G,Neutral!$A32,Data!$DW:$DW))</f>
        <v>13933882.16149785</v>
      </c>
      <c r="C32" s="118">
        <f>$C$5*('Rate History'!$C$4*SUMIF(Data!$G:$G,Neutral!$A32,Data!$CU:$CU)+'Rate History'!$C$5*SUMIF(Data!$G:$G,Neutral!$A32,Data!$CV:$CV)+'Rate History'!$C$6*SUMIF(Data!$G:$G,Neutral!$A32,Data!$CW:$CW)+'Rate History'!$C$7*SUMIF(Data!$G:$G,Neutral!$A32,Data!$CX:$CX)+'Rate History'!$C$8*SUMIF(Data!$G:$G,Neutral!$A32,Data!$CY:$CY)+'Rate History'!$C$9*SUMIF(Data!$G:$G,Neutral!$A32,Data!$CZ:$CZ)+'Rate History'!$C$10*SUMIF(Data!$G:$G,Neutral!$A32,Data!$DA:$DA)+'Rate History'!$C$11*SUMIF(Data!$G:$G,Neutral!$A32,Data!$DB:$DB)+'Rate History'!$C$12*SUMIF(Data!$G:$G,Neutral!$A32,Data!$DC:$DC)+'Rate History'!$C$13*SUMIF(Data!$G:$G,Neutral!$A32,Data!$DD:$DD)+'Rate History'!$C$14*SUMIF(Data!$G:$G,Neutral!$A32,Data!$DE:$DE)+'Rate History'!$C$15*SUMIF(Data!$G:$G,Neutral!$A32,Data!$DF:$DF)+'Rate History'!$C$16*SUMIF(Data!$G:$G,Neutral!$A32,Data!$DG:$DG)+'Rate History'!$C$17*SUMIF(Data!$G:$G,Neutral!$A32,Data!$DH:$DH)+'Rate History'!$C$18*SUMIF(Data!$G:$G,Neutral!$A32,Data!$DI:$DI)+'Rate History'!$C$19*SUMIF(Data!$G:$G,Neutral!$A32,Data!$DJ:$DJ)+'Rate History'!$C$20*SUMIF(Data!$G:$G,Neutral!$A32,Data!$DK:$DK)+'Rate History'!$C$21*SUMIF(Data!$G:$G,Neutral!$A32,Data!$DL:$DL)+'Rate History'!$C$22*SUMIF(Data!$G:$G,Neutral!$A32,Data!$DM:$DM)+'Rate History'!$C$23*SUMIF(Data!$G:$G,Neutral!$A32,Data!$DN:$DN)+'Rate History'!$C$24*SUMIF(Data!$G:$G,Neutral!$A32,Data!$DO:$DO)+'Rate History'!$C$25*SUMIF(Data!$G:$G,Neutral!$A32,Data!$DP:$DP)+'Rate History'!$C$26*SUMIF(Data!$G:$G,Neutral!$A32,Data!$DQ:$DQ)+'Rate History'!$C$27*SUMIF(Data!$G:$G,Neutral!$A32,Data!$DR:$DR)+'Rate History'!$C$28*SUMIF(Data!$G:$G,Neutral!$A32,Data!$DS:$DS)+'Rate History'!$C$29*SUMIF(Data!$G:$G,Neutral!$A32,Data!$DT:$DT)+'Rate History'!$C$30*SUMIF(Data!$G:$G,Neutral!$A32,Data!$DV:$DV)+'Rate History'!$C$31*SUMIF(Data!$G:$G,Neutral!$A32,Data!$DW:$DW))</f>
        <v>13958573.013155293</v>
      </c>
      <c r="D32" s="103">
        <f t="shared" si="1"/>
        <v>24690.851657442749</v>
      </c>
      <c r="E32" s="105">
        <f t="shared" si="0"/>
        <v>1.7720008947447964E-3</v>
      </c>
    </row>
    <row r="33" spans="1:5" x14ac:dyDescent="0.25">
      <c r="A33" s="98" t="s">
        <v>424</v>
      </c>
      <c r="B33" s="118">
        <f>$B$5*('Rate History'!$D$4*SUMIF(Data!$G:$G,Neutral!$A33,Data!$CU:$CU)+'Rate History'!$D$5*SUMIF(Data!$G:$G,Neutral!$A33,Data!$CV:$CV)+'Rate History'!$D$6*SUMIF(Data!$G:$G,Neutral!$A33,Data!$CW:$CW)+'Rate History'!$D$7*SUMIF(Data!$G:$G,Neutral!$A33,Data!$CX:$CX)+'Rate History'!$D$8*SUMIF(Data!$G:$G,Neutral!$A33,Data!$CY:$CY)+'Rate History'!$D$9*SUMIF(Data!$G:$G,Neutral!$A33,Data!$CZ:$CZ)+'Rate History'!$D$10*SUMIF(Data!$G:$G,Neutral!$A33,Data!$DA:$DA)+'Rate History'!$D$11*SUMIF(Data!$G:$G,Neutral!$A33,Data!$DB:$DB)+'Rate History'!$D$12*SUMIF(Data!$G:$G,Neutral!$A33,Data!$DC:$DC)+'Rate History'!$D$13*SUMIF(Data!$G:$G,Neutral!$A33,Data!$DD:$DD)+'Rate History'!$D$14*SUMIF(Data!$G:$G,Neutral!$A33,Data!$DE:$DE)+'Rate History'!$D$15*SUMIF(Data!$G:$G,Neutral!$A33,Data!$DF:$DF)+'Rate History'!$D$16*SUMIF(Data!$G:$G,Neutral!$A33,Data!$DG:$DG)+'Rate History'!$D$17*SUMIF(Data!$G:$G,Neutral!$A33,Data!$DH:$DH)+'Rate History'!$D$18*SUMIF(Data!$G:$G,Neutral!$A33,Data!$DI:$DI)+'Rate History'!$D$19*SUMIF(Data!$G:$G,Neutral!$A33,Data!$DJ:$DJ)+'Rate History'!$D$20*SUMIF(Data!$G:$G,Neutral!$A33,Data!$DK:$DK)+'Rate History'!$D$21*SUMIF(Data!$G:$G,Neutral!$A33,Data!$DL:$DL)+'Rate History'!$D$22*SUMIF(Data!$G:$G,Neutral!$A33,Data!$DM:$DM)+'Rate History'!$D$23*SUMIF(Data!$G:$G,Neutral!$A33,Data!$DN:$DN)+'Rate History'!$D$24*SUMIF(Data!$G:$G,Neutral!$A33,Data!$DO:$DO)+'Rate History'!$D$25*SUMIF(Data!$G:$G,Neutral!$A33,Data!$DP:$DP)+'Rate History'!$D$26*SUMIF(Data!$G:$G,Neutral!$A33,Data!$DQ:$DQ)+'Rate History'!$D$27*SUMIF(Data!$G:$G,Neutral!$A33,Data!$DR:$DR)+'Rate History'!$D$28*SUMIF(Data!$G:$G,Neutral!$A33,Data!$DS:$DS)+'Rate History'!$D$29*SUMIF(Data!$G:$G,Neutral!$A33,Data!$DT:$DT)+'Rate History'!$D$30*SUMIF(Data!$G:$G,Neutral!$A33,Data!$DV:$DV)+'Rate History'!$D$31*SUMIF(Data!$G:$G,Neutral!$A33,Data!$DW:$DW))</f>
        <v>8338200.9134583585</v>
      </c>
      <c r="C33" s="118">
        <f>$C$5*('Rate History'!$C$4*SUMIF(Data!$G:$G,Neutral!$A33,Data!$CU:$CU)+'Rate History'!$C$5*SUMIF(Data!$G:$G,Neutral!$A33,Data!$CV:$CV)+'Rate History'!$C$6*SUMIF(Data!$G:$G,Neutral!$A33,Data!$CW:$CW)+'Rate History'!$C$7*SUMIF(Data!$G:$G,Neutral!$A33,Data!$CX:$CX)+'Rate History'!$C$8*SUMIF(Data!$G:$G,Neutral!$A33,Data!$CY:$CY)+'Rate History'!$C$9*SUMIF(Data!$G:$G,Neutral!$A33,Data!$CZ:$CZ)+'Rate History'!$C$10*SUMIF(Data!$G:$G,Neutral!$A33,Data!$DA:$DA)+'Rate History'!$C$11*SUMIF(Data!$G:$G,Neutral!$A33,Data!$DB:$DB)+'Rate History'!$C$12*SUMIF(Data!$G:$G,Neutral!$A33,Data!$DC:$DC)+'Rate History'!$C$13*SUMIF(Data!$G:$G,Neutral!$A33,Data!$DD:$DD)+'Rate History'!$C$14*SUMIF(Data!$G:$G,Neutral!$A33,Data!$DE:$DE)+'Rate History'!$C$15*SUMIF(Data!$G:$G,Neutral!$A33,Data!$DF:$DF)+'Rate History'!$C$16*SUMIF(Data!$G:$G,Neutral!$A33,Data!$DG:$DG)+'Rate History'!$C$17*SUMIF(Data!$G:$G,Neutral!$A33,Data!$DH:$DH)+'Rate History'!$C$18*SUMIF(Data!$G:$G,Neutral!$A33,Data!$DI:$DI)+'Rate History'!$C$19*SUMIF(Data!$G:$G,Neutral!$A33,Data!$DJ:$DJ)+'Rate History'!$C$20*SUMIF(Data!$G:$G,Neutral!$A33,Data!$DK:$DK)+'Rate History'!$C$21*SUMIF(Data!$G:$G,Neutral!$A33,Data!$DL:$DL)+'Rate History'!$C$22*SUMIF(Data!$G:$G,Neutral!$A33,Data!$DM:$DM)+'Rate History'!$C$23*SUMIF(Data!$G:$G,Neutral!$A33,Data!$DN:$DN)+'Rate History'!$C$24*SUMIF(Data!$G:$G,Neutral!$A33,Data!$DO:$DO)+'Rate History'!$C$25*SUMIF(Data!$G:$G,Neutral!$A33,Data!$DP:$DP)+'Rate History'!$C$26*SUMIF(Data!$G:$G,Neutral!$A33,Data!$DQ:$DQ)+'Rate History'!$C$27*SUMIF(Data!$G:$G,Neutral!$A33,Data!$DR:$DR)+'Rate History'!$C$28*SUMIF(Data!$G:$G,Neutral!$A33,Data!$DS:$DS)+'Rate History'!$C$29*SUMIF(Data!$G:$G,Neutral!$A33,Data!$DT:$DT)+'Rate History'!$C$30*SUMIF(Data!$G:$G,Neutral!$A33,Data!$DV:$DV)+'Rate History'!$C$31*SUMIF(Data!$G:$G,Neutral!$A33,Data!$DW:$DW))</f>
        <v>8332792.507449517</v>
      </c>
      <c r="D33" s="103">
        <f t="shared" si="1"/>
        <v>-5408.4060088414699</v>
      </c>
      <c r="E33" s="105">
        <f t="shared" si="0"/>
        <v>-6.4862985012893812E-4</v>
      </c>
    </row>
    <row r="34" spans="1:5" x14ac:dyDescent="0.25">
      <c r="A34" s="98" t="s">
        <v>381</v>
      </c>
      <c r="B34" s="118">
        <f>$B$5*('Rate History'!$D$4*SUMIF(Data!$G:$G,Neutral!$A34,Data!$CU:$CU)+'Rate History'!$D$5*SUMIF(Data!$G:$G,Neutral!$A34,Data!$CV:$CV)+'Rate History'!$D$6*SUMIF(Data!$G:$G,Neutral!$A34,Data!$CW:$CW)+'Rate History'!$D$7*SUMIF(Data!$G:$G,Neutral!$A34,Data!$CX:$CX)+'Rate History'!$D$8*SUMIF(Data!$G:$G,Neutral!$A34,Data!$CY:$CY)+'Rate History'!$D$9*SUMIF(Data!$G:$G,Neutral!$A34,Data!$CZ:$CZ)+'Rate History'!$D$10*SUMIF(Data!$G:$G,Neutral!$A34,Data!$DA:$DA)+'Rate History'!$D$11*SUMIF(Data!$G:$G,Neutral!$A34,Data!$DB:$DB)+'Rate History'!$D$12*SUMIF(Data!$G:$G,Neutral!$A34,Data!$DC:$DC)+'Rate History'!$D$13*SUMIF(Data!$G:$G,Neutral!$A34,Data!$DD:$DD)+'Rate History'!$D$14*SUMIF(Data!$G:$G,Neutral!$A34,Data!$DE:$DE)+'Rate History'!$D$15*SUMIF(Data!$G:$G,Neutral!$A34,Data!$DF:$DF)+'Rate History'!$D$16*SUMIF(Data!$G:$G,Neutral!$A34,Data!$DG:$DG)+'Rate History'!$D$17*SUMIF(Data!$G:$G,Neutral!$A34,Data!$DH:$DH)+'Rate History'!$D$18*SUMIF(Data!$G:$G,Neutral!$A34,Data!$DI:$DI)+'Rate History'!$D$19*SUMIF(Data!$G:$G,Neutral!$A34,Data!$DJ:$DJ)+'Rate History'!$D$20*SUMIF(Data!$G:$G,Neutral!$A34,Data!$DK:$DK)+'Rate History'!$D$21*SUMIF(Data!$G:$G,Neutral!$A34,Data!$DL:$DL)+'Rate History'!$D$22*SUMIF(Data!$G:$G,Neutral!$A34,Data!$DM:$DM)+'Rate History'!$D$23*SUMIF(Data!$G:$G,Neutral!$A34,Data!$DN:$DN)+'Rate History'!$D$24*SUMIF(Data!$G:$G,Neutral!$A34,Data!$DO:$DO)+'Rate History'!$D$25*SUMIF(Data!$G:$G,Neutral!$A34,Data!$DP:$DP)+'Rate History'!$D$26*SUMIF(Data!$G:$G,Neutral!$A34,Data!$DQ:$DQ)+'Rate History'!$D$27*SUMIF(Data!$G:$G,Neutral!$A34,Data!$DR:$DR)+'Rate History'!$D$28*SUMIF(Data!$G:$G,Neutral!$A34,Data!$DS:$DS)+'Rate History'!$D$29*SUMIF(Data!$G:$G,Neutral!$A34,Data!$DT:$DT)+'Rate History'!$D$30*SUMIF(Data!$G:$G,Neutral!$A34,Data!$DV:$DV)+'Rate History'!$D$31*SUMIF(Data!$G:$G,Neutral!$A34,Data!$DW:$DW))</f>
        <v>15995350.936246831</v>
      </c>
      <c r="C34" s="118">
        <f>$C$5*('Rate History'!$C$4*SUMIF(Data!$G:$G,Neutral!$A34,Data!$CU:$CU)+'Rate History'!$C$5*SUMIF(Data!$G:$G,Neutral!$A34,Data!$CV:$CV)+'Rate History'!$C$6*SUMIF(Data!$G:$G,Neutral!$A34,Data!$CW:$CW)+'Rate History'!$C$7*SUMIF(Data!$G:$G,Neutral!$A34,Data!$CX:$CX)+'Rate History'!$C$8*SUMIF(Data!$G:$G,Neutral!$A34,Data!$CY:$CY)+'Rate History'!$C$9*SUMIF(Data!$G:$G,Neutral!$A34,Data!$CZ:$CZ)+'Rate History'!$C$10*SUMIF(Data!$G:$G,Neutral!$A34,Data!$DA:$DA)+'Rate History'!$C$11*SUMIF(Data!$G:$G,Neutral!$A34,Data!$DB:$DB)+'Rate History'!$C$12*SUMIF(Data!$G:$G,Neutral!$A34,Data!$DC:$DC)+'Rate History'!$C$13*SUMIF(Data!$G:$G,Neutral!$A34,Data!$DD:$DD)+'Rate History'!$C$14*SUMIF(Data!$G:$G,Neutral!$A34,Data!$DE:$DE)+'Rate History'!$C$15*SUMIF(Data!$G:$G,Neutral!$A34,Data!$DF:$DF)+'Rate History'!$C$16*SUMIF(Data!$G:$G,Neutral!$A34,Data!$DG:$DG)+'Rate History'!$C$17*SUMIF(Data!$G:$G,Neutral!$A34,Data!$DH:$DH)+'Rate History'!$C$18*SUMIF(Data!$G:$G,Neutral!$A34,Data!$DI:$DI)+'Rate History'!$C$19*SUMIF(Data!$G:$G,Neutral!$A34,Data!$DJ:$DJ)+'Rate History'!$C$20*SUMIF(Data!$G:$G,Neutral!$A34,Data!$DK:$DK)+'Rate History'!$C$21*SUMIF(Data!$G:$G,Neutral!$A34,Data!$DL:$DL)+'Rate History'!$C$22*SUMIF(Data!$G:$G,Neutral!$A34,Data!$DM:$DM)+'Rate History'!$C$23*SUMIF(Data!$G:$G,Neutral!$A34,Data!$DN:$DN)+'Rate History'!$C$24*SUMIF(Data!$G:$G,Neutral!$A34,Data!$DO:$DO)+'Rate History'!$C$25*SUMIF(Data!$G:$G,Neutral!$A34,Data!$DP:$DP)+'Rate History'!$C$26*SUMIF(Data!$G:$G,Neutral!$A34,Data!$DQ:$DQ)+'Rate History'!$C$27*SUMIF(Data!$G:$G,Neutral!$A34,Data!$DR:$DR)+'Rate History'!$C$28*SUMIF(Data!$G:$G,Neutral!$A34,Data!$DS:$DS)+'Rate History'!$C$29*SUMIF(Data!$G:$G,Neutral!$A34,Data!$DT:$DT)+'Rate History'!$C$30*SUMIF(Data!$G:$G,Neutral!$A34,Data!$DV:$DV)+'Rate History'!$C$31*SUMIF(Data!$G:$G,Neutral!$A34,Data!$DW:$DW))</f>
        <v>16073883.285600306</v>
      </c>
      <c r="D34" s="103">
        <f t="shared" si="1"/>
        <v>78532.349353475496</v>
      </c>
      <c r="E34" s="105">
        <f t="shared" si="0"/>
        <v>4.9096984284048737E-3</v>
      </c>
    </row>
    <row r="35" spans="1:5" x14ac:dyDescent="0.25">
      <c r="A35" s="98" t="s">
        <v>363</v>
      </c>
      <c r="B35" s="118">
        <f>$B$5*('Rate History'!$D$4*SUMIF(Data!$G:$G,Neutral!$A35,Data!$CU:$CU)+'Rate History'!$D$5*SUMIF(Data!$G:$G,Neutral!$A35,Data!$CV:$CV)+'Rate History'!$D$6*SUMIF(Data!$G:$G,Neutral!$A35,Data!$CW:$CW)+'Rate History'!$D$7*SUMIF(Data!$G:$G,Neutral!$A35,Data!$CX:$CX)+'Rate History'!$D$8*SUMIF(Data!$G:$G,Neutral!$A35,Data!$CY:$CY)+'Rate History'!$D$9*SUMIF(Data!$G:$G,Neutral!$A35,Data!$CZ:$CZ)+'Rate History'!$D$10*SUMIF(Data!$G:$G,Neutral!$A35,Data!$DA:$DA)+'Rate History'!$D$11*SUMIF(Data!$G:$G,Neutral!$A35,Data!$DB:$DB)+'Rate History'!$D$12*SUMIF(Data!$G:$G,Neutral!$A35,Data!$DC:$DC)+'Rate History'!$D$13*SUMIF(Data!$G:$G,Neutral!$A35,Data!$DD:$DD)+'Rate History'!$D$14*SUMIF(Data!$G:$G,Neutral!$A35,Data!$DE:$DE)+'Rate History'!$D$15*SUMIF(Data!$G:$G,Neutral!$A35,Data!$DF:$DF)+'Rate History'!$D$16*SUMIF(Data!$G:$G,Neutral!$A35,Data!$DG:$DG)+'Rate History'!$D$17*SUMIF(Data!$G:$G,Neutral!$A35,Data!$DH:$DH)+'Rate History'!$D$18*SUMIF(Data!$G:$G,Neutral!$A35,Data!$DI:$DI)+'Rate History'!$D$19*SUMIF(Data!$G:$G,Neutral!$A35,Data!$DJ:$DJ)+'Rate History'!$D$20*SUMIF(Data!$G:$G,Neutral!$A35,Data!$DK:$DK)+'Rate History'!$D$21*SUMIF(Data!$G:$G,Neutral!$A35,Data!$DL:$DL)+'Rate History'!$D$22*SUMIF(Data!$G:$G,Neutral!$A35,Data!$DM:$DM)+'Rate History'!$D$23*SUMIF(Data!$G:$G,Neutral!$A35,Data!$DN:$DN)+'Rate History'!$D$24*SUMIF(Data!$G:$G,Neutral!$A35,Data!$DO:$DO)+'Rate History'!$D$25*SUMIF(Data!$G:$G,Neutral!$A35,Data!$DP:$DP)+'Rate History'!$D$26*SUMIF(Data!$G:$G,Neutral!$A35,Data!$DQ:$DQ)+'Rate History'!$D$27*SUMIF(Data!$G:$G,Neutral!$A35,Data!$DR:$DR)+'Rate History'!$D$28*SUMIF(Data!$G:$G,Neutral!$A35,Data!$DS:$DS)+'Rate History'!$D$29*SUMIF(Data!$G:$G,Neutral!$A35,Data!$DT:$DT)+'Rate History'!$D$30*SUMIF(Data!$G:$G,Neutral!$A35,Data!$DV:$DV)+'Rate History'!$D$31*SUMIF(Data!$G:$G,Neutral!$A35,Data!$DW:$DW))</f>
        <v>10528499.027832802</v>
      </c>
      <c r="C35" s="118">
        <f>$C$5*('Rate History'!$C$4*SUMIF(Data!$G:$G,Neutral!$A35,Data!$CU:$CU)+'Rate History'!$C$5*SUMIF(Data!$G:$G,Neutral!$A35,Data!$CV:$CV)+'Rate History'!$C$6*SUMIF(Data!$G:$G,Neutral!$A35,Data!$CW:$CW)+'Rate History'!$C$7*SUMIF(Data!$G:$G,Neutral!$A35,Data!$CX:$CX)+'Rate History'!$C$8*SUMIF(Data!$G:$G,Neutral!$A35,Data!$CY:$CY)+'Rate History'!$C$9*SUMIF(Data!$G:$G,Neutral!$A35,Data!$CZ:$CZ)+'Rate History'!$C$10*SUMIF(Data!$G:$G,Neutral!$A35,Data!$DA:$DA)+'Rate History'!$C$11*SUMIF(Data!$G:$G,Neutral!$A35,Data!$DB:$DB)+'Rate History'!$C$12*SUMIF(Data!$G:$G,Neutral!$A35,Data!$DC:$DC)+'Rate History'!$C$13*SUMIF(Data!$G:$G,Neutral!$A35,Data!$DD:$DD)+'Rate History'!$C$14*SUMIF(Data!$G:$G,Neutral!$A35,Data!$DE:$DE)+'Rate History'!$C$15*SUMIF(Data!$G:$G,Neutral!$A35,Data!$DF:$DF)+'Rate History'!$C$16*SUMIF(Data!$G:$G,Neutral!$A35,Data!$DG:$DG)+'Rate History'!$C$17*SUMIF(Data!$G:$G,Neutral!$A35,Data!$DH:$DH)+'Rate History'!$C$18*SUMIF(Data!$G:$G,Neutral!$A35,Data!$DI:$DI)+'Rate History'!$C$19*SUMIF(Data!$G:$G,Neutral!$A35,Data!$DJ:$DJ)+'Rate History'!$C$20*SUMIF(Data!$G:$G,Neutral!$A35,Data!$DK:$DK)+'Rate History'!$C$21*SUMIF(Data!$G:$G,Neutral!$A35,Data!$DL:$DL)+'Rate History'!$C$22*SUMIF(Data!$G:$G,Neutral!$A35,Data!$DM:$DM)+'Rate History'!$C$23*SUMIF(Data!$G:$G,Neutral!$A35,Data!$DN:$DN)+'Rate History'!$C$24*SUMIF(Data!$G:$G,Neutral!$A35,Data!$DO:$DO)+'Rate History'!$C$25*SUMIF(Data!$G:$G,Neutral!$A35,Data!$DP:$DP)+'Rate History'!$C$26*SUMIF(Data!$G:$G,Neutral!$A35,Data!$DQ:$DQ)+'Rate History'!$C$27*SUMIF(Data!$G:$G,Neutral!$A35,Data!$DR:$DR)+'Rate History'!$C$28*SUMIF(Data!$G:$G,Neutral!$A35,Data!$DS:$DS)+'Rate History'!$C$29*SUMIF(Data!$G:$G,Neutral!$A35,Data!$DT:$DT)+'Rate History'!$C$30*SUMIF(Data!$G:$G,Neutral!$A35,Data!$DV:$DV)+'Rate History'!$C$31*SUMIF(Data!$G:$G,Neutral!$A35,Data!$DW:$DW))</f>
        <v>10548227.363582823</v>
      </c>
      <c r="D35" s="103">
        <f t="shared" si="1"/>
        <v>19728.33575002104</v>
      </c>
      <c r="E35" s="105">
        <f t="shared" si="0"/>
        <v>1.8738032551333143E-3</v>
      </c>
    </row>
    <row r="36" spans="1:5" x14ac:dyDescent="0.25">
      <c r="A36" s="98" t="s">
        <v>435</v>
      </c>
      <c r="B36" s="118">
        <f>$B$5*('Rate History'!$D$4*SUMIF(Data!$G:$G,Neutral!$A36,Data!$CU:$CU)+'Rate History'!$D$5*SUMIF(Data!$G:$G,Neutral!$A36,Data!$CV:$CV)+'Rate History'!$D$6*SUMIF(Data!$G:$G,Neutral!$A36,Data!$CW:$CW)+'Rate History'!$D$7*SUMIF(Data!$G:$G,Neutral!$A36,Data!$CX:$CX)+'Rate History'!$D$8*SUMIF(Data!$G:$G,Neutral!$A36,Data!$CY:$CY)+'Rate History'!$D$9*SUMIF(Data!$G:$G,Neutral!$A36,Data!$CZ:$CZ)+'Rate History'!$D$10*SUMIF(Data!$G:$G,Neutral!$A36,Data!$DA:$DA)+'Rate History'!$D$11*SUMIF(Data!$G:$G,Neutral!$A36,Data!$DB:$DB)+'Rate History'!$D$12*SUMIF(Data!$G:$G,Neutral!$A36,Data!$DC:$DC)+'Rate History'!$D$13*SUMIF(Data!$G:$G,Neutral!$A36,Data!$DD:$DD)+'Rate History'!$D$14*SUMIF(Data!$G:$G,Neutral!$A36,Data!$DE:$DE)+'Rate History'!$D$15*SUMIF(Data!$G:$G,Neutral!$A36,Data!$DF:$DF)+'Rate History'!$D$16*SUMIF(Data!$G:$G,Neutral!$A36,Data!$DG:$DG)+'Rate History'!$D$17*SUMIF(Data!$G:$G,Neutral!$A36,Data!$DH:$DH)+'Rate History'!$D$18*SUMIF(Data!$G:$G,Neutral!$A36,Data!$DI:$DI)+'Rate History'!$D$19*SUMIF(Data!$G:$G,Neutral!$A36,Data!$DJ:$DJ)+'Rate History'!$D$20*SUMIF(Data!$G:$G,Neutral!$A36,Data!$DK:$DK)+'Rate History'!$D$21*SUMIF(Data!$G:$G,Neutral!$A36,Data!$DL:$DL)+'Rate History'!$D$22*SUMIF(Data!$G:$G,Neutral!$A36,Data!$DM:$DM)+'Rate History'!$D$23*SUMIF(Data!$G:$G,Neutral!$A36,Data!$DN:$DN)+'Rate History'!$D$24*SUMIF(Data!$G:$G,Neutral!$A36,Data!$DO:$DO)+'Rate History'!$D$25*SUMIF(Data!$G:$G,Neutral!$A36,Data!$DP:$DP)+'Rate History'!$D$26*SUMIF(Data!$G:$G,Neutral!$A36,Data!$DQ:$DQ)+'Rate History'!$D$27*SUMIF(Data!$G:$G,Neutral!$A36,Data!$DR:$DR)+'Rate History'!$D$28*SUMIF(Data!$G:$G,Neutral!$A36,Data!$DS:$DS)+'Rate History'!$D$29*SUMIF(Data!$G:$G,Neutral!$A36,Data!$DT:$DT)+'Rate History'!$D$30*SUMIF(Data!$G:$G,Neutral!$A36,Data!$DV:$DV)+'Rate History'!$D$31*SUMIF(Data!$G:$G,Neutral!$A36,Data!$DW:$DW))</f>
        <v>4557828.6943096202</v>
      </c>
      <c r="C36" s="118">
        <f>$C$5*('Rate History'!$C$4*SUMIF(Data!$G:$G,Neutral!$A36,Data!$CU:$CU)+'Rate History'!$C$5*SUMIF(Data!$G:$G,Neutral!$A36,Data!$CV:$CV)+'Rate History'!$C$6*SUMIF(Data!$G:$G,Neutral!$A36,Data!$CW:$CW)+'Rate History'!$C$7*SUMIF(Data!$G:$G,Neutral!$A36,Data!$CX:$CX)+'Rate History'!$C$8*SUMIF(Data!$G:$G,Neutral!$A36,Data!$CY:$CY)+'Rate History'!$C$9*SUMIF(Data!$G:$G,Neutral!$A36,Data!$CZ:$CZ)+'Rate History'!$C$10*SUMIF(Data!$G:$G,Neutral!$A36,Data!$DA:$DA)+'Rate History'!$C$11*SUMIF(Data!$G:$G,Neutral!$A36,Data!$DB:$DB)+'Rate History'!$C$12*SUMIF(Data!$G:$G,Neutral!$A36,Data!$DC:$DC)+'Rate History'!$C$13*SUMIF(Data!$G:$G,Neutral!$A36,Data!$DD:$DD)+'Rate History'!$C$14*SUMIF(Data!$G:$G,Neutral!$A36,Data!$DE:$DE)+'Rate History'!$C$15*SUMIF(Data!$G:$G,Neutral!$A36,Data!$DF:$DF)+'Rate History'!$C$16*SUMIF(Data!$G:$G,Neutral!$A36,Data!$DG:$DG)+'Rate History'!$C$17*SUMIF(Data!$G:$G,Neutral!$A36,Data!$DH:$DH)+'Rate History'!$C$18*SUMIF(Data!$G:$G,Neutral!$A36,Data!$DI:$DI)+'Rate History'!$C$19*SUMIF(Data!$G:$G,Neutral!$A36,Data!$DJ:$DJ)+'Rate History'!$C$20*SUMIF(Data!$G:$G,Neutral!$A36,Data!$DK:$DK)+'Rate History'!$C$21*SUMIF(Data!$G:$G,Neutral!$A36,Data!$DL:$DL)+'Rate History'!$C$22*SUMIF(Data!$G:$G,Neutral!$A36,Data!$DM:$DM)+'Rate History'!$C$23*SUMIF(Data!$G:$G,Neutral!$A36,Data!$DN:$DN)+'Rate History'!$C$24*SUMIF(Data!$G:$G,Neutral!$A36,Data!$DO:$DO)+'Rate History'!$C$25*SUMIF(Data!$G:$G,Neutral!$A36,Data!$DP:$DP)+'Rate History'!$C$26*SUMIF(Data!$G:$G,Neutral!$A36,Data!$DQ:$DQ)+'Rate History'!$C$27*SUMIF(Data!$G:$G,Neutral!$A36,Data!$DR:$DR)+'Rate History'!$C$28*SUMIF(Data!$G:$G,Neutral!$A36,Data!$DS:$DS)+'Rate History'!$C$29*SUMIF(Data!$G:$G,Neutral!$A36,Data!$DT:$DT)+'Rate History'!$C$30*SUMIF(Data!$G:$G,Neutral!$A36,Data!$DV:$DV)+'Rate History'!$C$31*SUMIF(Data!$G:$G,Neutral!$A36,Data!$DW:$DW))</f>
        <v>4568257.4075531848</v>
      </c>
      <c r="D36" s="103">
        <f t="shared" si="1"/>
        <v>10428.713243564591</v>
      </c>
      <c r="E36" s="105">
        <f t="shared" si="0"/>
        <v>2.2880880223920398E-3</v>
      </c>
    </row>
    <row r="37" spans="1:5" x14ac:dyDescent="0.25">
      <c r="A37" s="98" t="s">
        <v>383</v>
      </c>
      <c r="B37" s="118">
        <f>$B$5*('Rate History'!$D$4*SUMIF(Data!$G:$G,Neutral!$A37,Data!$CU:$CU)+'Rate History'!$D$5*SUMIF(Data!$G:$G,Neutral!$A37,Data!$CV:$CV)+'Rate History'!$D$6*SUMIF(Data!$G:$G,Neutral!$A37,Data!$CW:$CW)+'Rate History'!$D$7*SUMIF(Data!$G:$G,Neutral!$A37,Data!$CX:$CX)+'Rate History'!$D$8*SUMIF(Data!$G:$G,Neutral!$A37,Data!$CY:$CY)+'Rate History'!$D$9*SUMIF(Data!$G:$G,Neutral!$A37,Data!$CZ:$CZ)+'Rate History'!$D$10*SUMIF(Data!$G:$G,Neutral!$A37,Data!$DA:$DA)+'Rate History'!$D$11*SUMIF(Data!$G:$G,Neutral!$A37,Data!$DB:$DB)+'Rate History'!$D$12*SUMIF(Data!$G:$G,Neutral!$A37,Data!$DC:$DC)+'Rate History'!$D$13*SUMIF(Data!$G:$G,Neutral!$A37,Data!$DD:$DD)+'Rate History'!$D$14*SUMIF(Data!$G:$G,Neutral!$A37,Data!$DE:$DE)+'Rate History'!$D$15*SUMIF(Data!$G:$G,Neutral!$A37,Data!$DF:$DF)+'Rate History'!$D$16*SUMIF(Data!$G:$G,Neutral!$A37,Data!$DG:$DG)+'Rate History'!$D$17*SUMIF(Data!$G:$G,Neutral!$A37,Data!$DH:$DH)+'Rate History'!$D$18*SUMIF(Data!$G:$G,Neutral!$A37,Data!$DI:$DI)+'Rate History'!$D$19*SUMIF(Data!$G:$G,Neutral!$A37,Data!$DJ:$DJ)+'Rate History'!$D$20*SUMIF(Data!$G:$G,Neutral!$A37,Data!$DK:$DK)+'Rate History'!$D$21*SUMIF(Data!$G:$G,Neutral!$A37,Data!$DL:$DL)+'Rate History'!$D$22*SUMIF(Data!$G:$G,Neutral!$A37,Data!$DM:$DM)+'Rate History'!$D$23*SUMIF(Data!$G:$G,Neutral!$A37,Data!$DN:$DN)+'Rate History'!$D$24*SUMIF(Data!$G:$G,Neutral!$A37,Data!$DO:$DO)+'Rate History'!$D$25*SUMIF(Data!$G:$G,Neutral!$A37,Data!$DP:$DP)+'Rate History'!$D$26*SUMIF(Data!$G:$G,Neutral!$A37,Data!$DQ:$DQ)+'Rate History'!$D$27*SUMIF(Data!$G:$G,Neutral!$A37,Data!$DR:$DR)+'Rate History'!$D$28*SUMIF(Data!$G:$G,Neutral!$A37,Data!$DS:$DS)+'Rate History'!$D$29*SUMIF(Data!$G:$G,Neutral!$A37,Data!$DT:$DT)+'Rate History'!$D$30*SUMIF(Data!$G:$G,Neutral!$A37,Data!$DV:$DV)+'Rate History'!$D$31*SUMIF(Data!$G:$G,Neutral!$A37,Data!$DW:$DW))</f>
        <v>7122674.2239254657</v>
      </c>
      <c r="C37" s="118">
        <f>$C$5*('Rate History'!$C$4*SUMIF(Data!$G:$G,Neutral!$A37,Data!$CU:$CU)+'Rate History'!$C$5*SUMIF(Data!$G:$G,Neutral!$A37,Data!$CV:$CV)+'Rate History'!$C$6*SUMIF(Data!$G:$G,Neutral!$A37,Data!$CW:$CW)+'Rate History'!$C$7*SUMIF(Data!$G:$G,Neutral!$A37,Data!$CX:$CX)+'Rate History'!$C$8*SUMIF(Data!$G:$G,Neutral!$A37,Data!$CY:$CY)+'Rate History'!$C$9*SUMIF(Data!$G:$G,Neutral!$A37,Data!$CZ:$CZ)+'Rate History'!$C$10*SUMIF(Data!$G:$G,Neutral!$A37,Data!$DA:$DA)+'Rate History'!$C$11*SUMIF(Data!$G:$G,Neutral!$A37,Data!$DB:$DB)+'Rate History'!$C$12*SUMIF(Data!$G:$G,Neutral!$A37,Data!$DC:$DC)+'Rate History'!$C$13*SUMIF(Data!$G:$G,Neutral!$A37,Data!$DD:$DD)+'Rate History'!$C$14*SUMIF(Data!$G:$G,Neutral!$A37,Data!$DE:$DE)+'Rate History'!$C$15*SUMIF(Data!$G:$G,Neutral!$A37,Data!$DF:$DF)+'Rate History'!$C$16*SUMIF(Data!$G:$G,Neutral!$A37,Data!$DG:$DG)+'Rate History'!$C$17*SUMIF(Data!$G:$G,Neutral!$A37,Data!$DH:$DH)+'Rate History'!$C$18*SUMIF(Data!$G:$G,Neutral!$A37,Data!$DI:$DI)+'Rate History'!$C$19*SUMIF(Data!$G:$G,Neutral!$A37,Data!$DJ:$DJ)+'Rate History'!$C$20*SUMIF(Data!$G:$G,Neutral!$A37,Data!$DK:$DK)+'Rate History'!$C$21*SUMIF(Data!$G:$G,Neutral!$A37,Data!$DL:$DL)+'Rate History'!$C$22*SUMIF(Data!$G:$G,Neutral!$A37,Data!$DM:$DM)+'Rate History'!$C$23*SUMIF(Data!$G:$G,Neutral!$A37,Data!$DN:$DN)+'Rate History'!$C$24*SUMIF(Data!$G:$G,Neutral!$A37,Data!$DO:$DO)+'Rate History'!$C$25*SUMIF(Data!$G:$G,Neutral!$A37,Data!$DP:$DP)+'Rate History'!$C$26*SUMIF(Data!$G:$G,Neutral!$A37,Data!$DQ:$DQ)+'Rate History'!$C$27*SUMIF(Data!$G:$G,Neutral!$A37,Data!$DR:$DR)+'Rate History'!$C$28*SUMIF(Data!$G:$G,Neutral!$A37,Data!$DS:$DS)+'Rate History'!$C$29*SUMIF(Data!$G:$G,Neutral!$A37,Data!$DT:$DT)+'Rate History'!$C$30*SUMIF(Data!$G:$G,Neutral!$A37,Data!$DV:$DV)+'Rate History'!$C$31*SUMIF(Data!$G:$G,Neutral!$A37,Data!$DW:$DW))</f>
        <v>7144216.5436355369</v>
      </c>
      <c r="D37" s="103">
        <f t="shared" si="1"/>
        <v>21542.319710071199</v>
      </c>
      <c r="E37" s="105">
        <f t="shared" si="0"/>
        <v>3.0244707300678343E-3</v>
      </c>
    </row>
    <row r="38" spans="1:5" x14ac:dyDescent="0.25">
      <c r="A38" s="98" t="s">
        <v>385</v>
      </c>
      <c r="B38" s="118">
        <f>$B$5*('Rate History'!$D$4*SUMIF(Data!$G:$G,Neutral!$A38,Data!$CU:$CU)+'Rate History'!$D$5*SUMIF(Data!$G:$G,Neutral!$A38,Data!$CV:$CV)+'Rate History'!$D$6*SUMIF(Data!$G:$G,Neutral!$A38,Data!$CW:$CW)+'Rate History'!$D$7*SUMIF(Data!$G:$G,Neutral!$A38,Data!$CX:$CX)+'Rate History'!$D$8*SUMIF(Data!$G:$G,Neutral!$A38,Data!$CY:$CY)+'Rate History'!$D$9*SUMIF(Data!$G:$G,Neutral!$A38,Data!$CZ:$CZ)+'Rate History'!$D$10*SUMIF(Data!$G:$G,Neutral!$A38,Data!$DA:$DA)+'Rate History'!$D$11*SUMIF(Data!$G:$G,Neutral!$A38,Data!$DB:$DB)+'Rate History'!$D$12*SUMIF(Data!$G:$G,Neutral!$A38,Data!$DC:$DC)+'Rate History'!$D$13*SUMIF(Data!$G:$G,Neutral!$A38,Data!$DD:$DD)+'Rate History'!$D$14*SUMIF(Data!$G:$G,Neutral!$A38,Data!$DE:$DE)+'Rate History'!$D$15*SUMIF(Data!$G:$G,Neutral!$A38,Data!$DF:$DF)+'Rate History'!$D$16*SUMIF(Data!$G:$G,Neutral!$A38,Data!$DG:$DG)+'Rate History'!$D$17*SUMIF(Data!$G:$G,Neutral!$A38,Data!$DH:$DH)+'Rate History'!$D$18*SUMIF(Data!$G:$G,Neutral!$A38,Data!$DI:$DI)+'Rate History'!$D$19*SUMIF(Data!$G:$G,Neutral!$A38,Data!$DJ:$DJ)+'Rate History'!$D$20*SUMIF(Data!$G:$G,Neutral!$A38,Data!$DK:$DK)+'Rate History'!$D$21*SUMIF(Data!$G:$G,Neutral!$A38,Data!$DL:$DL)+'Rate History'!$D$22*SUMIF(Data!$G:$G,Neutral!$A38,Data!$DM:$DM)+'Rate History'!$D$23*SUMIF(Data!$G:$G,Neutral!$A38,Data!$DN:$DN)+'Rate History'!$D$24*SUMIF(Data!$G:$G,Neutral!$A38,Data!$DO:$DO)+'Rate History'!$D$25*SUMIF(Data!$G:$G,Neutral!$A38,Data!$DP:$DP)+'Rate History'!$D$26*SUMIF(Data!$G:$G,Neutral!$A38,Data!$DQ:$DQ)+'Rate History'!$D$27*SUMIF(Data!$G:$G,Neutral!$A38,Data!$DR:$DR)+'Rate History'!$D$28*SUMIF(Data!$G:$G,Neutral!$A38,Data!$DS:$DS)+'Rate History'!$D$29*SUMIF(Data!$G:$G,Neutral!$A38,Data!$DT:$DT)+'Rate History'!$D$30*SUMIF(Data!$G:$G,Neutral!$A38,Data!$DV:$DV)+'Rate History'!$D$31*SUMIF(Data!$G:$G,Neutral!$A38,Data!$DW:$DW))</f>
        <v>3712644.2637143624</v>
      </c>
      <c r="C38" s="118">
        <f>$C$5*('Rate History'!$C$4*SUMIF(Data!$G:$G,Neutral!$A38,Data!$CU:$CU)+'Rate History'!$C$5*SUMIF(Data!$G:$G,Neutral!$A38,Data!$CV:$CV)+'Rate History'!$C$6*SUMIF(Data!$G:$G,Neutral!$A38,Data!$CW:$CW)+'Rate History'!$C$7*SUMIF(Data!$G:$G,Neutral!$A38,Data!$CX:$CX)+'Rate History'!$C$8*SUMIF(Data!$G:$G,Neutral!$A38,Data!$CY:$CY)+'Rate History'!$C$9*SUMIF(Data!$G:$G,Neutral!$A38,Data!$CZ:$CZ)+'Rate History'!$C$10*SUMIF(Data!$G:$G,Neutral!$A38,Data!$DA:$DA)+'Rate History'!$C$11*SUMIF(Data!$G:$G,Neutral!$A38,Data!$DB:$DB)+'Rate History'!$C$12*SUMIF(Data!$G:$G,Neutral!$A38,Data!$DC:$DC)+'Rate History'!$C$13*SUMIF(Data!$G:$G,Neutral!$A38,Data!$DD:$DD)+'Rate History'!$C$14*SUMIF(Data!$G:$G,Neutral!$A38,Data!$DE:$DE)+'Rate History'!$C$15*SUMIF(Data!$G:$G,Neutral!$A38,Data!$DF:$DF)+'Rate History'!$C$16*SUMIF(Data!$G:$G,Neutral!$A38,Data!$DG:$DG)+'Rate History'!$C$17*SUMIF(Data!$G:$G,Neutral!$A38,Data!$DH:$DH)+'Rate History'!$C$18*SUMIF(Data!$G:$G,Neutral!$A38,Data!$DI:$DI)+'Rate History'!$C$19*SUMIF(Data!$G:$G,Neutral!$A38,Data!$DJ:$DJ)+'Rate History'!$C$20*SUMIF(Data!$G:$G,Neutral!$A38,Data!$DK:$DK)+'Rate History'!$C$21*SUMIF(Data!$G:$G,Neutral!$A38,Data!$DL:$DL)+'Rate History'!$C$22*SUMIF(Data!$G:$G,Neutral!$A38,Data!$DM:$DM)+'Rate History'!$C$23*SUMIF(Data!$G:$G,Neutral!$A38,Data!$DN:$DN)+'Rate History'!$C$24*SUMIF(Data!$G:$G,Neutral!$A38,Data!$DO:$DO)+'Rate History'!$C$25*SUMIF(Data!$G:$G,Neutral!$A38,Data!$DP:$DP)+'Rate History'!$C$26*SUMIF(Data!$G:$G,Neutral!$A38,Data!$DQ:$DQ)+'Rate History'!$C$27*SUMIF(Data!$G:$G,Neutral!$A38,Data!$DR:$DR)+'Rate History'!$C$28*SUMIF(Data!$G:$G,Neutral!$A38,Data!$DS:$DS)+'Rate History'!$C$29*SUMIF(Data!$G:$G,Neutral!$A38,Data!$DT:$DT)+'Rate History'!$C$30*SUMIF(Data!$G:$G,Neutral!$A38,Data!$DV:$DV)+'Rate History'!$C$31*SUMIF(Data!$G:$G,Neutral!$A38,Data!$DW:$DW))</f>
        <v>3726590.6099835704</v>
      </c>
      <c r="D38" s="103">
        <f t="shared" si="1"/>
        <v>13946.346269208007</v>
      </c>
      <c r="E38" s="105">
        <f t="shared" ref="E38:E63" si="2">IFERROR(D38/B38,"")</f>
        <v>3.7564456162722162E-3</v>
      </c>
    </row>
    <row r="39" spans="1:5" x14ac:dyDescent="0.25">
      <c r="A39" s="98" t="s">
        <v>387</v>
      </c>
      <c r="B39" s="118">
        <f>$B$5*('Rate History'!$D$4*SUMIF(Data!$G:$G,Neutral!$A39,Data!$CU:$CU)+'Rate History'!$D$5*SUMIF(Data!$G:$G,Neutral!$A39,Data!$CV:$CV)+'Rate History'!$D$6*SUMIF(Data!$G:$G,Neutral!$A39,Data!$CW:$CW)+'Rate History'!$D$7*SUMIF(Data!$G:$G,Neutral!$A39,Data!$CX:$CX)+'Rate History'!$D$8*SUMIF(Data!$G:$G,Neutral!$A39,Data!$CY:$CY)+'Rate History'!$D$9*SUMIF(Data!$G:$G,Neutral!$A39,Data!$CZ:$CZ)+'Rate History'!$D$10*SUMIF(Data!$G:$G,Neutral!$A39,Data!$DA:$DA)+'Rate History'!$D$11*SUMIF(Data!$G:$G,Neutral!$A39,Data!$DB:$DB)+'Rate History'!$D$12*SUMIF(Data!$G:$G,Neutral!$A39,Data!$DC:$DC)+'Rate History'!$D$13*SUMIF(Data!$G:$G,Neutral!$A39,Data!$DD:$DD)+'Rate History'!$D$14*SUMIF(Data!$G:$G,Neutral!$A39,Data!$DE:$DE)+'Rate History'!$D$15*SUMIF(Data!$G:$G,Neutral!$A39,Data!$DF:$DF)+'Rate History'!$D$16*SUMIF(Data!$G:$G,Neutral!$A39,Data!$DG:$DG)+'Rate History'!$D$17*SUMIF(Data!$G:$G,Neutral!$A39,Data!$DH:$DH)+'Rate History'!$D$18*SUMIF(Data!$G:$G,Neutral!$A39,Data!$DI:$DI)+'Rate History'!$D$19*SUMIF(Data!$G:$G,Neutral!$A39,Data!$DJ:$DJ)+'Rate History'!$D$20*SUMIF(Data!$G:$G,Neutral!$A39,Data!$DK:$DK)+'Rate History'!$D$21*SUMIF(Data!$G:$G,Neutral!$A39,Data!$DL:$DL)+'Rate History'!$D$22*SUMIF(Data!$G:$G,Neutral!$A39,Data!$DM:$DM)+'Rate History'!$D$23*SUMIF(Data!$G:$G,Neutral!$A39,Data!$DN:$DN)+'Rate History'!$D$24*SUMIF(Data!$G:$G,Neutral!$A39,Data!$DO:$DO)+'Rate History'!$D$25*SUMIF(Data!$G:$G,Neutral!$A39,Data!$DP:$DP)+'Rate History'!$D$26*SUMIF(Data!$G:$G,Neutral!$A39,Data!$DQ:$DQ)+'Rate History'!$D$27*SUMIF(Data!$G:$G,Neutral!$A39,Data!$DR:$DR)+'Rate History'!$D$28*SUMIF(Data!$G:$G,Neutral!$A39,Data!$DS:$DS)+'Rate History'!$D$29*SUMIF(Data!$G:$G,Neutral!$A39,Data!$DT:$DT)+'Rate History'!$D$30*SUMIF(Data!$G:$G,Neutral!$A39,Data!$DV:$DV)+'Rate History'!$D$31*SUMIF(Data!$G:$G,Neutral!$A39,Data!$DW:$DW))</f>
        <v>8733177.6119783781</v>
      </c>
      <c r="C39" s="118">
        <f>$C$5*('Rate History'!$C$4*SUMIF(Data!$G:$G,Neutral!$A39,Data!$CU:$CU)+'Rate History'!$C$5*SUMIF(Data!$G:$G,Neutral!$A39,Data!$CV:$CV)+'Rate History'!$C$6*SUMIF(Data!$G:$G,Neutral!$A39,Data!$CW:$CW)+'Rate History'!$C$7*SUMIF(Data!$G:$G,Neutral!$A39,Data!$CX:$CX)+'Rate History'!$C$8*SUMIF(Data!$G:$G,Neutral!$A39,Data!$CY:$CY)+'Rate History'!$C$9*SUMIF(Data!$G:$G,Neutral!$A39,Data!$CZ:$CZ)+'Rate History'!$C$10*SUMIF(Data!$G:$G,Neutral!$A39,Data!$DA:$DA)+'Rate History'!$C$11*SUMIF(Data!$G:$G,Neutral!$A39,Data!$DB:$DB)+'Rate History'!$C$12*SUMIF(Data!$G:$G,Neutral!$A39,Data!$DC:$DC)+'Rate History'!$C$13*SUMIF(Data!$G:$G,Neutral!$A39,Data!$DD:$DD)+'Rate History'!$C$14*SUMIF(Data!$G:$G,Neutral!$A39,Data!$DE:$DE)+'Rate History'!$C$15*SUMIF(Data!$G:$G,Neutral!$A39,Data!$DF:$DF)+'Rate History'!$C$16*SUMIF(Data!$G:$G,Neutral!$A39,Data!$DG:$DG)+'Rate History'!$C$17*SUMIF(Data!$G:$G,Neutral!$A39,Data!$DH:$DH)+'Rate History'!$C$18*SUMIF(Data!$G:$G,Neutral!$A39,Data!$DI:$DI)+'Rate History'!$C$19*SUMIF(Data!$G:$G,Neutral!$A39,Data!$DJ:$DJ)+'Rate History'!$C$20*SUMIF(Data!$G:$G,Neutral!$A39,Data!$DK:$DK)+'Rate History'!$C$21*SUMIF(Data!$G:$G,Neutral!$A39,Data!$DL:$DL)+'Rate History'!$C$22*SUMIF(Data!$G:$G,Neutral!$A39,Data!$DM:$DM)+'Rate History'!$C$23*SUMIF(Data!$G:$G,Neutral!$A39,Data!$DN:$DN)+'Rate History'!$C$24*SUMIF(Data!$G:$G,Neutral!$A39,Data!$DO:$DO)+'Rate History'!$C$25*SUMIF(Data!$G:$G,Neutral!$A39,Data!$DP:$DP)+'Rate History'!$C$26*SUMIF(Data!$G:$G,Neutral!$A39,Data!$DQ:$DQ)+'Rate History'!$C$27*SUMIF(Data!$G:$G,Neutral!$A39,Data!$DR:$DR)+'Rate History'!$C$28*SUMIF(Data!$G:$G,Neutral!$A39,Data!$DS:$DS)+'Rate History'!$C$29*SUMIF(Data!$G:$G,Neutral!$A39,Data!$DT:$DT)+'Rate History'!$C$30*SUMIF(Data!$G:$G,Neutral!$A39,Data!$DV:$DV)+'Rate History'!$C$31*SUMIF(Data!$G:$G,Neutral!$A39,Data!$DW:$DW))</f>
        <v>8736226.2084184587</v>
      </c>
      <c r="D39" s="103">
        <f t="shared" si="1"/>
        <v>3048.5964400805533</v>
      </c>
      <c r="E39" s="105">
        <f t="shared" si="2"/>
        <v>3.4908215262897154E-4</v>
      </c>
    </row>
    <row r="40" spans="1:5" x14ac:dyDescent="0.25">
      <c r="A40" s="98" t="s">
        <v>389</v>
      </c>
      <c r="B40" s="118">
        <f>$B$5*('Rate History'!$D$4*SUMIF(Data!$G:$G,Neutral!$A40,Data!$CU:$CU)+'Rate History'!$D$5*SUMIF(Data!$G:$G,Neutral!$A40,Data!$CV:$CV)+'Rate History'!$D$6*SUMIF(Data!$G:$G,Neutral!$A40,Data!$CW:$CW)+'Rate History'!$D$7*SUMIF(Data!$G:$G,Neutral!$A40,Data!$CX:$CX)+'Rate History'!$D$8*SUMIF(Data!$G:$G,Neutral!$A40,Data!$CY:$CY)+'Rate History'!$D$9*SUMIF(Data!$G:$G,Neutral!$A40,Data!$CZ:$CZ)+'Rate History'!$D$10*SUMIF(Data!$G:$G,Neutral!$A40,Data!$DA:$DA)+'Rate History'!$D$11*SUMIF(Data!$G:$G,Neutral!$A40,Data!$DB:$DB)+'Rate History'!$D$12*SUMIF(Data!$G:$G,Neutral!$A40,Data!$DC:$DC)+'Rate History'!$D$13*SUMIF(Data!$G:$G,Neutral!$A40,Data!$DD:$DD)+'Rate History'!$D$14*SUMIF(Data!$G:$G,Neutral!$A40,Data!$DE:$DE)+'Rate History'!$D$15*SUMIF(Data!$G:$G,Neutral!$A40,Data!$DF:$DF)+'Rate History'!$D$16*SUMIF(Data!$G:$G,Neutral!$A40,Data!$DG:$DG)+'Rate History'!$D$17*SUMIF(Data!$G:$G,Neutral!$A40,Data!$DH:$DH)+'Rate History'!$D$18*SUMIF(Data!$G:$G,Neutral!$A40,Data!$DI:$DI)+'Rate History'!$D$19*SUMIF(Data!$G:$G,Neutral!$A40,Data!$DJ:$DJ)+'Rate History'!$D$20*SUMIF(Data!$G:$G,Neutral!$A40,Data!$DK:$DK)+'Rate History'!$D$21*SUMIF(Data!$G:$G,Neutral!$A40,Data!$DL:$DL)+'Rate History'!$D$22*SUMIF(Data!$G:$G,Neutral!$A40,Data!$DM:$DM)+'Rate History'!$D$23*SUMIF(Data!$G:$G,Neutral!$A40,Data!$DN:$DN)+'Rate History'!$D$24*SUMIF(Data!$G:$G,Neutral!$A40,Data!$DO:$DO)+'Rate History'!$D$25*SUMIF(Data!$G:$G,Neutral!$A40,Data!$DP:$DP)+'Rate History'!$D$26*SUMIF(Data!$G:$G,Neutral!$A40,Data!$DQ:$DQ)+'Rate History'!$D$27*SUMIF(Data!$G:$G,Neutral!$A40,Data!$DR:$DR)+'Rate History'!$D$28*SUMIF(Data!$G:$G,Neutral!$A40,Data!$DS:$DS)+'Rate History'!$D$29*SUMIF(Data!$G:$G,Neutral!$A40,Data!$DT:$DT)+'Rate History'!$D$30*SUMIF(Data!$G:$G,Neutral!$A40,Data!$DV:$DV)+'Rate History'!$D$31*SUMIF(Data!$G:$G,Neutral!$A40,Data!$DW:$DW))</f>
        <v>2644619.3023105231</v>
      </c>
      <c r="C40" s="118">
        <f>$C$5*('Rate History'!$C$4*SUMIF(Data!$G:$G,Neutral!$A40,Data!$CU:$CU)+'Rate History'!$C$5*SUMIF(Data!$G:$G,Neutral!$A40,Data!$CV:$CV)+'Rate History'!$C$6*SUMIF(Data!$G:$G,Neutral!$A40,Data!$CW:$CW)+'Rate History'!$C$7*SUMIF(Data!$G:$G,Neutral!$A40,Data!$CX:$CX)+'Rate History'!$C$8*SUMIF(Data!$G:$G,Neutral!$A40,Data!$CY:$CY)+'Rate History'!$C$9*SUMIF(Data!$G:$G,Neutral!$A40,Data!$CZ:$CZ)+'Rate History'!$C$10*SUMIF(Data!$G:$G,Neutral!$A40,Data!$DA:$DA)+'Rate History'!$C$11*SUMIF(Data!$G:$G,Neutral!$A40,Data!$DB:$DB)+'Rate History'!$C$12*SUMIF(Data!$G:$G,Neutral!$A40,Data!$DC:$DC)+'Rate History'!$C$13*SUMIF(Data!$G:$G,Neutral!$A40,Data!$DD:$DD)+'Rate History'!$C$14*SUMIF(Data!$G:$G,Neutral!$A40,Data!$DE:$DE)+'Rate History'!$C$15*SUMIF(Data!$G:$G,Neutral!$A40,Data!$DF:$DF)+'Rate History'!$C$16*SUMIF(Data!$G:$G,Neutral!$A40,Data!$DG:$DG)+'Rate History'!$C$17*SUMIF(Data!$G:$G,Neutral!$A40,Data!$DH:$DH)+'Rate History'!$C$18*SUMIF(Data!$G:$G,Neutral!$A40,Data!$DI:$DI)+'Rate History'!$C$19*SUMIF(Data!$G:$G,Neutral!$A40,Data!$DJ:$DJ)+'Rate History'!$C$20*SUMIF(Data!$G:$G,Neutral!$A40,Data!$DK:$DK)+'Rate History'!$C$21*SUMIF(Data!$G:$G,Neutral!$A40,Data!$DL:$DL)+'Rate History'!$C$22*SUMIF(Data!$G:$G,Neutral!$A40,Data!$DM:$DM)+'Rate History'!$C$23*SUMIF(Data!$G:$G,Neutral!$A40,Data!$DN:$DN)+'Rate History'!$C$24*SUMIF(Data!$G:$G,Neutral!$A40,Data!$DO:$DO)+'Rate History'!$C$25*SUMIF(Data!$G:$G,Neutral!$A40,Data!$DP:$DP)+'Rate History'!$C$26*SUMIF(Data!$G:$G,Neutral!$A40,Data!$DQ:$DQ)+'Rate History'!$C$27*SUMIF(Data!$G:$G,Neutral!$A40,Data!$DR:$DR)+'Rate History'!$C$28*SUMIF(Data!$G:$G,Neutral!$A40,Data!$DS:$DS)+'Rate History'!$C$29*SUMIF(Data!$G:$G,Neutral!$A40,Data!$DT:$DT)+'Rate History'!$C$30*SUMIF(Data!$G:$G,Neutral!$A40,Data!$DV:$DV)+'Rate History'!$C$31*SUMIF(Data!$G:$G,Neutral!$A40,Data!$DW:$DW))</f>
        <v>2663284.4548551901</v>
      </c>
      <c r="D40" s="103">
        <f t="shared" si="1"/>
        <v>18665.152544667013</v>
      </c>
      <c r="E40" s="105">
        <f t="shared" si="2"/>
        <v>7.0577842823577059E-3</v>
      </c>
    </row>
    <row r="41" spans="1:5" x14ac:dyDescent="0.25">
      <c r="A41" s="98" t="s">
        <v>393</v>
      </c>
      <c r="B41" s="118">
        <f>$B$5*('Rate History'!$D$4*SUMIF(Data!$G:$G,Neutral!$A41,Data!$CU:$CU)+'Rate History'!$D$5*SUMIF(Data!$G:$G,Neutral!$A41,Data!$CV:$CV)+'Rate History'!$D$6*SUMIF(Data!$G:$G,Neutral!$A41,Data!$CW:$CW)+'Rate History'!$D$7*SUMIF(Data!$G:$G,Neutral!$A41,Data!$CX:$CX)+'Rate History'!$D$8*SUMIF(Data!$G:$G,Neutral!$A41,Data!$CY:$CY)+'Rate History'!$D$9*SUMIF(Data!$G:$G,Neutral!$A41,Data!$CZ:$CZ)+'Rate History'!$D$10*SUMIF(Data!$G:$G,Neutral!$A41,Data!$DA:$DA)+'Rate History'!$D$11*SUMIF(Data!$G:$G,Neutral!$A41,Data!$DB:$DB)+'Rate History'!$D$12*SUMIF(Data!$G:$G,Neutral!$A41,Data!$DC:$DC)+'Rate History'!$D$13*SUMIF(Data!$G:$G,Neutral!$A41,Data!$DD:$DD)+'Rate History'!$D$14*SUMIF(Data!$G:$G,Neutral!$A41,Data!$DE:$DE)+'Rate History'!$D$15*SUMIF(Data!$G:$G,Neutral!$A41,Data!$DF:$DF)+'Rate History'!$D$16*SUMIF(Data!$G:$G,Neutral!$A41,Data!$DG:$DG)+'Rate History'!$D$17*SUMIF(Data!$G:$G,Neutral!$A41,Data!$DH:$DH)+'Rate History'!$D$18*SUMIF(Data!$G:$G,Neutral!$A41,Data!$DI:$DI)+'Rate History'!$D$19*SUMIF(Data!$G:$G,Neutral!$A41,Data!$DJ:$DJ)+'Rate History'!$D$20*SUMIF(Data!$G:$G,Neutral!$A41,Data!$DK:$DK)+'Rate History'!$D$21*SUMIF(Data!$G:$G,Neutral!$A41,Data!$DL:$DL)+'Rate History'!$D$22*SUMIF(Data!$G:$G,Neutral!$A41,Data!$DM:$DM)+'Rate History'!$D$23*SUMIF(Data!$G:$G,Neutral!$A41,Data!$DN:$DN)+'Rate History'!$D$24*SUMIF(Data!$G:$G,Neutral!$A41,Data!$DO:$DO)+'Rate History'!$D$25*SUMIF(Data!$G:$G,Neutral!$A41,Data!$DP:$DP)+'Rate History'!$D$26*SUMIF(Data!$G:$G,Neutral!$A41,Data!$DQ:$DQ)+'Rate History'!$D$27*SUMIF(Data!$G:$G,Neutral!$A41,Data!$DR:$DR)+'Rate History'!$D$28*SUMIF(Data!$G:$G,Neutral!$A41,Data!$DS:$DS)+'Rate History'!$D$29*SUMIF(Data!$G:$G,Neutral!$A41,Data!$DT:$DT)+'Rate History'!$D$30*SUMIF(Data!$G:$G,Neutral!$A41,Data!$DV:$DV)+'Rate History'!$D$31*SUMIF(Data!$G:$G,Neutral!$A41,Data!$DW:$DW))</f>
        <v>37831215.216144323</v>
      </c>
      <c r="C41" s="118">
        <f>$C$5*('Rate History'!$C$4*SUMIF(Data!$G:$G,Neutral!$A41,Data!$CU:$CU)+'Rate History'!$C$5*SUMIF(Data!$G:$G,Neutral!$A41,Data!$CV:$CV)+'Rate History'!$C$6*SUMIF(Data!$G:$G,Neutral!$A41,Data!$CW:$CW)+'Rate History'!$C$7*SUMIF(Data!$G:$G,Neutral!$A41,Data!$CX:$CX)+'Rate History'!$C$8*SUMIF(Data!$G:$G,Neutral!$A41,Data!$CY:$CY)+'Rate History'!$C$9*SUMIF(Data!$G:$G,Neutral!$A41,Data!$CZ:$CZ)+'Rate History'!$C$10*SUMIF(Data!$G:$G,Neutral!$A41,Data!$DA:$DA)+'Rate History'!$C$11*SUMIF(Data!$G:$G,Neutral!$A41,Data!$DB:$DB)+'Rate History'!$C$12*SUMIF(Data!$G:$G,Neutral!$A41,Data!$DC:$DC)+'Rate History'!$C$13*SUMIF(Data!$G:$G,Neutral!$A41,Data!$DD:$DD)+'Rate History'!$C$14*SUMIF(Data!$G:$G,Neutral!$A41,Data!$DE:$DE)+'Rate History'!$C$15*SUMIF(Data!$G:$G,Neutral!$A41,Data!$DF:$DF)+'Rate History'!$C$16*SUMIF(Data!$G:$G,Neutral!$A41,Data!$DG:$DG)+'Rate History'!$C$17*SUMIF(Data!$G:$G,Neutral!$A41,Data!$DH:$DH)+'Rate History'!$C$18*SUMIF(Data!$G:$G,Neutral!$A41,Data!$DI:$DI)+'Rate History'!$C$19*SUMIF(Data!$G:$G,Neutral!$A41,Data!$DJ:$DJ)+'Rate History'!$C$20*SUMIF(Data!$G:$G,Neutral!$A41,Data!$DK:$DK)+'Rate History'!$C$21*SUMIF(Data!$G:$G,Neutral!$A41,Data!$DL:$DL)+'Rate History'!$C$22*SUMIF(Data!$G:$G,Neutral!$A41,Data!$DM:$DM)+'Rate History'!$C$23*SUMIF(Data!$G:$G,Neutral!$A41,Data!$DN:$DN)+'Rate History'!$C$24*SUMIF(Data!$G:$G,Neutral!$A41,Data!$DO:$DO)+'Rate History'!$C$25*SUMIF(Data!$G:$G,Neutral!$A41,Data!$DP:$DP)+'Rate History'!$C$26*SUMIF(Data!$G:$G,Neutral!$A41,Data!$DQ:$DQ)+'Rate History'!$C$27*SUMIF(Data!$G:$G,Neutral!$A41,Data!$DR:$DR)+'Rate History'!$C$28*SUMIF(Data!$G:$G,Neutral!$A41,Data!$DS:$DS)+'Rate History'!$C$29*SUMIF(Data!$G:$G,Neutral!$A41,Data!$DT:$DT)+'Rate History'!$C$30*SUMIF(Data!$G:$G,Neutral!$A41,Data!$DV:$DV)+'Rate History'!$C$31*SUMIF(Data!$G:$G,Neutral!$A41,Data!$DW:$DW))</f>
        <v>37881228.2867309</v>
      </c>
      <c r="D41" s="103">
        <f t="shared" si="1"/>
        <v>50013.070586577058</v>
      </c>
      <c r="E41" s="105">
        <f t="shared" si="2"/>
        <v>1.3220053942447551E-3</v>
      </c>
    </row>
    <row r="42" spans="1:5" x14ac:dyDescent="0.25">
      <c r="A42" s="98" t="s">
        <v>395</v>
      </c>
      <c r="B42" s="118">
        <f>$B$5*('Rate History'!$D$4*SUMIF(Data!$G:$G,Neutral!$A42,Data!$CU:$CU)+'Rate History'!$D$5*SUMIF(Data!$G:$G,Neutral!$A42,Data!$CV:$CV)+'Rate History'!$D$6*SUMIF(Data!$G:$G,Neutral!$A42,Data!$CW:$CW)+'Rate History'!$D$7*SUMIF(Data!$G:$G,Neutral!$A42,Data!$CX:$CX)+'Rate History'!$D$8*SUMIF(Data!$G:$G,Neutral!$A42,Data!$CY:$CY)+'Rate History'!$D$9*SUMIF(Data!$G:$G,Neutral!$A42,Data!$CZ:$CZ)+'Rate History'!$D$10*SUMIF(Data!$G:$G,Neutral!$A42,Data!$DA:$DA)+'Rate History'!$D$11*SUMIF(Data!$G:$G,Neutral!$A42,Data!$DB:$DB)+'Rate History'!$D$12*SUMIF(Data!$G:$G,Neutral!$A42,Data!$DC:$DC)+'Rate History'!$D$13*SUMIF(Data!$G:$G,Neutral!$A42,Data!$DD:$DD)+'Rate History'!$D$14*SUMIF(Data!$G:$G,Neutral!$A42,Data!$DE:$DE)+'Rate History'!$D$15*SUMIF(Data!$G:$G,Neutral!$A42,Data!$DF:$DF)+'Rate History'!$D$16*SUMIF(Data!$G:$G,Neutral!$A42,Data!$DG:$DG)+'Rate History'!$D$17*SUMIF(Data!$G:$G,Neutral!$A42,Data!$DH:$DH)+'Rate History'!$D$18*SUMIF(Data!$G:$G,Neutral!$A42,Data!$DI:$DI)+'Rate History'!$D$19*SUMIF(Data!$G:$G,Neutral!$A42,Data!$DJ:$DJ)+'Rate History'!$D$20*SUMIF(Data!$G:$G,Neutral!$A42,Data!$DK:$DK)+'Rate History'!$D$21*SUMIF(Data!$G:$G,Neutral!$A42,Data!$DL:$DL)+'Rate History'!$D$22*SUMIF(Data!$G:$G,Neutral!$A42,Data!$DM:$DM)+'Rate History'!$D$23*SUMIF(Data!$G:$G,Neutral!$A42,Data!$DN:$DN)+'Rate History'!$D$24*SUMIF(Data!$G:$G,Neutral!$A42,Data!$DO:$DO)+'Rate History'!$D$25*SUMIF(Data!$G:$G,Neutral!$A42,Data!$DP:$DP)+'Rate History'!$D$26*SUMIF(Data!$G:$G,Neutral!$A42,Data!$DQ:$DQ)+'Rate History'!$D$27*SUMIF(Data!$G:$G,Neutral!$A42,Data!$DR:$DR)+'Rate History'!$D$28*SUMIF(Data!$G:$G,Neutral!$A42,Data!$DS:$DS)+'Rate History'!$D$29*SUMIF(Data!$G:$G,Neutral!$A42,Data!$DT:$DT)+'Rate History'!$D$30*SUMIF(Data!$G:$G,Neutral!$A42,Data!$DV:$DV)+'Rate History'!$D$31*SUMIF(Data!$G:$G,Neutral!$A42,Data!$DW:$DW))</f>
        <v>13589336.319012435</v>
      </c>
      <c r="C42" s="118">
        <f>$C$5*('Rate History'!$C$4*SUMIF(Data!$G:$G,Neutral!$A42,Data!$CU:$CU)+'Rate History'!$C$5*SUMIF(Data!$G:$G,Neutral!$A42,Data!$CV:$CV)+'Rate History'!$C$6*SUMIF(Data!$G:$G,Neutral!$A42,Data!$CW:$CW)+'Rate History'!$C$7*SUMIF(Data!$G:$G,Neutral!$A42,Data!$CX:$CX)+'Rate History'!$C$8*SUMIF(Data!$G:$G,Neutral!$A42,Data!$CY:$CY)+'Rate History'!$C$9*SUMIF(Data!$G:$G,Neutral!$A42,Data!$CZ:$CZ)+'Rate History'!$C$10*SUMIF(Data!$G:$G,Neutral!$A42,Data!$DA:$DA)+'Rate History'!$C$11*SUMIF(Data!$G:$G,Neutral!$A42,Data!$DB:$DB)+'Rate History'!$C$12*SUMIF(Data!$G:$G,Neutral!$A42,Data!$DC:$DC)+'Rate History'!$C$13*SUMIF(Data!$G:$G,Neutral!$A42,Data!$DD:$DD)+'Rate History'!$C$14*SUMIF(Data!$G:$G,Neutral!$A42,Data!$DE:$DE)+'Rate History'!$C$15*SUMIF(Data!$G:$G,Neutral!$A42,Data!$DF:$DF)+'Rate History'!$C$16*SUMIF(Data!$G:$G,Neutral!$A42,Data!$DG:$DG)+'Rate History'!$C$17*SUMIF(Data!$G:$G,Neutral!$A42,Data!$DH:$DH)+'Rate History'!$C$18*SUMIF(Data!$G:$G,Neutral!$A42,Data!$DI:$DI)+'Rate History'!$C$19*SUMIF(Data!$G:$G,Neutral!$A42,Data!$DJ:$DJ)+'Rate History'!$C$20*SUMIF(Data!$G:$G,Neutral!$A42,Data!$DK:$DK)+'Rate History'!$C$21*SUMIF(Data!$G:$G,Neutral!$A42,Data!$DL:$DL)+'Rate History'!$C$22*SUMIF(Data!$G:$G,Neutral!$A42,Data!$DM:$DM)+'Rate History'!$C$23*SUMIF(Data!$G:$G,Neutral!$A42,Data!$DN:$DN)+'Rate History'!$C$24*SUMIF(Data!$G:$G,Neutral!$A42,Data!$DO:$DO)+'Rate History'!$C$25*SUMIF(Data!$G:$G,Neutral!$A42,Data!$DP:$DP)+'Rate History'!$C$26*SUMIF(Data!$G:$G,Neutral!$A42,Data!$DQ:$DQ)+'Rate History'!$C$27*SUMIF(Data!$G:$G,Neutral!$A42,Data!$DR:$DR)+'Rate History'!$C$28*SUMIF(Data!$G:$G,Neutral!$A42,Data!$DS:$DS)+'Rate History'!$C$29*SUMIF(Data!$G:$G,Neutral!$A42,Data!$DT:$DT)+'Rate History'!$C$30*SUMIF(Data!$G:$G,Neutral!$A42,Data!$DV:$DV)+'Rate History'!$C$31*SUMIF(Data!$G:$G,Neutral!$A42,Data!$DW:$DW))</f>
        <v>13591105.057185378</v>
      </c>
      <c r="D42" s="103">
        <f t="shared" si="1"/>
        <v>1768.7381729427725</v>
      </c>
      <c r="E42" s="105">
        <f t="shared" si="2"/>
        <v>1.3015633224620275E-4</v>
      </c>
    </row>
    <row r="43" spans="1:5" x14ac:dyDescent="0.25">
      <c r="A43" s="98" t="s">
        <v>441</v>
      </c>
      <c r="B43" s="118">
        <f>$B$5*('Rate History'!$D$4*SUMIF(Data!$G:$G,Neutral!$A43,Data!$CU:$CU)+'Rate History'!$D$5*SUMIF(Data!$G:$G,Neutral!$A43,Data!$CV:$CV)+'Rate History'!$D$6*SUMIF(Data!$G:$G,Neutral!$A43,Data!$CW:$CW)+'Rate History'!$D$7*SUMIF(Data!$G:$G,Neutral!$A43,Data!$CX:$CX)+'Rate History'!$D$8*SUMIF(Data!$G:$G,Neutral!$A43,Data!$CY:$CY)+'Rate History'!$D$9*SUMIF(Data!$G:$G,Neutral!$A43,Data!$CZ:$CZ)+'Rate History'!$D$10*SUMIF(Data!$G:$G,Neutral!$A43,Data!$DA:$DA)+'Rate History'!$D$11*SUMIF(Data!$G:$G,Neutral!$A43,Data!$DB:$DB)+'Rate History'!$D$12*SUMIF(Data!$G:$G,Neutral!$A43,Data!$DC:$DC)+'Rate History'!$D$13*SUMIF(Data!$G:$G,Neutral!$A43,Data!$DD:$DD)+'Rate History'!$D$14*SUMIF(Data!$G:$G,Neutral!$A43,Data!$DE:$DE)+'Rate History'!$D$15*SUMIF(Data!$G:$G,Neutral!$A43,Data!$DF:$DF)+'Rate History'!$D$16*SUMIF(Data!$G:$G,Neutral!$A43,Data!$DG:$DG)+'Rate History'!$D$17*SUMIF(Data!$G:$G,Neutral!$A43,Data!$DH:$DH)+'Rate History'!$D$18*SUMIF(Data!$G:$G,Neutral!$A43,Data!$DI:$DI)+'Rate History'!$D$19*SUMIF(Data!$G:$G,Neutral!$A43,Data!$DJ:$DJ)+'Rate History'!$D$20*SUMIF(Data!$G:$G,Neutral!$A43,Data!$DK:$DK)+'Rate History'!$D$21*SUMIF(Data!$G:$G,Neutral!$A43,Data!$DL:$DL)+'Rate History'!$D$22*SUMIF(Data!$G:$G,Neutral!$A43,Data!$DM:$DM)+'Rate History'!$D$23*SUMIF(Data!$G:$G,Neutral!$A43,Data!$DN:$DN)+'Rate History'!$D$24*SUMIF(Data!$G:$G,Neutral!$A43,Data!$DO:$DO)+'Rate History'!$D$25*SUMIF(Data!$G:$G,Neutral!$A43,Data!$DP:$DP)+'Rate History'!$D$26*SUMIF(Data!$G:$G,Neutral!$A43,Data!$DQ:$DQ)+'Rate History'!$D$27*SUMIF(Data!$G:$G,Neutral!$A43,Data!$DR:$DR)+'Rate History'!$D$28*SUMIF(Data!$G:$G,Neutral!$A43,Data!$DS:$DS)+'Rate History'!$D$29*SUMIF(Data!$G:$G,Neutral!$A43,Data!$DT:$DT)+'Rate History'!$D$30*SUMIF(Data!$G:$G,Neutral!$A43,Data!$DV:$DV)+'Rate History'!$D$31*SUMIF(Data!$G:$G,Neutral!$A43,Data!$DW:$DW))</f>
        <v>33445898.811400212</v>
      </c>
      <c r="C43" s="118">
        <f>$C$5*('Rate History'!$C$4*SUMIF(Data!$G:$G,Neutral!$A43,Data!$CU:$CU)+'Rate History'!$C$5*SUMIF(Data!$G:$G,Neutral!$A43,Data!$CV:$CV)+'Rate History'!$C$6*SUMIF(Data!$G:$G,Neutral!$A43,Data!$CW:$CW)+'Rate History'!$C$7*SUMIF(Data!$G:$G,Neutral!$A43,Data!$CX:$CX)+'Rate History'!$C$8*SUMIF(Data!$G:$G,Neutral!$A43,Data!$CY:$CY)+'Rate History'!$C$9*SUMIF(Data!$G:$G,Neutral!$A43,Data!$CZ:$CZ)+'Rate History'!$C$10*SUMIF(Data!$G:$G,Neutral!$A43,Data!$DA:$DA)+'Rate History'!$C$11*SUMIF(Data!$G:$G,Neutral!$A43,Data!$DB:$DB)+'Rate History'!$C$12*SUMIF(Data!$G:$G,Neutral!$A43,Data!$DC:$DC)+'Rate History'!$C$13*SUMIF(Data!$G:$G,Neutral!$A43,Data!$DD:$DD)+'Rate History'!$C$14*SUMIF(Data!$G:$G,Neutral!$A43,Data!$DE:$DE)+'Rate History'!$C$15*SUMIF(Data!$G:$G,Neutral!$A43,Data!$DF:$DF)+'Rate History'!$C$16*SUMIF(Data!$G:$G,Neutral!$A43,Data!$DG:$DG)+'Rate History'!$C$17*SUMIF(Data!$G:$G,Neutral!$A43,Data!$DH:$DH)+'Rate History'!$C$18*SUMIF(Data!$G:$G,Neutral!$A43,Data!$DI:$DI)+'Rate History'!$C$19*SUMIF(Data!$G:$G,Neutral!$A43,Data!$DJ:$DJ)+'Rate History'!$C$20*SUMIF(Data!$G:$G,Neutral!$A43,Data!$DK:$DK)+'Rate History'!$C$21*SUMIF(Data!$G:$G,Neutral!$A43,Data!$DL:$DL)+'Rate History'!$C$22*SUMIF(Data!$G:$G,Neutral!$A43,Data!$DM:$DM)+'Rate History'!$C$23*SUMIF(Data!$G:$G,Neutral!$A43,Data!$DN:$DN)+'Rate History'!$C$24*SUMIF(Data!$G:$G,Neutral!$A43,Data!$DO:$DO)+'Rate History'!$C$25*SUMIF(Data!$G:$G,Neutral!$A43,Data!$DP:$DP)+'Rate History'!$C$26*SUMIF(Data!$G:$G,Neutral!$A43,Data!$DQ:$DQ)+'Rate History'!$C$27*SUMIF(Data!$G:$G,Neutral!$A43,Data!$DR:$DR)+'Rate History'!$C$28*SUMIF(Data!$G:$G,Neutral!$A43,Data!$DS:$DS)+'Rate History'!$C$29*SUMIF(Data!$G:$G,Neutral!$A43,Data!$DT:$DT)+'Rate History'!$C$30*SUMIF(Data!$G:$G,Neutral!$A43,Data!$DV:$DV)+'Rate History'!$C$31*SUMIF(Data!$G:$G,Neutral!$A43,Data!$DW:$DW))</f>
        <v>33449520.003492426</v>
      </c>
      <c r="D43" s="103">
        <f t="shared" si="1"/>
        <v>3621.1920922137797</v>
      </c>
      <c r="E43" s="105">
        <f t="shared" si="2"/>
        <v>1.0827013836983437E-4</v>
      </c>
    </row>
    <row r="44" spans="1:5" x14ac:dyDescent="0.25">
      <c r="A44" s="98" t="s">
        <v>397</v>
      </c>
      <c r="B44" s="118">
        <f>$B$5*('Rate History'!$D$4*SUMIF(Data!$G:$G,Neutral!$A44,Data!$CU:$CU)+'Rate History'!$D$5*SUMIF(Data!$G:$G,Neutral!$A44,Data!$CV:$CV)+'Rate History'!$D$6*SUMIF(Data!$G:$G,Neutral!$A44,Data!$CW:$CW)+'Rate History'!$D$7*SUMIF(Data!$G:$G,Neutral!$A44,Data!$CX:$CX)+'Rate History'!$D$8*SUMIF(Data!$G:$G,Neutral!$A44,Data!$CY:$CY)+'Rate History'!$D$9*SUMIF(Data!$G:$G,Neutral!$A44,Data!$CZ:$CZ)+'Rate History'!$D$10*SUMIF(Data!$G:$G,Neutral!$A44,Data!$DA:$DA)+'Rate History'!$D$11*SUMIF(Data!$G:$G,Neutral!$A44,Data!$DB:$DB)+'Rate History'!$D$12*SUMIF(Data!$G:$G,Neutral!$A44,Data!$DC:$DC)+'Rate History'!$D$13*SUMIF(Data!$G:$G,Neutral!$A44,Data!$DD:$DD)+'Rate History'!$D$14*SUMIF(Data!$G:$G,Neutral!$A44,Data!$DE:$DE)+'Rate History'!$D$15*SUMIF(Data!$G:$G,Neutral!$A44,Data!$DF:$DF)+'Rate History'!$D$16*SUMIF(Data!$G:$G,Neutral!$A44,Data!$DG:$DG)+'Rate History'!$D$17*SUMIF(Data!$G:$G,Neutral!$A44,Data!$DH:$DH)+'Rate History'!$D$18*SUMIF(Data!$G:$G,Neutral!$A44,Data!$DI:$DI)+'Rate History'!$D$19*SUMIF(Data!$G:$G,Neutral!$A44,Data!$DJ:$DJ)+'Rate History'!$D$20*SUMIF(Data!$G:$G,Neutral!$A44,Data!$DK:$DK)+'Rate History'!$D$21*SUMIF(Data!$G:$G,Neutral!$A44,Data!$DL:$DL)+'Rate History'!$D$22*SUMIF(Data!$G:$G,Neutral!$A44,Data!$DM:$DM)+'Rate History'!$D$23*SUMIF(Data!$G:$G,Neutral!$A44,Data!$DN:$DN)+'Rate History'!$D$24*SUMIF(Data!$G:$G,Neutral!$A44,Data!$DO:$DO)+'Rate History'!$D$25*SUMIF(Data!$G:$G,Neutral!$A44,Data!$DP:$DP)+'Rate History'!$D$26*SUMIF(Data!$G:$G,Neutral!$A44,Data!$DQ:$DQ)+'Rate History'!$D$27*SUMIF(Data!$G:$G,Neutral!$A44,Data!$DR:$DR)+'Rate History'!$D$28*SUMIF(Data!$G:$G,Neutral!$A44,Data!$DS:$DS)+'Rate History'!$D$29*SUMIF(Data!$G:$G,Neutral!$A44,Data!$DT:$DT)+'Rate History'!$D$30*SUMIF(Data!$G:$G,Neutral!$A44,Data!$DV:$DV)+'Rate History'!$D$31*SUMIF(Data!$G:$G,Neutral!$A44,Data!$DW:$DW))</f>
        <v>6556577.3627248257</v>
      </c>
      <c r="C44" s="118">
        <f>$C$5*('Rate History'!$C$4*SUMIF(Data!$G:$G,Neutral!$A44,Data!$CU:$CU)+'Rate History'!$C$5*SUMIF(Data!$G:$G,Neutral!$A44,Data!$CV:$CV)+'Rate History'!$C$6*SUMIF(Data!$G:$G,Neutral!$A44,Data!$CW:$CW)+'Rate History'!$C$7*SUMIF(Data!$G:$G,Neutral!$A44,Data!$CX:$CX)+'Rate History'!$C$8*SUMIF(Data!$G:$G,Neutral!$A44,Data!$CY:$CY)+'Rate History'!$C$9*SUMIF(Data!$G:$G,Neutral!$A44,Data!$CZ:$CZ)+'Rate History'!$C$10*SUMIF(Data!$G:$G,Neutral!$A44,Data!$DA:$DA)+'Rate History'!$C$11*SUMIF(Data!$G:$G,Neutral!$A44,Data!$DB:$DB)+'Rate History'!$C$12*SUMIF(Data!$G:$G,Neutral!$A44,Data!$DC:$DC)+'Rate History'!$C$13*SUMIF(Data!$G:$G,Neutral!$A44,Data!$DD:$DD)+'Rate History'!$C$14*SUMIF(Data!$G:$G,Neutral!$A44,Data!$DE:$DE)+'Rate History'!$C$15*SUMIF(Data!$G:$G,Neutral!$A44,Data!$DF:$DF)+'Rate History'!$C$16*SUMIF(Data!$G:$G,Neutral!$A44,Data!$DG:$DG)+'Rate History'!$C$17*SUMIF(Data!$G:$G,Neutral!$A44,Data!$DH:$DH)+'Rate History'!$C$18*SUMIF(Data!$G:$G,Neutral!$A44,Data!$DI:$DI)+'Rate History'!$C$19*SUMIF(Data!$G:$G,Neutral!$A44,Data!$DJ:$DJ)+'Rate History'!$C$20*SUMIF(Data!$G:$G,Neutral!$A44,Data!$DK:$DK)+'Rate History'!$C$21*SUMIF(Data!$G:$G,Neutral!$A44,Data!$DL:$DL)+'Rate History'!$C$22*SUMIF(Data!$G:$G,Neutral!$A44,Data!$DM:$DM)+'Rate History'!$C$23*SUMIF(Data!$G:$G,Neutral!$A44,Data!$DN:$DN)+'Rate History'!$C$24*SUMIF(Data!$G:$G,Neutral!$A44,Data!$DO:$DO)+'Rate History'!$C$25*SUMIF(Data!$G:$G,Neutral!$A44,Data!$DP:$DP)+'Rate History'!$C$26*SUMIF(Data!$G:$G,Neutral!$A44,Data!$DQ:$DQ)+'Rate History'!$C$27*SUMIF(Data!$G:$G,Neutral!$A44,Data!$DR:$DR)+'Rate History'!$C$28*SUMIF(Data!$G:$G,Neutral!$A44,Data!$DS:$DS)+'Rate History'!$C$29*SUMIF(Data!$G:$G,Neutral!$A44,Data!$DT:$DT)+'Rate History'!$C$30*SUMIF(Data!$G:$G,Neutral!$A44,Data!$DV:$DV)+'Rate History'!$C$31*SUMIF(Data!$G:$G,Neutral!$A44,Data!$DW:$DW))</f>
        <v>6573599.940123396</v>
      </c>
      <c r="D44" s="103">
        <f t="shared" si="1"/>
        <v>17022.577398570254</v>
      </c>
      <c r="E44" s="105">
        <f t="shared" si="2"/>
        <v>2.5962596728205003E-3</v>
      </c>
    </row>
    <row r="45" spans="1:5" x14ac:dyDescent="0.25">
      <c r="A45" s="98" t="s">
        <v>1189</v>
      </c>
      <c r="B45" s="118">
        <f>$B$5*('Rate History'!$D$4*SUMIF(Data!$G:$G,Neutral!$A45,Data!$CU:$CU)+'Rate History'!$D$5*SUMIF(Data!$G:$G,Neutral!$A45,Data!$CV:$CV)+'Rate History'!$D$6*SUMIF(Data!$G:$G,Neutral!$A45,Data!$CW:$CW)+'Rate History'!$D$7*SUMIF(Data!$G:$G,Neutral!$A45,Data!$CX:$CX)+'Rate History'!$D$8*SUMIF(Data!$G:$G,Neutral!$A45,Data!$CY:$CY)+'Rate History'!$D$9*SUMIF(Data!$G:$G,Neutral!$A45,Data!$CZ:$CZ)+'Rate History'!$D$10*SUMIF(Data!$G:$G,Neutral!$A45,Data!$DA:$DA)+'Rate History'!$D$11*SUMIF(Data!$G:$G,Neutral!$A45,Data!$DB:$DB)+'Rate History'!$D$12*SUMIF(Data!$G:$G,Neutral!$A45,Data!$DC:$DC)+'Rate History'!$D$13*SUMIF(Data!$G:$G,Neutral!$A45,Data!$DD:$DD)+'Rate History'!$D$14*SUMIF(Data!$G:$G,Neutral!$A45,Data!$DE:$DE)+'Rate History'!$D$15*SUMIF(Data!$G:$G,Neutral!$A45,Data!$DF:$DF)+'Rate History'!$D$16*SUMIF(Data!$G:$G,Neutral!$A45,Data!$DG:$DG)+'Rate History'!$D$17*SUMIF(Data!$G:$G,Neutral!$A45,Data!$DH:$DH)+'Rate History'!$D$18*SUMIF(Data!$G:$G,Neutral!$A45,Data!$DI:$DI)+'Rate History'!$D$19*SUMIF(Data!$G:$G,Neutral!$A45,Data!$DJ:$DJ)+'Rate History'!$D$20*SUMIF(Data!$G:$G,Neutral!$A45,Data!$DK:$DK)+'Rate History'!$D$21*SUMIF(Data!$G:$G,Neutral!$A45,Data!$DL:$DL)+'Rate History'!$D$22*SUMIF(Data!$G:$G,Neutral!$A45,Data!$DM:$DM)+'Rate History'!$D$23*SUMIF(Data!$G:$G,Neutral!$A45,Data!$DN:$DN)+'Rate History'!$D$24*SUMIF(Data!$G:$G,Neutral!$A45,Data!$DO:$DO)+'Rate History'!$D$25*SUMIF(Data!$G:$G,Neutral!$A45,Data!$DP:$DP)+'Rate History'!$D$26*SUMIF(Data!$G:$G,Neutral!$A45,Data!$DQ:$DQ)+'Rate History'!$D$27*SUMIF(Data!$G:$G,Neutral!$A45,Data!$DR:$DR)+'Rate History'!$D$28*SUMIF(Data!$G:$G,Neutral!$A45,Data!$DS:$DS)+'Rate History'!$D$29*SUMIF(Data!$G:$G,Neutral!$A45,Data!$DT:$DT)+'Rate History'!$D$30*SUMIF(Data!$G:$G,Neutral!$A45,Data!$DV:$DV)+'Rate History'!$D$31*SUMIF(Data!$G:$G,Neutral!$A45,Data!$DW:$DW))</f>
        <v>54803606.739196725</v>
      </c>
      <c r="C45" s="118">
        <f>$C$5*('Rate History'!$C$4*SUMIF(Data!$G:$G,Neutral!$A45,Data!$CU:$CU)+'Rate History'!$C$5*SUMIF(Data!$G:$G,Neutral!$A45,Data!$CV:$CV)+'Rate History'!$C$6*SUMIF(Data!$G:$G,Neutral!$A45,Data!$CW:$CW)+'Rate History'!$C$7*SUMIF(Data!$G:$G,Neutral!$A45,Data!$CX:$CX)+'Rate History'!$C$8*SUMIF(Data!$G:$G,Neutral!$A45,Data!$CY:$CY)+'Rate History'!$C$9*SUMIF(Data!$G:$G,Neutral!$A45,Data!$CZ:$CZ)+'Rate History'!$C$10*SUMIF(Data!$G:$G,Neutral!$A45,Data!$DA:$DA)+'Rate History'!$C$11*SUMIF(Data!$G:$G,Neutral!$A45,Data!$DB:$DB)+'Rate History'!$C$12*SUMIF(Data!$G:$G,Neutral!$A45,Data!$DC:$DC)+'Rate History'!$C$13*SUMIF(Data!$G:$G,Neutral!$A45,Data!$DD:$DD)+'Rate History'!$C$14*SUMIF(Data!$G:$G,Neutral!$A45,Data!$DE:$DE)+'Rate History'!$C$15*SUMIF(Data!$G:$G,Neutral!$A45,Data!$DF:$DF)+'Rate History'!$C$16*SUMIF(Data!$G:$G,Neutral!$A45,Data!$DG:$DG)+'Rate History'!$C$17*SUMIF(Data!$G:$G,Neutral!$A45,Data!$DH:$DH)+'Rate History'!$C$18*SUMIF(Data!$G:$G,Neutral!$A45,Data!$DI:$DI)+'Rate History'!$C$19*SUMIF(Data!$G:$G,Neutral!$A45,Data!$DJ:$DJ)+'Rate History'!$C$20*SUMIF(Data!$G:$G,Neutral!$A45,Data!$DK:$DK)+'Rate History'!$C$21*SUMIF(Data!$G:$G,Neutral!$A45,Data!$DL:$DL)+'Rate History'!$C$22*SUMIF(Data!$G:$G,Neutral!$A45,Data!$DM:$DM)+'Rate History'!$C$23*SUMIF(Data!$G:$G,Neutral!$A45,Data!$DN:$DN)+'Rate History'!$C$24*SUMIF(Data!$G:$G,Neutral!$A45,Data!$DO:$DO)+'Rate History'!$C$25*SUMIF(Data!$G:$G,Neutral!$A45,Data!$DP:$DP)+'Rate History'!$C$26*SUMIF(Data!$G:$G,Neutral!$A45,Data!$DQ:$DQ)+'Rate History'!$C$27*SUMIF(Data!$G:$G,Neutral!$A45,Data!$DR:$DR)+'Rate History'!$C$28*SUMIF(Data!$G:$G,Neutral!$A45,Data!$DS:$DS)+'Rate History'!$C$29*SUMIF(Data!$G:$G,Neutral!$A45,Data!$DT:$DT)+'Rate History'!$C$30*SUMIF(Data!$G:$G,Neutral!$A45,Data!$DV:$DV)+'Rate History'!$C$31*SUMIF(Data!$G:$G,Neutral!$A45,Data!$DW:$DW))</f>
        <v>54680267.450519241</v>
      </c>
      <c r="D45" s="103">
        <f t="shared" si="1"/>
        <v>-123339.2886774838</v>
      </c>
      <c r="E45" s="105">
        <f t="shared" si="2"/>
        <v>-2.2505688223119968E-3</v>
      </c>
    </row>
    <row r="46" spans="1:5" x14ac:dyDescent="0.25">
      <c r="A46" s="98" t="s">
        <v>1195</v>
      </c>
      <c r="B46" s="118">
        <f>$B$5*('Rate History'!$D$4*SUMIF(Data!$G:$G,Neutral!$A46,Data!$CU:$CU)+'Rate History'!$D$5*SUMIF(Data!$G:$G,Neutral!$A46,Data!$CV:$CV)+'Rate History'!$D$6*SUMIF(Data!$G:$G,Neutral!$A46,Data!$CW:$CW)+'Rate History'!$D$7*SUMIF(Data!$G:$G,Neutral!$A46,Data!$CX:$CX)+'Rate History'!$D$8*SUMIF(Data!$G:$G,Neutral!$A46,Data!$CY:$CY)+'Rate History'!$D$9*SUMIF(Data!$G:$G,Neutral!$A46,Data!$CZ:$CZ)+'Rate History'!$D$10*SUMIF(Data!$G:$G,Neutral!$A46,Data!$DA:$DA)+'Rate History'!$D$11*SUMIF(Data!$G:$G,Neutral!$A46,Data!$DB:$DB)+'Rate History'!$D$12*SUMIF(Data!$G:$G,Neutral!$A46,Data!$DC:$DC)+'Rate History'!$D$13*SUMIF(Data!$G:$G,Neutral!$A46,Data!$DD:$DD)+'Rate History'!$D$14*SUMIF(Data!$G:$G,Neutral!$A46,Data!$DE:$DE)+'Rate History'!$D$15*SUMIF(Data!$G:$G,Neutral!$A46,Data!$DF:$DF)+'Rate History'!$D$16*SUMIF(Data!$G:$G,Neutral!$A46,Data!$DG:$DG)+'Rate History'!$D$17*SUMIF(Data!$G:$G,Neutral!$A46,Data!$DH:$DH)+'Rate History'!$D$18*SUMIF(Data!$G:$G,Neutral!$A46,Data!$DI:$DI)+'Rate History'!$D$19*SUMIF(Data!$G:$G,Neutral!$A46,Data!$DJ:$DJ)+'Rate History'!$D$20*SUMIF(Data!$G:$G,Neutral!$A46,Data!$DK:$DK)+'Rate History'!$D$21*SUMIF(Data!$G:$G,Neutral!$A46,Data!$DL:$DL)+'Rate History'!$D$22*SUMIF(Data!$G:$G,Neutral!$A46,Data!$DM:$DM)+'Rate History'!$D$23*SUMIF(Data!$G:$G,Neutral!$A46,Data!$DN:$DN)+'Rate History'!$D$24*SUMIF(Data!$G:$G,Neutral!$A46,Data!$DO:$DO)+'Rate History'!$D$25*SUMIF(Data!$G:$G,Neutral!$A46,Data!$DP:$DP)+'Rate History'!$D$26*SUMIF(Data!$G:$G,Neutral!$A46,Data!$DQ:$DQ)+'Rate History'!$D$27*SUMIF(Data!$G:$G,Neutral!$A46,Data!$DR:$DR)+'Rate History'!$D$28*SUMIF(Data!$G:$G,Neutral!$A46,Data!$DS:$DS)+'Rate History'!$D$29*SUMIF(Data!$G:$G,Neutral!$A46,Data!$DT:$DT)+'Rate History'!$D$30*SUMIF(Data!$G:$G,Neutral!$A46,Data!$DV:$DV)+'Rate History'!$D$31*SUMIF(Data!$G:$G,Neutral!$A46,Data!$DW:$DW))</f>
        <v>7701430.3689548792</v>
      </c>
      <c r="C46" s="118">
        <f>$C$5*('Rate History'!$C$4*SUMIF(Data!$G:$G,Neutral!$A46,Data!$CU:$CU)+'Rate History'!$C$5*SUMIF(Data!$G:$G,Neutral!$A46,Data!$CV:$CV)+'Rate History'!$C$6*SUMIF(Data!$G:$G,Neutral!$A46,Data!$CW:$CW)+'Rate History'!$C$7*SUMIF(Data!$G:$G,Neutral!$A46,Data!$CX:$CX)+'Rate History'!$C$8*SUMIF(Data!$G:$G,Neutral!$A46,Data!$CY:$CY)+'Rate History'!$C$9*SUMIF(Data!$G:$G,Neutral!$A46,Data!$CZ:$CZ)+'Rate History'!$C$10*SUMIF(Data!$G:$G,Neutral!$A46,Data!$DA:$DA)+'Rate History'!$C$11*SUMIF(Data!$G:$G,Neutral!$A46,Data!$DB:$DB)+'Rate History'!$C$12*SUMIF(Data!$G:$G,Neutral!$A46,Data!$DC:$DC)+'Rate History'!$C$13*SUMIF(Data!$G:$G,Neutral!$A46,Data!$DD:$DD)+'Rate History'!$C$14*SUMIF(Data!$G:$G,Neutral!$A46,Data!$DE:$DE)+'Rate History'!$C$15*SUMIF(Data!$G:$G,Neutral!$A46,Data!$DF:$DF)+'Rate History'!$C$16*SUMIF(Data!$G:$G,Neutral!$A46,Data!$DG:$DG)+'Rate History'!$C$17*SUMIF(Data!$G:$G,Neutral!$A46,Data!$DH:$DH)+'Rate History'!$C$18*SUMIF(Data!$G:$G,Neutral!$A46,Data!$DI:$DI)+'Rate History'!$C$19*SUMIF(Data!$G:$G,Neutral!$A46,Data!$DJ:$DJ)+'Rate History'!$C$20*SUMIF(Data!$G:$G,Neutral!$A46,Data!$DK:$DK)+'Rate History'!$C$21*SUMIF(Data!$G:$G,Neutral!$A46,Data!$DL:$DL)+'Rate History'!$C$22*SUMIF(Data!$G:$G,Neutral!$A46,Data!$DM:$DM)+'Rate History'!$C$23*SUMIF(Data!$G:$G,Neutral!$A46,Data!$DN:$DN)+'Rate History'!$C$24*SUMIF(Data!$G:$G,Neutral!$A46,Data!$DO:$DO)+'Rate History'!$C$25*SUMIF(Data!$G:$G,Neutral!$A46,Data!$DP:$DP)+'Rate History'!$C$26*SUMIF(Data!$G:$G,Neutral!$A46,Data!$DQ:$DQ)+'Rate History'!$C$27*SUMIF(Data!$G:$G,Neutral!$A46,Data!$DR:$DR)+'Rate History'!$C$28*SUMIF(Data!$G:$G,Neutral!$A46,Data!$DS:$DS)+'Rate History'!$C$29*SUMIF(Data!$G:$G,Neutral!$A46,Data!$DT:$DT)+'Rate History'!$C$30*SUMIF(Data!$G:$G,Neutral!$A46,Data!$DV:$DV)+'Rate History'!$C$31*SUMIF(Data!$G:$G,Neutral!$A46,Data!$DW:$DW))</f>
        <v>7696604.278279027</v>
      </c>
      <c r="D46" s="103">
        <f t="shared" si="1"/>
        <v>-4826.0906758522615</v>
      </c>
      <c r="E46" s="105">
        <f t="shared" si="2"/>
        <v>-6.2664861521135652E-4</v>
      </c>
    </row>
    <row r="47" spans="1:5" x14ac:dyDescent="0.25">
      <c r="A47" s="98" t="s">
        <v>401</v>
      </c>
      <c r="B47" s="118">
        <f>$B$5*('Rate History'!$D$4*SUMIF(Data!$G:$G,Neutral!$A47,Data!$CU:$CU)+'Rate History'!$D$5*SUMIF(Data!$G:$G,Neutral!$A47,Data!$CV:$CV)+'Rate History'!$D$6*SUMIF(Data!$G:$G,Neutral!$A47,Data!$CW:$CW)+'Rate History'!$D$7*SUMIF(Data!$G:$G,Neutral!$A47,Data!$CX:$CX)+'Rate History'!$D$8*SUMIF(Data!$G:$G,Neutral!$A47,Data!$CY:$CY)+'Rate History'!$D$9*SUMIF(Data!$G:$G,Neutral!$A47,Data!$CZ:$CZ)+'Rate History'!$D$10*SUMIF(Data!$G:$G,Neutral!$A47,Data!$DA:$DA)+'Rate History'!$D$11*SUMIF(Data!$G:$G,Neutral!$A47,Data!$DB:$DB)+'Rate History'!$D$12*SUMIF(Data!$G:$G,Neutral!$A47,Data!$DC:$DC)+'Rate History'!$D$13*SUMIF(Data!$G:$G,Neutral!$A47,Data!$DD:$DD)+'Rate History'!$D$14*SUMIF(Data!$G:$G,Neutral!$A47,Data!$DE:$DE)+'Rate History'!$D$15*SUMIF(Data!$G:$G,Neutral!$A47,Data!$DF:$DF)+'Rate History'!$D$16*SUMIF(Data!$G:$G,Neutral!$A47,Data!$DG:$DG)+'Rate History'!$D$17*SUMIF(Data!$G:$G,Neutral!$A47,Data!$DH:$DH)+'Rate History'!$D$18*SUMIF(Data!$G:$G,Neutral!$A47,Data!$DI:$DI)+'Rate History'!$D$19*SUMIF(Data!$G:$G,Neutral!$A47,Data!$DJ:$DJ)+'Rate History'!$D$20*SUMIF(Data!$G:$G,Neutral!$A47,Data!$DK:$DK)+'Rate History'!$D$21*SUMIF(Data!$G:$G,Neutral!$A47,Data!$DL:$DL)+'Rate History'!$D$22*SUMIF(Data!$G:$G,Neutral!$A47,Data!$DM:$DM)+'Rate History'!$D$23*SUMIF(Data!$G:$G,Neutral!$A47,Data!$DN:$DN)+'Rate History'!$D$24*SUMIF(Data!$G:$G,Neutral!$A47,Data!$DO:$DO)+'Rate History'!$D$25*SUMIF(Data!$G:$G,Neutral!$A47,Data!$DP:$DP)+'Rate History'!$D$26*SUMIF(Data!$G:$G,Neutral!$A47,Data!$DQ:$DQ)+'Rate History'!$D$27*SUMIF(Data!$G:$G,Neutral!$A47,Data!$DR:$DR)+'Rate History'!$D$28*SUMIF(Data!$G:$G,Neutral!$A47,Data!$DS:$DS)+'Rate History'!$D$29*SUMIF(Data!$G:$G,Neutral!$A47,Data!$DT:$DT)+'Rate History'!$D$30*SUMIF(Data!$G:$G,Neutral!$A47,Data!$DV:$DV)+'Rate History'!$D$31*SUMIF(Data!$G:$G,Neutral!$A47,Data!$DW:$DW))</f>
        <v>6872867.4179408234</v>
      </c>
      <c r="C47" s="118">
        <f>$C$5*('Rate History'!$C$4*SUMIF(Data!$G:$G,Neutral!$A47,Data!$CU:$CU)+'Rate History'!$C$5*SUMIF(Data!$G:$G,Neutral!$A47,Data!$CV:$CV)+'Rate History'!$C$6*SUMIF(Data!$G:$G,Neutral!$A47,Data!$CW:$CW)+'Rate History'!$C$7*SUMIF(Data!$G:$G,Neutral!$A47,Data!$CX:$CX)+'Rate History'!$C$8*SUMIF(Data!$G:$G,Neutral!$A47,Data!$CY:$CY)+'Rate History'!$C$9*SUMIF(Data!$G:$G,Neutral!$A47,Data!$CZ:$CZ)+'Rate History'!$C$10*SUMIF(Data!$G:$G,Neutral!$A47,Data!$DA:$DA)+'Rate History'!$C$11*SUMIF(Data!$G:$G,Neutral!$A47,Data!$DB:$DB)+'Rate History'!$C$12*SUMIF(Data!$G:$G,Neutral!$A47,Data!$DC:$DC)+'Rate History'!$C$13*SUMIF(Data!$G:$G,Neutral!$A47,Data!$DD:$DD)+'Rate History'!$C$14*SUMIF(Data!$G:$G,Neutral!$A47,Data!$DE:$DE)+'Rate History'!$C$15*SUMIF(Data!$G:$G,Neutral!$A47,Data!$DF:$DF)+'Rate History'!$C$16*SUMIF(Data!$G:$G,Neutral!$A47,Data!$DG:$DG)+'Rate History'!$C$17*SUMIF(Data!$G:$G,Neutral!$A47,Data!$DH:$DH)+'Rate History'!$C$18*SUMIF(Data!$G:$G,Neutral!$A47,Data!$DI:$DI)+'Rate History'!$C$19*SUMIF(Data!$G:$G,Neutral!$A47,Data!$DJ:$DJ)+'Rate History'!$C$20*SUMIF(Data!$G:$G,Neutral!$A47,Data!$DK:$DK)+'Rate History'!$C$21*SUMIF(Data!$G:$G,Neutral!$A47,Data!$DL:$DL)+'Rate History'!$C$22*SUMIF(Data!$G:$G,Neutral!$A47,Data!$DM:$DM)+'Rate History'!$C$23*SUMIF(Data!$G:$G,Neutral!$A47,Data!$DN:$DN)+'Rate History'!$C$24*SUMIF(Data!$G:$G,Neutral!$A47,Data!$DO:$DO)+'Rate History'!$C$25*SUMIF(Data!$G:$G,Neutral!$A47,Data!$DP:$DP)+'Rate History'!$C$26*SUMIF(Data!$G:$G,Neutral!$A47,Data!$DQ:$DQ)+'Rate History'!$C$27*SUMIF(Data!$G:$G,Neutral!$A47,Data!$DR:$DR)+'Rate History'!$C$28*SUMIF(Data!$G:$G,Neutral!$A47,Data!$DS:$DS)+'Rate History'!$C$29*SUMIF(Data!$G:$G,Neutral!$A47,Data!$DT:$DT)+'Rate History'!$C$30*SUMIF(Data!$G:$G,Neutral!$A47,Data!$DV:$DV)+'Rate History'!$C$31*SUMIF(Data!$G:$G,Neutral!$A47,Data!$DW:$DW))</f>
        <v>6896288.8812557645</v>
      </c>
      <c r="D47" s="103">
        <f t="shared" si="1"/>
        <v>23421.463314941153</v>
      </c>
      <c r="E47" s="105">
        <f t="shared" si="2"/>
        <v>3.4078153834020048E-3</v>
      </c>
    </row>
    <row r="48" spans="1:5" x14ac:dyDescent="0.25">
      <c r="A48" s="98" t="s">
        <v>404</v>
      </c>
      <c r="B48" s="118">
        <f>$B$5*('Rate History'!$D$4*SUMIF(Data!$G:$G,Neutral!$A48,Data!$CU:$CU)+'Rate History'!$D$5*SUMIF(Data!$G:$G,Neutral!$A48,Data!$CV:$CV)+'Rate History'!$D$6*SUMIF(Data!$G:$G,Neutral!$A48,Data!$CW:$CW)+'Rate History'!$D$7*SUMIF(Data!$G:$G,Neutral!$A48,Data!$CX:$CX)+'Rate History'!$D$8*SUMIF(Data!$G:$G,Neutral!$A48,Data!$CY:$CY)+'Rate History'!$D$9*SUMIF(Data!$G:$G,Neutral!$A48,Data!$CZ:$CZ)+'Rate History'!$D$10*SUMIF(Data!$G:$G,Neutral!$A48,Data!$DA:$DA)+'Rate History'!$D$11*SUMIF(Data!$G:$G,Neutral!$A48,Data!$DB:$DB)+'Rate History'!$D$12*SUMIF(Data!$G:$G,Neutral!$A48,Data!$DC:$DC)+'Rate History'!$D$13*SUMIF(Data!$G:$G,Neutral!$A48,Data!$DD:$DD)+'Rate History'!$D$14*SUMIF(Data!$G:$G,Neutral!$A48,Data!$DE:$DE)+'Rate History'!$D$15*SUMIF(Data!$G:$G,Neutral!$A48,Data!$DF:$DF)+'Rate History'!$D$16*SUMIF(Data!$G:$G,Neutral!$A48,Data!$DG:$DG)+'Rate History'!$D$17*SUMIF(Data!$G:$G,Neutral!$A48,Data!$DH:$DH)+'Rate History'!$D$18*SUMIF(Data!$G:$G,Neutral!$A48,Data!$DI:$DI)+'Rate History'!$D$19*SUMIF(Data!$G:$G,Neutral!$A48,Data!$DJ:$DJ)+'Rate History'!$D$20*SUMIF(Data!$G:$G,Neutral!$A48,Data!$DK:$DK)+'Rate History'!$D$21*SUMIF(Data!$G:$G,Neutral!$A48,Data!$DL:$DL)+'Rate History'!$D$22*SUMIF(Data!$G:$G,Neutral!$A48,Data!$DM:$DM)+'Rate History'!$D$23*SUMIF(Data!$G:$G,Neutral!$A48,Data!$DN:$DN)+'Rate History'!$D$24*SUMIF(Data!$G:$G,Neutral!$A48,Data!$DO:$DO)+'Rate History'!$D$25*SUMIF(Data!$G:$G,Neutral!$A48,Data!$DP:$DP)+'Rate History'!$D$26*SUMIF(Data!$G:$G,Neutral!$A48,Data!$DQ:$DQ)+'Rate History'!$D$27*SUMIF(Data!$G:$G,Neutral!$A48,Data!$DR:$DR)+'Rate History'!$D$28*SUMIF(Data!$G:$G,Neutral!$A48,Data!$DS:$DS)+'Rate History'!$D$29*SUMIF(Data!$G:$G,Neutral!$A48,Data!$DT:$DT)+'Rate History'!$D$30*SUMIF(Data!$G:$G,Neutral!$A48,Data!$DV:$DV)+'Rate History'!$D$31*SUMIF(Data!$G:$G,Neutral!$A48,Data!$DW:$DW))</f>
        <v>10454121.786831893</v>
      </c>
      <c r="C48" s="118">
        <f>$C$5*('Rate History'!$C$4*SUMIF(Data!$G:$G,Neutral!$A48,Data!$CU:$CU)+'Rate History'!$C$5*SUMIF(Data!$G:$G,Neutral!$A48,Data!$CV:$CV)+'Rate History'!$C$6*SUMIF(Data!$G:$G,Neutral!$A48,Data!$CW:$CW)+'Rate History'!$C$7*SUMIF(Data!$G:$G,Neutral!$A48,Data!$CX:$CX)+'Rate History'!$C$8*SUMIF(Data!$G:$G,Neutral!$A48,Data!$CY:$CY)+'Rate History'!$C$9*SUMIF(Data!$G:$G,Neutral!$A48,Data!$CZ:$CZ)+'Rate History'!$C$10*SUMIF(Data!$G:$G,Neutral!$A48,Data!$DA:$DA)+'Rate History'!$C$11*SUMIF(Data!$G:$G,Neutral!$A48,Data!$DB:$DB)+'Rate History'!$C$12*SUMIF(Data!$G:$G,Neutral!$A48,Data!$DC:$DC)+'Rate History'!$C$13*SUMIF(Data!$G:$G,Neutral!$A48,Data!$DD:$DD)+'Rate History'!$C$14*SUMIF(Data!$G:$G,Neutral!$A48,Data!$DE:$DE)+'Rate History'!$C$15*SUMIF(Data!$G:$G,Neutral!$A48,Data!$DF:$DF)+'Rate History'!$C$16*SUMIF(Data!$G:$G,Neutral!$A48,Data!$DG:$DG)+'Rate History'!$C$17*SUMIF(Data!$G:$G,Neutral!$A48,Data!$DH:$DH)+'Rate History'!$C$18*SUMIF(Data!$G:$G,Neutral!$A48,Data!$DI:$DI)+'Rate History'!$C$19*SUMIF(Data!$G:$G,Neutral!$A48,Data!$DJ:$DJ)+'Rate History'!$C$20*SUMIF(Data!$G:$G,Neutral!$A48,Data!$DK:$DK)+'Rate History'!$C$21*SUMIF(Data!$G:$G,Neutral!$A48,Data!$DL:$DL)+'Rate History'!$C$22*SUMIF(Data!$G:$G,Neutral!$A48,Data!$DM:$DM)+'Rate History'!$C$23*SUMIF(Data!$G:$G,Neutral!$A48,Data!$DN:$DN)+'Rate History'!$C$24*SUMIF(Data!$G:$G,Neutral!$A48,Data!$DO:$DO)+'Rate History'!$C$25*SUMIF(Data!$G:$G,Neutral!$A48,Data!$DP:$DP)+'Rate History'!$C$26*SUMIF(Data!$G:$G,Neutral!$A48,Data!$DQ:$DQ)+'Rate History'!$C$27*SUMIF(Data!$G:$G,Neutral!$A48,Data!$DR:$DR)+'Rate History'!$C$28*SUMIF(Data!$G:$G,Neutral!$A48,Data!$DS:$DS)+'Rate History'!$C$29*SUMIF(Data!$G:$G,Neutral!$A48,Data!$DT:$DT)+'Rate History'!$C$30*SUMIF(Data!$G:$G,Neutral!$A48,Data!$DV:$DV)+'Rate History'!$C$31*SUMIF(Data!$G:$G,Neutral!$A48,Data!$DW:$DW))</f>
        <v>10456793.450428527</v>
      </c>
      <c r="D48" s="103">
        <f t="shared" si="1"/>
        <v>2671.6635966338217</v>
      </c>
      <c r="E48" s="105">
        <f t="shared" si="2"/>
        <v>2.5556078751627647E-4</v>
      </c>
    </row>
    <row r="49" spans="1:5" x14ac:dyDescent="0.25">
      <c r="A49" s="98" t="s">
        <v>1115</v>
      </c>
      <c r="B49" s="118">
        <f>$B$5*('Rate History'!$D$4*SUMIF(Data!$G:$G,Neutral!$A49,Data!$CU:$CU)+'Rate History'!$D$5*SUMIF(Data!$G:$G,Neutral!$A49,Data!$CV:$CV)+'Rate History'!$D$6*SUMIF(Data!$G:$G,Neutral!$A49,Data!$CW:$CW)+'Rate History'!$D$7*SUMIF(Data!$G:$G,Neutral!$A49,Data!$CX:$CX)+'Rate History'!$D$8*SUMIF(Data!$G:$G,Neutral!$A49,Data!$CY:$CY)+'Rate History'!$D$9*SUMIF(Data!$G:$G,Neutral!$A49,Data!$CZ:$CZ)+'Rate History'!$D$10*SUMIF(Data!$G:$G,Neutral!$A49,Data!$DA:$DA)+'Rate History'!$D$11*SUMIF(Data!$G:$G,Neutral!$A49,Data!$DB:$DB)+'Rate History'!$D$12*SUMIF(Data!$G:$G,Neutral!$A49,Data!$DC:$DC)+'Rate History'!$D$13*SUMIF(Data!$G:$G,Neutral!$A49,Data!$DD:$DD)+'Rate History'!$D$14*SUMIF(Data!$G:$G,Neutral!$A49,Data!$DE:$DE)+'Rate History'!$D$15*SUMIF(Data!$G:$G,Neutral!$A49,Data!$DF:$DF)+'Rate History'!$D$16*SUMIF(Data!$G:$G,Neutral!$A49,Data!$DG:$DG)+'Rate History'!$D$17*SUMIF(Data!$G:$G,Neutral!$A49,Data!$DH:$DH)+'Rate History'!$D$18*SUMIF(Data!$G:$G,Neutral!$A49,Data!$DI:$DI)+'Rate History'!$D$19*SUMIF(Data!$G:$G,Neutral!$A49,Data!$DJ:$DJ)+'Rate History'!$D$20*SUMIF(Data!$G:$G,Neutral!$A49,Data!$DK:$DK)+'Rate History'!$D$21*SUMIF(Data!$G:$G,Neutral!$A49,Data!$DL:$DL)+'Rate History'!$D$22*SUMIF(Data!$G:$G,Neutral!$A49,Data!$DM:$DM)+'Rate History'!$D$23*SUMIF(Data!$G:$G,Neutral!$A49,Data!$DN:$DN)+'Rate History'!$D$24*SUMIF(Data!$G:$G,Neutral!$A49,Data!$DO:$DO)+'Rate History'!$D$25*SUMIF(Data!$G:$G,Neutral!$A49,Data!$DP:$DP)+'Rate History'!$D$26*SUMIF(Data!$G:$G,Neutral!$A49,Data!$DQ:$DQ)+'Rate History'!$D$27*SUMIF(Data!$G:$G,Neutral!$A49,Data!$DR:$DR)+'Rate History'!$D$28*SUMIF(Data!$G:$G,Neutral!$A49,Data!$DS:$DS)+'Rate History'!$D$29*SUMIF(Data!$G:$G,Neutral!$A49,Data!$DT:$DT)+'Rate History'!$D$30*SUMIF(Data!$G:$G,Neutral!$A49,Data!$DV:$DV)+'Rate History'!$D$31*SUMIF(Data!$G:$G,Neutral!$A49,Data!$DW:$DW))</f>
        <v>11086921.575535728</v>
      </c>
      <c r="C49" s="118">
        <f>$C$5*('Rate History'!$C$4*SUMIF(Data!$G:$G,Neutral!$A49,Data!$CU:$CU)+'Rate History'!$C$5*SUMIF(Data!$G:$G,Neutral!$A49,Data!$CV:$CV)+'Rate History'!$C$6*SUMIF(Data!$G:$G,Neutral!$A49,Data!$CW:$CW)+'Rate History'!$C$7*SUMIF(Data!$G:$G,Neutral!$A49,Data!$CX:$CX)+'Rate History'!$C$8*SUMIF(Data!$G:$G,Neutral!$A49,Data!$CY:$CY)+'Rate History'!$C$9*SUMIF(Data!$G:$G,Neutral!$A49,Data!$CZ:$CZ)+'Rate History'!$C$10*SUMIF(Data!$G:$G,Neutral!$A49,Data!$DA:$DA)+'Rate History'!$C$11*SUMIF(Data!$G:$G,Neutral!$A49,Data!$DB:$DB)+'Rate History'!$C$12*SUMIF(Data!$G:$G,Neutral!$A49,Data!$DC:$DC)+'Rate History'!$C$13*SUMIF(Data!$G:$G,Neutral!$A49,Data!$DD:$DD)+'Rate History'!$C$14*SUMIF(Data!$G:$G,Neutral!$A49,Data!$DE:$DE)+'Rate History'!$C$15*SUMIF(Data!$G:$G,Neutral!$A49,Data!$DF:$DF)+'Rate History'!$C$16*SUMIF(Data!$G:$G,Neutral!$A49,Data!$DG:$DG)+'Rate History'!$C$17*SUMIF(Data!$G:$G,Neutral!$A49,Data!$DH:$DH)+'Rate History'!$C$18*SUMIF(Data!$G:$G,Neutral!$A49,Data!$DI:$DI)+'Rate History'!$C$19*SUMIF(Data!$G:$G,Neutral!$A49,Data!$DJ:$DJ)+'Rate History'!$C$20*SUMIF(Data!$G:$G,Neutral!$A49,Data!$DK:$DK)+'Rate History'!$C$21*SUMIF(Data!$G:$G,Neutral!$A49,Data!$DL:$DL)+'Rate History'!$C$22*SUMIF(Data!$G:$G,Neutral!$A49,Data!$DM:$DM)+'Rate History'!$C$23*SUMIF(Data!$G:$G,Neutral!$A49,Data!$DN:$DN)+'Rate History'!$C$24*SUMIF(Data!$G:$G,Neutral!$A49,Data!$DO:$DO)+'Rate History'!$C$25*SUMIF(Data!$G:$G,Neutral!$A49,Data!$DP:$DP)+'Rate History'!$C$26*SUMIF(Data!$G:$G,Neutral!$A49,Data!$DQ:$DQ)+'Rate History'!$C$27*SUMIF(Data!$G:$G,Neutral!$A49,Data!$DR:$DR)+'Rate History'!$C$28*SUMIF(Data!$G:$G,Neutral!$A49,Data!$DS:$DS)+'Rate History'!$C$29*SUMIF(Data!$G:$G,Neutral!$A49,Data!$DT:$DT)+'Rate History'!$C$30*SUMIF(Data!$G:$G,Neutral!$A49,Data!$DV:$DV)+'Rate History'!$C$31*SUMIF(Data!$G:$G,Neutral!$A49,Data!$DW:$DW))</f>
        <v>11082824.456491988</v>
      </c>
      <c r="D49" s="103">
        <f t="shared" si="1"/>
        <v>-4097.1190437395126</v>
      </c>
      <c r="E49" s="105">
        <f t="shared" si="2"/>
        <v>-3.6954523542226256E-4</v>
      </c>
    </row>
    <row r="50" spans="1:5" x14ac:dyDescent="0.25">
      <c r="A50" s="98" t="s">
        <v>406</v>
      </c>
      <c r="B50" s="118">
        <f>$B$5*('Rate History'!$D$4*SUMIF(Data!$G:$G,Neutral!$A50,Data!$CU:$CU)+'Rate History'!$D$5*SUMIF(Data!$G:$G,Neutral!$A50,Data!$CV:$CV)+'Rate History'!$D$6*SUMIF(Data!$G:$G,Neutral!$A50,Data!$CW:$CW)+'Rate History'!$D$7*SUMIF(Data!$G:$G,Neutral!$A50,Data!$CX:$CX)+'Rate History'!$D$8*SUMIF(Data!$G:$G,Neutral!$A50,Data!$CY:$CY)+'Rate History'!$D$9*SUMIF(Data!$G:$G,Neutral!$A50,Data!$CZ:$CZ)+'Rate History'!$D$10*SUMIF(Data!$G:$G,Neutral!$A50,Data!$DA:$DA)+'Rate History'!$D$11*SUMIF(Data!$G:$G,Neutral!$A50,Data!$DB:$DB)+'Rate History'!$D$12*SUMIF(Data!$G:$G,Neutral!$A50,Data!$DC:$DC)+'Rate History'!$D$13*SUMIF(Data!$G:$G,Neutral!$A50,Data!$DD:$DD)+'Rate History'!$D$14*SUMIF(Data!$G:$G,Neutral!$A50,Data!$DE:$DE)+'Rate History'!$D$15*SUMIF(Data!$G:$G,Neutral!$A50,Data!$DF:$DF)+'Rate History'!$D$16*SUMIF(Data!$G:$G,Neutral!$A50,Data!$DG:$DG)+'Rate History'!$D$17*SUMIF(Data!$G:$G,Neutral!$A50,Data!$DH:$DH)+'Rate History'!$D$18*SUMIF(Data!$G:$G,Neutral!$A50,Data!$DI:$DI)+'Rate History'!$D$19*SUMIF(Data!$G:$G,Neutral!$A50,Data!$DJ:$DJ)+'Rate History'!$D$20*SUMIF(Data!$G:$G,Neutral!$A50,Data!$DK:$DK)+'Rate History'!$D$21*SUMIF(Data!$G:$G,Neutral!$A50,Data!$DL:$DL)+'Rate History'!$D$22*SUMIF(Data!$G:$G,Neutral!$A50,Data!$DM:$DM)+'Rate History'!$D$23*SUMIF(Data!$G:$G,Neutral!$A50,Data!$DN:$DN)+'Rate History'!$D$24*SUMIF(Data!$G:$G,Neutral!$A50,Data!$DO:$DO)+'Rate History'!$D$25*SUMIF(Data!$G:$G,Neutral!$A50,Data!$DP:$DP)+'Rate History'!$D$26*SUMIF(Data!$G:$G,Neutral!$A50,Data!$DQ:$DQ)+'Rate History'!$D$27*SUMIF(Data!$G:$G,Neutral!$A50,Data!$DR:$DR)+'Rate History'!$D$28*SUMIF(Data!$G:$G,Neutral!$A50,Data!$DS:$DS)+'Rate History'!$D$29*SUMIF(Data!$G:$G,Neutral!$A50,Data!$DT:$DT)+'Rate History'!$D$30*SUMIF(Data!$G:$G,Neutral!$A50,Data!$DV:$DV)+'Rate History'!$D$31*SUMIF(Data!$G:$G,Neutral!$A50,Data!$DW:$DW))</f>
        <v>16962491.817709874</v>
      </c>
      <c r="C50" s="118">
        <f>$C$5*('Rate History'!$C$4*SUMIF(Data!$G:$G,Neutral!$A50,Data!$CU:$CU)+'Rate History'!$C$5*SUMIF(Data!$G:$G,Neutral!$A50,Data!$CV:$CV)+'Rate History'!$C$6*SUMIF(Data!$G:$G,Neutral!$A50,Data!$CW:$CW)+'Rate History'!$C$7*SUMIF(Data!$G:$G,Neutral!$A50,Data!$CX:$CX)+'Rate History'!$C$8*SUMIF(Data!$G:$G,Neutral!$A50,Data!$CY:$CY)+'Rate History'!$C$9*SUMIF(Data!$G:$G,Neutral!$A50,Data!$CZ:$CZ)+'Rate History'!$C$10*SUMIF(Data!$G:$G,Neutral!$A50,Data!$DA:$DA)+'Rate History'!$C$11*SUMIF(Data!$G:$G,Neutral!$A50,Data!$DB:$DB)+'Rate History'!$C$12*SUMIF(Data!$G:$G,Neutral!$A50,Data!$DC:$DC)+'Rate History'!$C$13*SUMIF(Data!$G:$G,Neutral!$A50,Data!$DD:$DD)+'Rate History'!$C$14*SUMIF(Data!$G:$G,Neutral!$A50,Data!$DE:$DE)+'Rate History'!$C$15*SUMIF(Data!$G:$G,Neutral!$A50,Data!$DF:$DF)+'Rate History'!$C$16*SUMIF(Data!$G:$G,Neutral!$A50,Data!$DG:$DG)+'Rate History'!$C$17*SUMIF(Data!$G:$G,Neutral!$A50,Data!$DH:$DH)+'Rate History'!$C$18*SUMIF(Data!$G:$G,Neutral!$A50,Data!$DI:$DI)+'Rate History'!$C$19*SUMIF(Data!$G:$G,Neutral!$A50,Data!$DJ:$DJ)+'Rate History'!$C$20*SUMIF(Data!$G:$G,Neutral!$A50,Data!$DK:$DK)+'Rate History'!$C$21*SUMIF(Data!$G:$G,Neutral!$A50,Data!$DL:$DL)+'Rate History'!$C$22*SUMIF(Data!$G:$G,Neutral!$A50,Data!$DM:$DM)+'Rate History'!$C$23*SUMIF(Data!$G:$G,Neutral!$A50,Data!$DN:$DN)+'Rate History'!$C$24*SUMIF(Data!$G:$G,Neutral!$A50,Data!$DO:$DO)+'Rate History'!$C$25*SUMIF(Data!$G:$G,Neutral!$A50,Data!$DP:$DP)+'Rate History'!$C$26*SUMIF(Data!$G:$G,Neutral!$A50,Data!$DQ:$DQ)+'Rate History'!$C$27*SUMIF(Data!$G:$G,Neutral!$A50,Data!$DR:$DR)+'Rate History'!$C$28*SUMIF(Data!$G:$G,Neutral!$A50,Data!$DS:$DS)+'Rate History'!$C$29*SUMIF(Data!$G:$G,Neutral!$A50,Data!$DT:$DT)+'Rate History'!$C$30*SUMIF(Data!$G:$G,Neutral!$A50,Data!$DV:$DV)+'Rate History'!$C$31*SUMIF(Data!$G:$G,Neutral!$A50,Data!$DW:$DW))</f>
        <v>16955928.656225499</v>
      </c>
      <c r="D50" s="103">
        <f t="shared" si="1"/>
        <v>-6563.161484375596</v>
      </c>
      <c r="E50" s="105">
        <f t="shared" si="2"/>
        <v>-3.8692201328128313E-4</v>
      </c>
    </row>
    <row r="51" spans="1:5" x14ac:dyDescent="0.25">
      <c r="A51" s="98" t="s">
        <v>427</v>
      </c>
      <c r="B51" s="118">
        <f>$B$5*('Rate History'!$D$4*SUMIF(Data!$G:$G,Neutral!$A51,Data!$CU:$CU)+'Rate History'!$D$5*SUMIF(Data!$G:$G,Neutral!$A51,Data!$CV:$CV)+'Rate History'!$D$6*SUMIF(Data!$G:$G,Neutral!$A51,Data!$CW:$CW)+'Rate History'!$D$7*SUMIF(Data!$G:$G,Neutral!$A51,Data!$CX:$CX)+'Rate History'!$D$8*SUMIF(Data!$G:$G,Neutral!$A51,Data!$CY:$CY)+'Rate History'!$D$9*SUMIF(Data!$G:$G,Neutral!$A51,Data!$CZ:$CZ)+'Rate History'!$D$10*SUMIF(Data!$G:$G,Neutral!$A51,Data!$DA:$DA)+'Rate History'!$D$11*SUMIF(Data!$G:$G,Neutral!$A51,Data!$DB:$DB)+'Rate History'!$D$12*SUMIF(Data!$G:$G,Neutral!$A51,Data!$DC:$DC)+'Rate History'!$D$13*SUMIF(Data!$G:$G,Neutral!$A51,Data!$DD:$DD)+'Rate History'!$D$14*SUMIF(Data!$G:$G,Neutral!$A51,Data!$DE:$DE)+'Rate History'!$D$15*SUMIF(Data!$G:$G,Neutral!$A51,Data!$DF:$DF)+'Rate History'!$D$16*SUMIF(Data!$G:$G,Neutral!$A51,Data!$DG:$DG)+'Rate History'!$D$17*SUMIF(Data!$G:$G,Neutral!$A51,Data!$DH:$DH)+'Rate History'!$D$18*SUMIF(Data!$G:$G,Neutral!$A51,Data!$DI:$DI)+'Rate History'!$D$19*SUMIF(Data!$G:$G,Neutral!$A51,Data!$DJ:$DJ)+'Rate History'!$D$20*SUMIF(Data!$G:$G,Neutral!$A51,Data!$DK:$DK)+'Rate History'!$D$21*SUMIF(Data!$G:$G,Neutral!$A51,Data!$DL:$DL)+'Rate History'!$D$22*SUMIF(Data!$G:$G,Neutral!$A51,Data!$DM:$DM)+'Rate History'!$D$23*SUMIF(Data!$G:$G,Neutral!$A51,Data!$DN:$DN)+'Rate History'!$D$24*SUMIF(Data!$G:$G,Neutral!$A51,Data!$DO:$DO)+'Rate History'!$D$25*SUMIF(Data!$G:$G,Neutral!$A51,Data!$DP:$DP)+'Rate History'!$D$26*SUMIF(Data!$G:$G,Neutral!$A51,Data!$DQ:$DQ)+'Rate History'!$D$27*SUMIF(Data!$G:$G,Neutral!$A51,Data!$DR:$DR)+'Rate History'!$D$28*SUMIF(Data!$G:$G,Neutral!$A51,Data!$DS:$DS)+'Rate History'!$D$29*SUMIF(Data!$G:$G,Neutral!$A51,Data!$DT:$DT)+'Rate History'!$D$30*SUMIF(Data!$G:$G,Neutral!$A51,Data!$DV:$DV)+'Rate History'!$D$31*SUMIF(Data!$G:$G,Neutral!$A51,Data!$DW:$DW))</f>
        <v>5115937.7867785264</v>
      </c>
      <c r="C51" s="118">
        <f>$C$5*('Rate History'!$C$4*SUMIF(Data!$G:$G,Neutral!$A51,Data!$CU:$CU)+'Rate History'!$C$5*SUMIF(Data!$G:$G,Neutral!$A51,Data!$CV:$CV)+'Rate History'!$C$6*SUMIF(Data!$G:$G,Neutral!$A51,Data!$CW:$CW)+'Rate History'!$C$7*SUMIF(Data!$G:$G,Neutral!$A51,Data!$CX:$CX)+'Rate History'!$C$8*SUMIF(Data!$G:$G,Neutral!$A51,Data!$CY:$CY)+'Rate History'!$C$9*SUMIF(Data!$G:$G,Neutral!$A51,Data!$CZ:$CZ)+'Rate History'!$C$10*SUMIF(Data!$G:$G,Neutral!$A51,Data!$DA:$DA)+'Rate History'!$C$11*SUMIF(Data!$G:$G,Neutral!$A51,Data!$DB:$DB)+'Rate History'!$C$12*SUMIF(Data!$G:$G,Neutral!$A51,Data!$DC:$DC)+'Rate History'!$C$13*SUMIF(Data!$G:$G,Neutral!$A51,Data!$DD:$DD)+'Rate History'!$C$14*SUMIF(Data!$G:$G,Neutral!$A51,Data!$DE:$DE)+'Rate History'!$C$15*SUMIF(Data!$G:$G,Neutral!$A51,Data!$DF:$DF)+'Rate History'!$C$16*SUMIF(Data!$G:$G,Neutral!$A51,Data!$DG:$DG)+'Rate History'!$C$17*SUMIF(Data!$G:$G,Neutral!$A51,Data!$DH:$DH)+'Rate History'!$C$18*SUMIF(Data!$G:$G,Neutral!$A51,Data!$DI:$DI)+'Rate History'!$C$19*SUMIF(Data!$G:$G,Neutral!$A51,Data!$DJ:$DJ)+'Rate History'!$C$20*SUMIF(Data!$G:$G,Neutral!$A51,Data!$DK:$DK)+'Rate History'!$C$21*SUMIF(Data!$G:$G,Neutral!$A51,Data!$DL:$DL)+'Rate History'!$C$22*SUMIF(Data!$G:$G,Neutral!$A51,Data!$DM:$DM)+'Rate History'!$C$23*SUMIF(Data!$G:$G,Neutral!$A51,Data!$DN:$DN)+'Rate History'!$C$24*SUMIF(Data!$G:$G,Neutral!$A51,Data!$DO:$DO)+'Rate History'!$C$25*SUMIF(Data!$G:$G,Neutral!$A51,Data!$DP:$DP)+'Rate History'!$C$26*SUMIF(Data!$G:$G,Neutral!$A51,Data!$DQ:$DQ)+'Rate History'!$C$27*SUMIF(Data!$G:$G,Neutral!$A51,Data!$DR:$DR)+'Rate History'!$C$28*SUMIF(Data!$G:$G,Neutral!$A51,Data!$DS:$DS)+'Rate History'!$C$29*SUMIF(Data!$G:$G,Neutral!$A51,Data!$DT:$DT)+'Rate History'!$C$30*SUMIF(Data!$G:$G,Neutral!$A51,Data!$DV:$DV)+'Rate History'!$C$31*SUMIF(Data!$G:$G,Neutral!$A51,Data!$DW:$DW))</f>
        <v>5130938.0792488214</v>
      </c>
      <c r="D51" s="103">
        <f t="shared" si="1"/>
        <v>15000.292470294982</v>
      </c>
      <c r="E51" s="105">
        <f t="shared" si="2"/>
        <v>2.9320709311714621E-3</v>
      </c>
    </row>
    <row r="52" spans="1:5" x14ac:dyDescent="0.25">
      <c r="A52" s="98" t="s">
        <v>1209</v>
      </c>
      <c r="B52" s="118">
        <f>$B$5*('Rate History'!$D$4*SUMIF(Data!$G:$G,Neutral!$A52,Data!$CU:$CU)+'Rate History'!$D$5*SUMIF(Data!$G:$G,Neutral!$A52,Data!$CV:$CV)+'Rate History'!$D$6*SUMIF(Data!$G:$G,Neutral!$A52,Data!$CW:$CW)+'Rate History'!$D$7*SUMIF(Data!$G:$G,Neutral!$A52,Data!$CX:$CX)+'Rate History'!$D$8*SUMIF(Data!$G:$G,Neutral!$A52,Data!$CY:$CY)+'Rate History'!$D$9*SUMIF(Data!$G:$G,Neutral!$A52,Data!$CZ:$CZ)+'Rate History'!$D$10*SUMIF(Data!$G:$G,Neutral!$A52,Data!$DA:$DA)+'Rate History'!$D$11*SUMIF(Data!$G:$G,Neutral!$A52,Data!$DB:$DB)+'Rate History'!$D$12*SUMIF(Data!$G:$G,Neutral!$A52,Data!$DC:$DC)+'Rate History'!$D$13*SUMIF(Data!$G:$G,Neutral!$A52,Data!$DD:$DD)+'Rate History'!$D$14*SUMIF(Data!$G:$G,Neutral!$A52,Data!$DE:$DE)+'Rate History'!$D$15*SUMIF(Data!$G:$G,Neutral!$A52,Data!$DF:$DF)+'Rate History'!$D$16*SUMIF(Data!$G:$G,Neutral!$A52,Data!$DG:$DG)+'Rate History'!$D$17*SUMIF(Data!$G:$G,Neutral!$A52,Data!$DH:$DH)+'Rate History'!$D$18*SUMIF(Data!$G:$G,Neutral!$A52,Data!$DI:$DI)+'Rate History'!$D$19*SUMIF(Data!$G:$G,Neutral!$A52,Data!$DJ:$DJ)+'Rate History'!$D$20*SUMIF(Data!$G:$G,Neutral!$A52,Data!$DK:$DK)+'Rate History'!$D$21*SUMIF(Data!$G:$G,Neutral!$A52,Data!$DL:$DL)+'Rate History'!$D$22*SUMIF(Data!$G:$G,Neutral!$A52,Data!$DM:$DM)+'Rate History'!$D$23*SUMIF(Data!$G:$G,Neutral!$A52,Data!$DN:$DN)+'Rate History'!$D$24*SUMIF(Data!$G:$G,Neutral!$A52,Data!$DO:$DO)+'Rate History'!$D$25*SUMIF(Data!$G:$G,Neutral!$A52,Data!$DP:$DP)+'Rate History'!$D$26*SUMIF(Data!$G:$G,Neutral!$A52,Data!$DQ:$DQ)+'Rate History'!$D$27*SUMIF(Data!$G:$G,Neutral!$A52,Data!$DR:$DR)+'Rate History'!$D$28*SUMIF(Data!$G:$G,Neutral!$A52,Data!$DS:$DS)+'Rate History'!$D$29*SUMIF(Data!$G:$G,Neutral!$A52,Data!$DT:$DT)+'Rate History'!$D$30*SUMIF(Data!$G:$G,Neutral!$A52,Data!$DV:$DV)+'Rate History'!$D$31*SUMIF(Data!$G:$G,Neutral!$A52,Data!$DW:$DW))</f>
        <v>0</v>
      </c>
      <c r="C52" s="118">
        <f>$C$5*('Rate History'!$C$4*SUMIF(Data!$G:$G,Neutral!$A52,Data!$CU:$CU)+'Rate History'!$C$5*SUMIF(Data!$G:$G,Neutral!$A52,Data!$CV:$CV)+'Rate History'!$C$6*SUMIF(Data!$G:$G,Neutral!$A52,Data!$CW:$CW)+'Rate History'!$C$7*SUMIF(Data!$G:$G,Neutral!$A52,Data!$CX:$CX)+'Rate History'!$C$8*SUMIF(Data!$G:$G,Neutral!$A52,Data!$CY:$CY)+'Rate History'!$C$9*SUMIF(Data!$G:$G,Neutral!$A52,Data!$CZ:$CZ)+'Rate History'!$C$10*SUMIF(Data!$G:$G,Neutral!$A52,Data!$DA:$DA)+'Rate History'!$C$11*SUMIF(Data!$G:$G,Neutral!$A52,Data!$DB:$DB)+'Rate History'!$C$12*SUMIF(Data!$G:$G,Neutral!$A52,Data!$DC:$DC)+'Rate History'!$C$13*SUMIF(Data!$G:$G,Neutral!$A52,Data!$DD:$DD)+'Rate History'!$C$14*SUMIF(Data!$G:$G,Neutral!$A52,Data!$DE:$DE)+'Rate History'!$C$15*SUMIF(Data!$G:$G,Neutral!$A52,Data!$DF:$DF)+'Rate History'!$C$16*SUMIF(Data!$G:$G,Neutral!$A52,Data!$DG:$DG)+'Rate History'!$C$17*SUMIF(Data!$G:$G,Neutral!$A52,Data!$DH:$DH)+'Rate History'!$C$18*SUMIF(Data!$G:$G,Neutral!$A52,Data!$DI:$DI)+'Rate History'!$C$19*SUMIF(Data!$G:$G,Neutral!$A52,Data!$DJ:$DJ)+'Rate History'!$C$20*SUMIF(Data!$G:$G,Neutral!$A52,Data!$DK:$DK)+'Rate History'!$C$21*SUMIF(Data!$G:$G,Neutral!$A52,Data!$DL:$DL)+'Rate History'!$C$22*SUMIF(Data!$G:$G,Neutral!$A52,Data!$DM:$DM)+'Rate History'!$C$23*SUMIF(Data!$G:$G,Neutral!$A52,Data!$DN:$DN)+'Rate History'!$C$24*SUMIF(Data!$G:$G,Neutral!$A52,Data!$DO:$DO)+'Rate History'!$C$25*SUMIF(Data!$G:$G,Neutral!$A52,Data!$DP:$DP)+'Rate History'!$C$26*SUMIF(Data!$G:$G,Neutral!$A52,Data!$DQ:$DQ)+'Rate History'!$C$27*SUMIF(Data!$G:$G,Neutral!$A52,Data!$DR:$DR)+'Rate History'!$C$28*SUMIF(Data!$G:$G,Neutral!$A52,Data!$DS:$DS)+'Rate History'!$C$29*SUMIF(Data!$G:$G,Neutral!$A52,Data!$DT:$DT)+'Rate History'!$C$30*SUMIF(Data!$G:$G,Neutral!$A52,Data!$DV:$DV)+'Rate History'!$C$31*SUMIF(Data!$G:$G,Neutral!$A52,Data!$DW:$DW))</f>
        <v>0</v>
      </c>
      <c r="D52" s="103">
        <f t="shared" si="1"/>
        <v>0</v>
      </c>
      <c r="E52" s="105" t="str">
        <f t="shared" si="2"/>
        <v/>
      </c>
    </row>
    <row r="53" spans="1:5" x14ac:dyDescent="0.25">
      <c r="A53" s="98" t="s">
        <v>409</v>
      </c>
      <c r="B53" s="118">
        <f>$B$5*('Rate History'!$D$4*SUMIF(Data!$G:$G,Neutral!$A53,Data!$CU:$CU)+'Rate History'!$D$5*SUMIF(Data!$G:$G,Neutral!$A53,Data!$CV:$CV)+'Rate History'!$D$6*SUMIF(Data!$G:$G,Neutral!$A53,Data!$CW:$CW)+'Rate History'!$D$7*SUMIF(Data!$G:$G,Neutral!$A53,Data!$CX:$CX)+'Rate History'!$D$8*SUMIF(Data!$G:$G,Neutral!$A53,Data!$CY:$CY)+'Rate History'!$D$9*SUMIF(Data!$G:$G,Neutral!$A53,Data!$CZ:$CZ)+'Rate History'!$D$10*SUMIF(Data!$G:$G,Neutral!$A53,Data!$DA:$DA)+'Rate History'!$D$11*SUMIF(Data!$G:$G,Neutral!$A53,Data!$DB:$DB)+'Rate History'!$D$12*SUMIF(Data!$G:$G,Neutral!$A53,Data!$DC:$DC)+'Rate History'!$D$13*SUMIF(Data!$G:$G,Neutral!$A53,Data!$DD:$DD)+'Rate History'!$D$14*SUMIF(Data!$G:$G,Neutral!$A53,Data!$DE:$DE)+'Rate History'!$D$15*SUMIF(Data!$G:$G,Neutral!$A53,Data!$DF:$DF)+'Rate History'!$D$16*SUMIF(Data!$G:$G,Neutral!$A53,Data!$DG:$DG)+'Rate History'!$D$17*SUMIF(Data!$G:$G,Neutral!$A53,Data!$DH:$DH)+'Rate History'!$D$18*SUMIF(Data!$G:$G,Neutral!$A53,Data!$DI:$DI)+'Rate History'!$D$19*SUMIF(Data!$G:$G,Neutral!$A53,Data!$DJ:$DJ)+'Rate History'!$D$20*SUMIF(Data!$G:$G,Neutral!$A53,Data!$DK:$DK)+'Rate History'!$D$21*SUMIF(Data!$G:$G,Neutral!$A53,Data!$DL:$DL)+'Rate History'!$D$22*SUMIF(Data!$G:$G,Neutral!$A53,Data!$DM:$DM)+'Rate History'!$D$23*SUMIF(Data!$G:$G,Neutral!$A53,Data!$DN:$DN)+'Rate History'!$D$24*SUMIF(Data!$G:$G,Neutral!$A53,Data!$DO:$DO)+'Rate History'!$D$25*SUMIF(Data!$G:$G,Neutral!$A53,Data!$DP:$DP)+'Rate History'!$D$26*SUMIF(Data!$G:$G,Neutral!$A53,Data!$DQ:$DQ)+'Rate History'!$D$27*SUMIF(Data!$G:$G,Neutral!$A53,Data!$DR:$DR)+'Rate History'!$D$28*SUMIF(Data!$G:$G,Neutral!$A53,Data!$DS:$DS)+'Rate History'!$D$29*SUMIF(Data!$G:$G,Neutral!$A53,Data!$DT:$DT)+'Rate History'!$D$30*SUMIF(Data!$G:$G,Neutral!$A53,Data!$DV:$DV)+'Rate History'!$D$31*SUMIF(Data!$G:$G,Neutral!$A53,Data!$DW:$DW))</f>
        <v>7687661.6784925126</v>
      </c>
      <c r="C53" s="118">
        <f>$C$5*('Rate History'!$C$4*SUMIF(Data!$G:$G,Neutral!$A53,Data!$CU:$CU)+'Rate History'!$C$5*SUMIF(Data!$G:$G,Neutral!$A53,Data!$CV:$CV)+'Rate History'!$C$6*SUMIF(Data!$G:$G,Neutral!$A53,Data!$CW:$CW)+'Rate History'!$C$7*SUMIF(Data!$G:$G,Neutral!$A53,Data!$CX:$CX)+'Rate History'!$C$8*SUMIF(Data!$G:$G,Neutral!$A53,Data!$CY:$CY)+'Rate History'!$C$9*SUMIF(Data!$G:$G,Neutral!$A53,Data!$CZ:$CZ)+'Rate History'!$C$10*SUMIF(Data!$G:$G,Neutral!$A53,Data!$DA:$DA)+'Rate History'!$C$11*SUMIF(Data!$G:$G,Neutral!$A53,Data!$DB:$DB)+'Rate History'!$C$12*SUMIF(Data!$G:$G,Neutral!$A53,Data!$DC:$DC)+'Rate History'!$C$13*SUMIF(Data!$G:$G,Neutral!$A53,Data!$DD:$DD)+'Rate History'!$C$14*SUMIF(Data!$G:$G,Neutral!$A53,Data!$DE:$DE)+'Rate History'!$C$15*SUMIF(Data!$G:$G,Neutral!$A53,Data!$DF:$DF)+'Rate History'!$C$16*SUMIF(Data!$G:$G,Neutral!$A53,Data!$DG:$DG)+'Rate History'!$C$17*SUMIF(Data!$G:$G,Neutral!$A53,Data!$DH:$DH)+'Rate History'!$C$18*SUMIF(Data!$G:$G,Neutral!$A53,Data!$DI:$DI)+'Rate History'!$C$19*SUMIF(Data!$G:$G,Neutral!$A53,Data!$DJ:$DJ)+'Rate History'!$C$20*SUMIF(Data!$G:$G,Neutral!$A53,Data!$DK:$DK)+'Rate History'!$C$21*SUMIF(Data!$G:$G,Neutral!$A53,Data!$DL:$DL)+'Rate History'!$C$22*SUMIF(Data!$G:$G,Neutral!$A53,Data!$DM:$DM)+'Rate History'!$C$23*SUMIF(Data!$G:$G,Neutral!$A53,Data!$DN:$DN)+'Rate History'!$C$24*SUMIF(Data!$G:$G,Neutral!$A53,Data!$DO:$DO)+'Rate History'!$C$25*SUMIF(Data!$G:$G,Neutral!$A53,Data!$DP:$DP)+'Rate History'!$C$26*SUMIF(Data!$G:$G,Neutral!$A53,Data!$DQ:$DQ)+'Rate History'!$C$27*SUMIF(Data!$G:$G,Neutral!$A53,Data!$DR:$DR)+'Rate History'!$C$28*SUMIF(Data!$G:$G,Neutral!$A53,Data!$DS:$DS)+'Rate History'!$C$29*SUMIF(Data!$G:$G,Neutral!$A53,Data!$DT:$DT)+'Rate History'!$C$30*SUMIF(Data!$G:$G,Neutral!$A53,Data!$DV:$DV)+'Rate History'!$C$31*SUMIF(Data!$G:$G,Neutral!$A53,Data!$DW:$DW))</f>
        <v>7697208.4894608799</v>
      </c>
      <c r="D53" s="103">
        <f t="shared" si="1"/>
        <v>9546.8109683673829</v>
      </c>
      <c r="E53" s="105">
        <f t="shared" si="2"/>
        <v>1.2418354719063852E-3</v>
      </c>
    </row>
    <row r="54" spans="1:5" x14ac:dyDescent="0.25">
      <c r="A54" s="98" t="s">
        <v>422</v>
      </c>
      <c r="B54" s="118">
        <f>$B$5*('Rate History'!$D$4*SUMIF(Data!$G:$G,Neutral!$A54,Data!$CU:$CU)+'Rate History'!$D$5*SUMIF(Data!$G:$G,Neutral!$A54,Data!$CV:$CV)+'Rate History'!$D$6*SUMIF(Data!$G:$G,Neutral!$A54,Data!$CW:$CW)+'Rate History'!$D$7*SUMIF(Data!$G:$G,Neutral!$A54,Data!$CX:$CX)+'Rate History'!$D$8*SUMIF(Data!$G:$G,Neutral!$A54,Data!$CY:$CY)+'Rate History'!$D$9*SUMIF(Data!$G:$G,Neutral!$A54,Data!$CZ:$CZ)+'Rate History'!$D$10*SUMIF(Data!$G:$G,Neutral!$A54,Data!$DA:$DA)+'Rate History'!$D$11*SUMIF(Data!$G:$G,Neutral!$A54,Data!$DB:$DB)+'Rate History'!$D$12*SUMIF(Data!$G:$G,Neutral!$A54,Data!$DC:$DC)+'Rate History'!$D$13*SUMIF(Data!$G:$G,Neutral!$A54,Data!$DD:$DD)+'Rate History'!$D$14*SUMIF(Data!$G:$G,Neutral!$A54,Data!$DE:$DE)+'Rate History'!$D$15*SUMIF(Data!$G:$G,Neutral!$A54,Data!$DF:$DF)+'Rate History'!$D$16*SUMIF(Data!$G:$G,Neutral!$A54,Data!$DG:$DG)+'Rate History'!$D$17*SUMIF(Data!$G:$G,Neutral!$A54,Data!$DH:$DH)+'Rate History'!$D$18*SUMIF(Data!$G:$G,Neutral!$A54,Data!$DI:$DI)+'Rate History'!$D$19*SUMIF(Data!$G:$G,Neutral!$A54,Data!$DJ:$DJ)+'Rate History'!$D$20*SUMIF(Data!$G:$G,Neutral!$A54,Data!$DK:$DK)+'Rate History'!$D$21*SUMIF(Data!$G:$G,Neutral!$A54,Data!$DL:$DL)+'Rate History'!$D$22*SUMIF(Data!$G:$G,Neutral!$A54,Data!$DM:$DM)+'Rate History'!$D$23*SUMIF(Data!$G:$G,Neutral!$A54,Data!$DN:$DN)+'Rate History'!$D$24*SUMIF(Data!$G:$G,Neutral!$A54,Data!$DO:$DO)+'Rate History'!$D$25*SUMIF(Data!$G:$G,Neutral!$A54,Data!$DP:$DP)+'Rate History'!$D$26*SUMIF(Data!$G:$G,Neutral!$A54,Data!$DQ:$DQ)+'Rate History'!$D$27*SUMIF(Data!$G:$G,Neutral!$A54,Data!$DR:$DR)+'Rate History'!$D$28*SUMIF(Data!$G:$G,Neutral!$A54,Data!$DS:$DS)+'Rate History'!$D$29*SUMIF(Data!$G:$G,Neutral!$A54,Data!$DT:$DT)+'Rate History'!$D$30*SUMIF(Data!$G:$G,Neutral!$A54,Data!$DV:$DV)+'Rate History'!$D$31*SUMIF(Data!$G:$G,Neutral!$A54,Data!$DW:$DW))</f>
        <v>3450866.7165799662</v>
      </c>
      <c r="C54" s="118">
        <f>$C$5*('Rate History'!$C$4*SUMIF(Data!$G:$G,Neutral!$A54,Data!$CU:$CU)+'Rate History'!$C$5*SUMIF(Data!$G:$G,Neutral!$A54,Data!$CV:$CV)+'Rate History'!$C$6*SUMIF(Data!$G:$G,Neutral!$A54,Data!$CW:$CW)+'Rate History'!$C$7*SUMIF(Data!$G:$G,Neutral!$A54,Data!$CX:$CX)+'Rate History'!$C$8*SUMIF(Data!$G:$G,Neutral!$A54,Data!$CY:$CY)+'Rate History'!$C$9*SUMIF(Data!$G:$G,Neutral!$A54,Data!$CZ:$CZ)+'Rate History'!$C$10*SUMIF(Data!$G:$G,Neutral!$A54,Data!$DA:$DA)+'Rate History'!$C$11*SUMIF(Data!$G:$G,Neutral!$A54,Data!$DB:$DB)+'Rate History'!$C$12*SUMIF(Data!$G:$G,Neutral!$A54,Data!$DC:$DC)+'Rate History'!$C$13*SUMIF(Data!$G:$G,Neutral!$A54,Data!$DD:$DD)+'Rate History'!$C$14*SUMIF(Data!$G:$G,Neutral!$A54,Data!$DE:$DE)+'Rate History'!$C$15*SUMIF(Data!$G:$G,Neutral!$A54,Data!$DF:$DF)+'Rate History'!$C$16*SUMIF(Data!$G:$G,Neutral!$A54,Data!$DG:$DG)+'Rate History'!$C$17*SUMIF(Data!$G:$G,Neutral!$A54,Data!$DH:$DH)+'Rate History'!$C$18*SUMIF(Data!$G:$G,Neutral!$A54,Data!$DI:$DI)+'Rate History'!$C$19*SUMIF(Data!$G:$G,Neutral!$A54,Data!$DJ:$DJ)+'Rate History'!$C$20*SUMIF(Data!$G:$G,Neutral!$A54,Data!$DK:$DK)+'Rate History'!$C$21*SUMIF(Data!$G:$G,Neutral!$A54,Data!$DL:$DL)+'Rate History'!$C$22*SUMIF(Data!$G:$G,Neutral!$A54,Data!$DM:$DM)+'Rate History'!$C$23*SUMIF(Data!$G:$G,Neutral!$A54,Data!$DN:$DN)+'Rate History'!$C$24*SUMIF(Data!$G:$G,Neutral!$A54,Data!$DO:$DO)+'Rate History'!$C$25*SUMIF(Data!$G:$G,Neutral!$A54,Data!$DP:$DP)+'Rate History'!$C$26*SUMIF(Data!$G:$G,Neutral!$A54,Data!$DQ:$DQ)+'Rate History'!$C$27*SUMIF(Data!$G:$G,Neutral!$A54,Data!$DR:$DR)+'Rate History'!$C$28*SUMIF(Data!$G:$G,Neutral!$A54,Data!$DS:$DS)+'Rate History'!$C$29*SUMIF(Data!$G:$G,Neutral!$A54,Data!$DT:$DT)+'Rate History'!$C$30*SUMIF(Data!$G:$G,Neutral!$A54,Data!$DV:$DV)+'Rate History'!$C$31*SUMIF(Data!$G:$G,Neutral!$A54,Data!$DW:$DW))</f>
        <v>3450358.6786381123</v>
      </c>
      <c r="D54" s="103">
        <f t="shared" si="1"/>
        <v>-508.03794185398147</v>
      </c>
      <c r="E54" s="105">
        <f t="shared" si="2"/>
        <v>-1.4722038942074244E-4</v>
      </c>
    </row>
    <row r="55" spans="1:5" x14ac:dyDescent="0.25">
      <c r="A55" s="98" t="s">
        <v>411</v>
      </c>
      <c r="B55" s="118">
        <f>$B$5*('Rate History'!$D$4*SUMIF(Data!$G:$G,Neutral!$A55,Data!$CU:$CU)+'Rate History'!$D$5*SUMIF(Data!$G:$G,Neutral!$A55,Data!$CV:$CV)+'Rate History'!$D$6*SUMIF(Data!$G:$G,Neutral!$A55,Data!$CW:$CW)+'Rate History'!$D$7*SUMIF(Data!$G:$G,Neutral!$A55,Data!$CX:$CX)+'Rate History'!$D$8*SUMIF(Data!$G:$G,Neutral!$A55,Data!$CY:$CY)+'Rate History'!$D$9*SUMIF(Data!$G:$G,Neutral!$A55,Data!$CZ:$CZ)+'Rate History'!$D$10*SUMIF(Data!$G:$G,Neutral!$A55,Data!$DA:$DA)+'Rate History'!$D$11*SUMIF(Data!$G:$G,Neutral!$A55,Data!$DB:$DB)+'Rate History'!$D$12*SUMIF(Data!$G:$G,Neutral!$A55,Data!$DC:$DC)+'Rate History'!$D$13*SUMIF(Data!$G:$G,Neutral!$A55,Data!$DD:$DD)+'Rate History'!$D$14*SUMIF(Data!$G:$G,Neutral!$A55,Data!$DE:$DE)+'Rate History'!$D$15*SUMIF(Data!$G:$G,Neutral!$A55,Data!$DF:$DF)+'Rate History'!$D$16*SUMIF(Data!$G:$G,Neutral!$A55,Data!$DG:$DG)+'Rate History'!$D$17*SUMIF(Data!$G:$G,Neutral!$A55,Data!$DH:$DH)+'Rate History'!$D$18*SUMIF(Data!$G:$G,Neutral!$A55,Data!$DI:$DI)+'Rate History'!$D$19*SUMIF(Data!$G:$G,Neutral!$A55,Data!$DJ:$DJ)+'Rate History'!$D$20*SUMIF(Data!$G:$G,Neutral!$A55,Data!$DK:$DK)+'Rate History'!$D$21*SUMIF(Data!$G:$G,Neutral!$A55,Data!$DL:$DL)+'Rate History'!$D$22*SUMIF(Data!$G:$G,Neutral!$A55,Data!$DM:$DM)+'Rate History'!$D$23*SUMIF(Data!$G:$G,Neutral!$A55,Data!$DN:$DN)+'Rate History'!$D$24*SUMIF(Data!$G:$G,Neutral!$A55,Data!$DO:$DO)+'Rate History'!$D$25*SUMIF(Data!$G:$G,Neutral!$A55,Data!$DP:$DP)+'Rate History'!$D$26*SUMIF(Data!$G:$G,Neutral!$A55,Data!$DQ:$DQ)+'Rate History'!$D$27*SUMIF(Data!$G:$G,Neutral!$A55,Data!$DR:$DR)+'Rate History'!$D$28*SUMIF(Data!$G:$G,Neutral!$A55,Data!$DS:$DS)+'Rate History'!$D$29*SUMIF(Data!$G:$G,Neutral!$A55,Data!$DT:$DT)+'Rate History'!$D$30*SUMIF(Data!$G:$G,Neutral!$A55,Data!$DV:$DV)+'Rate History'!$D$31*SUMIF(Data!$G:$G,Neutral!$A55,Data!$DW:$DW))</f>
        <v>8522896.1549574845</v>
      </c>
      <c r="C55" s="118">
        <f>$C$5*('Rate History'!$C$4*SUMIF(Data!$G:$G,Neutral!$A55,Data!$CU:$CU)+'Rate History'!$C$5*SUMIF(Data!$G:$G,Neutral!$A55,Data!$CV:$CV)+'Rate History'!$C$6*SUMIF(Data!$G:$G,Neutral!$A55,Data!$CW:$CW)+'Rate History'!$C$7*SUMIF(Data!$G:$G,Neutral!$A55,Data!$CX:$CX)+'Rate History'!$C$8*SUMIF(Data!$G:$G,Neutral!$A55,Data!$CY:$CY)+'Rate History'!$C$9*SUMIF(Data!$G:$G,Neutral!$A55,Data!$CZ:$CZ)+'Rate History'!$C$10*SUMIF(Data!$G:$G,Neutral!$A55,Data!$DA:$DA)+'Rate History'!$C$11*SUMIF(Data!$G:$G,Neutral!$A55,Data!$DB:$DB)+'Rate History'!$C$12*SUMIF(Data!$G:$G,Neutral!$A55,Data!$DC:$DC)+'Rate History'!$C$13*SUMIF(Data!$G:$G,Neutral!$A55,Data!$DD:$DD)+'Rate History'!$C$14*SUMIF(Data!$G:$G,Neutral!$A55,Data!$DE:$DE)+'Rate History'!$C$15*SUMIF(Data!$G:$G,Neutral!$A55,Data!$DF:$DF)+'Rate History'!$C$16*SUMIF(Data!$G:$G,Neutral!$A55,Data!$DG:$DG)+'Rate History'!$C$17*SUMIF(Data!$G:$G,Neutral!$A55,Data!$DH:$DH)+'Rate History'!$C$18*SUMIF(Data!$G:$G,Neutral!$A55,Data!$DI:$DI)+'Rate History'!$C$19*SUMIF(Data!$G:$G,Neutral!$A55,Data!$DJ:$DJ)+'Rate History'!$C$20*SUMIF(Data!$G:$G,Neutral!$A55,Data!$DK:$DK)+'Rate History'!$C$21*SUMIF(Data!$G:$G,Neutral!$A55,Data!$DL:$DL)+'Rate History'!$C$22*SUMIF(Data!$G:$G,Neutral!$A55,Data!$DM:$DM)+'Rate History'!$C$23*SUMIF(Data!$G:$G,Neutral!$A55,Data!$DN:$DN)+'Rate History'!$C$24*SUMIF(Data!$G:$G,Neutral!$A55,Data!$DO:$DO)+'Rate History'!$C$25*SUMIF(Data!$G:$G,Neutral!$A55,Data!$DP:$DP)+'Rate History'!$C$26*SUMIF(Data!$G:$G,Neutral!$A55,Data!$DQ:$DQ)+'Rate History'!$C$27*SUMIF(Data!$G:$G,Neutral!$A55,Data!$DR:$DR)+'Rate History'!$C$28*SUMIF(Data!$G:$G,Neutral!$A55,Data!$DS:$DS)+'Rate History'!$C$29*SUMIF(Data!$G:$G,Neutral!$A55,Data!$DT:$DT)+'Rate History'!$C$30*SUMIF(Data!$G:$G,Neutral!$A55,Data!$DV:$DV)+'Rate History'!$C$31*SUMIF(Data!$G:$G,Neutral!$A55,Data!$DW:$DW))</f>
        <v>8537215.1692302097</v>
      </c>
      <c r="D55" s="103">
        <f t="shared" si="1"/>
        <v>14319.01427272521</v>
      </c>
      <c r="E55" s="105">
        <f t="shared" si="2"/>
        <v>1.6800643833254165E-3</v>
      </c>
    </row>
    <row r="56" spans="1:5" ht="29.25" x14ac:dyDescent="0.25">
      <c r="A56" s="96" t="s">
        <v>1251</v>
      </c>
      <c r="B56" s="118">
        <f>$B$5*('Rate History'!$D$4*SUMIF(Data!$G:$G,Neutral!$A56,Data!$CU:$CU)+'Rate History'!$D$5*SUMIF(Data!$G:$G,Neutral!$A56,Data!$CV:$CV)+'Rate History'!$D$6*SUMIF(Data!$G:$G,Neutral!$A56,Data!$CW:$CW)+'Rate History'!$D$7*SUMIF(Data!$G:$G,Neutral!$A56,Data!$CX:$CX)+'Rate History'!$D$8*SUMIF(Data!$G:$G,Neutral!$A56,Data!$CY:$CY)+'Rate History'!$D$9*SUMIF(Data!$G:$G,Neutral!$A56,Data!$CZ:$CZ)+'Rate History'!$D$10*SUMIF(Data!$G:$G,Neutral!$A56,Data!$DA:$DA)+'Rate History'!$D$11*SUMIF(Data!$G:$G,Neutral!$A56,Data!$DB:$DB)+'Rate History'!$D$12*SUMIF(Data!$G:$G,Neutral!$A56,Data!$DC:$DC)+'Rate History'!$D$13*SUMIF(Data!$G:$G,Neutral!$A56,Data!$DD:$DD)+'Rate History'!$D$14*SUMIF(Data!$G:$G,Neutral!$A56,Data!$DE:$DE)+'Rate History'!$D$15*SUMIF(Data!$G:$G,Neutral!$A56,Data!$DF:$DF)+'Rate History'!$D$16*SUMIF(Data!$G:$G,Neutral!$A56,Data!$DG:$DG)+'Rate History'!$D$17*SUMIF(Data!$G:$G,Neutral!$A56,Data!$DH:$DH)+'Rate History'!$D$18*SUMIF(Data!$G:$G,Neutral!$A56,Data!$DI:$DI)+'Rate History'!$D$19*SUMIF(Data!$G:$G,Neutral!$A56,Data!$DJ:$DJ)+'Rate History'!$D$20*SUMIF(Data!$G:$G,Neutral!$A56,Data!$DK:$DK)+'Rate History'!$D$21*SUMIF(Data!$G:$G,Neutral!$A56,Data!$DL:$DL)+'Rate History'!$D$22*SUMIF(Data!$G:$G,Neutral!$A56,Data!$DM:$DM)+'Rate History'!$D$23*SUMIF(Data!$G:$G,Neutral!$A56,Data!$DN:$DN)+'Rate History'!$D$24*SUMIF(Data!$G:$G,Neutral!$A56,Data!$DO:$DO)+'Rate History'!$D$25*SUMIF(Data!$G:$G,Neutral!$A56,Data!$DP:$DP)+'Rate History'!$D$26*SUMIF(Data!$G:$G,Neutral!$A56,Data!$DQ:$DQ)+'Rate History'!$D$27*SUMIF(Data!$G:$G,Neutral!$A56,Data!$DR:$DR)+'Rate History'!$D$28*SUMIF(Data!$G:$G,Neutral!$A56,Data!$DS:$DS)+'Rate History'!$D$29*SUMIF(Data!$G:$G,Neutral!$A56,Data!$DT:$DT)+'Rate History'!$D$30*SUMIF(Data!$G:$G,Neutral!$A56,Data!$DV:$DV)+'Rate History'!$D$31*SUMIF(Data!$G:$G,Neutral!$A56,Data!$DW:$DW))</f>
        <v>8803148.7056751717</v>
      </c>
      <c r="C56" s="118">
        <f>$C$5*('Rate History'!$C$4*SUMIF(Data!$G:$G,Neutral!$A56,Data!$CU:$CU)+'Rate History'!$C$5*SUMIF(Data!$G:$G,Neutral!$A56,Data!$CV:$CV)+'Rate History'!$C$6*SUMIF(Data!$G:$G,Neutral!$A56,Data!$CW:$CW)+'Rate History'!$C$7*SUMIF(Data!$G:$G,Neutral!$A56,Data!$CX:$CX)+'Rate History'!$C$8*SUMIF(Data!$G:$G,Neutral!$A56,Data!$CY:$CY)+'Rate History'!$C$9*SUMIF(Data!$G:$G,Neutral!$A56,Data!$CZ:$CZ)+'Rate History'!$C$10*SUMIF(Data!$G:$G,Neutral!$A56,Data!$DA:$DA)+'Rate History'!$C$11*SUMIF(Data!$G:$G,Neutral!$A56,Data!$DB:$DB)+'Rate History'!$C$12*SUMIF(Data!$G:$G,Neutral!$A56,Data!$DC:$DC)+'Rate History'!$C$13*SUMIF(Data!$G:$G,Neutral!$A56,Data!$DD:$DD)+'Rate History'!$C$14*SUMIF(Data!$G:$G,Neutral!$A56,Data!$DE:$DE)+'Rate History'!$C$15*SUMIF(Data!$G:$G,Neutral!$A56,Data!$DF:$DF)+'Rate History'!$C$16*SUMIF(Data!$G:$G,Neutral!$A56,Data!$DG:$DG)+'Rate History'!$C$17*SUMIF(Data!$G:$G,Neutral!$A56,Data!$DH:$DH)+'Rate History'!$C$18*SUMIF(Data!$G:$G,Neutral!$A56,Data!$DI:$DI)+'Rate History'!$C$19*SUMIF(Data!$G:$G,Neutral!$A56,Data!$DJ:$DJ)+'Rate History'!$C$20*SUMIF(Data!$G:$G,Neutral!$A56,Data!$DK:$DK)+'Rate History'!$C$21*SUMIF(Data!$G:$G,Neutral!$A56,Data!$DL:$DL)+'Rate History'!$C$22*SUMIF(Data!$G:$G,Neutral!$A56,Data!$DM:$DM)+'Rate History'!$C$23*SUMIF(Data!$G:$G,Neutral!$A56,Data!$DN:$DN)+'Rate History'!$C$24*SUMIF(Data!$G:$G,Neutral!$A56,Data!$DO:$DO)+'Rate History'!$C$25*SUMIF(Data!$G:$G,Neutral!$A56,Data!$DP:$DP)+'Rate History'!$C$26*SUMIF(Data!$G:$G,Neutral!$A56,Data!$DQ:$DQ)+'Rate History'!$C$27*SUMIF(Data!$G:$G,Neutral!$A56,Data!$DR:$DR)+'Rate History'!$C$28*SUMIF(Data!$G:$G,Neutral!$A56,Data!$DS:$DS)+'Rate History'!$C$29*SUMIF(Data!$G:$G,Neutral!$A56,Data!$DT:$DT)+'Rate History'!$C$30*SUMIF(Data!$G:$G,Neutral!$A56,Data!$DV:$DV)+'Rate History'!$C$31*SUMIF(Data!$G:$G,Neutral!$A56,Data!$DW:$DW))</f>
        <v>8803516.0298872851</v>
      </c>
      <c r="D56" s="103">
        <f t="shared" si="1"/>
        <v>367.32421211339533</v>
      </c>
      <c r="E56" s="105">
        <f t="shared" si="2"/>
        <v>4.1726457702184503E-5</v>
      </c>
    </row>
    <row r="57" spans="1:5" ht="29.25" x14ac:dyDescent="0.25">
      <c r="A57" s="96" t="s">
        <v>1265</v>
      </c>
      <c r="B57" s="118">
        <f>$B$5*('Rate History'!$D$4*SUMIF(Data!$G:$G,Neutral!$A57,Data!$CU:$CU)+'Rate History'!$D$5*SUMIF(Data!$G:$G,Neutral!$A57,Data!$CV:$CV)+'Rate History'!$D$6*SUMIF(Data!$G:$G,Neutral!$A57,Data!$CW:$CW)+'Rate History'!$D$7*SUMIF(Data!$G:$G,Neutral!$A57,Data!$CX:$CX)+'Rate History'!$D$8*SUMIF(Data!$G:$G,Neutral!$A57,Data!$CY:$CY)+'Rate History'!$D$9*SUMIF(Data!$G:$G,Neutral!$A57,Data!$CZ:$CZ)+'Rate History'!$D$10*SUMIF(Data!$G:$G,Neutral!$A57,Data!$DA:$DA)+'Rate History'!$D$11*SUMIF(Data!$G:$G,Neutral!$A57,Data!$DB:$DB)+'Rate History'!$D$12*SUMIF(Data!$G:$G,Neutral!$A57,Data!$DC:$DC)+'Rate History'!$D$13*SUMIF(Data!$G:$G,Neutral!$A57,Data!$DD:$DD)+'Rate History'!$D$14*SUMIF(Data!$G:$G,Neutral!$A57,Data!$DE:$DE)+'Rate History'!$D$15*SUMIF(Data!$G:$G,Neutral!$A57,Data!$DF:$DF)+'Rate History'!$D$16*SUMIF(Data!$G:$G,Neutral!$A57,Data!$DG:$DG)+'Rate History'!$D$17*SUMIF(Data!$G:$G,Neutral!$A57,Data!$DH:$DH)+'Rate History'!$D$18*SUMIF(Data!$G:$G,Neutral!$A57,Data!$DI:$DI)+'Rate History'!$D$19*SUMIF(Data!$G:$G,Neutral!$A57,Data!$DJ:$DJ)+'Rate History'!$D$20*SUMIF(Data!$G:$G,Neutral!$A57,Data!$DK:$DK)+'Rate History'!$D$21*SUMIF(Data!$G:$G,Neutral!$A57,Data!$DL:$DL)+'Rate History'!$D$22*SUMIF(Data!$G:$G,Neutral!$A57,Data!$DM:$DM)+'Rate History'!$D$23*SUMIF(Data!$G:$G,Neutral!$A57,Data!$DN:$DN)+'Rate History'!$D$24*SUMIF(Data!$G:$G,Neutral!$A57,Data!$DO:$DO)+'Rate History'!$D$25*SUMIF(Data!$G:$G,Neutral!$A57,Data!$DP:$DP)+'Rate History'!$D$26*SUMIF(Data!$G:$G,Neutral!$A57,Data!$DQ:$DQ)+'Rate History'!$D$27*SUMIF(Data!$G:$G,Neutral!$A57,Data!$DR:$DR)+'Rate History'!$D$28*SUMIF(Data!$G:$G,Neutral!$A57,Data!$DS:$DS)+'Rate History'!$D$29*SUMIF(Data!$G:$G,Neutral!$A57,Data!$DT:$DT)+'Rate History'!$D$30*SUMIF(Data!$G:$G,Neutral!$A57,Data!$DV:$DV)+'Rate History'!$D$31*SUMIF(Data!$G:$G,Neutral!$A57,Data!$DW:$DW))</f>
        <v>2286183.499165087</v>
      </c>
      <c r="C57" s="118">
        <f>$C$5*('Rate History'!$C$4*SUMIF(Data!$G:$G,Neutral!$A57,Data!$CU:$CU)+'Rate History'!$C$5*SUMIF(Data!$G:$G,Neutral!$A57,Data!$CV:$CV)+'Rate History'!$C$6*SUMIF(Data!$G:$G,Neutral!$A57,Data!$CW:$CW)+'Rate History'!$C$7*SUMIF(Data!$G:$G,Neutral!$A57,Data!$CX:$CX)+'Rate History'!$C$8*SUMIF(Data!$G:$G,Neutral!$A57,Data!$CY:$CY)+'Rate History'!$C$9*SUMIF(Data!$G:$G,Neutral!$A57,Data!$CZ:$CZ)+'Rate History'!$C$10*SUMIF(Data!$G:$G,Neutral!$A57,Data!$DA:$DA)+'Rate History'!$C$11*SUMIF(Data!$G:$G,Neutral!$A57,Data!$DB:$DB)+'Rate History'!$C$12*SUMIF(Data!$G:$G,Neutral!$A57,Data!$DC:$DC)+'Rate History'!$C$13*SUMIF(Data!$G:$G,Neutral!$A57,Data!$DD:$DD)+'Rate History'!$C$14*SUMIF(Data!$G:$G,Neutral!$A57,Data!$DE:$DE)+'Rate History'!$C$15*SUMIF(Data!$G:$G,Neutral!$A57,Data!$DF:$DF)+'Rate History'!$C$16*SUMIF(Data!$G:$G,Neutral!$A57,Data!$DG:$DG)+'Rate History'!$C$17*SUMIF(Data!$G:$G,Neutral!$A57,Data!$DH:$DH)+'Rate History'!$C$18*SUMIF(Data!$G:$G,Neutral!$A57,Data!$DI:$DI)+'Rate History'!$C$19*SUMIF(Data!$G:$G,Neutral!$A57,Data!$DJ:$DJ)+'Rate History'!$C$20*SUMIF(Data!$G:$G,Neutral!$A57,Data!$DK:$DK)+'Rate History'!$C$21*SUMIF(Data!$G:$G,Neutral!$A57,Data!$DL:$DL)+'Rate History'!$C$22*SUMIF(Data!$G:$G,Neutral!$A57,Data!$DM:$DM)+'Rate History'!$C$23*SUMIF(Data!$G:$G,Neutral!$A57,Data!$DN:$DN)+'Rate History'!$C$24*SUMIF(Data!$G:$G,Neutral!$A57,Data!$DO:$DO)+'Rate History'!$C$25*SUMIF(Data!$G:$G,Neutral!$A57,Data!$DP:$DP)+'Rate History'!$C$26*SUMIF(Data!$G:$G,Neutral!$A57,Data!$DQ:$DQ)+'Rate History'!$C$27*SUMIF(Data!$G:$G,Neutral!$A57,Data!$DR:$DR)+'Rate History'!$C$28*SUMIF(Data!$G:$G,Neutral!$A57,Data!$DS:$DS)+'Rate History'!$C$29*SUMIF(Data!$G:$G,Neutral!$A57,Data!$DT:$DT)+'Rate History'!$C$30*SUMIF(Data!$G:$G,Neutral!$A57,Data!$DV:$DV)+'Rate History'!$C$31*SUMIF(Data!$G:$G,Neutral!$A57,Data!$DW:$DW))</f>
        <v>2295104.6987508982</v>
      </c>
      <c r="D57" s="103">
        <f t="shared" si="1"/>
        <v>8921.199585811235</v>
      </c>
      <c r="E57" s="105">
        <f t="shared" si="2"/>
        <v>3.9022237668451601E-3</v>
      </c>
    </row>
    <row r="58" spans="1:5" ht="29.25" x14ac:dyDescent="0.25">
      <c r="A58" s="96" t="s">
        <v>1328</v>
      </c>
      <c r="B58" s="118">
        <f>$B$5*('Rate History'!$D$4*SUMIF(Data!$G:$G,Neutral!$A58,Data!$CU:$CU)+'Rate History'!$D$5*SUMIF(Data!$G:$G,Neutral!$A58,Data!$CV:$CV)+'Rate History'!$D$6*SUMIF(Data!$G:$G,Neutral!$A58,Data!$CW:$CW)+'Rate History'!$D$7*SUMIF(Data!$G:$G,Neutral!$A58,Data!$CX:$CX)+'Rate History'!$D$8*SUMIF(Data!$G:$G,Neutral!$A58,Data!$CY:$CY)+'Rate History'!$D$9*SUMIF(Data!$G:$G,Neutral!$A58,Data!$CZ:$CZ)+'Rate History'!$D$10*SUMIF(Data!$G:$G,Neutral!$A58,Data!$DA:$DA)+'Rate History'!$D$11*SUMIF(Data!$G:$G,Neutral!$A58,Data!$DB:$DB)+'Rate History'!$D$12*SUMIF(Data!$G:$G,Neutral!$A58,Data!$DC:$DC)+'Rate History'!$D$13*SUMIF(Data!$G:$G,Neutral!$A58,Data!$DD:$DD)+'Rate History'!$D$14*SUMIF(Data!$G:$G,Neutral!$A58,Data!$DE:$DE)+'Rate History'!$D$15*SUMIF(Data!$G:$G,Neutral!$A58,Data!$DF:$DF)+'Rate History'!$D$16*SUMIF(Data!$G:$G,Neutral!$A58,Data!$DG:$DG)+'Rate History'!$D$17*SUMIF(Data!$G:$G,Neutral!$A58,Data!$DH:$DH)+'Rate History'!$D$18*SUMIF(Data!$G:$G,Neutral!$A58,Data!$DI:$DI)+'Rate History'!$D$19*SUMIF(Data!$G:$G,Neutral!$A58,Data!$DJ:$DJ)+'Rate History'!$D$20*SUMIF(Data!$G:$G,Neutral!$A58,Data!$DK:$DK)+'Rate History'!$D$21*SUMIF(Data!$G:$G,Neutral!$A58,Data!$DL:$DL)+'Rate History'!$D$22*SUMIF(Data!$G:$G,Neutral!$A58,Data!$DM:$DM)+'Rate History'!$D$23*SUMIF(Data!$G:$G,Neutral!$A58,Data!$DN:$DN)+'Rate History'!$D$24*SUMIF(Data!$G:$G,Neutral!$A58,Data!$DO:$DO)+'Rate History'!$D$25*SUMIF(Data!$G:$G,Neutral!$A58,Data!$DP:$DP)+'Rate History'!$D$26*SUMIF(Data!$G:$G,Neutral!$A58,Data!$DQ:$DQ)+'Rate History'!$D$27*SUMIF(Data!$G:$G,Neutral!$A58,Data!$DR:$DR)+'Rate History'!$D$28*SUMIF(Data!$G:$G,Neutral!$A58,Data!$DS:$DS)+'Rate History'!$D$29*SUMIF(Data!$G:$G,Neutral!$A58,Data!$DT:$DT)+'Rate History'!$D$30*SUMIF(Data!$G:$G,Neutral!$A58,Data!$DV:$DV)+'Rate History'!$D$31*SUMIF(Data!$G:$G,Neutral!$A58,Data!$DW:$DW))</f>
        <v>1552785.8869560091</v>
      </c>
      <c r="C58" s="118">
        <f>$C$5*('Rate History'!$C$4*SUMIF(Data!$G:$G,Neutral!$A58,Data!$CU:$CU)+'Rate History'!$C$5*SUMIF(Data!$G:$G,Neutral!$A58,Data!$CV:$CV)+'Rate History'!$C$6*SUMIF(Data!$G:$G,Neutral!$A58,Data!$CW:$CW)+'Rate History'!$C$7*SUMIF(Data!$G:$G,Neutral!$A58,Data!$CX:$CX)+'Rate History'!$C$8*SUMIF(Data!$G:$G,Neutral!$A58,Data!$CY:$CY)+'Rate History'!$C$9*SUMIF(Data!$G:$G,Neutral!$A58,Data!$CZ:$CZ)+'Rate History'!$C$10*SUMIF(Data!$G:$G,Neutral!$A58,Data!$DA:$DA)+'Rate History'!$C$11*SUMIF(Data!$G:$G,Neutral!$A58,Data!$DB:$DB)+'Rate History'!$C$12*SUMIF(Data!$G:$G,Neutral!$A58,Data!$DC:$DC)+'Rate History'!$C$13*SUMIF(Data!$G:$G,Neutral!$A58,Data!$DD:$DD)+'Rate History'!$C$14*SUMIF(Data!$G:$G,Neutral!$A58,Data!$DE:$DE)+'Rate History'!$C$15*SUMIF(Data!$G:$G,Neutral!$A58,Data!$DF:$DF)+'Rate History'!$C$16*SUMIF(Data!$G:$G,Neutral!$A58,Data!$DG:$DG)+'Rate History'!$C$17*SUMIF(Data!$G:$G,Neutral!$A58,Data!$DH:$DH)+'Rate History'!$C$18*SUMIF(Data!$G:$G,Neutral!$A58,Data!$DI:$DI)+'Rate History'!$C$19*SUMIF(Data!$G:$G,Neutral!$A58,Data!$DJ:$DJ)+'Rate History'!$C$20*SUMIF(Data!$G:$G,Neutral!$A58,Data!$DK:$DK)+'Rate History'!$C$21*SUMIF(Data!$G:$G,Neutral!$A58,Data!$DL:$DL)+'Rate History'!$C$22*SUMIF(Data!$G:$G,Neutral!$A58,Data!$DM:$DM)+'Rate History'!$C$23*SUMIF(Data!$G:$G,Neutral!$A58,Data!$DN:$DN)+'Rate History'!$C$24*SUMIF(Data!$G:$G,Neutral!$A58,Data!$DO:$DO)+'Rate History'!$C$25*SUMIF(Data!$G:$G,Neutral!$A58,Data!$DP:$DP)+'Rate History'!$C$26*SUMIF(Data!$G:$G,Neutral!$A58,Data!$DQ:$DQ)+'Rate History'!$C$27*SUMIF(Data!$G:$G,Neutral!$A58,Data!$DR:$DR)+'Rate History'!$C$28*SUMIF(Data!$G:$G,Neutral!$A58,Data!$DS:$DS)+'Rate History'!$C$29*SUMIF(Data!$G:$G,Neutral!$A58,Data!$DT:$DT)+'Rate History'!$C$30*SUMIF(Data!$G:$G,Neutral!$A58,Data!$DV:$DV)+'Rate History'!$C$31*SUMIF(Data!$G:$G,Neutral!$A58,Data!$DW:$DW))</f>
        <v>1549587.6673805802</v>
      </c>
      <c r="D58" s="103">
        <f t="shared" si="1"/>
        <v>-3198.2195754288696</v>
      </c>
      <c r="E58" s="105">
        <f t="shared" si="2"/>
        <v>-2.0596655355352776E-3</v>
      </c>
    </row>
    <row r="59" spans="1:5" x14ac:dyDescent="0.25">
      <c r="A59" s="96" t="s">
        <v>1199</v>
      </c>
      <c r="B59" s="118">
        <f>$B$5*('Rate History'!$D$4*SUMIF(Data!$G:$G,Neutral!$A59,Data!$CU:$CU)+'Rate History'!$D$5*SUMIF(Data!$G:$G,Neutral!$A59,Data!$CV:$CV)+'Rate History'!$D$6*SUMIF(Data!$G:$G,Neutral!$A59,Data!$CW:$CW)+'Rate History'!$D$7*SUMIF(Data!$G:$G,Neutral!$A59,Data!$CX:$CX)+'Rate History'!$D$8*SUMIF(Data!$G:$G,Neutral!$A59,Data!$CY:$CY)+'Rate History'!$D$9*SUMIF(Data!$G:$G,Neutral!$A59,Data!$CZ:$CZ)+'Rate History'!$D$10*SUMIF(Data!$G:$G,Neutral!$A59,Data!$DA:$DA)+'Rate History'!$D$11*SUMIF(Data!$G:$G,Neutral!$A59,Data!$DB:$DB)+'Rate History'!$D$12*SUMIF(Data!$G:$G,Neutral!$A59,Data!$DC:$DC)+'Rate History'!$D$13*SUMIF(Data!$G:$G,Neutral!$A59,Data!$DD:$DD)+'Rate History'!$D$14*SUMIF(Data!$G:$G,Neutral!$A59,Data!$DE:$DE)+'Rate History'!$D$15*SUMIF(Data!$G:$G,Neutral!$A59,Data!$DF:$DF)+'Rate History'!$D$16*SUMIF(Data!$G:$G,Neutral!$A59,Data!$DG:$DG)+'Rate History'!$D$17*SUMIF(Data!$G:$G,Neutral!$A59,Data!$DH:$DH)+'Rate History'!$D$18*SUMIF(Data!$G:$G,Neutral!$A59,Data!$DI:$DI)+'Rate History'!$D$19*SUMIF(Data!$G:$G,Neutral!$A59,Data!$DJ:$DJ)+'Rate History'!$D$20*SUMIF(Data!$G:$G,Neutral!$A59,Data!$DK:$DK)+'Rate History'!$D$21*SUMIF(Data!$G:$G,Neutral!$A59,Data!$DL:$DL)+'Rate History'!$D$22*SUMIF(Data!$G:$G,Neutral!$A59,Data!$DM:$DM)+'Rate History'!$D$23*SUMIF(Data!$G:$G,Neutral!$A59,Data!$DN:$DN)+'Rate History'!$D$24*SUMIF(Data!$G:$G,Neutral!$A59,Data!$DO:$DO)+'Rate History'!$D$25*SUMIF(Data!$G:$G,Neutral!$A59,Data!$DP:$DP)+'Rate History'!$D$26*SUMIF(Data!$G:$G,Neutral!$A59,Data!$DQ:$DQ)+'Rate History'!$D$27*SUMIF(Data!$G:$G,Neutral!$A59,Data!$DR:$DR)+'Rate History'!$D$28*SUMIF(Data!$G:$G,Neutral!$A59,Data!$DS:$DS)+'Rate History'!$D$29*SUMIF(Data!$G:$G,Neutral!$A59,Data!$DT:$DT)+'Rate History'!$D$30*SUMIF(Data!$G:$G,Neutral!$A59,Data!$DV:$DV)+'Rate History'!$D$31*SUMIF(Data!$G:$G,Neutral!$A59,Data!$DW:$DW))</f>
        <v>13338355.085943017</v>
      </c>
      <c r="C59" s="118">
        <f>$C$5*('Rate History'!$C$4*SUMIF(Data!$G:$G,Neutral!$A59,Data!$CU:$CU)+'Rate History'!$C$5*SUMIF(Data!$G:$G,Neutral!$A59,Data!$CV:$CV)+'Rate History'!$C$6*SUMIF(Data!$G:$G,Neutral!$A59,Data!$CW:$CW)+'Rate History'!$C$7*SUMIF(Data!$G:$G,Neutral!$A59,Data!$CX:$CX)+'Rate History'!$C$8*SUMIF(Data!$G:$G,Neutral!$A59,Data!$CY:$CY)+'Rate History'!$C$9*SUMIF(Data!$G:$G,Neutral!$A59,Data!$CZ:$CZ)+'Rate History'!$C$10*SUMIF(Data!$G:$G,Neutral!$A59,Data!$DA:$DA)+'Rate History'!$C$11*SUMIF(Data!$G:$G,Neutral!$A59,Data!$DB:$DB)+'Rate History'!$C$12*SUMIF(Data!$G:$G,Neutral!$A59,Data!$DC:$DC)+'Rate History'!$C$13*SUMIF(Data!$G:$G,Neutral!$A59,Data!$DD:$DD)+'Rate History'!$C$14*SUMIF(Data!$G:$G,Neutral!$A59,Data!$DE:$DE)+'Rate History'!$C$15*SUMIF(Data!$G:$G,Neutral!$A59,Data!$DF:$DF)+'Rate History'!$C$16*SUMIF(Data!$G:$G,Neutral!$A59,Data!$DG:$DG)+'Rate History'!$C$17*SUMIF(Data!$G:$G,Neutral!$A59,Data!$DH:$DH)+'Rate History'!$C$18*SUMIF(Data!$G:$G,Neutral!$A59,Data!$DI:$DI)+'Rate History'!$C$19*SUMIF(Data!$G:$G,Neutral!$A59,Data!$DJ:$DJ)+'Rate History'!$C$20*SUMIF(Data!$G:$G,Neutral!$A59,Data!$DK:$DK)+'Rate History'!$C$21*SUMIF(Data!$G:$G,Neutral!$A59,Data!$DL:$DL)+'Rate History'!$C$22*SUMIF(Data!$G:$G,Neutral!$A59,Data!$DM:$DM)+'Rate History'!$C$23*SUMIF(Data!$G:$G,Neutral!$A59,Data!$DN:$DN)+'Rate History'!$C$24*SUMIF(Data!$G:$G,Neutral!$A59,Data!$DO:$DO)+'Rate History'!$C$25*SUMIF(Data!$G:$G,Neutral!$A59,Data!$DP:$DP)+'Rate History'!$C$26*SUMIF(Data!$G:$G,Neutral!$A59,Data!$DQ:$DQ)+'Rate History'!$C$27*SUMIF(Data!$G:$G,Neutral!$A59,Data!$DR:$DR)+'Rate History'!$C$28*SUMIF(Data!$G:$G,Neutral!$A59,Data!$DS:$DS)+'Rate History'!$C$29*SUMIF(Data!$G:$G,Neutral!$A59,Data!$DT:$DT)+'Rate History'!$C$30*SUMIF(Data!$G:$G,Neutral!$A59,Data!$DV:$DV)+'Rate History'!$C$31*SUMIF(Data!$G:$G,Neutral!$A59,Data!$DW:$DW))</f>
        <v>13129232.503917033</v>
      </c>
      <c r="D59" s="103">
        <f t="shared" si="1"/>
        <v>-209122.5820259843</v>
      </c>
      <c r="E59" s="105">
        <f t="shared" si="2"/>
        <v>-1.5678288715403426E-2</v>
      </c>
    </row>
    <row r="60" spans="1:5" x14ac:dyDescent="0.25">
      <c r="A60" s="96" t="s">
        <v>1333</v>
      </c>
      <c r="B60" s="118">
        <f>$B$5*('Rate History'!$D$4*SUMIF(Data!$G:$G,Neutral!$A60,Data!$CU:$CU)+'Rate History'!$D$5*SUMIF(Data!$G:$G,Neutral!$A60,Data!$CV:$CV)+'Rate History'!$D$6*SUMIF(Data!$G:$G,Neutral!$A60,Data!$CW:$CW)+'Rate History'!$D$7*SUMIF(Data!$G:$G,Neutral!$A60,Data!$CX:$CX)+'Rate History'!$D$8*SUMIF(Data!$G:$G,Neutral!$A60,Data!$CY:$CY)+'Rate History'!$D$9*SUMIF(Data!$G:$G,Neutral!$A60,Data!$CZ:$CZ)+'Rate History'!$D$10*SUMIF(Data!$G:$G,Neutral!$A60,Data!$DA:$DA)+'Rate History'!$D$11*SUMIF(Data!$G:$G,Neutral!$A60,Data!$DB:$DB)+'Rate History'!$D$12*SUMIF(Data!$G:$G,Neutral!$A60,Data!$DC:$DC)+'Rate History'!$D$13*SUMIF(Data!$G:$G,Neutral!$A60,Data!$DD:$DD)+'Rate History'!$D$14*SUMIF(Data!$G:$G,Neutral!$A60,Data!$DE:$DE)+'Rate History'!$D$15*SUMIF(Data!$G:$G,Neutral!$A60,Data!$DF:$DF)+'Rate History'!$D$16*SUMIF(Data!$G:$G,Neutral!$A60,Data!$DG:$DG)+'Rate History'!$D$17*SUMIF(Data!$G:$G,Neutral!$A60,Data!$DH:$DH)+'Rate History'!$D$18*SUMIF(Data!$G:$G,Neutral!$A60,Data!$DI:$DI)+'Rate History'!$D$19*SUMIF(Data!$G:$G,Neutral!$A60,Data!$DJ:$DJ)+'Rate History'!$D$20*SUMIF(Data!$G:$G,Neutral!$A60,Data!$DK:$DK)+'Rate History'!$D$21*SUMIF(Data!$G:$G,Neutral!$A60,Data!$DL:$DL)+'Rate History'!$D$22*SUMIF(Data!$G:$G,Neutral!$A60,Data!$DM:$DM)+'Rate History'!$D$23*SUMIF(Data!$G:$G,Neutral!$A60,Data!$DN:$DN)+'Rate History'!$D$24*SUMIF(Data!$G:$G,Neutral!$A60,Data!$DO:$DO)+'Rate History'!$D$25*SUMIF(Data!$G:$G,Neutral!$A60,Data!$DP:$DP)+'Rate History'!$D$26*SUMIF(Data!$G:$G,Neutral!$A60,Data!$DQ:$DQ)+'Rate History'!$D$27*SUMIF(Data!$G:$G,Neutral!$A60,Data!$DR:$DR)+'Rate History'!$D$28*SUMIF(Data!$G:$G,Neutral!$A60,Data!$DS:$DS)+'Rate History'!$D$29*SUMIF(Data!$G:$G,Neutral!$A60,Data!$DT:$DT)+'Rate History'!$D$30*SUMIF(Data!$G:$G,Neutral!$A60,Data!$DV:$DV)+'Rate History'!$D$31*SUMIF(Data!$G:$G,Neutral!$A60,Data!$DW:$DW))</f>
        <v>4661245.4844968477</v>
      </c>
      <c r="C60" s="118">
        <f>$C$5*('Rate History'!$C$4*SUMIF(Data!$G:$G,Neutral!$A60,Data!$CU:$CU)+'Rate History'!$C$5*SUMIF(Data!$G:$G,Neutral!$A60,Data!$CV:$CV)+'Rate History'!$C$6*SUMIF(Data!$G:$G,Neutral!$A60,Data!$CW:$CW)+'Rate History'!$C$7*SUMIF(Data!$G:$G,Neutral!$A60,Data!$CX:$CX)+'Rate History'!$C$8*SUMIF(Data!$G:$G,Neutral!$A60,Data!$CY:$CY)+'Rate History'!$C$9*SUMIF(Data!$G:$G,Neutral!$A60,Data!$CZ:$CZ)+'Rate History'!$C$10*SUMIF(Data!$G:$G,Neutral!$A60,Data!$DA:$DA)+'Rate History'!$C$11*SUMIF(Data!$G:$G,Neutral!$A60,Data!$DB:$DB)+'Rate History'!$C$12*SUMIF(Data!$G:$G,Neutral!$A60,Data!$DC:$DC)+'Rate History'!$C$13*SUMIF(Data!$G:$G,Neutral!$A60,Data!$DD:$DD)+'Rate History'!$C$14*SUMIF(Data!$G:$G,Neutral!$A60,Data!$DE:$DE)+'Rate History'!$C$15*SUMIF(Data!$G:$G,Neutral!$A60,Data!$DF:$DF)+'Rate History'!$C$16*SUMIF(Data!$G:$G,Neutral!$A60,Data!$DG:$DG)+'Rate History'!$C$17*SUMIF(Data!$G:$G,Neutral!$A60,Data!$DH:$DH)+'Rate History'!$C$18*SUMIF(Data!$G:$G,Neutral!$A60,Data!$DI:$DI)+'Rate History'!$C$19*SUMIF(Data!$G:$G,Neutral!$A60,Data!$DJ:$DJ)+'Rate History'!$C$20*SUMIF(Data!$G:$G,Neutral!$A60,Data!$DK:$DK)+'Rate History'!$C$21*SUMIF(Data!$G:$G,Neutral!$A60,Data!$DL:$DL)+'Rate History'!$C$22*SUMIF(Data!$G:$G,Neutral!$A60,Data!$DM:$DM)+'Rate History'!$C$23*SUMIF(Data!$G:$G,Neutral!$A60,Data!$DN:$DN)+'Rate History'!$C$24*SUMIF(Data!$G:$G,Neutral!$A60,Data!$DO:$DO)+'Rate History'!$C$25*SUMIF(Data!$G:$G,Neutral!$A60,Data!$DP:$DP)+'Rate History'!$C$26*SUMIF(Data!$G:$G,Neutral!$A60,Data!$DQ:$DQ)+'Rate History'!$C$27*SUMIF(Data!$G:$G,Neutral!$A60,Data!$DR:$DR)+'Rate History'!$C$28*SUMIF(Data!$G:$G,Neutral!$A60,Data!$DS:$DS)+'Rate History'!$C$29*SUMIF(Data!$G:$G,Neutral!$A60,Data!$DT:$DT)+'Rate History'!$C$30*SUMIF(Data!$G:$G,Neutral!$A60,Data!$DV:$DV)+'Rate History'!$C$31*SUMIF(Data!$G:$G,Neutral!$A60,Data!$DW:$DW))</f>
        <v>4668911.2048858339</v>
      </c>
      <c r="D60" s="103">
        <f t="shared" si="1"/>
        <v>7665.7203889861703</v>
      </c>
      <c r="E60" s="105">
        <f t="shared" si="2"/>
        <v>1.6445648302545123E-3</v>
      </c>
    </row>
    <row r="61" spans="1:5" x14ac:dyDescent="0.25">
      <c r="A61" s="96" t="s">
        <v>1306</v>
      </c>
      <c r="B61" s="118">
        <f>$B$5*('Rate History'!$D$4*SUMIF(Data!$G:$G,Neutral!$A61,Data!$CU:$CU)+'Rate History'!$D$5*SUMIF(Data!$G:$G,Neutral!$A61,Data!$CV:$CV)+'Rate History'!$D$6*SUMIF(Data!$G:$G,Neutral!$A61,Data!$CW:$CW)+'Rate History'!$D$7*SUMIF(Data!$G:$G,Neutral!$A61,Data!$CX:$CX)+'Rate History'!$D$8*SUMIF(Data!$G:$G,Neutral!$A61,Data!$CY:$CY)+'Rate History'!$D$9*SUMIF(Data!$G:$G,Neutral!$A61,Data!$CZ:$CZ)+'Rate History'!$D$10*SUMIF(Data!$G:$G,Neutral!$A61,Data!$DA:$DA)+'Rate History'!$D$11*SUMIF(Data!$G:$G,Neutral!$A61,Data!$DB:$DB)+'Rate History'!$D$12*SUMIF(Data!$G:$G,Neutral!$A61,Data!$DC:$DC)+'Rate History'!$D$13*SUMIF(Data!$G:$G,Neutral!$A61,Data!$DD:$DD)+'Rate History'!$D$14*SUMIF(Data!$G:$G,Neutral!$A61,Data!$DE:$DE)+'Rate History'!$D$15*SUMIF(Data!$G:$G,Neutral!$A61,Data!$DF:$DF)+'Rate History'!$D$16*SUMIF(Data!$G:$G,Neutral!$A61,Data!$DG:$DG)+'Rate History'!$D$17*SUMIF(Data!$G:$G,Neutral!$A61,Data!$DH:$DH)+'Rate History'!$D$18*SUMIF(Data!$G:$G,Neutral!$A61,Data!$DI:$DI)+'Rate History'!$D$19*SUMIF(Data!$G:$G,Neutral!$A61,Data!$DJ:$DJ)+'Rate History'!$D$20*SUMIF(Data!$G:$G,Neutral!$A61,Data!$DK:$DK)+'Rate History'!$D$21*SUMIF(Data!$G:$G,Neutral!$A61,Data!$DL:$DL)+'Rate History'!$D$22*SUMIF(Data!$G:$G,Neutral!$A61,Data!$DM:$DM)+'Rate History'!$D$23*SUMIF(Data!$G:$G,Neutral!$A61,Data!$DN:$DN)+'Rate History'!$D$24*SUMIF(Data!$G:$G,Neutral!$A61,Data!$DO:$DO)+'Rate History'!$D$25*SUMIF(Data!$G:$G,Neutral!$A61,Data!$DP:$DP)+'Rate History'!$D$26*SUMIF(Data!$G:$G,Neutral!$A61,Data!$DQ:$DQ)+'Rate History'!$D$27*SUMIF(Data!$G:$G,Neutral!$A61,Data!$DR:$DR)+'Rate History'!$D$28*SUMIF(Data!$G:$G,Neutral!$A61,Data!$DS:$DS)+'Rate History'!$D$29*SUMIF(Data!$G:$G,Neutral!$A61,Data!$DT:$DT)+'Rate History'!$D$30*SUMIF(Data!$G:$G,Neutral!$A61,Data!$DV:$DV)+'Rate History'!$D$31*SUMIF(Data!$G:$G,Neutral!$A61,Data!$DW:$DW))</f>
        <v>3664384.8577719238</v>
      </c>
      <c r="C61" s="118">
        <f>$C$5*('Rate History'!$C$4*SUMIF(Data!$G:$G,Neutral!$A61,Data!$CU:$CU)+'Rate History'!$C$5*SUMIF(Data!$G:$G,Neutral!$A61,Data!$CV:$CV)+'Rate History'!$C$6*SUMIF(Data!$G:$G,Neutral!$A61,Data!$CW:$CW)+'Rate History'!$C$7*SUMIF(Data!$G:$G,Neutral!$A61,Data!$CX:$CX)+'Rate History'!$C$8*SUMIF(Data!$G:$G,Neutral!$A61,Data!$CY:$CY)+'Rate History'!$C$9*SUMIF(Data!$G:$G,Neutral!$A61,Data!$CZ:$CZ)+'Rate History'!$C$10*SUMIF(Data!$G:$G,Neutral!$A61,Data!$DA:$DA)+'Rate History'!$C$11*SUMIF(Data!$G:$G,Neutral!$A61,Data!$DB:$DB)+'Rate History'!$C$12*SUMIF(Data!$G:$G,Neutral!$A61,Data!$DC:$DC)+'Rate History'!$C$13*SUMIF(Data!$G:$G,Neutral!$A61,Data!$DD:$DD)+'Rate History'!$C$14*SUMIF(Data!$G:$G,Neutral!$A61,Data!$DE:$DE)+'Rate History'!$C$15*SUMIF(Data!$G:$G,Neutral!$A61,Data!$DF:$DF)+'Rate History'!$C$16*SUMIF(Data!$G:$G,Neutral!$A61,Data!$DG:$DG)+'Rate History'!$C$17*SUMIF(Data!$G:$G,Neutral!$A61,Data!$DH:$DH)+'Rate History'!$C$18*SUMIF(Data!$G:$G,Neutral!$A61,Data!$DI:$DI)+'Rate History'!$C$19*SUMIF(Data!$G:$G,Neutral!$A61,Data!$DJ:$DJ)+'Rate History'!$C$20*SUMIF(Data!$G:$G,Neutral!$A61,Data!$DK:$DK)+'Rate History'!$C$21*SUMIF(Data!$G:$G,Neutral!$A61,Data!$DL:$DL)+'Rate History'!$C$22*SUMIF(Data!$G:$G,Neutral!$A61,Data!$DM:$DM)+'Rate History'!$C$23*SUMIF(Data!$G:$G,Neutral!$A61,Data!$DN:$DN)+'Rate History'!$C$24*SUMIF(Data!$G:$G,Neutral!$A61,Data!$DO:$DO)+'Rate History'!$C$25*SUMIF(Data!$G:$G,Neutral!$A61,Data!$DP:$DP)+'Rate History'!$C$26*SUMIF(Data!$G:$G,Neutral!$A61,Data!$DQ:$DQ)+'Rate History'!$C$27*SUMIF(Data!$G:$G,Neutral!$A61,Data!$DR:$DR)+'Rate History'!$C$28*SUMIF(Data!$G:$G,Neutral!$A61,Data!$DS:$DS)+'Rate History'!$C$29*SUMIF(Data!$G:$G,Neutral!$A61,Data!$DT:$DT)+'Rate History'!$C$30*SUMIF(Data!$G:$G,Neutral!$A61,Data!$DV:$DV)+'Rate History'!$C$31*SUMIF(Data!$G:$G,Neutral!$A61,Data!$DW:$DW))</f>
        <v>3666593.6286189742</v>
      </c>
      <c r="D61" s="103">
        <f t="shared" si="1"/>
        <v>2208.7708470504731</v>
      </c>
      <c r="E61" s="105">
        <f t="shared" si="2"/>
        <v>6.0276715814001165E-4</v>
      </c>
    </row>
    <row r="62" spans="1:5" x14ac:dyDescent="0.25">
      <c r="A62" s="77" t="s">
        <v>1300</v>
      </c>
      <c r="B62" s="118">
        <f>$B$5*('Rate History'!$D$4*SUMIF(Data!$G:$G,Neutral!$A62,Data!$CU:$CU)+'Rate History'!$D$5*SUMIF(Data!$G:$G,Neutral!$A62,Data!$CV:$CV)+'Rate History'!$D$6*SUMIF(Data!$G:$G,Neutral!$A62,Data!$CW:$CW)+'Rate History'!$D$7*SUMIF(Data!$G:$G,Neutral!$A62,Data!$CX:$CX)+'Rate History'!$D$8*SUMIF(Data!$G:$G,Neutral!$A62,Data!$CY:$CY)+'Rate History'!$D$9*SUMIF(Data!$G:$G,Neutral!$A62,Data!$CZ:$CZ)+'Rate History'!$D$10*SUMIF(Data!$G:$G,Neutral!$A62,Data!$DA:$DA)+'Rate History'!$D$11*SUMIF(Data!$G:$G,Neutral!$A62,Data!$DB:$DB)+'Rate History'!$D$12*SUMIF(Data!$G:$G,Neutral!$A62,Data!$DC:$DC)+'Rate History'!$D$13*SUMIF(Data!$G:$G,Neutral!$A62,Data!$DD:$DD)+'Rate History'!$D$14*SUMIF(Data!$G:$G,Neutral!$A62,Data!$DE:$DE)+'Rate History'!$D$15*SUMIF(Data!$G:$G,Neutral!$A62,Data!$DF:$DF)+'Rate History'!$D$16*SUMIF(Data!$G:$G,Neutral!$A62,Data!$DG:$DG)+'Rate History'!$D$17*SUMIF(Data!$G:$G,Neutral!$A62,Data!$DH:$DH)+'Rate History'!$D$18*SUMIF(Data!$G:$G,Neutral!$A62,Data!$DI:$DI)+'Rate History'!$D$19*SUMIF(Data!$G:$G,Neutral!$A62,Data!$DJ:$DJ)+'Rate History'!$D$20*SUMIF(Data!$G:$G,Neutral!$A62,Data!$DK:$DK)+'Rate History'!$D$21*SUMIF(Data!$G:$G,Neutral!$A62,Data!$DL:$DL)+'Rate History'!$D$22*SUMIF(Data!$G:$G,Neutral!$A62,Data!$DM:$DM)+'Rate History'!$D$23*SUMIF(Data!$G:$G,Neutral!$A62,Data!$DN:$DN)+'Rate History'!$D$24*SUMIF(Data!$G:$G,Neutral!$A62,Data!$DO:$DO)+'Rate History'!$D$25*SUMIF(Data!$G:$G,Neutral!$A62,Data!$DP:$DP)+'Rate History'!$D$26*SUMIF(Data!$G:$G,Neutral!$A62,Data!$DQ:$DQ)+'Rate History'!$D$27*SUMIF(Data!$G:$G,Neutral!$A62,Data!$DR:$DR)+'Rate History'!$D$28*SUMIF(Data!$G:$G,Neutral!$A62,Data!$DS:$DS)+'Rate History'!$D$29*SUMIF(Data!$G:$G,Neutral!$A62,Data!$DT:$DT)+'Rate History'!$D$30*SUMIF(Data!$G:$G,Neutral!$A62,Data!$DV:$DV)+'Rate History'!$D$31*SUMIF(Data!$G:$G,Neutral!$A62,Data!$DW:$DW))</f>
        <v>5627160.7771182898</v>
      </c>
      <c r="C62" s="118">
        <f>$C$5*('Rate History'!$C$4*SUMIF(Data!$G:$G,Neutral!$A62,Data!$CU:$CU)+'Rate History'!$C$5*SUMIF(Data!$G:$G,Neutral!$A62,Data!$CV:$CV)+'Rate History'!$C$6*SUMIF(Data!$G:$G,Neutral!$A62,Data!$CW:$CW)+'Rate History'!$C$7*SUMIF(Data!$G:$G,Neutral!$A62,Data!$CX:$CX)+'Rate History'!$C$8*SUMIF(Data!$G:$G,Neutral!$A62,Data!$CY:$CY)+'Rate History'!$C$9*SUMIF(Data!$G:$G,Neutral!$A62,Data!$CZ:$CZ)+'Rate History'!$C$10*SUMIF(Data!$G:$G,Neutral!$A62,Data!$DA:$DA)+'Rate History'!$C$11*SUMIF(Data!$G:$G,Neutral!$A62,Data!$DB:$DB)+'Rate History'!$C$12*SUMIF(Data!$G:$G,Neutral!$A62,Data!$DC:$DC)+'Rate History'!$C$13*SUMIF(Data!$G:$G,Neutral!$A62,Data!$DD:$DD)+'Rate History'!$C$14*SUMIF(Data!$G:$G,Neutral!$A62,Data!$DE:$DE)+'Rate History'!$C$15*SUMIF(Data!$G:$G,Neutral!$A62,Data!$DF:$DF)+'Rate History'!$C$16*SUMIF(Data!$G:$G,Neutral!$A62,Data!$DG:$DG)+'Rate History'!$C$17*SUMIF(Data!$G:$G,Neutral!$A62,Data!$DH:$DH)+'Rate History'!$C$18*SUMIF(Data!$G:$G,Neutral!$A62,Data!$DI:$DI)+'Rate History'!$C$19*SUMIF(Data!$G:$G,Neutral!$A62,Data!$DJ:$DJ)+'Rate History'!$C$20*SUMIF(Data!$G:$G,Neutral!$A62,Data!$DK:$DK)+'Rate History'!$C$21*SUMIF(Data!$G:$G,Neutral!$A62,Data!$DL:$DL)+'Rate History'!$C$22*SUMIF(Data!$G:$G,Neutral!$A62,Data!$DM:$DM)+'Rate History'!$C$23*SUMIF(Data!$G:$G,Neutral!$A62,Data!$DN:$DN)+'Rate History'!$C$24*SUMIF(Data!$G:$G,Neutral!$A62,Data!$DO:$DO)+'Rate History'!$C$25*SUMIF(Data!$G:$G,Neutral!$A62,Data!$DP:$DP)+'Rate History'!$C$26*SUMIF(Data!$G:$G,Neutral!$A62,Data!$DQ:$DQ)+'Rate History'!$C$27*SUMIF(Data!$G:$G,Neutral!$A62,Data!$DR:$DR)+'Rate History'!$C$28*SUMIF(Data!$G:$G,Neutral!$A62,Data!$DS:$DS)+'Rate History'!$C$29*SUMIF(Data!$G:$G,Neutral!$A62,Data!$DT:$DT)+'Rate History'!$C$30*SUMIF(Data!$G:$G,Neutral!$A62,Data!$DV:$DV)+'Rate History'!$C$31*SUMIF(Data!$G:$G,Neutral!$A62,Data!$DW:$DW))</f>
        <v>5640689.0828912463</v>
      </c>
      <c r="D62" s="103">
        <f t="shared" si="1"/>
        <v>13528.305772956461</v>
      </c>
      <c r="E62" s="105">
        <f t="shared" si="2"/>
        <v>2.4041086275634026E-3</v>
      </c>
    </row>
    <row r="63" spans="1:5" ht="15.75" thickBot="1" x14ac:dyDescent="0.3">
      <c r="A63" s="86" t="s">
        <v>35</v>
      </c>
      <c r="B63" s="102">
        <f>SUM(B5:B62)</f>
        <v>918522603.9587127</v>
      </c>
      <c r="C63" s="102">
        <f>SUM(C6:C62)</f>
        <v>918522603.9587127</v>
      </c>
      <c r="D63" s="106">
        <f t="shared" si="1"/>
        <v>0</v>
      </c>
      <c r="E63" s="104">
        <f t="shared" si="2"/>
        <v>0</v>
      </c>
    </row>
    <row r="65" spans="2:2" x14ac:dyDescent="0.25">
      <c r="B65" s="175"/>
    </row>
  </sheetData>
  <mergeCells count="1">
    <mergeCell ref="A3:E3"/>
  </mergeCells>
  <pageMargins left="0.25" right="0.25" top="0.25" bottom="0.2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11" customWidth="1"/>
    <col min="3" max="3" width="18.28515625" style="11" customWidth="1"/>
    <col min="4" max="4" width="18.7109375" style="11" bestFit="1" customWidth="1"/>
    <col min="5" max="5" width="18.42578125" style="11" customWidth="1"/>
    <col min="6" max="6" width="19.28515625" style="11" bestFit="1" customWidth="1"/>
    <col min="7" max="7" width="2.85546875" style="11"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390</v>
      </c>
      <c r="B2" s="12" t="str">
        <f>VLOOKUP(A2,Data!A:G,7,0)</f>
        <v>Alamo Community College District</v>
      </c>
      <c r="C2" s="12"/>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88855</v>
      </c>
      <c r="E5" s="16">
        <f>E36+E67+IFERROR($E$105/$D$105*D5,0)</f>
        <v>579507.25882780401</v>
      </c>
      <c r="F5" s="21">
        <f>IFERROR(E5/D5,"")</f>
        <v>6.5219431526397393</v>
      </c>
    </row>
    <row r="6" spans="1:6" x14ac:dyDescent="0.2">
      <c r="A6" s="20">
        <v>2</v>
      </c>
      <c r="B6" s="202" t="s">
        <v>1</v>
      </c>
      <c r="C6" s="203"/>
      <c r="D6" s="15">
        <f t="shared" ref="D6:D32" si="0">D37</f>
        <v>168013</v>
      </c>
      <c r="E6" s="18">
        <f t="shared" ref="E6:E32" si="1">E37+E68+IFERROR($E$105/$D$105*D6,0)</f>
        <v>1692128.7659719298</v>
      </c>
      <c r="F6" s="22">
        <f t="shared" ref="F6:F33" si="2">IFERROR(E6/D6,"")</f>
        <v>10.071415699808526</v>
      </c>
    </row>
    <row r="7" spans="1:6" x14ac:dyDescent="0.2">
      <c r="A7" s="20">
        <v>3</v>
      </c>
      <c r="B7" s="202" t="s">
        <v>2</v>
      </c>
      <c r="C7" s="203"/>
      <c r="D7" s="15">
        <f t="shared" si="0"/>
        <v>2652208</v>
      </c>
      <c r="E7" s="18">
        <f t="shared" si="1"/>
        <v>23222861.587858558</v>
      </c>
      <c r="F7" s="22">
        <f t="shared" si="2"/>
        <v>8.7560483898165451</v>
      </c>
    </row>
    <row r="8" spans="1:6" x14ac:dyDescent="0.2">
      <c r="A8" s="20">
        <v>4</v>
      </c>
      <c r="B8" s="202" t="s">
        <v>3</v>
      </c>
      <c r="C8" s="203"/>
      <c r="D8" s="15">
        <f t="shared" si="0"/>
        <v>986266</v>
      </c>
      <c r="E8" s="18">
        <f t="shared" si="1"/>
        <v>9003202.1786175556</v>
      </c>
      <c r="F8" s="22">
        <f t="shared" si="2"/>
        <v>9.1285740141275831</v>
      </c>
    </row>
    <row r="9" spans="1:6" x14ac:dyDescent="0.2">
      <c r="A9" s="20">
        <v>5</v>
      </c>
      <c r="B9" s="202" t="s">
        <v>4</v>
      </c>
      <c r="C9" s="203"/>
      <c r="D9" s="15">
        <f t="shared" si="0"/>
        <v>13328</v>
      </c>
      <c r="E9" s="18">
        <f t="shared" si="1"/>
        <v>481059.93786120054</v>
      </c>
      <c r="F9" s="22">
        <f t="shared" si="2"/>
        <v>36.093932912755143</v>
      </c>
    </row>
    <row r="10" spans="1:6" x14ac:dyDescent="0.2">
      <c r="A10" s="20">
        <v>6</v>
      </c>
      <c r="B10" s="202" t="s">
        <v>5</v>
      </c>
      <c r="C10" s="203"/>
      <c r="D10" s="15">
        <f t="shared" si="0"/>
        <v>290715</v>
      </c>
      <c r="E10" s="18">
        <f t="shared" si="1"/>
        <v>2572331.7993936753</v>
      </c>
      <c r="F10" s="22">
        <f t="shared" si="2"/>
        <v>8.8482940315899601</v>
      </c>
    </row>
    <row r="11" spans="1:6" x14ac:dyDescent="0.2">
      <c r="A11" s="20">
        <v>7</v>
      </c>
      <c r="B11" s="202" t="s">
        <v>6</v>
      </c>
      <c r="C11" s="203"/>
      <c r="D11" s="15">
        <f t="shared" si="0"/>
        <v>778512</v>
      </c>
      <c r="E11" s="18">
        <f t="shared" si="1"/>
        <v>9314217.1350689474</v>
      </c>
      <c r="F11" s="22">
        <f t="shared" si="2"/>
        <v>11.964127894070929</v>
      </c>
    </row>
    <row r="12" spans="1:6" x14ac:dyDescent="0.2">
      <c r="A12" s="20">
        <v>8</v>
      </c>
      <c r="B12" s="202" t="s">
        <v>7</v>
      </c>
      <c r="C12" s="203"/>
      <c r="D12" s="15">
        <f t="shared" si="0"/>
        <v>57269</v>
      </c>
      <c r="E12" s="18">
        <f t="shared" si="1"/>
        <v>530513.3933353161</v>
      </c>
      <c r="F12" s="22">
        <f t="shared" si="2"/>
        <v>9.2635351295695063</v>
      </c>
    </row>
    <row r="13" spans="1:6" x14ac:dyDescent="0.2">
      <c r="A13" s="20">
        <v>9</v>
      </c>
      <c r="B13" s="202" t="s">
        <v>8</v>
      </c>
      <c r="C13" s="203"/>
      <c r="D13" s="15">
        <f t="shared" si="0"/>
        <v>597664</v>
      </c>
      <c r="E13" s="18">
        <f t="shared" si="1"/>
        <v>5191798.9302128255</v>
      </c>
      <c r="F13" s="22">
        <f t="shared" si="2"/>
        <v>8.6868188985999257</v>
      </c>
    </row>
    <row r="14" spans="1:6" x14ac:dyDescent="0.2">
      <c r="A14" s="20">
        <v>10</v>
      </c>
      <c r="B14" s="202" t="s">
        <v>9</v>
      </c>
      <c r="C14" s="203"/>
      <c r="D14" s="15">
        <f t="shared" si="0"/>
        <v>29760</v>
      </c>
      <c r="E14" s="18">
        <f t="shared" si="1"/>
        <v>477073.63195898314</v>
      </c>
      <c r="F14" s="22">
        <f t="shared" si="2"/>
        <v>16.030699998621746</v>
      </c>
    </row>
    <row r="15" spans="1:6" x14ac:dyDescent="0.2">
      <c r="A15" s="20">
        <v>11</v>
      </c>
      <c r="B15" s="202" t="s">
        <v>10</v>
      </c>
      <c r="C15" s="203"/>
      <c r="D15" s="15">
        <f t="shared" si="0"/>
        <v>325157</v>
      </c>
      <c r="E15" s="18">
        <f t="shared" si="1"/>
        <v>3573602.8658564207</v>
      </c>
      <c r="F15" s="22">
        <f t="shared" si="2"/>
        <v>10.990391920999459</v>
      </c>
    </row>
    <row r="16" spans="1:6" x14ac:dyDescent="0.2">
      <c r="A16" s="20">
        <v>12</v>
      </c>
      <c r="B16" s="202" t="s">
        <v>11</v>
      </c>
      <c r="C16" s="203"/>
      <c r="D16" s="15">
        <f t="shared" si="0"/>
        <v>2916711</v>
      </c>
      <c r="E16" s="18">
        <f t="shared" si="1"/>
        <v>25076648.021764707</v>
      </c>
      <c r="F16" s="22">
        <f t="shared" si="2"/>
        <v>8.5975772100028784</v>
      </c>
    </row>
    <row r="17" spans="1:6" x14ac:dyDescent="0.2">
      <c r="A17" s="20">
        <v>13</v>
      </c>
      <c r="B17" s="202" t="s">
        <v>12</v>
      </c>
      <c r="C17" s="203"/>
      <c r="D17" s="15">
        <f t="shared" si="0"/>
        <v>819776</v>
      </c>
      <c r="E17" s="18">
        <f t="shared" si="1"/>
        <v>6758716.8790593874</v>
      </c>
      <c r="F17" s="22">
        <f t="shared" si="2"/>
        <v>8.2445898380281779</v>
      </c>
    </row>
    <row r="18" spans="1:6" x14ac:dyDescent="0.2">
      <c r="A18" s="20">
        <v>14</v>
      </c>
      <c r="B18" s="202" t="s">
        <v>449</v>
      </c>
      <c r="C18" s="203"/>
      <c r="D18" s="15">
        <f t="shared" si="0"/>
        <v>583044</v>
      </c>
      <c r="E18" s="18">
        <f t="shared" si="1"/>
        <v>9397359.6157222241</v>
      </c>
      <c r="F18" s="22">
        <f t="shared" si="2"/>
        <v>16.117753747096657</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787317</v>
      </c>
      <c r="E20" s="18">
        <f t="shared" si="1"/>
        <v>7802316.0508753601</v>
      </c>
      <c r="F20" s="22">
        <f t="shared" si="2"/>
        <v>9.9100058183366553</v>
      </c>
    </row>
    <row r="21" spans="1:6" x14ac:dyDescent="0.2">
      <c r="A21" s="20">
        <v>17</v>
      </c>
      <c r="B21" s="202" t="s">
        <v>15</v>
      </c>
      <c r="C21" s="203"/>
      <c r="D21" s="15">
        <f t="shared" si="0"/>
        <v>48784</v>
      </c>
      <c r="E21" s="18">
        <f t="shared" si="1"/>
        <v>671313.71013061272</v>
      </c>
      <c r="F21" s="22">
        <f t="shared" si="2"/>
        <v>13.760940269978121</v>
      </c>
    </row>
    <row r="22" spans="1:6" x14ac:dyDescent="0.2">
      <c r="A22" s="20">
        <v>18</v>
      </c>
      <c r="B22" s="202" t="s">
        <v>16</v>
      </c>
      <c r="C22" s="203"/>
      <c r="D22" s="15">
        <f t="shared" si="0"/>
        <v>224528</v>
      </c>
      <c r="E22" s="18">
        <f t="shared" si="1"/>
        <v>3032820.4549894677</v>
      </c>
      <c r="F22" s="22">
        <f t="shared" si="2"/>
        <v>13.507537834877912</v>
      </c>
    </row>
    <row r="23" spans="1:6" x14ac:dyDescent="0.2">
      <c r="A23" s="20">
        <v>19</v>
      </c>
      <c r="B23" s="202" t="s">
        <v>17</v>
      </c>
      <c r="C23" s="203"/>
      <c r="D23" s="15">
        <f t="shared" si="0"/>
        <v>1411724</v>
      </c>
      <c r="E23" s="18">
        <f t="shared" si="1"/>
        <v>11546329.591924177</v>
      </c>
      <c r="F23" s="22">
        <f t="shared" si="2"/>
        <v>8.1788859521579127</v>
      </c>
    </row>
    <row r="24" spans="1:6" x14ac:dyDescent="0.2">
      <c r="A24" s="20">
        <v>20</v>
      </c>
      <c r="B24" s="202" t="s">
        <v>18</v>
      </c>
      <c r="C24" s="203"/>
      <c r="D24" s="15">
        <f t="shared" si="0"/>
        <v>241481</v>
      </c>
      <c r="E24" s="18">
        <f t="shared" si="1"/>
        <v>2399143.3559169089</v>
      </c>
      <c r="F24" s="22">
        <f t="shared" si="2"/>
        <v>9.9351226635507928</v>
      </c>
    </row>
    <row r="25" spans="1:6" x14ac:dyDescent="0.2">
      <c r="A25" s="20">
        <v>21</v>
      </c>
      <c r="B25" s="202" t="s">
        <v>446</v>
      </c>
      <c r="C25" s="203"/>
      <c r="D25" s="15">
        <f t="shared" si="0"/>
        <v>234299</v>
      </c>
      <c r="E25" s="18">
        <f t="shared" si="1"/>
        <v>2037541.2917122913</v>
      </c>
      <c r="F25" s="22">
        <f t="shared" si="2"/>
        <v>8.6963294410658651</v>
      </c>
    </row>
    <row r="26" spans="1:6" x14ac:dyDescent="0.2">
      <c r="A26" s="20">
        <v>22</v>
      </c>
      <c r="B26" s="202" t="s">
        <v>19</v>
      </c>
      <c r="C26" s="203"/>
      <c r="D26" s="15">
        <f t="shared" si="0"/>
        <v>73453</v>
      </c>
      <c r="E26" s="18">
        <f t="shared" si="1"/>
        <v>466002.5321667738</v>
      </c>
      <c r="F26" s="22">
        <f t="shared" si="2"/>
        <v>6.3442273585391176</v>
      </c>
    </row>
    <row r="27" spans="1:6" x14ac:dyDescent="0.2">
      <c r="A27" s="20">
        <v>23</v>
      </c>
      <c r="B27" s="202" t="s">
        <v>20</v>
      </c>
      <c r="C27" s="203"/>
      <c r="D27" s="15">
        <f t="shared" si="0"/>
        <v>727248</v>
      </c>
      <c r="E27" s="18">
        <f t="shared" si="1"/>
        <v>6969018.8722750861</v>
      </c>
      <c r="F27" s="22">
        <f t="shared" si="2"/>
        <v>9.5827267620881535</v>
      </c>
    </row>
    <row r="28" spans="1:6" x14ac:dyDescent="0.2">
      <c r="A28" s="20">
        <v>24</v>
      </c>
      <c r="B28" s="202" t="s">
        <v>21</v>
      </c>
      <c r="C28" s="203"/>
      <c r="D28" s="15">
        <f t="shared" si="0"/>
        <v>532171</v>
      </c>
      <c r="E28" s="18">
        <f t="shared" si="1"/>
        <v>4560478.0590135753</v>
      </c>
      <c r="F28" s="22">
        <f t="shared" si="2"/>
        <v>8.5695726730948802</v>
      </c>
    </row>
    <row r="29" spans="1:6" x14ac:dyDescent="0.2">
      <c r="A29" s="20">
        <v>25</v>
      </c>
      <c r="B29" s="202" t="s">
        <v>22</v>
      </c>
      <c r="C29" s="203"/>
      <c r="D29" s="15">
        <f t="shared" si="0"/>
        <v>4096802</v>
      </c>
      <c r="E29" s="18">
        <f t="shared" si="1"/>
        <v>31690615.791089583</v>
      </c>
      <c r="F29" s="22">
        <f t="shared" si="2"/>
        <v>7.735452138299479</v>
      </c>
    </row>
    <row r="30" spans="1:6" x14ac:dyDescent="0.2">
      <c r="A30" s="20">
        <v>26</v>
      </c>
      <c r="B30" s="202" t="s">
        <v>23</v>
      </c>
      <c r="C30" s="203"/>
      <c r="D30" s="15">
        <f t="shared" si="0"/>
        <v>1227440</v>
      </c>
      <c r="E30" s="18">
        <f t="shared" si="1"/>
        <v>12036305.952007201</v>
      </c>
      <c r="F30" s="22">
        <f t="shared" si="2"/>
        <v>9.806023880602881</v>
      </c>
    </row>
    <row r="31" spans="1:6" x14ac:dyDescent="0.2">
      <c r="A31" s="20">
        <v>28</v>
      </c>
      <c r="B31" s="202" t="s">
        <v>24</v>
      </c>
      <c r="C31" s="203"/>
      <c r="D31" s="15">
        <f t="shared" si="0"/>
        <v>2027904</v>
      </c>
      <c r="E31" s="18">
        <f t="shared" si="1"/>
        <v>15435730.043553419</v>
      </c>
      <c r="F31" s="22">
        <f t="shared" si="2"/>
        <v>7.6116670431901214</v>
      </c>
    </row>
    <row r="32" spans="1:6" ht="15.75" customHeight="1" thickBot="1" x14ac:dyDescent="0.25">
      <c r="A32" s="23">
        <v>29</v>
      </c>
      <c r="B32" s="206" t="s">
        <v>25</v>
      </c>
      <c r="C32" s="207"/>
      <c r="D32" s="24">
        <f t="shared" si="0"/>
        <v>1552928</v>
      </c>
      <c r="E32" s="25">
        <f t="shared" si="1"/>
        <v>12579131.292836014</v>
      </c>
      <c r="F32" s="26">
        <f t="shared" si="2"/>
        <v>8.1002669105303102</v>
      </c>
    </row>
    <row r="33" spans="1:6" x14ac:dyDescent="0.2">
      <c r="C33" s="14" t="s">
        <v>35</v>
      </c>
      <c r="D33" s="63">
        <f>SUM(D5:D32)</f>
        <v>23493357</v>
      </c>
      <c r="E33" s="5">
        <f>SUM(E5:E32)</f>
        <v>209097769</v>
      </c>
      <c r="F33" s="9">
        <f t="shared" si="2"/>
        <v>8.9002933467532976</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IF(F3="1",SUMIF(Data!A:A,$A$2,Data!CU:CU),0)</f>
        <v>88855</v>
      </c>
      <c r="E36" s="16">
        <f>IF(F3="1",SUMIF(Data!$A:$A,$A$2,Data!IO:IO),0)</f>
        <v>90393</v>
      </c>
      <c r="F36" s="21">
        <f t="shared" ref="F36:F64" si="3">IFERROR(E36/D36,"")</f>
        <v>1.0173090990940297</v>
      </c>
    </row>
    <row r="37" spans="1:6" x14ac:dyDescent="0.2">
      <c r="A37" s="20">
        <v>2</v>
      </c>
      <c r="B37" s="202" t="s">
        <v>1</v>
      </c>
      <c r="C37" s="203"/>
      <c r="D37" s="15">
        <f>IF(F3="1",SUMIF(Data!A:A,$A$2,Data!CV:CV),0)</f>
        <v>168013</v>
      </c>
      <c r="E37" s="18">
        <f>IF(F3="1",SUMIF(Data!$A:$A,$A$2,Data!IP:IP),0)</f>
        <v>253317</v>
      </c>
      <c r="F37" s="22">
        <f t="shared" si="3"/>
        <v>1.507722616702279</v>
      </c>
    </row>
    <row r="38" spans="1:6" x14ac:dyDescent="0.2">
      <c r="A38" s="20">
        <v>3</v>
      </c>
      <c r="B38" s="202" t="s">
        <v>2</v>
      </c>
      <c r="C38" s="203"/>
      <c r="D38" s="15">
        <f>IF(F3="1",SUMIF(Data!A:A,$A$2,Data!CW:CW),0)</f>
        <v>2652208</v>
      </c>
      <c r="E38" s="18">
        <f>IF(F3="1",SUMIF(Data!$A:$A,$A$2,Data!IQ:IQ),0)</f>
        <v>3541146</v>
      </c>
      <c r="F38" s="22">
        <f t="shared" si="3"/>
        <v>1.3351690365159896</v>
      </c>
    </row>
    <row r="39" spans="1:6" x14ac:dyDescent="0.2">
      <c r="A39" s="20">
        <v>4</v>
      </c>
      <c r="B39" s="202" t="s">
        <v>3</v>
      </c>
      <c r="C39" s="203"/>
      <c r="D39" s="15">
        <f>IF(F3="1",SUMIF(Data!A:A,$A$2,Data!CX:CX),0)</f>
        <v>986266</v>
      </c>
      <c r="E39" s="18">
        <f>IF(F3="1",SUMIF(Data!$A:$A,$A$2,Data!IR:IR),0)</f>
        <v>1483049</v>
      </c>
      <c r="F39" s="22">
        <f t="shared" si="3"/>
        <v>1.5037008271602184</v>
      </c>
    </row>
    <row r="40" spans="1:6" x14ac:dyDescent="0.2">
      <c r="A40" s="20">
        <v>5</v>
      </c>
      <c r="B40" s="202" t="s">
        <v>4</v>
      </c>
      <c r="C40" s="203"/>
      <c r="D40" s="15">
        <f>IF(F3="1",SUMIF(Data!A:A,$A$2,Data!CY:CY),0)</f>
        <v>13328</v>
      </c>
      <c r="E40" s="18">
        <f>IF(F3="1",SUMIF(Data!$A:$A,$A$2,Data!IS:IS),0)</f>
        <v>350640</v>
      </c>
      <c r="F40" s="22">
        <f t="shared" si="3"/>
        <v>26.308523409363744</v>
      </c>
    </row>
    <row r="41" spans="1:6" x14ac:dyDescent="0.2">
      <c r="A41" s="20">
        <v>6</v>
      </c>
      <c r="B41" s="202" t="s">
        <v>5</v>
      </c>
      <c r="C41" s="203"/>
      <c r="D41" s="15">
        <f>IF(F3="1",SUMIF(Data!A:A,$A$2,Data!CZ:CZ),0)</f>
        <v>290715</v>
      </c>
      <c r="E41" s="18">
        <f>IF(F3="1",SUMIF(Data!$A:$A,$A$2,Data!IT:IT),0)</f>
        <v>526845</v>
      </c>
      <c r="F41" s="22">
        <f t="shared" si="3"/>
        <v>1.8122387905680821</v>
      </c>
    </row>
    <row r="42" spans="1:6" x14ac:dyDescent="0.2">
      <c r="A42" s="20">
        <v>7</v>
      </c>
      <c r="B42" s="202" t="s">
        <v>6</v>
      </c>
      <c r="C42" s="203"/>
      <c r="D42" s="15">
        <f>IF(F3="1",SUMIF(Data!A:A,$A$2,Data!DA:DA),0)</f>
        <v>778512</v>
      </c>
      <c r="E42" s="18">
        <f>IF(F3="1",SUMIF(Data!$A:$A,$A$2,Data!IU:IU),0)</f>
        <v>1829705</v>
      </c>
      <c r="F42" s="22">
        <f t="shared" si="3"/>
        <v>2.350259212446308</v>
      </c>
    </row>
    <row r="43" spans="1:6" x14ac:dyDescent="0.2">
      <c r="A43" s="20">
        <v>8</v>
      </c>
      <c r="B43" s="202" t="s">
        <v>7</v>
      </c>
      <c r="C43" s="203"/>
      <c r="D43" s="15">
        <f>IF(F3="1",SUMIF(Data!A:A,$A$2,Data!DB:DB),0)</f>
        <v>57269</v>
      </c>
      <c r="E43" s="18">
        <f>IF(F3="1",SUMIF(Data!$A:$A,$A$2,Data!IV:IV),0)</f>
        <v>99792</v>
      </c>
      <c r="F43" s="22">
        <f t="shared" si="3"/>
        <v>1.7425134016658228</v>
      </c>
    </row>
    <row r="44" spans="1:6" x14ac:dyDescent="0.2">
      <c r="A44" s="20">
        <v>9</v>
      </c>
      <c r="B44" s="202" t="s">
        <v>8</v>
      </c>
      <c r="C44" s="203"/>
      <c r="D44" s="15">
        <f>IF(F3="1",SUMIF(Data!A:A,$A$2,Data!DC:DC),0)</f>
        <v>597664</v>
      </c>
      <c r="E44" s="18">
        <f>IF(F3="1",SUMIF(Data!$A:$A,$A$2,Data!IW:IW),0)</f>
        <v>1253186</v>
      </c>
      <c r="F44" s="22">
        <f t="shared" si="3"/>
        <v>2.0968069015366493</v>
      </c>
    </row>
    <row r="45" spans="1:6" x14ac:dyDescent="0.2">
      <c r="A45" s="20">
        <v>10</v>
      </c>
      <c r="B45" s="202" t="s">
        <v>9</v>
      </c>
      <c r="C45" s="203"/>
      <c r="D45" s="15">
        <f>IF(F3="1",SUMIF(Data!A:A,$A$2,Data!DD:DD),0)</f>
        <v>29760</v>
      </c>
      <c r="E45" s="18">
        <f>IF(F3="1",SUMIF(Data!$A:$A,$A$2,Data!IX:IX),0)</f>
        <v>103507</v>
      </c>
      <c r="F45" s="22">
        <f t="shared" si="3"/>
        <v>3.4780577956989247</v>
      </c>
    </row>
    <row r="46" spans="1:6" x14ac:dyDescent="0.2">
      <c r="A46" s="20">
        <v>11</v>
      </c>
      <c r="B46" s="202" t="s">
        <v>10</v>
      </c>
      <c r="C46" s="203"/>
      <c r="D46" s="15">
        <f>IF(F3="1",SUMIF(Data!A:A,$A$2,Data!DE:DE),0)</f>
        <v>325157</v>
      </c>
      <c r="E46" s="18">
        <f>IF(F3="1",SUMIF(Data!$A:$A,$A$2,Data!IY:IY),0)</f>
        <v>952517</v>
      </c>
      <c r="F46" s="22">
        <f t="shared" si="3"/>
        <v>2.9294064098266377</v>
      </c>
    </row>
    <row r="47" spans="1:6" x14ac:dyDescent="0.2">
      <c r="A47" s="20">
        <v>12</v>
      </c>
      <c r="B47" s="202" t="s">
        <v>11</v>
      </c>
      <c r="C47" s="203"/>
      <c r="D47" s="15">
        <f>IF(F3="1",SUMIF(Data!A:A,$A$2,Data!DF:DF),0)</f>
        <v>2916711</v>
      </c>
      <c r="E47" s="18">
        <f>IF(F3="1",SUMIF(Data!$A:$A,$A$2,Data!IZ:IZ),0)</f>
        <v>4090839</v>
      </c>
      <c r="F47" s="22">
        <f t="shared" si="3"/>
        <v>1.4025520526373714</v>
      </c>
    </row>
    <row r="48" spans="1:6" x14ac:dyDescent="0.2">
      <c r="A48" s="20">
        <v>13</v>
      </c>
      <c r="B48" s="202" t="s">
        <v>12</v>
      </c>
      <c r="C48" s="203"/>
      <c r="D48" s="15">
        <f>IF(F3="1",SUMIF(Data!A:A,$A$2,Data!DG:DG),0)</f>
        <v>819776</v>
      </c>
      <c r="E48" s="18">
        <f>IF(F3="1",SUMIF(Data!$A:$A,$A$2,Data!JA:JA),0)</f>
        <v>1182168</v>
      </c>
      <c r="F48" s="22">
        <f t="shared" si="3"/>
        <v>1.4420622218752439</v>
      </c>
    </row>
    <row r="49" spans="1:7" x14ac:dyDescent="0.2">
      <c r="A49" s="20">
        <v>14</v>
      </c>
      <c r="B49" s="202" t="s">
        <v>449</v>
      </c>
      <c r="C49" s="203"/>
      <c r="D49" s="15">
        <f>IF(F3="1",SUMIF(Data!A:A,$A$2,Data!DH:DH),0)</f>
        <v>583044</v>
      </c>
      <c r="E49" s="18">
        <f>IF(F3="1",SUMIF(Data!$A:$A,$A$2,Data!JB:JB),0)</f>
        <v>3103236</v>
      </c>
      <c r="F49" s="22">
        <f t="shared" si="3"/>
        <v>5.3224730895095398</v>
      </c>
    </row>
    <row r="50" spans="1:7" x14ac:dyDescent="0.2">
      <c r="A50" s="20">
        <v>15</v>
      </c>
      <c r="B50" s="202" t="s">
        <v>13</v>
      </c>
      <c r="C50" s="203"/>
      <c r="D50" s="15">
        <f>IF(F3="1",SUMIF(Data!A:A,$A$2,Data!DI:DI),0)</f>
        <v>0</v>
      </c>
      <c r="E50" s="18">
        <f>IF(F3="1",SUMIF(Data!$A:$A,$A$2,Data!JC:JC),0)</f>
        <v>0</v>
      </c>
      <c r="F50" s="22" t="str">
        <f t="shared" si="3"/>
        <v/>
      </c>
    </row>
    <row r="51" spans="1:7" x14ac:dyDescent="0.2">
      <c r="A51" s="20">
        <v>16</v>
      </c>
      <c r="B51" s="202" t="s">
        <v>14</v>
      </c>
      <c r="C51" s="203"/>
      <c r="D51" s="15">
        <f>IF(F3="1",SUMIF(Data!A:A,$A$2,Data!DJ:DJ),0)</f>
        <v>787317</v>
      </c>
      <c r="E51" s="18">
        <f>IF(F3="1",SUMIF(Data!$A:$A,$A$2,Data!JD:JD),0)</f>
        <v>1668313</v>
      </c>
      <c r="F51" s="22">
        <f t="shared" si="3"/>
        <v>2.1189851101906854</v>
      </c>
    </row>
    <row r="52" spans="1:7" x14ac:dyDescent="0.2">
      <c r="A52" s="20">
        <v>17</v>
      </c>
      <c r="B52" s="202" t="s">
        <v>15</v>
      </c>
      <c r="C52" s="203"/>
      <c r="D52" s="15">
        <f>IF(F3="1",SUMIF(Data!A:A,$A$2,Data!DK:DK),0)</f>
        <v>48784</v>
      </c>
      <c r="E52" s="18">
        <f>IF(F3="1",SUMIF(Data!$A:$A,$A$2,Data!JE:JE),0)</f>
        <v>145335</v>
      </c>
      <c r="F52" s="22">
        <f t="shared" si="3"/>
        <v>2.9791530009839291</v>
      </c>
    </row>
    <row r="53" spans="1:7" x14ac:dyDescent="0.2">
      <c r="A53" s="20">
        <v>18</v>
      </c>
      <c r="B53" s="202" t="s">
        <v>16</v>
      </c>
      <c r="C53" s="203"/>
      <c r="D53" s="15">
        <f>IF(F3="1",SUMIF(Data!A:A,$A$2,Data!DL:DL),0)</f>
        <v>224528</v>
      </c>
      <c r="E53" s="18">
        <f>IF(F3="1",SUMIF(Data!$A:$A,$A$2,Data!JF:JF),0)</f>
        <v>459027</v>
      </c>
      <c r="F53" s="22">
        <f t="shared" si="3"/>
        <v>2.0444087151713819</v>
      </c>
    </row>
    <row r="54" spans="1:7" x14ac:dyDescent="0.2">
      <c r="A54" s="20">
        <v>19</v>
      </c>
      <c r="B54" s="202" t="s">
        <v>17</v>
      </c>
      <c r="C54" s="203"/>
      <c r="D54" s="15">
        <f>IF(F3="1",SUMIF(Data!A:A,$A$2,Data!DM:DM),0)</f>
        <v>1411724</v>
      </c>
      <c r="E54" s="18">
        <f>IF(F3="1",SUMIF(Data!$A:$A,$A$2,Data!JG:JG),0)</f>
        <v>1844668</v>
      </c>
      <c r="F54" s="22">
        <f t="shared" si="3"/>
        <v>1.3066775092015153</v>
      </c>
    </row>
    <row r="55" spans="1:7" x14ac:dyDescent="0.2">
      <c r="A55" s="20">
        <v>20</v>
      </c>
      <c r="B55" s="202" t="s">
        <v>18</v>
      </c>
      <c r="C55" s="203"/>
      <c r="D55" s="15">
        <f>IF(F3="1",SUMIF(Data!A:A,$A$2,Data!DN:DN),0)</f>
        <v>241481</v>
      </c>
      <c r="E55" s="18">
        <f>IF(F3="1",SUMIF(Data!$A:$A,$A$2,Data!JH:JH),0)</f>
        <v>504075</v>
      </c>
      <c r="F55" s="22">
        <f t="shared" si="3"/>
        <v>2.0874313092955554</v>
      </c>
    </row>
    <row r="56" spans="1:7" ht="14.25" customHeight="1" x14ac:dyDescent="0.2">
      <c r="A56" s="20">
        <v>21</v>
      </c>
      <c r="B56" s="202" t="s">
        <v>446</v>
      </c>
      <c r="C56" s="203"/>
      <c r="D56" s="15">
        <f>IF(F3="1",SUMIF(Data!A:A,$A$2,Data!DO:DO),0)</f>
        <v>234299</v>
      </c>
      <c r="E56" s="18">
        <f>IF(F3="1",SUMIF(Data!$A:$A,$A$2,Data!JI:JI),0)</f>
        <v>313884</v>
      </c>
      <c r="F56" s="22">
        <f t="shared" si="3"/>
        <v>1.3396728112369238</v>
      </c>
    </row>
    <row r="57" spans="1:7" x14ac:dyDescent="0.2">
      <c r="A57" s="20">
        <v>22</v>
      </c>
      <c r="B57" s="202" t="s">
        <v>19</v>
      </c>
      <c r="C57" s="203"/>
      <c r="D57" s="15">
        <f>IF(F3="1",SUMIF(Data!A:A,$A$2,Data!DP:DP),0)</f>
        <v>73453</v>
      </c>
      <c r="E57" s="18">
        <f>IF(F3="1",SUMIF(Data!$A:$A,$A$2,Data!JJ:JJ),0)</f>
        <v>30066</v>
      </c>
      <c r="F57" s="22">
        <f t="shared" si="3"/>
        <v>0.40932296842879118</v>
      </c>
    </row>
    <row r="58" spans="1:7" x14ac:dyDescent="0.2">
      <c r="A58" s="20">
        <v>23</v>
      </c>
      <c r="B58" s="202" t="s">
        <v>20</v>
      </c>
      <c r="C58" s="203"/>
      <c r="D58" s="15">
        <f>IF(F3="1",SUMIF(Data!A:A,$A$2,Data!DQ:DQ),0)</f>
        <v>727248</v>
      </c>
      <c r="E58" s="18">
        <f>IF(F3="1",SUMIF(Data!$A:$A,$A$2,Data!JK:JK),0)</f>
        <v>1072949</v>
      </c>
      <c r="F58" s="22">
        <f t="shared" si="3"/>
        <v>1.4753550370712605</v>
      </c>
    </row>
    <row r="59" spans="1:7" x14ac:dyDescent="0.2">
      <c r="A59" s="20">
        <v>24</v>
      </c>
      <c r="B59" s="202" t="s">
        <v>21</v>
      </c>
      <c r="C59" s="203"/>
      <c r="D59" s="15">
        <f>IF(F3="1",SUMIF(Data!A:A,$A$2,Data!DR:DR),0)</f>
        <v>532171</v>
      </c>
      <c r="E59" s="18">
        <f>IF(F3="1",SUMIF(Data!$A:$A,$A$2,Data!JL:JL),0)</f>
        <v>676880</v>
      </c>
      <c r="F59" s="22">
        <f t="shared" si="3"/>
        <v>1.2719219949978484</v>
      </c>
    </row>
    <row r="60" spans="1:7" x14ac:dyDescent="0.2">
      <c r="A60" s="20">
        <v>25</v>
      </c>
      <c r="B60" s="202" t="s">
        <v>22</v>
      </c>
      <c r="C60" s="203"/>
      <c r="D60" s="15">
        <f>IF(F3="1",SUMIF(Data!A:A,$A$2,Data!DS:DS),0)</f>
        <v>4096802</v>
      </c>
      <c r="E60" s="18">
        <f>IF(F3="1",SUMIF(Data!$A:$A,$A$2,Data!JM:JM),0)</f>
        <v>2967804</v>
      </c>
      <c r="F60" s="22">
        <f t="shared" si="3"/>
        <v>0.72441968149790981</v>
      </c>
    </row>
    <row r="61" spans="1:7" x14ac:dyDescent="0.2">
      <c r="A61" s="20">
        <v>26</v>
      </c>
      <c r="B61" s="202" t="s">
        <v>23</v>
      </c>
      <c r="C61" s="203"/>
      <c r="D61" s="15">
        <f>IF(F3="1",SUMIF(Data!A:A,$A$2,Data!DT:DT),0)</f>
        <v>1227440</v>
      </c>
      <c r="E61" s="18">
        <f>IF(F3="1",SUMIF(Data!$A:$A,$A$2,Data!JN:JN),0)</f>
        <v>2228363</v>
      </c>
      <c r="F61" s="22">
        <f t="shared" si="3"/>
        <v>1.8154557452910123</v>
      </c>
    </row>
    <row r="62" spans="1:7" x14ac:dyDescent="0.2">
      <c r="A62" s="20">
        <v>28</v>
      </c>
      <c r="B62" s="202" t="s">
        <v>24</v>
      </c>
      <c r="C62" s="203"/>
      <c r="D62" s="15">
        <f>IF(F3="1",SUMIF(Data!A:A,$A$2,Data!DV:DV),0)</f>
        <v>2027904</v>
      </c>
      <c r="E62" s="18">
        <f>IF(F3="1",SUMIF(Data!$A:$A,$A$2,Data!JP:JP),0)</f>
        <v>1326595</v>
      </c>
      <c r="F62" s="22">
        <f t="shared" si="3"/>
        <v>0.65417051300258788</v>
      </c>
    </row>
    <row r="63" spans="1:7" ht="15.75" customHeight="1" thickBot="1" x14ac:dyDescent="0.25">
      <c r="A63" s="23">
        <v>29</v>
      </c>
      <c r="B63" s="206" t="s">
        <v>25</v>
      </c>
      <c r="C63" s="207"/>
      <c r="D63" s="24">
        <f>IF(F3="1",SUMIF(Data!A:A,$A$2,Data!DW:DW),0)</f>
        <v>1552928</v>
      </c>
      <c r="E63" s="25">
        <f>IF(F3="1",SUMIF(Data!$A:$A,$A$2,Data!JQ:JQ),0)</f>
        <v>1273530</v>
      </c>
      <c r="F63" s="26">
        <f t="shared" si="3"/>
        <v>0.8200830946444394</v>
      </c>
    </row>
    <row r="64" spans="1:7" x14ac:dyDescent="0.2">
      <c r="C64" s="14" t="s">
        <v>35</v>
      </c>
      <c r="D64" s="63">
        <f>SUM(D36:D63)</f>
        <v>23493357</v>
      </c>
      <c r="E64" s="5">
        <f>SUM(E36:E63)</f>
        <v>33371829</v>
      </c>
      <c r="F64" s="9">
        <f t="shared" si="3"/>
        <v>1.4204793721050593</v>
      </c>
      <c r="G64" s="62"/>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88855</v>
      </c>
      <c r="E67" s="16">
        <f>IF(F3="1",SUMIF(Data!A:A,$A$2,Data!DY:DY),0)</f>
        <v>115581</v>
      </c>
      <c r="F67" s="21">
        <f>IFERROR(E67/D67,"")</f>
        <v>1.3007821732035338</v>
      </c>
    </row>
    <row r="68" spans="1:6" x14ac:dyDescent="0.2">
      <c r="A68" s="20">
        <v>2</v>
      </c>
      <c r="B68" s="202" t="s">
        <v>1</v>
      </c>
      <c r="C68" s="203"/>
      <c r="D68" s="15">
        <f t="shared" ref="D68:D94" si="4">D37</f>
        <v>168013</v>
      </c>
      <c r="E68" s="18">
        <f>IF(F3="1",SUMIF(Data!A:A,$A$2,Data!DZ:DZ),0)</f>
        <v>732510</v>
      </c>
      <c r="F68" s="22">
        <f t="shared" ref="F68:F95" si="5">IFERROR(E68/D68,"")</f>
        <v>4.3598412027640716</v>
      </c>
    </row>
    <row r="69" spans="1:6" x14ac:dyDescent="0.2">
      <c r="A69" s="20">
        <v>3</v>
      </c>
      <c r="B69" s="202" t="s">
        <v>2</v>
      </c>
      <c r="C69" s="203"/>
      <c r="D69" s="15">
        <f t="shared" si="4"/>
        <v>2652208</v>
      </c>
      <c r="E69" s="18">
        <f>IF(F3="1",SUMIF(Data!A:A,$A$2,Data!EA:EA),0)</f>
        <v>8532226</v>
      </c>
      <c r="F69" s="22">
        <f t="shared" si="5"/>
        <v>3.2170274729583803</v>
      </c>
    </row>
    <row r="70" spans="1:6" x14ac:dyDescent="0.2">
      <c r="A70" s="20">
        <v>4</v>
      </c>
      <c r="B70" s="202" t="s">
        <v>3</v>
      </c>
      <c r="C70" s="203"/>
      <c r="D70" s="15">
        <f t="shared" si="4"/>
        <v>986266</v>
      </c>
      <c r="E70" s="18">
        <f>IF(F3="1",SUMIF(Data!A:A,$A$2,Data!EB:EB),0)</f>
        <v>3374037</v>
      </c>
      <c r="F70" s="22">
        <f t="shared" si="5"/>
        <v>3.4210213066251902</v>
      </c>
    </row>
    <row r="71" spans="1:6" x14ac:dyDescent="0.2">
      <c r="A71" s="20">
        <v>5</v>
      </c>
      <c r="B71" s="202" t="s">
        <v>4</v>
      </c>
      <c r="C71" s="203"/>
      <c r="D71" s="15">
        <f t="shared" si="4"/>
        <v>13328</v>
      </c>
      <c r="E71" s="18">
        <f>IF(F3="1",SUMIF(Data!A:A,$A$2,Data!EC:EC),0)</f>
        <v>74391</v>
      </c>
      <c r="F71" s="22">
        <f t="shared" si="5"/>
        <v>5.5815576230492194</v>
      </c>
    </row>
    <row r="72" spans="1:6" x14ac:dyDescent="0.2">
      <c r="A72" s="20">
        <v>6</v>
      </c>
      <c r="B72" s="202" t="s">
        <v>5</v>
      </c>
      <c r="C72" s="203"/>
      <c r="D72" s="15">
        <f t="shared" si="4"/>
        <v>290715</v>
      </c>
      <c r="E72" s="18">
        <f>IF(F3="1",SUMIF(Data!A:A,$A$2,Data!ED:ED),0)</f>
        <v>823364</v>
      </c>
      <c r="F72" s="22">
        <f t="shared" si="5"/>
        <v>2.8322033606797037</v>
      </c>
    </row>
    <row r="73" spans="1:6" x14ac:dyDescent="0.2">
      <c r="A73" s="20">
        <v>7</v>
      </c>
      <c r="B73" s="202" t="s">
        <v>6</v>
      </c>
      <c r="C73" s="203"/>
      <c r="D73" s="15">
        <f t="shared" si="4"/>
        <v>778512</v>
      </c>
      <c r="E73" s="18">
        <f>IF(F3="1",SUMIF(Data!A:A,$A$2,Data!EE:EE),0)</f>
        <v>4211763</v>
      </c>
      <c r="F73" s="22">
        <f t="shared" si="5"/>
        <v>5.4100168012824463</v>
      </c>
    </row>
    <row r="74" spans="1:6" x14ac:dyDescent="0.2">
      <c r="A74" s="20">
        <v>8</v>
      </c>
      <c r="B74" s="202" t="s">
        <v>7</v>
      </c>
      <c r="C74" s="203"/>
      <c r="D74" s="15">
        <f t="shared" si="4"/>
        <v>57269</v>
      </c>
      <c r="E74" s="18">
        <f>IF(F3="1",SUMIF(Data!A:A,$A$2,Data!EF:EF),0)</f>
        <v>189971</v>
      </c>
      <c r="F74" s="22">
        <f t="shared" si="5"/>
        <v>3.3171698475615079</v>
      </c>
    </row>
    <row r="75" spans="1:6" x14ac:dyDescent="0.2">
      <c r="A75" s="20">
        <v>9</v>
      </c>
      <c r="B75" s="202" t="s">
        <v>8</v>
      </c>
      <c r="C75" s="203"/>
      <c r="D75" s="15">
        <f t="shared" si="4"/>
        <v>597664</v>
      </c>
      <c r="E75" s="18">
        <f>IF(F3="1",SUMIF(Data!A:A,$A$2,Data!EG:EG),0)</f>
        <v>1426122</v>
      </c>
      <c r="F75" s="22">
        <f t="shared" si="5"/>
        <v>2.3861601167211006</v>
      </c>
    </row>
    <row r="76" spans="1:6" x14ac:dyDescent="0.2">
      <c r="A76" s="20">
        <v>10</v>
      </c>
      <c r="B76" s="202" t="s">
        <v>9</v>
      </c>
      <c r="C76" s="203"/>
      <c r="D76" s="15">
        <f t="shared" si="4"/>
        <v>29760</v>
      </c>
      <c r="E76" s="18">
        <f>IF(F3="1",SUMIF(Data!A:A,$A$2,Data!EH:EH),0)</f>
        <v>248460</v>
      </c>
      <c r="F76" s="22">
        <f t="shared" si="5"/>
        <v>8.3487903225806459</v>
      </c>
    </row>
    <row r="77" spans="1:6" x14ac:dyDescent="0.2">
      <c r="A77" s="20">
        <v>11</v>
      </c>
      <c r="B77" s="202" t="s">
        <v>10</v>
      </c>
      <c r="C77" s="203"/>
      <c r="D77" s="15">
        <f t="shared" si="4"/>
        <v>325157</v>
      </c>
      <c r="E77" s="18">
        <f>IF(F3="1",SUMIF(Data!A:A,$A$2,Data!EI:EI),0)</f>
        <v>1254174</v>
      </c>
      <c r="F77" s="22">
        <f t="shared" si="5"/>
        <v>3.8571336308306448</v>
      </c>
    </row>
    <row r="78" spans="1:6" x14ac:dyDescent="0.2">
      <c r="A78" s="20">
        <v>12</v>
      </c>
      <c r="B78" s="202" t="s">
        <v>11</v>
      </c>
      <c r="C78" s="203"/>
      <c r="D78" s="15">
        <f t="shared" si="4"/>
        <v>2916711</v>
      </c>
      <c r="E78" s="18">
        <f>IF(F3="1",SUMIF(Data!A:A,$A$2,Data!EJ:EJ),0)</f>
        <v>8724388</v>
      </c>
      <c r="F78" s="22">
        <f t="shared" si="5"/>
        <v>2.9911732770233321</v>
      </c>
    </row>
    <row r="79" spans="1:6" x14ac:dyDescent="0.2">
      <c r="A79" s="20">
        <v>13</v>
      </c>
      <c r="B79" s="202" t="s">
        <v>12</v>
      </c>
      <c r="C79" s="203"/>
      <c r="D79" s="15">
        <f t="shared" si="4"/>
        <v>819776</v>
      </c>
      <c r="E79" s="18">
        <f>IF(F3="1",SUMIF(Data!A:A,$A$2,Data!EK:EK),0)</f>
        <v>2130332</v>
      </c>
      <c r="F79" s="22">
        <f t="shared" si="5"/>
        <v>2.5986757358107582</v>
      </c>
    </row>
    <row r="80" spans="1:6" x14ac:dyDescent="0.2">
      <c r="A80" s="20">
        <v>14</v>
      </c>
      <c r="B80" s="202" t="s">
        <v>449</v>
      </c>
      <c r="C80" s="203"/>
      <c r="D80" s="15">
        <f t="shared" si="4"/>
        <v>583044</v>
      </c>
      <c r="E80" s="18">
        <f>IF(F3="1",SUMIF(Data!A:A,$A$2,Data!EL:EL),0)</f>
        <v>3843093</v>
      </c>
      <c r="F80" s="22">
        <f t="shared" si="5"/>
        <v>6.5914287772449418</v>
      </c>
    </row>
    <row r="81" spans="1:6" x14ac:dyDescent="0.2">
      <c r="A81" s="20">
        <v>15</v>
      </c>
      <c r="B81" s="202" t="s">
        <v>13</v>
      </c>
      <c r="C81" s="203"/>
      <c r="D81" s="15">
        <f t="shared" si="4"/>
        <v>0</v>
      </c>
      <c r="E81" s="18">
        <f>IF(F3="1",SUMIF(Data!A:A,$A$2,Data!EM:EM),0)</f>
        <v>0</v>
      </c>
      <c r="F81" s="22" t="str">
        <f t="shared" si="5"/>
        <v/>
      </c>
    </row>
    <row r="82" spans="1:6" x14ac:dyDescent="0.2">
      <c r="A82" s="20">
        <v>16</v>
      </c>
      <c r="B82" s="202" t="s">
        <v>14</v>
      </c>
      <c r="C82" s="203"/>
      <c r="D82" s="15">
        <f t="shared" si="4"/>
        <v>787317</v>
      </c>
      <c r="E82" s="18">
        <f>IF(F3="1",SUMIF(Data!A:A,$A$2,Data!EN:EN),0)</f>
        <v>2824239</v>
      </c>
      <c r="F82" s="22">
        <f t="shared" si="5"/>
        <v>3.5871688278037945</v>
      </c>
    </row>
    <row r="83" spans="1:6" x14ac:dyDescent="0.2">
      <c r="A83" s="20">
        <v>17</v>
      </c>
      <c r="B83" s="202" t="s">
        <v>15</v>
      </c>
      <c r="C83" s="203"/>
      <c r="D83" s="15">
        <f t="shared" si="4"/>
        <v>48784</v>
      </c>
      <c r="E83" s="18">
        <f>IF(F3="1",SUMIF(Data!A:A,$A$2,Data!EO:EO),0)</f>
        <v>320898</v>
      </c>
      <c r="F83" s="22">
        <f t="shared" si="5"/>
        <v>6.5779353886520173</v>
      </c>
    </row>
    <row r="84" spans="1:6" x14ac:dyDescent="0.2">
      <c r="A84" s="20">
        <v>18</v>
      </c>
      <c r="B84" s="202" t="s">
        <v>16</v>
      </c>
      <c r="C84" s="203"/>
      <c r="D84" s="15">
        <f t="shared" si="4"/>
        <v>224528</v>
      </c>
      <c r="E84" s="18">
        <f>IF(F3="1",SUMIF(Data!A:A,$A$2,Data!EP:EP),0)</f>
        <v>1629911</v>
      </c>
      <c r="F84" s="22">
        <f t="shared" si="5"/>
        <v>7.2592772393643559</v>
      </c>
    </row>
    <row r="85" spans="1:6" x14ac:dyDescent="0.2">
      <c r="A85" s="20">
        <v>19</v>
      </c>
      <c r="B85" s="202" t="s">
        <v>17</v>
      </c>
      <c r="C85" s="203"/>
      <c r="D85" s="15">
        <f t="shared" si="4"/>
        <v>1411724</v>
      </c>
      <c r="E85" s="18">
        <f>IF(F3="1",SUMIF(Data!A:A,$A$2,Data!EQ:EQ),0)</f>
        <v>3766983</v>
      </c>
      <c r="F85" s="22">
        <f t="shared" si="5"/>
        <v>2.668356562614222</v>
      </c>
    </row>
    <row r="86" spans="1:6" x14ac:dyDescent="0.2">
      <c r="A86" s="20">
        <v>20</v>
      </c>
      <c r="B86" s="202" t="s">
        <v>18</v>
      </c>
      <c r="C86" s="203"/>
      <c r="D86" s="15">
        <f t="shared" si="4"/>
        <v>241481</v>
      </c>
      <c r="E86" s="18">
        <f>IF(F3="1",SUMIF(Data!A:A,$A$2,Data!ER:ER),0)</f>
        <v>879918</v>
      </c>
      <c r="F86" s="22">
        <f t="shared" si="5"/>
        <v>3.6438394739130615</v>
      </c>
    </row>
    <row r="87" spans="1:6" x14ac:dyDescent="0.2">
      <c r="A87" s="20">
        <v>21</v>
      </c>
      <c r="B87" s="202" t="s">
        <v>446</v>
      </c>
      <c r="C87" s="203"/>
      <c r="D87" s="15">
        <f t="shared" si="4"/>
        <v>234299</v>
      </c>
      <c r="E87" s="18">
        <f>IF(F3="1",SUMIF(Data!A:A,$A$2,Data!ES:ES),0)</f>
        <v>738699</v>
      </c>
      <c r="F87" s="22">
        <f t="shared" si="5"/>
        <v>3.152804749486767</v>
      </c>
    </row>
    <row r="88" spans="1:6" x14ac:dyDescent="0.2">
      <c r="A88" s="20">
        <v>22</v>
      </c>
      <c r="B88" s="202" t="s">
        <v>19</v>
      </c>
      <c r="C88" s="203"/>
      <c r="D88" s="15">
        <f t="shared" si="4"/>
        <v>73453</v>
      </c>
      <c r="E88" s="18">
        <f>IF(F3="1",SUMIF(Data!A:A,$A$2,Data!ET:ET),0)</f>
        <v>127151</v>
      </c>
      <c r="F88" s="22">
        <f t="shared" si="5"/>
        <v>1.7310525097681511</v>
      </c>
    </row>
    <row r="89" spans="1:6" x14ac:dyDescent="0.2">
      <c r="A89" s="20">
        <v>23</v>
      </c>
      <c r="B89" s="202" t="s">
        <v>20</v>
      </c>
      <c r="C89" s="203"/>
      <c r="D89" s="15">
        <f t="shared" si="4"/>
        <v>727248</v>
      </c>
      <c r="E89" s="18">
        <f>IF(F3="1",SUMIF(Data!A:A,$A$2,Data!EU:EU),0)</f>
        <v>2838827</v>
      </c>
      <c r="F89" s="22">
        <f t="shared" si="5"/>
        <v>3.9035198446747188</v>
      </c>
    </row>
    <row r="90" spans="1:6" x14ac:dyDescent="0.2">
      <c r="A90" s="20">
        <v>24</v>
      </c>
      <c r="B90" s="202" t="s">
        <v>21</v>
      </c>
      <c r="C90" s="203"/>
      <c r="D90" s="15">
        <f t="shared" si="4"/>
        <v>532171</v>
      </c>
      <c r="E90" s="18">
        <f>IF(F3="1",SUMIF(Data!A:A,$A$2,Data!EV:EV),0)</f>
        <v>1646430</v>
      </c>
      <c r="F90" s="22">
        <f t="shared" si="5"/>
        <v>3.0937987977548569</v>
      </c>
    </row>
    <row r="91" spans="1:6" x14ac:dyDescent="0.2">
      <c r="A91" s="20">
        <v>25</v>
      </c>
      <c r="B91" s="202" t="s">
        <v>22</v>
      </c>
      <c r="C91" s="203"/>
      <c r="D91" s="15">
        <f t="shared" si="4"/>
        <v>4096802</v>
      </c>
      <c r="E91" s="18">
        <f>IF(F3="1",SUMIF(Data!A:A,$A$2,Data!EW:EW),0)</f>
        <v>11500463</v>
      </c>
      <c r="F91" s="22">
        <f t="shared" si="5"/>
        <v>2.8071805764593942</v>
      </c>
    </row>
    <row r="92" spans="1:6" x14ac:dyDescent="0.2">
      <c r="A92" s="20">
        <v>26</v>
      </c>
      <c r="B92" s="202" t="s">
        <v>23</v>
      </c>
      <c r="C92" s="203"/>
      <c r="D92" s="15">
        <f t="shared" si="4"/>
        <v>1227440</v>
      </c>
      <c r="E92" s="18">
        <f>IF(F3="1",SUMIF(Data!A:A,$A$2,Data!EX:EX),0)</f>
        <v>4647967</v>
      </c>
      <c r="F92" s="22">
        <f t="shared" si="5"/>
        <v>3.7867162549696931</v>
      </c>
    </row>
    <row r="93" spans="1:6" x14ac:dyDescent="0.2">
      <c r="A93" s="20">
        <v>28</v>
      </c>
      <c r="B93" s="202" t="s">
        <v>24</v>
      </c>
      <c r="C93" s="203"/>
      <c r="D93" s="15">
        <f t="shared" si="4"/>
        <v>2027904</v>
      </c>
      <c r="E93" s="18">
        <f>IF(F3="1",SUMIF(Data!A:A,$A$2,Data!EZ:EZ),0)</f>
        <v>5584127</v>
      </c>
      <c r="F93" s="22">
        <f t="shared" si="5"/>
        <v>2.7536446498453575</v>
      </c>
    </row>
    <row r="94" spans="1:6" ht="15.75" customHeight="1" thickBot="1" x14ac:dyDescent="0.25">
      <c r="A94" s="23">
        <v>29</v>
      </c>
      <c r="B94" s="206" t="s">
        <v>25</v>
      </c>
      <c r="C94" s="207"/>
      <c r="D94" s="24">
        <f t="shared" si="4"/>
        <v>1552928</v>
      </c>
      <c r="E94" s="25">
        <f>IF(F3="1",SUMIF(Data!A:A,$A$2,Data!FA:FA),0)</f>
        <v>4777322</v>
      </c>
      <c r="F94" s="26">
        <f t="shared" si="5"/>
        <v>3.0763319355436956</v>
      </c>
    </row>
    <row r="95" spans="1:6" x14ac:dyDescent="0.2">
      <c r="C95" s="14" t="s">
        <v>35</v>
      </c>
      <c r="D95" s="63">
        <f>SUM(D67:D94)</f>
        <v>23493357</v>
      </c>
      <c r="E95" s="5">
        <f>SUM(E67:E94)</f>
        <v>76963347</v>
      </c>
      <c r="F95" s="9">
        <f t="shared" si="5"/>
        <v>3.2759620943060628</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IF(F3="1",SUMIF(Data!A:A,$A$2,Data!AH:AH),0)</f>
        <v>44182946</v>
      </c>
      <c r="F98" s="21">
        <f t="shared" ref="F98:F105" si="6">IFERROR(E98/$D$95,0)</f>
        <v>1.8806569874198906</v>
      </c>
    </row>
    <row r="99" spans="2:6" x14ac:dyDescent="0.2">
      <c r="B99" s="212" t="s">
        <v>31</v>
      </c>
      <c r="C99" s="213"/>
      <c r="D99" s="37"/>
      <c r="E99" s="18">
        <f>IF(F3="1",SUMIF(Data!A:A,$A$2,Data!AI:AI),0)</f>
        <v>21411993</v>
      </c>
      <c r="F99" s="22">
        <f t="shared" si="6"/>
        <v>0.91140627539946717</v>
      </c>
    </row>
    <row r="100" spans="2:6" x14ac:dyDescent="0.2">
      <c r="B100" s="212" t="s">
        <v>32</v>
      </c>
      <c r="C100" s="213"/>
      <c r="D100" s="37"/>
      <c r="E100" s="18">
        <f>IF(F3="1",SUMIF(Data!A:A,$A$2,Data!AJ:AJ),0)</f>
        <v>18197917</v>
      </c>
      <c r="F100" s="22">
        <f t="shared" si="6"/>
        <v>0.77459841094654969</v>
      </c>
    </row>
    <row r="101" spans="2:6" x14ac:dyDescent="0.2">
      <c r="B101" s="212" t="s">
        <v>28</v>
      </c>
      <c r="C101" s="213"/>
      <c r="D101" s="37"/>
      <c r="E101" s="18">
        <f>IF(F3="1",SUMIF(Data!A:A,$A$2,Data!AK:AK),0)</f>
        <v>0</v>
      </c>
      <c r="F101" s="22">
        <f t="shared" si="6"/>
        <v>0</v>
      </c>
    </row>
    <row r="102" spans="2:6" x14ac:dyDescent="0.2">
      <c r="B102" s="212" t="s">
        <v>33</v>
      </c>
      <c r="C102" s="213"/>
      <c r="D102" s="37"/>
      <c r="E102" s="18">
        <f>IF(F3="1",SUMIF(Data!A:A,$A$2,Data!AL:AL),0)</f>
        <v>299917</v>
      </c>
      <c r="F102" s="22">
        <f t="shared" si="6"/>
        <v>1.2766034245340077E-2</v>
      </c>
    </row>
    <row r="103" spans="2:6" x14ac:dyDescent="0.2">
      <c r="B103" s="214" t="s">
        <v>34</v>
      </c>
      <c r="C103" s="215"/>
      <c r="D103" s="37"/>
      <c r="E103" s="18">
        <f>IF(F3="1",SUMIF(Data!A:A,$A$2,Data!AM:AM),0)</f>
        <v>4862129</v>
      </c>
      <c r="F103" s="22">
        <f t="shared" si="6"/>
        <v>0.20695760933611998</v>
      </c>
    </row>
    <row r="104" spans="2:6" ht="15.75" customHeight="1" thickBot="1" x14ac:dyDescent="0.25">
      <c r="B104" s="208" t="s">
        <v>29</v>
      </c>
      <c r="C104" s="209"/>
      <c r="D104" s="38"/>
      <c r="E104" s="25">
        <f>IF(F3="1",SUMIF(Data!A:A,$A$2,Data!Q:Q),0)</f>
        <v>9807691</v>
      </c>
      <c r="F104" s="26">
        <f t="shared" si="6"/>
        <v>0.41746656299480744</v>
      </c>
    </row>
    <row r="105" spans="2:6" x14ac:dyDescent="0.2">
      <c r="C105" s="14" t="s">
        <v>35</v>
      </c>
      <c r="D105" s="13">
        <f>D95</f>
        <v>23493357</v>
      </c>
      <c r="E105" s="5">
        <f>SUM(E98:E104)</f>
        <v>98762593</v>
      </c>
      <c r="F105" s="9">
        <f t="shared" si="6"/>
        <v>4.2038518803421754</v>
      </c>
    </row>
    <row r="107" spans="2:6" ht="15" thickBot="1" x14ac:dyDescent="0.25">
      <c r="B107" s="12" t="s">
        <v>919</v>
      </c>
    </row>
    <row r="108" spans="2:6" ht="28.5" x14ac:dyDescent="0.2">
      <c r="B108" s="46" t="s">
        <v>913</v>
      </c>
      <c r="C108" s="28" t="s">
        <v>917</v>
      </c>
      <c r="D108" s="28" t="s">
        <v>29</v>
      </c>
      <c r="E108" s="28" t="s">
        <v>918</v>
      </c>
      <c r="F108" s="47" t="s">
        <v>35</v>
      </c>
    </row>
    <row r="109" spans="2:6" x14ac:dyDescent="0.2">
      <c r="B109" s="43" t="s">
        <v>914</v>
      </c>
      <c r="C109" s="192">
        <f>E95+IF(F3="1",SUMIF(Data!$A:$A,$A$2,Data!GF:GF),0)</f>
        <v>86361221</v>
      </c>
      <c r="D109" s="192">
        <f>IF(F3="1",SUMIF(Data!$A:$A,$A$2,Data!HJ:HJ),0)</f>
        <v>12918160</v>
      </c>
      <c r="E109" s="192">
        <f>IF(F3="1",SUMIF(Data!$A:$A,$A$2,Data!IN:IN),0)</f>
        <v>11055794</v>
      </c>
      <c r="F109" s="48">
        <f>SUM(C109:E109)</f>
        <v>110335175</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184665</v>
      </c>
      <c r="D111" s="52"/>
      <c r="E111" s="193">
        <f>IF(F3="1",SUMIF(Data!A:A,$A$2,Data!AX:AX)-SUMIF(Data!A:A,$A$2,Data!AW:AW),0)</f>
        <v>38688</v>
      </c>
      <c r="F111" s="49">
        <f t="shared" si="7"/>
        <v>223353</v>
      </c>
    </row>
    <row r="112" spans="2:6" x14ac:dyDescent="0.2">
      <c r="B112" s="43" t="s">
        <v>32</v>
      </c>
      <c r="C112" s="193">
        <f>IF(F3="1",SUMIF(Data!A:A,$A$2,Data!V:V),0)</f>
        <v>12976863</v>
      </c>
      <c r="D112" s="52"/>
      <c r="E112" s="193">
        <f>IF(F3="1",SUMIF(Data!A:A,$A$2,Data!AC:AC),0)</f>
        <v>5221054</v>
      </c>
      <c r="F112" s="49">
        <f t="shared" si="7"/>
        <v>18197917</v>
      </c>
    </row>
    <row r="113" spans="1:6" x14ac:dyDescent="0.2">
      <c r="B113" s="43" t="s">
        <v>31</v>
      </c>
      <c r="C113" s="193">
        <f>IF(F3="1",SUMIF(Data!A:A,$A$2,Data!U:U),0)</f>
        <v>16835868</v>
      </c>
      <c r="D113" s="52"/>
      <c r="E113" s="193">
        <f>IF(F3="1",SUMIF(Data!A:A,$A$2,Data!AB:AB),0)</f>
        <v>4576125</v>
      </c>
      <c r="F113" s="49">
        <f t="shared" si="7"/>
        <v>21411993</v>
      </c>
    </row>
    <row r="114" spans="1:6" x14ac:dyDescent="0.2">
      <c r="B114" s="43" t="s">
        <v>1002</v>
      </c>
      <c r="C114" s="193">
        <f>IF(F3="1",SUMIF(Data!A:A,$A$2,Data!T:T),0)</f>
        <v>27028060</v>
      </c>
      <c r="D114" s="52"/>
      <c r="E114" s="193">
        <f>IF(F3="1",SUMIF(Data!A:A,$A$2,Data!AA:AA),0)</f>
        <v>17154886</v>
      </c>
      <c r="F114" s="49">
        <f t="shared" si="7"/>
        <v>44182946</v>
      </c>
    </row>
    <row r="115" spans="1:6" x14ac:dyDescent="0.2">
      <c r="B115" s="43" t="s">
        <v>916</v>
      </c>
      <c r="C115" s="193">
        <f>IF(F3="1",SUMIF(Data!A:A,$A$2,Data!BI:BI),0)</f>
        <v>7767463</v>
      </c>
      <c r="D115" s="193">
        <f>IF(F3="1",SUMIF(Data!A:A,$A$2,Data!BL:BL),0)</f>
        <v>3040338</v>
      </c>
      <c r="E115" s="193">
        <f>IF(F3="1",SUMIF(Data!A:A,$A$2,Data!BU:BU)-SUMIF(Data!A:A,$A$2,Data!BT:BT),0)</f>
        <v>24001452</v>
      </c>
      <c r="F115" s="49">
        <f t="shared" si="7"/>
        <v>34809253</v>
      </c>
    </row>
    <row r="116" spans="1:6" x14ac:dyDescent="0.2">
      <c r="B116" s="43" t="s">
        <v>33</v>
      </c>
      <c r="C116" s="193">
        <f>IF(F3="1",SUMIF(Data!A:A,$A$2,Data!X:X),0)</f>
        <v>0</v>
      </c>
      <c r="D116" s="51"/>
      <c r="E116" s="193">
        <f>E102-C116</f>
        <v>299917</v>
      </c>
      <c r="F116" s="49">
        <f t="shared" si="7"/>
        <v>299917</v>
      </c>
    </row>
    <row r="117" spans="1:6" ht="15" thickBot="1" x14ac:dyDescent="0.25">
      <c r="B117" s="44" t="s">
        <v>920</v>
      </c>
      <c r="C117" s="53"/>
      <c r="D117" s="53">
        <f>IF(F3="1",SUMIF(Data!A:A,$A$2,Data!Q:Q),0)</f>
        <v>9807691</v>
      </c>
      <c r="E117" s="53"/>
      <c r="F117" s="50">
        <f>SUM(C117:E117)</f>
        <v>9807691</v>
      </c>
    </row>
    <row r="118" spans="1:6" x14ac:dyDescent="0.2">
      <c r="B118" s="14" t="s">
        <v>35</v>
      </c>
      <c r="C118" s="178">
        <f>SUM(C109:C117)</f>
        <v>151154140</v>
      </c>
      <c r="D118" s="194">
        <f>SUM(D109:D117)</f>
        <v>25766189</v>
      </c>
      <c r="E118" s="178">
        <f>SUM(E109:E117)</f>
        <v>62347916</v>
      </c>
      <c r="F118" s="178">
        <f>SUM(F109:F117)</f>
        <v>239268245</v>
      </c>
    </row>
    <row r="119" spans="1:6" x14ac:dyDescent="0.2">
      <c r="C119" s="177"/>
      <c r="D119" s="177"/>
      <c r="E119" s="177"/>
    </row>
    <row r="120" spans="1:6" ht="15" thickBot="1" x14ac:dyDescent="0.25">
      <c r="B120" s="188" t="s">
        <v>921</v>
      </c>
      <c r="C120" s="53"/>
      <c r="D120" s="53"/>
      <c r="E120" s="195">
        <f>IF(F3="1",SUMIF(Data!A:A,$A$2,Data!AF:AF)+SUMIF(Data!A:A,$A$2,Data!AW:AW)+SUMIF(Data!A:A,$A$2,Data!BT:BT),0)</f>
        <v>4862129</v>
      </c>
      <c r="F120" s="181">
        <f>SUM(C120:E120)</f>
        <v>4862129</v>
      </c>
    </row>
    <row r="121" spans="1:6" s="177" customFormat="1" x14ac:dyDescent="0.2">
      <c r="B121" s="14" t="s">
        <v>35</v>
      </c>
      <c r="C121" s="178">
        <f>SUM(C120:C120)</f>
        <v>0</v>
      </c>
      <c r="D121" s="178">
        <f>SUM(D120:D120)</f>
        <v>0</v>
      </c>
      <c r="E121" s="178">
        <f>SUM(E120:E120)</f>
        <v>4862129</v>
      </c>
      <c r="F121" s="178">
        <f>SUM(F120:F120)</f>
        <v>4862129</v>
      </c>
    </row>
    <row r="122" spans="1:6" s="177" customFormat="1" ht="15" thickBot="1" x14ac:dyDescent="0.25">
      <c r="B122" s="14" t="s">
        <v>1396</v>
      </c>
      <c r="C122" s="178"/>
      <c r="D122" s="178"/>
      <c r="E122" s="178"/>
      <c r="F122" s="190">
        <f>F118+F121</f>
        <v>244130374</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18" width="9.140625" style="11"/>
    <col min="19" max="19" width="17.85546875" style="11" bestFit="1" customWidth="1"/>
    <col min="20" max="22" width="9.140625" style="11"/>
    <col min="23" max="23" width="17.85546875" style="11" bestFit="1" customWidth="1"/>
    <col min="24"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350</v>
      </c>
      <c r="B2" s="59" t="str">
        <f>VLOOKUP(A2,Data!A:G,7,0)</f>
        <v>Alvin Community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1152</v>
      </c>
      <c r="E5" s="16">
        <f>E36+E67+IFERROR($E$105/$D$105*D5,0)</f>
        <v>11915.957428986929</v>
      </c>
      <c r="F5" s="21">
        <f>IFERROR(E5/D5,"")</f>
        <v>10.343713045995598</v>
      </c>
    </row>
    <row r="6" spans="1:6" x14ac:dyDescent="0.2">
      <c r="A6" s="20">
        <v>2</v>
      </c>
      <c r="B6" s="202" t="s">
        <v>1</v>
      </c>
      <c r="C6" s="203"/>
      <c r="D6" s="15">
        <f t="shared" ref="D6:D32" si="0">D37</f>
        <v>19222</v>
      </c>
      <c r="E6" s="18">
        <f t="shared" ref="E6:E32" si="1">E37+E68+IFERROR($E$105/$D$105*D6,0)</f>
        <v>212806.71328123851</v>
      </c>
      <c r="F6" s="22">
        <f t="shared" ref="F6:F33" si="2">IFERROR(E6/D6,"")</f>
        <v>11.070997465468656</v>
      </c>
    </row>
    <row r="7" spans="1:6" ht="14.25" customHeight="1" x14ac:dyDescent="0.2">
      <c r="A7" s="20">
        <v>3</v>
      </c>
      <c r="B7" s="202" t="s">
        <v>2</v>
      </c>
      <c r="C7" s="203"/>
      <c r="D7" s="15">
        <f t="shared" si="0"/>
        <v>321216</v>
      </c>
      <c r="E7" s="18">
        <f t="shared" si="1"/>
        <v>2080947.7964491886</v>
      </c>
      <c r="F7" s="22">
        <f t="shared" si="2"/>
        <v>6.4783441561104942</v>
      </c>
    </row>
    <row r="8" spans="1:6" ht="14.25" customHeight="1" x14ac:dyDescent="0.2">
      <c r="A8" s="20">
        <v>4</v>
      </c>
      <c r="B8" s="202" t="s">
        <v>3</v>
      </c>
      <c r="C8" s="203"/>
      <c r="D8" s="15">
        <f t="shared" si="0"/>
        <v>273992</v>
      </c>
      <c r="E8" s="18">
        <f t="shared" si="1"/>
        <v>2486258.8471206482</v>
      </c>
      <c r="F8" s="22">
        <f t="shared" si="2"/>
        <v>9.0742023384648025</v>
      </c>
    </row>
    <row r="9" spans="1:6" x14ac:dyDescent="0.2">
      <c r="A9" s="20">
        <v>5</v>
      </c>
      <c r="B9" s="202" t="s">
        <v>4</v>
      </c>
      <c r="C9" s="203"/>
      <c r="D9" s="15">
        <f t="shared" si="0"/>
        <v>110</v>
      </c>
      <c r="E9" s="18">
        <f t="shared" si="1"/>
        <v>451.44732394840469</v>
      </c>
      <c r="F9" s="22">
        <f t="shared" si="2"/>
        <v>4.1040665813491337</v>
      </c>
    </row>
    <row r="10" spans="1:6" x14ac:dyDescent="0.2">
      <c r="A10" s="20">
        <v>6</v>
      </c>
      <c r="B10" s="202" t="s">
        <v>5</v>
      </c>
      <c r="C10" s="203"/>
      <c r="D10" s="15">
        <f t="shared" si="0"/>
        <v>29458</v>
      </c>
      <c r="E10" s="18">
        <f t="shared" si="1"/>
        <v>386803.79335338279</v>
      </c>
      <c r="F10" s="22">
        <f t="shared" si="2"/>
        <v>13.130687533212804</v>
      </c>
    </row>
    <row r="11" spans="1:6" x14ac:dyDescent="0.2">
      <c r="A11" s="20">
        <v>7</v>
      </c>
      <c r="B11" s="202" t="s">
        <v>6</v>
      </c>
      <c r="C11" s="203"/>
      <c r="D11" s="15">
        <f t="shared" si="0"/>
        <v>42449</v>
      </c>
      <c r="E11" s="18">
        <f t="shared" si="1"/>
        <v>804126.62231168943</v>
      </c>
      <c r="F11" s="22">
        <f t="shared" si="2"/>
        <v>18.943358437458819</v>
      </c>
    </row>
    <row r="12" spans="1:6" x14ac:dyDescent="0.2">
      <c r="A12" s="20">
        <v>8</v>
      </c>
      <c r="B12" s="202" t="s">
        <v>7</v>
      </c>
      <c r="C12" s="203"/>
      <c r="D12" s="15">
        <f t="shared" si="0"/>
        <v>2568</v>
      </c>
      <c r="E12" s="18">
        <f t="shared" si="1"/>
        <v>11782.988435450028</v>
      </c>
      <c r="F12" s="22">
        <f t="shared" si="2"/>
        <v>4.5883911352998554</v>
      </c>
    </row>
    <row r="13" spans="1:6" x14ac:dyDescent="0.2">
      <c r="A13" s="20">
        <v>9</v>
      </c>
      <c r="B13" s="202" t="s">
        <v>8</v>
      </c>
      <c r="C13" s="203"/>
      <c r="D13" s="15">
        <f t="shared" si="0"/>
        <v>75680</v>
      </c>
      <c r="E13" s="18">
        <f t="shared" si="1"/>
        <v>692416.7588765024</v>
      </c>
      <c r="F13" s="22">
        <f t="shared" si="2"/>
        <v>9.1492700697212257</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69736</v>
      </c>
      <c r="E15" s="18">
        <f t="shared" si="1"/>
        <v>925271.95075332676</v>
      </c>
      <c r="F15" s="22">
        <f t="shared" si="2"/>
        <v>13.268210834480422</v>
      </c>
    </row>
    <row r="16" spans="1:6" ht="14.25" customHeight="1" x14ac:dyDescent="0.2">
      <c r="A16" s="20">
        <v>12</v>
      </c>
      <c r="B16" s="202" t="s">
        <v>11</v>
      </c>
      <c r="C16" s="203"/>
      <c r="D16" s="15">
        <f t="shared" si="0"/>
        <v>198288</v>
      </c>
      <c r="E16" s="18">
        <f t="shared" si="1"/>
        <v>1597787.1724643752</v>
      </c>
      <c r="F16" s="22">
        <f t="shared" si="2"/>
        <v>8.0579115854937022</v>
      </c>
    </row>
    <row r="17" spans="1:6" x14ac:dyDescent="0.2">
      <c r="A17" s="20">
        <v>13</v>
      </c>
      <c r="B17" s="202" t="s">
        <v>12</v>
      </c>
      <c r="C17" s="203"/>
      <c r="D17" s="15">
        <f t="shared" si="0"/>
        <v>59808</v>
      </c>
      <c r="E17" s="18">
        <f t="shared" si="1"/>
        <v>460095.12318823807</v>
      </c>
      <c r="F17" s="22">
        <f t="shared" si="2"/>
        <v>7.6928692346883034</v>
      </c>
    </row>
    <row r="18" spans="1:6" ht="14.25" customHeight="1" x14ac:dyDescent="0.2">
      <c r="A18" s="20">
        <v>14</v>
      </c>
      <c r="B18" s="202" t="s">
        <v>449</v>
      </c>
      <c r="C18" s="203"/>
      <c r="D18" s="15">
        <f t="shared" si="0"/>
        <v>128678</v>
      </c>
      <c r="E18" s="18">
        <f t="shared" si="1"/>
        <v>1569838.2795548439</v>
      </c>
      <c r="F18" s="22">
        <f t="shared" si="2"/>
        <v>12.19974105561824</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216218</v>
      </c>
      <c r="E20" s="18">
        <f t="shared" si="1"/>
        <v>2327850.0862679649</v>
      </c>
      <c r="F20" s="22">
        <f t="shared" si="2"/>
        <v>10.766217827692259</v>
      </c>
    </row>
    <row r="21" spans="1:6" x14ac:dyDescent="0.2">
      <c r="A21" s="20">
        <v>17</v>
      </c>
      <c r="B21" s="202" t="s">
        <v>15</v>
      </c>
      <c r="C21" s="203"/>
      <c r="D21" s="15">
        <f t="shared" si="0"/>
        <v>31600</v>
      </c>
      <c r="E21" s="18">
        <f t="shared" si="1"/>
        <v>608092.77669790538</v>
      </c>
      <c r="F21" s="22">
        <f t="shared" si="2"/>
        <v>19.243442300566628</v>
      </c>
    </row>
    <row r="22" spans="1:6" x14ac:dyDescent="0.2">
      <c r="A22" s="20">
        <v>18</v>
      </c>
      <c r="B22" s="202" t="s">
        <v>16</v>
      </c>
      <c r="C22" s="203"/>
      <c r="D22" s="15">
        <f t="shared" si="0"/>
        <v>48016</v>
      </c>
      <c r="E22" s="18">
        <f t="shared" si="1"/>
        <v>604793.17006096907</v>
      </c>
      <c r="F22" s="22">
        <f t="shared" si="2"/>
        <v>12.595659156551338</v>
      </c>
    </row>
    <row r="23" spans="1:6" x14ac:dyDescent="0.2">
      <c r="A23" s="20">
        <v>19</v>
      </c>
      <c r="B23" s="202" t="s">
        <v>17</v>
      </c>
      <c r="C23" s="203"/>
      <c r="D23" s="15">
        <f t="shared" si="0"/>
        <v>96112</v>
      </c>
      <c r="E23" s="18">
        <f t="shared" si="1"/>
        <v>849156.39272117335</v>
      </c>
      <c r="F23" s="22">
        <f t="shared" si="2"/>
        <v>8.8350715074202313</v>
      </c>
    </row>
    <row r="24" spans="1:6" x14ac:dyDescent="0.2">
      <c r="A24" s="20">
        <v>20</v>
      </c>
      <c r="B24" s="202" t="s">
        <v>18</v>
      </c>
      <c r="C24" s="203"/>
      <c r="D24" s="15">
        <f t="shared" si="0"/>
        <v>25888</v>
      </c>
      <c r="E24" s="18">
        <f t="shared" si="1"/>
        <v>278699.8211125118</v>
      </c>
      <c r="F24" s="22">
        <f t="shared" si="2"/>
        <v>10.765598775977743</v>
      </c>
    </row>
    <row r="25" spans="1:6" ht="14.25" customHeight="1" x14ac:dyDescent="0.2">
      <c r="A25" s="20">
        <v>21</v>
      </c>
      <c r="B25" s="202" t="s">
        <v>446</v>
      </c>
      <c r="C25" s="203"/>
      <c r="D25" s="15">
        <f t="shared" si="0"/>
        <v>0</v>
      </c>
      <c r="E25" s="18">
        <f t="shared" si="1"/>
        <v>0</v>
      </c>
      <c r="F25" s="22" t="str">
        <f t="shared" si="2"/>
        <v/>
      </c>
    </row>
    <row r="26" spans="1:6" x14ac:dyDescent="0.2">
      <c r="A26" s="20">
        <v>22</v>
      </c>
      <c r="B26" s="202" t="s">
        <v>19</v>
      </c>
      <c r="C26" s="203"/>
      <c r="D26" s="15">
        <f t="shared" si="0"/>
        <v>8844</v>
      </c>
      <c r="E26" s="18">
        <f t="shared" si="1"/>
        <v>38589.964845451737</v>
      </c>
      <c r="F26" s="22">
        <f t="shared" si="2"/>
        <v>4.3634062466589478</v>
      </c>
    </row>
    <row r="27" spans="1:6" x14ac:dyDescent="0.2">
      <c r="A27" s="20">
        <v>23</v>
      </c>
      <c r="B27" s="202" t="s">
        <v>20</v>
      </c>
      <c r="C27" s="203"/>
      <c r="D27" s="15">
        <f t="shared" si="0"/>
        <v>48992</v>
      </c>
      <c r="E27" s="18">
        <f t="shared" si="1"/>
        <v>681078.41177163855</v>
      </c>
      <c r="F27" s="22">
        <f t="shared" si="2"/>
        <v>13.901829110296346</v>
      </c>
    </row>
    <row r="28" spans="1:6" x14ac:dyDescent="0.2">
      <c r="A28" s="20">
        <v>24</v>
      </c>
      <c r="B28" s="202" t="s">
        <v>21</v>
      </c>
      <c r="C28" s="203"/>
      <c r="D28" s="15">
        <f t="shared" si="0"/>
        <v>74024</v>
      </c>
      <c r="E28" s="18">
        <f t="shared" si="1"/>
        <v>707601.57007233368</v>
      </c>
      <c r="F28" s="22">
        <f t="shared" si="2"/>
        <v>9.5590831361765591</v>
      </c>
    </row>
    <row r="29" spans="1:6" x14ac:dyDescent="0.2">
      <c r="A29" s="20">
        <v>25</v>
      </c>
      <c r="B29" s="202" t="s">
        <v>22</v>
      </c>
      <c r="C29" s="203"/>
      <c r="D29" s="15">
        <f t="shared" si="0"/>
        <v>346864</v>
      </c>
      <c r="E29" s="18">
        <f t="shared" si="1"/>
        <v>2831938.4597639949</v>
      </c>
      <c r="F29" s="22">
        <f t="shared" si="2"/>
        <v>8.1644058183149451</v>
      </c>
    </row>
    <row r="30" spans="1:6" x14ac:dyDescent="0.2">
      <c r="A30" s="20">
        <v>26</v>
      </c>
      <c r="B30" s="202" t="s">
        <v>23</v>
      </c>
      <c r="C30" s="203"/>
      <c r="D30" s="15">
        <f t="shared" si="0"/>
        <v>112512</v>
      </c>
      <c r="E30" s="18">
        <f t="shared" si="1"/>
        <v>1703589.1755643901</v>
      </c>
      <c r="F30" s="22">
        <f t="shared" si="2"/>
        <v>15.141399811259156</v>
      </c>
    </row>
    <row r="31" spans="1:6" x14ac:dyDescent="0.2">
      <c r="A31" s="20">
        <v>28</v>
      </c>
      <c r="B31" s="202" t="s">
        <v>24</v>
      </c>
      <c r="C31" s="203"/>
      <c r="D31" s="15">
        <f t="shared" si="0"/>
        <v>105632</v>
      </c>
      <c r="E31" s="18">
        <f t="shared" si="1"/>
        <v>906624.65203016251</v>
      </c>
      <c r="F31" s="22">
        <f t="shared" si="2"/>
        <v>8.5828598533603699</v>
      </c>
    </row>
    <row r="32" spans="1:6" ht="15.75" customHeight="1" thickBot="1" x14ac:dyDescent="0.25">
      <c r="A32" s="23">
        <v>29</v>
      </c>
      <c r="B32" s="206" t="s">
        <v>25</v>
      </c>
      <c r="C32" s="207"/>
      <c r="D32" s="24">
        <f t="shared" si="0"/>
        <v>38736</v>
      </c>
      <c r="E32" s="25">
        <f t="shared" si="1"/>
        <v>384968.06854968547</v>
      </c>
      <c r="F32" s="26">
        <f t="shared" si="2"/>
        <v>9.9382504272430161</v>
      </c>
    </row>
    <row r="33" spans="1:6" x14ac:dyDescent="0.2">
      <c r="B33" s="31" t="s">
        <v>35</v>
      </c>
      <c r="C33" s="31"/>
      <c r="D33" s="60">
        <f>SUM(D5:D32)</f>
        <v>2375795</v>
      </c>
      <c r="E33" s="32">
        <f>SUM(E5:E32)</f>
        <v>23163486.000000004</v>
      </c>
      <c r="F33" s="33">
        <f t="shared" si="2"/>
        <v>9.7497831252275571</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IF(F3="1",SUMIF(Data!A:A,'2'!$A$2,Data!CU:CU),0)</f>
        <v>1152</v>
      </c>
      <c r="E36" s="16">
        <f>IF(F3="1",SUMIF(Data!$A:$A,'2'!$A$2,Data!IO:IO),0)</f>
        <v>1013</v>
      </c>
      <c r="F36" s="21">
        <f t="shared" ref="F36:F64" si="3">IFERROR(E36/D36,"")</f>
        <v>0.87934027777777779</v>
      </c>
    </row>
    <row r="37" spans="1:6" x14ac:dyDescent="0.2">
      <c r="A37" s="20">
        <v>2</v>
      </c>
      <c r="B37" s="202" t="s">
        <v>1</v>
      </c>
      <c r="C37" s="203"/>
      <c r="D37" s="15">
        <f>IF(F3="1",SUMIF(Data!A:A,'2'!$A$2,Data!CV:CV),0)</f>
        <v>19222</v>
      </c>
      <c r="E37" s="18">
        <f>IF(F3="1",SUMIF(Data!$A:$A,'2'!$A$2,Data!IP:IP),0)</f>
        <v>46123</v>
      </c>
      <c r="F37" s="22">
        <f t="shared" si="3"/>
        <v>2.3994901675163876</v>
      </c>
    </row>
    <row r="38" spans="1:6" ht="14.25" customHeight="1" x14ac:dyDescent="0.2">
      <c r="A38" s="20">
        <v>3</v>
      </c>
      <c r="B38" s="202" t="s">
        <v>2</v>
      </c>
      <c r="C38" s="203"/>
      <c r="D38" s="15">
        <f>IF(F3="1",SUMIF(Data!A:A,'2'!$A$2,Data!CW:CW),0)</f>
        <v>321216</v>
      </c>
      <c r="E38" s="18">
        <f>IF(F3="1",SUMIF(Data!$A:$A,'2'!$A$2,Data!IQ:IQ),0)</f>
        <v>202072</v>
      </c>
      <c r="F38" s="22">
        <f t="shared" si="3"/>
        <v>0.62908447897987652</v>
      </c>
    </row>
    <row r="39" spans="1:6" ht="14.25" customHeight="1" x14ac:dyDescent="0.2">
      <c r="A39" s="20">
        <v>4</v>
      </c>
      <c r="B39" s="202" t="s">
        <v>3</v>
      </c>
      <c r="C39" s="203"/>
      <c r="D39" s="15">
        <f>IF(F3="1",SUMIF(Data!A:A,'2'!$A$2,Data!CX:CX),0)</f>
        <v>273992</v>
      </c>
      <c r="E39" s="18">
        <f>IF(F3="1",SUMIF(Data!$A:$A,'2'!$A$2,Data!IR:IR),0)</f>
        <v>225293</v>
      </c>
      <c r="F39" s="22">
        <f t="shared" si="3"/>
        <v>0.82226123390463957</v>
      </c>
    </row>
    <row r="40" spans="1:6" x14ac:dyDescent="0.2">
      <c r="A40" s="20">
        <v>5</v>
      </c>
      <c r="B40" s="202" t="s">
        <v>4</v>
      </c>
      <c r="C40" s="203"/>
      <c r="D40" s="15">
        <f>IF(F3="1",SUMIF(Data!A:A,'2'!$A$2,Data!CY:CY),0)</f>
        <v>110</v>
      </c>
      <c r="E40" s="18">
        <f>IF(F3="1",SUMIF(Data!$A:$A,'2'!$A$2,Data!IS:IS),0)</f>
        <v>21</v>
      </c>
      <c r="F40" s="22">
        <f t="shared" si="3"/>
        <v>0.19090909090909092</v>
      </c>
    </row>
    <row r="41" spans="1:6" x14ac:dyDescent="0.2">
      <c r="A41" s="20">
        <v>6</v>
      </c>
      <c r="B41" s="202" t="s">
        <v>5</v>
      </c>
      <c r="C41" s="203"/>
      <c r="D41" s="15">
        <f>IF(F3="1",SUMIF(Data!A:A,'2'!$A$2,Data!CZ:CZ),0)</f>
        <v>29458</v>
      </c>
      <c r="E41" s="18">
        <f>IF(F3="1",SUMIF(Data!$A:$A,'2'!$A$2,Data!IT:IT),0)</f>
        <v>79258</v>
      </c>
      <c r="F41" s="22">
        <f t="shared" si="3"/>
        <v>2.6905424672414964</v>
      </c>
    </row>
    <row r="42" spans="1:6" x14ac:dyDescent="0.2">
      <c r="A42" s="20">
        <v>7</v>
      </c>
      <c r="B42" s="202" t="s">
        <v>6</v>
      </c>
      <c r="C42" s="203"/>
      <c r="D42" s="15">
        <f>IF(F3="1",SUMIF(Data!A:A,'2'!$A$2,Data!DA:DA),0)</f>
        <v>42449</v>
      </c>
      <c r="E42" s="18">
        <f>IF(F3="1",SUMIF(Data!$A:$A,'2'!$A$2,Data!IU:IU),0)</f>
        <v>182740</v>
      </c>
      <c r="F42" s="22">
        <f t="shared" si="3"/>
        <v>4.3049306226295085</v>
      </c>
    </row>
    <row r="43" spans="1:6" x14ac:dyDescent="0.2">
      <c r="A43" s="20">
        <v>8</v>
      </c>
      <c r="B43" s="202" t="s">
        <v>7</v>
      </c>
      <c r="C43" s="203"/>
      <c r="D43" s="15">
        <f>IF(F3="1",SUMIF(Data!A:A,'2'!$A$2,Data!DB:DB),0)</f>
        <v>2568</v>
      </c>
      <c r="E43" s="18">
        <f>IF(F3="1",SUMIF(Data!$A:$A,'2'!$A$2,Data!IV:IV),0)</f>
        <v>627</v>
      </c>
      <c r="F43" s="22">
        <f t="shared" si="3"/>
        <v>0.24415887850467291</v>
      </c>
    </row>
    <row r="44" spans="1:6" x14ac:dyDescent="0.2">
      <c r="A44" s="20">
        <v>9</v>
      </c>
      <c r="B44" s="202" t="s">
        <v>8</v>
      </c>
      <c r="C44" s="203"/>
      <c r="D44" s="15">
        <f>IF(F3="1",SUMIF(Data!A:A,'2'!$A$2,Data!DC:DC),0)</f>
        <v>75680</v>
      </c>
      <c r="E44" s="18">
        <f>IF(F3="1",SUMIF(Data!$A:$A,'2'!$A$2,Data!IW:IW),0)</f>
        <v>74031</v>
      </c>
      <c r="F44" s="22">
        <f t="shared" si="3"/>
        <v>0.97821088794926003</v>
      </c>
    </row>
    <row r="45" spans="1:6" x14ac:dyDescent="0.2">
      <c r="A45" s="20">
        <v>10</v>
      </c>
      <c r="B45" s="202" t="s">
        <v>9</v>
      </c>
      <c r="C45" s="203"/>
      <c r="D45" s="15">
        <f>IF(F3="1",SUMIF(Data!A:A,'2'!$A$2,Data!DD:DD),0)</f>
        <v>0</v>
      </c>
      <c r="E45" s="18">
        <f>IF(F3="1",SUMIF(Data!$A:$A,'2'!$A$2,Data!IX:IX),0)</f>
        <v>0</v>
      </c>
      <c r="F45" s="22" t="str">
        <f t="shared" si="3"/>
        <v/>
      </c>
    </row>
    <row r="46" spans="1:6" x14ac:dyDescent="0.2">
      <c r="A46" s="20">
        <v>11</v>
      </c>
      <c r="B46" s="202" t="s">
        <v>10</v>
      </c>
      <c r="C46" s="203"/>
      <c r="D46" s="15">
        <f>IF(F3="1",SUMIF(Data!A:A,'2'!$A$2,Data!DE:DE),0)</f>
        <v>69736</v>
      </c>
      <c r="E46" s="18">
        <f>IF(F3="1",SUMIF(Data!$A:$A,'2'!$A$2,Data!IY:IY),0)</f>
        <v>195329</v>
      </c>
      <c r="F46" s="22">
        <f t="shared" si="3"/>
        <v>2.8009779740736493</v>
      </c>
    </row>
    <row r="47" spans="1:6" ht="14.25" customHeight="1" x14ac:dyDescent="0.2">
      <c r="A47" s="20">
        <v>12</v>
      </c>
      <c r="B47" s="202" t="s">
        <v>11</v>
      </c>
      <c r="C47" s="203"/>
      <c r="D47" s="15">
        <f>IF(F3="1",SUMIF(Data!A:A,'2'!$A$2,Data!DF:DF),0)</f>
        <v>198288</v>
      </c>
      <c r="E47" s="18">
        <f>IF(F3="1",SUMIF(Data!$A:$A,'2'!$A$2,Data!IZ:IZ),0)</f>
        <v>129506</v>
      </c>
      <c r="F47" s="22">
        <f t="shared" si="3"/>
        <v>0.65312071330589849</v>
      </c>
    </row>
    <row r="48" spans="1:6" x14ac:dyDescent="0.2">
      <c r="A48" s="20">
        <v>13</v>
      </c>
      <c r="B48" s="202" t="s">
        <v>12</v>
      </c>
      <c r="C48" s="203"/>
      <c r="D48" s="15">
        <f>IF(F3="1",SUMIF(Data!A:A,'2'!$A$2,Data!DG:DG),0)</f>
        <v>59808</v>
      </c>
      <c r="E48" s="18">
        <f>IF(F3="1",SUMIF(Data!$A:$A,'2'!$A$2,Data!JA:JA),0)</f>
        <v>36295</v>
      </c>
      <c r="F48" s="22">
        <f t="shared" si="3"/>
        <v>0.60685861423220977</v>
      </c>
    </row>
    <row r="49" spans="1:6" ht="14.25" customHeight="1" x14ac:dyDescent="0.2">
      <c r="A49" s="20">
        <v>14</v>
      </c>
      <c r="B49" s="202" t="s">
        <v>449</v>
      </c>
      <c r="C49" s="203"/>
      <c r="D49" s="15">
        <f>IF(F3="1",SUMIF(Data!A:A,'2'!$A$2,Data!DH:DH),0)</f>
        <v>128678</v>
      </c>
      <c r="E49" s="18">
        <f>IF(F3="1",SUMIF(Data!$A:$A,'2'!$A$2,Data!JB:JB),0)</f>
        <v>174080</v>
      </c>
      <c r="F49" s="22">
        <f t="shared" si="3"/>
        <v>1.3528342063134335</v>
      </c>
    </row>
    <row r="50" spans="1:6" x14ac:dyDescent="0.2">
      <c r="A50" s="20">
        <v>15</v>
      </c>
      <c r="B50" s="202" t="s">
        <v>13</v>
      </c>
      <c r="C50" s="203"/>
      <c r="D50" s="15">
        <f>IF(F3="1",SUMIF(Data!A:A,'2'!$A$2,Data!DI:DI),0)</f>
        <v>0</v>
      </c>
      <c r="E50" s="18">
        <f>IF(F3="1",SUMIF(Data!$A:$A,'2'!$A$2,Data!JC:JC),0)</f>
        <v>0</v>
      </c>
      <c r="F50" s="22" t="str">
        <f t="shared" si="3"/>
        <v/>
      </c>
    </row>
    <row r="51" spans="1:6" x14ac:dyDescent="0.2">
      <c r="A51" s="20">
        <v>16</v>
      </c>
      <c r="B51" s="202" t="s">
        <v>14</v>
      </c>
      <c r="C51" s="203"/>
      <c r="D51" s="15">
        <f>IF(F3="1",SUMIF(Data!A:A,'2'!$A$2,Data!DJ:DJ),0)</f>
        <v>216218</v>
      </c>
      <c r="E51" s="18">
        <f>IF(F3="1",SUMIF(Data!$A:$A,'2'!$A$2,Data!JD:JD),0)</f>
        <v>337660</v>
      </c>
      <c r="F51" s="22">
        <f t="shared" si="3"/>
        <v>1.5616646162669159</v>
      </c>
    </row>
    <row r="52" spans="1:6" x14ac:dyDescent="0.2">
      <c r="A52" s="20">
        <v>17</v>
      </c>
      <c r="B52" s="202" t="s">
        <v>15</v>
      </c>
      <c r="C52" s="203"/>
      <c r="D52" s="15">
        <f>IF(F3="1",SUMIF(Data!A:A,'2'!$A$2,Data!DK:DK),0)</f>
        <v>31600</v>
      </c>
      <c r="E52" s="18">
        <f>IF(F3="1",SUMIF(Data!$A:$A,'2'!$A$2,Data!JE:JE),0)</f>
        <v>95213</v>
      </c>
      <c r="F52" s="22">
        <f t="shared" si="3"/>
        <v>3.0130696202531646</v>
      </c>
    </row>
    <row r="53" spans="1:6" x14ac:dyDescent="0.2">
      <c r="A53" s="20">
        <v>18</v>
      </c>
      <c r="B53" s="202" t="s">
        <v>16</v>
      </c>
      <c r="C53" s="203"/>
      <c r="D53" s="15">
        <f>IF(F3="1",SUMIF(Data!A:A,'2'!$A$2,Data!DL:DL),0)</f>
        <v>48016</v>
      </c>
      <c r="E53" s="18">
        <f>IF(F3="1",SUMIF(Data!$A:$A,'2'!$A$2,Data!JF:JF),0)</f>
        <v>65695</v>
      </c>
      <c r="F53" s="22">
        <f t="shared" si="3"/>
        <v>1.3681897700766412</v>
      </c>
    </row>
    <row r="54" spans="1:6" x14ac:dyDescent="0.2">
      <c r="A54" s="20">
        <v>19</v>
      </c>
      <c r="B54" s="202" t="s">
        <v>17</v>
      </c>
      <c r="C54" s="203"/>
      <c r="D54" s="15">
        <f>IF(F3="1",SUMIF(Data!A:A,'2'!$A$2,Data!DM:DM),0)</f>
        <v>96112</v>
      </c>
      <c r="E54" s="18">
        <f>IF(F3="1",SUMIF(Data!$A:$A,'2'!$A$2,Data!JG:JG),0)</f>
        <v>71931</v>
      </c>
      <c r="F54" s="22">
        <f t="shared" si="3"/>
        <v>0.74840810720825701</v>
      </c>
    </row>
    <row r="55" spans="1:6" x14ac:dyDescent="0.2">
      <c r="A55" s="20">
        <v>20</v>
      </c>
      <c r="B55" s="202" t="s">
        <v>18</v>
      </c>
      <c r="C55" s="203"/>
      <c r="D55" s="15">
        <f>IF(F3="1",SUMIF(Data!A:A,'2'!$A$2,Data!DN:DN),0)</f>
        <v>25888</v>
      </c>
      <c r="E55" s="18">
        <f>IF(F3="1",SUMIF(Data!$A:$A,'2'!$A$2,Data!JH:JH),0)</f>
        <v>66963</v>
      </c>
      <c r="F55" s="22">
        <f t="shared" si="3"/>
        <v>2.5866424598269466</v>
      </c>
    </row>
    <row r="56" spans="1:6" ht="14.25" customHeight="1" x14ac:dyDescent="0.2">
      <c r="A56" s="20">
        <v>21</v>
      </c>
      <c r="B56" s="202" t="s">
        <v>446</v>
      </c>
      <c r="C56" s="203"/>
      <c r="D56" s="15">
        <f>IF(F3="1",SUMIF(Data!A:A,'2'!$A$2,Data!DO:DO),0)</f>
        <v>0</v>
      </c>
      <c r="E56" s="18">
        <f>IF(F3="1",SUMIF(Data!$A:$A,'2'!$A$2,Data!JI:JI),0)</f>
        <v>0</v>
      </c>
      <c r="F56" s="22" t="str">
        <f t="shared" si="3"/>
        <v/>
      </c>
    </row>
    <row r="57" spans="1:6" x14ac:dyDescent="0.2">
      <c r="A57" s="20">
        <v>22</v>
      </c>
      <c r="B57" s="202" t="s">
        <v>19</v>
      </c>
      <c r="C57" s="203"/>
      <c r="D57" s="15">
        <f>IF(F3="1",SUMIF(Data!A:A,'2'!$A$2,Data!DP:DP),0)</f>
        <v>8844</v>
      </c>
      <c r="E57" s="18">
        <f>IF(F3="1",SUMIF(Data!$A:$A,'2'!$A$2,Data!JJ:JJ),0)</f>
        <v>2297</v>
      </c>
      <c r="F57" s="22">
        <f t="shared" si="3"/>
        <v>0.25972410673903212</v>
      </c>
    </row>
    <row r="58" spans="1:6" x14ac:dyDescent="0.2">
      <c r="A58" s="20">
        <v>23</v>
      </c>
      <c r="B58" s="202" t="s">
        <v>20</v>
      </c>
      <c r="C58" s="203"/>
      <c r="D58" s="15">
        <f>IF(F3="1",SUMIF(Data!A:A,'2'!$A$2,Data!DQ:DQ),0)</f>
        <v>48992</v>
      </c>
      <c r="E58" s="18">
        <f>IF(F3="1",SUMIF(Data!$A:$A,'2'!$A$2,Data!JK:JK),0)</f>
        <v>81279</v>
      </c>
      <c r="F58" s="22">
        <f t="shared" si="3"/>
        <v>1.6590259634225997</v>
      </c>
    </row>
    <row r="59" spans="1:6" x14ac:dyDescent="0.2">
      <c r="A59" s="20">
        <v>24</v>
      </c>
      <c r="B59" s="202" t="s">
        <v>21</v>
      </c>
      <c r="C59" s="203"/>
      <c r="D59" s="15">
        <f>IF(F3="1",SUMIF(Data!A:A,'2'!$A$2,Data!DR:DR),0)</f>
        <v>74024</v>
      </c>
      <c r="E59" s="18">
        <f>IF(F3="1",SUMIF(Data!$A:$A,'2'!$A$2,Data!JL:JL),0)</f>
        <v>93330</v>
      </c>
      <c r="F59" s="22">
        <f t="shared" si="3"/>
        <v>1.2608073057386793</v>
      </c>
    </row>
    <row r="60" spans="1:6" x14ac:dyDescent="0.2">
      <c r="A60" s="20">
        <v>25</v>
      </c>
      <c r="B60" s="202" t="s">
        <v>22</v>
      </c>
      <c r="C60" s="203"/>
      <c r="D60" s="15">
        <f>IF(F3="1",SUMIF(Data!A:A,'2'!$A$2,Data!DS:DS),0)</f>
        <v>346864</v>
      </c>
      <c r="E60" s="18">
        <f>IF(F3="1",SUMIF(Data!$A:$A,'2'!$A$2,Data!JM:JM),0)</f>
        <v>230064</v>
      </c>
      <c r="F60" s="22">
        <f t="shared" si="3"/>
        <v>0.66326860095022833</v>
      </c>
    </row>
    <row r="61" spans="1:6" x14ac:dyDescent="0.2">
      <c r="A61" s="20">
        <v>26</v>
      </c>
      <c r="B61" s="202" t="s">
        <v>23</v>
      </c>
      <c r="C61" s="203"/>
      <c r="D61" s="15">
        <f>IF(F3="1",SUMIF(Data!A:A,'2'!$A$2,Data!DT:DT),0)</f>
        <v>112512</v>
      </c>
      <c r="E61" s="18">
        <f>IF(F3="1",SUMIF(Data!$A:$A,'2'!$A$2,Data!JN:JN),0)</f>
        <v>241037</v>
      </c>
      <c r="F61" s="22">
        <f t="shared" si="3"/>
        <v>2.1423225967007964</v>
      </c>
    </row>
    <row r="62" spans="1:6" x14ac:dyDescent="0.2">
      <c r="A62" s="20">
        <v>28</v>
      </c>
      <c r="B62" s="202" t="s">
        <v>24</v>
      </c>
      <c r="C62" s="203"/>
      <c r="D62" s="15">
        <f>IF(F3="1",SUMIF(Data!A:A,'2'!$A$2,Data!DV:DV),0)</f>
        <v>105632</v>
      </c>
      <c r="E62" s="18">
        <f>IF(F3="1",SUMIF(Data!$A:$A,'2'!$A$2,Data!JP:JP),0)</f>
        <v>72796</v>
      </c>
      <c r="F62" s="22">
        <f t="shared" si="3"/>
        <v>0.68914722811269313</v>
      </c>
    </row>
    <row r="63" spans="1:6" ht="15.75" customHeight="1" thickBot="1" x14ac:dyDescent="0.25">
      <c r="A63" s="23">
        <v>29</v>
      </c>
      <c r="B63" s="206" t="s">
        <v>25</v>
      </c>
      <c r="C63" s="207"/>
      <c r="D63" s="24">
        <f>IF(F3="1",SUMIF(Data!A:A,'2'!$A$2,Data!DW:DW),0)</f>
        <v>38736</v>
      </c>
      <c r="E63" s="25">
        <f>IF(F3="1",SUMIF(Data!$A:$A,'2'!$A$2,Data!JQ:JQ),0)</f>
        <v>44675</v>
      </c>
      <c r="F63" s="26">
        <f t="shared" si="3"/>
        <v>1.1533199091284594</v>
      </c>
    </row>
    <row r="64" spans="1:6" x14ac:dyDescent="0.2">
      <c r="B64" s="31" t="s">
        <v>35</v>
      </c>
      <c r="C64" s="31"/>
      <c r="D64" s="60">
        <f>SUM(D36:D63)</f>
        <v>2375795</v>
      </c>
      <c r="E64" s="32">
        <f>SUM(E36:E63)</f>
        <v>2749328</v>
      </c>
      <c r="F64" s="33">
        <f t="shared" si="3"/>
        <v>1.1572244238244462</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1152</v>
      </c>
      <c r="E67" s="16">
        <f>IF(F3="1",SUMIF(Data!A:A,'2'!$A$2,Data!DY:DY),0)</f>
        <v>6395</v>
      </c>
      <c r="F67" s="21">
        <f>IFERROR(E67/D67,"")</f>
        <v>5.5512152777777777</v>
      </c>
    </row>
    <row r="68" spans="1:6" x14ac:dyDescent="0.2">
      <c r="A68" s="20">
        <v>2</v>
      </c>
      <c r="B68" s="202" t="s">
        <v>1</v>
      </c>
      <c r="C68" s="203"/>
      <c r="D68" s="15">
        <f t="shared" ref="D68:D94" si="4">D37</f>
        <v>19222</v>
      </c>
      <c r="E68" s="18">
        <f>IF(F3="1",SUMIF(Data!A:A,'2'!$A$2,Data!DZ:DZ),0)</f>
        <v>91465</v>
      </c>
      <c r="F68" s="22">
        <f t="shared" ref="F68:F95" si="5">IFERROR(E68/D68,"")</f>
        <v>4.7583498075122259</v>
      </c>
    </row>
    <row r="69" spans="1:6" ht="14.25" customHeight="1" x14ac:dyDescent="0.2">
      <c r="A69" s="20">
        <v>3</v>
      </c>
      <c r="B69" s="202" t="s">
        <v>2</v>
      </c>
      <c r="C69" s="203"/>
      <c r="D69" s="15">
        <f t="shared" si="4"/>
        <v>321216</v>
      </c>
      <c r="E69" s="18">
        <f>IF(F3="1",SUMIF(Data!A:A,'2'!$A$2,Data!EA:EA),0)</f>
        <v>621907</v>
      </c>
      <c r="F69" s="22">
        <f t="shared" si="5"/>
        <v>1.9361021866905759</v>
      </c>
    </row>
    <row r="70" spans="1:6" ht="14.25" customHeight="1" x14ac:dyDescent="0.2">
      <c r="A70" s="20">
        <v>4</v>
      </c>
      <c r="B70" s="202" t="s">
        <v>3</v>
      </c>
      <c r="C70" s="203"/>
      <c r="D70" s="15">
        <f t="shared" si="4"/>
        <v>273992</v>
      </c>
      <c r="E70" s="18">
        <f>IF(F3="1",SUMIF(Data!A:A,'2'!$A$2,Data!EB:EB),0)</f>
        <v>1188792</v>
      </c>
      <c r="F70" s="22">
        <f t="shared" si="5"/>
        <v>4.3387836141201204</v>
      </c>
    </row>
    <row r="71" spans="1:6" x14ac:dyDescent="0.2">
      <c r="A71" s="20">
        <v>5</v>
      </c>
      <c r="B71" s="202" t="s">
        <v>4</v>
      </c>
      <c r="C71" s="203"/>
      <c r="D71" s="15">
        <f t="shared" si="4"/>
        <v>110</v>
      </c>
      <c r="E71" s="18">
        <f>IF(F3="1",SUMIF(Data!A:A,'2'!$A$2,Data!EC:EC),0)</f>
        <v>0</v>
      </c>
      <c r="F71" s="22">
        <f t="shared" si="5"/>
        <v>0</v>
      </c>
    </row>
    <row r="72" spans="1:6" x14ac:dyDescent="0.2">
      <c r="A72" s="20">
        <v>6</v>
      </c>
      <c r="B72" s="202" t="s">
        <v>5</v>
      </c>
      <c r="C72" s="203"/>
      <c r="D72" s="15">
        <f t="shared" si="4"/>
        <v>29458</v>
      </c>
      <c r="E72" s="18">
        <f>IF(F3="1",SUMIF(Data!A:A,'2'!$A$2,Data!ED:ED),0)</f>
        <v>192272</v>
      </c>
      <c r="F72" s="22">
        <f t="shared" si="5"/>
        <v>6.5269875755312645</v>
      </c>
    </row>
    <row r="73" spans="1:6" x14ac:dyDescent="0.2">
      <c r="A73" s="20">
        <v>7</v>
      </c>
      <c r="B73" s="202" t="s">
        <v>6</v>
      </c>
      <c r="C73" s="203"/>
      <c r="D73" s="15">
        <f t="shared" si="4"/>
        <v>42449</v>
      </c>
      <c r="E73" s="18">
        <f>IF(F3="1",SUMIF(Data!A:A,'2'!$A$2,Data!EE:EE),0)</f>
        <v>455277</v>
      </c>
      <c r="F73" s="22">
        <f t="shared" si="5"/>
        <v>10.725270324389268</v>
      </c>
    </row>
    <row r="74" spans="1:6" x14ac:dyDescent="0.2">
      <c r="A74" s="20">
        <v>8</v>
      </c>
      <c r="B74" s="202" t="s">
        <v>7</v>
      </c>
      <c r="C74" s="203"/>
      <c r="D74" s="15">
        <f t="shared" si="4"/>
        <v>2568</v>
      </c>
      <c r="E74" s="18">
        <f>IF(F3="1",SUMIF(Data!A:A,'2'!$A$2,Data!EF:EF),0)</f>
        <v>1107</v>
      </c>
      <c r="F74" s="22">
        <f t="shared" si="5"/>
        <v>0.43107476635514019</v>
      </c>
    </row>
    <row r="75" spans="1:6" x14ac:dyDescent="0.2">
      <c r="A75" s="20">
        <v>9</v>
      </c>
      <c r="B75" s="202" t="s">
        <v>8</v>
      </c>
      <c r="C75" s="203"/>
      <c r="D75" s="15">
        <f t="shared" si="4"/>
        <v>75680</v>
      </c>
      <c r="E75" s="18">
        <f>IF(F3="1",SUMIF(Data!A:A,'2'!$A$2,Data!EG:EG),0)</f>
        <v>322238</v>
      </c>
      <c r="F75" s="22">
        <f t="shared" si="5"/>
        <v>4.2579016913319236</v>
      </c>
    </row>
    <row r="76" spans="1:6" x14ac:dyDescent="0.2">
      <c r="A76" s="20">
        <v>10</v>
      </c>
      <c r="B76" s="202" t="s">
        <v>9</v>
      </c>
      <c r="C76" s="203"/>
      <c r="D76" s="15">
        <f t="shared" si="4"/>
        <v>0</v>
      </c>
      <c r="E76" s="18">
        <f>IF(F3="1",SUMIF(Data!A:A,'2'!$A$2,Data!EH:EH),0)</f>
        <v>0</v>
      </c>
      <c r="F76" s="22" t="str">
        <f t="shared" si="5"/>
        <v/>
      </c>
    </row>
    <row r="77" spans="1:6" x14ac:dyDescent="0.2">
      <c r="A77" s="20">
        <v>11</v>
      </c>
      <c r="B77" s="202" t="s">
        <v>10</v>
      </c>
      <c r="C77" s="203"/>
      <c r="D77" s="15">
        <f t="shared" si="4"/>
        <v>69736</v>
      </c>
      <c r="E77" s="18">
        <f>IF(F3="1",SUMIF(Data!A:A,'2'!$A$2,Data!EI:EI),0)</f>
        <v>457055</v>
      </c>
      <c r="F77" s="22">
        <f t="shared" si="5"/>
        <v>6.554075369966732</v>
      </c>
    </row>
    <row r="78" spans="1:6" ht="14.25" customHeight="1" x14ac:dyDescent="0.2">
      <c r="A78" s="20">
        <v>12</v>
      </c>
      <c r="B78" s="202" t="s">
        <v>11</v>
      </c>
      <c r="C78" s="203"/>
      <c r="D78" s="15">
        <f t="shared" si="4"/>
        <v>198288</v>
      </c>
      <c r="E78" s="18">
        <f>IF(F3="1",SUMIF(Data!A:A,'2'!$A$2,Data!EJ:EJ),0)</f>
        <v>692349</v>
      </c>
      <c r="F78" s="22">
        <f t="shared" si="5"/>
        <v>3.4916333817477607</v>
      </c>
    </row>
    <row r="79" spans="1:6" x14ac:dyDescent="0.2">
      <c r="A79" s="20">
        <v>13</v>
      </c>
      <c r="B79" s="202" t="s">
        <v>12</v>
      </c>
      <c r="C79" s="203"/>
      <c r="D79" s="15">
        <f t="shared" si="4"/>
        <v>59808</v>
      </c>
      <c r="E79" s="18">
        <f>IF(F3="1",SUMIF(Data!A:A,'2'!$A$2,Data!EK:EK),0)</f>
        <v>189762</v>
      </c>
      <c r="F79" s="22">
        <f t="shared" si="5"/>
        <v>3.1728531300160512</v>
      </c>
    </row>
    <row r="80" spans="1:6" ht="14.25" customHeight="1" x14ac:dyDescent="0.2">
      <c r="A80" s="20">
        <v>14</v>
      </c>
      <c r="B80" s="202" t="s">
        <v>449</v>
      </c>
      <c r="C80" s="203"/>
      <c r="D80" s="15">
        <f t="shared" si="4"/>
        <v>128678</v>
      </c>
      <c r="E80" s="18">
        <f>IF(F3="1",SUMIF(Data!A:A,'2'!$A$2,Data!EL:EL),0)</f>
        <v>892221</v>
      </c>
      <c r="F80" s="22">
        <f t="shared" si="5"/>
        <v>6.9337493588647634</v>
      </c>
    </row>
    <row r="81" spans="1:6" x14ac:dyDescent="0.2">
      <c r="A81" s="20">
        <v>15</v>
      </c>
      <c r="B81" s="202" t="s">
        <v>13</v>
      </c>
      <c r="C81" s="203"/>
      <c r="D81" s="15">
        <f t="shared" si="4"/>
        <v>0</v>
      </c>
      <c r="E81" s="18">
        <f>IF(F3="1",SUMIF(Data!A:A,'2'!$A$2,Data!EM:EM),0)</f>
        <v>0</v>
      </c>
      <c r="F81" s="22" t="str">
        <f t="shared" si="5"/>
        <v/>
      </c>
    </row>
    <row r="82" spans="1:6" x14ac:dyDescent="0.2">
      <c r="A82" s="20">
        <v>16</v>
      </c>
      <c r="B82" s="202" t="s">
        <v>14</v>
      </c>
      <c r="C82" s="203"/>
      <c r="D82" s="15">
        <f t="shared" si="4"/>
        <v>216218</v>
      </c>
      <c r="E82" s="18">
        <f>IF(F3="1",SUMIF(Data!A:A,'2'!$A$2,Data!EN:EN),0)</f>
        <v>1144095</v>
      </c>
      <c r="F82" s="22">
        <f t="shared" si="5"/>
        <v>5.2913957209853022</v>
      </c>
    </row>
    <row r="83" spans="1:6" x14ac:dyDescent="0.2">
      <c r="A83" s="20">
        <v>17</v>
      </c>
      <c r="B83" s="202" t="s">
        <v>15</v>
      </c>
      <c r="C83" s="203"/>
      <c r="D83" s="15">
        <f t="shared" si="4"/>
        <v>31600</v>
      </c>
      <c r="E83" s="18">
        <f>IF(F3="1",SUMIF(Data!A:A,'2'!$A$2,Data!EO:EO),0)</f>
        <v>389224</v>
      </c>
      <c r="F83" s="22">
        <f t="shared" si="5"/>
        <v>12.317215189873417</v>
      </c>
    </row>
    <row r="84" spans="1:6" x14ac:dyDescent="0.2">
      <c r="A84" s="20">
        <v>18</v>
      </c>
      <c r="B84" s="202" t="s">
        <v>16</v>
      </c>
      <c r="C84" s="203"/>
      <c r="D84" s="15">
        <f t="shared" si="4"/>
        <v>48016</v>
      </c>
      <c r="E84" s="18">
        <f>IF(F3="1",SUMIF(Data!A:A,'2'!$A$2,Data!EP:EP),0)</f>
        <v>351204</v>
      </c>
      <c r="F84" s="22">
        <f t="shared" si="5"/>
        <v>7.3143118960346554</v>
      </c>
    </row>
    <row r="85" spans="1:6" x14ac:dyDescent="0.2">
      <c r="A85" s="20">
        <v>19</v>
      </c>
      <c r="B85" s="202" t="s">
        <v>17</v>
      </c>
      <c r="C85" s="203"/>
      <c r="D85" s="15">
        <f t="shared" si="4"/>
        <v>96112</v>
      </c>
      <c r="E85" s="18">
        <f>IF(F3="1",SUMIF(Data!A:A,'2'!$A$2,Data!EQ:EQ),0)</f>
        <v>401124</v>
      </c>
      <c r="F85" s="22">
        <f t="shared" si="5"/>
        <v>4.1735059097719329</v>
      </c>
    </row>
    <row r="86" spans="1:6" x14ac:dyDescent="0.2">
      <c r="A86" s="20">
        <v>20</v>
      </c>
      <c r="B86" s="202" t="s">
        <v>18</v>
      </c>
      <c r="C86" s="203"/>
      <c r="D86" s="15">
        <f t="shared" si="4"/>
        <v>25888</v>
      </c>
      <c r="E86" s="18">
        <f>IF(F3="1",SUMIF(Data!A:A,'2'!$A$2,Data!ER:ER),0)</f>
        <v>110433</v>
      </c>
      <c r="F86" s="22">
        <f t="shared" si="5"/>
        <v>4.2657988257107542</v>
      </c>
    </row>
    <row r="87" spans="1:6" ht="14.25" customHeight="1" x14ac:dyDescent="0.2">
      <c r="A87" s="20">
        <v>21</v>
      </c>
      <c r="B87" s="202" t="s">
        <v>446</v>
      </c>
      <c r="C87" s="203"/>
      <c r="D87" s="15">
        <f t="shared" si="4"/>
        <v>0</v>
      </c>
      <c r="E87" s="18">
        <f>IF(F3="1",SUMIF(Data!A:A,'2'!$A$2,Data!ES:ES),0)</f>
        <v>0</v>
      </c>
      <c r="F87" s="22" t="str">
        <f t="shared" si="5"/>
        <v/>
      </c>
    </row>
    <row r="88" spans="1:6" x14ac:dyDescent="0.2">
      <c r="A88" s="20">
        <v>22</v>
      </c>
      <c r="B88" s="202" t="s">
        <v>19</v>
      </c>
      <c r="C88" s="203"/>
      <c r="D88" s="15">
        <f t="shared" si="4"/>
        <v>8844</v>
      </c>
      <c r="E88" s="18">
        <f>IF(F3="1",SUMIF(Data!A:A,'2'!$A$2,Data!ET:ET),0)</f>
        <v>1685</v>
      </c>
      <c r="F88" s="22">
        <f t="shared" si="5"/>
        <v>0.19052464947987335</v>
      </c>
    </row>
    <row r="89" spans="1:6" x14ac:dyDescent="0.2">
      <c r="A89" s="20">
        <v>23</v>
      </c>
      <c r="B89" s="202" t="s">
        <v>20</v>
      </c>
      <c r="C89" s="203"/>
      <c r="D89" s="15">
        <f t="shared" si="4"/>
        <v>48992</v>
      </c>
      <c r="E89" s="18">
        <f>IF(F3="1",SUMIF(Data!A:A,'2'!$A$2,Data!EU:EU),0)</f>
        <v>408086</v>
      </c>
      <c r="F89" s="22">
        <f t="shared" si="5"/>
        <v>8.3296456564337031</v>
      </c>
    </row>
    <row r="90" spans="1:6" x14ac:dyDescent="0.2">
      <c r="A90" s="20">
        <v>24</v>
      </c>
      <c r="B90" s="202" t="s">
        <v>21</v>
      </c>
      <c r="C90" s="203"/>
      <c r="D90" s="15">
        <f t="shared" si="4"/>
        <v>74024</v>
      </c>
      <c r="E90" s="18">
        <f>IF(F3="1",SUMIF(Data!A:A,'2'!$A$2,Data!EV:EV),0)</f>
        <v>324604</v>
      </c>
      <c r="F90" s="22">
        <f t="shared" si="5"/>
        <v>4.3851183399978382</v>
      </c>
    </row>
    <row r="91" spans="1:6" x14ac:dyDescent="0.2">
      <c r="A91" s="20">
        <v>25</v>
      </c>
      <c r="B91" s="202" t="s">
        <v>22</v>
      </c>
      <c r="C91" s="203"/>
      <c r="D91" s="15">
        <f t="shared" si="4"/>
        <v>346864</v>
      </c>
      <c r="E91" s="18">
        <f>IF(F3="1",SUMIF(Data!A:A,'2'!$A$2,Data!EW:EW),0)</f>
        <v>1244541</v>
      </c>
      <c r="F91" s="22">
        <f t="shared" si="5"/>
        <v>3.5879797269246736</v>
      </c>
    </row>
    <row r="92" spans="1:6" x14ac:dyDescent="0.2">
      <c r="A92" s="20">
        <v>26</v>
      </c>
      <c r="B92" s="202" t="s">
        <v>23</v>
      </c>
      <c r="C92" s="203"/>
      <c r="D92" s="15">
        <f t="shared" si="4"/>
        <v>112512</v>
      </c>
      <c r="E92" s="18">
        <f>IF(F3="1",SUMIF(Data!A:A,'2'!$A$2,Data!EX:EX),0)</f>
        <v>1022275</v>
      </c>
      <c r="F92" s="22">
        <f t="shared" si="5"/>
        <v>9.0859197241183161</v>
      </c>
    </row>
    <row r="93" spans="1:6" x14ac:dyDescent="0.2">
      <c r="A93" s="20">
        <v>28</v>
      </c>
      <c r="B93" s="202" t="s">
        <v>24</v>
      </c>
      <c r="C93" s="203"/>
      <c r="D93" s="15">
        <f t="shared" si="4"/>
        <v>105632</v>
      </c>
      <c r="E93" s="18">
        <f>IF(F3="1",SUMIF(Data!A:A,'2'!$A$2,Data!EZ:EZ),0)</f>
        <v>420474</v>
      </c>
      <c r="F93" s="22">
        <f t="shared" si="5"/>
        <v>3.9805551348076342</v>
      </c>
    </row>
    <row r="94" spans="1:6" ht="15.75" customHeight="1" thickBot="1" x14ac:dyDescent="0.25">
      <c r="A94" s="23">
        <v>29</v>
      </c>
      <c r="B94" s="206" t="s">
        <v>25</v>
      </c>
      <c r="C94" s="207"/>
      <c r="D94" s="24">
        <f t="shared" si="4"/>
        <v>38736</v>
      </c>
      <c r="E94" s="25">
        <f>IF(F3="1",SUMIF(Data!A:A,'2'!$A$2,Data!FA:FA),0)</f>
        <v>188713</v>
      </c>
      <c r="F94" s="26">
        <f t="shared" si="5"/>
        <v>4.8717730276745144</v>
      </c>
    </row>
    <row r="95" spans="1:6" x14ac:dyDescent="0.2">
      <c r="B95" s="31" t="s">
        <v>35</v>
      </c>
      <c r="C95" s="31"/>
      <c r="D95" s="60">
        <f>SUM(D67:D94)</f>
        <v>2375795</v>
      </c>
      <c r="E95" s="32">
        <f>SUM(E67:E94)</f>
        <v>11117298</v>
      </c>
      <c r="F95" s="33">
        <f t="shared" si="5"/>
        <v>4.6794012109630669</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IF(F3="1",SUMIF(Data!A:A,'2'!$A$2,Data!AH:AH),0)</f>
        <v>3242342</v>
      </c>
      <c r="F98" s="21">
        <f t="shared" ref="F98:F105" si="6">IFERROR(E98/$D$95,0)</f>
        <v>1.3647398028870337</v>
      </c>
    </row>
    <row r="99" spans="2:6" x14ac:dyDescent="0.2">
      <c r="B99" s="212" t="s">
        <v>31</v>
      </c>
      <c r="C99" s="213"/>
      <c r="D99" s="37"/>
      <c r="E99" s="18">
        <f>IF(F3="1",SUMIF(Data!A:A,'2'!$A$2,Data!AI:AI),0)</f>
        <v>2057671</v>
      </c>
      <c r="F99" s="22">
        <f t="shared" si="6"/>
        <v>0.86609787460618448</v>
      </c>
    </row>
    <row r="100" spans="2:6" x14ac:dyDescent="0.2">
      <c r="B100" s="212" t="s">
        <v>32</v>
      </c>
      <c r="C100" s="213"/>
      <c r="D100" s="37"/>
      <c r="E100" s="18">
        <f>IF(F3="1",SUMIF(Data!A:A,'2'!$A$2,Data!AJ:AJ),0)</f>
        <v>2862483</v>
      </c>
      <c r="F100" s="22">
        <f t="shared" si="6"/>
        <v>1.2048526914148738</v>
      </c>
    </row>
    <row r="101" spans="2:6" x14ac:dyDescent="0.2">
      <c r="B101" s="212" t="s">
        <v>28</v>
      </c>
      <c r="C101" s="213"/>
      <c r="D101" s="37"/>
      <c r="E101" s="18">
        <f>IF(F3="1",SUMIF(Data!A:A,'2'!$A$2,Data!AK:AK),0)</f>
        <v>0</v>
      </c>
      <c r="F101" s="22">
        <f t="shared" si="6"/>
        <v>0</v>
      </c>
    </row>
    <row r="102" spans="2:6" x14ac:dyDescent="0.2">
      <c r="B102" s="212" t="s">
        <v>33</v>
      </c>
      <c r="C102" s="213"/>
      <c r="D102" s="37"/>
      <c r="E102" s="18">
        <f>IF(F3="1",SUMIF(Data!A:A,'2'!$A$2,Data!AL:AL),0)</f>
        <v>0</v>
      </c>
      <c r="F102" s="22">
        <f t="shared" si="6"/>
        <v>0</v>
      </c>
    </row>
    <row r="103" spans="2:6" x14ac:dyDescent="0.2">
      <c r="B103" s="214" t="s">
        <v>34</v>
      </c>
      <c r="C103" s="215"/>
      <c r="D103" s="37"/>
      <c r="E103" s="18">
        <f>IF(F3="1",SUMIF(Data!A:A,'2'!$A$2,Data!AM:AM),0)</f>
        <v>382686</v>
      </c>
      <c r="F103" s="22">
        <f t="shared" si="6"/>
        <v>0.16107702895241383</v>
      </c>
    </row>
    <row r="104" spans="2:6" ht="15.75" customHeight="1" thickBot="1" x14ac:dyDescent="0.25">
      <c r="B104" s="208" t="s">
        <v>29</v>
      </c>
      <c r="C104" s="209"/>
      <c r="D104" s="38"/>
      <c r="E104" s="25">
        <f>IF(F3="1",SUMIF(Data!A:A,'2'!$A$2,Data!Q:Q),0)</f>
        <v>751678</v>
      </c>
      <c r="F104" s="26">
        <f t="shared" si="6"/>
        <v>0.31639009257953654</v>
      </c>
    </row>
    <row r="105" spans="2:6" x14ac:dyDescent="0.2">
      <c r="B105" s="31" t="s">
        <v>35</v>
      </c>
      <c r="C105" s="31"/>
      <c r="D105" s="35">
        <f>D95</f>
        <v>2375795</v>
      </c>
      <c r="E105" s="32">
        <f>SUM(E98:E104)</f>
        <v>9296860</v>
      </c>
      <c r="F105" s="33">
        <f t="shared" si="6"/>
        <v>3.9131574904400424</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11170109</v>
      </c>
      <c r="D109" s="192">
        <f>IF(F3="1",SUMIF(Data!$A:$A,$A$2,Data!HJ:HJ),0)</f>
        <v>1385379</v>
      </c>
      <c r="E109" s="192">
        <f>IF(F3="1",SUMIF(Data!$A:$A,$A$2,Data!IN:IN),0)</f>
        <v>1311138</v>
      </c>
      <c r="F109" s="48">
        <f>SUM(C109:E109)</f>
        <v>13866626</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77529</v>
      </c>
      <c r="D111" s="52"/>
      <c r="E111" s="193">
        <f>IF(F3="1",SUMIF(Data!A:A,$A$2,Data!AX:AX)-SUMIF(Data!A:A,$A$2,Data!AW:AW),0)</f>
        <v>60048</v>
      </c>
      <c r="F111" s="49">
        <f t="shared" si="7"/>
        <v>137577</v>
      </c>
    </row>
    <row r="112" spans="2:6" x14ac:dyDescent="0.2">
      <c r="B112" s="43" t="s">
        <v>32</v>
      </c>
      <c r="C112" s="193">
        <f>IF(F3="1",SUMIF(Data!A:A,$A$2,Data!V:V),0)</f>
        <v>1953516</v>
      </c>
      <c r="D112" s="52"/>
      <c r="E112" s="193">
        <f>IF(F3="1",SUMIF(Data!A:A,$A$2,Data!AC:AC),0)</f>
        <v>908967</v>
      </c>
      <c r="F112" s="49">
        <f t="shared" si="7"/>
        <v>2862483</v>
      </c>
    </row>
    <row r="113" spans="1:6" x14ac:dyDescent="0.2">
      <c r="B113" s="43" t="s">
        <v>31</v>
      </c>
      <c r="C113" s="193">
        <f>IF(F3="1",SUMIF(Data!A:A,$A$2,Data!U:U),0)</f>
        <v>1785324</v>
      </c>
      <c r="D113" s="52"/>
      <c r="E113" s="193">
        <f>IF(F3="1",SUMIF(Data!A:A,$A$2,Data!AB:AB),0)</f>
        <v>272347</v>
      </c>
      <c r="F113" s="49">
        <f t="shared" si="7"/>
        <v>2057671</v>
      </c>
    </row>
    <row r="114" spans="1:6" x14ac:dyDescent="0.2">
      <c r="B114" s="43" t="s">
        <v>1002</v>
      </c>
      <c r="C114" s="193">
        <f>IF(F3="1",SUMIF(Data!A:A,$A$2,Data!T:T),0)</f>
        <v>2168054</v>
      </c>
      <c r="D114" s="52"/>
      <c r="E114" s="193">
        <f>IF(F3="1",SUMIF(Data!A:A,$A$2,Data!AA:AA),0)</f>
        <v>1074288</v>
      </c>
      <c r="F114" s="49">
        <f t="shared" si="7"/>
        <v>3242342</v>
      </c>
    </row>
    <row r="115" spans="1:6" x14ac:dyDescent="0.2">
      <c r="B115" s="43" t="s">
        <v>916</v>
      </c>
      <c r="C115" s="193">
        <f>IF(F3="1",SUMIF(Data!A:A,$A$2,Data!BI:BI),0)</f>
        <v>1391876</v>
      </c>
      <c r="D115" s="193">
        <f>IF(F3="1",SUMIF(Data!A:A,$A$2,Data!BL:BL),0)</f>
        <v>379917</v>
      </c>
      <c r="E115" s="193">
        <f>IF(F3="1",SUMIF(Data!A:A,$A$2,Data!BU:BU)-SUMIF(Data!A:A,$A$2,Data!BT:BT),0)</f>
        <v>2552476</v>
      </c>
      <c r="F115" s="49">
        <f t="shared" si="7"/>
        <v>4324269</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751678</v>
      </c>
      <c r="E117" s="53"/>
      <c r="F117" s="50">
        <f>SUM(C117:E117)</f>
        <v>751678</v>
      </c>
    </row>
    <row r="118" spans="1:6" x14ac:dyDescent="0.2">
      <c r="B118" s="14" t="s">
        <v>35</v>
      </c>
      <c r="C118" s="178">
        <f>SUM(C109:C117)</f>
        <v>18546408</v>
      </c>
      <c r="D118" s="194">
        <f>SUM(D109:D117)</f>
        <v>2516974</v>
      </c>
      <c r="E118" s="178">
        <f>SUM(E109:E117)</f>
        <v>6179264</v>
      </c>
      <c r="F118" s="178">
        <f>SUM(F109:F117)</f>
        <v>27242646</v>
      </c>
    </row>
    <row r="119" spans="1:6" x14ac:dyDescent="0.2">
      <c r="C119" s="177"/>
      <c r="D119" s="177"/>
      <c r="E119" s="177"/>
    </row>
    <row r="120" spans="1:6" ht="15" thickBot="1" x14ac:dyDescent="0.25">
      <c r="B120" s="188" t="s">
        <v>921</v>
      </c>
      <c r="C120" s="53"/>
      <c r="D120" s="53"/>
      <c r="E120" s="195">
        <f>IF(F3="1",SUMIF(Data!A:A,$A$2,Data!AF:AF)+SUMIF(Data!A:A,$A$2,Data!AW:AW)+SUMIF(Data!A:A,$A$2,Data!BT:BT),0)</f>
        <v>382686</v>
      </c>
      <c r="F120" s="181">
        <f>SUM(C120:E120)</f>
        <v>382686</v>
      </c>
    </row>
    <row r="121" spans="1:6" s="177" customFormat="1" x14ac:dyDescent="0.2">
      <c r="B121" s="14" t="s">
        <v>35</v>
      </c>
      <c r="C121" s="178">
        <f>SUM(C120:C120)</f>
        <v>0</v>
      </c>
      <c r="D121" s="178">
        <f>SUM(D120:D120)</f>
        <v>0</v>
      </c>
      <c r="E121" s="178">
        <f>SUM(E120:E120)</f>
        <v>382686</v>
      </c>
      <c r="F121" s="178">
        <f>SUM(F120:F120)</f>
        <v>382686</v>
      </c>
    </row>
    <row r="122" spans="1:6" s="177" customFormat="1" ht="15" thickBot="1" x14ac:dyDescent="0.25">
      <c r="B122" s="14" t="s">
        <v>1396</v>
      </c>
      <c r="C122" s="178"/>
      <c r="D122" s="178"/>
      <c r="E122" s="178"/>
      <c r="F122" s="190">
        <f>F118+F121</f>
        <v>27625332</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352</v>
      </c>
      <c r="B2" s="59" t="str">
        <f>VLOOKUP(A2,Data!A:G,7,0)</f>
        <v>Amarillo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13888</v>
      </c>
      <c r="E5" s="16">
        <f>E36+E67+IFERROR($E$105/$D$105*D5,0)</f>
        <v>120773.94990013598</v>
      </c>
      <c r="F5" s="21">
        <f>IFERROR(E5/D5,"")</f>
        <v>8.6962809547908968</v>
      </c>
    </row>
    <row r="6" spans="1:6" x14ac:dyDescent="0.2">
      <c r="A6" s="20">
        <v>2</v>
      </c>
      <c r="B6" s="202" t="s">
        <v>1</v>
      </c>
      <c r="C6" s="203"/>
      <c r="D6" s="15">
        <f t="shared" ref="D6:D32" si="0">D37</f>
        <v>24352</v>
      </c>
      <c r="E6" s="18">
        <f t="shared" ref="E6:E32" si="1">E37+E68+IFERROR($E$105/$D$105*D6,0)</f>
        <v>243740.31076959328</v>
      </c>
      <c r="F6" s="22">
        <f t="shared" ref="F6:F33" si="2">IFERROR(E6/D6,"")</f>
        <v>10.009046927135072</v>
      </c>
    </row>
    <row r="7" spans="1:6" ht="14.25" customHeight="1" x14ac:dyDescent="0.2">
      <c r="A7" s="20">
        <v>3</v>
      </c>
      <c r="B7" s="202" t="s">
        <v>2</v>
      </c>
      <c r="C7" s="203"/>
      <c r="D7" s="15">
        <f t="shared" si="0"/>
        <v>542288</v>
      </c>
      <c r="E7" s="18">
        <f t="shared" si="1"/>
        <v>4388155.574844826</v>
      </c>
      <c r="F7" s="22">
        <f t="shared" si="2"/>
        <v>8.0919282278878129</v>
      </c>
    </row>
    <row r="8" spans="1:6" ht="14.25" customHeight="1" x14ac:dyDescent="0.2">
      <c r="A8" s="20">
        <v>4</v>
      </c>
      <c r="B8" s="202" t="s">
        <v>3</v>
      </c>
      <c r="C8" s="203"/>
      <c r="D8" s="15">
        <f t="shared" si="0"/>
        <v>365677</v>
      </c>
      <c r="E8" s="18">
        <f t="shared" si="1"/>
        <v>3076791.8580524214</v>
      </c>
      <c r="F8" s="22">
        <f t="shared" si="2"/>
        <v>8.4139605664354651</v>
      </c>
    </row>
    <row r="9" spans="1:6" x14ac:dyDescent="0.2">
      <c r="A9" s="20">
        <v>5</v>
      </c>
      <c r="B9" s="202" t="s">
        <v>4</v>
      </c>
      <c r="C9" s="203"/>
      <c r="D9" s="15">
        <f t="shared" si="0"/>
        <v>576</v>
      </c>
      <c r="E9" s="18">
        <f t="shared" si="1"/>
        <v>5765.7813322637039</v>
      </c>
      <c r="F9" s="22">
        <f t="shared" si="2"/>
        <v>10.010037035180041</v>
      </c>
    </row>
    <row r="10" spans="1:6" x14ac:dyDescent="0.2">
      <c r="A10" s="20">
        <v>6</v>
      </c>
      <c r="B10" s="202" t="s">
        <v>5</v>
      </c>
      <c r="C10" s="203"/>
      <c r="D10" s="15">
        <f t="shared" si="0"/>
        <v>43271</v>
      </c>
      <c r="E10" s="18">
        <f t="shared" si="1"/>
        <v>386542.72574372008</v>
      </c>
      <c r="F10" s="22">
        <f t="shared" si="2"/>
        <v>8.9330666206863736</v>
      </c>
    </row>
    <row r="11" spans="1:6" x14ac:dyDescent="0.2">
      <c r="A11" s="20">
        <v>7</v>
      </c>
      <c r="B11" s="202" t="s">
        <v>6</v>
      </c>
      <c r="C11" s="203"/>
      <c r="D11" s="15">
        <f t="shared" si="0"/>
        <v>43886</v>
      </c>
      <c r="E11" s="18">
        <f t="shared" si="1"/>
        <v>365912.53393702244</v>
      </c>
      <c r="F11" s="22">
        <f t="shared" si="2"/>
        <v>8.3377964256715682</v>
      </c>
    </row>
    <row r="12" spans="1:6" x14ac:dyDescent="0.2">
      <c r="A12" s="20">
        <v>8</v>
      </c>
      <c r="B12" s="202" t="s">
        <v>7</v>
      </c>
      <c r="C12" s="203"/>
      <c r="D12" s="15">
        <f t="shared" si="0"/>
        <v>20286</v>
      </c>
      <c r="E12" s="18">
        <f t="shared" si="1"/>
        <v>203730.04879566233</v>
      </c>
      <c r="F12" s="22">
        <f t="shared" si="2"/>
        <v>10.042889125291449</v>
      </c>
    </row>
    <row r="13" spans="1:6" x14ac:dyDescent="0.2">
      <c r="A13" s="20">
        <v>9</v>
      </c>
      <c r="B13" s="202" t="s">
        <v>8</v>
      </c>
      <c r="C13" s="203"/>
      <c r="D13" s="15">
        <f t="shared" si="0"/>
        <v>167147</v>
      </c>
      <c r="E13" s="18">
        <f t="shared" si="1"/>
        <v>1241886.1985136829</v>
      </c>
      <c r="F13" s="22">
        <f t="shared" si="2"/>
        <v>7.4299042071570707</v>
      </c>
    </row>
    <row r="14" spans="1:6" x14ac:dyDescent="0.2">
      <c r="A14" s="20">
        <v>10</v>
      </c>
      <c r="B14" s="202" t="s">
        <v>9</v>
      </c>
      <c r="C14" s="203"/>
      <c r="D14" s="15">
        <f t="shared" si="0"/>
        <v>7344</v>
      </c>
      <c r="E14" s="18">
        <f t="shared" si="1"/>
        <v>59423.211986362228</v>
      </c>
      <c r="F14" s="22">
        <f t="shared" si="2"/>
        <v>8.0913959676419154</v>
      </c>
    </row>
    <row r="15" spans="1:6" x14ac:dyDescent="0.2">
      <c r="A15" s="20">
        <v>11</v>
      </c>
      <c r="B15" s="202" t="s">
        <v>10</v>
      </c>
      <c r="C15" s="203"/>
      <c r="D15" s="15">
        <f t="shared" si="0"/>
        <v>153323</v>
      </c>
      <c r="E15" s="18">
        <f t="shared" si="1"/>
        <v>1410928.446539354</v>
      </c>
      <c r="F15" s="22">
        <f t="shared" si="2"/>
        <v>9.2023274168869253</v>
      </c>
    </row>
    <row r="16" spans="1:6" ht="14.25" customHeight="1" x14ac:dyDescent="0.2">
      <c r="A16" s="20">
        <v>12</v>
      </c>
      <c r="B16" s="202" t="s">
        <v>11</v>
      </c>
      <c r="C16" s="203"/>
      <c r="D16" s="15">
        <f t="shared" si="0"/>
        <v>463340</v>
      </c>
      <c r="E16" s="18">
        <f t="shared" si="1"/>
        <v>4016142.0459914319</v>
      </c>
      <c r="F16" s="22">
        <f t="shared" si="2"/>
        <v>8.6678077567044323</v>
      </c>
    </row>
    <row r="17" spans="1:6" x14ac:dyDescent="0.2">
      <c r="A17" s="20">
        <v>13</v>
      </c>
      <c r="B17" s="202" t="s">
        <v>12</v>
      </c>
      <c r="C17" s="203"/>
      <c r="D17" s="15">
        <f t="shared" si="0"/>
        <v>43004</v>
      </c>
      <c r="E17" s="18">
        <f t="shared" si="1"/>
        <v>346863.61877199367</v>
      </c>
      <c r="F17" s="22">
        <f t="shared" si="2"/>
        <v>8.0658454741883006</v>
      </c>
    </row>
    <row r="18" spans="1:6" ht="14.25" customHeight="1" x14ac:dyDescent="0.2">
      <c r="A18" s="20">
        <v>14</v>
      </c>
      <c r="B18" s="202" t="s">
        <v>449</v>
      </c>
      <c r="C18" s="203"/>
      <c r="D18" s="15">
        <f t="shared" si="0"/>
        <v>388148</v>
      </c>
      <c r="E18" s="18">
        <f t="shared" si="1"/>
        <v>3959221.2579088407</v>
      </c>
      <c r="F18" s="22">
        <f t="shared" si="2"/>
        <v>10.200287668386391</v>
      </c>
    </row>
    <row r="19" spans="1:6" x14ac:dyDescent="0.2">
      <c r="A19" s="20">
        <v>15</v>
      </c>
      <c r="B19" s="202" t="s">
        <v>13</v>
      </c>
      <c r="C19" s="203"/>
      <c r="D19" s="15">
        <f t="shared" si="0"/>
        <v>54160</v>
      </c>
      <c r="E19" s="18">
        <f t="shared" si="1"/>
        <v>465459.99471423996</v>
      </c>
      <c r="F19" s="22">
        <f t="shared" si="2"/>
        <v>8.5941653381506633</v>
      </c>
    </row>
    <row r="20" spans="1:6" x14ac:dyDescent="0.2">
      <c r="A20" s="20">
        <v>16</v>
      </c>
      <c r="B20" s="202" t="s">
        <v>14</v>
      </c>
      <c r="C20" s="203"/>
      <c r="D20" s="15">
        <f t="shared" si="0"/>
        <v>367821</v>
      </c>
      <c r="E20" s="18">
        <f t="shared" si="1"/>
        <v>3189854.4885669583</v>
      </c>
      <c r="F20" s="22">
        <f t="shared" si="2"/>
        <v>8.6723011697726839</v>
      </c>
    </row>
    <row r="21" spans="1:6" x14ac:dyDescent="0.2">
      <c r="A21" s="20">
        <v>17</v>
      </c>
      <c r="B21" s="202" t="s">
        <v>15</v>
      </c>
      <c r="C21" s="203"/>
      <c r="D21" s="15">
        <f t="shared" si="0"/>
        <v>26000</v>
      </c>
      <c r="E21" s="18">
        <f t="shared" si="1"/>
        <v>224088.90735912553</v>
      </c>
      <c r="F21" s="22">
        <f t="shared" si="2"/>
        <v>8.6188041291971356</v>
      </c>
    </row>
    <row r="22" spans="1:6" x14ac:dyDescent="0.2">
      <c r="A22" s="20">
        <v>18</v>
      </c>
      <c r="B22" s="202" t="s">
        <v>16</v>
      </c>
      <c r="C22" s="203"/>
      <c r="D22" s="15">
        <f t="shared" si="0"/>
        <v>114288</v>
      </c>
      <c r="E22" s="18">
        <f t="shared" si="1"/>
        <v>1202893.9460099898</v>
      </c>
      <c r="F22" s="22">
        <f t="shared" si="2"/>
        <v>10.525111525356904</v>
      </c>
    </row>
    <row r="23" spans="1:6" x14ac:dyDescent="0.2">
      <c r="A23" s="20">
        <v>19</v>
      </c>
      <c r="B23" s="202" t="s">
        <v>17</v>
      </c>
      <c r="C23" s="203"/>
      <c r="D23" s="15">
        <f t="shared" si="0"/>
        <v>273442</v>
      </c>
      <c r="E23" s="18">
        <f t="shared" si="1"/>
        <v>2276377.3316959231</v>
      </c>
      <c r="F23" s="22">
        <f t="shared" si="2"/>
        <v>8.3249000947035316</v>
      </c>
    </row>
    <row r="24" spans="1:6" x14ac:dyDescent="0.2">
      <c r="A24" s="20">
        <v>20</v>
      </c>
      <c r="B24" s="202" t="s">
        <v>18</v>
      </c>
      <c r="C24" s="203"/>
      <c r="D24" s="15">
        <f t="shared" si="0"/>
        <v>50728</v>
      </c>
      <c r="E24" s="18">
        <f t="shared" si="1"/>
        <v>507738.63094283536</v>
      </c>
      <c r="F24" s="22">
        <f t="shared" si="2"/>
        <v>10.009040982156508</v>
      </c>
    </row>
    <row r="25" spans="1:6" ht="14.25" customHeight="1" x14ac:dyDescent="0.2">
      <c r="A25" s="20">
        <v>21</v>
      </c>
      <c r="B25" s="202" t="s">
        <v>446</v>
      </c>
      <c r="C25" s="203"/>
      <c r="D25" s="15">
        <f t="shared" si="0"/>
        <v>174197</v>
      </c>
      <c r="E25" s="18">
        <f t="shared" si="1"/>
        <v>1751033.4387783688</v>
      </c>
      <c r="F25" s="22">
        <f t="shared" si="2"/>
        <v>10.052029821284917</v>
      </c>
    </row>
    <row r="26" spans="1:6" x14ac:dyDescent="0.2">
      <c r="A26" s="20">
        <v>22</v>
      </c>
      <c r="B26" s="202" t="s">
        <v>19</v>
      </c>
      <c r="C26" s="203"/>
      <c r="D26" s="15">
        <f t="shared" si="0"/>
        <v>12112</v>
      </c>
      <c r="E26" s="18">
        <f t="shared" si="1"/>
        <v>115938.95745898955</v>
      </c>
      <c r="F26" s="22">
        <f t="shared" si="2"/>
        <v>9.5722388919245009</v>
      </c>
    </row>
    <row r="27" spans="1:6" x14ac:dyDescent="0.2">
      <c r="A27" s="20">
        <v>23</v>
      </c>
      <c r="B27" s="202" t="s">
        <v>20</v>
      </c>
      <c r="C27" s="203"/>
      <c r="D27" s="15">
        <f t="shared" si="0"/>
        <v>82000</v>
      </c>
      <c r="E27" s="18">
        <f t="shared" si="1"/>
        <v>521391.09244031901</v>
      </c>
      <c r="F27" s="22">
        <f t="shared" si="2"/>
        <v>6.3584279565892565</v>
      </c>
    </row>
    <row r="28" spans="1:6" x14ac:dyDescent="0.2">
      <c r="A28" s="20">
        <v>24</v>
      </c>
      <c r="B28" s="202" t="s">
        <v>21</v>
      </c>
      <c r="C28" s="203"/>
      <c r="D28" s="15">
        <f t="shared" si="0"/>
        <v>230946</v>
      </c>
      <c r="E28" s="18">
        <f t="shared" si="1"/>
        <v>2010145.9089600234</v>
      </c>
      <c r="F28" s="22">
        <f t="shared" si="2"/>
        <v>8.7039650349433355</v>
      </c>
    </row>
    <row r="29" spans="1:6" x14ac:dyDescent="0.2">
      <c r="A29" s="20">
        <v>25</v>
      </c>
      <c r="B29" s="202" t="s">
        <v>22</v>
      </c>
      <c r="C29" s="203"/>
      <c r="D29" s="15">
        <f t="shared" si="0"/>
        <v>612206</v>
      </c>
      <c r="E29" s="18">
        <f t="shared" si="1"/>
        <v>4038859.1151038771</v>
      </c>
      <c r="F29" s="22">
        <f t="shared" si="2"/>
        <v>6.5972223648639137</v>
      </c>
    </row>
    <row r="30" spans="1:6" x14ac:dyDescent="0.2">
      <c r="A30" s="20">
        <v>26</v>
      </c>
      <c r="B30" s="202" t="s">
        <v>23</v>
      </c>
      <c r="C30" s="203"/>
      <c r="D30" s="15">
        <f t="shared" si="0"/>
        <v>243408</v>
      </c>
      <c r="E30" s="18">
        <f t="shared" si="1"/>
        <v>1954323.2613257703</v>
      </c>
      <c r="F30" s="22">
        <f t="shared" si="2"/>
        <v>8.029001763811257</v>
      </c>
    </row>
    <row r="31" spans="1:6" x14ac:dyDescent="0.2">
      <c r="A31" s="20">
        <v>28</v>
      </c>
      <c r="B31" s="202" t="s">
        <v>24</v>
      </c>
      <c r="C31" s="203"/>
      <c r="D31" s="15">
        <f t="shared" si="0"/>
        <v>320096</v>
      </c>
      <c r="E31" s="18">
        <f t="shared" si="1"/>
        <v>2664765.9259241018</v>
      </c>
      <c r="F31" s="22">
        <f t="shared" si="2"/>
        <v>8.3248960496979088</v>
      </c>
    </row>
    <row r="32" spans="1:6" ht="15.75" customHeight="1" thickBot="1" x14ac:dyDescent="0.25">
      <c r="A32" s="23">
        <v>29</v>
      </c>
      <c r="B32" s="206" t="s">
        <v>25</v>
      </c>
      <c r="C32" s="207"/>
      <c r="D32" s="24">
        <f t="shared" si="0"/>
        <v>237968</v>
      </c>
      <c r="E32" s="25">
        <f t="shared" si="1"/>
        <v>2062661.4376321686</v>
      </c>
      <c r="F32" s="26">
        <f t="shared" si="2"/>
        <v>8.6678101157809824</v>
      </c>
    </row>
    <row r="33" spans="1:6" x14ac:dyDescent="0.2">
      <c r="B33" s="31" t="s">
        <v>35</v>
      </c>
      <c r="C33" s="31"/>
      <c r="D33" s="60">
        <f>SUM(D5:D32)</f>
        <v>5075902</v>
      </c>
      <c r="E33" s="32">
        <f>SUM(E5:E32)</f>
        <v>42811409.999999993</v>
      </c>
      <c r="F33" s="33">
        <f t="shared" si="2"/>
        <v>8.4342467604772491</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IF(F3="1",SUMIF(Data!A:A,'3'!$A$2,Data!CU:CU),0)</f>
        <v>13888</v>
      </c>
      <c r="E36" s="16">
        <f>IF(F3="1",SUMIF(Data!$A:$A,'3'!$A$2,Data!IO:IO),0)</f>
        <v>24761</v>
      </c>
      <c r="F36" s="21">
        <f t="shared" ref="F36:F64" si="3">IFERROR(E36/D36,"")</f>
        <v>1.7829061059907834</v>
      </c>
    </row>
    <row r="37" spans="1:6" x14ac:dyDescent="0.2">
      <c r="A37" s="20">
        <v>2</v>
      </c>
      <c r="B37" s="202" t="s">
        <v>1</v>
      </c>
      <c r="C37" s="203"/>
      <c r="D37" s="15">
        <f>IF(F3="1",SUMIF(Data!A:A,'3'!$A$2,Data!CV:CV),0)</f>
        <v>24352</v>
      </c>
      <c r="E37" s="18">
        <f>IF(F3="1",SUMIF(Data!$A:$A,'3'!$A$2,Data!IP:IP),0)</f>
        <v>61107</v>
      </c>
      <c r="F37" s="22">
        <f t="shared" si="3"/>
        <v>2.5093216162943497</v>
      </c>
    </row>
    <row r="38" spans="1:6" ht="14.25" customHeight="1" x14ac:dyDescent="0.2">
      <c r="A38" s="20">
        <v>3</v>
      </c>
      <c r="B38" s="202" t="s">
        <v>2</v>
      </c>
      <c r="C38" s="203"/>
      <c r="D38" s="15">
        <f>IF(F3="1",SUMIF(Data!A:A,'3'!$A$2,Data!CW:CW),0)</f>
        <v>542288</v>
      </c>
      <c r="E38" s="18">
        <f>IF(F3="1",SUMIF(Data!$A:$A,'3'!$A$2,Data!IQ:IQ),0)</f>
        <v>669601</v>
      </c>
      <c r="F38" s="22">
        <f t="shared" si="3"/>
        <v>1.2347700852683445</v>
      </c>
    </row>
    <row r="39" spans="1:6" ht="14.25" customHeight="1" x14ac:dyDescent="0.2">
      <c r="A39" s="20">
        <v>4</v>
      </c>
      <c r="B39" s="202" t="s">
        <v>3</v>
      </c>
      <c r="C39" s="203"/>
      <c r="D39" s="15">
        <f>IF(F3="1",SUMIF(Data!A:A,'3'!$A$2,Data!CX:CX),0)</f>
        <v>365677</v>
      </c>
      <c r="E39" s="18">
        <f>IF(F3="1",SUMIF(Data!$A:$A,'3'!$A$2,Data!IR:IR),0)</f>
        <v>506487</v>
      </c>
      <c r="F39" s="22">
        <f t="shared" si="3"/>
        <v>1.3850666024934573</v>
      </c>
    </row>
    <row r="40" spans="1:6" x14ac:dyDescent="0.2">
      <c r="A40" s="20">
        <v>5</v>
      </c>
      <c r="B40" s="202" t="s">
        <v>4</v>
      </c>
      <c r="C40" s="203"/>
      <c r="D40" s="15">
        <f>IF(F3="1",SUMIF(Data!A:A,'3'!$A$2,Data!CY:CY),0)</f>
        <v>576</v>
      </c>
      <c r="E40" s="18">
        <f>IF(F3="1",SUMIF(Data!$A:$A,'3'!$A$2,Data!IS:IS),0)</f>
        <v>1446</v>
      </c>
      <c r="F40" s="22">
        <f t="shared" si="3"/>
        <v>2.5104166666666665</v>
      </c>
    </row>
    <row r="41" spans="1:6" x14ac:dyDescent="0.2">
      <c r="A41" s="20">
        <v>6</v>
      </c>
      <c r="B41" s="202" t="s">
        <v>5</v>
      </c>
      <c r="C41" s="203"/>
      <c r="D41" s="15">
        <f>IF(F3="1",SUMIF(Data!A:A,'3'!$A$2,Data!CZ:CZ),0)</f>
        <v>43271</v>
      </c>
      <c r="E41" s="18">
        <f>IF(F3="1",SUMIF(Data!$A:$A,'3'!$A$2,Data!IT:IT),0)</f>
        <v>91139</v>
      </c>
      <c r="F41" s="22">
        <f t="shared" si="3"/>
        <v>2.1062374338471495</v>
      </c>
    </row>
    <row r="42" spans="1:6" x14ac:dyDescent="0.2">
      <c r="A42" s="20">
        <v>7</v>
      </c>
      <c r="B42" s="202" t="s">
        <v>6</v>
      </c>
      <c r="C42" s="203"/>
      <c r="D42" s="15">
        <f>IF(F3="1",SUMIF(Data!A:A,'3'!$A$2,Data!DA:DA),0)</f>
        <v>43886</v>
      </c>
      <c r="E42" s="18">
        <f>IF(F3="1",SUMIF(Data!$A:$A,'3'!$A$2,Data!IU:IU),0)</f>
        <v>55354</v>
      </c>
      <c r="F42" s="22">
        <f t="shared" si="3"/>
        <v>1.2613134029075332</v>
      </c>
    </row>
    <row r="43" spans="1:6" x14ac:dyDescent="0.2">
      <c r="A43" s="20">
        <v>8</v>
      </c>
      <c r="B43" s="202" t="s">
        <v>7</v>
      </c>
      <c r="C43" s="203"/>
      <c r="D43" s="15">
        <f>IF(F3="1",SUMIF(Data!A:A,'3'!$A$2,Data!DB:DB),0)</f>
        <v>20286</v>
      </c>
      <c r="E43" s="18">
        <f>IF(F3="1",SUMIF(Data!$A:$A,'3'!$A$2,Data!IV:IV),0)</f>
        <v>51521</v>
      </c>
      <c r="F43" s="22">
        <f t="shared" si="3"/>
        <v>2.5397318347628905</v>
      </c>
    </row>
    <row r="44" spans="1:6" x14ac:dyDescent="0.2">
      <c r="A44" s="20">
        <v>9</v>
      </c>
      <c r="B44" s="202" t="s">
        <v>8</v>
      </c>
      <c r="C44" s="203"/>
      <c r="D44" s="15">
        <f>IF(F3="1",SUMIF(Data!A:A,'3'!$A$2,Data!DC:DC),0)</f>
        <v>167147</v>
      </c>
      <c r="E44" s="18">
        <f>IF(F3="1",SUMIF(Data!$A:$A,'3'!$A$2,Data!IW:IW),0)</f>
        <v>186093</v>
      </c>
      <c r="F44" s="22">
        <f t="shared" si="3"/>
        <v>1.1133493272388975</v>
      </c>
    </row>
    <row r="45" spans="1:6" x14ac:dyDescent="0.2">
      <c r="A45" s="20">
        <v>10</v>
      </c>
      <c r="B45" s="202" t="s">
        <v>9</v>
      </c>
      <c r="C45" s="203"/>
      <c r="D45" s="15">
        <f>IF(F3="1",SUMIF(Data!A:A,'3'!$A$2,Data!DD:DD),0)</f>
        <v>7344</v>
      </c>
      <c r="E45" s="18">
        <f>IF(F3="1",SUMIF(Data!$A:$A,'3'!$A$2,Data!IX:IX),0)</f>
        <v>9068</v>
      </c>
      <c r="F45" s="22">
        <f t="shared" si="3"/>
        <v>1.2347494553376905</v>
      </c>
    </row>
    <row r="46" spans="1:6" x14ac:dyDescent="0.2">
      <c r="A46" s="20">
        <v>11</v>
      </c>
      <c r="B46" s="202" t="s">
        <v>10</v>
      </c>
      <c r="C46" s="203"/>
      <c r="D46" s="15">
        <f>IF(F3="1",SUMIF(Data!A:A,'3'!$A$2,Data!DE:DE),0)</f>
        <v>153323</v>
      </c>
      <c r="E46" s="18">
        <f>IF(F3="1",SUMIF(Data!$A:$A,'3'!$A$2,Data!IY:IY),0)</f>
        <v>324466</v>
      </c>
      <c r="F46" s="22">
        <f t="shared" si="3"/>
        <v>2.1162252238737826</v>
      </c>
    </row>
    <row r="47" spans="1:6" ht="14.25" customHeight="1" x14ac:dyDescent="0.2">
      <c r="A47" s="20">
        <v>12</v>
      </c>
      <c r="B47" s="202" t="s">
        <v>11</v>
      </c>
      <c r="C47" s="203"/>
      <c r="D47" s="15">
        <f>IF(F3="1",SUMIF(Data!A:A,'3'!$A$2,Data!DF:DF),0)</f>
        <v>463340</v>
      </c>
      <c r="E47" s="18">
        <f>IF(F3="1",SUMIF(Data!$A:$A,'3'!$A$2,Data!IZ:IZ),0)</f>
        <v>820696</v>
      </c>
      <c r="F47" s="22">
        <f t="shared" si="3"/>
        <v>1.7712608451676954</v>
      </c>
    </row>
    <row r="48" spans="1:6" x14ac:dyDescent="0.2">
      <c r="A48" s="20">
        <v>13</v>
      </c>
      <c r="B48" s="202" t="s">
        <v>12</v>
      </c>
      <c r="C48" s="203"/>
      <c r="D48" s="15">
        <f>IF(F3="1",SUMIF(Data!A:A,'3'!$A$2,Data!DG:DG),0)</f>
        <v>43004</v>
      </c>
      <c r="E48" s="18">
        <f>IF(F3="1",SUMIF(Data!$A:$A,'3'!$A$2,Data!JA:JA),0)</f>
        <v>46439</v>
      </c>
      <c r="F48" s="22">
        <f t="shared" si="3"/>
        <v>1.0798762905776207</v>
      </c>
    </row>
    <row r="49" spans="1:6" ht="14.25" customHeight="1" x14ac:dyDescent="0.2">
      <c r="A49" s="20">
        <v>14</v>
      </c>
      <c r="B49" s="202" t="s">
        <v>449</v>
      </c>
      <c r="C49" s="203"/>
      <c r="D49" s="15">
        <f>IF(F3="1",SUMIF(Data!A:A,'3'!$A$2,Data!DH:DH),0)</f>
        <v>388148</v>
      </c>
      <c r="E49" s="18">
        <f>IF(F3="1",SUMIF(Data!$A:$A,'3'!$A$2,Data!JB:JB),0)</f>
        <v>648102</v>
      </c>
      <c r="F49" s="22">
        <f t="shared" si="3"/>
        <v>1.6697290724156766</v>
      </c>
    </row>
    <row r="50" spans="1:6" x14ac:dyDescent="0.2">
      <c r="A50" s="20">
        <v>15</v>
      </c>
      <c r="B50" s="202" t="s">
        <v>13</v>
      </c>
      <c r="C50" s="203"/>
      <c r="D50" s="15">
        <f>IF(F3="1",SUMIF(Data!A:A,'3'!$A$2,Data!DI:DI),0)</f>
        <v>54160</v>
      </c>
      <c r="E50" s="18">
        <f>IF(F3="1",SUMIF(Data!$A:$A,'3'!$A$2,Data!JC:JC),0)</f>
        <v>81327</v>
      </c>
      <c r="F50" s="22">
        <f t="shared" si="3"/>
        <v>1.5016063515509601</v>
      </c>
    </row>
    <row r="51" spans="1:6" x14ac:dyDescent="0.2">
      <c r="A51" s="20">
        <v>16</v>
      </c>
      <c r="B51" s="202" t="s">
        <v>14</v>
      </c>
      <c r="C51" s="203"/>
      <c r="D51" s="15">
        <f>IF(F3="1",SUMIF(Data!A:A,'3'!$A$2,Data!DJ:DJ),0)</f>
        <v>367821</v>
      </c>
      <c r="E51" s="18">
        <f>IF(F3="1",SUMIF(Data!$A:$A,'3'!$A$2,Data!JD:JD),0)</f>
        <v>614601</v>
      </c>
      <c r="F51" s="22">
        <f t="shared" si="3"/>
        <v>1.6709241723555752</v>
      </c>
    </row>
    <row r="52" spans="1:6" x14ac:dyDescent="0.2">
      <c r="A52" s="20">
        <v>17</v>
      </c>
      <c r="B52" s="202" t="s">
        <v>15</v>
      </c>
      <c r="C52" s="203"/>
      <c r="D52" s="15">
        <f>IF(F3="1",SUMIF(Data!A:A,'3'!$A$2,Data!DK:DK),0)</f>
        <v>26000</v>
      </c>
      <c r="E52" s="18">
        <f>IF(F3="1",SUMIF(Data!$A:$A,'3'!$A$2,Data!JE:JE),0)</f>
        <v>33159</v>
      </c>
      <c r="F52" s="22">
        <f t="shared" si="3"/>
        <v>1.2753461538461539</v>
      </c>
    </row>
    <row r="53" spans="1:6" x14ac:dyDescent="0.2">
      <c r="A53" s="20">
        <v>18</v>
      </c>
      <c r="B53" s="202" t="s">
        <v>16</v>
      </c>
      <c r="C53" s="203"/>
      <c r="D53" s="15">
        <f>IF(F3="1",SUMIF(Data!A:A,'3'!$A$2,Data!DL:DL),0)</f>
        <v>114288</v>
      </c>
      <c r="E53" s="18">
        <f>IF(F3="1",SUMIF(Data!$A:$A,'3'!$A$2,Data!JF:JF),0)</f>
        <v>180611</v>
      </c>
      <c r="F53" s="22">
        <f t="shared" si="3"/>
        <v>1.5803146437071258</v>
      </c>
    </row>
    <row r="54" spans="1:6" x14ac:dyDescent="0.2">
      <c r="A54" s="20">
        <v>19</v>
      </c>
      <c r="B54" s="202" t="s">
        <v>17</v>
      </c>
      <c r="C54" s="203"/>
      <c r="D54" s="15">
        <f>IF(F3="1",SUMIF(Data!A:A,'3'!$A$2,Data!DM:DM),0)</f>
        <v>273442</v>
      </c>
      <c r="E54" s="18">
        <f>IF(F3="1",SUMIF(Data!$A:$A,'3'!$A$2,Data!JG:JG),0)</f>
        <v>403923</v>
      </c>
      <c r="F54" s="22">
        <f t="shared" si="3"/>
        <v>1.4771798041266522</v>
      </c>
    </row>
    <row r="55" spans="1:6" x14ac:dyDescent="0.2">
      <c r="A55" s="20">
        <v>20</v>
      </c>
      <c r="B55" s="202" t="s">
        <v>18</v>
      </c>
      <c r="C55" s="203"/>
      <c r="D55" s="15">
        <f>IF(F3="1",SUMIF(Data!A:A,'3'!$A$2,Data!DN:DN),0)</f>
        <v>50728</v>
      </c>
      <c r="E55" s="18">
        <f>IF(F3="1",SUMIF(Data!$A:$A,'3'!$A$2,Data!JH:JH),0)</f>
        <v>127293</v>
      </c>
      <c r="F55" s="22">
        <f t="shared" si="3"/>
        <v>2.5093242390790098</v>
      </c>
    </row>
    <row r="56" spans="1:6" ht="14.25" customHeight="1" x14ac:dyDescent="0.2">
      <c r="A56" s="20">
        <v>21</v>
      </c>
      <c r="B56" s="202" t="s">
        <v>446</v>
      </c>
      <c r="C56" s="203"/>
      <c r="D56" s="15">
        <f>IF(F3="1",SUMIF(Data!A:A,'3'!$A$2,Data!DO:DO),0)</f>
        <v>174197</v>
      </c>
      <c r="E56" s="18">
        <f>IF(F3="1",SUMIF(Data!$A:$A,'3'!$A$2,Data!JI:JI),0)</f>
        <v>443840</v>
      </c>
      <c r="F56" s="22">
        <f t="shared" si="3"/>
        <v>2.5479198838097097</v>
      </c>
    </row>
    <row r="57" spans="1:6" x14ac:dyDescent="0.2">
      <c r="A57" s="20">
        <v>22</v>
      </c>
      <c r="B57" s="202" t="s">
        <v>19</v>
      </c>
      <c r="C57" s="203"/>
      <c r="D57" s="15">
        <f>IF(F3="1",SUMIF(Data!A:A,'3'!$A$2,Data!DP:DP),0)</f>
        <v>12112</v>
      </c>
      <c r="E57" s="18">
        <f>IF(F3="1",SUMIF(Data!$A:$A,'3'!$A$2,Data!JJ:JJ),0)</f>
        <v>26261</v>
      </c>
      <c r="F57" s="22">
        <f t="shared" si="3"/>
        <v>2.1681803170409513</v>
      </c>
    </row>
    <row r="58" spans="1:6" x14ac:dyDescent="0.2">
      <c r="A58" s="20">
        <v>23</v>
      </c>
      <c r="B58" s="202" t="s">
        <v>20</v>
      </c>
      <c r="C58" s="203"/>
      <c r="D58" s="15">
        <f>IF(F3="1",SUMIF(Data!A:A,'3'!$A$2,Data!DQ:DQ),0)</f>
        <v>82000</v>
      </c>
      <c r="E58" s="18">
        <f>IF(F3="1",SUMIF(Data!$A:$A,'3'!$A$2,Data!JK:JK),0)</f>
        <v>49121</v>
      </c>
      <c r="F58" s="22">
        <f t="shared" si="3"/>
        <v>0.59903658536585369</v>
      </c>
    </row>
    <row r="59" spans="1:6" x14ac:dyDescent="0.2">
      <c r="A59" s="20">
        <v>24</v>
      </c>
      <c r="B59" s="202" t="s">
        <v>21</v>
      </c>
      <c r="C59" s="203"/>
      <c r="D59" s="15">
        <f>IF(F3="1",SUMIF(Data!A:A,'3'!$A$2,Data!DR:DR),0)</f>
        <v>230946</v>
      </c>
      <c r="E59" s="18">
        <f>IF(F3="1",SUMIF(Data!$A:$A,'3'!$A$2,Data!JL:JL),0)</f>
        <v>755976</v>
      </c>
      <c r="F59" s="22">
        <f t="shared" si="3"/>
        <v>3.2733885843443922</v>
      </c>
    </row>
    <row r="60" spans="1:6" x14ac:dyDescent="0.2">
      <c r="A60" s="20">
        <v>25</v>
      </c>
      <c r="B60" s="202" t="s">
        <v>22</v>
      </c>
      <c r="C60" s="203"/>
      <c r="D60" s="15">
        <f>IF(F3="1",SUMIF(Data!A:A,'3'!$A$2,Data!DS:DS),0)</f>
        <v>612206</v>
      </c>
      <c r="E60" s="18">
        <f>IF(F3="1",SUMIF(Data!$A:$A,'3'!$A$2,Data!JM:JM),0)</f>
        <v>446543</v>
      </c>
      <c r="F60" s="22">
        <f t="shared" si="3"/>
        <v>0.72939990787414699</v>
      </c>
    </row>
    <row r="61" spans="1:6" x14ac:dyDescent="0.2">
      <c r="A61" s="20">
        <v>26</v>
      </c>
      <c r="B61" s="202" t="s">
        <v>23</v>
      </c>
      <c r="C61" s="203"/>
      <c r="D61" s="15">
        <f>IF(F3="1",SUMIF(Data!A:A,'3'!$A$2,Data!DT:DT),0)</f>
        <v>243408</v>
      </c>
      <c r="E61" s="18">
        <f>IF(F3="1",SUMIF(Data!$A:$A,'3'!$A$2,Data!JN:JN),0)</f>
        <v>258150</v>
      </c>
      <c r="F61" s="22">
        <f t="shared" si="3"/>
        <v>1.0605649773220271</v>
      </c>
    </row>
    <row r="62" spans="1:6" x14ac:dyDescent="0.2">
      <c r="A62" s="20">
        <v>28</v>
      </c>
      <c r="B62" s="202" t="s">
        <v>24</v>
      </c>
      <c r="C62" s="203"/>
      <c r="D62" s="15">
        <f>IF(F3="1",SUMIF(Data!A:A,'3'!$A$2,Data!DV:DV),0)</f>
        <v>320096</v>
      </c>
      <c r="E62" s="18">
        <f>IF(F3="1",SUMIF(Data!$A:$A,'3'!$A$2,Data!JP:JP),0)</f>
        <v>472838</v>
      </c>
      <c r="F62" s="22">
        <f t="shared" si="3"/>
        <v>1.4771755973208038</v>
      </c>
    </row>
    <row r="63" spans="1:6" ht="15.75" customHeight="1" thickBot="1" x14ac:dyDescent="0.25">
      <c r="A63" s="23">
        <v>29</v>
      </c>
      <c r="B63" s="206" t="s">
        <v>25</v>
      </c>
      <c r="C63" s="207"/>
      <c r="D63" s="24">
        <f>IF(F3="1",SUMIF(Data!A:A,'3'!$A$2,Data!DW:DW),0)</f>
        <v>237968</v>
      </c>
      <c r="E63" s="25">
        <f>IF(F3="1",SUMIF(Data!$A:$A,'3'!$A$2,Data!JQ:JQ),0)</f>
        <v>421504</v>
      </c>
      <c r="F63" s="26">
        <f t="shared" si="3"/>
        <v>1.7712633631412626</v>
      </c>
    </row>
    <row r="64" spans="1:6" x14ac:dyDescent="0.2">
      <c r="B64" s="31" t="s">
        <v>35</v>
      </c>
      <c r="C64" s="31"/>
      <c r="D64" s="60">
        <f>SUM(D36:D63)</f>
        <v>5075902</v>
      </c>
      <c r="E64" s="32">
        <f>SUM(E36:E63)</f>
        <v>7811427</v>
      </c>
      <c r="F64" s="33">
        <f t="shared" si="3"/>
        <v>1.538923919334928</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13888</v>
      </c>
      <c r="E67" s="16">
        <f>IF(F3="1",SUMIF(Data!A:A,'3'!$A$2,Data!DY:DY),0)</f>
        <v>42588</v>
      </c>
      <c r="F67" s="21">
        <f>IFERROR(E67/D67,"")</f>
        <v>3.066532258064516</v>
      </c>
    </row>
    <row r="68" spans="1:6" x14ac:dyDescent="0.2">
      <c r="A68" s="20">
        <v>2</v>
      </c>
      <c r="B68" s="202" t="s">
        <v>1</v>
      </c>
      <c r="C68" s="203"/>
      <c r="D68" s="15">
        <f t="shared" ref="D68:D94" si="4">D37</f>
        <v>24352</v>
      </c>
      <c r="E68" s="18">
        <f>IF(F3="1",SUMIF(Data!A:A,'3'!$A$2,Data!DZ:DZ),0)</f>
        <v>88955</v>
      </c>
      <c r="F68" s="22">
        <f t="shared" ref="F68:F95" si="5">IFERROR(E68/D68,"")</f>
        <v>3.6528827201051248</v>
      </c>
    </row>
    <row r="69" spans="1:6" ht="14.25" customHeight="1" x14ac:dyDescent="0.2">
      <c r="A69" s="20">
        <v>3</v>
      </c>
      <c r="B69" s="202" t="s">
        <v>2</v>
      </c>
      <c r="C69" s="203"/>
      <c r="D69" s="15">
        <f t="shared" si="4"/>
        <v>542288</v>
      </c>
      <c r="E69" s="18">
        <f>IF(F3="1",SUMIF(Data!A:A,'3'!$A$2,Data!EA:EA),0)</f>
        <v>1632458</v>
      </c>
      <c r="F69" s="22">
        <f t="shared" si="5"/>
        <v>3.01031555188387</v>
      </c>
    </row>
    <row r="70" spans="1:6" ht="14.25" customHeight="1" x14ac:dyDescent="0.2">
      <c r="A70" s="20">
        <v>4</v>
      </c>
      <c r="B70" s="202" t="s">
        <v>3</v>
      </c>
      <c r="C70" s="203"/>
      <c r="D70" s="15">
        <f t="shared" si="4"/>
        <v>365677</v>
      </c>
      <c r="E70" s="18">
        <f>IF(F3="1",SUMIF(Data!A:A,'3'!$A$2,Data!EB:EB),0)</f>
        <v>1163603</v>
      </c>
      <c r="F70" s="22">
        <f t="shared" si="5"/>
        <v>3.1820513732064089</v>
      </c>
    </row>
    <row r="71" spans="1:6" x14ac:dyDescent="0.2">
      <c r="A71" s="20">
        <v>5</v>
      </c>
      <c r="B71" s="202" t="s">
        <v>4</v>
      </c>
      <c r="C71" s="203"/>
      <c r="D71" s="15">
        <f t="shared" si="4"/>
        <v>576</v>
      </c>
      <c r="E71" s="18">
        <f>IF(F3="1",SUMIF(Data!A:A,'3'!$A$2,Data!EC:EC),0)</f>
        <v>2104</v>
      </c>
      <c r="F71" s="22">
        <f t="shared" si="5"/>
        <v>3.6527777777777777</v>
      </c>
    </row>
    <row r="72" spans="1:6" x14ac:dyDescent="0.2">
      <c r="A72" s="20">
        <v>6</v>
      </c>
      <c r="B72" s="202" t="s">
        <v>5</v>
      </c>
      <c r="C72" s="203"/>
      <c r="D72" s="15">
        <f t="shared" si="4"/>
        <v>43271</v>
      </c>
      <c r="E72" s="18">
        <f>IF(F3="1",SUMIF(Data!A:A,'3'!$A$2,Data!ED:ED),0)</f>
        <v>128947</v>
      </c>
      <c r="F72" s="22">
        <f t="shared" si="5"/>
        <v>2.9799865961036258</v>
      </c>
    </row>
    <row r="73" spans="1:6" x14ac:dyDescent="0.2">
      <c r="A73" s="20">
        <v>7</v>
      </c>
      <c r="B73" s="202" t="s">
        <v>6</v>
      </c>
      <c r="C73" s="203"/>
      <c r="D73" s="15">
        <f t="shared" si="4"/>
        <v>43886</v>
      </c>
      <c r="E73" s="18">
        <f>IF(F3="1",SUMIF(Data!A:A,'3'!$A$2,Data!EE:EE),0)</f>
        <v>141736</v>
      </c>
      <c r="F73" s="22">
        <f t="shared" si="5"/>
        <v>3.2296404320284373</v>
      </c>
    </row>
    <row r="74" spans="1:6" x14ac:dyDescent="0.2">
      <c r="A74" s="20">
        <v>8</v>
      </c>
      <c r="B74" s="202" t="s">
        <v>7</v>
      </c>
      <c r="C74" s="203"/>
      <c r="D74" s="15">
        <f t="shared" si="4"/>
        <v>20286</v>
      </c>
      <c r="E74" s="18">
        <f>IF(F3="1",SUMIF(Data!A:A,'3'!$A$2,Data!EF:EF),0)</f>
        <v>74172</v>
      </c>
      <c r="F74" s="22">
        <f t="shared" si="5"/>
        <v>3.6563146997929605</v>
      </c>
    </row>
    <row r="75" spans="1:6" x14ac:dyDescent="0.2">
      <c r="A75" s="20">
        <v>9</v>
      </c>
      <c r="B75" s="202" t="s">
        <v>8</v>
      </c>
      <c r="C75" s="203"/>
      <c r="D75" s="15">
        <f t="shared" si="4"/>
        <v>167147</v>
      </c>
      <c r="E75" s="18">
        <f>IF(F3="1",SUMIF(Data!A:A,'3'!$A$2,Data!EG:EG),0)</f>
        <v>412805</v>
      </c>
      <c r="F75" s="22">
        <f t="shared" si="5"/>
        <v>2.469712289182576</v>
      </c>
    </row>
    <row r="76" spans="1:6" x14ac:dyDescent="0.2">
      <c r="A76" s="20">
        <v>10</v>
      </c>
      <c r="B76" s="202" t="s">
        <v>9</v>
      </c>
      <c r="C76" s="203"/>
      <c r="D76" s="15">
        <f t="shared" si="4"/>
        <v>7344</v>
      </c>
      <c r="E76" s="18">
        <f>IF(F3="1",SUMIF(Data!A:A,'3'!$A$2,Data!EH:EH),0)</f>
        <v>22104</v>
      </c>
      <c r="F76" s="22">
        <f t="shared" si="5"/>
        <v>3.0098039215686274</v>
      </c>
    </row>
    <row r="77" spans="1:6" x14ac:dyDescent="0.2">
      <c r="A77" s="20">
        <v>11</v>
      </c>
      <c r="B77" s="202" t="s">
        <v>10</v>
      </c>
      <c r="C77" s="203"/>
      <c r="D77" s="15">
        <f t="shared" si="4"/>
        <v>153323</v>
      </c>
      <c r="E77" s="18">
        <f>IF(F3="1",SUMIF(Data!A:A,'3'!$A$2,Data!EI:EI),0)</f>
        <v>496653</v>
      </c>
      <c r="F77" s="22">
        <f t="shared" si="5"/>
        <v>3.2392596022775448</v>
      </c>
    </row>
    <row r="78" spans="1:6" ht="14.25" customHeight="1" x14ac:dyDescent="0.2">
      <c r="A78" s="20">
        <v>12</v>
      </c>
      <c r="B78" s="202" t="s">
        <v>11</v>
      </c>
      <c r="C78" s="203"/>
      <c r="D78" s="15">
        <f t="shared" si="4"/>
        <v>463340</v>
      </c>
      <c r="E78" s="18">
        <f>IF(F3="1",SUMIF(Data!A:A,'3'!$A$2,Data!EJ:EJ),0)</f>
        <v>1413050</v>
      </c>
      <c r="F78" s="22">
        <f t="shared" si="5"/>
        <v>3.0497043208011396</v>
      </c>
    </row>
    <row r="79" spans="1:6" x14ac:dyDescent="0.2">
      <c r="A79" s="20">
        <v>13</v>
      </c>
      <c r="B79" s="202" t="s">
        <v>12</v>
      </c>
      <c r="C79" s="203"/>
      <c r="D79" s="15">
        <f t="shared" si="4"/>
        <v>43004</v>
      </c>
      <c r="E79" s="18">
        <f>IF(F3="1",SUMIF(Data!A:A,'3'!$A$2,Data!EK:EK),0)</f>
        <v>134995</v>
      </c>
      <c r="F79" s="22">
        <f t="shared" si="5"/>
        <v>3.1391265928750816</v>
      </c>
    </row>
    <row r="80" spans="1:6" ht="14.25" customHeight="1" x14ac:dyDescent="0.2">
      <c r="A80" s="20">
        <v>14</v>
      </c>
      <c r="B80" s="202" t="s">
        <v>449</v>
      </c>
      <c r="C80" s="203"/>
      <c r="D80" s="15">
        <f t="shared" si="4"/>
        <v>388148</v>
      </c>
      <c r="E80" s="18">
        <f>IF(F3="1",SUMIF(Data!A:A,'3'!$A$2,Data!EL:EL),0)</f>
        <v>1817975</v>
      </c>
      <c r="F80" s="22">
        <f t="shared" si="5"/>
        <v>4.6837160052351168</v>
      </c>
    </row>
    <row r="81" spans="1:6" x14ac:dyDescent="0.2">
      <c r="A81" s="20">
        <v>15</v>
      </c>
      <c r="B81" s="202" t="s">
        <v>13</v>
      </c>
      <c r="C81" s="203"/>
      <c r="D81" s="15">
        <f t="shared" si="4"/>
        <v>54160</v>
      </c>
      <c r="E81" s="18">
        <f>IF(F3="1",SUMIF(Data!A:A,'3'!$A$2,Data!EM:EM),0)</f>
        <v>175788</v>
      </c>
      <c r="F81" s="22">
        <f t="shared" si="5"/>
        <v>3.2457163958641062</v>
      </c>
    </row>
    <row r="82" spans="1:6" x14ac:dyDescent="0.2">
      <c r="A82" s="20">
        <v>16</v>
      </c>
      <c r="B82" s="202" t="s">
        <v>14</v>
      </c>
      <c r="C82" s="203"/>
      <c r="D82" s="15">
        <f t="shared" si="4"/>
        <v>367821</v>
      </c>
      <c r="E82" s="18">
        <f>IF(F3="1",SUMIF(Data!A:A,'3'!$A$2,Data!EN:EN),0)</f>
        <v>1160304</v>
      </c>
      <c r="F82" s="22">
        <f t="shared" si="5"/>
        <v>3.1545344066815106</v>
      </c>
    </row>
    <row r="83" spans="1:6" x14ac:dyDescent="0.2">
      <c r="A83" s="20">
        <v>17</v>
      </c>
      <c r="B83" s="202" t="s">
        <v>15</v>
      </c>
      <c r="C83" s="203"/>
      <c r="D83" s="15">
        <f t="shared" si="4"/>
        <v>26000</v>
      </c>
      <c r="E83" s="18">
        <f>IF(F3="1",SUMIF(Data!A:A,'3'!$A$2,Data!EO:EO),0)</f>
        <v>90912</v>
      </c>
      <c r="F83" s="22">
        <f t="shared" si="5"/>
        <v>3.4966153846153847</v>
      </c>
    </row>
    <row r="84" spans="1:6" x14ac:dyDescent="0.2">
      <c r="A84" s="20">
        <v>18</v>
      </c>
      <c r="B84" s="202" t="s">
        <v>16</v>
      </c>
      <c r="C84" s="203"/>
      <c r="D84" s="15">
        <f t="shared" si="4"/>
        <v>114288</v>
      </c>
      <c r="E84" s="18">
        <f>IF(F3="1",SUMIF(Data!A:A,'3'!$A$2,Data!EP:EP),0)</f>
        <v>582635</v>
      </c>
      <c r="F84" s="22">
        <f t="shared" si="5"/>
        <v>5.0979542909141813</v>
      </c>
    </row>
    <row r="85" spans="1:6" x14ac:dyDescent="0.2">
      <c r="A85" s="20">
        <v>19</v>
      </c>
      <c r="B85" s="202" t="s">
        <v>17</v>
      </c>
      <c r="C85" s="203"/>
      <c r="D85" s="15">
        <f t="shared" si="4"/>
        <v>273442</v>
      </c>
      <c r="E85" s="18">
        <f>IF(F3="1",SUMIF(Data!A:A,'3'!$A$2,Data!EQ:EQ),0)</f>
        <v>820566</v>
      </c>
      <c r="F85" s="22">
        <f t="shared" si="5"/>
        <v>3.0008776998412827</v>
      </c>
    </row>
    <row r="86" spans="1:6" x14ac:dyDescent="0.2">
      <c r="A86" s="20">
        <v>20</v>
      </c>
      <c r="B86" s="202" t="s">
        <v>18</v>
      </c>
      <c r="C86" s="203"/>
      <c r="D86" s="15">
        <f t="shared" si="4"/>
        <v>50728</v>
      </c>
      <c r="E86" s="18">
        <f>IF(F3="1",SUMIF(Data!A:A,'3'!$A$2,Data!ER:ER),0)</f>
        <v>185303</v>
      </c>
      <c r="F86" s="22">
        <f t="shared" si="5"/>
        <v>3.6528741523419019</v>
      </c>
    </row>
    <row r="87" spans="1:6" ht="14.25" customHeight="1" x14ac:dyDescent="0.2">
      <c r="A87" s="20">
        <v>21</v>
      </c>
      <c r="B87" s="202" t="s">
        <v>446</v>
      </c>
      <c r="C87" s="203"/>
      <c r="D87" s="15">
        <f t="shared" si="4"/>
        <v>174197</v>
      </c>
      <c r="E87" s="18">
        <f>IF(F3="1",SUMIF(Data!A:A,'3'!$A$2,Data!ES:ES),0)</f>
        <v>637085</v>
      </c>
      <c r="F87" s="22">
        <f t="shared" si="5"/>
        <v>3.6572673467396108</v>
      </c>
    </row>
    <row r="88" spans="1:6" x14ac:dyDescent="0.2">
      <c r="A88" s="20">
        <v>22</v>
      </c>
      <c r="B88" s="202" t="s">
        <v>19</v>
      </c>
      <c r="C88" s="203"/>
      <c r="D88" s="15">
        <f t="shared" si="4"/>
        <v>12112</v>
      </c>
      <c r="E88" s="18">
        <f>IF(F3="1",SUMIF(Data!A:A,'3'!$A$2,Data!ET:ET),0)</f>
        <v>43085</v>
      </c>
      <c r="F88" s="22">
        <f t="shared" si="5"/>
        <v>3.5572159841479523</v>
      </c>
    </row>
    <row r="89" spans="1:6" x14ac:dyDescent="0.2">
      <c r="A89" s="20">
        <v>23</v>
      </c>
      <c r="B89" s="202" t="s">
        <v>20</v>
      </c>
      <c r="C89" s="203"/>
      <c r="D89" s="15">
        <f t="shared" si="4"/>
        <v>82000</v>
      </c>
      <c r="E89" s="18">
        <f>IF(F3="1",SUMIF(Data!A:A,'3'!$A$2,Data!EU:EU),0)</f>
        <v>156829</v>
      </c>
      <c r="F89" s="22">
        <f t="shared" si="5"/>
        <v>1.912548780487805</v>
      </c>
    </row>
    <row r="90" spans="1:6" x14ac:dyDescent="0.2">
      <c r="A90" s="20">
        <v>24</v>
      </c>
      <c r="B90" s="202" t="s">
        <v>21</v>
      </c>
      <c r="C90" s="203"/>
      <c r="D90" s="15">
        <f t="shared" si="4"/>
        <v>230946</v>
      </c>
      <c r="E90" s="18">
        <f>IF(F3="1",SUMIF(Data!A:A,'3'!$A$2,Data!EV:EV),0)</f>
        <v>365757</v>
      </c>
      <c r="F90" s="22">
        <f t="shared" si="5"/>
        <v>1.5837338598633446</v>
      </c>
    </row>
    <row r="91" spans="1:6" x14ac:dyDescent="0.2">
      <c r="A91" s="20">
        <v>25</v>
      </c>
      <c r="B91" s="202" t="s">
        <v>22</v>
      </c>
      <c r="C91" s="203"/>
      <c r="D91" s="15">
        <f t="shared" si="4"/>
        <v>612206</v>
      </c>
      <c r="E91" s="18">
        <f>IF(F3="1",SUMIF(Data!A:A,'3'!$A$2,Data!EW:EW),0)</f>
        <v>1237256</v>
      </c>
      <c r="F91" s="22">
        <f t="shared" si="5"/>
        <v>2.0209798662541694</v>
      </c>
    </row>
    <row r="92" spans="1:6" x14ac:dyDescent="0.2">
      <c r="A92" s="20">
        <v>26</v>
      </c>
      <c r="B92" s="202" t="s">
        <v>23</v>
      </c>
      <c r="C92" s="203"/>
      <c r="D92" s="15">
        <f t="shared" si="4"/>
        <v>243408</v>
      </c>
      <c r="E92" s="18">
        <f>IF(F3="1",SUMIF(Data!A:A,'3'!$A$2,Data!EX:EX),0)</f>
        <v>759821</v>
      </c>
      <c r="F92" s="22">
        <f t="shared" si="5"/>
        <v>3.121594195753632</v>
      </c>
    </row>
    <row r="93" spans="1:6" x14ac:dyDescent="0.2">
      <c r="A93" s="20">
        <v>28</v>
      </c>
      <c r="B93" s="202" t="s">
        <v>24</v>
      </c>
      <c r="C93" s="203"/>
      <c r="D93" s="15">
        <f t="shared" si="4"/>
        <v>320096</v>
      </c>
      <c r="E93" s="18">
        <f>IF(F3="1",SUMIF(Data!A:A,'3'!$A$2,Data!EZ:EZ),0)</f>
        <v>960569</v>
      </c>
      <c r="F93" s="22">
        <f t="shared" si="5"/>
        <v>3.0008778616415075</v>
      </c>
    </row>
    <row r="94" spans="1:6" ht="15.75" customHeight="1" thickBot="1" x14ac:dyDescent="0.25">
      <c r="A94" s="23">
        <v>29</v>
      </c>
      <c r="B94" s="206" t="s">
        <v>25</v>
      </c>
      <c r="C94" s="207"/>
      <c r="D94" s="24">
        <f t="shared" si="4"/>
        <v>237968</v>
      </c>
      <c r="E94" s="25">
        <f>IF(F3="1",SUMIF(Data!A:A,'3'!$A$2,Data!FA:FA),0)</f>
        <v>725732</v>
      </c>
      <c r="F94" s="26">
        <f t="shared" si="5"/>
        <v>3.0497041619041214</v>
      </c>
    </row>
    <row r="95" spans="1:6" x14ac:dyDescent="0.2">
      <c r="B95" s="31" t="s">
        <v>35</v>
      </c>
      <c r="C95" s="31"/>
      <c r="D95" s="60">
        <f>SUM(D67:D94)</f>
        <v>5075902</v>
      </c>
      <c r="E95" s="32">
        <f>SUM(E67:E94)</f>
        <v>15473787</v>
      </c>
      <c r="F95" s="33">
        <f t="shared" si="5"/>
        <v>3.0484802504067257</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IF(F3="1",SUMIF(Data!A:A,'3'!$A$2,Data!AH:AH),0)</f>
        <v>9800697</v>
      </c>
      <c r="F98" s="21">
        <f t="shared" ref="F98:F105" si="6">IFERROR(E98/$D$95,0)</f>
        <v>1.9308286487800592</v>
      </c>
    </row>
    <row r="99" spans="2:6" x14ac:dyDescent="0.2">
      <c r="B99" s="212" t="s">
        <v>31</v>
      </c>
      <c r="C99" s="213"/>
      <c r="D99" s="37"/>
      <c r="E99" s="18">
        <f>IF(F3="1",SUMIF(Data!A:A,'3'!$A$2,Data!AI:AI),0)</f>
        <v>3067049</v>
      </c>
      <c r="F99" s="22">
        <f t="shared" si="6"/>
        <v>0.60423723704673571</v>
      </c>
    </row>
    <row r="100" spans="2:6" x14ac:dyDescent="0.2">
      <c r="B100" s="212" t="s">
        <v>32</v>
      </c>
      <c r="C100" s="213"/>
      <c r="D100" s="37"/>
      <c r="E100" s="18">
        <f>IF(F3="1",SUMIF(Data!A:A,'3'!$A$2,Data!AJ:AJ),0)</f>
        <v>2099448</v>
      </c>
      <c r="F100" s="22">
        <f t="shared" si="6"/>
        <v>0.4136108222735585</v>
      </c>
    </row>
    <row r="101" spans="2:6" x14ac:dyDescent="0.2">
      <c r="B101" s="212" t="s">
        <v>28</v>
      </c>
      <c r="C101" s="213"/>
      <c r="D101" s="37"/>
      <c r="E101" s="18">
        <f>IF(F3="1",SUMIF(Data!A:A,'3'!$A$2,Data!AK:AK),0)</f>
        <v>0</v>
      </c>
      <c r="F101" s="22">
        <f t="shared" si="6"/>
        <v>0</v>
      </c>
    </row>
    <row r="102" spans="2:6" x14ac:dyDescent="0.2">
      <c r="B102" s="212" t="s">
        <v>33</v>
      </c>
      <c r="C102" s="213"/>
      <c r="D102" s="37"/>
      <c r="E102" s="18">
        <f>IF(F3="1",SUMIF(Data!A:A,'3'!$A$2,Data!AL:AL),0)</f>
        <v>0</v>
      </c>
      <c r="F102" s="22">
        <f t="shared" si="6"/>
        <v>0</v>
      </c>
    </row>
    <row r="103" spans="2:6" x14ac:dyDescent="0.2">
      <c r="B103" s="214" t="s">
        <v>34</v>
      </c>
      <c r="C103" s="215"/>
      <c r="D103" s="37"/>
      <c r="E103" s="18">
        <f>IF(F3="1",SUMIF(Data!A:A,'3'!$A$2,Data!AM:AM),0)</f>
        <v>1682054</v>
      </c>
      <c r="F103" s="22">
        <f t="shared" si="6"/>
        <v>0.3313803142771472</v>
      </c>
    </row>
    <row r="104" spans="2:6" ht="15.75" customHeight="1" thickBot="1" x14ac:dyDescent="0.25">
      <c r="B104" s="208" t="s">
        <v>29</v>
      </c>
      <c r="C104" s="209"/>
      <c r="D104" s="38"/>
      <c r="E104" s="25">
        <f>IF(F3="1",SUMIF(Data!A:A,'3'!$A$2,Data!Q:Q),0)</f>
        <v>2876948</v>
      </c>
      <c r="F104" s="26">
        <f t="shared" si="6"/>
        <v>0.56678556835809679</v>
      </c>
    </row>
    <row r="105" spans="2:6" x14ac:dyDescent="0.2">
      <c r="B105" s="31" t="s">
        <v>35</v>
      </c>
      <c r="C105" s="31"/>
      <c r="D105" s="35">
        <f>D95</f>
        <v>5075902</v>
      </c>
      <c r="E105" s="32">
        <f>SUM(E98:E104)</f>
        <v>19526196</v>
      </c>
      <c r="F105" s="33">
        <f t="shared" si="6"/>
        <v>3.8468425907355974</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6">
        <f>E95+IF(F3="1",SUMIF(Data!$A:$A,$A$2,Data!GF:GF),0)</f>
        <v>18860022</v>
      </c>
      <c r="D109" s="192">
        <f>IF(F3="1",SUMIF(Data!$A:$A,$A$2,Data!HJ:HJ),0)</f>
        <v>3400276</v>
      </c>
      <c r="E109" s="192">
        <f>IF(F3="1",SUMIF(Data!$A:$A,$A$2,Data!IN:IN),0)</f>
        <v>1520569</v>
      </c>
      <c r="F109" s="48">
        <f>SUM(C109:E109)</f>
        <v>23780867</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1648155</v>
      </c>
      <c r="D111" s="52"/>
      <c r="E111" s="193">
        <f>IF(F3="1",SUMIF(Data!A:A,$A$2,Data!AX:AX)-SUMIF(Data!A:A,$A$2,Data!AW:AW),0)</f>
        <v>292542</v>
      </c>
      <c r="F111" s="49">
        <f t="shared" si="7"/>
        <v>1940697</v>
      </c>
    </row>
    <row r="112" spans="2:6" x14ac:dyDescent="0.2">
      <c r="B112" s="43" t="s">
        <v>32</v>
      </c>
      <c r="C112" s="193">
        <f>IF(F3="1",SUMIF(Data!A:A,$A$2,Data!V:V),0)</f>
        <v>1815307</v>
      </c>
      <c r="D112" s="52"/>
      <c r="E112" s="193">
        <f>IF(F3="1",SUMIF(Data!A:A,$A$2,Data!AC:AC),0)</f>
        <v>284141</v>
      </c>
      <c r="F112" s="49">
        <f t="shared" si="7"/>
        <v>2099448</v>
      </c>
    </row>
    <row r="113" spans="1:6" x14ac:dyDescent="0.2">
      <c r="B113" s="43" t="s">
        <v>31</v>
      </c>
      <c r="C113" s="193">
        <f>IF(F3="1",SUMIF(Data!A:A,$A$2,Data!U:U),0)</f>
        <v>2713972</v>
      </c>
      <c r="D113" s="52"/>
      <c r="E113" s="193">
        <f>IF(F3="1",SUMIF(Data!A:A,$A$2,Data!AB:AB),0)</f>
        <v>353077</v>
      </c>
      <c r="F113" s="49">
        <f t="shared" si="7"/>
        <v>3067049</v>
      </c>
    </row>
    <row r="114" spans="1:6" x14ac:dyDescent="0.2">
      <c r="B114" s="43" t="s">
        <v>1002</v>
      </c>
      <c r="C114" s="193">
        <f>IF(F3="1",SUMIF(Data!A:A,$A$2,Data!T:T),0)</f>
        <v>5200731</v>
      </c>
      <c r="D114" s="52"/>
      <c r="E114" s="193">
        <f>IF(F3="1",SUMIF(Data!A:A,$A$2,Data!AA:AA),0)</f>
        <v>4599966</v>
      </c>
      <c r="F114" s="49">
        <f t="shared" si="7"/>
        <v>9800697</v>
      </c>
    </row>
    <row r="115" spans="1:6" x14ac:dyDescent="0.2">
      <c r="B115" s="43" t="s">
        <v>916</v>
      </c>
      <c r="C115" s="193">
        <f>IF(F3="1",SUMIF(Data!A:A,$A$2,Data!BI:BI),0)</f>
        <v>2381391</v>
      </c>
      <c r="D115" s="193">
        <f>IF(F3="1",SUMIF(Data!A:A,$A$2,Data!BL:BL),0)</f>
        <v>931303</v>
      </c>
      <c r="E115" s="193">
        <f>IF(F3="1",SUMIF(Data!A:A,$A$2,Data!BU:BU)-SUMIF(Data!A:A,$A$2,Data!BT:BT),0)</f>
        <v>4098544</v>
      </c>
      <c r="F115" s="49">
        <f t="shared" si="7"/>
        <v>7411238</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2876948</v>
      </c>
      <c r="E117" s="53"/>
      <c r="F117" s="50">
        <f>SUM(C117:E117)</f>
        <v>2876948</v>
      </c>
    </row>
    <row r="118" spans="1:6" x14ac:dyDescent="0.2">
      <c r="B118" s="14" t="s">
        <v>35</v>
      </c>
      <c r="C118" s="178">
        <f>SUM(C109:C117)</f>
        <v>32619578</v>
      </c>
      <c r="D118" s="194">
        <f>SUM(D109:D117)</f>
        <v>7208527</v>
      </c>
      <c r="E118" s="178">
        <f>SUM(E109:E117)</f>
        <v>11148839</v>
      </c>
      <c r="F118" s="178">
        <f>SUM(F109:F117)</f>
        <v>50976944</v>
      </c>
    </row>
    <row r="119" spans="1:6" x14ac:dyDescent="0.2">
      <c r="C119" s="177"/>
      <c r="D119" s="177"/>
      <c r="E119" s="177"/>
    </row>
    <row r="120" spans="1:6" ht="15" thickBot="1" x14ac:dyDescent="0.25">
      <c r="B120" s="188" t="s">
        <v>921</v>
      </c>
      <c r="C120" s="53"/>
      <c r="D120" s="53"/>
      <c r="E120" s="195">
        <f>IF(F3="1",SUMIF(Data!A:A,$A$2,Data!AF:AF)+SUMIF(Data!A:A,$A$2,Data!AW:AW)+SUMIF(Data!A:A,$A$2,Data!BT:BT),0)</f>
        <v>2264238</v>
      </c>
      <c r="F120" s="181">
        <f>SUM(C120:E120)</f>
        <v>2264238</v>
      </c>
    </row>
    <row r="121" spans="1:6" s="177" customFormat="1" x14ac:dyDescent="0.2">
      <c r="B121" s="14" t="s">
        <v>35</v>
      </c>
      <c r="C121" s="178">
        <f>SUM(C120:C120)</f>
        <v>0</v>
      </c>
      <c r="D121" s="178">
        <f>SUM(D120:D120)</f>
        <v>0</v>
      </c>
      <c r="E121" s="178">
        <f>SUM(E120:E120)</f>
        <v>2264238</v>
      </c>
      <c r="F121" s="178">
        <f>SUM(F120:F120)</f>
        <v>2264238</v>
      </c>
    </row>
    <row r="122" spans="1:6" s="177" customFormat="1" ht="15" thickBot="1" x14ac:dyDescent="0.25">
      <c r="B122" s="14" t="s">
        <v>1396</v>
      </c>
      <c r="C122" s="178"/>
      <c r="D122" s="178"/>
      <c r="E122" s="178"/>
      <c r="F122" s="190">
        <f>F118+F121</f>
        <v>53241182</v>
      </c>
    </row>
    <row r="123" spans="1:6" ht="15" thickTop="1" x14ac:dyDescent="0.2">
      <c r="C123" s="183"/>
      <c r="F123" s="184"/>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413</v>
      </c>
      <c r="B2" s="59" t="str">
        <f>VLOOKUP(A2,Data!A:G,7,0)</f>
        <v>Angelina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0</v>
      </c>
      <c r="E5" s="16">
        <f>E36+E67+IFERROR($E$105/$D$105*D5,0)</f>
        <v>0</v>
      </c>
      <c r="F5" s="21" t="str">
        <f>IFERROR(E5/D5,"")</f>
        <v/>
      </c>
    </row>
    <row r="6" spans="1:6" x14ac:dyDescent="0.2">
      <c r="A6" s="20">
        <v>2</v>
      </c>
      <c r="B6" s="202" t="s">
        <v>1</v>
      </c>
      <c r="C6" s="203"/>
      <c r="D6" s="15">
        <f t="shared" ref="D6:D32" si="0">D37</f>
        <v>50832</v>
      </c>
      <c r="E6" s="18">
        <f t="shared" ref="E6:E32" si="1">E37+E68+IFERROR($E$105/$D$105*D6,0)</f>
        <v>440179.97720692388</v>
      </c>
      <c r="F6" s="22">
        <f t="shared" ref="F6:F33" si="2">IFERROR(E6/D6,"")</f>
        <v>8.6595053747034125</v>
      </c>
    </row>
    <row r="7" spans="1:6" ht="14.25" customHeight="1" x14ac:dyDescent="0.2">
      <c r="A7" s="20">
        <v>3</v>
      </c>
      <c r="B7" s="202" t="s">
        <v>2</v>
      </c>
      <c r="C7" s="203"/>
      <c r="D7" s="15">
        <f t="shared" si="0"/>
        <v>216032</v>
      </c>
      <c r="E7" s="18">
        <f t="shared" si="1"/>
        <v>1226224.9638803545</v>
      </c>
      <c r="F7" s="22">
        <f t="shared" si="2"/>
        <v>5.6761265177397542</v>
      </c>
    </row>
    <row r="8" spans="1:6" ht="14.25" customHeight="1" x14ac:dyDescent="0.2">
      <c r="A8" s="20">
        <v>4</v>
      </c>
      <c r="B8" s="202" t="s">
        <v>3</v>
      </c>
      <c r="C8" s="203"/>
      <c r="D8" s="15">
        <f t="shared" si="0"/>
        <v>123048</v>
      </c>
      <c r="E8" s="18">
        <f t="shared" si="1"/>
        <v>805492.67995273788</v>
      </c>
      <c r="F8" s="22">
        <f t="shared" si="2"/>
        <v>6.5461663737138176</v>
      </c>
    </row>
    <row r="9" spans="1:6" x14ac:dyDescent="0.2">
      <c r="A9" s="20">
        <v>5</v>
      </c>
      <c r="B9" s="202" t="s">
        <v>4</v>
      </c>
      <c r="C9" s="203"/>
      <c r="D9" s="15">
        <f t="shared" si="0"/>
        <v>120</v>
      </c>
      <c r="E9" s="18">
        <f t="shared" si="1"/>
        <v>1440.677472159877</v>
      </c>
      <c r="F9" s="22">
        <f t="shared" si="2"/>
        <v>12.005645601332308</v>
      </c>
    </row>
    <row r="10" spans="1:6" x14ac:dyDescent="0.2">
      <c r="A10" s="20">
        <v>6</v>
      </c>
      <c r="B10" s="202" t="s">
        <v>5</v>
      </c>
      <c r="C10" s="203"/>
      <c r="D10" s="15">
        <f t="shared" si="0"/>
        <v>7184</v>
      </c>
      <c r="E10" s="18">
        <f t="shared" si="1"/>
        <v>84526.891333304637</v>
      </c>
      <c r="F10" s="22">
        <f t="shared" si="2"/>
        <v>11.765992668889844</v>
      </c>
    </row>
    <row r="11" spans="1:6" x14ac:dyDescent="0.2">
      <c r="A11" s="20">
        <v>7</v>
      </c>
      <c r="B11" s="202" t="s">
        <v>6</v>
      </c>
      <c r="C11" s="203"/>
      <c r="D11" s="15">
        <f t="shared" si="0"/>
        <v>36616</v>
      </c>
      <c r="E11" s="18">
        <f t="shared" si="1"/>
        <v>499597.38600505044</v>
      </c>
      <c r="F11" s="22">
        <f t="shared" si="2"/>
        <v>13.644237109598276</v>
      </c>
    </row>
    <row r="12" spans="1:6" x14ac:dyDescent="0.2">
      <c r="A12" s="20">
        <v>8</v>
      </c>
      <c r="B12" s="202" t="s">
        <v>7</v>
      </c>
      <c r="C12" s="203"/>
      <c r="D12" s="15">
        <f t="shared" si="0"/>
        <v>14612</v>
      </c>
      <c r="E12" s="18">
        <f t="shared" si="1"/>
        <v>103789.82686000102</v>
      </c>
      <c r="F12" s="22">
        <f t="shared" si="2"/>
        <v>7.1030541240077349</v>
      </c>
    </row>
    <row r="13" spans="1:6" x14ac:dyDescent="0.2">
      <c r="A13" s="20">
        <v>9</v>
      </c>
      <c r="B13" s="202" t="s">
        <v>8</v>
      </c>
      <c r="C13" s="203"/>
      <c r="D13" s="15">
        <f t="shared" si="0"/>
        <v>36136</v>
      </c>
      <c r="E13" s="18">
        <f t="shared" si="1"/>
        <v>260551.67611641093</v>
      </c>
      <c r="F13" s="22">
        <f t="shared" si="2"/>
        <v>7.2103076188955875</v>
      </c>
    </row>
    <row r="14" spans="1:6" x14ac:dyDescent="0.2">
      <c r="A14" s="20">
        <v>10</v>
      </c>
      <c r="B14" s="202" t="s">
        <v>9</v>
      </c>
      <c r="C14" s="203"/>
      <c r="D14" s="15">
        <f t="shared" si="0"/>
        <v>128</v>
      </c>
      <c r="E14" s="18">
        <f t="shared" si="1"/>
        <v>26464.055970303867</v>
      </c>
      <c r="F14" s="22">
        <f t="shared" si="2"/>
        <v>206.75043726799896</v>
      </c>
    </row>
    <row r="15" spans="1:6" x14ac:dyDescent="0.2">
      <c r="A15" s="20">
        <v>11</v>
      </c>
      <c r="B15" s="202" t="s">
        <v>10</v>
      </c>
      <c r="C15" s="203"/>
      <c r="D15" s="15">
        <f t="shared" si="0"/>
        <v>30008</v>
      </c>
      <c r="E15" s="18">
        <f t="shared" si="1"/>
        <v>213239.74653811322</v>
      </c>
      <c r="F15" s="22">
        <f t="shared" si="2"/>
        <v>7.1060965921791928</v>
      </c>
    </row>
    <row r="16" spans="1:6" ht="14.25" customHeight="1" x14ac:dyDescent="0.2">
      <c r="A16" s="20">
        <v>12</v>
      </c>
      <c r="B16" s="202" t="s">
        <v>11</v>
      </c>
      <c r="C16" s="203"/>
      <c r="D16" s="15">
        <f t="shared" si="0"/>
        <v>304542</v>
      </c>
      <c r="E16" s="18">
        <f t="shared" si="1"/>
        <v>1753463.322720944</v>
      </c>
      <c r="F16" s="22">
        <f t="shared" si="2"/>
        <v>5.7577060724660107</v>
      </c>
    </row>
    <row r="17" spans="1:6" x14ac:dyDescent="0.2">
      <c r="A17" s="20">
        <v>13</v>
      </c>
      <c r="B17" s="202" t="s">
        <v>12</v>
      </c>
      <c r="C17" s="203"/>
      <c r="D17" s="15">
        <f t="shared" si="0"/>
        <v>31044</v>
      </c>
      <c r="E17" s="18">
        <f t="shared" si="1"/>
        <v>174572.26204776019</v>
      </c>
      <c r="F17" s="22">
        <f t="shared" si="2"/>
        <v>5.6233817178121432</v>
      </c>
    </row>
    <row r="18" spans="1:6" ht="14.25" customHeight="1" x14ac:dyDescent="0.2">
      <c r="A18" s="20">
        <v>14</v>
      </c>
      <c r="B18" s="202" t="s">
        <v>449</v>
      </c>
      <c r="C18" s="203"/>
      <c r="D18" s="15">
        <f t="shared" si="0"/>
        <v>167002</v>
      </c>
      <c r="E18" s="18">
        <f t="shared" si="1"/>
        <v>1510296.4933803647</v>
      </c>
      <c r="F18" s="22">
        <f t="shared" si="2"/>
        <v>9.0435832707414558</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212683</v>
      </c>
      <c r="E20" s="18">
        <f t="shared" si="1"/>
        <v>1735968.390094826</v>
      </c>
      <c r="F20" s="22">
        <f t="shared" si="2"/>
        <v>8.1622338884387844</v>
      </c>
    </row>
    <row r="21" spans="1:6" x14ac:dyDescent="0.2">
      <c r="A21" s="20">
        <v>17</v>
      </c>
      <c r="B21" s="202" t="s">
        <v>15</v>
      </c>
      <c r="C21" s="203"/>
      <c r="D21" s="15">
        <f t="shared" si="0"/>
        <v>20416</v>
      </c>
      <c r="E21" s="18">
        <f t="shared" si="1"/>
        <v>255907.92726346708</v>
      </c>
      <c r="F21" s="22">
        <f t="shared" si="2"/>
        <v>12.534675120663552</v>
      </c>
    </row>
    <row r="22" spans="1:6" x14ac:dyDescent="0.2">
      <c r="A22" s="20">
        <v>18</v>
      </c>
      <c r="B22" s="202" t="s">
        <v>16</v>
      </c>
      <c r="C22" s="203"/>
      <c r="D22" s="15">
        <f t="shared" si="0"/>
        <v>123628</v>
      </c>
      <c r="E22" s="18">
        <f t="shared" si="1"/>
        <v>689157.62106817728</v>
      </c>
      <c r="F22" s="22">
        <f t="shared" si="2"/>
        <v>5.5744460888162655</v>
      </c>
    </row>
    <row r="23" spans="1:6" x14ac:dyDescent="0.2">
      <c r="A23" s="20">
        <v>19</v>
      </c>
      <c r="B23" s="202" t="s">
        <v>17</v>
      </c>
      <c r="C23" s="203"/>
      <c r="D23" s="15">
        <f t="shared" si="0"/>
        <v>99440</v>
      </c>
      <c r="E23" s="18">
        <f t="shared" si="1"/>
        <v>683808.73192981805</v>
      </c>
      <c r="F23" s="22">
        <f t="shared" si="2"/>
        <v>6.8765962583449118</v>
      </c>
    </row>
    <row r="24" spans="1:6" x14ac:dyDescent="0.2">
      <c r="A24" s="20">
        <v>20</v>
      </c>
      <c r="B24" s="202" t="s">
        <v>18</v>
      </c>
      <c r="C24" s="203"/>
      <c r="D24" s="15">
        <f t="shared" si="0"/>
        <v>15360</v>
      </c>
      <c r="E24" s="18">
        <f t="shared" si="1"/>
        <v>96632.716436464252</v>
      </c>
      <c r="F24" s="22">
        <f t="shared" si="2"/>
        <v>6.2911924763323084</v>
      </c>
    </row>
    <row r="25" spans="1:6" ht="14.25" customHeight="1" x14ac:dyDescent="0.2">
      <c r="A25" s="20">
        <v>21</v>
      </c>
      <c r="B25" s="202" t="s">
        <v>446</v>
      </c>
      <c r="C25" s="203"/>
      <c r="D25" s="15">
        <f t="shared" si="0"/>
        <v>10680</v>
      </c>
      <c r="E25" s="18">
        <f t="shared" si="1"/>
        <v>93443.295022229053</v>
      </c>
      <c r="F25" s="22">
        <f t="shared" si="2"/>
        <v>8.7493721930926078</v>
      </c>
    </row>
    <row r="26" spans="1:6" x14ac:dyDescent="0.2">
      <c r="A26" s="20">
        <v>22</v>
      </c>
      <c r="B26" s="202" t="s">
        <v>19</v>
      </c>
      <c r="C26" s="203"/>
      <c r="D26" s="15">
        <f t="shared" si="0"/>
        <v>896</v>
      </c>
      <c r="E26" s="18">
        <f t="shared" si="1"/>
        <v>6361.3917921270813</v>
      </c>
      <c r="F26" s="22">
        <f t="shared" si="2"/>
        <v>7.0997676251418316</v>
      </c>
    </row>
    <row r="27" spans="1:6" x14ac:dyDescent="0.2">
      <c r="A27" s="20">
        <v>23</v>
      </c>
      <c r="B27" s="202" t="s">
        <v>20</v>
      </c>
      <c r="C27" s="203"/>
      <c r="D27" s="15">
        <f t="shared" si="0"/>
        <v>58685</v>
      </c>
      <c r="E27" s="18">
        <f t="shared" si="1"/>
        <v>449588.64544751984</v>
      </c>
      <c r="F27" s="22">
        <f t="shared" si="2"/>
        <v>7.6610487423961802</v>
      </c>
    </row>
    <row r="28" spans="1:6" x14ac:dyDescent="0.2">
      <c r="A28" s="20">
        <v>24</v>
      </c>
      <c r="B28" s="202" t="s">
        <v>21</v>
      </c>
      <c r="C28" s="203"/>
      <c r="D28" s="15">
        <f t="shared" si="0"/>
        <v>124923</v>
      </c>
      <c r="E28" s="18">
        <f t="shared" si="1"/>
        <v>830325.26545523596</v>
      </c>
      <c r="F28" s="22">
        <f t="shared" si="2"/>
        <v>6.6466964886789137</v>
      </c>
    </row>
    <row r="29" spans="1:6" x14ac:dyDescent="0.2">
      <c r="A29" s="20">
        <v>25</v>
      </c>
      <c r="B29" s="202" t="s">
        <v>22</v>
      </c>
      <c r="C29" s="203"/>
      <c r="D29" s="15">
        <f t="shared" si="0"/>
        <v>361416</v>
      </c>
      <c r="E29" s="18">
        <f t="shared" si="1"/>
        <v>2130165.4106511176</v>
      </c>
      <c r="F29" s="22">
        <f t="shared" si="2"/>
        <v>5.8939432970624361</v>
      </c>
    </row>
    <row r="30" spans="1:6" x14ac:dyDescent="0.2">
      <c r="A30" s="20">
        <v>26</v>
      </c>
      <c r="B30" s="202" t="s">
        <v>23</v>
      </c>
      <c r="C30" s="203"/>
      <c r="D30" s="15">
        <f t="shared" si="0"/>
        <v>123800</v>
      </c>
      <c r="E30" s="18">
        <f t="shared" si="1"/>
        <v>944522.25877827313</v>
      </c>
      <c r="F30" s="22">
        <f t="shared" si="2"/>
        <v>7.6294205070942906</v>
      </c>
    </row>
    <row r="31" spans="1:6" x14ac:dyDescent="0.2">
      <c r="A31" s="20">
        <v>28</v>
      </c>
      <c r="B31" s="202" t="s">
        <v>24</v>
      </c>
      <c r="C31" s="203"/>
      <c r="D31" s="15">
        <f t="shared" si="0"/>
        <v>136960</v>
      </c>
      <c r="E31" s="18">
        <f t="shared" si="1"/>
        <v>941830.88822513958</v>
      </c>
      <c r="F31" s="22">
        <f t="shared" si="2"/>
        <v>6.8766858077186006</v>
      </c>
    </row>
    <row r="32" spans="1:6" ht="15.75" customHeight="1" thickBot="1" x14ac:dyDescent="0.25">
      <c r="A32" s="23">
        <v>29</v>
      </c>
      <c r="B32" s="206" t="s">
        <v>25</v>
      </c>
      <c r="C32" s="207"/>
      <c r="D32" s="24">
        <f t="shared" si="0"/>
        <v>179520</v>
      </c>
      <c r="E32" s="25">
        <f t="shared" si="1"/>
        <v>1028841.498351176</v>
      </c>
      <c r="F32" s="26">
        <f t="shared" si="2"/>
        <v>5.7310689524909542</v>
      </c>
    </row>
    <row r="33" spans="1:6" x14ac:dyDescent="0.2">
      <c r="B33" s="31" t="s">
        <v>35</v>
      </c>
      <c r="C33" s="31"/>
      <c r="D33" s="60">
        <f>SUM(D5:D32)</f>
        <v>2485711</v>
      </c>
      <c r="E33" s="32">
        <f>SUM(E5:E32)</f>
        <v>16986394.000000004</v>
      </c>
      <c r="F33" s="33">
        <f t="shared" si="2"/>
        <v>6.8336158145496411</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IF(F3="1",SUMIF(Data!A:A,'4'!$A$2,Data!CU:CU),0)</f>
        <v>0</v>
      </c>
      <c r="E36" s="16">
        <f>IF(F3="1",SUMIF(Data!$A:$A,'4'!$A$2,Data!IO:IO),0)</f>
        <v>0</v>
      </c>
      <c r="F36" s="21" t="str">
        <f t="shared" ref="F36:F64" si="3">IFERROR(E36/D36,"")</f>
        <v/>
      </c>
    </row>
    <row r="37" spans="1:6" x14ac:dyDescent="0.2">
      <c r="A37" s="20">
        <v>2</v>
      </c>
      <c r="B37" s="202" t="s">
        <v>1</v>
      </c>
      <c r="C37" s="203"/>
      <c r="D37" s="15">
        <f>IF(F3="1",SUMIF(Data!A:A,'4'!$A$2,Data!CV:CV),0)</f>
        <v>50832</v>
      </c>
      <c r="E37" s="18">
        <f>IF(F3="1",SUMIF(Data!$A:$A,'4'!$A$2,Data!IP:IP),0)</f>
        <v>87930</v>
      </c>
      <c r="F37" s="22">
        <f t="shared" si="3"/>
        <v>1.7298158640226629</v>
      </c>
    </row>
    <row r="38" spans="1:6" ht="14.25" customHeight="1" x14ac:dyDescent="0.2">
      <c r="A38" s="20">
        <v>3</v>
      </c>
      <c r="B38" s="202" t="s">
        <v>2</v>
      </c>
      <c r="C38" s="203"/>
      <c r="D38" s="15">
        <f>IF(F3="1",SUMIF(Data!A:A,'4'!$A$2,Data!CW:CW),0)</f>
        <v>216032</v>
      </c>
      <c r="E38" s="18">
        <f>IF(F3="1",SUMIF(Data!$A:$A,'4'!$A$2,Data!IQ:IQ),0)</f>
        <v>134955</v>
      </c>
      <c r="F38" s="22">
        <f t="shared" si="3"/>
        <v>0.624699118649089</v>
      </c>
    </row>
    <row r="39" spans="1:6" ht="14.25" customHeight="1" x14ac:dyDescent="0.2">
      <c r="A39" s="20">
        <v>4</v>
      </c>
      <c r="B39" s="202" t="s">
        <v>3</v>
      </c>
      <c r="C39" s="203"/>
      <c r="D39" s="15">
        <f>IF(F3="1",SUMIF(Data!A:A,'4'!$A$2,Data!CX:CX),0)</f>
        <v>123048</v>
      </c>
      <c r="E39" s="18">
        <f>IF(F3="1",SUMIF(Data!$A:$A,'4'!$A$2,Data!IR:IR),0)</f>
        <v>70496</v>
      </c>
      <c r="F39" s="22">
        <f t="shared" si="3"/>
        <v>0.57291463493921069</v>
      </c>
    </row>
    <row r="40" spans="1:6" x14ac:dyDescent="0.2">
      <c r="A40" s="20">
        <v>5</v>
      </c>
      <c r="B40" s="202" t="s">
        <v>4</v>
      </c>
      <c r="C40" s="203"/>
      <c r="D40" s="15">
        <f>IF(F3="1",SUMIF(Data!A:A,'4'!$A$2,Data!CY:CY),0)</f>
        <v>120</v>
      </c>
      <c r="E40" s="18">
        <f>IF(F3="1",SUMIF(Data!$A:$A,'4'!$A$2,Data!IS:IS),0)</f>
        <v>256</v>
      </c>
      <c r="F40" s="22">
        <f t="shared" si="3"/>
        <v>2.1333333333333333</v>
      </c>
    </row>
    <row r="41" spans="1:6" x14ac:dyDescent="0.2">
      <c r="A41" s="20">
        <v>6</v>
      </c>
      <c r="B41" s="202" t="s">
        <v>5</v>
      </c>
      <c r="C41" s="203"/>
      <c r="D41" s="15">
        <f>IF(F3="1",SUMIF(Data!A:A,'4'!$A$2,Data!CZ:CZ),0)</f>
        <v>7184</v>
      </c>
      <c r="E41" s="18">
        <f>IF(F3="1",SUMIF(Data!$A:$A,'4'!$A$2,Data!IT:IT),0)</f>
        <v>12490</v>
      </c>
      <c r="F41" s="22">
        <f t="shared" si="3"/>
        <v>1.7385857461024499</v>
      </c>
    </row>
    <row r="42" spans="1:6" x14ac:dyDescent="0.2">
      <c r="A42" s="20">
        <v>7</v>
      </c>
      <c r="B42" s="202" t="s">
        <v>6</v>
      </c>
      <c r="C42" s="203"/>
      <c r="D42" s="15">
        <f>IF(F3="1",SUMIF(Data!A:A,'4'!$A$2,Data!DA:DA),0)</f>
        <v>36616</v>
      </c>
      <c r="E42" s="18">
        <f>IF(F3="1",SUMIF(Data!$A:$A,'4'!$A$2,Data!IU:IU),0)</f>
        <v>104854</v>
      </c>
      <c r="F42" s="22">
        <f t="shared" si="3"/>
        <v>2.8636115359405725</v>
      </c>
    </row>
    <row r="43" spans="1:6" x14ac:dyDescent="0.2">
      <c r="A43" s="20">
        <v>8</v>
      </c>
      <c r="B43" s="202" t="s">
        <v>7</v>
      </c>
      <c r="C43" s="203"/>
      <c r="D43" s="15">
        <f>IF(F3="1",SUMIF(Data!A:A,'4'!$A$2,Data!DB:DB),0)</f>
        <v>14612</v>
      </c>
      <c r="E43" s="18">
        <f>IF(F3="1",SUMIF(Data!$A:$A,'4'!$A$2,Data!IV:IV),0)</f>
        <v>15039</v>
      </c>
      <c r="F43" s="22">
        <f t="shared" si="3"/>
        <v>1.0292225568026281</v>
      </c>
    </row>
    <row r="44" spans="1:6" x14ac:dyDescent="0.2">
      <c r="A44" s="20">
        <v>9</v>
      </c>
      <c r="B44" s="202" t="s">
        <v>8</v>
      </c>
      <c r="C44" s="203"/>
      <c r="D44" s="15">
        <f>IF(F3="1",SUMIF(Data!A:A,'4'!$A$2,Data!DC:DC),0)</f>
        <v>36136</v>
      </c>
      <c r="E44" s="18">
        <f>IF(F3="1",SUMIF(Data!$A:$A,'4'!$A$2,Data!IW:IW),0)</f>
        <v>62318</v>
      </c>
      <c r="F44" s="22">
        <f t="shared" si="3"/>
        <v>1.7245406243081691</v>
      </c>
    </row>
    <row r="45" spans="1:6" x14ac:dyDescent="0.2">
      <c r="A45" s="20">
        <v>10</v>
      </c>
      <c r="B45" s="202" t="s">
        <v>9</v>
      </c>
      <c r="C45" s="203"/>
      <c r="D45" s="15">
        <f>IF(F3="1",SUMIF(Data!A:A,'4'!$A$2,Data!DD:DD),0)</f>
        <v>128</v>
      </c>
      <c r="E45" s="18">
        <f>IF(F3="1",SUMIF(Data!$A:$A,'4'!$A$2,Data!IX:IX),0)</f>
        <v>3376</v>
      </c>
      <c r="F45" s="22">
        <f t="shared" si="3"/>
        <v>26.375</v>
      </c>
    </row>
    <row r="46" spans="1:6" x14ac:dyDescent="0.2">
      <c r="A46" s="20">
        <v>11</v>
      </c>
      <c r="B46" s="202" t="s">
        <v>10</v>
      </c>
      <c r="C46" s="203"/>
      <c r="D46" s="15">
        <f>IF(F3="1",SUMIF(Data!A:A,'4'!$A$2,Data!DE:DE),0)</f>
        <v>30008</v>
      </c>
      <c r="E46" s="18">
        <f>IF(F3="1",SUMIF(Data!$A:$A,'4'!$A$2,Data!IY:IY),0)</f>
        <v>31603</v>
      </c>
      <c r="F46" s="22">
        <f t="shared" si="3"/>
        <v>1.0531524926686218</v>
      </c>
    </row>
    <row r="47" spans="1:6" ht="14.25" customHeight="1" x14ac:dyDescent="0.2">
      <c r="A47" s="20">
        <v>12</v>
      </c>
      <c r="B47" s="202" t="s">
        <v>11</v>
      </c>
      <c r="C47" s="203"/>
      <c r="D47" s="15">
        <f>IF(F3="1",SUMIF(Data!A:A,'4'!$A$2,Data!DF:DF),0)</f>
        <v>304542</v>
      </c>
      <c r="E47" s="18">
        <f>IF(F3="1",SUMIF(Data!$A:$A,'4'!$A$2,Data!IZ:IZ),0)</f>
        <v>144936</v>
      </c>
      <c r="F47" s="22">
        <f t="shared" si="3"/>
        <v>0.47591465216620366</v>
      </c>
    </row>
    <row r="48" spans="1:6" x14ac:dyDescent="0.2">
      <c r="A48" s="20">
        <v>13</v>
      </c>
      <c r="B48" s="202" t="s">
        <v>12</v>
      </c>
      <c r="C48" s="203"/>
      <c r="D48" s="15">
        <f>IF(F3="1",SUMIF(Data!A:A,'4'!$A$2,Data!DG:DG),0)</f>
        <v>31044</v>
      </c>
      <c r="E48" s="18">
        <f>IF(F3="1",SUMIF(Data!$A:$A,'4'!$A$2,Data!JA:JA),0)</f>
        <v>15298</v>
      </c>
      <c r="F48" s="22">
        <f t="shared" si="3"/>
        <v>0.49278443499549029</v>
      </c>
    </row>
    <row r="49" spans="1:6" ht="14.25" customHeight="1" x14ac:dyDescent="0.2">
      <c r="A49" s="20">
        <v>14</v>
      </c>
      <c r="B49" s="202" t="s">
        <v>449</v>
      </c>
      <c r="C49" s="203"/>
      <c r="D49" s="15">
        <f>IF(F3="1",SUMIF(Data!A:A,'4'!$A$2,Data!DH:DH),0)</f>
        <v>167002</v>
      </c>
      <c r="E49" s="18">
        <f>IF(F3="1",SUMIF(Data!$A:$A,'4'!$A$2,Data!JB:JB),0)</f>
        <v>201560</v>
      </c>
      <c r="F49" s="22">
        <f t="shared" si="3"/>
        <v>1.2069316535131316</v>
      </c>
    </row>
    <row r="50" spans="1:6" x14ac:dyDescent="0.2">
      <c r="A50" s="20">
        <v>15</v>
      </c>
      <c r="B50" s="202" t="s">
        <v>13</v>
      </c>
      <c r="C50" s="203"/>
      <c r="D50" s="15">
        <f>IF(F3="1",SUMIF(Data!A:A,'4'!$A$2,Data!DI:DI),0)</f>
        <v>0</v>
      </c>
      <c r="E50" s="18">
        <f>IF(F3="1",SUMIF(Data!$A:$A,'4'!$A$2,Data!JC:JC),0)</f>
        <v>0</v>
      </c>
      <c r="F50" s="22" t="str">
        <f t="shared" si="3"/>
        <v/>
      </c>
    </row>
    <row r="51" spans="1:6" x14ac:dyDescent="0.2">
      <c r="A51" s="20">
        <v>16</v>
      </c>
      <c r="B51" s="202" t="s">
        <v>14</v>
      </c>
      <c r="C51" s="203"/>
      <c r="D51" s="15">
        <f>IF(F3="1",SUMIF(Data!A:A,'4'!$A$2,Data!DJ:DJ),0)</f>
        <v>212683</v>
      </c>
      <c r="E51" s="18">
        <f>IF(F3="1",SUMIF(Data!$A:$A,'4'!$A$2,Data!JD:JD),0)</f>
        <v>252905</v>
      </c>
      <c r="F51" s="22">
        <f t="shared" si="3"/>
        <v>1.1891171367716273</v>
      </c>
    </row>
    <row r="52" spans="1:6" x14ac:dyDescent="0.2">
      <c r="A52" s="20">
        <v>17</v>
      </c>
      <c r="B52" s="202" t="s">
        <v>15</v>
      </c>
      <c r="C52" s="203"/>
      <c r="D52" s="15">
        <f>IF(F3="1",SUMIF(Data!A:A,'4'!$A$2,Data!DK:DK),0)</f>
        <v>20416</v>
      </c>
      <c r="E52" s="18">
        <f>IF(F3="1",SUMIF(Data!$A:$A,'4'!$A$2,Data!JE:JE),0)</f>
        <v>26686</v>
      </c>
      <c r="F52" s="22">
        <f t="shared" si="3"/>
        <v>1.3071120689655173</v>
      </c>
    </row>
    <row r="53" spans="1:6" x14ac:dyDescent="0.2">
      <c r="A53" s="20">
        <v>18</v>
      </c>
      <c r="B53" s="202" t="s">
        <v>16</v>
      </c>
      <c r="C53" s="203"/>
      <c r="D53" s="15">
        <f>IF(F3="1",SUMIF(Data!A:A,'4'!$A$2,Data!DL:DL),0)</f>
        <v>123628</v>
      </c>
      <c r="E53" s="18">
        <f>IF(F3="1",SUMIF(Data!$A:$A,'4'!$A$2,Data!JF:JF),0)</f>
        <v>77481</v>
      </c>
      <c r="F53" s="22">
        <f t="shared" si="3"/>
        <v>0.62672695505872456</v>
      </c>
    </row>
    <row r="54" spans="1:6" x14ac:dyDescent="0.2">
      <c r="A54" s="20">
        <v>19</v>
      </c>
      <c r="B54" s="202" t="s">
        <v>17</v>
      </c>
      <c r="C54" s="203"/>
      <c r="D54" s="15">
        <f>IF(F3="1",SUMIF(Data!A:A,'4'!$A$2,Data!DM:DM),0)</f>
        <v>99440</v>
      </c>
      <c r="E54" s="18">
        <f>IF(F3="1",SUMIF(Data!$A:$A,'4'!$A$2,Data!JG:JG),0)</f>
        <v>64647</v>
      </c>
      <c r="F54" s="22">
        <f t="shared" si="3"/>
        <v>0.6501106194690266</v>
      </c>
    </row>
    <row r="55" spans="1:6" x14ac:dyDescent="0.2">
      <c r="A55" s="20">
        <v>20</v>
      </c>
      <c r="B55" s="202" t="s">
        <v>18</v>
      </c>
      <c r="C55" s="203"/>
      <c r="D55" s="15">
        <f>IF(F3="1",SUMIF(Data!A:A,'4'!$A$2,Data!DN:DN),0)</f>
        <v>15360</v>
      </c>
      <c r="E55" s="18">
        <f>IF(F3="1",SUMIF(Data!$A:$A,'4'!$A$2,Data!JH:JH),0)</f>
        <v>12590</v>
      </c>
      <c r="F55" s="22">
        <f t="shared" si="3"/>
        <v>0.81966145833333337</v>
      </c>
    </row>
    <row r="56" spans="1:6" ht="14.25" customHeight="1" x14ac:dyDescent="0.2">
      <c r="A56" s="20">
        <v>21</v>
      </c>
      <c r="B56" s="202" t="s">
        <v>446</v>
      </c>
      <c r="C56" s="203"/>
      <c r="D56" s="15">
        <f>IF(F3="1",SUMIF(Data!A:A,'4'!$A$2,Data!DO:DO),0)</f>
        <v>10680</v>
      </c>
      <c r="E56" s="18">
        <f>IF(F3="1",SUMIF(Data!$A:$A,'4'!$A$2,Data!JI:JI),0)</f>
        <v>14721</v>
      </c>
      <c r="F56" s="22">
        <f t="shared" si="3"/>
        <v>1.378370786516854</v>
      </c>
    </row>
    <row r="57" spans="1:6" x14ac:dyDescent="0.2">
      <c r="A57" s="20">
        <v>22</v>
      </c>
      <c r="B57" s="202" t="s">
        <v>19</v>
      </c>
      <c r="C57" s="203"/>
      <c r="D57" s="15">
        <f>IF(F3="1",SUMIF(Data!A:A,'4'!$A$2,Data!DP:DP),0)</f>
        <v>896</v>
      </c>
      <c r="E57" s="18">
        <f>IF(F3="1",SUMIF(Data!$A:$A,'4'!$A$2,Data!JJ:JJ),0)</f>
        <v>898</v>
      </c>
      <c r="F57" s="22">
        <f t="shared" si="3"/>
        <v>1.0022321428571428</v>
      </c>
    </row>
    <row r="58" spans="1:6" x14ac:dyDescent="0.2">
      <c r="A58" s="20">
        <v>23</v>
      </c>
      <c r="B58" s="202" t="s">
        <v>20</v>
      </c>
      <c r="C58" s="203"/>
      <c r="D58" s="15">
        <f>IF(F3="1",SUMIF(Data!A:A,'4'!$A$2,Data!DQ:DQ),0)</f>
        <v>58685</v>
      </c>
      <c r="E58" s="18">
        <f>IF(F3="1",SUMIF(Data!$A:$A,'4'!$A$2,Data!JK:JK),0)</f>
        <v>51986</v>
      </c>
      <c r="F58" s="22">
        <f t="shared" si="3"/>
        <v>0.88584817244611058</v>
      </c>
    </row>
    <row r="59" spans="1:6" x14ac:dyDescent="0.2">
      <c r="A59" s="20">
        <v>24</v>
      </c>
      <c r="B59" s="202" t="s">
        <v>21</v>
      </c>
      <c r="C59" s="203"/>
      <c r="D59" s="15">
        <f>IF(F3="1",SUMIF(Data!A:A,'4'!$A$2,Data!DR:DR),0)</f>
        <v>124923</v>
      </c>
      <c r="E59" s="18">
        <f>IF(F3="1",SUMIF(Data!$A:$A,'4'!$A$2,Data!JL:JL),0)</f>
        <v>208283</v>
      </c>
      <c r="F59" s="22">
        <f t="shared" si="3"/>
        <v>1.6672910512875931</v>
      </c>
    </row>
    <row r="60" spans="1:6" x14ac:dyDescent="0.2">
      <c r="A60" s="20">
        <v>25</v>
      </c>
      <c r="B60" s="202" t="s">
        <v>22</v>
      </c>
      <c r="C60" s="203"/>
      <c r="D60" s="15">
        <f>IF(F3="1",SUMIF(Data!A:A,'4'!$A$2,Data!DS:DS),0)</f>
        <v>361416</v>
      </c>
      <c r="E60" s="18">
        <f>IF(F3="1",SUMIF(Data!$A:$A,'4'!$A$2,Data!JM:JM),0)</f>
        <v>170745</v>
      </c>
      <c r="F60" s="22">
        <f t="shared" si="3"/>
        <v>0.47243342851450959</v>
      </c>
    </row>
    <row r="61" spans="1:6" x14ac:dyDescent="0.2">
      <c r="A61" s="20">
        <v>26</v>
      </c>
      <c r="B61" s="202" t="s">
        <v>23</v>
      </c>
      <c r="C61" s="203"/>
      <c r="D61" s="15">
        <f>IF(F3="1",SUMIF(Data!A:A,'4'!$A$2,Data!DT:DT),0)</f>
        <v>123800</v>
      </c>
      <c r="E61" s="18">
        <f>IF(F3="1",SUMIF(Data!$A:$A,'4'!$A$2,Data!JN:JN),0)</f>
        <v>161161</v>
      </c>
      <c r="F61" s="22">
        <f t="shared" si="3"/>
        <v>1.3017851373182552</v>
      </c>
    </row>
    <row r="62" spans="1:6" x14ac:dyDescent="0.2">
      <c r="A62" s="20">
        <v>28</v>
      </c>
      <c r="B62" s="202" t="s">
        <v>24</v>
      </c>
      <c r="C62" s="203"/>
      <c r="D62" s="15">
        <f>IF(F3="1",SUMIF(Data!A:A,'4'!$A$2,Data!DV:DV),0)</f>
        <v>136960</v>
      </c>
      <c r="E62" s="18">
        <f>IF(F3="1",SUMIF(Data!$A:$A,'4'!$A$2,Data!JP:JP),0)</f>
        <v>89413</v>
      </c>
      <c r="F62" s="22">
        <f t="shared" si="3"/>
        <v>0.65284024532710283</v>
      </c>
    </row>
    <row r="63" spans="1:6" ht="15.75" customHeight="1" thickBot="1" x14ac:dyDescent="0.25">
      <c r="A63" s="23">
        <v>29</v>
      </c>
      <c r="B63" s="206" t="s">
        <v>25</v>
      </c>
      <c r="C63" s="207"/>
      <c r="D63" s="24">
        <f>IF(F3="1",SUMIF(Data!A:A,'4'!$A$2,Data!DW:DW),0)</f>
        <v>179520</v>
      </c>
      <c r="E63" s="25">
        <f>IF(F3="1",SUMIF(Data!$A:$A,'4'!$A$2,Data!JQ:JQ),0)</f>
        <v>81927</v>
      </c>
      <c r="F63" s="26">
        <f t="shared" si="3"/>
        <v>0.45636697860962566</v>
      </c>
    </row>
    <row r="64" spans="1:6" x14ac:dyDescent="0.2">
      <c r="B64" s="31" t="s">
        <v>35</v>
      </c>
      <c r="C64" s="31"/>
      <c r="D64" s="60">
        <f>SUM(D36:D63)</f>
        <v>2485711</v>
      </c>
      <c r="E64" s="32">
        <f>SUM(E36:E63)</f>
        <v>2098554</v>
      </c>
      <c r="F64" s="33">
        <f t="shared" si="3"/>
        <v>0.84424697802761461</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0</v>
      </c>
      <c r="E67" s="16">
        <f>IF(F3="1",SUMIF(Data!A:A,'4'!$A$2,Data!DY:DY),0)</f>
        <v>0</v>
      </c>
      <c r="F67" s="21" t="str">
        <f>IFERROR(E67/D67,"")</f>
        <v/>
      </c>
    </row>
    <row r="68" spans="1:6" x14ac:dyDescent="0.2">
      <c r="A68" s="20">
        <v>2</v>
      </c>
      <c r="B68" s="202" t="s">
        <v>1</v>
      </c>
      <c r="C68" s="203"/>
      <c r="D68" s="15">
        <f t="shared" ref="D68:D94" si="4">D37</f>
        <v>50832</v>
      </c>
      <c r="E68" s="18">
        <f>IF(F3="1",SUMIF(Data!A:A,'4'!$A$2,Data!DZ:DZ),0)</f>
        <v>216411</v>
      </c>
      <c r="F68" s="22">
        <f t="shared" ref="F68:F95" si="5">IFERROR(E68/D68,"")</f>
        <v>4.2573772426817751</v>
      </c>
    </row>
    <row r="69" spans="1:6" ht="14.25" customHeight="1" x14ac:dyDescent="0.2">
      <c r="A69" s="20">
        <v>3</v>
      </c>
      <c r="B69" s="202" t="s">
        <v>2</v>
      </c>
      <c r="C69" s="203"/>
      <c r="D69" s="15">
        <f t="shared" si="4"/>
        <v>216032</v>
      </c>
      <c r="E69" s="18">
        <f>IF(F3="1",SUMIF(Data!A:A,'4'!$A$2,Data!EA:EA),0)</f>
        <v>513965</v>
      </c>
      <c r="F69" s="22">
        <f t="shared" si="5"/>
        <v>2.37911513109169</v>
      </c>
    </row>
    <row r="70" spans="1:6" ht="14.25" customHeight="1" x14ac:dyDescent="0.2">
      <c r="A70" s="20">
        <v>4</v>
      </c>
      <c r="B70" s="202" t="s">
        <v>3</v>
      </c>
      <c r="C70" s="203"/>
      <c r="D70" s="15">
        <f t="shared" si="4"/>
        <v>123048</v>
      </c>
      <c r="E70" s="18">
        <f>IF(F3="1",SUMIF(Data!A:A,'4'!$A$2,Data!EB:EB),0)</f>
        <v>406174</v>
      </c>
      <c r="F70" s="22">
        <f t="shared" si="5"/>
        <v>3.3009394707756323</v>
      </c>
    </row>
    <row r="71" spans="1:6" x14ac:dyDescent="0.2">
      <c r="A71" s="20">
        <v>5</v>
      </c>
      <c r="B71" s="202" t="s">
        <v>4</v>
      </c>
      <c r="C71" s="203"/>
      <c r="D71" s="15">
        <f t="shared" si="4"/>
        <v>120</v>
      </c>
      <c r="E71" s="18">
        <f>IF(F3="1",SUMIF(Data!A:A,'4'!$A$2,Data!EC:EC),0)</f>
        <v>864</v>
      </c>
      <c r="F71" s="22">
        <f t="shared" si="5"/>
        <v>7.2</v>
      </c>
    </row>
    <row r="72" spans="1:6" x14ac:dyDescent="0.2">
      <c r="A72" s="20">
        <v>6</v>
      </c>
      <c r="B72" s="202" t="s">
        <v>5</v>
      </c>
      <c r="C72" s="203"/>
      <c r="D72" s="15">
        <f t="shared" si="4"/>
        <v>7184</v>
      </c>
      <c r="E72" s="18">
        <f>IF(F3="1",SUMIF(Data!A:A,'4'!$A$2,Data!ED:ED),0)</f>
        <v>52839</v>
      </c>
      <c r="F72" s="22">
        <f t="shared" si="5"/>
        <v>7.3550946547884184</v>
      </c>
    </row>
    <row r="73" spans="1:6" x14ac:dyDescent="0.2">
      <c r="A73" s="20">
        <v>7</v>
      </c>
      <c r="B73" s="202" t="s">
        <v>6</v>
      </c>
      <c r="C73" s="203"/>
      <c r="D73" s="15">
        <f t="shared" si="4"/>
        <v>36616</v>
      </c>
      <c r="E73" s="18">
        <f>IF(F3="1",SUMIF(Data!A:A,'4'!$A$2,Data!EE:EE),0)</f>
        <v>296894</v>
      </c>
      <c r="F73" s="22">
        <f t="shared" si="5"/>
        <v>8.1083133056587275</v>
      </c>
    </row>
    <row r="74" spans="1:6" x14ac:dyDescent="0.2">
      <c r="A74" s="20">
        <v>8</v>
      </c>
      <c r="B74" s="202" t="s">
        <v>7</v>
      </c>
      <c r="C74" s="203"/>
      <c r="D74" s="15">
        <f t="shared" si="4"/>
        <v>14612</v>
      </c>
      <c r="E74" s="18">
        <f>IF(F3="1",SUMIF(Data!A:A,'4'!$A$2,Data!EF:EF),0)</f>
        <v>49703</v>
      </c>
      <c r="F74" s="22">
        <f t="shared" si="5"/>
        <v>3.4015192992061318</v>
      </c>
    </row>
    <row r="75" spans="1:6" x14ac:dyDescent="0.2">
      <c r="A75" s="20">
        <v>9</v>
      </c>
      <c r="B75" s="202" t="s">
        <v>8</v>
      </c>
      <c r="C75" s="203"/>
      <c r="D75" s="15">
        <f t="shared" si="4"/>
        <v>36136</v>
      </c>
      <c r="E75" s="18">
        <f>IF(F3="1",SUMIF(Data!A:A,'4'!$A$2,Data!EG:EG),0)</f>
        <v>101667</v>
      </c>
      <c r="F75" s="22">
        <f t="shared" si="5"/>
        <v>2.8134547265884438</v>
      </c>
    </row>
    <row r="76" spans="1:6" x14ac:dyDescent="0.2">
      <c r="A76" s="20">
        <v>10</v>
      </c>
      <c r="B76" s="202" t="s">
        <v>9</v>
      </c>
      <c r="C76" s="203"/>
      <c r="D76" s="15">
        <f t="shared" si="4"/>
        <v>128</v>
      </c>
      <c r="E76" s="18">
        <f>IF(F3="1",SUMIF(Data!A:A,'4'!$A$2,Data!EH:EH),0)</f>
        <v>22746</v>
      </c>
      <c r="F76" s="22">
        <f t="shared" si="5"/>
        <v>177.703125</v>
      </c>
    </row>
    <row r="77" spans="1:6" x14ac:dyDescent="0.2">
      <c r="A77" s="20">
        <v>11</v>
      </c>
      <c r="B77" s="202" t="s">
        <v>10</v>
      </c>
      <c r="C77" s="203"/>
      <c r="D77" s="15">
        <f t="shared" si="4"/>
        <v>30008</v>
      </c>
      <c r="E77" s="18">
        <f>IF(F3="1",SUMIF(Data!A:A,'4'!$A$2,Data!EI:EI),0)</f>
        <v>101446</v>
      </c>
      <c r="F77" s="22">
        <f t="shared" si="5"/>
        <v>3.3806318315115971</v>
      </c>
    </row>
    <row r="78" spans="1:6" ht="14.25" customHeight="1" x14ac:dyDescent="0.2">
      <c r="A78" s="20">
        <v>12</v>
      </c>
      <c r="B78" s="202" t="s">
        <v>11</v>
      </c>
      <c r="C78" s="203"/>
      <c r="D78" s="15">
        <f t="shared" si="4"/>
        <v>304542</v>
      </c>
      <c r="E78" s="18">
        <f>IF(F3="1",SUMIF(Data!A:A,'4'!$A$2,Data!EJ:EJ),0)</f>
        <v>794696</v>
      </c>
      <c r="F78" s="22">
        <f t="shared" si="5"/>
        <v>2.6094791523008323</v>
      </c>
    </row>
    <row r="79" spans="1:6" x14ac:dyDescent="0.2">
      <c r="A79" s="20">
        <v>13</v>
      </c>
      <c r="B79" s="202" t="s">
        <v>12</v>
      </c>
      <c r="C79" s="203"/>
      <c r="D79" s="15">
        <f t="shared" si="4"/>
        <v>31044</v>
      </c>
      <c r="E79" s="18">
        <f>IF(F3="1",SUMIF(Data!A:A,'4'!$A$2,Data!EK:EK),0)</f>
        <v>76315</v>
      </c>
      <c r="F79" s="22">
        <f t="shared" si="5"/>
        <v>2.4582850148176782</v>
      </c>
    </row>
    <row r="80" spans="1:6" ht="14.25" customHeight="1" x14ac:dyDescent="0.2">
      <c r="A80" s="20">
        <v>14</v>
      </c>
      <c r="B80" s="202" t="s">
        <v>449</v>
      </c>
      <c r="C80" s="203"/>
      <c r="D80" s="15">
        <f t="shared" si="4"/>
        <v>167002</v>
      </c>
      <c r="E80" s="18">
        <f>IF(F3="1",SUMIF(Data!A:A,'4'!$A$2,Data!EL:EL),0)</f>
        <v>862455</v>
      </c>
      <c r="F80" s="22">
        <f t="shared" si="5"/>
        <v>5.1643393492293503</v>
      </c>
    </row>
    <row r="81" spans="1:6" x14ac:dyDescent="0.2">
      <c r="A81" s="20">
        <v>15</v>
      </c>
      <c r="B81" s="202" t="s">
        <v>13</v>
      </c>
      <c r="C81" s="203"/>
      <c r="D81" s="15">
        <f t="shared" si="4"/>
        <v>0</v>
      </c>
      <c r="E81" s="18">
        <f>IF(F3="1",SUMIF(Data!A:A,'4'!$A$2,Data!EM:EM),0)</f>
        <v>0</v>
      </c>
      <c r="F81" s="22" t="str">
        <f t="shared" si="5"/>
        <v/>
      </c>
    </row>
    <row r="82" spans="1:6" x14ac:dyDescent="0.2">
      <c r="A82" s="20">
        <v>16</v>
      </c>
      <c r="B82" s="202" t="s">
        <v>14</v>
      </c>
      <c r="C82" s="203"/>
      <c r="D82" s="15">
        <f t="shared" si="4"/>
        <v>212683</v>
      </c>
      <c r="E82" s="18">
        <f>IF(F3="1",SUMIF(Data!A:A,'4'!$A$2,Data!EN:EN),0)</f>
        <v>914708</v>
      </c>
      <c r="F82" s="22">
        <f t="shared" si="5"/>
        <v>4.3008044836681822</v>
      </c>
    </row>
    <row r="83" spans="1:6" x14ac:dyDescent="0.2">
      <c r="A83" s="20">
        <v>17</v>
      </c>
      <c r="B83" s="202" t="s">
        <v>15</v>
      </c>
      <c r="C83" s="203"/>
      <c r="D83" s="15">
        <f t="shared" si="4"/>
        <v>20416</v>
      </c>
      <c r="E83" s="18">
        <f>IF(F3="1",SUMIF(Data!A:A,'4'!$A$2,Data!EO:EO),0)</f>
        <v>174664</v>
      </c>
      <c r="F83" s="22">
        <f t="shared" si="5"/>
        <v>8.5552507836990603</v>
      </c>
    </row>
    <row r="84" spans="1:6" x14ac:dyDescent="0.2">
      <c r="A84" s="20">
        <v>18</v>
      </c>
      <c r="B84" s="202" t="s">
        <v>16</v>
      </c>
      <c r="C84" s="203"/>
      <c r="D84" s="15">
        <f t="shared" si="4"/>
        <v>123628</v>
      </c>
      <c r="E84" s="18">
        <f>IF(F3="1",SUMIF(Data!A:A,'4'!$A$2,Data!EP:EP),0)</f>
        <v>281304</v>
      </c>
      <c r="F84" s="22">
        <f t="shared" si="5"/>
        <v>2.275406865758566</v>
      </c>
    </row>
    <row r="85" spans="1:6" x14ac:dyDescent="0.2">
      <c r="A85" s="20">
        <v>19</v>
      </c>
      <c r="B85" s="202" t="s">
        <v>17</v>
      </c>
      <c r="C85" s="203"/>
      <c r="D85" s="15">
        <f t="shared" si="4"/>
        <v>99440</v>
      </c>
      <c r="E85" s="18">
        <f>IF(F3="1",SUMIF(Data!A:A,'4'!$A$2,Data!EQ:EQ),0)</f>
        <v>353427</v>
      </c>
      <c r="F85" s="22">
        <f t="shared" si="5"/>
        <v>3.5541733708769105</v>
      </c>
    </row>
    <row r="86" spans="1:6" x14ac:dyDescent="0.2">
      <c r="A86" s="20">
        <v>20</v>
      </c>
      <c r="B86" s="202" t="s">
        <v>18</v>
      </c>
      <c r="C86" s="203"/>
      <c r="D86" s="15">
        <f t="shared" si="4"/>
        <v>15360</v>
      </c>
      <c r="E86" s="18">
        <f>IF(F3="1",SUMIF(Data!A:A,'4'!$A$2,Data!ER:ER),0)</f>
        <v>42996</v>
      </c>
      <c r="F86" s="22">
        <f t="shared" si="5"/>
        <v>2.7992187500000001</v>
      </c>
    </row>
    <row r="87" spans="1:6" ht="14.25" customHeight="1" x14ac:dyDescent="0.2">
      <c r="A87" s="20">
        <v>21</v>
      </c>
      <c r="B87" s="202" t="s">
        <v>446</v>
      </c>
      <c r="C87" s="203"/>
      <c r="D87" s="15">
        <f t="shared" si="4"/>
        <v>10680</v>
      </c>
      <c r="E87" s="18">
        <f>IF(F3="1",SUMIF(Data!A:A,'4'!$A$2,Data!ES:ES),0)</f>
        <v>50182</v>
      </c>
      <c r="F87" s="22">
        <f t="shared" si="5"/>
        <v>4.6986891385767793</v>
      </c>
    </row>
    <row r="88" spans="1:6" x14ac:dyDescent="0.2">
      <c r="A88" s="20">
        <v>22</v>
      </c>
      <c r="B88" s="202" t="s">
        <v>19</v>
      </c>
      <c r="C88" s="203"/>
      <c r="D88" s="15">
        <f t="shared" si="4"/>
        <v>896</v>
      </c>
      <c r="E88" s="18">
        <f>IF(F3="1",SUMIF(Data!A:A,'4'!$A$2,Data!ET:ET),0)</f>
        <v>3069</v>
      </c>
      <c r="F88" s="22">
        <f t="shared" si="5"/>
        <v>3.4252232142857144</v>
      </c>
    </row>
    <row r="89" spans="1:6" x14ac:dyDescent="0.2">
      <c r="A89" s="20">
        <v>23</v>
      </c>
      <c r="B89" s="202" t="s">
        <v>20</v>
      </c>
      <c r="C89" s="203"/>
      <c r="D89" s="15">
        <f t="shared" si="4"/>
        <v>58685</v>
      </c>
      <c r="E89" s="18">
        <f>IF(F3="1",SUMIF(Data!A:A,'4'!$A$2,Data!EU:EU),0)</f>
        <v>240778</v>
      </c>
      <c r="F89" s="22">
        <f t="shared" si="5"/>
        <v>4.1028883019510944</v>
      </c>
    </row>
    <row r="90" spans="1:6" x14ac:dyDescent="0.2">
      <c r="A90" s="20">
        <v>24</v>
      </c>
      <c r="B90" s="202" t="s">
        <v>21</v>
      </c>
      <c r="C90" s="203"/>
      <c r="D90" s="15">
        <f t="shared" si="4"/>
        <v>124923</v>
      </c>
      <c r="E90" s="18">
        <f>IF(F3="1",SUMIF(Data!A:A,'4'!$A$2,Data!EV:EV),0)</f>
        <v>288209</v>
      </c>
      <c r="F90" s="22">
        <f t="shared" si="5"/>
        <v>2.3070931693923455</v>
      </c>
    </row>
    <row r="91" spans="1:6" x14ac:dyDescent="0.2">
      <c r="A91" s="20">
        <v>25</v>
      </c>
      <c r="B91" s="202" t="s">
        <v>22</v>
      </c>
      <c r="C91" s="203"/>
      <c r="D91" s="15">
        <f t="shared" si="4"/>
        <v>361416</v>
      </c>
      <c r="E91" s="18">
        <f>IF(F3="1",SUMIF(Data!A:A,'4'!$A$2,Data!EW:EW),0)</f>
        <v>993604</v>
      </c>
      <c r="F91" s="22">
        <f t="shared" si="5"/>
        <v>2.749197600548952</v>
      </c>
    </row>
    <row r="92" spans="1:6" x14ac:dyDescent="0.2">
      <c r="A92" s="20">
        <v>26</v>
      </c>
      <c r="B92" s="202" t="s">
        <v>23</v>
      </c>
      <c r="C92" s="203"/>
      <c r="D92" s="15">
        <f t="shared" si="4"/>
        <v>123800</v>
      </c>
      <c r="E92" s="18">
        <f>IF(F3="1",SUMIF(Data!A:A,'4'!$A$2,Data!EX:EX),0)</f>
        <v>452529</v>
      </c>
      <c r="F92" s="22">
        <f t="shared" si="5"/>
        <v>3.6553231017770598</v>
      </c>
    </row>
    <row r="93" spans="1:6" x14ac:dyDescent="0.2">
      <c r="A93" s="20">
        <v>28</v>
      </c>
      <c r="B93" s="202" t="s">
        <v>24</v>
      </c>
      <c r="C93" s="203"/>
      <c r="D93" s="15">
        <f t="shared" si="4"/>
        <v>136960</v>
      </c>
      <c r="E93" s="18">
        <f>IF(F3="1",SUMIF(Data!A:A,'4'!$A$2,Data!EZ:EZ),0)</f>
        <v>486418</v>
      </c>
      <c r="F93" s="22">
        <f t="shared" si="5"/>
        <v>3.5515332943925233</v>
      </c>
    </row>
    <row r="94" spans="1:6" ht="15.75" customHeight="1" thickBot="1" x14ac:dyDescent="0.25">
      <c r="A94" s="23">
        <v>29</v>
      </c>
      <c r="B94" s="206" t="s">
        <v>25</v>
      </c>
      <c r="C94" s="207"/>
      <c r="D94" s="24">
        <f t="shared" si="4"/>
        <v>179520</v>
      </c>
      <c r="E94" s="25">
        <f>IF(F3="1",SUMIF(Data!A:A,'4'!$A$2,Data!FA:FA),0)</f>
        <v>467181</v>
      </c>
      <c r="F94" s="26">
        <f t="shared" si="5"/>
        <v>2.6023897058823531</v>
      </c>
    </row>
    <row r="95" spans="1:6" x14ac:dyDescent="0.2">
      <c r="B95" s="31" t="s">
        <v>35</v>
      </c>
      <c r="C95" s="31"/>
      <c r="D95" s="60">
        <f>SUM(D67:D94)</f>
        <v>2485711</v>
      </c>
      <c r="E95" s="32">
        <f>SUM(E67:E94)</f>
        <v>8245244</v>
      </c>
      <c r="F95" s="33">
        <f t="shared" si="5"/>
        <v>3.3170565685230504</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IF(F3="1",SUMIF(Data!A:A,'4'!$A$2,Data!AH:AH),0)</f>
        <v>2275214</v>
      </c>
      <c r="F98" s="21">
        <f t="shared" ref="F98:F105" si="6">IFERROR(E98/$D$95,0)</f>
        <v>0.91531718691352293</v>
      </c>
    </row>
    <row r="99" spans="2:6" x14ac:dyDescent="0.2">
      <c r="B99" s="212" t="s">
        <v>31</v>
      </c>
      <c r="C99" s="213"/>
      <c r="D99" s="37"/>
      <c r="E99" s="18">
        <f>IF(F3="1",SUMIF(Data!A:A,'4'!$A$2,Data!AI:AI),0)</f>
        <v>1106191</v>
      </c>
      <c r="F99" s="22">
        <f t="shared" si="6"/>
        <v>0.44501995606086148</v>
      </c>
    </row>
    <row r="100" spans="2:6" x14ac:dyDescent="0.2">
      <c r="B100" s="212" t="s">
        <v>32</v>
      </c>
      <c r="C100" s="213"/>
      <c r="D100" s="37"/>
      <c r="E100" s="18">
        <f>IF(F3="1",SUMIF(Data!A:A,'4'!$A$2,Data!AJ:AJ),0)</f>
        <v>2321862</v>
      </c>
      <c r="F100" s="22">
        <f t="shared" si="6"/>
        <v>0.93408364850137449</v>
      </c>
    </row>
    <row r="101" spans="2:6" x14ac:dyDescent="0.2">
      <c r="B101" s="212" t="s">
        <v>28</v>
      </c>
      <c r="C101" s="213"/>
      <c r="D101" s="37"/>
      <c r="E101" s="18">
        <f>IF(F3="1",SUMIF(Data!A:A,'4'!$A$2,Data!AK:AK),0)</f>
        <v>0</v>
      </c>
      <c r="F101" s="22">
        <f t="shared" si="6"/>
        <v>0</v>
      </c>
    </row>
    <row r="102" spans="2:6" x14ac:dyDescent="0.2">
      <c r="B102" s="212" t="s">
        <v>33</v>
      </c>
      <c r="C102" s="213"/>
      <c r="D102" s="37"/>
      <c r="E102" s="18">
        <f>IF(F3="1",SUMIF(Data!A:A,'4'!$A$2,Data!AL:AL),0)</f>
        <v>0</v>
      </c>
      <c r="F102" s="22">
        <f t="shared" si="6"/>
        <v>0</v>
      </c>
    </row>
    <row r="103" spans="2:6" x14ac:dyDescent="0.2">
      <c r="B103" s="214" t="s">
        <v>34</v>
      </c>
      <c r="C103" s="215"/>
      <c r="D103" s="37"/>
      <c r="E103" s="18">
        <f>IF(F3="1",SUMIF(Data!A:A,'4'!$A$2,Data!AM:AM),0)</f>
        <v>462780</v>
      </c>
      <c r="F103" s="22">
        <f t="shared" si="6"/>
        <v>0.18617610816382113</v>
      </c>
    </row>
    <row r="104" spans="2:6" ht="15.75" customHeight="1" thickBot="1" x14ac:dyDescent="0.25">
      <c r="B104" s="208" t="s">
        <v>29</v>
      </c>
      <c r="C104" s="209"/>
      <c r="D104" s="38"/>
      <c r="E104" s="25">
        <f>IF(F3="1",SUMIF(Data!A:A,'4'!$A$2,Data!Q:Q),0)</f>
        <v>476549</v>
      </c>
      <c r="F104" s="26">
        <f t="shared" si="6"/>
        <v>0.19171536835939496</v>
      </c>
    </row>
    <row r="105" spans="2:6" x14ac:dyDescent="0.2">
      <c r="B105" s="31" t="s">
        <v>35</v>
      </c>
      <c r="C105" s="31"/>
      <c r="D105" s="35">
        <f>D95</f>
        <v>2485711</v>
      </c>
      <c r="E105" s="32">
        <f>SUM(E98:E104)</f>
        <v>6642596</v>
      </c>
      <c r="F105" s="33">
        <f t="shared" si="6"/>
        <v>2.6723122679989748</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8562189</v>
      </c>
      <c r="D109" s="192">
        <f>IF(F3="1",SUMIF(Data!$A:$A,$A$2,Data!HJ:HJ),0)</f>
        <v>1138164</v>
      </c>
      <c r="E109" s="192">
        <f>IF(F3="1",SUMIF(Data!$A:$A,$A$2,Data!IN:IN),0)</f>
        <v>643445</v>
      </c>
      <c r="F109" s="48">
        <f>SUM(C109:E109)</f>
        <v>10343798</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29899</v>
      </c>
      <c r="D111" s="52"/>
      <c r="E111" s="193">
        <f>IF(F3="1",SUMIF(Data!A:A,$A$2,Data!AX:AX)-SUMIF(Data!A:A,$A$2,Data!AW:AW),0)</f>
        <v>8296</v>
      </c>
      <c r="F111" s="49">
        <f t="shared" si="7"/>
        <v>38195</v>
      </c>
    </row>
    <row r="112" spans="2:6" x14ac:dyDescent="0.2">
      <c r="B112" s="43" t="s">
        <v>32</v>
      </c>
      <c r="C112" s="193">
        <f>IF(F3="1",SUMIF(Data!A:A,$A$2,Data!V:V),0)</f>
        <v>1548762</v>
      </c>
      <c r="D112" s="52"/>
      <c r="E112" s="193">
        <f>IF(F3="1",SUMIF(Data!A:A,$A$2,Data!AC:AC),0)</f>
        <v>773100</v>
      </c>
      <c r="F112" s="49">
        <f t="shared" si="7"/>
        <v>2321862</v>
      </c>
    </row>
    <row r="113" spans="1:6" x14ac:dyDescent="0.2">
      <c r="B113" s="43" t="s">
        <v>31</v>
      </c>
      <c r="C113" s="193">
        <f>IF(F3="1",SUMIF(Data!A:A,$A$2,Data!U:U),0)</f>
        <v>939059</v>
      </c>
      <c r="D113" s="52"/>
      <c r="E113" s="193">
        <f>IF(F3="1",SUMIF(Data!A:A,$A$2,Data!AB:AB),0)</f>
        <v>167132</v>
      </c>
      <c r="F113" s="49">
        <f t="shared" si="7"/>
        <v>1106191</v>
      </c>
    </row>
    <row r="114" spans="1:6" x14ac:dyDescent="0.2">
      <c r="B114" s="43" t="s">
        <v>1002</v>
      </c>
      <c r="C114" s="193">
        <f>IF(F3="1",SUMIF(Data!A:A,$A$2,Data!T:T),0)</f>
        <v>1067268</v>
      </c>
      <c r="D114" s="52"/>
      <c r="E114" s="193">
        <f>IF(F3="1",SUMIF(Data!A:A,$A$2,Data!AA:AA),0)</f>
        <v>1207946</v>
      </c>
      <c r="F114" s="49">
        <f t="shared" si="7"/>
        <v>2275214</v>
      </c>
    </row>
    <row r="115" spans="1:6" x14ac:dyDescent="0.2">
      <c r="B115" s="43" t="s">
        <v>916</v>
      </c>
      <c r="C115" s="193">
        <f>IF(F3="1",SUMIF(Data!A:A,$A$2,Data!BI:BI),0)</f>
        <v>835365</v>
      </c>
      <c r="D115" s="193">
        <f>IF(F3="1",SUMIF(Data!A:A,$A$2,Data!BL:BL),0)</f>
        <v>111044</v>
      </c>
      <c r="E115" s="193">
        <f>IF(F3="1",SUMIF(Data!A:A,$A$2,Data!BU:BU)-SUMIF(Data!A:A,$A$2,Data!BT:BT),0)</f>
        <v>1359018</v>
      </c>
      <c r="F115" s="49">
        <f t="shared" si="7"/>
        <v>2305427</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476549</v>
      </c>
      <c r="E117" s="53"/>
      <c r="F117" s="50">
        <f>SUM(C117:E117)</f>
        <v>476549</v>
      </c>
    </row>
    <row r="118" spans="1:6" x14ac:dyDescent="0.2">
      <c r="B118" s="14" t="s">
        <v>35</v>
      </c>
      <c r="C118" s="178">
        <f>SUM(C109:C117)</f>
        <v>12982542</v>
      </c>
      <c r="D118" s="194">
        <f>SUM(D109:D117)</f>
        <v>1725757</v>
      </c>
      <c r="E118" s="178">
        <f>SUM(E109:E117)</f>
        <v>4158937</v>
      </c>
      <c r="F118" s="178">
        <f>SUM(F109:F117)</f>
        <v>18867236</v>
      </c>
    </row>
    <row r="119" spans="1:6" x14ac:dyDescent="0.2">
      <c r="C119" s="177"/>
      <c r="D119" s="177"/>
      <c r="E119" s="177"/>
    </row>
    <row r="120" spans="1:6" ht="15" thickBot="1" x14ac:dyDescent="0.25">
      <c r="B120" s="188" t="s">
        <v>921</v>
      </c>
      <c r="C120" s="53"/>
      <c r="D120" s="53"/>
      <c r="E120" s="195">
        <f>IF(F3="1",SUMIF(Data!A:A,$A$2,Data!AF:AF)+SUMIF(Data!A:A,$A$2,Data!AW:AW)+SUMIF(Data!A:A,$A$2,Data!BT:BT),0)</f>
        <v>490417</v>
      </c>
      <c r="F120" s="181">
        <f>SUM(C120:E120)</f>
        <v>490417</v>
      </c>
    </row>
    <row r="121" spans="1:6" s="177" customFormat="1" x14ac:dyDescent="0.2">
      <c r="B121" s="14" t="s">
        <v>35</v>
      </c>
      <c r="C121" s="178">
        <f>SUM(C120:C120)</f>
        <v>0</v>
      </c>
      <c r="D121" s="178">
        <f>SUM(D120:D120)</f>
        <v>0</v>
      </c>
      <c r="E121" s="178">
        <f>SUM(E120:E120)</f>
        <v>490417</v>
      </c>
      <c r="F121" s="178">
        <f>SUM(F120:F120)</f>
        <v>490417</v>
      </c>
    </row>
    <row r="122" spans="1:6" s="177" customFormat="1" ht="15" thickBot="1" x14ac:dyDescent="0.25">
      <c r="B122" s="14" t="s">
        <v>1396</v>
      </c>
      <c r="C122" s="178"/>
      <c r="D122" s="178"/>
      <c r="E122" s="178"/>
      <c r="F122" s="190">
        <f>F118+F121</f>
        <v>19357653</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9.5703125" style="58" bestFit="1"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432</v>
      </c>
      <c r="B2" s="59" t="str">
        <f>VLOOKUP(A2,Data!A:G,7,0)</f>
        <v>Austin Community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67324</v>
      </c>
      <c r="E5" s="16">
        <f>E36+E67+IFERROR($E$105/$D$105*D5,0)</f>
        <v>558695.77540860325</v>
      </c>
      <c r="F5" s="21">
        <f>IFERROR(E5/D5,"")</f>
        <v>8.298612313715811</v>
      </c>
    </row>
    <row r="6" spans="1:6" x14ac:dyDescent="0.2">
      <c r="A6" s="20">
        <v>2</v>
      </c>
      <c r="B6" s="202" t="s">
        <v>1</v>
      </c>
      <c r="C6" s="203"/>
      <c r="D6" s="15">
        <f t="shared" ref="D6:D32" si="0">D37</f>
        <v>159928</v>
      </c>
      <c r="E6" s="18">
        <f t="shared" ref="E6:E32" si="1">E37+E68+IFERROR($E$105/$D$105*D6,0)</f>
        <v>2809072.4228736721</v>
      </c>
      <c r="F6" s="22">
        <f t="shared" ref="F6:F33" si="2">IFERROR(E6/D6,"")</f>
        <v>17.564606715982642</v>
      </c>
    </row>
    <row r="7" spans="1:6" ht="14.25" customHeight="1" x14ac:dyDescent="0.2">
      <c r="A7" s="20">
        <v>3</v>
      </c>
      <c r="B7" s="202" t="s">
        <v>2</v>
      </c>
      <c r="C7" s="203"/>
      <c r="D7" s="15">
        <f t="shared" si="0"/>
        <v>1944016</v>
      </c>
      <c r="E7" s="18">
        <f t="shared" si="1"/>
        <v>22530384.17008394</v>
      </c>
      <c r="F7" s="22">
        <f t="shared" si="2"/>
        <v>11.589608403471956</v>
      </c>
    </row>
    <row r="8" spans="1:6" ht="14.25" customHeight="1" x14ac:dyDescent="0.2">
      <c r="A8" s="20">
        <v>4</v>
      </c>
      <c r="B8" s="202" t="s">
        <v>3</v>
      </c>
      <c r="C8" s="203"/>
      <c r="D8" s="15">
        <f t="shared" si="0"/>
        <v>838322</v>
      </c>
      <c r="E8" s="18">
        <f t="shared" si="1"/>
        <v>8507065.6966028623</v>
      </c>
      <c r="F8" s="22">
        <f t="shared" si="2"/>
        <v>10.147730462284018</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254512</v>
      </c>
      <c r="E10" s="18">
        <f t="shared" si="1"/>
        <v>2137393.9637988596</v>
      </c>
      <c r="F10" s="22">
        <f t="shared" si="2"/>
        <v>8.3980085960538577</v>
      </c>
    </row>
    <row r="11" spans="1:6" x14ac:dyDescent="0.2">
      <c r="A11" s="20">
        <v>7</v>
      </c>
      <c r="B11" s="202" t="s">
        <v>6</v>
      </c>
      <c r="C11" s="203"/>
      <c r="D11" s="15">
        <f t="shared" si="0"/>
        <v>508879</v>
      </c>
      <c r="E11" s="18">
        <f t="shared" si="1"/>
        <v>8638382.5086322054</v>
      </c>
      <c r="F11" s="22">
        <f t="shared" si="2"/>
        <v>16.97531733208131</v>
      </c>
    </row>
    <row r="12" spans="1:6" x14ac:dyDescent="0.2">
      <c r="A12" s="20">
        <v>8</v>
      </c>
      <c r="B12" s="202" t="s">
        <v>7</v>
      </c>
      <c r="C12" s="203"/>
      <c r="D12" s="15">
        <f t="shared" si="0"/>
        <v>22554</v>
      </c>
      <c r="E12" s="18">
        <f t="shared" si="1"/>
        <v>129615.79550480716</v>
      </c>
      <c r="F12" s="22">
        <f t="shared" si="2"/>
        <v>5.746909439780401</v>
      </c>
    </row>
    <row r="13" spans="1:6" x14ac:dyDescent="0.2">
      <c r="A13" s="20">
        <v>9</v>
      </c>
      <c r="B13" s="202" t="s">
        <v>8</v>
      </c>
      <c r="C13" s="203"/>
      <c r="D13" s="15">
        <f t="shared" si="0"/>
        <v>200099</v>
      </c>
      <c r="E13" s="18">
        <f t="shared" si="1"/>
        <v>3004451.0729678287</v>
      </c>
      <c r="F13" s="22">
        <f t="shared" si="2"/>
        <v>15.01482302744056</v>
      </c>
    </row>
    <row r="14" spans="1:6" x14ac:dyDescent="0.2">
      <c r="A14" s="20">
        <v>10</v>
      </c>
      <c r="B14" s="202" t="s">
        <v>9</v>
      </c>
      <c r="C14" s="203"/>
      <c r="D14" s="15">
        <f t="shared" si="0"/>
        <v>13376</v>
      </c>
      <c r="E14" s="18">
        <f t="shared" si="1"/>
        <v>209928.12470835773</v>
      </c>
      <c r="F14" s="22">
        <f t="shared" si="2"/>
        <v>15.694387313722917</v>
      </c>
    </row>
    <row r="15" spans="1:6" x14ac:dyDescent="0.2">
      <c r="A15" s="20">
        <v>11</v>
      </c>
      <c r="B15" s="202" t="s">
        <v>10</v>
      </c>
      <c r="C15" s="203"/>
      <c r="D15" s="15">
        <f t="shared" si="0"/>
        <v>358349</v>
      </c>
      <c r="E15" s="18">
        <f t="shared" si="1"/>
        <v>4766858.633606107</v>
      </c>
      <c r="F15" s="22">
        <f t="shared" si="2"/>
        <v>13.302279715043454</v>
      </c>
    </row>
    <row r="16" spans="1:6" ht="14.25" customHeight="1" x14ac:dyDescent="0.2">
      <c r="A16" s="20">
        <v>12</v>
      </c>
      <c r="B16" s="202" t="s">
        <v>11</v>
      </c>
      <c r="C16" s="203"/>
      <c r="D16" s="15">
        <f t="shared" si="0"/>
        <v>2036916</v>
      </c>
      <c r="E16" s="18">
        <f t="shared" si="1"/>
        <v>21270369.252126887</v>
      </c>
      <c r="F16" s="22">
        <f t="shared" si="2"/>
        <v>10.442438103548152</v>
      </c>
    </row>
    <row r="17" spans="1:6" x14ac:dyDescent="0.2">
      <c r="A17" s="20">
        <v>13</v>
      </c>
      <c r="B17" s="202" t="s">
        <v>12</v>
      </c>
      <c r="C17" s="203"/>
      <c r="D17" s="15">
        <f t="shared" si="0"/>
        <v>823461</v>
      </c>
      <c r="E17" s="18">
        <f t="shared" si="1"/>
        <v>8529572.9017994143</v>
      </c>
      <c r="F17" s="22">
        <f t="shared" si="2"/>
        <v>10.358198994001434</v>
      </c>
    </row>
    <row r="18" spans="1:6" ht="14.25" customHeight="1" x14ac:dyDescent="0.2">
      <c r="A18" s="20">
        <v>14</v>
      </c>
      <c r="B18" s="202" t="s">
        <v>449</v>
      </c>
      <c r="C18" s="203"/>
      <c r="D18" s="15">
        <f t="shared" si="0"/>
        <v>442896</v>
      </c>
      <c r="E18" s="18">
        <f t="shared" si="1"/>
        <v>7892499.0837943191</v>
      </c>
      <c r="F18" s="22">
        <f t="shared" si="2"/>
        <v>17.820208545108375</v>
      </c>
    </row>
    <row r="19" spans="1:6" x14ac:dyDescent="0.2">
      <c r="A19" s="20">
        <v>15</v>
      </c>
      <c r="B19" s="202" t="s">
        <v>13</v>
      </c>
      <c r="C19" s="203"/>
      <c r="D19" s="15">
        <f t="shared" si="0"/>
        <v>24816</v>
      </c>
      <c r="E19" s="18">
        <f t="shared" si="1"/>
        <v>875129.73136682156</v>
      </c>
      <c r="F19" s="22">
        <f t="shared" si="2"/>
        <v>35.264737724323886</v>
      </c>
    </row>
    <row r="20" spans="1:6" x14ac:dyDescent="0.2">
      <c r="A20" s="20">
        <v>16</v>
      </c>
      <c r="B20" s="202" t="s">
        <v>14</v>
      </c>
      <c r="C20" s="203"/>
      <c r="D20" s="15">
        <f t="shared" si="0"/>
        <v>617453</v>
      </c>
      <c r="E20" s="18">
        <f t="shared" si="1"/>
        <v>9968154.2311266158</v>
      </c>
      <c r="F20" s="22">
        <f t="shared" si="2"/>
        <v>16.143988661690226</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113192</v>
      </c>
      <c r="E22" s="18">
        <f t="shared" si="1"/>
        <v>2287454.941685738</v>
      </c>
      <c r="F22" s="22">
        <f t="shared" si="2"/>
        <v>20.208627303040302</v>
      </c>
    </row>
    <row r="23" spans="1:6" x14ac:dyDescent="0.2">
      <c r="A23" s="20">
        <v>19</v>
      </c>
      <c r="B23" s="202" t="s">
        <v>17</v>
      </c>
      <c r="C23" s="203"/>
      <c r="D23" s="15">
        <f t="shared" si="0"/>
        <v>921824</v>
      </c>
      <c r="E23" s="18">
        <f t="shared" si="1"/>
        <v>8893713.2307982333</v>
      </c>
      <c r="F23" s="22">
        <f t="shared" si="2"/>
        <v>9.6479514861819968</v>
      </c>
    </row>
    <row r="24" spans="1:6" x14ac:dyDescent="0.2">
      <c r="A24" s="20">
        <v>20</v>
      </c>
      <c r="B24" s="202" t="s">
        <v>18</v>
      </c>
      <c r="C24" s="203"/>
      <c r="D24" s="15">
        <f t="shared" si="0"/>
        <v>185532</v>
      </c>
      <c r="E24" s="18">
        <f t="shared" si="1"/>
        <v>3029959.5138599752</v>
      </c>
      <c r="F24" s="22">
        <f t="shared" si="2"/>
        <v>16.331196310393761</v>
      </c>
    </row>
    <row r="25" spans="1:6" ht="14.25" customHeight="1" x14ac:dyDescent="0.2">
      <c r="A25" s="20">
        <v>21</v>
      </c>
      <c r="B25" s="202" t="s">
        <v>446</v>
      </c>
      <c r="C25" s="203"/>
      <c r="D25" s="15">
        <f t="shared" si="0"/>
        <v>36660</v>
      </c>
      <c r="E25" s="18">
        <f t="shared" si="1"/>
        <v>876306.51224644098</v>
      </c>
      <c r="F25" s="22">
        <f t="shared" si="2"/>
        <v>23.903614627562494</v>
      </c>
    </row>
    <row r="26" spans="1:6" x14ac:dyDescent="0.2">
      <c r="A26" s="20">
        <v>22</v>
      </c>
      <c r="B26" s="202" t="s">
        <v>19</v>
      </c>
      <c r="C26" s="203"/>
      <c r="D26" s="15">
        <f t="shared" si="0"/>
        <v>31336</v>
      </c>
      <c r="E26" s="18">
        <f t="shared" si="1"/>
        <v>1169101.0876092329</v>
      </c>
      <c r="F26" s="22">
        <f t="shared" si="2"/>
        <v>37.308561641857061</v>
      </c>
    </row>
    <row r="27" spans="1:6" x14ac:dyDescent="0.2">
      <c r="A27" s="20">
        <v>23</v>
      </c>
      <c r="B27" s="202" t="s">
        <v>20</v>
      </c>
      <c r="C27" s="203"/>
      <c r="D27" s="15">
        <f t="shared" si="0"/>
        <v>318160</v>
      </c>
      <c r="E27" s="18">
        <f t="shared" si="1"/>
        <v>3259524.1935714041</v>
      </c>
      <c r="F27" s="22">
        <f t="shared" si="2"/>
        <v>10.244921402977759</v>
      </c>
    </row>
    <row r="28" spans="1:6" x14ac:dyDescent="0.2">
      <c r="A28" s="20">
        <v>24</v>
      </c>
      <c r="B28" s="202" t="s">
        <v>21</v>
      </c>
      <c r="C28" s="203"/>
      <c r="D28" s="15">
        <f t="shared" si="0"/>
        <v>385170</v>
      </c>
      <c r="E28" s="18">
        <f t="shared" si="1"/>
        <v>3659649.7444615844</v>
      </c>
      <c r="F28" s="22">
        <f t="shared" si="2"/>
        <v>9.5013883336230354</v>
      </c>
    </row>
    <row r="29" spans="1:6" x14ac:dyDescent="0.2">
      <c r="A29" s="20">
        <v>25</v>
      </c>
      <c r="B29" s="202" t="s">
        <v>22</v>
      </c>
      <c r="C29" s="203"/>
      <c r="D29" s="15">
        <f t="shared" si="0"/>
        <v>3258512</v>
      </c>
      <c r="E29" s="18">
        <f t="shared" si="1"/>
        <v>29558235.152787097</v>
      </c>
      <c r="F29" s="22">
        <f t="shared" si="2"/>
        <v>9.0710837194360785</v>
      </c>
    </row>
    <row r="30" spans="1:6" x14ac:dyDescent="0.2">
      <c r="A30" s="20">
        <v>26</v>
      </c>
      <c r="B30" s="202" t="s">
        <v>23</v>
      </c>
      <c r="C30" s="203"/>
      <c r="D30" s="15">
        <f t="shared" si="0"/>
        <v>966520</v>
      </c>
      <c r="E30" s="18">
        <f t="shared" si="1"/>
        <v>14576419.852057561</v>
      </c>
      <c r="F30" s="22">
        <f t="shared" si="2"/>
        <v>15.081343223169268</v>
      </c>
    </row>
    <row r="31" spans="1:6" x14ac:dyDescent="0.2">
      <c r="A31" s="20">
        <v>28</v>
      </c>
      <c r="B31" s="202" t="s">
        <v>24</v>
      </c>
      <c r="C31" s="203"/>
      <c r="D31" s="15">
        <f t="shared" si="0"/>
        <v>1222288</v>
      </c>
      <c r="E31" s="18">
        <f t="shared" si="1"/>
        <v>11917589.713930111</v>
      </c>
      <c r="F31" s="22">
        <f t="shared" si="2"/>
        <v>9.7502304808114868</v>
      </c>
    </row>
    <row r="32" spans="1:6" ht="15.75" customHeight="1" thickBot="1" x14ac:dyDescent="0.25">
      <c r="A32" s="23">
        <v>29</v>
      </c>
      <c r="B32" s="206" t="s">
        <v>25</v>
      </c>
      <c r="C32" s="207"/>
      <c r="D32" s="24">
        <f t="shared" si="0"/>
        <v>527696</v>
      </c>
      <c r="E32" s="25">
        <f t="shared" si="1"/>
        <v>5674028.6925913244</v>
      </c>
      <c r="F32" s="26">
        <f t="shared" si="2"/>
        <v>10.752457271973492</v>
      </c>
    </row>
    <row r="33" spans="1:6" x14ac:dyDescent="0.2">
      <c r="B33" s="31" t="s">
        <v>35</v>
      </c>
      <c r="C33" s="31"/>
      <c r="D33" s="60">
        <f>SUM(D5:D32)</f>
        <v>16279791</v>
      </c>
      <c r="E33" s="32">
        <f>SUM(E5:E32)</f>
        <v>186729556</v>
      </c>
      <c r="F33" s="33">
        <f t="shared" si="2"/>
        <v>11.470021697452996</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IF(F3="1",SUMIF(Data!A:A,'5'!$A$2,Data!CU:CU),0)</f>
        <v>67324</v>
      </c>
      <c r="E36" s="16">
        <f>IF(F3="1",SUMIF(Data!$A:$A,'5'!$A$2,Data!IO:IO),0)</f>
        <v>71570</v>
      </c>
      <c r="F36" s="21">
        <f t="shared" ref="F36:F64" si="3">IFERROR(E36/D36,"")</f>
        <v>1.0630681480601272</v>
      </c>
    </row>
    <row r="37" spans="1:6" x14ac:dyDescent="0.2">
      <c r="A37" s="20">
        <v>2</v>
      </c>
      <c r="B37" s="202" t="s">
        <v>1</v>
      </c>
      <c r="C37" s="203"/>
      <c r="D37" s="15">
        <f>IF(F3="1",SUMIF(Data!A:A,'5'!$A$2,Data!CV:CV),0)</f>
        <v>159928</v>
      </c>
      <c r="E37" s="18">
        <f>IF(F3="1",SUMIF(Data!$A:$A,'5'!$A$2,Data!IP:IP),0)</f>
        <v>693070</v>
      </c>
      <c r="F37" s="22">
        <f t="shared" si="3"/>
        <v>4.3336376369366212</v>
      </c>
    </row>
    <row r="38" spans="1:6" ht="14.25" customHeight="1" x14ac:dyDescent="0.2">
      <c r="A38" s="20">
        <v>3</v>
      </c>
      <c r="B38" s="202" t="s">
        <v>2</v>
      </c>
      <c r="C38" s="203"/>
      <c r="D38" s="15">
        <f>IF(F3="1",SUMIF(Data!A:A,'5'!$A$2,Data!CW:CW),0)</f>
        <v>1944016</v>
      </c>
      <c r="E38" s="18">
        <f>IF(F3="1",SUMIF(Data!$A:$A,'5'!$A$2,Data!IQ:IQ),0)</f>
        <v>3930055</v>
      </c>
      <c r="F38" s="22">
        <f t="shared" si="3"/>
        <v>2.0216165916329905</v>
      </c>
    </row>
    <row r="39" spans="1:6" ht="14.25" customHeight="1" x14ac:dyDescent="0.2">
      <c r="A39" s="20">
        <v>4</v>
      </c>
      <c r="B39" s="202" t="s">
        <v>3</v>
      </c>
      <c r="C39" s="203"/>
      <c r="D39" s="15">
        <f>IF(F3="1",SUMIF(Data!A:A,'5'!$A$2,Data!CX:CX),0)</f>
        <v>838322</v>
      </c>
      <c r="E39" s="18">
        <f>IF(F3="1",SUMIF(Data!$A:$A,'5'!$A$2,Data!IR:IR),0)</f>
        <v>755640</v>
      </c>
      <c r="F39" s="22">
        <f t="shared" si="3"/>
        <v>0.90137202650055703</v>
      </c>
    </row>
    <row r="40" spans="1:6" x14ac:dyDescent="0.2">
      <c r="A40" s="20">
        <v>5</v>
      </c>
      <c r="B40" s="202" t="s">
        <v>4</v>
      </c>
      <c r="C40" s="203"/>
      <c r="D40" s="15">
        <f>IF(F3="1",SUMIF(Data!A:A,'5'!$A$2,Data!CY:CY),0)</f>
        <v>0</v>
      </c>
      <c r="E40" s="18">
        <f>IF(F3="1",SUMIF(Data!$A:$A,'5'!$A$2,Data!IS:IS),0)</f>
        <v>0</v>
      </c>
      <c r="F40" s="22" t="str">
        <f t="shared" si="3"/>
        <v/>
      </c>
    </row>
    <row r="41" spans="1:6" x14ac:dyDescent="0.2">
      <c r="A41" s="20">
        <v>6</v>
      </c>
      <c r="B41" s="202" t="s">
        <v>5</v>
      </c>
      <c r="C41" s="203"/>
      <c r="D41" s="15">
        <f>IF(F3="1",SUMIF(Data!A:A,'5'!$A$2,Data!CZ:CZ),0)</f>
        <v>254512</v>
      </c>
      <c r="E41" s="18">
        <f>IF(F3="1",SUMIF(Data!$A:$A,'5'!$A$2,Data!IT:IT),0)</f>
        <v>258352</v>
      </c>
      <c r="F41" s="22">
        <f t="shared" si="3"/>
        <v>1.0150876972402088</v>
      </c>
    </row>
    <row r="42" spans="1:6" x14ac:dyDescent="0.2">
      <c r="A42" s="20">
        <v>7</v>
      </c>
      <c r="B42" s="202" t="s">
        <v>6</v>
      </c>
      <c r="C42" s="203"/>
      <c r="D42" s="15">
        <f>IF(F3="1",SUMIF(Data!A:A,'5'!$A$2,Data!DA:DA),0)</f>
        <v>508879</v>
      </c>
      <c r="E42" s="18">
        <f>IF(F3="1",SUMIF(Data!$A:$A,'5'!$A$2,Data!IU:IU),0)</f>
        <v>2722264</v>
      </c>
      <c r="F42" s="22">
        <f t="shared" si="3"/>
        <v>5.3495310280046926</v>
      </c>
    </row>
    <row r="43" spans="1:6" x14ac:dyDescent="0.2">
      <c r="A43" s="20">
        <v>8</v>
      </c>
      <c r="B43" s="202" t="s">
        <v>7</v>
      </c>
      <c r="C43" s="203"/>
      <c r="D43" s="15">
        <f>IF(F3="1",SUMIF(Data!A:A,'5'!$A$2,Data!DB:DB),0)</f>
        <v>22554</v>
      </c>
      <c r="E43" s="18">
        <f>IF(F3="1",SUMIF(Data!$A:$A,'5'!$A$2,Data!IV:IV),0)</f>
        <v>14603</v>
      </c>
      <c r="F43" s="22">
        <f t="shared" si="3"/>
        <v>0.64746829830628716</v>
      </c>
    </row>
    <row r="44" spans="1:6" x14ac:dyDescent="0.2">
      <c r="A44" s="20">
        <v>9</v>
      </c>
      <c r="B44" s="202" t="s">
        <v>8</v>
      </c>
      <c r="C44" s="203"/>
      <c r="D44" s="15">
        <f>IF(F3="1",SUMIF(Data!A:A,'5'!$A$2,Data!DC:DC),0)</f>
        <v>200099</v>
      </c>
      <c r="E44" s="18">
        <f>IF(F3="1",SUMIF(Data!$A:$A,'5'!$A$2,Data!IW:IW),0)</f>
        <v>1077760</v>
      </c>
      <c r="F44" s="22">
        <f t="shared" si="3"/>
        <v>5.3861338637374496</v>
      </c>
    </row>
    <row r="45" spans="1:6" x14ac:dyDescent="0.2">
      <c r="A45" s="20">
        <v>10</v>
      </c>
      <c r="B45" s="202" t="s">
        <v>9</v>
      </c>
      <c r="C45" s="203"/>
      <c r="D45" s="15">
        <f>IF(F3="1",SUMIF(Data!A:A,'5'!$A$2,Data!DD:DD),0)</f>
        <v>13376</v>
      </c>
      <c r="E45" s="18">
        <f>IF(F3="1",SUMIF(Data!$A:$A,'5'!$A$2,Data!IX:IX),0)</f>
        <v>15489</v>
      </c>
      <c r="F45" s="22">
        <f t="shared" si="3"/>
        <v>1.1579694976076556</v>
      </c>
    </row>
    <row r="46" spans="1:6" x14ac:dyDescent="0.2">
      <c r="A46" s="20">
        <v>11</v>
      </c>
      <c r="B46" s="202" t="s">
        <v>10</v>
      </c>
      <c r="C46" s="203"/>
      <c r="D46" s="15">
        <f>IF(F3="1",SUMIF(Data!A:A,'5'!$A$2,Data!DE:DE),0)</f>
        <v>358349</v>
      </c>
      <c r="E46" s="18">
        <f>IF(F3="1",SUMIF(Data!$A:$A,'5'!$A$2,Data!IY:IY),0)</f>
        <v>952461</v>
      </c>
      <c r="F46" s="22">
        <f t="shared" si="3"/>
        <v>2.6579144911803856</v>
      </c>
    </row>
    <row r="47" spans="1:6" ht="14.25" customHeight="1" x14ac:dyDescent="0.2">
      <c r="A47" s="20">
        <v>12</v>
      </c>
      <c r="B47" s="202" t="s">
        <v>11</v>
      </c>
      <c r="C47" s="203"/>
      <c r="D47" s="15">
        <f>IF(F3="1",SUMIF(Data!A:A,'5'!$A$2,Data!DF:DF),0)</f>
        <v>2036916</v>
      </c>
      <c r="E47" s="18">
        <f>IF(F3="1",SUMIF(Data!$A:$A,'5'!$A$2,Data!IZ:IZ),0)</f>
        <v>1261748</v>
      </c>
      <c r="F47" s="22">
        <f t="shared" si="3"/>
        <v>0.61944036965687344</v>
      </c>
    </row>
    <row r="48" spans="1:6" x14ac:dyDescent="0.2">
      <c r="A48" s="20">
        <v>13</v>
      </c>
      <c r="B48" s="202" t="s">
        <v>12</v>
      </c>
      <c r="C48" s="203"/>
      <c r="D48" s="15">
        <f>IF(F3="1",SUMIF(Data!A:A,'5'!$A$2,Data!DG:DG),0)</f>
        <v>823461</v>
      </c>
      <c r="E48" s="18">
        <f>IF(F3="1",SUMIF(Data!$A:$A,'5'!$A$2,Data!JA:JA),0)</f>
        <v>625642</v>
      </c>
      <c r="F48" s="22">
        <f t="shared" si="3"/>
        <v>0.75977125814094415</v>
      </c>
    </row>
    <row r="49" spans="1:6" ht="14.25" customHeight="1" x14ac:dyDescent="0.2">
      <c r="A49" s="20">
        <v>14</v>
      </c>
      <c r="B49" s="202" t="s">
        <v>449</v>
      </c>
      <c r="C49" s="203"/>
      <c r="D49" s="15">
        <f>IF(F3="1",SUMIF(Data!A:A,'5'!$A$2,Data!DH:DH),0)</f>
        <v>442896</v>
      </c>
      <c r="E49" s="18">
        <f>IF(F3="1",SUMIF(Data!$A:$A,'5'!$A$2,Data!JB:JB),0)</f>
        <v>1362754</v>
      </c>
      <c r="F49" s="22">
        <f t="shared" si="3"/>
        <v>3.0769164770058883</v>
      </c>
    </row>
    <row r="50" spans="1:6" x14ac:dyDescent="0.2">
      <c r="A50" s="20">
        <v>15</v>
      </c>
      <c r="B50" s="202" t="s">
        <v>13</v>
      </c>
      <c r="C50" s="203"/>
      <c r="D50" s="15">
        <f>IF(F3="1",SUMIF(Data!A:A,'5'!$A$2,Data!DI:DI),0)</f>
        <v>24816</v>
      </c>
      <c r="E50" s="18">
        <f>IF(F3="1",SUMIF(Data!$A:$A,'5'!$A$2,Data!JC:JC),0)</f>
        <v>270692</v>
      </c>
      <c r="F50" s="22">
        <f t="shared" si="3"/>
        <v>10.907962604771116</v>
      </c>
    </row>
    <row r="51" spans="1:6" x14ac:dyDescent="0.2">
      <c r="A51" s="20">
        <v>16</v>
      </c>
      <c r="B51" s="202" t="s">
        <v>14</v>
      </c>
      <c r="C51" s="203"/>
      <c r="D51" s="15">
        <f>IF(F3="1",SUMIF(Data!A:A,'5'!$A$2,Data!DJ:DJ),0)</f>
        <v>617453</v>
      </c>
      <c r="E51" s="18">
        <f>IF(F3="1",SUMIF(Data!$A:$A,'5'!$A$2,Data!JD:JD),0)</f>
        <v>1619450</v>
      </c>
      <c r="F51" s="22">
        <f t="shared" si="3"/>
        <v>2.6227907225327272</v>
      </c>
    </row>
    <row r="52" spans="1:6" x14ac:dyDescent="0.2">
      <c r="A52" s="20">
        <v>17</v>
      </c>
      <c r="B52" s="202" t="s">
        <v>15</v>
      </c>
      <c r="C52" s="203"/>
      <c r="D52" s="15">
        <f>IF(F3="1",SUMIF(Data!A:A,'5'!$A$2,Data!DK:DK),0)</f>
        <v>0</v>
      </c>
      <c r="E52" s="18">
        <f>IF(F3="1",SUMIF(Data!$A:$A,'5'!$A$2,Data!JE:JE),0)</f>
        <v>0</v>
      </c>
      <c r="F52" s="22" t="str">
        <f t="shared" si="3"/>
        <v/>
      </c>
    </row>
    <row r="53" spans="1:6" x14ac:dyDescent="0.2">
      <c r="A53" s="20">
        <v>18</v>
      </c>
      <c r="B53" s="202" t="s">
        <v>16</v>
      </c>
      <c r="C53" s="203"/>
      <c r="D53" s="15">
        <f>IF(F3="1",SUMIF(Data!A:A,'5'!$A$2,Data!DL:DL),0)</f>
        <v>113192</v>
      </c>
      <c r="E53" s="18">
        <f>IF(F3="1",SUMIF(Data!$A:$A,'5'!$A$2,Data!JF:JF),0)</f>
        <v>367874</v>
      </c>
      <c r="F53" s="22">
        <f t="shared" si="3"/>
        <v>3.25</v>
      </c>
    </row>
    <row r="54" spans="1:6" x14ac:dyDescent="0.2">
      <c r="A54" s="20">
        <v>19</v>
      </c>
      <c r="B54" s="202" t="s">
        <v>17</v>
      </c>
      <c r="C54" s="203"/>
      <c r="D54" s="15">
        <f>IF(F3="1",SUMIF(Data!A:A,'5'!$A$2,Data!DM:DM),0)</f>
        <v>921824</v>
      </c>
      <c r="E54" s="18">
        <f>IF(F3="1",SUMIF(Data!$A:$A,'5'!$A$2,Data!JG:JG),0)</f>
        <v>436779</v>
      </c>
      <c r="F54" s="22">
        <f t="shared" si="3"/>
        <v>0.47382038219877115</v>
      </c>
    </row>
    <row r="55" spans="1:6" x14ac:dyDescent="0.2">
      <c r="A55" s="20">
        <v>20</v>
      </c>
      <c r="B55" s="202" t="s">
        <v>18</v>
      </c>
      <c r="C55" s="203"/>
      <c r="D55" s="15">
        <f>IF(F3="1",SUMIF(Data!A:A,'5'!$A$2,Data!DN:DN),0)</f>
        <v>185532</v>
      </c>
      <c r="E55" s="18">
        <f>IF(F3="1",SUMIF(Data!$A:$A,'5'!$A$2,Data!JH:JH),0)</f>
        <v>718760</v>
      </c>
      <c r="F55" s="22">
        <f t="shared" si="3"/>
        <v>3.8740486816290449</v>
      </c>
    </row>
    <row r="56" spans="1:6" ht="14.25" customHeight="1" x14ac:dyDescent="0.2">
      <c r="A56" s="20">
        <v>21</v>
      </c>
      <c r="B56" s="202" t="s">
        <v>446</v>
      </c>
      <c r="C56" s="203"/>
      <c r="D56" s="15">
        <f>IF(F3="1",SUMIF(Data!A:A,'5'!$A$2,Data!DO:DO),0)</f>
        <v>36660</v>
      </c>
      <c r="E56" s="18">
        <f>IF(F3="1",SUMIF(Data!$A:$A,'5'!$A$2,Data!JI:JI),0)</f>
        <v>448070</v>
      </c>
      <c r="F56" s="22">
        <f t="shared" si="3"/>
        <v>12.222313147845062</v>
      </c>
    </row>
    <row r="57" spans="1:6" x14ac:dyDescent="0.2">
      <c r="A57" s="20">
        <v>22</v>
      </c>
      <c r="B57" s="202" t="s">
        <v>19</v>
      </c>
      <c r="C57" s="203"/>
      <c r="D57" s="15">
        <f>IF(F3="1",SUMIF(Data!A:A,'5'!$A$2,Data!DP:DP),0)</f>
        <v>31336</v>
      </c>
      <c r="E57" s="18">
        <f>IF(F3="1",SUMIF(Data!$A:$A,'5'!$A$2,Data!JJ:JJ),0)</f>
        <v>301289</v>
      </c>
      <c r="F57" s="22">
        <f t="shared" si="3"/>
        <v>9.6147881031401585</v>
      </c>
    </row>
    <row r="58" spans="1:6" x14ac:dyDescent="0.2">
      <c r="A58" s="20">
        <v>23</v>
      </c>
      <c r="B58" s="202" t="s">
        <v>20</v>
      </c>
      <c r="C58" s="203"/>
      <c r="D58" s="15">
        <f>IF(F3="1",SUMIF(Data!A:A,'5'!$A$2,Data!DQ:DQ),0)</f>
        <v>318160</v>
      </c>
      <c r="E58" s="18">
        <f>IF(F3="1",SUMIF(Data!$A:$A,'5'!$A$2,Data!JK:JK),0)</f>
        <v>339153</v>
      </c>
      <c r="F58" s="22">
        <f t="shared" si="3"/>
        <v>1.0659825245159669</v>
      </c>
    </row>
    <row r="59" spans="1:6" x14ac:dyDescent="0.2">
      <c r="A59" s="20">
        <v>24</v>
      </c>
      <c r="B59" s="202" t="s">
        <v>21</v>
      </c>
      <c r="C59" s="203"/>
      <c r="D59" s="15">
        <f>IF(F3="1",SUMIF(Data!A:A,'5'!$A$2,Data!DR:DR),0)</f>
        <v>385170</v>
      </c>
      <c r="E59" s="18">
        <f>IF(F3="1",SUMIF(Data!$A:$A,'5'!$A$2,Data!JL:JL),0)</f>
        <v>604711</v>
      </c>
      <c r="F59" s="22">
        <f t="shared" si="3"/>
        <v>1.5699846820884285</v>
      </c>
    </row>
    <row r="60" spans="1:6" x14ac:dyDescent="0.2">
      <c r="A60" s="20">
        <v>25</v>
      </c>
      <c r="B60" s="202" t="s">
        <v>22</v>
      </c>
      <c r="C60" s="203"/>
      <c r="D60" s="15">
        <f>IF(F3="1",SUMIF(Data!A:A,'5'!$A$2,Data!DS:DS),0)</f>
        <v>3258512</v>
      </c>
      <c r="E60" s="18">
        <f>IF(F3="1",SUMIF(Data!$A:$A,'5'!$A$2,Data!JM:JM),0)</f>
        <v>1658277</v>
      </c>
      <c r="F60" s="22">
        <f t="shared" si="3"/>
        <v>0.50890621240615352</v>
      </c>
    </row>
    <row r="61" spans="1:6" x14ac:dyDescent="0.2">
      <c r="A61" s="20">
        <v>26</v>
      </c>
      <c r="B61" s="202" t="s">
        <v>23</v>
      </c>
      <c r="C61" s="203"/>
      <c r="D61" s="15">
        <f>IF(F3="1",SUMIF(Data!A:A,'5'!$A$2,Data!DT:DT),0)</f>
        <v>966520</v>
      </c>
      <c r="E61" s="18">
        <f>IF(F3="1",SUMIF(Data!$A:$A,'5'!$A$2,Data!JN:JN),0)</f>
        <v>2379032</v>
      </c>
      <c r="F61" s="22">
        <f t="shared" si="3"/>
        <v>2.4614410462277037</v>
      </c>
    </row>
    <row r="62" spans="1:6" x14ac:dyDescent="0.2">
      <c r="A62" s="20">
        <v>28</v>
      </c>
      <c r="B62" s="202" t="s">
        <v>24</v>
      </c>
      <c r="C62" s="203"/>
      <c r="D62" s="15">
        <f>IF(F3="1",SUMIF(Data!A:A,'5'!$A$2,Data!DV:DV),0)</f>
        <v>1222288</v>
      </c>
      <c r="E62" s="18">
        <f>IF(F3="1",SUMIF(Data!$A:$A,'5'!$A$2,Data!JP:JP),0)</f>
        <v>704162</v>
      </c>
      <c r="F62" s="22">
        <f t="shared" si="3"/>
        <v>0.57610154071708142</v>
      </c>
    </row>
    <row r="63" spans="1:6" ht="15.75" customHeight="1" thickBot="1" x14ac:dyDescent="0.25">
      <c r="A63" s="23">
        <v>29</v>
      </c>
      <c r="B63" s="206" t="s">
        <v>25</v>
      </c>
      <c r="C63" s="207"/>
      <c r="D63" s="24">
        <f>IF(F3="1",SUMIF(Data!A:A,'5'!$A$2,Data!DW:DW),0)</f>
        <v>527696</v>
      </c>
      <c r="E63" s="25">
        <f>IF(F3="1",SUMIF(Data!$A:$A,'5'!$A$2,Data!JQ:JQ),0)</f>
        <v>432346</v>
      </c>
      <c r="F63" s="26">
        <f t="shared" si="3"/>
        <v>0.81930884448621932</v>
      </c>
    </row>
    <row r="64" spans="1:6" x14ac:dyDescent="0.2">
      <c r="B64" s="31" t="s">
        <v>35</v>
      </c>
      <c r="C64" s="31"/>
      <c r="D64" s="60">
        <f>SUM(D36:D63)</f>
        <v>16279791</v>
      </c>
      <c r="E64" s="32">
        <f>SUM(E36:E63)</f>
        <v>24022003</v>
      </c>
      <c r="F64" s="33">
        <f t="shared" si="3"/>
        <v>1.4755719529814602</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67324</v>
      </c>
      <c r="E67" s="16">
        <f>IF(F3="1",SUMIF(Data!A:A,'5'!$A$2,Data!DY:DY),0)</f>
        <v>143811</v>
      </c>
      <c r="F67" s="21">
        <f>IFERROR(E67/D67,"")</f>
        <v>2.1361030241815699</v>
      </c>
    </row>
    <row r="68" spans="1:6" x14ac:dyDescent="0.2">
      <c r="A68" s="20">
        <v>2</v>
      </c>
      <c r="B68" s="202" t="s">
        <v>1</v>
      </c>
      <c r="C68" s="203"/>
      <c r="D68" s="15">
        <f t="shared" ref="D68:D94" si="4">D37</f>
        <v>159928</v>
      </c>
      <c r="E68" s="18">
        <f>IF(F3="1",SUMIF(Data!A:A,'5'!$A$2,Data!DZ:DZ),0)</f>
        <v>1300459</v>
      </c>
      <c r="F68" s="22">
        <f t="shared" ref="F68:F95" si="5">IFERROR(E68/D68,"")</f>
        <v>8.1315279375719065</v>
      </c>
    </row>
    <row r="69" spans="1:6" ht="14.25" customHeight="1" x14ac:dyDescent="0.2">
      <c r="A69" s="20">
        <v>3</v>
      </c>
      <c r="B69" s="202" t="s">
        <v>2</v>
      </c>
      <c r="C69" s="203"/>
      <c r="D69" s="15">
        <f t="shared" si="4"/>
        <v>1944016</v>
      </c>
      <c r="E69" s="18">
        <f>IF(F3="1",SUMIF(Data!A:A,'5'!$A$2,Data!EA:EA),0)</f>
        <v>8686934</v>
      </c>
      <c r="F69" s="22">
        <f t="shared" si="5"/>
        <v>4.468550670364853</v>
      </c>
    </row>
    <row r="70" spans="1:6" ht="14.25" customHeight="1" x14ac:dyDescent="0.2">
      <c r="A70" s="20">
        <v>4</v>
      </c>
      <c r="B70" s="202" t="s">
        <v>3</v>
      </c>
      <c r="C70" s="203"/>
      <c r="D70" s="15">
        <f t="shared" si="4"/>
        <v>838322</v>
      </c>
      <c r="E70" s="18">
        <f>IF(F3="1",SUMIF(Data!A:A,'5'!$A$2,Data!EB:EB),0)</f>
        <v>3476452</v>
      </c>
      <c r="F70" s="22">
        <f t="shared" si="5"/>
        <v>4.1469172943093469</v>
      </c>
    </row>
    <row r="71" spans="1:6" x14ac:dyDescent="0.2">
      <c r="A71" s="20">
        <v>5</v>
      </c>
      <c r="B71" s="202" t="s">
        <v>4</v>
      </c>
      <c r="C71" s="203"/>
      <c r="D71" s="15">
        <f t="shared" si="4"/>
        <v>0</v>
      </c>
      <c r="E71" s="18">
        <f>IF(F3="1",SUMIF(Data!A:A,'5'!$A$2,Data!EC:EC),0)</f>
        <v>0</v>
      </c>
      <c r="F71" s="22" t="str">
        <f t="shared" si="5"/>
        <v/>
      </c>
    </row>
    <row r="72" spans="1:6" x14ac:dyDescent="0.2">
      <c r="A72" s="20">
        <v>6</v>
      </c>
      <c r="B72" s="202" t="s">
        <v>5</v>
      </c>
      <c r="C72" s="203"/>
      <c r="D72" s="15">
        <f t="shared" si="4"/>
        <v>254512</v>
      </c>
      <c r="E72" s="18">
        <f>IF(F3="1",SUMIF(Data!A:A,'5'!$A$2,Data!ED:ED),0)</f>
        <v>581173</v>
      </c>
      <c r="F72" s="22">
        <f t="shared" si="5"/>
        <v>2.2834797573395362</v>
      </c>
    </row>
    <row r="73" spans="1:6" x14ac:dyDescent="0.2">
      <c r="A73" s="20">
        <v>7</v>
      </c>
      <c r="B73" s="202" t="s">
        <v>6</v>
      </c>
      <c r="C73" s="203"/>
      <c r="D73" s="15">
        <f t="shared" si="4"/>
        <v>508879</v>
      </c>
      <c r="E73" s="18">
        <f>IF(F3="1",SUMIF(Data!A:A,'5'!$A$2,Data!EE:EE),0)</f>
        <v>3321120</v>
      </c>
      <c r="F73" s="22">
        <f t="shared" si="5"/>
        <v>6.5263451626025049</v>
      </c>
    </row>
    <row r="74" spans="1:6" x14ac:dyDescent="0.2">
      <c r="A74" s="20">
        <v>8</v>
      </c>
      <c r="B74" s="202" t="s">
        <v>7</v>
      </c>
      <c r="C74" s="203"/>
      <c r="D74" s="15">
        <f t="shared" si="4"/>
        <v>22554</v>
      </c>
      <c r="E74" s="18">
        <f>IF(F3="1",SUMIF(Data!A:A,'5'!$A$2,Data!EF:EF),0)</f>
        <v>0</v>
      </c>
      <c r="F74" s="22">
        <f t="shared" si="5"/>
        <v>0</v>
      </c>
    </row>
    <row r="75" spans="1:6" x14ac:dyDescent="0.2">
      <c r="A75" s="20">
        <v>9</v>
      </c>
      <c r="B75" s="202" t="s">
        <v>8</v>
      </c>
      <c r="C75" s="203"/>
      <c r="D75" s="15">
        <f t="shared" si="4"/>
        <v>200099</v>
      </c>
      <c r="E75" s="18">
        <f>IF(F3="1",SUMIF(Data!A:A,'5'!$A$2,Data!EG:EG),0)</f>
        <v>906298</v>
      </c>
      <c r="F75" s="22">
        <f t="shared" si="5"/>
        <v>4.5292480222289964</v>
      </c>
    </row>
    <row r="76" spans="1:6" x14ac:dyDescent="0.2">
      <c r="A76" s="20">
        <v>10</v>
      </c>
      <c r="B76" s="202" t="s">
        <v>9</v>
      </c>
      <c r="C76" s="203"/>
      <c r="D76" s="15">
        <f t="shared" si="4"/>
        <v>13376</v>
      </c>
      <c r="E76" s="18">
        <f>IF(F3="1",SUMIF(Data!A:A,'5'!$A$2,Data!EH:EH),0)</f>
        <v>126229</v>
      </c>
      <c r="F76" s="22">
        <f t="shared" si="5"/>
        <v>9.4369766746411479</v>
      </c>
    </row>
    <row r="77" spans="1:6" x14ac:dyDescent="0.2">
      <c r="A77" s="20">
        <v>11</v>
      </c>
      <c r="B77" s="202" t="s">
        <v>10</v>
      </c>
      <c r="C77" s="203"/>
      <c r="D77" s="15">
        <f t="shared" si="4"/>
        <v>358349</v>
      </c>
      <c r="E77" s="18">
        <f>IF(F3="1",SUMIF(Data!A:A,'5'!$A$2,Data!EI:EI),0)</f>
        <v>1987018</v>
      </c>
      <c r="F77" s="22">
        <f t="shared" si="5"/>
        <v>5.5449240823889561</v>
      </c>
    </row>
    <row r="78" spans="1:6" ht="14.25" customHeight="1" x14ac:dyDescent="0.2">
      <c r="A78" s="20">
        <v>12</v>
      </c>
      <c r="B78" s="202" t="s">
        <v>11</v>
      </c>
      <c r="C78" s="203"/>
      <c r="D78" s="15">
        <f t="shared" si="4"/>
        <v>2036916</v>
      </c>
      <c r="E78" s="18">
        <f>IF(F3="1",SUMIF(Data!A:A,'5'!$A$2,Data!EJ:EJ),0)</f>
        <v>9621488</v>
      </c>
      <c r="F78" s="22">
        <f t="shared" si="5"/>
        <v>4.7235565924171636</v>
      </c>
    </row>
    <row r="79" spans="1:6" x14ac:dyDescent="0.2">
      <c r="A79" s="20">
        <v>13</v>
      </c>
      <c r="B79" s="202" t="s">
        <v>12</v>
      </c>
      <c r="C79" s="203"/>
      <c r="D79" s="15">
        <f t="shared" si="4"/>
        <v>823461</v>
      </c>
      <c r="E79" s="18">
        <f>IF(F3="1",SUMIF(Data!A:A,'5'!$A$2,Data!EK:EK),0)</f>
        <v>3704740</v>
      </c>
      <c r="F79" s="22">
        <f t="shared" si="5"/>
        <v>4.4989865943863769</v>
      </c>
    </row>
    <row r="80" spans="1:6" ht="14.25" customHeight="1" x14ac:dyDescent="0.2">
      <c r="A80" s="20">
        <v>14</v>
      </c>
      <c r="B80" s="202" t="s">
        <v>449</v>
      </c>
      <c r="C80" s="203"/>
      <c r="D80" s="15">
        <f t="shared" si="4"/>
        <v>442896</v>
      </c>
      <c r="E80" s="18">
        <f>IF(F3="1",SUMIF(Data!A:A,'5'!$A$2,Data!EL:EL),0)</f>
        <v>4271223</v>
      </c>
      <c r="F80" s="22">
        <f t="shared" si="5"/>
        <v>9.6438509266283727</v>
      </c>
    </row>
    <row r="81" spans="1:6" x14ac:dyDescent="0.2">
      <c r="A81" s="20">
        <v>15</v>
      </c>
      <c r="B81" s="202" t="s">
        <v>13</v>
      </c>
      <c r="C81" s="203"/>
      <c r="D81" s="15">
        <f t="shared" si="4"/>
        <v>24816</v>
      </c>
      <c r="E81" s="18">
        <f>IF(F3="1",SUMIF(Data!A:A,'5'!$A$2,Data!EM:EM),0)</f>
        <v>477890</v>
      </c>
      <c r="F81" s="22">
        <f t="shared" si="5"/>
        <v>19.257333978078659</v>
      </c>
    </row>
    <row r="82" spans="1:6" x14ac:dyDescent="0.2">
      <c r="A82" s="20">
        <v>16</v>
      </c>
      <c r="B82" s="202" t="s">
        <v>14</v>
      </c>
      <c r="C82" s="203"/>
      <c r="D82" s="15">
        <f t="shared" si="4"/>
        <v>617453</v>
      </c>
      <c r="E82" s="18">
        <f>IF(F3="1",SUMIF(Data!A:A,'5'!$A$2,Data!EN:EN),0)</f>
        <v>5200039</v>
      </c>
      <c r="F82" s="22">
        <f t="shared" si="5"/>
        <v>8.4217567976833863</v>
      </c>
    </row>
    <row r="83" spans="1:6" x14ac:dyDescent="0.2">
      <c r="A83" s="20">
        <v>17</v>
      </c>
      <c r="B83" s="202" t="s">
        <v>15</v>
      </c>
      <c r="C83" s="203"/>
      <c r="D83" s="15">
        <f t="shared" si="4"/>
        <v>0</v>
      </c>
      <c r="E83" s="18">
        <f>IF(F3="1",SUMIF(Data!A:A,'5'!$A$2,Data!EO:EO),0)</f>
        <v>0</v>
      </c>
      <c r="F83" s="22" t="str">
        <f t="shared" si="5"/>
        <v/>
      </c>
    </row>
    <row r="84" spans="1:6" x14ac:dyDescent="0.2">
      <c r="A84" s="20">
        <v>18</v>
      </c>
      <c r="B84" s="202" t="s">
        <v>16</v>
      </c>
      <c r="C84" s="203"/>
      <c r="D84" s="15">
        <f t="shared" si="4"/>
        <v>113192</v>
      </c>
      <c r="E84" s="18">
        <f>IF(F3="1",SUMIF(Data!A:A,'5'!$A$2,Data!EP:EP),0)</f>
        <v>1342365</v>
      </c>
      <c r="F84" s="22">
        <f t="shared" si="5"/>
        <v>11.859186161566189</v>
      </c>
    </row>
    <row r="85" spans="1:6" x14ac:dyDescent="0.2">
      <c r="A85" s="20">
        <v>19</v>
      </c>
      <c r="B85" s="202" t="s">
        <v>17</v>
      </c>
      <c r="C85" s="203"/>
      <c r="D85" s="15">
        <f t="shared" si="4"/>
        <v>921824</v>
      </c>
      <c r="E85" s="18">
        <f>IF(F3="1",SUMIF(Data!A:A,'5'!$A$2,Data!EQ:EQ),0)</f>
        <v>3756147</v>
      </c>
      <c r="F85" s="22">
        <f t="shared" si="5"/>
        <v>4.0746899625091126</v>
      </c>
    </row>
    <row r="86" spans="1:6" x14ac:dyDescent="0.2">
      <c r="A86" s="20">
        <v>20</v>
      </c>
      <c r="B86" s="202" t="s">
        <v>18</v>
      </c>
      <c r="C86" s="203"/>
      <c r="D86" s="15">
        <f t="shared" si="4"/>
        <v>185532</v>
      </c>
      <c r="E86" s="18">
        <f>IF(F3="1",SUMIF(Data!A:A,'5'!$A$2,Data!ER:ER),0)</f>
        <v>1365090</v>
      </c>
      <c r="F86" s="22">
        <f t="shared" si="5"/>
        <v>7.3577064872906019</v>
      </c>
    </row>
    <row r="87" spans="1:6" ht="14.25" customHeight="1" x14ac:dyDescent="0.2">
      <c r="A87" s="20">
        <v>21</v>
      </c>
      <c r="B87" s="202" t="s">
        <v>446</v>
      </c>
      <c r="C87" s="203"/>
      <c r="D87" s="15">
        <f t="shared" si="4"/>
        <v>36660</v>
      </c>
      <c r="E87" s="18">
        <f>IF(F3="1",SUMIF(Data!A:A,'5'!$A$2,Data!ES:ES),0)</f>
        <v>241291</v>
      </c>
      <c r="F87" s="22">
        <f t="shared" si="5"/>
        <v>6.5818603382433167</v>
      </c>
    </row>
    <row r="88" spans="1:6" x14ac:dyDescent="0.2">
      <c r="A88" s="20">
        <v>22</v>
      </c>
      <c r="B88" s="202" t="s">
        <v>19</v>
      </c>
      <c r="C88" s="203"/>
      <c r="D88" s="15">
        <f t="shared" si="4"/>
        <v>31336</v>
      </c>
      <c r="E88" s="18">
        <f>IF(F3="1",SUMIF(Data!A:A,'5'!$A$2,Data!ET:ET),0)</f>
        <v>708016</v>
      </c>
      <c r="F88" s="22">
        <f t="shared" si="5"/>
        <v>22.594332397242788</v>
      </c>
    </row>
    <row r="89" spans="1:6" x14ac:dyDescent="0.2">
      <c r="A89" s="20">
        <v>23</v>
      </c>
      <c r="B89" s="202" t="s">
        <v>20</v>
      </c>
      <c r="C89" s="203"/>
      <c r="D89" s="15">
        <f t="shared" si="4"/>
        <v>318160</v>
      </c>
      <c r="E89" s="18">
        <f>IF(F3="1",SUMIF(Data!A:A,'5'!$A$2,Data!EU:EU),0)</f>
        <v>1297933</v>
      </c>
      <c r="F89" s="22">
        <f t="shared" si="5"/>
        <v>4.0794977369876788</v>
      </c>
    </row>
    <row r="90" spans="1:6" x14ac:dyDescent="0.2">
      <c r="A90" s="20">
        <v>24</v>
      </c>
      <c r="B90" s="202" t="s">
        <v>21</v>
      </c>
      <c r="C90" s="203"/>
      <c r="D90" s="15">
        <f t="shared" si="4"/>
        <v>385170</v>
      </c>
      <c r="E90" s="18">
        <f>IF(F3="1",SUMIF(Data!A:A,'5'!$A$2,Data!EV:EV),0)</f>
        <v>1090787</v>
      </c>
      <c r="F90" s="22">
        <f t="shared" si="5"/>
        <v>2.8319625100604928</v>
      </c>
    </row>
    <row r="91" spans="1:6" x14ac:dyDescent="0.2">
      <c r="A91" s="20">
        <v>25</v>
      </c>
      <c r="B91" s="202" t="s">
        <v>22</v>
      </c>
      <c r="C91" s="203"/>
      <c r="D91" s="15">
        <f t="shared" si="4"/>
        <v>3258512</v>
      </c>
      <c r="E91" s="18">
        <f>IF(F3="1",SUMIF(Data!A:A,'5'!$A$2,Data!EW:EW),0)</f>
        <v>11283368</v>
      </c>
      <c r="F91" s="22">
        <f t="shared" si="5"/>
        <v>3.4627363655558119</v>
      </c>
    </row>
    <row r="92" spans="1:6" x14ac:dyDescent="0.2">
      <c r="A92" s="20">
        <v>26</v>
      </c>
      <c r="B92" s="202" t="s">
        <v>23</v>
      </c>
      <c r="C92" s="203"/>
      <c r="D92" s="15">
        <f t="shared" si="4"/>
        <v>966520</v>
      </c>
      <c r="E92" s="18">
        <f>IF(F3="1",SUMIF(Data!A:A,'5'!$A$2,Data!EX:EX),0)</f>
        <v>7268676</v>
      </c>
      <c r="F92" s="22">
        <f t="shared" si="5"/>
        <v>7.5204610354674504</v>
      </c>
    </row>
    <row r="93" spans="1:6" x14ac:dyDescent="0.2">
      <c r="A93" s="20">
        <v>28</v>
      </c>
      <c r="B93" s="202" t="s">
        <v>24</v>
      </c>
      <c r="C93" s="203"/>
      <c r="D93" s="15">
        <f t="shared" si="4"/>
        <v>1222288</v>
      </c>
      <c r="E93" s="18">
        <f>IF(F3="1",SUMIF(Data!A:A,'5'!$A$2,Data!EZ:EZ),0)</f>
        <v>4980442</v>
      </c>
      <c r="F93" s="22">
        <f t="shared" si="5"/>
        <v>4.0746877986202925</v>
      </c>
    </row>
    <row r="94" spans="1:6" ht="15.75" customHeight="1" thickBot="1" x14ac:dyDescent="0.25">
      <c r="A94" s="23">
        <v>29</v>
      </c>
      <c r="B94" s="206" t="s">
        <v>25</v>
      </c>
      <c r="C94" s="207"/>
      <c r="D94" s="24">
        <f t="shared" si="4"/>
        <v>527696</v>
      </c>
      <c r="E94" s="25">
        <f>IF(F3="1",SUMIF(Data!A:A,'5'!$A$2,Data!FA:FA),0)</f>
        <v>2550728</v>
      </c>
      <c r="F94" s="26">
        <f t="shared" si="5"/>
        <v>4.8337072860131594</v>
      </c>
    </row>
    <row r="95" spans="1:6" x14ac:dyDescent="0.2">
      <c r="B95" s="31" t="s">
        <v>35</v>
      </c>
      <c r="C95" s="31"/>
      <c r="D95" s="60">
        <f>SUM(D67:D94)</f>
        <v>16279791</v>
      </c>
      <c r="E95" s="32">
        <f>SUM(E67:E94)</f>
        <v>79689717</v>
      </c>
      <c r="F95" s="33">
        <f t="shared" si="5"/>
        <v>4.8950086029974216</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IF(F3="1",SUMIF(Data!A:A,'5'!$A$2,Data!AH:AH),0)</f>
        <v>30668562</v>
      </c>
      <c r="F98" s="21">
        <f t="shared" ref="F98:F105" si="6">IFERROR(E98/$D$95,0)</f>
        <v>1.8838424891326921</v>
      </c>
    </row>
    <row r="99" spans="2:6" x14ac:dyDescent="0.2">
      <c r="B99" s="212" t="s">
        <v>31</v>
      </c>
      <c r="C99" s="213"/>
      <c r="D99" s="37"/>
      <c r="E99" s="18">
        <f>IF(F3="1",SUMIF(Data!A:A,'5'!$A$2,Data!AI:AI),0)</f>
        <v>21152532</v>
      </c>
      <c r="F99" s="22">
        <f t="shared" si="6"/>
        <v>1.2993122577556431</v>
      </c>
    </row>
    <row r="100" spans="2:6" x14ac:dyDescent="0.2">
      <c r="B100" s="212" t="s">
        <v>32</v>
      </c>
      <c r="C100" s="213"/>
      <c r="D100" s="37"/>
      <c r="E100" s="18">
        <f>IF(F3="1",SUMIF(Data!A:A,'5'!$A$2,Data!AJ:AJ),0)</f>
        <v>21226521</v>
      </c>
      <c r="F100" s="22">
        <f t="shared" si="6"/>
        <v>1.3038570949713053</v>
      </c>
    </row>
    <row r="101" spans="2:6" x14ac:dyDescent="0.2">
      <c r="B101" s="212" t="s">
        <v>28</v>
      </c>
      <c r="C101" s="213"/>
      <c r="D101" s="37"/>
      <c r="E101" s="18">
        <f>IF(F3="1",SUMIF(Data!A:A,'5'!$A$2,Data!AK:AK),0)</f>
        <v>0</v>
      </c>
      <c r="F101" s="22">
        <f t="shared" si="6"/>
        <v>0</v>
      </c>
    </row>
    <row r="102" spans="2:6" x14ac:dyDescent="0.2">
      <c r="B102" s="212" t="s">
        <v>33</v>
      </c>
      <c r="C102" s="213"/>
      <c r="D102" s="37"/>
      <c r="E102" s="18">
        <f>IF(F3="1",SUMIF(Data!A:A,'5'!$A$2,Data!AL:AL),0)</f>
        <v>0</v>
      </c>
      <c r="F102" s="22">
        <f t="shared" si="6"/>
        <v>0</v>
      </c>
    </row>
    <row r="103" spans="2:6" x14ac:dyDescent="0.2">
      <c r="B103" s="214" t="s">
        <v>34</v>
      </c>
      <c r="C103" s="215"/>
      <c r="D103" s="37"/>
      <c r="E103" s="18">
        <f>IF(F3="1",SUMIF(Data!A:A,'5'!$A$2,Data!AM:AM),0)</f>
        <v>3263946</v>
      </c>
      <c r="F103" s="22">
        <f t="shared" si="6"/>
        <v>0.20049065740463129</v>
      </c>
    </row>
    <row r="104" spans="2:6" ht="15.75" customHeight="1" thickBot="1" x14ac:dyDescent="0.25">
      <c r="B104" s="208" t="s">
        <v>29</v>
      </c>
      <c r="C104" s="209"/>
      <c r="D104" s="38"/>
      <c r="E104" s="25">
        <f>IF(F3="1",SUMIF(Data!A:A,'5'!$A$2,Data!Q:Q),0)</f>
        <v>6706275</v>
      </c>
      <c r="F104" s="26">
        <f t="shared" si="6"/>
        <v>0.41193864220984161</v>
      </c>
    </row>
    <row r="105" spans="2:6" x14ac:dyDescent="0.2">
      <c r="B105" s="31" t="s">
        <v>35</v>
      </c>
      <c r="C105" s="31"/>
      <c r="D105" s="35">
        <f>D95</f>
        <v>16279791</v>
      </c>
      <c r="E105" s="32">
        <f>SUM(E98:E104)</f>
        <v>83017836</v>
      </c>
      <c r="F105" s="33">
        <f t="shared" si="6"/>
        <v>5.0994411414741139</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90540496</v>
      </c>
      <c r="D109" s="192">
        <f>IF(F3="1",SUMIF(Data!$A:$A,$A$2,Data!HJ:HJ),0)</f>
        <v>8204994</v>
      </c>
      <c r="E109" s="192">
        <f>IF(F3="1",SUMIF(Data!$A:$A,$A$2,Data!IN:IN),0)</f>
        <v>4966230</v>
      </c>
      <c r="F109" s="48">
        <f>SUM(C109:E109)</f>
        <v>103711720</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4744911</v>
      </c>
      <c r="D111" s="52"/>
      <c r="E111" s="193">
        <f>IF(F3="1",SUMIF(Data!A:A,$A$2,Data!AX:AX)-SUMIF(Data!A:A,$A$2,Data!AW:AW),0)</f>
        <v>2211875</v>
      </c>
      <c r="F111" s="49">
        <f t="shared" si="7"/>
        <v>6956786</v>
      </c>
    </row>
    <row r="112" spans="2:6" x14ac:dyDescent="0.2">
      <c r="B112" s="43" t="s">
        <v>32</v>
      </c>
      <c r="C112" s="193">
        <f>IF(F3="1",SUMIF(Data!A:A,$A$2,Data!V:V),0)</f>
        <v>18445470</v>
      </c>
      <c r="D112" s="52"/>
      <c r="E112" s="193">
        <f>IF(F3="1",SUMIF(Data!A:A,$A$2,Data!AC:AC),0)</f>
        <v>2781051</v>
      </c>
      <c r="F112" s="49">
        <f t="shared" si="7"/>
        <v>21226521</v>
      </c>
    </row>
    <row r="113" spans="1:6" x14ac:dyDescent="0.2">
      <c r="B113" s="43" t="s">
        <v>31</v>
      </c>
      <c r="C113" s="193">
        <f>IF(F3="1",SUMIF(Data!A:A,$A$2,Data!U:U),0)</f>
        <v>19534257</v>
      </c>
      <c r="D113" s="52"/>
      <c r="E113" s="193">
        <f>IF(F3="1",SUMIF(Data!A:A,$A$2,Data!AB:AB),0)</f>
        <v>1618275</v>
      </c>
      <c r="F113" s="49">
        <f t="shared" si="7"/>
        <v>21152532</v>
      </c>
    </row>
    <row r="114" spans="1:6" x14ac:dyDescent="0.2">
      <c r="B114" s="43" t="s">
        <v>1002</v>
      </c>
      <c r="C114" s="193">
        <f>IF(F3="1",SUMIF(Data!A:A,$A$2,Data!T:T),0)</f>
        <v>19796526</v>
      </c>
      <c r="D114" s="52"/>
      <c r="E114" s="193">
        <f>IF(F3="1",SUMIF(Data!A:A,$A$2,Data!AA:AA),0)</f>
        <v>10872036</v>
      </c>
      <c r="F114" s="49">
        <f t="shared" si="7"/>
        <v>30668562</v>
      </c>
    </row>
    <row r="115" spans="1:6" x14ac:dyDescent="0.2">
      <c r="B115" s="43" t="s">
        <v>916</v>
      </c>
      <c r="C115" s="193">
        <f>IF(F3="1",SUMIF(Data!A:A,$A$2,Data!BI:BI),0)</f>
        <v>7755738</v>
      </c>
      <c r="D115" s="193">
        <f>IF(F3="1",SUMIF(Data!A:A,$A$2,Data!BL:BL),0)</f>
        <v>914663</v>
      </c>
      <c r="E115" s="193">
        <f>IF(F3="1",SUMIF(Data!A:A,$A$2,Data!BU:BU)-SUMIF(Data!A:A,$A$2,Data!BT:BT),0)</f>
        <v>15501407</v>
      </c>
      <c r="F115" s="49">
        <f t="shared" si="7"/>
        <v>24171808</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6706275</v>
      </c>
      <c r="E117" s="53"/>
      <c r="F117" s="50">
        <f>SUM(C117:E117)</f>
        <v>6706275</v>
      </c>
    </row>
    <row r="118" spans="1:6" x14ac:dyDescent="0.2">
      <c r="B118" s="14" t="s">
        <v>35</v>
      </c>
      <c r="C118" s="178">
        <f>SUM(C109:C117)</f>
        <v>160817398</v>
      </c>
      <c r="D118" s="194">
        <f>SUM(D109:D117)</f>
        <v>15825932</v>
      </c>
      <c r="E118" s="178">
        <f>SUM(E109:E117)</f>
        <v>37950874</v>
      </c>
      <c r="F118" s="178">
        <f>SUM(F109:F117)</f>
        <v>214594204</v>
      </c>
    </row>
    <row r="119" spans="1:6" x14ac:dyDescent="0.2">
      <c r="C119" s="177"/>
      <c r="D119" s="177"/>
      <c r="E119" s="177"/>
    </row>
    <row r="120" spans="1:6" ht="15" thickBot="1" x14ac:dyDescent="0.25">
      <c r="B120" s="188" t="s">
        <v>921</v>
      </c>
      <c r="C120" s="53"/>
      <c r="D120" s="53"/>
      <c r="E120" s="198">
        <f>IF(F3="1",SUMIF(Data!A:A,$A$2,Data!AF:AF)+SUMIF(Data!A:A,$A$2,Data!AW:AW)+SUMIF(Data!A:A,$A$2,Data!BT:BT),0)</f>
        <v>3263946</v>
      </c>
      <c r="F120" s="181">
        <f>SUM(C120:E120)</f>
        <v>3263946</v>
      </c>
    </row>
    <row r="121" spans="1:6" s="177" customFormat="1" x14ac:dyDescent="0.2">
      <c r="B121" s="14" t="s">
        <v>35</v>
      </c>
      <c r="C121" s="178">
        <f>SUM(C120:C120)</f>
        <v>0</v>
      </c>
      <c r="D121" s="178">
        <f>SUM(D120:D120)</f>
        <v>0</v>
      </c>
      <c r="E121" s="178">
        <f>SUM(E120:E120)</f>
        <v>3263946</v>
      </c>
      <c r="F121" s="178">
        <f>SUM(F120:F120)</f>
        <v>3263946</v>
      </c>
    </row>
    <row r="122" spans="1:6" s="177" customFormat="1" ht="15" thickBot="1" x14ac:dyDescent="0.25">
      <c r="B122" s="14" t="s">
        <v>1396</v>
      </c>
      <c r="C122" s="178"/>
      <c r="D122" s="178"/>
      <c r="E122" s="178"/>
      <c r="F122" s="190">
        <f>F118+F121</f>
        <v>217858150</v>
      </c>
    </row>
    <row r="123" spans="1:6" ht="15" thickTop="1" x14ac:dyDescent="0.2">
      <c r="C123" s="74"/>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19" width="9.140625" style="11"/>
    <col min="20" max="20" width="17.85546875" style="11" bestFit="1" customWidth="1"/>
    <col min="21" max="23" width="9.140625" style="11"/>
    <col min="24" max="24" width="17.85546875" style="11" bestFit="1" customWidth="1"/>
    <col min="25"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356</v>
      </c>
      <c r="B2" s="59" t="str">
        <f>VLOOKUP(A2,Data!A:G,7,0)</f>
        <v>Blinn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76304</v>
      </c>
      <c r="E5" s="16">
        <f>E36+E67+IFERROR($E$105/$D$105*D5,0)</f>
        <v>615144.97930177499</v>
      </c>
      <c r="F5" s="21">
        <f>IFERROR(E5/D5,"")</f>
        <v>8.0617658222606288</v>
      </c>
    </row>
    <row r="6" spans="1:6" x14ac:dyDescent="0.2">
      <c r="A6" s="20">
        <v>2</v>
      </c>
      <c r="B6" s="202" t="s">
        <v>1</v>
      </c>
      <c r="C6" s="203"/>
      <c r="D6" s="15">
        <f t="shared" ref="D6:D32" si="0">D37</f>
        <v>54916</v>
      </c>
      <c r="E6" s="18">
        <f t="shared" ref="E6:E32" si="1">E37+E68+IFERROR($E$105/$D$105*D6,0)</f>
        <v>578702.07642241917</v>
      </c>
      <c r="F6" s="22">
        <f t="shared" ref="F6:F33" si="2">IFERROR(E6/D6,"")</f>
        <v>10.53795025898498</v>
      </c>
    </row>
    <row r="7" spans="1:6" ht="14.25" customHeight="1" x14ac:dyDescent="0.2">
      <c r="A7" s="20">
        <v>3</v>
      </c>
      <c r="B7" s="202" t="s">
        <v>2</v>
      </c>
      <c r="C7" s="203"/>
      <c r="D7" s="15">
        <f t="shared" si="0"/>
        <v>1555728</v>
      </c>
      <c r="E7" s="18">
        <f t="shared" si="1"/>
        <v>7478207.701079784</v>
      </c>
      <c r="F7" s="22">
        <f t="shared" si="2"/>
        <v>4.8068863587206661</v>
      </c>
    </row>
    <row r="8" spans="1:6" ht="14.25" customHeight="1" x14ac:dyDescent="0.2">
      <c r="A8" s="20">
        <v>4</v>
      </c>
      <c r="B8" s="202" t="s">
        <v>3</v>
      </c>
      <c r="C8" s="203"/>
      <c r="D8" s="15">
        <f t="shared" si="0"/>
        <v>415706</v>
      </c>
      <c r="E8" s="18">
        <f t="shared" si="1"/>
        <v>2832670.3072921955</v>
      </c>
      <c r="F8" s="22">
        <f t="shared" si="2"/>
        <v>6.814119371123331</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11280</v>
      </c>
      <c r="E10" s="18">
        <f t="shared" si="1"/>
        <v>40410.066975833804</v>
      </c>
      <c r="F10" s="22">
        <f t="shared" si="2"/>
        <v>3.5824527460845572</v>
      </c>
    </row>
    <row r="11" spans="1:6" x14ac:dyDescent="0.2">
      <c r="A11" s="20">
        <v>7</v>
      </c>
      <c r="B11" s="202" t="s">
        <v>6</v>
      </c>
      <c r="C11" s="203"/>
      <c r="D11" s="15">
        <f t="shared" si="0"/>
        <v>129036</v>
      </c>
      <c r="E11" s="18">
        <f t="shared" si="1"/>
        <v>2079503.8640331286</v>
      </c>
      <c r="F11" s="22">
        <f t="shared" si="2"/>
        <v>16.115687591316597</v>
      </c>
    </row>
    <row r="12" spans="1:6" x14ac:dyDescent="0.2">
      <c r="A12" s="20">
        <v>8</v>
      </c>
      <c r="B12" s="202" t="s">
        <v>7</v>
      </c>
      <c r="C12" s="203"/>
      <c r="D12" s="15">
        <f t="shared" si="0"/>
        <v>4036</v>
      </c>
      <c r="E12" s="18">
        <f t="shared" si="1"/>
        <v>36069.07219099869</v>
      </c>
      <c r="F12" s="22">
        <f t="shared" si="2"/>
        <v>8.9368365190779713</v>
      </c>
    </row>
    <row r="13" spans="1:6" x14ac:dyDescent="0.2">
      <c r="A13" s="20">
        <v>9</v>
      </c>
      <c r="B13" s="202" t="s">
        <v>8</v>
      </c>
      <c r="C13" s="203"/>
      <c r="D13" s="15">
        <f t="shared" si="0"/>
        <v>111956</v>
      </c>
      <c r="E13" s="18">
        <f t="shared" si="1"/>
        <v>394187.49311581993</v>
      </c>
      <c r="F13" s="22">
        <f t="shared" si="2"/>
        <v>3.520914404907463</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21126</v>
      </c>
      <c r="E15" s="18">
        <f t="shared" si="1"/>
        <v>157761.08501165468</v>
      </c>
      <c r="F15" s="22">
        <f t="shared" si="2"/>
        <v>7.4676268584518928</v>
      </c>
    </row>
    <row r="16" spans="1:6" ht="14.25" customHeight="1" x14ac:dyDescent="0.2">
      <c r="A16" s="20">
        <v>12</v>
      </c>
      <c r="B16" s="202" t="s">
        <v>11</v>
      </c>
      <c r="C16" s="203"/>
      <c r="D16" s="15">
        <f t="shared" si="0"/>
        <v>850143</v>
      </c>
      <c r="E16" s="18">
        <f t="shared" si="1"/>
        <v>5674785.9637443507</v>
      </c>
      <c r="F16" s="22">
        <f t="shared" si="2"/>
        <v>6.6750957941715106</v>
      </c>
    </row>
    <row r="17" spans="1:6" x14ac:dyDescent="0.2">
      <c r="A17" s="20">
        <v>13</v>
      </c>
      <c r="B17" s="202" t="s">
        <v>12</v>
      </c>
      <c r="C17" s="203"/>
      <c r="D17" s="15">
        <f t="shared" si="0"/>
        <v>133584</v>
      </c>
      <c r="E17" s="18">
        <f t="shared" si="1"/>
        <v>937653.80167551269</v>
      </c>
      <c r="F17" s="22">
        <f t="shared" si="2"/>
        <v>7.0192074026493643</v>
      </c>
    </row>
    <row r="18" spans="1:6" ht="14.25" customHeight="1" x14ac:dyDescent="0.2">
      <c r="A18" s="20">
        <v>14</v>
      </c>
      <c r="B18" s="202" t="s">
        <v>449</v>
      </c>
      <c r="C18" s="203"/>
      <c r="D18" s="15">
        <f t="shared" si="0"/>
        <v>131700</v>
      </c>
      <c r="E18" s="18">
        <f t="shared" si="1"/>
        <v>1937979.867084868</v>
      </c>
      <c r="F18" s="22">
        <f t="shared" si="2"/>
        <v>14.715109089482674</v>
      </c>
    </row>
    <row r="19" spans="1:6" x14ac:dyDescent="0.2">
      <c r="A19" s="20">
        <v>15</v>
      </c>
      <c r="B19" s="202" t="s">
        <v>13</v>
      </c>
      <c r="C19" s="203"/>
      <c r="D19" s="15">
        <f t="shared" si="0"/>
        <v>19504</v>
      </c>
      <c r="E19" s="18">
        <f t="shared" si="1"/>
        <v>509067.96828871121</v>
      </c>
      <c r="F19" s="22">
        <f t="shared" si="2"/>
        <v>26.100695666976581</v>
      </c>
    </row>
    <row r="20" spans="1:6" x14ac:dyDescent="0.2">
      <c r="A20" s="20">
        <v>16</v>
      </c>
      <c r="B20" s="202" t="s">
        <v>14</v>
      </c>
      <c r="C20" s="203"/>
      <c r="D20" s="15">
        <f t="shared" si="0"/>
        <v>336183</v>
      </c>
      <c r="E20" s="18">
        <f t="shared" si="1"/>
        <v>3006427.699302902</v>
      </c>
      <c r="F20" s="22">
        <f t="shared" si="2"/>
        <v>8.9428308370824876</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67416</v>
      </c>
      <c r="E22" s="18">
        <f t="shared" si="1"/>
        <v>742476.45560663217</v>
      </c>
      <c r="F22" s="22">
        <f t="shared" si="2"/>
        <v>11.013356704738225</v>
      </c>
    </row>
    <row r="23" spans="1:6" x14ac:dyDescent="0.2">
      <c r="A23" s="20">
        <v>19</v>
      </c>
      <c r="B23" s="202" t="s">
        <v>17</v>
      </c>
      <c r="C23" s="203"/>
      <c r="D23" s="15">
        <f t="shared" si="0"/>
        <v>792472</v>
      </c>
      <c r="E23" s="18">
        <f t="shared" si="1"/>
        <v>4700997.0429497305</v>
      </c>
      <c r="F23" s="22">
        <f t="shared" si="2"/>
        <v>5.9320670546716228</v>
      </c>
    </row>
    <row r="24" spans="1:6" x14ac:dyDescent="0.2">
      <c r="A24" s="20">
        <v>20</v>
      </c>
      <c r="B24" s="202" t="s">
        <v>18</v>
      </c>
      <c r="C24" s="203"/>
      <c r="D24" s="15">
        <f t="shared" si="0"/>
        <v>54</v>
      </c>
      <c r="E24" s="18">
        <f t="shared" si="1"/>
        <v>482.46627807580012</v>
      </c>
      <c r="F24" s="22">
        <f t="shared" si="2"/>
        <v>8.9345607051074101</v>
      </c>
    </row>
    <row r="25" spans="1:6" ht="14.25" customHeight="1" x14ac:dyDescent="0.2">
      <c r="A25" s="20">
        <v>21</v>
      </c>
      <c r="B25" s="202" t="s">
        <v>446</v>
      </c>
      <c r="C25" s="203"/>
      <c r="D25" s="15">
        <f t="shared" si="0"/>
        <v>7400</v>
      </c>
      <c r="E25" s="18">
        <f t="shared" si="1"/>
        <v>66134.008477054085</v>
      </c>
      <c r="F25" s="22">
        <f t="shared" si="2"/>
        <v>8.9370281725748768</v>
      </c>
    </row>
    <row r="26" spans="1:6" x14ac:dyDescent="0.2">
      <c r="A26" s="20">
        <v>22</v>
      </c>
      <c r="B26" s="202" t="s">
        <v>19</v>
      </c>
      <c r="C26" s="203"/>
      <c r="D26" s="15">
        <f t="shared" si="0"/>
        <v>8400</v>
      </c>
      <c r="E26" s="18">
        <f t="shared" si="1"/>
        <v>75070.198811791124</v>
      </c>
      <c r="F26" s="22">
        <f t="shared" si="2"/>
        <v>8.9369284299751346</v>
      </c>
    </row>
    <row r="27" spans="1:6" x14ac:dyDescent="0.2">
      <c r="A27" s="20">
        <v>23</v>
      </c>
      <c r="B27" s="202" t="s">
        <v>20</v>
      </c>
      <c r="C27" s="203"/>
      <c r="D27" s="15">
        <f t="shared" si="0"/>
        <v>224576</v>
      </c>
      <c r="E27" s="18">
        <f t="shared" si="1"/>
        <v>1754917.6086139053</v>
      </c>
      <c r="F27" s="22">
        <f t="shared" si="2"/>
        <v>7.8143595424885355</v>
      </c>
    </row>
    <row r="28" spans="1:6" x14ac:dyDescent="0.2">
      <c r="A28" s="20">
        <v>24</v>
      </c>
      <c r="B28" s="202" t="s">
        <v>21</v>
      </c>
      <c r="C28" s="203"/>
      <c r="D28" s="15">
        <f t="shared" si="0"/>
        <v>146224</v>
      </c>
      <c r="E28" s="18">
        <f t="shared" si="1"/>
        <v>1444442.1675065889</v>
      </c>
      <c r="F28" s="22">
        <f t="shared" si="2"/>
        <v>9.8782837804094328</v>
      </c>
    </row>
    <row r="29" spans="1:6" x14ac:dyDescent="0.2">
      <c r="A29" s="20">
        <v>25</v>
      </c>
      <c r="B29" s="202" t="s">
        <v>22</v>
      </c>
      <c r="C29" s="203"/>
      <c r="D29" s="15">
        <f t="shared" si="0"/>
        <v>1858512</v>
      </c>
      <c r="E29" s="18">
        <f t="shared" si="1"/>
        <v>9292385.5073928032</v>
      </c>
      <c r="F29" s="22">
        <f t="shared" si="2"/>
        <v>4.9999061116596524</v>
      </c>
    </row>
    <row r="30" spans="1:6" x14ac:dyDescent="0.2">
      <c r="A30" s="20">
        <v>26</v>
      </c>
      <c r="B30" s="202" t="s">
        <v>23</v>
      </c>
      <c r="C30" s="203"/>
      <c r="D30" s="15">
        <f t="shared" si="0"/>
        <v>442272</v>
      </c>
      <c r="E30" s="18">
        <f t="shared" si="1"/>
        <v>2990157.5877248198</v>
      </c>
      <c r="F30" s="22">
        <f t="shared" si="2"/>
        <v>6.760901860675828</v>
      </c>
    </row>
    <row r="31" spans="1:6" x14ac:dyDescent="0.2">
      <c r="A31" s="20">
        <v>28</v>
      </c>
      <c r="B31" s="202" t="s">
        <v>24</v>
      </c>
      <c r="C31" s="203"/>
      <c r="D31" s="15">
        <f t="shared" si="0"/>
        <v>194208</v>
      </c>
      <c r="E31" s="18">
        <f t="shared" si="1"/>
        <v>1152055.2765286108</v>
      </c>
      <c r="F31" s="22">
        <f t="shared" si="2"/>
        <v>5.9320691038917595</v>
      </c>
    </row>
    <row r="32" spans="1:6" ht="15.75" customHeight="1" thickBot="1" x14ac:dyDescent="0.25">
      <c r="A32" s="23">
        <v>29</v>
      </c>
      <c r="B32" s="206" t="s">
        <v>25</v>
      </c>
      <c r="C32" s="207"/>
      <c r="D32" s="24">
        <f t="shared" si="0"/>
        <v>287360</v>
      </c>
      <c r="E32" s="25">
        <f t="shared" si="1"/>
        <v>1918155.7345900354</v>
      </c>
      <c r="F32" s="26">
        <f t="shared" si="2"/>
        <v>6.6750965151379296</v>
      </c>
    </row>
    <row r="33" spans="1:6" x14ac:dyDescent="0.2">
      <c r="B33" s="31" t="s">
        <v>35</v>
      </c>
      <c r="C33" s="31"/>
      <c r="D33" s="60">
        <f>SUM(D5:D32)</f>
        <v>7880096</v>
      </c>
      <c r="E33" s="32">
        <f>SUM(E5:E32)</f>
        <v>50415846.000000007</v>
      </c>
      <c r="F33" s="33">
        <f t="shared" si="2"/>
        <v>6.3978720563810398</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IF(F3="1",SUMIF(Data!A:A,'6'!$A$2,Data!CU:CU),0)</f>
        <v>76304</v>
      </c>
      <c r="E36" s="16">
        <f>IF(F3="1",SUMIF(Data!$A:$A,'6'!$A$2,Data!IO:IO),0)</f>
        <v>83474</v>
      </c>
      <c r="F36" s="21">
        <f t="shared" ref="F36:F64" si="3">IFERROR(E36/D36,"")</f>
        <v>1.0939662403019501</v>
      </c>
    </row>
    <row r="37" spans="1:6" x14ac:dyDescent="0.2">
      <c r="A37" s="20">
        <v>2</v>
      </c>
      <c r="B37" s="202" t="s">
        <v>1</v>
      </c>
      <c r="C37" s="203"/>
      <c r="D37" s="15">
        <f>IF(F3="1",SUMIF(Data!A:A,'6'!$A$2,Data!CV:CV),0)</f>
        <v>54916</v>
      </c>
      <c r="E37" s="18">
        <f>IF(F3="1",SUMIF(Data!$A:$A,'6'!$A$2,Data!IP:IP),0)</f>
        <v>383936</v>
      </c>
      <c r="F37" s="22">
        <f t="shared" si="3"/>
        <v>6.9913322164760725</v>
      </c>
    </row>
    <row r="38" spans="1:6" ht="14.25" customHeight="1" x14ac:dyDescent="0.2">
      <c r="A38" s="20">
        <v>3</v>
      </c>
      <c r="B38" s="202" t="s">
        <v>2</v>
      </c>
      <c r="C38" s="203"/>
      <c r="D38" s="15">
        <f>IF(F3="1",SUMIF(Data!A:A,'6'!$A$2,Data!CW:CW),0)</f>
        <v>1555728</v>
      </c>
      <c r="E38" s="18">
        <f>IF(F3="1",SUMIF(Data!$A:$A,'6'!$A$2,Data!IQ:IQ),0)</f>
        <v>727910</v>
      </c>
      <c r="F38" s="22">
        <f t="shared" si="3"/>
        <v>0.46789027387821008</v>
      </c>
    </row>
    <row r="39" spans="1:6" ht="14.25" customHeight="1" x14ac:dyDescent="0.2">
      <c r="A39" s="20">
        <v>4</v>
      </c>
      <c r="B39" s="202" t="s">
        <v>3</v>
      </c>
      <c r="C39" s="203"/>
      <c r="D39" s="15">
        <f>IF(F3="1",SUMIF(Data!A:A,'6'!$A$2,Data!CX:CX),0)</f>
        <v>415706</v>
      </c>
      <c r="E39" s="18">
        <f>IF(F3="1",SUMIF(Data!$A:$A,'6'!$A$2,Data!IR:IR),0)</f>
        <v>392363</v>
      </c>
      <c r="F39" s="22">
        <f t="shared" si="3"/>
        <v>0.94384733441422541</v>
      </c>
    </row>
    <row r="40" spans="1:6" x14ac:dyDescent="0.2">
      <c r="A40" s="20">
        <v>5</v>
      </c>
      <c r="B40" s="202" t="s">
        <v>4</v>
      </c>
      <c r="C40" s="203"/>
      <c r="D40" s="15">
        <f>IF(F3="1",SUMIF(Data!A:A,'6'!$A$2,Data!CY:CY),0)</f>
        <v>0</v>
      </c>
      <c r="E40" s="18">
        <f>IF(F3="1",SUMIF(Data!$A:$A,'6'!$A$2,Data!IS:IS),0)</f>
        <v>0</v>
      </c>
      <c r="F40" s="22" t="str">
        <f t="shared" si="3"/>
        <v/>
      </c>
    </row>
    <row r="41" spans="1:6" x14ac:dyDescent="0.2">
      <c r="A41" s="20">
        <v>6</v>
      </c>
      <c r="B41" s="202" t="s">
        <v>5</v>
      </c>
      <c r="C41" s="203"/>
      <c r="D41" s="15">
        <f>IF(F3="1",SUMIF(Data!A:A,'6'!$A$2,Data!CZ:CZ),0)</f>
        <v>11280</v>
      </c>
      <c r="E41" s="18">
        <f>IF(F3="1",SUMIF(Data!$A:$A,'6'!$A$2,Data!IT:IT),0)</f>
        <v>1726</v>
      </c>
      <c r="F41" s="22">
        <f t="shared" si="3"/>
        <v>0.15301418439716313</v>
      </c>
    </row>
    <row r="42" spans="1:6" x14ac:dyDescent="0.2">
      <c r="A42" s="20">
        <v>7</v>
      </c>
      <c r="B42" s="202" t="s">
        <v>6</v>
      </c>
      <c r="C42" s="203"/>
      <c r="D42" s="15">
        <f>IF(F3="1",SUMIF(Data!A:A,'6'!$A$2,Data!DA:DA),0)</f>
        <v>129036</v>
      </c>
      <c r="E42" s="18">
        <f>IF(F3="1",SUMIF(Data!$A:$A,'6'!$A$2,Data!IU:IU),0)</f>
        <v>1488559</v>
      </c>
      <c r="F42" s="22">
        <f t="shared" si="3"/>
        <v>11.535997706066524</v>
      </c>
    </row>
    <row r="43" spans="1:6" x14ac:dyDescent="0.2">
      <c r="A43" s="20">
        <v>8</v>
      </c>
      <c r="B43" s="202" t="s">
        <v>7</v>
      </c>
      <c r="C43" s="203"/>
      <c r="D43" s="15">
        <f>IF(F3="1",SUMIF(Data!A:A,'6'!$A$2,Data!DB:DB),0)</f>
        <v>4036</v>
      </c>
      <c r="E43" s="18">
        <f>IF(F3="1",SUMIF(Data!$A:$A,'6'!$A$2,Data!IV:IV),0)</f>
        <v>25483</v>
      </c>
      <c r="F43" s="22">
        <f t="shared" si="3"/>
        <v>6.3139246778989095</v>
      </c>
    </row>
    <row r="44" spans="1:6" x14ac:dyDescent="0.2">
      <c r="A44" s="20">
        <v>9</v>
      </c>
      <c r="B44" s="202" t="s">
        <v>8</v>
      </c>
      <c r="C44" s="203"/>
      <c r="D44" s="15">
        <f>IF(F3="1",SUMIF(Data!A:A,'6'!$A$2,Data!DC:DC),0)</f>
        <v>111956</v>
      </c>
      <c r="E44" s="18">
        <f>IF(F3="1",SUMIF(Data!$A:$A,'6'!$A$2,Data!IW:IW),0)</f>
        <v>31107</v>
      </c>
      <c r="F44" s="22">
        <f t="shared" si="3"/>
        <v>0.27785022687484368</v>
      </c>
    </row>
    <row r="45" spans="1:6" x14ac:dyDescent="0.2">
      <c r="A45" s="20">
        <v>10</v>
      </c>
      <c r="B45" s="202" t="s">
        <v>9</v>
      </c>
      <c r="C45" s="203"/>
      <c r="D45" s="15">
        <f>IF(F3="1",SUMIF(Data!A:A,'6'!$A$2,Data!DD:DD),0)</f>
        <v>0</v>
      </c>
      <c r="E45" s="18">
        <f>IF(F3="1",SUMIF(Data!$A:$A,'6'!$A$2,Data!IX:IX),0)</f>
        <v>0</v>
      </c>
      <c r="F45" s="22" t="str">
        <f t="shared" si="3"/>
        <v/>
      </c>
    </row>
    <row r="46" spans="1:6" x14ac:dyDescent="0.2">
      <c r="A46" s="20">
        <v>11</v>
      </c>
      <c r="B46" s="202" t="s">
        <v>10</v>
      </c>
      <c r="C46" s="203"/>
      <c r="D46" s="15">
        <f>IF(F3="1",SUMIF(Data!A:A,'6'!$A$2,Data!DE:DE),0)</f>
        <v>21126</v>
      </c>
      <c r="E46" s="18">
        <f>IF(F3="1",SUMIF(Data!$A:$A,'6'!$A$2,Data!IY:IY),0)</f>
        <v>41233</v>
      </c>
      <c r="F46" s="22">
        <f t="shared" si="3"/>
        <v>1.9517655968948215</v>
      </c>
    </row>
    <row r="47" spans="1:6" ht="14.25" customHeight="1" x14ac:dyDescent="0.2">
      <c r="A47" s="20">
        <v>12</v>
      </c>
      <c r="B47" s="202" t="s">
        <v>11</v>
      </c>
      <c r="C47" s="203"/>
      <c r="D47" s="15">
        <f>IF(F3="1",SUMIF(Data!A:A,'6'!$A$2,Data!DF:DF),0)</f>
        <v>850143</v>
      </c>
      <c r="E47" s="18">
        <f>IF(F3="1",SUMIF(Data!$A:$A,'6'!$A$2,Data!IZ:IZ),0)</f>
        <v>860191</v>
      </c>
      <c r="F47" s="22">
        <f t="shared" si="3"/>
        <v>1.0118191880660077</v>
      </c>
    </row>
    <row r="48" spans="1:6" x14ac:dyDescent="0.2">
      <c r="A48" s="20">
        <v>13</v>
      </c>
      <c r="B48" s="202" t="s">
        <v>12</v>
      </c>
      <c r="C48" s="203"/>
      <c r="D48" s="15">
        <f>IF(F3="1",SUMIF(Data!A:A,'6'!$A$2,Data!DG:DG),0)</f>
        <v>133584</v>
      </c>
      <c r="E48" s="18">
        <f>IF(F3="1",SUMIF(Data!$A:$A,'6'!$A$2,Data!JA:JA),0)</f>
        <v>77321</v>
      </c>
      <c r="F48" s="22">
        <f t="shared" si="3"/>
        <v>0.57881931967900346</v>
      </c>
    </row>
    <row r="49" spans="1:6" ht="14.25" customHeight="1" x14ac:dyDescent="0.2">
      <c r="A49" s="20">
        <v>14</v>
      </c>
      <c r="B49" s="202" t="s">
        <v>449</v>
      </c>
      <c r="C49" s="203"/>
      <c r="D49" s="15">
        <f>IF(F3="1",SUMIF(Data!A:A,'6'!$A$2,Data!DH:DH),0)</f>
        <v>131700</v>
      </c>
      <c r="E49" s="18">
        <f>IF(F3="1",SUMIF(Data!$A:$A,'6'!$A$2,Data!JB:JB),0)</f>
        <v>449647</v>
      </c>
      <c r="F49" s="22">
        <f t="shared" si="3"/>
        <v>3.4141761579346999</v>
      </c>
    </row>
    <row r="50" spans="1:6" x14ac:dyDescent="0.2">
      <c r="A50" s="20">
        <v>15</v>
      </c>
      <c r="B50" s="202" t="s">
        <v>13</v>
      </c>
      <c r="C50" s="203"/>
      <c r="D50" s="15">
        <f>IF(F3="1",SUMIF(Data!A:A,'6'!$A$2,Data!DI:DI),0)</f>
        <v>19504</v>
      </c>
      <c r="E50" s="18">
        <f>IF(F3="1",SUMIF(Data!$A:$A,'6'!$A$2,Data!JC:JC),0)</f>
        <v>159773</v>
      </c>
      <c r="F50" s="22">
        <f t="shared" si="3"/>
        <v>8.1918068088597202</v>
      </c>
    </row>
    <row r="51" spans="1:6" x14ac:dyDescent="0.2">
      <c r="A51" s="20">
        <v>16</v>
      </c>
      <c r="B51" s="202" t="s">
        <v>14</v>
      </c>
      <c r="C51" s="203"/>
      <c r="D51" s="15">
        <f>IF(F3="1",SUMIF(Data!A:A,'6'!$A$2,Data!DJ:DJ),0)</f>
        <v>336183</v>
      </c>
      <c r="E51" s="18">
        <f>IF(F3="1",SUMIF(Data!$A:$A,'6'!$A$2,Data!JD:JD),0)</f>
        <v>1162936</v>
      </c>
      <c r="F51" s="22">
        <f t="shared" si="3"/>
        <v>3.4592349999851271</v>
      </c>
    </row>
    <row r="52" spans="1:6" x14ac:dyDescent="0.2">
      <c r="A52" s="20">
        <v>17</v>
      </c>
      <c r="B52" s="202" t="s">
        <v>15</v>
      </c>
      <c r="C52" s="203"/>
      <c r="D52" s="15">
        <f>IF(F3="1",SUMIF(Data!A:A,'6'!$A$2,Data!DK:DK),0)</f>
        <v>0</v>
      </c>
      <c r="E52" s="18">
        <f>IF(F3="1",SUMIF(Data!$A:$A,'6'!$A$2,Data!JE:JE),0)</f>
        <v>0</v>
      </c>
      <c r="F52" s="22" t="str">
        <f t="shared" si="3"/>
        <v/>
      </c>
    </row>
    <row r="53" spans="1:6" x14ac:dyDescent="0.2">
      <c r="A53" s="20">
        <v>18</v>
      </c>
      <c r="B53" s="202" t="s">
        <v>16</v>
      </c>
      <c r="C53" s="203"/>
      <c r="D53" s="15">
        <f>IF(F3="1",SUMIF(Data!A:A,'6'!$A$2,Data!DL:DL),0)</f>
        <v>67416</v>
      </c>
      <c r="E53" s="18">
        <f>IF(F3="1",SUMIF(Data!$A:$A,'6'!$A$2,Data!JF:JF),0)</f>
        <v>192810</v>
      </c>
      <c r="F53" s="22">
        <f t="shared" si="3"/>
        <v>2.8600035599857598</v>
      </c>
    </row>
    <row r="54" spans="1:6" x14ac:dyDescent="0.2">
      <c r="A54" s="20">
        <v>19</v>
      </c>
      <c r="B54" s="202" t="s">
        <v>17</v>
      </c>
      <c r="C54" s="203"/>
      <c r="D54" s="15">
        <f>IF(F3="1",SUMIF(Data!A:A,'6'!$A$2,Data!DM:DM),0)</f>
        <v>792472</v>
      </c>
      <c r="E54" s="18">
        <f>IF(F3="1",SUMIF(Data!$A:$A,'6'!$A$2,Data!JG:JG),0)</f>
        <v>336276</v>
      </c>
      <c r="F54" s="22">
        <f t="shared" si="3"/>
        <v>0.42433802077549743</v>
      </c>
    </row>
    <row r="55" spans="1:6" x14ac:dyDescent="0.2">
      <c r="A55" s="20">
        <v>20</v>
      </c>
      <c r="B55" s="202" t="s">
        <v>18</v>
      </c>
      <c r="C55" s="203"/>
      <c r="D55" s="15">
        <f>IF(F3="1",SUMIF(Data!A:A,'6'!$A$2,Data!DN:DN),0)</f>
        <v>54</v>
      </c>
      <c r="E55" s="18">
        <f>IF(F3="1",SUMIF(Data!$A:$A,'6'!$A$2,Data!JH:JH),0)</f>
        <v>341</v>
      </c>
      <c r="F55" s="22">
        <f t="shared" si="3"/>
        <v>6.3148148148148149</v>
      </c>
    </row>
    <row r="56" spans="1:6" ht="14.25" customHeight="1" x14ac:dyDescent="0.2">
      <c r="A56" s="20">
        <v>21</v>
      </c>
      <c r="B56" s="202" t="s">
        <v>446</v>
      </c>
      <c r="C56" s="203"/>
      <c r="D56" s="15">
        <f>IF(F3="1",SUMIF(Data!A:A,'6'!$A$2,Data!DO:DO),0)</f>
        <v>7400</v>
      </c>
      <c r="E56" s="18">
        <f>IF(F3="1",SUMIF(Data!$A:$A,'6'!$A$2,Data!JI:JI),0)</f>
        <v>46724</v>
      </c>
      <c r="F56" s="22">
        <f t="shared" si="3"/>
        <v>6.3140540540540542</v>
      </c>
    </row>
    <row r="57" spans="1:6" x14ac:dyDescent="0.2">
      <c r="A57" s="20">
        <v>22</v>
      </c>
      <c r="B57" s="202" t="s">
        <v>19</v>
      </c>
      <c r="C57" s="203"/>
      <c r="D57" s="15">
        <f>IF(F3="1",SUMIF(Data!A:A,'6'!$A$2,Data!DP:DP),0)</f>
        <v>8400</v>
      </c>
      <c r="E57" s="18">
        <f>IF(F3="1",SUMIF(Data!$A:$A,'6'!$A$2,Data!JJ:JJ),0)</f>
        <v>53037</v>
      </c>
      <c r="F57" s="22">
        <f t="shared" si="3"/>
        <v>6.3139285714285718</v>
      </c>
    </row>
    <row r="58" spans="1:6" x14ac:dyDescent="0.2">
      <c r="A58" s="20">
        <v>23</v>
      </c>
      <c r="B58" s="202" t="s">
        <v>20</v>
      </c>
      <c r="C58" s="203"/>
      <c r="D58" s="15">
        <f>IF(F3="1",SUMIF(Data!A:A,'6'!$A$2,Data!DQ:DQ),0)</f>
        <v>224576</v>
      </c>
      <c r="E58" s="18">
        <f>IF(F3="1",SUMIF(Data!$A:$A,'6'!$A$2,Data!JK:JK),0)</f>
        <v>228372</v>
      </c>
      <c r="F58" s="22">
        <f t="shared" si="3"/>
        <v>1.0169029638073526</v>
      </c>
    </row>
    <row r="59" spans="1:6" x14ac:dyDescent="0.2">
      <c r="A59" s="20">
        <v>24</v>
      </c>
      <c r="B59" s="202" t="s">
        <v>21</v>
      </c>
      <c r="C59" s="203"/>
      <c r="D59" s="15">
        <f>IF(F3="1",SUMIF(Data!A:A,'6'!$A$2,Data!DR:DR),0)</f>
        <v>146224</v>
      </c>
      <c r="E59" s="18">
        <f>IF(F3="1",SUMIF(Data!$A:$A,'6'!$A$2,Data!JL:JL),0)</f>
        <v>826306</v>
      </c>
      <c r="F59" s="22">
        <f t="shared" si="3"/>
        <v>5.6509601706970125</v>
      </c>
    </row>
    <row r="60" spans="1:6" x14ac:dyDescent="0.2">
      <c r="A60" s="20">
        <v>25</v>
      </c>
      <c r="B60" s="202" t="s">
        <v>22</v>
      </c>
      <c r="C60" s="203"/>
      <c r="D60" s="15">
        <f>IF(F3="1",SUMIF(Data!A:A,'6'!$A$2,Data!DS:DS),0)</f>
        <v>1858512</v>
      </c>
      <c r="E60" s="18">
        <f>IF(F3="1",SUMIF(Data!$A:$A,'6'!$A$2,Data!JM:JM),0)</f>
        <v>569274</v>
      </c>
      <c r="F60" s="22">
        <f t="shared" si="3"/>
        <v>0.30630633539089336</v>
      </c>
    </row>
    <row r="61" spans="1:6" x14ac:dyDescent="0.2">
      <c r="A61" s="20">
        <v>26</v>
      </c>
      <c r="B61" s="202" t="s">
        <v>23</v>
      </c>
      <c r="C61" s="203"/>
      <c r="D61" s="15">
        <f>IF(F3="1",SUMIF(Data!A:A,'6'!$A$2,Data!DT:DT),0)</f>
        <v>442272</v>
      </c>
      <c r="E61" s="18">
        <f>IF(F3="1",SUMIF(Data!$A:$A,'6'!$A$2,Data!JN:JN),0)</f>
        <v>461622</v>
      </c>
      <c r="F61" s="22">
        <f t="shared" si="3"/>
        <v>1.0437513566312133</v>
      </c>
    </row>
    <row r="62" spans="1:6" x14ac:dyDescent="0.2">
      <c r="A62" s="20">
        <v>28</v>
      </c>
      <c r="B62" s="202" t="s">
        <v>24</v>
      </c>
      <c r="C62" s="203"/>
      <c r="D62" s="15">
        <f>IF(F3="1",SUMIF(Data!A:A,'6'!$A$2,Data!DV:DV),0)</f>
        <v>194208</v>
      </c>
      <c r="E62" s="18">
        <f>IF(F3="1",SUMIF(Data!$A:$A,'6'!$A$2,Data!JP:JP),0)</f>
        <v>82410</v>
      </c>
      <c r="F62" s="22">
        <f t="shared" si="3"/>
        <v>0.42433885318833414</v>
      </c>
    </row>
    <row r="63" spans="1:6" ht="15.75" customHeight="1" thickBot="1" x14ac:dyDescent="0.25">
      <c r="A63" s="23">
        <v>29</v>
      </c>
      <c r="B63" s="206" t="s">
        <v>25</v>
      </c>
      <c r="C63" s="207"/>
      <c r="D63" s="24">
        <f>IF(F3="1",SUMIF(Data!A:A,'6'!$A$2,Data!DW:DW),0)</f>
        <v>287360</v>
      </c>
      <c r="E63" s="25">
        <f>IF(F3="1",SUMIF(Data!$A:$A,'6'!$A$2,Data!JQ:JQ),0)</f>
        <v>290757</v>
      </c>
      <c r="F63" s="26">
        <f t="shared" si="3"/>
        <v>1.0118214086859689</v>
      </c>
    </row>
    <row r="64" spans="1:6" x14ac:dyDescent="0.2">
      <c r="B64" s="31" t="s">
        <v>35</v>
      </c>
      <c r="C64" s="31"/>
      <c r="D64" s="60">
        <f>SUM(D36:D63)</f>
        <v>7880096</v>
      </c>
      <c r="E64" s="32">
        <f>SUM(E36:E63)</f>
        <v>8973588</v>
      </c>
      <c r="F64" s="33">
        <f t="shared" si="3"/>
        <v>1.1387663297502975</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76304</v>
      </c>
      <c r="E67" s="16">
        <f>IF(F3="1",SUMIF(Data!A:A,'6'!$A$2,Data!DY:DY),0)</f>
        <v>374165</v>
      </c>
      <c r="F67" s="21">
        <f>IFERROR(E67/D67,"")</f>
        <v>4.9036092472216399</v>
      </c>
    </row>
    <row r="68" spans="1:6" x14ac:dyDescent="0.2">
      <c r="A68" s="20">
        <v>2</v>
      </c>
      <c r="B68" s="202" t="s">
        <v>1</v>
      </c>
      <c r="C68" s="203"/>
      <c r="D68" s="15">
        <f t="shared" ref="D68:D94" si="4">D37</f>
        <v>54916</v>
      </c>
      <c r="E68" s="18">
        <f>IF(F3="1",SUMIF(Data!A:A,'6'!$A$2,Data!DZ:DZ),0)</f>
        <v>81409</v>
      </c>
      <c r="F68" s="22">
        <f t="shared" ref="F68:F95" si="5">IFERROR(E68/D68,"")</f>
        <v>1.4824277077718697</v>
      </c>
    </row>
    <row r="69" spans="1:6" ht="14.25" customHeight="1" x14ac:dyDescent="0.2">
      <c r="A69" s="20">
        <v>3</v>
      </c>
      <c r="B69" s="202" t="s">
        <v>2</v>
      </c>
      <c r="C69" s="203"/>
      <c r="D69" s="15">
        <f t="shared" si="4"/>
        <v>1555728</v>
      </c>
      <c r="E69" s="18">
        <f>IF(F3="1",SUMIF(Data!A:A,'6'!$A$2,Data!EA:EA),0)</f>
        <v>3538979</v>
      </c>
      <c r="F69" s="22">
        <f t="shared" si="5"/>
        <v>2.2748057501054171</v>
      </c>
    </row>
    <row r="70" spans="1:6" ht="14.25" customHeight="1" x14ac:dyDescent="0.2">
      <c r="A70" s="20">
        <v>4</v>
      </c>
      <c r="B70" s="202" t="s">
        <v>3</v>
      </c>
      <c r="C70" s="203"/>
      <c r="D70" s="15">
        <f t="shared" si="4"/>
        <v>415706</v>
      </c>
      <c r="E70" s="18">
        <f>IF(F3="1",SUMIF(Data!A:A,'6'!$A$2,Data!EB:EB),0)</f>
        <v>1582211</v>
      </c>
      <c r="F70" s="22">
        <f t="shared" si="5"/>
        <v>3.806081701972067</v>
      </c>
    </row>
    <row r="71" spans="1:6" x14ac:dyDescent="0.2">
      <c r="A71" s="20">
        <v>5</v>
      </c>
      <c r="B71" s="202" t="s">
        <v>4</v>
      </c>
      <c r="C71" s="203"/>
      <c r="D71" s="15">
        <f t="shared" si="4"/>
        <v>0</v>
      </c>
      <c r="E71" s="18">
        <f>IF(F3="1",SUMIF(Data!A:A,'6'!$A$2,Data!EC:EC),0)</f>
        <v>0</v>
      </c>
      <c r="F71" s="22" t="str">
        <f t="shared" si="5"/>
        <v/>
      </c>
    </row>
    <row r="72" spans="1:6" x14ac:dyDescent="0.2">
      <c r="A72" s="20">
        <v>6</v>
      </c>
      <c r="B72" s="202" t="s">
        <v>5</v>
      </c>
      <c r="C72" s="203"/>
      <c r="D72" s="15">
        <f t="shared" si="4"/>
        <v>11280</v>
      </c>
      <c r="E72" s="18">
        <f>IF(F3="1",SUMIF(Data!A:A,'6'!$A$2,Data!ED:ED),0)</f>
        <v>15400</v>
      </c>
      <c r="F72" s="22">
        <f t="shared" si="5"/>
        <v>1.3652482269503545</v>
      </c>
    </row>
    <row r="73" spans="1:6" x14ac:dyDescent="0.2">
      <c r="A73" s="20">
        <v>7</v>
      </c>
      <c r="B73" s="202" t="s">
        <v>6</v>
      </c>
      <c r="C73" s="203"/>
      <c r="D73" s="15">
        <f t="shared" si="4"/>
        <v>129036</v>
      </c>
      <c r="E73" s="18">
        <f>IF(F3="1",SUMIF(Data!A:A,'6'!$A$2,Data!EE:EE),0)</f>
        <v>324590</v>
      </c>
      <c r="F73" s="22">
        <f t="shared" si="5"/>
        <v>2.5154995505130353</v>
      </c>
    </row>
    <row r="74" spans="1:6" x14ac:dyDescent="0.2">
      <c r="A74" s="20">
        <v>8</v>
      </c>
      <c r="B74" s="202" t="s">
        <v>7</v>
      </c>
      <c r="C74" s="203"/>
      <c r="D74" s="15">
        <f t="shared" si="4"/>
        <v>4036</v>
      </c>
      <c r="E74" s="18">
        <f>IF(F3="1",SUMIF(Data!A:A,'6'!$A$2,Data!EF:EF),0)</f>
        <v>2255</v>
      </c>
      <c r="F74" s="22">
        <f t="shared" si="5"/>
        <v>0.55872150644202179</v>
      </c>
    </row>
    <row r="75" spans="1:6" x14ac:dyDescent="0.2">
      <c r="A75" s="20">
        <v>9</v>
      </c>
      <c r="B75" s="202" t="s">
        <v>8</v>
      </c>
      <c r="C75" s="203"/>
      <c r="D75" s="15">
        <f t="shared" si="4"/>
        <v>111956</v>
      </c>
      <c r="E75" s="18">
        <f>IF(F3="1",SUMIF(Data!A:A,'6'!$A$2,Data!EG:EG),0)</f>
        <v>131982</v>
      </c>
      <c r="F75" s="22">
        <f t="shared" si="5"/>
        <v>1.1788738432955803</v>
      </c>
    </row>
    <row r="76" spans="1:6" x14ac:dyDescent="0.2">
      <c r="A76" s="20">
        <v>10</v>
      </c>
      <c r="B76" s="202" t="s">
        <v>9</v>
      </c>
      <c r="C76" s="203"/>
      <c r="D76" s="15">
        <f t="shared" si="4"/>
        <v>0</v>
      </c>
      <c r="E76" s="18">
        <f>IF(F3="1",SUMIF(Data!A:A,'6'!$A$2,Data!EH:EH),0)</f>
        <v>0</v>
      </c>
      <c r="F76" s="22" t="str">
        <f t="shared" si="5"/>
        <v/>
      </c>
    </row>
    <row r="77" spans="1:6" x14ac:dyDescent="0.2">
      <c r="A77" s="20">
        <v>11</v>
      </c>
      <c r="B77" s="202" t="s">
        <v>10</v>
      </c>
      <c r="C77" s="203"/>
      <c r="D77" s="15">
        <f t="shared" si="4"/>
        <v>21126</v>
      </c>
      <c r="E77" s="18">
        <f>IF(F3="1",SUMIF(Data!A:A,'6'!$A$2,Data!EI:EI),0)</f>
        <v>72920</v>
      </c>
      <c r="F77" s="22">
        <f t="shared" si="5"/>
        <v>3.4516709268200323</v>
      </c>
    </row>
    <row r="78" spans="1:6" ht="14.25" customHeight="1" x14ac:dyDescent="0.2">
      <c r="A78" s="20">
        <v>12</v>
      </c>
      <c r="B78" s="202" t="s">
        <v>11</v>
      </c>
      <c r="C78" s="203"/>
      <c r="D78" s="15">
        <f t="shared" si="4"/>
        <v>850143</v>
      </c>
      <c r="E78" s="18">
        <f>IF(F3="1",SUMIF(Data!A:A,'6'!$A$2,Data!EJ:EJ),0)</f>
        <v>3059738</v>
      </c>
      <c r="F78" s="22">
        <f t="shared" si="5"/>
        <v>3.5990862713684639</v>
      </c>
    </row>
    <row r="79" spans="1:6" x14ac:dyDescent="0.2">
      <c r="A79" s="20">
        <v>13</v>
      </c>
      <c r="B79" s="202" t="s">
        <v>12</v>
      </c>
      <c r="C79" s="203"/>
      <c r="D79" s="15">
        <f t="shared" si="4"/>
        <v>133584</v>
      </c>
      <c r="E79" s="18">
        <f>IF(F3="1",SUMIF(Data!A:A,'6'!$A$2,Data!EK:EK),0)</f>
        <v>584590</v>
      </c>
      <c r="F79" s="22">
        <f t="shared" si="5"/>
        <v>4.376197748233321</v>
      </c>
    </row>
    <row r="80" spans="1:6" ht="14.25" customHeight="1" x14ac:dyDescent="0.2">
      <c r="A80" s="20">
        <v>14</v>
      </c>
      <c r="B80" s="202" t="s">
        <v>449</v>
      </c>
      <c r="C80" s="203"/>
      <c r="D80" s="15">
        <f t="shared" si="4"/>
        <v>131700</v>
      </c>
      <c r="E80" s="18">
        <f>IF(F3="1",SUMIF(Data!A:A,'6'!$A$2,Data!EL:EL),0)</f>
        <v>1216479</v>
      </c>
      <c r="F80" s="22">
        <f t="shared" si="5"/>
        <v>9.2367425968109345</v>
      </c>
    </row>
    <row r="81" spans="1:6" x14ac:dyDescent="0.2">
      <c r="A81" s="20">
        <v>15</v>
      </c>
      <c r="B81" s="202" t="s">
        <v>13</v>
      </c>
      <c r="C81" s="203"/>
      <c r="D81" s="15">
        <f t="shared" si="4"/>
        <v>19504</v>
      </c>
      <c r="E81" s="18">
        <f>IF(F3="1",SUMIF(Data!A:A,'6'!$A$2,Data!EM:EM),0)</f>
        <v>309035</v>
      </c>
      <c r="F81" s="22">
        <f t="shared" si="5"/>
        <v>15.844698523379819</v>
      </c>
    </row>
    <row r="82" spans="1:6" x14ac:dyDescent="0.2">
      <c r="A82" s="20">
        <v>16</v>
      </c>
      <c r="B82" s="202" t="s">
        <v>14</v>
      </c>
      <c r="C82" s="203"/>
      <c r="D82" s="15">
        <f t="shared" si="4"/>
        <v>336183</v>
      </c>
      <c r="E82" s="18">
        <f>IF(F3="1",SUMIF(Data!A:A,'6'!$A$2,Data!EN:EN),0)</f>
        <v>1149546</v>
      </c>
      <c r="F82" s="22">
        <f t="shared" si="5"/>
        <v>3.4194055023603216</v>
      </c>
    </row>
    <row r="83" spans="1:6" x14ac:dyDescent="0.2">
      <c r="A83" s="20">
        <v>17</v>
      </c>
      <c r="B83" s="202" t="s">
        <v>15</v>
      </c>
      <c r="C83" s="203"/>
      <c r="D83" s="15">
        <f t="shared" si="4"/>
        <v>0</v>
      </c>
      <c r="E83" s="18">
        <f>IF(F3="1",SUMIF(Data!A:A,'6'!$A$2,Data!EO:EO),0)</f>
        <v>0</v>
      </c>
      <c r="F83" s="22" t="str">
        <f t="shared" si="5"/>
        <v/>
      </c>
    </row>
    <row r="84" spans="1:6" x14ac:dyDescent="0.2">
      <c r="A84" s="20">
        <v>18</v>
      </c>
      <c r="B84" s="202" t="s">
        <v>16</v>
      </c>
      <c r="C84" s="203"/>
      <c r="D84" s="15">
        <f t="shared" si="4"/>
        <v>67416</v>
      </c>
      <c r="E84" s="18">
        <f>IF(F3="1",SUMIF(Data!A:A,'6'!$A$2,Data!EP:EP),0)</f>
        <v>410507</v>
      </c>
      <c r="F84" s="22">
        <f t="shared" si="5"/>
        <v>6.0891628100154263</v>
      </c>
    </row>
    <row r="85" spans="1:6" x14ac:dyDescent="0.2">
      <c r="A85" s="20">
        <v>19</v>
      </c>
      <c r="B85" s="202" t="s">
        <v>17</v>
      </c>
      <c r="C85" s="203"/>
      <c r="D85" s="15">
        <f t="shared" si="4"/>
        <v>792472</v>
      </c>
      <c r="E85" s="18">
        <f>IF(F3="1",SUMIF(Data!A:A,'6'!$A$2,Data!EQ:EQ),0)</f>
        <v>2728908</v>
      </c>
      <c r="F85" s="22">
        <f t="shared" si="5"/>
        <v>3.4435386991590868</v>
      </c>
    </row>
    <row r="86" spans="1:6" x14ac:dyDescent="0.2">
      <c r="A86" s="20">
        <v>20</v>
      </c>
      <c r="B86" s="202" t="s">
        <v>18</v>
      </c>
      <c r="C86" s="203"/>
      <c r="D86" s="15">
        <f t="shared" si="4"/>
        <v>54</v>
      </c>
      <c r="E86" s="18">
        <f>IF(F3="1",SUMIF(Data!A:A,'6'!$A$2,Data!ER:ER),0)</f>
        <v>30</v>
      </c>
      <c r="F86" s="22">
        <f t="shared" si="5"/>
        <v>0.55555555555555558</v>
      </c>
    </row>
    <row r="87" spans="1:6" ht="14.25" customHeight="1" x14ac:dyDescent="0.2">
      <c r="A87" s="20">
        <v>21</v>
      </c>
      <c r="B87" s="202" t="s">
        <v>446</v>
      </c>
      <c r="C87" s="203"/>
      <c r="D87" s="15">
        <f t="shared" si="4"/>
        <v>7400</v>
      </c>
      <c r="E87" s="18">
        <f>IF(F3="1",SUMIF(Data!A:A,'6'!$A$2,Data!ES:ES),0)</f>
        <v>4135</v>
      </c>
      <c r="F87" s="22">
        <f t="shared" si="5"/>
        <v>0.55878378378378379</v>
      </c>
    </row>
    <row r="88" spans="1:6" x14ac:dyDescent="0.2">
      <c r="A88" s="20">
        <v>22</v>
      </c>
      <c r="B88" s="202" t="s">
        <v>19</v>
      </c>
      <c r="C88" s="203"/>
      <c r="D88" s="15">
        <f t="shared" si="4"/>
        <v>8400</v>
      </c>
      <c r="E88" s="18">
        <f>IF(F3="1",SUMIF(Data!A:A,'6'!$A$2,Data!ET:ET),0)</f>
        <v>4694</v>
      </c>
      <c r="F88" s="22">
        <f t="shared" si="5"/>
        <v>0.55880952380952376</v>
      </c>
    </row>
    <row r="89" spans="1:6" x14ac:dyDescent="0.2">
      <c r="A89" s="20">
        <v>23</v>
      </c>
      <c r="B89" s="202" t="s">
        <v>20</v>
      </c>
      <c r="C89" s="203"/>
      <c r="D89" s="15">
        <f t="shared" si="4"/>
        <v>224576</v>
      </c>
      <c r="E89" s="18">
        <f>IF(F3="1",SUMIF(Data!A:A,'6'!$A$2,Data!EU:EU),0)</f>
        <v>1062978</v>
      </c>
      <c r="F89" s="22">
        <f t="shared" si="5"/>
        <v>4.7332662439441435</v>
      </c>
    </row>
    <row r="90" spans="1:6" x14ac:dyDescent="0.2">
      <c r="A90" s="20">
        <v>24</v>
      </c>
      <c r="B90" s="202" t="s">
        <v>21</v>
      </c>
      <c r="C90" s="203"/>
      <c r="D90" s="15">
        <f t="shared" si="4"/>
        <v>146224</v>
      </c>
      <c r="E90" s="18">
        <f>IF(F3="1",SUMIF(Data!A:A,'6'!$A$2,Data!EV:EV),0)</f>
        <v>316302</v>
      </c>
      <c r="F90" s="22">
        <f t="shared" si="5"/>
        <v>2.1631332749753804</v>
      </c>
    </row>
    <row r="91" spans="1:6" x14ac:dyDescent="0.2">
      <c r="A91" s="20">
        <v>25</v>
      </c>
      <c r="B91" s="202" t="s">
        <v>22</v>
      </c>
      <c r="C91" s="203"/>
      <c r="D91" s="15">
        <f t="shared" si="4"/>
        <v>1858512</v>
      </c>
      <c r="E91" s="18">
        <f>IF(F3="1",SUMIF(Data!A:A,'6'!$A$2,Data!EW:EW),0)</f>
        <v>4886789</v>
      </c>
      <c r="F91" s="22">
        <f t="shared" si="5"/>
        <v>2.62940944153172</v>
      </c>
    </row>
    <row r="92" spans="1:6" x14ac:dyDescent="0.2">
      <c r="A92" s="20">
        <v>26</v>
      </c>
      <c r="B92" s="202" t="s">
        <v>23</v>
      </c>
      <c r="C92" s="203"/>
      <c r="D92" s="15">
        <f t="shared" si="4"/>
        <v>442272</v>
      </c>
      <c r="E92" s="18">
        <f>IF(F3="1",SUMIF(Data!A:A,'6'!$A$2,Data!EX:EX),0)</f>
        <v>1615602</v>
      </c>
      <c r="F92" s="22">
        <f t="shared" si="5"/>
        <v>3.6529601693075753</v>
      </c>
    </row>
    <row r="93" spans="1:6" x14ac:dyDescent="0.2">
      <c r="A93" s="20">
        <v>28</v>
      </c>
      <c r="B93" s="202" t="s">
        <v>24</v>
      </c>
      <c r="C93" s="203"/>
      <c r="D93" s="15">
        <f t="shared" si="4"/>
        <v>194208</v>
      </c>
      <c r="E93" s="18">
        <f>IF(F3="1",SUMIF(Data!A:A,'6'!$A$2,Data!EZ:EZ),0)</f>
        <v>668763</v>
      </c>
      <c r="F93" s="22">
        <f t="shared" si="5"/>
        <v>3.4435399159663866</v>
      </c>
    </row>
    <row r="94" spans="1:6" ht="15.75" customHeight="1" thickBot="1" x14ac:dyDescent="0.25">
      <c r="A94" s="23">
        <v>29</v>
      </c>
      <c r="B94" s="206" t="s">
        <v>25</v>
      </c>
      <c r="C94" s="207"/>
      <c r="D94" s="24">
        <f t="shared" si="4"/>
        <v>287360</v>
      </c>
      <c r="E94" s="25">
        <f>IF(F3="1",SUMIF(Data!A:A,'6'!$A$2,Data!FA:FA),0)</f>
        <v>1034233</v>
      </c>
      <c r="F94" s="26">
        <f t="shared" si="5"/>
        <v>3.5990847717149221</v>
      </c>
    </row>
    <row r="95" spans="1:6" x14ac:dyDescent="0.2">
      <c r="B95" s="31" t="s">
        <v>35</v>
      </c>
      <c r="C95" s="31"/>
      <c r="D95" s="60">
        <f>SUM(D67:D94)</f>
        <v>7880096</v>
      </c>
      <c r="E95" s="32">
        <f>SUM(E67:E94)</f>
        <v>25176240</v>
      </c>
      <c r="F95" s="33">
        <f t="shared" si="5"/>
        <v>3.1949153918937028</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IF(F3="1",SUMIF(Data!A:A,'6'!$A$2,Data!AH:AH),0)</f>
        <v>6308421</v>
      </c>
      <c r="F98" s="21">
        <f t="shared" ref="F98:F105" si="6">IFERROR(E98/$D$95,0)</f>
        <v>0.80055128770004835</v>
      </c>
    </row>
    <row r="99" spans="2:6" x14ac:dyDescent="0.2">
      <c r="B99" s="212" t="s">
        <v>31</v>
      </c>
      <c r="C99" s="213"/>
      <c r="D99" s="37"/>
      <c r="E99" s="18">
        <f>IF(F3="1",SUMIF(Data!A:A,'6'!$A$2,Data!AI:AI),0)</f>
        <v>4283161</v>
      </c>
      <c r="F99" s="22">
        <f t="shared" si="6"/>
        <v>0.54354172842564352</v>
      </c>
    </row>
    <row r="100" spans="2:6" x14ac:dyDescent="0.2">
      <c r="B100" s="212" t="s">
        <v>32</v>
      </c>
      <c r="C100" s="213"/>
      <c r="D100" s="37"/>
      <c r="E100" s="18">
        <f>IF(F3="1",SUMIF(Data!A:A,'6'!$A$2,Data!AJ:AJ),0)</f>
        <v>3349530</v>
      </c>
      <c r="F100" s="22">
        <f t="shared" si="6"/>
        <v>0.42506208046196392</v>
      </c>
    </row>
    <row r="101" spans="2:6" x14ac:dyDescent="0.2">
      <c r="B101" s="212" t="s">
        <v>28</v>
      </c>
      <c r="C101" s="213"/>
      <c r="D101" s="37"/>
      <c r="E101" s="18">
        <f>IF(F3="1",SUMIF(Data!A:A,'6'!$A$2,Data!AK:AK),0)</f>
        <v>0</v>
      </c>
      <c r="F101" s="22">
        <f t="shared" si="6"/>
        <v>0</v>
      </c>
    </row>
    <row r="102" spans="2:6" x14ac:dyDescent="0.2">
      <c r="B102" s="212" t="s">
        <v>33</v>
      </c>
      <c r="C102" s="213"/>
      <c r="D102" s="37"/>
      <c r="E102" s="18">
        <f>IF(F3="1",SUMIF(Data!A:A,'6'!$A$2,Data!AL:AL),0)</f>
        <v>559644</v>
      </c>
      <c r="F102" s="22">
        <f t="shared" si="6"/>
        <v>7.1019946965113115E-2</v>
      </c>
    </row>
    <row r="103" spans="2:6" x14ac:dyDescent="0.2">
      <c r="B103" s="214" t="s">
        <v>34</v>
      </c>
      <c r="C103" s="215"/>
      <c r="D103" s="37"/>
      <c r="E103" s="18">
        <f>IF(F3="1",SUMIF(Data!A:A,'6'!$A$2,Data!AM:AM),0)</f>
        <v>1008932</v>
      </c>
      <c r="F103" s="22">
        <f t="shared" si="6"/>
        <v>0.12803549601426176</v>
      </c>
    </row>
    <row r="104" spans="2:6" ht="15.75" customHeight="1" thickBot="1" x14ac:dyDescent="0.25">
      <c r="B104" s="208" t="s">
        <v>29</v>
      </c>
      <c r="C104" s="209"/>
      <c r="D104" s="38"/>
      <c r="E104" s="25">
        <f>IF(F3="1",SUMIF(Data!A:A,'6'!$A$2,Data!Q:Q),0)</f>
        <v>756330</v>
      </c>
      <c r="F104" s="26">
        <f t="shared" si="6"/>
        <v>9.5979795170008084E-2</v>
      </c>
    </row>
    <row r="105" spans="2:6" x14ac:dyDescent="0.2">
      <c r="B105" s="31" t="s">
        <v>35</v>
      </c>
      <c r="C105" s="31"/>
      <c r="D105" s="35">
        <f>D95</f>
        <v>7880096</v>
      </c>
      <c r="E105" s="32">
        <f>SUM(E98:E104)</f>
        <v>16266018</v>
      </c>
      <c r="F105" s="33">
        <f t="shared" si="6"/>
        <v>2.0641903347370389</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27517152</v>
      </c>
      <c r="D109" s="192">
        <f>IF(F3="1",SUMIF(Data!$A:$A,$A$2,Data!HJ:HJ),0)</f>
        <v>2403198</v>
      </c>
      <c r="E109" s="192">
        <f>IF(F3="1",SUMIF(Data!$A:$A,$A$2,Data!IN:IN),0)</f>
        <v>4229477</v>
      </c>
      <c r="F109" s="48">
        <f>SUM(C109:E109)</f>
        <v>34149827</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260251</v>
      </c>
      <c r="D111" s="52"/>
      <c r="E111" s="193">
        <f>IF(F3="1",SUMIF(Data!A:A,$A$2,Data!AX:AX)-SUMIF(Data!A:A,$A$2,Data!AW:AW),0)</f>
        <v>167484</v>
      </c>
      <c r="F111" s="49">
        <f t="shared" si="7"/>
        <v>427735</v>
      </c>
    </row>
    <row r="112" spans="2:6" x14ac:dyDescent="0.2">
      <c r="B112" s="43" t="s">
        <v>32</v>
      </c>
      <c r="C112" s="193">
        <f>IF(F3="1",SUMIF(Data!A:A,$A$2,Data!V:V),0)</f>
        <v>2823353</v>
      </c>
      <c r="D112" s="52"/>
      <c r="E112" s="193">
        <f>IF(F3="1",SUMIF(Data!A:A,$A$2,Data!AC:AC),0)</f>
        <v>526177</v>
      </c>
      <c r="F112" s="49">
        <f t="shared" si="7"/>
        <v>3349530</v>
      </c>
    </row>
    <row r="113" spans="1:6" x14ac:dyDescent="0.2">
      <c r="B113" s="43" t="s">
        <v>31</v>
      </c>
      <c r="C113" s="193">
        <f>IF(F3="1",SUMIF(Data!A:A,$A$2,Data!U:U),0)</f>
        <v>3553615</v>
      </c>
      <c r="D113" s="52"/>
      <c r="E113" s="193">
        <f>IF(F3="1",SUMIF(Data!A:A,$A$2,Data!AB:AB),0)</f>
        <v>729546</v>
      </c>
      <c r="F113" s="49">
        <f t="shared" si="7"/>
        <v>4283161</v>
      </c>
    </row>
    <row r="114" spans="1:6" x14ac:dyDescent="0.2">
      <c r="B114" s="43" t="s">
        <v>1002</v>
      </c>
      <c r="C114" s="193">
        <f>IF(F3="1",SUMIF(Data!A:A,$A$2,Data!T:T),0)</f>
        <v>3805500</v>
      </c>
      <c r="D114" s="52"/>
      <c r="E114" s="193">
        <f>IF(F3="1",SUMIF(Data!A:A,$A$2,Data!AA:AA),0)</f>
        <v>2502921</v>
      </c>
      <c r="F114" s="49">
        <f t="shared" si="7"/>
        <v>6308421</v>
      </c>
    </row>
    <row r="115" spans="1:6" x14ac:dyDescent="0.2">
      <c r="B115" s="43" t="s">
        <v>916</v>
      </c>
      <c r="C115" s="193">
        <f>IF(F3="1",SUMIF(Data!A:A,$A$2,Data!BI:BI),0)</f>
        <v>951790</v>
      </c>
      <c r="D115" s="193">
        <f>IF(F3="1",SUMIF(Data!A:A,$A$2,Data!BL:BL),0)</f>
        <v>365947</v>
      </c>
      <c r="E115" s="193">
        <f>IF(F3="1",SUMIF(Data!A:A,$A$2,Data!BU:BU)-SUMIF(Data!A:A,$A$2,Data!BT:BT),0)</f>
        <v>6984350</v>
      </c>
      <c r="F115" s="49">
        <f t="shared" si="7"/>
        <v>8302087</v>
      </c>
    </row>
    <row r="116" spans="1:6" x14ac:dyDescent="0.2">
      <c r="B116" s="43" t="s">
        <v>33</v>
      </c>
      <c r="C116" s="193">
        <f>IF(F3="1",SUMIF(Data!A:A,$A$2,Data!X:X),0)</f>
        <v>0</v>
      </c>
      <c r="D116" s="51"/>
      <c r="E116" s="193">
        <f>E102-C116</f>
        <v>559644</v>
      </c>
      <c r="F116" s="49">
        <f t="shared" si="7"/>
        <v>559644</v>
      </c>
    </row>
    <row r="117" spans="1:6" ht="15" thickBot="1" x14ac:dyDescent="0.25">
      <c r="B117" s="44" t="s">
        <v>920</v>
      </c>
      <c r="C117" s="53"/>
      <c r="D117" s="53">
        <f>IF(F3="1",SUMIF(Data!A:A,$A$2,Data!Q:Q),0)</f>
        <v>756330</v>
      </c>
      <c r="E117" s="53"/>
      <c r="F117" s="50">
        <f>SUM(C117:E117)</f>
        <v>756330</v>
      </c>
    </row>
    <row r="118" spans="1:6" x14ac:dyDescent="0.2">
      <c r="B118" s="14" t="s">
        <v>35</v>
      </c>
      <c r="C118" s="178">
        <f>SUM(C109:C117)</f>
        <v>38911661</v>
      </c>
      <c r="D118" s="194">
        <f>SUM(D109:D117)</f>
        <v>3525475</v>
      </c>
      <c r="E118" s="178">
        <f>SUM(E109:E117)</f>
        <v>15699599</v>
      </c>
      <c r="F118" s="178">
        <f>SUM(F109:F117)</f>
        <v>58136735</v>
      </c>
    </row>
    <row r="119" spans="1:6" x14ac:dyDescent="0.2">
      <c r="C119" s="177"/>
      <c r="D119" s="177"/>
      <c r="E119" s="177"/>
    </row>
    <row r="120" spans="1:6" ht="15" thickBot="1" x14ac:dyDescent="0.25">
      <c r="B120" s="188" t="s">
        <v>921</v>
      </c>
      <c r="C120" s="53"/>
      <c r="D120" s="53"/>
      <c r="E120" s="195">
        <f>IF(F3="1",SUMIF(Data!A:A,$A$2,Data!AF:AF)+SUMIF(Data!A:A,$A$2,Data!AW:AW)+SUMIF(Data!A:A,$A$2,Data!BT:BT),0)</f>
        <v>1383197</v>
      </c>
      <c r="F120" s="181">
        <f>SUM(C120:E120)</f>
        <v>1383197</v>
      </c>
    </row>
    <row r="121" spans="1:6" s="177" customFormat="1" x14ac:dyDescent="0.2">
      <c r="B121" s="14" t="s">
        <v>35</v>
      </c>
      <c r="C121" s="178">
        <f>SUM(C120:C120)</f>
        <v>0</v>
      </c>
      <c r="D121" s="178">
        <f>SUM(D120:D120)</f>
        <v>0</v>
      </c>
      <c r="E121" s="178">
        <f>SUM(E120:E120)</f>
        <v>1383197</v>
      </c>
      <c r="F121" s="178">
        <f>SUM(F120:F120)</f>
        <v>1383197</v>
      </c>
    </row>
    <row r="122" spans="1:6" s="177" customFormat="1" ht="15" thickBot="1" x14ac:dyDescent="0.25">
      <c r="B122" s="14" t="s">
        <v>1396</v>
      </c>
      <c r="C122" s="178"/>
      <c r="D122" s="178"/>
      <c r="E122" s="178"/>
      <c r="F122" s="190">
        <f>F118+F121</f>
        <v>59519932</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418</v>
      </c>
      <c r="B2" s="59" t="str">
        <f>VLOOKUP(A2,Data!A:G,7,0)</f>
        <v>Brazosport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10752</v>
      </c>
      <c r="E5" s="16">
        <f>E36+E67+IFERROR($E$105/$D$105*D5,0)</f>
        <v>70052.627793304651</v>
      </c>
      <c r="F5" s="21">
        <f>IFERROR(E5/D5,"")</f>
        <v>6.5153113647046741</v>
      </c>
    </row>
    <row r="6" spans="1:6" x14ac:dyDescent="0.2">
      <c r="A6" s="20">
        <v>2</v>
      </c>
      <c r="B6" s="202" t="s">
        <v>1</v>
      </c>
      <c r="C6" s="203"/>
      <c r="D6" s="15">
        <f t="shared" ref="D6:D32" si="0">D37</f>
        <v>87424</v>
      </c>
      <c r="E6" s="18">
        <f t="shared" ref="E6:E32" si="1">E37+E68+IFERROR($E$105/$D$105*D6,0)</f>
        <v>871894.94979556045</v>
      </c>
      <c r="F6" s="22">
        <f t="shared" ref="F6:F33" si="2">IFERROR(E6/D6,"")</f>
        <v>9.9731761277859672</v>
      </c>
    </row>
    <row r="7" spans="1:6" ht="14.25" customHeight="1" x14ac:dyDescent="0.2">
      <c r="A7" s="20">
        <v>3</v>
      </c>
      <c r="B7" s="202" t="s">
        <v>2</v>
      </c>
      <c r="C7" s="203"/>
      <c r="D7" s="15">
        <f t="shared" si="0"/>
        <v>317376</v>
      </c>
      <c r="E7" s="18">
        <f t="shared" si="1"/>
        <v>3150560.6918273671</v>
      </c>
      <c r="F7" s="22">
        <f t="shared" si="2"/>
        <v>9.9269027646304924</v>
      </c>
    </row>
    <row r="8" spans="1:6" ht="14.25" customHeight="1" x14ac:dyDescent="0.2">
      <c r="A8" s="20">
        <v>4</v>
      </c>
      <c r="B8" s="202" t="s">
        <v>3</v>
      </c>
      <c r="C8" s="203"/>
      <c r="D8" s="15">
        <f t="shared" si="0"/>
        <v>131090</v>
      </c>
      <c r="E8" s="18">
        <f t="shared" si="1"/>
        <v>1556768.9512113379</v>
      </c>
      <c r="F8" s="22">
        <f t="shared" si="2"/>
        <v>11.875573660930185</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240</v>
      </c>
      <c r="E10" s="18">
        <f t="shared" si="1"/>
        <v>1283.33990610055</v>
      </c>
      <c r="F10" s="22">
        <f t="shared" si="2"/>
        <v>5.3472496087522918</v>
      </c>
    </row>
    <row r="11" spans="1:6" x14ac:dyDescent="0.2">
      <c r="A11" s="20">
        <v>7</v>
      </c>
      <c r="B11" s="202" t="s">
        <v>6</v>
      </c>
      <c r="C11" s="203"/>
      <c r="D11" s="15">
        <f t="shared" si="0"/>
        <v>33427</v>
      </c>
      <c r="E11" s="18">
        <f t="shared" si="1"/>
        <v>367816.51267176284</v>
      </c>
      <c r="F11" s="22">
        <f t="shared" si="2"/>
        <v>11.003575333465847</v>
      </c>
    </row>
    <row r="12" spans="1:6" x14ac:dyDescent="0.2">
      <c r="A12" s="20">
        <v>8</v>
      </c>
      <c r="B12" s="202" t="s">
        <v>7</v>
      </c>
      <c r="C12" s="203"/>
      <c r="D12" s="15">
        <f t="shared" si="0"/>
        <v>68704</v>
      </c>
      <c r="E12" s="18">
        <f t="shared" si="1"/>
        <v>690196.43711971748</v>
      </c>
      <c r="F12" s="22">
        <f t="shared" si="2"/>
        <v>10.045942552394584</v>
      </c>
    </row>
    <row r="13" spans="1:6" x14ac:dyDescent="0.2">
      <c r="A13" s="20">
        <v>9</v>
      </c>
      <c r="B13" s="202" t="s">
        <v>8</v>
      </c>
      <c r="C13" s="203"/>
      <c r="D13" s="15">
        <f t="shared" si="0"/>
        <v>25090</v>
      </c>
      <c r="E13" s="18">
        <f t="shared" si="1"/>
        <v>248682.49268359499</v>
      </c>
      <c r="F13" s="22">
        <f t="shared" si="2"/>
        <v>9.9116178829651247</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117664</v>
      </c>
      <c r="E15" s="18">
        <f t="shared" si="1"/>
        <v>1042642.7779642297</v>
      </c>
      <c r="F15" s="22">
        <f t="shared" si="2"/>
        <v>8.8611876016813103</v>
      </c>
    </row>
    <row r="16" spans="1:6" ht="14.25" customHeight="1" x14ac:dyDescent="0.2">
      <c r="A16" s="20">
        <v>12</v>
      </c>
      <c r="B16" s="202" t="s">
        <v>11</v>
      </c>
      <c r="C16" s="203"/>
      <c r="D16" s="15">
        <f t="shared" si="0"/>
        <v>159040</v>
      </c>
      <c r="E16" s="18">
        <f t="shared" si="1"/>
        <v>1542679.5777759645</v>
      </c>
      <c r="F16" s="22">
        <f t="shared" si="2"/>
        <v>9.6999470433599377</v>
      </c>
    </row>
    <row r="17" spans="1:6" x14ac:dyDescent="0.2">
      <c r="A17" s="20">
        <v>13</v>
      </c>
      <c r="B17" s="202" t="s">
        <v>12</v>
      </c>
      <c r="C17" s="203"/>
      <c r="D17" s="15">
        <f t="shared" si="0"/>
        <v>12797</v>
      </c>
      <c r="E17" s="18">
        <f t="shared" si="1"/>
        <v>122401.75324320309</v>
      </c>
      <c r="F17" s="22">
        <f t="shared" si="2"/>
        <v>9.564878740580065</v>
      </c>
    </row>
    <row r="18" spans="1:6" ht="14.25" customHeight="1" x14ac:dyDescent="0.2">
      <c r="A18" s="20">
        <v>14</v>
      </c>
      <c r="B18" s="202" t="s">
        <v>449</v>
      </c>
      <c r="C18" s="203"/>
      <c r="D18" s="15">
        <f t="shared" si="0"/>
        <v>50536</v>
      </c>
      <c r="E18" s="18">
        <f t="shared" si="1"/>
        <v>699715.60622790584</v>
      </c>
      <c r="F18" s="22">
        <f t="shared" si="2"/>
        <v>13.845884245446925</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42002</v>
      </c>
      <c r="E20" s="18">
        <f t="shared" si="1"/>
        <v>578477.17806681374</v>
      </c>
      <c r="F20" s="22">
        <f t="shared" si="2"/>
        <v>13.772610305861953</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21120</v>
      </c>
      <c r="E22" s="18">
        <f t="shared" si="1"/>
        <v>384323.91173684841</v>
      </c>
      <c r="F22" s="22">
        <f t="shared" si="2"/>
        <v>18.197154911782594</v>
      </c>
    </row>
    <row r="23" spans="1:6" x14ac:dyDescent="0.2">
      <c r="A23" s="20">
        <v>19</v>
      </c>
      <c r="B23" s="202" t="s">
        <v>17</v>
      </c>
      <c r="C23" s="203"/>
      <c r="D23" s="15">
        <f t="shared" si="0"/>
        <v>80016</v>
      </c>
      <c r="E23" s="18">
        <f t="shared" si="1"/>
        <v>721132.5246939233</v>
      </c>
      <c r="F23" s="22">
        <f t="shared" si="2"/>
        <v>9.0123540878564707</v>
      </c>
    </row>
    <row r="24" spans="1:6" x14ac:dyDescent="0.2">
      <c r="A24" s="20">
        <v>20</v>
      </c>
      <c r="B24" s="202" t="s">
        <v>18</v>
      </c>
      <c r="C24" s="203"/>
      <c r="D24" s="15">
        <f t="shared" si="0"/>
        <v>18832</v>
      </c>
      <c r="E24" s="18">
        <f t="shared" si="1"/>
        <v>208367.40463202316</v>
      </c>
      <c r="F24" s="22">
        <f t="shared" si="2"/>
        <v>11.06453932837846</v>
      </c>
    </row>
    <row r="25" spans="1:6" ht="14.25" customHeight="1" x14ac:dyDescent="0.2">
      <c r="A25" s="20">
        <v>21</v>
      </c>
      <c r="B25" s="202" t="s">
        <v>446</v>
      </c>
      <c r="C25" s="203"/>
      <c r="D25" s="15">
        <f t="shared" si="0"/>
        <v>0</v>
      </c>
      <c r="E25" s="18">
        <f t="shared" si="1"/>
        <v>0</v>
      </c>
      <c r="F25" s="22" t="str">
        <f t="shared" si="2"/>
        <v/>
      </c>
    </row>
    <row r="26" spans="1:6" x14ac:dyDescent="0.2">
      <c r="A26" s="20">
        <v>22</v>
      </c>
      <c r="B26" s="202" t="s">
        <v>19</v>
      </c>
      <c r="C26" s="203"/>
      <c r="D26" s="15">
        <f t="shared" si="0"/>
        <v>1120</v>
      </c>
      <c r="E26" s="18">
        <f t="shared" si="1"/>
        <v>9851.919561802566</v>
      </c>
      <c r="F26" s="22">
        <f t="shared" si="2"/>
        <v>8.7963567516094336</v>
      </c>
    </row>
    <row r="27" spans="1:6" x14ac:dyDescent="0.2">
      <c r="A27" s="20">
        <v>23</v>
      </c>
      <c r="B27" s="202" t="s">
        <v>20</v>
      </c>
      <c r="C27" s="203"/>
      <c r="D27" s="15">
        <f t="shared" si="0"/>
        <v>0</v>
      </c>
      <c r="E27" s="18">
        <f t="shared" si="1"/>
        <v>3097</v>
      </c>
      <c r="F27" s="22" t="str">
        <f t="shared" si="2"/>
        <v/>
      </c>
    </row>
    <row r="28" spans="1:6" x14ac:dyDescent="0.2">
      <c r="A28" s="20">
        <v>24</v>
      </c>
      <c r="B28" s="202" t="s">
        <v>21</v>
      </c>
      <c r="C28" s="203"/>
      <c r="D28" s="15">
        <f t="shared" si="0"/>
        <v>43040</v>
      </c>
      <c r="E28" s="18">
        <f t="shared" si="1"/>
        <v>397639.62316069863</v>
      </c>
      <c r="F28" s="22">
        <f t="shared" si="2"/>
        <v>9.2388388280831464</v>
      </c>
    </row>
    <row r="29" spans="1:6" x14ac:dyDescent="0.2">
      <c r="A29" s="20">
        <v>25</v>
      </c>
      <c r="B29" s="202" t="s">
        <v>22</v>
      </c>
      <c r="C29" s="203"/>
      <c r="D29" s="15">
        <f t="shared" si="0"/>
        <v>310512</v>
      </c>
      <c r="E29" s="18">
        <f t="shared" si="1"/>
        <v>3175220.1705128914</v>
      </c>
      <c r="F29" s="22">
        <f t="shared" si="2"/>
        <v>10.225756719588587</v>
      </c>
    </row>
    <row r="30" spans="1:6" x14ac:dyDescent="0.2">
      <c r="A30" s="20">
        <v>26</v>
      </c>
      <c r="B30" s="202" t="s">
        <v>23</v>
      </c>
      <c r="C30" s="203"/>
      <c r="D30" s="15">
        <f t="shared" si="0"/>
        <v>62723</v>
      </c>
      <c r="E30" s="18">
        <f t="shared" si="1"/>
        <v>768514.53720976994</v>
      </c>
      <c r="F30" s="22">
        <f t="shared" si="2"/>
        <v>12.252515619625495</v>
      </c>
    </row>
    <row r="31" spans="1:6" x14ac:dyDescent="0.2">
      <c r="A31" s="20">
        <v>28</v>
      </c>
      <c r="B31" s="202" t="s">
        <v>24</v>
      </c>
      <c r="C31" s="203"/>
      <c r="D31" s="15">
        <f t="shared" si="0"/>
        <v>99600</v>
      </c>
      <c r="E31" s="18">
        <f t="shared" si="1"/>
        <v>897630.06103172828</v>
      </c>
      <c r="F31" s="22">
        <f t="shared" si="2"/>
        <v>9.012350010358718</v>
      </c>
    </row>
    <row r="32" spans="1:6" ht="15.75" customHeight="1" thickBot="1" x14ac:dyDescent="0.25">
      <c r="A32" s="23">
        <v>29</v>
      </c>
      <c r="B32" s="206" t="s">
        <v>25</v>
      </c>
      <c r="C32" s="207"/>
      <c r="D32" s="24">
        <f t="shared" si="0"/>
        <v>22560</v>
      </c>
      <c r="E32" s="25">
        <f t="shared" si="1"/>
        <v>218828.9511734517</v>
      </c>
      <c r="F32" s="26">
        <f t="shared" si="2"/>
        <v>9.6998648569792412</v>
      </c>
    </row>
    <row r="33" spans="1:6" x14ac:dyDescent="0.2">
      <c r="B33" s="31" t="s">
        <v>35</v>
      </c>
      <c r="C33" s="31"/>
      <c r="D33" s="60">
        <f>SUM(D5:D32)</f>
        <v>1715665</v>
      </c>
      <c r="E33" s="32">
        <f>SUM(E5:E32)</f>
        <v>17727779</v>
      </c>
      <c r="F33" s="33">
        <f t="shared" si="2"/>
        <v>10.332890744988095</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IF(F3="1",SUMIF(Data!A:A,'7'!$A$2,Data!CU:CU),0)</f>
        <v>10752</v>
      </c>
      <c r="E36" s="16">
        <f>IF(F3="1",SUMIF(Data!$A:$A,'7'!$A$2,Data!IO:IO),0)</f>
        <v>2689</v>
      </c>
      <c r="F36" s="21">
        <f t="shared" ref="F36:F64" si="3">IFERROR(E36/D36,"")</f>
        <v>0.25009300595238093</v>
      </c>
    </row>
    <row r="37" spans="1:6" x14ac:dyDescent="0.2">
      <c r="A37" s="20">
        <v>2</v>
      </c>
      <c r="B37" s="202" t="s">
        <v>1</v>
      </c>
      <c r="C37" s="203"/>
      <c r="D37" s="15">
        <f>IF(F3="1",SUMIF(Data!A:A,'7'!$A$2,Data!CV:CV),0)</f>
        <v>87424</v>
      </c>
      <c r="E37" s="18">
        <f>IF(F3="1",SUMIF(Data!$A:$A,'7'!$A$2,Data!IP:IP),0)</f>
        <v>178965</v>
      </c>
      <c r="F37" s="22">
        <f t="shared" si="3"/>
        <v>2.047092331625183</v>
      </c>
    </row>
    <row r="38" spans="1:6" ht="14.25" customHeight="1" x14ac:dyDescent="0.2">
      <c r="A38" s="20">
        <v>3</v>
      </c>
      <c r="B38" s="202" t="s">
        <v>2</v>
      </c>
      <c r="C38" s="203"/>
      <c r="D38" s="15">
        <f>IF(F3="1",SUMIF(Data!A:A,'7'!$A$2,Data!CW:CW),0)</f>
        <v>317376</v>
      </c>
      <c r="E38" s="18">
        <f>IF(F3="1",SUMIF(Data!$A:$A,'7'!$A$2,Data!IQ:IQ),0)</f>
        <v>426304</v>
      </c>
      <c r="F38" s="22">
        <f t="shared" si="3"/>
        <v>1.3432143577334139</v>
      </c>
    </row>
    <row r="39" spans="1:6" ht="14.25" customHeight="1" x14ac:dyDescent="0.2">
      <c r="A39" s="20">
        <v>4</v>
      </c>
      <c r="B39" s="202" t="s">
        <v>3</v>
      </c>
      <c r="C39" s="203"/>
      <c r="D39" s="15">
        <f>IF(F3="1",SUMIF(Data!A:A,'7'!$A$2,Data!CX:CX),0)</f>
        <v>131090</v>
      </c>
      <c r="E39" s="18">
        <f>IF(F3="1",SUMIF(Data!$A:$A,'7'!$A$2,Data!IR:IR),0)</f>
        <v>205413</v>
      </c>
      <c r="F39" s="22">
        <f t="shared" si="3"/>
        <v>1.5669616294149058</v>
      </c>
    </row>
    <row r="40" spans="1:6" x14ac:dyDescent="0.2">
      <c r="A40" s="20">
        <v>5</v>
      </c>
      <c r="B40" s="202" t="s">
        <v>4</v>
      </c>
      <c r="C40" s="203"/>
      <c r="D40" s="15">
        <f>IF(F3="1",SUMIF(Data!A:A,'7'!$A$2,Data!CY:CY),0)</f>
        <v>0</v>
      </c>
      <c r="E40" s="18">
        <f>IF(F3="1",SUMIF(Data!$A:$A,'7'!$A$2,Data!IS:IS),0)</f>
        <v>0</v>
      </c>
      <c r="F40" s="22" t="str">
        <f t="shared" si="3"/>
        <v/>
      </c>
    </row>
    <row r="41" spans="1:6" x14ac:dyDescent="0.2">
      <c r="A41" s="20">
        <v>6</v>
      </c>
      <c r="B41" s="202" t="s">
        <v>5</v>
      </c>
      <c r="C41" s="203"/>
      <c r="D41" s="15">
        <f>IF(F3="1",SUMIF(Data!A:A,'7'!$A$2,Data!CZ:CZ),0)</f>
        <v>240</v>
      </c>
      <c r="E41" s="18">
        <f>IF(F3="1",SUMIF(Data!$A:$A,'7'!$A$2,Data!IT:IT),0)</f>
        <v>0</v>
      </c>
      <c r="F41" s="22">
        <f t="shared" si="3"/>
        <v>0</v>
      </c>
    </row>
    <row r="42" spans="1:6" x14ac:dyDescent="0.2">
      <c r="A42" s="20">
        <v>7</v>
      </c>
      <c r="B42" s="202" t="s">
        <v>6</v>
      </c>
      <c r="C42" s="203"/>
      <c r="D42" s="15">
        <f>IF(F3="1",SUMIF(Data!A:A,'7'!$A$2,Data!DA:DA),0)</f>
        <v>33427</v>
      </c>
      <c r="E42" s="18">
        <f>IF(F3="1",SUMIF(Data!$A:$A,'7'!$A$2,Data!IU:IU),0)</f>
        <v>22251</v>
      </c>
      <c r="F42" s="22">
        <f t="shared" si="3"/>
        <v>0.66565949681395276</v>
      </c>
    </row>
    <row r="43" spans="1:6" x14ac:dyDescent="0.2">
      <c r="A43" s="20">
        <v>8</v>
      </c>
      <c r="B43" s="202" t="s">
        <v>7</v>
      </c>
      <c r="C43" s="203"/>
      <c r="D43" s="15">
        <f>IF(F3="1",SUMIF(Data!A:A,'7'!$A$2,Data!DB:DB),0)</f>
        <v>68704</v>
      </c>
      <c r="E43" s="18">
        <f>IF(F3="1",SUMIF(Data!$A:$A,'7'!$A$2,Data!IV:IV),0)</f>
        <v>57495</v>
      </c>
      <c r="F43" s="22">
        <f t="shared" si="3"/>
        <v>0.83685083837913365</v>
      </c>
    </row>
    <row r="44" spans="1:6" x14ac:dyDescent="0.2">
      <c r="A44" s="20">
        <v>9</v>
      </c>
      <c r="B44" s="202" t="s">
        <v>8</v>
      </c>
      <c r="C44" s="203"/>
      <c r="D44" s="15">
        <f>IF(F3="1",SUMIF(Data!A:A,'7'!$A$2,Data!DC:DC),0)</f>
        <v>25090</v>
      </c>
      <c r="E44" s="18">
        <f>IF(F3="1",SUMIF(Data!$A:$A,'7'!$A$2,Data!IW:IW),0)</f>
        <v>17949</v>
      </c>
      <c r="F44" s="22">
        <f t="shared" si="3"/>
        <v>0.7153846153846154</v>
      </c>
    </row>
    <row r="45" spans="1:6" x14ac:dyDescent="0.2">
      <c r="A45" s="20">
        <v>10</v>
      </c>
      <c r="B45" s="202" t="s">
        <v>9</v>
      </c>
      <c r="C45" s="203"/>
      <c r="D45" s="15">
        <f>IF(F3="1",SUMIF(Data!A:A,'7'!$A$2,Data!DD:DD),0)</f>
        <v>0</v>
      </c>
      <c r="E45" s="18">
        <f>IF(F3="1",SUMIF(Data!$A:$A,'7'!$A$2,Data!IX:IX),0)</f>
        <v>0</v>
      </c>
      <c r="F45" s="22" t="str">
        <f t="shared" si="3"/>
        <v/>
      </c>
    </row>
    <row r="46" spans="1:6" x14ac:dyDescent="0.2">
      <c r="A46" s="20">
        <v>11</v>
      </c>
      <c r="B46" s="202" t="s">
        <v>10</v>
      </c>
      <c r="C46" s="203"/>
      <c r="D46" s="15">
        <f>IF(F3="1",SUMIF(Data!A:A,'7'!$A$2,Data!DE:DE),0)</f>
        <v>117664</v>
      </c>
      <c r="E46" s="18">
        <f>IF(F3="1",SUMIF(Data!$A:$A,'7'!$A$2,Data!IY:IY),0)</f>
        <v>190140</v>
      </c>
      <c r="F46" s="22">
        <f t="shared" si="3"/>
        <v>1.6159573021484905</v>
      </c>
    </row>
    <row r="47" spans="1:6" ht="14.25" customHeight="1" x14ac:dyDescent="0.2">
      <c r="A47" s="20">
        <v>12</v>
      </c>
      <c r="B47" s="202" t="s">
        <v>11</v>
      </c>
      <c r="C47" s="203"/>
      <c r="D47" s="15">
        <f>IF(F3="1",SUMIF(Data!A:A,'7'!$A$2,Data!DF:DF),0)</f>
        <v>159040</v>
      </c>
      <c r="E47" s="18">
        <f>IF(F3="1",SUMIF(Data!$A:$A,'7'!$A$2,Data!IZ:IZ),0)</f>
        <v>81201</v>
      </c>
      <c r="F47" s="22">
        <f t="shared" si="3"/>
        <v>0.51056966800804826</v>
      </c>
    </row>
    <row r="48" spans="1:6" x14ac:dyDescent="0.2">
      <c r="A48" s="20">
        <v>13</v>
      </c>
      <c r="B48" s="202" t="s">
        <v>12</v>
      </c>
      <c r="C48" s="203"/>
      <c r="D48" s="15">
        <f>IF(F3="1",SUMIF(Data!A:A,'7'!$A$2,Data!DG:DG),0)</f>
        <v>12797</v>
      </c>
      <c r="E48" s="18">
        <f>IF(F3="1",SUMIF(Data!$A:$A,'7'!$A$2,Data!JA:JA),0)</f>
        <v>6275</v>
      </c>
      <c r="F48" s="22">
        <f t="shared" si="3"/>
        <v>0.49034930061733217</v>
      </c>
    </row>
    <row r="49" spans="1:6" ht="14.25" customHeight="1" x14ac:dyDescent="0.2">
      <c r="A49" s="20">
        <v>14</v>
      </c>
      <c r="B49" s="202" t="s">
        <v>449</v>
      </c>
      <c r="C49" s="203"/>
      <c r="D49" s="15">
        <f>IF(F3="1",SUMIF(Data!A:A,'7'!$A$2,Data!DH:DH),0)</f>
        <v>50536</v>
      </c>
      <c r="E49" s="18">
        <f>IF(F3="1",SUMIF(Data!$A:$A,'7'!$A$2,Data!JB:JB),0)</f>
        <v>196378</v>
      </c>
      <c r="F49" s="22">
        <f t="shared" si="3"/>
        <v>3.8859031185689408</v>
      </c>
    </row>
    <row r="50" spans="1:6" x14ac:dyDescent="0.2">
      <c r="A50" s="20">
        <v>15</v>
      </c>
      <c r="B50" s="202" t="s">
        <v>13</v>
      </c>
      <c r="C50" s="203"/>
      <c r="D50" s="15">
        <f>IF(F3="1",SUMIF(Data!A:A,'7'!$A$2,Data!DI:DI),0)</f>
        <v>0</v>
      </c>
      <c r="E50" s="18">
        <f>IF(F3="1",SUMIF(Data!$A:$A,'7'!$A$2,Data!JC:JC),0)</f>
        <v>0</v>
      </c>
      <c r="F50" s="22" t="str">
        <f t="shared" si="3"/>
        <v/>
      </c>
    </row>
    <row r="51" spans="1:6" x14ac:dyDescent="0.2">
      <c r="A51" s="20">
        <v>16</v>
      </c>
      <c r="B51" s="202" t="s">
        <v>14</v>
      </c>
      <c r="C51" s="203"/>
      <c r="D51" s="15">
        <f>IF(F3="1",SUMIF(Data!A:A,'7'!$A$2,Data!DJ:DJ),0)</f>
        <v>42002</v>
      </c>
      <c r="E51" s="18">
        <f>IF(F3="1",SUMIF(Data!$A:$A,'7'!$A$2,Data!JD:JD),0)</f>
        <v>114617</v>
      </c>
      <c r="F51" s="22">
        <f t="shared" si="3"/>
        <v>2.7288462454168849</v>
      </c>
    </row>
    <row r="52" spans="1:6" x14ac:dyDescent="0.2">
      <c r="A52" s="20">
        <v>17</v>
      </c>
      <c r="B52" s="202" t="s">
        <v>15</v>
      </c>
      <c r="C52" s="203"/>
      <c r="D52" s="15">
        <f>IF(F3="1",SUMIF(Data!A:A,'7'!$A$2,Data!DK:DK),0)</f>
        <v>0</v>
      </c>
      <c r="E52" s="18">
        <f>IF(F3="1",SUMIF(Data!$A:$A,'7'!$A$2,Data!JE:JE),0)</f>
        <v>0</v>
      </c>
      <c r="F52" s="22" t="str">
        <f t="shared" si="3"/>
        <v/>
      </c>
    </row>
    <row r="53" spans="1:6" x14ac:dyDescent="0.2">
      <c r="A53" s="20">
        <v>18</v>
      </c>
      <c r="B53" s="202" t="s">
        <v>16</v>
      </c>
      <c r="C53" s="203"/>
      <c r="D53" s="15">
        <f>IF(F3="1",SUMIF(Data!A:A,'7'!$A$2,Data!DL:DL),0)</f>
        <v>21120</v>
      </c>
      <c r="E53" s="18">
        <f>IF(F3="1",SUMIF(Data!$A:$A,'7'!$A$2,Data!JF:JF),0)</f>
        <v>37094</v>
      </c>
      <c r="F53" s="22">
        <f t="shared" si="3"/>
        <v>1.756344696969697</v>
      </c>
    </row>
    <row r="54" spans="1:6" x14ac:dyDescent="0.2">
      <c r="A54" s="20">
        <v>19</v>
      </c>
      <c r="B54" s="202" t="s">
        <v>17</v>
      </c>
      <c r="C54" s="203"/>
      <c r="D54" s="15">
        <f>IF(F3="1",SUMIF(Data!A:A,'7'!$A$2,Data!DM:DM),0)</f>
        <v>80016</v>
      </c>
      <c r="E54" s="18">
        <f>IF(F3="1",SUMIF(Data!$A:$A,'7'!$A$2,Data!JG:JG),0)</f>
        <v>38662</v>
      </c>
      <c r="F54" s="22">
        <f t="shared" si="3"/>
        <v>0.48317836432713457</v>
      </c>
    </row>
    <row r="55" spans="1:6" x14ac:dyDescent="0.2">
      <c r="A55" s="20">
        <v>20</v>
      </c>
      <c r="B55" s="202" t="s">
        <v>18</v>
      </c>
      <c r="C55" s="203"/>
      <c r="D55" s="15">
        <f>IF(F3="1",SUMIF(Data!A:A,'7'!$A$2,Data!DN:DN),0)</f>
        <v>18832</v>
      </c>
      <c r="E55" s="18">
        <f>IF(F3="1",SUMIF(Data!$A:$A,'7'!$A$2,Data!JH:JH),0)</f>
        <v>20576</v>
      </c>
      <c r="F55" s="22">
        <f t="shared" si="3"/>
        <v>1.092608326253186</v>
      </c>
    </row>
    <row r="56" spans="1:6" ht="14.25" customHeight="1" x14ac:dyDescent="0.2">
      <c r="A56" s="20">
        <v>21</v>
      </c>
      <c r="B56" s="202" t="s">
        <v>446</v>
      </c>
      <c r="C56" s="203"/>
      <c r="D56" s="15">
        <f>IF(F3="1",SUMIF(Data!A:A,'7'!$A$2,Data!DO:DO),0)</f>
        <v>0</v>
      </c>
      <c r="E56" s="18">
        <f>IF(F3="1",SUMIF(Data!$A:$A,'7'!$A$2,Data!JI:JI),0)</f>
        <v>0</v>
      </c>
      <c r="F56" s="22" t="str">
        <f t="shared" si="3"/>
        <v/>
      </c>
    </row>
    <row r="57" spans="1:6" x14ac:dyDescent="0.2">
      <c r="A57" s="20">
        <v>22</v>
      </c>
      <c r="B57" s="202" t="s">
        <v>19</v>
      </c>
      <c r="C57" s="203"/>
      <c r="D57" s="15">
        <f>IF(F3="1",SUMIF(Data!A:A,'7'!$A$2,Data!DP:DP),0)</f>
        <v>1120</v>
      </c>
      <c r="E57" s="18">
        <f>IF(F3="1",SUMIF(Data!$A:$A,'7'!$A$2,Data!JJ:JJ),0)</f>
        <v>425</v>
      </c>
      <c r="F57" s="22">
        <f t="shared" si="3"/>
        <v>0.3794642857142857</v>
      </c>
    </row>
    <row r="58" spans="1:6" x14ac:dyDescent="0.2">
      <c r="A58" s="20">
        <v>23</v>
      </c>
      <c r="B58" s="202" t="s">
        <v>20</v>
      </c>
      <c r="C58" s="203"/>
      <c r="D58" s="15">
        <f>IF(F3="1",SUMIF(Data!A:A,'7'!$A$2,Data!DQ:DQ),0)</f>
        <v>0</v>
      </c>
      <c r="E58" s="18">
        <f>IF(F3="1",SUMIF(Data!$A:$A,'7'!$A$2,Data!JK:JK),0)</f>
        <v>3097</v>
      </c>
      <c r="F58" s="22" t="str">
        <f t="shared" si="3"/>
        <v/>
      </c>
    </row>
    <row r="59" spans="1:6" x14ac:dyDescent="0.2">
      <c r="A59" s="20">
        <v>24</v>
      </c>
      <c r="B59" s="202" t="s">
        <v>21</v>
      </c>
      <c r="C59" s="203"/>
      <c r="D59" s="15">
        <f>IF(F3="1",SUMIF(Data!A:A,'7'!$A$2,Data!DR:DR),0)</f>
        <v>43040</v>
      </c>
      <c r="E59" s="18">
        <f>IF(F3="1",SUMIF(Data!$A:$A,'7'!$A$2,Data!JL:JL),0)</f>
        <v>23354</v>
      </c>
      <c r="F59" s="22">
        <f t="shared" si="3"/>
        <v>0.54261152416356873</v>
      </c>
    </row>
    <row r="60" spans="1:6" x14ac:dyDescent="0.2">
      <c r="A60" s="20">
        <v>25</v>
      </c>
      <c r="B60" s="202" t="s">
        <v>22</v>
      </c>
      <c r="C60" s="203"/>
      <c r="D60" s="15">
        <f>IF(F3="1",SUMIF(Data!A:A,'7'!$A$2,Data!DS:DS),0)</f>
        <v>310512</v>
      </c>
      <c r="E60" s="18">
        <f>IF(F3="1",SUMIF(Data!$A:$A,'7'!$A$2,Data!JM:JM),0)</f>
        <v>300377</v>
      </c>
      <c r="F60" s="22">
        <f t="shared" si="3"/>
        <v>0.96736035966403877</v>
      </c>
    </row>
    <row r="61" spans="1:6" x14ac:dyDescent="0.2">
      <c r="A61" s="20">
        <v>26</v>
      </c>
      <c r="B61" s="202" t="s">
        <v>23</v>
      </c>
      <c r="C61" s="203"/>
      <c r="D61" s="15">
        <f>IF(F3="1",SUMIF(Data!A:A,'7'!$A$2,Data!DT:DT),0)</f>
        <v>62723</v>
      </c>
      <c r="E61" s="18">
        <f>IF(F3="1",SUMIF(Data!$A:$A,'7'!$A$2,Data!JN:JN),0)</f>
        <v>110338</v>
      </c>
      <c r="F61" s="22">
        <f t="shared" si="3"/>
        <v>1.7591314190966632</v>
      </c>
    </row>
    <row r="62" spans="1:6" x14ac:dyDescent="0.2">
      <c r="A62" s="20">
        <v>28</v>
      </c>
      <c r="B62" s="202" t="s">
        <v>24</v>
      </c>
      <c r="C62" s="203"/>
      <c r="D62" s="15">
        <f>IF(F3="1",SUMIF(Data!A:A,'7'!$A$2,Data!DV:DV),0)</f>
        <v>99600</v>
      </c>
      <c r="E62" s="18">
        <f>IF(F3="1",SUMIF(Data!$A:$A,'7'!$A$2,Data!JP:JP),0)</f>
        <v>48125</v>
      </c>
      <c r="F62" s="22">
        <f t="shared" si="3"/>
        <v>0.48318273092369479</v>
      </c>
    </row>
    <row r="63" spans="1:6" ht="15.75" customHeight="1" thickBot="1" x14ac:dyDescent="0.25">
      <c r="A63" s="23">
        <v>29</v>
      </c>
      <c r="B63" s="206" t="s">
        <v>25</v>
      </c>
      <c r="C63" s="207"/>
      <c r="D63" s="24">
        <f>IF(F3="1",SUMIF(Data!A:A,'7'!$A$2,Data!DW:DW),0)</f>
        <v>22560</v>
      </c>
      <c r="E63" s="25">
        <f>IF(F3="1",SUMIF(Data!$A:$A,'7'!$A$2,Data!JQ:JQ),0)</f>
        <v>11517</v>
      </c>
      <c r="F63" s="26">
        <f t="shared" si="3"/>
        <v>0.51050531914893615</v>
      </c>
    </row>
    <row r="64" spans="1:6" x14ac:dyDescent="0.2">
      <c r="B64" s="31" t="s">
        <v>35</v>
      </c>
      <c r="C64" s="31"/>
      <c r="D64" s="60">
        <f>SUM(D36:D63)</f>
        <v>1715665</v>
      </c>
      <c r="E64" s="32">
        <f>SUM(E36:E63)</f>
        <v>2093242</v>
      </c>
      <c r="F64" s="33">
        <f t="shared" si="3"/>
        <v>1.2200761803732081</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10752</v>
      </c>
      <c r="E67" s="16">
        <f>IF(F3="1",SUMIF(Data!A:A,'7'!$A$2,Data!DY:DY),0)</f>
        <v>9870</v>
      </c>
      <c r="F67" s="21">
        <f>IFERROR(E67/D67,"")</f>
        <v>0.91796875</v>
      </c>
    </row>
    <row r="68" spans="1:6" x14ac:dyDescent="0.2">
      <c r="A68" s="20">
        <v>2</v>
      </c>
      <c r="B68" s="202" t="s">
        <v>1</v>
      </c>
      <c r="C68" s="203"/>
      <c r="D68" s="15">
        <f t="shared" ref="D68:D94" si="4">D37</f>
        <v>87424</v>
      </c>
      <c r="E68" s="18">
        <f>IF(F3="1",SUMIF(Data!A:A,'7'!$A$2,Data!DZ:DZ),0)</f>
        <v>225452</v>
      </c>
      <c r="F68" s="22">
        <f t="shared" ref="F68:F95" si="5">IFERROR(E68/D68,"")</f>
        <v>2.5788341874084919</v>
      </c>
    </row>
    <row r="69" spans="1:6" ht="14.25" customHeight="1" x14ac:dyDescent="0.2">
      <c r="A69" s="20">
        <v>3</v>
      </c>
      <c r="B69" s="202" t="s">
        <v>2</v>
      </c>
      <c r="C69" s="203"/>
      <c r="D69" s="15">
        <f t="shared" si="4"/>
        <v>317376</v>
      </c>
      <c r="E69" s="18">
        <f>IF(F3="1",SUMIF(Data!A:A,'7'!$A$2,Data!EA:EA),0)</f>
        <v>1027168</v>
      </c>
      <c r="F69" s="22">
        <f t="shared" si="5"/>
        <v>3.2364387981447873</v>
      </c>
    </row>
    <row r="70" spans="1:6" ht="14.25" customHeight="1" x14ac:dyDescent="0.2">
      <c r="A70" s="20">
        <v>4</v>
      </c>
      <c r="B70" s="202" t="s">
        <v>3</v>
      </c>
      <c r="C70" s="203"/>
      <c r="D70" s="15">
        <f t="shared" si="4"/>
        <v>131090</v>
      </c>
      <c r="E70" s="18">
        <f>IF(F3="1",SUMIF(Data!A:A,'7'!$A$2,Data!EB:EB),0)</f>
        <v>650385</v>
      </c>
      <c r="F70" s="22">
        <f t="shared" si="5"/>
        <v>4.9613624227629876</v>
      </c>
    </row>
    <row r="71" spans="1:6" x14ac:dyDescent="0.2">
      <c r="A71" s="20">
        <v>5</v>
      </c>
      <c r="B71" s="202" t="s">
        <v>4</v>
      </c>
      <c r="C71" s="203"/>
      <c r="D71" s="15">
        <f t="shared" si="4"/>
        <v>0</v>
      </c>
      <c r="E71" s="18">
        <f>IF(F3="1",SUMIF(Data!A:A,'7'!$A$2,Data!EC:EC),0)</f>
        <v>0</v>
      </c>
      <c r="F71" s="22" t="str">
        <f t="shared" si="5"/>
        <v/>
      </c>
    </row>
    <row r="72" spans="1:6" x14ac:dyDescent="0.2">
      <c r="A72" s="20">
        <v>6</v>
      </c>
      <c r="B72" s="202" t="s">
        <v>5</v>
      </c>
      <c r="C72" s="203"/>
      <c r="D72" s="15">
        <f t="shared" si="4"/>
        <v>240</v>
      </c>
      <c r="E72" s="18">
        <f>IF(F3="1",SUMIF(Data!A:A,'7'!$A$2,Data!ED:ED),0)</f>
        <v>0</v>
      </c>
      <c r="F72" s="22">
        <f t="shared" si="5"/>
        <v>0</v>
      </c>
    </row>
    <row r="73" spans="1:6" x14ac:dyDescent="0.2">
      <c r="A73" s="20">
        <v>7</v>
      </c>
      <c r="B73" s="202" t="s">
        <v>6</v>
      </c>
      <c r="C73" s="203"/>
      <c r="D73" s="15">
        <f t="shared" si="4"/>
        <v>33427</v>
      </c>
      <c r="E73" s="18">
        <f>IF(F3="1",SUMIF(Data!A:A,'7'!$A$2,Data!EE:EE),0)</f>
        <v>166823</v>
      </c>
      <c r="F73" s="22">
        <f t="shared" si="5"/>
        <v>4.9906662278996023</v>
      </c>
    </row>
    <row r="74" spans="1:6" x14ac:dyDescent="0.2">
      <c r="A74" s="20">
        <v>8</v>
      </c>
      <c r="B74" s="202" t="s">
        <v>7</v>
      </c>
      <c r="C74" s="203"/>
      <c r="D74" s="15">
        <f t="shared" si="4"/>
        <v>68704</v>
      </c>
      <c r="E74" s="18">
        <f>IF(F3="1",SUMIF(Data!A:A,'7'!$A$2,Data!EF:EF),0)</f>
        <v>265324</v>
      </c>
      <c r="F74" s="22">
        <f t="shared" si="5"/>
        <v>3.861842105263158</v>
      </c>
    </row>
    <row r="75" spans="1:6" x14ac:dyDescent="0.2">
      <c r="A75" s="20">
        <v>9</v>
      </c>
      <c r="B75" s="202" t="s">
        <v>8</v>
      </c>
      <c r="C75" s="203"/>
      <c r="D75" s="15">
        <f t="shared" si="4"/>
        <v>25090</v>
      </c>
      <c r="E75" s="18">
        <f>IF(F3="1",SUMIF(Data!A:A,'7'!$A$2,Data!EG:EG),0)</f>
        <v>96571</v>
      </c>
      <c r="F75" s="22">
        <f t="shared" si="5"/>
        <v>3.8489836588282182</v>
      </c>
    </row>
    <row r="76" spans="1:6" x14ac:dyDescent="0.2">
      <c r="A76" s="20">
        <v>10</v>
      </c>
      <c r="B76" s="202" t="s">
        <v>9</v>
      </c>
      <c r="C76" s="203"/>
      <c r="D76" s="15">
        <f t="shared" si="4"/>
        <v>0</v>
      </c>
      <c r="E76" s="18">
        <f>IF(F3="1",SUMIF(Data!A:A,'7'!$A$2,Data!EH:EH),0)</f>
        <v>0</v>
      </c>
      <c r="F76" s="22" t="str">
        <f t="shared" si="5"/>
        <v/>
      </c>
    </row>
    <row r="77" spans="1:6" x14ac:dyDescent="0.2">
      <c r="A77" s="20">
        <v>11</v>
      </c>
      <c r="B77" s="202" t="s">
        <v>10</v>
      </c>
      <c r="C77" s="203"/>
      <c r="D77" s="15">
        <f t="shared" si="4"/>
        <v>117664</v>
      </c>
      <c r="E77" s="18">
        <f>IF(F3="1",SUMIF(Data!A:A,'7'!$A$2,Data!EI:EI),0)</f>
        <v>223324</v>
      </c>
      <c r="F77" s="22">
        <f t="shared" si="5"/>
        <v>1.8979806907805277</v>
      </c>
    </row>
    <row r="78" spans="1:6" ht="14.25" customHeight="1" x14ac:dyDescent="0.2">
      <c r="A78" s="20">
        <v>12</v>
      </c>
      <c r="B78" s="202" t="s">
        <v>11</v>
      </c>
      <c r="C78" s="203"/>
      <c r="D78" s="15">
        <f t="shared" si="4"/>
        <v>159040</v>
      </c>
      <c r="E78" s="18">
        <f>IF(F3="1",SUMIF(Data!A:A,'7'!$A$2,Data!EJ:EJ),0)</f>
        <v>611052</v>
      </c>
      <c r="F78" s="22">
        <f t="shared" si="5"/>
        <v>3.8421277665995976</v>
      </c>
    </row>
    <row r="79" spans="1:6" x14ac:dyDescent="0.2">
      <c r="A79" s="20">
        <v>13</v>
      </c>
      <c r="B79" s="202" t="s">
        <v>12</v>
      </c>
      <c r="C79" s="203"/>
      <c r="D79" s="15">
        <f t="shared" si="4"/>
        <v>12797</v>
      </c>
      <c r="E79" s="18">
        <f>IF(F3="1",SUMIF(Data!A:A,'7'!$A$2,Data!EK:EK),0)</f>
        <v>47698</v>
      </c>
      <c r="F79" s="22">
        <f t="shared" si="5"/>
        <v>3.7272798312104398</v>
      </c>
    </row>
    <row r="80" spans="1:6" ht="14.25" customHeight="1" x14ac:dyDescent="0.2">
      <c r="A80" s="20">
        <v>14</v>
      </c>
      <c r="B80" s="202" t="s">
        <v>449</v>
      </c>
      <c r="C80" s="203"/>
      <c r="D80" s="15">
        <f t="shared" si="4"/>
        <v>50536</v>
      </c>
      <c r="E80" s="18">
        <f>IF(F3="1",SUMIF(Data!A:A,'7'!$A$2,Data!EL:EL),0)</f>
        <v>233109</v>
      </c>
      <c r="F80" s="22">
        <f t="shared" si="5"/>
        <v>4.6127315181256927</v>
      </c>
    </row>
    <row r="81" spans="1:6" x14ac:dyDescent="0.2">
      <c r="A81" s="20">
        <v>15</v>
      </c>
      <c r="B81" s="202" t="s">
        <v>13</v>
      </c>
      <c r="C81" s="203"/>
      <c r="D81" s="15">
        <f t="shared" si="4"/>
        <v>0</v>
      </c>
      <c r="E81" s="18">
        <f>IF(F3="1",SUMIF(Data!A:A,'7'!$A$2,Data!EM:EM),0)</f>
        <v>0</v>
      </c>
      <c r="F81" s="22" t="str">
        <f t="shared" si="5"/>
        <v/>
      </c>
    </row>
    <row r="82" spans="1:6" x14ac:dyDescent="0.2">
      <c r="A82" s="20">
        <v>16</v>
      </c>
      <c r="B82" s="202" t="s">
        <v>14</v>
      </c>
      <c r="C82" s="203"/>
      <c r="D82" s="15">
        <f t="shared" si="4"/>
        <v>42002</v>
      </c>
      <c r="E82" s="18">
        <f>IF(F3="1",SUMIF(Data!A:A,'7'!$A$2,Data!EN:EN),0)</f>
        <v>239265</v>
      </c>
      <c r="F82" s="22">
        <f t="shared" si="5"/>
        <v>5.6965144516927761</v>
      </c>
    </row>
    <row r="83" spans="1:6" x14ac:dyDescent="0.2">
      <c r="A83" s="20">
        <v>17</v>
      </c>
      <c r="B83" s="202" t="s">
        <v>15</v>
      </c>
      <c r="C83" s="203"/>
      <c r="D83" s="15">
        <f t="shared" si="4"/>
        <v>0</v>
      </c>
      <c r="E83" s="18">
        <f>IF(F3="1",SUMIF(Data!A:A,'7'!$A$2,Data!EO:EO),0)</f>
        <v>0</v>
      </c>
      <c r="F83" s="22" t="str">
        <f t="shared" si="5"/>
        <v/>
      </c>
    </row>
    <row r="84" spans="1:6" x14ac:dyDescent="0.2">
      <c r="A84" s="20">
        <v>18</v>
      </c>
      <c r="B84" s="202" t="s">
        <v>16</v>
      </c>
      <c r="C84" s="203"/>
      <c r="D84" s="15">
        <f t="shared" si="4"/>
        <v>21120</v>
      </c>
      <c r="E84" s="18">
        <f>IF(F3="1",SUMIF(Data!A:A,'7'!$A$2,Data!EP:EP),0)</f>
        <v>234296</v>
      </c>
      <c r="F84" s="22">
        <f t="shared" si="5"/>
        <v>11.093560606060606</v>
      </c>
    </row>
    <row r="85" spans="1:6" x14ac:dyDescent="0.2">
      <c r="A85" s="20">
        <v>19</v>
      </c>
      <c r="B85" s="202" t="s">
        <v>17</v>
      </c>
      <c r="C85" s="203"/>
      <c r="D85" s="15">
        <f t="shared" si="4"/>
        <v>80016</v>
      </c>
      <c r="E85" s="18">
        <f>IF(F3="1",SUMIF(Data!A:A,'7'!$A$2,Data!EQ:EQ),0)</f>
        <v>254605</v>
      </c>
      <c r="F85" s="22">
        <f t="shared" si="5"/>
        <v>3.1819261147770446</v>
      </c>
    </row>
    <row r="86" spans="1:6" x14ac:dyDescent="0.2">
      <c r="A86" s="20">
        <v>20</v>
      </c>
      <c r="B86" s="202" t="s">
        <v>18</v>
      </c>
      <c r="C86" s="203"/>
      <c r="D86" s="15">
        <f t="shared" si="4"/>
        <v>18832</v>
      </c>
      <c r="E86" s="18">
        <f>IF(F3="1",SUMIF(Data!A:A,'7'!$A$2,Data!ER:ER),0)</f>
        <v>87092</v>
      </c>
      <c r="F86" s="22">
        <f t="shared" si="5"/>
        <v>4.624681393372982</v>
      </c>
    </row>
    <row r="87" spans="1:6" ht="14.25" customHeight="1" x14ac:dyDescent="0.2">
      <c r="A87" s="20">
        <v>21</v>
      </c>
      <c r="B87" s="202" t="s">
        <v>446</v>
      </c>
      <c r="C87" s="203"/>
      <c r="D87" s="15">
        <f t="shared" si="4"/>
        <v>0</v>
      </c>
      <c r="E87" s="18">
        <f>IF(F3="1",SUMIF(Data!A:A,'7'!$A$2,Data!ES:ES),0)</f>
        <v>0</v>
      </c>
      <c r="F87" s="22" t="str">
        <f t="shared" si="5"/>
        <v/>
      </c>
    </row>
    <row r="88" spans="1:6" x14ac:dyDescent="0.2">
      <c r="A88" s="20">
        <v>22</v>
      </c>
      <c r="B88" s="202" t="s">
        <v>19</v>
      </c>
      <c r="C88" s="203"/>
      <c r="D88" s="15">
        <f t="shared" si="4"/>
        <v>1120</v>
      </c>
      <c r="E88" s="18">
        <f>IF(F3="1",SUMIF(Data!A:A,'7'!$A$2,Data!ET:ET),0)</f>
        <v>3438</v>
      </c>
      <c r="F88" s="22">
        <f t="shared" si="5"/>
        <v>3.0696428571428571</v>
      </c>
    </row>
    <row r="89" spans="1:6" x14ac:dyDescent="0.2">
      <c r="A89" s="20">
        <v>23</v>
      </c>
      <c r="B89" s="202" t="s">
        <v>20</v>
      </c>
      <c r="C89" s="203"/>
      <c r="D89" s="15">
        <f t="shared" si="4"/>
        <v>0</v>
      </c>
      <c r="E89" s="18">
        <f>IF(F3="1",SUMIF(Data!A:A,'7'!$A$2,Data!EU:EU),0)</f>
        <v>0</v>
      </c>
      <c r="F89" s="22" t="str">
        <f t="shared" si="5"/>
        <v/>
      </c>
    </row>
    <row r="90" spans="1:6" x14ac:dyDescent="0.2">
      <c r="A90" s="20">
        <v>24</v>
      </c>
      <c r="B90" s="202" t="s">
        <v>21</v>
      </c>
      <c r="C90" s="203"/>
      <c r="D90" s="15">
        <f t="shared" si="4"/>
        <v>43040</v>
      </c>
      <c r="E90" s="18">
        <f>IF(F3="1",SUMIF(Data!A:A,'7'!$A$2,Data!EV:EV),0)</f>
        <v>144140</v>
      </c>
      <c r="F90" s="22">
        <f t="shared" si="5"/>
        <v>3.3489776951672861</v>
      </c>
    </row>
    <row r="91" spans="1:6" x14ac:dyDescent="0.2">
      <c r="A91" s="20">
        <v>25</v>
      </c>
      <c r="B91" s="202" t="s">
        <v>22</v>
      </c>
      <c r="C91" s="203"/>
      <c r="D91" s="15">
        <f t="shared" si="4"/>
        <v>310512</v>
      </c>
      <c r="E91" s="18">
        <f>IF(F3="1",SUMIF(Data!A:A,'7'!$A$2,Data!EW:EW),0)</f>
        <v>1214458</v>
      </c>
      <c r="F91" s="22">
        <f t="shared" si="5"/>
        <v>3.9111467511722573</v>
      </c>
    </row>
    <row r="92" spans="1:6" x14ac:dyDescent="0.2">
      <c r="A92" s="20">
        <v>26</v>
      </c>
      <c r="B92" s="202" t="s">
        <v>23</v>
      </c>
      <c r="C92" s="203"/>
      <c r="D92" s="15">
        <f t="shared" si="4"/>
        <v>62723</v>
      </c>
      <c r="E92" s="18">
        <f>IF(F3="1",SUMIF(Data!A:A,'7'!$A$2,Data!EX:EX),0)</f>
        <v>322781</v>
      </c>
      <c r="F92" s="22">
        <f t="shared" si="5"/>
        <v>5.1461345917765415</v>
      </c>
    </row>
    <row r="93" spans="1:6" x14ac:dyDescent="0.2">
      <c r="A93" s="20">
        <v>28</v>
      </c>
      <c r="B93" s="202" t="s">
        <v>24</v>
      </c>
      <c r="C93" s="203"/>
      <c r="D93" s="15">
        <f t="shared" si="4"/>
        <v>99600</v>
      </c>
      <c r="E93" s="18">
        <f>IF(F3="1",SUMIF(Data!A:A,'7'!$A$2,Data!EZ:EZ),0)</f>
        <v>316919</v>
      </c>
      <c r="F93" s="22">
        <f t="shared" si="5"/>
        <v>3.181917670682731</v>
      </c>
    </row>
    <row r="94" spans="1:6" ht="15.75" customHeight="1" thickBot="1" x14ac:dyDescent="0.25">
      <c r="A94" s="23">
        <v>29</v>
      </c>
      <c r="B94" s="206" t="s">
        <v>25</v>
      </c>
      <c r="C94" s="207"/>
      <c r="D94" s="24">
        <f t="shared" si="4"/>
        <v>22560</v>
      </c>
      <c r="E94" s="25">
        <f>IF(F3="1",SUMIF(Data!A:A,'7'!$A$2,Data!FA:FA),0)</f>
        <v>86678</v>
      </c>
      <c r="F94" s="26">
        <f t="shared" si="5"/>
        <v>3.8421099290780143</v>
      </c>
    </row>
    <row r="95" spans="1:6" x14ac:dyDescent="0.2">
      <c r="B95" s="31" t="s">
        <v>35</v>
      </c>
      <c r="C95" s="31"/>
      <c r="D95" s="60">
        <f>SUM(D67:D94)</f>
        <v>1715665</v>
      </c>
      <c r="E95" s="32">
        <f>SUM(E67:E94)</f>
        <v>6460448</v>
      </c>
      <c r="F95" s="33">
        <f t="shared" si="5"/>
        <v>3.7655649558625957</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IF(F3="1",SUMIF(Data!A:A,'7'!$A$2,Data!AH:AH),0)</f>
        <v>4655077</v>
      </c>
      <c r="F98" s="21">
        <f t="shared" ref="F98:F105" si="6">IFERROR(E98/$D$95,0)</f>
        <v>2.7132785246537057</v>
      </c>
    </row>
    <row r="99" spans="2:6" x14ac:dyDescent="0.2">
      <c r="B99" s="212" t="s">
        <v>31</v>
      </c>
      <c r="C99" s="213"/>
      <c r="D99" s="37"/>
      <c r="E99" s="18">
        <f>IF(F3="1",SUMIF(Data!A:A,'7'!$A$2,Data!AI:AI),0)</f>
        <v>1755541</v>
      </c>
      <c r="F99" s="22">
        <f t="shared" si="6"/>
        <v>1.0232422996330868</v>
      </c>
    </row>
    <row r="100" spans="2:6" x14ac:dyDescent="0.2">
      <c r="B100" s="212" t="s">
        <v>32</v>
      </c>
      <c r="C100" s="213"/>
      <c r="D100" s="37"/>
      <c r="E100" s="18">
        <f>IF(F3="1",SUMIF(Data!A:A,'7'!$A$2,Data!AJ:AJ),0)</f>
        <v>1424293</v>
      </c>
      <c r="F100" s="22">
        <f t="shared" si="6"/>
        <v>0.83016964267499771</v>
      </c>
    </row>
    <row r="101" spans="2:6" x14ac:dyDescent="0.2">
      <c r="B101" s="212" t="s">
        <v>28</v>
      </c>
      <c r="C101" s="213"/>
      <c r="D101" s="37"/>
      <c r="E101" s="18">
        <f>IF(F3="1",SUMIF(Data!A:A,'7'!$A$2,Data!AK:AK),0)</f>
        <v>0</v>
      </c>
      <c r="F101" s="22">
        <f t="shared" si="6"/>
        <v>0</v>
      </c>
    </row>
    <row r="102" spans="2:6" x14ac:dyDescent="0.2">
      <c r="B102" s="212" t="s">
        <v>33</v>
      </c>
      <c r="C102" s="213"/>
      <c r="D102" s="37"/>
      <c r="E102" s="18">
        <f>IF(F3="1",SUMIF(Data!A:A,'7'!$A$2,Data!AL:AL),0)</f>
        <v>98461</v>
      </c>
      <c r="F102" s="22">
        <f t="shared" si="6"/>
        <v>5.7389408771525909E-2</v>
      </c>
    </row>
    <row r="103" spans="2:6" x14ac:dyDescent="0.2">
      <c r="B103" s="214" t="s">
        <v>34</v>
      </c>
      <c r="C103" s="215"/>
      <c r="D103" s="37"/>
      <c r="E103" s="18">
        <f>IF(F3="1",SUMIF(Data!A:A,'7'!$A$2,Data!AM:AM),0)</f>
        <v>363463</v>
      </c>
      <c r="F103" s="22">
        <f t="shared" si="6"/>
        <v>0.21184963264973056</v>
      </c>
    </row>
    <row r="104" spans="2:6" ht="15.75" customHeight="1" thickBot="1" x14ac:dyDescent="0.25">
      <c r="B104" s="208" t="s">
        <v>29</v>
      </c>
      <c r="C104" s="209"/>
      <c r="D104" s="38"/>
      <c r="E104" s="25">
        <f>IF(F3="1",SUMIF(Data!A:A,'7'!$A$2,Data!Q:Q),0)</f>
        <v>877254</v>
      </c>
      <c r="F104" s="26">
        <f t="shared" si="6"/>
        <v>0.51132010036924458</v>
      </c>
    </row>
    <row r="105" spans="2:6" x14ac:dyDescent="0.2">
      <c r="B105" s="31" t="s">
        <v>35</v>
      </c>
      <c r="C105" s="31"/>
      <c r="D105" s="35">
        <f>D95</f>
        <v>1715665</v>
      </c>
      <c r="E105" s="32">
        <f>SUM(E98:E104)</f>
        <v>9174089</v>
      </c>
      <c r="F105" s="33">
        <f t="shared" si="6"/>
        <v>5.3472496087522918</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6">
        <f>E95+IF(F3="1",SUMIF(Data!$A:$A,$A$2,Data!GF:GF),0)</f>
        <v>7704108</v>
      </c>
      <c r="D109" s="192">
        <f>IF(F3="1",SUMIF(Data!$A:$A,$A$2,Data!HJ:HJ),0)</f>
        <v>1092845</v>
      </c>
      <c r="E109" s="196">
        <f>IF(F3="1",SUMIF(Data!$A:$A,$A$2,Data!IN:IN),0)</f>
        <v>2990415</v>
      </c>
      <c r="F109" s="48">
        <f>SUM(C109:E109)</f>
        <v>11787368</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63125</v>
      </c>
      <c r="D111" s="52"/>
      <c r="E111" s="193">
        <f>IF(F3="1",SUMIF(Data!A:A,$A$2,Data!AX:AX)-SUMIF(Data!A:A,$A$2,Data!AW:AW),0)</f>
        <v>2294</v>
      </c>
      <c r="F111" s="49">
        <f t="shared" si="7"/>
        <v>65419</v>
      </c>
    </row>
    <row r="112" spans="2:6" x14ac:dyDescent="0.2">
      <c r="B112" s="43" t="s">
        <v>32</v>
      </c>
      <c r="C112" s="193">
        <f>IF(F3="1",SUMIF(Data!A:A,$A$2,Data!V:V),0)</f>
        <v>774793</v>
      </c>
      <c r="D112" s="52"/>
      <c r="E112" s="193">
        <f>IF(F3="1",SUMIF(Data!A:A,$A$2,Data!AC:AC),0)</f>
        <v>649500</v>
      </c>
      <c r="F112" s="49">
        <f t="shared" si="7"/>
        <v>1424293</v>
      </c>
    </row>
    <row r="113" spans="1:6" x14ac:dyDescent="0.2">
      <c r="B113" s="43" t="s">
        <v>31</v>
      </c>
      <c r="C113" s="193">
        <f>IF(F3="1",SUMIF(Data!A:A,$A$2,Data!U:U),0)</f>
        <v>1525090</v>
      </c>
      <c r="D113" s="52"/>
      <c r="E113" s="193">
        <f>IF(F3="1",SUMIF(Data!A:A,$A$2,Data!AB:AB),0)</f>
        <v>230451</v>
      </c>
      <c r="F113" s="49">
        <f t="shared" si="7"/>
        <v>1755541</v>
      </c>
    </row>
    <row r="114" spans="1:6" x14ac:dyDescent="0.2">
      <c r="B114" s="43" t="s">
        <v>1002</v>
      </c>
      <c r="C114" s="193">
        <f>IF(F3="1",SUMIF(Data!A:A,$A$2,Data!T:T),0)</f>
        <v>3083768</v>
      </c>
      <c r="D114" s="52"/>
      <c r="E114" s="193">
        <f>IF(F3="1",SUMIF(Data!A:A,$A$2,Data!AA:AA),0)</f>
        <v>1571309</v>
      </c>
      <c r="F114" s="49">
        <f t="shared" si="7"/>
        <v>4655077</v>
      </c>
    </row>
    <row r="115" spans="1:6" x14ac:dyDescent="0.2">
      <c r="B115" s="43" t="s">
        <v>916</v>
      </c>
      <c r="C115" s="193">
        <f>IF(F3="1",SUMIF(Data!A:A,$A$2,Data!BI:BI),0)</f>
        <v>417192</v>
      </c>
      <c r="D115" s="193">
        <f>IF(F3="1",SUMIF(Data!A:A,$A$2,Data!BL:BL),0)</f>
        <v>147566</v>
      </c>
      <c r="E115" s="193">
        <f>IF(F3="1",SUMIF(Data!A:A,$A$2,Data!BU:BU)-SUMIF(Data!A:A,$A$2,Data!BT:BT),0)</f>
        <v>3016949</v>
      </c>
      <c r="F115" s="49">
        <f t="shared" si="7"/>
        <v>3581707</v>
      </c>
    </row>
    <row r="116" spans="1:6" x14ac:dyDescent="0.2">
      <c r="B116" s="43" t="s">
        <v>33</v>
      </c>
      <c r="C116" s="193">
        <f>IF(F3="1",SUMIF(Data!A:A,$A$2,Data!X:X),0)</f>
        <v>3005</v>
      </c>
      <c r="D116" s="51"/>
      <c r="E116" s="193">
        <f>E102-C116</f>
        <v>95456</v>
      </c>
      <c r="F116" s="49">
        <f t="shared" si="7"/>
        <v>98461</v>
      </c>
    </row>
    <row r="117" spans="1:6" ht="15" thickBot="1" x14ac:dyDescent="0.25">
      <c r="B117" s="44" t="s">
        <v>920</v>
      </c>
      <c r="C117" s="53"/>
      <c r="D117" s="53">
        <f>IF(F3="1",SUMIF(Data!A:A,$A$2,Data!Q:Q),0)</f>
        <v>877254</v>
      </c>
      <c r="E117" s="53"/>
      <c r="F117" s="50">
        <f>SUM(C117:E117)</f>
        <v>877254</v>
      </c>
    </row>
    <row r="118" spans="1:6" x14ac:dyDescent="0.2">
      <c r="B118" s="14" t="s">
        <v>35</v>
      </c>
      <c r="C118" s="178">
        <f>SUM(C109:C117)</f>
        <v>13571081</v>
      </c>
      <c r="D118" s="194">
        <f>SUM(D109:D117)</f>
        <v>2117665</v>
      </c>
      <c r="E118" s="178">
        <f>SUM(E109:E117)</f>
        <v>8556374</v>
      </c>
      <c r="F118" s="178">
        <f>SUM(F109:F117)</f>
        <v>24245120</v>
      </c>
    </row>
    <row r="119" spans="1:6" x14ac:dyDescent="0.2">
      <c r="C119" s="183"/>
      <c r="D119" s="182"/>
      <c r="E119" s="183"/>
    </row>
    <row r="120" spans="1:6" ht="15" thickBot="1" x14ac:dyDescent="0.25">
      <c r="B120" s="188" t="s">
        <v>921</v>
      </c>
      <c r="C120" s="53"/>
      <c r="D120" s="53"/>
      <c r="E120" s="195">
        <f>IF(F3="1",SUMIF(Data!A:A,$A$2,Data!AF:AF)+SUMIF(Data!A:A,$A$2,Data!AW:AW)+SUMIF(Data!A:A,$A$2,Data!BT:BT),0)</f>
        <v>363463</v>
      </c>
      <c r="F120" s="181">
        <f>SUM(C120:E120)</f>
        <v>363463</v>
      </c>
    </row>
    <row r="121" spans="1:6" s="177" customFormat="1" x14ac:dyDescent="0.2">
      <c r="B121" s="14" t="s">
        <v>35</v>
      </c>
      <c r="C121" s="178">
        <f>SUM(C120:C120)</f>
        <v>0</v>
      </c>
      <c r="D121" s="178">
        <f>SUM(D120:D120)</f>
        <v>0</v>
      </c>
      <c r="E121" s="178">
        <f>SUM(E120:E120)</f>
        <v>363463</v>
      </c>
      <c r="F121" s="178">
        <f>SUM(F120:F120)</f>
        <v>363463</v>
      </c>
    </row>
    <row r="122" spans="1:6" s="177" customFormat="1" ht="15" thickBot="1" x14ac:dyDescent="0.25">
      <c r="B122" s="14" t="s">
        <v>1396</v>
      </c>
      <c r="C122" s="178"/>
      <c r="D122" s="178"/>
      <c r="E122" s="178"/>
      <c r="F122" s="190">
        <f>F118+F121</f>
        <v>24608583</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412</v>
      </c>
      <c r="B2" s="59" t="str">
        <f>VLOOKUP(A2,Data!A:G,7,0)</f>
        <v>Central Texas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87104</v>
      </c>
      <c r="E5" s="16">
        <f>E36+E67+IFERROR($E$105/$D$105*D5,0)</f>
        <v>497533.49479249469</v>
      </c>
      <c r="F5" s="21">
        <f>IFERROR(E5/D5,"")</f>
        <v>5.7119477267690888</v>
      </c>
    </row>
    <row r="6" spans="1:6" x14ac:dyDescent="0.2">
      <c r="A6" s="20">
        <v>2</v>
      </c>
      <c r="B6" s="202" t="s">
        <v>1</v>
      </c>
      <c r="C6" s="203"/>
      <c r="D6" s="15">
        <f t="shared" ref="D6:D32" si="0">D37</f>
        <v>138878</v>
      </c>
      <c r="E6" s="18">
        <f t="shared" ref="E6:E32" si="1">E37+E68+IFERROR($E$105/$D$105*D6,0)</f>
        <v>809980.45965503389</v>
      </c>
      <c r="F6" s="22">
        <f t="shared" ref="F6:F33" si="2">IFERROR(E6/D6,"")</f>
        <v>5.8323165631347935</v>
      </c>
    </row>
    <row r="7" spans="1:6" ht="14.25" customHeight="1" x14ac:dyDescent="0.2">
      <c r="A7" s="20">
        <v>3</v>
      </c>
      <c r="B7" s="202" t="s">
        <v>2</v>
      </c>
      <c r="C7" s="203"/>
      <c r="D7" s="15">
        <f t="shared" si="0"/>
        <v>341856</v>
      </c>
      <c r="E7" s="18">
        <f t="shared" si="1"/>
        <v>2139245.5991433579</v>
      </c>
      <c r="F7" s="22">
        <f t="shared" si="2"/>
        <v>6.2577389285060319</v>
      </c>
    </row>
    <row r="8" spans="1:6" ht="14.25" customHeight="1" x14ac:dyDescent="0.2">
      <c r="A8" s="20">
        <v>4</v>
      </c>
      <c r="B8" s="202" t="s">
        <v>3</v>
      </c>
      <c r="C8" s="203"/>
      <c r="D8" s="15">
        <f t="shared" si="0"/>
        <v>828571</v>
      </c>
      <c r="E8" s="18">
        <f t="shared" si="1"/>
        <v>5208814.6234812653</v>
      </c>
      <c r="F8" s="22">
        <f t="shared" si="2"/>
        <v>6.2865036592896271</v>
      </c>
    </row>
    <row r="9" spans="1:6" x14ac:dyDescent="0.2">
      <c r="A9" s="20">
        <v>5</v>
      </c>
      <c r="B9" s="202" t="s">
        <v>4</v>
      </c>
      <c r="C9" s="203"/>
      <c r="D9" s="15">
        <f t="shared" si="0"/>
        <v>24974</v>
      </c>
      <c r="E9" s="18">
        <f t="shared" si="1"/>
        <v>1037266.5464611013</v>
      </c>
      <c r="F9" s="22">
        <f t="shared" si="2"/>
        <v>41.533857069796639</v>
      </c>
    </row>
    <row r="10" spans="1:6" x14ac:dyDescent="0.2">
      <c r="A10" s="20">
        <v>6</v>
      </c>
      <c r="B10" s="202" t="s">
        <v>5</v>
      </c>
      <c r="C10" s="203"/>
      <c r="D10" s="15">
        <f t="shared" si="0"/>
        <v>27824</v>
      </c>
      <c r="E10" s="18">
        <f t="shared" si="1"/>
        <v>785044.97528364218</v>
      </c>
      <c r="F10" s="22">
        <f t="shared" si="2"/>
        <v>28.214669899498354</v>
      </c>
    </row>
    <row r="11" spans="1:6" x14ac:dyDescent="0.2">
      <c r="A11" s="20">
        <v>7</v>
      </c>
      <c r="B11" s="202" t="s">
        <v>6</v>
      </c>
      <c r="C11" s="203"/>
      <c r="D11" s="15">
        <f t="shared" si="0"/>
        <v>505016</v>
      </c>
      <c r="E11" s="18">
        <f t="shared" si="1"/>
        <v>3454941.7523664413</v>
      </c>
      <c r="F11" s="22">
        <f t="shared" si="2"/>
        <v>6.8412520640265679</v>
      </c>
    </row>
    <row r="12" spans="1:6" x14ac:dyDescent="0.2">
      <c r="A12" s="20">
        <v>8</v>
      </c>
      <c r="B12" s="202" t="s">
        <v>7</v>
      </c>
      <c r="C12" s="203"/>
      <c r="D12" s="15">
        <f t="shared" si="0"/>
        <v>55080</v>
      </c>
      <c r="E12" s="18">
        <f t="shared" si="1"/>
        <v>239477.78229668681</v>
      </c>
      <c r="F12" s="22">
        <f t="shared" si="2"/>
        <v>4.3478173982695498</v>
      </c>
    </row>
    <row r="13" spans="1:6" x14ac:dyDescent="0.2">
      <c r="A13" s="20">
        <v>9</v>
      </c>
      <c r="B13" s="202" t="s">
        <v>8</v>
      </c>
      <c r="C13" s="203"/>
      <c r="D13" s="15">
        <f t="shared" si="0"/>
        <v>178818</v>
      </c>
      <c r="E13" s="18">
        <f t="shared" si="1"/>
        <v>1786184.8130488188</v>
      </c>
      <c r="F13" s="22">
        <f t="shared" si="2"/>
        <v>9.9888423595433284</v>
      </c>
    </row>
    <row r="14" spans="1:6" x14ac:dyDescent="0.2">
      <c r="A14" s="20">
        <v>10</v>
      </c>
      <c r="B14" s="202" t="s">
        <v>9</v>
      </c>
      <c r="C14" s="203"/>
      <c r="D14" s="15">
        <f t="shared" si="0"/>
        <v>2272</v>
      </c>
      <c r="E14" s="18">
        <f t="shared" si="1"/>
        <v>13073.673082390567</v>
      </c>
      <c r="F14" s="22">
        <f t="shared" si="2"/>
        <v>5.7542575186578198</v>
      </c>
    </row>
    <row r="15" spans="1:6" x14ac:dyDescent="0.2">
      <c r="A15" s="20">
        <v>11</v>
      </c>
      <c r="B15" s="202" t="s">
        <v>10</v>
      </c>
      <c r="C15" s="203"/>
      <c r="D15" s="15">
        <f t="shared" si="0"/>
        <v>154575</v>
      </c>
      <c r="E15" s="18">
        <f t="shared" si="1"/>
        <v>651012.81061202544</v>
      </c>
      <c r="F15" s="22">
        <f t="shared" si="2"/>
        <v>4.2116306686852685</v>
      </c>
    </row>
    <row r="16" spans="1:6" ht="14.25" customHeight="1" x14ac:dyDescent="0.2">
      <c r="A16" s="20">
        <v>12</v>
      </c>
      <c r="B16" s="202" t="s">
        <v>11</v>
      </c>
      <c r="C16" s="203"/>
      <c r="D16" s="15">
        <f t="shared" si="0"/>
        <v>739248</v>
      </c>
      <c r="E16" s="18">
        <f t="shared" si="1"/>
        <v>5063698.3691950096</v>
      </c>
      <c r="F16" s="22">
        <f t="shared" si="2"/>
        <v>6.8497965083368637</v>
      </c>
    </row>
    <row r="17" spans="1:6" x14ac:dyDescent="0.2">
      <c r="A17" s="20">
        <v>13</v>
      </c>
      <c r="B17" s="202" t="s">
        <v>12</v>
      </c>
      <c r="C17" s="203"/>
      <c r="D17" s="15">
        <f t="shared" si="0"/>
        <v>171120</v>
      </c>
      <c r="E17" s="18">
        <f t="shared" si="1"/>
        <v>1008518.7789870923</v>
      </c>
      <c r="F17" s="22">
        <f t="shared" si="2"/>
        <v>5.8936347533140037</v>
      </c>
    </row>
    <row r="18" spans="1:6" ht="14.25" customHeight="1" x14ac:dyDescent="0.2">
      <c r="A18" s="20">
        <v>14</v>
      </c>
      <c r="B18" s="202" t="s">
        <v>449</v>
      </c>
      <c r="C18" s="203"/>
      <c r="D18" s="15">
        <f t="shared" si="0"/>
        <v>227292</v>
      </c>
      <c r="E18" s="18">
        <f t="shared" si="1"/>
        <v>2497422.9129589424</v>
      </c>
      <c r="F18" s="22">
        <f t="shared" si="2"/>
        <v>10.987729057595262</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195340</v>
      </c>
      <c r="E20" s="18">
        <f t="shared" si="1"/>
        <v>2378252.6302439142</v>
      </c>
      <c r="F20" s="22">
        <f t="shared" si="2"/>
        <v>12.174939235404496</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86912</v>
      </c>
      <c r="E22" s="18">
        <f t="shared" si="1"/>
        <v>890597.01537708146</v>
      </c>
      <c r="F22" s="22">
        <f t="shared" si="2"/>
        <v>10.247112198281958</v>
      </c>
    </row>
    <row r="23" spans="1:6" x14ac:dyDescent="0.2">
      <c r="A23" s="20">
        <v>19</v>
      </c>
      <c r="B23" s="202" t="s">
        <v>17</v>
      </c>
      <c r="C23" s="203"/>
      <c r="D23" s="15">
        <f t="shared" si="0"/>
        <v>294080</v>
      </c>
      <c r="E23" s="18">
        <f t="shared" si="1"/>
        <v>1883861.3046080186</v>
      </c>
      <c r="F23" s="22">
        <f t="shared" si="2"/>
        <v>6.4059483970620876</v>
      </c>
    </row>
    <row r="24" spans="1:6" x14ac:dyDescent="0.2">
      <c r="A24" s="20">
        <v>20</v>
      </c>
      <c r="B24" s="202" t="s">
        <v>18</v>
      </c>
      <c r="C24" s="203"/>
      <c r="D24" s="15">
        <f t="shared" si="0"/>
        <v>37936</v>
      </c>
      <c r="E24" s="18">
        <f t="shared" si="1"/>
        <v>322778.22449540871</v>
      </c>
      <c r="F24" s="22">
        <f t="shared" si="2"/>
        <v>8.5084938974960114</v>
      </c>
    </row>
    <row r="25" spans="1:6" ht="14.25" customHeight="1" x14ac:dyDescent="0.2">
      <c r="A25" s="20">
        <v>21</v>
      </c>
      <c r="B25" s="202" t="s">
        <v>446</v>
      </c>
      <c r="C25" s="203"/>
      <c r="D25" s="15">
        <f t="shared" si="0"/>
        <v>56688</v>
      </c>
      <c r="E25" s="18">
        <f t="shared" si="1"/>
        <v>338105.0474007731</v>
      </c>
      <c r="F25" s="22">
        <f t="shared" si="2"/>
        <v>5.9643142711115775</v>
      </c>
    </row>
    <row r="26" spans="1:6" x14ac:dyDescent="0.2">
      <c r="A26" s="20">
        <v>22</v>
      </c>
      <c r="B26" s="202" t="s">
        <v>19</v>
      </c>
      <c r="C26" s="203"/>
      <c r="D26" s="15">
        <f t="shared" si="0"/>
        <v>13744</v>
      </c>
      <c r="E26" s="18">
        <f t="shared" si="1"/>
        <v>80689.81815333449</v>
      </c>
      <c r="F26" s="22">
        <f t="shared" si="2"/>
        <v>5.870912263775792</v>
      </c>
    </row>
    <row r="27" spans="1:6" x14ac:dyDescent="0.2">
      <c r="A27" s="20">
        <v>23</v>
      </c>
      <c r="B27" s="202" t="s">
        <v>20</v>
      </c>
      <c r="C27" s="203"/>
      <c r="D27" s="15">
        <f t="shared" si="0"/>
        <v>205456</v>
      </c>
      <c r="E27" s="18">
        <f t="shared" si="1"/>
        <v>1388351.5144435018</v>
      </c>
      <c r="F27" s="22">
        <f t="shared" si="2"/>
        <v>6.757415283289375</v>
      </c>
    </row>
    <row r="28" spans="1:6" x14ac:dyDescent="0.2">
      <c r="A28" s="20">
        <v>24</v>
      </c>
      <c r="B28" s="202" t="s">
        <v>21</v>
      </c>
      <c r="C28" s="203"/>
      <c r="D28" s="15">
        <f t="shared" si="0"/>
        <v>204576</v>
      </c>
      <c r="E28" s="18">
        <f t="shared" si="1"/>
        <v>1325375.8171228576</v>
      </c>
      <c r="F28" s="22">
        <f t="shared" si="2"/>
        <v>6.4786476278882059</v>
      </c>
    </row>
    <row r="29" spans="1:6" x14ac:dyDescent="0.2">
      <c r="A29" s="20">
        <v>25</v>
      </c>
      <c r="B29" s="202" t="s">
        <v>22</v>
      </c>
      <c r="C29" s="203"/>
      <c r="D29" s="15">
        <f t="shared" si="0"/>
        <v>1434432</v>
      </c>
      <c r="E29" s="18">
        <f t="shared" si="1"/>
        <v>7403277.7125526704</v>
      </c>
      <c r="F29" s="22">
        <f t="shared" si="2"/>
        <v>5.1611214142968578</v>
      </c>
    </row>
    <row r="30" spans="1:6" x14ac:dyDescent="0.2">
      <c r="A30" s="20">
        <v>26</v>
      </c>
      <c r="B30" s="202" t="s">
        <v>23</v>
      </c>
      <c r="C30" s="203"/>
      <c r="D30" s="15">
        <f t="shared" si="0"/>
        <v>258256</v>
      </c>
      <c r="E30" s="18">
        <f t="shared" si="1"/>
        <v>1467640.353682156</v>
      </c>
      <c r="F30" s="22">
        <f t="shared" si="2"/>
        <v>5.6828896663858961</v>
      </c>
    </row>
    <row r="31" spans="1:6" x14ac:dyDescent="0.2">
      <c r="A31" s="20">
        <v>28</v>
      </c>
      <c r="B31" s="202" t="s">
        <v>24</v>
      </c>
      <c r="C31" s="203"/>
      <c r="D31" s="15">
        <f t="shared" si="0"/>
        <v>434280</v>
      </c>
      <c r="E31" s="18">
        <f t="shared" si="1"/>
        <v>2046114.6277379293</v>
      </c>
      <c r="F31" s="22">
        <f t="shared" si="2"/>
        <v>4.7115101495300946</v>
      </c>
    </row>
    <row r="32" spans="1:6" ht="15.75" customHeight="1" thickBot="1" x14ac:dyDescent="0.25">
      <c r="A32" s="23">
        <v>29</v>
      </c>
      <c r="B32" s="206" t="s">
        <v>25</v>
      </c>
      <c r="C32" s="207"/>
      <c r="D32" s="24">
        <f t="shared" si="0"/>
        <v>189568</v>
      </c>
      <c r="E32" s="25">
        <f t="shared" si="1"/>
        <v>922614.34281805239</v>
      </c>
      <c r="F32" s="26">
        <f t="shared" si="2"/>
        <v>4.8669308259730144</v>
      </c>
    </row>
    <row r="33" spans="1:6" x14ac:dyDescent="0.2">
      <c r="B33" s="31" t="s">
        <v>35</v>
      </c>
      <c r="C33" s="31"/>
      <c r="D33" s="60">
        <f>SUM(D5:D32)</f>
        <v>6893896</v>
      </c>
      <c r="E33" s="32">
        <f>SUM(E5:E32)</f>
        <v>45639874.999999985</v>
      </c>
      <c r="F33" s="33">
        <f t="shared" si="2"/>
        <v>6.6203312321508747</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IF(F3="1",SUMIF(Data!A:A,'8'!$A$2,Data!CU:CU),0)</f>
        <v>87104</v>
      </c>
      <c r="E36" s="16">
        <f>IF(F3="1",SUMIF(Data!$A:$A,'8'!$A$2,Data!IO:IO),0)</f>
        <v>96339</v>
      </c>
      <c r="F36" s="21">
        <f t="shared" ref="F36:F64" si="3">IFERROR(E36/D36,"")</f>
        <v>1.106022685525349</v>
      </c>
    </row>
    <row r="37" spans="1:6" x14ac:dyDescent="0.2">
      <c r="A37" s="20">
        <v>2</v>
      </c>
      <c r="B37" s="202" t="s">
        <v>1</v>
      </c>
      <c r="C37" s="203"/>
      <c r="D37" s="15">
        <f>IF(F3="1",SUMIF(Data!A:A,'8'!$A$2,Data!CV:CV),0)</f>
        <v>138878</v>
      </c>
      <c r="E37" s="18">
        <f>IF(F3="1",SUMIF(Data!$A:$A,'8'!$A$2,Data!IP:IP),0)</f>
        <v>226453</v>
      </c>
      <c r="F37" s="22">
        <f t="shared" si="3"/>
        <v>1.6305894382119559</v>
      </c>
    </row>
    <row r="38" spans="1:6" ht="14.25" customHeight="1" x14ac:dyDescent="0.2">
      <c r="A38" s="20">
        <v>3</v>
      </c>
      <c r="B38" s="202" t="s">
        <v>2</v>
      </c>
      <c r="C38" s="203"/>
      <c r="D38" s="15">
        <f>IF(F3="1",SUMIF(Data!A:A,'8'!$A$2,Data!CW:CW),0)</f>
        <v>341856</v>
      </c>
      <c r="E38" s="18">
        <f>IF(F3="1",SUMIF(Data!$A:$A,'8'!$A$2,Data!IQ:IQ),0)</f>
        <v>294567</v>
      </c>
      <c r="F38" s="22">
        <f t="shared" si="3"/>
        <v>0.86166982589160346</v>
      </c>
    </row>
    <row r="39" spans="1:6" ht="14.25" customHeight="1" x14ac:dyDescent="0.2">
      <c r="A39" s="20">
        <v>4</v>
      </c>
      <c r="B39" s="202" t="s">
        <v>3</v>
      </c>
      <c r="C39" s="203"/>
      <c r="D39" s="15">
        <f>IF(F3="1",SUMIF(Data!A:A,'8'!$A$2,Data!CX:CX),0)</f>
        <v>828571</v>
      </c>
      <c r="E39" s="18">
        <f>IF(F3="1",SUMIF(Data!$A:$A,'8'!$A$2,Data!IR:IR),0)</f>
        <v>1183015</v>
      </c>
      <c r="F39" s="22">
        <f t="shared" si="3"/>
        <v>1.4277774626435151</v>
      </c>
    </row>
    <row r="40" spans="1:6" x14ac:dyDescent="0.2">
      <c r="A40" s="20">
        <v>5</v>
      </c>
      <c r="B40" s="202" t="s">
        <v>4</v>
      </c>
      <c r="C40" s="203"/>
      <c r="D40" s="15">
        <f>IF(F3="1",SUMIF(Data!A:A,'8'!$A$2,Data!CY:CY),0)</f>
        <v>24974</v>
      </c>
      <c r="E40" s="18">
        <f>IF(F3="1",SUMIF(Data!$A:$A,'8'!$A$2,Data!IS:IS),0)</f>
        <v>695023</v>
      </c>
      <c r="F40" s="22">
        <f t="shared" si="3"/>
        <v>27.829863057579882</v>
      </c>
    </row>
    <row r="41" spans="1:6" x14ac:dyDescent="0.2">
      <c r="A41" s="20">
        <v>6</v>
      </c>
      <c r="B41" s="202" t="s">
        <v>5</v>
      </c>
      <c r="C41" s="203"/>
      <c r="D41" s="15">
        <f>IF(F3="1",SUMIF(Data!A:A,'8'!$A$2,Data!CZ:CZ),0)</f>
        <v>27824</v>
      </c>
      <c r="E41" s="18">
        <f>IF(F3="1",SUMIF(Data!$A:$A,'8'!$A$2,Data!IT:IT),0)</f>
        <v>568463</v>
      </c>
      <c r="F41" s="22">
        <f t="shared" si="3"/>
        <v>20.430671362852213</v>
      </c>
    </row>
    <row r="42" spans="1:6" x14ac:dyDescent="0.2">
      <c r="A42" s="20">
        <v>7</v>
      </c>
      <c r="B42" s="202" t="s">
        <v>6</v>
      </c>
      <c r="C42" s="203"/>
      <c r="D42" s="15">
        <f>IF(F3="1",SUMIF(Data!A:A,'8'!$A$2,Data!DA:DA),0)</f>
        <v>505016</v>
      </c>
      <c r="E42" s="18">
        <f>IF(F3="1",SUMIF(Data!$A:$A,'8'!$A$2,Data!IU:IU),0)</f>
        <v>731156</v>
      </c>
      <c r="F42" s="22">
        <f t="shared" si="3"/>
        <v>1.4477877928620084</v>
      </c>
    </row>
    <row r="43" spans="1:6" x14ac:dyDescent="0.2">
      <c r="A43" s="20">
        <v>8</v>
      </c>
      <c r="B43" s="202" t="s">
        <v>7</v>
      </c>
      <c r="C43" s="203"/>
      <c r="D43" s="15">
        <f>IF(F3="1",SUMIF(Data!A:A,'8'!$A$2,Data!DB:DB),0)</f>
        <v>55080</v>
      </c>
      <c r="E43" s="18">
        <f>IF(F3="1",SUMIF(Data!$A:$A,'8'!$A$2,Data!IV:IV),0)</f>
        <v>36214</v>
      </c>
      <c r="F43" s="22">
        <f t="shared" si="3"/>
        <v>0.65748002904865654</v>
      </c>
    </row>
    <row r="44" spans="1:6" x14ac:dyDescent="0.2">
      <c r="A44" s="20">
        <v>9</v>
      </c>
      <c r="B44" s="202" t="s">
        <v>8</v>
      </c>
      <c r="C44" s="203"/>
      <c r="D44" s="15">
        <f>IF(F3="1",SUMIF(Data!A:A,'8'!$A$2,Data!DC:DC),0)</f>
        <v>178818</v>
      </c>
      <c r="E44" s="18">
        <f>IF(F3="1",SUMIF(Data!$A:$A,'8'!$A$2,Data!IW:IW),0)</f>
        <v>511113</v>
      </c>
      <c r="F44" s="22">
        <f t="shared" si="3"/>
        <v>2.8582860785826929</v>
      </c>
    </row>
    <row r="45" spans="1:6" x14ac:dyDescent="0.2">
      <c r="A45" s="20">
        <v>10</v>
      </c>
      <c r="B45" s="202" t="s">
        <v>9</v>
      </c>
      <c r="C45" s="203"/>
      <c r="D45" s="15">
        <f>IF(F3="1",SUMIF(Data!A:A,'8'!$A$2,Data!DD:DD),0)</f>
        <v>2272</v>
      </c>
      <c r="E45" s="18">
        <f>IF(F3="1",SUMIF(Data!$A:$A,'8'!$A$2,Data!IX:IX),0)</f>
        <v>650</v>
      </c>
      <c r="F45" s="22">
        <f t="shared" si="3"/>
        <v>0.28609154929577463</v>
      </c>
    </row>
    <row r="46" spans="1:6" x14ac:dyDescent="0.2">
      <c r="A46" s="20">
        <v>11</v>
      </c>
      <c r="B46" s="202" t="s">
        <v>10</v>
      </c>
      <c r="C46" s="203"/>
      <c r="D46" s="15">
        <f>IF(F3="1",SUMIF(Data!A:A,'8'!$A$2,Data!DE:DE),0)</f>
        <v>154575</v>
      </c>
      <c r="E46" s="18">
        <f>IF(F3="1",SUMIF(Data!$A:$A,'8'!$A$2,Data!IY:IY),0)</f>
        <v>94830</v>
      </c>
      <c r="F46" s="22">
        <f t="shared" si="3"/>
        <v>0.61348859776807374</v>
      </c>
    </row>
    <row r="47" spans="1:6" ht="14.25" customHeight="1" x14ac:dyDescent="0.2">
      <c r="A47" s="20">
        <v>12</v>
      </c>
      <c r="B47" s="202" t="s">
        <v>11</v>
      </c>
      <c r="C47" s="203"/>
      <c r="D47" s="15">
        <f>IF(F3="1",SUMIF(Data!A:A,'8'!$A$2,Data!DF:DF),0)</f>
        <v>739248</v>
      </c>
      <c r="E47" s="18">
        <f>IF(F3="1",SUMIF(Data!$A:$A,'8'!$A$2,Data!IZ:IZ),0)</f>
        <v>558718</v>
      </c>
      <c r="F47" s="22">
        <f t="shared" si="3"/>
        <v>0.75579237278964573</v>
      </c>
    </row>
    <row r="48" spans="1:6" x14ac:dyDescent="0.2">
      <c r="A48" s="20">
        <v>13</v>
      </c>
      <c r="B48" s="202" t="s">
        <v>12</v>
      </c>
      <c r="C48" s="203"/>
      <c r="D48" s="15">
        <f>IF(F3="1",SUMIF(Data!A:A,'8'!$A$2,Data!DG:DG),0)</f>
        <v>171120</v>
      </c>
      <c r="E48" s="18">
        <f>IF(F3="1",SUMIF(Data!$A:$A,'8'!$A$2,Data!JA:JA),0)</f>
        <v>51281</v>
      </c>
      <c r="F48" s="22">
        <f t="shared" si="3"/>
        <v>0.29967858812529219</v>
      </c>
    </row>
    <row r="49" spans="1:6" ht="14.25" customHeight="1" x14ac:dyDescent="0.2">
      <c r="A49" s="20">
        <v>14</v>
      </c>
      <c r="B49" s="202" t="s">
        <v>449</v>
      </c>
      <c r="C49" s="203"/>
      <c r="D49" s="15">
        <f>IF(F3="1",SUMIF(Data!A:A,'8'!$A$2,Data!DH:DH),0)</f>
        <v>227292</v>
      </c>
      <c r="E49" s="18">
        <f>IF(F3="1",SUMIF(Data!$A:$A,'8'!$A$2,Data!JB:JB),0)</f>
        <v>387994</v>
      </c>
      <c r="F49" s="22">
        <f t="shared" si="3"/>
        <v>1.7070288439540326</v>
      </c>
    </row>
    <row r="50" spans="1:6" x14ac:dyDescent="0.2">
      <c r="A50" s="20">
        <v>15</v>
      </c>
      <c r="B50" s="202" t="s">
        <v>13</v>
      </c>
      <c r="C50" s="203"/>
      <c r="D50" s="15">
        <f>IF(F3="1",SUMIF(Data!A:A,'8'!$A$2,Data!DI:DI),0)</f>
        <v>0</v>
      </c>
      <c r="E50" s="18">
        <f>IF(F3="1",SUMIF(Data!$A:$A,'8'!$A$2,Data!JC:JC),0)</f>
        <v>0</v>
      </c>
      <c r="F50" s="22" t="str">
        <f t="shared" si="3"/>
        <v/>
      </c>
    </row>
    <row r="51" spans="1:6" x14ac:dyDescent="0.2">
      <c r="A51" s="20">
        <v>16</v>
      </c>
      <c r="B51" s="202" t="s">
        <v>14</v>
      </c>
      <c r="C51" s="203"/>
      <c r="D51" s="15">
        <f>IF(F3="1",SUMIF(Data!A:A,'8'!$A$2,Data!DJ:DJ),0)</f>
        <v>195340</v>
      </c>
      <c r="E51" s="18">
        <f>IF(F3="1",SUMIF(Data!$A:$A,'8'!$A$2,Data!JD:JD),0)</f>
        <v>862035</v>
      </c>
      <c r="F51" s="22">
        <f t="shared" si="3"/>
        <v>4.4129978499027338</v>
      </c>
    </row>
    <row r="52" spans="1:6" x14ac:dyDescent="0.2">
      <c r="A52" s="20">
        <v>17</v>
      </c>
      <c r="B52" s="202" t="s">
        <v>15</v>
      </c>
      <c r="C52" s="203"/>
      <c r="D52" s="15">
        <f>IF(F3="1",SUMIF(Data!A:A,'8'!$A$2,Data!DK:DK),0)</f>
        <v>0</v>
      </c>
      <c r="E52" s="18">
        <f>IF(F3="1",SUMIF(Data!$A:$A,'8'!$A$2,Data!JE:JE),0)</f>
        <v>0</v>
      </c>
      <c r="F52" s="22" t="str">
        <f t="shared" si="3"/>
        <v/>
      </c>
    </row>
    <row r="53" spans="1:6" x14ac:dyDescent="0.2">
      <c r="A53" s="20">
        <v>18</v>
      </c>
      <c r="B53" s="202" t="s">
        <v>16</v>
      </c>
      <c r="C53" s="203"/>
      <c r="D53" s="15">
        <f>IF(F3="1",SUMIF(Data!A:A,'8'!$A$2,Data!DL:DL),0)</f>
        <v>86912</v>
      </c>
      <c r="E53" s="18">
        <f>IF(F3="1",SUMIF(Data!$A:$A,'8'!$A$2,Data!JF:JF),0)</f>
        <v>236672</v>
      </c>
      <c r="F53" s="22">
        <f t="shared" si="3"/>
        <v>2.7231222385861562</v>
      </c>
    </row>
    <row r="54" spans="1:6" x14ac:dyDescent="0.2">
      <c r="A54" s="20">
        <v>19</v>
      </c>
      <c r="B54" s="202" t="s">
        <v>17</v>
      </c>
      <c r="C54" s="203"/>
      <c r="D54" s="15">
        <f>IF(F3="1",SUMIF(Data!A:A,'8'!$A$2,Data!DM:DM),0)</f>
        <v>294080</v>
      </c>
      <c r="E54" s="18">
        <f>IF(F3="1",SUMIF(Data!$A:$A,'8'!$A$2,Data!JG:JG),0)</f>
        <v>201419</v>
      </c>
      <c r="F54" s="22">
        <f t="shared" si="3"/>
        <v>0.68491226877040257</v>
      </c>
    </row>
    <row r="55" spans="1:6" x14ac:dyDescent="0.2">
      <c r="A55" s="20">
        <v>20</v>
      </c>
      <c r="B55" s="202" t="s">
        <v>18</v>
      </c>
      <c r="C55" s="203"/>
      <c r="D55" s="15">
        <f>IF(F3="1",SUMIF(Data!A:A,'8'!$A$2,Data!DN:DN),0)</f>
        <v>37936</v>
      </c>
      <c r="E55" s="18">
        <f>IF(F3="1",SUMIF(Data!$A:$A,'8'!$A$2,Data!JH:JH),0)</f>
        <v>105956</v>
      </c>
      <c r="F55" s="22">
        <f t="shared" si="3"/>
        <v>2.7930198228595531</v>
      </c>
    </row>
    <row r="56" spans="1:6" ht="14.25" customHeight="1" x14ac:dyDescent="0.2">
      <c r="A56" s="20">
        <v>21</v>
      </c>
      <c r="B56" s="202" t="s">
        <v>446</v>
      </c>
      <c r="C56" s="203"/>
      <c r="D56" s="15">
        <f>IF(F3="1",SUMIF(Data!A:A,'8'!$A$2,Data!DO:DO),0)</f>
        <v>56688</v>
      </c>
      <c r="E56" s="18">
        <f>IF(F3="1",SUMIF(Data!$A:$A,'8'!$A$2,Data!JI:JI),0)</f>
        <v>66059</v>
      </c>
      <c r="F56" s="22">
        <f t="shared" si="3"/>
        <v>1.1653083545018346</v>
      </c>
    </row>
    <row r="57" spans="1:6" x14ac:dyDescent="0.2">
      <c r="A57" s="20">
        <v>22</v>
      </c>
      <c r="B57" s="202" t="s">
        <v>19</v>
      </c>
      <c r="C57" s="203"/>
      <c r="D57" s="15">
        <f>IF(F3="1",SUMIF(Data!A:A,'8'!$A$2,Data!DP:DP),0)</f>
        <v>13744</v>
      </c>
      <c r="E57" s="18">
        <f>IF(F3="1",SUMIF(Data!$A:$A,'8'!$A$2,Data!JJ:JJ),0)</f>
        <v>11451</v>
      </c>
      <c r="F57" s="22">
        <f t="shared" si="3"/>
        <v>0.83316356228172295</v>
      </c>
    </row>
    <row r="58" spans="1:6" x14ac:dyDescent="0.2">
      <c r="A58" s="20">
        <v>23</v>
      </c>
      <c r="B58" s="202" t="s">
        <v>20</v>
      </c>
      <c r="C58" s="203"/>
      <c r="D58" s="15">
        <f>IF(F3="1",SUMIF(Data!A:A,'8'!$A$2,Data!DQ:DQ),0)</f>
        <v>205456</v>
      </c>
      <c r="E58" s="18">
        <f>IF(F3="1",SUMIF(Data!$A:$A,'8'!$A$2,Data!JK:JK),0)</f>
        <v>302067</v>
      </c>
      <c r="F58" s="22">
        <f t="shared" si="3"/>
        <v>1.4702272019313138</v>
      </c>
    </row>
    <row r="59" spans="1:6" x14ac:dyDescent="0.2">
      <c r="A59" s="20">
        <v>24</v>
      </c>
      <c r="B59" s="202" t="s">
        <v>21</v>
      </c>
      <c r="C59" s="203"/>
      <c r="D59" s="15">
        <f>IF(F3="1",SUMIF(Data!A:A,'8'!$A$2,Data!DR:DR),0)</f>
        <v>204576</v>
      </c>
      <c r="E59" s="18">
        <f>IF(F3="1",SUMIF(Data!$A:$A,'8'!$A$2,Data!JL:JL),0)</f>
        <v>171980</v>
      </c>
      <c r="F59" s="22">
        <f t="shared" si="3"/>
        <v>0.84066557171906775</v>
      </c>
    </row>
    <row r="60" spans="1:6" x14ac:dyDescent="0.2">
      <c r="A60" s="20">
        <v>25</v>
      </c>
      <c r="B60" s="202" t="s">
        <v>22</v>
      </c>
      <c r="C60" s="203"/>
      <c r="D60" s="15">
        <f>IF(F3="1",SUMIF(Data!A:A,'8'!$A$2,Data!DS:DS),0)</f>
        <v>1434432</v>
      </c>
      <c r="E60" s="18">
        <f>IF(F3="1",SUMIF(Data!$A:$A,'8'!$A$2,Data!JM:JM),0)</f>
        <v>464735</v>
      </c>
      <c r="F60" s="22">
        <f t="shared" si="3"/>
        <v>0.32398538236737606</v>
      </c>
    </row>
    <row r="61" spans="1:6" x14ac:dyDescent="0.2">
      <c r="A61" s="20">
        <v>26</v>
      </c>
      <c r="B61" s="202" t="s">
        <v>23</v>
      </c>
      <c r="C61" s="203"/>
      <c r="D61" s="15">
        <f>IF(F3="1",SUMIF(Data!A:A,'8'!$A$2,Data!DT:DT),0)</f>
        <v>258256</v>
      </c>
      <c r="E61" s="18">
        <f>IF(F3="1",SUMIF(Data!$A:$A,'8'!$A$2,Data!JN:JN),0)</f>
        <v>162976</v>
      </c>
      <c r="F61" s="22">
        <f t="shared" si="3"/>
        <v>0.63106375069698284</v>
      </c>
    </row>
    <row r="62" spans="1:6" x14ac:dyDescent="0.2">
      <c r="A62" s="20">
        <v>28</v>
      </c>
      <c r="B62" s="202" t="s">
        <v>24</v>
      </c>
      <c r="C62" s="203"/>
      <c r="D62" s="15">
        <f>IF(F3="1",SUMIF(Data!A:A,'8'!$A$2,Data!DV:DV),0)</f>
        <v>434280</v>
      </c>
      <c r="E62" s="18">
        <f>IF(F3="1",SUMIF(Data!$A:$A,'8'!$A$2,Data!JP:JP),0)</f>
        <v>121760</v>
      </c>
      <c r="F62" s="22">
        <f t="shared" si="3"/>
        <v>0.28037211015934421</v>
      </c>
    </row>
    <row r="63" spans="1:6" ht="15.75" customHeight="1" thickBot="1" x14ac:dyDescent="0.25">
      <c r="A63" s="23">
        <v>29</v>
      </c>
      <c r="B63" s="206" t="s">
        <v>25</v>
      </c>
      <c r="C63" s="207"/>
      <c r="D63" s="24">
        <f>IF(F3="1",SUMIF(Data!A:A,'8'!$A$2,Data!DW:DW),0)</f>
        <v>189568</v>
      </c>
      <c r="E63" s="25">
        <f>IF(F3="1",SUMIF(Data!$A:$A,'8'!$A$2,Data!JQ:JQ),0)</f>
        <v>109546</v>
      </c>
      <c r="F63" s="26">
        <f t="shared" si="3"/>
        <v>0.57787179270763001</v>
      </c>
    </row>
    <row r="64" spans="1:6" x14ac:dyDescent="0.2">
      <c r="B64" s="31" t="s">
        <v>35</v>
      </c>
      <c r="C64" s="31"/>
      <c r="D64" s="60">
        <f>SUM(D36:D63)</f>
        <v>6893896</v>
      </c>
      <c r="E64" s="32">
        <f>SUM(E36:E63)</f>
        <v>8252472</v>
      </c>
      <c r="F64" s="33">
        <f t="shared" si="3"/>
        <v>1.1970694074874353</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87104</v>
      </c>
      <c r="E67" s="16">
        <f>IF(F3="1",SUMIF(Data!A:A,'8'!$A$2,Data!DY:DY),0)</f>
        <v>169607</v>
      </c>
      <c r="F67" s="21">
        <f>IFERROR(E67/D67,"")</f>
        <v>1.9471780859662013</v>
      </c>
    </row>
    <row r="68" spans="1:6" x14ac:dyDescent="0.2">
      <c r="A68" s="20">
        <v>2</v>
      </c>
      <c r="B68" s="202" t="s">
        <v>1</v>
      </c>
      <c r="C68" s="203"/>
      <c r="D68" s="15">
        <f t="shared" ref="D68:D94" si="4">D37</f>
        <v>138878</v>
      </c>
      <c r="E68" s="18">
        <f>IF(F3="1",SUMIF(Data!A:A,'8'!$A$2,Data!DZ:DZ),0)</f>
        <v>214286</v>
      </c>
      <c r="F68" s="22">
        <f t="shared" ref="F68:F95" si="5">IFERROR(E68/D68,"")</f>
        <v>1.5429801696453003</v>
      </c>
    </row>
    <row r="69" spans="1:6" ht="14.25" customHeight="1" x14ac:dyDescent="0.2">
      <c r="A69" s="20">
        <v>3</v>
      </c>
      <c r="B69" s="202" t="s">
        <v>2</v>
      </c>
      <c r="C69" s="203"/>
      <c r="D69" s="15">
        <f t="shared" si="4"/>
        <v>341856</v>
      </c>
      <c r="E69" s="18">
        <f>IF(F3="1",SUMIF(Data!A:A,'8'!$A$2,Data!EA:EA),0)</f>
        <v>935770</v>
      </c>
      <c r="F69" s="22">
        <f t="shared" si="5"/>
        <v>2.7373221473368905</v>
      </c>
    </row>
    <row r="70" spans="1:6" ht="14.25" customHeight="1" x14ac:dyDescent="0.2">
      <c r="A70" s="20">
        <v>4</v>
      </c>
      <c r="B70" s="202" t="s">
        <v>3</v>
      </c>
      <c r="C70" s="203"/>
      <c r="D70" s="15">
        <f t="shared" si="4"/>
        <v>828571</v>
      </c>
      <c r="E70" s="18">
        <f>IF(F3="1",SUMIF(Data!A:A,'8'!$A$2,Data!EB:EB),0)</f>
        <v>1822839</v>
      </c>
      <c r="F70" s="22">
        <f t="shared" si="5"/>
        <v>2.199979241368573</v>
      </c>
    </row>
    <row r="71" spans="1:6" x14ac:dyDescent="0.2">
      <c r="A71" s="20">
        <v>5</v>
      </c>
      <c r="B71" s="202" t="s">
        <v>4</v>
      </c>
      <c r="C71" s="203"/>
      <c r="D71" s="15">
        <f t="shared" si="4"/>
        <v>24974</v>
      </c>
      <c r="E71" s="18">
        <f>IF(F3="1",SUMIF(Data!A:A,'8'!$A$2,Data!EC:EC),0)</f>
        <v>275844</v>
      </c>
      <c r="F71" s="22">
        <f t="shared" si="5"/>
        <v>11.045247056939218</v>
      </c>
    </row>
    <row r="72" spans="1:6" x14ac:dyDescent="0.2">
      <c r="A72" s="20">
        <v>6</v>
      </c>
      <c r="B72" s="202" t="s">
        <v>5</v>
      </c>
      <c r="C72" s="203"/>
      <c r="D72" s="15">
        <f t="shared" si="4"/>
        <v>27824</v>
      </c>
      <c r="E72" s="18">
        <f>IF(F3="1",SUMIF(Data!A:A,'8'!$A$2,Data!ED:ED),0)</f>
        <v>142605</v>
      </c>
      <c r="F72" s="22">
        <f t="shared" si="5"/>
        <v>5.1252515813686026</v>
      </c>
    </row>
    <row r="73" spans="1:6" x14ac:dyDescent="0.2">
      <c r="A73" s="20">
        <v>7</v>
      </c>
      <c r="B73" s="202" t="s">
        <v>6</v>
      </c>
      <c r="C73" s="203"/>
      <c r="D73" s="15">
        <f t="shared" si="4"/>
        <v>505016</v>
      </c>
      <c r="E73" s="18">
        <f>IF(F3="1",SUMIF(Data!A:A,'8'!$A$2,Data!EE:EE),0)</f>
        <v>1381076</v>
      </c>
      <c r="F73" s="22">
        <f t="shared" si="5"/>
        <v>2.7347173158870213</v>
      </c>
    </row>
    <row r="74" spans="1:6" x14ac:dyDescent="0.2">
      <c r="A74" s="20">
        <v>8</v>
      </c>
      <c r="B74" s="202" t="s">
        <v>7</v>
      </c>
      <c r="C74" s="203"/>
      <c r="D74" s="15">
        <f t="shared" si="4"/>
        <v>55080</v>
      </c>
      <c r="E74" s="18">
        <f>IF(F3="1",SUMIF(Data!A:A,'8'!$A$2,Data!EF:EF),0)</f>
        <v>56820</v>
      </c>
      <c r="F74" s="22">
        <f t="shared" si="5"/>
        <v>1.0315904139433552</v>
      </c>
    </row>
    <row r="75" spans="1:6" x14ac:dyDescent="0.2">
      <c r="A75" s="20">
        <v>9</v>
      </c>
      <c r="B75" s="202" t="s">
        <v>8</v>
      </c>
      <c r="C75" s="203"/>
      <c r="D75" s="15">
        <f t="shared" si="4"/>
        <v>178818</v>
      </c>
      <c r="E75" s="18">
        <f>IF(F3="1",SUMIF(Data!A:A,'8'!$A$2,Data!EG:EG),0)</f>
        <v>799640</v>
      </c>
      <c r="F75" s="22">
        <f t="shared" si="5"/>
        <v>4.4718093256830969</v>
      </c>
    </row>
    <row r="76" spans="1:6" x14ac:dyDescent="0.2">
      <c r="A76" s="20">
        <v>10</v>
      </c>
      <c r="B76" s="202" t="s">
        <v>9</v>
      </c>
      <c r="C76" s="203"/>
      <c r="D76" s="15">
        <f t="shared" si="4"/>
        <v>2272</v>
      </c>
      <c r="E76" s="18">
        <f>IF(F3="1",SUMIF(Data!A:A,'8'!$A$2,Data!EH:EH),0)</f>
        <v>6383</v>
      </c>
      <c r="F76" s="22">
        <f t="shared" si="5"/>
        <v>2.809419014084507</v>
      </c>
    </row>
    <row r="77" spans="1:6" x14ac:dyDescent="0.2">
      <c r="A77" s="20">
        <v>11</v>
      </c>
      <c r="B77" s="202" t="s">
        <v>10</v>
      </c>
      <c r="C77" s="203"/>
      <c r="D77" s="15">
        <f t="shared" si="4"/>
        <v>154575</v>
      </c>
      <c r="E77" s="18">
        <f>IF(F3="1",SUMIF(Data!A:A,'8'!$A$2,Data!EI:EI),0)</f>
        <v>145207</v>
      </c>
      <c r="F77" s="22">
        <f t="shared" si="5"/>
        <v>0.93939511563965716</v>
      </c>
    </row>
    <row r="78" spans="1:6" ht="14.25" customHeight="1" x14ac:dyDescent="0.2">
      <c r="A78" s="20">
        <v>12</v>
      </c>
      <c r="B78" s="202" t="s">
        <v>11</v>
      </c>
      <c r="C78" s="203"/>
      <c r="D78" s="15">
        <f t="shared" si="4"/>
        <v>739248</v>
      </c>
      <c r="E78" s="18">
        <f>IF(F3="1",SUMIF(Data!A:A,'8'!$A$2,Data!EJ:EJ),0)</f>
        <v>2539507</v>
      </c>
      <c r="F78" s="22">
        <f t="shared" si="5"/>
        <v>3.4352571802696796</v>
      </c>
    </row>
    <row r="79" spans="1:6" x14ac:dyDescent="0.2">
      <c r="A79" s="20">
        <v>13</v>
      </c>
      <c r="B79" s="202" t="s">
        <v>12</v>
      </c>
      <c r="C79" s="203"/>
      <c r="D79" s="15">
        <f t="shared" si="4"/>
        <v>171120</v>
      </c>
      <c r="E79" s="18">
        <f>IF(F3="1",SUMIF(Data!A:A,'8'!$A$2,Data!EK:EK),0)</f>
        <v>502273</v>
      </c>
      <c r="F79" s="22">
        <f t="shared" si="5"/>
        <v>2.9352092099111733</v>
      </c>
    </row>
    <row r="80" spans="1:6" ht="14.25" customHeight="1" x14ac:dyDescent="0.2">
      <c r="A80" s="20">
        <v>14</v>
      </c>
      <c r="B80" s="202" t="s">
        <v>449</v>
      </c>
      <c r="C80" s="203"/>
      <c r="D80" s="15">
        <f t="shared" si="4"/>
        <v>227292</v>
      </c>
      <c r="E80" s="18">
        <f>IF(F3="1",SUMIF(Data!A:A,'8'!$A$2,Data!EL:EL),0)</f>
        <v>1505117</v>
      </c>
      <c r="F80" s="22">
        <f t="shared" si="5"/>
        <v>6.6219532583636909</v>
      </c>
    </row>
    <row r="81" spans="1:6" x14ac:dyDescent="0.2">
      <c r="A81" s="20">
        <v>15</v>
      </c>
      <c r="B81" s="202" t="s">
        <v>13</v>
      </c>
      <c r="C81" s="203"/>
      <c r="D81" s="15">
        <f t="shared" si="4"/>
        <v>0</v>
      </c>
      <c r="E81" s="18">
        <f>IF(F3="1",SUMIF(Data!A:A,'8'!$A$2,Data!EM:EM),0)</f>
        <v>0</v>
      </c>
      <c r="F81" s="22" t="str">
        <f t="shared" si="5"/>
        <v/>
      </c>
    </row>
    <row r="82" spans="1:6" x14ac:dyDescent="0.2">
      <c r="A82" s="20">
        <v>16</v>
      </c>
      <c r="B82" s="202" t="s">
        <v>14</v>
      </c>
      <c r="C82" s="203"/>
      <c r="D82" s="15">
        <f t="shared" si="4"/>
        <v>195340</v>
      </c>
      <c r="E82" s="18">
        <f>IF(F3="1",SUMIF(Data!A:A,'8'!$A$2,Data!EN:EN),0)</f>
        <v>996858</v>
      </c>
      <c r="F82" s="22">
        <f t="shared" si="5"/>
        <v>5.1031944302242245</v>
      </c>
    </row>
    <row r="83" spans="1:6" x14ac:dyDescent="0.2">
      <c r="A83" s="20">
        <v>17</v>
      </c>
      <c r="B83" s="202" t="s">
        <v>15</v>
      </c>
      <c r="C83" s="203"/>
      <c r="D83" s="15">
        <f t="shared" si="4"/>
        <v>0</v>
      </c>
      <c r="E83" s="18">
        <f>IF(F3="1",SUMIF(Data!A:A,'8'!$A$2,Data!EO:EO),0)</f>
        <v>0</v>
      </c>
      <c r="F83" s="22" t="str">
        <f t="shared" si="5"/>
        <v/>
      </c>
    </row>
    <row r="84" spans="1:6" x14ac:dyDescent="0.2">
      <c r="A84" s="20">
        <v>18</v>
      </c>
      <c r="B84" s="202" t="s">
        <v>16</v>
      </c>
      <c r="C84" s="203"/>
      <c r="D84" s="15">
        <f t="shared" si="4"/>
        <v>86912</v>
      </c>
      <c r="E84" s="18">
        <f>IF(F3="1",SUMIF(Data!A:A,'8'!$A$2,Data!EP:EP),0)</f>
        <v>422848</v>
      </c>
      <c r="F84" s="22">
        <f t="shared" si="5"/>
        <v>4.8652430044182617</v>
      </c>
    </row>
    <row r="85" spans="1:6" x14ac:dyDescent="0.2">
      <c r="A85" s="20">
        <v>19</v>
      </c>
      <c r="B85" s="202" t="s">
        <v>17</v>
      </c>
      <c r="C85" s="203"/>
      <c r="D85" s="15">
        <f t="shared" si="4"/>
        <v>294080</v>
      </c>
      <c r="E85" s="18">
        <f>IF(F3="1",SUMIF(Data!A:A,'8'!$A$2,Data!EQ:EQ),0)</f>
        <v>900558</v>
      </c>
      <c r="F85" s="22">
        <f t="shared" si="5"/>
        <v>3.0622891730141459</v>
      </c>
    </row>
    <row r="86" spans="1:6" x14ac:dyDescent="0.2">
      <c r="A86" s="20">
        <v>20</v>
      </c>
      <c r="B86" s="202" t="s">
        <v>18</v>
      </c>
      <c r="C86" s="203"/>
      <c r="D86" s="15">
        <f t="shared" si="4"/>
        <v>37936</v>
      </c>
      <c r="E86" s="18">
        <f>IF(F3="1",SUMIF(Data!A:A,'8'!$A$2,Data!ER:ER),0)</f>
        <v>115960</v>
      </c>
      <c r="F86" s="22">
        <f t="shared" si="5"/>
        <v>3.0567271193589205</v>
      </c>
    </row>
    <row r="87" spans="1:6" ht="14.25" customHeight="1" x14ac:dyDescent="0.2">
      <c r="A87" s="20">
        <v>21</v>
      </c>
      <c r="B87" s="202" t="s">
        <v>446</v>
      </c>
      <c r="C87" s="203"/>
      <c r="D87" s="15">
        <f t="shared" si="4"/>
        <v>56688</v>
      </c>
      <c r="E87" s="18">
        <f>IF(F3="1",SUMIF(Data!A:A,'8'!$A$2,Data!ES:ES),0)</f>
        <v>121327</v>
      </c>
      <c r="F87" s="22">
        <f t="shared" si="5"/>
        <v>2.1402589613322043</v>
      </c>
    </row>
    <row r="88" spans="1:6" x14ac:dyDescent="0.2">
      <c r="A88" s="20">
        <v>22</v>
      </c>
      <c r="B88" s="202" t="s">
        <v>19</v>
      </c>
      <c r="C88" s="203"/>
      <c r="D88" s="15">
        <f t="shared" si="4"/>
        <v>13744</v>
      </c>
      <c r="E88" s="18">
        <f>IF(F3="1",SUMIF(Data!A:A,'8'!$A$2,Data!ET:ET),0)</f>
        <v>32697</v>
      </c>
      <c r="F88" s="22">
        <f t="shared" si="5"/>
        <v>2.3790017462165309</v>
      </c>
    </row>
    <row r="89" spans="1:6" x14ac:dyDescent="0.2">
      <c r="A89" s="20">
        <v>23</v>
      </c>
      <c r="B89" s="202" t="s">
        <v>20</v>
      </c>
      <c r="C89" s="203"/>
      <c r="D89" s="15">
        <f t="shared" si="4"/>
        <v>205456</v>
      </c>
      <c r="E89" s="18">
        <f>IF(F3="1",SUMIF(Data!A:A,'8'!$A$2,Data!EU:EU),0)</f>
        <v>540029</v>
      </c>
      <c r="F89" s="22">
        <f t="shared" si="5"/>
        <v>2.6284411260805234</v>
      </c>
    </row>
    <row r="90" spans="1:6" x14ac:dyDescent="0.2">
      <c r="A90" s="20">
        <v>24</v>
      </c>
      <c r="B90" s="202" t="s">
        <v>21</v>
      </c>
      <c r="C90" s="203"/>
      <c r="D90" s="15">
        <f t="shared" si="4"/>
        <v>204576</v>
      </c>
      <c r="E90" s="18">
        <f>IF(F3="1",SUMIF(Data!A:A,'8'!$A$2,Data!EV:EV),0)</f>
        <v>609480</v>
      </c>
      <c r="F90" s="22">
        <f t="shared" si="5"/>
        <v>2.9792351008916</v>
      </c>
    </row>
    <row r="91" spans="1:6" x14ac:dyDescent="0.2">
      <c r="A91" s="20">
        <v>25</v>
      </c>
      <c r="B91" s="202" t="s">
        <v>22</v>
      </c>
      <c r="C91" s="203"/>
      <c r="D91" s="15">
        <f t="shared" si="4"/>
        <v>1434432</v>
      </c>
      <c r="E91" s="18">
        <f>IF(F3="1",SUMIF(Data!A:A,'8'!$A$2,Data!EW:EW),0)</f>
        <v>3124751</v>
      </c>
      <c r="F91" s="22">
        <f t="shared" si="5"/>
        <v>2.1783890766519431</v>
      </c>
    </row>
    <row r="92" spans="1:6" x14ac:dyDescent="0.2">
      <c r="A92" s="20">
        <v>26</v>
      </c>
      <c r="B92" s="202" t="s">
        <v>23</v>
      </c>
      <c r="C92" s="203"/>
      <c r="D92" s="15">
        <f t="shared" si="4"/>
        <v>258256</v>
      </c>
      <c r="E92" s="18">
        <f>IF(F3="1",SUMIF(Data!A:A,'8'!$A$2,Data!EX:EX),0)</f>
        <v>618027</v>
      </c>
      <c r="F92" s="22">
        <f t="shared" si="5"/>
        <v>2.3930789604113749</v>
      </c>
    </row>
    <row r="93" spans="1:6" x14ac:dyDescent="0.2">
      <c r="A93" s="20">
        <v>28</v>
      </c>
      <c r="B93" s="202" t="s">
        <v>24</v>
      </c>
      <c r="C93" s="203"/>
      <c r="D93" s="15">
        <f t="shared" si="4"/>
        <v>434280</v>
      </c>
      <c r="E93" s="18">
        <f>IF(F3="1",SUMIF(Data!A:A,'8'!$A$2,Data!EZ:EZ),0)</f>
        <v>769714</v>
      </c>
      <c r="F93" s="22">
        <f t="shared" si="5"/>
        <v>1.7723910840932118</v>
      </c>
    </row>
    <row r="94" spans="1:6" ht="15.75" customHeight="1" thickBot="1" x14ac:dyDescent="0.25">
      <c r="A94" s="23">
        <v>29</v>
      </c>
      <c r="B94" s="206" t="s">
        <v>25</v>
      </c>
      <c r="C94" s="207"/>
      <c r="D94" s="24">
        <f t="shared" si="4"/>
        <v>189568</v>
      </c>
      <c r="E94" s="25">
        <f>IF(F3="1",SUMIF(Data!A:A,'8'!$A$2,Data!FA:FA),0)</f>
        <v>309055</v>
      </c>
      <c r="F94" s="26">
        <f t="shared" si="5"/>
        <v>1.6303120779878459</v>
      </c>
    </row>
    <row r="95" spans="1:6" x14ac:dyDescent="0.2">
      <c r="B95" s="31" t="s">
        <v>35</v>
      </c>
      <c r="C95" s="31"/>
      <c r="D95" s="60">
        <f>SUM(D67:D94)</f>
        <v>6893896</v>
      </c>
      <c r="E95" s="32">
        <f>SUM(E67:E94)</f>
        <v>19058278</v>
      </c>
      <c r="F95" s="33">
        <f t="shared" si="5"/>
        <v>2.764514869385903</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IF(F3="1",SUMIF(Data!A:A,'8'!$A$2,Data!AH:AH),0)</f>
        <v>8651572</v>
      </c>
      <c r="F98" s="21">
        <f t="shared" ref="F98:F105" si="6">IFERROR(E98/$D$95,0)</f>
        <v>1.2549612004590729</v>
      </c>
    </row>
    <row r="99" spans="2:6" x14ac:dyDescent="0.2">
      <c r="B99" s="212" t="s">
        <v>31</v>
      </c>
      <c r="C99" s="213"/>
      <c r="D99" s="37"/>
      <c r="E99" s="18">
        <f>IF(F3="1",SUMIF(Data!A:A,'8'!$A$2,Data!AI:AI),0)</f>
        <v>4545273</v>
      </c>
      <c r="F99" s="22">
        <f t="shared" si="6"/>
        <v>0.65931847535849109</v>
      </c>
    </row>
    <row r="100" spans="2:6" x14ac:dyDescent="0.2">
      <c r="B100" s="212" t="s">
        <v>32</v>
      </c>
      <c r="C100" s="213"/>
      <c r="D100" s="37"/>
      <c r="E100" s="18">
        <f>IF(F3="1",SUMIF(Data!A:A,'8'!$A$2,Data!AJ:AJ),0)</f>
        <v>2514902</v>
      </c>
      <c r="F100" s="22">
        <f t="shared" si="6"/>
        <v>0.36480126767215521</v>
      </c>
    </row>
    <row r="101" spans="2:6" x14ac:dyDescent="0.2">
      <c r="B101" s="212" t="s">
        <v>28</v>
      </c>
      <c r="C101" s="213"/>
      <c r="D101" s="37"/>
      <c r="E101" s="18">
        <f>IF(F3="1",SUMIF(Data!A:A,'8'!$A$2,Data!AK:AK),0)</f>
        <v>0</v>
      </c>
      <c r="F101" s="22">
        <f t="shared" si="6"/>
        <v>0</v>
      </c>
    </row>
    <row r="102" spans="2:6" x14ac:dyDescent="0.2">
      <c r="B102" s="212" t="s">
        <v>33</v>
      </c>
      <c r="C102" s="213"/>
      <c r="D102" s="37"/>
      <c r="E102" s="18">
        <f>IF(F3="1",SUMIF(Data!A:A,'8'!$A$2,Data!AL:AL),0)</f>
        <v>0</v>
      </c>
      <c r="F102" s="22">
        <f t="shared" si="6"/>
        <v>0</v>
      </c>
    </row>
    <row r="103" spans="2:6" x14ac:dyDescent="0.2">
      <c r="B103" s="214" t="s">
        <v>34</v>
      </c>
      <c r="C103" s="215"/>
      <c r="D103" s="37"/>
      <c r="E103" s="18">
        <f>IF(F3="1",SUMIF(Data!A:A,'8'!$A$2,Data!AM:AM),0)</f>
        <v>836581</v>
      </c>
      <c r="F103" s="22">
        <f t="shared" si="6"/>
        <v>0.12135097483338884</v>
      </c>
    </row>
    <row r="104" spans="2:6" ht="15.75" customHeight="1" thickBot="1" x14ac:dyDescent="0.25">
      <c r="B104" s="208" t="s">
        <v>29</v>
      </c>
      <c r="C104" s="209"/>
      <c r="D104" s="38"/>
      <c r="E104" s="25">
        <f>IF(F3="1",SUMIF(Data!A:A,'8'!$A$2,Data!Q:Q),0)</f>
        <v>1780797</v>
      </c>
      <c r="F104" s="26">
        <f t="shared" si="6"/>
        <v>0.25831503695443042</v>
      </c>
    </row>
    <row r="105" spans="2:6" x14ac:dyDescent="0.2">
      <c r="B105" s="31" t="s">
        <v>35</v>
      </c>
      <c r="C105" s="31"/>
      <c r="D105" s="35">
        <f>D95</f>
        <v>6893896</v>
      </c>
      <c r="E105" s="32">
        <f>SUM(E98:E104)</f>
        <v>18329125</v>
      </c>
      <c r="F105" s="33">
        <f t="shared" si="6"/>
        <v>2.6587469552775382</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21620969</v>
      </c>
      <c r="D109" s="192">
        <f>IF(F3="1",SUMIF(Data!$A:$A,$A$2,Data!HJ:HJ),0)</f>
        <v>2201291</v>
      </c>
      <c r="E109" s="192">
        <f>IF(F3="1",SUMIF(Data!$A:$A,$A$2,Data!IN:IN),0)</f>
        <v>3488491</v>
      </c>
      <c r="F109" s="48">
        <f>SUM(C109:E109)</f>
        <v>27310751</v>
      </c>
    </row>
    <row r="110" spans="2:6" x14ac:dyDescent="0.2">
      <c r="B110" s="43" t="s">
        <v>28</v>
      </c>
      <c r="C110" s="193">
        <f>IF(F3="1",SUMIF(Data!A:A,$A$2,Data!W:W),0)</f>
        <v>0</v>
      </c>
      <c r="D110" s="51"/>
      <c r="E110" s="193">
        <f>IF(F3="1",SUMIF(Data!A:A,$A$2,Data!AD:AD),0)</f>
        <v>0</v>
      </c>
      <c r="F110" s="49">
        <f t="shared" ref="F110:F116" si="7">SUM(C110:E110)</f>
        <v>0</v>
      </c>
    </row>
    <row r="111" spans="2:6" x14ac:dyDescent="0.2">
      <c r="B111" s="43" t="s">
        <v>915</v>
      </c>
      <c r="C111" s="193">
        <f>IF(F3="1",SUMIF(Data!A:A,$A$2,Data!AS:AS),0)</f>
        <v>27477204</v>
      </c>
      <c r="D111" s="51"/>
      <c r="E111" s="193">
        <f>IF(F3="1",SUMIF(Data!A:A,$A$2,Data!AX:AX)-SUMIF(Data!A:A,$A$2,Data!AW:AW),0)</f>
        <v>16622871</v>
      </c>
      <c r="F111" s="49">
        <f t="shared" si="7"/>
        <v>44100075</v>
      </c>
    </row>
    <row r="112" spans="2:6" x14ac:dyDescent="0.2">
      <c r="B112" s="43" t="s">
        <v>32</v>
      </c>
      <c r="C112" s="193">
        <f>IF(F3="1",SUMIF(Data!A:A,$A$2,Data!V:V),0)</f>
        <v>1857401</v>
      </c>
      <c r="D112" s="51"/>
      <c r="E112" s="193">
        <f>IF(F3="1",SUMIF(Data!A:A,$A$2,Data!AC:AC),0)</f>
        <v>657501</v>
      </c>
      <c r="F112" s="49">
        <f t="shared" si="7"/>
        <v>2514902</v>
      </c>
    </row>
    <row r="113" spans="1:6" x14ac:dyDescent="0.2">
      <c r="B113" s="43" t="s">
        <v>31</v>
      </c>
      <c r="C113" s="193">
        <f>IF(F3="1",SUMIF(Data!A:A,$A$2,Data!U:U),0)</f>
        <v>3937939</v>
      </c>
      <c r="D113" s="51"/>
      <c r="E113" s="193">
        <f>IF(F3="1",SUMIF(Data!A:A,$A$2,Data!AB:AB),0)</f>
        <v>607334</v>
      </c>
      <c r="F113" s="49">
        <f t="shared" si="7"/>
        <v>4545273</v>
      </c>
    </row>
    <row r="114" spans="1:6" x14ac:dyDescent="0.2">
      <c r="B114" s="43" t="s">
        <v>1002</v>
      </c>
      <c r="C114" s="193">
        <f>IF(F3="1",SUMIF(Data!A:A,$A$2,Data!T:T),0)</f>
        <v>6154199</v>
      </c>
      <c r="D114" s="51"/>
      <c r="E114" s="193">
        <f>IF(F3="1",SUMIF(Data!A:A,$A$2,Data!AA:AA),0)</f>
        <v>2497373</v>
      </c>
      <c r="F114" s="49">
        <f t="shared" si="7"/>
        <v>8651572</v>
      </c>
    </row>
    <row r="115" spans="1:6" x14ac:dyDescent="0.2">
      <c r="B115" s="43" t="s">
        <v>916</v>
      </c>
      <c r="C115" s="193">
        <f>IF(F3="1",SUMIF(Data!A:A,$A$2,Data!BI:BI),0)</f>
        <v>2729277</v>
      </c>
      <c r="D115" s="193">
        <f>IF(F3="1",SUMIF(Data!A:A,$A$2,Data!BL:BL),0)</f>
        <v>0</v>
      </c>
      <c r="E115" s="193">
        <f>IF(F3="1",SUMIF(Data!A:A,$A$2,Data!BU:BU)-SUMIF(Data!A:A,$A$2,Data!BT:BT),0)</f>
        <v>4772031</v>
      </c>
      <c r="F115" s="49">
        <f t="shared" si="7"/>
        <v>7501308</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1780797</v>
      </c>
      <c r="E117" s="53"/>
      <c r="F117" s="50">
        <f>SUM(C117:E117)</f>
        <v>1780797</v>
      </c>
    </row>
    <row r="118" spans="1:6" x14ac:dyDescent="0.2">
      <c r="B118" s="14" t="s">
        <v>35</v>
      </c>
      <c r="C118" s="178">
        <f>SUM(C109:C117)</f>
        <v>63776989</v>
      </c>
      <c r="D118" s="194">
        <f>SUM(D109:D117)</f>
        <v>3982088</v>
      </c>
      <c r="E118" s="178">
        <f>SUM(E109:E117)</f>
        <v>28645601</v>
      </c>
      <c r="F118" s="178">
        <f>SUM(F109:F117)</f>
        <v>96404678</v>
      </c>
    </row>
    <row r="119" spans="1:6" x14ac:dyDescent="0.2">
      <c r="C119" s="183"/>
      <c r="D119" s="183"/>
      <c r="E119" s="183"/>
      <c r="F119" s="183"/>
    </row>
    <row r="120" spans="1:6" ht="15" thickBot="1" x14ac:dyDescent="0.25">
      <c r="B120" s="188" t="s">
        <v>921</v>
      </c>
      <c r="C120" s="53"/>
      <c r="D120" s="53"/>
      <c r="E120" s="195">
        <f>IF(F3="1",SUMIF(Data!A:A,$A$2,Data!AF:AF)+SUMIF(Data!A:A,$A$2,Data!AW:AW)+SUMIF(Data!A:A,$A$2,Data!BT:BT),0)</f>
        <v>1344264</v>
      </c>
      <c r="F120" s="181">
        <f>SUM(C120:E120)</f>
        <v>1344264</v>
      </c>
    </row>
    <row r="121" spans="1:6" s="177" customFormat="1" x14ac:dyDescent="0.2">
      <c r="B121" s="14" t="s">
        <v>35</v>
      </c>
      <c r="C121" s="178">
        <f>SUM(C120:C120)</f>
        <v>0</v>
      </c>
      <c r="D121" s="178">
        <f>SUM(D120:D120)</f>
        <v>0</v>
      </c>
      <c r="E121" s="178">
        <f>SUM(E120:E120)</f>
        <v>1344264</v>
      </c>
      <c r="F121" s="178">
        <f>SUM(F120:F120)</f>
        <v>1344264</v>
      </c>
    </row>
    <row r="122" spans="1:6" s="177" customFormat="1" ht="15" thickBot="1" x14ac:dyDescent="0.25">
      <c r="B122" s="14" t="s">
        <v>1396</v>
      </c>
      <c r="C122" s="178"/>
      <c r="D122" s="178"/>
      <c r="E122" s="178"/>
      <c r="F122" s="190">
        <f>F118+F121</f>
        <v>97748942</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358</v>
      </c>
      <c r="B2" s="59" t="str">
        <f>VLOOKUP(A2,Data!A:G,7,0)</f>
        <v>Cisco Junior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5744</v>
      </c>
      <c r="E5" s="16">
        <f>E36+E67+IFERROR($E$105/$D$105*D5,0)</f>
        <v>68623.131337382962</v>
      </c>
      <c r="F5" s="21">
        <f>IFERROR(E5/D5,"")</f>
        <v>11.946923979349402</v>
      </c>
    </row>
    <row r="6" spans="1:6" x14ac:dyDescent="0.2">
      <c r="A6" s="20">
        <v>2</v>
      </c>
      <c r="B6" s="202" t="s">
        <v>1</v>
      </c>
      <c r="C6" s="203"/>
      <c r="D6" s="15">
        <f t="shared" ref="D6:D32" si="0">D37</f>
        <v>37280</v>
      </c>
      <c r="E6" s="18">
        <f t="shared" ref="E6:E32" si="1">E37+E68+IFERROR($E$105/$D$105*D6,0)</f>
        <v>343735.61285822367</v>
      </c>
      <c r="F6" s="22">
        <f t="shared" ref="F6:F33" si="2">IFERROR(E6/D6,"")</f>
        <v>9.2203758813901207</v>
      </c>
    </row>
    <row r="7" spans="1:6" ht="14.25" customHeight="1" x14ac:dyDescent="0.2">
      <c r="A7" s="20">
        <v>3</v>
      </c>
      <c r="B7" s="202" t="s">
        <v>2</v>
      </c>
      <c r="C7" s="203"/>
      <c r="D7" s="15">
        <f t="shared" si="0"/>
        <v>272048</v>
      </c>
      <c r="E7" s="18">
        <f t="shared" si="1"/>
        <v>1466128.975291149</v>
      </c>
      <c r="F7" s="22">
        <f t="shared" si="2"/>
        <v>5.3892290158029059</v>
      </c>
    </row>
    <row r="8" spans="1:6" ht="14.25" customHeight="1" x14ac:dyDescent="0.2">
      <c r="A8" s="20">
        <v>4</v>
      </c>
      <c r="B8" s="202" t="s">
        <v>3</v>
      </c>
      <c r="C8" s="203"/>
      <c r="D8" s="15">
        <f t="shared" si="0"/>
        <v>118973</v>
      </c>
      <c r="E8" s="18">
        <f t="shared" si="1"/>
        <v>606523.13990293583</v>
      </c>
      <c r="F8" s="22">
        <f t="shared" si="2"/>
        <v>5.0979897951882851</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0</v>
      </c>
      <c r="E10" s="18">
        <f t="shared" si="1"/>
        <v>0</v>
      </c>
      <c r="F10" s="22" t="str">
        <f t="shared" si="2"/>
        <v/>
      </c>
    </row>
    <row r="11" spans="1:6" x14ac:dyDescent="0.2">
      <c r="A11" s="20">
        <v>7</v>
      </c>
      <c r="B11" s="202" t="s">
        <v>6</v>
      </c>
      <c r="C11" s="203"/>
      <c r="D11" s="15">
        <f t="shared" si="0"/>
        <v>13968</v>
      </c>
      <c r="E11" s="18">
        <f t="shared" si="1"/>
        <v>207403.64250009839</v>
      </c>
      <c r="F11" s="22">
        <f t="shared" si="2"/>
        <v>14.848485287807732</v>
      </c>
    </row>
    <row r="12" spans="1:6" x14ac:dyDescent="0.2">
      <c r="A12" s="20">
        <v>8</v>
      </c>
      <c r="B12" s="202" t="s">
        <v>7</v>
      </c>
      <c r="C12" s="203"/>
      <c r="D12" s="15">
        <f t="shared" si="0"/>
        <v>2112</v>
      </c>
      <c r="E12" s="18">
        <f t="shared" si="1"/>
        <v>16197.368625444431</v>
      </c>
      <c r="F12" s="22">
        <f t="shared" si="2"/>
        <v>7.6692086294717949</v>
      </c>
    </row>
    <row r="13" spans="1:6" x14ac:dyDescent="0.2">
      <c r="A13" s="20">
        <v>9</v>
      </c>
      <c r="B13" s="202" t="s">
        <v>8</v>
      </c>
      <c r="C13" s="203"/>
      <c r="D13" s="15">
        <f t="shared" si="0"/>
        <v>89987</v>
      </c>
      <c r="E13" s="18">
        <f t="shared" si="1"/>
        <v>460162.08925088448</v>
      </c>
      <c r="F13" s="22">
        <f t="shared" si="2"/>
        <v>5.113650741228005</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11856</v>
      </c>
      <c r="E15" s="18">
        <f t="shared" si="1"/>
        <v>68037.273874653969</v>
      </c>
      <c r="F15" s="22">
        <f t="shared" si="2"/>
        <v>5.738636460412784</v>
      </c>
    </row>
    <row r="16" spans="1:6" ht="14.25" customHeight="1" x14ac:dyDescent="0.2">
      <c r="A16" s="20">
        <v>12</v>
      </c>
      <c r="B16" s="202" t="s">
        <v>11</v>
      </c>
      <c r="C16" s="203"/>
      <c r="D16" s="15">
        <f t="shared" si="0"/>
        <v>202128</v>
      </c>
      <c r="E16" s="18">
        <f t="shared" si="1"/>
        <v>1212986.8473124206</v>
      </c>
      <c r="F16" s="22">
        <f t="shared" si="2"/>
        <v>6.0010827164589795</v>
      </c>
    </row>
    <row r="17" spans="1:6" x14ac:dyDescent="0.2">
      <c r="A17" s="20">
        <v>13</v>
      </c>
      <c r="B17" s="202" t="s">
        <v>12</v>
      </c>
      <c r="C17" s="203"/>
      <c r="D17" s="15">
        <f t="shared" si="0"/>
        <v>21936</v>
      </c>
      <c r="E17" s="18">
        <f t="shared" si="1"/>
        <v>92106.624132456927</v>
      </c>
      <c r="F17" s="22">
        <f t="shared" si="2"/>
        <v>4.1988796559289261</v>
      </c>
    </row>
    <row r="18" spans="1:6" ht="14.25" customHeight="1" x14ac:dyDescent="0.2">
      <c r="A18" s="20">
        <v>14</v>
      </c>
      <c r="B18" s="202" t="s">
        <v>449</v>
      </c>
      <c r="C18" s="203"/>
      <c r="D18" s="15">
        <f t="shared" si="0"/>
        <v>47888</v>
      </c>
      <c r="E18" s="18">
        <f t="shared" si="1"/>
        <v>405216.80527238775</v>
      </c>
      <c r="F18" s="22">
        <f t="shared" si="2"/>
        <v>8.4617608852403059</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82160</v>
      </c>
      <c r="E20" s="18">
        <f t="shared" si="1"/>
        <v>446680.19614891784</v>
      </c>
      <c r="F20" s="22">
        <f t="shared" si="2"/>
        <v>5.4367112481611226</v>
      </c>
    </row>
    <row r="21" spans="1:6" x14ac:dyDescent="0.2">
      <c r="A21" s="20">
        <v>17</v>
      </c>
      <c r="B21" s="202" t="s">
        <v>15</v>
      </c>
      <c r="C21" s="203"/>
      <c r="D21" s="15">
        <f t="shared" si="0"/>
        <v>26080</v>
      </c>
      <c r="E21" s="18">
        <f t="shared" si="1"/>
        <v>229021.44590510929</v>
      </c>
      <c r="F21" s="22">
        <f t="shared" si="2"/>
        <v>8.7814971589382402</v>
      </c>
    </row>
    <row r="22" spans="1:6" x14ac:dyDescent="0.2">
      <c r="A22" s="20">
        <v>18</v>
      </c>
      <c r="B22" s="202" t="s">
        <v>16</v>
      </c>
      <c r="C22" s="203"/>
      <c r="D22" s="15">
        <f t="shared" si="0"/>
        <v>62320</v>
      </c>
      <c r="E22" s="18">
        <f t="shared" si="1"/>
        <v>599569.15754625807</v>
      </c>
      <c r="F22" s="22">
        <f t="shared" si="2"/>
        <v>9.6208144664033703</v>
      </c>
    </row>
    <row r="23" spans="1:6" x14ac:dyDescent="0.2">
      <c r="A23" s="20">
        <v>19</v>
      </c>
      <c r="B23" s="202" t="s">
        <v>17</v>
      </c>
      <c r="C23" s="203"/>
      <c r="D23" s="15">
        <f t="shared" si="0"/>
        <v>123568</v>
      </c>
      <c r="E23" s="18">
        <f t="shared" si="1"/>
        <v>632542.8476841466</v>
      </c>
      <c r="F23" s="22">
        <f t="shared" si="2"/>
        <v>5.1189858837574986</v>
      </c>
    </row>
    <row r="24" spans="1:6" x14ac:dyDescent="0.2">
      <c r="A24" s="20">
        <v>20</v>
      </c>
      <c r="B24" s="202" t="s">
        <v>18</v>
      </c>
      <c r="C24" s="203"/>
      <c r="D24" s="15">
        <f t="shared" si="0"/>
        <v>38880</v>
      </c>
      <c r="E24" s="18">
        <f t="shared" si="1"/>
        <v>257814.92242295429</v>
      </c>
      <c r="F24" s="22">
        <f t="shared" si="2"/>
        <v>6.6310422433887419</v>
      </c>
    </row>
    <row r="25" spans="1:6" ht="14.25" customHeight="1" x14ac:dyDescent="0.2">
      <c r="A25" s="20">
        <v>21</v>
      </c>
      <c r="B25" s="202" t="s">
        <v>446</v>
      </c>
      <c r="C25" s="203"/>
      <c r="D25" s="15">
        <f t="shared" si="0"/>
        <v>0</v>
      </c>
      <c r="E25" s="18">
        <f t="shared" si="1"/>
        <v>0</v>
      </c>
      <c r="F25" s="22" t="str">
        <f t="shared" si="2"/>
        <v/>
      </c>
    </row>
    <row r="26" spans="1:6" x14ac:dyDescent="0.2">
      <c r="A26" s="20">
        <v>22</v>
      </c>
      <c r="B26" s="202" t="s">
        <v>19</v>
      </c>
      <c r="C26" s="203"/>
      <c r="D26" s="15">
        <f t="shared" si="0"/>
        <v>2016</v>
      </c>
      <c r="E26" s="18">
        <f t="shared" si="1"/>
        <v>10963.670051560593</v>
      </c>
      <c r="F26" s="22">
        <f t="shared" si="2"/>
        <v>5.4383283985915645</v>
      </c>
    </row>
    <row r="27" spans="1:6" x14ac:dyDescent="0.2">
      <c r="A27" s="20">
        <v>23</v>
      </c>
      <c r="B27" s="202" t="s">
        <v>20</v>
      </c>
      <c r="C27" s="203"/>
      <c r="D27" s="15">
        <f t="shared" si="0"/>
        <v>66688</v>
      </c>
      <c r="E27" s="18">
        <f t="shared" si="1"/>
        <v>901010.94265797269</v>
      </c>
      <c r="F27" s="22">
        <f t="shared" si="2"/>
        <v>13.510840670854916</v>
      </c>
    </row>
    <row r="28" spans="1:6" x14ac:dyDescent="0.2">
      <c r="A28" s="20">
        <v>24</v>
      </c>
      <c r="B28" s="202" t="s">
        <v>21</v>
      </c>
      <c r="C28" s="203"/>
      <c r="D28" s="15">
        <f t="shared" si="0"/>
        <v>38752</v>
      </c>
      <c r="E28" s="18">
        <f t="shared" si="1"/>
        <v>294662.65765777585</v>
      </c>
      <c r="F28" s="22">
        <f t="shared" si="2"/>
        <v>7.6038051625148597</v>
      </c>
    </row>
    <row r="29" spans="1:6" x14ac:dyDescent="0.2">
      <c r="A29" s="20">
        <v>25</v>
      </c>
      <c r="B29" s="202" t="s">
        <v>22</v>
      </c>
      <c r="C29" s="203"/>
      <c r="D29" s="15">
        <f t="shared" si="0"/>
        <v>355344</v>
      </c>
      <c r="E29" s="18">
        <f t="shared" si="1"/>
        <v>1814947.7712310255</v>
      </c>
      <c r="F29" s="22">
        <f t="shared" si="2"/>
        <v>5.1075796164590521</v>
      </c>
    </row>
    <row r="30" spans="1:6" x14ac:dyDescent="0.2">
      <c r="A30" s="20">
        <v>26</v>
      </c>
      <c r="B30" s="202" t="s">
        <v>23</v>
      </c>
      <c r="C30" s="203"/>
      <c r="D30" s="15">
        <f t="shared" si="0"/>
        <v>79648</v>
      </c>
      <c r="E30" s="18">
        <f t="shared" si="1"/>
        <v>530097.25013229076</v>
      </c>
      <c r="F30" s="22">
        <f t="shared" si="2"/>
        <v>6.6554998258875395</v>
      </c>
    </row>
    <row r="31" spans="1:6" x14ac:dyDescent="0.2">
      <c r="A31" s="20">
        <v>28</v>
      </c>
      <c r="B31" s="202" t="s">
        <v>24</v>
      </c>
      <c r="C31" s="203"/>
      <c r="D31" s="15">
        <f t="shared" si="0"/>
        <v>77744</v>
      </c>
      <c r="E31" s="18">
        <f t="shared" si="1"/>
        <v>523331.06175026129</v>
      </c>
      <c r="F31" s="22">
        <f t="shared" si="2"/>
        <v>6.7314656018504486</v>
      </c>
    </row>
    <row r="32" spans="1:6" ht="15.75" customHeight="1" thickBot="1" x14ac:dyDescent="0.25">
      <c r="A32" s="23">
        <v>29</v>
      </c>
      <c r="B32" s="206" t="s">
        <v>25</v>
      </c>
      <c r="C32" s="207"/>
      <c r="D32" s="24">
        <f t="shared" si="0"/>
        <v>52184</v>
      </c>
      <c r="E32" s="25">
        <f t="shared" si="1"/>
        <v>347837.56645368948</v>
      </c>
      <c r="F32" s="26">
        <f t="shared" si="2"/>
        <v>6.6655980080808197</v>
      </c>
    </row>
    <row r="33" spans="1:6" x14ac:dyDescent="0.2">
      <c r="B33" s="31" t="s">
        <v>35</v>
      </c>
      <c r="C33" s="31"/>
      <c r="D33" s="60">
        <f>SUM(D5:D32)</f>
        <v>1829304</v>
      </c>
      <c r="E33" s="32">
        <f>SUM(E5:E32)</f>
        <v>11535601.000000002</v>
      </c>
      <c r="F33" s="33">
        <f t="shared" si="2"/>
        <v>6.3060054534402168</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IF(F3="1",SUMIF(Data!A:A,'9'!$A$2,Data!CU:CU),0)</f>
        <v>5744</v>
      </c>
      <c r="E36" s="16">
        <f>IF(F3="1",SUMIF(Data!$A:$A,'9'!$A$2,Data!IO:IO),0)</f>
        <v>5469</v>
      </c>
      <c r="F36" s="21">
        <f t="shared" ref="F36:F64" si="3">IFERROR(E36/D36,"")</f>
        <v>0.95212395543175488</v>
      </c>
    </row>
    <row r="37" spans="1:6" x14ac:dyDescent="0.2">
      <c r="A37" s="20">
        <v>2</v>
      </c>
      <c r="B37" s="202" t="s">
        <v>1</v>
      </c>
      <c r="C37" s="203"/>
      <c r="D37" s="15">
        <f>IF(F3="1",SUMIF(Data!A:A,'9'!$A$2,Data!CV:CV),0)</f>
        <v>37280</v>
      </c>
      <c r="E37" s="18">
        <f>IF(F3="1",SUMIF(Data!$A:$A,'9'!$A$2,Data!IP:IP),0)</f>
        <v>91298</v>
      </c>
      <c r="F37" s="22">
        <f t="shared" si="3"/>
        <v>2.448980686695279</v>
      </c>
    </row>
    <row r="38" spans="1:6" ht="14.25" customHeight="1" x14ac:dyDescent="0.2">
      <c r="A38" s="20">
        <v>3</v>
      </c>
      <c r="B38" s="202" t="s">
        <v>2</v>
      </c>
      <c r="C38" s="203"/>
      <c r="D38" s="15">
        <f>IF(F3="1",SUMIF(Data!A:A,'9'!$A$2,Data!CW:CW),0)</f>
        <v>272048</v>
      </c>
      <c r="E38" s="18">
        <f>IF(F3="1",SUMIF(Data!$A:$A,'9'!$A$2,Data!IQ:IQ),0)</f>
        <v>87047</v>
      </c>
      <c r="F38" s="22">
        <f t="shared" si="3"/>
        <v>0.31996927012880078</v>
      </c>
    </row>
    <row r="39" spans="1:6" ht="14.25" customHeight="1" x14ac:dyDescent="0.2">
      <c r="A39" s="20">
        <v>4</v>
      </c>
      <c r="B39" s="202" t="s">
        <v>3</v>
      </c>
      <c r="C39" s="203"/>
      <c r="D39" s="15">
        <f>IF(F3="1",SUMIF(Data!A:A,'9'!$A$2,Data!CX:CX),0)</f>
        <v>118973</v>
      </c>
      <c r="E39" s="18">
        <f>IF(F3="1",SUMIF(Data!$A:$A,'9'!$A$2,Data!IR:IR),0)</f>
        <v>22524</v>
      </c>
      <c r="F39" s="22">
        <f t="shared" si="3"/>
        <v>0.18932026594269288</v>
      </c>
    </row>
    <row r="40" spans="1:6" x14ac:dyDescent="0.2">
      <c r="A40" s="20">
        <v>5</v>
      </c>
      <c r="B40" s="202" t="s">
        <v>4</v>
      </c>
      <c r="C40" s="203"/>
      <c r="D40" s="15">
        <f>IF(F3="1",SUMIF(Data!A:A,'9'!$A$2,Data!CY:CY),0)</f>
        <v>0</v>
      </c>
      <c r="E40" s="18">
        <f>IF(F3="1",SUMIF(Data!$A:$A,'9'!$A$2,Data!IS:IS),0)</f>
        <v>0</v>
      </c>
      <c r="F40" s="22" t="str">
        <f t="shared" si="3"/>
        <v/>
      </c>
    </row>
    <row r="41" spans="1:6" x14ac:dyDescent="0.2">
      <c r="A41" s="20">
        <v>6</v>
      </c>
      <c r="B41" s="202" t="s">
        <v>5</v>
      </c>
      <c r="C41" s="203"/>
      <c r="D41" s="15">
        <f>IF(F3="1",SUMIF(Data!A:A,'9'!$A$2,Data!CZ:CZ),0)</f>
        <v>0</v>
      </c>
      <c r="E41" s="18">
        <f>IF(F3="1",SUMIF(Data!$A:$A,'9'!$A$2,Data!IT:IT),0)</f>
        <v>0</v>
      </c>
      <c r="F41" s="22" t="str">
        <f t="shared" si="3"/>
        <v/>
      </c>
    </row>
    <row r="42" spans="1:6" x14ac:dyDescent="0.2">
      <c r="A42" s="20">
        <v>7</v>
      </c>
      <c r="B42" s="202" t="s">
        <v>6</v>
      </c>
      <c r="C42" s="203"/>
      <c r="D42" s="15">
        <f>IF(F3="1",SUMIF(Data!A:A,'9'!$A$2,Data!DA:DA),0)</f>
        <v>13968</v>
      </c>
      <c r="E42" s="18">
        <f>IF(F3="1",SUMIF(Data!$A:$A,'9'!$A$2,Data!IU:IU),0)</f>
        <v>15015</v>
      </c>
      <c r="F42" s="22">
        <f t="shared" si="3"/>
        <v>1.0749570446735395</v>
      </c>
    </row>
    <row r="43" spans="1:6" x14ac:dyDescent="0.2">
      <c r="A43" s="20">
        <v>8</v>
      </c>
      <c r="B43" s="202" t="s">
        <v>7</v>
      </c>
      <c r="C43" s="203"/>
      <c r="D43" s="15">
        <f>IF(F3="1",SUMIF(Data!A:A,'9'!$A$2,Data!DB:DB),0)</f>
        <v>2112</v>
      </c>
      <c r="E43" s="18">
        <f>IF(F3="1",SUMIF(Data!$A:$A,'9'!$A$2,Data!IV:IV),0)</f>
        <v>2022</v>
      </c>
      <c r="F43" s="22">
        <f t="shared" si="3"/>
        <v>0.95738636363636365</v>
      </c>
    </row>
    <row r="44" spans="1:6" x14ac:dyDescent="0.2">
      <c r="A44" s="20">
        <v>9</v>
      </c>
      <c r="B44" s="202" t="s">
        <v>8</v>
      </c>
      <c r="C44" s="203"/>
      <c r="D44" s="15">
        <f>IF(F3="1",SUMIF(Data!A:A,'9'!$A$2,Data!DC:DC),0)</f>
        <v>89987</v>
      </c>
      <c r="E44" s="18">
        <f>IF(F3="1",SUMIF(Data!$A:$A,'9'!$A$2,Data!IW:IW),0)</f>
        <v>21024</v>
      </c>
      <c r="F44" s="22">
        <f t="shared" si="3"/>
        <v>0.23363374709680287</v>
      </c>
    </row>
    <row r="45" spans="1:6" x14ac:dyDescent="0.2">
      <c r="A45" s="20">
        <v>10</v>
      </c>
      <c r="B45" s="202" t="s">
        <v>9</v>
      </c>
      <c r="C45" s="203"/>
      <c r="D45" s="15">
        <f>IF(F3="1",SUMIF(Data!A:A,'9'!$A$2,Data!DD:DD),0)</f>
        <v>0</v>
      </c>
      <c r="E45" s="18">
        <f>IF(F3="1",SUMIF(Data!$A:$A,'9'!$A$2,Data!IX:IX),0)</f>
        <v>0</v>
      </c>
      <c r="F45" s="22" t="str">
        <f t="shared" si="3"/>
        <v/>
      </c>
    </row>
    <row r="46" spans="1:6" x14ac:dyDescent="0.2">
      <c r="A46" s="20">
        <v>11</v>
      </c>
      <c r="B46" s="202" t="s">
        <v>10</v>
      </c>
      <c r="C46" s="203"/>
      <c r="D46" s="15">
        <f>IF(F3="1",SUMIF(Data!A:A,'9'!$A$2,Data!DE:DE),0)</f>
        <v>11856</v>
      </c>
      <c r="E46" s="18">
        <f>IF(F3="1",SUMIF(Data!$A:$A,'9'!$A$2,Data!IY:IY),0)</f>
        <v>6670</v>
      </c>
      <c r="F46" s="22">
        <f t="shared" si="3"/>
        <v>0.56258434547908232</v>
      </c>
    </row>
    <row r="47" spans="1:6" ht="14.25" customHeight="1" x14ac:dyDescent="0.2">
      <c r="A47" s="20">
        <v>12</v>
      </c>
      <c r="B47" s="202" t="s">
        <v>11</v>
      </c>
      <c r="C47" s="203"/>
      <c r="D47" s="15">
        <f>IF(F3="1",SUMIF(Data!A:A,'9'!$A$2,Data!DF:DF),0)</f>
        <v>202128</v>
      </c>
      <c r="E47" s="18">
        <f>IF(F3="1",SUMIF(Data!$A:$A,'9'!$A$2,Data!IZ:IZ),0)</f>
        <v>63861</v>
      </c>
      <c r="F47" s="22">
        <f t="shared" si="3"/>
        <v>0.31594336262170508</v>
      </c>
    </row>
    <row r="48" spans="1:6" x14ac:dyDescent="0.2">
      <c r="A48" s="20">
        <v>13</v>
      </c>
      <c r="B48" s="202" t="s">
        <v>12</v>
      </c>
      <c r="C48" s="203"/>
      <c r="D48" s="15">
        <f>IF(F3="1",SUMIF(Data!A:A,'9'!$A$2,Data!DG:DG),0)</f>
        <v>21936</v>
      </c>
      <c r="E48" s="18">
        <f>IF(F3="1",SUMIF(Data!$A:$A,'9'!$A$2,Data!JA:JA),0)</f>
        <v>3179</v>
      </c>
      <c r="F48" s="22">
        <f t="shared" si="3"/>
        <v>0.14492159008023342</v>
      </c>
    </row>
    <row r="49" spans="1:6" ht="14.25" customHeight="1" x14ac:dyDescent="0.2">
      <c r="A49" s="20">
        <v>14</v>
      </c>
      <c r="B49" s="202" t="s">
        <v>449</v>
      </c>
      <c r="C49" s="203"/>
      <c r="D49" s="15">
        <f>IF(F3="1",SUMIF(Data!A:A,'9'!$A$2,Data!DH:DH),0)</f>
        <v>47888</v>
      </c>
      <c r="E49" s="18">
        <f>IF(F3="1",SUMIF(Data!$A:$A,'9'!$A$2,Data!JB:JB),0)</f>
        <v>82122</v>
      </c>
      <c r="F49" s="22">
        <f t="shared" si="3"/>
        <v>1.7148763782158369</v>
      </c>
    </row>
    <row r="50" spans="1:6" x14ac:dyDescent="0.2">
      <c r="A50" s="20">
        <v>15</v>
      </c>
      <c r="B50" s="202" t="s">
        <v>13</v>
      </c>
      <c r="C50" s="203"/>
      <c r="D50" s="15">
        <f>IF(F3="1",SUMIF(Data!A:A,'9'!$A$2,Data!DI:DI),0)</f>
        <v>0</v>
      </c>
      <c r="E50" s="18">
        <f>IF(F3="1",SUMIF(Data!$A:$A,'9'!$A$2,Data!JC:JC),0)</f>
        <v>0</v>
      </c>
      <c r="F50" s="22" t="str">
        <f t="shared" si="3"/>
        <v/>
      </c>
    </row>
    <row r="51" spans="1:6" x14ac:dyDescent="0.2">
      <c r="A51" s="20">
        <v>16</v>
      </c>
      <c r="B51" s="202" t="s">
        <v>14</v>
      </c>
      <c r="C51" s="203"/>
      <c r="D51" s="15">
        <f>IF(F3="1",SUMIF(Data!A:A,'9'!$A$2,Data!DJ:DJ),0)</f>
        <v>82160</v>
      </c>
      <c r="E51" s="18">
        <f>IF(F3="1",SUMIF(Data!$A:$A,'9'!$A$2,Data!JD:JD),0)</f>
        <v>24103</v>
      </c>
      <c r="F51" s="22">
        <f t="shared" si="3"/>
        <v>0.2933666017526777</v>
      </c>
    </row>
    <row r="52" spans="1:6" x14ac:dyDescent="0.2">
      <c r="A52" s="20">
        <v>17</v>
      </c>
      <c r="B52" s="202" t="s">
        <v>15</v>
      </c>
      <c r="C52" s="203"/>
      <c r="D52" s="15">
        <f>IF(F3="1",SUMIF(Data!A:A,'9'!$A$2,Data!DK:DK),0)</f>
        <v>26080</v>
      </c>
      <c r="E52" s="18">
        <f>IF(F3="1",SUMIF(Data!$A:$A,'9'!$A$2,Data!JE:JE),0)</f>
        <v>14719</v>
      </c>
      <c r="F52" s="22">
        <f t="shared" si="3"/>
        <v>0.56437883435582825</v>
      </c>
    </row>
    <row r="53" spans="1:6" x14ac:dyDescent="0.2">
      <c r="A53" s="20">
        <v>18</v>
      </c>
      <c r="B53" s="202" t="s">
        <v>16</v>
      </c>
      <c r="C53" s="203"/>
      <c r="D53" s="15">
        <f>IF(F3="1",SUMIF(Data!A:A,'9'!$A$2,Data!DL:DL),0)</f>
        <v>62320</v>
      </c>
      <c r="E53" s="18">
        <f>IF(F3="1",SUMIF(Data!$A:$A,'9'!$A$2,Data!JF:JF),0)</f>
        <v>74889</v>
      </c>
      <c r="F53" s="22">
        <f t="shared" si="3"/>
        <v>1.2016848523748396</v>
      </c>
    </row>
    <row r="54" spans="1:6" x14ac:dyDescent="0.2">
      <c r="A54" s="20">
        <v>19</v>
      </c>
      <c r="B54" s="202" t="s">
        <v>17</v>
      </c>
      <c r="C54" s="203"/>
      <c r="D54" s="15">
        <f>IF(F3="1",SUMIF(Data!A:A,'9'!$A$2,Data!DM:DM),0)</f>
        <v>123568</v>
      </c>
      <c r="E54" s="18">
        <f>IF(F3="1",SUMIF(Data!$A:$A,'9'!$A$2,Data!JG:JG),0)</f>
        <v>27850</v>
      </c>
      <c r="F54" s="22">
        <f t="shared" si="3"/>
        <v>0.2253819759160948</v>
      </c>
    </row>
    <row r="55" spans="1:6" x14ac:dyDescent="0.2">
      <c r="A55" s="20">
        <v>20</v>
      </c>
      <c r="B55" s="202" t="s">
        <v>18</v>
      </c>
      <c r="C55" s="203"/>
      <c r="D55" s="15">
        <f>IF(F3="1",SUMIF(Data!A:A,'9'!$A$2,Data!DN:DN),0)</f>
        <v>38880</v>
      </c>
      <c r="E55" s="18">
        <f>IF(F3="1",SUMIF(Data!$A:$A,'9'!$A$2,Data!JH:JH),0)</f>
        <v>26488</v>
      </c>
      <c r="F55" s="22">
        <f t="shared" si="3"/>
        <v>0.68127572016460902</v>
      </c>
    </row>
    <row r="56" spans="1:6" ht="14.25" customHeight="1" x14ac:dyDescent="0.2">
      <c r="A56" s="20">
        <v>21</v>
      </c>
      <c r="B56" s="202" t="s">
        <v>446</v>
      </c>
      <c r="C56" s="203"/>
      <c r="D56" s="15">
        <f>IF(F3="1",SUMIF(Data!A:A,'9'!$A$2,Data!DO:DO),0)</f>
        <v>0</v>
      </c>
      <c r="E56" s="18">
        <f>IF(F3="1",SUMIF(Data!$A:$A,'9'!$A$2,Data!JI:JI),0)</f>
        <v>0</v>
      </c>
      <c r="F56" s="22" t="str">
        <f t="shared" si="3"/>
        <v/>
      </c>
    </row>
    <row r="57" spans="1:6" x14ac:dyDescent="0.2">
      <c r="A57" s="20">
        <v>22</v>
      </c>
      <c r="B57" s="202" t="s">
        <v>19</v>
      </c>
      <c r="C57" s="203"/>
      <c r="D57" s="15">
        <f>IF(F3="1",SUMIF(Data!A:A,'9'!$A$2,Data!DP:DP),0)</f>
        <v>2016</v>
      </c>
      <c r="E57" s="18">
        <f>IF(F3="1",SUMIF(Data!$A:$A,'9'!$A$2,Data!JJ:JJ),0)</f>
        <v>1010</v>
      </c>
      <c r="F57" s="22">
        <f t="shared" si="3"/>
        <v>0.50099206349206349</v>
      </c>
    </row>
    <row r="58" spans="1:6" x14ac:dyDescent="0.2">
      <c r="A58" s="20">
        <v>23</v>
      </c>
      <c r="B58" s="202" t="s">
        <v>20</v>
      </c>
      <c r="C58" s="203"/>
      <c r="D58" s="15">
        <f>IF(F3="1",SUMIF(Data!A:A,'9'!$A$2,Data!DQ:DQ),0)</f>
        <v>66688</v>
      </c>
      <c r="E58" s="18">
        <f>IF(F3="1",SUMIF(Data!$A:$A,'9'!$A$2,Data!JK:JK),0)</f>
        <v>113180</v>
      </c>
      <c r="F58" s="22">
        <f t="shared" si="3"/>
        <v>1.6971569097888675</v>
      </c>
    </row>
    <row r="59" spans="1:6" x14ac:dyDescent="0.2">
      <c r="A59" s="20">
        <v>24</v>
      </c>
      <c r="B59" s="202" t="s">
        <v>21</v>
      </c>
      <c r="C59" s="203"/>
      <c r="D59" s="15">
        <f>IF(F3="1",SUMIF(Data!A:A,'9'!$A$2,Data!DR:DR),0)</f>
        <v>38752</v>
      </c>
      <c r="E59" s="18">
        <f>IF(F3="1",SUMIF(Data!$A:$A,'9'!$A$2,Data!JL:JL),0)</f>
        <v>30326</v>
      </c>
      <c r="F59" s="22">
        <f t="shared" si="3"/>
        <v>0.78256606110652349</v>
      </c>
    </row>
    <row r="60" spans="1:6" x14ac:dyDescent="0.2">
      <c r="A60" s="20">
        <v>25</v>
      </c>
      <c r="B60" s="202" t="s">
        <v>22</v>
      </c>
      <c r="C60" s="203"/>
      <c r="D60" s="15">
        <f>IF(F3="1",SUMIF(Data!A:A,'9'!$A$2,Data!DS:DS),0)</f>
        <v>355344</v>
      </c>
      <c r="E60" s="18">
        <f>IF(F3="1",SUMIF(Data!$A:$A,'9'!$A$2,Data!JM:JM),0)</f>
        <v>79662</v>
      </c>
      <c r="F60" s="22">
        <f t="shared" si="3"/>
        <v>0.22418276374442794</v>
      </c>
    </row>
    <row r="61" spans="1:6" x14ac:dyDescent="0.2">
      <c r="A61" s="20">
        <v>26</v>
      </c>
      <c r="B61" s="202" t="s">
        <v>23</v>
      </c>
      <c r="C61" s="203"/>
      <c r="D61" s="15">
        <f>IF(F3="1",SUMIF(Data!A:A,'9'!$A$2,Data!DT:DT),0)</f>
        <v>79648</v>
      </c>
      <c r="E61" s="18">
        <f>IF(F3="1",SUMIF(Data!$A:$A,'9'!$A$2,Data!JN:JN),0)</f>
        <v>68844</v>
      </c>
      <c r="F61" s="22">
        <f t="shared" si="3"/>
        <v>0.86435315387705902</v>
      </c>
    </row>
    <row r="62" spans="1:6" x14ac:dyDescent="0.2">
      <c r="A62" s="20">
        <v>28</v>
      </c>
      <c r="B62" s="202" t="s">
        <v>24</v>
      </c>
      <c r="C62" s="203"/>
      <c r="D62" s="15">
        <f>IF(F3="1",SUMIF(Data!A:A,'9'!$A$2,Data!DV:DV),0)</f>
        <v>77744</v>
      </c>
      <c r="E62" s="18">
        <f>IF(F3="1",SUMIF(Data!$A:$A,'9'!$A$2,Data!JP:JP),0)</f>
        <v>34538</v>
      </c>
      <c r="F62" s="22">
        <f t="shared" si="3"/>
        <v>0.44425293270220212</v>
      </c>
    </row>
    <row r="63" spans="1:6" ht="15.75" customHeight="1" thickBot="1" x14ac:dyDescent="0.25">
      <c r="A63" s="23">
        <v>29</v>
      </c>
      <c r="B63" s="206" t="s">
        <v>25</v>
      </c>
      <c r="C63" s="207"/>
      <c r="D63" s="24">
        <f>IF(F3="1",SUMIF(Data!A:A,'9'!$A$2,Data!DW:DW),0)</f>
        <v>52184</v>
      </c>
      <c r="E63" s="25">
        <f>IF(F3="1",SUMIF(Data!$A:$A,'9'!$A$2,Data!JQ:JQ),0)</f>
        <v>18864</v>
      </c>
      <c r="F63" s="26">
        <f t="shared" si="3"/>
        <v>0.36149011191169705</v>
      </c>
    </row>
    <row r="64" spans="1:6" x14ac:dyDescent="0.2">
      <c r="B64" s="31" t="s">
        <v>35</v>
      </c>
      <c r="C64" s="31"/>
      <c r="D64" s="60">
        <f>SUM(D36:D63)</f>
        <v>1829304</v>
      </c>
      <c r="E64" s="32">
        <f>SUM(E36:E63)</f>
        <v>914704</v>
      </c>
      <c r="F64" s="33">
        <f t="shared" si="3"/>
        <v>0.50002842611178899</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5744</v>
      </c>
      <c r="E67" s="16">
        <f>IF(F3="1",SUMIF(Data!A:A,'9'!$A$2,Data!DY:DY),0)</f>
        <v>46000</v>
      </c>
      <c r="F67" s="21">
        <f>IFERROR(E67/D67,"")</f>
        <v>8.0083565459610035</v>
      </c>
    </row>
    <row r="68" spans="1:6" x14ac:dyDescent="0.2">
      <c r="A68" s="20">
        <v>2</v>
      </c>
      <c r="B68" s="202" t="s">
        <v>1</v>
      </c>
      <c r="C68" s="203"/>
      <c r="D68" s="15">
        <f t="shared" ref="D68:D94" si="4">D37</f>
        <v>37280</v>
      </c>
      <c r="E68" s="18">
        <f>IF(F3="1",SUMIF(Data!A:A,'9'!$A$2,Data!DZ:DZ),0)</f>
        <v>141103</v>
      </c>
      <c r="F68" s="22">
        <f t="shared" ref="F68:F95" si="5">IFERROR(E68/D68,"")</f>
        <v>3.7849517167381976</v>
      </c>
    </row>
    <row r="69" spans="1:6" ht="14.25" customHeight="1" x14ac:dyDescent="0.2">
      <c r="A69" s="20">
        <v>3</v>
      </c>
      <c r="B69" s="202" t="s">
        <v>2</v>
      </c>
      <c r="C69" s="203"/>
      <c r="D69" s="15">
        <f t="shared" si="4"/>
        <v>272048</v>
      </c>
      <c r="E69" s="18">
        <f>IF(F3="1",SUMIF(Data!A:A,'9'!$A$2,Data!EA:EA),0)</f>
        <v>566626</v>
      </c>
      <c r="F69" s="22">
        <f t="shared" si="5"/>
        <v>2.0828162677174618</v>
      </c>
    </row>
    <row r="70" spans="1:6" ht="14.25" customHeight="1" x14ac:dyDescent="0.2">
      <c r="A70" s="20">
        <v>4</v>
      </c>
      <c r="B70" s="202" t="s">
        <v>3</v>
      </c>
      <c r="C70" s="203"/>
      <c r="D70" s="15">
        <f t="shared" si="4"/>
        <v>118973</v>
      </c>
      <c r="E70" s="18">
        <f>IF(F3="1",SUMIF(Data!A:A,'9'!$A$2,Data!EB:EB),0)</f>
        <v>228693</v>
      </c>
      <c r="F70" s="22">
        <f t="shared" si="5"/>
        <v>1.922226051288948</v>
      </c>
    </row>
    <row r="71" spans="1:6" x14ac:dyDescent="0.2">
      <c r="A71" s="20">
        <v>5</v>
      </c>
      <c r="B71" s="202" t="s">
        <v>4</v>
      </c>
      <c r="C71" s="203"/>
      <c r="D71" s="15">
        <f t="shared" si="4"/>
        <v>0</v>
      </c>
      <c r="E71" s="18">
        <f>IF(F3="1",SUMIF(Data!A:A,'9'!$A$2,Data!EC:EC),0)</f>
        <v>0</v>
      </c>
      <c r="F71" s="22" t="str">
        <f t="shared" si="5"/>
        <v/>
      </c>
    </row>
    <row r="72" spans="1:6" x14ac:dyDescent="0.2">
      <c r="A72" s="20">
        <v>6</v>
      </c>
      <c r="B72" s="202" t="s">
        <v>5</v>
      </c>
      <c r="C72" s="203"/>
      <c r="D72" s="15">
        <f t="shared" si="4"/>
        <v>0</v>
      </c>
      <c r="E72" s="18">
        <f>IF(F3="1",SUMIF(Data!A:A,'9'!$A$2,Data!ED:ED),0)</f>
        <v>0</v>
      </c>
      <c r="F72" s="22" t="str">
        <f t="shared" si="5"/>
        <v/>
      </c>
    </row>
    <row r="73" spans="1:6" x14ac:dyDescent="0.2">
      <c r="A73" s="20">
        <v>7</v>
      </c>
      <c r="B73" s="202" t="s">
        <v>6</v>
      </c>
      <c r="C73" s="203"/>
      <c r="D73" s="15">
        <f t="shared" si="4"/>
        <v>13968</v>
      </c>
      <c r="E73" s="18">
        <f>IF(F3="1",SUMIF(Data!A:A,'9'!$A$2,Data!EE:EE),0)</f>
        <v>150674</v>
      </c>
      <c r="F73" s="22">
        <f t="shared" si="5"/>
        <v>10.787084765177548</v>
      </c>
    </row>
    <row r="74" spans="1:6" x14ac:dyDescent="0.2">
      <c r="A74" s="20">
        <v>8</v>
      </c>
      <c r="B74" s="202" t="s">
        <v>7</v>
      </c>
      <c r="C74" s="203"/>
      <c r="D74" s="15">
        <f t="shared" si="4"/>
        <v>2112</v>
      </c>
      <c r="E74" s="18">
        <f>IF(F3="1",SUMIF(Data!A:A,'9'!$A$2,Data!EF:EF),0)</f>
        <v>7868</v>
      </c>
      <c r="F74" s="22">
        <f t="shared" si="5"/>
        <v>3.7253787878787881</v>
      </c>
    </row>
    <row r="75" spans="1:6" x14ac:dyDescent="0.2">
      <c r="A75" s="20">
        <v>9</v>
      </c>
      <c r="B75" s="202" t="s">
        <v>8</v>
      </c>
      <c r="C75" s="203"/>
      <c r="D75" s="15">
        <f t="shared" si="4"/>
        <v>89987</v>
      </c>
      <c r="E75" s="18">
        <f>IF(F3="1",SUMIF(Data!A:A,'9'!$A$2,Data!EG:EG),0)</f>
        <v>170397</v>
      </c>
      <c r="F75" s="22">
        <f t="shared" si="5"/>
        <v>1.8935735161745586</v>
      </c>
    </row>
    <row r="76" spans="1:6" x14ac:dyDescent="0.2">
      <c r="A76" s="20">
        <v>10</v>
      </c>
      <c r="B76" s="202" t="s">
        <v>9</v>
      </c>
      <c r="C76" s="203"/>
      <c r="D76" s="15">
        <f t="shared" si="4"/>
        <v>0</v>
      </c>
      <c r="E76" s="18">
        <f>IF(F3="1",SUMIF(Data!A:A,'9'!$A$2,Data!EH:EH),0)</f>
        <v>0</v>
      </c>
      <c r="F76" s="22" t="str">
        <f t="shared" si="5"/>
        <v/>
      </c>
    </row>
    <row r="77" spans="1:6" x14ac:dyDescent="0.2">
      <c r="A77" s="20">
        <v>11</v>
      </c>
      <c r="B77" s="202" t="s">
        <v>10</v>
      </c>
      <c r="C77" s="203"/>
      <c r="D77" s="15">
        <f t="shared" si="4"/>
        <v>11856</v>
      </c>
      <c r="E77" s="18">
        <f>IF(F3="1",SUMIF(Data!A:A,'9'!$A$2,Data!EI:EI),0)</f>
        <v>25960</v>
      </c>
      <c r="F77" s="22">
        <f t="shared" si="5"/>
        <v>2.189608636977058</v>
      </c>
    </row>
    <row r="78" spans="1:6" ht="14.25" customHeight="1" x14ac:dyDescent="0.2">
      <c r="A78" s="20">
        <v>12</v>
      </c>
      <c r="B78" s="202" t="s">
        <v>11</v>
      </c>
      <c r="C78" s="203"/>
      <c r="D78" s="15">
        <f t="shared" si="4"/>
        <v>202128</v>
      </c>
      <c r="E78" s="18">
        <f>IF(F3="1",SUMIF(Data!A:A,'9'!$A$2,Data!EJ:EJ),0)</f>
        <v>545482</v>
      </c>
      <c r="F78" s="22">
        <f t="shared" si="5"/>
        <v>2.6986958758806301</v>
      </c>
    </row>
    <row r="79" spans="1:6" x14ac:dyDescent="0.2">
      <c r="A79" s="20">
        <v>13</v>
      </c>
      <c r="B79" s="202" t="s">
        <v>12</v>
      </c>
      <c r="C79" s="203"/>
      <c r="D79" s="15">
        <f t="shared" si="4"/>
        <v>21936</v>
      </c>
      <c r="E79" s="18">
        <f>IF(F3="1",SUMIF(Data!A:A,'9'!$A$2,Data!EK:EK),0)</f>
        <v>23417</v>
      </c>
      <c r="F79" s="22">
        <f t="shared" si="5"/>
        <v>1.0675145878920496</v>
      </c>
    </row>
    <row r="80" spans="1:6" ht="14.25" customHeight="1" x14ac:dyDescent="0.2">
      <c r="A80" s="20">
        <v>14</v>
      </c>
      <c r="B80" s="202" t="s">
        <v>449</v>
      </c>
      <c r="C80" s="203"/>
      <c r="D80" s="15">
        <f t="shared" si="4"/>
        <v>47888</v>
      </c>
      <c r="E80" s="18">
        <f>IF(F3="1",SUMIF(Data!A:A,'9'!$A$2,Data!EL:EL),0)</f>
        <v>180080</v>
      </c>
      <c r="F80" s="22">
        <f t="shared" si="5"/>
        <v>3.7604410290678247</v>
      </c>
    </row>
    <row r="81" spans="1:6" x14ac:dyDescent="0.2">
      <c r="A81" s="20">
        <v>15</v>
      </c>
      <c r="B81" s="202" t="s">
        <v>13</v>
      </c>
      <c r="C81" s="203"/>
      <c r="D81" s="15">
        <f t="shared" si="4"/>
        <v>0</v>
      </c>
      <c r="E81" s="18">
        <f>IF(F3="1",SUMIF(Data!A:A,'9'!$A$2,Data!EM:EM),0)</f>
        <v>0</v>
      </c>
      <c r="F81" s="22" t="str">
        <f t="shared" si="5"/>
        <v/>
      </c>
    </row>
    <row r="82" spans="1:6" x14ac:dyDescent="0.2">
      <c r="A82" s="20">
        <v>16</v>
      </c>
      <c r="B82" s="202" t="s">
        <v>14</v>
      </c>
      <c r="C82" s="203"/>
      <c r="D82" s="15">
        <f t="shared" si="4"/>
        <v>82160</v>
      </c>
      <c r="E82" s="18">
        <f>IF(F3="1",SUMIF(Data!A:A,'9'!$A$2,Data!EN:EN),0)</f>
        <v>177211</v>
      </c>
      <c r="F82" s="22">
        <f t="shared" si="5"/>
        <v>2.1569011684518014</v>
      </c>
    </row>
    <row r="83" spans="1:6" x14ac:dyDescent="0.2">
      <c r="A83" s="20">
        <v>17</v>
      </c>
      <c r="B83" s="202" t="s">
        <v>15</v>
      </c>
      <c r="C83" s="203"/>
      <c r="D83" s="15">
        <f t="shared" si="4"/>
        <v>26080</v>
      </c>
      <c r="E83" s="18">
        <f>IF(F3="1",SUMIF(Data!A:A,'9'!$A$2,Data!EO:EO),0)</f>
        <v>136416</v>
      </c>
      <c r="F83" s="22">
        <f t="shared" si="5"/>
        <v>5.2306748466257664</v>
      </c>
    </row>
    <row r="84" spans="1:6" x14ac:dyDescent="0.2">
      <c r="A84" s="20">
        <v>18</v>
      </c>
      <c r="B84" s="202" t="s">
        <v>16</v>
      </c>
      <c r="C84" s="203"/>
      <c r="D84" s="15">
        <f t="shared" si="4"/>
        <v>62320</v>
      </c>
      <c r="E84" s="18">
        <f>IF(F3="1",SUMIF(Data!A:A,'9'!$A$2,Data!EP:EP),0)</f>
        <v>338565</v>
      </c>
      <c r="F84" s="22">
        <f t="shared" si="5"/>
        <v>5.4326861360718874</v>
      </c>
    </row>
    <row r="85" spans="1:6" x14ac:dyDescent="0.2">
      <c r="A85" s="20">
        <v>19</v>
      </c>
      <c r="B85" s="202" t="s">
        <v>17</v>
      </c>
      <c r="C85" s="203"/>
      <c r="D85" s="15">
        <f t="shared" si="4"/>
        <v>123568</v>
      </c>
      <c r="E85" s="18">
        <f>IF(F3="1",SUMIF(Data!A:A,'9'!$A$2,Data!EQ:EQ),0)</f>
        <v>235664</v>
      </c>
      <c r="F85" s="22">
        <f t="shared" si="5"/>
        <v>1.9071604298847598</v>
      </c>
    </row>
    <row r="86" spans="1:6" x14ac:dyDescent="0.2">
      <c r="A86" s="20">
        <v>20</v>
      </c>
      <c r="B86" s="202" t="s">
        <v>18</v>
      </c>
      <c r="C86" s="203"/>
      <c r="D86" s="15">
        <f t="shared" si="4"/>
        <v>38880</v>
      </c>
      <c r="E86" s="18">
        <f>IF(F3="1",SUMIF(Data!A:A,'9'!$A$2,Data!ER:ER),0)</f>
        <v>115214</v>
      </c>
      <c r="F86" s="22">
        <f t="shared" si="5"/>
        <v>2.9633230452674897</v>
      </c>
    </row>
    <row r="87" spans="1:6" ht="14.25" customHeight="1" x14ac:dyDescent="0.2">
      <c r="A87" s="20">
        <v>21</v>
      </c>
      <c r="B87" s="202" t="s">
        <v>446</v>
      </c>
      <c r="C87" s="203"/>
      <c r="D87" s="15">
        <f t="shared" si="4"/>
        <v>0</v>
      </c>
      <c r="E87" s="18">
        <f>IF(F3="1",SUMIF(Data!A:A,'9'!$A$2,Data!ES:ES),0)</f>
        <v>0</v>
      </c>
      <c r="F87" s="22" t="str">
        <f t="shared" si="5"/>
        <v/>
      </c>
    </row>
    <row r="88" spans="1:6" x14ac:dyDescent="0.2">
      <c r="A88" s="20">
        <v>22</v>
      </c>
      <c r="B88" s="202" t="s">
        <v>19</v>
      </c>
      <c r="C88" s="203"/>
      <c r="D88" s="15">
        <f t="shared" si="4"/>
        <v>2016</v>
      </c>
      <c r="E88" s="18">
        <f>IF(F3="1",SUMIF(Data!A:A,'9'!$A$2,Data!ET:ET),0)</f>
        <v>3933</v>
      </c>
      <c r="F88" s="22">
        <f t="shared" si="5"/>
        <v>1.9508928571428572</v>
      </c>
    </row>
    <row r="89" spans="1:6" x14ac:dyDescent="0.2">
      <c r="A89" s="20">
        <v>23</v>
      </c>
      <c r="B89" s="202" t="s">
        <v>20</v>
      </c>
      <c r="C89" s="203"/>
      <c r="D89" s="15">
        <f t="shared" si="4"/>
        <v>66688</v>
      </c>
      <c r="E89" s="18">
        <f>IF(F3="1",SUMIF(Data!A:A,'9'!$A$2,Data!EU:EU),0)</f>
        <v>588671</v>
      </c>
      <c r="F89" s="22">
        <f t="shared" si="5"/>
        <v>8.8272402831094041</v>
      </c>
    </row>
    <row r="90" spans="1:6" x14ac:dyDescent="0.2">
      <c r="A90" s="20">
        <v>24</v>
      </c>
      <c r="B90" s="202" t="s">
        <v>21</v>
      </c>
      <c r="C90" s="203"/>
      <c r="D90" s="15">
        <f t="shared" si="4"/>
        <v>38752</v>
      </c>
      <c r="E90" s="18">
        <f>IF(F3="1",SUMIF(Data!A:A,'9'!$A$2,Data!EV:EV),0)</f>
        <v>148606</v>
      </c>
      <c r="F90" s="22">
        <f t="shared" si="5"/>
        <v>3.8347956234516927</v>
      </c>
    </row>
    <row r="91" spans="1:6" x14ac:dyDescent="0.2">
      <c r="A91" s="20">
        <v>25</v>
      </c>
      <c r="B91" s="202" t="s">
        <v>22</v>
      </c>
      <c r="C91" s="203"/>
      <c r="D91" s="15">
        <f t="shared" si="4"/>
        <v>355344</v>
      </c>
      <c r="E91" s="18">
        <f>IF(F3="1",SUMIF(Data!A:A,'9'!$A$2,Data!EW:EW),0)</f>
        <v>674071</v>
      </c>
      <c r="F91" s="22">
        <f t="shared" si="5"/>
        <v>1.896953374757981</v>
      </c>
    </row>
    <row r="92" spans="1:6" x14ac:dyDescent="0.2">
      <c r="A92" s="20">
        <v>26</v>
      </c>
      <c r="B92" s="202" t="s">
        <v>23</v>
      </c>
      <c r="C92" s="203"/>
      <c r="D92" s="15">
        <f t="shared" si="4"/>
        <v>79648</v>
      </c>
      <c r="E92" s="18">
        <f>IF(F3="1",SUMIF(Data!A:A,'9'!$A$2,Data!EX:EX),0)</f>
        <v>223389</v>
      </c>
      <c r="F92" s="22">
        <f t="shared" si="5"/>
        <v>2.8047031940538369</v>
      </c>
    </row>
    <row r="93" spans="1:6" x14ac:dyDescent="0.2">
      <c r="A93" s="20">
        <v>28</v>
      </c>
      <c r="B93" s="202" t="s">
        <v>24</v>
      </c>
      <c r="C93" s="203"/>
      <c r="D93" s="15">
        <f t="shared" si="4"/>
        <v>77744</v>
      </c>
      <c r="E93" s="18">
        <f>IF(F3="1",SUMIF(Data!A:A,'9'!$A$2,Data!EZ:EZ),0)</f>
        <v>256615</v>
      </c>
      <c r="F93" s="22">
        <f t="shared" si="5"/>
        <v>3.3007691911916033</v>
      </c>
    </row>
    <row r="94" spans="1:6" ht="15.75" customHeight="1" thickBot="1" x14ac:dyDescent="0.25">
      <c r="A94" s="23">
        <v>29</v>
      </c>
      <c r="B94" s="206" t="s">
        <v>25</v>
      </c>
      <c r="C94" s="207"/>
      <c r="D94" s="24">
        <f t="shared" si="4"/>
        <v>52184</v>
      </c>
      <c r="E94" s="25">
        <f>IF(F3="1",SUMIF(Data!A:A,'9'!$A$2,Data!FA:FA),0)</f>
        <v>173129</v>
      </c>
      <c r="F94" s="26">
        <f t="shared" si="5"/>
        <v>3.317664418212479</v>
      </c>
    </row>
    <row r="95" spans="1:6" x14ac:dyDescent="0.2">
      <c r="B95" s="31" t="s">
        <v>35</v>
      </c>
      <c r="C95" s="31"/>
      <c r="D95" s="60">
        <f>SUM(D67:D94)</f>
        <v>1829304</v>
      </c>
      <c r="E95" s="32">
        <f>SUM(E67:E94)</f>
        <v>5157784</v>
      </c>
      <c r="F95" s="33">
        <f t="shared" si="5"/>
        <v>2.819533549371783</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IF(F3="1",SUMIF(Data!A:A,'9'!$A$2,Data!AH:AH),0)</f>
        <v>2196024</v>
      </c>
      <c r="F98" s="21">
        <f t="shared" ref="F98:F105" si="6">IFERROR(E98/$D$95,0)</f>
        <v>1.2004696868317131</v>
      </c>
    </row>
    <row r="99" spans="2:6" x14ac:dyDescent="0.2">
      <c r="B99" s="212" t="s">
        <v>31</v>
      </c>
      <c r="C99" s="213"/>
      <c r="D99" s="37"/>
      <c r="E99" s="18">
        <f>IF(F3="1",SUMIF(Data!A:A,'9'!$A$2,Data!AI:AI),0)</f>
        <v>1268855</v>
      </c>
      <c r="F99" s="22">
        <f t="shared" si="6"/>
        <v>0.69362719373051174</v>
      </c>
    </row>
    <row r="100" spans="2:6" x14ac:dyDescent="0.2">
      <c r="B100" s="212" t="s">
        <v>32</v>
      </c>
      <c r="C100" s="213"/>
      <c r="D100" s="37"/>
      <c r="E100" s="18">
        <f>IF(F3="1",SUMIF(Data!A:A,'9'!$A$2,Data!AJ:AJ),0)</f>
        <v>813873</v>
      </c>
      <c r="F100" s="22">
        <f t="shared" si="6"/>
        <v>0.4449085553849989</v>
      </c>
    </row>
    <row r="101" spans="2:6" x14ac:dyDescent="0.2">
      <c r="B101" s="212" t="s">
        <v>28</v>
      </c>
      <c r="C101" s="213"/>
      <c r="D101" s="37"/>
      <c r="E101" s="18">
        <f>IF(F3="1",SUMIF(Data!A:A,'9'!$A$2,Data!AK:AK),0)</f>
        <v>0</v>
      </c>
      <c r="F101" s="22">
        <f t="shared" si="6"/>
        <v>0</v>
      </c>
    </row>
    <row r="102" spans="2:6" x14ac:dyDescent="0.2">
      <c r="B102" s="212" t="s">
        <v>33</v>
      </c>
      <c r="C102" s="213"/>
      <c r="D102" s="37"/>
      <c r="E102" s="18">
        <f>IF(F3="1",SUMIF(Data!A:A,'9'!$A$2,Data!AL:AL),0)</f>
        <v>0</v>
      </c>
      <c r="F102" s="22">
        <f t="shared" si="6"/>
        <v>0</v>
      </c>
    </row>
    <row r="103" spans="2:6" x14ac:dyDescent="0.2">
      <c r="B103" s="214" t="s">
        <v>34</v>
      </c>
      <c r="C103" s="215"/>
      <c r="D103" s="37"/>
      <c r="E103" s="18">
        <f>IF(F3="1",SUMIF(Data!A:A,'9'!$A$2,Data!AM:AM),0)</f>
        <v>289116</v>
      </c>
      <c r="F103" s="22">
        <f t="shared" si="6"/>
        <v>0.15804699492265911</v>
      </c>
    </row>
    <row r="104" spans="2:6" ht="15.75" customHeight="1" thickBot="1" x14ac:dyDescent="0.25">
      <c r="B104" s="208" t="s">
        <v>29</v>
      </c>
      <c r="C104" s="209"/>
      <c r="D104" s="38"/>
      <c r="E104" s="25">
        <f>IF(F3="1",SUMIF(Data!A:A,'9'!$A$2,Data!Q:Q),0)</f>
        <v>895245</v>
      </c>
      <c r="F104" s="26">
        <f t="shared" si="6"/>
        <v>0.48939104708676084</v>
      </c>
    </row>
    <row r="105" spans="2:6" x14ac:dyDescent="0.2">
      <c r="B105" s="31" t="s">
        <v>35</v>
      </c>
      <c r="C105" s="31"/>
      <c r="D105" s="35">
        <f>D95</f>
        <v>1829304</v>
      </c>
      <c r="E105" s="32">
        <f>SUM(E98:E104)</f>
        <v>5463113</v>
      </c>
      <c r="F105" s="33">
        <f t="shared" si="6"/>
        <v>2.9864434779566436</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5169878</v>
      </c>
      <c r="D109" s="192">
        <f>IF(F3="1",SUMIF(Data!$A:$A,$A$2,Data!HJ:HJ),0)</f>
        <v>379056</v>
      </c>
      <c r="E109" s="192">
        <f>IF(F3="1",SUMIF(Data!$A:$A,$A$2,Data!IN:IN),0)</f>
        <v>523553</v>
      </c>
      <c r="F109" s="48">
        <f>SUM(C109:E109)</f>
        <v>6072487</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0</v>
      </c>
      <c r="D111" s="52"/>
      <c r="E111" s="193">
        <f>IF(F3="1",SUMIF(Data!A:A,$A$2,Data!AX:AX)-SUMIF(Data!A:A,$A$2,Data!AW:AW),0)</f>
        <v>500</v>
      </c>
      <c r="F111" s="49">
        <f t="shared" si="7"/>
        <v>500</v>
      </c>
    </row>
    <row r="112" spans="2:6" x14ac:dyDescent="0.2">
      <c r="B112" s="43" t="s">
        <v>32</v>
      </c>
      <c r="C112" s="193">
        <f>IF(F3="1",SUMIF(Data!A:A,$A$2,Data!V:V),0)</f>
        <v>629882</v>
      </c>
      <c r="D112" s="52"/>
      <c r="E112" s="193">
        <f>IF(F3="1",SUMIF(Data!A:A,$A$2,Data!AC:AC),0)</f>
        <v>183991</v>
      </c>
      <c r="F112" s="49">
        <f t="shared" si="7"/>
        <v>813873</v>
      </c>
    </row>
    <row r="113" spans="1:6" x14ac:dyDescent="0.2">
      <c r="B113" s="43" t="s">
        <v>31</v>
      </c>
      <c r="C113" s="193">
        <f>IF(F3="1",SUMIF(Data!A:A,$A$2,Data!U:U),0)</f>
        <v>1045955</v>
      </c>
      <c r="D113" s="52"/>
      <c r="E113" s="193">
        <f>IF(F3="1",SUMIF(Data!A:A,$A$2,Data!AB:AB),0)</f>
        <v>222900</v>
      </c>
      <c r="F113" s="49">
        <f t="shared" si="7"/>
        <v>1268855</v>
      </c>
    </row>
    <row r="114" spans="1:6" x14ac:dyDescent="0.2">
      <c r="B114" s="43" t="s">
        <v>1002</v>
      </c>
      <c r="C114" s="193">
        <f>IF(F3="1",SUMIF(Data!A:A,$A$2,Data!T:T),0)</f>
        <v>997886</v>
      </c>
      <c r="D114" s="52"/>
      <c r="E114" s="193">
        <f>IF(F3="1",SUMIF(Data!A:A,$A$2,Data!AA:AA),0)</f>
        <v>1198138</v>
      </c>
      <c r="F114" s="49">
        <f t="shared" si="7"/>
        <v>2196024</v>
      </c>
    </row>
    <row r="115" spans="1:6" x14ac:dyDescent="0.2">
      <c r="B115" s="43" t="s">
        <v>916</v>
      </c>
      <c r="C115" s="193">
        <f>IF(F3="1",SUMIF(Data!A:A,$A$2,Data!BI:BI),0)</f>
        <v>439798</v>
      </c>
      <c r="D115" s="193">
        <f>IF(F3="1",SUMIF(Data!A:A,$A$2,Data!BL:BL),0)</f>
        <v>31323</v>
      </c>
      <c r="E115" s="193">
        <f>IF(F3="1",SUMIF(Data!A:A,$A$2,Data!BU:BU)-SUMIF(Data!A:A,$A$2,Data!BT:BT),0)</f>
        <v>1336504</v>
      </c>
      <c r="F115" s="49">
        <f t="shared" si="7"/>
        <v>1807625</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895245</v>
      </c>
      <c r="E117" s="53"/>
      <c r="F117" s="50">
        <f>SUM(C117:E117)</f>
        <v>895245</v>
      </c>
    </row>
    <row r="118" spans="1:6" x14ac:dyDescent="0.2">
      <c r="B118" s="14" t="s">
        <v>35</v>
      </c>
      <c r="C118" s="178">
        <f>SUM(C109:C117)</f>
        <v>8283399</v>
      </c>
      <c r="D118" s="194">
        <f>SUM(D109:D117)</f>
        <v>1305624</v>
      </c>
      <c r="E118" s="178">
        <f>SUM(E109:E117)</f>
        <v>3465586</v>
      </c>
      <c r="F118" s="178">
        <f>SUM(F109:F117)</f>
        <v>13054609</v>
      </c>
    </row>
    <row r="119" spans="1:6" x14ac:dyDescent="0.2">
      <c r="C119" s="177"/>
      <c r="D119" s="177"/>
      <c r="E119" s="177"/>
    </row>
    <row r="120" spans="1:6" ht="15" thickBot="1" x14ac:dyDescent="0.25">
      <c r="B120" s="188" t="s">
        <v>921</v>
      </c>
      <c r="C120" s="53"/>
      <c r="D120" s="53"/>
      <c r="E120" s="195">
        <f>IF(F3="1",SUMIF(Data!A:A,$A$2,Data!AF:AF)+SUMIF(Data!A:A,$A$2,Data!AW:AW)+SUMIF(Data!A:A,$A$2,Data!BT:BT),0)</f>
        <v>289116</v>
      </c>
      <c r="F120" s="181">
        <f>SUM(C120:E120)</f>
        <v>289116</v>
      </c>
    </row>
    <row r="121" spans="1:6" s="177" customFormat="1" x14ac:dyDescent="0.2">
      <c r="B121" s="14" t="s">
        <v>35</v>
      </c>
      <c r="C121" s="178">
        <f>SUM(C120:C120)</f>
        <v>0</v>
      </c>
      <c r="D121" s="178">
        <f>SUM(D120:D120)</f>
        <v>0</v>
      </c>
      <c r="E121" s="178">
        <f>SUM(E120:E120)</f>
        <v>289116</v>
      </c>
      <c r="F121" s="178">
        <f>SUM(F120:F120)</f>
        <v>289116</v>
      </c>
    </row>
    <row r="122" spans="1:6" s="177" customFormat="1" ht="15" thickBot="1" x14ac:dyDescent="0.25">
      <c r="B122" s="14" t="s">
        <v>1396</v>
      </c>
      <c r="C122" s="178"/>
      <c r="D122" s="178"/>
      <c r="E122" s="178"/>
      <c r="F122" s="190">
        <f>F118+F121</f>
        <v>13343725</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360</v>
      </c>
      <c r="B2" s="59" t="str">
        <f>VLOOKUP(A2,Data!A:G,7,0)</f>
        <v>Clarendon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40736</v>
      </c>
      <c r="E5" s="16">
        <f>E36+E67+IFERROR($E$105/$D$105*D5,0)</f>
        <v>350063.54078660911</v>
      </c>
      <c r="F5" s="21">
        <f>IFERROR(E5/D5,"")</f>
        <v>8.5934686956649919</v>
      </c>
    </row>
    <row r="6" spans="1:6" x14ac:dyDescent="0.2">
      <c r="A6" s="20">
        <v>2</v>
      </c>
      <c r="B6" s="202" t="s">
        <v>1</v>
      </c>
      <c r="C6" s="203"/>
      <c r="D6" s="15">
        <f t="shared" ref="D6:D32" si="0">D37</f>
        <v>19568</v>
      </c>
      <c r="E6" s="18">
        <f t="shared" ref="E6:E32" si="1">E37+E68+IFERROR($E$105/$D$105*D6,0)</f>
        <v>140965.04256952982</v>
      </c>
      <c r="F6" s="22">
        <f t="shared" ref="F6:F33" si="2">IFERROR(E6/D6,"")</f>
        <v>7.2038554052294472</v>
      </c>
    </row>
    <row r="7" spans="1:6" ht="14.25" customHeight="1" x14ac:dyDescent="0.2">
      <c r="A7" s="20">
        <v>3</v>
      </c>
      <c r="B7" s="202" t="s">
        <v>2</v>
      </c>
      <c r="C7" s="203"/>
      <c r="D7" s="15">
        <f t="shared" si="0"/>
        <v>80720</v>
      </c>
      <c r="E7" s="18">
        <f t="shared" si="1"/>
        <v>471761.03741886996</v>
      </c>
      <c r="F7" s="22">
        <f t="shared" si="2"/>
        <v>5.8444132484993805</v>
      </c>
    </row>
    <row r="8" spans="1:6" ht="14.25" customHeight="1" x14ac:dyDescent="0.2">
      <c r="A8" s="20">
        <v>4</v>
      </c>
      <c r="B8" s="202" t="s">
        <v>3</v>
      </c>
      <c r="C8" s="203"/>
      <c r="D8" s="15">
        <f t="shared" si="0"/>
        <v>24576</v>
      </c>
      <c r="E8" s="18">
        <f t="shared" si="1"/>
        <v>213636.03874635961</v>
      </c>
      <c r="F8" s="22">
        <f t="shared" si="2"/>
        <v>8.6928726703434087</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0</v>
      </c>
      <c r="E10" s="18">
        <f t="shared" si="1"/>
        <v>0</v>
      </c>
      <c r="F10" s="22" t="str">
        <f t="shared" si="2"/>
        <v/>
      </c>
    </row>
    <row r="11" spans="1:6" x14ac:dyDescent="0.2">
      <c r="A11" s="20">
        <v>7</v>
      </c>
      <c r="B11" s="202" t="s">
        <v>6</v>
      </c>
      <c r="C11" s="203"/>
      <c r="D11" s="15">
        <f t="shared" si="0"/>
        <v>7290</v>
      </c>
      <c r="E11" s="18">
        <f t="shared" si="1"/>
        <v>72171.5822941472</v>
      </c>
      <c r="F11" s="22">
        <f t="shared" si="2"/>
        <v>9.9000798757403565</v>
      </c>
    </row>
    <row r="12" spans="1:6" x14ac:dyDescent="0.2">
      <c r="A12" s="20">
        <v>8</v>
      </c>
      <c r="B12" s="202" t="s">
        <v>7</v>
      </c>
      <c r="C12" s="203"/>
      <c r="D12" s="15">
        <f t="shared" si="0"/>
        <v>0</v>
      </c>
      <c r="E12" s="18">
        <f t="shared" si="1"/>
        <v>0</v>
      </c>
      <c r="F12" s="22" t="str">
        <f t="shared" si="2"/>
        <v/>
      </c>
    </row>
    <row r="13" spans="1:6" x14ac:dyDescent="0.2">
      <c r="A13" s="20">
        <v>9</v>
      </c>
      <c r="B13" s="202" t="s">
        <v>8</v>
      </c>
      <c r="C13" s="203"/>
      <c r="D13" s="15">
        <f t="shared" si="0"/>
        <v>54592</v>
      </c>
      <c r="E13" s="18">
        <f t="shared" si="1"/>
        <v>295266.22669438738</v>
      </c>
      <c r="F13" s="22">
        <f t="shared" si="2"/>
        <v>5.4085988184053964</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19040</v>
      </c>
      <c r="E15" s="18">
        <f t="shared" si="1"/>
        <v>121688.5222058385</v>
      </c>
      <c r="F15" s="22">
        <f t="shared" si="2"/>
        <v>6.3912038973654672</v>
      </c>
    </row>
    <row r="16" spans="1:6" ht="14.25" customHeight="1" x14ac:dyDescent="0.2">
      <c r="A16" s="20">
        <v>12</v>
      </c>
      <c r="B16" s="202" t="s">
        <v>11</v>
      </c>
      <c r="C16" s="203"/>
      <c r="D16" s="15">
        <f t="shared" si="0"/>
        <v>68448</v>
      </c>
      <c r="E16" s="18">
        <f t="shared" si="1"/>
        <v>392580.9126021656</v>
      </c>
      <c r="F16" s="22">
        <f t="shared" si="2"/>
        <v>5.7354621406347244</v>
      </c>
    </row>
    <row r="17" spans="1:6" x14ac:dyDescent="0.2">
      <c r="A17" s="20">
        <v>13</v>
      </c>
      <c r="B17" s="202" t="s">
        <v>12</v>
      </c>
      <c r="C17" s="203"/>
      <c r="D17" s="15">
        <f t="shared" si="0"/>
        <v>14976</v>
      </c>
      <c r="E17" s="18">
        <f t="shared" si="1"/>
        <v>76686.30486106289</v>
      </c>
      <c r="F17" s="22">
        <f t="shared" si="2"/>
        <v>5.1206133053594343</v>
      </c>
    </row>
    <row r="18" spans="1:6" ht="14.25" customHeight="1" x14ac:dyDescent="0.2">
      <c r="A18" s="20">
        <v>14</v>
      </c>
      <c r="B18" s="202" t="s">
        <v>449</v>
      </c>
      <c r="C18" s="203"/>
      <c r="D18" s="15">
        <f t="shared" si="0"/>
        <v>0</v>
      </c>
      <c r="E18" s="18">
        <f t="shared" si="1"/>
        <v>41896</v>
      </c>
      <c r="F18" s="22" t="str">
        <f t="shared" si="2"/>
        <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18967</v>
      </c>
      <c r="E20" s="18">
        <f t="shared" si="1"/>
        <v>92269.440791919056</v>
      </c>
      <c r="F20" s="22">
        <f t="shared" si="2"/>
        <v>4.8647356351515292</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99712</v>
      </c>
      <c r="E22" s="18">
        <f t="shared" si="1"/>
        <v>725112.87595528201</v>
      </c>
      <c r="F22" s="22">
        <f t="shared" si="2"/>
        <v>7.2720723278570487</v>
      </c>
    </row>
    <row r="23" spans="1:6" x14ac:dyDescent="0.2">
      <c r="A23" s="20">
        <v>19</v>
      </c>
      <c r="B23" s="202" t="s">
        <v>17</v>
      </c>
      <c r="C23" s="203"/>
      <c r="D23" s="15">
        <f t="shared" si="0"/>
        <v>33328</v>
      </c>
      <c r="E23" s="18">
        <f t="shared" si="1"/>
        <v>253257.3611384551</v>
      </c>
      <c r="F23" s="22">
        <f t="shared" si="2"/>
        <v>7.5989366640198961</v>
      </c>
    </row>
    <row r="24" spans="1:6" x14ac:dyDescent="0.2">
      <c r="A24" s="20">
        <v>20</v>
      </c>
      <c r="B24" s="202" t="s">
        <v>18</v>
      </c>
      <c r="C24" s="203"/>
      <c r="D24" s="15">
        <f t="shared" si="0"/>
        <v>0</v>
      </c>
      <c r="E24" s="18">
        <f t="shared" si="1"/>
        <v>0</v>
      </c>
      <c r="F24" s="22" t="str">
        <f t="shared" si="2"/>
        <v/>
      </c>
    </row>
    <row r="25" spans="1:6" ht="14.25" customHeight="1" x14ac:dyDescent="0.2">
      <c r="A25" s="20">
        <v>21</v>
      </c>
      <c r="B25" s="202" t="s">
        <v>446</v>
      </c>
      <c r="C25" s="203"/>
      <c r="D25" s="15">
        <f t="shared" si="0"/>
        <v>0</v>
      </c>
      <c r="E25" s="18">
        <f t="shared" si="1"/>
        <v>0</v>
      </c>
      <c r="F25" s="22" t="str">
        <f t="shared" si="2"/>
        <v/>
      </c>
    </row>
    <row r="26" spans="1:6" x14ac:dyDescent="0.2">
      <c r="A26" s="20">
        <v>22</v>
      </c>
      <c r="B26" s="202" t="s">
        <v>19</v>
      </c>
      <c r="C26" s="203"/>
      <c r="D26" s="15">
        <f t="shared" si="0"/>
        <v>0</v>
      </c>
      <c r="E26" s="18">
        <f t="shared" si="1"/>
        <v>0</v>
      </c>
      <c r="F26" s="22" t="str">
        <f t="shared" si="2"/>
        <v/>
      </c>
    </row>
    <row r="27" spans="1:6" x14ac:dyDescent="0.2">
      <c r="A27" s="20">
        <v>23</v>
      </c>
      <c r="B27" s="202" t="s">
        <v>20</v>
      </c>
      <c r="C27" s="203"/>
      <c r="D27" s="15">
        <f t="shared" si="0"/>
        <v>45824</v>
      </c>
      <c r="E27" s="18">
        <f t="shared" si="1"/>
        <v>537985.00974581635</v>
      </c>
      <c r="F27" s="22">
        <f t="shared" si="2"/>
        <v>11.740245498992152</v>
      </c>
    </row>
    <row r="28" spans="1:6" x14ac:dyDescent="0.2">
      <c r="A28" s="20">
        <v>24</v>
      </c>
      <c r="B28" s="202" t="s">
        <v>21</v>
      </c>
      <c r="C28" s="203"/>
      <c r="D28" s="15">
        <f t="shared" si="0"/>
        <v>18020</v>
      </c>
      <c r="E28" s="18">
        <f t="shared" si="1"/>
        <v>111983.49423052573</v>
      </c>
      <c r="F28" s="22">
        <f t="shared" si="2"/>
        <v>6.214400345756145</v>
      </c>
    </row>
    <row r="29" spans="1:6" x14ac:dyDescent="0.2">
      <c r="A29" s="20">
        <v>25</v>
      </c>
      <c r="B29" s="202" t="s">
        <v>22</v>
      </c>
      <c r="C29" s="203"/>
      <c r="D29" s="15">
        <f t="shared" si="0"/>
        <v>113712</v>
      </c>
      <c r="E29" s="18">
        <f t="shared" si="1"/>
        <v>625397.61287133978</v>
      </c>
      <c r="F29" s="22">
        <f t="shared" si="2"/>
        <v>5.4998383008947149</v>
      </c>
    </row>
    <row r="30" spans="1:6" x14ac:dyDescent="0.2">
      <c r="A30" s="20">
        <v>26</v>
      </c>
      <c r="B30" s="202" t="s">
        <v>23</v>
      </c>
      <c r="C30" s="203"/>
      <c r="D30" s="15">
        <f t="shared" si="0"/>
        <v>30432</v>
      </c>
      <c r="E30" s="18">
        <f t="shared" si="1"/>
        <v>162007.44641639059</v>
      </c>
      <c r="F30" s="22">
        <f t="shared" si="2"/>
        <v>5.3235885389192497</v>
      </c>
    </row>
    <row r="31" spans="1:6" x14ac:dyDescent="0.2">
      <c r="A31" s="20">
        <v>28</v>
      </c>
      <c r="B31" s="202" t="s">
        <v>24</v>
      </c>
      <c r="C31" s="203"/>
      <c r="D31" s="15">
        <f t="shared" si="0"/>
        <v>22800</v>
      </c>
      <c r="E31" s="18">
        <f t="shared" si="1"/>
        <v>140281.74297757971</v>
      </c>
      <c r="F31" s="22">
        <f t="shared" si="2"/>
        <v>6.1527080253324433</v>
      </c>
    </row>
    <row r="32" spans="1:6" ht="15.75" customHeight="1" thickBot="1" x14ac:dyDescent="0.25">
      <c r="A32" s="23">
        <v>29</v>
      </c>
      <c r="B32" s="206" t="s">
        <v>25</v>
      </c>
      <c r="C32" s="207"/>
      <c r="D32" s="24">
        <f t="shared" si="0"/>
        <v>21728</v>
      </c>
      <c r="E32" s="25">
        <f t="shared" si="1"/>
        <v>118331.80769372158</v>
      </c>
      <c r="F32" s="26">
        <f t="shared" si="2"/>
        <v>5.4460515322957281</v>
      </c>
    </row>
    <row r="33" spans="1:6" x14ac:dyDescent="0.2">
      <c r="B33" s="31" t="s">
        <v>35</v>
      </c>
      <c r="C33" s="31"/>
      <c r="D33" s="60">
        <f>SUM(D5:D32)</f>
        <v>734469</v>
      </c>
      <c r="E33" s="32">
        <f>SUM(E5:E32)</f>
        <v>4943342</v>
      </c>
      <c r="F33" s="33">
        <f t="shared" si="2"/>
        <v>6.7304978154285617</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IF(F3="1",SUMIF(Data!A:A,'10'!$A$2,Data!CU:CU),0)</f>
        <v>40736</v>
      </c>
      <c r="E36" s="16">
        <f>IF(F3="1",SUMIF(Data!$A:$A,'10'!$A$2,Data!IO:IO),0)</f>
        <v>51982</v>
      </c>
      <c r="F36" s="21">
        <f t="shared" ref="F36:F64" si="3">IFERROR(E36/D36,"")</f>
        <v>1.2760703063629222</v>
      </c>
    </row>
    <row r="37" spans="1:6" x14ac:dyDescent="0.2">
      <c r="A37" s="20">
        <v>2</v>
      </c>
      <c r="B37" s="202" t="s">
        <v>1</v>
      </c>
      <c r="C37" s="203"/>
      <c r="D37" s="15">
        <f>IF(F3="1",SUMIF(Data!A:A,'10'!$A$2,Data!CV:CV),0)</f>
        <v>19568</v>
      </c>
      <c r="E37" s="18">
        <f>IF(F3="1",SUMIF(Data!$A:$A,'10'!$A$2,Data!IP:IP),0)</f>
        <v>15745</v>
      </c>
      <c r="F37" s="22">
        <f t="shared" si="3"/>
        <v>0.8046300081766149</v>
      </c>
    </row>
    <row r="38" spans="1:6" ht="14.25" customHeight="1" x14ac:dyDescent="0.2">
      <c r="A38" s="20">
        <v>3</v>
      </c>
      <c r="B38" s="202" t="s">
        <v>2</v>
      </c>
      <c r="C38" s="203"/>
      <c r="D38" s="15">
        <f>IF(F3="1",SUMIF(Data!A:A,'10'!$A$2,Data!CW:CW),0)</f>
        <v>80720</v>
      </c>
      <c r="E38" s="18">
        <f>IF(F3="1",SUMIF(Data!$A:$A,'10'!$A$2,Data!IQ:IQ),0)</f>
        <v>31673</v>
      </c>
      <c r="F38" s="22">
        <f t="shared" si="3"/>
        <v>0.39238107036669972</v>
      </c>
    </row>
    <row r="39" spans="1:6" ht="14.25" customHeight="1" x14ac:dyDescent="0.2">
      <c r="A39" s="20">
        <v>4</v>
      </c>
      <c r="B39" s="202" t="s">
        <v>3</v>
      </c>
      <c r="C39" s="203"/>
      <c r="D39" s="15">
        <f>IF(F3="1",SUMIF(Data!A:A,'10'!$A$2,Data!CX:CX),0)</f>
        <v>24576</v>
      </c>
      <c r="E39" s="18">
        <f>IF(F3="1",SUMIF(Data!$A:$A,'10'!$A$2,Data!IR:IR),0)</f>
        <v>12023</v>
      </c>
      <c r="F39" s="22">
        <f t="shared" si="3"/>
        <v>0.48921712239583331</v>
      </c>
    </row>
    <row r="40" spans="1:6" x14ac:dyDescent="0.2">
      <c r="A40" s="20">
        <v>5</v>
      </c>
      <c r="B40" s="202" t="s">
        <v>4</v>
      </c>
      <c r="C40" s="203"/>
      <c r="D40" s="15">
        <f>IF(F3="1",SUMIF(Data!A:A,'10'!$A$2,Data!CY:CY),0)</f>
        <v>0</v>
      </c>
      <c r="E40" s="18">
        <f>IF(F3="1",SUMIF(Data!$A:$A,'10'!$A$2,Data!IS:IS),0)</f>
        <v>0</v>
      </c>
      <c r="F40" s="22" t="str">
        <f t="shared" si="3"/>
        <v/>
      </c>
    </row>
    <row r="41" spans="1:6" x14ac:dyDescent="0.2">
      <c r="A41" s="20">
        <v>6</v>
      </c>
      <c r="B41" s="202" t="s">
        <v>5</v>
      </c>
      <c r="C41" s="203"/>
      <c r="D41" s="15">
        <f>IF(F3="1",SUMIF(Data!A:A,'10'!$A$2,Data!CZ:CZ),0)</f>
        <v>0</v>
      </c>
      <c r="E41" s="18">
        <f>IF(F3="1",SUMIF(Data!$A:$A,'10'!$A$2,Data!IT:IT),0)</f>
        <v>0</v>
      </c>
      <c r="F41" s="22" t="str">
        <f t="shared" si="3"/>
        <v/>
      </c>
    </row>
    <row r="42" spans="1:6" x14ac:dyDescent="0.2">
      <c r="A42" s="20">
        <v>7</v>
      </c>
      <c r="B42" s="202" t="s">
        <v>6</v>
      </c>
      <c r="C42" s="203"/>
      <c r="D42" s="15">
        <f>IF(F3="1",SUMIF(Data!A:A,'10'!$A$2,Data!DA:DA),0)</f>
        <v>7290</v>
      </c>
      <c r="E42" s="18">
        <f>IF(F3="1",SUMIF(Data!$A:$A,'10'!$A$2,Data!IU:IU),0)</f>
        <v>5395</v>
      </c>
      <c r="F42" s="22">
        <f t="shared" si="3"/>
        <v>0.74005486968449929</v>
      </c>
    </row>
    <row r="43" spans="1:6" x14ac:dyDescent="0.2">
      <c r="A43" s="20">
        <v>8</v>
      </c>
      <c r="B43" s="202" t="s">
        <v>7</v>
      </c>
      <c r="C43" s="203"/>
      <c r="D43" s="15">
        <f>IF(F3="1",SUMIF(Data!A:A,'10'!$A$2,Data!DB:DB),0)</f>
        <v>0</v>
      </c>
      <c r="E43" s="18">
        <f>IF(F3="1",SUMIF(Data!$A:$A,'10'!$A$2,Data!IV:IV),0)</f>
        <v>0</v>
      </c>
      <c r="F43" s="22" t="str">
        <f t="shared" si="3"/>
        <v/>
      </c>
    </row>
    <row r="44" spans="1:6" x14ac:dyDescent="0.2">
      <c r="A44" s="20">
        <v>9</v>
      </c>
      <c r="B44" s="202" t="s">
        <v>8</v>
      </c>
      <c r="C44" s="203"/>
      <c r="D44" s="15">
        <f>IF(F3="1",SUMIF(Data!A:A,'10'!$A$2,Data!DC:DC),0)</f>
        <v>54592</v>
      </c>
      <c r="E44" s="18">
        <f>IF(F3="1",SUMIF(Data!$A:$A,'10'!$A$2,Data!IW:IW),0)</f>
        <v>37526</v>
      </c>
      <c r="F44" s="22">
        <f t="shared" si="3"/>
        <v>0.6873900937866354</v>
      </c>
    </row>
    <row r="45" spans="1:6" x14ac:dyDescent="0.2">
      <c r="A45" s="20">
        <v>10</v>
      </c>
      <c r="B45" s="202" t="s">
        <v>9</v>
      </c>
      <c r="C45" s="203"/>
      <c r="D45" s="15">
        <f>IF(F3="1",SUMIF(Data!A:A,'10'!$A$2,Data!DD:DD),0)</f>
        <v>0</v>
      </c>
      <c r="E45" s="18">
        <f>IF(F3="1",SUMIF(Data!$A:$A,'10'!$A$2,Data!IX:IX),0)</f>
        <v>0</v>
      </c>
      <c r="F45" s="22" t="str">
        <f t="shared" si="3"/>
        <v/>
      </c>
    </row>
    <row r="46" spans="1:6" x14ac:dyDescent="0.2">
      <c r="A46" s="20">
        <v>11</v>
      </c>
      <c r="B46" s="202" t="s">
        <v>10</v>
      </c>
      <c r="C46" s="203"/>
      <c r="D46" s="15">
        <f>IF(F3="1",SUMIF(Data!A:A,'10'!$A$2,Data!DE:DE),0)</f>
        <v>19040</v>
      </c>
      <c r="E46" s="18">
        <f>IF(F3="1",SUMIF(Data!$A:$A,'10'!$A$2,Data!IY:IY),0)</f>
        <v>13290</v>
      </c>
      <c r="F46" s="22">
        <f t="shared" si="3"/>
        <v>0.69800420168067223</v>
      </c>
    </row>
    <row r="47" spans="1:6" ht="14.25" customHeight="1" x14ac:dyDescent="0.2">
      <c r="A47" s="20">
        <v>12</v>
      </c>
      <c r="B47" s="202" t="s">
        <v>11</v>
      </c>
      <c r="C47" s="203"/>
      <c r="D47" s="15">
        <f>IF(F3="1",SUMIF(Data!A:A,'10'!$A$2,Data!DF:DF),0)</f>
        <v>68448</v>
      </c>
      <c r="E47" s="18">
        <f>IF(F3="1",SUMIF(Data!$A:$A,'10'!$A$2,Data!IZ:IZ),0)</f>
        <v>18533</v>
      </c>
      <c r="F47" s="22">
        <f t="shared" si="3"/>
        <v>0.27076028517999062</v>
      </c>
    </row>
    <row r="48" spans="1:6" x14ac:dyDescent="0.2">
      <c r="A48" s="20">
        <v>13</v>
      </c>
      <c r="B48" s="202" t="s">
        <v>12</v>
      </c>
      <c r="C48" s="203"/>
      <c r="D48" s="15">
        <f>IF(F3="1",SUMIF(Data!A:A,'10'!$A$2,Data!DG:DG),0)</f>
        <v>14976</v>
      </c>
      <c r="E48" s="18">
        <f>IF(F3="1",SUMIF(Data!$A:$A,'10'!$A$2,Data!JA:JA),0)</f>
        <v>2776</v>
      </c>
      <c r="F48" s="22">
        <f t="shared" si="3"/>
        <v>0.18536324786324787</v>
      </c>
    </row>
    <row r="49" spans="1:6" ht="14.25" customHeight="1" x14ac:dyDescent="0.2">
      <c r="A49" s="20">
        <v>14</v>
      </c>
      <c r="B49" s="202" t="s">
        <v>449</v>
      </c>
      <c r="C49" s="203"/>
      <c r="D49" s="15">
        <f>IF(F3="1",SUMIF(Data!A:A,'10'!$A$2,Data!DH:DH),0)</f>
        <v>0</v>
      </c>
      <c r="E49" s="18">
        <f>IF(F3="1",SUMIF(Data!$A:$A,'10'!$A$2,Data!JB:JB),0)</f>
        <v>3977</v>
      </c>
      <c r="F49" s="22" t="str">
        <f t="shared" si="3"/>
        <v/>
      </c>
    </row>
    <row r="50" spans="1:6" x14ac:dyDescent="0.2">
      <c r="A50" s="20">
        <v>15</v>
      </c>
      <c r="B50" s="202" t="s">
        <v>13</v>
      </c>
      <c r="C50" s="203"/>
      <c r="D50" s="15">
        <f>IF(F3="1",SUMIF(Data!A:A,'10'!$A$2,Data!DI:DI),0)</f>
        <v>0</v>
      </c>
      <c r="E50" s="18">
        <f>IF(F3="1",SUMIF(Data!$A:$A,'10'!$A$2,Data!JC:JC),0)</f>
        <v>0</v>
      </c>
      <c r="F50" s="22" t="str">
        <f t="shared" si="3"/>
        <v/>
      </c>
    </row>
    <row r="51" spans="1:6" x14ac:dyDescent="0.2">
      <c r="A51" s="20">
        <v>16</v>
      </c>
      <c r="B51" s="202" t="s">
        <v>14</v>
      </c>
      <c r="C51" s="203"/>
      <c r="D51" s="15">
        <f>IF(F3="1",SUMIF(Data!A:A,'10'!$A$2,Data!DJ:DJ),0)</f>
        <v>18967</v>
      </c>
      <c r="E51" s="18">
        <f>IF(F3="1",SUMIF(Data!$A:$A,'10'!$A$2,Data!JD:JD),0)</f>
        <v>13855</v>
      </c>
      <c r="F51" s="22">
        <f t="shared" si="3"/>
        <v>0.73047925344018561</v>
      </c>
    </row>
    <row r="52" spans="1:6" x14ac:dyDescent="0.2">
      <c r="A52" s="20">
        <v>17</v>
      </c>
      <c r="B52" s="202" t="s">
        <v>15</v>
      </c>
      <c r="C52" s="203"/>
      <c r="D52" s="15">
        <f>IF(F3="1",SUMIF(Data!A:A,'10'!$A$2,Data!DK:DK),0)</f>
        <v>0</v>
      </c>
      <c r="E52" s="18">
        <f>IF(F3="1",SUMIF(Data!$A:$A,'10'!$A$2,Data!JE:JE),0)</f>
        <v>0</v>
      </c>
      <c r="F52" s="22" t="str">
        <f t="shared" si="3"/>
        <v/>
      </c>
    </row>
    <row r="53" spans="1:6" x14ac:dyDescent="0.2">
      <c r="A53" s="20">
        <v>18</v>
      </c>
      <c r="B53" s="202" t="s">
        <v>16</v>
      </c>
      <c r="C53" s="203"/>
      <c r="D53" s="15">
        <f>IF(F3="1",SUMIF(Data!A:A,'10'!$A$2,Data!DL:DL),0)</f>
        <v>99712</v>
      </c>
      <c r="E53" s="18">
        <f>IF(F3="1",SUMIF(Data!$A:$A,'10'!$A$2,Data!JF:JF),0)</f>
        <v>103325</v>
      </c>
      <c r="F53" s="22">
        <f t="shared" si="3"/>
        <v>1.0362343549422337</v>
      </c>
    </row>
    <row r="54" spans="1:6" x14ac:dyDescent="0.2">
      <c r="A54" s="20">
        <v>19</v>
      </c>
      <c r="B54" s="202" t="s">
        <v>17</v>
      </c>
      <c r="C54" s="203"/>
      <c r="D54" s="15">
        <f>IF(F3="1",SUMIF(Data!A:A,'10'!$A$2,Data!DM:DM),0)</f>
        <v>33328</v>
      </c>
      <c r="E54" s="18">
        <f>IF(F3="1",SUMIF(Data!$A:$A,'10'!$A$2,Data!JG:JG),0)</f>
        <v>15101</v>
      </c>
      <c r="F54" s="22">
        <f t="shared" si="3"/>
        <v>0.4531024963994239</v>
      </c>
    </row>
    <row r="55" spans="1:6" x14ac:dyDescent="0.2">
      <c r="A55" s="20">
        <v>20</v>
      </c>
      <c r="B55" s="202" t="s">
        <v>18</v>
      </c>
      <c r="C55" s="203"/>
      <c r="D55" s="15">
        <f>IF(F3="1",SUMIF(Data!A:A,'10'!$A$2,Data!DN:DN),0)</f>
        <v>0</v>
      </c>
      <c r="E55" s="18">
        <f>IF(F3="1",SUMIF(Data!$A:$A,'10'!$A$2,Data!JH:JH),0)</f>
        <v>0</v>
      </c>
      <c r="F55" s="22" t="str">
        <f t="shared" si="3"/>
        <v/>
      </c>
    </row>
    <row r="56" spans="1:6" ht="14.25" customHeight="1" x14ac:dyDescent="0.2">
      <c r="A56" s="20">
        <v>21</v>
      </c>
      <c r="B56" s="202" t="s">
        <v>446</v>
      </c>
      <c r="C56" s="203"/>
      <c r="D56" s="15">
        <f>IF(F3="1",SUMIF(Data!A:A,'10'!$A$2,Data!DO:DO),0)</f>
        <v>0</v>
      </c>
      <c r="E56" s="18">
        <f>IF(F3="1",SUMIF(Data!$A:$A,'10'!$A$2,Data!JI:JI),0)</f>
        <v>0</v>
      </c>
      <c r="F56" s="22" t="str">
        <f t="shared" si="3"/>
        <v/>
      </c>
    </row>
    <row r="57" spans="1:6" x14ac:dyDescent="0.2">
      <c r="A57" s="20">
        <v>22</v>
      </c>
      <c r="B57" s="202" t="s">
        <v>19</v>
      </c>
      <c r="C57" s="203"/>
      <c r="D57" s="15">
        <f>IF(F3="1",SUMIF(Data!A:A,'10'!$A$2,Data!DP:DP),0)</f>
        <v>0</v>
      </c>
      <c r="E57" s="18">
        <f>IF(F3="1",SUMIF(Data!$A:$A,'10'!$A$2,Data!JJ:JJ),0)</f>
        <v>0</v>
      </c>
      <c r="F57" s="22" t="str">
        <f t="shared" si="3"/>
        <v/>
      </c>
    </row>
    <row r="58" spans="1:6" x14ac:dyDescent="0.2">
      <c r="A58" s="20">
        <v>23</v>
      </c>
      <c r="B58" s="202" t="s">
        <v>20</v>
      </c>
      <c r="C58" s="203"/>
      <c r="D58" s="15">
        <f>IF(F3="1",SUMIF(Data!A:A,'10'!$A$2,Data!DQ:DQ),0)</f>
        <v>45824</v>
      </c>
      <c r="E58" s="18">
        <f>IF(F3="1",SUMIF(Data!$A:$A,'10'!$A$2,Data!JK:JK),0)</f>
        <v>32208</v>
      </c>
      <c r="F58" s="22">
        <f t="shared" si="3"/>
        <v>0.70286312849162014</v>
      </c>
    </row>
    <row r="59" spans="1:6" x14ac:dyDescent="0.2">
      <c r="A59" s="20">
        <v>24</v>
      </c>
      <c r="B59" s="202" t="s">
        <v>21</v>
      </c>
      <c r="C59" s="203"/>
      <c r="D59" s="15">
        <f>IF(F3="1",SUMIF(Data!A:A,'10'!$A$2,Data!DR:DR),0)</f>
        <v>18020</v>
      </c>
      <c r="E59" s="18">
        <f>IF(F3="1",SUMIF(Data!$A:$A,'10'!$A$2,Data!JL:JL),0)</f>
        <v>4896</v>
      </c>
      <c r="F59" s="22">
        <f t="shared" si="3"/>
        <v>0.27169811320754716</v>
      </c>
    </row>
    <row r="60" spans="1:6" x14ac:dyDescent="0.2">
      <c r="A60" s="20">
        <v>25</v>
      </c>
      <c r="B60" s="202" t="s">
        <v>22</v>
      </c>
      <c r="C60" s="203"/>
      <c r="D60" s="15">
        <f>IF(F3="1",SUMIF(Data!A:A,'10'!$A$2,Data!DS:DS),0)</f>
        <v>113712</v>
      </c>
      <c r="E60" s="18">
        <f>IF(F3="1",SUMIF(Data!$A:$A,'10'!$A$2,Data!JM:JM),0)</f>
        <v>26079</v>
      </c>
      <c r="F60" s="22">
        <f t="shared" si="3"/>
        <v>0.22934254959898692</v>
      </c>
    </row>
    <row r="61" spans="1:6" x14ac:dyDescent="0.2">
      <c r="A61" s="20">
        <v>26</v>
      </c>
      <c r="B61" s="202" t="s">
        <v>23</v>
      </c>
      <c r="C61" s="203"/>
      <c r="D61" s="15">
        <f>IF(F3="1",SUMIF(Data!A:A,'10'!$A$2,Data!DT:DT),0)</f>
        <v>30432</v>
      </c>
      <c r="E61" s="18">
        <f>IF(F3="1",SUMIF(Data!$A:$A,'10'!$A$2,Data!JN:JN),0)</f>
        <v>6858</v>
      </c>
      <c r="F61" s="22">
        <f t="shared" si="3"/>
        <v>0.22535488958990535</v>
      </c>
    </row>
    <row r="62" spans="1:6" x14ac:dyDescent="0.2">
      <c r="A62" s="20">
        <v>28</v>
      </c>
      <c r="B62" s="202" t="s">
        <v>24</v>
      </c>
      <c r="C62" s="203"/>
      <c r="D62" s="15">
        <f>IF(F3="1",SUMIF(Data!A:A,'10'!$A$2,Data!DV:DV),0)</f>
        <v>22800</v>
      </c>
      <c r="E62" s="18">
        <f>IF(F3="1",SUMIF(Data!$A:$A,'10'!$A$2,Data!JP:JP),0)</f>
        <v>6066</v>
      </c>
      <c r="F62" s="22">
        <f t="shared" si="3"/>
        <v>0.26605263157894737</v>
      </c>
    </row>
    <row r="63" spans="1:6" ht="15.75" customHeight="1" thickBot="1" x14ac:dyDescent="0.25">
      <c r="A63" s="23">
        <v>29</v>
      </c>
      <c r="B63" s="206" t="s">
        <v>25</v>
      </c>
      <c r="C63" s="207"/>
      <c r="D63" s="24">
        <f>IF(F3="1",SUMIF(Data!A:A,'10'!$A$2,Data!DW:DW),0)</f>
        <v>21728</v>
      </c>
      <c r="E63" s="25">
        <f>IF(F3="1",SUMIF(Data!$A:$A,'10'!$A$2,Data!JQ:JQ),0)</f>
        <v>5919</v>
      </c>
      <c r="F63" s="26">
        <f t="shared" si="3"/>
        <v>0.27241347569955815</v>
      </c>
    </row>
    <row r="64" spans="1:6" x14ac:dyDescent="0.2">
      <c r="B64" s="31" t="s">
        <v>35</v>
      </c>
      <c r="C64" s="31"/>
      <c r="D64" s="60">
        <f>SUM(D36:D63)</f>
        <v>734469</v>
      </c>
      <c r="E64" s="32">
        <f>SUM(E36:E63)</f>
        <v>407227</v>
      </c>
      <c r="F64" s="33">
        <f t="shared" si="3"/>
        <v>0.5544509026248895</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40736</v>
      </c>
      <c r="E67" s="16">
        <f>IF(F3="1",SUMIF(Data!A:A,'10'!$A$2,Data!DY:DY),0)</f>
        <v>173596</v>
      </c>
      <c r="F67" s="21">
        <f>IFERROR(E67/D67,"")</f>
        <v>4.2614886095836608</v>
      </c>
    </row>
    <row r="68" spans="1:6" x14ac:dyDescent="0.2">
      <c r="A68" s="20">
        <v>2</v>
      </c>
      <c r="B68" s="202" t="s">
        <v>1</v>
      </c>
      <c r="C68" s="203"/>
      <c r="D68" s="15">
        <f t="shared" ref="D68:D94" si="4">D37</f>
        <v>19568</v>
      </c>
      <c r="E68" s="18">
        <f>IF(F3="1",SUMIF(Data!A:A,'10'!$A$2,Data!DZ:DZ),0)</f>
        <v>65422</v>
      </c>
      <c r="F68" s="22">
        <f t="shared" ref="F68:F95" si="5">IFERROR(E68/D68,"")</f>
        <v>3.3433156173344236</v>
      </c>
    </row>
    <row r="69" spans="1:6" ht="14.25" customHeight="1" x14ac:dyDescent="0.2">
      <c r="A69" s="20">
        <v>3</v>
      </c>
      <c r="B69" s="202" t="s">
        <v>2</v>
      </c>
      <c r="C69" s="203"/>
      <c r="D69" s="15">
        <f t="shared" si="4"/>
        <v>80720</v>
      </c>
      <c r="E69" s="18">
        <f>IF(F3="1",SUMIF(Data!A:A,'10'!$A$2,Data!EA:EA),0)</f>
        <v>193415</v>
      </c>
      <c r="F69" s="22">
        <f t="shared" si="5"/>
        <v>2.3961223984142714</v>
      </c>
    </row>
    <row r="70" spans="1:6" ht="14.25" customHeight="1" x14ac:dyDescent="0.2">
      <c r="A70" s="20">
        <v>4</v>
      </c>
      <c r="B70" s="202" t="s">
        <v>3</v>
      </c>
      <c r="C70" s="203"/>
      <c r="D70" s="15">
        <f t="shared" si="4"/>
        <v>24576</v>
      </c>
      <c r="E70" s="18">
        <f>IF(F3="1",SUMIF(Data!A:A,'10'!$A$2,Data!EB:EB),0)</f>
        <v>126511</v>
      </c>
      <c r="F70" s="22">
        <f t="shared" si="5"/>
        <v>5.147745768229167</v>
      </c>
    </row>
    <row r="71" spans="1:6" x14ac:dyDescent="0.2">
      <c r="A71" s="20">
        <v>5</v>
      </c>
      <c r="B71" s="202" t="s">
        <v>4</v>
      </c>
      <c r="C71" s="203"/>
      <c r="D71" s="15">
        <f t="shared" si="4"/>
        <v>0</v>
      </c>
      <c r="E71" s="18">
        <f>IF(F3="1",SUMIF(Data!A:A,'10'!$A$2,Data!EC:EC),0)</f>
        <v>0</v>
      </c>
      <c r="F71" s="22" t="str">
        <f t="shared" si="5"/>
        <v/>
      </c>
    </row>
    <row r="72" spans="1:6" x14ac:dyDescent="0.2">
      <c r="A72" s="20">
        <v>6</v>
      </c>
      <c r="B72" s="202" t="s">
        <v>5</v>
      </c>
      <c r="C72" s="203"/>
      <c r="D72" s="15">
        <f t="shared" si="4"/>
        <v>0</v>
      </c>
      <c r="E72" s="18">
        <f>IF(F3="1",SUMIF(Data!A:A,'10'!$A$2,Data!ED:ED),0)</f>
        <v>0</v>
      </c>
      <c r="F72" s="22" t="str">
        <f t="shared" si="5"/>
        <v/>
      </c>
    </row>
    <row r="73" spans="1:6" x14ac:dyDescent="0.2">
      <c r="A73" s="20">
        <v>7</v>
      </c>
      <c r="B73" s="202" t="s">
        <v>6</v>
      </c>
      <c r="C73" s="203"/>
      <c r="D73" s="15">
        <f t="shared" si="4"/>
        <v>7290</v>
      </c>
      <c r="E73" s="18">
        <f>IF(F3="1",SUMIF(Data!A:A,'10'!$A$2,Data!EE:EE),0)</f>
        <v>44499</v>
      </c>
      <c r="F73" s="22">
        <f t="shared" si="5"/>
        <v>6.1041152263374485</v>
      </c>
    </row>
    <row r="74" spans="1:6" x14ac:dyDescent="0.2">
      <c r="A74" s="20">
        <v>8</v>
      </c>
      <c r="B74" s="202" t="s">
        <v>7</v>
      </c>
      <c r="C74" s="203"/>
      <c r="D74" s="15">
        <f t="shared" si="4"/>
        <v>0</v>
      </c>
      <c r="E74" s="18">
        <f>IF(F3="1",SUMIF(Data!A:A,'10'!$A$2,Data!EF:EF),0)</f>
        <v>0</v>
      </c>
      <c r="F74" s="22" t="str">
        <f t="shared" si="5"/>
        <v/>
      </c>
    </row>
    <row r="75" spans="1:6" x14ac:dyDescent="0.2">
      <c r="A75" s="20">
        <v>9</v>
      </c>
      <c r="B75" s="202" t="s">
        <v>8</v>
      </c>
      <c r="C75" s="203"/>
      <c r="D75" s="15">
        <f t="shared" si="4"/>
        <v>54592</v>
      </c>
      <c r="E75" s="18">
        <f>IF(F3="1",SUMIF(Data!A:A,'10'!$A$2,Data!EG:EG),0)</f>
        <v>90912</v>
      </c>
      <c r="F75" s="22">
        <f t="shared" si="5"/>
        <v>1.6652989449003517</v>
      </c>
    </row>
    <row r="76" spans="1:6" x14ac:dyDescent="0.2">
      <c r="A76" s="20">
        <v>10</v>
      </c>
      <c r="B76" s="202" t="s">
        <v>9</v>
      </c>
      <c r="C76" s="203"/>
      <c r="D76" s="15">
        <f t="shared" si="4"/>
        <v>0</v>
      </c>
      <c r="E76" s="18">
        <f>IF(F3="1",SUMIF(Data!A:A,'10'!$A$2,Data!EH:EH),0)</f>
        <v>0</v>
      </c>
      <c r="F76" s="22" t="str">
        <f t="shared" si="5"/>
        <v/>
      </c>
    </row>
    <row r="77" spans="1:6" x14ac:dyDescent="0.2">
      <c r="A77" s="20">
        <v>11</v>
      </c>
      <c r="B77" s="202" t="s">
        <v>10</v>
      </c>
      <c r="C77" s="203"/>
      <c r="D77" s="15">
        <f t="shared" si="4"/>
        <v>19040</v>
      </c>
      <c r="E77" s="18">
        <f>IF(F3="1",SUMIF(Data!A:A,'10'!$A$2,Data!EI:EI),0)</f>
        <v>50214</v>
      </c>
      <c r="F77" s="22">
        <f t="shared" si="5"/>
        <v>2.6372899159663867</v>
      </c>
    </row>
    <row r="78" spans="1:6" ht="14.25" customHeight="1" x14ac:dyDescent="0.2">
      <c r="A78" s="20">
        <v>12</v>
      </c>
      <c r="B78" s="202" t="s">
        <v>11</v>
      </c>
      <c r="C78" s="203"/>
      <c r="D78" s="15">
        <f t="shared" si="4"/>
        <v>68448</v>
      </c>
      <c r="E78" s="18">
        <f>IF(F3="1",SUMIF(Data!A:A,'10'!$A$2,Data!EJ:EJ),0)</f>
        <v>164877</v>
      </c>
      <c r="F78" s="22">
        <f t="shared" si="5"/>
        <v>2.4087920757363253</v>
      </c>
    </row>
    <row r="79" spans="1:6" x14ac:dyDescent="0.2">
      <c r="A79" s="20">
        <v>13</v>
      </c>
      <c r="B79" s="202" t="s">
        <v>12</v>
      </c>
      <c r="C79" s="203"/>
      <c r="D79" s="15">
        <f t="shared" si="4"/>
        <v>14976</v>
      </c>
      <c r="E79" s="18">
        <f>IF(F3="1",SUMIF(Data!A:A,'10'!$A$2,Data!EK:EK),0)</f>
        <v>28145</v>
      </c>
      <c r="F79" s="22">
        <f t="shared" si="5"/>
        <v>1.8793402777777777</v>
      </c>
    </row>
    <row r="80" spans="1:6" ht="14.25" customHeight="1" x14ac:dyDescent="0.2">
      <c r="A80" s="20">
        <v>14</v>
      </c>
      <c r="B80" s="202" t="s">
        <v>449</v>
      </c>
      <c r="C80" s="203"/>
      <c r="D80" s="15">
        <f t="shared" si="4"/>
        <v>0</v>
      </c>
      <c r="E80" s="18">
        <f>IF(F3="1",SUMIF(Data!A:A,'10'!$A$2,Data!EL:EL),0)</f>
        <v>37919</v>
      </c>
      <c r="F80" s="22" t="str">
        <f t="shared" si="5"/>
        <v/>
      </c>
    </row>
    <row r="81" spans="1:6" x14ac:dyDescent="0.2">
      <c r="A81" s="20">
        <v>15</v>
      </c>
      <c r="B81" s="202" t="s">
        <v>13</v>
      </c>
      <c r="C81" s="203"/>
      <c r="D81" s="15">
        <f t="shared" si="4"/>
        <v>0</v>
      </c>
      <c r="E81" s="18">
        <f>IF(F3="1",SUMIF(Data!A:A,'10'!$A$2,Data!EM:EM),0)</f>
        <v>0</v>
      </c>
      <c r="F81" s="22" t="str">
        <f t="shared" si="5"/>
        <v/>
      </c>
    </row>
    <row r="82" spans="1:6" x14ac:dyDescent="0.2">
      <c r="A82" s="20">
        <v>16</v>
      </c>
      <c r="B82" s="202" t="s">
        <v>14</v>
      </c>
      <c r="C82" s="203"/>
      <c r="D82" s="15">
        <f t="shared" si="4"/>
        <v>18967</v>
      </c>
      <c r="E82" s="18">
        <f>IF(F3="1",SUMIF(Data!A:A,'10'!$A$2,Data!EN:EN),0)</f>
        <v>20453</v>
      </c>
      <c r="F82" s="22">
        <f t="shared" si="5"/>
        <v>1.0783466019929351</v>
      </c>
    </row>
    <row r="83" spans="1:6" x14ac:dyDescent="0.2">
      <c r="A83" s="20">
        <v>17</v>
      </c>
      <c r="B83" s="202" t="s">
        <v>15</v>
      </c>
      <c r="C83" s="203"/>
      <c r="D83" s="15">
        <f t="shared" si="4"/>
        <v>0</v>
      </c>
      <c r="E83" s="18">
        <f>IF(F3="1",SUMIF(Data!A:A,'10'!$A$2,Data!EO:EO),0)</f>
        <v>0</v>
      </c>
      <c r="F83" s="22" t="str">
        <f t="shared" si="5"/>
        <v/>
      </c>
    </row>
    <row r="84" spans="1:6" x14ac:dyDescent="0.2">
      <c r="A84" s="20">
        <v>18</v>
      </c>
      <c r="B84" s="202" t="s">
        <v>16</v>
      </c>
      <c r="C84" s="203"/>
      <c r="D84" s="15">
        <f t="shared" si="4"/>
        <v>99712</v>
      </c>
      <c r="E84" s="18">
        <f>IF(F3="1",SUMIF(Data!A:A,'10'!$A$2,Data!EP:EP),0)</f>
        <v>317077</v>
      </c>
      <c r="F84" s="22">
        <f t="shared" si="5"/>
        <v>3.1799281931964059</v>
      </c>
    </row>
    <row r="85" spans="1:6" x14ac:dyDescent="0.2">
      <c r="A85" s="20">
        <v>19</v>
      </c>
      <c r="B85" s="202" t="s">
        <v>17</v>
      </c>
      <c r="C85" s="203"/>
      <c r="D85" s="15">
        <f t="shared" si="4"/>
        <v>33328</v>
      </c>
      <c r="E85" s="18">
        <f>IF(F3="1",SUMIF(Data!A:A,'10'!$A$2,Data!EQ:EQ),0)</f>
        <v>136309</v>
      </c>
      <c r="F85" s="22">
        <f t="shared" si="5"/>
        <v>4.0899243879020641</v>
      </c>
    </row>
    <row r="86" spans="1:6" x14ac:dyDescent="0.2">
      <c r="A86" s="20">
        <v>20</v>
      </c>
      <c r="B86" s="202" t="s">
        <v>18</v>
      </c>
      <c r="C86" s="203"/>
      <c r="D86" s="15">
        <f t="shared" si="4"/>
        <v>0</v>
      </c>
      <c r="E86" s="18">
        <f>IF(F3="1",SUMIF(Data!A:A,'10'!$A$2,Data!ER:ER),0)</f>
        <v>0</v>
      </c>
      <c r="F86" s="22" t="str">
        <f t="shared" si="5"/>
        <v/>
      </c>
    </row>
    <row r="87" spans="1:6" ht="14.25" customHeight="1" x14ac:dyDescent="0.2">
      <c r="A87" s="20">
        <v>21</v>
      </c>
      <c r="B87" s="202" t="s">
        <v>446</v>
      </c>
      <c r="C87" s="203"/>
      <c r="D87" s="15">
        <f t="shared" si="4"/>
        <v>0</v>
      </c>
      <c r="E87" s="18">
        <f>IF(F3="1",SUMIF(Data!A:A,'10'!$A$2,Data!ES:ES),0)</f>
        <v>0</v>
      </c>
      <c r="F87" s="22" t="str">
        <f t="shared" si="5"/>
        <v/>
      </c>
    </row>
    <row r="88" spans="1:6" x14ac:dyDescent="0.2">
      <c r="A88" s="20">
        <v>22</v>
      </c>
      <c r="B88" s="202" t="s">
        <v>19</v>
      </c>
      <c r="C88" s="203"/>
      <c r="D88" s="15">
        <f t="shared" si="4"/>
        <v>0</v>
      </c>
      <c r="E88" s="18">
        <f>IF(F3="1",SUMIF(Data!A:A,'10'!$A$2,Data!ET:ET),0)</f>
        <v>0</v>
      </c>
      <c r="F88" s="22" t="str">
        <f t="shared" si="5"/>
        <v/>
      </c>
    </row>
    <row r="89" spans="1:6" x14ac:dyDescent="0.2">
      <c r="A89" s="20">
        <v>23</v>
      </c>
      <c r="B89" s="202" t="s">
        <v>20</v>
      </c>
      <c r="C89" s="203"/>
      <c r="D89" s="15">
        <f t="shared" si="4"/>
        <v>45824</v>
      </c>
      <c r="E89" s="18">
        <f>IF(F3="1",SUMIF(Data!A:A,'10'!$A$2,Data!EU:EU),0)</f>
        <v>365743</v>
      </c>
      <c r="F89" s="22">
        <f t="shared" si="5"/>
        <v>7.9814725907821229</v>
      </c>
    </row>
    <row r="90" spans="1:6" x14ac:dyDescent="0.2">
      <c r="A90" s="20">
        <v>24</v>
      </c>
      <c r="B90" s="202" t="s">
        <v>21</v>
      </c>
      <c r="C90" s="203"/>
      <c r="D90" s="15">
        <f t="shared" si="4"/>
        <v>18020</v>
      </c>
      <c r="E90" s="18">
        <f>IF(F3="1",SUMIF(Data!A:A,'10'!$A$2,Data!EV:EV),0)</f>
        <v>52020</v>
      </c>
      <c r="F90" s="22">
        <f t="shared" si="5"/>
        <v>2.8867924528301887</v>
      </c>
    </row>
    <row r="91" spans="1:6" x14ac:dyDescent="0.2">
      <c r="A91" s="20">
        <v>25</v>
      </c>
      <c r="B91" s="202" t="s">
        <v>22</v>
      </c>
      <c r="C91" s="203"/>
      <c r="D91" s="15">
        <f t="shared" si="4"/>
        <v>113712</v>
      </c>
      <c r="E91" s="18">
        <f>IF(F3="1",SUMIF(Data!A:A,'10'!$A$2,Data!EW:EW),0)</f>
        <v>251825</v>
      </c>
      <c r="F91" s="22">
        <f t="shared" si="5"/>
        <v>2.2145859715773182</v>
      </c>
    </row>
    <row r="92" spans="1:6" x14ac:dyDescent="0.2">
      <c r="A92" s="20">
        <v>26</v>
      </c>
      <c r="B92" s="202" t="s">
        <v>23</v>
      </c>
      <c r="C92" s="203"/>
      <c r="D92" s="15">
        <f t="shared" si="4"/>
        <v>30432</v>
      </c>
      <c r="E92" s="18">
        <f>IF(F3="1",SUMIF(Data!A:A,'10'!$A$2,Data!EX:EX),0)</f>
        <v>62152</v>
      </c>
      <c r="F92" s="22">
        <f t="shared" si="5"/>
        <v>2.0423238696109358</v>
      </c>
    </row>
    <row r="93" spans="1:6" x14ac:dyDescent="0.2">
      <c r="A93" s="20">
        <v>28</v>
      </c>
      <c r="B93" s="202" t="s">
        <v>24</v>
      </c>
      <c r="C93" s="203"/>
      <c r="D93" s="15">
        <f t="shared" si="4"/>
        <v>22800</v>
      </c>
      <c r="E93" s="18">
        <f>IF(F3="1",SUMIF(Data!A:A,'10'!$A$2,Data!EZ:EZ),0)</f>
        <v>64541</v>
      </c>
      <c r="F93" s="22">
        <f t="shared" si="5"/>
        <v>2.8307456140350875</v>
      </c>
    </row>
    <row r="94" spans="1:6" ht="15.75" customHeight="1" thickBot="1" x14ac:dyDescent="0.25">
      <c r="A94" s="23">
        <v>29</v>
      </c>
      <c r="B94" s="206" t="s">
        <v>25</v>
      </c>
      <c r="C94" s="207"/>
      <c r="D94" s="24">
        <f t="shared" si="4"/>
        <v>21728</v>
      </c>
      <c r="E94" s="25">
        <f>IF(F3="1",SUMIF(Data!A:A,'10'!$A$2,Data!FA:FA),0)</f>
        <v>46014</v>
      </c>
      <c r="F94" s="26">
        <f t="shared" si="5"/>
        <v>2.1177282768777612</v>
      </c>
    </row>
    <row r="95" spans="1:6" x14ac:dyDescent="0.2">
      <c r="B95" s="31" t="s">
        <v>35</v>
      </c>
      <c r="C95" s="31"/>
      <c r="D95" s="60">
        <f>SUM(D67:D94)</f>
        <v>734469</v>
      </c>
      <c r="E95" s="32">
        <f>SUM(E67:E94)</f>
        <v>2291644</v>
      </c>
      <c r="F95" s="33">
        <f t="shared" si="5"/>
        <v>3.120137133085263</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IF(F3="1",SUMIF(Data!A:A,'10'!$A$2,Data!AH:AH),0)</f>
        <v>927548</v>
      </c>
      <c r="F98" s="21">
        <f t="shared" ref="F98:F105" si="6">IFERROR(E98/$D$95,0)</f>
        <v>1.2628824361545552</v>
      </c>
    </row>
    <row r="99" spans="2:6" x14ac:dyDescent="0.2">
      <c r="B99" s="212" t="s">
        <v>31</v>
      </c>
      <c r="C99" s="213"/>
      <c r="D99" s="37"/>
      <c r="E99" s="18">
        <f>IF(F3="1",SUMIF(Data!A:A,'10'!$A$2,Data!AI:AI),0)</f>
        <v>399383</v>
      </c>
      <c r="F99" s="22">
        <f t="shared" si="6"/>
        <v>0.54377107815306025</v>
      </c>
    </row>
    <row r="100" spans="2:6" x14ac:dyDescent="0.2">
      <c r="B100" s="212" t="s">
        <v>32</v>
      </c>
      <c r="C100" s="213"/>
      <c r="D100" s="37"/>
      <c r="E100" s="18">
        <f>IF(F3="1",SUMIF(Data!A:A,'10'!$A$2,Data!AJ:AJ),0)</f>
        <v>351368</v>
      </c>
      <c r="F100" s="22">
        <f t="shared" si="6"/>
        <v>0.47839731833474253</v>
      </c>
    </row>
    <row r="101" spans="2:6" x14ac:dyDescent="0.2">
      <c r="B101" s="212" t="s">
        <v>28</v>
      </c>
      <c r="C101" s="213"/>
      <c r="D101" s="37"/>
      <c r="E101" s="18">
        <f>IF(F3="1",SUMIF(Data!A:A,'10'!$A$2,Data!AK:AK),0)</f>
        <v>0</v>
      </c>
      <c r="F101" s="22">
        <f t="shared" si="6"/>
        <v>0</v>
      </c>
    </row>
    <row r="102" spans="2:6" x14ac:dyDescent="0.2">
      <c r="B102" s="212" t="s">
        <v>33</v>
      </c>
      <c r="C102" s="213"/>
      <c r="D102" s="37"/>
      <c r="E102" s="18">
        <f>IF(F3="1",SUMIF(Data!A:A,'10'!$A$2,Data!AL:AL),0)</f>
        <v>0</v>
      </c>
      <c r="F102" s="22">
        <f t="shared" si="6"/>
        <v>0</v>
      </c>
    </row>
    <row r="103" spans="2:6" x14ac:dyDescent="0.2">
      <c r="B103" s="214" t="s">
        <v>34</v>
      </c>
      <c r="C103" s="215"/>
      <c r="D103" s="37"/>
      <c r="E103" s="18">
        <f>IF(F3="1",SUMIF(Data!A:A,'10'!$A$2,Data!AM:AM),0)</f>
        <v>477665</v>
      </c>
      <c r="F103" s="22">
        <f t="shared" si="6"/>
        <v>0.65035420147072243</v>
      </c>
    </row>
    <row r="104" spans="2:6" ht="15.75" customHeight="1" thickBot="1" x14ac:dyDescent="0.25">
      <c r="B104" s="208" t="s">
        <v>29</v>
      </c>
      <c r="C104" s="209"/>
      <c r="D104" s="38"/>
      <c r="E104" s="25">
        <f>IF(F3="1",SUMIF(Data!A:A,'10'!$A$2,Data!Q:Q),0)</f>
        <v>88507</v>
      </c>
      <c r="F104" s="26">
        <f t="shared" si="6"/>
        <v>0.12050474560532848</v>
      </c>
    </row>
    <row r="105" spans="2:6" x14ac:dyDescent="0.2">
      <c r="B105" s="31" t="s">
        <v>35</v>
      </c>
      <c r="C105" s="31"/>
      <c r="D105" s="35">
        <f>D95</f>
        <v>734469</v>
      </c>
      <c r="E105" s="32">
        <f>SUM(E98:E104)</f>
        <v>2244471</v>
      </c>
      <c r="F105" s="33">
        <f t="shared" si="6"/>
        <v>3.0559097797184087</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2291644</v>
      </c>
      <c r="D109" s="192">
        <f>IF(F3="1",SUMIF(Data!$A:$A,$A$2,Data!HJ:HJ),0)</f>
        <v>194358</v>
      </c>
      <c r="E109" s="192">
        <f>IF(F3="1",SUMIF(Data!$A:$A,$A$2,Data!IN:IN),0)</f>
        <v>212867</v>
      </c>
      <c r="F109" s="48">
        <f>SUM(C109:E109)</f>
        <v>2698869</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0</v>
      </c>
      <c r="D111" s="52"/>
      <c r="E111" s="193">
        <f>IF(F3="1",SUMIF(Data!A:A,$A$2,Data!AX:AX)-SUMIF(Data!A:A,$A$2,Data!AW:AW),0)</f>
        <v>0</v>
      </c>
      <c r="F111" s="49">
        <f t="shared" si="7"/>
        <v>0</v>
      </c>
    </row>
    <row r="112" spans="2:6" x14ac:dyDescent="0.2">
      <c r="B112" s="43" t="s">
        <v>32</v>
      </c>
      <c r="C112" s="193">
        <f>IF(F3="1",SUMIF(Data!A:A,$A$2,Data!V:V),0)</f>
        <v>304094</v>
      </c>
      <c r="D112" s="52"/>
      <c r="E112" s="193">
        <f>IF(F3="1",SUMIF(Data!A:A,$A$2,Data!AC:AC),0)</f>
        <v>47274</v>
      </c>
      <c r="F112" s="49">
        <f t="shared" si="7"/>
        <v>351368</v>
      </c>
    </row>
    <row r="113" spans="1:6" x14ac:dyDescent="0.2">
      <c r="B113" s="43" t="s">
        <v>31</v>
      </c>
      <c r="C113" s="193">
        <f>IF(F3="1",SUMIF(Data!A:A,$A$2,Data!U:U),0)</f>
        <v>306033</v>
      </c>
      <c r="D113" s="52"/>
      <c r="E113" s="193">
        <f>IF(F3="1",SUMIF(Data!A:A,$A$2,Data!AB:AB),0)</f>
        <v>93350</v>
      </c>
      <c r="F113" s="49">
        <f t="shared" si="7"/>
        <v>399383</v>
      </c>
    </row>
    <row r="114" spans="1:6" x14ac:dyDescent="0.2">
      <c r="B114" s="43" t="s">
        <v>1002</v>
      </c>
      <c r="C114" s="193">
        <f>IF(F3="1",SUMIF(Data!A:A,$A$2,Data!T:T),0)</f>
        <v>468378</v>
      </c>
      <c r="D114" s="52"/>
      <c r="E114" s="193">
        <f>IF(F3="1",SUMIF(Data!A:A,$A$2,Data!AA:AA),0)</f>
        <v>459170</v>
      </c>
      <c r="F114" s="49">
        <f t="shared" si="7"/>
        <v>927548</v>
      </c>
    </row>
    <row r="115" spans="1:6" x14ac:dyDescent="0.2">
      <c r="B115" s="43" t="s">
        <v>916</v>
      </c>
      <c r="C115" s="193">
        <f>IF(F3="1",SUMIF(Data!A:A,$A$2,Data!BI:BI),0)</f>
        <v>281706</v>
      </c>
      <c r="D115" s="193">
        <f>IF(F3="1",SUMIF(Data!A:A,$A$2,Data!BL:BL),0)</f>
        <v>82306</v>
      </c>
      <c r="E115" s="193">
        <f>IF(F3="1",SUMIF(Data!A:A,$A$2,Data!BU:BU)-SUMIF(Data!A:A,$A$2,Data!BT:BT),0)</f>
        <v>606303</v>
      </c>
      <c r="F115" s="49">
        <f t="shared" si="7"/>
        <v>970315</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88507</v>
      </c>
      <c r="E117" s="53"/>
      <c r="F117" s="50">
        <f>SUM(C117:E117)</f>
        <v>88507</v>
      </c>
    </row>
    <row r="118" spans="1:6" x14ac:dyDescent="0.2">
      <c r="B118" s="14" t="s">
        <v>35</v>
      </c>
      <c r="C118" s="178">
        <f>SUM(C109:C117)</f>
        <v>3651855</v>
      </c>
      <c r="D118" s="194">
        <f>SUM(D109:D117)</f>
        <v>365171</v>
      </c>
      <c r="E118" s="178">
        <f>SUM(E109:E117)</f>
        <v>1418964</v>
      </c>
      <c r="F118" s="178">
        <f>SUM(F109:F117)</f>
        <v>5435990</v>
      </c>
    </row>
    <row r="119" spans="1:6" x14ac:dyDescent="0.2">
      <c r="C119" s="177"/>
      <c r="D119" s="177"/>
      <c r="E119" s="177"/>
    </row>
    <row r="120" spans="1:6" ht="15" thickBot="1" x14ac:dyDescent="0.25">
      <c r="B120" s="188" t="s">
        <v>921</v>
      </c>
      <c r="C120" s="53"/>
      <c r="D120" s="53"/>
      <c r="E120" s="195">
        <f>IF(F3="1",SUMIF(Data!A:A,$A$2,Data!AF:AF)+SUMIF(Data!A:A,$A$2,Data!AW:AW)+SUMIF(Data!A:A,$A$2,Data!BT:BT),0)</f>
        <v>486097</v>
      </c>
      <c r="F120" s="181">
        <f>SUM(C120:E120)</f>
        <v>486097</v>
      </c>
    </row>
    <row r="121" spans="1:6" s="177" customFormat="1" x14ac:dyDescent="0.2">
      <c r="B121" s="14" t="s">
        <v>35</v>
      </c>
      <c r="C121" s="178">
        <f>SUM(C120:C120)</f>
        <v>0</v>
      </c>
      <c r="D121" s="178">
        <f>SUM(D120:D120)</f>
        <v>0</v>
      </c>
      <c r="E121" s="178">
        <f>SUM(E120:E120)</f>
        <v>486097</v>
      </c>
      <c r="F121" s="178">
        <f>SUM(F120:F120)</f>
        <v>486097</v>
      </c>
    </row>
    <row r="122" spans="1:6" s="177" customFormat="1" ht="15" thickBot="1" x14ac:dyDescent="0.25">
      <c r="B122" s="14" t="s">
        <v>1396</v>
      </c>
      <c r="C122" s="178"/>
      <c r="D122" s="178"/>
      <c r="E122" s="178"/>
      <c r="F122" s="190">
        <f>F118+F121</f>
        <v>5922087</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election activeCell="M53" sqref="M53"/>
    </sheetView>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354</v>
      </c>
      <c r="B2" s="59" t="str">
        <f>VLOOKUP(A2,Data!A:G,7,0)</f>
        <v>Coastal Bend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7956</v>
      </c>
      <c r="E5" s="16">
        <f>E36+E67+IFERROR($E$105/$D$105*D5,0)</f>
        <v>73628.114406269175</v>
      </c>
      <c r="F5" s="21">
        <f>IFERROR(E5/D5,"")</f>
        <v>9.2544135754486145</v>
      </c>
    </row>
    <row r="6" spans="1:6" x14ac:dyDescent="0.2">
      <c r="A6" s="20">
        <v>2</v>
      </c>
      <c r="B6" s="202" t="s">
        <v>1</v>
      </c>
      <c r="C6" s="203"/>
      <c r="D6" s="15">
        <f t="shared" ref="D6:D32" si="0">D37</f>
        <v>82863</v>
      </c>
      <c r="E6" s="18">
        <f t="shared" ref="E6:E32" si="1">E37+E68+IFERROR($E$105/$D$105*D6,0)</f>
        <v>794214.2639576022</v>
      </c>
      <c r="F6" s="22">
        <f t="shared" ref="F6:F33" si="2">IFERROR(E6/D6,"")</f>
        <v>9.5846670281983783</v>
      </c>
    </row>
    <row r="7" spans="1:6" ht="14.25" customHeight="1" x14ac:dyDescent="0.2">
      <c r="A7" s="20">
        <v>3</v>
      </c>
      <c r="B7" s="202" t="s">
        <v>2</v>
      </c>
      <c r="C7" s="203"/>
      <c r="D7" s="15">
        <f t="shared" si="0"/>
        <v>165340</v>
      </c>
      <c r="E7" s="18">
        <f t="shared" si="1"/>
        <v>1354461.184506353</v>
      </c>
      <c r="F7" s="22">
        <f t="shared" si="2"/>
        <v>8.1919752298678663</v>
      </c>
    </row>
    <row r="8" spans="1:6" ht="14.25" customHeight="1" x14ac:dyDescent="0.2">
      <c r="A8" s="20">
        <v>4</v>
      </c>
      <c r="B8" s="202" t="s">
        <v>3</v>
      </c>
      <c r="C8" s="203"/>
      <c r="D8" s="15">
        <f t="shared" si="0"/>
        <v>110573</v>
      </c>
      <c r="E8" s="18">
        <f t="shared" si="1"/>
        <v>1035034.1496033687</v>
      </c>
      <c r="F8" s="22">
        <f t="shared" si="2"/>
        <v>9.360640930456519</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15291</v>
      </c>
      <c r="E10" s="18">
        <f t="shared" si="1"/>
        <v>236092.96648897207</v>
      </c>
      <c r="F10" s="22">
        <f t="shared" si="2"/>
        <v>15.439995192529729</v>
      </c>
    </row>
    <row r="11" spans="1:6" x14ac:dyDescent="0.2">
      <c r="A11" s="20">
        <v>7</v>
      </c>
      <c r="B11" s="202" t="s">
        <v>6</v>
      </c>
      <c r="C11" s="203"/>
      <c r="D11" s="15">
        <f t="shared" si="0"/>
        <v>76560</v>
      </c>
      <c r="E11" s="18">
        <f t="shared" si="1"/>
        <v>737423.20047058421</v>
      </c>
      <c r="F11" s="22">
        <f t="shared" si="2"/>
        <v>9.631964478455906</v>
      </c>
    </row>
    <row r="12" spans="1:6" x14ac:dyDescent="0.2">
      <c r="A12" s="20">
        <v>8</v>
      </c>
      <c r="B12" s="202" t="s">
        <v>7</v>
      </c>
      <c r="C12" s="203"/>
      <c r="D12" s="15">
        <f t="shared" si="0"/>
        <v>0</v>
      </c>
      <c r="E12" s="18">
        <f t="shared" si="1"/>
        <v>0</v>
      </c>
      <c r="F12" s="22" t="str">
        <f t="shared" si="2"/>
        <v/>
      </c>
    </row>
    <row r="13" spans="1:6" x14ac:dyDescent="0.2">
      <c r="A13" s="20">
        <v>9</v>
      </c>
      <c r="B13" s="202" t="s">
        <v>8</v>
      </c>
      <c r="C13" s="203"/>
      <c r="D13" s="15">
        <f t="shared" si="0"/>
        <v>127508</v>
      </c>
      <c r="E13" s="18">
        <f t="shared" si="1"/>
        <v>1249124.2211808157</v>
      </c>
      <c r="F13" s="22">
        <f t="shared" si="2"/>
        <v>9.796438036678607</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28461</v>
      </c>
      <c r="E15" s="18">
        <f t="shared" si="1"/>
        <v>260225.69885832415</v>
      </c>
      <c r="F15" s="22">
        <f t="shared" si="2"/>
        <v>9.1432380752020013</v>
      </c>
    </row>
    <row r="16" spans="1:6" ht="14.25" customHeight="1" x14ac:dyDescent="0.2">
      <c r="A16" s="20">
        <v>12</v>
      </c>
      <c r="B16" s="202" t="s">
        <v>11</v>
      </c>
      <c r="C16" s="203"/>
      <c r="D16" s="15">
        <f t="shared" si="0"/>
        <v>226616</v>
      </c>
      <c r="E16" s="18">
        <f t="shared" si="1"/>
        <v>1640601.70968968</v>
      </c>
      <c r="F16" s="22">
        <f t="shared" si="2"/>
        <v>7.2395669753666114</v>
      </c>
    </row>
    <row r="17" spans="1:6" x14ac:dyDescent="0.2">
      <c r="A17" s="20">
        <v>13</v>
      </c>
      <c r="B17" s="202" t="s">
        <v>12</v>
      </c>
      <c r="C17" s="203"/>
      <c r="D17" s="15">
        <f t="shared" si="0"/>
        <v>26055</v>
      </c>
      <c r="E17" s="18">
        <f t="shared" si="1"/>
        <v>186450.18009745394</v>
      </c>
      <c r="F17" s="22">
        <f t="shared" si="2"/>
        <v>7.1560230319498732</v>
      </c>
    </row>
    <row r="18" spans="1:6" ht="14.25" customHeight="1" x14ac:dyDescent="0.2">
      <c r="A18" s="20">
        <v>14</v>
      </c>
      <c r="B18" s="202" t="s">
        <v>449</v>
      </c>
      <c r="C18" s="203"/>
      <c r="D18" s="15">
        <f t="shared" si="0"/>
        <v>22019</v>
      </c>
      <c r="E18" s="18">
        <f t="shared" si="1"/>
        <v>642293.13865153864</v>
      </c>
      <c r="F18" s="22">
        <f t="shared" si="2"/>
        <v>29.169950436056979</v>
      </c>
    </row>
    <row r="19" spans="1:6" x14ac:dyDescent="0.2">
      <c r="A19" s="20">
        <v>15</v>
      </c>
      <c r="B19" s="202" t="s">
        <v>13</v>
      </c>
      <c r="C19" s="203"/>
      <c r="D19" s="15">
        <f t="shared" si="0"/>
        <v>39505</v>
      </c>
      <c r="E19" s="18">
        <f t="shared" si="1"/>
        <v>756492.56053540274</v>
      </c>
      <c r="F19" s="22">
        <f t="shared" si="2"/>
        <v>19.14928643299336</v>
      </c>
    </row>
    <row r="20" spans="1:6" x14ac:dyDescent="0.2">
      <c r="A20" s="20">
        <v>16</v>
      </c>
      <c r="B20" s="202" t="s">
        <v>14</v>
      </c>
      <c r="C20" s="203"/>
      <c r="D20" s="15">
        <f t="shared" si="0"/>
        <v>66354</v>
      </c>
      <c r="E20" s="18">
        <f t="shared" si="1"/>
        <v>624102.62837023439</v>
      </c>
      <c r="F20" s="22">
        <f t="shared" si="2"/>
        <v>9.4056519331198487</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145953</v>
      </c>
      <c r="E22" s="18">
        <f t="shared" si="1"/>
        <v>1441490.5376996235</v>
      </c>
      <c r="F22" s="22">
        <f t="shared" si="2"/>
        <v>9.8764022507219682</v>
      </c>
    </row>
    <row r="23" spans="1:6" x14ac:dyDescent="0.2">
      <c r="A23" s="20">
        <v>19</v>
      </c>
      <c r="B23" s="202" t="s">
        <v>17</v>
      </c>
      <c r="C23" s="203"/>
      <c r="D23" s="15">
        <f t="shared" si="0"/>
        <v>89324</v>
      </c>
      <c r="E23" s="18">
        <f t="shared" si="1"/>
        <v>737649.04314047098</v>
      </c>
      <c r="F23" s="22">
        <f t="shared" si="2"/>
        <v>8.2581281978020566</v>
      </c>
    </row>
    <row r="24" spans="1:6" x14ac:dyDescent="0.2">
      <c r="A24" s="20">
        <v>20</v>
      </c>
      <c r="B24" s="202" t="s">
        <v>18</v>
      </c>
      <c r="C24" s="203"/>
      <c r="D24" s="15">
        <f t="shared" si="0"/>
        <v>18579</v>
      </c>
      <c r="E24" s="18">
        <f t="shared" si="1"/>
        <v>162445.17666592193</v>
      </c>
      <c r="F24" s="22">
        <f t="shared" si="2"/>
        <v>8.7434833234254761</v>
      </c>
    </row>
    <row r="25" spans="1:6" ht="14.25" customHeight="1" x14ac:dyDescent="0.2">
      <c r="A25" s="20">
        <v>21</v>
      </c>
      <c r="B25" s="202" t="s">
        <v>446</v>
      </c>
      <c r="C25" s="203"/>
      <c r="D25" s="15">
        <f t="shared" si="0"/>
        <v>10938</v>
      </c>
      <c r="E25" s="18">
        <f t="shared" si="1"/>
        <v>109917.16633682407</v>
      </c>
      <c r="F25" s="22">
        <f t="shared" si="2"/>
        <v>10.049110105761937</v>
      </c>
    </row>
    <row r="26" spans="1:6" x14ac:dyDescent="0.2">
      <c r="A26" s="20">
        <v>22</v>
      </c>
      <c r="B26" s="202" t="s">
        <v>19</v>
      </c>
      <c r="C26" s="203"/>
      <c r="D26" s="15">
        <f t="shared" si="0"/>
        <v>2300</v>
      </c>
      <c r="E26" s="18">
        <f t="shared" si="1"/>
        <v>34067.823420615772</v>
      </c>
      <c r="F26" s="22">
        <f t="shared" si="2"/>
        <v>14.812097139398162</v>
      </c>
    </row>
    <row r="27" spans="1:6" x14ac:dyDescent="0.2">
      <c r="A27" s="20">
        <v>23</v>
      </c>
      <c r="B27" s="202" t="s">
        <v>20</v>
      </c>
      <c r="C27" s="203"/>
      <c r="D27" s="15">
        <f t="shared" si="0"/>
        <v>28420</v>
      </c>
      <c r="E27" s="18">
        <f t="shared" si="1"/>
        <v>295882.27896256535</v>
      </c>
      <c r="F27" s="22">
        <f t="shared" si="2"/>
        <v>10.411058373067043</v>
      </c>
    </row>
    <row r="28" spans="1:6" x14ac:dyDescent="0.2">
      <c r="A28" s="20">
        <v>24</v>
      </c>
      <c r="B28" s="202" t="s">
        <v>21</v>
      </c>
      <c r="C28" s="203"/>
      <c r="D28" s="15">
        <f t="shared" si="0"/>
        <v>39809</v>
      </c>
      <c r="E28" s="18">
        <f t="shared" si="1"/>
        <v>406115.06415273622</v>
      </c>
      <c r="F28" s="22">
        <f t="shared" si="2"/>
        <v>10.201589192211214</v>
      </c>
    </row>
    <row r="29" spans="1:6" x14ac:dyDescent="0.2">
      <c r="A29" s="20">
        <v>25</v>
      </c>
      <c r="B29" s="202" t="s">
        <v>22</v>
      </c>
      <c r="C29" s="203"/>
      <c r="D29" s="15">
        <f t="shared" si="0"/>
        <v>257159</v>
      </c>
      <c r="E29" s="18">
        <f t="shared" si="1"/>
        <v>1881971.877400927</v>
      </c>
      <c r="F29" s="22">
        <f t="shared" si="2"/>
        <v>7.3183200953531742</v>
      </c>
    </row>
    <row r="30" spans="1:6" x14ac:dyDescent="0.2">
      <c r="A30" s="20">
        <v>26</v>
      </c>
      <c r="B30" s="202" t="s">
        <v>23</v>
      </c>
      <c r="C30" s="203"/>
      <c r="D30" s="15">
        <f t="shared" si="0"/>
        <v>41226</v>
      </c>
      <c r="E30" s="18">
        <f t="shared" si="1"/>
        <v>357788.86884274171</v>
      </c>
      <c r="F30" s="22">
        <f t="shared" si="2"/>
        <v>8.6787189842027299</v>
      </c>
    </row>
    <row r="31" spans="1:6" x14ac:dyDescent="0.2">
      <c r="A31" s="20">
        <v>28</v>
      </c>
      <c r="B31" s="202" t="s">
        <v>24</v>
      </c>
      <c r="C31" s="203"/>
      <c r="D31" s="15">
        <f t="shared" si="0"/>
        <v>66844</v>
      </c>
      <c r="E31" s="18">
        <f t="shared" si="1"/>
        <v>537420.01249027858</v>
      </c>
      <c r="F31" s="22">
        <f t="shared" si="2"/>
        <v>8.0399140160714282</v>
      </c>
    </row>
    <row r="32" spans="1:6" ht="15.75" customHeight="1" thickBot="1" x14ac:dyDescent="0.25">
      <c r="A32" s="23">
        <v>29</v>
      </c>
      <c r="B32" s="206" t="s">
        <v>25</v>
      </c>
      <c r="C32" s="207"/>
      <c r="D32" s="24">
        <f t="shared" si="0"/>
        <v>72362</v>
      </c>
      <c r="E32" s="25">
        <f t="shared" si="1"/>
        <v>569852.13407069515</v>
      </c>
      <c r="F32" s="26">
        <f t="shared" si="2"/>
        <v>7.8750191270376044</v>
      </c>
    </row>
    <row r="33" spans="1:6" x14ac:dyDescent="0.2">
      <c r="B33" s="31" t="s">
        <v>35</v>
      </c>
      <c r="C33" s="31"/>
      <c r="D33" s="60">
        <f>SUM(D5:D32)</f>
        <v>1768015</v>
      </c>
      <c r="E33" s="32">
        <f>SUM(E5:E32)</f>
        <v>16124743.999999998</v>
      </c>
      <c r="F33" s="33">
        <f t="shared" si="2"/>
        <v>9.1202529390304932</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IF(F3="1",SUMIF(Data!A:A,'11'!$A$2,Data!CU:CU),0)</f>
        <v>7956</v>
      </c>
      <c r="E36" s="16">
        <f>IF(F3="1",SUMIF(Data!$A:$A,'11'!$A$2,Data!IO:IO),0)</f>
        <v>5707</v>
      </c>
      <c r="F36" s="21">
        <f t="shared" ref="F36:F64" si="3">IFERROR(E36/D36,"")</f>
        <v>0.7173202614379085</v>
      </c>
    </row>
    <row r="37" spans="1:6" x14ac:dyDescent="0.2">
      <c r="A37" s="20">
        <v>2</v>
      </c>
      <c r="B37" s="202" t="s">
        <v>1</v>
      </c>
      <c r="C37" s="203"/>
      <c r="D37" s="15">
        <f>IF(F3="1",SUMIF(Data!A:A,'11'!$A$2,Data!CV:CV),0)</f>
        <v>82863</v>
      </c>
      <c r="E37" s="18">
        <f>IF(F3="1",SUMIF(Data!$A:$A,'11'!$A$2,Data!IP:IP),0)</f>
        <v>83253</v>
      </c>
      <c r="F37" s="22">
        <f t="shared" si="3"/>
        <v>1.0047065638463488</v>
      </c>
    </row>
    <row r="38" spans="1:6" ht="14.25" customHeight="1" x14ac:dyDescent="0.2">
      <c r="A38" s="20">
        <v>3</v>
      </c>
      <c r="B38" s="202" t="s">
        <v>2</v>
      </c>
      <c r="C38" s="203"/>
      <c r="D38" s="15">
        <f>IF(F3="1",SUMIF(Data!A:A,'11'!$A$2,Data!CW:CW),0)</f>
        <v>165340</v>
      </c>
      <c r="E38" s="18">
        <f>IF(F3="1",SUMIF(Data!$A:$A,'11'!$A$2,Data!IQ:IQ),0)</f>
        <v>94023</v>
      </c>
      <c r="F38" s="22">
        <f t="shared" si="3"/>
        <v>0.56866456997701709</v>
      </c>
    </row>
    <row r="39" spans="1:6" ht="14.25" customHeight="1" x14ac:dyDescent="0.2">
      <c r="A39" s="20">
        <v>4</v>
      </c>
      <c r="B39" s="202" t="s">
        <v>3</v>
      </c>
      <c r="C39" s="203"/>
      <c r="D39" s="15">
        <f>IF(F3="1",SUMIF(Data!A:A,'11'!$A$2,Data!CX:CX),0)</f>
        <v>110573</v>
      </c>
      <c r="E39" s="18">
        <f>IF(F3="1",SUMIF(Data!$A:$A,'11'!$A$2,Data!IR:IR),0)</f>
        <v>36779</v>
      </c>
      <c r="F39" s="22">
        <f t="shared" si="3"/>
        <v>0.33262188780262814</v>
      </c>
    </row>
    <row r="40" spans="1:6" x14ac:dyDescent="0.2">
      <c r="A40" s="20">
        <v>5</v>
      </c>
      <c r="B40" s="202" t="s">
        <v>4</v>
      </c>
      <c r="C40" s="203"/>
      <c r="D40" s="15">
        <f>IF(F3="1",SUMIF(Data!A:A,'11'!$A$2,Data!CY:CY),0)</f>
        <v>0</v>
      </c>
      <c r="E40" s="18">
        <f>IF(F3="1",SUMIF(Data!$A:$A,'11'!$A$2,Data!IS:IS),0)</f>
        <v>0</v>
      </c>
      <c r="F40" s="22" t="str">
        <f t="shared" si="3"/>
        <v/>
      </c>
    </row>
    <row r="41" spans="1:6" x14ac:dyDescent="0.2">
      <c r="A41" s="20">
        <v>6</v>
      </c>
      <c r="B41" s="202" t="s">
        <v>5</v>
      </c>
      <c r="C41" s="203"/>
      <c r="D41" s="15">
        <f>IF(F3="1",SUMIF(Data!A:A,'11'!$A$2,Data!CZ:CZ),0)</f>
        <v>15291</v>
      </c>
      <c r="E41" s="18">
        <f>IF(F3="1",SUMIF(Data!$A:$A,'11'!$A$2,Data!IT:IT),0)</f>
        <v>2971</v>
      </c>
      <c r="F41" s="22">
        <f t="shared" si="3"/>
        <v>0.19429729906480936</v>
      </c>
    </row>
    <row r="42" spans="1:6" x14ac:dyDescent="0.2">
      <c r="A42" s="20">
        <v>7</v>
      </c>
      <c r="B42" s="202" t="s">
        <v>6</v>
      </c>
      <c r="C42" s="203"/>
      <c r="D42" s="15">
        <f>IF(F3="1",SUMIF(Data!A:A,'11'!$A$2,Data!DA:DA),0)</f>
        <v>76560</v>
      </c>
      <c r="E42" s="18">
        <f>IF(F3="1",SUMIF(Data!$A:$A,'11'!$A$2,Data!IU:IU),0)</f>
        <v>105052</v>
      </c>
      <c r="F42" s="22">
        <f t="shared" si="3"/>
        <v>1.3721525600835947</v>
      </c>
    </row>
    <row r="43" spans="1:6" x14ac:dyDescent="0.2">
      <c r="A43" s="20">
        <v>8</v>
      </c>
      <c r="B43" s="202" t="s">
        <v>7</v>
      </c>
      <c r="C43" s="203"/>
      <c r="D43" s="15">
        <f>IF(F3="1",SUMIF(Data!A:A,'11'!$A$2,Data!DB:DB),0)</f>
        <v>0</v>
      </c>
      <c r="E43" s="18">
        <f>IF(F3="1",SUMIF(Data!$A:$A,'11'!$A$2,Data!IV:IV),0)</f>
        <v>0</v>
      </c>
      <c r="F43" s="22" t="str">
        <f t="shared" si="3"/>
        <v/>
      </c>
    </row>
    <row r="44" spans="1:6" x14ac:dyDescent="0.2">
      <c r="A44" s="20">
        <v>9</v>
      </c>
      <c r="B44" s="202" t="s">
        <v>8</v>
      </c>
      <c r="C44" s="203"/>
      <c r="D44" s="15">
        <f>IF(F3="1",SUMIF(Data!A:A,'11'!$A$2,Data!DC:DC),0)</f>
        <v>127508</v>
      </c>
      <c r="E44" s="18">
        <f>IF(F3="1",SUMIF(Data!$A:$A,'11'!$A$2,Data!IW:IW),0)</f>
        <v>151394</v>
      </c>
      <c r="F44" s="22">
        <f t="shared" si="3"/>
        <v>1.1873294224676099</v>
      </c>
    </row>
    <row r="45" spans="1:6" x14ac:dyDescent="0.2">
      <c r="A45" s="20">
        <v>10</v>
      </c>
      <c r="B45" s="202" t="s">
        <v>9</v>
      </c>
      <c r="C45" s="203"/>
      <c r="D45" s="15">
        <f>IF(F3="1",SUMIF(Data!A:A,'11'!$A$2,Data!DD:DD),0)</f>
        <v>0</v>
      </c>
      <c r="E45" s="18">
        <f>IF(F3="1",SUMIF(Data!$A:$A,'11'!$A$2,Data!IX:IX),0)</f>
        <v>0</v>
      </c>
      <c r="F45" s="22" t="str">
        <f t="shared" si="3"/>
        <v/>
      </c>
    </row>
    <row r="46" spans="1:6" x14ac:dyDescent="0.2">
      <c r="A46" s="20">
        <v>11</v>
      </c>
      <c r="B46" s="202" t="s">
        <v>10</v>
      </c>
      <c r="C46" s="203"/>
      <c r="D46" s="15">
        <f>IF(F3="1",SUMIF(Data!A:A,'11'!$A$2,Data!DE:DE),0)</f>
        <v>28461</v>
      </c>
      <c r="E46" s="18">
        <f>IF(F3="1",SUMIF(Data!$A:$A,'11'!$A$2,Data!IY:IY),0)</f>
        <v>13349</v>
      </c>
      <c r="F46" s="22">
        <f t="shared" si="3"/>
        <v>0.46902779241769438</v>
      </c>
    </row>
    <row r="47" spans="1:6" ht="14.25" customHeight="1" x14ac:dyDescent="0.2">
      <c r="A47" s="20">
        <v>12</v>
      </c>
      <c r="B47" s="202" t="s">
        <v>11</v>
      </c>
      <c r="C47" s="203"/>
      <c r="D47" s="15">
        <f>IF(F3="1",SUMIF(Data!A:A,'11'!$A$2,Data!DF:DF),0)</f>
        <v>226616</v>
      </c>
      <c r="E47" s="18">
        <f>IF(F3="1",SUMIF(Data!$A:$A,'11'!$A$2,Data!IZ:IZ),0)</f>
        <v>17271</v>
      </c>
      <c r="F47" s="22">
        <f t="shared" si="3"/>
        <v>7.6212623998305501E-2</v>
      </c>
    </row>
    <row r="48" spans="1:6" x14ac:dyDescent="0.2">
      <c r="A48" s="20">
        <v>13</v>
      </c>
      <c r="B48" s="202" t="s">
        <v>12</v>
      </c>
      <c r="C48" s="203"/>
      <c r="D48" s="15">
        <f>IF(F3="1",SUMIF(Data!A:A,'11'!$A$2,Data!DG:DG),0)</f>
        <v>26055</v>
      </c>
      <c r="E48" s="18">
        <f>IF(F3="1",SUMIF(Data!$A:$A,'11'!$A$2,Data!JA:JA),0)</f>
        <v>2799</v>
      </c>
      <c r="F48" s="22">
        <f t="shared" si="3"/>
        <v>0.107426597582038</v>
      </c>
    </row>
    <row r="49" spans="1:6" ht="14.25" customHeight="1" x14ac:dyDescent="0.2">
      <c r="A49" s="20">
        <v>14</v>
      </c>
      <c r="B49" s="202" t="s">
        <v>449</v>
      </c>
      <c r="C49" s="203"/>
      <c r="D49" s="15">
        <f>IF(F3="1",SUMIF(Data!A:A,'11'!$A$2,Data!DH:DH),0)</f>
        <v>22019</v>
      </c>
      <c r="E49" s="18">
        <f>IF(F3="1",SUMIF(Data!$A:$A,'11'!$A$2,Data!JB:JB),0)</f>
        <v>263690</v>
      </c>
      <c r="F49" s="22">
        <f t="shared" si="3"/>
        <v>11.975566556156046</v>
      </c>
    </row>
    <row r="50" spans="1:6" x14ac:dyDescent="0.2">
      <c r="A50" s="20">
        <v>15</v>
      </c>
      <c r="B50" s="202" t="s">
        <v>13</v>
      </c>
      <c r="C50" s="203"/>
      <c r="D50" s="15">
        <f>IF(F3="1",SUMIF(Data!A:A,'11'!$A$2,Data!DI:DI),0)</f>
        <v>39505</v>
      </c>
      <c r="E50" s="18">
        <f>IF(F3="1",SUMIF(Data!$A:$A,'11'!$A$2,Data!JC:JC),0)</f>
        <v>238459</v>
      </c>
      <c r="F50" s="22">
        <f t="shared" si="3"/>
        <v>6.0361726363751425</v>
      </c>
    </row>
    <row r="51" spans="1:6" x14ac:dyDescent="0.2">
      <c r="A51" s="20">
        <v>16</v>
      </c>
      <c r="B51" s="202" t="s">
        <v>14</v>
      </c>
      <c r="C51" s="203"/>
      <c r="D51" s="15">
        <f>IF(F3="1",SUMIF(Data!A:A,'11'!$A$2,Data!DJ:DJ),0)</f>
        <v>66354</v>
      </c>
      <c r="E51" s="18">
        <f>IF(F3="1",SUMIF(Data!$A:$A,'11'!$A$2,Data!JD:JD),0)</f>
        <v>243519</v>
      </c>
      <c r="F51" s="22">
        <f t="shared" si="3"/>
        <v>3.6699972872773308</v>
      </c>
    </row>
    <row r="52" spans="1:6" x14ac:dyDescent="0.2">
      <c r="A52" s="20">
        <v>17</v>
      </c>
      <c r="B52" s="202" t="s">
        <v>15</v>
      </c>
      <c r="C52" s="203"/>
      <c r="D52" s="15">
        <f>IF(F3="1",SUMIF(Data!A:A,'11'!$A$2,Data!DK:DK),0)</f>
        <v>0</v>
      </c>
      <c r="E52" s="18">
        <f>IF(F3="1",SUMIF(Data!$A:$A,'11'!$A$2,Data!JE:JE),0)</f>
        <v>0</v>
      </c>
      <c r="F52" s="22" t="str">
        <f t="shared" si="3"/>
        <v/>
      </c>
    </row>
    <row r="53" spans="1:6" x14ac:dyDescent="0.2">
      <c r="A53" s="20">
        <v>18</v>
      </c>
      <c r="B53" s="202" t="s">
        <v>16</v>
      </c>
      <c r="C53" s="203"/>
      <c r="D53" s="15">
        <f>IF(F3="1",SUMIF(Data!A:A,'11'!$A$2,Data!DL:DL),0)</f>
        <v>145953</v>
      </c>
      <c r="E53" s="18">
        <f>IF(F3="1",SUMIF(Data!$A:$A,'11'!$A$2,Data!JF:JF),0)</f>
        <v>257339</v>
      </c>
      <c r="F53" s="22">
        <f t="shared" si="3"/>
        <v>1.7631634841353039</v>
      </c>
    </row>
    <row r="54" spans="1:6" x14ac:dyDescent="0.2">
      <c r="A54" s="20">
        <v>19</v>
      </c>
      <c r="B54" s="202" t="s">
        <v>17</v>
      </c>
      <c r="C54" s="203"/>
      <c r="D54" s="15">
        <f>IF(F3="1",SUMIF(Data!A:A,'11'!$A$2,Data!DM:DM),0)</f>
        <v>89324</v>
      </c>
      <c r="E54" s="18">
        <f>IF(F3="1",SUMIF(Data!$A:$A,'11'!$A$2,Data!JG:JG),0)</f>
        <v>9648</v>
      </c>
      <c r="F54" s="22">
        <f t="shared" si="3"/>
        <v>0.10801128476109444</v>
      </c>
    </row>
    <row r="55" spans="1:6" x14ac:dyDescent="0.2">
      <c r="A55" s="20">
        <v>20</v>
      </c>
      <c r="B55" s="202" t="s">
        <v>18</v>
      </c>
      <c r="C55" s="203"/>
      <c r="D55" s="15">
        <f>IF(F3="1",SUMIF(Data!A:A,'11'!$A$2,Data!DN:DN),0)</f>
        <v>18579</v>
      </c>
      <c r="E55" s="18">
        <f>IF(F3="1",SUMIF(Data!$A:$A,'11'!$A$2,Data!JH:JH),0)</f>
        <v>11957</v>
      </c>
      <c r="F55" s="22">
        <f t="shared" si="3"/>
        <v>0.64357608052101833</v>
      </c>
    </row>
    <row r="56" spans="1:6" ht="14.25" customHeight="1" x14ac:dyDescent="0.2">
      <c r="A56" s="20">
        <v>21</v>
      </c>
      <c r="B56" s="202" t="s">
        <v>446</v>
      </c>
      <c r="C56" s="203"/>
      <c r="D56" s="15">
        <f>IF(F3="1",SUMIF(Data!A:A,'11'!$A$2,Data!DO:DO),0)</f>
        <v>10938</v>
      </c>
      <c r="E56" s="18">
        <f>IF(F3="1",SUMIF(Data!$A:$A,'11'!$A$2,Data!JI:JI),0)</f>
        <v>10460</v>
      </c>
      <c r="F56" s="22">
        <f t="shared" si="3"/>
        <v>0.95629914061071497</v>
      </c>
    </row>
    <row r="57" spans="1:6" x14ac:dyDescent="0.2">
      <c r="A57" s="20">
        <v>22</v>
      </c>
      <c r="B57" s="202" t="s">
        <v>19</v>
      </c>
      <c r="C57" s="203"/>
      <c r="D57" s="15">
        <f>IF(F3="1",SUMIF(Data!A:A,'11'!$A$2,Data!DP:DP),0)</f>
        <v>2300</v>
      </c>
      <c r="E57" s="18">
        <f>IF(F3="1",SUMIF(Data!$A:$A,'11'!$A$2,Data!JJ:JJ),0)</f>
        <v>422</v>
      </c>
      <c r="F57" s="22">
        <f t="shared" si="3"/>
        <v>0.18347826086956523</v>
      </c>
    </row>
    <row r="58" spans="1:6" x14ac:dyDescent="0.2">
      <c r="A58" s="20">
        <v>23</v>
      </c>
      <c r="B58" s="202" t="s">
        <v>20</v>
      </c>
      <c r="C58" s="203"/>
      <c r="D58" s="15">
        <f>IF(F3="1",SUMIF(Data!A:A,'11'!$A$2,Data!DQ:DQ),0)</f>
        <v>28420</v>
      </c>
      <c r="E58" s="18">
        <f>IF(F3="1",SUMIF(Data!$A:$A,'11'!$A$2,Data!JK:JK),0)</f>
        <v>15233</v>
      </c>
      <c r="F58" s="22">
        <f t="shared" si="3"/>
        <v>0.53599577762139339</v>
      </c>
    </row>
    <row r="59" spans="1:6" x14ac:dyDescent="0.2">
      <c r="A59" s="20">
        <v>24</v>
      </c>
      <c r="B59" s="202" t="s">
        <v>21</v>
      </c>
      <c r="C59" s="203"/>
      <c r="D59" s="15">
        <f>IF(F3="1",SUMIF(Data!A:A,'11'!$A$2,Data!DR:DR),0)</f>
        <v>39809</v>
      </c>
      <c r="E59" s="18">
        <f>IF(F3="1",SUMIF(Data!$A:$A,'11'!$A$2,Data!JL:JL),0)</f>
        <v>21126</v>
      </c>
      <c r="F59" s="22">
        <f t="shared" si="3"/>
        <v>0.53068401617724636</v>
      </c>
    </row>
    <row r="60" spans="1:6" x14ac:dyDescent="0.2">
      <c r="A60" s="20">
        <v>25</v>
      </c>
      <c r="B60" s="202" t="s">
        <v>22</v>
      </c>
      <c r="C60" s="203"/>
      <c r="D60" s="15">
        <f>IF(F3="1",SUMIF(Data!A:A,'11'!$A$2,Data!DS:DS),0)</f>
        <v>257159</v>
      </c>
      <c r="E60" s="18">
        <f>IF(F3="1",SUMIF(Data!$A:$A,'11'!$A$2,Data!JM:JM),0)</f>
        <v>19555</v>
      </c>
      <c r="F60" s="22">
        <f t="shared" si="3"/>
        <v>7.6042448446291988E-2</v>
      </c>
    </row>
    <row r="61" spans="1:6" x14ac:dyDescent="0.2">
      <c r="A61" s="20">
        <v>26</v>
      </c>
      <c r="B61" s="202" t="s">
        <v>23</v>
      </c>
      <c r="C61" s="203"/>
      <c r="D61" s="15">
        <f>IF(F3="1",SUMIF(Data!A:A,'11'!$A$2,Data!DT:DT),0)</f>
        <v>41226</v>
      </c>
      <c r="E61" s="18">
        <f>IF(F3="1",SUMIF(Data!$A:$A,'11'!$A$2,Data!JN:JN),0)</f>
        <v>10674</v>
      </c>
      <c r="F61" s="22">
        <f t="shared" si="3"/>
        <v>0.25891427739775869</v>
      </c>
    </row>
    <row r="62" spans="1:6" x14ac:dyDescent="0.2">
      <c r="A62" s="20">
        <v>28</v>
      </c>
      <c r="B62" s="202" t="s">
        <v>24</v>
      </c>
      <c r="C62" s="203"/>
      <c r="D62" s="15">
        <f>IF(F3="1",SUMIF(Data!A:A,'11'!$A$2,Data!DV:DV),0)</f>
        <v>66844</v>
      </c>
      <c r="E62" s="18">
        <f>IF(F3="1",SUMIF(Data!$A:$A,'11'!$A$2,Data!JP:JP),0)</f>
        <v>4748</v>
      </c>
      <c r="F62" s="22">
        <f t="shared" si="3"/>
        <v>7.1031057387349647E-2</v>
      </c>
    </row>
    <row r="63" spans="1:6" ht="15.75" customHeight="1" thickBot="1" x14ac:dyDescent="0.25">
      <c r="A63" s="23">
        <v>29</v>
      </c>
      <c r="B63" s="206" t="s">
        <v>25</v>
      </c>
      <c r="C63" s="207"/>
      <c r="D63" s="24">
        <f>IF(F3="1",SUMIF(Data!A:A,'11'!$A$2,Data!DW:DW),0)</f>
        <v>72362</v>
      </c>
      <c r="E63" s="25">
        <f>IF(F3="1",SUMIF(Data!$A:$A,'11'!$A$2,Data!JQ:JQ),0)</f>
        <v>12434</v>
      </c>
      <c r="F63" s="26">
        <f t="shared" si="3"/>
        <v>0.17183051878057545</v>
      </c>
    </row>
    <row r="64" spans="1:6" x14ac:dyDescent="0.2">
      <c r="B64" s="31" t="s">
        <v>35</v>
      </c>
      <c r="C64" s="31"/>
      <c r="D64" s="60">
        <f>SUM(D36:D63)</f>
        <v>1768015</v>
      </c>
      <c r="E64" s="32">
        <f>SUM(E36:E63)</f>
        <v>1631862</v>
      </c>
      <c r="F64" s="33">
        <f t="shared" si="3"/>
        <v>0.92299103797196291</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7956</v>
      </c>
      <c r="E67" s="16">
        <f>IF(F3="1",SUMIF(Data!A:A,'11'!$A$2,Data!DY:DY),0)</f>
        <v>33493</v>
      </c>
      <c r="F67" s="21">
        <f>IFERROR(E67/D67,"")</f>
        <v>4.2097787833081952</v>
      </c>
    </row>
    <row r="68" spans="1:6" x14ac:dyDescent="0.2">
      <c r="A68" s="20">
        <v>2</v>
      </c>
      <c r="B68" s="202" t="s">
        <v>1</v>
      </c>
      <c r="C68" s="203"/>
      <c r="D68" s="15">
        <f t="shared" ref="D68:D94" si="4">D37</f>
        <v>82863</v>
      </c>
      <c r="E68" s="18">
        <f>IF(F3="1",SUMIF(Data!A:A,'11'!$A$2,Data!DZ:DZ),0)</f>
        <v>352387</v>
      </c>
      <c r="F68" s="22">
        <f t="shared" ref="F68:F95" si="5">IFERROR(E68/D68,"")</f>
        <v>4.2526459336495179</v>
      </c>
    </row>
    <row r="69" spans="1:6" ht="14.25" customHeight="1" x14ac:dyDescent="0.2">
      <c r="A69" s="20">
        <v>3</v>
      </c>
      <c r="B69" s="202" t="s">
        <v>2</v>
      </c>
      <c r="C69" s="203"/>
      <c r="D69" s="15">
        <f t="shared" si="4"/>
        <v>165340</v>
      </c>
      <c r="E69" s="18">
        <f>IF(F3="1",SUMIF(Data!A:A,'11'!$A$2,Data!EA:EA),0)</f>
        <v>544960</v>
      </c>
      <c r="F69" s="22">
        <f t="shared" si="5"/>
        <v>3.2959961291883393</v>
      </c>
    </row>
    <row r="70" spans="1:6" ht="14.25" customHeight="1" x14ac:dyDescent="0.2">
      <c r="A70" s="20">
        <v>4</v>
      </c>
      <c r="B70" s="202" t="s">
        <v>3</v>
      </c>
      <c r="C70" s="203"/>
      <c r="D70" s="15">
        <f t="shared" si="4"/>
        <v>110573</v>
      </c>
      <c r="E70" s="18">
        <f>IF(F3="1",SUMIF(Data!A:A,'11'!$A$2,Data!EB:EB),0)</f>
        <v>519771</v>
      </c>
      <c r="F70" s="22">
        <f t="shared" si="5"/>
        <v>4.7007045119513808</v>
      </c>
    </row>
    <row r="71" spans="1:6" x14ac:dyDescent="0.2">
      <c r="A71" s="20">
        <v>5</v>
      </c>
      <c r="B71" s="202" t="s">
        <v>4</v>
      </c>
      <c r="C71" s="203"/>
      <c r="D71" s="15">
        <f t="shared" si="4"/>
        <v>0</v>
      </c>
      <c r="E71" s="18">
        <f>IF(F3="1",SUMIF(Data!A:A,'11'!$A$2,Data!EC:EC),0)</f>
        <v>0</v>
      </c>
      <c r="F71" s="22" t="str">
        <f t="shared" si="5"/>
        <v/>
      </c>
    </row>
    <row r="72" spans="1:6" x14ac:dyDescent="0.2">
      <c r="A72" s="20">
        <v>6</v>
      </c>
      <c r="B72" s="202" t="s">
        <v>5</v>
      </c>
      <c r="C72" s="203"/>
      <c r="D72" s="15">
        <f t="shared" si="4"/>
        <v>15291</v>
      </c>
      <c r="E72" s="18">
        <f>IF(F3="1",SUMIF(Data!A:A,'11'!$A$2,Data!ED:ED),0)</f>
        <v>166953</v>
      </c>
      <c r="F72" s="22">
        <f t="shared" si="5"/>
        <v>10.918383362762409</v>
      </c>
    </row>
    <row r="73" spans="1:6" x14ac:dyDescent="0.2">
      <c r="A73" s="20">
        <v>7</v>
      </c>
      <c r="B73" s="202" t="s">
        <v>6</v>
      </c>
      <c r="C73" s="203"/>
      <c r="D73" s="15">
        <f t="shared" si="4"/>
        <v>76560</v>
      </c>
      <c r="E73" s="18">
        <f>IF(F3="1",SUMIF(Data!A:A,'11'!$A$2,Data!EE:EE),0)</f>
        <v>301072</v>
      </c>
      <c r="F73" s="22">
        <f t="shared" si="5"/>
        <v>3.9324973876698013</v>
      </c>
    </row>
    <row r="74" spans="1:6" x14ac:dyDescent="0.2">
      <c r="A74" s="20">
        <v>8</v>
      </c>
      <c r="B74" s="202" t="s">
        <v>7</v>
      </c>
      <c r="C74" s="203"/>
      <c r="D74" s="15">
        <f t="shared" si="4"/>
        <v>0</v>
      </c>
      <c r="E74" s="18">
        <f>IF(F3="1",SUMIF(Data!A:A,'11'!$A$2,Data!EF:EF),0)</f>
        <v>0</v>
      </c>
      <c r="F74" s="22" t="str">
        <f t="shared" si="5"/>
        <v/>
      </c>
    </row>
    <row r="75" spans="1:6" x14ac:dyDescent="0.2">
      <c r="A75" s="20">
        <v>9</v>
      </c>
      <c r="B75" s="202" t="s">
        <v>8</v>
      </c>
      <c r="C75" s="203"/>
      <c r="D75" s="15">
        <f t="shared" si="4"/>
        <v>127508</v>
      </c>
      <c r="E75" s="18">
        <f>IF(F3="1",SUMIF(Data!A:A,'11'!$A$2,Data!EG:EG),0)</f>
        <v>545963</v>
      </c>
      <c r="F75" s="22">
        <f t="shared" si="5"/>
        <v>4.281794083508486</v>
      </c>
    </row>
    <row r="76" spans="1:6" x14ac:dyDescent="0.2">
      <c r="A76" s="20">
        <v>10</v>
      </c>
      <c r="B76" s="202" t="s">
        <v>9</v>
      </c>
      <c r="C76" s="203"/>
      <c r="D76" s="15">
        <f t="shared" si="4"/>
        <v>0</v>
      </c>
      <c r="E76" s="18">
        <f>IF(F3="1",SUMIF(Data!A:A,'11'!$A$2,Data!EH:EH),0)</f>
        <v>0</v>
      </c>
      <c r="F76" s="22" t="str">
        <f t="shared" si="5"/>
        <v/>
      </c>
    </row>
    <row r="77" spans="1:6" x14ac:dyDescent="0.2">
      <c r="A77" s="20">
        <v>11</v>
      </c>
      <c r="B77" s="202" t="s">
        <v>10</v>
      </c>
      <c r="C77" s="203"/>
      <c r="D77" s="15">
        <f t="shared" si="4"/>
        <v>28461</v>
      </c>
      <c r="E77" s="18">
        <f>IF(F3="1",SUMIF(Data!A:A,'11'!$A$2,Data!EI:EI),0)</f>
        <v>123717</v>
      </c>
      <c r="F77" s="22">
        <f t="shared" si="5"/>
        <v>4.3468957520817959</v>
      </c>
    </row>
    <row r="78" spans="1:6" ht="14.25" customHeight="1" x14ac:dyDescent="0.2">
      <c r="A78" s="20">
        <v>12</v>
      </c>
      <c r="B78" s="202" t="s">
        <v>11</v>
      </c>
      <c r="C78" s="203"/>
      <c r="D78" s="15">
        <f t="shared" si="4"/>
        <v>226616</v>
      </c>
      <c r="E78" s="18">
        <f>IF(F3="1",SUMIF(Data!A:A,'11'!$A$2,Data!EJ:EJ),0)</f>
        <v>642692</v>
      </c>
      <c r="F78" s="22">
        <f t="shared" si="5"/>
        <v>2.8360398206657957</v>
      </c>
    </row>
    <row r="79" spans="1:6" x14ac:dyDescent="0.2">
      <c r="A79" s="20">
        <v>13</v>
      </c>
      <c r="B79" s="202" t="s">
        <v>12</v>
      </c>
      <c r="C79" s="203"/>
      <c r="D79" s="15">
        <f t="shared" si="4"/>
        <v>26055</v>
      </c>
      <c r="E79" s="18">
        <f>IF(F3="1",SUMIF(Data!A:A,'11'!$A$2,Data!EK:EK),0)</f>
        <v>70903</v>
      </c>
      <c r="F79" s="22">
        <f t="shared" si="5"/>
        <v>2.7212819036653233</v>
      </c>
    </row>
    <row r="80" spans="1:6" ht="14.25" customHeight="1" x14ac:dyDescent="0.2">
      <c r="A80" s="20">
        <v>14</v>
      </c>
      <c r="B80" s="202" t="s">
        <v>449</v>
      </c>
      <c r="C80" s="203"/>
      <c r="D80" s="15">
        <f t="shared" si="4"/>
        <v>22019</v>
      </c>
      <c r="E80" s="18">
        <f>IF(F3="1",SUMIF(Data!A:A,'11'!$A$2,Data!EL:EL),0)</f>
        <v>283320</v>
      </c>
      <c r="F80" s="22">
        <f t="shared" si="5"/>
        <v>12.86706934919842</v>
      </c>
    </row>
    <row r="81" spans="1:6" x14ac:dyDescent="0.2">
      <c r="A81" s="20">
        <v>15</v>
      </c>
      <c r="B81" s="202" t="s">
        <v>13</v>
      </c>
      <c r="C81" s="203"/>
      <c r="D81" s="15">
        <f t="shared" si="4"/>
        <v>39505</v>
      </c>
      <c r="E81" s="18">
        <f>IF(F3="1",SUMIF(Data!A:A,'11'!$A$2,Data!EM:EM),0)</f>
        <v>347083</v>
      </c>
      <c r="F81" s="22">
        <f t="shared" si="5"/>
        <v>8.7857992659157063</v>
      </c>
    </row>
    <row r="82" spans="1:6" x14ac:dyDescent="0.2">
      <c r="A82" s="20">
        <v>16</v>
      </c>
      <c r="B82" s="202" t="s">
        <v>14</v>
      </c>
      <c r="C82" s="203"/>
      <c r="D82" s="15">
        <f t="shared" si="4"/>
        <v>66354</v>
      </c>
      <c r="E82" s="18">
        <f>IF(F3="1",SUMIF(Data!A:A,'11'!$A$2,Data!EN:EN),0)</f>
        <v>93449</v>
      </c>
      <c r="F82" s="22">
        <f t="shared" si="5"/>
        <v>1.4083401151400066</v>
      </c>
    </row>
    <row r="83" spans="1:6" x14ac:dyDescent="0.2">
      <c r="A83" s="20">
        <v>17</v>
      </c>
      <c r="B83" s="202" t="s">
        <v>15</v>
      </c>
      <c r="C83" s="203"/>
      <c r="D83" s="15">
        <f t="shared" si="4"/>
        <v>0</v>
      </c>
      <c r="E83" s="18">
        <f>IF(F3="1",SUMIF(Data!A:A,'11'!$A$2,Data!EO:EO),0)</f>
        <v>0</v>
      </c>
      <c r="F83" s="22" t="str">
        <f t="shared" si="5"/>
        <v/>
      </c>
    </row>
    <row r="84" spans="1:6" x14ac:dyDescent="0.2">
      <c r="A84" s="20">
        <v>18</v>
      </c>
      <c r="B84" s="202" t="s">
        <v>16</v>
      </c>
      <c r="C84" s="203"/>
      <c r="D84" s="15">
        <f t="shared" si="4"/>
        <v>145953</v>
      </c>
      <c r="E84" s="18">
        <f>IF(F3="1",SUMIF(Data!A:A,'11'!$A$2,Data!EP:EP),0)</f>
        <v>552567</v>
      </c>
      <c r="F84" s="22">
        <f t="shared" si="5"/>
        <v>3.7859242358841545</v>
      </c>
    </row>
    <row r="85" spans="1:6" x14ac:dyDescent="0.2">
      <c r="A85" s="20">
        <v>19</v>
      </c>
      <c r="B85" s="202" t="s">
        <v>17</v>
      </c>
      <c r="C85" s="203"/>
      <c r="D85" s="15">
        <f t="shared" si="4"/>
        <v>89324</v>
      </c>
      <c r="E85" s="18">
        <f>IF(F3="1",SUMIF(Data!A:A,'11'!$A$2,Data!EQ:EQ),0)</f>
        <v>341468</v>
      </c>
      <c r="F85" s="22">
        <f t="shared" si="5"/>
        <v>3.8228023823384532</v>
      </c>
    </row>
    <row r="86" spans="1:6" x14ac:dyDescent="0.2">
      <c r="A86" s="20">
        <v>20</v>
      </c>
      <c r="B86" s="202" t="s">
        <v>18</v>
      </c>
      <c r="C86" s="203"/>
      <c r="D86" s="15">
        <f t="shared" si="4"/>
        <v>18579</v>
      </c>
      <c r="E86" s="18">
        <f>IF(F3="1",SUMIF(Data!A:A,'11'!$A$2,Data!ER:ER),0)</f>
        <v>70091</v>
      </c>
      <c r="F86" s="22">
        <f t="shared" si="5"/>
        <v>3.7725927122019485</v>
      </c>
    </row>
    <row r="87" spans="1:6" ht="14.25" customHeight="1" x14ac:dyDescent="0.2">
      <c r="A87" s="20">
        <v>21</v>
      </c>
      <c r="B87" s="202" t="s">
        <v>446</v>
      </c>
      <c r="C87" s="203"/>
      <c r="D87" s="15">
        <f t="shared" si="4"/>
        <v>10938</v>
      </c>
      <c r="E87" s="18">
        <f>IF(F3="1",SUMIF(Data!A:A,'11'!$A$2,Data!ES:ES),0)</f>
        <v>52125</v>
      </c>
      <c r="F87" s="22">
        <f t="shared" si="5"/>
        <v>4.7654964344487105</v>
      </c>
    </row>
    <row r="88" spans="1:6" x14ac:dyDescent="0.2">
      <c r="A88" s="20">
        <v>22</v>
      </c>
      <c r="B88" s="202" t="s">
        <v>19</v>
      </c>
      <c r="C88" s="203"/>
      <c r="D88" s="15">
        <f t="shared" si="4"/>
        <v>2300</v>
      </c>
      <c r="E88" s="18">
        <f>IF(F3="1",SUMIF(Data!A:A,'11'!$A$2,Data!ET:ET),0)</f>
        <v>23693</v>
      </c>
      <c r="F88" s="22">
        <f t="shared" si="5"/>
        <v>10.301304347826086</v>
      </c>
    </row>
    <row r="89" spans="1:6" x14ac:dyDescent="0.2">
      <c r="A89" s="20">
        <v>23</v>
      </c>
      <c r="B89" s="202" t="s">
        <v>20</v>
      </c>
      <c r="C89" s="203"/>
      <c r="D89" s="15">
        <f t="shared" si="4"/>
        <v>28420</v>
      </c>
      <c r="E89" s="18">
        <f>IF(F3="1",SUMIF(Data!A:A,'11'!$A$2,Data!EU:EU),0)</f>
        <v>157667</v>
      </c>
      <c r="F89" s="22">
        <f t="shared" si="5"/>
        <v>5.5477480647431383</v>
      </c>
    </row>
    <row r="90" spans="1:6" x14ac:dyDescent="0.2">
      <c r="A90" s="20">
        <v>24</v>
      </c>
      <c r="B90" s="202" t="s">
        <v>21</v>
      </c>
      <c r="C90" s="203"/>
      <c r="D90" s="15">
        <f t="shared" si="4"/>
        <v>39809</v>
      </c>
      <c r="E90" s="18">
        <f>IF(F3="1",SUMIF(Data!A:A,'11'!$A$2,Data!EV:EV),0)</f>
        <v>212723</v>
      </c>
      <c r="F90" s="22">
        <f t="shared" si="5"/>
        <v>5.3435906453314574</v>
      </c>
    </row>
    <row r="91" spans="1:6" x14ac:dyDescent="0.2">
      <c r="A91" s="20">
        <v>25</v>
      </c>
      <c r="B91" s="202" t="s">
        <v>22</v>
      </c>
      <c r="C91" s="203"/>
      <c r="D91" s="15">
        <f t="shared" si="4"/>
        <v>257159</v>
      </c>
      <c r="E91" s="18">
        <f>IF(F3="1",SUMIF(Data!A:A,'11'!$A$2,Data!EW:EW),0)</f>
        <v>749609</v>
      </c>
      <c r="F91" s="22">
        <f t="shared" si="5"/>
        <v>2.9149631162043717</v>
      </c>
    </row>
    <row r="92" spans="1:6" x14ac:dyDescent="0.2">
      <c r="A92" s="20">
        <v>26</v>
      </c>
      <c r="B92" s="202" t="s">
        <v>23</v>
      </c>
      <c r="C92" s="203"/>
      <c r="D92" s="15">
        <f t="shared" si="4"/>
        <v>41226</v>
      </c>
      <c r="E92" s="18">
        <f>IF(F3="1",SUMIF(Data!A:A,'11'!$A$2,Data!EX:EX),0)</f>
        <v>168717</v>
      </c>
      <c r="F92" s="22">
        <f t="shared" si="5"/>
        <v>4.0924901761024595</v>
      </c>
    </row>
    <row r="93" spans="1:6" x14ac:dyDescent="0.2">
      <c r="A93" s="20">
        <v>28</v>
      </c>
      <c r="B93" s="202" t="s">
        <v>24</v>
      </c>
      <c r="C93" s="203"/>
      <c r="D93" s="15">
        <f t="shared" si="4"/>
        <v>66844</v>
      </c>
      <c r="E93" s="18">
        <f>IF(F3="1",SUMIF(Data!A:A,'11'!$A$2,Data!EZ:EZ),0)</f>
        <v>243417</v>
      </c>
      <c r="F93" s="22">
        <f t="shared" si="5"/>
        <v>3.6415684279815692</v>
      </c>
    </row>
    <row r="94" spans="1:6" ht="15.75" customHeight="1" thickBot="1" x14ac:dyDescent="0.25">
      <c r="A94" s="23">
        <v>29</v>
      </c>
      <c r="B94" s="206" t="s">
        <v>25</v>
      </c>
      <c r="C94" s="207"/>
      <c r="D94" s="24">
        <f t="shared" si="4"/>
        <v>72362</v>
      </c>
      <c r="E94" s="25">
        <f>IF(F3="1",SUMIF(Data!A:A,'11'!$A$2,Data!FA:FA),0)</f>
        <v>244285</v>
      </c>
      <c r="F94" s="26">
        <f t="shared" si="5"/>
        <v>3.3758740775545175</v>
      </c>
    </row>
    <row r="95" spans="1:6" x14ac:dyDescent="0.2">
      <c r="B95" s="31" t="s">
        <v>35</v>
      </c>
      <c r="C95" s="31"/>
      <c r="D95" s="60">
        <f>SUM(D67:D94)</f>
        <v>1768015</v>
      </c>
      <c r="E95" s="32">
        <f>SUM(E67:E94)</f>
        <v>6842125</v>
      </c>
      <c r="F95" s="33">
        <f t="shared" si="5"/>
        <v>3.8699473703560208</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IF(F3="1",SUMIF(Data!A:A,'11'!$A$2,Data!AH:AH),0)</f>
        <v>5128626</v>
      </c>
      <c r="F98" s="21">
        <f t="shared" ref="F98:F105" si="6">IFERROR(E98/$D$95,0)</f>
        <v>2.9007819503793804</v>
      </c>
    </row>
    <row r="99" spans="2:6" x14ac:dyDescent="0.2">
      <c r="B99" s="212" t="s">
        <v>31</v>
      </c>
      <c r="C99" s="213"/>
      <c r="D99" s="37"/>
      <c r="E99" s="18">
        <f>IF(F3="1",SUMIF(Data!A:A,'11'!$A$2,Data!AI:AI),0)</f>
        <v>771762</v>
      </c>
      <c r="F99" s="22">
        <f t="shared" si="6"/>
        <v>0.43651326487614639</v>
      </c>
    </row>
    <row r="100" spans="2:6" x14ac:dyDescent="0.2">
      <c r="B100" s="212" t="s">
        <v>32</v>
      </c>
      <c r="C100" s="213"/>
      <c r="D100" s="37"/>
      <c r="E100" s="18">
        <f>IF(F3="1",SUMIF(Data!A:A,'11'!$A$2,Data!AJ:AJ),0)</f>
        <v>900189</v>
      </c>
      <c r="F100" s="22">
        <f t="shared" si="6"/>
        <v>0.50915235447663054</v>
      </c>
    </row>
    <row r="101" spans="2:6" x14ac:dyDescent="0.2">
      <c r="B101" s="212" t="s">
        <v>28</v>
      </c>
      <c r="C101" s="213"/>
      <c r="D101" s="37"/>
      <c r="E101" s="18">
        <f>IF(F3="1",SUMIF(Data!A:A,'11'!$A$2,Data!AK:AK),0)</f>
        <v>0</v>
      </c>
      <c r="F101" s="22">
        <f t="shared" si="6"/>
        <v>0</v>
      </c>
    </row>
    <row r="102" spans="2:6" x14ac:dyDescent="0.2">
      <c r="B102" s="212" t="s">
        <v>33</v>
      </c>
      <c r="C102" s="213"/>
      <c r="D102" s="37"/>
      <c r="E102" s="18">
        <f>IF(F3="1",SUMIF(Data!A:A,'11'!$A$2,Data!AL:AL),0)</f>
        <v>202662</v>
      </c>
      <c r="F102" s="22">
        <f t="shared" si="6"/>
        <v>0.11462685554138398</v>
      </c>
    </row>
    <row r="103" spans="2:6" x14ac:dyDescent="0.2">
      <c r="B103" s="214" t="s">
        <v>34</v>
      </c>
      <c r="C103" s="215"/>
      <c r="D103" s="37"/>
      <c r="E103" s="18">
        <f>IF(F3="1",SUMIF(Data!A:A,'11'!$A$2,Data!AM:AM),0)</f>
        <v>552156</v>
      </c>
      <c r="F103" s="22">
        <f t="shared" si="6"/>
        <v>0.31230278023659302</v>
      </c>
    </row>
    <row r="104" spans="2:6" ht="15.75" customHeight="1" thickBot="1" x14ac:dyDescent="0.25">
      <c r="B104" s="208" t="s">
        <v>29</v>
      </c>
      <c r="C104" s="209"/>
      <c r="D104" s="38"/>
      <c r="E104" s="25">
        <f>IF(F3="1",SUMIF(Data!A:A,'11'!$A$2,Data!Q:Q),0)</f>
        <v>95362</v>
      </c>
      <c r="F104" s="26">
        <f t="shared" si="6"/>
        <v>5.3937325192376762E-2</v>
      </c>
    </row>
    <row r="105" spans="2:6" x14ac:dyDescent="0.2">
      <c r="B105" s="31" t="s">
        <v>35</v>
      </c>
      <c r="C105" s="31"/>
      <c r="D105" s="35">
        <f>D95</f>
        <v>1768015</v>
      </c>
      <c r="E105" s="32">
        <f>SUM(E98:E104)</f>
        <v>7650757</v>
      </c>
      <c r="F105" s="33">
        <f t="shared" si="6"/>
        <v>4.3273145307025107</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7817524</v>
      </c>
      <c r="D109" s="192">
        <f>IF(F3="1",SUMIF(Data!$A:$A,$A$2,Data!HJ:HJ),0)</f>
        <v>139113</v>
      </c>
      <c r="E109" s="192">
        <f>IF(F3="1",SUMIF(Data!$A:$A,$A$2,Data!IN:IN),0)</f>
        <v>517352</v>
      </c>
      <c r="F109" s="48">
        <f>SUM(C109:E109)</f>
        <v>8473989</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0</v>
      </c>
      <c r="D111" s="52"/>
      <c r="E111" s="193">
        <f>IF(F3="1",SUMIF(Data!A:A,$A$2,Data!AX:AX)-SUMIF(Data!A:A,$A$2,Data!AW:AW),0)</f>
        <v>22275</v>
      </c>
      <c r="F111" s="49">
        <f t="shared" si="7"/>
        <v>22275</v>
      </c>
    </row>
    <row r="112" spans="2:6" x14ac:dyDescent="0.2">
      <c r="B112" s="43" t="s">
        <v>32</v>
      </c>
      <c r="C112" s="193">
        <f>IF(F3="1",SUMIF(Data!A:A,$A$2,Data!V:V),0)</f>
        <v>548266</v>
      </c>
      <c r="D112" s="52"/>
      <c r="E112" s="193">
        <f>IF(F3="1",SUMIF(Data!A:A,$A$2,Data!AC:AC),0)</f>
        <v>351923</v>
      </c>
      <c r="F112" s="49">
        <f t="shared" si="7"/>
        <v>900189</v>
      </c>
    </row>
    <row r="113" spans="1:6" x14ac:dyDescent="0.2">
      <c r="B113" s="43" t="s">
        <v>31</v>
      </c>
      <c r="C113" s="193">
        <f>IF(F3="1",SUMIF(Data!A:A,$A$2,Data!U:U),0)</f>
        <v>551594</v>
      </c>
      <c r="D113" s="52"/>
      <c r="E113" s="193">
        <f>IF(F3="1",SUMIF(Data!A:A,$A$2,Data!AB:AB),0)</f>
        <v>220168</v>
      </c>
      <c r="F113" s="49">
        <f t="shared" si="7"/>
        <v>771762</v>
      </c>
    </row>
    <row r="114" spans="1:6" x14ac:dyDescent="0.2">
      <c r="B114" s="43" t="s">
        <v>1002</v>
      </c>
      <c r="C114" s="193">
        <f>IF(F3="1",SUMIF(Data!A:A,$A$2,Data!T:T),0)</f>
        <v>2143466</v>
      </c>
      <c r="D114" s="52"/>
      <c r="E114" s="193">
        <f>IF(F3="1",SUMIF(Data!A:A,$A$2,Data!AA:AA),0)</f>
        <v>2985160</v>
      </c>
      <c r="F114" s="49">
        <f t="shared" si="7"/>
        <v>5128626</v>
      </c>
    </row>
    <row r="115" spans="1:6" x14ac:dyDescent="0.2">
      <c r="B115" s="43" t="s">
        <v>916</v>
      </c>
      <c r="C115" s="193">
        <f>IF(F3="1",SUMIF(Data!A:A,$A$2,Data!BI:BI),0)</f>
        <v>743698</v>
      </c>
      <c r="D115" s="193">
        <f>IF(F3="1",SUMIF(Data!A:A,$A$2,Data!BL:BL),0)</f>
        <v>202627</v>
      </c>
      <c r="E115" s="193">
        <f>IF(F3="1",SUMIF(Data!A:A,$A$2,Data!BU:BU)-SUMIF(Data!A:A,$A$2,Data!BT:BT),0)</f>
        <v>1555165</v>
      </c>
      <c r="F115" s="49">
        <f t="shared" si="7"/>
        <v>2501490</v>
      </c>
    </row>
    <row r="116" spans="1:6" x14ac:dyDescent="0.2">
      <c r="B116" s="43" t="s">
        <v>33</v>
      </c>
      <c r="C116" s="193">
        <f>IF(F3="1",SUMIF(Data!A:A,$A$2,Data!X:X),0)</f>
        <v>0</v>
      </c>
      <c r="D116" s="51"/>
      <c r="E116" s="193">
        <f>E102-C116</f>
        <v>202662</v>
      </c>
      <c r="F116" s="49">
        <f t="shared" si="7"/>
        <v>202662</v>
      </c>
    </row>
    <row r="117" spans="1:6" ht="15" thickBot="1" x14ac:dyDescent="0.25">
      <c r="B117" s="44" t="s">
        <v>920</v>
      </c>
      <c r="C117" s="53"/>
      <c r="D117" s="53">
        <f>IF(F3="1",SUMIF(Data!A:A,$A$2,Data!Q:Q),0)</f>
        <v>95362</v>
      </c>
      <c r="E117" s="53"/>
      <c r="F117" s="50">
        <f>SUM(C117:E117)</f>
        <v>95362</v>
      </c>
    </row>
    <row r="118" spans="1:6" x14ac:dyDescent="0.2">
      <c r="B118" s="14" t="s">
        <v>35</v>
      </c>
      <c r="C118" s="178">
        <f>SUM(C109:C117)</f>
        <v>11804548</v>
      </c>
      <c r="D118" s="194">
        <f>SUM(D109:D117)</f>
        <v>437102</v>
      </c>
      <c r="E118" s="178">
        <f>SUM(E109:E117)</f>
        <v>5854705</v>
      </c>
      <c r="F118" s="178">
        <f>SUM(F109:F117)</f>
        <v>18096355</v>
      </c>
    </row>
    <row r="119" spans="1:6" x14ac:dyDescent="0.2">
      <c r="C119" s="177"/>
      <c r="D119" s="177"/>
      <c r="E119" s="177"/>
    </row>
    <row r="120" spans="1:6" ht="15" thickBot="1" x14ac:dyDescent="0.25">
      <c r="B120" s="188" t="s">
        <v>921</v>
      </c>
      <c r="C120" s="53"/>
      <c r="D120" s="53"/>
      <c r="E120" s="195">
        <f>IF(F3="1",SUMIF(Data!A:A,$A$2,Data!AF:AF)+SUMIF(Data!A:A,$A$2,Data!AW:AW)+SUMIF(Data!A:A,$A$2,Data!BT:BT),0)</f>
        <v>552156</v>
      </c>
      <c r="F120" s="181">
        <f>SUM(C120:E120)</f>
        <v>552156</v>
      </c>
    </row>
    <row r="121" spans="1:6" s="177" customFormat="1" x14ac:dyDescent="0.2">
      <c r="B121" s="14" t="s">
        <v>35</v>
      </c>
      <c r="C121" s="178">
        <f>SUM(C120:C120)</f>
        <v>0</v>
      </c>
      <c r="D121" s="178">
        <f>SUM(D120:D120)</f>
        <v>0</v>
      </c>
      <c r="E121" s="178">
        <f>SUM(E120:E120)</f>
        <v>552156</v>
      </c>
      <c r="F121" s="178">
        <f>SUM(F120:F120)</f>
        <v>552156</v>
      </c>
    </row>
    <row r="122" spans="1:6" s="177" customFormat="1" ht="15" thickBot="1" x14ac:dyDescent="0.25">
      <c r="B122" s="14" t="s">
        <v>1396</v>
      </c>
      <c r="C122" s="178"/>
      <c r="D122" s="178"/>
      <c r="E122" s="178"/>
      <c r="F122" s="190">
        <f>F118+F121</f>
        <v>18648511</v>
      </c>
    </row>
    <row r="123" spans="1:6" ht="15" thickTop="1" x14ac:dyDescent="0.2">
      <c r="C123" s="74" t="s">
        <v>1430</v>
      </c>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417</v>
      </c>
      <c r="B2" s="59" t="str">
        <f>VLOOKUP(A2,Data!A:G,7,0)</f>
        <v>College of the Mainland Community College District</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ht="14.25" customHeight="1" x14ac:dyDescent="0.2">
      <c r="A5" s="20">
        <v>1</v>
      </c>
      <c r="B5" s="202" t="s">
        <v>0</v>
      </c>
      <c r="C5" s="203"/>
      <c r="D5" s="15">
        <f>D36</f>
        <v>4104</v>
      </c>
      <c r="E5" s="16">
        <f>E36+E67+IFERROR($E$105/$D$105*D5,0)</f>
        <v>113785.30022926183</v>
      </c>
      <c r="F5" s="21">
        <f>IFERROR(E5/D5,"")</f>
        <v>27.725463018825984</v>
      </c>
    </row>
    <row r="6" spans="1:6" ht="14.25" customHeight="1" x14ac:dyDescent="0.2">
      <c r="A6" s="20">
        <v>2</v>
      </c>
      <c r="B6" s="202" t="s">
        <v>1</v>
      </c>
      <c r="C6" s="203"/>
      <c r="D6" s="15">
        <f t="shared" ref="D6:D32" si="0">D37</f>
        <v>61964</v>
      </c>
      <c r="E6" s="18">
        <f t="shared" ref="E6:E32" si="1">E37+E68+IFERROR($E$105/$D$105*D6,0)</f>
        <v>1308325.256190541</v>
      </c>
      <c r="F6" s="22">
        <f t="shared" ref="F6:F33" si="2">IFERROR(E6/D6,"")</f>
        <v>21.114280165750127</v>
      </c>
    </row>
    <row r="7" spans="1:6" ht="14.25" customHeight="1" x14ac:dyDescent="0.2">
      <c r="A7" s="20">
        <v>3</v>
      </c>
      <c r="B7" s="202" t="s">
        <v>2</v>
      </c>
      <c r="C7" s="203"/>
      <c r="D7" s="15">
        <f t="shared" si="0"/>
        <v>323092</v>
      </c>
      <c r="E7" s="18">
        <f t="shared" si="1"/>
        <v>3332930.7723373938</v>
      </c>
      <c r="F7" s="22">
        <f t="shared" si="2"/>
        <v>10.31573289446162</v>
      </c>
    </row>
    <row r="8" spans="1:6" ht="14.25" customHeight="1" x14ac:dyDescent="0.2">
      <c r="A8" s="20">
        <v>4</v>
      </c>
      <c r="B8" s="202" t="s">
        <v>3</v>
      </c>
      <c r="C8" s="203"/>
      <c r="D8" s="15">
        <f t="shared" si="0"/>
        <v>90130</v>
      </c>
      <c r="E8" s="18">
        <f t="shared" si="1"/>
        <v>979812.3849082283</v>
      </c>
      <c r="F8" s="22">
        <f t="shared" si="2"/>
        <v>10.871101574483838</v>
      </c>
    </row>
    <row r="9" spans="1:6" ht="14.25" customHeight="1" x14ac:dyDescent="0.2">
      <c r="A9" s="20">
        <v>5</v>
      </c>
      <c r="B9" s="202" t="s">
        <v>4</v>
      </c>
      <c r="C9" s="203"/>
      <c r="D9" s="15">
        <f t="shared" si="0"/>
        <v>0</v>
      </c>
      <c r="E9" s="18">
        <f t="shared" si="1"/>
        <v>0</v>
      </c>
      <c r="F9" s="22" t="str">
        <f t="shared" si="2"/>
        <v/>
      </c>
    </row>
    <row r="10" spans="1:6" ht="14.25" customHeight="1" x14ac:dyDescent="0.2">
      <c r="A10" s="20">
        <v>6</v>
      </c>
      <c r="B10" s="202" t="s">
        <v>5</v>
      </c>
      <c r="C10" s="203"/>
      <c r="D10" s="15">
        <f t="shared" si="0"/>
        <v>1152</v>
      </c>
      <c r="E10" s="18">
        <f t="shared" si="1"/>
        <v>15897.908836284023</v>
      </c>
      <c r="F10" s="22">
        <f t="shared" si="2"/>
        <v>13.800268087052103</v>
      </c>
    </row>
    <row r="11" spans="1:6" ht="14.25" customHeight="1" x14ac:dyDescent="0.2">
      <c r="A11" s="20">
        <v>7</v>
      </c>
      <c r="B11" s="202" t="s">
        <v>6</v>
      </c>
      <c r="C11" s="203"/>
      <c r="D11" s="15">
        <f t="shared" si="0"/>
        <v>53008</v>
      </c>
      <c r="E11" s="18">
        <f t="shared" si="1"/>
        <v>1017110.4996473468</v>
      </c>
      <c r="F11" s="22">
        <f t="shared" si="2"/>
        <v>19.187867862348075</v>
      </c>
    </row>
    <row r="12" spans="1:6" ht="14.25" customHeight="1" x14ac:dyDescent="0.2">
      <c r="A12" s="20">
        <v>8</v>
      </c>
      <c r="B12" s="202" t="s">
        <v>7</v>
      </c>
      <c r="C12" s="203"/>
      <c r="D12" s="15">
        <f t="shared" si="0"/>
        <v>2400</v>
      </c>
      <c r="E12" s="18">
        <f t="shared" si="1"/>
        <v>20986.976742258379</v>
      </c>
      <c r="F12" s="22">
        <f t="shared" si="2"/>
        <v>8.7445736426076586</v>
      </c>
    </row>
    <row r="13" spans="1:6" ht="14.25" customHeight="1" x14ac:dyDescent="0.2">
      <c r="A13" s="20">
        <v>9</v>
      </c>
      <c r="B13" s="202" t="s">
        <v>8</v>
      </c>
      <c r="C13" s="203"/>
      <c r="D13" s="15">
        <f t="shared" si="0"/>
        <v>105873</v>
      </c>
      <c r="E13" s="18">
        <f t="shared" si="1"/>
        <v>1741274.6165138008</v>
      </c>
      <c r="F13" s="22">
        <f t="shared" si="2"/>
        <v>16.44682418098855</v>
      </c>
    </row>
    <row r="14" spans="1:6" ht="14.25" customHeight="1" x14ac:dyDescent="0.2">
      <c r="A14" s="20">
        <v>10</v>
      </c>
      <c r="B14" s="202" t="s">
        <v>9</v>
      </c>
      <c r="C14" s="203"/>
      <c r="D14" s="15">
        <f t="shared" si="0"/>
        <v>0</v>
      </c>
      <c r="E14" s="18">
        <f t="shared" si="1"/>
        <v>0</v>
      </c>
      <c r="F14" s="22" t="str">
        <f t="shared" si="2"/>
        <v/>
      </c>
    </row>
    <row r="15" spans="1:6" ht="14.25" customHeight="1" x14ac:dyDescent="0.2">
      <c r="A15" s="20">
        <v>11</v>
      </c>
      <c r="B15" s="202" t="s">
        <v>10</v>
      </c>
      <c r="C15" s="203"/>
      <c r="D15" s="15">
        <f t="shared" si="0"/>
        <v>51483</v>
      </c>
      <c r="E15" s="18">
        <f t="shared" si="1"/>
        <v>379737.36859237007</v>
      </c>
      <c r="F15" s="22">
        <f t="shared" si="2"/>
        <v>7.3759759258856334</v>
      </c>
    </row>
    <row r="16" spans="1:6" ht="14.25" customHeight="1" x14ac:dyDescent="0.2">
      <c r="A16" s="20">
        <v>12</v>
      </c>
      <c r="B16" s="202" t="s">
        <v>11</v>
      </c>
      <c r="C16" s="203"/>
      <c r="D16" s="15">
        <f t="shared" si="0"/>
        <v>180528</v>
      </c>
      <c r="E16" s="18">
        <f t="shared" si="1"/>
        <v>2724170.1305526756</v>
      </c>
      <c r="F16" s="22">
        <f t="shared" si="2"/>
        <v>15.090014460652506</v>
      </c>
    </row>
    <row r="17" spans="1:6" ht="14.25" customHeight="1" x14ac:dyDescent="0.2">
      <c r="A17" s="20">
        <v>13</v>
      </c>
      <c r="B17" s="202" t="s">
        <v>12</v>
      </c>
      <c r="C17" s="203"/>
      <c r="D17" s="15">
        <f t="shared" si="0"/>
        <v>13285</v>
      </c>
      <c r="E17" s="18">
        <f t="shared" si="1"/>
        <v>172856.61709204275</v>
      </c>
      <c r="F17" s="22">
        <f t="shared" si="2"/>
        <v>13.011412652769495</v>
      </c>
    </row>
    <row r="18" spans="1:6" ht="14.25" customHeight="1" x14ac:dyDescent="0.2">
      <c r="A18" s="20">
        <v>14</v>
      </c>
      <c r="B18" s="202" t="s">
        <v>449</v>
      </c>
      <c r="C18" s="203"/>
      <c r="D18" s="15">
        <f t="shared" si="0"/>
        <v>113488</v>
      </c>
      <c r="E18" s="18">
        <f t="shared" si="1"/>
        <v>1935073.713552258</v>
      </c>
      <c r="F18" s="22">
        <f t="shared" si="2"/>
        <v>17.050910347809971</v>
      </c>
    </row>
    <row r="19" spans="1:6" ht="14.25" customHeight="1" x14ac:dyDescent="0.2">
      <c r="A19" s="20">
        <v>15</v>
      </c>
      <c r="B19" s="202" t="s">
        <v>13</v>
      </c>
      <c r="C19" s="203"/>
      <c r="D19" s="15">
        <f t="shared" si="0"/>
        <v>0</v>
      </c>
      <c r="E19" s="18">
        <f t="shared" si="1"/>
        <v>0</v>
      </c>
      <c r="F19" s="22" t="str">
        <f t="shared" si="2"/>
        <v/>
      </c>
    </row>
    <row r="20" spans="1:6" ht="14.25" customHeight="1" x14ac:dyDescent="0.2">
      <c r="A20" s="20">
        <v>16</v>
      </c>
      <c r="B20" s="202" t="s">
        <v>14</v>
      </c>
      <c r="C20" s="203"/>
      <c r="D20" s="15">
        <f t="shared" si="0"/>
        <v>110348</v>
      </c>
      <c r="E20" s="18">
        <f t="shared" si="1"/>
        <v>1616655.4273144701</v>
      </c>
      <c r="F20" s="22">
        <f t="shared" si="2"/>
        <v>14.650518607627415</v>
      </c>
    </row>
    <row r="21" spans="1:6" ht="14.25" customHeight="1" x14ac:dyDescent="0.2">
      <c r="A21" s="20">
        <v>17</v>
      </c>
      <c r="B21" s="202" t="s">
        <v>15</v>
      </c>
      <c r="C21" s="203"/>
      <c r="D21" s="15">
        <f t="shared" si="0"/>
        <v>0</v>
      </c>
      <c r="E21" s="18">
        <f t="shared" si="1"/>
        <v>0</v>
      </c>
      <c r="F21" s="22" t="str">
        <f t="shared" si="2"/>
        <v/>
      </c>
    </row>
    <row r="22" spans="1:6" ht="14.25" customHeight="1" x14ac:dyDescent="0.2">
      <c r="A22" s="20">
        <v>18</v>
      </c>
      <c r="B22" s="202" t="s">
        <v>16</v>
      </c>
      <c r="C22" s="203"/>
      <c r="D22" s="15">
        <f t="shared" si="0"/>
        <v>35728</v>
      </c>
      <c r="E22" s="18">
        <f t="shared" si="1"/>
        <v>656697.86710308644</v>
      </c>
      <c r="F22" s="22">
        <f t="shared" si="2"/>
        <v>18.380482173731707</v>
      </c>
    </row>
    <row r="23" spans="1:6" ht="14.25" customHeight="1" x14ac:dyDescent="0.2">
      <c r="A23" s="20">
        <v>19</v>
      </c>
      <c r="B23" s="202" t="s">
        <v>17</v>
      </c>
      <c r="C23" s="203"/>
      <c r="D23" s="15">
        <f t="shared" si="0"/>
        <v>76104</v>
      </c>
      <c r="E23" s="18">
        <f t="shared" si="1"/>
        <v>1068287.6024970133</v>
      </c>
      <c r="F23" s="22">
        <f t="shared" si="2"/>
        <v>14.03720701273275</v>
      </c>
    </row>
    <row r="24" spans="1:6" ht="14.25" customHeight="1" x14ac:dyDescent="0.2">
      <c r="A24" s="20">
        <v>20</v>
      </c>
      <c r="B24" s="202" t="s">
        <v>18</v>
      </c>
      <c r="C24" s="203"/>
      <c r="D24" s="15">
        <f t="shared" si="0"/>
        <v>0</v>
      </c>
      <c r="E24" s="18">
        <f t="shared" si="1"/>
        <v>0</v>
      </c>
      <c r="F24" s="22" t="str">
        <f t="shared" si="2"/>
        <v/>
      </c>
    </row>
    <row r="25" spans="1:6" ht="14.25" customHeight="1" x14ac:dyDescent="0.2">
      <c r="A25" s="20">
        <v>21</v>
      </c>
      <c r="B25" s="202" t="s">
        <v>446</v>
      </c>
      <c r="C25" s="203"/>
      <c r="D25" s="15">
        <f t="shared" si="0"/>
        <v>0</v>
      </c>
      <c r="E25" s="18">
        <f t="shared" si="1"/>
        <v>0</v>
      </c>
      <c r="F25" s="22" t="str">
        <f t="shared" si="2"/>
        <v/>
      </c>
    </row>
    <row r="26" spans="1:6" ht="14.25" customHeight="1" x14ac:dyDescent="0.2">
      <c r="A26" s="20">
        <v>22</v>
      </c>
      <c r="B26" s="202" t="s">
        <v>19</v>
      </c>
      <c r="C26" s="203"/>
      <c r="D26" s="15">
        <f t="shared" si="0"/>
        <v>11496</v>
      </c>
      <c r="E26" s="18">
        <f t="shared" si="1"/>
        <v>124703.54859541764</v>
      </c>
      <c r="F26" s="22">
        <f t="shared" si="2"/>
        <v>10.847559898696733</v>
      </c>
    </row>
    <row r="27" spans="1:6" ht="14.25" customHeight="1" x14ac:dyDescent="0.2">
      <c r="A27" s="20">
        <v>23</v>
      </c>
      <c r="B27" s="202" t="s">
        <v>20</v>
      </c>
      <c r="C27" s="203"/>
      <c r="D27" s="15">
        <f t="shared" si="0"/>
        <v>42336</v>
      </c>
      <c r="E27" s="18">
        <f t="shared" si="1"/>
        <v>525361.14973343781</v>
      </c>
      <c r="F27" s="22">
        <f t="shared" si="2"/>
        <v>12.409324209501081</v>
      </c>
    </row>
    <row r="28" spans="1:6" ht="14.25" customHeight="1" x14ac:dyDescent="0.2">
      <c r="A28" s="20">
        <v>24</v>
      </c>
      <c r="B28" s="202" t="s">
        <v>21</v>
      </c>
      <c r="C28" s="203"/>
      <c r="D28" s="15">
        <f t="shared" si="0"/>
        <v>72288</v>
      </c>
      <c r="E28" s="18">
        <f t="shared" si="1"/>
        <v>1197843.7794768224</v>
      </c>
      <c r="F28" s="22">
        <f t="shared" si="2"/>
        <v>16.570437409761265</v>
      </c>
    </row>
    <row r="29" spans="1:6" ht="14.25" customHeight="1" x14ac:dyDescent="0.2">
      <c r="A29" s="20">
        <v>25</v>
      </c>
      <c r="B29" s="202" t="s">
        <v>22</v>
      </c>
      <c r="C29" s="203"/>
      <c r="D29" s="15">
        <f t="shared" si="0"/>
        <v>322896</v>
      </c>
      <c r="E29" s="18">
        <f t="shared" si="1"/>
        <v>3686432.0309034428</v>
      </c>
      <c r="F29" s="22">
        <f t="shared" si="2"/>
        <v>11.416778253380167</v>
      </c>
    </row>
    <row r="30" spans="1:6" ht="14.25" customHeight="1" x14ac:dyDescent="0.2">
      <c r="A30" s="20">
        <v>26</v>
      </c>
      <c r="B30" s="202" t="s">
        <v>23</v>
      </c>
      <c r="C30" s="203"/>
      <c r="D30" s="15">
        <f t="shared" si="0"/>
        <v>88432</v>
      </c>
      <c r="E30" s="18">
        <f t="shared" si="1"/>
        <v>1417742.1963630805</v>
      </c>
      <c r="F30" s="22">
        <f t="shared" si="2"/>
        <v>16.032004210727798</v>
      </c>
    </row>
    <row r="31" spans="1:6" ht="14.25" customHeight="1" x14ac:dyDescent="0.2">
      <c r="A31" s="20">
        <v>28</v>
      </c>
      <c r="B31" s="202" t="s">
        <v>24</v>
      </c>
      <c r="C31" s="203"/>
      <c r="D31" s="15">
        <f t="shared" si="0"/>
        <v>189576</v>
      </c>
      <c r="E31" s="18">
        <f t="shared" si="1"/>
        <v>2042117.6228709896</v>
      </c>
      <c r="F31" s="22">
        <f t="shared" si="2"/>
        <v>10.772026115494523</v>
      </c>
    </row>
    <row r="32" spans="1:6" ht="15.75" customHeight="1" thickBot="1" x14ac:dyDescent="0.25">
      <c r="A32" s="23">
        <v>29</v>
      </c>
      <c r="B32" s="206" t="s">
        <v>25</v>
      </c>
      <c r="C32" s="207"/>
      <c r="D32" s="24">
        <f t="shared" si="0"/>
        <v>65016</v>
      </c>
      <c r="E32" s="25">
        <f t="shared" si="1"/>
        <v>963282.22994777956</v>
      </c>
      <c r="F32" s="26">
        <f t="shared" si="2"/>
        <v>14.816079579607782</v>
      </c>
    </row>
    <row r="33" spans="1:6" x14ac:dyDescent="0.2">
      <c r="B33" s="31" t="s">
        <v>35</v>
      </c>
      <c r="C33" s="31"/>
      <c r="D33" s="60">
        <f>SUM(D5:D32)</f>
        <v>2014727</v>
      </c>
      <c r="E33" s="32">
        <f>SUM(E5:E32)</f>
        <v>27041085.000000004</v>
      </c>
      <c r="F33" s="33">
        <f t="shared" si="2"/>
        <v>13.421711725707754</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IF(F3="1",SUMIF(Data!A:A,'12'!$A$2,Data!CU:CU),0)</f>
        <v>4104</v>
      </c>
      <c r="E36" s="16">
        <f>IF(F3="1",SUMIF(Data!$A:$A,'12'!$A$2,Data!IO:IO),0)</f>
        <v>24571</v>
      </c>
      <c r="F36" s="21">
        <f t="shared" ref="F36:F64" si="3">IFERROR(E36/D36,"")</f>
        <v>5.9870857699805065</v>
      </c>
    </row>
    <row r="37" spans="1:6" x14ac:dyDescent="0.2">
      <c r="A37" s="20">
        <v>2</v>
      </c>
      <c r="B37" s="202" t="s">
        <v>1</v>
      </c>
      <c r="C37" s="203"/>
      <c r="D37" s="15">
        <f>IF(F3="1",SUMIF(Data!A:A,'12'!$A$2,Data!CV:CV),0)</f>
        <v>61964</v>
      </c>
      <c r="E37" s="18">
        <f>IF(F3="1",SUMIF(Data!$A:$A,'12'!$A$2,Data!IP:IP),0)</f>
        <v>412586</v>
      </c>
      <c r="F37" s="22">
        <f t="shared" si="3"/>
        <v>6.6584791169065909</v>
      </c>
    </row>
    <row r="38" spans="1:6" ht="14.25" customHeight="1" x14ac:dyDescent="0.2">
      <c r="A38" s="20">
        <v>3</v>
      </c>
      <c r="B38" s="202" t="s">
        <v>2</v>
      </c>
      <c r="C38" s="203"/>
      <c r="D38" s="15">
        <f>IF(F3="1",SUMIF(Data!A:A,'12'!$A$2,Data!CW:CW),0)</f>
        <v>323092</v>
      </c>
      <c r="E38" s="18">
        <f>IF(F3="1",SUMIF(Data!$A:$A,'12'!$A$2,Data!IQ:IQ),0)</f>
        <v>355684</v>
      </c>
      <c r="F38" s="22">
        <f t="shared" si="3"/>
        <v>1.1008752924863507</v>
      </c>
    </row>
    <row r="39" spans="1:6" ht="14.25" customHeight="1" x14ac:dyDescent="0.2">
      <c r="A39" s="20">
        <v>4</v>
      </c>
      <c r="B39" s="202" t="s">
        <v>3</v>
      </c>
      <c r="C39" s="203"/>
      <c r="D39" s="15">
        <f>IF(F3="1",SUMIF(Data!A:A,'12'!$A$2,Data!CX:CX),0)</f>
        <v>90130</v>
      </c>
      <c r="E39" s="18">
        <f>IF(F3="1",SUMIF(Data!$A:$A,'12'!$A$2,Data!IR:IR),0)</f>
        <v>77120</v>
      </c>
      <c r="F39" s="22">
        <f t="shared" si="3"/>
        <v>0.85565294574503492</v>
      </c>
    </row>
    <row r="40" spans="1:6" x14ac:dyDescent="0.2">
      <c r="A40" s="20">
        <v>5</v>
      </c>
      <c r="B40" s="202" t="s">
        <v>4</v>
      </c>
      <c r="C40" s="203"/>
      <c r="D40" s="15">
        <f>IF(F3="1",SUMIF(Data!A:A,'12'!$A$2,Data!CY:CY),0)</f>
        <v>0</v>
      </c>
      <c r="E40" s="18">
        <f>IF(F3="1",SUMIF(Data!$A:$A,'12'!$A$2,Data!IS:IS),0)</f>
        <v>0</v>
      </c>
      <c r="F40" s="22" t="str">
        <f t="shared" si="3"/>
        <v/>
      </c>
    </row>
    <row r="41" spans="1:6" x14ac:dyDescent="0.2">
      <c r="A41" s="20">
        <v>6</v>
      </c>
      <c r="B41" s="202" t="s">
        <v>5</v>
      </c>
      <c r="C41" s="203"/>
      <c r="D41" s="15">
        <f>IF(F3="1",SUMIF(Data!A:A,'12'!$A$2,Data!CZ:CZ),0)</f>
        <v>1152</v>
      </c>
      <c r="E41" s="18">
        <f>IF(F3="1",SUMIF(Data!$A:$A,'12'!$A$2,Data!IT:IT),0)</f>
        <v>1415</v>
      </c>
      <c r="F41" s="22">
        <f t="shared" si="3"/>
        <v>1.2282986111111112</v>
      </c>
    </row>
    <row r="42" spans="1:6" x14ac:dyDescent="0.2">
      <c r="A42" s="20">
        <v>7</v>
      </c>
      <c r="B42" s="202" t="s">
        <v>6</v>
      </c>
      <c r="C42" s="203"/>
      <c r="D42" s="15">
        <f>IF(F3="1",SUMIF(Data!A:A,'12'!$A$2,Data!DA:DA),0)</f>
        <v>53008</v>
      </c>
      <c r="E42" s="18">
        <f>IF(F3="1",SUMIF(Data!$A:$A,'12'!$A$2,Data!IU:IU),0)</f>
        <v>399289</v>
      </c>
      <c r="F42" s="22">
        <f t="shared" si="3"/>
        <v>7.5326177180802896</v>
      </c>
    </row>
    <row r="43" spans="1:6" x14ac:dyDescent="0.2">
      <c r="A43" s="20">
        <v>8</v>
      </c>
      <c r="B43" s="202" t="s">
        <v>7</v>
      </c>
      <c r="C43" s="203"/>
      <c r="D43" s="15">
        <f>IF(F3="1",SUMIF(Data!A:A,'12'!$A$2,Data!DB:DB),0)</f>
        <v>2400</v>
      </c>
      <c r="E43" s="18">
        <f>IF(F3="1",SUMIF(Data!$A:$A,'12'!$A$2,Data!IV:IV),0)</f>
        <v>2397</v>
      </c>
      <c r="F43" s="22">
        <f t="shared" si="3"/>
        <v>0.99875000000000003</v>
      </c>
    </row>
    <row r="44" spans="1:6" x14ac:dyDescent="0.2">
      <c r="A44" s="20">
        <v>9</v>
      </c>
      <c r="B44" s="202" t="s">
        <v>8</v>
      </c>
      <c r="C44" s="203"/>
      <c r="D44" s="15">
        <f>IF(F3="1",SUMIF(Data!A:A,'12'!$A$2,Data!DC:DC),0)</f>
        <v>105873</v>
      </c>
      <c r="E44" s="18">
        <f>IF(F3="1",SUMIF(Data!$A:$A,'12'!$A$2,Data!IW:IW),0)</f>
        <v>554361</v>
      </c>
      <c r="F44" s="22">
        <f t="shared" si="3"/>
        <v>5.2360941883199681</v>
      </c>
    </row>
    <row r="45" spans="1:6" x14ac:dyDescent="0.2">
      <c r="A45" s="20">
        <v>10</v>
      </c>
      <c r="B45" s="202" t="s">
        <v>9</v>
      </c>
      <c r="C45" s="203"/>
      <c r="D45" s="15">
        <f>IF(F3="1",SUMIF(Data!A:A,'12'!$A$2,Data!DD:DD),0)</f>
        <v>0</v>
      </c>
      <c r="E45" s="18">
        <f>IF(F3="1",SUMIF(Data!$A:$A,'12'!$A$2,Data!IX:IX),0)</f>
        <v>0</v>
      </c>
      <c r="F45" s="22" t="str">
        <f t="shared" si="3"/>
        <v/>
      </c>
    </row>
    <row r="46" spans="1:6" x14ac:dyDescent="0.2">
      <c r="A46" s="20">
        <v>11</v>
      </c>
      <c r="B46" s="202" t="s">
        <v>10</v>
      </c>
      <c r="C46" s="203"/>
      <c r="D46" s="15">
        <f>IF(F3="1",SUMIF(Data!A:A,'12'!$A$2,Data!DE:DE),0)</f>
        <v>51483</v>
      </c>
      <c r="E46" s="18">
        <f>IF(F3="1",SUMIF(Data!$A:$A,'12'!$A$2,Data!IY:IY),0)</f>
        <v>6995</v>
      </c>
      <c r="F46" s="22">
        <f t="shared" si="3"/>
        <v>0.13587009304042111</v>
      </c>
    </row>
    <row r="47" spans="1:6" ht="14.25" customHeight="1" x14ac:dyDescent="0.2">
      <c r="A47" s="20">
        <v>12</v>
      </c>
      <c r="B47" s="202" t="s">
        <v>11</v>
      </c>
      <c r="C47" s="203"/>
      <c r="D47" s="15">
        <f>IF(F3="1",SUMIF(Data!A:A,'12'!$A$2,Data!DF:DF),0)</f>
        <v>180528</v>
      </c>
      <c r="E47" s="18">
        <f>IF(F3="1",SUMIF(Data!$A:$A,'12'!$A$2,Data!IZ:IZ),0)</f>
        <v>565520</v>
      </c>
      <c r="F47" s="22">
        <f t="shared" si="3"/>
        <v>3.1325888504830277</v>
      </c>
    </row>
    <row r="48" spans="1:6" x14ac:dyDescent="0.2">
      <c r="A48" s="20">
        <v>13</v>
      </c>
      <c r="B48" s="202" t="s">
        <v>12</v>
      </c>
      <c r="C48" s="203"/>
      <c r="D48" s="15">
        <f>IF(F3="1",SUMIF(Data!A:A,'12'!$A$2,Data!DG:DG),0)</f>
        <v>13285</v>
      </c>
      <c r="E48" s="18">
        <f>IF(F3="1",SUMIF(Data!$A:$A,'12'!$A$2,Data!JA:JA),0)</f>
        <v>14926</v>
      </c>
      <c r="F48" s="22">
        <f t="shared" si="3"/>
        <v>1.1235227700414001</v>
      </c>
    </row>
    <row r="49" spans="1:6" ht="14.25" customHeight="1" x14ac:dyDescent="0.2">
      <c r="A49" s="20">
        <v>14</v>
      </c>
      <c r="B49" s="202" t="s">
        <v>449</v>
      </c>
      <c r="C49" s="203"/>
      <c r="D49" s="15">
        <f>IF(F3="1",SUMIF(Data!A:A,'12'!$A$2,Data!DH:DH),0)</f>
        <v>113488</v>
      </c>
      <c r="E49" s="18">
        <f>IF(F3="1",SUMIF(Data!$A:$A,'12'!$A$2,Data!JB:JB),0)</f>
        <v>460934</v>
      </c>
      <c r="F49" s="22">
        <f t="shared" si="3"/>
        <v>4.0615219230226982</v>
      </c>
    </row>
    <row r="50" spans="1:6" x14ac:dyDescent="0.2">
      <c r="A50" s="20">
        <v>15</v>
      </c>
      <c r="B50" s="202" t="s">
        <v>13</v>
      </c>
      <c r="C50" s="203"/>
      <c r="D50" s="15">
        <f>IF(F3="1",SUMIF(Data!A:A,'12'!$A$2,Data!DI:DI),0)</f>
        <v>0</v>
      </c>
      <c r="E50" s="18">
        <f>IF(F3="1",SUMIF(Data!$A:$A,'12'!$A$2,Data!JC:JC),0)</f>
        <v>0</v>
      </c>
      <c r="F50" s="22" t="str">
        <f t="shared" si="3"/>
        <v/>
      </c>
    </row>
    <row r="51" spans="1:6" x14ac:dyDescent="0.2">
      <c r="A51" s="20">
        <v>16</v>
      </c>
      <c r="B51" s="202" t="s">
        <v>14</v>
      </c>
      <c r="C51" s="203"/>
      <c r="D51" s="15">
        <f>IF(F3="1",SUMIF(Data!A:A,'12'!$A$2,Data!DJ:DJ),0)</f>
        <v>110348</v>
      </c>
      <c r="E51" s="18">
        <f>IF(F3="1",SUMIF(Data!$A:$A,'12'!$A$2,Data!JD:JD),0)</f>
        <v>248784</v>
      </c>
      <c r="F51" s="22">
        <f t="shared" si="3"/>
        <v>2.2545401819697686</v>
      </c>
    </row>
    <row r="52" spans="1:6" x14ac:dyDescent="0.2">
      <c r="A52" s="20">
        <v>17</v>
      </c>
      <c r="B52" s="202" t="s">
        <v>15</v>
      </c>
      <c r="C52" s="203"/>
      <c r="D52" s="15">
        <f>IF(F3="1",SUMIF(Data!A:A,'12'!$A$2,Data!DK:DK),0)</f>
        <v>0</v>
      </c>
      <c r="E52" s="18">
        <f>IF(F3="1",SUMIF(Data!$A:$A,'12'!$A$2,Data!JE:JE),0)</f>
        <v>0</v>
      </c>
      <c r="F52" s="22" t="str">
        <f t="shared" si="3"/>
        <v/>
      </c>
    </row>
    <row r="53" spans="1:6" x14ac:dyDescent="0.2">
      <c r="A53" s="20">
        <v>18</v>
      </c>
      <c r="B53" s="202" t="s">
        <v>16</v>
      </c>
      <c r="C53" s="203"/>
      <c r="D53" s="15">
        <f>IF(F3="1",SUMIF(Data!A:A,'12'!$A$2,Data!DL:DL),0)</f>
        <v>35728</v>
      </c>
      <c r="E53" s="18">
        <f>IF(F3="1",SUMIF(Data!$A:$A,'12'!$A$2,Data!JF:JF),0)</f>
        <v>152075</v>
      </c>
      <c r="F53" s="22">
        <f t="shared" si="3"/>
        <v>4.256465517241379</v>
      </c>
    </row>
    <row r="54" spans="1:6" x14ac:dyDescent="0.2">
      <c r="A54" s="20">
        <v>19</v>
      </c>
      <c r="B54" s="202" t="s">
        <v>17</v>
      </c>
      <c r="C54" s="203"/>
      <c r="D54" s="15">
        <f>IF(F3="1",SUMIF(Data!A:A,'12'!$A$2,Data!DM:DM),0)</f>
        <v>76104</v>
      </c>
      <c r="E54" s="18">
        <f>IF(F3="1",SUMIF(Data!$A:$A,'12'!$A$2,Data!JG:JG),0)</f>
        <v>109968</v>
      </c>
      <c r="F54" s="22">
        <f t="shared" si="3"/>
        <v>1.4449700409965311</v>
      </c>
    </row>
    <row r="55" spans="1:6" x14ac:dyDescent="0.2">
      <c r="A55" s="20">
        <v>20</v>
      </c>
      <c r="B55" s="202" t="s">
        <v>18</v>
      </c>
      <c r="C55" s="203"/>
      <c r="D55" s="15">
        <f>IF(F3="1",SUMIF(Data!A:A,'12'!$A$2,Data!DN:DN),0)</f>
        <v>0</v>
      </c>
      <c r="E55" s="18">
        <f>IF(F3="1",SUMIF(Data!$A:$A,'12'!$A$2,Data!JH:JH),0)</f>
        <v>0</v>
      </c>
      <c r="F55" s="22" t="str">
        <f t="shared" si="3"/>
        <v/>
      </c>
    </row>
    <row r="56" spans="1:6" ht="14.25" customHeight="1" x14ac:dyDescent="0.2">
      <c r="A56" s="20">
        <v>21</v>
      </c>
      <c r="B56" s="202" t="s">
        <v>446</v>
      </c>
      <c r="C56" s="203"/>
      <c r="D56" s="15">
        <f>IF(F3="1",SUMIF(Data!A:A,'12'!$A$2,Data!DO:DO),0)</f>
        <v>0</v>
      </c>
      <c r="E56" s="18">
        <f>IF(F3="1",SUMIF(Data!$A:$A,'12'!$A$2,Data!JI:JI),0)</f>
        <v>0</v>
      </c>
      <c r="F56" s="22" t="str">
        <f t="shared" si="3"/>
        <v/>
      </c>
    </row>
    <row r="57" spans="1:6" x14ac:dyDescent="0.2">
      <c r="A57" s="20">
        <v>22</v>
      </c>
      <c r="B57" s="202" t="s">
        <v>19</v>
      </c>
      <c r="C57" s="203"/>
      <c r="D57" s="15">
        <f>IF(F3="1",SUMIF(Data!A:A,'12'!$A$2,Data!DP:DP),0)</f>
        <v>11496</v>
      </c>
      <c r="E57" s="18">
        <f>IF(F3="1",SUMIF(Data!$A:$A,'12'!$A$2,Data!JJ:JJ),0)</f>
        <v>35356</v>
      </c>
      <c r="F57" s="22">
        <f t="shared" si="3"/>
        <v>3.0755045233124565</v>
      </c>
    </row>
    <row r="58" spans="1:6" x14ac:dyDescent="0.2">
      <c r="A58" s="20">
        <v>23</v>
      </c>
      <c r="B58" s="202" t="s">
        <v>20</v>
      </c>
      <c r="C58" s="203"/>
      <c r="D58" s="15">
        <f>IF(F3="1",SUMIF(Data!A:A,'12'!$A$2,Data!DQ:DQ),0)</f>
        <v>42336</v>
      </c>
      <c r="E58" s="18">
        <f>IF(F3="1",SUMIF(Data!$A:$A,'12'!$A$2,Data!JK:JK),0)</f>
        <v>69145</v>
      </c>
      <c r="F58" s="22">
        <f t="shared" si="3"/>
        <v>1.6332435752078609</v>
      </c>
    </row>
    <row r="59" spans="1:6" x14ac:dyDescent="0.2">
      <c r="A59" s="20">
        <v>24</v>
      </c>
      <c r="B59" s="202" t="s">
        <v>21</v>
      </c>
      <c r="C59" s="203"/>
      <c r="D59" s="15">
        <f>IF(F3="1",SUMIF(Data!A:A,'12'!$A$2,Data!DR:DR),0)</f>
        <v>72288</v>
      </c>
      <c r="E59" s="18">
        <f>IF(F3="1",SUMIF(Data!$A:$A,'12'!$A$2,Data!JL:JL),0)</f>
        <v>324432</v>
      </c>
      <c r="F59" s="22">
        <f t="shared" si="3"/>
        <v>4.4880478087649402</v>
      </c>
    </row>
    <row r="60" spans="1:6" x14ac:dyDescent="0.2">
      <c r="A60" s="20">
        <v>25</v>
      </c>
      <c r="B60" s="202" t="s">
        <v>22</v>
      </c>
      <c r="C60" s="203"/>
      <c r="D60" s="15">
        <f>IF(F3="1",SUMIF(Data!A:A,'12'!$A$2,Data!DS:DS),0)</f>
        <v>322896</v>
      </c>
      <c r="E60" s="18">
        <f>IF(F3="1",SUMIF(Data!$A:$A,'12'!$A$2,Data!JM:JM),0)</f>
        <v>367452</v>
      </c>
      <c r="F60" s="22">
        <f t="shared" si="3"/>
        <v>1.1379887022446855</v>
      </c>
    </row>
    <row r="61" spans="1:6" x14ac:dyDescent="0.2">
      <c r="A61" s="20">
        <v>26</v>
      </c>
      <c r="B61" s="202" t="s">
        <v>23</v>
      </c>
      <c r="C61" s="203"/>
      <c r="D61" s="15">
        <f>IF(F3="1",SUMIF(Data!A:A,'12'!$A$2,Data!DT:DT),0)</f>
        <v>88432</v>
      </c>
      <c r="E61" s="18">
        <f>IF(F3="1",SUMIF(Data!$A:$A,'12'!$A$2,Data!JN:JN),0)</f>
        <v>210842</v>
      </c>
      <c r="F61" s="22">
        <f t="shared" si="3"/>
        <v>2.3842274289849827</v>
      </c>
    </row>
    <row r="62" spans="1:6" x14ac:dyDescent="0.2">
      <c r="A62" s="20">
        <v>28</v>
      </c>
      <c r="B62" s="202" t="s">
        <v>24</v>
      </c>
      <c r="C62" s="203"/>
      <c r="D62" s="15">
        <f>IF(F3="1",SUMIF(Data!A:A,'12'!$A$2,Data!DV:DV),0)</f>
        <v>189576</v>
      </c>
      <c r="E62" s="18">
        <f>IF(F3="1",SUMIF(Data!$A:$A,'12'!$A$2,Data!JP:JP),0)</f>
        <v>233940</v>
      </c>
      <c r="F62" s="22">
        <f t="shared" si="3"/>
        <v>1.2340169641726801</v>
      </c>
    </row>
    <row r="63" spans="1:6" ht="15.75" customHeight="1" thickBot="1" x14ac:dyDescent="0.25">
      <c r="A63" s="23">
        <v>29</v>
      </c>
      <c r="B63" s="206" t="s">
        <v>25</v>
      </c>
      <c r="C63" s="207"/>
      <c r="D63" s="24">
        <f>IF(F3="1",SUMIF(Data!A:A,'12'!$A$2,Data!DW:DW),0)</f>
        <v>65016</v>
      </c>
      <c r="E63" s="25">
        <f>IF(F3="1",SUMIF(Data!$A:$A,'12'!$A$2,Data!JQ:JQ),0)</f>
        <v>281926</v>
      </c>
      <c r="F63" s="26">
        <f t="shared" si="3"/>
        <v>4.3362556909068539</v>
      </c>
    </row>
    <row r="64" spans="1:6" x14ac:dyDescent="0.2">
      <c r="B64" s="31" t="s">
        <v>35</v>
      </c>
      <c r="C64" s="31"/>
      <c r="D64" s="60">
        <f>SUM(D36:D63)</f>
        <v>2014727</v>
      </c>
      <c r="E64" s="32">
        <f>SUM(E36:E63)</f>
        <v>4909718</v>
      </c>
      <c r="F64" s="33">
        <f t="shared" si="3"/>
        <v>2.4369147780319618</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4104</v>
      </c>
      <c r="E67" s="16">
        <f>IF(F3="1",SUMIF(Data!A:A,'12'!$A$2,Data!DY:DY),0)</f>
        <v>61078</v>
      </c>
      <c r="F67" s="21">
        <f>IFERROR(E67/D67,"")</f>
        <v>14.882553606237817</v>
      </c>
    </row>
    <row r="68" spans="1:6" x14ac:dyDescent="0.2">
      <c r="A68" s="20">
        <v>2</v>
      </c>
      <c r="B68" s="202" t="s">
        <v>1</v>
      </c>
      <c r="C68" s="203"/>
      <c r="D68" s="15">
        <f t="shared" ref="D68:D94" si="4">D37</f>
        <v>61964</v>
      </c>
      <c r="E68" s="18">
        <f>IF(F3="1",SUMIF(Data!A:A,'12'!$A$2,Data!DZ:DZ),0)</f>
        <v>470925</v>
      </c>
      <c r="F68" s="22">
        <f t="shared" ref="F68:F95" si="5">IFERROR(E68/D68,"")</f>
        <v>7.5999774062358787</v>
      </c>
    </row>
    <row r="69" spans="1:6" ht="14.25" customHeight="1" x14ac:dyDescent="0.2">
      <c r="A69" s="20">
        <v>3</v>
      </c>
      <c r="B69" s="202" t="s">
        <v>2</v>
      </c>
      <c r="C69" s="203"/>
      <c r="D69" s="15">
        <f t="shared" si="4"/>
        <v>323092</v>
      </c>
      <c r="E69" s="18">
        <f>IF(F3="1",SUMIF(Data!A:A,'12'!$A$2,Data!EA:EA),0)</f>
        <v>762185</v>
      </c>
      <c r="F69" s="22">
        <f t="shared" si="5"/>
        <v>2.3590339593676104</v>
      </c>
    </row>
    <row r="70" spans="1:6" ht="14.25" customHeight="1" x14ac:dyDescent="0.2">
      <c r="A70" s="20">
        <v>4</v>
      </c>
      <c r="B70" s="202" t="s">
        <v>3</v>
      </c>
      <c r="C70" s="203"/>
      <c r="D70" s="15">
        <f t="shared" si="4"/>
        <v>90130</v>
      </c>
      <c r="E70" s="18">
        <f>IF(F3="1",SUMIF(Data!A:A,'12'!$A$2,Data!EB:EB),0)</f>
        <v>284777</v>
      </c>
      <c r="F70" s="22">
        <f t="shared" si="5"/>
        <v>3.1596249861311438</v>
      </c>
    </row>
    <row r="71" spans="1:6" x14ac:dyDescent="0.2">
      <c r="A71" s="20">
        <v>5</v>
      </c>
      <c r="B71" s="202" t="s">
        <v>4</v>
      </c>
      <c r="C71" s="203"/>
      <c r="D71" s="15">
        <f t="shared" si="4"/>
        <v>0</v>
      </c>
      <c r="E71" s="18">
        <f>IF(F3="1",SUMIF(Data!A:A,'12'!$A$2,Data!EC:EC),0)</f>
        <v>0</v>
      </c>
      <c r="F71" s="22" t="str">
        <f t="shared" si="5"/>
        <v/>
      </c>
    </row>
    <row r="72" spans="1:6" x14ac:dyDescent="0.2">
      <c r="A72" s="20">
        <v>6</v>
      </c>
      <c r="B72" s="202" t="s">
        <v>5</v>
      </c>
      <c r="C72" s="203"/>
      <c r="D72" s="15">
        <f t="shared" si="4"/>
        <v>1152</v>
      </c>
      <c r="E72" s="18">
        <f>IF(F3="1",SUMIF(Data!A:A,'12'!$A$2,Data!ED:ED),0)</f>
        <v>6585</v>
      </c>
      <c r="F72" s="22">
        <f t="shared" si="5"/>
        <v>5.716145833333333</v>
      </c>
    </row>
    <row r="73" spans="1:6" x14ac:dyDescent="0.2">
      <c r="A73" s="20">
        <v>7</v>
      </c>
      <c r="B73" s="202" t="s">
        <v>6</v>
      </c>
      <c r="C73" s="203"/>
      <c r="D73" s="15">
        <f t="shared" si="4"/>
        <v>53008</v>
      </c>
      <c r="E73" s="18">
        <f>IF(F3="1",SUMIF(Data!A:A,'12'!$A$2,Data!EE:EE),0)</f>
        <v>254408</v>
      </c>
      <c r="F73" s="22">
        <f t="shared" si="5"/>
        <v>4.7994265016601272</v>
      </c>
    </row>
    <row r="74" spans="1:6" x14ac:dyDescent="0.2">
      <c r="A74" s="20">
        <v>8</v>
      </c>
      <c r="B74" s="202" t="s">
        <v>7</v>
      </c>
      <c r="C74" s="203"/>
      <c r="D74" s="15">
        <f t="shared" si="4"/>
        <v>2400</v>
      </c>
      <c r="E74" s="18">
        <f>IF(F3="1",SUMIF(Data!A:A,'12'!$A$2,Data!EF:EF),0)</f>
        <v>2136</v>
      </c>
      <c r="F74" s="22">
        <f t="shared" si="5"/>
        <v>0.89</v>
      </c>
    </row>
    <row r="75" spans="1:6" x14ac:dyDescent="0.2">
      <c r="A75" s="20">
        <v>9</v>
      </c>
      <c r="B75" s="202" t="s">
        <v>8</v>
      </c>
      <c r="C75" s="203"/>
      <c r="D75" s="15">
        <f t="shared" si="4"/>
        <v>105873</v>
      </c>
      <c r="E75" s="18">
        <f>IF(F3="1",SUMIF(Data!A:A,'12'!$A$2,Data!EG:EG),0)</f>
        <v>461067</v>
      </c>
      <c r="F75" s="22">
        <f t="shared" si="5"/>
        <v>4.3549063500609222</v>
      </c>
    </row>
    <row r="76" spans="1:6" x14ac:dyDescent="0.2">
      <c r="A76" s="20">
        <v>10</v>
      </c>
      <c r="B76" s="202" t="s">
        <v>9</v>
      </c>
      <c r="C76" s="203"/>
      <c r="D76" s="15">
        <f t="shared" si="4"/>
        <v>0</v>
      </c>
      <c r="E76" s="18">
        <f>IF(F3="1",SUMIF(Data!A:A,'12'!$A$2,Data!EH:EH),0)</f>
        <v>0</v>
      </c>
      <c r="F76" s="22" t="str">
        <f t="shared" si="5"/>
        <v/>
      </c>
    </row>
    <row r="77" spans="1:6" x14ac:dyDescent="0.2">
      <c r="A77" s="20">
        <v>11</v>
      </c>
      <c r="B77" s="202" t="s">
        <v>10</v>
      </c>
      <c r="C77" s="203"/>
      <c r="D77" s="15">
        <f t="shared" si="4"/>
        <v>51483</v>
      </c>
      <c r="E77" s="18">
        <f>IF(F3="1",SUMIF(Data!A:A,'12'!$A$2,Data!EI:EI),0)</f>
        <v>19784</v>
      </c>
      <c r="F77" s="22">
        <f t="shared" si="5"/>
        <v>0.38428219023755417</v>
      </c>
    </row>
    <row r="78" spans="1:6" ht="14.25" customHeight="1" x14ac:dyDescent="0.2">
      <c r="A78" s="20">
        <v>12</v>
      </c>
      <c r="B78" s="202" t="s">
        <v>11</v>
      </c>
      <c r="C78" s="203"/>
      <c r="D78" s="15">
        <f t="shared" si="4"/>
        <v>180528</v>
      </c>
      <c r="E78" s="18">
        <f>IF(F3="1",SUMIF(Data!A:A,'12'!$A$2,Data!EJ:EJ),0)</f>
        <v>920982</v>
      </c>
      <c r="F78" s="22">
        <f t="shared" si="5"/>
        <v>5.1016019675618187</v>
      </c>
    </row>
    <row r="79" spans="1:6" x14ac:dyDescent="0.2">
      <c r="A79" s="20">
        <v>13</v>
      </c>
      <c r="B79" s="202" t="s">
        <v>12</v>
      </c>
      <c r="C79" s="203"/>
      <c r="D79" s="15">
        <f t="shared" si="4"/>
        <v>13285</v>
      </c>
      <c r="E79" s="18">
        <f>IF(F3="1",SUMIF(Data!A:A,'12'!$A$2,Data!EK:EK),0)</f>
        <v>66851</v>
      </c>
      <c r="F79" s="22">
        <f t="shared" si="5"/>
        <v>5.0320662401204368</v>
      </c>
    </row>
    <row r="80" spans="1:6" ht="14.25" customHeight="1" x14ac:dyDescent="0.2">
      <c r="A80" s="20">
        <v>14</v>
      </c>
      <c r="B80" s="202" t="s">
        <v>449</v>
      </c>
      <c r="C80" s="203"/>
      <c r="D80" s="15">
        <f t="shared" si="4"/>
        <v>113488</v>
      </c>
      <c r="E80" s="18">
        <f>IF(F3="1",SUMIF(Data!A:A,'12'!$A$2,Data!EL:EL),0)</f>
        <v>696086</v>
      </c>
      <c r="F80" s="22">
        <f t="shared" si="5"/>
        <v>6.1335647821796133</v>
      </c>
    </row>
    <row r="81" spans="1:6" x14ac:dyDescent="0.2">
      <c r="A81" s="20">
        <v>15</v>
      </c>
      <c r="B81" s="202" t="s">
        <v>13</v>
      </c>
      <c r="C81" s="203"/>
      <c r="D81" s="15">
        <f t="shared" si="4"/>
        <v>0</v>
      </c>
      <c r="E81" s="18">
        <f>IF(F3="1",SUMIF(Data!A:A,'12'!$A$2,Data!EM:EM),0)</f>
        <v>0</v>
      </c>
      <c r="F81" s="22" t="str">
        <f t="shared" si="5"/>
        <v/>
      </c>
    </row>
    <row r="82" spans="1:6" x14ac:dyDescent="0.2">
      <c r="A82" s="20">
        <v>16</v>
      </c>
      <c r="B82" s="202" t="s">
        <v>14</v>
      </c>
      <c r="C82" s="203"/>
      <c r="D82" s="15">
        <f t="shared" si="4"/>
        <v>110348</v>
      </c>
      <c r="E82" s="18">
        <f>IF(F3="1",SUMIF(Data!A:A,'12'!$A$2,Data!EN:EN),0)</f>
        <v>611345</v>
      </c>
      <c r="F82" s="22">
        <f t="shared" si="5"/>
        <v>5.5401547830499869</v>
      </c>
    </row>
    <row r="83" spans="1:6" x14ac:dyDescent="0.2">
      <c r="A83" s="20">
        <v>17</v>
      </c>
      <c r="B83" s="202" t="s">
        <v>15</v>
      </c>
      <c r="C83" s="203"/>
      <c r="D83" s="15">
        <f t="shared" si="4"/>
        <v>0</v>
      </c>
      <c r="E83" s="18">
        <f>IF(F3="1",SUMIF(Data!A:A,'12'!$A$2,Data!EO:EO),0)</f>
        <v>0</v>
      </c>
      <c r="F83" s="22" t="str">
        <f t="shared" si="5"/>
        <v/>
      </c>
    </row>
    <row r="84" spans="1:6" x14ac:dyDescent="0.2">
      <c r="A84" s="20">
        <v>18</v>
      </c>
      <c r="B84" s="202" t="s">
        <v>16</v>
      </c>
      <c r="C84" s="203"/>
      <c r="D84" s="15">
        <f t="shared" si="4"/>
        <v>35728</v>
      </c>
      <c r="E84" s="18">
        <f>IF(F3="1",SUMIF(Data!A:A,'12'!$A$2,Data!EP:EP),0)</f>
        <v>259678</v>
      </c>
      <c r="F84" s="22">
        <f t="shared" si="5"/>
        <v>7.2681930138826694</v>
      </c>
    </row>
    <row r="85" spans="1:6" x14ac:dyDescent="0.2">
      <c r="A85" s="20">
        <v>19</v>
      </c>
      <c r="B85" s="202" t="s">
        <v>17</v>
      </c>
      <c r="C85" s="203"/>
      <c r="D85" s="15">
        <f t="shared" si="4"/>
        <v>76104</v>
      </c>
      <c r="E85" s="18">
        <f>IF(F3="1",SUMIF(Data!A:A,'12'!$A$2,Data!EQ:EQ),0)</f>
        <v>436564</v>
      </c>
      <c r="F85" s="22">
        <f t="shared" si="5"/>
        <v>5.7364133291285606</v>
      </c>
    </row>
    <row r="86" spans="1:6" x14ac:dyDescent="0.2">
      <c r="A86" s="20">
        <v>20</v>
      </c>
      <c r="B86" s="202" t="s">
        <v>18</v>
      </c>
      <c r="C86" s="203"/>
      <c r="D86" s="15">
        <f t="shared" si="4"/>
        <v>0</v>
      </c>
      <c r="E86" s="18">
        <f>IF(F3="1",SUMIF(Data!A:A,'12'!$A$2,Data!ER:ER),0)</f>
        <v>0</v>
      </c>
      <c r="F86" s="22" t="str">
        <f t="shared" si="5"/>
        <v/>
      </c>
    </row>
    <row r="87" spans="1:6" ht="14.25" customHeight="1" x14ac:dyDescent="0.2">
      <c r="A87" s="20">
        <v>21</v>
      </c>
      <c r="B87" s="202" t="s">
        <v>446</v>
      </c>
      <c r="C87" s="203"/>
      <c r="D87" s="15">
        <f t="shared" si="4"/>
        <v>0</v>
      </c>
      <c r="E87" s="18">
        <f>IF(F3="1",SUMIF(Data!A:A,'12'!$A$2,Data!ES:ES),0)</f>
        <v>0</v>
      </c>
      <c r="F87" s="22" t="str">
        <f t="shared" si="5"/>
        <v/>
      </c>
    </row>
    <row r="88" spans="1:6" x14ac:dyDescent="0.2">
      <c r="A88" s="20">
        <v>22</v>
      </c>
      <c r="B88" s="202" t="s">
        <v>19</v>
      </c>
      <c r="C88" s="203"/>
      <c r="D88" s="15">
        <f t="shared" si="4"/>
        <v>11496</v>
      </c>
      <c r="E88" s="18">
        <f>IF(F3="1",SUMIF(Data!A:A,'12'!$A$2,Data!ET:ET),0)</f>
        <v>10533</v>
      </c>
      <c r="F88" s="22">
        <f t="shared" si="5"/>
        <v>0.91623173277661796</v>
      </c>
    </row>
    <row r="89" spans="1:6" x14ac:dyDescent="0.2">
      <c r="A89" s="20">
        <v>23</v>
      </c>
      <c r="B89" s="202" t="s">
        <v>20</v>
      </c>
      <c r="C89" s="203"/>
      <c r="D89" s="15">
        <f t="shared" si="4"/>
        <v>42336</v>
      </c>
      <c r="E89" s="18">
        <f>IF(F3="1",SUMIF(Data!A:A,'12'!$A$2,Data!EU:EU),0)</f>
        <v>165968</v>
      </c>
      <c r="F89" s="22">
        <f t="shared" si="5"/>
        <v>3.9202569916855632</v>
      </c>
    </row>
    <row r="90" spans="1:6" x14ac:dyDescent="0.2">
      <c r="A90" s="20">
        <v>24</v>
      </c>
      <c r="B90" s="202" t="s">
        <v>21</v>
      </c>
      <c r="C90" s="203"/>
      <c r="D90" s="15">
        <f t="shared" si="4"/>
        <v>72288</v>
      </c>
      <c r="E90" s="18">
        <f>IF(F3="1",SUMIF(Data!A:A,'12'!$A$2,Data!EV:EV),0)</f>
        <v>377818</v>
      </c>
      <c r="F90" s="22">
        <f t="shared" si="5"/>
        <v>5.2265659583886679</v>
      </c>
    </row>
    <row r="91" spans="1:6" x14ac:dyDescent="0.2">
      <c r="A91" s="20">
        <v>25</v>
      </c>
      <c r="B91" s="202" t="s">
        <v>22</v>
      </c>
      <c r="C91" s="203"/>
      <c r="D91" s="15">
        <f t="shared" si="4"/>
        <v>322896</v>
      </c>
      <c r="E91" s="18">
        <f>IF(F3="1",SUMIF(Data!A:A,'12'!$A$2,Data!EW:EW),0)</f>
        <v>1105262</v>
      </c>
      <c r="F91" s="22">
        <f t="shared" si="5"/>
        <v>3.4229659085278232</v>
      </c>
    </row>
    <row r="92" spans="1:6" x14ac:dyDescent="0.2">
      <c r="A92" s="20">
        <v>26</v>
      </c>
      <c r="B92" s="202" t="s">
        <v>23</v>
      </c>
      <c r="C92" s="203"/>
      <c r="D92" s="15">
        <f t="shared" si="4"/>
        <v>88432</v>
      </c>
      <c r="E92" s="18">
        <f>IF(F3="1",SUMIF(Data!A:A,'12'!$A$2,Data!EX:EX),0)</f>
        <v>600626</v>
      </c>
      <c r="F92" s="22">
        <f t="shared" si="5"/>
        <v>6.7919531391351544</v>
      </c>
    </row>
    <row r="93" spans="1:6" x14ac:dyDescent="0.2">
      <c r="A93" s="20">
        <v>28</v>
      </c>
      <c r="B93" s="202" t="s">
        <v>24</v>
      </c>
      <c r="C93" s="203"/>
      <c r="D93" s="15">
        <f t="shared" si="4"/>
        <v>189576</v>
      </c>
      <c r="E93" s="18">
        <f>IF(F3="1",SUMIF(Data!A:A,'12'!$A$2,Data!EZ:EZ),0)</f>
        <v>508478</v>
      </c>
      <c r="F93" s="22">
        <f t="shared" si="5"/>
        <v>2.6821855087141833</v>
      </c>
    </row>
    <row r="94" spans="1:6" ht="15.75" customHeight="1" thickBot="1" x14ac:dyDescent="0.25">
      <c r="A94" s="23">
        <v>29</v>
      </c>
      <c r="B94" s="206" t="s">
        <v>25</v>
      </c>
      <c r="C94" s="207"/>
      <c r="D94" s="24">
        <f t="shared" si="4"/>
        <v>65016</v>
      </c>
      <c r="E94" s="25">
        <f>IF(F3="1",SUMIF(Data!A:A,'12'!$A$2,Data!FA:FA),0)</f>
        <v>235618</v>
      </c>
      <c r="F94" s="26">
        <f t="shared" si="5"/>
        <v>3.6240002460932694</v>
      </c>
    </row>
    <row r="95" spans="1:6" x14ac:dyDescent="0.2">
      <c r="B95" s="31" t="s">
        <v>35</v>
      </c>
      <c r="C95" s="31"/>
      <c r="D95" s="60">
        <f>SUM(D67:D94)</f>
        <v>2014727</v>
      </c>
      <c r="E95" s="32">
        <f>SUM(E67:E94)</f>
        <v>8318754</v>
      </c>
      <c r="F95" s="33">
        <f t="shared" si="5"/>
        <v>4.128973305068131</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IF(F3="1",SUMIF(Data!A:A,'12'!$A$2,Data!AH:AH),0)</f>
        <v>6112398</v>
      </c>
      <c r="F98" s="21">
        <f t="shared" ref="F98:F105" si="6">IFERROR(E98/$D$95,0)</f>
        <v>3.0338591779432154</v>
      </c>
    </row>
    <row r="99" spans="2:6" x14ac:dyDescent="0.2">
      <c r="B99" s="212" t="s">
        <v>31</v>
      </c>
      <c r="C99" s="213"/>
      <c r="D99" s="37"/>
      <c r="E99" s="18">
        <f>IF(F3="1",SUMIF(Data!A:A,'12'!$A$2,Data!AI:AI),0)</f>
        <v>2921852</v>
      </c>
      <c r="F99" s="22">
        <f t="shared" si="6"/>
        <v>1.4502471054390993</v>
      </c>
    </row>
    <row r="100" spans="2:6" x14ac:dyDescent="0.2">
      <c r="B100" s="212" t="s">
        <v>32</v>
      </c>
      <c r="C100" s="213"/>
      <c r="D100" s="37"/>
      <c r="E100" s="18">
        <f>IF(F3="1",SUMIF(Data!A:A,'12'!$A$2,Data!AJ:AJ),0)</f>
        <v>2183059</v>
      </c>
      <c r="F100" s="22">
        <f t="shared" si="6"/>
        <v>1.08355077387656</v>
      </c>
    </row>
    <row r="101" spans="2:6" x14ac:dyDescent="0.2">
      <c r="B101" s="212" t="s">
        <v>28</v>
      </c>
      <c r="C101" s="213"/>
      <c r="D101" s="37"/>
      <c r="E101" s="18">
        <f>IF(F3="1",SUMIF(Data!A:A,'12'!$A$2,Data!AK:AK),0)</f>
        <v>0</v>
      </c>
      <c r="F101" s="22">
        <f t="shared" si="6"/>
        <v>0</v>
      </c>
    </row>
    <row r="102" spans="2:6" x14ac:dyDescent="0.2">
      <c r="B102" s="212" t="s">
        <v>33</v>
      </c>
      <c r="C102" s="213"/>
      <c r="D102" s="37"/>
      <c r="E102" s="18">
        <f>IF(F3="1",SUMIF(Data!A:A,'12'!$A$2,Data!AL:AL),0)</f>
        <v>0</v>
      </c>
      <c r="F102" s="22">
        <f t="shared" si="6"/>
        <v>0</v>
      </c>
    </row>
    <row r="103" spans="2:6" x14ac:dyDescent="0.2">
      <c r="B103" s="214" t="s">
        <v>34</v>
      </c>
      <c r="C103" s="215"/>
      <c r="D103" s="37"/>
      <c r="E103" s="18">
        <f>IF(F3="1",SUMIF(Data!A:A,'12'!$A$2,Data!AM:AM),0)</f>
        <v>300580</v>
      </c>
      <c r="F103" s="22">
        <f t="shared" si="6"/>
        <v>0.14919142891319767</v>
      </c>
    </row>
    <row r="104" spans="2:6" ht="15.75" customHeight="1" thickBot="1" x14ac:dyDescent="0.25">
      <c r="B104" s="208" t="s">
        <v>29</v>
      </c>
      <c r="C104" s="209"/>
      <c r="D104" s="38"/>
      <c r="E104" s="25">
        <f>IF(F3="1",SUMIF(Data!A:A,'12'!$A$2,Data!Q:Q),0)</f>
        <v>2294724</v>
      </c>
      <c r="F104" s="26">
        <f t="shared" si="6"/>
        <v>1.1389751564355866</v>
      </c>
    </row>
    <row r="105" spans="2:6" x14ac:dyDescent="0.2">
      <c r="B105" s="31" t="s">
        <v>35</v>
      </c>
      <c r="C105" s="31"/>
      <c r="D105" s="35">
        <f>D95</f>
        <v>2014727</v>
      </c>
      <c r="E105" s="32">
        <f>SUM(E98:E104)</f>
        <v>13812613</v>
      </c>
      <c r="F105" s="33">
        <f t="shared" si="6"/>
        <v>6.8558236426076586</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10259830</v>
      </c>
      <c r="D109" s="192">
        <f>IF(F3="1",SUMIF(Data!$A:$A,$A$2,Data!HJ:HJ),0)</f>
        <v>2204220</v>
      </c>
      <c r="E109" s="192">
        <f>IF(F3="1",SUMIF(Data!$A:$A,$A$2,Data!IN:IN),0)</f>
        <v>764423</v>
      </c>
      <c r="F109" s="48">
        <f>SUM(C109:E109)</f>
        <v>13228473</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658622</v>
      </c>
      <c r="D111" s="52"/>
      <c r="E111" s="193">
        <f>IF(F3="1",SUMIF(Data!A:A,$A$2,Data!AX:AX)-SUMIF(Data!A:A,$A$2,Data!AW:AW),0)</f>
        <v>126418</v>
      </c>
      <c r="F111" s="49">
        <f t="shared" si="7"/>
        <v>785040</v>
      </c>
    </row>
    <row r="112" spans="2:6" x14ac:dyDescent="0.2">
      <c r="B112" s="43" t="s">
        <v>32</v>
      </c>
      <c r="C112" s="193">
        <f>IF(F3="1",SUMIF(Data!A:A,$A$2,Data!V:V),0)</f>
        <v>1935220</v>
      </c>
      <c r="D112" s="52"/>
      <c r="E112" s="193">
        <f>IF(F3="1",SUMIF(Data!A:A,$A$2,Data!AC:AC),0)</f>
        <v>247839</v>
      </c>
      <c r="F112" s="49">
        <f t="shared" si="7"/>
        <v>2183059</v>
      </c>
    </row>
    <row r="113" spans="1:6" x14ac:dyDescent="0.2">
      <c r="B113" s="43" t="s">
        <v>31</v>
      </c>
      <c r="C113" s="193">
        <f>IF(F3="1",SUMIF(Data!A:A,$A$2,Data!U:U),0)</f>
        <v>2647853</v>
      </c>
      <c r="D113" s="52"/>
      <c r="E113" s="193">
        <f>IF(F3="1",SUMIF(Data!A:A,$A$2,Data!AB:AB),0)</f>
        <v>273999</v>
      </c>
      <c r="F113" s="49">
        <f t="shared" si="7"/>
        <v>2921852</v>
      </c>
    </row>
    <row r="114" spans="1:6" x14ac:dyDescent="0.2">
      <c r="B114" s="43" t="s">
        <v>1002</v>
      </c>
      <c r="C114" s="193">
        <f>IF(F3="1",SUMIF(Data!A:A,$A$2,Data!T:T),0)</f>
        <v>3309234</v>
      </c>
      <c r="D114" s="52"/>
      <c r="E114" s="193">
        <f>IF(F3="1",SUMIF(Data!A:A,$A$2,Data!AA:AA),0)</f>
        <v>2803164</v>
      </c>
      <c r="F114" s="49">
        <f t="shared" si="7"/>
        <v>6112398</v>
      </c>
    </row>
    <row r="115" spans="1:6" x14ac:dyDescent="0.2">
      <c r="B115" s="43" t="s">
        <v>916</v>
      </c>
      <c r="C115" s="193">
        <f>IF(F3="1",SUMIF(Data!A:A,$A$2,Data!BI:BI),0)</f>
        <v>1032492</v>
      </c>
      <c r="D115" s="193">
        <f>IF(F3="1",SUMIF(Data!A:A,$A$2,Data!BL:BL),0)</f>
        <v>46288</v>
      </c>
      <c r="E115" s="193">
        <f>IF(F3="1",SUMIF(Data!A:A,$A$2,Data!BU:BU)-SUMIF(Data!A:A,$A$2,Data!BT:BT),0)</f>
        <v>2942291</v>
      </c>
      <c r="F115" s="49">
        <f t="shared" si="7"/>
        <v>4021071</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2294724</v>
      </c>
      <c r="E117" s="53"/>
      <c r="F117" s="50">
        <f>SUM(C117:E117)</f>
        <v>2294724</v>
      </c>
    </row>
    <row r="118" spans="1:6" x14ac:dyDescent="0.2">
      <c r="B118" s="14" t="s">
        <v>35</v>
      </c>
      <c r="C118" s="178">
        <f>SUM(C109:C117)</f>
        <v>19843251</v>
      </c>
      <c r="D118" s="194">
        <f>SUM(D109:D117)</f>
        <v>4545232</v>
      </c>
      <c r="E118" s="178">
        <f>SUM(E109:E117)</f>
        <v>7158134</v>
      </c>
      <c r="F118" s="178">
        <f>SUM(F109:F117)</f>
        <v>31546617</v>
      </c>
    </row>
    <row r="119" spans="1:6" x14ac:dyDescent="0.2">
      <c r="C119" s="177"/>
      <c r="D119" s="177"/>
      <c r="E119" s="177"/>
    </row>
    <row r="120" spans="1:6" ht="15" thickBot="1" x14ac:dyDescent="0.25">
      <c r="B120" s="188" t="s">
        <v>921</v>
      </c>
      <c r="C120" s="53"/>
      <c r="D120" s="53"/>
      <c r="E120" s="195">
        <f>IF(F3="1",SUMIF(Data!A:A,$A$2,Data!AF:AF)+SUMIF(Data!A:A,$A$2,Data!AW:AW)+SUMIF(Data!A:A,$A$2,Data!BT:BT),0)</f>
        <v>524501</v>
      </c>
      <c r="F120" s="181">
        <f>SUM(C120:E120)</f>
        <v>524501</v>
      </c>
    </row>
    <row r="121" spans="1:6" s="177" customFormat="1" x14ac:dyDescent="0.2">
      <c r="B121" s="14" t="s">
        <v>35</v>
      </c>
      <c r="C121" s="178">
        <f>SUM(C120:C120)</f>
        <v>0</v>
      </c>
      <c r="D121" s="178">
        <f>SUM(D120:D120)</f>
        <v>0</v>
      </c>
      <c r="E121" s="178">
        <f>SUM(E120:E120)</f>
        <v>524501</v>
      </c>
      <c r="F121" s="178">
        <f>SUM(F120:F120)</f>
        <v>524501</v>
      </c>
    </row>
    <row r="122" spans="1:6" s="177" customFormat="1" ht="15" thickBot="1" x14ac:dyDescent="0.25">
      <c r="B122" s="14" t="s">
        <v>1396</v>
      </c>
      <c r="C122" s="178"/>
      <c r="D122" s="178"/>
      <c r="E122" s="178"/>
      <c r="F122" s="190">
        <f>F118+F121</f>
        <v>32071118</v>
      </c>
    </row>
    <row r="123" spans="1:6" ht="15" thickTop="1" x14ac:dyDescent="0.2">
      <c r="C123" s="74"/>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438</v>
      </c>
      <c r="B2" s="59" t="str">
        <f>VLOOKUP(A2,Data!A:G,7,0)</f>
        <v>Collin County Community College District</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112466</v>
      </c>
      <c r="E5" s="16">
        <f>E36+E67+IFERROR($E$105/$D$105*D5,0)</f>
        <v>711695.45175661077</v>
      </c>
      <c r="F5" s="21">
        <f>IFERROR(E5/D5,"")</f>
        <v>6.3280942841090706</v>
      </c>
    </row>
    <row r="6" spans="1:6" x14ac:dyDescent="0.2">
      <c r="A6" s="20">
        <v>2</v>
      </c>
      <c r="B6" s="202" t="s">
        <v>1</v>
      </c>
      <c r="C6" s="203"/>
      <c r="D6" s="15">
        <f t="shared" ref="D6:D32" si="0">D37</f>
        <v>240</v>
      </c>
      <c r="E6" s="18">
        <f t="shared" ref="E6:E32" si="1">E37+E68+IFERROR($E$105/$D$105*D6,0)</f>
        <v>814.56726852192287</v>
      </c>
      <c r="F6" s="22">
        <f t="shared" ref="F6:F33" si="2">IFERROR(E6/D6,"")</f>
        <v>3.3940302855080118</v>
      </c>
    </row>
    <row r="7" spans="1:6" ht="14.25" customHeight="1" x14ac:dyDescent="0.2">
      <c r="A7" s="20">
        <v>3</v>
      </c>
      <c r="B7" s="202" t="s">
        <v>2</v>
      </c>
      <c r="C7" s="203"/>
      <c r="D7" s="15">
        <f t="shared" si="0"/>
        <v>1387952</v>
      </c>
      <c r="E7" s="18">
        <f t="shared" si="1"/>
        <v>10443099.589498082</v>
      </c>
      <c r="F7" s="22">
        <f t="shared" si="2"/>
        <v>7.5241071661686298</v>
      </c>
    </row>
    <row r="8" spans="1:6" ht="14.25" customHeight="1" x14ac:dyDescent="0.2">
      <c r="A8" s="20">
        <v>4</v>
      </c>
      <c r="B8" s="202" t="s">
        <v>3</v>
      </c>
      <c r="C8" s="203"/>
      <c r="D8" s="15">
        <f t="shared" si="0"/>
        <v>735800</v>
      </c>
      <c r="E8" s="18">
        <f t="shared" si="1"/>
        <v>4772227.6507434621</v>
      </c>
      <c r="F8" s="22">
        <f t="shared" si="2"/>
        <v>6.4857673970419434</v>
      </c>
    </row>
    <row r="9" spans="1:6" x14ac:dyDescent="0.2">
      <c r="A9" s="20">
        <v>5</v>
      </c>
      <c r="B9" s="202" t="s">
        <v>4</v>
      </c>
      <c r="C9" s="203"/>
      <c r="D9" s="15">
        <f t="shared" si="0"/>
        <v>1359</v>
      </c>
      <c r="E9" s="18">
        <f t="shared" si="1"/>
        <v>4608.3996580053881</v>
      </c>
      <c r="F9" s="22">
        <f t="shared" si="2"/>
        <v>3.3910225592386962</v>
      </c>
    </row>
    <row r="10" spans="1:6" x14ac:dyDescent="0.2">
      <c r="A10" s="20">
        <v>6</v>
      </c>
      <c r="B10" s="202" t="s">
        <v>5</v>
      </c>
      <c r="C10" s="203"/>
      <c r="D10" s="15">
        <f t="shared" si="0"/>
        <v>219697</v>
      </c>
      <c r="E10" s="18">
        <f t="shared" si="1"/>
        <v>1158302.092468587</v>
      </c>
      <c r="F10" s="22">
        <f t="shared" si="2"/>
        <v>5.2722708660955178</v>
      </c>
    </row>
    <row r="11" spans="1:6" x14ac:dyDescent="0.2">
      <c r="A11" s="20">
        <v>7</v>
      </c>
      <c r="B11" s="202" t="s">
        <v>6</v>
      </c>
      <c r="C11" s="203"/>
      <c r="D11" s="15">
        <f t="shared" si="0"/>
        <v>370393</v>
      </c>
      <c r="E11" s="18">
        <f t="shared" si="1"/>
        <v>2891413.7803735025</v>
      </c>
      <c r="F11" s="22">
        <f t="shared" si="2"/>
        <v>7.806340239619816</v>
      </c>
    </row>
    <row r="12" spans="1:6" x14ac:dyDescent="0.2">
      <c r="A12" s="20">
        <v>8</v>
      </c>
      <c r="B12" s="202" t="s">
        <v>7</v>
      </c>
      <c r="C12" s="203"/>
      <c r="D12" s="15">
        <f t="shared" si="0"/>
        <v>504</v>
      </c>
      <c r="E12" s="18">
        <f t="shared" si="1"/>
        <v>1708.691263896038</v>
      </c>
      <c r="F12" s="22">
        <f t="shared" si="2"/>
        <v>3.3902604442381707</v>
      </c>
    </row>
    <row r="13" spans="1:6" x14ac:dyDescent="0.2">
      <c r="A13" s="20">
        <v>9</v>
      </c>
      <c r="B13" s="202" t="s">
        <v>8</v>
      </c>
      <c r="C13" s="203"/>
      <c r="D13" s="15">
        <f t="shared" si="0"/>
        <v>314873</v>
      </c>
      <c r="E13" s="18">
        <f t="shared" si="1"/>
        <v>2019291.5522554307</v>
      </c>
      <c r="F13" s="22">
        <f t="shared" si="2"/>
        <v>6.4130349450585813</v>
      </c>
    </row>
    <row r="14" spans="1:6" x14ac:dyDescent="0.2">
      <c r="A14" s="20">
        <v>10</v>
      </c>
      <c r="B14" s="202" t="s">
        <v>9</v>
      </c>
      <c r="C14" s="203"/>
      <c r="D14" s="15">
        <f t="shared" si="0"/>
        <v>12400</v>
      </c>
      <c r="E14" s="18">
        <f t="shared" si="1"/>
        <v>240378.30887363269</v>
      </c>
      <c r="F14" s="22">
        <f t="shared" si="2"/>
        <v>19.385347489809089</v>
      </c>
    </row>
    <row r="15" spans="1:6" x14ac:dyDescent="0.2">
      <c r="A15" s="20">
        <v>11</v>
      </c>
      <c r="B15" s="202" t="s">
        <v>10</v>
      </c>
      <c r="C15" s="203"/>
      <c r="D15" s="15">
        <f t="shared" si="0"/>
        <v>53642</v>
      </c>
      <c r="E15" s="18">
        <f t="shared" si="1"/>
        <v>478744.9142418874</v>
      </c>
      <c r="F15" s="22">
        <f t="shared" si="2"/>
        <v>8.9248147765162997</v>
      </c>
    </row>
    <row r="16" spans="1:6" ht="14.25" customHeight="1" x14ac:dyDescent="0.2">
      <c r="A16" s="20">
        <v>12</v>
      </c>
      <c r="B16" s="202" t="s">
        <v>11</v>
      </c>
      <c r="C16" s="203"/>
      <c r="D16" s="15">
        <f t="shared" si="0"/>
        <v>1705382</v>
      </c>
      <c r="E16" s="18">
        <f t="shared" si="1"/>
        <v>11895827.748026891</v>
      </c>
      <c r="F16" s="22">
        <f t="shared" si="2"/>
        <v>6.975462241320062</v>
      </c>
    </row>
    <row r="17" spans="1:6" x14ac:dyDescent="0.2">
      <c r="A17" s="20">
        <v>13</v>
      </c>
      <c r="B17" s="202" t="s">
        <v>12</v>
      </c>
      <c r="C17" s="203"/>
      <c r="D17" s="15">
        <f t="shared" si="0"/>
        <v>342546</v>
      </c>
      <c r="E17" s="18">
        <f t="shared" si="1"/>
        <v>1758310.2731796275</v>
      </c>
      <c r="F17" s="22">
        <f t="shared" si="2"/>
        <v>5.1330632183111975</v>
      </c>
    </row>
    <row r="18" spans="1:6" ht="14.25" customHeight="1" x14ac:dyDescent="0.2">
      <c r="A18" s="20">
        <v>14</v>
      </c>
      <c r="B18" s="202" t="s">
        <v>449</v>
      </c>
      <c r="C18" s="203"/>
      <c r="D18" s="15">
        <f t="shared" si="0"/>
        <v>159304</v>
      </c>
      <c r="E18" s="18">
        <f t="shared" si="1"/>
        <v>3257306.0339359017</v>
      </c>
      <c r="F18" s="22">
        <f t="shared" si="2"/>
        <v>20.447107630291153</v>
      </c>
    </row>
    <row r="19" spans="1:6" x14ac:dyDescent="0.2">
      <c r="A19" s="20">
        <v>15</v>
      </c>
      <c r="B19" s="202" t="s">
        <v>13</v>
      </c>
      <c r="C19" s="203"/>
      <c r="D19" s="15">
        <f t="shared" si="0"/>
        <v>24320</v>
      </c>
      <c r="E19" s="18">
        <f t="shared" si="1"/>
        <v>559129.48321022152</v>
      </c>
      <c r="F19" s="22">
        <f t="shared" si="2"/>
        <v>22.990521513578187</v>
      </c>
    </row>
    <row r="20" spans="1:6" x14ac:dyDescent="0.2">
      <c r="A20" s="20">
        <v>16</v>
      </c>
      <c r="B20" s="202" t="s">
        <v>14</v>
      </c>
      <c r="C20" s="203"/>
      <c r="D20" s="15">
        <f t="shared" si="0"/>
        <v>258851</v>
      </c>
      <c r="E20" s="18">
        <f t="shared" si="1"/>
        <v>1454638.2626007011</v>
      </c>
      <c r="F20" s="22">
        <f t="shared" si="2"/>
        <v>5.6195968437467929</v>
      </c>
    </row>
    <row r="21" spans="1:6" x14ac:dyDescent="0.2">
      <c r="A21" s="20">
        <v>17</v>
      </c>
      <c r="B21" s="202" t="s">
        <v>15</v>
      </c>
      <c r="C21" s="203"/>
      <c r="D21" s="15">
        <f t="shared" si="0"/>
        <v>36224</v>
      </c>
      <c r="E21" s="18">
        <f t="shared" si="1"/>
        <v>686509.61972890887</v>
      </c>
      <c r="F21" s="22">
        <f t="shared" si="2"/>
        <v>18.95178941389435</v>
      </c>
    </row>
    <row r="22" spans="1:6" x14ac:dyDescent="0.2">
      <c r="A22" s="20">
        <v>18</v>
      </c>
      <c r="B22" s="202" t="s">
        <v>16</v>
      </c>
      <c r="C22" s="203"/>
      <c r="D22" s="15">
        <f t="shared" si="0"/>
        <v>0</v>
      </c>
      <c r="E22" s="18">
        <f t="shared" si="1"/>
        <v>0</v>
      </c>
      <c r="F22" s="22" t="str">
        <f t="shared" si="2"/>
        <v/>
      </c>
    </row>
    <row r="23" spans="1:6" x14ac:dyDescent="0.2">
      <c r="A23" s="20">
        <v>19</v>
      </c>
      <c r="B23" s="202" t="s">
        <v>17</v>
      </c>
      <c r="C23" s="203"/>
      <c r="D23" s="15">
        <f t="shared" si="0"/>
        <v>916528</v>
      </c>
      <c r="E23" s="18">
        <f t="shared" si="1"/>
        <v>6025327.3228494208</v>
      </c>
      <c r="F23" s="22">
        <f t="shared" si="2"/>
        <v>6.5740788310334448</v>
      </c>
    </row>
    <row r="24" spans="1:6" x14ac:dyDescent="0.2">
      <c r="A24" s="20">
        <v>20</v>
      </c>
      <c r="B24" s="202" t="s">
        <v>18</v>
      </c>
      <c r="C24" s="203"/>
      <c r="D24" s="15">
        <f t="shared" si="0"/>
        <v>0</v>
      </c>
      <c r="E24" s="18">
        <f t="shared" si="1"/>
        <v>0</v>
      </c>
      <c r="F24" s="22" t="str">
        <f t="shared" si="2"/>
        <v/>
      </c>
    </row>
    <row r="25" spans="1:6" ht="14.25" customHeight="1" x14ac:dyDescent="0.2">
      <c r="A25" s="20">
        <v>21</v>
      </c>
      <c r="B25" s="202" t="s">
        <v>446</v>
      </c>
      <c r="C25" s="203"/>
      <c r="D25" s="15">
        <f t="shared" si="0"/>
        <v>4140</v>
      </c>
      <c r="E25" s="18">
        <f t="shared" si="1"/>
        <v>14041.535382003169</v>
      </c>
      <c r="F25" s="22">
        <f t="shared" si="2"/>
        <v>3.3916752130442438</v>
      </c>
    </row>
    <row r="26" spans="1:6" x14ac:dyDescent="0.2">
      <c r="A26" s="20">
        <v>22</v>
      </c>
      <c r="B26" s="202" t="s">
        <v>19</v>
      </c>
      <c r="C26" s="203"/>
      <c r="D26" s="15">
        <f t="shared" si="0"/>
        <v>14736</v>
      </c>
      <c r="E26" s="18">
        <f t="shared" si="1"/>
        <v>49978.830287246063</v>
      </c>
      <c r="F26" s="22">
        <f t="shared" si="2"/>
        <v>3.3916144331735927</v>
      </c>
    </row>
    <row r="27" spans="1:6" x14ac:dyDescent="0.2">
      <c r="A27" s="20">
        <v>23</v>
      </c>
      <c r="B27" s="202" t="s">
        <v>20</v>
      </c>
      <c r="C27" s="203"/>
      <c r="D27" s="15">
        <f t="shared" si="0"/>
        <v>303780</v>
      </c>
      <c r="E27" s="18">
        <f t="shared" si="1"/>
        <v>2370115.2701316238</v>
      </c>
      <c r="F27" s="22">
        <f t="shared" si="2"/>
        <v>7.8020780503378226</v>
      </c>
    </row>
    <row r="28" spans="1:6" x14ac:dyDescent="0.2">
      <c r="A28" s="20">
        <v>24</v>
      </c>
      <c r="B28" s="202" t="s">
        <v>21</v>
      </c>
      <c r="C28" s="203"/>
      <c r="D28" s="15">
        <f t="shared" si="0"/>
        <v>257751</v>
      </c>
      <c r="E28" s="18">
        <f t="shared" si="1"/>
        <v>2459608.9126199754</v>
      </c>
      <c r="F28" s="22">
        <f t="shared" si="2"/>
        <v>9.5425775753342386</v>
      </c>
    </row>
    <row r="29" spans="1:6" x14ac:dyDescent="0.2">
      <c r="A29" s="20">
        <v>25</v>
      </c>
      <c r="B29" s="202" t="s">
        <v>22</v>
      </c>
      <c r="C29" s="203"/>
      <c r="D29" s="15">
        <f t="shared" si="0"/>
        <v>2162880</v>
      </c>
      <c r="E29" s="18">
        <f t="shared" si="1"/>
        <v>13781519.223919569</v>
      </c>
      <c r="F29" s="22">
        <f t="shared" si="2"/>
        <v>6.3718371911153504</v>
      </c>
    </row>
    <row r="30" spans="1:6" x14ac:dyDescent="0.2">
      <c r="A30" s="20">
        <v>26</v>
      </c>
      <c r="B30" s="202" t="s">
        <v>23</v>
      </c>
      <c r="C30" s="203"/>
      <c r="D30" s="15">
        <f t="shared" si="0"/>
        <v>867611</v>
      </c>
      <c r="E30" s="18">
        <f t="shared" si="1"/>
        <v>7489691.6392065585</v>
      </c>
      <c r="F30" s="22">
        <f t="shared" si="2"/>
        <v>8.6325457367490248</v>
      </c>
    </row>
    <row r="31" spans="1:6" x14ac:dyDescent="0.2">
      <c r="A31" s="20">
        <v>28</v>
      </c>
      <c r="B31" s="202" t="s">
        <v>24</v>
      </c>
      <c r="C31" s="203"/>
      <c r="D31" s="15">
        <f t="shared" si="0"/>
        <v>618816</v>
      </c>
      <c r="E31" s="18">
        <f t="shared" si="1"/>
        <v>4007578.6451569255</v>
      </c>
      <c r="F31" s="22">
        <f t="shared" si="2"/>
        <v>6.4762039849598674</v>
      </c>
    </row>
    <row r="32" spans="1:6" ht="15.75" customHeight="1" thickBot="1" x14ac:dyDescent="0.25">
      <c r="A32" s="23">
        <v>29</v>
      </c>
      <c r="B32" s="206" t="s">
        <v>25</v>
      </c>
      <c r="C32" s="207"/>
      <c r="D32" s="24">
        <f t="shared" si="0"/>
        <v>337280</v>
      </c>
      <c r="E32" s="25">
        <f t="shared" si="1"/>
        <v>2448205.2013628092</v>
      </c>
      <c r="F32" s="26">
        <f t="shared" si="2"/>
        <v>7.2586729167540591</v>
      </c>
    </row>
    <row r="33" spans="1:6" x14ac:dyDescent="0.2">
      <c r="B33" s="31" t="s">
        <v>35</v>
      </c>
      <c r="C33" s="31"/>
      <c r="D33" s="60">
        <f>SUM(D5:D32)</f>
        <v>11219475</v>
      </c>
      <c r="E33" s="32">
        <f>SUM(E5:E32)</f>
        <v>80980072.999999985</v>
      </c>
      <c r="F33" s="33">
        <f t="shared" si="2"/>
        <v>7.2178130438367205</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IF(F3="1",SUMIF(Data!A:A,'13'!$A$2,Data!CU:CU),0)</f>
        <v>112466</v>
      </c>
      <c r="E36" s="16">
        <f>IF(F3="1",SUMIF(Data!$A:$A,'13'!$A$2,Data!IO:IO),0)</f>
        <v>133682</v>
      </c>
      <c r="F36" s="21">
        <f t="shared" ref="F36:F64" si="3">IFERROR(E36/D36,"")</f>
        <v>1.1886436789785357</v>
      </c>
    </row>
    <row r="37" spans="1:6" x14ac:dyDescent="0.2">
      <c r="A37" s="20">
        <v>2</v>
      </c>
      <c r="B37" s="202" t="s">
        <v>1</v>
      </c>
      <c r="C37" s="203"/>
      <c r="D37" s="15">
        <f>IF(F3="1",SUMIF(Data!A:A,'13'!$A$2,Data!CV:CV),0)</f>
        <v>240</v>
      </c>
      <c r="E37" s="18">
        <f>IF(F3="1",SUMIF(Data!$A:$A,'13'!$A$2,Data!IP:IP),0)</f>
        <v>118</v>
      </c>
      <c r="F37" s="22">
        <f t="shared" si="3"/>
        <v>0.49166666666666664</v>
      </c>
    </row>
    <row r="38" spans="1:6" ht="14.25" customHeight="1" x14ac:dyDescent="0.2">
      <c r="A38" s="20">
        <v>3</v>
      </c>
      <c r="B38" s="202" t="s">
        <v>2</v>
      </c>
      <c r="C38" s="203"/>
      <c r="D38" s="15">
        <f>IF(F3="1",SUMIF(Data!A:A,'13'!$A$2,Data!CW:CW),0)</f>
        <v>1387952</v>
      </c>
      <c r="E38" s="18">
        <f>IF(F3="1",SUMIF(Data!$A:$A,'13'!$A$2,Data!IQ:IQ),0)</f>
        <v>2503524</v>
      </c>
      <c r="F38" s="22">
        <f t="shared" si="3"/>
        <v>1.8037540203119415</v>
      </c>
    </row>
    <row r="39" spans="1:6" ht="14.25" customHeight="1" x14ac:dyDescent="0.2">
      <c r="A39" s="20">
        <v>4</v>
      </c>
      <c r="B39" s="202" t="s">
        <v>3</v>
      </c>
      <c r="C39" s="203"/>
      <c r="D39" s="15">
        <f>IF(F3="1",SUMIF(Data!A:A,'13'!$A$2,Data!CX:CX),0)</f>
        <v>735800</v>
      </c>
      <c r="E39" s="18">
        <f>IF(F3="1",SUMIF(Data!$A:$A,'13'!$A$2,Data!IR:IR),0)</f>
        <v>701244</v>
      </c>
      <c r="F39" s="22">
        <f t="shared" si="3"/>
        <v>0.95303615112802387</v>
      </c>
    </row>
    <row r="40" spans="1:6" x14ac:dyDescent="0.2">
      <c r="A40" s="20">
        <v>5</v>
      </c>
      <c r="B40" s="202" t="s">
        <v>4</v>
      </c>
      <c r="C40" s="203"/>
      <c r="D40" s="15">
        <f>IF(F3="1",SUMIF(Data!A:A,'13'!$A$2,Data!CY:CY),0)</f>
        <v>1359</v>
      </c>
      <c r="E40" s="18">
        <f>IF(F3="1",SUMIF(Data!$A:$A,'13'!$A$2,Data!IS:IS),0)</f>
        <v>667</v>
      </c>
      <c r="F40" s="22">
        <f t="shared" si="3"/>
        <v>0.49080206033848417</v>
      </c>
    </row>
    <row r="41" spans="1:6" x14ac:dyDescent="0.2">
      <c r="A41" s="20">
        <v>6</v>
      </c>
      <c r="B41" s="202" t="s">
        <v>5</v>
      </c>
      <c r="C41" s="203"/>
      <c r="D41" s="15">
        <f>IF(F3="1",SUMIF(Data!A:A,'13'!$A$2,Data!CZ:CZ),0)</f>
        <v>219697</v>
      </c>
      <c r="E41" s="18">
        <f>IF(F3="1",SUMIF(Data!$A:$A,'13'!$A$2,Data!IT:IT),0)</f>
        <v>225920</v>
      </c>
      <c r="F41" s="22">
        <f t="shared" si="3"/>
        <v>1.0283253754033965</v>
      </c>
    </row>
    <row r="42" spans="1:6" x14ac:dyDescent="0.2">
      <c r="A42" s="20">
        <v>7</v>
      </c>
      <c r="B42" s="202" t="s">
        <v>6</v>
      </c>
      <c r="C42" s="203"/>
      <c r="D42" s="15">
        <f>IF(F3="1",SUMIF(Data!A:A,'13'!$A$2,Data!DA:DA),0)</f>
        <v>370393</v>
      </c>
      <c r="E42" s="18">
        <f>IF(F3="1",SUMIF(Data!$A:$A,'13'!$A$2,Data!IU:IU),0)</f>
        <v>365295</v>
      </c>
      <c r="F42" s="22">
        <f t="shared" si="3"/>
        <v>0.98623624096567697</v>
      </c>
    </row>
    <row r="43" spans="1:6" x14ac:dyDescent="0.2">
      <c r="A43" s="20">
        <v>8</v>
      </c>
      <c r="B43" s="202" t="s">
        <v>7</v>
      </c>
      <c r="C43" s="203"/>
      <c r="D43" s="15">
        <f>IF(F3="1",SUMIF(Data!A:A,'13'!$A$2,Data!DB:DB),0)</f>
        <v>504</v>
      </c>
      <c r="E43" s="18">
        <f>IF(F3="1",SUMIF(Data!$A:$A,'13'!$A$2,Data!IV:IV),0)</f>
        <v>247</v>
      </c>
      <c r="F43" s="22">
        <f t="shared" si="3"/>
        <v>0.49007936507936506</v>
      </c>
    </row>
    <row r="44" spans="1:6" x14ac:dyDescent="0.2">
      <c r="A44" s="20">
        <v>9</v>
      </c>
      <c r="B44" s="202" t="s">
        <v>8</v>
      </c>
      <c r="C44" s="203"/>
      <c r="D44" s="15">
        <f>IF(F3="1",SUMIF(Data!A:A,'13'!$A$2,Data!DC:DC),0)</f>
        <v>314873</v>
      </c>
      <c r="E44" s="18">
        <f>IF(F3="1",SUMIF(Data!$A:$A,'13'!$A$2,Data!IW:IW),0)</f>
        <v>472234</v>
      </c>
      <c r="F44" s="22">
        <f t="shared" si="3"/>
        <v>1.4997602207874285</v>
      </c>
    </row>
    <row r="45" spans="1:6" x14ac:dyDescent="0.2">
      <c r="A45" s="20">
        <v>10</v>
      </c>
      <c r="B45" s="202" t="s">
        <v>9</v>
      </c>
      <c r="C45" s="203"/>
      <c r="D45" s="15">
        <f>IF(F3="1",SUMIF(Data!A:A,'13'!$A$2,Data!DD:DD),0)</f>
        <v>12400</v>
      </c>
      <c r="E45" s="18">
        <f>IF(F3="1",SUMIF(Data!$A:$A,'13'!$A$2,Data!IX:IX),0)</f>
        <v>117780</v>
      </c>
      <c r="F45" s="22">
        <f t="shared" si="3"/>
        <v>9.4983870967741932</v>
      </c>
    </row>
    <row r="46" spans="1:6" x14ac:dyDescent="0.2">
      <c r="A46" s="20">
        <v>11</v>
      </c>
      <c r="B46" s="202" t="s">
        <v>10</v>
      </c>
      <c r="C46" s="203"/>
      <c r="D46" s="15">
        <f>IF(F3="1",SUMIF(Data!A:A,'13'!$A$2,Data!DE:DE),0)</f>
        <v>53642</v>
      </c>
      <c r="E46" s="18">
        <f>IF(F3="1",SUMIF(Data!$A:$A,'13'!$A$2,Data!IY:IY),0)</f>
        <v>71409</v>
      </c>
      <c r="F46" s="22">
        <f t="shared" si="3"/>
        <v>1.3312143469669289</v>
      </c>
    </row>
    <row r="47" spans="1:6" ht="14.25" customHeight="1" x14ac:dyDescent="0.2">
      <c r="A47" s="20">
        <v>12</v>
      </c>
      <c r="B47" s="202" t="s">
        <v>11</v>
      </c>
      <c r="C47" s="203"/>
      <c r="D47" s="15">
        <f>IF(F3="1",SUMIF(Data!A:A,'13'!$A$2,Data!DF:DF),0)</f>
        <v>1705382</v>
      </c>
      <c r="E47" s="18">
        <f>IF(F3="1",SUMIF(Data!$A:$A,'13'!$A$2,Data!IZ:IZ),0)</f>
        <v>1718120</v>
      </c>
      <c r="F47" s="22">
        <f t="shared" si="3"/>
        <v>1.0074692942695538</v>
      </c>
    </row>
    <row r="48" spans="1:6" x14ac:dyDescent="0.2">
      <c r="A48" s="20">
        <v>13</v>
      </c>
      <c r="B48" s="202" t="s">
        <v>12</v>
      </c>
      <c r="C48" s="203"/>
      <c r="D48" s="15">
        <f>IF(F3="1",SUMIF(Data!A:A,'13'!$A$2,Data!DG:DG),0)</f>
        <v>342546</v>
      </c>
      <c r="E48" s="18">
        <f>IF(F3="1",SUMIF(Data!$A:$A,'13'!$A$2,Data!JA:JA),0)</f>
        <v>225621</v>
      </c>
      <c r="F48" s="22">
        <f t="shared" si="3"/>
        <v>0.65865898302709713</v>
      </c>
    </row>
    <row r="49" spans="1:6" ht="14.25" customHeight="1" x14ac:dyDescent="0.2">
      <c r="A49" s="20">
        <v>14</v>
      </c>
      <c r="B49" s="202" t="s">
        <v>449</v>
      </c>
      <c r="C49" s="203"/>
      <c r="D49" s="15">
        <f>IF(F3="1",SUMIF(Data!A:A,'13'!$A$2,Data!DH:DH),0)</f>
        <v>159304</v>
      </c>
      <c r="E49" s="18">
        <f>IF(F3="1",SUMIF(Data!$A:$A,'13'!$A$2,Data!JB:JB),0)</f>
        <v>943630</v>
      </c>
      <c r="F49" s="22">
        <f t="shared" si="3"/>
        <v>5.9234545271932912</v>
      </c>
    </row>
    <row r="50" spans="1:6" x14ac:dyDescent="0.2">
      <c r="A50" s="20">
        <v>15</v>
      </c>
      <c r="B50" s="202" t="s">
        <v>13</v>
      </c>
      <c r="C50" s="203"/>
      <c r="D50" s="15">
        <f>IF(F3="1",SUMIF(Data!A:A,'13'!$A$2,Data!DI:DI),0)</f>
        <v>24320</v>
      </c>
      <c r="E50" s="18">
        <f>IF(F3="1",SUMIF(Data!$A:$A,'13'!$A$2,Data!JC:JC),0)</f>
        <v>240552</v>
      </c>
      <c r="F50" s="22">
        <f t="shared" si="3"/>
        <v>9.8911184210526315</v>
      </c>
    </row>
    <row r="51" spans="1:6" x14ac:dyDescent="0.2">
      <c r="A51" s="20">
        <v>16</v>
      </c>
      <c r="B51" s="202" t="s">
        <v>14</v>
      </c>
      <c r="C51" s="203"/>
      <c r="D51" s="15">
        <f>IF(F3="1",SUMIF(Data!A:A,'13'!$A$2,Data!DJ:DJ),0)</f>
        <v>258851</v>
      </c>
      <c r="E51" s="18">
        <f>IF(F3="1",SUMIF(Data!$A:$A,'13'!$A$2,Data!JD:JD),0)</f>
        <v>374923</v>
      </c>
      <c r="F51" s="22">
        <f t="shared" si="3"/>
        <v>1.4484124071376969</v>
      </c>
    </row>
    <row r="52" spans="1:6" x14ac:dyDescent="0.2">
      <c r="A52" s="20">
        <v>17</v>
      </c>
      <c r="B52" s="202" t="s">
        <v>15</v>
      </c>
      <c r="C52" s="203"/>
      <c r="D52" s="15">
        <f>IF(F3="1",SUMIF(Data!A:A,'13'!$A$2,Data!DK:DK),0)</f>
        <v>36224</v>
      </c>
      <c r="E52" s="18">
        <f>IF(F3="1",SUMIF(Data!$A:$A,'13'!$A$2,Data!JE:JE),0)</f>
        <v>240132</v>
      </c>
      <c r="F52" s="22">
        <f t="shared" si="3"/>
        <v>6.6290856890459366</v>
      </c>
    </row>
    <row r="53" spans="1:6" x14ac:dyDescent="0.2">
      <c r="A53" s="20">
        <v>18</v>
      </c>
      <c r="B53" s="202" t="s">
        <v>16</v>
      </c>
      <c r="C53" s="203"/>
      <c r="D53" s="15">
        <f>IF(F3="1",SUMIF(Data!A:A,'13'!$A$2,Data!DL:DL),0)</f>
        <v>0</v>
      </c>
      <c r="E53" s="18">
        <f>IF(F3="1",SUMIF(Data!$A:$A,'13'!$A$2,Data!JF:JF),0)</f>
        <v>0</v>
      </c>
      <c r="F53" s="22" t="str">
        <f t="shared" si="3"/>
        <v/>
      </c>
    </row>
    <row r="54" spans="1:6" x14ac:dyDescent="0.2">
      <c r="A54" s="20">
        <v>19</v>
      </c>
      <c r="B54" s="202" t="s">
        <v>17</v>
      </c>
      <c r="C54" s="203"/>
      <c r="D54" s="15">
        <f>IF(F3="1",SUMIF(Data!A:A,'13'!$A$2,Data!DM:DM),0)</f>
        <v>916528</v>
      </c>
      <c r="E54" s="18">
        <f>IF(F3="1",SUMIF(Data!$A:$A,'13'!$A$2,Data!JG:JG),0)</f>
        <v>1282583</v>
      </c>
      <c r="F54" s="22">
        <f t="shared" si="3"/>
        <v>1.3993931445629593</v>
      </c>
    </row>
    <row r="55" spans="1:6" x14ac:dyDescent="0.2">
      <c r="A55" s="20">
        <v>20</v>
      </c>
      <c r="B55" s="202" t="s">
        <v>18</v>
      </c>
      <c r="C55" s="203"/>
      <c r="D55" s="15">
        <f>IF(F3="1",SUMIF(Data!A:A,'13'!$A$2,Data!DN:DN),0)</f>
        <v>0</v>
      </c>
      <c r="E55" s="18">
        <f>IF(F3="1",SUMIF(Data!$A:$A,'13'!$A$2,Data!JH:JH),0)</f>
        <v>0</v>
      </c>
      <c r="F55" s="22" t="str">
        <f t="shared" si="3"/>
        <v/>
      </c>
    </row>
    <row r="56" spans="1:6" ht="14.25" customHeight="1" x14ac:dyDescent="0.2">
      <c r="A56" s="20">
        <v>21</v>
      </c>
      <c r="B56" s="202" t="s">
        <v>446</v>
      </c>
      <c r="C56" s="203"/>
      <c r="D56" s="15">
        <f>IF(F3="1",SUMIF(Data!A:A,'13'!$A$2,Data!DO:DO),0)</f>
        <v>4140</v>
      </c>
      <c r="E56" s="18">
        <f>IF(F3="1",SUMIF(Data!$A:$A,'13'!$A$2,Data!JI:JI),0)</f>
        <v>2034</v>
      </c>
      <c r="F56" s="22">
        <f t="shared" si="3"/>
        <v>0.49130434782608695</v>
      </c>
    </row>
    <row r="57" spans="1:6" x14ac:dyDescent="0.2">
      <c r="A57" s="20">
        <v>22</v>
      </c>
      <c r="B57" s="202" t="s">
        <v>19</v>
      </c>
      <c r="C57" s="203"/>
      <c r="D57" s="15">
        <f>IF(F3="1",SUMIF(Data!A:A,'13'!$A$2,Data!DP:DP),0)</f>
        <v>14736</v>
      </c>
      <c r="E57" s="18">
        <f>IF(F3="1",SUMIF(Data!$A:$A,'13'!$A$2,Data!JJ:JJ),0)</f>
        <v>7237</v>
      </c>
      <c r="F57" s="22">
        <f t="shared" si="3"/>
        <v>0.49111020629750274</v>
      </c>
    </row>
    <row r="58" spans="1:6" x14ac:dyDescent="0.2">
      <c r="A58" s="20">
        <v>23</v>
      </c>
      <c r="B58" s="202" t="s">
        <v>20</v>
      </c>
      <c r="C58" s="203"/>
      <c r="D58" s="15">
        <f>IF(F3="1",SUMIF(Data!A:A,'13'!$A$2,Data!DQ:DQ),0)</f>
        <v>303780</v>
      </c>
      <c r="E58" s="18">
        <f>IF(F3="1",SUMIF(Data!$A:$A,'13'!$A$2,Data!JK:JK),0)</f>
        <v>598061</v>
      </c>
      <c r="F58" s="22">
        <f t="shared" si="3"/>
        <v>1.9687306603463033</v>
      </c>
    </row>
    <row r="59" spans="1:6" x14ac:dyDescent="0.2">
      <c r="A59" s="20">
        <v>24</v>
      </c>
      <c r="B59" s="202" t="s">
        <v>21</v>
      </c>
      <c r="C59" s="203"/>
      <c r="D59" s="15">
        <f>IF(F3="1",SUMIF(Data!A:A,'13'!$A$2,Data!DR:DR),0)</f>
        <v>257751</v>
      </c>
      <c r="E59" s="18">
        <f>IF(F3="1",SUMIF(Data!$A:$A,'13'!$A$2,Data!JL:JL),0)</f>
        <v>930334</v>
      </c>
      <c r="F59" s="22">
        <f t="shared" si="3"/>
        <v>3.6094292553666136</v>
      </c>
    </row>
    <row r="60" spans="1:6" x14ac:dyDescent="0.2">
      <c r="A60" s="20">
        <v>25</v>
      </c>
      <c r="B60" s="202" t="s">
        <v>22</v>
      </c>
      <c r="C60" s="203"/>
      <c r="D60" s="15">
        <f>IF(F3="1",SUMIF(Data!A:A,'13'!$A$2,Data!DS:DS),0)</f>
        <v>2162880</v>
      </c>
      <c r="E60" s="18">
        <f>IF(F3="1",SUMIF(Data!$A:$A,'13'!$A$2,Data!JM:JM),0)</f>
        <v>1756352</v>
      </c>
      <c r="F60" s="22">
        <f t="shared" si="3"/>
        <v>0.81204320165704991</v>
      </c>
    </row>
    <row r="61" spans="1:6" x14ac:dyDescent="0.2">
      <c r="A61" s="20">
        <v>26</v>
      </c>
      <c r="B61" s="202" t="s">
        <v>23</v>
      </c>
      <c r="C61" s="203"/>
      <c r="D61" s="15">
        <f>IF(F3="1",SUMIF(Data!A:A,'13'!$A$2,Data!DT:DT),0)</f>
        <v>867611</v>
      </c>
      <c r="E61" s="18">
        <f>IF(F3="1",SUMIF(Data!$A:$A,'13'!$A$2,Data!JN:JN),0)</f>
        <v>1694037</v>
      </c>
      <c r="F61" s="22">
        <f t="shared" si="3"/>
        <v>1.9525305695755355</v>
      </c>
    </row>
    <row r="62" spans="1:6" x14ac:dyDescent="0.2">
      <c r="A62" s="20">
        <v>28</v>
      </c>
      <c r="B62" s="202" t="s">
        <v>24</v>
      </c>
      <c r="C62" s="203"/>
      <c r="D62" s="15">
        <f>IF(F3="1",SUMIF(Data!A:A,'13'!$A$2,Data!DV:DV),0)</f>
        <v>618816</v>
      </c>
      <c r="E62" s="18">
        <f>IF(F3="1",SUMIF(Data!$A:$A,'13'!$A$2,Data!JP:JP),0)</f>
        <v>755066</v>
      </c>
      <c r="F62" s="22">
        <f t="shared" si="3"/>
        <v>1.2201785344916745</v>
      </c>
    </row>
    <row r="63" spans="1:6" ht="15.75" customHeight="1" thickBot="1" x14ac:dyDescent="0.25">
      <c r="A63" s="23">
        <v>29</v>
      </c>
      <c r="B63" s="206" t="s">
        <v>25</v>
      </c>
      <c r="C63" s="207"/>
      <c r="D63" s="24">
        <f>IF(F3="1",SUMIF(Data!A:A,'13'!$A$2,Data!DW:DW),0)</f>
        <v>337280</v>
      </c>
      <c r="E63" s="25">
        <f>IF(F3="1",SUMIF(Data!$A:$A,'13'!$A$2,Data!JQ:JQ),0)</f>
        <v>298642</v>
      </c>
      <c r="F63" s="26">
        <f t="shared" si="3"/>
        <v>0.88544236242884256</v>
      </c>
    </row>
    <row r="64" spans="1:6" x14ac:dyDescent="0.2">
      <c r="B64" s="31" t="s">
        <v>35</v>
      </c>
      <c r="C64" s="31"/>
      <c r="D64" s="60">
        <f>SUM(D36:D63)</f>
        <v>11219475</v>
      </c>
      <c r="E64" s="32">
        <f>SUM(E36:E63)</f>
        <v>15659444</v>
      </c>
      <c r="F64" s="33">
        <f t="shared" si="3"/>
        <v>1.3957376793477414</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112466</v>
      </c>
      <c r="E67" s="16">
        <f>IF(F3="1",SUMIF(Data!A:A,'13'!$A$2,Data!DY:DY),0)</f>
        <v>261437</v>
      </c>
      <c r="F67" s="21">
        <f>IFERROR(E67/D67,"")</f>
        <v>2.3245869862891895</v>
      </c>
    </row>
    <row r="68" spans="1:6" x14ac:dyDescent="0.2">
      <c r="A68" s="20">
        <v>2</v>
      </c>
      <c r="B68" s="202" t="s">
        <v>1</v>
      </c>
      <c r="C68" s="203"/>
      <c r="D68" s="15">
        <f t="shared" ref="D68:D94" si="4">D37</f>
        <v>240</v>
      </c>
      <c r="E68" s="18">
        <f>IF(F3="1",SUMIF(Data!A:A,'13'!$A$2,Data!DZ:DZ),0)</f>
        <v>21</v>
      </c>
      <c r="F68" s="22">
        <f t="shared" ref="F68:F95" si="5">IFERROR(E68/D68,"")</f>
        <v>8.7499999999999994E-2</v>
      </c>
    </row>
    <row r="69" spans="1:6" ht="14.25" customHeight="1" x14ac:dyDescent="0.2">
      <c r="A69" s="20">
        <v>3</v>
      </c>
      <c r="B69" s="202" t="s">
        <v>2</v>
      </c>
      <c r="C69" s="203"/>
      <c r="D69" s="15">
        <f t="shared" si="4"/>
        <v>1387952</v>
      </c>
      <c r="E69" s="18">
        <f>IF(F3="1",SUMIF(Data!A:A,'13'!$A$2,Data!EA:EA),0)</f>
        <v>4032680</v>
      </c>
      <c r="F69" s="22">
        <f t="shared" si="5"/>
        <v>2.9054895270153436</v>
      </c>
    </row>
    <row r="70" spans="1:6" ht="14.25" customHeight="1" x14ac:dyDescent="0.2">
      <c r="A70" s="20">
        <v>4</v>
      </c>
      <c r="B70" s="202" t="s">
        <v>3</v>
      </c>
      <c r="C70" s="203"/>
      <c r="D70" s="15">
        <f t="shared" si="4"/>
        <v>735800</v>
      </c>
      <c r="E70" s="18">
        <f>IF(F3="1",SUMIF(Data!A:A,'13'!$A$2,Data!EB:EB),0)</f>
        <v>1999807</v>
      </c>
      <c r="F70" s="22">
        <f t="shared" si="5"/>
        <v>2.7178676270725739</v>
      </c>
    </row>
    <row r="71" spans="1:6" x14ac:dyDescent="0.2">
      <c r="A71" s="20">
        <v>5</v>
      </c>
      <c r="B71" s="202" t="s">
        <v>4</v>
      </c>
      <c r="C71" s="203"/>
      <c r="D71" s="15">
        <f t="shared" si="4"/>
        <v>1359</v>
      </c>
      <c r="E71" s="18">
        <f>IF(F3="1",SUMIF(Data!A:A,'13'!$A$2,Data!EC:EC),0)</f>
        <v>116</v>
      </c>
      <c r="F71" s="22">
        <f t="shared" si="5"/>
        <v>8.535688005886681E-2</v>
      </c>
    </row>
    <row r="72" spans="1:6" x14ac:dyDescent="0.2">
      <c r="A72" s="20">
        <v>6</v>
      </c>
      <c r="B72" s="202" t="s">
        <v>5</v>
      </c>
      <c r="C72" s="203"/>
      <c r="D72" s="15">
        <f t="shared" si="4"/>
        <v>219697</v>
      </c>
      <c r="E72" s="18">
        <f>IF(F3="1",SUMIF(Data!A:A,'13'!$A$2,Data!ED:ED),0)</f>
        <v>313965</v>
      </c>
      <c r="F72" s="22">
        <f t="shared" si="5"/>
        <v>1.4290818718507763</v>
      </c>
    </row>
    <row r="73" spans="1:6" x14ac:dyDescent="0.2">
      <c r="A73" s="20">
        <v>7</v>
      </c>
      <c r="B73" s="202" t="s">
        <v>6</v>
      </c>
      <c r="C73" s="203"/>
      <c r="D73" s="15">
        <f t="shared" si="4"/>
        <v>370393</v>
      </c>
      <c r="E73" s="18">
        <f>IF(F3="1",SUMIF(Data!A:A,'13'!$A$2,Data!EE:EE),0)</f>
        <v>1483513</v>
      </c>
      <c r="F73" s="22">
        <f t="shared" si="5"/>
        <v>4.0052403798127933</v>
      </c>
    </row>
    <row r="74" spans="1:6" x14ac:dyDescent="0.2">
      <c r="A74" s="20">
        <v>8</v>
      </c>
      <c r="B74" s="202" t="s">
        <v>7</v>
      </c>
      <c r="C74" s="203"/>
      <c r="D74" s="15">
        <f t="shared" si="4"/>
        <v>504</v>
      </c>
      <c r="E74" s="18">
        <f>IF(F3="1",SUMIF(Data!A:A,'13'!$A$2,Data!EF:EF),0)</f>
        <v>43</v>
      </c>
      <c r="F74" s="22">
        <f t="shared" si="5"/>
        <v>8.531746031746032E-2</v>
      </c>
    </row>
    <row r="75" spans="1:6" x14ac:dyDescent="0.2">
      <c r="A75" s="20">
        <v>9</v>
      </c>
      <c r="B75" s="202" t="s">
        <v>8</v>
      </c>
      <c r="C75" s="203"/>
      <c r="D75" s="15">
        <f t="shared" si="4"/>
        <v>314873</v>
      </c>
      <c r="E75" s="18">
        <f>IF(F3="1",SUMIF(Data!A:A,'13'!$A$2,Data!EG:EG),0)</f>
        <v>660733</v>
      </c>
      <c r="F75" s="22">
        <f t="shared" si="5"/>
        <v>2.098411105429808</v>
      </c>
    </row>
    <row r="76" spans="1:6" x14ac:dyDescent="0.2">
      <c r="A76" s="20">
        <v>10</v>
      </c>
      <c r="B76" s="202" t="s">
        <v>9</v>
      </c>
      <c r="C76" s="203"/>
      <c r="D76" s="15">
        <f t="shared" si="4"/>
        <v>12400</v>
      </c>
      <c r="E76" s="18">
        <f>IF(F3="1",SUMIF(Data!A:A,'13'!$A$2,Data!EH:EH),0)</f>
        <v>87694</v>
      </c>
      <c r="F76" s="22">
        <f t="shared" si="5"/>
        <v>7.0720967741935485</v>
      </c>
    </row>
    <row r="77" spans="1:6" x14ac:dyDescent="0.2">
      <c r="A77" s="20">
        <v>11</v>
      </c>
      <c r="B77" s="202" t="s">
        <v>10</v>
      </c>
      <c r="C77" s="203"/>
      <c r="D77" s="15">
        <f t="shared" si="4"/>
        <v>53642</v>
      </c>
      <c r="E77" s="18">
        <f>IF(F3="1",SUMIF(Data!A:A,'13'!$A$2,Data!EI:EI),0)</f>
        <v>256341</v>
      </c>
      <c r="F77" s="22">
        <f t="shared" si="5"/>
        <v>4.7787368107080272</v>
      </c>
    </row>
    <row r="78" spans="1:6" ht="14.25" customHeight="1" x14ac:dyDescent="0.2">
      <c r="A78" s="20">
        <v>12</v>
      </c>
      <c r="B78" s="202" t="s">
        <v>11</v>
      </c>
      <c r="C78" s="203"/>
      <c r="D78" s="15">
        <f t="shared" si="4"/>
        <v>1705382</v>
      </c>
      <c r="E78" s="18">
        <f>IF(F3="1",SUMIF(Data!A:A,'13'!$A$2,Data!EJ:EJ),0)</f>
        <v>5377290</v>
      </c>
      <c r="F78" s="22">
        <f t="shared" si="5"/>
        <v>3.1531293282091637</v>
      </c>
    </row>
    <row r="79" spans="1:6" x14ac:dyDescent="0.2">
      <c r="A79" s="20">
        <v>13</v>
      </c>
      <c r="B79" s="202" t="s">
        <v>12</v>
      </c>
      <c r="C79" s="203"/>
      <c r="D79" s="15">
        <f t="shared" si="4"/>
        <v>342546</v>
      </c>
      <c r="E79" s="18">
        <f>IF(F3="1",SUMIF(Data!A:A,'13'!$A$2,Data!EK:EK),0)</f>
        <v>568469</v>
      </c>
      <c r="F79" s="22">
        <f t="shared" si="5"/>
        <v>1.6595406164427551</v>
      </c>
    </row>
    <row r="80" spans="1:6" ht="14.25" customHeight="1" x14ac:dyDescent="0.2">
      <c r="A80" s="20">
        <v>14</v>
      </c>
      <c r="B80" s="202" t="s">
        <v>449</v>
      </c>
      <c r="C80" s="203"/>
      <c r="D80" s="15">
        <f t="shared" si="4"/>
        <v>159304</v>
      </c>
      <c r="E80" s="18">
        <f>IF(F3="1",SUMIF(Data!A:A,'13'!$A$2,Data!EL:EL),0)</f>
        <v>1865257</v>
      </c>
      <c r="F80" s="22">
        <f t="shared" si="5"/>
        <v>11.708789484256515</v>
      </c>
    </row>
    <row r="81" spans="1:6" x14ac:dyDescent="0.2">
      <c r="A81" s="20">
        <v>15</v>
      </c>
      <c r="B81" s="202" t="s">
        <v>13</v>
      </c>
      <c r="C81" s="203"/>
      <c r="D81" s="15">
        <f t="shared" si="4"/>
        <v>24320</v>
      </c>
      <c r="E81" s="18">
        <f>IF(F3="1",SUMIF(Data!A:A,'13'!$A$2,Data!EM:EM),0)</f>
        <v>250120</v>
      </c>
      <c r="F81" s="22">
        <f t="shared" si="5"/>
        <v>10.284539473684211</v>
      </c>
    </row>
    <row r="82" spans="1:6" x14ac:dyDescent="0.2">
      <c r="A82" s="20">
        <v>16</v>
      </c>
      <c r="B82" s="202" t="s">
        <v>14</v>
      </c>
      <c r="C82" s="203"/>
      <c r="D82" s="15">
        <f t="shared" si="4"/>
        <v>258851</v>
      </c>
      <c r="E82" s="18">
        <f>IF(F3="1",SUMIF(Data!A:A,'13'!$A$2,Data!EN:EN),0)</f>
        <v>351085</v>
      </c>
      <c r="F82" s="22">
        <f t="shared" si="5"/>
        <v>1.3563208177677506</v>
      </c>
    </row>
    <row r="83" spans="1:6" x14ac:dyDescent="0.2">
      <c r="A83" s="20">
        <v>17</v>
      </c>
      <c r="B83" s="202" t="s">
        <v>15</v>
      </c>
      <c r="C83" s="203"/>
      <c r="D83" s="15">
        <f t="shared" si="4"/>
        <v>36224</v>
      </c>
      <c r="E83" s="18">
        <f>IF(F3="1",SUMIF(Data!A:A,'13'!$A$2,Data!EO:EO),0)</f>
        <v>344412</v>
      </c>
      <c r="F83" s="22">
        <f t="shared" si="5"/>
        <v>9.5078401060070679</v>
      </c>
    </row>
    <row r="84" spans="1:6" x14ac:dyDescent="0.2">
      <c r="A84" s="20">
        <v>18</v>
      </c>
      <c r="B84" s="202" t="s">
        <v>16</v>
      </c>
      <c r="C84" s="203"/>
      <c r="D84" s="15">
        <f t="shared" si="4"/>
        <v>0</v>
      </c>
      <c r="E84" s="18">
        <f>IF(F3="1",SUMIF(Data!A:A,'13'!$A$2,Data!EP:EP),0)</f>
        <v>0</v>
      </c>
      <c r="F84" s="22" t="str">
        <f t="shared" si="5"/>
        <v/>
      </c>
    </row>
    <row r="85" spans="1:6" x14ac:dyDescent="0.2">
      <c r="A85" s="20">
        <v>19</v>
      </c>
      <c r="B85" s="202" t="s">
        <v>17</v>
      </c>
      <c r="C85" s="203"/>
      <c r="D85" s="15">
        <f t="shared" si="4"/>
        <v>916528</v>
      </c>
      <c r="E85" s="18">
        <f>IF(F3="1",SUMIF(Data!A:A,'13'!$A$2,Data!EQ:EQ),0)</f>
        <v>2162843</v>
      </c>
      <c r="F85" s="22">
        <f t="shared" si="5"/>
        <v>2.3598220676291395</v>
      </c>
    </row>
    <row r="86" spans="1:6" x14ac:dyDescent="0.2">
      <c r="A86" s="20">
        <v>20</v>
      </c>
      <c r="B86" s="202" t="s">
        <v>18</v>
      </c>
      <c r="C86" s="203"/>
      <c r="D86" s="15">
        <f t="shared" si="4"/>
        <v>0</v>
      </c>
      <c r="E86" s="18">
        <f>IF(F3="1",SUMIF(Data!A:A,'13'!$A$2,Data!ER:ER),0)</f>
        <v>0</v>
      </c>
      <c r="F86" s="22" t="str">
        <f t="shared" si="5"/>
        <v/>
      </c>
    </row>
    <row r="87" spans="1:6" ht="14.25" customHeight="1" x14ac:dyDescent="0.2">
      <c r="A87" s="20">
        <v>21</v>
      </c>
      <c r="B87" s="202" t="s">
        <v>446</v>
      </c>
      <c r="C87" s="203"/>
      <c r="D87" s="15">
        <f t="shared" si="4"/>
        <v>4140</v>
      </c>
      <c r="E87" s="18">
        <f>IF(F3="1",SUMIF(Data!A:A,'13'!$A$2,Data!ES:ES),0)</f>
        <v>354</v>
      </c>
      <c r="F87" s="22">
        <f t="shared" si="5"/>
        <v>8.5507246376811591E-2</v>
      </c>
    </row>
    <row r="88" spans="1:6" x14ac:dyDescent="0.2">
      <c r="A88" s="20">
        <v>22</v>
      </c>
      <c r="B88" s="202" t="s">
        <v>19</v>
      </c>
      <c r="C88" s="203"/>
      <c r="D88" s="15">
        <f t="shared" si="4"/>
        <v>14736</v>
      </c>
      <c r="E88" s="18">
        <f>IF(F3="1",SUMIF(Data!A:A,'13'!$A$2,Data!ET:ET),0)</f>
        <v>1262</v>
      </c>
      <c r="F88" s="22">
        <f t="shared" si="5"/>
        <v>8.5640608034744839E-2</v>
      </c>
    </row>
    <row r="89" spans="1:6" x14ac:dyDescent="0.2">
      <c r="A89" s="20">
        <v>23</v>
      </c>
      <c r="B89" s="202" t="s">
        <v>20</v>
      </c>
      <c r="C89" s="203"/>
      <c r="D89" s="15">
        <f t="shared" si="4"/>
        <v>303780</v>
      </c>
      <c r="E89" s="18">
        <f>IF(F3="1",SUMIF(Data!A:A,'13'!$A$2,Data!EU:EU),0)</f>
        <v>916955</v>
      </c>
      <c r="F89" s="22">
        <f t="shared" si="5"/>
        <v>3.0184837711501746</v>
      </c>
    </row>
    <row r="90" spans="1:6" x14ac:dyDescent="0.2">
      <c r="A90" s="20">
        <v>24</v>
      </c>
      <c r="B90" s="202" t="s">
        <v>21</v>
      </c>
      <c r="C90" s="203"/>
      <c r="D90" s="15">
        <f t="shared" si="4"/>
        <v>257751</v>
      </c>
      <c r="E90" s="18">
        <f>IF(F3="1",SUMIF(Data!A:A,'13'!$A$2,Data!EV:EV),0)</f>
        <v>803741</v>
      </c>
      <c r="F90" s="22">
        <f t="shared" si="5"/>
        <v>3.1182847011262806</v>
      </c>
    </row>
    <row r="91" spans="1:6" x14ac:dyDescent="0.2">
      <c r="A91" s="20">
        <v>25</v>
      </c>
      <c r="B91" s="202" t="s">
        <v>22</v>
      </c>
      <c r="C91" s="203"/>
      <c r="D91" s="15">
        <f t="shared" si="4"/>
        <v>2162880</v>
      </c>
      <c r="E91" s="18">
        <f>IF(F3="1",SUMIF(Data!A:A,'13'!$A$2,Data!EW:EW),0)</f>
        <v>5936955</v>
      </c>
      <c r="F91" s="22">
        <f t="shared" si="5"/>
        <v>2.744930370616955</v>
      </c>
    </row>
    <row r="92" spans="1:6" x14ac:dyDescent="0.2">
      <c r="A92" s="20">
        <v>26</v>
      </c>
      <c r="B92" s="202" t="s">
        <v>23</v>
      </c>
      <c r="C92" s="203"/>
      <c r="D92" s="15">
        <f t="shared" si="4"/>
        <v>867611</v>
      </c>
      <c r="E92" s="18">
        <f>IF(F3="1",SUMIF(Data!A:A,'13'!$A$2,Data!EX:EX),0)</f>
        <v>3353448</v>
      </c>
      <c r="F92" s="22">
        <f t="shared" si="5"/>
        <v>3.8651515483321441</v>
      </c>
    </row>
    <row r="93" spans="1:6" x14ac:dyDescent="0.2">
      <c r="A93" s="20">
        <v>28</v>
      </c>
      <c r="B93" s="202" t="s">
        <v>24</v>
      </c>
      <c r="C93" s="203"/>
      <c r="D93" s="15">
        <f t="shared" si="4"/>
        <v>618816</v>
      </c>
      <c r="E93" s="18">
        <f>IF(F3="1",SUMIF(Data!A:A,'13'!$A$2,Data!EZ:EZ),0)</f>
        <v>1510630</v>
      </c>
      <c r="F93" s="22">
        <f t="shared" si="5"/>
        <v>2.4411618316268489</v>
      </c>
    </row>
    <row r="94" spans="1:6" ht="15.75" customHeight="1" thickBot="1" x14ac:dyDescent="0.25">
      <c r="A94" s="23">
        <v>29</v>
      </c>
      <c r="B94" s="206" t="s">
        <v>25</v>
      </c>
      <c r="C94" s="207"/>
      <c r="D94" s="24">
        <f t="shared" si="4"/>
        <v>337280</v>
      </c>
      <c r="E94" s="25">
        <f>IF(F3="1",SUMIF(Data!A:A,'13'!$A$2,Data!FA:FA),0)</f>
        <v>1200166</v>
      </c>
      <c r="F94" s="26">
        <f t="shared" si="5"/>
        <v>3.5583669354838712</v>
      </c>
    </row>
    <row r="95" spans="1:6" x14ac:dyDescent="0.2">
      <c r="B95" s="31" t="s">
        <v>35</v>
      </c>
      <c r="C95" s="31"/>
      <c r="D95" s="60">
        <f>SUM(D67:D94)</f>
        <v>11219475</v>
      </c>
      <c r="E95" s="32">
        <f>SUM(E67:E94)</f>
        <v>33739337</v>
      </c>
      <c r="F95" s="33">
        <f t="shared" si="5"/>
        <v>3.007211745647635</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IF(F3="1",SUMIF(Data!A:A,'13'!$A$2,Data!AH:AH),0)</f>
        <v>12492520</v>
      </c>
      <c r="F98" s="21">
        <f t="shared" ref="F98:F105" si="6">IFERROR(E98/$D$95,0)</f>
        <v>1.1134674305170251</v>
      </c>
    </row>
    <row r="99" spans="2:6" x14ac:dyDescent="0.2">
      <c r="B99" s="212" t="s">
        <v>31</v>
      </c>
      <c r="C99" s="213"/>
      <c r="D99" s="37"/>
      <c r="E99" s="18">
        <f>IF(F3="1",SUMIF(Data!A:A,'13'!$A$2,Data!AI:AI),0)</f>
        <v>7112400</v>
      </c>
      <c r="F99" s="22">
        <f t="shared" si="6"/>
        <v>0.63393340597487846</v>
      </c>
    </row>
    <row r="100" spans="2:6" x14ac:dyDescent="0.2">
      <c r="B100" s="212" t="s">
        <v>32</v>
      </c>
      <c r="C100" s="213"/>
      <c r="D100" s="37"/>
      <c r="E100" s="18">
        <f>IF(F3="1",SUMIF(Data!A:A,'13'!$A$2,Data!AJ:AJ),0)</f>
        <v>7942906</v>
      </c>
      <c r="F100" s="22">
        <f t="shared" si="6"/>
        <v>0.7079570122487906</v>
      </c>
    </row>
    <row r="101" spans="2:6" x14ac:dyDescent="0.2">
      <c r="B101" s="212" t="s">
        <v>28</v>
      </c>
      <c r="C101" s="213"/>
      <c r="D101" s="37"/>
      <c r="E101" s="18">
        <f>IF(F3="1",SUMIF(Data!A:A,'13'!$A$2,Data!AK:AK),0)</f>
        <v>0</v>
      </c>
      <c r="F101" s="22">
        <f t="shared" si="6"/>
        <v>0</v>
      </c>
    </row>
    <row r="102" spans="2:6" x14ac:dyDescent="0.2">
      <c r="B102" s="212" t="s">
        <v>33</v>
      </c>
      <c r="C102" s="213"/>
      <c r="D102" s="37"/>
      <c r="E102" s="18">
        <f>IF(F3="1",SUMIF(Data!A:A,'13'!$A$2,Data!AL:AL),0)</f>
        <v>0</v>
      </c>
      <c r="F102" s="22">
        <f t="shared" si="6"/>
        <v>0</v>
      </c>
    </row>
    <row r="103" spans="2:6" x14ac:dyDescent="0.2">
      <c r="B103" s="214" t="s">
        <v>34</v>
      </c>
      <c r="C103" s="215"/>
      <c r="D103" s="37"/>
      <c r="E103" s="18">
        <f>IF(F3="1",SUMIF(Data!A:A,'13'!$A$2,Data!AM:AM),0)</f>
        <v>2193136</v>
      </c>
      <c r="F103" s="22">
        <f t="shared" si="6"/>
        <v>0.195475813262207</v>
      </c>
    </row>
    <row r="104" spans="2:6" ht="15.75" customHeight="1" thickBot="1" x14ac:dyDescent="0.25">
      <c r="B104" s="208" t="s">
        <v>29</v>
      </c>
      <c r="C104" s="209"/>
      <c r="D104" s="38"/>
      <c r="E104" s="25">
        <f>IF(F3="1",SUMIF(Data!A:A,'13'!$A$2,Data!Q:Q),0)</f>
        <v>1840330</v>
      </c>
      <c r="F104" s="26">
        <f t="shared" si="6"/>
        <v>0.16402995683844387</v>
      </c>
    </row>
    <row r="105" spans="2:6" x14ac:dyDescent="0.2">
      <c r="B105" s="31" t="s">
        <v>35</v>
      </c>
      <c r="C105" s="31"/>
      <c r="D105" s="35">
        <f>D95</f>
        <v>11219475</v>
      </c>
      <c r="E105" s="32">
        <f>SUM(E98:E104)</f>
        <v>31581292</v>
      </c>
      <c r="F105" s="33">
        <f t="shared" si="6"/>
        <v>2.8148636188413452</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6">
        <f>E95+IF(F3="1",SUMIF(Data!$A:$A,$A$2,Data!GF:GF),0)</f>
        <v>40827287</v>
      </c>
      <c r="D109" s="192">
        <f>IF(F3="1",SUMIF(Data!$A:$A,$A$2,Data!HJ:HJ),0)</f>
        <v>3753293</v>
      </c>
      <c r="E109" s="196">
        <f>IF(F3="1",SUMIF(Data!$A:$A,$A$2,Data!IN:IN),0)</f>
        <v>4818198</v>
      </c>
      <c r="F109" s="48">
        <f>SUM(C109:E109)</f>
        <v>49398778</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7">
        <f>IF(F3="1",SUMIF(Data!A:A,$A$2,Data!AS:AS),0)</f>
        <v>184346</v>
      </c>
      <c r="D111" s="52"/>
      <c r="E111" s="197">
        <f>IF(F3="1",SUMIF(Data!A:A,$A$2,Data!AX:AX)-SUMIF(Data!A:A,$A$2,Data!AW:AW),0)</f>
        <v>4762</v>
      </c>
      <c r="F111" s="49">
        <f t="shared" si="7"/>
        <v>189108</v>
      </c>
    </row>
    <row r="112" spans="2:6" x14ac:dyDescent="0.2">
      <c r="B112" s="43" t="s">
        <v>32</v>
      </c>
      <c r="C112" s="193">
        <f>IF(F3="1",SUMIF(Data!A:A,$A$2,Data!V:V),0)</f>
        <v>6235365</v>
      </c>
      <c r="D112" s="52"/>
      <c r="E112" s="193">
        <f>IF(F3="1",SUMIF(Data!A:A,$A$2,Data!AC:AC),0)</f>
        <v>1707541</v>
      </c>
      <c r="F112" s="49">
        <f t="shared" si="7"/>
        <v>7942906</v>
      </c>
    </row>
    <row r="113" spans="1:6" x14ac:dyDescent="0.2">
      <c r="B113" s="43" t="s">
        <v>31</v>
      </c>
      <c r="C113" s="193">
        <f>IF(F3="1",SUMIF(Data!A:A,$A$2,Data!U:U),0)</f>
        <v>6411467</v>
      </c>
      <c r="D113" s="52"/>
      <c r="E113" s="193">
        <f>IF(F3="1",SUMIF(Data!A:A,$A$2,Data!AB:AB),0)</f>
        <v>700933</v>
      </c>
      <c r="F113" s="49">
        <f t="shared" si="7"/>
        <v>7112400</v>
      </c>
    </row>
    <row r="114" spans="1:6" x14ac:dyDescent="0.2">
      <c r="B114" s="43" t="s">
        <v>1002</v>
      </c>
      <c r="C114" s="193">
        <f>IF(F3="1",SUMIF(Data!A:A,$A$2,Data!T:T),0)</f>
        <v>7290381</v>
      </c>
      <c r="D114" s="52"/>
      <c r="E114" s="193">
        <f>IF(F3="1",SUMIF(Data!A:A,$A$2,Data!AA:AA),0)</f>
        <v>5202139</v>
      </c>
      <c r="F114" s="49">
        <f t="shared" si="7"/>
        <v>12492520</v>
      </c>
    </row>
    <row r="115" spans="1:6" x14ac:dyDescent="0.2">
      <c r="B115" s="43" t="s">
        <v>916</v>
      </c>
      <c r="C115" s="193">
        <f>IF(F3="1",SUMIF(Data!A:A,$A$2,Data!BI:BI),0)</f>
        <v>3040543</v>
      </c>
      <c r="D115" s="193">
        <f>IF(F3="1",SUMIF(Data!A:A,$A$2,Data!BL:BL),0)</f>
        <v>393339</v>
      </c>
      <c r="E115" s="193">
        <f>IF(F3="1",SUMIF(Data!A:A,$A$2,Data!BU:BU)-SUMIF(Data!A:A,$A$2,Data!BT:BT),0)</f>
        <v>8369093</v>
      </c>
      <c r="F115" s="49">
        <f t="shared" si="7"/>
        <v>11802975</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1840330</v>
      </c>
      <c r="E117" s="53"/>
      <c r="F117" s="50">
        <f>SUM(C117:E117)</f>
        <v>1840330</v>
      </c>
    </row>
    <row r="118" spans="1:6" x14ac:dyDescent="0.2">
      <c r="B118" s="14" t="s">
        <v>35</v>
      </c>
      <c r="C118" s="178">
        <f>SUM(C109:C117)</f>
        <v>63989389</v>
      </c>
      <c r="D118" s="194">
        <f>SUM(D109:D117)</f>
        <v>5986962</v>
      </c>
      <c r="E118" s="178">
        <f>SUM(E109:E117)</f>
        <v>20802666</v>
      </c>
      <c r="F118" s="178">
        <f>SUM(F109:F117)</f>
        <v>90779017</v>
      </c>
    </row>
    <row r="119" spans="1:6" x14ac:dyDescent="0.2">
      <c r="C119" s="177"/>
      <c r="D119" s="177"/>
      <c r="E119" s="177"/>
    </row>
    <row r="120" spans="1:6" ht="15" thickBot="1" x14ac:dyDescent="0.25">
      <c r="B120" s="188" t="s">
        <v>921</v>
      </c>
      <c r="C120" s="53"/>
      <c r="D120" s="53"/>
      <c r="E120" s="198">
        <f>IF(F3="1",SUMIF(Data!A:A,$A$2,Data!AF:AF)+SUMIF(Data!A:A,$A$2,Data!AW:AW)+SUMIF(Data!A:A,$A$2,Data!BT:BT),0)</f>
        <v>6790160</v>
      </c>
      <c r="F120" s="181">
        <f>SUM(C120:E120)</f>
        <v>6790160</v>
      </c>
    </row>
    <row r="121" spans="1:6" s="177" customFormat="1" x14ac:dyDescent="0.2">
      <c r="B121" s="14" t="s">
        <v>35</v>
      </c>
      <c r="C121" s="178">
        <f>SUM(C120:C120)</f>
        <v>0</v>
      </c>
      <c r="D121" s="178">
        <f>SUM(D120:D120)</f>
        <v>0</v>
      </c>
      <c r="E121" s="178">
        <f>SUM(E120:E120)</f>
        <v>6790160</v>
      </c>
      <c r="F121" s="178">
        <f>SUM(F120:F120)</f>
        <v>6790160</v>
      </c>
    </row>
    <row r="122" spans="1:6" s="177" customFormat="1" ht="15" thickBot="1" x14ac:dyDescent="0.25">
      <c r="B122" s="14" t="s">
        <v>1396</v>
      </c>
      <c r="C122" s="178"/>
      <c r="D122" s="178"/>
      <c r="E122" s="178"/>
      <c r="F122" s="190">
        <f>F118+F121</f>
        <v>97569177</v>
      </c>
    </row>
    <row r="123" spans="1:6" ht="15" thickTop="1" x14ac:dyDescent="0.2">
      <c r="F123" s="184"/>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38"/>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6.85546875" style="58" bestFit="1"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439</v>
      </c>
      <c r="B2" s="59" t="str">
        <f>VLOOKUP(A2,Data!A:G,7,0)</f>
        <v>Dallas County Community College District</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78312</v>
      </c>
      <c r="E5" s="16">
        <f>E36+E67+IFERROR($E$105/$D$105*D5,0)</f>
        <v>1338590.5912275082</v>
      </c>
      <c r="F5" s="21">
        <f>IFERROR(E5/D5,"")</f>
        <v>17.093045653635563</v>
      </c>
    </row>
    <row r="6" spans="1:6" x14ac:dyDescent="0.2">
      <c r="A6" s="20">
        <v>2</v>
      </c>
      <c r="B6" s="202" t="s">
        <v>1</v>
      </c>
      <c r="C6" s="203"/>
      <c r="D6" s="15">
        <f t="shared" ref="D6:D32" si="0">D37</f>
        <v>173029</v>
      </c>
      <c r="E6" s="18">
        <f t="shared" ref="E6:E32" si="1">E37+E68+IFERROR($E$105/$D$105*D6,0)</f>
        <v>1523612.2996156977</v>
      </c>
      <c r="F6" s="22">
        <f t="shared" ref="F6:F33" si="2">IFERROR(E6/D6,"")</f>
        <v>8.8055314404851082</v>
      </c>
    </row>
    <row r="7" spans="1:6" ht="14.25" customHeight="1" x14ac:dyDescent="0.2">
      <c r="A7" s="20">
        <v>3</v>
      </c>
      <c r="B7" s="202" t="s">
        <v>2</v>
      </c>
      <c r="C7" s="203"/>
      <c r="D7" s="15">
        <f t="shared" si="0"/>
        <v>3838872</v>
      </c>
      <c r="E7" s="18">
        <f t="shared" si="1"/>
        <v>28974212.39767503</v>
      </c>
      <c r="F7" s="22">
        <f t="shared" si="2"/>
        <v>7.5475849149633092</v>
      </c>
    </row>
    <row r="8" spans="1:6" ht="14.25" customHeight="1" x14ac:dyDescent="0.2">
      <c r="A8" s="20">
        <v>4</v>
      </c>
      <c r="B8" s="202" t="s">
        <v>3</v>
      </c>
      <c r="C8" s="203"/>
      <c r="D8" s="15">
        <f t="shared" si="0"/>
        <v>2772943</v>
      </c>
      <c r="E8" s="18">
        <f t="shared" si="1"/>
        <v>20828124.889112528</v>
      </c>
      <c r="F8" s="22">
        <f t="shared" si="2"/>
        <v>7.5111983510344524</v>
      </c>
    </row>
    <row r="9" spans="1:6" x14ac:dyDescent="0.2">
      <c r="A9" s="20">
        <v>5</v>
      </c>
      <c r="B9" s="202" t="s">
        <v>4</v>
      </c>
      <c r="C9" s="203"/>
      <c r="D9" s="15">
        <f t="shared" si="0"/>
        <v>11568</v>
      </c>
      <c r="E9" s="18">
        <f t="shared" si="1"/>
        <v>194564.84951629143</v>
      </c>
      <c r="F9" s="22">
        <f t="shared" si="2"/>
        <v>16.819229729969869</v>
      </c>
    </row>
    <row r="10" spans="1:6" x14ac:dyDescent="0.2">
      <c r="A10" s="20">
        <v>6</v>
      </c>
      <c r="B10" s="202" t="s">
        <v>5</v>
      </c>
      <c r="C10" s="203"/>
      <c r="D10" s="15">
        <f t="shared" si="0"/>
        <v>992662</v>
      </c>
      <c r="E10" s="18">
        <f t="shared" si="1"/>
        <v>8921374.089604158</v>
      </c>
      <c r="F10" s="22">
        <f t="shared" si="2"/>
        <v>8.9873230662644055</v>
      </c>
    </row>
    <row r="11" spans="1:6" x14ac:dyDescent="0.2">
      <c r="A11" s="20">
        <v>7</v>
      </c>
      <c r="B11" s="202" t="s">
        <v>6</v>
      </c>
      <c r="C11" s="203"/>
      <c r="D11" s="15">
        <f t="shared" si="0"/>
        <v>2142406</v>
      </c>
      <c r="E11" s="18">
        <f t="shared" si="1"/>
        <v>16221271.04588519</v>
      </c>
      <c r="F11" s="22">
        <f t="shared" si="2"/>
        <v>7.5715205455386094</v>
      </c>
    </row>
    <row r="12" spans="1:6" x14ac:dyDescent="0.2">
      <c r="A12" s="20">
        <v>8</v>
      </c>
      <c r="B12" s="202" t="s">
        <v>7</v>
      </c>
      <c r="C12" s="203"/>
      <c r="D12" s="15">
        <f t="shared" si="0"/>
        <v>182582</v>
      </c>
      <c r="E12" s="18">
        <f t="shared" si="1"/>
        <v>2382621.3855794882</v>
      </c>
      <c r="F12" s="22">
        <f t="shared" si="2"/>
        <v>13.049596266770482</v>
      </c>
    </row>
    <row r="13" spans="1:6" x14ac:dyDescent="0.2">
      <c r="A13" s="20">
        <v>9</v>
      </c>
      <c r="B13" s="202" t="s">
        <v>8</v>
      </c>
      <c r="C13" s="203"/>
      <c r="D13" s="15">
        <f t="shared" si="0"/>
        <v>653684</v>
      </c>
      <c r="E13" s="18">
        <f t="shared" si="1"/>
        <v>4662493.1285621934</v>
      </c>
      <c r="F13" s="22">
        <f t="shared" si="2"/>
        <v>7.1326407385865238</v>
      </c>
    </row>
    <row r="14" spans="1:6" x14ac:dyDescent="0.2">
      <c r="A14" s="20">
        <v>10</v>
      </c>
      <c r="B14" s="202" t="s">
        <v>9</v>
      </c>
      <c r="C14" s="203"/>
      <c r="D14" s="15">
        <f t="shared" si="0"/>
        <v>34087</v>
      </c>
      <c r="E14" s="18">
        <f t="shared" si="1"/>
        <v>332960.48050326988</v>
      </c>
      <c r="F14" s="22">
        <f t="shared" si="2"/>
        <v>9.7679608209367164</v>
      </c>
    </row>
    <row r="15" spans="1:6" x14ac:dyDescent="0.2">
      <c r="A15" s="20">
        <v>11</v>
      </c>
      <c r="B15" s="202" t="s">
        <v>10</v>
      </c>
      <c r="C15" s="203"/>
      <c r="D15" s="15">
        <f t="shared" si="0"/>
        <v>483334</v>
      </c>
      <c r="E15" s="18">
        <f t="shared" si="1"/>
        <v>3152328.7111088522</v>
      </c>
      <c r="F15" s="22">
        <f t="shared" si="2"/>
        <v>6.5220504063625819</v>
      </c>
    </row>
    <row r="16" spans="1:6" ht="14.25" customHeight="1" x14ac:dyDescent="0.2">
      <c r="A16" s="20">
        <v>12</v>
      </c>
      <c r="B16" s="202" t="s">
        <v>11</v>
      </c>
      <c r="C16" s="203"/>
      <c r="D16" s="15">
        <f t="shared" si="0"/>
        <v>2933212</v>
      </c>
      <c r="E16" s="18">
        <f t="shared" si="1"/>
        <v>28936434.078093037</v>
      </c>
      <c r="F16" s="22">
        <f t="shared" si="2"/>
        <v>9.8651014921843476</v>
      </c>
    </row>
    <row r="17" spans="1:6" x14ac:dyDescent="0.2">
      <c r="A17" s="20">
        <v>13</v>
      </c>
      <c r="B17" s="202" t="s">
        <v>12</v>
      </c>
      <c r="C17" s="203"/>
      <c r="D17" s="15">
        <f t="shared" si="0"/>
        <v>750840</v>
      </c>
      <c r="E17" s="18">
        <f t="shared" si="1"/>
        <v>5186120.2906995378</v>
      </c>
      <c r="F17" s="22">
        <f t="shared" si="2"/>
        <v>6.907091112220364</v>
      </c>
    </row>
    <row r="18" spans="1:6" ht="14.25" customHeight="1" x14ac:dyDescent="0.2">
      <c r="A18" s="20">
        <v>14</v>
      </c>
      <c r="B18" s="202" t="s">
        <v>449</v>
      </c>
      <c r="C18" s="203"/>
      <c r="D18" s="15">
        <f t="shared" si="0"/>
        <v>669085</v>
      </c>
      <c r="E18" s="18">
        <f t="shared" si="1"/>
        <v>7598898.1868609833</v>
      </c>
      <c r="F18" s="22">
        <f t="shared" si="2"/>
        <v>11.357149221490518</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1098463</v>
      </c>
      <c r="E20" s="18">
        <f t="shared" si="1"/>
        <v>8463380.8502086829</v>
      </c>
      <c r="F20" s="22">
        <f t="shared" si="2"/>
        <v>7.7047482256650275</v>
      </c>
    </row>
    <row r="21" spans="1:6" x14ac:dyDescent="0.2">
      <c r="A21" s="20">
        <v>17</v>
      </c>
      <c r="B21" s="202" t="s">
        <v>15</v>
      </c>
      <c r="C21" s="203"/>
      <c r="D21" s="15">
        <f t="shared" si="0"/>
        <v>22008</v>
      </c>
      <c r="E21" s="18">
        <f t="shared" si="1"/>
        <v>399933.48549053783</v>
      </c>
      <c r="F21" s="22">
        <f t="shared" si="2"/>
        <v>18.172186727123673</v>
      </c>
    </row>
    <row r="22" spans="1:6" x14ac:dyDescent="0.2">
      <c r="A22" s="20">
        <v>18</v>
      </c>
      <c r="B22" s="202" t="s">
        <v>16</v>
      </c>
      <c r="C22" s="203"/>
      <c r="D22" s="15">
        <f t="shared" si="0"/>
        <v>28892</v>
      </c>
      <c r="E22" s="18">
        <f t="shared" si="1"/>
        <v>521901.04047585512</v>
      </c>
      <c r="F22" s="22">
        <f t="shared" si="2"/>
        <v>18.063859908481763</v>
      </c>
    </row>
    <row r="23" spans="1:6" x14ac:dyDescent="0.2">
      <c r="A23" s="20">
        <v>19</v>
      </c>
      <c r="B23" s="202" t="s">
        <v>17</v>
      </c>
      <c r="C23" s="203"/>
      <c r="D23" s="15">
        <f t="shared" si="0"/>
        <v>1464740</v>
      </c>
      <c r="E23" s="18">
        <f t="shared" si="1"/>
        <v>9952736.3081338797</v>
      </c>
      <c r="F23" s="22">
        <f t="shared" si="2"/>
        <v>6.7948825785694931</v>
      </c>
    </row>
    <row r="24" spans="1:6" x14ac:dyDescent="0.2">
      <c r="A24" s="20">
        <v>20</v>
      </c>
      <c r="B24" s="202" t="s">
        <v>18</v>
      </c>
      <c r="C24" s="203"/>
      <c r="D24" s="15">
        <f t="shared" si="0"/>
        <v>502935</v>
      </c>
      <c r="E24" s="18">
        <f t="shared" si="1"/>
        <v>4747598.2666386608</v>
      </c>
      <c r="F24" s="22">
        <f t="shared" si="2"/>
        <v>9.4397849953545894</v>
      </c>
    </row>
    <row r="25" spans="1:6" ht="14.25" customHeight="1" x14ac:dyDescent="0.2">
      <c r="A25" s="20">
        <v>21</v>
      </c>
      <c r="B25" s="202" t="s">
        <v>446</v>
      </c>
      <c r="C25" s="203"/>
      <c r="D25" s="15">
        <f t="shared" si="0"/>
        <v>76520</v>
      </c>
      <c r="E25" s="18">
        <f t="shared" si="1"/>
        <v>404094.25907560694</v>
      </c>
      <c r="F25" s="22">
        <f t="shared" si="2"/>
        <v>5.2808972696759922</v>
      </c>
    </row>
    <row r="26" spans="1:6" x14ac:dyDescent="0.2">
      <c r="A26" s="20">
        <v>22</v>
      </c>
      <c r="B26" s="202" t="s">
        <v>19</v>
      </c>
      <c r="C26" s="203"/>
      <c r="D26" s="15">
        <f t="shared" si="0"/>
        <v>122499</v>
      </c>
      <c r="E26" s="18">
        <f t="shared" si="1"/>
        <v>1181571.7674529897</v>
      </c>
      <c r="F26" s="22">
        <f t="shared" si="2"/>
        <v>9.6455625552289384</v>
      </c>
    </row>
    <row r="27" spans="1:6" x14ac:dyDescent="0.2">
      <c r="A27" s="20">
        <v>23</v>
      </c>
      <c r="B27" s="202" t="s">
        <v>20</v>
      </c>
      <c r="C27" s="203"/>
      <c r="D27" s="15">
        <f t="shared" si="0"/>
        <v>431216</v>
      </c>
      <c r="E27" s="18">
        <f t="shared" si="1"/>
        <v>4133061.8109454643</v>
      </c>
      <c r="F27" s="22">
        <f t="shared" si="2"/>
        <v>9.5846671063816373</v>
      </c>
    </row>
    <row r="28" spans="1:6" x14ac:dyDescent="0.2">
      <c r="A28" s="20">
        <v>24</v>
      </c>
      <c r="B28" s="202" t="s">
        <v>21</v>
      </c>
      <c r="C28" s="203"/>
      <c r="D28" s="15">
        <f t="shared" si="0"/>
        <v>988592</v>
      </c>
      <c r="E28" s="18">
        <f t="shared" si="1"/>
        <v>7023643.1577636227</v>
      </c>
      <c r="F28" s="22">
        <f t="shared" si="2"/>
        <v>7.1046935012256043</v>
      </c>
    </row>
    <row r="29" spans="1:6" x14ac:dyDescent="0.2">
      <c r="A29" s="20">
        <v>25</v>
      </c>
      <c r="B29" s="202" t="s">
        <v>22</v>
      </c>
      <c r="C29" s="203"/>
      <c r="D29" s="15">
        <f t="shared" si="0"/>
        <v>5154066</v>
      </c>
      <c r="E29" s="18">
        <f t="shared" si="1"/>
        <v>33948621.691306546</v>
      </c>
      <c r="F29" s="22">
        <f t="shared" si="2"/>
        <v>6.5867650300377498</v>
      </c>
    </row>
    <row r="30" spans="1:6" x14ac:dyDescent="0.2">
      <c r="A30" s="20">
        <v>26</v>
      </c>
      <c r="B30" s="202" t="s">
        <v>23</v>
      </c>
      <c r="C30" s="203"/>
      <c r="D30" s="15">
        <f t="shared" si="0"/>
        <v>1867138</v>
      </c>
      <c r="E30" s="18">
        <f t="shared" si="1"/>
        <v>15513156.477364225</v>
      </c>
      <c r="F30" s="22">
        <f t="shared" si="2"/>
        <v>8.3085216397310884</v>
      </c>
    </row>
    <row r="31" spans="1:6" x14ac:dyDescent="0.2">
      <c r="A31" s="20">
        <v>28</v>
      </c>
      <c r="B31" s="202" t="s">
        <v>24</v>
      </c>
      <c r="C31" s="203"/>
      <c r="D31" s="15">
        <f t="shared" si="0"/>
        <v>1910568</v>
      </c>
      <c r="E31" s="18">
        <f t="shared" si="1"/>
        <v>13836296.668969736</v>
      </c>
      <c r="F31" s="22">
        <f t="shared" si="2"/>
        <v>7.2419807455006762</v>
      </c>
    </row>
    <row r="32" spans="1:6" ht="15.75" customHeight="1" thickBot="1" x14ac:dyDescent="0.25">
      <c r="A32" s="23">
        <v>29</v>
      </c>
      <c r="B32" s="206" t="s">
        <v>25</v>
      </c>
      <c r="C32" s="207"/>
      <c r="D32" s="24">
        <f t="shared" si="0"/>
        <v>2373816</v>
      </c>
      <c r="E32" s="25">
        <f t="shared" si="1"/>
        <v>13448546.792130435</v>
      </c>
      <c r="F32" s="26">
        <f t="shared" si="2"/>
        <v>5.6653703539492675</v>
      </c>
    </row>
    <row r="33" spans="1:6" x14ac:dyDescent="0.2">
      <c r="B33" s="31" t="s">
        <v>35</v>
      </c>
      <c r="C33" s="31"/>
      <c r="D33" s="60">
        <f>SUM(D5:D32)</f>
        <v>31758069</v>
      </c>
      <c r="E33" s="32">
        <f>SUM(E5:E32)</f>
        <v>243828148.99999997</v>
      </c>
      <c r="F33" s="33">
        <f t="shared" si="2"/>
        <v>7.6776755224003059</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IF(F3="1",SUMIF(Data!A:A,'14'!$A$2,Data!CU:CU),0)</f>
        <v>78312</v>
      </c>
      <c r="E36" s="16">
        <f>IF(F3="1",SUMIF(Data!$A:$A,'14'!$A$2,Data!IO:IO),0)</f>
        <v>595820</v>
      </c>
      <c r="F36" s="21">
        <f t="shared" ref="F36:F64" si="3">IFERROR(E36/D36,"")</f>
        <v>7.6082848094800282</v>
      </c>
    </row>
    <row r="37" spans="1:6" x14ac:dyDescent="0.2">
      <c r="A37" s="20">
        <v>2</v>
      </c>
      <c r="B37" s="202" t="s">
        <v>1</v>
      </c>
      <c r="C37" s="203"/>
      <c r="D37" s="15">
        <f>IF(F3="1",SUMIF(Data!A:A,'14'!$A$2,Data!CV:CV),0)</f>
        <v>173029</v>
      </c>
      <c r="E37" s="18">
        <f>IF(F3="1",SUMIF(Data!$A:$A,'14'!$A$2,Data!IP:IP),0)</f>
        <v>354891</v>
      </c>
      <c r="F37" s="22">
        <f t="shared" si="3"/>
        <v>2.0510492460801371</v>
      </c>
    </row>
    <row r="38" spans="1:6" ht="14.25" customHeight="1" x14ac:dyDescent="0.2">
      <c r="A38" s="20">
        <v>3</v>
      </c>
      <c r="B38" s="202" t="s">
        <v>2</v>
      </c>
      <c r="C38" s="203"/>
      <c r="D38" s="15">
        <f>IF(F3="1",SUMIF(Data!A:A,'14'!$A$2,Data!CW:CW),0)</f>
        <v>3838872</v>
      </c>
      <c r="E38" s="18">
        <f>IF(F3="1",SUMIF(Data!$A:$A,'14'!$A$2,Data!IQ:IQ),0)</f>
        <v>6258428</v>
      </c>
      <c r="F38" s="22">
        <f t="shared" si="3"/>
        <v>1.6302778524524912</v>
      </c>
    </row>
    <row r="39" spans="1:6" ht="14.25" customHeight="1" x14ac:dyDescent="0.2">
      <c r="A39" s="20">
        <v>4</v>
      </c>
      <c r="B39" s="202" t="s">
        <v>3</v>
      </c>
      <c r="C39" s="203"/>
      <c r="D39" s="15">
        <f>IF(F3="1",SUMIF(Data!A:A,'14'!$A$2,Data!CX:CX),0)</f>
        <v>2772943</v>
      </c>
      <c r="E39" s="18">
        <f>IF(F3="1",SUMIF(Data!$A:$A,'14'!$A$2,Data!IR:IR),0)</f>
        <v>5303970</v>
      </c>
      <c r="F39" s="22">
        <f t="shared" si="3"/>
        <v>1.9127583942403432</v>
      </c>
    </row>
    <row r="40" spans="1:6" x14ac:dyDescent="0.2">
      <c r="A40" s="20">
        <v>5</v>
      </c>
      <c r="B40" s="202" t="s">
        <v>4</v>
      </c>
      <c r="C40" s="203"/>
      <c r="D40" s="15">
        <f>IF(F3="1",SUMIF(Data!A:A,'14'!$A$2,Data!CY:CY),0)</f>
        <v>11568</v>
      </c>
      <c r="E40" s="18">
        <f>IF(F3="1",SUMIF(Data!$A:$A,'14'!$A$2,Data!IS:IS),0)</f>
        <v>41734</v>
      </c>
      <c r="F40" s="22">
        <f t="shared" si="3"/>
        <v>3.6077109266943292</v>
      </c>
    </row>
    <row r="41" spans="1:6" x14ac:dyDescent="0.2">
      <c r="A41" s="20">
        <v>6</v>
      </c>
      <c r="B41" s="202" t="s">
        <v>5</v>
      </c>
      <c r="C41" s="203"/>
      <c r="D41" s="15">
        <f>IF(F3="1",SUMIF(Data!A:A,'14'!$A$2,Data!CZ:CZ),0)</f>
        <v>992662</v>
      </c>
      <c r="E41" s="18">
        <f>IF(F3="1",SUMIF(Data!$A:$A,'14'!$A$2,Data!IT:IT),0)</f>
        <v>3847744</v>
      </c>
      <c r="F41" s="22">
        <f t="shared" si="3"/>
        <v>3.876187463607955</v>
      </c>
    </row>
    <row r="42" spans="1:6" x14ac:dyDescent="0.2">
      <c r="A42" s="20">
        <v>7</v>
      </c>
      <c r="B42" s="202" t="s">
        <v>6</v>
      </c>
      <c r="C42" s="203"/>
      <c r="D42" s="15">
        <f>IF(F3="1",SUMIF(Data!A:A,'14'!$A$2,Data!DA:DA),0)</f>
        <v>2142406</v>
      </c>
      <c r="E42" s="18">
        <f>IF(F3="1",SUMIF(Data!$A:$A,'14'!$A$2,Data!IU:IU),0)</f>
        <v>2882384</v>
      </c>
      <c r="F42" s="22">
        <f t="shared" si="3"/>
        <v>1.3453957839923898</v>
      </c>
    </row>
    <row r="43" spans="1:6" x14ac:dyDescent="0.2">
      <c r="A43" s="20">
        <v>8</v>
      </c>
      <c r="B43" s="202" t="s">
        <v>7</v>
      </c>
      <c r="C43" s="203"/>
      <c r="D43" s="15">
        <f>IF(F3="1",SUMIF(Data!A:A,'14'!$A$2,Data!DB:DB),0)</f>
        <v>182582</v>
      </c>
      <c r="E43" s="18">
        <f>IF(F3="1",SUMIF(Data!$A:$A,'14'!$A$2,Data!IV:IV),0)</f>
        <v>1042610</v>
      </c>
      <c r="F43" s="22">
        <f t="shared" si="3"/>
        <v>5.7103657534696737</v>
      </c>
    </row>
    <row r="44" spans="1:6" x14ac:dyDescent="0.2">
      <c r="A44" s="20">
        <v>9</v>
      </c>
      <c r="B44" s="202" t="s">
        <v>8</v>
      </c>
      <c r="C44" s="203"/>
      <c r="D44" s="15">
        <f>IF(F3="1",SUMIF(Data!A:A,'14'!$A$2,Data!DC:DC),0)</f>
        <v>653684</v>
      </c>
      <c r="E44" s="18">
        <f>IF(F3="1",SUMIF(Data!$A:$A,'14'!$A$2,Data!IW:IW),0)</f>
        <v>1215492</v>
      </c>
      <c r="F44" s="22">
        <f t="shared" si="3"/>
        <v>1.8594489080350751</v>
      </c>
    </row>
    <row r="45" spans="1:6" x14ac:dyDescent="0.2">
      <c r="A45" s="20">
        <v>10</v>
      </c>
      <c r="B45" s="202" t="s">
        <v>9</v>
      </c>
      <c r="C45" s="203"/>
      <c r="D45" s="15">
        <f>IF(F3="1",SUMIF(Data!A:A,'14'!$A$2,Data!DD:DD),0)</f>
        <v>34087</v>
      </c>
      <c r="E45" s="18">
        <f>IF(F3="1",SUMIF(Data!$A:$A,'14'!$A$2,Data!IX:IX),0)</f>
        <v>64759</v>
      </c>
      <c r="F45" s="22">
        <f t="shared" si="3"/>
        <v>1.89981517880717</v>
      </c>
    </row>
    <row r="46" spans="1:6" x14ac:dyDescent="0.2">
      <c r="A46" s="20">
        <v>11</v>
      </c>
      <c r="B46" s="202" t="s">
        <v>10</v>
      </c>
      <c r="C46" s="203"/>
      <c r="D46" s="15">
        <f>IF(F3="1",SUMIF(Data!A:A,'14'!$A$2,Data!DE:DE),0)</f>
        <v>483334</v>
      </c>
      <c r="E46" s="18">
        <f>IF(F3="1",SUMIF(Data!$A:$A,'14'!$A$2,Data!IY:IY),0)</f>
        <v>849876</v>
      </c>
      <c r="F46" s="22">
        <f t="shared" si="3"/>
        <v>1.7583617126045343</v>
      </c>
    </row>
    <row r="47" spans="1:6" ht="14.25" customHeight="1" x14ac:dyDescent="0.2">
      <c r="A47" s="20">
        <v>12</v>
      </c>
      <c r="B47" s="202" t="s">
        <v>11</v>
      </c>
      <c r="C47" s="203"/>
      <c r="D47" s="15">
        <f>IF(F3="1",SUMIF(Data!A:A,'14'!$A$2,Data!DF:DF),0)</f>
        <v>2933212</v>
      </c>
      <c r="E47" s="18">
        <f>IF(F3="1",SUMIF(Data!$A:$A,'14'!$A$2,Data!IZ:IZ),0)</f>
        <v>6638903</v>
      </c>
      <c r="F47" s="22">
        <f t="shared" si="3"/>
        <v>2.2633560069984715</v>
      </c>
    </row>
    <row r="48" spans="1:6" x14ac:dyDescent="0.2">
      <c r="A48" s="20">
        <v>13</v>
      </c>
      <c r="B48" s="202" t="s">
        <v>12</v>
      </c>
      <c r="C48" s="203"/>
      <c r="D48" s="15">
        <f>IF(F3="1",SUMIF(Data!A:A,'14'!$A$2,Data!DG:DG),0)</f>
        <v>750840</v>
      </c>
      <c r="E48" s="18">
        <f>IF(F3="1",SUMIF(Data!$A:$A,'14'!$A$2,Data!JA:JA),0)</f>
        <v>635304</v>
      </c>
      <c r="F48" s="22">
        <f t="shared" si="3"/>
        <v>0.84612434073837306</v>
      </c>
    </row>
    <row r="49" spans="1:6" ht="14.25" customHeight="1" x14ac:dyDescent="0.2">
      <c r="A49" s="20">
        <v>14</v>
      </c>
      <c r="B49" s="202" t="s">
        <v>449</v>
      </c>
      <c r="C49" s="203"/>
      <c r="D49" s="15">
        <f>IF(F3="1",SUMIF(Data!A:A,'14'!$A$2,Data!DH:DH),0)</f>
        <v>669085</v>
      </c>
      <c r="E49" s="18">
        <f>IF(F3="1",SUMIF(Data!$A:$A,'14'!$A$2,Data!JB:JB),0)</f>
        <v>2388777</v>
      </c>
      <c r="F49" s="22">
        <f t="shared" si="3"/>
        <v>3.5702145467317306</v>
      </c>
    </row>
    <row r="50" spans="1:6" x14ac:dyDescent="0.2">
      <c r="A50" s="20">
        <v>15</v>
      </c>
      <c r="B50" s="202" t="s">
        <v>13</v>
      </c>
      <c r="C50" s="203"/>
      <c r="D50" s="15">
        <f>IF(F3="1",SUMIF(Data!A:A,'14'!$A$2,Data!DI:DI),0)</f>
        <v>0</v>
      </c>
      <c r="E50" s="18">
        <f>IF(F3="1",SUMIF(Data!$A:$A,'14'!$A$2,Data!JC:JC),0)</f>
        <v>0</v>
      </c>
      <c r="F50" s="22" t="str">
        <f t="shared" si="3"/>
        <v/>
      </c>
    </row>
    <row r="51" spans="1:6" x14ac:dyDescent="0.2">
      <c r="A51" s="20">
        <v>16</v>
      </c>
      <c r="B51" s="202" t="s">
        <v>14</v>
      </c>
      <c r="C51" s="203"/>
      <c r="D51" s="15">
        <f>IF(F3="1",SUMIF(Data!A:A,'14'!$A$2,Data!DJ:DJ),0)</f>
        <v>1098463</v>
      </c>
      <c r="E51" s="18">
        <f>IF(F3="1",SUMIF(Data!$A:$A,'14'!$A$2,Data!JD:JD),0)</f>
        <v>2782334</v>
      </c>
      <c r="F51" s="22">
        <f t="shared" si="3"/>
        <v>2.5329337446959981</v>
      </c>
    </row>
    <row r="52" spans="1:6" x14ac:dyDescent="0.2">
      <c r="A52" s="20">
        <v>17</v>
      </c>
      <c r="B52" s="202" t="s">
        <v>15</v>
      </c>
      <c r="C52" s="203"/>
      <c r="D52" s="15">
        <f>IF(F3="1",SUMIF(Data!A:A,'14'!$A$2,Data!DK:DK),0)</f>
        <v>22008</v>
      </c>
      <c r="E52" s="18">
        <f>IF(F3="1",SUMIF(Data!$A:$A,'14'!$A$2,Data!JE:JE),0)</f>
        <v>98156</v>
      </c>
      <c r="F52" s="22">
        <f t="shared" si="3"/>
        <v>4.4600145401672115</v>
      </c>
    </row>
    <row r="53" spans="1:6" x14ac:dyDescent="0.2">
      <c r="A53" s="20">
        <v>18</v>
      </c>
      <c r="B53" s="202" t="s">
        <v>16</v>
      </c>
      <c r="C53" s="203"/>
      <c r="D53" s="15">
        <f>IF(F3="1",SUMIF(Data!A:A,'14'!$A$2,Data!DL:DL),0)</f>
        <v>28892</v>
      </c>
      <c r="E53" s="18">
        <f>IF(F3="1",SUMIF(Data!$A:$A,'14'!$A$2,Data!JF:JF),0)</f>
        <v>120265</v>
      </c>
      <c r="F53" s="22">
        <f t="shared" si="3"/>
        <v>4.1625709538972728</v>
      </c>
    </row>
    <row r="54" spans="1:6" x14ac:dyDescent="0.2">
      <c r="A54" s="20">
        <v>19</v>
      </c>
      <c r="B54" s="202" t="s">
        <v>17</v>
      </c>
      <c r="C54" s="203"/>
      <c r="D54" s="15">
        <f>IF(F3="1",SUMIF(Data!A:A,'14'!$A$2,Data!DM:DM),0)</f>
        <v>1464740</v>
      </c>
      <c r="E54" s="18">
        <f>IF(F3="1",SUMIF(Data!$A:$A,'14'!$A$2,Data!JG:JG),0)</f>
        <v>1666004</v>
      </c>
      <c r="F54" s="22">
        <f t="shared" si="3"/>
        <v>1.137405956005844</v>
      </c>
    </row>
    <row r="55" spans="1:6" x14ac:dyDescent="0.2">
      <c r="A55" s="20">
        <v>20</v>
      </c>
      <c r="B55" s="202" t="s">
        <v>18</v>
      </c>
      <c r="C55" s="203"/>
      <c r="D55" s="15">
        <f>IF(F3="1",SUMIF(Data!A:A,'14'!$A$2,Data!DN:DN),0)</f>
        <v>502935</v>
      </c>
      <c r="E55" s="18">
        <f>IF(F3="1",SUMIF(Data!$A:$A,'14'!$A$2,Data!JH:JH),0)</f>
        <v>1047617</v>
      </c>
      <c r="F55" s="22">
        <f t="shared" si="3"/>
        <v>2.0830067503752971</v>
      </c>
    </row>
    <row r="56" spans="1:6" ht="14.25" customHeight="1" x14ac:dyDescent="0.2">
      <c r="A56" s="20">
        <v>21</v>
      </c>
      <c r="B56" s="202" t="s">
        <v>446</v>
      </c>
      <c r="C56" s="203"/>
      <c r="D56" s="15">
        <f>IF(F3="1",SUMIF(Data!A:A,'14'!$A$2,Data!DO:DO),0)</f>
        <v>76520</v>
      </c>
      <c r="E56" s="18">
        <f>IF(F3="1",SUMIF(Data!$A:$A,'14'!$A$2,Data!JI:JI),0)</f>
        <v>76364</v>
      </c>
      <c r="F56" s="22">
        <f t="shared" si="3"/>
        <v>0.99796131730266602</v>
      </c>
    </row>
    <row r="57" spans="1:6" x14ac:dyDescent="0.2">
      <c r="A57" s="20">
        <v>22</v>
      </c>
      <c r="B57" s="202" t="s">
        <v>19</v>
      </c>
      <c r="C57" s="203"/>
      <c r="D57" s="15">
        <f>IF(F3="1",SUMIF(Data!A:A,'14'!$A$2,Data!DP:DP),0)</f>
        <v>122499</v>
      </c>
      <c r="E57" s="18">
        <f>IF(F3="1",SUMIF(Data!$A:$A,'14'!$A$2,Data!JJ:JJ),0)</f>
        <v>284354</v>
      </c>
      <c r="F57" s="22">
        <f t="shared" si="3"/>
        <v>2.3212760920497311</v>
      </c>
    </row>
    <row r="58" spans="1:6" x14ac:dyDescent="0.2">
      <c r="A58" s="20">
        <v>23</v>
      </c>
      <c r="B58" s="202" t="s">
        <v>20</v>
      </c>
      <c r="C58" s="203"/>
      <c r="D58" s="15">
        <f>IF(F3="1",SUMIF(Data!A:A,'14'!$A$2,Data!DQ:DQ),0)</f>
        <v>431216</v>
      </c>
      <c r="E58" s="18">
        <f>IF(F3="1",SUMIF(Data!$A:$A,'14'!$A$2,Data!JK:JK),0)</f>
        <v>1091122</v>
      </c>
      <c r="F58" s="22">
        <f t="shared" si="3"/>
        <v>2.5303374642870393</v>
      </c>
    </row>
    <row r="59" spans="1:6" x14ac:dyDescent="0.2">
      <c r="A59" s="20">
        <v>24</v>
      </c>
      <c r="B59" s="202" t="s">
        <v>21</v>
      </c>
      <c r="C59" s="203"/>
      <c r="D59" s="15">
        <f>IF(F3="1",SUMIF(Data!A:A,'14'!$A$2,Data!DR:DR),0)</f>
        <v>988592</v>
      </c>
      <c r="E59" s="18">
        <f>IF(F3="1",SUMIF(Data!$A:$A,'14'!$A$2,Data!JL:JL),0)</f>
        <v>1982528</v>
      </c>
      <c r="F59" s="22">
        <f t="shared" si="3"/>
        <v>2.0054056678589349</v>
      </c>
    </row>
    <row r="60" spans="1:6" x14ac:dyDescent="0.2">
      <c r="A60" s="20">
        <v>25</v>
      </c>
      <c r="B60" s="202" t="s">
        <v>22</v>
      </c>
      <c r="C60" s="203"/>
      <c r="D60" s="15">
        <f>IF(F3="1",SUMIF(Data!A:A,'14'!$A$2,Data!DS:DS),0)</f>
        <v>5154066</v>
      </c>
      <c r="E60" s="18">
        <f>IF(F3="1",SUMIF(Data!$A:$A,'14'!$A$2,Data!JM:JM),0)</f>
        <v>4592495</v>
      </c>
      <c r="F60" s="22">
        <f t="shared" si="3"/>
        <v>0.8910431104297073</v>
      </c>
    </row>
    <row r="61" spans="1:6" x14ac:dyDescent="0.2">
      <c r="A61" s="20">
        <v>26</v>
      </c>
      <c r="B61" s="202" t="s">
        <v>23</v>
      </c>
      <c r="C61" s="203"/>
      <c r="D61" s="15">
        <f>IF(F3="1",SUMIF(Data!A:A,'14'!$A$2,Data!DT:DT),0)</f>
        <v>1867138</v>
      </c>
      <c r="E61" s="18">
        <f>IF(F3="1",SUMIF(Data!$A:$A,'14'!$A$2,Data!JN:JN),0)</f>
        <v>3611890</v>
      </c>
      <c r="F61" s="22">
        <f t="shared" si="3"/>
        <v>1.9344526221414806</v>
      </c>
    </row>
    <row r="62" spans="1:6" x14ac:dyDescent="0.2">
      <c r="A62" s="20">
        <v>28</v>
      </c>
      <c r="B62" s="202" t="s">
        <v>24</v>
      </c>
      <c r="C62" s="203"/>
      <c r="D62" s="15">
        <f>IF(F3="1",SUMIF(Data!A:A,'14'!$A$2,Data!DV:DV),0)</f>
        <v>1910568</v>
      </c>
      <c r="E62" s="18">
        <f>IF(F3="1",SUMIF(Data!$A:$A,'14'!$A$2,Data!JP:JP),0)</f>
        <v>2082419</v>
      </c>
      <c r="F62" s="22">
        <f t="shared" si="3"/>
        <v>1.0899475967356305</v>
      </c>
    </row>
    <row r="63" spans="1:6" ht="15.75" customHeight="1" thickBot="1" x14ac:dyDescent="0.25">
      <c r="A63" s="23">
        <v>29</v>
      </c>
      <c r="B63" s="206" t="s">
        <v>25</v>
      </c>
      <c r="C63" s="207"/>
      <c r="D63" s="24">
        <f>IF(F3="1",SUMIF(Data!A:A,'14'!$A$2,Data!DW:DW),0)</f>
        <v>2373816</v>
      </c>
      <c r="E63" s="25">
        <f>IF(F3="1",SUMIF(Data!$A:$A,'14'!$A$2,Data!JQ:JQ),0)</f>
        <v>1421409</v>
      </c>
      <c r="F63" s="26">
        <f t="shared" si="3"/>
        <v>0.59878651083319012</v>
      </c>
    </row>
    <row r="64" spans="1:6" x14ac:dyDescent="0.2">
      <c r="B64" s="31" t="s">
        <v>35</v>
      </c>
      <c r="C64" s="31"/>
      <c r="D64" s="60">
        <f>SUM(D36:D63)</f>
        <v>31758069</v>
      </c>
      <c r="E64" s="32">
        <f>SUM(E36:E63)</f>
        <v>52977649</v>
      </c>
      <c r="F64" s="33">
        <f t="shared" si="3"/>
        <v>1.6681634201374145</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78312</v>
      </c>
      <c r="E67" s="16">
        <f>IF(F3="1",SUMIF(Data!A:A,'14'!$A$2,Data!DY:DY),0)</f>
        <v>489422</v>
      </c>
      <c r="F67" s="21">
        <f>IFERROR(E67/D67,"")</f>
        <v>6.2496424558177548</v>
      </c>
    </row>
    <row r="68" spans="1:6" x14ac:dyDescent="0.2">
      <c r="A68" s="20">
        <v>2</v>
      </c>
      <c r="B68" s="202" t="s">
        <v>1</v>
      </c>
      <c r="C68" s="203"/>
      <c r="D68" s="15">
        <f t="shared" ref="D68:D94" si="4">D37</f>
        <v>173029</v>
      </c>
      <c r="E68" s="18">
        <f>IF(F3="1",SUMIF(Data!A:A,'14'!$A$2,Data!DZ:DZ),0)</f>
        <v>608952</v>
      </c>
      <c r="F68" s="22">
        <f t="shared" ref="F68:F95" si="5">IFERROR(E68/D68,"")</f>
        <v>3.519363806067191</v>
      </c>
    </row>
    <row r="69" spans="1:6" ht="14.25" customHeight="1" x14ac:dyDescent="0.2">
      <c r="A69" s="20">
        <v>3</v>
      </c>
      <c r="B69" s="202" t="s">
        <v>2</v>
      </c>
      <c r="C69" s="203"/>
      <c r="D69" s="15">
        <f t="shared" si="4"/>
        <v>3838872</v>
      </c>
      <c r="E69" s="18">
        <f>IF(F3="1",SUMIF(Data!A:A,'14'!$A$2,Data!EA:EA),0)</f>
        <v>10296579</v>
      </c>
      <c r="F69" s="22">
        <f t="shared" si="5"/>
        <v>2.6821886741730383</v>
      </c>
    </row>
    <row r="70" spans="1:6" ht="14.25" customHeight="1" x14ac:dyDescent="0.2">
      <c r="A70" s="20">
        <v>4</v>
      </c>
      <c r="B70" s="202" t="s">
        <v>3</v>
      </c>
      <c r="C70" s="203"/>
      <c r="D70" s="15">
        <f t="shared" si="4"/>
        <v>2772943</v>
      </c>
      <c r="E70" s="18">
        <f>IF(F3="1",SUMIF(Data!A:A,'14'!$A$2,Data!EB:EB),0)</f>
        <v>6553356</v>
      </c>
      <c r="F70" s="22">
        <f t="shared" si="5"/>
        <v>2.3633215684563296</v>
      </c>
    </row>
    <row r="71" spans="1:6" x14ac:dyDescent="0.2">
      <c r="A71" s="20">
        <v>5</v>
      </c>
      <c r="B71" s="202" t="s">
        <v>4</v>
      </c>
      <c r="C71" s="203"/>
      <c r="D71" s="15">
        <f t="shared" si="4"/>
        <v>11568</v>
      </c>
      <c r="E71" s="18">
        <f>IF(F3="1",SUMIF(Data!A:A,'14'!$A$2,Data!EC:EC),0)</f>
        <v>115407</v>
      </c>
      <c r="F71" s="22">
        <f t="shared" si="5"/>
        <v>9.9764004149377588</v>
      </c>
    </row>
    <row r="72" spans="1:6" x14ac:dyDescent="0.2">
      <c r="A72" s="20">
        <v>6</v>
      </c>
      <c r="B72" s="202" t="s">
        <v>5</v>
      </c>
      <c r="C72" s="203"/>
      <c r="D72" s="15">
        <f t="shared" si="4"/>
        <v>992662</v>
      </c>
      <c r="E72" s="18">
        <f>IF(F3="1",SUMIF(Data!A:A,'14'!$A$2,Data!ED:ED),0)</f>
        <v>1862251</v>
      </c>
      <c r="F72" s="22">
        <f t="shared" si="5"/>
        <v>1.8760172143186704</v>
      </c>
    </row>
    <row r="73" spans="1:6" x14ac:dyDescent="0.2">
      <c r="A73" s="20">
        <v>7</v>
      </c>
      <c r="B73" s="202" t="s">
        <v>6</v>
      </c>
      <c r="C73" s="203"/>
      <c r="D73" s="15">
        <f t="shared" si="4"/>
        <v>2142406</v>
      </c>
      <c r="E73" s="18">
        <f>IF(F3="1",SUMIF(Data!A:A,'14'!$A$2,Data!EE:EE),0)</f>
        <v>6407950</v>
      </c>
      <c r="F73" s="22">
        <f t="shared" si="5"/>
        <v>2.9910063732084393</v>
      </c>
    </row>
    <row r="74" spans="1:6" x14ac:dyDescent="0.2">
      <c r="A74" s="20">
        <v>8</v>
      </c>
      <c r="B74" s="202" t="s">
        <v>7</v>
      </c>
      <c r="C74" s="203"/>
      <c r="D74" s="15">
        <f t="shared" si="4"/>
        <v>182582</v>
      </c>
      <c r="E74" s="18">
        <f>IF(F3="1",SUMIF(Data!A:A,'14'!$A$2,Data!EF:EF),0)</f>
        <v>749337</v>
      </c>
      <c r="F74" s="22">
        <f t="shared" si="5"/>
        <v>4.1041121249630299</v>
      </c>
    </row>
    <row r="75" spans="1:6" x14ac:dyDescent="0.2">
      <c r="A75" s="20">
        <v>9</v>
      </c>
      <c r="B75" s="202" t="s">
        <v>8</v>
      </c>
      <c r="C75" s="203"/>
      <c r="D75" s="15">
        <f t="shared" si="4"/>
        <v>653684</v>
      </c>
      <c r="E75" s="18">
        <f>IF(F3="1",SUMIF(Data!A:A,'14'!$A$2,Data!EG:EG),0)</f>
        <v>1332256</v>
      </c>
      <c r="F75" s="22">
        <f t="shared" si="5"/>
        <v>2.038073442213669</v>
      </c>
    </row>
    <row r="76" spans="1:6" x14ac:dyDescent="0.2">
      <c r="A76" s="20">
        <v>10</v>
      </c>
      <c r="B76" s="202" t="s">
        <v>9</v>
      </c>
      <c r="C76" s="203"/>
      <c r="D76" s="15">
        <f t="shared" si="4"/>
        <v>34087</v>
      </c>
      <c r="E76" s="18">
        <f>IF(F3="1",SUMIF(Data!A:A,'14'!$A$2,Data!EH:EH),0)</f>
        <v>157926</v>
      </c>
      <c r="F76" s="22">
        <f t="shared" si="5"/>
        <v>4.6330272537917683</v>
      </c>
    </row>
    <row r="77" spans="1:6" x14ac:dyDescent="0.2">
      <c r="A77" s="20">
        <v>11</v>
      </c>
      <c r="B77" s="202" t="s">
        <v>10</v>
      </c>
      <c r="C77" s="203"/>
      <c r="D77" s="15">
        <f t="shared" si="4"/>
        <v>483334</v>
      </c>
      <c r="E77" s="18">
        <f>IF(F3="1",SUMIF(Data!A:A,'14'!$A$2,Data!EI:EI),0)</f>
        <v>738810</v>
      </c>
      <c r="F77" s="22">
        <f t="shared" si="5"/>
        <v>1.5285703054202684</v>
      </c>
    </row>
    <row r="78" spans="1:6" ht="14.25" customHeight="1" x14ac:dyDescent="0.2">
      <c r="A78" s="20">
        <v>12</v>
      </c>
      <c r="B78" s="202" t="s">
        <v>11</v>
      </c>
      <c r="C78" s="203"/>
      <c r="D78" s="15">
        <f t="shared" si="4"/>
        <v>2933212</v>
      </c>
      <c r="E78" s="18">
        <f>IF(F3="1",SUMIF(Data!A:A,'14'!$A$2,Data!EJ:EJ),0)</f>
        <v>12808243</v>
      </c>
      <c r="F78" s="22">
        <f t="shared" si="5"/>
        <v>4.3666270968480969</v>
      </c>
    </row>
    <row r="79" spans="1:6" x14ac:dyDescent="0.2">
      <c r="A79" s="20">
        <v>13</v>
      </c>
      <c r="B79" s="202" t="s">
        <v>12</v>
      </c>
      <c r="C79" s="203"/>
      <c r="D79" s="15">
        <f t="shared" si="4"/>
        <v>750840</v>
      </c>
      <c r="E79" s="18">
        <f>IF(F3="1",SUMIF(Data!A:A,'14'!$A$2,Data!EK:EK),0)</f>
        <v>2121760</v>
      </c>
      <c r="F79" s="22">
        <f t="shared" si="5"/>
        <v>2.8258483831442116</v>
      </c>
    </row>
    <row r="80" spans="1:6" ht="14.25" customHeight="1" x14ac:dyDescent="0.2">
      <c r="A80" s="20">
        <v>14</v>
      </c>
      <c r="B80" s="202" t="s">
        <v>449</v>
      </c>
      <c r="C80" s="203"/>
      <c r="D80" s="15">
        <f t="shared" si="4"/>
        <v>669085</v>
      </c>
      <c r="E80" s="18">
        <f>IF(F3="1",SUMIF(Data!A:A,'14'!$A$2,Data!EL:EL),0)</f>
        <v>3045552</v>
      </c>
      <c r="F80" s="22">
        <f t="shared" si="5"/>
        <v>4.5518162864210074</v>
      </c>
    </row>
    <row r="81" spans="1:6" x14ac:dyDescent="0.2">
      <c r="A81" s="20">
        <v>15</v>
      </c>
      <c r="B81" s="202" t="s">
        <v>13</v>
      </c>
      <c r="C81" s="203"/>
      <c r="D81" s="15">
        <f t="shared" si="4"/>
        <v>0</v>
      </c>
      <c r="E81" s="18">
        <f>IF(F3="1",SUMIF(Data!A:A,'14'!$A$2,Data!EM:EM),0)</f>
        <v>0</v>
      </c>
      <c r="F81" s="22" t="str">
        <f t="shared" si="5"/>
        <v/>
      </c>
    </row>
    <row r="82" spans="1:6" x14ac:dyDescent="0.2">
      <c r="A82" s="20">
        <v>16</v>
      </c>
      <c r="B82" s="202" t="s">
        <v>14</v>
      </c>
      <c r="C82" s="203"/>
      <c r="D82" s="15">
        <f t="shared" si="4"/>
        <v>1098463</v>
      </c>
      <c r="E82" s="18">
        <f>IF(F3="1",SUMIF(Data!A:A,'14'!$A$2,Data!EN:EN),0)</f>
        <v>2127389</v>
      </c>
      <c r="F82" s="22">
        <f t="shared" si="5"/>
        <v>1.9366960926312493</v>
      </c>
    </row>
    <row r="83" spans="1:6" x14ac:dyDescent="0.2">
      <c r="A83" s="20">
        <v>17</v>
      </c>
      <c r="B83" s="202" t="s">
        <v>15</v>
      </c>
      <c r="C83" s="203"/>
      <c r="D83" s="15">
        <f t="shared" si="4"/>
        <v>22008</v>
      </c>
      <c r="E83" s="18">
        <f>IF(F3="1",SUMIF(Data!A:A,'14'!$A$2,Data!EO:EO),0)</f>
        <v>230579</v>
      </c>
      <c r="F83" s="22">
        <f t="shared" si="5"/>
        <v>10.477053798618684</v>
      </c>
    </row>
    <row r="84" spans="1:6" x14ac:dyDescent="0.2">
      <c r="A84" s="20">
        <v>18</v>
      </c>
      <c r="B84" s="202" t="s">
        <v>16</v>
      </c>
      <c r="C84" s="203"/>
      <c r="D84" s="15">
        <f t="shared" si="4"/>
        <v>28892</v>
      </c>
      <c r="E84" s="18">
        <f>IF(F3="1",SUMIF(Data!A:A,'14'!$A$2,Data!EP:EP),0)</f>
        <v>308167</v>
      </c>
      <c r="F84" s="22">
        <f t="shared" si="5"/>
        <v>10.666170566246713</v>
      </c>
    </row>
    <row r="85" spans="1:6" x14ac:dyDescent="0.2">
      <c r="A85" s="20">
        <v>19</v>
      </c>
      <c r="B85" s="202" t="s">
        <v>17</v>
      </c>
      <c r="C85" s="203"/>
      <c r="D85" s="15">
        <f t="shared" si="4"/>
        <v>1464740</v>
      </c>
      <c r="E85" s="18">
        <f>IF(F3="1",SUMIF(Data!A:A,'14'!$A$2,Data!EQ:EQ),0)</f>
        <v>3548125</v>
      </c>
      <c r="F85" s="22">
        <f t="shared" si="5"/>
        <v>2.4223582342258694</v>
      </c>
    </row>
    <row r="86" spans="1:6" x14ac:dyDescent="0.2">
      <c r="A86" s="20">
        <v>20</v>
      </c>
      <c r="B86" s="202" t="s">
        <v>18</v>
      </c>
      <c r="C86" s="203"/>
      <c r="D86" s="15">
        <f t="shared" si="4"/>
        <v>502935</v>
      </c>
      <c r="E86" s="18">
        <f>IF(F3="1",SUMIF(Data!A:A,'14'!$A$2,Data!ER:ER),0)</f>
        <v>2072927</v>
      </c>
      <c r="F86" s="22">
        <f t="shared" si="5"/>
        <v>4.1216598566415144</v>
      </c>
    </row>
    <row r="87" spans="1:6" ht="14.25" customHeight="1" x14ac:dyDescent="0.2">
      <c r="A87" s="20">
        <v>21</v>
      </c>
      <c r="B87" s="202" t="s">
        <v>446</v>
      </c>
      <c r="C87" s="203"/>
      <c r="D87" s="15">
        <f t="shared" si="4"/>
        <v>76520</v>
      </c>
      <c r="E87" s="18">
        <f>IF(F3="1",SUMIF(Data!A:A,'14'!$A$2,Data!ES:ES),0)</f>
        <v>80179</v>
      </c>
      <c r="F87" s="22">
        <f t="shared" si="5"/>
        <v>1.0478175640355463</v>
      </c>
    </row>
    <row r="88" spans="1:6" x14ac:dyDescent="0.2">
      <c r="A88" s="20">
        <v>22</v>
      </c>
      <c r="B88" s="202" t="s">
        <v>19</v>
      </c>
      <c r="C88" s="203"/>
      <c r="D88" s="15">
        <f t="shared" si="4"/>
        <v>122499</v>
      </c>
      <c r="E88" s="18">
        <f>IF(F3="1",SUMIF(Data!A:A,'14'!$A$2,Data!ET:ET),0)</f>
        <v>500919</v>
      </c>
      <c r="F88" s="22">
        <f t="shared" si="5"/>
        <v>4.0891680748414272</v>
      </c>
    </row>
    <row r="89" spans="1:6" x14ac:dyDescent="0.2">
      <c r="A89" s="20">
        <v>23</v>
      </c>
      <c r="B89" s="202" t="s">
        <v>20</v>
      </c>
      <c r="C89" s="203"/>
      <c r="D89" s="15">
        <f t="shared" si="4"/>
        <v>431216</v>
      </c>
      <c r="E89" s="18">
        <f>IF(F3="1",SUMIF(Data!A:A,'14'!$A$2,Data!EU:EU),0)</f>
        <v>1646905</v>
      </c>
      <c r="F89" s="22">
        <f t="shared" si="5"/>
        <v>3.8192112537568179</v>
      </c>
    </row>
    <row r="90" spans="1:6" x14ac:dyDescent="0.2">
      <c r="A90" s="20">
        <v>24</v>
      </c>
      <c r="B90" s="202" t="s">
        <v>21</v>
      </c>
      <c r="C90" s="203"/>
      <c r="D90" s="15">
        <f t="shared" si="4"/>
        <v>988592</v>
      </c>
      <c r="E90" s="18">
        <f>IF(F3="1",SUMIF(Data!A:A,'14'!$A$2,Data!EV:EV),0)</f>
        <v>1842903</v>
      </c>
      <c r="F90" s="22">
        <f t="shared" si="5"/>
        <v>1.8641694450288895</v>
      </c>
    </row>
    <row r="91" spans="1:6" x14ac:dyDescent="0.2">
      <c r="A91" s="20">
        <v>25</v>
      </c>
      <c r="B91" s="202" t="s">
        <v>22</v>
      </c>
      <c r="C91" s="203"/>
      <c r="D91" s="15">
        <f t="shared" si="4"/>
        <v>5154066</v>
      </c>
      <c r="E91" s="18">
        <f>IF(F3="1",SUMIF(Data!A:A,'14'!$A$2,Data!EW:EW),0)</f>
        <v>12682113</v>
      </c>
      <c r="F91" s="22">
        <f t="shared" si="5"/>
        <v>2.4606035312702632</v>
      </c>
    </row>
    <row r="92" spans="1:6" x14ac:dyDescent="0.2">
      <c r="A92" s="20">
        <v>26</v>
      </c>
      <c r="B92" s="202" t="s">
        <v>23</v>
      </c>
      <c r="C92" s="203"/>
      <c r="D92" s="15">
        <f t="shared" si="4"/>
        <v>1867138</v>
      </c>
      <c r="E92" s="18">
        <f>IF(F3="1",SUMIF(Data!A:A,'14'!$A$2,Data!EX:EX),0)</f>
        <v>5860854</v>
      </c>
      <c r="F92" s="22">
        <f t="shared" si="5"/>
        <v>3.1389506292518283</v>
      </c>
    </row>
    <row r="93" spans="1:6" x14ac:dyDescent="0.2">
      <c r="A93" s="20">
        <v>28</v>
      </c>
      <c r="B93" s="202" t="s">
        <v>24</v>
      </c>
      <c r="C93" s="203"/>
      <c r="D93" s="15">
        <f t="shared" si="4"/>
        <v>1910568</v>
      </c>
      <c r="E93" s="18">
        <f>IF(F3="1",SUMIF(Data!A:A,'14'!$A$2,Data!EZ:EZ),0)</f>
        <v>5572964</v>
      </c>
      <c r="F93" s="22">
        <f t="shared" si="5"/>
        <v>2.9169147604272658</v>
      </c>
    </row>
    <row r="94" spans="1:6" ht="15.75" customHeight="1" thickBot="1" x14ac:dyDescent="0.25">
      <c r="A94" s="23">
        <v>29</v>
      </c>
      <c r="B94" s="206" t="s">
        <v>25</v>
      </c>
      <c r="C94" s="207"/>
      <c r="D94" s="24">
        <f t="shared" si="4"/>
        <v>2373816</v>
      </c>
      <c r="E94" s="25">
        <f>IF(F3="1",SUMIF(Data!A:A,'14'!$A$2,Data!FA:FA),0)</f>
        <v>4347562</v>
      </c>
      <c r="F94" s="26">
        <f t="shared" si="5"/>
        <v>1.8314654547782978</v>
      </c>
    </row>
    <row r="95" spans="1:6" x14ac:dyDescent="0.2">
      <c r="B95" s="31" t="s">
        <v>35</v>
      </c>
      <c r="C95" s="31"/>
      <c r="D95" s="60">
        <f>SUM(D67:D94)</f>
        <v>31758069</v>
      </c>
      <c r="E95" s="32">
        <f>SUM(E67:E94)</f>
        <v>88109387</v>
      </c>
      <c r="F95" s="33">
        <f t="shared" si="5"/>
        <v>2.7743937139251131</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IF(F3="1",SUMIF(Data!A:A,'14'!$A$2,Data!AH:AH),0)</f>
        <v>47857897</v>
      </c>
      <c r="F98" s="21">
        <f t="shared" ref="F98:F105" si="6">IFERROR(E98/$D$95,0)</f>
        <v>1.506952359099667</v>
      </c>
    </row>
    <row r="99" spans="2:6" x14ac:dyDescent="0.2">
      <c r="B99" s="212" t="s">
        <v>31</v>
      </c>
      <c r="C99" s="213"/>
      <c r="D99" s="37"/>
      <c r="E99" s="18">
        <f>IF(F3="1",SUMIF(Data!A:A,'14'!$A$2,Data!AI:AI),0)</f>
        <v>27393679</v>
      </c>
      <c r="F99" s="22">
        <f t="shared" si="6"/>
        <v>0.86257382336438659</v>
      </c>
    </row>
    <row r="100" spans="2:6" x14ac:dyDescent="0.2">
      <c r="B100" s="212" t="s">
        <v>32</v>
      </c>
      <c r="C100" s="213"/>
      <c r="D100" s="37"/>
      <c r="E100" s="18">
        <f>IF(F3="1",SUMIF(Data!A:A,'14'!$A$2,Data!AJ:AJ),0)</f>
        <v>13977342</v>
      </c>
      <c r="F100" s="22">
        <f t="shared" si="6"/>
        <v>0.44011939138994882</v>
      </c>
    </row>
    <row r="101" spans="2:6" x14ac:dyDescent="0.2">
      <c r="B101" s="212" t="s">
        <v>28</v>
      </c>
      <c r="C101" s="213"/>
      <c r="D101" s="37"/>
      <c r="E101" s="18">
        <f>IF(F3="1",SUMIF(Data!A:A,'14'!$A$2,Data!AK:AK),0)</f>
        <v>0</v>
      </c>
      <c r="F101" s="22">
        <f t="shared" si="6"/>
        <v>0</v>
      </c>
    </row>
    <row r="102" spans="2:6" x14ac:dyDescent="0.2">
      <c r="B102" s="212" t="s">
        <v>33</v>
      </c>
      <c r="C102" s="213"/>
      <c r="D102" s="37"/>
      <c r="E102" s="18">
        <f>IF(F3="1",SUMIF(Data!A:A,'14'!$A$2,Data!AL:AL),0)</f>
        <v>0</v>
      </c>
      <c r="F102" s="22">
        <f t="shared" si="6"/>
        <v>0</v>
      </c>
    </row>
    <row r="103" spans="2:6" x14ac:dyDescent="0.2">
      <c r="B103" s="214" t="s">
        <v>34</v>
      </c>
      <c r="C103" s="215"/>
      <c r="D103" s="37"/>
      <c r="E103" s="18">
        <f>IF(F3="1",SUMIF(Data!A:A,'14'!$A$2,Data!AM:AM),0)</f>
        <v>3297640</v>
      </c>
      <c r="F103" s="22">
        <f t="shared" si="6"/>
        <v>0.10383628803124019</v>
      </c>
    </row>
    <row r="104" spans="2:6" ht="15.75" customHeight="1" thickBot="1" x14ac:dyDescent="0.25">
      <c r="B104" s="208" t="s">
        <v>29</v>
      </c>
      <c r="C104" s="209"/>
      <c r="D104" s="38"/>
      <c r="E104" s="25">
        <f>IF(F3="1",SUMIF(Data!A:A,'14'!$A$2,Data!Q:Q),0)</f>
        <v>10214555</v>
      </c>
      <c r="F104" s="26">
        <f t="shared" si="6"/>
        <v>0.32163652645253715</v>
      </c>
    </row>
    <row r="105" spans="2:6" x14ac:dyDescent="0.2">
      <c r="B105" s="31" t="s">
        <v>35</v>
      </c>
      <c r="C105" s="31"/>
      <c r="D105" s="35">
        <f>D95</f>
        <v>31758069</v>
      </c>
      <c r="E105" s="32">
        <f>SUM(E98:E104)</f>
        <v>102741113</v>
      </c>
      <c r="F105" s="33">
        <f t="shared" si="6"/>
        <v>3.2351183883377796</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112847420</v>
      </c>
      <c r="D109" s="192">
        <f>IF(F3="1",SUMIF(Data!$A:$A,$A$2,Data!HJ:HJ),0)</f>
        <v>15211117</v>
      </c>
      <c r="E109" s="192">
        <f>IF(F3="1",SUMIF(Data!$A:$A,$A$2,Data!IN:IN),0)</f>
        <v>13028501</v>
      </c>
      <c r="F109" s="48">
        <f>SUM(C109:E109)</f>
        <v>141087038</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3144917</v>
      </c>
      <c r="D111" s="52"/>
      <c r="E111" s="193">
        <f>IF(F3="1",SUMIF(Data!A:A,$A$2,Data!AX:AX)-SUMIF(Data!A:A,$A$2,Data!AW:AW),0)</f>
        <v>1734298</v>
      </c>
      <c r="F111" s="49">
        <f t="shared" si="7"/>
        <v>4879215</v>
      </c>
    </row>
    <row r="112" spans="2:6" x14ac:dyDescent="0.2">
      <c r="B112" s="43" t="s">
        <v>32</v>
      </c>
      <c r="C112" s="193">
        <f>IF(F3="1",SUMIF(Data!A:A,$A$2,Data!V:V),0)</f>
        <v>11095088</v>
      </c>
      <c r="D112" s="52"/>
      <c r="E112" s="193">
        <f>IF(F3="1",SUMIF(Data!A:A,$A$2,Data!AC:AC),0)</f>
        <v>2882254</v>
      </c>
      <c r="F112" s="49">
        <f t="shared" si="7"/>
        <v>13977342</v>
      </c>
    </row>
    <row r="113" spans="1:6" x14ac:dyDescent="0.2">
      <c r="B113" s="43" t="s">
        <v>31</v>
      </c>
      <c r="C113" s="193">
        <f>IF(F3="1",SUMIF(Data!A:A,$A$2,Data!U:U),0)</f>
        <v>20116310</v>
      </c>
      <c r="D113" s="52"/>
      <c r="E113" s="193">
        <f>IF(F3="1",SUMIF(Data!A:A,$A$2,Data!AB:AB),0)</f>
        <v>7277369</v>
      </c>
      <c r="F113" s="49">
        <f t="shared" si="7"/>
        <v>27393679</v>
      </c>
    </row>
    <row r="114" spans="1:6" x14ac:dyDescent="0.2">
      <c r="B114" s="43" t="s">
        <v>1002</v>
      </c>
      <c r="C114" s="193">
        <f>IF(F3="1",SUMIF(Data!A:A,$A$2,Data!T:T),0)</f>
        <v>41826505</v>
      </c>
      <c r="D114" s="52"/>
      <c r="E114" s="193">
        <f>IF(F3="1",SUMIF(Data!A:A,$A$2,Data!AA:AA),0)</f>
        <v>6031392</v>
      </c>
      <c r="F114" s="49">
        <f t="shared" si="7"/>
        <v>47857897</v>
      </c>
    </row>
    <row r="115" spans="1:6" x14ac:dyDescent="0.2">
      <c r="B115" s="43" t="s">
        <v>916</v>
      </c>
      <c r="C115" s="193">
        <f>IF(F3="1",SUMIF(Data!A:A,$A$2,Data!BI:BI),0)</f>
        <v>7339595</v>
      </c>
      <c r="D115" s="193">
        <f>IF(F3="1",SUMIF(Data!A:A,$A$2,Data!BL:BL),0)</f>
        <v>1000651</v>
      </c>
      <c r="E115" s="193">
        <f>IF(F3="1",SUMIF(Data!A:A,$A$2,Data!BU:BU)-SUMIF(Data!A:A,$A$2,Data!BT:BT),0)</f>
        <v>24722327</v>
      </c>
      <c r="F115" s="49">
        <f t="shared" si="7"/>
        <v>33062573</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10214555</v>
      </c>
      <c r="E117" s="53"/>
      <c r="F117" s="50">
        <f>SUM(C117:E117)</f>
        <v>10214555</v>
      </c>
    </row>
    <row r="118" spans="1:6" x14ac:dyDescent="0.2">
      <c r="B118" s="14" t="s">
        <v>35</v>
      </c>
      <c r="C118" s="178">
        <f>SUM(C109:C117)</f>
        <v>196369835</v>
      </c>
      <c r="D118" s="194">
        <f>SUM(D109:D117)</f>
        <v>26426323</v>
      </c>
      <c r="E118" s="178">
        <f>SUM(E109:E117)</f>
        <v>55676141</v>
      </c>
      <c r="F118" s="178">
        <f>SUM(F109:F117)</f>
        <v>278472299</v>
      </c>
    </row>
    <row r="119" spans="1:6" x14ac:dyDescent="0.2">
      <c r="C119" s="177"/>
      <c r="D119" s="183"/>
      <c r="E119" s="183"/>
      <c r="F119" s="183"/>
    </row>
    <row r="120" spans="1:6" ht="15" thickBot="1" x14ac:dyDescent="0.25">
      <c r="B120" s="188" t="s">
        <v>921</v>
      </c>
      <c r="C120" s="53"/>
      <c r="D120" s="53"/>
      <c r="E120" s="195">
        <f>IF(F3="1",SUMIF(Data!A:A,$A$2,Data!AF:AF)+SUMIF(Data!A:A,$A$2,Data!AW:AW)+SUMIF(Data!A:A,$A$2,Data!BT:BT),0)</f>
        <v>4906289</v>
      </c>
      <c r="F120" s="181">
        <f>SUM(C120:E120)</f>
        <v>4906289</v>
      </c>
    </row>
    <row r="121" spans="1:6" s="177" customFormat="1" x14ac:dyDescent="0.2">
      <c r="B121" s="14" t="s">
        <v>35</v>
      </c>
      <c r="C121" s="178">
        <f>SUM(C120:C120)</f>
        <v>0</v>
      </c>
      <c r="D121" s="178">
        <f>SUM(D120:D120)</f>
        <v>0</v>
      </c>
      <c r="E121" s="178">
        <f>SUM(E120:E120)</f>
        <v>4906289</v>
      </c>
      <c r="F121" s="178">
        <f>SUM(F120:F120)</f>
        <v>4906289</v>
      </c>
    </row>
    <row r="122" spans="1:6" s="177" customFormat="1" ht="15" thickBot="1" x14ac:dyDescent="0.25">
      <c r="B122" s="14" t="s">
        <v>1396</v>
      </c>
      <c r="C122" s="178"/>
      <c r="D122" s="178"/>
      <c r="E122" s="178"/>
      <c r="F122" s="199">
        <f>F118+F121</f>
        <v>283378588</v>
      </c>
    </row>
    <row r="123" spans="1:6" ht="15" thickTop="1" x14ac:dyDescent="0.2">
      <c r="C123" s="74"/>
    </row>
    <row r="124" spans="1:6" s="62" customFormat="1" ht="101.25" customHeight="1" x14ac:dyDescent="0.2">
      <c r="A124" s="201" t="s">
        <v>922</v>
      </c>
      <c r="B124" s="201"/>
      <c r="C124" s="201"/>
      <c r="D124" s="201"/>
      <c r="E124" s="201"/>
      <c r="F124" s="201"/>
    </row>
    <row r="126" spans="1:6" x14ac:dyDescent="0.2">
      <c r="A126" s="177"/>
    </row>
    <row r="127" spans="1:6" x14ac:dyDescent="0.2">
      <c r="A127" s="177"/>
    </row>
    <row r="128" spans="1:6" x14ac:dyDescent="0.2">
      <c r="A128" s="177"/>
    </row>
    <row r="129" spans="1:4" x14ac:dyDescent="0.2">
      <c r="A129" s="177"/>
    </row>
    <row r="130" spans="1:4" x14ac:dyDescent="0.2">
      <c r="A130" s="177"/>
    </row>
    <row r="131" spans="1:4" x14ac:dyDescent="0.2">
      <c r="A131" s="177"/>
    </row>
    <row r="132" spans="1:4" x14ac:dyDescent="0.2">
      <c r="A132" s="177"/>
      <c r="D132" s="183"/>
    </row>
    <row r="133" spans="1:4" x14ac:dyDescent="0.2">
      <c r="A133" s="177"/>
    </row>
    <row r="134" spans="1:4" x14ac:dyDescent="0.2">
      <c r="A134" s="177"/>
      <c r="D134" s="184"/>
    </row>
    <row r="135" spans="1:4" x14ac:dyDescent="0.2">
      <c r="A135" s="177"/>
      <c r="D135" s="184"/>
    </row>
    <row r="136" spans="1:4" x14ac:dyDescent="0.2">
      <c r="A136" s="177"/>
      <c r="D136" s="184"/>
    </row>
    <row r="137" spans="1:4" x14ac:dyDescent="0.2">
      <c r="A137" s="177"/>
      <c r="D137" s="184"/>
    </row>
    <row r="138" spans="1:4" x14ac:dyDescent="0.2">
      <c r="A138" s="177"/>
      <c r="D138" s="177"/>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364</v>
      </c>
      <c r="B2" s="59" t="str">
        <f>VLOOKUP(A2,Data!A:G,7,0)</f>
        <v>Del Mar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272</v>
      </c>
      <c r="E5" s="16">
        <f>E36+E67+IFERROR($E$105/$D$105*D5,0)</f>
        <v>1442.0523105904297</v>
      </c>
      <c r="F5" s="21">
        <f>IFERROR(E5/D5,"")</f>
        <v>5.3016629065824619</v>
      </c>
    </row>
    <row r="6" spans="1:6" x14ac:dyDescent="0.2">
      <c r="A6" s="20">
        <v>2</v>
      </c>
      <c r="B6" s="202" t="s">
        <v>1</v>
      </c>
      <c r="C6" s="203"/>
      <c r="D6" s="15">
        <f t="shared" ref="D6:D32" si="0">D37</f>
        <v>213256</v>
      </c>
      <c r="E6" s="18">
        <f t="shared" ref="E6:E32" si="1">E37+E68+IFERROR($E$105/$D$105*D6,0)</f>
        <v>1707738.8365708555</v>
      </c>
      <c r="F6" s="22">
        <f t="shared" ref="F6:F33" si="2">IFERROR(E6/D6,"")</f>
        <v>8.0079286705689654</v>
      </c>
    </row>
    <row r="7" spans="1:6" ht="14.25" customHeight="1" x14ac:dyDescent="0.2">
      <c r="A7" s="20">
        <v>3</v>
      </c>
      <c r="B7" s="202" t="s">
        <v>2</v>
      </c>
      <c r="C7" s="203"/>
      <c r="D7" s="15">
        <f t="shared" si="0"/>
        <v>600416</v>
      </c>
      <c r="E7" s="18">
        <f t="shared" si="1"/>
        <v>4971611.0004244978</v>
      </c>
      <c r="F7" s="22">
        <f t="shared" si="2"/>
        <v>8.2802773417505495</v>
      </c>
    </row>
    <row r="8" spans="1:6" ht="14.25" customHeight="1" x14ac:dyDescent="0.2">
      <c r="A8" s="20">
        <v>4</v>
      </c>
      <c r="B8" s="202" t="s">
        <v>3</v>
      </c>
      <c r="C8" s="203"/>
      <c r="D8" s="15">
        <f t="shared" si="0"/>
        <v>324616</v>
      </c>
      <c r="E8" s="18">
        <f t="shared" si="1"/>
        <v>3401701.7825537608</v>
      </c>
      <c r="F8" s="22">
        <f t="shared" si="2"/>
        <v>10.479156241694065</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39776</v>
      </c>
      <c r="E10" s="18">
        <f t="shared" si="1"/>
        <v>416300.23788987106</v>
      </c>
      <c r="F10" s="22">
        <f t="shared" si="2"/>
        <v>10.466116197955326</v>
      </c>
    </row>
    <row r="11" spans="1:6" x14ac:dyDescent="0.2">
      <c r="A11" s="20">
        <v>7</v>
      </c>
      <c r="B11" s="202" t="s">
        <v>6</v>
      </c>
      <c r="C11" s="203"/>
      <c r="D11" s="15">
        <f t="shared" si="0"/>
        <v>183097</v>
      </c>
      <c r="E11" s="18">
        <f t="shared" si="1"/>
        <v>1860040.6835006466</v>
      </c>
      <c r="F11" s="22">
        <f t="shared" si="2"/>
        <v>10.158772036137384</v>
      </c>
    </row>
    <row r="12" spans="1:6" x14ac:dyDescent="0.2">
      <c r="A12" s="20">
        <v>8</v>
      </c>
      <c r="B12" s="202" t="s">
        <v>7</v>
      </c>
      <c r="C12" s="203"/>
      <c r="D12" s="15">
        <f t="shared" si="0"/>
        <v>61972</v>
      </c>
      <c r="E12" s="18">
        <f t="shared" si="1"/>
        <v>319528.38894084597</v>
      </c>
      <c r="F12" s="22">
        <f t="shared" si="2"/>
        <v>5.1560122142394302</v>
      </c>
    </row>
    <row r="13" spans="1:6" x14ac:dyDescent="0.2">
      <c r="A13" s="20">
        <v>9</v>
      </c>
      <c r="B13" s="202" t="s">
        <v>8</v>
      </c>
      <c r="C13" s="203"/>
      <c r="D13" s="15">
        <f t="shared" si="0"/>
        <v>218070</v>
      </c>
      <c r="E13" s="18">
        <f t="shared" si="1"/>
        <v>2075321.8212149083</v>
      </c>
      <c r="F13" s="22">
        <f t="shared" si="2"/>
        <v>9.5167690246934846</v>
      </c>
    </row>
    <row r="14" spans="1:6" x14ac:dyDescent="0.2">
      <c r="A14" s="20">
        <v>10</v>
      </c>
      <c r="B14" s="202" t="s">
        <v>9</v>
      </c>
      <c r="C14" s="203"/>
      <c r="D14" s="15">
        <f t="shared" si="0"/>
        <v>4320</v>
      </c>
      <c r="E14" s="18">
        <f t="shared" si="1"/>
        <v>27844.536697612708</v>
      </c>
      <c r="F14" s="22">
        <f t="shared" si="2"/>
        <v>6.4454946059288671</v>
      </c>
    </row>
    <row r="15" spans="1:6" x14ac:dyDescent="0.2">
      <c r="A15" s="20">
        <v>11</v>
      </c>
      <c r="B15" s="202" t="s">
        <v>10</v>
      </c>
      <c r="C15" s="203"/>
      <c r="D15" s="15">
        <f t="shared" si="0"/>
        <v>157796</v>
      </c>
      <c r="E15" s="18">
        <f t="shared" si="1"/>
        <v>1413963.0529482625</v>
      </c>
      <c r="F15" s="22">
        <f t="shared" si="2"/>
        <v>8.9607027614658321</v>
      </c>
    </row>
    <row r="16" spans="1:6" ht="14.25" customHeight="1" x14ac:dyDescent="0.2">
      <c r="A16" s="20">
        <v>12</v>
      </c>
      <c r="B16" s="202" t="s">
        <v>11</v>
      </c>
      <c r="C16" s="203"/>
      <c r="D16" s="15">
        <f t="shared" si="0"/>
        <v>567088</v>
      </c>
      <c r="E16" s="18">
        <f t="shared" si="1"/>
        <v>6982347.7673092112</v>
      </c>
      <c r="F16" s="22">
        <f t="shared" si="2"/>
        <v>12.312635371069765</v>
      </c>
    </row>
    <row r="17" spans="1:6" x14ac:dyDescent="0.2">
      <c r="A17" s="20">
        <v>13</v>
      </c>
      <c r="B17" s="202" t="s">
        <v>12</v>
      </c>
      <c r="C17" s="203"/>
      <c r="D17" s="15">
        <f t="shared" si="0"/>
        <v>98456</v>
      </c>
      <c r="E17" s="18">
        <f t="shared" si="1"/>
        <v>855428.11136577697</v>
      </c>
      <c r="F17" s="22">
        <f t="shared" si="2"/>
        <v>8.6884304802731886</v>
      </c>
    </row>
    <row r="18" spans="1:6" ht="14.25" customHeight="1" x14ac:dyDescent="0.2">
      <c r="A18" s="20">
        <v>14</v>
      </c>
      <c r="B18" s="202" t="s">
        <v>449</v>
      </c>
      <c r="C18" s="203"/>
      <c r="D18" s="15">
        <f t="shared" si="0"/>
        <v>279740</v>
      </c>
      <c r="E18" s="18">
        <f t="shared" si="1"/>
        <v>3966544.5638403194</v>
      </c>
      <c r="F18" s="22">
        <f t="shared" si="2"/>
        <v>14.179397168228782</v>
      </c>
    </row>
    <row r="19" spans="1:6" x14ac:dyDescent="0.2">
      <c r="A19" s="20">
        <v>15</v>
      </c>
      <c r="B19" s="202" t="s">
        <v>13</v>
      </c>
      <c r="C19" s="203"/>
      <c r="D19" s="15">
        <f t="shared" si="0"/>
        <v>33456</v>
      </c>
      <c r="E19" s="18">
        <f t="shared" si="1"/>
        <v>650134.43420262286</v>
      </c>
      <c r="F19" s="22">
        <f t="shared" si="2"/>
        <v>19.432521347519813</v>
      </c>
    </row>
    <row r="20" spans="1:6" x14ac:dyDescent="0.2">
      <c r="A20" s="20">
        <v>16</v>
      </c>
      <c r="B20" s="202" t="s">
        <v>14</v>
      </c>
      <c r="C20" s="203"/>
      <c r="D20" s="15">
        <f t="shared" si="0"/>
        <v>455919</v>
      </c>
      <c r="E20" s="18">
        <f t="shared" si="1"/>
        <v>5027548.2698238166</v>
      </c>
      <c r="F20" s="22">
        <f t="shared" si="2"/>
        <v>11.027283946981408</v>
      </c>
    </row>
    <row r="21" spans="1:6" x14ac:dyDescent="0.2">
      <c r="A21" s="20">
        <v>17</v>
      </c>
      <c r="B21" s="202" t="s">
        <v>15</v>
      </c>
      <c r="C21" s="203"/>
      <c r="D21" s="15">
        <f t="shared" si="0"/>
        <v>20512</v>
      </c>
      <c r="E21" s="18">
        <f t="shared" si="1"/>
        <v>327673.4742457018</v>
      </c>
      <c r="F21" s="22">
        <f t="shared" si="2"/>
        <v>15.974720858312295</v>
      </c>
    </row>
    <row r="22" spans="1:6" x14ac:dyDescent="0.2">
      <c r="A22" s="20">
        <v>18</v>
      </c>
      <c r="B22" s="202" t="s">
        <v>16</v>
      </c>
      <c r="C22" s="203"/>
      <c r="D22" s="15">
        <f t="shared" si="0"/>
        <v>576</v>
      </c>
      <c r="E22" s="18">
        <f t="shared" si="1"/>
        <v>8368.4048930150275</v>
      </c>
      <c r="F22" s="22">
        <f t="shared" si="2"/>
        <v>14.528480717039978</v>
      </c>
    </row>
    <row r="23" spans="1:6" x14ac:dyDescent="0.2">
      <c r="A23" s="20">
        <v>19</v>
      </c>
      <c r="B23" s="202" t="s">
        <v>17</v>
      </c>
      <c r="C23" s="203"/>
      <c r="D23" s="15">
        <f t="shared" si="0"/>
        <v>236424</v>
      </c>
      <c r="E23" s="18">
        <f t="shared" si="1"/>
        <v>2526309.2333787931</v>
      </c>
      <c r="F23" s="22">
        <f t="shared" si="2"/>
        <v>10.685502459051506</v>
      </c>
    </row>
    <row r="24" spans="1:6" x14ac:dyDescent="0.2">
      <c r="A24" s="20">
        <v>20</v>
      </c>
      <c r="B24" s="202" t="s">
        <v>18</v>
      </c>
      <c r="C24" s="203"/>
      <c r="D24" s="15">
        <f t="shared" si="0"/>
        <v>83628</v>
      </c>
      <c r="E24" s="18">
        <f t="shared" si="1"/>
        <v>1075718.8479046193</v>
      </c>
      <c r="F24" s="22">
        <f t="shared" si="2"/>
        <v>12.863142104374363</v>
      </c>
    </row>
    <row r="25" spans="1:6" ht="14.25" customHeight="1" x14ac:dyDescent="0.2">
      <c r="A25" s="20">
        <v>21</v>
      </c>
      <c r="B25" s="202" t="s">
        <v>446</v>
      </c>
      <c r="C25" s="203"/>
      <c r="D25" s="15">
        <f t="shared" si="0"/>
        <v>165512</v>
      </c>
      <c r="E25" s="18">
        <f t="shared" si="1"/>
        <v>1446502.8309942763</v>
      </c>
      <c r="F25" s="22">
        <f t="shared" si="2"/>
        <v>8.7395646901389412</v>
      </c>
    </row>
    <row r="26" spans="1:6" x14ac:dyDescent="0.2">
      <c r="A26" s="20">
        <v>22</v>
      </c>
      <c r="B26" s="202" t="s">
        <v>19</v>
      </c>
      <c r="C26" s="203"/>
      <c r="D26" s="15">
        <f t="shared" si="0"/>
        <v>31876</v>
      </c>
      <c r="E26" s="18">
        <f t="shared" si="1"/>
        <v>320433.48328081076</v>
      </c>
      <c r="F26" s="22">
        <f t="shared" si="2"/>
        <v>10.05249978920852</v>
      </c>
    </row>
    <row r="27" spans="1:6" x14ac:dyDescent="0.2">
      <c r="A27" s="20">
        <v>23</v>
      </c>
      <c r="B27" s="202" t="s">
        <v>20</v>
      </c>
      <c r="C27" s="203"/>
      <c r="D27" s="15">
        <f t="shared" si="0"/>
        <v>118992</v>
      </c>
      <c r="E27" s="18">
        <f t="shared" si="1"/>
        <v>1138064.0608153543</v>
      </c>
      <c r="F27" s="22">
        <f t="shared" si="2"/>
        <v>9.5642065081295744</v>
      </c>
    </row>
    <row r="28" spans="1:6" x14ac:dyDescent="0.2">
      <c r="A28" s="20">
        <v>24</v>
      </c>
      <c r="B28" s="202" t="s">
        <v>21</v>
      </c>
      <c r="C28" s="203"/>
      <c r="D28" s="15">
        <f t="shared" si="0"/>
        <v>148840</v>
      </c>
      <c r="E28" s="18">
        <f t="shared" si="1"/>
        <v>1769510.3893686747</v>
      </c>
      <c r="F28" s="22">
        <f t="shared" si="2"/>
        <v>11.888675015914234</v>
      </c>
    </row>
    <row r="29" spans="1:6" x14ac:dyDescent="0.2">
      <c r="A29" s="20">
        <v>25</v>
      </c>
      <c r="B29" s="202" t="s">
        <v>22</v>
      </c>
      <c r="C29" s="203"/>
      <c r="D29" s="15">
        <f t="shared" si="0"/>
        <v>638240</v>
      </c>
      <c r="E29" s="18">
        <f t="shared" si="1"/>
        <v>5457568.9217324853</v>
      </c>
      <c r="F29" s="22">
        <f t="shared" si="2"/>
        <v>8.5509665983524776</v>
      </c>
    </row>
    <row r="30" spans="1:6" x14ac:dyDescent="0.2">
      <c r="A30" s="20">
        <v>26</v>
      </c>
      <c r="B30" s="202" t="s">
        <v>23</v>
      </c>
      <c r="C30" s="203"/>
      <c r="D30" s="15">
        <f t="shared" si="0"/>
        <v>265836</v>
      </c>
      <c r="E30" s="18">
        <f t="shared" si="1"/>
        <v>2580766.5957283732</v>
      </c>
      <c r="F30" s="22">
        <f t="shared" si="2"/>
        <v>9.7081155138069075</v>
      </c>
    </row>
    <row r="31" spans="1:6" x14ac:dyDescent="0.2">
      <c r="A31" s="20">
        <v>28</v>
      </c>
      <c r="B31" s="202" t="s">
        <v>24</v>
      </c>
      <c r="C31" s="203"/>
      <c r="D31" s="15">
        <f t="shared" si="0"/>
        <v>229520</v>
      </c>
      <c r="E31" s="18">
        <f t="shared" si="1"/>
        <v>2512554.1997305714</v>
      </c>
      <c r="F31" s="22">
        <f t="shared" si="2"/>
        <v>10.946994596246826</v>
      </c>
    </row>
    <row r="32" spans="1:6" ht="15.75" customHeight="1" thickBot="1" x14ac:dyDescent="0.25">
      <c r="A32" s="23">
        <v>29</v>
      </c>
      <c r="B32" s="206" t="s">
        <v>25</v>
      </c>
      <c r="C32" s="207"/>
      <c r="D32" s="24">
        <f t="shared" si="0"/>
        <v>225824</v>
      </c>
      <c r="E32" s="25">
        <f t="shared" si="1"/>
        <v>2404838.0183337247</v>
      </c>
      <c r="F32" s="26">
        <f t="shared" si="2"/>
        <v>10.649169345745911</v>
      </c>
    </row>
    <row r="33" spans="1:6" x14ac:dyDescent="0.2">
      <c r="B33" s="31" t="s">
        <v>35</v>
      </c>
      <c r="C33" s="31"/>
      <c r="D33" s="60">
        <f>SUM(D5:D32)</f>
        <v>5404030</v>
      </c>
      <c r="E33" s="32">
        <f>SUM(E5:E32)</f>
        <v>55245804.000000007</v>
      </c>
      <c r="F33" s="33">
        <f t="shared" si="2"/>
        <v>10.223075001434117</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IF(F3="1",SUMIF(Data!A:A,'15'!$A$2,Data!CU:CU),0)</f>
        <v>272</v>
      </c>
      <c r="E36" s="16">
        <f>IF(F3="1",SUMIF(Data!$A:$A,'15'!$A$2,Data!IO:IO),0)</f>
        <v>165</v>
      </c>
      <c r="F36" s="21">
        <f t="shared" ref="F36:F64" si="3">IFERROR(E36/D36,"")</f>
        <v>0.60661764705882348</v>
      </c>
    </row>
    <row r="37" spans="1:6" x14ac:dyDescent="0.2">
      <c r="A37" s="20">
        <v>2</v>
      </c>
      <c r="B37" s="202" t="s">
        <v>1</v>
      </c>
      <c r="C37" s="203"/>
      <c r="D37" s="15">
        <f>IF(F3="1",SUMIF(Data!A:A,'15'!$A$2,Data!CV:CV),0)</f>
        <v>213256</v>
      </c>
      <c r="E37" s="18">
        <f>IF(F3="1",SUMIF(Data!$A:$A,'15'!$A$2,Data!IP:IP),0)</f>
        <v>261126</v>
      </c>
      <c r="F37" s="22">
        <f t="shared" si="3"/>
        <v>1.2244719960985857</v>
      </c>
    </row>
    <row r="38" spans="1:6" ht="14.25" customHeight="1" x14ac:dyDescent="0.2">
      <c r="A38" s="20">
        <v>3</v>
      </c>
      <c r="B38" s="202" t="s">
        <v>2</v>
      </c>
      <c r="C38" s="203"/>
      <c r="D38" s="15">
        <f>IF(F3="1",SUMIF(Data!A:A,'15'!$A$2,Data!CW:CW),0)</f>
        <v>600416</v>
      </c>
      <c r="E38" s="18">
        <f>IF(F3="1",SUMIF(Data!$A:$A,'15'!$A$2,Data!IQ:IQ),0)</f>
        <v>553199</v>
      </c>
      <c r="F38" s="22">
        <f t="shared" si="3"/>
        <v>0.92135952406331612</v>
      </c>
    </row>
    <row r="39" spans="1:6" ht="14.25" customHeight="1" x14ac:dyDescent="0.2">
      <c r="A39" s="20">
        <v>4</v>
      </c>
      <c r="B39" s="202" t="s">
        <v>3</v>
      </c>
      <c r="C39" s="203"/>
      <c r="D39" s="15">
        <f>IF(F3="1",SUMIF(Data!A:A,'15'!$A$2,Data!CX:CX),0)</f>
        <v>324616</v>
      </c>
      <c r="E39" s="18">
        <f>IF(F3="1",SUMIF(Data!$A:$A,'15'!$A$2,Data!IR:IR),0)</f>
        <v>459865</v>
      </c>
      <c r="F39" s="22">
        <f t="shared" si="3"/>
        <v>1.4166430490179165</v>
      </c>
    </row>
    <row r="40" spans="1:6" x14ac:dyDescent="0.2">
      <c r="A40" s="20">
        <v>5</v>
      </c>
      <c r="B40" s="202" t="s">
        <v>4</v>
      </c>
      <c r="C40" s="203"/>
      <c r="D40" s="15">
        <f>IF(F3="1",SUMIF(Data!A:A,'15'!$A$2,Data!CY:CY),0)</f>
        <v>0</v>
      </c>
      <c r="E40" s="18">
        <f>IF(F3="1",SUMIF(Data!$A:$A,'15'!$A$2,Data!IS:IS),0)</f>
        <v>0</v>
      </c>
      <c r="F40" s="22" t="str">
        <f t="shared" si="3"/>
        <v/>
      </c>
    </row>
    <row r="41" spans="1:6" x14ac:dyDescent="0.2">
      <c r="A41" s="20">
        <v>6</v>
      </c>
      <c r="B41" s="202" t="s">
        <v>5</v>
      </c>
      <c r="C41" s="203"/>
      <c r="D41" s="15">
        <f>IF(F3="1",SUMIF(Data!A:A,'15'!$A$2,Data!CZ:CZ),0)</f>
        <v>39776</v>
      </c>
      <c r="E41" s="18">
        <f>IF(F3="1",SUMIF(Data!$A:$A,'15'!$A$2,Data!IT:IT),0)</f>
        <v>71274</v>
      </c>
      <c r="F41" s="22">
        <f t="shared" si="3"/>
        <v>1.7918845534995977</v>
      </c>
    </row>
    <row r="42" spans="1:6" x14ac:dyDescent="0.2">
      <c r="A42" s="20">
        <v>7</v>
      </c>
      <c r="B42" s="202" t="s">
        <v>6</v>
      </c>
      <c r="C42" s="203"/>
      <c r="D42" s="15">
        <f>IF(F3="1",SUMIF(Data!A:A,'15'!$A$2,Data!DA:DA),0)</f>
        <v>183097</v>
      </c>
      <c r="E42" s="18">
        <f>IF(F3="1",SUMIF(Data!$A:$A,'15'!$A$2,Data!IU:IU),0)</f>
        <v>218384</v>
      </c>
      <c r="F42" s="22">
        <f t="shared" si="3"/>
        <v>1.1927229828997745</v>
      </c>
    </row>
    <row r="43" spans="1:6" x14ac:dyDescent="0.2">
      <c r="A43" s="20">
        <v>8</v>
      </c>
      <c r="B43" s="202" t="s">
        <v>7</v>
      </c>
      <c r="C43" s="203"/>
      <c r="D43" s="15">
        <f>IF(F3="1",SUMIF(Data!A:A,'15'!$A$2,Data!DB:DB),0)</f>
        <v>61972</v>
      </c>
      <c r="E43" s="18">
        <f>IF(F3="1",SUMIF(Data!$A:$A,'15'!$A$2,Data!IV:IV),0)</f>
        <v>25868</v>
      </c>
      <c r="F43" s="22">
        <f t="shared" si="3"/>
        <v>0.41741431614277413</v>
      </c>
    </row>
    <row r="44" spans="1:6" x14ac:dyDescent="0.2">
      <c r="A44" s="20">
        <v>9</v>
      </c>
      <c r="B44" s="202" t="s">
        <v>8</v>
      </c>
      <c r="C44" s="203"/>
      <c r="D44" s="15">
        <f>IF(F3="1",SUMIF(Data!A:A,'15'!$A$2,Data!DC:DC),0)</f>
        <v>218070</v>
      </c>
      <c r="E44" s="18">
        <f>IF(F3="1",SUMIF(Data!$A:$A,'15'!$A$2,Data!IW:IW),0)</f>
        <v>331417</v>
      </c>
      <c r="F44" s="22">
        <f t="shared" si="3"/>
        <v>1.5197734672352914</v>
      </c>
    </row>
    <row r="45" spans="1:6" x14ac:dyDescent="0.2">
      <c r="A45" s="20">
        <v>10</v>
      </c>
      <c r="B45" s="202" t="s">
        <v>9</v>
      </c>
      <c r="C45" s="203"/>
      <c r="D45" s="15">
        <f>IF(F3="1",SUMIF(Data!A:A,'15'!$A$2,Data!DD:DD),0)</f>
        <v>4320</v>
      </c>
      <c r="E45" s="18">
        <f>IF(F3="1",SUMIF(Data!$A:$A,'15'!$A$2,Data!IX:IX),0)</f>
        <v>1791</v>
      </c>
      <c r="F45" s="22">
        <f t="shared" si="3"/>
        <v>0.41458333333333336</v>
      </c>
    </row>
    <row r="46" spans="1:6" x14ac:dyDescent="0.2">
      <c r="A46" s="20">
        <v>11</v>
      </c>
      <c r="B46" s="202" t="s">
        <v>10</v>
      </c>
      <c r="C46" s="203"/>
      <c r="D46" s="15">
        <f>IF(F3="1",SUMIF(Data!A:A,'15'!$A$2,Data!DE:DE),0)</f>
        <v>157796</v>
      </c>
      <c r="E46" s="18">
        <f>IF(F3="1",SUMIF(Data!$A:$A,'15'!$A$2,Data!IY:IY),0)</f>
        <v>172314</v>
      </c>
      <c r="F46" s="22">
        <f t="shared" si="3"/>
        <v>1.0920048670435245</v>
      </c>
    </row>
    <row r="47" spans="1:6" ht="14.25" customHeight="1" x14ac:dyDescent="0.2">
      <c r="A47" s="20">
        <v>12</v>
      </c>
      <c r="B47" s="202" t="s">
        <v>11</v>
      </c>
      <c r="C47" s="203"/>
      <c r="D47" s="15">
        <f>IF(F3="1",SUMIF(Data!A:A,'15'!$A$2,Data!DF:DF),0)</f>
        <v>567088</v>
      </c>
      <c r="E47" s="18">
        <f>IF(F3="1",SUMIF(Data!$A:$A,'15'!$A$2,Data!IZ:IZ),0)</f>
        <v>1017714</v>
      </c>
      <c r="F47" s="22">
        <f t="shared" si="3"/>
        <v>1.7946315210337724</v>
      </c>
    </row>
    <row r="48" spans="1:6" x14ac:dyDescent="0.2">
      <c r="A48" s="20">
        <v>13</v>
      </c>
      <c r="B48" s="202" t="s">
        <v>12</v>
      </c>
      <c r="C48" s="203"/>
      <c r="D48" s="15">
        <f>IF(F3="1",SUMIF(Data!A:A,'15'!$A$2,Data!DG:DG),0)</f>
        <v>98456</v>
      </c>
      <c r="E48" s="18">
        <f>IF(F3="1",SUMIF(Data!$A:$A,'15'!$A$2,Data!JA:JA),0)</f>
        <v>128564</v>
      </c>
      <c r="F48" s="22">
        <f t="shared" si="3"/>
        <v>1.305801576338669</v>
      </c>
    </row>
    <row r="49" spans="1:6" ht="14.25" customHeight="1" x14ac:dyDescent="0.2">
      <c r="A49" s="20">
        <v>14</v>
      </c>
      <c r="B49" s="202" t="s">
        <v>449</v>
      </c>
      <c r="C49" s="203"/>
      <c r="D49" s="15">
        <f>IF(F3="1",SUMIF(Data!A:A,'15'!$A$2,Data!DH:DH),0)</f>
        <v>279740</v>
      </c>
      <c r="E49" s="18">
        <f>IF(F3="1",SUMIF(Data!$A:$A,'15'!$A$2,Data!JB:JB),0)</f>
        <v>655647</v>
      </c>
      <c r="F49" s="22">
        <f t="shared" si="3"/>
        <v>2.3437727890183742</v>
      </c>
    </row>
    <row r="50" spans="1:6" x14ac:dyDescent="0.2">
      <c r="A50" s="20">
        <v>15</v>
      </c>
      <c r="B50" s="202" t="s">
        <v>13</v>
      </c>
      <c r="C50" s="203"/>
      <c r="D50" s="15">
        <f>IF(F3="1",SUMIF(Data!A:A,'15'!$A$2,Data!DI:DI),0)</f>
        <v>33456</v>
      </c>
      <c r="E50" s="18">
        <f>IF(F3="1",SUMIF(Data!$A:$A,'15'!$A$2,Data!JC:JC),0)</f>
        <v>121499</v>
      </c>
      <c r="F50" s="22">
        <f t="shared" si="3"/>
        <v>3.6316056910569108</v>
      </c>
    </row>
    <row r="51" spans="1:6" x14ac:dyDescent="0.2">
      <c r="A51" s="20">
        <v>16</v>
      </c>
      <c r="B51" s="202" t="s">
        <v>14</v>
      </c>
      <c r="C51" s="203"/>
      <c r="D51" s="15">
        <f>IF(F3="1",SUMIF(Data!A:A,'15'!$A$2,Data!DJ:DJ),0)</f>
        <v>455919</v>
      </c>
      <c r="E51" s="18">
        <f>IF(F3="1",SUMIF(Data!$A:$A,'15'!$A$2,Data!JD:JD),0)</f>
        <v>770194</v>
      </c>
      <c r="F51" s="22">
        <f t="shared" si="3"/>
        <v>1.6893220067599728</v>
      </c>
    </row>
    <row r="52" spans="1:6" x14ac:dyDescent="0.2">
      <c r="A52" s="20">
        <v>17</v>
      </c>
      <c r="B52" s="202" t="s">
        <v>15</v>
      </c>
      <c r="C52" s="203"/>
      <c r="D52" s="15">
        <f>IF(F3="1",SUMIF(Data!A:A,'15'!$A$2,Data!DK:DK),0)</f>
        <v>20512</v>
      </c>
      <c r="E52" s="18">
        <f>IF(F3="1",SUMIF(Data!$A:$A,'15'!$A$2,Data!JE:JE),0)</f>
        <v>52664</v>
      </c>
      <c r="F52" s="22">
        <f t="shared" si="3"/>
        <v>2.5674726989079564</v>
      </c>
    </row>
    <row r="53" spans="1:6" x14ac:dyDescent="0.2">
      <c r="A53" s="20">
        <v>18</v>
      </c>
      <c r="B53" s="202" t="s">
        <v>16</v>
      </c>
      <c r="C53" s="203"/>
      <c r="D53" s="15">
        <f>IF(F3="1",SUMIF(Data!A:A,'15'!$A$2,Data!DL:DL),0)</f>
        <v>576</v>
      </c>
      <c r="E53" s="18">
        <f>IF(F3="1",SUMIF(Data!$A:$A,'15'!$A$2,Data!JF:JF),0)</f>
        <v>1366</v>
      </c>
      <c r="F53" s="22">
        <f t="shared" si="3"/>
        <v>2.3715277777777777</v>
      </c>
    </row>
    <row r="54" spans="1:6" x14ac:dyDescent="0.2">
      <c r="A54" s="20">
        <v>19</v>
      </c>
      <c r="B54" s="202" t="s">
        <v>17</v>
      </c>
      <c r="C54" s="203"/>
      <c r="D54" s="15">
        <f>IF(F3="1",SUMIF(Data!A:A,'15'!$A$2,Data!DM:DM),0)</f>
        <v>236424</v>
      </c>
      <c r="E54" s="18">
        <f>IF(F3="1",SUMIF(Data!$A:$A,'15'!$A$2,Data!JG:JG),0)</f>
        <v>336568</v>
      </c>
      <c r="F54" s="22">
        <f t="shared" si="3"/>
        <v>1.4235779785470173</v>
      </c>
    </row>
    <row r="55" spans="1:6" x14ac:dyDescent="0.2">
      <c r="A55" s="20">
        <v>20</v>
      </c>
      <c r="B55" s="202" t="s">
        <v>18</v>
      </c>
      <c r="C55" s="203"/>
      <c r="D55" s="15">
        <f>IF(F3="1",SUMIF(Data!A:A,'15'!$A$2,Data!DN:DN),0)</f>
        <v>83628</v>
      </c>
      <c r="E55" s="18">
        <f>IF(F3="1",SUMIF(Data!$A:$A,'15'!$A$2,Data!JH:JH),0)</f>
        <v>230639</v>
      </c>
      <c r="F55" s="22">
        <f t="shared" si="3"/>
        <v>2.7579160089922037</v>
      </c>
    </row>
    <row r="56" spans="1:6" ht="14.25" customHeight="1" x14ac:dyDescent="0.2">
      <c r="A56" s="20">
        <v>21</v>
      </c>
      <c r="B56" s="202" t="s">
        <v>446</v>
      </c>
      <c r="C56" s="203"/>
      <c r="D56" s="15">
        <f>IF(F3="1",SUMIF(Data!A:A,'15'!$A$2,Data!DO:DO),0)</f>
        <v>165512</v>
      </c>
      <c r="E56" s="18">
        <f>IF(F3="1",SUMIF(Data!$A:$A,'15'!$A$2,Data!JI:JI),0)</f>
        <v>205604</v>
      </c>
      <c r="F56" s="22">
        <f t="shared" si="3"/>
        <v>1.2422301706220698</v>
      </c>
    </row>
    <row r="57" spans="1:6" x14ac:dyDescent="0.2">
      <c r="A57" s="20">
        <v>22</v>
      </c>
      <c r="B57" s="202" t="s">
        <v>19</v>
      </c>
      <c r="C57" s="203"/>
      <c r="D57" s="15">
        <f>IF(F3="1",SUMIF(Data!A:A,'15'!$A$2,Data!DP:DP),0)</f>
        <v>31876</v>
      </c>
      <c r="E57" s="18">
        <f>IF(F3="1",SUMIF(Data!$A:$A,'15'!$A$2,Data!JJ:JJ),0)</f>
        <v>40216</v>
      </c>
      <c r="F57" s="22">
        <f t="shared" si="3"/>
        <v>1.2616388505458653</v>
      </c>
    </row>
    <row r="58" spans="1:6" x14ac:dyDescent="0.2">
      <c r="A58" s="20">
        <v>23</v>
      </c>
      <c r="B58" s="202" t="s">
        <v>20</v>
      </c>
      <c r="C58" s="203"/>
      <c r="D58" s="15">
        <f>IF(F3="1",SUMIF(Data!A:A,'15'!$A$2,Data!DQ:DQ),0)</f>
        <v>118992</v>
      </c>
      <c r="E58" s="18">
        <f>IF(F3="1",SUMIF(Data!$A:$A,'15'!$A$2,Data!JK:JK),0)</f>
        <v>141153</v>
      </c>
      <c r="F58" s="22">
        <f t="shared" si="3"/>
        <v>1.1862394110528438</v>
      </c>
    </row>
    <row r="59" spans="1:6" x14ac:dyDescent="0.2">
      <c r="A59" s="20">
        <v>24</v>
      </c>
      <c r="B59" s="202" t="s">
        <v>21</v>
      </c>
      <c r="C59" s="203"/>
      <c r="D59" s="15">
        <f>IF(F3="1",SUMIF(Data!A:A,'15'!$A$2,Data!DR:DR),0)</f>
        <v>148840</v>
      </c>
      <c r="E59" s="18">
        <f>IF(F3="1",SUMIF(Data!$A:$A,'15'!$A$2,Data!JL:JL),0)</f>
        <v>271172</v>
      </c>
      <c r="F59" s="22">
        <f t="shared" si="3"/>
        <v>1.8219027143241064</v>
      </c>
    </row>
    <row r="60" spans="1:6" x14ac:dyDescent="0.2">
      <c r="A60" s="20">
        <v>25</v>
      </c>
      <c r="B60" s="202" t="s">
        <v>22</v>
      </c>
      <c r="C60" s="203"/>
      <c r="D60" s="15">
        <f>IF(F3="1",SUMIF(Data!A:A,'15'!$A$2,Data!DS:DS),0)</f>
        <v>638240</v>
      </c>
      <c r="E60" s="18">
        <f>IF(F3="1",SUMIF(Data!$A:$A,'15'!$A$2,Data!JM:JM),0)</f>
        <v>535493</v>
      </c>
      <c r="F60" s="22">
        <f t="shared" si="3"/>
        <v>0.83901510403609925</v>
      </c>
    </row>
    <row r="61" spans="1:6" x14ac:dyDescent="0.2">
      <c r="A61" s="20">
        <v>26</v>
      </c>
      <c r="B61" s="202" t="s">
        <v>23</v>
      </c>
      <c r="C61" s="203"/>
      <c r="D61" s="15">
        <f>IF(F3="1",SUMIF(Data!A:A,'15'!$A$2,Data!DT:DT),0)</f>
        <v>265836</v>
      </c>
      <c r="E61" s="18">
        <f>IF(F3="1",SUMIF(Data!$A:$A,'15'!$A$2,Data!JN:JN),0)</f>
        <v>356513</v>
      </c>
      <c r="F61" s="22">
        <f t="shared" si="3"/>
        <v>1.3411012804887223</v>
      </c>
    </row>
    <row r="62" spans="1:6" x14ac:dyDescent="0.2">
      <c r="A62" s="20">
        <v>28</v>
      </c>
      <c r="B62" s="202" t="s">
        <v>24</v>
      </c>
      <c r="C62" s="203"/>
      <c r="D62" s="15">
        <f>IF(F3="1",SUMIF(Data!A:A,'15'!$A$2,Data!DV:DV),0)</f>
        <v>229520</v>
      </c>
      <c r="E62" s="18">
        <f>IF(F3="1",SUMIF(Data!$A:$A,'15'!$A$2,Data!JP:JP),0)</f>
        <v>338750</v>
      </c>
      <c r="F62" s="22">
        <f t="shared" si="3"/>
        <v>1.4759062391077031</v>
      </c>
    </row>
    <row r="63" spans="1:6" ht="15.75" customHeight="1" thickBot="1" x14ac:dyDescent="0.25">
      <c r="A63" s="23">
        <v>29</v>
      </c>
      <c r="B63" s="206" t="s">
        <v>25</v>
      </c>
      <c r="C63" s="207"/>
      <c r="D63" s="24">
        <f>IF(F3="1",SUMIF(Data!A:A,'15'!$A$2,Data!DW:DW),0)</f>
        <v>225824</v>
      </c>
      <c r="E63" s="25">
        <f>IF(F3="1",SUMIF(Data!$A:$A,'15'!$A$2,Data!JQ:JQ),0)</f>
        <v>349211</v>
      </c>
      <c r="F63" s="26">
        <f t="shared" si="3"/>
        <v>1.5463856808842285</v>
      </c>
    </row>
    <row r="64" spans="1:6" x14ac:dyDescent="0.2">
      <c r="B64" s="31" t="s">
        <v>35</v>
      </c>
      <c r="C64" s="31"/>
      <c r="D64" s="60">
        <f>SUM(D36:D63)</f>
        <v>5404030</v>
      </c>
      <c r="E64" s="32">
        <f>SUM(E36:E63)</f>
        <v>7648370</v>
      </c>
      <c r="F64" s="33">
        <f t="shared" si="3"/>
        <v>1.4153085752669767</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272</v>
      </c>
      <c r="E67" s="16">
        <f>IF(F3="1",SUMIF(Data!A:A,'15'!$A$2,Data!DY:DY),0)</f>
        <v>93</v>
      </c>
      <c r="F67" s="21">
        <f>IFERROR(E67/D67,"")</f>
        <v>0.34191176470588236</v>
      </c>
    </row>
    <row r="68" spans="1:6" x14ac:dyDescent="0.2">
      <c r="A68" s="20">
        <v>2</v>
      </c>
      <c r="B68" s="202" t="s">
        <v>1</v>
      </c>
      <c r="C68" s="203"/>
      <c r="D68" s="15">
        <f t="shared" ref="D68:D94" si="4">D37</f>
        <v>213256</v>
      </c>
      <c r="E68" s="18">
        <f>IF(F3="1",SUMIF(Data!A:A,'15'!$A$2,Data!DZ:DZ),0)</f>
        <v>518281</v>
      </c>
      <c r="F68" s="22">
        <f t="shared" ref="F68:F95" si="5">IFERROR(E68/D68,"")</f>
        <v>2.4303231796526239</v>
      </c>
    </row>
    <row r="69" spans="1:6" ht="14.25" customHeight="1" x14ac:dyDescent="0.2">
      <c r="A69" s="20">
        <v>3</v>
      </c>
      <c r="B69" s="202" t="s">
        <v>2</v>
      </c>
      <c r="C69" s="203"/>
      <c r="D69" s="15">
        <f t="shared" si="4"/>
        <v>600416</v>
      </c>
      <c r="E69" s="18">
        <f>IF(F3="1",SUMIF(Data!A:A,'15'!$A$2,Data!EA:EA),0)</f>
        <v>1804721</v>
      </c>
      <c r="F69" s="22">
        <f t="shared" si="5"/>
        <v>3.0057843228694772</v>
      </c>
    </row>
    <row r="70" spans="1:6" ht="14.25" customHeight="1" x14ac:dyDescent="0.2">
      <c r="A70" s="20">
        <v>4</v>
      </c>
      <c r="B70" s="202" t="s">
        <v>3</v>
      </c>
      <c r="C70" s="203"/>
      <c r="D70" s="15">
        <f t="shared" si="4"/>
        <v>324616</v>
      </c>
      <c r="E70" s="18">
        <f>IF(F3="1",SUMIF(Data!A:A,'15'!$A$2,Data!EB:EB),0)</f>
        <v>1528740</v>
      </c>
      <c r="F70" s="22">
        <f t="shared" si="5"/>
        <v>4.7093796978583926</v>
      </c>
    </row>
    <row r="71" spans="1:6" x14ac:dyDescent="0.2">
      <c r="A71" s="20">
        <v>5</v>
      </c>
      <c r="B71" s="202" t="s">
        <v>4</v>
      </c>
      <c r="C71" s="203"/>
      <c r="D71" s="15">
        <f t="shared" si="4"/>
        <v>0</v>
      </c>
      <c r="E71" s="18">
        <f>IF(F3="1",SUMIF(Data!A:A,'15'!$A$2,Data!EC:EC),0)</f>
        <v>0</v>
      </c>
      <c r="F71" s="22" t="str">
        <f t="shared" si="5"/>
        <v/>
      </c>
    </row>
    <row r="72" spans="1:6" x14ac:dyDescent="0.2">
      <c r="A72" s="20">
        <v>6</v>
      </c>
      <c r="B72" s="202" t="s">
        <v>5</v>
      </c>
      <c r="C72" s="203"/>
      <c r="D72" s="15">
        <f t="shared" si="4"/>
        <v>39776</v>
      </c>
      <c r="E72" s="18">
        <f>IF(F3="1",SUMIF(Data!A:A,'15'!$A$2,Data!ED:ED),0)</f>
        <v>171876</v>
      </c>
      <c r="F72" s="22">
        <f t="shared" si="5"/>
        <v>4.3210981496379723</v>
      </c>
    </row>
    <row r="73" spans="1:6" x14ac:dyDescent="0.2">
      <c r="A73" s="20">
        <v>7</v>
      </c>
      <c r="B73" s="202" t="s">
        <v>6</v>
      </c>
      <c r="C73" s="203"/>
      <c r="D73" s="15">
        <f t="shared" si="4"/>
        <v>183097</v>
      </c>
      <c r="E73" s="18">
        <f>IF(F3="1",SUMIF(Data!A:A,'15'!$A$2,Data!EE:EE),0)</f>
        <v>844611</v>
      </c>
      <c r="F73" s="22">
        <f t="shared" si="5"/>
        <v>4.6129155584198536</v>
      </c>
    </row>
    <row r="74" spans="1:6" x14ac:dyDescent="0.2">
      <c r="A74" s="20">
        <v>8</v>
      </c>
      <c r="B74" s="202" t="s">
        <v>7</v>
      </c>
      <c r="C74" s="203"/>
      <c r="D74" s="15">
        <f t="shared" si="4"/>
        <v>61972</v>
      </c>
      <c r="E74" s="18">
        <f>IF(F3="1",SUMIF(Data!A:A,'15'!$A$2,Data!EF:EF),0)</f>
        <v>23888</v>
      </c>
      <c r="F74" s="22">
        <f t="shared" si="5"/>
        <v>0.38546440327890014</v>
      </c>
    </row>
    <row r="75" spans="1:6" x14ac:dyDescent="0.2">
      <c r="A75" s="20">
        <v>9</v>
      </c>
      <c r="B75" s="202" t="s">
        <v>8</v>
      </c>
      <c r="C75" s="203"/>
      <c r="D75" s="15">
        <f t="shared" si="4"/>
        <v>218070</v>
      </c>
      <c r="E75" s="18">
        <f>IF(F3="1",SUMIF(Data!A:A,'15'!$A$2,Data!EG:EG),0)</f>
        <v>794617</v>
      </c>
      <c r="F75" s="22">
        <f t="shared" si="5"/>
        <v>3.6438620626404368</v>
      </c>
    </row>
    <row r="76" spans="1:6" x14ac:dyDescent="0.2">
      <c r="A76" s="20">
        <v>10</v>
      </c>
      <c r="B76" s="202" t="s">
        <v>9</v>
      </c>
      <c r="C76" s="203"/>
      <c r="D76" s="15">
        <f t="shared" si="4"/>
        <v>4320</v>
      </c>
      <c r="E76" s="18">
        <f>IF(F3="1",SUMIF(Data!A:A,'15'!$A$2,Data!EH:EH),0)</f>
        <v>7248</v>
      </c>
      <c r="F76" s="22">
        <f t="shared" si="5"/>
        <v>1.6777777777777778</v>
      </c>
    </row>
    <row r="77" spans="1:6" x14ac:dyDescent="0.2">
      <c r="A77" s="20">
        <v>11</v>
      </c>
      <c r="B77" s="202" t="s">
        <v>10</v>
      </c>
      <c r="C77" s="203"/>
      <c r="D77" s="15">
        <f t="shared" si="4"/>
        <v>157796</v>
      </c>
      <c r="E77" s="18">
        <f>IF(F3="1",SUMIF(Data!A:A,'15'!$A$2,Data!EI:EI),0)</f>
        <v>554742</v>
      </c>
      <c r="F77" s="22">
        <f t="shared" si="5"/>
        <v>3.5155643996045529</v>
      </c>
    </row>
    <row r="78" spans="1:6" ht="14.25" customHeight="1" x14ac:dyDescent="0.2">
      <c r="A78" s="20">
        <v>12</v>
      </c>
      <c r="B78" s="202" t="s">
        <v>11</v>
      </c>
      <c r="C78" s="203"/>
      <c r="D78" s="15">
        <f t="shared" si="4"/>
        <v>567088</v>
      </c>
      <c r="E78" s="18">
        <f>IF(F3="1",SUMIF(Data!A:A,'15'!$A$2,Data!EJ:EJ),0)</f>
        <v>3496024</v>
      </c>
      <c r="F78" s="22">
        <f t="shared" si="5"/>
        <v>6.1648703552182376</v>
      </c>
    </row>
    <row r="79" spans="1:6" x14ac:dyDescent="0.2">
      <c r="A79" s="20">
        <v>13</v>
      </c>
      <c r="B79" s="202" t="s">
        <v>12</v>
      </c>
      <c r="C79" s="203"/>
      <c r="D79" s="15">
        <f t="shared" si="4"/>
        <v>98456</v>
      </c>
      <c r="E79" s="18">
        <f>IF(F3="1",SUMIF(Data!A:A,'15'!$A$2,Data!EK:EK),0)</f>
        <v>298272</v>
      </c>
      <c r="F79" s="22">
        <f t="shared" si="5"/>
        <v>3.029495409116763</v>
      </c>
    </row>
    <row r="80" spans="1:6" ht="14.25" customHeight="1" x14ac:dyDescent="0.2">
      <c r="A80" s="20">
        <v>14</v>
      </c>
      <c r="B80" s="202" t="s">
        <v>449</v>
      </c>
      <c r="C80" s="203"/>
      <c r="D80" s="15">
        <f t="shared" si="4"/>
        <v>279740</v>
      </c>
      <c r="E80" s="18">
        <f>IF(F3="1",SUMIF(Data!A:A,'15'!$A$2,Data!EL:EL),0)</f>
        <v>2093152</v>
      </c>
      <c r="F80" s="22">
        <f t="shared" si="5"/>
        <v>7.4824908843926501</v>
      </c>
    </row>
    <row r="81" spans="1:6" x14ac:dyDescent="0.2">
      <c r="A81" s="20">
        <v>15</v>
      </c>
      <c r="B81" s="202" t="s">
        <v>13</v>
      </c>
      <c r="C81" s="203"/>
      <c r="D81" s="15">
        <f t="shared" si="4"/>
        <v>33456</v>
      </c>
      <c r="E81" s="18">
        <f>IF(F3="1",SUMIF(Data!A:A,'15'!$A$2,Data!EM:EM),0)</f>
        <v>382997</v>
      </c>
      <c r="F81" s="22">
        <f t="shared" si="5"/>
        <v>11.447782161645145</v>
      </c>
    </row>
    <row r="82" spans="1:6" x14ac:dyDescent="0.2">
      <c r="A82" s="20">
        <v>16</v>
      </c>
      <c r="B82" s="202" t="s">
        <v>14</v>
      </c>
      <c r="C82" s="203"/>
      <c r="D82" s="15">
        <f t="shared" si="4"/>
        <v>455919</v>
      </c>
      <c r="E82" s="18">
        <f>IF(F3="1",SUMIF(Data!A:A,'15'!$A$2,Data!EN:EN),0)</f>
        <v>2272678</v>
      </c>
      <c r="F82" s="22">
        <f t="shared" si="5"/>
        <v>4.9848284454036795</v>
      </c>
    </row>
    <row r="83" spans="1:6" x14ac:dyDescent="0.2">
      <c r="A83" s="20">
        <v>17</v>
      </c>
      <c r="B83" s="202" t="s">
        <v>15</v>
      </c>
      <c r="C83" s="203"/>
      <c r="D83" s="15">
        <f t="shared" si="4"/>
        <v>20512</v>
      </c>
      <c r="E83" s="18">
        <f>IF(F3="1",SUMIF(Data!A:A,'15'!$A$2,Data!EO:EO),0)</f>
        <v>185718</v>
      </c>
      <c r="F83" s="22">
        <f t="shared" si="5"/>
        <v>9.0541146645865833</v>
      </c>
    </row>
    <row r="84" spans="1:6" x14ac:dyDescent="0.2">
      <c r="A84" s="20">
        <v>18</v>
      </c>
      <c r="B84" s="202" t="s">
        <v>16</v>
      </c>
      <c r="C84" s="203"/>
      <c r="D84" s="15">
        <f t="shared" si="4"/>
        <v>576</v>
      </c>
      <c r="E84" s="18">
        <f>IF(F3="1",SUMIF(Data!A:A,'15'!$A$2,Data!EP:EP),0)</f>
        <v>4495</v>
      </c>
      <c r="F84" s="22">
        <f t="shared" si="5"/>
        <v>7.8038194444444446</v>
      </c>
    </row>
    <row r="85" spans="1:6" x14ac:dyDescent="0.2">
      <c r="A85" s="20">
        <v>19</v>
      </c>
      <c r="B85" s="202" t="s">
        <v>17</v>
      </c>
      <c r="C85" s="203"/>
      <c r="D85" s="15">
        <f t="shared" si="4"/>
        <v>236424</v>
      </c>
      <c r="E85" s="18">
        <f>IF(F3="1",SUMIF(Data!A:A,'15'!$A$2,Data!EQ:EQ),0)</f>
        <v>1160556</v>
      </c>
      <c r="F85" s="22">
        <f t="shared" si="5"/>
        <v>4.908790985686732</v>
      </c>
    </row>
    <row r="86" spans="1:6" x14ac:dyDescent="0.2">
      <c r="A86" s="20">
        <v>20</v>
      </c>
      <c r="B86" s="202" t="s">
        <v>18</v>
      </c>
      <c r="C86" s="203"/>
      <c r="D86" s="15">
        <f t="shared" si="4"/>
        <v>83628</v>
      </c>
      <c r="E86" s="18">
        <f>IF(F3="1",SUMIF(Data!A:A,'15'!$A$2,Data!ER:ER),0)</f>
        <v>481036</v>
      </c>
      <c r="F86" s="22">
        <f t="shared" si="5"/>
        <v>5.7520926005644046</v>
      </c>
    </row>
    <row r="87" spans="1:6" ht="14.25" customHeight="1" x14ac:dyDescent="0.2">
      <c r="A87" s="20">
        <v>21</v>
      </c>
      <c r="B87" s="202" t="s">
        <v>446</v>
      </c>
      <c r="C87" s="203"/>
      <c r="D87" s="15">
        <f t="shared" si="4"/>
        <v>165512</v>
      </c>
      <c r="E87" s="18">
        <f>IF(F3="1",SUMIF(Data!A:A,'15'!$A$2,Data!ES:ES),0)</f>
        <v>520403</v>
      </c>
      <c r="F87" s="22">
        <f t="shared" si="5"/>
        <v>3.1442010246991154</v>
      </c>
    </row>
    <row r="88" spans="1:6" x14ac:dyDescent="0.2">
      <c r="A88" s="20">
        <v>22</v>
      </c>
      <c r="B88" s="202" t="s">
        <v>19</v>
      </c>
      <c r="C88" s="203"/>
      <c r="D88" s="15">
        <f t="shared" si="4"/>
        <v>31876</v>
      </c>
      <c r="E88" s="18">
        <f>IF(F3="1",SUMIF(Data!A:A,'15'!$A$2,Data!ET:ET),0)</f>
        <v>141457</v>
      </c>
      <c r="F88" s="22">
        <f t="shared" si="5"/>
        <v>4.4377274438448993</v>
      </c>
    </row>
    <row r="89" spans="1:6" x14ac:dyDescent="0.2">
      <c r="A89" s="20">
        <v>23</v>
      </c>
      <c r="B89" s="202" t="s">
        <v>20</v>
      </c>
      <c r="C89" s="203"/>
      <c r="D89" s="15">
        <f t="shared" si="4"/>
        <v>118992</v>
      </c>
      <c r="E89" s="18">
        <f>IF(F3="1",SUMIF(Data!A:A,'15'!$A$2,Data!EU:EU),0)</f>
        <v>478923</v>
      </c>
      <c r="F89" s="22">
        <f t="shared" si="5"/>
        <v>4.0248336022589752</v>
      </c>
    </row>
    <row r="90" spans="1:6" x14ac:dyDescent="0.2">
      <c r="A90" s="20">
        <v>24</v>
      </c>
      <c r="B90" s="202" t="s">
        <v>21</v>
      </c>
      <c r="C90" s="203"/>
      <c r="D90" s="15">
        <f t="shared" si="4"/>
        <v>148840</v>
      </c>
      <c r="E90" s="18">
        <f>IF(F3="1",SUMIF(Data!A:A,'15'!$A$2,Data!EV:EV),0)</f>
        <v>850418</v>
      </c>
      <c r="F90" s="22">
        <f t="shared" si="5"/>
        <v>5.7136388067723729</v>
      </c>
    </row>
    <row r="91" spans="1:6" x14ac:dyDescent="0.2">
      <c r="A91" s="20">
        <v>25</v>
      </c>
      <c r="B91" s="202" t="s">
        <v>22</v>
      </c>
      <c r="C91" s="203"/>
      <c r="D91" s="15">
        <f t="shared" si="4"/>
        <v>638240</v>
      </c>
      <c r="E91" s="18">
        <f>IF(F3="1",SUMIF(Data!A:A,'15'!$A$2,Data!EW:EW),0)</f>
        <v>2143732</v>
      </c>
      <c r="F91" s="22">
        <f t="shared" si="5"/>
        <v>3.3588179994986214</v>
      </c>
    </row>
    <row r="92" spans="1:6" x14ac:dyDescent="0.2">
      <c r="A92" s="20">
        <v>26</v>
      </c>
      <c r="B92" s="202" t="s">
        <v>23</v>
      </c>
      <c r="C92" s="203"/>
      <c r="D92" s="15">
        <f t="shared" si="4"/>
        <v>265836</v>
      </c>
      <c r="E92" s="18">
        <f>IF(F3="1",SUMIF(Data!A:A,'15'!$A$2,Data!EX:EX),0)</f>
        <v>1067034</v>
      </c>
      <c r="F92" s="22">
        <f t="shared" si="5"/>
        <v>4.0138807385004291</v>
      </c>
    </row>
    <row r="93" spans="1:6" x14ac:dyDescent="0.2">
      <c r="A93" s="20">
        <v>28</v>
      </c>
      <c r="B93" s="202" t="s">
        <v>24</v>
      </c>
      <c r="C93" s="203"/>
      <c r="D93" s="15">
        <f t="shared" si="4"/>
        <v>229520</v>
      </c>
      <c r="E93" s="18">
        <f>IF(F3="1",SUMIF(Data!A:A,'15'!$A$2,Data!EZ:EZ),0)</f>
        <v>1174673</v>
      </c>
      <c r="F93" s="22">
        <f t="shared" si="5"/>
        <v>5.1179548623213664</v>
      </c>
    </row>
    <row r="94" spans="1:6" ht="15.75" customHeight="1" thickBot="1" x14ac:dyDescent="0.25">
      <c r="A94" s="23">
        <v>29</v>
      </c>
      <c r="B94" s="206" t="s">
        <v>25</v>
      </c>
      <c r="C94" s="207"/>
      <c r="D94" s="24">
        <f t="shared" si="4"/>
        <v>225824</v>
      </c>
      <c r="E94" s="25">
        <f>IF(F3="1",SUMIF(Data!A:A,'15'!$A$2,Data!FA:FA),0)</f>
        <v>1072585</v>
      </c>
      <c r="F94" s="26">
        <f t="shared" si="5"/>
        <v>4.7496501700439282</v>
      </c>
    </row>
    <row r="95" spans="1:6" x14ac:dyDescent="0.2">
      <c r="B95" s="31" t="s">
        <v>35</v>
      </c>
      <c r="C95" s="31"/>
      <c r="D95" s="60">
        <f>SUM(D67:D94)</f>
        <v>5404030</v>
      </c>
      <c r="E95" s="32">
        <f>SUM(E67:E94)</f>
        <v>24072970</v>
      </c>
      <c r="F95" s="33">
        <f t="shared" si="5"/>
        <v>4.4546329313493818</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IF(F3="1",SUMIF(Data!A:A,'15'!$A$2,Data!AH:AH),0)</f>
        <v>12713120</v>
      </c>
      <c r="F98" s="21">
        <f t="shared" ref="F98:F105" si="6">IFERROR(E98/$D$95,0)</f>
        <v>2.3525258001898584</v>
      </c>
    </row>
    <row r="99" spans="2:6" x14ac:dyDescent="0.2">
      <c r="B99" s="212" t="s">
        <v>31</v>
      </c>
      <c r="C99" s="213"/>
      <c r="D99" s="37"/>
      <c r="E99" s="18">
        <f>IF(F3="1",SUMIF(Data!A:A,'15'!$A$2,Data!AI:AI),0)</f>
        <v>3554337</v>
      </c>
      <c r="F99" s="22">
        <f t="shared" si="6"/>
        <v>0.65771970177811745</v>
      </c>
    </row>
    <row r="100" spans="2:6" x14ac:dyDescent="0.2">
      <c r="B100" s="212" t="s">
        <v>32</v>
      </c>
      <c r="C100" s="213"/>
      <c r="D100" s="37"/>
      <c r="E100" s="18">
        <f>IF(F3="1",SUMIF(Data!A:A,'15'!$A$2,Data!AJ:AJ),0)</f>
        <v>3675475</v>
      </c>
      <c r="F100" s="22">
        <f t="shared" si="6"/>
        <v>0.68013593558881058</v>
      </c>
    </row>
    <row r="101" spans="2:6" x14ac:dyDescent="0.2">
      <c r="B101" s="212" t="s">
        <v>28</v>
      </c>
      <c r="C101" s="213"/>
      <c r="D101" s="37"/>
      <c r="E101" s="18">
        <f>IF(F3="1",SUMIF(Data!A:A,'15'!$A$2,Data!AK:AK),0)</f>
        <v>0</v>
      </c>
      <c r="F101" s="22">
        <f t="shared" si="6"/>
        <v>0</v>
      </c>
    </row>
    <row r="102" spans="2:6" x14ac:dyDescent="0.2">
      <c r="B102" s="212" t="s">
        <v>33</v>
      </c>
      <c r="C102" s="213"/>
      <c r="D102" s="37"/>
      <c r="E102" s="18">
        <f>IF(F3="1",SUMIF(Data!A:A,'15'!$A$2,Data!AL:AL),0)</f>
        <v>0</v>
      </c>
      <c r="F102" s="22">
        <f t="shared" si="6"/>
        <v>0</v>
      </c>
    </row>
    <row r="103" spans="2:6" x14ac:dyDescent="0.2">
      <c r="B103" s="214" t="s">
        <v>34</v>
      </c>
      <c r="C103" s="215"/>
      <c r="D103" s="37"/>
      <c r="E103" s="18">
        <f>IF(F3="1",SUMIF(Data!A:A,'15'!$A$2,Data!AM:AM),0)</f>
        <v>0</v>
      </c>
      <c r="F103" s="22">
        <f t="shared" si="6"/>
        <v>0</v>
      </c>
    </row>
    <row r="104" spans="2:6" ht="15.75" customHeight="1" thickBot="1" x14ac:dyDescent="0.25">
      <c r="B104" s="208" t="s">
        <v>29</v>
      </c>
      <c r="C104" s="209"/>
      <c r="D104" s="38"/>
      <c r="E104" s="25">
        <f>IF(F3="1",SUMIF(Data!A:A,'15'!$A$2,Data!Q:Q),0)</f>
        <v>3581532</v>
      </c>
      <c r="F104" s="26">
        <f t="shared" si="6"/>
        <v>0.66275205726097008</v>
      </c>
    </row>
    <row r="105" spans="2:6" x14ac:dyDescent="0.2">
      <c r="B105" s="31" t="s">
        <v>35</v>
      </c>
      <c r="C105" s="31"/>
      <c r="D105" s="35">
        <f>D95</f>
        <v>5404030</v>
      </c>
      <c r="E105" s="32">
        <f>SUM(E98:E104)</f>
        <v>23524464</v>
      </c>
      <c r="F105" s="33">
        <f t="shared" si="6"/>
        <v>4.3531334948177562</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6">
        <f>E95+IF(F3="1",SUMIF(Data!$A:$A,$A$2,Data!GF:GF),0)</f>
        <v>24511311</v>
      </c>
      <c r="D109" s="192">
        <f>IF(F3="1",SUMIF(Data!$A:$A,$A$2,Data!HJ:HJ),0)</f>
        <v>6058267</v>
      </c>
      <c r="E109" s="192">
        <f>IF(F3="1",SUMIF(Data!$A:$A,$A$2,Data!IN:IN),0)</f>
        <v>1151762</v>
      </c>
      <c r="F109" s="48">
        <f>SUM(C109:E109)</f>
        <v>31721340</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7">
        <f>IF(F3="1",SUMIF(Data!A:A,$A$2,Data!AS:AS),0)</f>
        <v>256888</v>
      </c>
      <c r="D111" s="52"/>
      <c r="E111" s="193">
        <f>IF(F3="1",SUMIF(Data!A:A,$A$2,Data!AX:AX)-SUMIF(Data!A:A,$A$2,Data!AW:AW),0)</f>
        <v>26737</v>
      </c>
      <c r="F111" s="49">
        <f t="shared" si="7"/>
        <v>283625</v>
      </c>
    </row>
    <row r="112" spans="2:6" x14ac:dyDescent="0.2">
      <c r="B112" s="43" t="s">
        <v>32</v>
      </c>
      <c r="C112" s="193">
        <f>IF(F3="1",SUMIF(Data!A:A,$A$2,Data!V:V),0)</f>
        <v>2898870</v>
      </c>
      <c r="D112" s="52"/>
      <c r="E112" s="193">
        <f>IF(F3="1",SUMIF(Data!A:A,$A$2,Data!AC:AC),0)</f>
        <v>776605</v>
      </c>
      <c r="F112" s="49">
        <f t="shared" si="7"/>
        <v>3675475</v>
      </c>
    </row>
    <row r="113" spans="1:6" x14ac:dyDescent="0.2">
      <c r="B113" s="43" t="s">
        <v>31</v>
      </c>
      <c r="C113" s="193">
        <f>IF(F3="1",SUMIF(Data!A:A,$A$2,Data!U:U),0)</f>
        <v>2667280</v>
      </c>
      <c r="D113" s="52"/>
      <c r="E113" s="193">
        <f>IF(F3="1",SUMIF(Data!A:A,$A$2,Data!AB:AB),0)</f>
        <v>887057</v>
      </c>
      <c r="F113" s="49">
        <f t="shared" si="7"/>
        <v>3554337</v>
      </c>
    </row>
    <row r="114" spans="1:6" x14ac:dyDescent="0.2">
      <c r="B114" s="43" t="s">
        <v>1002</v>
      </c>
      <c r="C114" s="193">
        <f>IF(F3="1",SUMIF(Data!A:A,$A$2,Data!T:T),0)</f>
        <v>6518948</v>
      </c>
      <c r="D114" s="52"/>
      <c r="E114" s="193">
        <f>IF(F3="1",SUMIF(Data!A:A,$A$2,Data!AA:AA),0)</f>
        <v>6194172</v>
      </c>
      <c r="F114" s="49">
        <f t="shared" si="7"/>
        <v>12713120</v>
      </c>
    </row>
    <row r="115" spans="1:6" x14ac:dyDescent="0.2">
      <c r="B115" s="43" t="s">
        <v>916</v>
      </c>
      <c r="C115" s="193">
        <f>IF(F3="1",SUMIF(Data!A:A,$A$2,Data!BI:BI),0)</f>
        <v>726699</v>
      </c>
      <c r="D115" s="193">
        <f>IF(F3="1",SUMIF(Data!A:A,$A$2,Data!BL:BL),0)</f>
        <v>265907</v>
      </c>
      <c r="E115" s="193">
        <f>IF(F3="1",SUMIF(Data!A:A,$A$2,Data!BU:BU)-SUMIF(Data!A:A,$A$2,Data!BT:BT),0)</f>
        <v>6646362</v>
      </c>
      <c r="F115" s="49">
        <f t="shared" si="7"/>
        <v>7638968</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3581532</v>
      </c>
      <c r="E117" s="53"/>
      <c r="F117" s="50">
        <f>SUM(C117:E117)</f>
        <v>3581532</v>
      </c>
    </row>
    <row r="118" spans="1:6" x14ac:dyDescent="0.2">
      <c r="B118" s="14" t="s">
        <v>35</v>
      </c>
      <c r="C118" s="178">
        <f>SUM(C109:C117)</f>
        <v>37579996</v>
      </c>
      <c r="D118" s="194">
        <f>SUM(D109:D117)</f>
        <v>9905706</v>
      </c>
      <c r="E118" s="178">
        <f>SUM(E109:E117)</f>
        <v>15682695</v>
      </c>
      <c r="F118" s="178">
        <f>SUM(F109:F117)</f>
        <v>63168397</v>
      </c>
    </row>
    <row r="119" spans="1:6" x14ac:dyDescent="0.2">
      <c r="C119" s="177"/>
      <c r="D119" s="177"/>
      <c r="E119" s="177"/>
    </row>
    <row r="120" spans="1:6" ht="15" thickBot="1" x14ac:dyDescent="0.25">
      <c r="B120" s="188" t="s">
        <v>921</v>
      </c>
      <c r="C120" s="53"/>
      <c r="D120" s="53"/>
      <c r="E120" s="195">
        <f>IF(F3="1",SUMIF(Data!A:A,$A$2,Data!AF:AF)+SUMIF(Data!A:A,$A$2,Data!AW:AW)+SUMIF(Data!A:A,$A$2,Data!BT:BT),0)</f>
        <v>2356798</v>
      </c>
      <c r="F120" s="181">
        <f>SUM(C120:E120)</f>
        <v>2356798</v>
      </c>
    </row>
    <row r="121" spans="1:6" s="177" customFormat="1" x14ac:dyDescent="0.2">
      <c r="B121" s="14" t="s">
        <v>35</v>
      </c>
      <c r="C121" s="178">
        <f>SUM(C120:C120)</f>
        <v>0</v>
      </c>
      <c r="D121" s="178">
        <f>SUM(D120:D120)</f>
        <v>0</v>
      </c>
      <c r="E121" s="178">
        <f>SUM(E120:E120)</f>
        <v>2356798</v>
      </c>
      <c r="F121" s="178">
        <f>SUM(F120:F120)</f>
        <v>2356798</v>
      </c>
    </row>
    <row r="122" spans="1:6" s="177" customFormat="1" ht="15" thickBot="1" x14ac:dyDescent="0.25">
      <c r="B122" s="14" t="s">
        <v>1396</v>
      </c>
      <c r="C122" s="178"/>
      <c r="D122" s="178"/>
      <c r="E122" s="178"/>
      <c r="F122" s="190">
        <f>F118+F121</f>
        <v>65525195</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9.28515625" style="58" bestFit="1"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428</v>
      </c>
      <c r="B2" s="59" t="str">
        <f>VLOOKUP(A2,Data!A:G,7,0)</f>
        <v>El Paso Community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6000</v>
      </c>
      <c r="E5" s="16">
        <f>E36+E67+IFERROR($E$105/$D$105*D5,0)</f>
        <v>33814.204303421735</v>
      </c>
      <c r="F5" s="21">
        <f>IFERROR(E5/D5,"")</f>
        <v>5.635700717236956</v>
      </c>
    </row>
    <row r="6" spans="1:6" x14ac:dyDescent="0.2">
      <c r="A6" s="20">
        <v>2</v>
      </c>
      <c r="B6" s="202" t="s">
        <v>1</v>
      </c>
      <c r="C6" s="203"/>
      <c r="D6" s="15">
        <f t="shared" ref="D6:D32" si="0">D37</f>
        <v>93584</v>
      </c>
      <c r="E6" s="18">
        <f t="shared" ref="E6:E32" si="1">E37+E68+IFERROR($E$105/$D$105*D6,0)</f>
        <v>696169.20792190335</v>
      </c>
      <c r="F6" s="22">
        <f t="shared" ref="F6:F33" si="2">IFERROR(E6/D6,"")</f>
        <v>7.4389768328122683</v>
      </c>
    </row>
    <row r="7" spans="1:6" ht="14.25" customHeight="1" x14ac:dyDescent="0.2">
      <c r="A7" s="20">
        <v>3</v>
      </c>
      <c r="B7" s="202" t="s">
        <v>2</v>
      </c>
      <c r="C7" s="203"/>
      <c r="D7" s="15">
        <f t="shared" si="0"/>
        <v>1708416</v>
      </c>
      <c r="E7" s="18">
        <f t="shared" si="1"/>
        <v>11327730.484539092</v>
      </c>
      <c r="F7" s="22">
        <f t="shared" si="2"/>
        <v>6.6305457713689711</v>
      </c>
    </row>
    <row r="8" spans="1:6" ht="14.25" customHeight="1" x14ac:dyDescent="0.2">
      <c r="A8" s="20">
        <v>4</v>
      </c>
      <c r="B8" s="202" t="s">
        <v>3</v>
      </c>
      <c r="C8" s="203"/>
      <c r="D8" s="15">
        <f t="shared" si="0"/>
        <v>433338</v>
      </c>
      <c r="E8" s="18">
        <f t="shared" si="1"/>
        <v>4361069.8214060282</v>
      </c>
      <c r="F8" s="22">
        <f t="shared" si="2"/>
        <v>10.063898899718069</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150358</v>
      </c>
      <c r="E10" s="18">
        <f t="shared" si="1"/>
        <v>2183003.992442314</v>
      </c>
      <c r="F10" s="22">
        <f t="shared" si="2"/>
        <v>14.518708631681148</v>
      </c>
    </row>
    <row r="11" spans="1:6" x14ac:dyDescent="0.2">
      <c r="A11" s="20">
        <v>7</v>
      </c>
      <c r="B11" s="202" t="s">
        <v>6</v>
      </c>
      <c r="C11" s="203"/>
      <c r="D11" s="15">
        <f t="shared" si="0"/>
        <v>370352</v>
      </c>
      <c r="E11" s="18">
        <f t="shared" si="1"/>
        <v>2896720.208030141</v>
      </c>
      <c r="F11" s="22">
        <f t="shared" si="2"/>
        <v>7.8215325096938617</v>
      </c>
    </row>
    <row r="12" spans="1:6" x14ac:dyDescent="0.2">
      <c r="A12" s="20">
        <v>8</v>
      </c>
      <c r="B12" s="202" t="s">
        <v>7</v>
      </c>
      <c r="C12" s="203"/>
      <c r="D12" s="15">
        <f t="shared" si="0"/>
        <v>62352</v>
      </c>
      <c r="E12" s="18">
        <f t="shared" si="1"/>
        <v>606109.38712115865</v>
      </c>
      <c r="F12" s="22">
        <f t="shared" si="2"/>
        <v>9.7207689748710333</v>
      </c>
    </row>
    <row r="13" spans="1:6" x14ac:dyDescent="0.2">
      <c r="A13" s="20">
        <v>9</v>
      </c>
      <c r="B13" s="202" t="s">
        <v>8</v>
      </c>
      <c r="C13" s="203"/>
      <c r="D13" s="15">
        <f t="shared" si="0"/>
        <v>406493</v>
      </c>
      <c r="E13" s="18">
        <f t="shared" si="1"/>
        <v>3315773.5756518021</v>
      </c>
      <c r="F13" s="22">
        <f t="shared" si="2"/>
        <v>8.1570250303247587</v>
      </c>
    </row>
    <row r="14" spans="1:6" x14ac:dyDescent="0.2">
      <c r="A14" s="20">
        <v>10</v>
      </c>
      <c r="B14" s="202" t="s">
        <v>9</v>
      </c>
      <c r="C14" s="203"/>
      <c r="D14" s="15">
        <f t="shared" si="0"/>
        <v>43088</v>
      </c>
      <c r="E14" s="18">
        <f t="shared" si="1"/>
        <v>315404.61650430597</v>
      </c>
      <c r="F14" s="22">
        <f t="shared" si="2"/>
        <v>7.3200105946970382</v>
      </c>
    </row>
    <row r="15" spans="1:6" x14ac:dyDescent="0.2">
      <c r="A15" s="20">
        <v>11</v>
      </c>
      <c r="B15" s="202" t="s">
        <v>10</v>
      </c>
      <c r="C15" s="203"/>
      <c r="D15" s="15">
        <f t="shared" si="0"/>
        <v>180166</v>
      </c>
      <c r="E15" s="18">
        <f t="shared" si="1"/>
        <v>1360281.8634217135</v>
      </c>
      <c r="F15" s="22">
        <f t="shared" si="2"/>
        <v>7.5501585394675654</v>
      </c>
    </row>
    <row r="16" spans="1:6" ht="14.25" customHeight="1" x14ac:dyDescent="0.2">
      <c r="A16" s="20">
        <v>12</v>
      </c>
      <c r="B16" s="202" t="s">
        <v>11</v>
      </c>
      <c r="C16" s="203"/>
      <c r="D16" s="15">
        <f t="shared" si="0"/>
        <v>1450184</v>
      </c>
      <c r="E16" s="18">
        <f t="shared" si="1"/>
        <v>10304050.600925557</v>
      </c>
      <c r="F16" s="22">
        <f t="shared" si="2"/>
        <v>7.1053401505778284</v>
      </c>
    </row>
    <row r="17" spans="1:6" x14ac:dyDescent="0.2">
      <c r="A17" s="20">
        <v>13</v>
      </c>
      <c r="B17" s="202" t="s">
        <v>12</v>
      </c>
      <c r="C17" s="203"/>
      <c r="D17" s="15">
        <f t="shared" si="0"/>
        <v>204088</v>
      </c>
      <c r="E17" s="18">
        <f t="shared" si="1"/>
        <v>1659215.431979456</v>
      </c>
      <c r="F17" s="22">
        <f t="shared" si="2"/>
        <v>8.1299019637580656</v>
      </c>
    </row>
    <row r="18" spans="1:6" ht="14.25" customHeight="1" x14ac:dyDescent="0.2">
      <c r="A18" s="20">
        <v>14</v>
      </c>
      <c r="B18" s="202" t="s">
        <v>449</v>
      </c>
      <c r="C18" s="203"/>
      <c r="D18" s="15">
        <f t="shared" si="0"/>
        <v>295552</v>
      </c>
      <c r="E18" s="18">
        <f t="shared" si="1"/>
        <v>4766653.3943808172</v>
      </c>
      <c r="F18" s="22">
        <f t="shared" si="2"/>
        <v>16.12796866331751</v>
      </c>
    </row>
    <row r="19" spans="1:6" x14ac:dyDescent="0.2">
      <c r="A19" s="20">
        <v>15</v>
      </c>
      <c r="B19" s="202" t="s">
        <v>13</v>
      </c>
      <c r="C19" s="203"/>
      <c r="D19" s="15">
        <f t="shared" si="0"/>
        <v>22472</v>
      </c>
      <c r="E19" s="18">
        <f t="shared" si="1"/>
        <v>605450.20251774881</v>
      </c>
      <c r="F19" s="22">
        <f t="shared" si="2"/>
        <v>26.942426242334854</v>
      </c>
    </row>
    <row r="20" spans="1:6" x14ac:dyDescent="0.2">
      <c r="A20" s="20">
        <v>16</v>
      </c>
      <c r="B20" s="202" t="s">
        <v>14</v>
      </c>
      <c r="C20" s="203"/>
      <c r="D20" s="15">
        <f t="shared" si="0"/>
        <v>398070</v>
      </c>
      <c r="E20" s="18">
        <f t="shared" si="1"/>
        <v>4405210.5445105154</v>
      </c>
      <c r="F20" s="22">
        <f t="shared" si="2"/>
        <v>11.06642184668655</v>
      </c>
    </row>
    <row r="21" spans="1:6" x14ac:dyDescent="0.2">
      <c r="A21" s="20">
        <v>17</v>
      </c>
      <c r="B21" s="202" t="s">
        <v>15</v>
      </c>
      <c r="C21" s="203"/>
      <c r="D21" s="15">
        <f t="shared" si="0"/>
        <v>34704</v>
      </c>
      <c r="E21" s="18">
        <f t="shared" si="1"/>
        <v>541104.70969099132</v>
      </c>
      <c r="F21" s="22">
        <f t="shared" si="2"/>
        <v>15.59199831981879</v>
      </c>
    </row>
    <row r="22" spans="1:6" x14ac:dyDescent="0.2">
      <c r="A22" s="20">
        <v>18</v>
      </c>
      <c r="B22" s="202" t="s">
        <v>16</v>
      </c>
      <c r="C22" s="203"/>
      <c r="D22" s="15">
        <f t="shared" si="0"/>
        <v>80824</v>
      </c>
      <c r="E22" s="18">
        <f t="shared" si="1"/>
        <v>907576.78676995973</v>
      </c>
      <c r="F22" s="22">
        <f t="shared" si="2"/>
        <v>11.229050613307431</v>
      </c>
    </row>
    <row r="23" spans="1:6" x14ac:dyDescent="0.2">
      <c r="A23" s="20">
        <v>19</v>
      </c>
      <c r="B23" s="202" t="s">
        <v>17</v>
      </c>
      <c r="C23" s="203"/>
      <c r="D23" s="15">
        <f t="shared" si="0"/>
        <v>746208</v>
      </c>
      <c r="E23" s="18">
        <f t="shared" si="1"/>
        <v>5268823.0648079542</v>
      </c>
      <c r="F23" s="22">
        <f t="shared" si="2"/>
        <v>7.0607968084072459</v>
      </c>
    </row>
    <row r="24" spans="1:6" x14ac:dyDescent="0.2">
      <c r="A24" s="20">
        <v>20</v>
      </c>
      <c r="B24" s="202" t="s">
        <v>18</v>
      </c>
      <c r="C24" s="203"/>
      <c r="D24" s="15">
        <f t="shared" si="0"/>
        <v>130658</v>
      </c>
      <c r="E24" s="18">
        <f t="shared" si="1"/>
        <v>1028791.0883127461</v>
      </c>
      <c r="F24" s="22">
        <f t="shared" si="2"/>
        <v>7.8739234360907568</v>
      </c>
    </row>
    <row r="25" spans="1:6" ht="14.25" customHeight="1" x14ac:dyDescent="0.2">
      <c r="A25" s="20">
        <v>21</v>
      </c>
      <c r="B25" s="202" t="s">
        <v>446</v>
      </c>
      <c r="C25" s="203"/>
      <c r="D25" s="15">
        <f t="shared" si="0"/>
        <v>34392</v>
      </c>
      <c r="E25" s="18">
        <f t="shared" si="1"/>
        <v>560108.7150672134</v>
      </c>
      <c r="F25" s="22">
        <f t="shared" si="2"/>
        <v>16.286017535101575</v>
      </c>
    </row>
    <row r="26" spans="1:6" x14ac:dyDescent="0.2">
      <c r="A26" s="20">
        <v>22</v>
      </c>
      <c r="B26" s="202" t="s">
        <v>19</v>
      </c>
      <c r="C26" s="203"/>
      <c r="D26" s="15">
        <f t="shared" si="0"/>
        <v>12268</v>
      </c>
      <c r="E26" s="18">
        <f t="shared" si="1"/>
        <v>142290.16039906297</v>
      </c>
      <c r="F26" s="22">
        <f t="shared" si="2"/>
        <v>11.598480632463561</v>
      </c>
    </row>
    <row r="27" spans="1:6" x14ac:dyDescent="0.2">
      <c r="A27" s="20">
        <v>23</v>
      </c>
      <c r="B27" s="202" t="s">
        <v>20</v>
      </c>
      <c r="C27" s="203"/>
      <c r="D27" s="15">
        <f t="shared" si="0"/>
        <v>32352</v>
      </c>
      <c r="E27" s="18">
        <f t="shared" si="1"/>
        <v>592095.36560404999</v>
      </c>
      <c r="F27" s="22">
        <f t="shared" si="2"/>
        <v>18.301661894289378</v>
      </c>
    </row>
    <row r="28" spans="1:6" x14ac:dyDescent="0.2">
      <c r="A28" s="20">
        <v>24</v>
      </c>
      <c r="B28" s="202" t="s">
        <v>21</v>
      </c>
      <c r="C28" s="203"/>
      <c r="D28" s="15">
        <f t="shared" si="0"/>
        <v>433304</v>
      </c>
      <c r="E28" s="18">
        <f t="shared" si="1"/>
        <v>3279506.8155816421</v>
      </c>
      <c r="F28" s="22">
        <f t="shared" si="2"/>
        <v>7.5686049876798789</v>
      </c>
    </row>
    <row r="29" spans="1:6" x14ac:dyDescent="0.2">
      <c r="A29" s="20">
        <v>25</v>
      </c>
      <c r="B29" s="202" t="s">
        <v>22</v>
      </c>
      <c r="C29" s="203"/>
      <c r="D29" s="15">
        <f t="shared" si="0"/>
        <v>2468400</v>
      </c>
      <c r="E29" s="18">
        <f t="shared" si="1"/>
        <v>15785225.850427702</v>
      </c>
      <c r="F29" s="22">
        <f t="shared" si="2"/>
        <v>6.3949221562257748</v>
      </c>
    </row>
    <row r="30" spans="1:6" x14ac:dyDescent="0.2">
      <c r="A30" s="20">
        <v>26</v>
      </c>
      <c r="B30" s="202" t="s">
        <v>23</v>
      </c>
      <c r="C30" s="203"/>
      <c r="D30" s="15">
        <f t="shared" si="0"/>
        <v>455040</v>
      </c>
      <c r="E30" s="18">
        <f t="shared" si="1"/>
        <v>3593666.7743715043</v>
      </c>
      <c r="F30" s="22">
        <f t="shared" si="2"/>
        <v>7.8974744514141708</v>
      </c>
    </row>
    <row r="31" spans="1:6" x14ac:dyDescent="0.2">
      <c r="A31" s="20">
        <v>28</v>
      </c>
      <c r="B31" s="202" t="s">
        <v>24</v>
      </c>
      <c r="C31" s="203"/>
      <c r="D31" s="15">
        <f t="shared" si="0"/>
        <v>600464</v>
      </c>
      <c r="E31" s="18">
        <f t="shared" si="1"/>
        <v>3852365.6274749716</v>
      </c>
      <c r="F31" s="22">
        <f t="shared" si="2"/>
        <v>6.4156479447143733</v>
      </c>
    </row>
    <row r="32" spans="1:6" ht="15.75" customHeight="1" thickBot="1" x14ac:dyDescent="0.25">
      <c r="A32" s="23">
        <v>29</v>
      </c>
      <c r="B32" s="206" t="s">
        <v>25</v>
      </c>
      <c r="C32" s="207"/>
      <c r="D32" s="24">
        <f t="shared" si="0"/>
        <v>1175952</v>
      </c>
      <c r="E32" s="25">
        <f t="shared" si="1"/>
        <v>9130553.5058362335</v>
      </c>
      <c r="F32" s="26">
        <f t="shared" si="2"/>
        <v>7.7643930244059565</v>
      </c>
    </row>
    <row r="33" spans="1:6" x14ac:dyDescent="0.2">
      <c r="B33" s="31" t="s">
        <v>35</v>
      </c>
      <c r="C33" s="31"/>
      <c r="D33" s="60">
        <f>SUM(D5:D32)</f>
        <v>12029079</v>
      </c>
      <c r="E33" s="32">
        <f>SUM(E5:E32)</f>
        <v>93518766</v>
      </c>
      <c r="F33" s="33">
        <f t="shared" si="2"/>
        <v>7.7743912065088274</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IF(F3="1",SUMIF(Data!A:A,'16'!$A$2,Data!CU:CU),0)</f>
        <v>6000</v>
      </c>
      <c r="E36" s="16">
        <f>IF(F3="1",SUMIF(Data!$A:$A,'16'!$A$2,Data!IO:IO),0)</f>
        <v>5180</v>
      </c>
      <c r="F36" s="21">
        <f t="shared" ref="F36:F64" si="3">IFERROR(E36/D36,"")</f>
        <v>0.86333333333333329</v>
      </c>
    </row>
    <row r="37" spans="1:6" x14ac:dyDescent="0.2">
      <c r="A37" s="20">
        <v>2</v>
      </c>
      <c r="B37" s="202" t="s">
        <v>1</v>
      </c>
      <c r="C37" s="203"/>
      <c r="D37" s="15">
        <f>IF(F3="1",SUMIF(Data!A:A,'16'!$A$2,Data!CV:CV),0)</f>
        <v>93584</v>
      </c>
      <c r="E37" s="18">
        <f>IF(F3="1",SUMIF(Data!$A:$A,'16'!$A$2,Data!IP:IP),0)</f>
        <v>164108</v>
      </c>
      <c r="F37" s="22">
        <f t="shared" si="3"/>
        <v>1.7535903573260387</v>
      </c>
    </row>
    <row r="38" spans="1:6" ht="14.25" customHeight="1" x14ac:dyDescent="0.2">
      <c r="A38" s="20">
        <v>3</v>
      </c>
      <c r="B38" s="202" t="s">
        <v>2</v>
      </c>
      <c r="C38" s="203"/>
      <c r="D38" s="15">
        <f>IF(F3="1",SUMIF(Data!A:A,'16'!$A$2,Data!CW:CW),0)</f>
        <v>1708416</v>
      </c>
      <c r="E38" s="18">
        <f>IF(F3="1",SUMIF(Data!$A:$A,'16'!$A$2,Data!IQ:IQ),0)</f>
        <v>922904</v>
      </c>
      <c r="F38" s="22">
        <f t="shared" si="3"/>
        <v>0.54021034689443326</v>
      </c>
    </row>
    <row r="39" spans="1:6" ht="14.25" customHeight="1" x14ac:dyDescent="0.2">
      <c r="A39" s="20">
        <v>4</v>
      </c>
      <c r="B39" s="202" t="s">
        <v>3</v>
      </c>
      <c r="C39" s="203"/>
      <c r="D39" s="15">
        <f>IF(F3="1",SUMIF(Data!A:A,'16'!$A$2,Data!CX:CX),0)</f>
        <v>433338</v>
      </c>
      <c r="E39" s="18">
        <f>IF(F3="1",SUMIF(Data!$A:$A,'16'!$A$2,Data!IR:IR),0)</f>
        <v>1054727</v>
      </c>
      <c r="F39" s="22">
        <f t="shared" si="3"/>
        <v>2.4339591727473704</v>
      </c>
    </row>
    <row r="40" spans="1:6" x14ac:dyDescent="0.2">
      <c r="A40" s="20">
        <v>5</v>
      </c>
      <c r="B40" s="202" t="s">
        <v>4</v>
      </c>
      <c r="C40" s="203"/>
      <c r="D40" s="15">
        <f>IF(F3="1",SUMIF(Data!A:A,'16'!$A$2,Data!CY:CY),0)</f>
        <v>0</v>
      </c>
      <c r="E40" s="18">
        <f>IF(F3="1",SUMIF(Data!$A:$A,'16'!$A$2,Data!IS:IS),0)</f>
        <v>0</v>
      </c>
      <c r="F40" s="22" t="str">
        <f t="shared" si="3"/>
        <v/>
      </c>
    </row>
    <row r="41" spans="1:6" x14ac:dyDescent="0.2">
      <c r="A41" s="20">
        <v>6</v>
      </c>
      <c r="B41" s="202" t="s">
        <v>5</v>
      </c>
      <c r="C41" s="203"/>
      <c r="D41" s="15">
        <f>IF(F3="1",SUMIF(Data!A:A,'16'!$A$2,Data!CZ:CZ),0)</f>
        <v>150358</v>
      </c>
      <c r="E41" s="18">
        <f>IF(F3="1",SUMIF(Data!$A:$A,'16'!$A$2,Data!IT:IT),0)</f>
        <v>468307</v>
      </c>
      <c r="F41" s="22">
        <f t="shared" si="3"/>
        <v>3.1146131233456154</v>
      </c>
    </row>
    <row r="42" spans="1:6" x14ac:dyDescent="0.2">
      <c r="A42" s="20">
        <v>7</v>
      </c>
      <c r="B42" s="202" t="s">
        <v>6</v>
      </c>
      <c r="C42" s="203"/>
      <c r="D42" s="15">
        <f>IF(F3="1",SUMIF(Data!A:A,'16'!$A$2,Data!DA:DA),0)</f>
        <v>370352</v>
      </c>
      <c r="E42" s="18">
        <f>IF(F3="1",SUMIF(Data!$A:$A,'16'!$A$2,Data!IU:IU),0)</f>
        <v>280035</v>
      </c>
      <c r="F42" s="22">
        <f t="shared" si="3"/>
        <v>0.75613200414740567</v>
      </c>
    </row>
    <row r="43" spans="1:6" x14ac:dyDescent="0.2">
      <c r="A43" s="20">
        <v>8</v>
      </c>
      <c r="B43" s="202" t="s">
        <v>7</v>
      </c>
      <c r="C43" s="203"/>
      <c r="D43" s="15">
        <f>IF(F3="1",SUMIF(Data!A:A,'16'!$A$2,Data!DB:DB),0)</f>
        <v>62352</v>
      </c>
      <c r="E43" s="18">
        <f>IF(F3="1",SUMIF(Data!$A:$A,'16'!$A$2,Data!IV:IV),0)</f>
        <v>118011</v>
      </c>
      <c r="F43" s="22">
        <f t="shared" si="3"/>
        <v>1.8926578137028482</v>
      </c>
    </row>
    <row r="44" spans="1:6" x14ac:dyDescent="0.2">
      <c r="A44" s="20">
        <v>9</v>
      </c>
      <c r="B44" s="202" t="s">
        <v>8</v>
      </c>
      <c r="C44" s="203"/>
      <c r="D44" s="15">
        <f>IF(F3="1",SUMIF(Data!A:A,'16'!$A$2,Data!DC:DC),0)</f>
        <v>406493</v>
      </c>
      <c r="E44" s="18">
        <f>IF(F3="1",SUMIF(Data!$A:$A,'16'!$A$2,Data!IW:IW),0)</f>
        <v>400919</v>
      </c>
      <c r="F44" s="22">
        <f t="shared" si="3"/>
        <v>0.98628758674811123</v>
      </c>
    </row>
    <row r="45" spans="1:6" x14ac:dyDescent="0.2">
      <c r="A45" s="20">
        <v>10</v>
      </c>
      <c r="B45" s="202" t="s">
        <v>9</v>
      </c>
      <c r="C45" s="203"/>
      <c r="D45" s="15">
        <f>IF(F3="1",SUMIF(Data!A:A,'16'!$A$2,Data!DD:DD),0)</f>
        <v>43088</v>
      </c>
      <c r="E45" s="18">
        <f>IF(F3="1",SUMIF(Data!$A:$A,'16'!$A$2,Data!IX:IX),0)</f>
        <v>16880</v>
      </c>
      <c r="F45" s="22">
        <f t="shared" si="3"/>
        <v>0.39175640549572965</v>
      </c>
    </row>
    <row r="46" spans="1:6" x14ac:dyDescent="0.2">
      <c r="A46" s="20">
        <v>11</v>
      </c>
      <c r="B46" s="202" t="s">
        <v>10</v>
      </c>
      <c r="C46" s="203"/>
      <c r="D46" s="15">
        <f>IF(F3="1",SUMIF(Data!A:A,'16'!$A$2,Data!DE:DE),0)</f>
        <v>180166</v>
      </c>
      <c r="E46" s="18">
        <f>IF(F3="1",SUMIF(Data!$A:$A,'16'!$A$2,Data!IY:IY),0)</f>
        <v>171112</v>
      </c>
      <c r="F46" s="22">
        <f t="shared" si="3"/>
        <v>0.94974634503735444</v>
      </c>
    </row>
    <row r="47" spans="1:6" ht="14.25" customHeight="1" x14ac:dyDescent="0.2">
      <c r="A47" s="20">
        <v>12</v>
      </c>
      <c r="B47" s="202" t="s">
        <v>11</v>
      </c>
      <c r="C47" s="203"/>
      <c r="D47" s="15">
        <f>IF(F3="1",SUMIF(Data!A:A,'16'!$A$2,Data!DF:DF),0)</f>
        <v>1450184</v>
      </c>
      <c r="E47" s="18">
        <f>IF(F3="1",SUMIF(Data!$A:$A,'16'!$A$2,Data!IZ:IZ),0)</f>
        <v>901129</v>
      </c>
      <c r="F47" s="22">
        <f t="shared" si="3"/>
        <v>0.62138942368692529</v>
      </c>
    </row>
    <row r="48" spans="1:6" x14ac:dyDescent="0.2">
      <c r="A48" s="20">
        <v>13</v>
      </c>
      <c r="B48" s="202" t="s">
        <v>12</v>
      </c>
      <c r="C48" s="203"/>
      <c r="D48" s="15">
        <f>IF(F3="1",SUMIF(Data!A:A,'16'!$A$2,Data!DG:DG),0)</f>
        <v>204088</v>
      </c>
      <c r="E48" s="18">
        <f>IF(F3="1",SUMIF(Data!$A:$A,'16'!$A$2,Data!JA:JA),0)</f>
        <v>133840</v>
      </c>
      <c r="F48" s="22">
        <f t="shared" si="3"/>
        <v>0.65579553917917766</v>
      </c>
    </row>
    <row r="49" spans="1:6" ht="14.25" customHeight="1" x14ac:dyDescent="0.2">
      <c r="A49" s="20">
        <v>14</v>
      </c>
      <c r="B49" s="202" t="s">
        <v>449</v>
      </c>
      <c r="C49" s="203"/>
      <c r="D49" s="15">
        <f>IF(F3="1",SUMIF(Data!A:A,'16'!$A$2,Data!DH:DH),0)</f>
        <v>295552</v>
      </c>
      <c r="E49" s="18">
        <f>IF(F3="1",SUMIF(Data!$A:$A,'16'!$A$2,Data!JB:JB),0)</f>
        <v>902809</v>
      </c>
      <c r="F49" s="22">
        <f t="shared" si="3"/>
        <v>3.0546536650064962</v>
      </c>
    </row>
    <row r="50" spans="1:6" x14ac:dyDescent="0.2">
      <c r="A50" s="20">
        <v>15</v>
      </c>
      <c r="B50" s="202" t="s">
        <v>13</v>
      </c>
      <c r="C50" s="203"/>
      <c r="D50" s="15">
        <f>IF(F3="1",SUMIF(Data!A:A,'16'!$A$2,Data!DI:DI),0)</f>
        <v>22472</v>
      </c>
      <c r="E50" s="18">
        <f>IF(F3="1",SUMIF(Data!$A:$A,'16'!$A$2,Data!JC:JC),0)</f>
        <v>75758</v>
      </c>
      <c r="F50" s="22">
        <f t="shared" si="3"/>
        <v>3.3712175151299393</v>
      </c>
    </row>
    <row r="51" spans="1:6" x14ac:dyDescent="0.2">
      <c r="A51" s="20">
        <v>16</v>
      </c>
      <c r="B51" s="202" t="s">
        <v>14</v>
      </c>
      <c r="C51" s="203"/>
      <c r="D51" s="15">
        <f>IF(F3="1",SUMIF(Data!A:A,'16'!$A$2,Data!DJ:DJ),0)</f>
        <v>398070</v>
      </c>
      <c r="E51" s="18">
        <f>IF(F3="1",SUMIF(Data!$A:$A,'16'!$A$2,Data!JD:JD),0)</f>
        <v>531614</v>
      </c>
      <c r="F51" s="22">
        <f t="shared" si="3"/>
        <v>1.335478684653453</v>
      </c>
    </row>
    <row r="52" spans="1:6" x14ac:dyDescent="0.2">
      <c r="A52" s="20">
        <v>17</v>
      </c>
      <c r="B52" s="202" t="s">
        <v>15</v>
      </c>
      <c r="C52" s="203"/>
      <c r="D52" s="15">
        <f>IF(F3="1",SUMIF(Data!A:A,'16'!$A$2,Data!DK:DK),0)</f>
        <v>34704</v>
      </c>
      <c r="E52" s="18">
        <f>IF(F3="1",SUMIF(Data!$A:$A,'16'!$A$2,Data!JE:JE),0)</f>
        <v>50352</v>
      </c>
      <c r="F52" s="22">
        <f t="shared" si="3"/>
        <v>1.4508990318118948</v>
      </c>
    </row>
    <row r="53" spans="1:6" x14ac:dyDescent="0.2">
      <c r="A53" s="20">
        <v>18</v>
      </c>
      <c r="B53" s="202" t="s">
        <v>16</v>
      </c>
      <c r="C53" s="203"/>
      <c r="D53" s="15">
        <f>IF(F3="1",SUMIF(Data!A:A,'16'!$A$2,Data!DL:DL),0)</f>
        <v>80824</v>
      </c>
      <c r="E53" s="18">
        <f>IF(F3="1",SUMIF(Data!$A:$A,'16'!$A$2,Data!JF:JF),0)</f>
        <v>86076</v>
      </c>
      <c r="F53" s="22">
        <f t="shared" si="3"/>
        <v>1.064980698802336</v>
      </c>
    </row>
    <row r="54" spans="1:6" x14ac:dyDescent="0.2">
      <c r="A54" s="20">
        <v>19</v>
      </c>
      <c r="B54" s="202" t="s">
        <v>17</v>
      </c>
      <c r="C54" s="203"/>
      <c r="D54" s="15">
        <f>IF(F3="1",SUMIF(Data!A:A,'16'!$A$2,Data!DM:DM),0)</f>
        <v>746208</v>
      </c>
      <c r="E54" s="18">
        <f>IF(F3="1",SUMIF(Data!$A:$A,'16'!$A$2,Data!JG:JG),0)</f>
        <v>504920</v>
      </c>
      <c r="F54" s="22">
        <f t="shared" si="3"/>
        <v>0.67664779793301599</v>
      </c>
    </row>
    <row r="55" spans="1:6" x14ac:dyDescent="0.2">
      <c r="A55" s="20">
        <v>20</v>
      </c>
      <c r="B55" s="202" t="s">
        <v>18</v>
      </c>
      <c r="C55" s="203"/>
      <c r="D55" s="15">
        <f>IF(F3="1",SUMIF(Data!A:A,'16'!$A$2,Data!DN:DN),0)</f>
        <v>130658</v>
      </c>
      <c r="E55" s="18">
        <f>IF(F3="1",SUMIF(Data!$A:$A,'16'!$A$2,Data!JH:JH),0)</f>
        <v>161213</v>
      </c>
      <c r="F55" s="22">
        <f t="shared" si="3"/>
        <v>1.233854796491604</v>
      </c>
    </row>
    <row r="56" spans="1:6" ht="14.25" customHeight="1" x14ac:dyDescent="0.2">
      <c r="A56" s="20">
        <v>21</v>
      </c>
      <c r="B56" s="202" t="s">
        <v>446</v>
      </c>
      <c r="C56" s="203"/>
      <c r="D56" s="15">
        <f>IF(F3="1",SUMIF(Data!A:A,'16'!$A$2,Data!DO:DO),0)</f>
        <v>34392</v>
      </c>
      <c r="E56" s="18">
        <f>IF(F3="1",SUMIF(Data!$A:$A,'16'!$A$2,Data!JI:JI),0)</f>
        <v>288722</v>
      </c>
      <c r="F56" s="22">
        <f t="shared" si="3"/>
        <v>8.3950337287741341</v>
      </c>
    </row>
    <row r="57" spans="1:6" x14ac:dyDescent="0.2">
      <c r="A57" s="20">
        <v>22</v>
      </c>
      <c r="B57" s="202" t="s">
        <v>19</v>
      </c>
      <c r="C57" s="203"/>
      <c r="D57" s="15">
        <f>IF(F3="1",SUMIF(Data!A:A,'16'!$A$2,Data!DP:DP),0)</f>
        <v>12268</v>
      </c>
      <c r="E57" s="18">
        <f>IF(F3="1",SUMIF(Data!$A:$A,'16'!$A$2,Data!JJ:JJ),0)</f>
        <v>16112</v>
      </c>
      <c r="F57" s="22">
        <f t="shared" si="3"/>
        <v>1.3133355070101076</v>
      </c>
    </row>
    <row r="58" spans="1:6" x14ac:dyDescent="0.2">
      <c r="A58" s="20">
        <v>23</v>
      </c>
      <c r="B58" s="202" t="s">
        <v>20</v>
      </c>
      <c r="C58" s="203"/>
      <c r="D58" s="15">
        <f>IF(F3="1",SUMIF(Data!A:A,'16'!$A$2,Data!DQ:DQ),0)</f>
        <v>32352</v>
      </c>
      <c r="E58" s="18">
        <f>IF(F3="1",SUMIF(Data!$A:$A,'16'!$A$2,Data!JK:JK),0)</f>
        <v>196128</v>
      </c>
      <c r="F58" s="22">
        <f t="shared" si="3"/>
        <v>6.0623145400593472</v>
      </c>
    </row>
    <row r="59" spans="1:6" x14ac:dyDescent="0.2">
      <c r="A59" s="20">
        <v>24</v>
      </c>
      <c r="B59" s="202" t="s">
        <v>21</v>
      </c>
      <c r="C59" s="203"/>
      <c r="D59" s="15">
        <f>IF(F3="1",SUMIF(Data!A:A,'16'!$A$2,Data!DR:DR),0)</f>
        <v>433304</v>
      </c>
      <c r="E59" s="18">
        <f>IF(F3="1",SUMIF(Data!$A:$A,'16'!$A$2,Data!JL:JL),0)</f>
        <v>314765</v>
      </c>
      <c r="F59" s="22">
        <f t="shared" si="3"/>
        <v>0.72642994294998431</v>
      </c>
    </row>
    <row r="60" spans="1:6" x14ac:dyDescent="0.2">
      <c r="A60" s="20">
        <v>25</v>
      </c>
      <c r="B60" s="202" t="s">
        <v>22</v>
      </c>
      <c r="C60" s="203"/>
      <c r="D60" s="15">
        <f>IF(F3="1",SUMIF(Data!A:A,'16'!$A$2,Data!DS:DS),0)</f>
        <v>2468400</v>
      </c>
      <c r="E60" s="18">
        <f>IF(F3="1",SUMIF(Data!$A:$A,'16'!$A$2,Data!JM:JM),0)</f>
        <v>708097</v>
      </c>
      <c r="F60" s="22">
        <f t="shared" si="3"/>
        <v>0.2868647707016691</v>
      </c>
    </row>
    <row r="61" spans="1:6" x14ac:dyDescent="0.2">
      <c r="A61" s="20">
        <v>26</v>
      </c>
      <c r="B61" s="202" t="s">
        <v>23</v>
      </c>
      <c r="C61" s="203"/>
      <c r="D61" s="15">
        <f>IF(F3="1",SUMIF(Data!A:A,'16'!$A$2,Data!DT:DT),0)</f>
        <v>455040</v>
      </c>
      <c r="E61" s="18">
        <f>IF(F3="1",SUMIF(Data!$A:$A,'16'!$A$2,Data!JN:JN),0)</f>
        <v>314812</v>
      </c>
      <c r="F61" s="22">
        <f t="shared" si="3"/>
        <v>0.69183368495077358</v>
      </c>
    </row>
    <row r="62" spans="1:6" x14ac:dyDescent="0.2">
      <c r="A62" s="20">
        <v>28</v>
      </c>
      <c r="B62" s="202" t="s">
        <v>24</v>
      </c>
      <c r="C62" s="203"/>
      <c r="D62" s="15">
        <f>IF(F3="1",SUMIF(Data!A:A,'16'!$A$2,Data!DV:DV),0)</f>
        <v>600464</v>
      </c>
      <c r="E62" s="18">
        <f>IF(F3="1",SUMIF(Data!$A:$A,'16'!$A$2,Data!JP:JP),0)</f>
        <v>223336</v>
      </c>
      <c r="F62" s="22">
        <f t="shared" si="3"/>
        <v>0.37193903381385063</v>
      </c>
    </row>
    <row r="63" spans="1:6" ht="15.75" customHeight="1" thickBot="1" x14ac:dyDescent="0.25">
      <c r="A63" s="23">
        <v>29</v>
      </c>
      <c r="B63" s="206" t="s">
        <v>25</v>
      </c>
      <c r="C63" s="207"/>
      <c r="D63" s="24">
        <f>IF(F3="1",SUMIF(Data!A:A,'16'!$A$2,Data!DW:DW),0)</f>
        <v>1175952</v>
      </c>
      <c r="E63" s="25">
        <f>IF(F3="1",SUMIF(Data!$A:$A,'16'!$A$2,Data!JQ:JQ),0)</f>
        <v>703213</v>
      </c>
      <c r="F63" s="26">
        <f t="shared" si="3"/>
        <v>0.59799464603997443</v>
      </c>
    </row>
    <row r="64" spans="1:6" x14ac:dyDescent="0.2">
      <c r="B64" s="31" t="s">
        <v>35</v>
      </c>
      <c r="C64" s="31"/>
      <c r="D64" s="60">
        <f>SUM(D36:D63)</f>
        <v>12029079</v>
      </c>
      <c r="E64" s="32">
        <f>SUM(E36:E63)</f>
        <v>9715079</v>
      </c>
      <c r="F64" s="33">
        <f t="shared" si="3"/>
        <v>0.80763282043454865</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6000</v>
      </c>
      <c r="E67" s="16">
        <f>IF(F3="1",SUMIF(Data!A:A,'16'!$A$2,Data!DY:DY),0)</f>
        <v>5692</v>
      </c>
      <c r="F67" s="21">
        <f>IFERROR(E67/D67,"")</f>
        <v>0.94866666666666666</v>
      </c>
    </row>
    <row r="68" spans="1:6" x14ac:dyDescent="0.2">
      <c r="A68" s="20">
        <v>2</v>
      </c>
      <c r="B68" s="202" t="s">
        <v>1</v>
      </c>
      <c r="C68" s="203"/>
      <c r="D68" s="15">
        <f t="shared" ref="D68:D94" si="4">D37</f>
        <v>93584</v>
      </c>
      <c r="E68" s="18">
        <f>IF(F3="1",SUMIF(Data!A:A,'16'!$A$2,Data!DZ:DZ),0)</f>
        <v>174224</v>
      </c>
      <c r="F68" s="22">
        <f t="shared" ref="F68:F95" si="5">IFERROR(E68/D68,"")</f>
        <v>1.8616857582492734</v>
      </c>
    </row>
    <row r="69" spans="1:6" ht="14.25" customHeight="1" x14ac:dyDescent="0.2">
      <c r="A69" s="20">
        <v>3</v>
      </c>
      <c r="B69" s="202" t="s">
        <v>2</v>
      </c>
      <c r="C69" s="203"/>
      <c r="D69" s="15">
        <f t="shared" si="4"/>
        <v>1708416</v>
      </c>
      <c r="E69" s="18">
        <f>IF(F3="1",SUMIF(Data!A:A,'16'!$A$2,Data!EA:EA),0)</f>
        <v>3872355</v>
      </c>
      <c r="F69" s="22">
        <f t="shared" si="5"/>
        <v>2.2666347072375816</v>
      </c>
    </row>
    <row r="70" spans="1:6" ht="14.25" customHeight="1" x14ac:dyDescent="0.2">
      <c r="A70" s="20">
        <v>4</v>
      </c>
      <c r="B70" s="202" t="s">
        <v>3</v>
      </c>
      <c r="C70" s="203"/>
      <c r="D70" s="15">
        <f t="shared" si="4"/>
        <v>433338</v>
      </c>
      <c r="E70" s="18">
        <f>IF(F3="1",SUMIF(Data!A:A,'16'!$A$2,Data!EB:EB),0)</f>
        <v>1649388</v>
      </c>
      <c r="F70" s="22">
        <f t="shared" si="5"/>
        <v>3.8062390097337415</v>
      </c>
    </row>
    <row r="71" spans="1:6" x14ac:dyDescent="0.2">
      <c r="A71" s="20">
        <v>5</v>
      </c>
      <c r="B71" s="202" t="s">
        <v>4</v>
      </c>
      <c r="C71" s="203"/>
      <c r="D71" s="15">
        <f t="shared" si="4"/>
        <v>0</v>
      </c>
      <c r="E71" s="18">
        <f>IF(F3="1",SUMIF(Data!A:A,'16'!$A$2,Data!EC:EC),0)</f>
        <v>0</v>
      </c>
      <c r="F71" s="22" t="str">
        <f t="shared" si="5"/>
        <v/>
      </c>
    </row>
    <row r="72" spans="1:6" x14ac:dyDescent="0.2">
      <c r="A72" s="20">
        <v>6</v>
      </c>
      <c r="B72" s="202" t="s">
        <v>5</v>
      </c>
      <c r="C72" s="203"/>
      <c r="D72" s="15">
        <f t="shared" si="4"/>
        <v>150358</v>
      </c>
      <c r="E72" s="18">
        <f>IF(F3="1",SUMIF(Data!A:A,'16'!$A$2,Data!ED:ED),0)</f>
        <v>1139773</v>
      </c>
      <c r="F72" s="22">
        <f t="shared" si="5"/>
        <v>7.5803947910985778</v>
      </c>
    </row>
    <row r="73" spans="1:6" x14ac:dyDescent="0.2">
      <c r="A73" s="20">
        <v>7</v>
      </c>
      <c r="B73" s="202" t="s">
        <v>6</v>
      </c>
      <c r="C73" s="203"/>
      <c r="D73" s="15">
        <f t="shared" si="4"/>
        <v>370352</v>
      </c>
      <c r="E73" s="18">
        <f>IF(F3="1",SUMIF(Data!A:A,'16'!$A$2,Data!EE:EE),0)</f>
        <v>1200570</v>
      </c>
      <c r="F73" s="22">
        <f t="shared" si="5"/>
        <v>3.2416997883095</v>
      </c>
    </row>
    <row r="74" spans="1:6" x14ac:dyDescent="0.2">
      <c r="A74" s="20">
        <v>8</v>
      </c>
      <c r="B74" s="202" t="s">
        <v>7</v>
      </c>
      <c r="C74" s="203"/>
      <c r="D74" s="15">
        <f t="shared" si="4"/>
        <v>62352</v>
      </c>
      <c r="E74" s="18">
        <f>IF(F3="1",SUMIF(Data!A:A,'16'!$A$2,Data!EF:EF),0)</f>
        <v>249683</v>
      </c>
      <c r="F74" s="22">
        <f t="shared" si="5"/>
        <v>4.0044104439312296</v>
      </c>
    </row>
    <row r="75" spans="1:6" x14ac:dyDescent="0.2">
      <c r="A75" s="20">
        <v>9</v>
      </c>
      <c r="B75" s="202" t="s">
        <v>8</v>
      </c>
      <c r="C75" s="203"/>
      <c r="D75" s="15">
        <f t="shared" si="4"/>
        <v>406493</v>
      </c>
      <c r="E75" s="18">
        <f>IF(F3="1",SUMIF(Data!A:A,'16'!$A$2,Data!EG:EG),0)</f>
        <v>1360547</v>
      </c>
      <c r="F75" s="22">
        <f t="shared" si="5"/>
        <v>3.3470367263396912</v>
      </c>
    </row>
    <row r="76" spans="1:6" x14ac:dyDescent="0.2">
      <c r="A76" s="20">
        <v>10</v>
      </c>
      <c r="B76" s="202" t="s">
        <v>9</v>
      </c>
      <c r="C76" s="203"/>
      <c r="D76" s="15">
        <f t="shared" si="4"/>
        <v>43088</v>
      </c>
      <c r="E76" s="18">
        <f>IF(F3="1",SUMIF(Data!A:A,'16'!$A$2,Data!EH:EH),0)</f>
        <v>133769</v>
      </c>
      <c r="F76" s="22">
        <f t="shared" si="5"/>
        <v>3.1045534719643522</v>
      </c>
    </row>
    <row r="77" spans="1:6" x14ac:dyDescent="0.2">
      <c r="A77" s="20">
        <v>11</v>
      </c>
      <c r="B77" s="202" t="s">
        <v>10</v>
      </c>
      <c r="C77" s="203"/>
      <c r="D77" s="15">
        <f t="shared" si="4"/>
        <v>180166</v>
      </c>
      <c r="E77" s="18">
        <f>IF(F3="1",SUMIF(Data!A:A,'16'!$A$2,Data!EI:EI),0)</f>
        <v>500269</v>
      </c>
      <c r="F77" s="22">
        <f t="shared" si="5"/>
        <v>2.7767114771932553</v>
      </c>
    </row>
    <row r="78" spans="1:6" ht="14.25" customHeight="1" x14ac:dyDescent="0.2">
      <c r="A78" s="20">
        <v>12</v>
      </c>
      <c r="B78" s="202" t="s">
        <v>11</v>
      </c>
      <c r="C78" s="203"/>
      <c r="D78" s="15">
        <f t="shared" si="4"/>
        <v>1450184</v>
      </c>
      <c r="E78" s="18">
        <f>IF(F3="1",SUMIF(Data!A:A,'16'!$A$2,Data!EJ:EJ),0)</f>
        <v>3857852</v>
      </c>
      <c r="F78" s="22">
        <f t="shared" si="5"/>
        <v>2.6602500096539474</v>
      </c>
    </row>
    <row r="79" spans="1:6" x14ac:dyDescent="0.2">
      <c r="A79" s="20">
        <v>13</v>
      </c>
      <c r="B79" s="202" t="s">
        <v>12</v>
      </c>
      <c r="C79" s="203"/>
      <c r="D79" s="15">
        <f t="shared" si="4"/>
        <v>204088</v>
      </c>
      <c r="E79" s="18">
        <f>IF(F3="1",SUMIF(Data!A:A,'16'!$A$2,Data!EK:EK),0)</f>
        <v>745004</v>
      </c>
      <c r="F79" s="22">
        <f t="shared" si="5"/>
        <v>3.6504057073419309</v>
      </c>
    </row>
    <row r="80" spans="1:6" ht="14.25" customHeight="1" x14ac:dyDescent="0.2">
      <c r="A80" s="20">
        <v>14</v>
      </c>
      <c r="B80" s="202" t="s">
        <v>449</v>
      </c>
      <c r="C80" s="203"/>
      <c r="D80" s="15">
        <f t="shared" si="4"/>
        <v>295552</v>
      </c>
      <c r="E80" s="18">
        <f>IF(F3="1",SUMIF(Data!A:A,'16'!$A$2,Data!EL:EL),0)</f>
        <v>2733742</v>
      </c>
      <c r="F80" s="22">
        <f t="shared" si="5"/>
        <v>9.2496142810740576</v>
      </c>
    </row>
    <row r="81" spans="1:6" x14ac:dyDescent="0.2">
      <c r="A81" s="20">
        <v>15</v>
      </c>
      <c r="B81" s="202" t="s">
        <v>13</v>
      </c>
      <c r="C81" s="203"/>
      <c r="D81" s="15">
        <f t="shared" si="4"/>
        <v>22472</v>
      </c>
      <c r="E81" s="18">
        <f>IF(F3="1",SUMIF(Data!A:A,'16'!$A$2,Data!EM:EM),0)</f>
        <v>443766</v>
      </c>
      <c r="F81" s="22">
        <f t="shared" si="5"/>
        <v>19.747508009967959</v>
      </c>
    </row>
    <row r="82" spans="1:6" x14ac:dyDescent="0.2">
      <c r="A82" s="20">
        <v>16</v>
      </c>
      <c r="B82" s="202" t="s">
        <v>14</v>
      </c>
      <c r="C82" s="203"/>
      <c r="D82" s="15">
        <f t="shared" si="4"/>
        <v>398070</v>
      </c>
      <c r="E82" s="18">
        <f>IF(F3="1",SUMIF(Data!A:A,'16'!$A$2,Data!EN:EN),0)</f>
        <v>2351496</v>
      </c>
      <c r="F82" s="22">
        <f t="shared" si="5"/>
        <v>5.9072424447961414</v>
      </c>
    </row>
    <row r="83" spans="1:6" x14ac:dyDescent="0.2">
      <c r="A83" s="20">
        <v>17</v>
      </c>
      <c r="B83" s="202" t="s">
        <v>15</v>
      </c>
      <c r="C83" s="203"/>
      <c r="D83" s="15">
        <f t="shared" si="4"/>
        <v>34704</v>
      </c>
      <c r="E83" s="18">
        <f>IF(F3="1",SUMIF(Data!A:A,'16'!$A$2,Data!EO:EO),0)</f>
        <v>358055</v>
      </c>
      <c r="F83" s="22">
        <f t="shared" si="5"/>
        <v>10.31739857076994</v>
      </c>
    </row>
    <row r="84" spans="1:6" x14ac:dyDescent="0.2">
      <c r="A84" s="20">
        <v>18</v>
      </c>
      <c r="B84" s="202" t="s">
        <v>16</v>
      </c>
      <c r="C84" s="203"/>
      <c r="D84" s="15">
        <f t="shared" si="4"/>
        <v>80824</v>
      </c>
      <c r="E84" s="18">
        <f>IF(F3="1",SUMIF(Data!A:A,'16'!$A$2,Data!EP:EP),0)</f>
        <v>512454</v>
      </c>
      <c r="F84" s="22">
        <f t="shared" si="5"/>
        <v>6.3403691972681377</v>
      </c>
    </row>
    <row r="85" spans="1:6" x14ac:dyDescent="0.2">
      <c r="A85" s="20">
        <v>19</v>
      </c>
      <c r="B85" s="202" t="s">
        <v>17</v>
      </c>
      <c r="C85" s="203"/>
      <c r="D85" s="15">
        <f t="shared" si="4"/>
        <v>746208</v>
      </c>
      <c r="E85" s="18">
        <f>IF(F3="1",SUMIF(Data!A:A,'16'!$A$2,Data!EQ:EQ),0)</f>
        <v>1910627</v>
      </c>
      <c r="F85" s="22">
        <f t="shared" si="5"/>
        <v>2.5604482932372745</v>
      </c>
    </row>
    <row r="86" spans="1:6" x14ac:dyDescent="0.2">
      <c r="A86" s="20">
        <v>20</v>
      </c>
      <c r="B86" s="202" t="s">
        <v>18</v>
      </c>
      <c r="C86" s="203"/>
      <c r="D86" s="15">
        <f t="shared" si="4"/>
        <v>130658</v>
      </c>
      <c r="E86" s="18">
        <f>IF(F3="1",SUMIF(Data!A:A,'16'!$A$2,Data!ER:ER),0)</f>
        <v>367981</v>
      </c>
      <c r="F86" s="22">
        <f t="shared" si="5"/>
        <v>2.8163679223621974</v>
      </c>
    </row>
    <row r="87" spans="1:6" ht="14.25" customHeight="1" x14ac:dyDescent="0.2">
      <c r="A87" s="20">
        <v>21</v>
      </c>
      <c r="B87" s="202" t="s">
        <v>446</v>
      </c>
      <c r="C87" s="203"/>
      <c r="D87" s="15">
        <f t="shared" si="4"/>
        <v>34392</v>
      </c>
      <c r="E87" s="18">
        <f>IF(F3="1",SUMIF(Data!A:A,'16'!$A$2,Data!ES:ES),0)</f>
        <v>139882</v>
      </c>
      <c r="F87" s="22">
        <f t="shared" si="5"/>
        <v>4.0672830890904859</v>
      </c>
    </row>
    <row r="88" spans="1:6" x14ac:dyDescent="0.2">
      <c r="A88" s="20">
        <v>22</v>
      </c>
      <c r="B88" s="202" t="s">
        <v>19</v>
      </c>
      <c r="C88" s="203"/>
      <c r="D88" s="15">
        <f t="shared" si="4"/>
        <v>12268</v>
      </c>
      <c r="E88" s="18">
        <f>IF(F3="1",SUMIF(Data!A:A,'16'!$A$2,Data!ET:ET),0)</f>
        <v>79269</v>
      </c>
      <c r="F88" s="22">
        <f t="shared" si="5"/>
        <v>6.4614444082164981</v>
      </c>
    </row>
    <row r="89" spans="1:6" x14ac:dyDescent="0.2">
      <c r="A89" s="20">
        <v>23</v>
      </c>
      <c r="B89" s="202" t="s">
        <v>20</v>
      </c>
      <c r="C89" s="203"/>
      <c r="D89" s="15">
        <f t="shared" si="4"/>
        <v>32352</v>
      </c>
      <c r="E89" s="18">
        <f>IF(F3="1",SUMIF(Data!A:A,'16'!$A$2,Data!EU:EU),0)</f>
        <v>272263</v>
      </c>
      <c r="F89" s="22">
        <f t="shared" si="5"/>
        <v>8.4156466369930758</v>
      </c>
    </row>
    <row r="90" spans="1:6" x14ac:dyDescent="0.2">
      <c r="A90" s="20">
        <v>24</v>
      </c>
      <c r="B90" s="202" t="s">
        <v>21</v>
      </c>
      <c r="C90" s="203"/>
      <c r="D90" s="15">
        <f t="shared" si="4"/>
        <v>433304</v>
      </c>
      <c r="E90" s="18">
        <f>IF(F3="1",SUMIF(Data!A:A,'16'!$A$2,Data!EV:EV),0)</f>
        <v>1307917</v>
      </c>
      <c r="F90" s="22">
        <f t="shared" si="5"/>
        <v>3.018474327492938</v>
      </c>
    </row>
    <row r="91" spans="1:6" x14ac:dyDescent="0.2">
      <c r="A91" s="20">
        <v>25</v>
      </c>
      <c r="B91" s="202" t="s">
        <v>22</v>
      </c>
      <c r="C91" s="203"/>
      <c r="D91" s="15">
        <f t="shared" si="4"/>
        <v>2468400</v>
      </c>
      <c r="E91" s="18">
        <f>IF(F3="1",SUMIF(Data!A:A,'16'!$A$2,Data!EW:EW),0)</f>
        <v>5638706</v>
      </c>
      <c r="F91" s="22">
        <f t="shared" si="5"/>
        <v>2.2843566682871494</v>
      </c>
    </row>
    <row r="92" spans="1:6" x14ac:dyDescent="0.2">
      <c r="A92" s="20">
        <v>26</v>
      </c>
      <c r="B92" s="202" t="s">
        <v>23</v>
      </c>
      <c r="C92" s="203"/>
      <c r="D92" s="15">
        <f t="shared" si="4"/>
        <v>455040</v>
      </c>
      <c r="E92" s="18">
        <f>IF(F3="1",SUMIF(Data!A:A,'16'!$A$2,Data!EX:EX),0)</f>
        <v>1538918</v>
      </c>
      <c r="F92" s="22">
        <f t="shared" si="5"/>
        <v>3.3819400492264418</v>
      </c>
    </row>
    <row r="93" spans="1:6" x14ac:dyDescent="0.2">
      <c r="A93" s="20">
        <v>28</v>
      </c>
      <c r="B93" s="202" t="s">
        <v>24</v>
      </c>
      <c r="C93" s="203"/>
      <c r="D93" s="15">
        <f t="shared" si="4"/>
        <v>600464</v>
      </c>
      <c r="E93" s="18">
        <f>IF(F3="1",SUMIF(Data!A:A,'16'!$A$2,Data!EZ:EZ),0)</f>
        <v>1333035</v>
      </c>
      <c r="F93" s="22">
        <f t="shared" si="5"/>
        <v>2.2200081936635669</v>
      </c>
    </row>
    <row r="94" spans="1:6" ht="15.75" customHeight="1" thickBot="1" x14ac:dyDescent="0.25">
      <c r="A94" s="23">
        <v>29</v>
      </c>
      <c r="B94" s="206" t="s">
        <v>25</v>
      </c>
      <c r="C94" s="207"/>
      <c r="D94" s="24">
        <f t="shared" si="4"/>
        <v>1175952</v>
      </c>
      <c r="E94" s="25">
        <f>IF(F3="1",SUMIF(Data!A:A,'16'!$A$2,Data!FA:FA),0)</f>
        <v>3930852</v>
      </c>
      <c r="F94" s="26">
        <f t="shared" si="5"/>
        <v>3.3426976611290256</v>
      </c>
    </row>
    <row r="95" spans="1:6" x14ac:dyDescent="0.2">
      <c r="B95" s="31" t="s">
        <v>35</v>
      </c>
      <c r="C95" s="31"/>
      <c r="D95" s="60">
        <f>SUM(D67:D94)</f>
        <v>12029079</v>
      </c>
      <c r="E95" s="32">
        <f>SUM(E67:E94)</f>
        <v>37808089</v>
      </c>
      <c r="F95" s="33">
        <f t="shared" si="5"/>
        <v>3.1430576688373231</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IF(F3="1",SUMIF(Data!A:A,'16'!$A$2,Data!AH:AH),0)</f>
        <v>17520062</v>
      </c>
      <c r="F98" s="21">
        <f t="shared" ref="F98:F105" si="6">IFERROR(E98/$D$95,0)</f>
        <v>1.4564757617769406</v>
      </c>
    </row>
    <row r="99" spans="2:6" x14ac:dyDescent="0.2">
      <c r="B99" s="212" t="s">
        <v>31</v>
      </c>
      <c r="C99" s="213"/>
      <c r="D99" s="37"/>
      <c r="E99" s="18">
        <f>IF(F3="1",SUMIF(Data!A:A,'16'!$A$2,Data!AI:AI),0)</f>
        <v>7572057</v>
      </c>
      <c r="F99" s="22">
        <f t="shared" si="6"/>
        <v>0.62947936413086991</v>
      </c>
    </row>
    <row r="100" spans="2:6" x14ac:dyDescent="0.2">
      <c r="B100" s="212" t="s">
        <v>32</v>
      </c>
      <c r="C100" s="213"/>
      <c r="D100" s="37"/>
      <c r="E100" s="18">
        <f>IF(F3="1",SUMIF(Data!A:A,'16'!$A$2,Data!AJ:AJ),0)</f>
        <v>13913821</v>
      </c>
      <c r="F100" s="22">
        <f t="shared" si="6"/>
        <v>1.1566821533053362</v>
      </c>
    </row>
    <row r="101" spans="2:6" x14ac:dyDescent="0.2">
      <c r="B101" s="212" t="s">
        <v>28</v>
      </c>
      <c r="C101" s="213"/>
      <c r="D101" s="37"/>
      <c r="E101" s="18">
        <f>IF(F3="1",SUMIF(Data!A:A,'16'!$A$2,Data!AK:AK),0)</f>
        <v>43689</v>
      </c>
      <c r="F101" s="22">
        <f t="shared" si="6"/>
        <v>3.6319488798768384E-3</v>
      </c>
    </row>
    <row r="102" spans="2:6" x14ac:dyDescent="0.2">
      <c r="B102" s="212" t="s">
        <v>33</v>
      </c>
      <c r="C102" s="213"/>
      <c r="D102" s="37"/>
      <c r="E102" s="18">
        <f>IF(F3="1",SUMIF(Data!A:A,'16'!$A$2,Data!AL:AL),0)</f>
        <v>2023145</v>
      </c>
      <c r="F102" s="22">
        <f t="shared" si="6"/>
        <v>0.16818785544595724</v>
      </c>
    </row>
    <row r="103" spans="2:6" x14ac:dyDescent="0.2">
      <c r="B103" s="214" t="s">
        <v>34</v>
      </c>
      <c r="C103" s="215"/>
      <c r="D103" s="37"/>
      <c r="E103" s="18">
        <f>IF(F3="1",SUMIF(Data!A:A,'16'!$A$2,Data!AM:AM),0)</f>
        <v>1086178</v>
      </c>
      <c r="F103" s="22">
        <f t="shared" si="6"/>
        <v>9.0296023494400524E-2</v>
      </c>
    </row>
    <row r="104" spans="2:6" ht="15.75" customHeight="1" thickBot="1" x14ac:dyDescent="0.25">
      <c r="B104" s="208" t="s">
        <v>29</v>
      </c>
      <c r="C104" s="209"/>
      <c r="D104" s="38"/>
      <c r="E104" s="25">
        <f>IF(F3="1",SUMIF(Data!A:A,'16'!$A$2,Data!Q:Q),0)</f>
        <v>3836646</v>
      </c>
      <c r="F104" s="26">
        <f t="shared" si="6"/>
        <v>0.31894761020357421</v>
      </c>
    </row>
    <row r="105" spans="2:6" x14ac:dyDescent="0.2">
      <c r="B105" s="31" t="s">
        <v>35</v>
      </c>
      <c r="C105" s="31"/>
      <c r="D105" s="35">
        <f>D95</f>
        <v>12029079</v>
      </c>
      <c r="E105" s="32">
        <f>SUM(E98:E104)</f>
        <v>45995598</v>
      </c>
      <c r="F105" s="33">
        <f t="shared" si="6"/>
        <v>3.8237007172369557</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40352124</v>
      </c>
      <c r="D109" s="192">
        <f>IF(F3="1",SUMIF(Data!$A:$A,$A$2,Data!HJ:HJ),0)</f>
        <v>4579608</v>
      </c>
      <c r="E109" s="192">
        <f>IF(F3="1",SUMIF(Data!$A:$A,$A$2,Data!IN:IN),0)</f>
        <v>2636660</v>
      </c>
      <c r="F109" s="48">
        <f>SUM(C109:E109)</f>
        <v>47568392</v>
      </c>
    </row>
    <row r="110" spans="2:6" x14ac:dyDescent="0.2">
      <c r="B110" s="43" t="s">
        <v>28</v>
      </c>
      <c r="C110" s="193">
        <f>IF(F3="1",SUMIF(Data!A:A,$A$2,Data!W:W),0)</f>
        <v>29208</v>
      </c>
      <c r="D110" s="52"/>
      <c r="E110" s="193">
        <f>IF(F3="1",SUMIF(Data!A:A,$A$2,Data!AD:AD),0)</f>
        <v>14481</v>
      </c>
      <c r="F110" s="49">
        <f t="shared" ref="F110:F116" si="7">SUM(C110:E110)</f>
        <v>43689</v>
      </c>
    </row>
    <row r="111" spans="2:6" x14ac:dyDescent="0.2">
      <c r="B111" s="43" t="s">
        <v>915</v>
      </c>
      <c r="C111" s="193">
        <f>IF(F3="1",SUMIF(Data!A:A,$A$2,Data!AS:AS),0)</f>
        <v>3312712</v>
      </c>
      <c r="D111" s="52"/>
      <c r="E111" s="193">
        <f>IF(F3="1",SUMIF(Data!A:A,$A$2,Data!AX:AX)-SUMIF(Data!A:A,$A$2,Data!AW:AW),0)</f>
        <v>1193585</v>
      </c>
      <c r="F111" s="49">
        <f t="shared" si="7"/>
        <v>4506297</v>
      </c>
    </row>
    <row r="112" spans="2:6" x14ac:dyDescent="0.2">
      <c r="B112" s="43" t="s">
        <v>32</v>
      </c>
      <c r="C112" s="193">
        <f>IF(F3="1",SUMIF(Data!A:A,$A$2,Data!V:V),0)</f>
        <v>11962271</v>
      </c>
      <c r="D112" s="52"/>
      <c r="E112" s="193">
        <f>IF(F3="1",SUMIF(Data!A:A,$A$2,Data!AC:AC),0)</f>
        <v>1951550</v>
      </c>
      <c r="F112" s="49">
        <f t="shared" si="7"/>
        <v>13913821</v>
      </c>
    </row>
    <row r="113" spans="1:6" x14ac:dyDescent="0.2">
      <c r="B113" s="43" t="s">
        <v>31</v>
      </c>
      <c r="C113" s="193">
        <f>IF(F3="1",SUMIF(Data!A:A,$A$2,Data!U:U),0)</f>
        <v>6792355</v>
      </c>
      <c r="D113" s="52"/>
      <c r="E113" s="193">
        <f>IF(F3="1",SUMIF(Data!A:A,$A$2,Data!AB:AB),0)</f>
        <v>779702</v>
      </c>
      <c r="F113" s="49">
        <f t="shared" si="7"/>
        <v>7572057</v>
      </c>
    </row>
    <row r="114" spans="1:6" x14ac:dyDescent="0.2">
      <c r="B114" s="43" t="s">
        <v>1002</v>
      </c>
      <c r="C114" s="193">
        <f>IF(F3="1",SUMIF(Data!A:A,$A$2,Data!T:T),0)</f>
        <v>11800746</v>
      </c>
      <c r="D114" s="52"/>
      <c r="E114" s="193">
        <f>IF(F3="1",SUMIF(Data!A:A,$A$2,Data!AA:AA),0)</f>
        <v>5719316</v>
      </c>
      <c r="F114" s="49">
        <f t="shared" si="7"/>
        <v>17520062</v>
      </c>
    </row>
    <row r="115" spans="1:6" x14ac:dyDescent="0.2">
      <c r="B115" s="43" t="s">
        <v>916</v>
      </c>
      <c r="C115" s="193">
        <f>IF(F3="1",SUMIF(Data!A:A,$A$2,Data!BI:BI),0)</f>
        <v>2167710</v>
      </c>
      <c r="D115" s="193">
        <f>IF(F3="1",SUMIF(Data!A:A,$A$2,Data!BL:BL),0)</f>
        <v>446538</v>
      </c>
      <c r="E115" s="193">
        <f>IF(F3="1",SUMIF(Data!A:A,$A$2,Data!BU:BU)-SUMIF(Data!A:A,$A$2,Data!BT:BT),0)</f>
        <v>6940398</v>
      </c>
      <c r="F115" s="49">
        <f t="shared" si="7"/>
        <v>9554646</v>
      </c>
    </row>
    <row r="116" spans="1:6" x14ac:dyDescent="0.2">
      <c r="B116" s="43" t="s">
        <v>33</v>
      </c>
      <c r="C116" s="193">
        <f>IF(F3="1",SUMIF(Data!A:A,$A$2,Data!X:X),0)</f>
        <v>0</v>
      </c>
      <c r="D116" s="51"/>
      <c r="E116" s="193">
        <f>E102-C116</f>
        <v>2023145</v>
      </c>
      <c r="F116" s="49">
        <f t="shared" si="7"/>
        <v>2023145</v>
      </c>
    </row>
    <row r="117" spans="1:6" ht="15" thickBot="1" x14ac:dyDescent="0.25">
      <c r="B117" s="44" t="s">
        <v>920</v>
      </c>
      <c r="C117" s="53"/>
      <c r="D117" s="53">
        <f>IF(F3="1",SUMIF(Data!A:A,$A$2,Data!Q:Q),0)</f>
        <v>3836646</v>
      </c>
      <c r="E117" s="53"/>
      <c r="F117" s="50">
        <f>SUM(C117:E117)</f>
        <v>3836646</v>
      </c>
    </row>
    <row r="118" spans="1:6" x14ac:dyDescent="0.2">
      <c r="B118" s="14" t="s">
        <v>35</v>
      </c>
      <c r="C118" s="178">
        <f>SUM(C109:C117)</f>
        <v>76417126</v>
      </c>
      <c r="D118" s="194">
        <f>SUM(D109:D117)</f>
        <v>8862792</v>
      </c>
      <c r="E118" s="178">
        <f>SUM(E109:E117)</f>
        <v>21258837</v>
      </c>
      <c r="F118" s="178">
        <f>SUM(F109:F117)</f>
        <v>106538755</v>
      </c>
    </row>
    <row r="119" spans="1:6" x14ac:dyDescent="0.2">
      <c r="C119" s="177"/>
      <c r="D119" s="177"/>
      <c r="E119" s="177"/>
    </row>
    <row r="120" spans="1:6" ht="15" thickBot="1" x14ac:dyDescent="0.25">
      <c r="B120" s="188" t="s">
        <v>921</v>
      </c>
      <c r="C120" s="53"/>
      <c r="D120" s="53"/>
      <c r="E120" s="195">
        <f>IF(F3="1",SUMIF(Data!A:A,$A$2,Data!AF:AF)+SUMIF(Data!A:A,$A$2,Data!AW:AW)+SUMIF(Data!A:A,$A$2,Data!BT:BT),0)</f>
        <v>1086178</v>
      </c>
      <c r="F120" s="181">
        <f>SUM(C120:E120)</f>
        <v>1086178</v>
      </c>
    </row>
    <row r="121" spans="1:6" s="177" customFormat="1" x14ac:dyDescent="0.2">
      <c r="B121" s="14" t="s">
        <v>35</v>
      </c>
      <c r="C121" s="178">
        <f>SUM(C120:C120)</f>
        <v>0</v>
      </c>
      <c r="D121" s="178">
        <f>SUM(D120:D120)</f>
        <v>0</v>
      </c>
      <c r="E121" s="178">
        <f>SUM(E120:E120)</f>
        <v>1086178</v>
      </c>
      <c r="F121" s="178">
        <f>SUM(F120:F120)</f>
        <v>1086178</v>
      </c>
    </row>
    <row r="122" spans="1:6" s="177" customFormat="1" ht="15" thickBot="1" x14ac:dyDescent="0.25">
      <c r="B122" s="14" t="s">
        <v>1396</v>
      </c>
      <c r="C122" s="178"/>
      <c r="D122" s="178"/>
      <c r="E122" s="178"/>
      <c r="F122" s="190">
        <f>F118+F121</f>
        <v>107624933</v>
      </c>
    </row>
    <row r="123" spans="1:6" ht="15" thickTop="1" x14ac:dyDescent="0.2">
      <c r="C123" s="177"/>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366</v>
      </c>
      <c r="B2" s="59" t="str">
        <f>VLOOKUP(A2,Data!A:G,7,0)</f>
        <v>Frank Phillips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12608</v>
      </c>
      <c r="E5" s="16">
        <f>E36+E67+IFERROR($E$105/$D$105*D5,0)</f>
        <v>195990.26932991011</v>
      </c>
      <c r="F5" s="21">
        <f>IFERROR(E5/D5,"")</f>
        <v>15.544913493806321</v>
      </c>
    </row>
    <row r="6" spans="1:6" x14ac:dyDescent="0.2">
      <c r="A6" s="20">
        <v>2</v>
      </c>
      <c r="B6" s="202" t="s">
        <v>1</v>
      </c>
      <c r="C6" s="203"/>
      <c r="D6" s="15">
        <f t="shared" ref="D6:D32" si="0">D37</f>
        <v>64144</v>
      </c>
      <c r="E6" s="18">
        <f t="shared" ref="E6:E32" si="1">E37+E68+IFERROR($E$105/$D$105*D6,0)</f>
        <v>654482.14307564672</v>
      </c>
      <c r="F6" s="22">
        <f t="shared" ref="F6:F33" si="2">IFERROR(E6/D6,"")</f>
        <v>10.203326002052362</v>
      </c>
    </row>
    <row r="7" spans="1:6" ht="14.25" customHeight="1" x14ac:dyDescent="0.2">
      <c r="A7" s="20">
        <v>3</v>
      </c>
      <c r="B7" s="202" t="s">
        <v>2</v>
      </c>
      <c r="C7" s="203"/>
      <c r="D7" s="15">
        <f t="shared" si="0"/>
        <v>40240</v>
      </c>
      <c r="E7" s="18">
        <f t="shared" si="1"/>
        <v>414220.59437147703</v>
      </c>
      <c r="F7" s="22">
        <f t="shared" si="2"/>
        <v>10.293752345215632</v>
      </c>
    </row>
    <row r="8" spans="1:6" ht="14.25" customHeight="1" x14ac:dyDescent="0.2">
      <c r="A8" s="20">
        <v>4</v>
      </c>
      <c r="B8" s="202" t="s">
        <v>3</v>
      </c>
      <c r="C8" s="203"/>
      <c r="D8" s="15">
        <f t="shared" si="0"/>
        <v>15657</v>
      </c>
      <c r="E8" s="18">
        <f t="shared" si="1"/>
        <v>171295.90909727177</v>
      </c>
      <c r="F8" s="22">
        <f t="shared" si="2"/>
        <v>10.940531972745211</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0</v>
      </c>
      <c r="E10" s="18">
        <f t="shared" si="1"/>
        <v>0</v>
      </c>
      <c r="F10" s="22" t="str">
        <f t="shared" si="2"/>
        <v/>
      </c>
    </row>
    <row r="11" spans="1:6" x14ac:dyDescent="0.2">
      <c r="A11" s="20">
        <v>7</v>
      </c>
      <c r="B11" s="202" t="s">
        <v>6</v>
      </c>
      <c r="C11" s="203"/>
      <c r="D11" s="15">
        <f t="shared" si="0"/>
        <v>1810</v>
      </c>
      <c r="E11" s="18">
        <f t="shared" si="1"/>
        <v>16254.751386987413</v>
      </c>
      <c r="F11" s="22">
        <f t="shared" si="2"/>
        <v>8.9805256281698416</v>
      </c>
    </row>
    <row r="12" spans="1:6" x14ac:dyDescent="0.2">
      <c r="A12" s="20">
        <v>8</v>
      </c>
      <c r="B12" s="202" t="s">
        <v>7</v>
      </c>
      <c r="C12" s="203"/>
      <c r="D12" s="15">
        <f t="shared" si="0"/>
        <v>8057</v>
      </c>
      <c r="E12" s="18">
        <f t="shared" si="1"/>
        <v>49847.991671247277</v>
      </c>
      <c r="F12" s="22">
        <f t="shared" si="2"/>
        <v>6.1869171740408682</v>
      </c>
    </row>
    <row r="13" spans="1:6" x14ac:dyDescent="0.2">
      <c r="A13" s="20">
        <v>9</v>
      </c>
      <c r="B13" s="202" t="s">
        <v>8</v>
      </c>
      <c r="C13" s="203"/>
      <c r="D13" s="15">
        <f t="shared" si="0"/>
        <v>53854</v>
      </c>
      <c r="E13" s="18">
        <f t="shared" si="1"/>
        <v>540864.5785606741</v>
      </c>
      <c r="F13" s="22">
        <f t="shared" si="2"/>
        <v>10.043164455020502</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64484</v>
      </c>
      <c r="E15" s="18">
        <f t="shared" si="1"/>
        <v>655814.67096049525</v>
      </c>
      <c r="F15" s="22">
        <f t="shared" si="2"/>
        <v>10.170192155581155</v>
      </c>
    </row>
    <row r="16" spans="1:6" ht="14.25" customHeight="1" x14ac:dyDescent="0.2">
      <c r="A16" s="20">
        <v>12</v>
      </c>
      <c r="B16" s="202" t="s">
        <v>11</v>
      </c>
      <c r="C16" s="203"/>
      <c r="D16" s="15">
        <f t="shared" si="0"/>
        <v>48736</v>
      </c>
      <c r="E16" s="18">
        <f t="shared" si="1"/>
        <v>484162.11469404341</v>
      </c>
      <c r="F16" s="22">
        <f t="shared" si="2"/>
        <v>9.9343835089880876</v>
      </c>
    </row>
    <row r="17" spans="1:6" x14ac:dyDescent="0.2">
      <c r="A17" s="20">
        <v>13</v>
      </c>
      <c r="B17" s="202" t="s">
        <v>12</v>
      </c>
      <c r="C17" s="203"/>
      <c r="D17" s="15">
        <f t="shared" si="0"/>
        <v>13044</v>
      </c>
      <c r="E17" s="18">
        <f t="shared" si="1"/>
        <v>124411.04038224521</v>
      </c>
      <c r="F17" s="22">
        <f t="shared" si="2"/>
        <v>9.5377982507087715</v>
      </c>
    </row>
    <row r="18" spans="1:6" ht="14.25" customHeight="1" x14ac:dyDescent="0.2">
      <c r="A18" s="20">
        <v>14</v>
      </c>
      <c r="B18" s="202" t="s">
        <v>449</v>
      </c>
      <c r="C18" s="203"/>
      <c r="D18" s="15">
        <f t="shared" si="0"/>
        <v>960</v>
      </c>
      <c r="E18" s="18">
        <f t="shared" si="1"/>
        <v>12753.431674866251</v>
      </c>
      <c r="F18" s="22">
        <f t="shared" si="2"/>
        <v>13.284824661319012</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16898</v>
      </c>
      <c r="E20" s="18">
        <f t="shared" si="1"/>
        <v>176159.63587696868</v>
      </c>
      <c r="F20" s="22">
        <f t="shared" si="2"/>
        <v>10.424880807016729</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50956</v>
      </c>
      <c r="E22" s="18">
        <f t="shared" si="1"/>
        <v>529506.73794217163</v>
      </c>
      <c r="F22" s="22">
        <f t="shared" si="2"/>
        <v>10.391450230437469</v>
      </c>
    </row>
    <row r="23" spans="1:6" x14ac:dyDescent="0.2">
      <c r="A23" s="20">
        <v>19</v>
      </c>
      <c r="B23" s="202" t="s">
        <v>17</v>
      </c>
      <c r="C23" s="203"/>
      <c r="D23" s="15">
        <f t="shared" si="0"/>
        <v>29056</v>
      </c>
      <c r="E23" s="18">
        <f t="shared" si="1"/>
        <v>302051.26535928523</v>
      </c>
      <c r="F23" s="22">
        <f t="shared" si="2"/>
        <v>10.395486830922536</v>
      </c>
    </row>
    <row r="24" spans="1:6" x14ac:dyDescent="0.2">
      <c r="A24" s="20">
        <v>20</v>
      </c>
      <c r="B24" s="202" t="s">
        <v>18</v>
      </c>
      <c r="C24" s="203"/>
      <c r="D24" s="15">
        <f t="shared" si="0"/>
        <v>0</v>
      </c>
      <c r="E24" s="18">
        <f t="shared" si="1"/>
        <v>0</v>
      </c>
      <c r="F24" s="22" t="str">
        <f t="shared" si="2"/>
        <v/>
      </c>
    </row>
    <row r="25" spans="1:6" ht="14.25" customHeight="1" x14ac:dyDescent="0.2">
      <c r="A25" s="20">
        <v>21</v>
      </c>
      <c r="B25" s="202" t="s">
        <v>446</v>
      </c>
      <c r="C25" s="203"/>
      <c r="D25" s="15">
        <f t="shared" si="0"/>
        <v>5342</v>
      </c>
      <c r="E25" s="18">
        <f t="shared" si="1"/>
        <v>29927.364590766163</v>
      </c>
      <c r="F25" s="22">
        <f t="shared" si="2"/>
        <v>5.602277160383033</v>
      </c>
    </row>
    <row r="26" spans="1:6" x14ac:dyDescent="0.2">
      <c r="A26" s="20">
        <v>22</v>
      </c>
      <c r="B26" s="202" t="s">
        <v>19</v>
      </c>
      <c r="C26" s="203"/>
      <c r="D26" s="15">
        <f t="shared" si="0"/>
        <v>91</v>
      </c>
      <c r="E26" s="18">
        <f t="shared" si="1"/>
        <v>4830.6471691800298</v>
      </c>
      <c r="F26" s="22">
        <f t="shared" si="2"/>
        <v>53.084034826154173</v>
      </c>
    </row>
    <row r="27" spans="1:6" x14ac:dyDescent="0.2">
      <c r="A27" s="20">
        <v>23</v>
      </c>
      <c r="B27" s="202" t="s">
        <v>20</v>
      </c>
      <c r="C27" s="203"/>
      <c r="D27" s="15">
        <f t="shared" si="0"/>
        <v>12912</v>
      </c>
      <c r="E27" s="18">
        <f t="shared" si="1"/>
        <v>123893.70602695108</v>
      </c>
      <c r="F27" s="22">
        <f t="shared" si="2"/>
        <v>9.5952374556188875</v>
      </c>
    </row>
    <row r="28" spans="1:6" x14ac:dyDescent="0.2">
      <c r="A28" s="20">
        <v>24</v>
      </c>
      <c r="B28" s="202" t="s">
        <v>21</v>
      </c>
      <c r="C28" s="203"/>
      <c r="D28" s="15">
        <f t="shared" si="0"/>
        <v>4729</v>
      </c>
      <c r="E28" s="18">
        <f t="shared" si="1"/>
        <v>36516.895198377606</v>
      </c>
      <c r="F28" s="22">
        <f t="shared" si="2"/>
        <v>7.7219063646389525</v>
      </c>
    </row>
    <row r="29" spans="1:6" x14ac:dyDescent="0.2">
      <c r="A29" s="20">
        <v>25</v>
      </c>
      <c r="B29" s="202" t="s">
        <v>22</v>
      </c>
      <c r="C29" s="203"/>
      <c r="D29" s="15">
        <f t="shared" si="0"/>
        <v>77888</v>
      </c>
      <c r="E29" s="18">
        <f t="shared" si="1"/>
        <v>781637.62322081521</v>
      </c>
      <c r="F29" s="22">
        <f t="shared" si="2"/>
        <v>10.035404981779159</v>
      </c>
    </row>
    <row r="30" spans="1:6" x14ac:dyDescent="0.2">
      <c r="A30" s="20">
        <v>26</v>
      </c>
      <c r="B30" s="202" t="s">
        <v>23</v>
      </c>
      <c r="C30" s="203"/>
      <c r="D30" s="15">
        <f t="shared" si="0"/>
        <v>8736</v>
      </c>
      <c r="E30" s="18">
        <f t="shared" si="1"/>
        <v>70703.128241282888</v>
      </c>
      <c r="F30" s="22">
        <f t="shared" si="2"/>
        <v>8.0933068041761551</v>
      </c>
    </row>
    <row r="31" spans="1:6" x14ac:dyDescent="0.2">
      <c r="A31" s="20">
        <v>28</v>
      </c>
      <c r="B31" s="202" t="s">
        <v>24</v>
      </c>
      <c r="C31" s="203"/>
      <c r="D31" s="15">
        <f t="shared" si="0"/>
        <v>21520</v>
      </c>
      <c r="E31" s="18">
        <f t="shared" si="1"/>
        <v>230918.17671158514</v>
      </c>
      <c r="F31" s="22">
        <f t="shared" si="2"/>
        <v>10.730398546077376</v>
      </c>
    </row>
    <row r="32" spans="1:6" ht="15.75" customHeight="1" thickBot="1" x14ac:dyDescent="0.25">
      <c r="A32" s="23">
        <v>29</v>
      </c>
      <c r="B32" s="206" t="s">
        <v>25</v>
      </c>
      <c r="C32" s="207"/>
      <c r="D32" s="24">
        <f t="shared" si="0"/>
        <v>34080</v>
      </c>
      <c r="E32" s="25">
        <f t="shared" si="1"/>
        <v>354086.32445775194</v>
      </c>
      <c r="F32" s="26">
        <f t="shared" si="2"/>
        <v>10.389856938314317</v>
      </c>
    </row>
    <row r="33" spans="1:6" x14ac:dyDescent="0.2">
      <c r="B33" s="31" t="s">
        <v>35</v>
      </c>
      <c r="C33" s="31"/>
      <c r="D33" s="60">
        <f>SUM(D5:D32)</f>
        <v>585802</v>
      </c>
      <c r="E33" s="32">
        <f>SUM(E5:E32)</f>
        <v>5960329</v>
      </c>
      <c r="F33" s="33">
        <f t="shared" si="2"/>
        <v>10.174647747873856</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IF(F3="1",SUMIF(Data!A:A,'17'!$A$2,Data!CU:CU),0)</f>
        <v>12608</v>
      </c>
      <c r="E36" s="16">
        <f>IF(F3="1",SUMIF(Data!$A:$A,'17'!$A$2,Data!IO:IO),0)</f>
        <v>50221</v>
      </c>
      <c r="F36" s="21">
        <f t="shared" ref="F36:F64" si="3">IFERROR(E36/D36,"")</f>
        <v>3.9832645939086295</v>
      </c>
    </row>
    <row r="37" spans="1:6" x14ac:dyDescent="0.2">
      <c r="A37" s="20">
        <v>2</v>
      </c>
      <c r="B37" s="202" t="s">
        <v>1</v>
      </c>
      <c r="C37" s="203"/>
      <c r="D37" s="15">
        <f>IF(F3="1",SUMIF(Data!A:A,'17'!$A$2,Data!CV:CV),0)</f>
        <v>64144</v>
      </c>
      <c r="E37" s="18">
        <f>IF(F3="1",SUMIF(Data!$A:$A,'17'!$A$2,Data!IP:IP),0)</f>
        <v>138110</v>
      </c>
      <c r="F37" s="22">
        <f t="shared" si="3"/>
        <v>2.1531242205038663</v>
      </c>
    </row>
    <row r="38" spans="1:6" ht="14.25" customHeight="1" x14ac:dyDescent="0.2">
      <c r="A38" s="20">
        <v>3</v>
      </c>
      <c r="B38" s="202" t="s">
        <v>2</v>
      </c>
      <c r="C38" s="203"/>
      <c r="D38" s="15">
        <f>IF(F3="1",SUMIF(Data!A:A,'17'!$A$2,Data!CW:CW),0)</f>
        <v>40240</v>
      </c>
      <c r="E38" s="18">
        <f>IF(F3="1",SUMIF(Data!$A:$A,'17'!$A$2,Data!IQ:IQ),0)</f>
        <v>87888</v>
      </c>
      <c r="F38" s="22">
        <f t="shared" si="3"/>
        <v>2.1840954274353876</v>
      </c>
    </row>
    <row r="39" spans="1:6" ht="14.25" customHeight="1" x14ac:dyDescent="0.2">
      <c r="A39" s="20">
        <v>4</v>
      </c>
      <c r="B39" s="202" t="s">
        <v>3</v>
      </c>
      <c r="C39" s="203"/>
      <c r="D39" s="15">
        <f>IF(F3="1",SUMIF(Data!A:A,'17'!$A$2,Data!CX:CX),0)</f>
        <v>15657</v>
      </c>
      <c r="E39" s="18">
        <f>IF(F3="1",SUMIF(Data!$A:$A,'17'!$A$2,Data!IR:IR),0)</f>
        <v>37666</v>
      </c>
      <c r="F39" s="22">
        <f t="shared" si="3"/>
        <v>2.4056971322731049</v>
      </c>
    </row>
    <row r="40" spans="1:6" x14ac:dyDescent="0.2">
      <c r="A40" s="20">
        <v>5</v>
      </c>
      <c r="B40" s="202" t="s">
        <v>4</v>
      </c>
      <c r="C40" s="203"/>
      <c r="D40" s="15">
        <f>IF(F3="1",SUMIF(Data!A:A,'17'!$A$2,Data!CY:CY),0)</f>
        <v>0</v>
      </c>
      <c r="E40" s="18">
        <f>IF(F3="1",SUMIF(Data!$A:$A,'17'!$A$2,Data!IS:IS),0)</f>
        <v>0</v>
      </c>
      <c r="F40" s="22" t="str">
        <f t="shared" si="3"/>
        <v/>
      </c>
    </row>
    <row r="41" spans="1:6" x14ac:dyDescent="0.2">
      <c r="A41" s="20">
        <v>6</v>
      </c>
      <c r="B41" s="202" t="s">
        <v>5</v>
      </c>
      <c r="C41" s="203"/>
      <c r="D41" s="15">
        <f>IF(F3="1",SUMIF(Data!A:A,'17'!$A$2,Data!CZ:CZ),0)</f>
        <v>0</v>
      </c>
      <c r="E41" s="18">
        <f>IF(F3="1",SUMIF(Data!$A:$A,'17'!$A$2,Data!IT:IT),0)</f>
        <v>0</v>
      </c>
      <c r="F41" s="22" t="str">
        <f t="shared" si="3"/>
        <v/>
      </c>
    </row>
    <row r="42" spans="1:6" x14ac:dyDescent="0.2">
      <c r="A42" s="20">
        <v>7</v>
      </c>
      <c r="B42" s="202" t="s">
        <v>6</v>
      </c>
      <c r="C42" s="203"/>
      <c r="D42" s="15">
        <f>IF(F3="1",SUMIF(Data!A:A,'17'!$A$2,Data!DA:DA),0)</f>
        <v>1810</v>
      </c>
      <c r="E42" s="18">
        <f>IF(F3="1",SUMIF(Data!$A:$A,'17'!$A$2,Data!IU:IU),0)</f>
        <v>3139</v>
      </c>
      <c r="F42" s="22">
        <f t="shared" si="3"/>
        <v>1.7342541436464087</v>
      </c>
    </row>
    <row r="43" spans="1:6" x14ac:dyDescent="0.2">
      <c r="A43" s="20">
        <v>8</v>
      </c>
      <c r="B43" s="202" t="s">
        <v>7</v>
      </c>
      <c r="C43" s="203"/>
      <c r="D43" s="15">
        <f>IF(F3="1",SUMIF(Data!A:A,'17'!$A$2,Data!DB:DB),0)</f>
        <v>8057</v>
      </c>
      <c r="E43" s="18">
        <f>IF(F3="1",SUMIF(Data!$A:$A,'17'!$A$2,Data!IV:IV),0)</f>
        <v>6271</v>
      </c>
      <c r="F43" s="22">
        <f t="shared" si="3"/>
        <v>0.77832940300359932</v>
      </c>
    </row>
    <row r="44" spans="1:6" x14ac:dyDescent="0.2">
      <c r="A44" s="20">
        <v>9</v>
      </c>
      <c r="B44" s="202" t="s">
        <v>8</v>
      </c>
      <c r="C44" s="203"/>
      <c r="D44" s="15">
        <f>IF(F3="1",SUMIF(Data!A:A,'17'!$A$2,Data!DC:DC),0)</f>
        <v>53854</v>
      </c>
      <c r="E44" s="18">
        <f>IF(F3="1",SUMIF(Data!$A:$A,'17'!$A$2,Data!IW:IW),0)</f>
        <v>112999</v>
      </c>
      <c r="F44" s="22">
        <f t="shared" si="3"/>
        <v>2.0982471125635977</v>
      </c>
    </row>
    <row r="45" spans="1:6" x14ac:dyDescent="0.2">
      <c r="A45" s="20">
        <v>10</v>
      </c>
      <c r="B45" s="202" t="s">
        <v>9</v>
      </c>
      <c r="C45" s="203"/>
      <c r="D45" s="15">
        <f>IF(F3="1",SUMIF(Data!A:A,'17'!$A$2,Data!DD:DD),0)</f>
        <v>0</v>
      </c>
      <c r="E45" s="18">
        <f>IF(F3="1",SUMIF(Data!$A:$A,'17'!$A$2,Data!IX:IX),0)</f>
        <v>0</v>
      </c>
      <c r="F45" s="22" t="str">
        <f t="shared" si="3"/>
        <v/>
      </c>
    </row>
    <row r="46" spans="1:6" x14ac:dyDescent="0.2">
      <c r="A46" s="20">
        <v>11</v>
      </c>
      <c r="B46" s="202" t="s">
        <v>10</v>
      </c>
      <c r="C46" s="203"/>
      <c r="D46" s="15">
        <f>IF(F3="1",SUMIF(Data!A:A,'17'!$A$2,Data!DE:DE),0)</f>
        <v>64484</v>
      </c>
      <c r="E46" s="18">
        <f>IF(F3="1",SUMIF(Data!$A:$A,'17'!$A$2,Data!IY:IY),0)</f>
        <v>138110</v>
      </c>
      <c r="F46" s="22">
        <f t="shared" si="3"/>
        <v>2.1417716022579243</v>
      </c>
    </row>
    <row r="47" spans="1:6" ht="14.25" customHeight="1" x14ac:dyDescent="0.2">
      <c r="A47" s="20">
        <v>12</v>
      </c>
      <c r="B47" s="202" t="s">
        <v>11</v>
      </c>
      <c r="C47" s="203"/>
      <c r="D47" s="15">
        <f>IF(F3="1",SUMIF(Data!A:A,'17'!$A$2,Data!DF:DF),0)</f>
        <v>48736</v>
      </c>
      <c r="E47" s="18">
        <f>IF(F3="1",SUMIF(Data!$A:$A,'17'!$A$2,Data!IZ:IZ),0)</f>
        <v>100444</v>
      </c>
      <c r="F47" s="22">
        <f t="shared" si="3"/>
        <v>2.0609816152330924</v>
      </c>
    </row>
    <row r="48" spans="1:6" x14ac:dyDescent="0.2">
      <c r="A48" s="20">
        <v>13</v>
      </c>
      <c r="B48" s="202" t="s">
        <v>12</v>
      </c>
      <c r="C48" s="203"/>
      <c r="D48" s="15">
        <f>IF(F3="1",SUMIF(Data!A:A,'17'!$A$2,Data!DG:DG),0)</f>
        <v>13044</v>
      </c>
      <c r="E48" s="18">
        <f>IF(F3="1",SUMIF(Data!$A:$A,'17'!$A$2,Data!JA:JA),0)</f>
        <v>25111</v>
      </c>
      <c r="F48" s="22">
        <f t="shared" si="3"/>
        <v>1.9250996626801595</v>
      </c>
    </row>
    <row r="49" spans="1:6" ht="14.25" customHeight="1" x14ac:dyDescent="0.2">
      <c r="A49" s="20">
        <v>14</v>
      </c>
      <c r="B49" s="202" t="s">
        <v>449</v>
      </c>
      <c r="C49" s="203"/>
      <c r="D49" s="15">
        <f>IF(F3="1",SUMIF(Data!A:A,'17'!$A$2,Data!DH:DH),0)</f>
        <v>960</v>
      </c>
      <c r="E49" s="18">
        <f>IF(F3="1",SUMIF(Data!$A:$A,'17'!$A$2,Data!JB:JB),0)</f>
        <v>2991</v>
      </c>
      <c r="F49" s="22">
        <f t="shared" si="3"/>
        <v>3.1156250000000001</v>
      </c>
    </row>
    <row r="50" spans="1:6" x14ac:dyDescent="0.2">
      <c r="A50" s="20">
        <v>15</v>
      </c>
      <c r="B50" s="202" t="s">
        <v>13</v>
      </c>
      <c r="C50" s="203"/>
      <c r="D50" s="15">
        <f>IF(F3="1",SUMIF(Data!A:A,'17'!$A$2,Data!DI:DI),0)</f>
        <v>0</v>
      </c>
      <c r="E50" s="18">
        <f>IF(F3="1",SUMIF(Data!$A:$A,'17'!$A$2,Data!JC:JC),0)</f>
        <v>0</v>
      </c>
      <c r="F50" s="22" t="str">
        <f t="shared" si="3"/>
        <v/>
      </c>
    </row>
    <row r="51" spans="1:6" x14ac:dyDescent="0.2">
      <c r="A51" s="20">
        <v>16</v>
      </c>
      <c r="B51" s="202" t="s">
        <v>14</v>
      </c>
      <c r="C51" s="203"/>
      <c r="D51" s="15">
        <f>IF(F3="1",SUMIF(Data!A:A,'17'!$A$2,Data!DJ:DJ),0)</f>
        <v>16898</v>
      </c>
      <c r="E51" s="18">
        <f>IF(F3="1",SUMIF(Data!$A:$A,'17'!$A$2,Data!JD:JD),0)</f>
        <v>37666</v>
      </c>
      <c r="F51" s="22">
        <f t="shared" si="3"/>
        <v>2.2290211859391644</v>
      </c>
    </row>
    <row r="52" spans="1:6" x14ac:dyDescent="0.2">
      <c r="A52" s="20">
        <v>17</v>
      </c>
      <c r="B52" s="202" t="s">
        <v>15</v>
      </c>
      <c r="C52" s="203"/>
      <c r="D52" s="15">
        <f>IF(F3="1",SUMIF(Data!A:A,'17'!$A$2,Data!DK:DK),0)</f>
        <v>0</v>
      </c>
      <c r="E52" s="18">
        <f>IF(F3="1",SUMIF(Data!$A:$A,'17'!$A$2,Data!JE:JE),0)</f>
        <v>0</v>
      </c>
      <c r="F52" s="22" t="str">
        <f t="shared" si="3"/>
        <v/>
      </c>
    </row>
    <row r="53" spans="1:6" x14ac:dyDescent="0.2">
      <c r="A53" s="20">
        <v>18</v>
      </c>
      <c r="B53" s="202" t="s">
        <v>16</v>
      </c>
      <c r="C53" s="203"/>
      <c r="D53" s="15">
        <f>IF(F3="1",SUMIF(Data!A:A,'17'!$A$2,Data!DL:DL),0)</f>
        <v>50956</v>
      </c>
      <c r="E53" s="18">
        <f>IF(F3="1",SUMIF(Data!$A:$A,'17'!$A$2,Data!JF:JF),0)</f>
        <v>112999</v>
      </c>
      <c r="F53" s="22">
        <f t="shared" si="3"/>
        <v>2.2175798728314624</v>
      </c>
    </row>
    <row r="54" spans="1:6" x14ac:dyDescent="0.2">
      <c r="A54" s="20">
        <v>19</v>
      </c>
      <c r="B54" s="202" t="s">
        <v>17</v>
      </c>
      <c r="C54" s="203"/>
      <c r="D54" s="15">
        <f>IF(F3="1",SUMIF(Data!A:A,'17'!$A$2,Data!DM:DM),0)</f>
        <v>29056</v>
      </c>
      <c r="E54" s="18">
        <f>IF(F3="1",SUMIF(Data!$A:$A,'17'!$A$2,Data!JG:JG),0)</f>
        <v>63479</v>
      </c>
      <c r="F54" s="22">
        <f t="shared" si="3"/>
        <v>2.1847122797356828</v>
      </c>
    </row>
    <row r="55" spans="1:6" x14ac:dyDescent="0.2">
      <c r="A55" s="20">
        <v>20</v>
      </c>
      <c r="B55" s="202" t="s">
        <v>18</v>
      </c>
      <c r="C55" s="203"/>
      <c r="D55" s="15">
        <f>IF(F3="1",SUMIF(Data!A:A,'17'!$A$2,Data!DN:DN),0)</f>
        <v>0</v>
      </c>
      <c r="E55" s="18">
        <f>IF(F3="1",SUMIF(Data!$A:$A,'17'!$A$2,Data!JH:JH),0)</f>
        <v>0</v>
      </c>
      <c r="F55" s="22" t="str">
        <f t="shared" si="3"/>
        <v/>
      </c>
    </row>
    <row r="56" spans="1:6" ht="14.25" customHeight="1" x14ac:dyDescent="0.2">
      <c r="A56" s="20">
        <v>21</v>
      </c>
      <c r="B56" s="202" t="s">
        <v>446</v>
      </c>
      <c r="C56" s="203"/>
      <c r="D56" s="15">
        <f>IF(F3="1",SUMIF(Data!A:A,'17'!$A$2,Data!DO:DO),0)</f>
        <v>5342</v>
      </c>
      <c r="E56" s="18">
        <f>IF(F3="1",SUMIF(Data!$A:$A,'17'!$A$2,Data!JI:JI),0)</f>
        <v>2991</v>
      </c>
      <c r="F56" s="22">
        <f t="shared" si="3"/>
        <v>0.5599026581804567</v>
      </c>
    </row>
    <row r="57" spans="1:6" x14ac:dyDescent="0.2">
      <c r="A57" s="20">
        <v>22</v>
      </c>
      <c r="B57" s="202" t="s">
        <v>19</v>
      </c>
      <c r="C57" s="203"/>
      <c r="D57" s="15">
        <f>IF(F3="1",SUMIF(Data!A:A,'17'!$A$2,Data!DP:DP),0)</f>
        <v>91</v>
      </c>
      <c r="E57" s="18">
        <f>IF(F3="1",SUMIF(Data!$A:$A,'17'!$A$2,Data!JJ:JJ),0)</f>
        <v>2474</v>
      </c>
      <c r="F57" s="22">
        <f t="shared" si="3"/>
        <v>27.186813186813186</v>
      </c>
    </row>
    <row r="58" spans="1:6" x14ac:dyDescent="0.2">
      <c r="A58" s="20">
        <v>23</v>
      </c>
      <c r="B58" s="202" t="s">
        <v>20</v>
      </c>
      <c r="C58" s="203"/>
      <c r="D58" s="15">
        <f>IF(F3="1",SUMIF(Data!A:A,'17'!$A$2,Data!DQ:DQ),0)</f>
        <v>12912</v>
      </c>
      <c r="E58" s="18">
        <f>IF(F3="1",SUMIF(Data!$A:$A,'17'!$A$2,Data!JK:JK),0)</f>
        <v>25111</v>
      </c>
      <c r="F58" s="22">
        <f t="shared" si="3"/>
        <v>1.944780049566295</v>
      </c>
    </row>
    <row r="59" spans="1:6" x14ac:dyDescent="0.2">
      <c r="A59" s="20">
        <v>24</v>
      </c>
      <c r="B59" s="202" t="s">
        <v>21</v>
      </c>
      <c r="C59" s="203"/>
      <c r="D59" s="15">
        <f>IF(F3="1",SUMIF(Data!A:A,'17'!$A$2,Data!DR:DR),0)</f>
        <v>4729</v>
      </c>
      <c r="E59" s="18">
        <f>IF(F3="1",SUMIF(Data!$A:$A,'17'!$A$2,Data!JL:JL),0)</f>
        <v>5983</v>
      </c>
      <c r="F59" s="22">
        <f t="shared" si="3"/>
        <v>1.2651723408754494</v>
      </c>
    </row>
    <row r="60" spans="1:6" x14ac:dyDescent="0.2">
      <c r="A60" s="20">
        <v>25</v>
      </c>
      <c r="B60" s="202" t="s">
        <v>22</v>
      </c>
      <c r="C60" s="203"/>
      <c r="D60" s="15">
        <f>IF(F3="1",SUMIF(Data!A:A,'17'!$A$2,Data!DS:DS),0)</f>
        <v>77888</v>
      </c>
      <c r="E60" s="18">
        <f>IF(F3="1",SUMIF(Data!$A:$A,'17'!$A$2,Data!JM:JM),0)</f>
        <v>163221</v>
      </c>
      <c r="F60" s="22">
        <f t="shared" si="3"/>
        <v>2.0955859695973706</v>
      </c>
    </row>
    <row r="61" spans="1:6" x14ac:dyDescent="0.2">
      <c r="A61" s="20">
        <v>26</v>
      </c>
      <c r="B61" s="202" t="s">
        <v>23</v>
      </c>
      <c r="C61" s="203"/>
      <c r="D61" s="15">
        <f>IF(F3="1",SUMIF(Data!A:A,'17'!$A$2,Data!DT:DT),0)</f>
        <v>8736</v>
      </c>
      <c r="E61" s="18">
        <f>IF(F3="1",SUMIF(Data!$A:$A,'17'!$A$2,Data!JN:JN),0)</f>
        <v>12465</v>
      </c>
      <c r="F61" s="22">
        <f t="shared" si="3"/>
        <v>1.4268543956043955</v>
      </c>
    </row>
    <row r="62" spans="1:6" x14ac:dyDescent="0.2">
      <c r="A62" s="20">
        <v>28</v>
      </c>
      <c r="B62" s="202" t="s">
        <v>24</v>
      </c>
      <c r="C62" s="203"/>
      <c r="D62" s="15">
        <f>IF(F3="1",SUMIF(Data!A:A,'17'!$A$2,Data!DV:DV),0)</f>
        <v>21520</v>
      </c>
      <c r="E62" s="18">
        <f>IF(F3="1",SUMIF(Data!$A:$A,'17'!$A$2,Data!JP:JP),0)</f>
        <v>50221</v>
      </c>
      <c r="F62" s="22">
        <f t="shared" si="3"/>
        <v>2.3336895910780671</v>
      </c>
    </row>
    <row r="63" spans="1:6" ht="15.75" customHeight="1" thickBot="1" x14ac:dyDescent="0.25">
      <c r="A63" s="23">
        <v>29</v>
      </c>
      <c r="B63" s="206" t="s">
        <v>25</v>
      </c>
      <c r="C63" s="207"/>
      <c r="D63" s="24">
        <f>IF(F3="1",SUMIF(Data!A:A,'17'!$A$2,Data!DW:DW),0)</f>
        <v>34080</v>
      </c>
      <c r="E63" s="25">
        <f>IF(F3="1",SUMIF(Data!$A:$A,'17'!$A$2,Data!JQ:JQ),0)</f>
        <v>75986</v>
      </c>
      <c r="F63" s="26">
        <f t="shared" si="3"/>
        <v>2.2296361502347417</v>
      </c>
    </row>
    <row r="64" spans="1:6" x14ac:dyDescent="0.2">
      <c r="B64" s="31" t="s">
        <v>35</v>
      </c>
      <c r="C64" s="31"/>
      <c r="D64" s="60">
        <f>SUM(D36:D63)</f>
        <v>585802</v>
      </c>
      <c r="E64" s="32">
        <f>SUM(E36:E63)</f>
        <v>1255546</v>
      </c>
      <c r="F64" s="33">
        <f t="shared" si="3"/>
        <v>2.1432941505833027</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12608</v>
      </c>
      <c r="E67" s="16">
        <f>IF(F3="1",SUMIF(Data!A:A,'17'!$A$2,Data!DY:DY),0)</f>
        <v>96356</v>
      </c>
      <c r="F67" s="21">
        <f>IFERROR(E67/D67,"")</f>
        <v>7.6424492385786804</v>
      </c>
    </row>
    <row r="68" spans="1:6" x14ac:dyDescent="0.2">
      <c r="A68" s="20">
        <v>2</v>
      </c>
      <c r="B68" s="202" t="s">
        <v>1</v>
      </c>
      <c r="C68" s="203"/>
      <c r="D68" s="15">
        <f t="shared" ref="D68:D94" si="4">D37</f>
        <v>64144</v>
      </c>
      <c r="E68" s="18">
        <f>IF(F3="1",SUMIF(Data!A:A,'17'!$A$2,Data!DZ:DZ),0)</f>
        <v>264979</v>
      </c>
      <c r="F68" s="22">
        <f t="shared" ref="F68:F95" si="5">IFERROR(E68/D68,"")</f>
        <v>4.1310021202294838</v>
      </c>
    </row>
    <row r="69" spans="1:6" ht="14.25" customHeight="1" x14ac:dyDescent="0.2">
      <c r="A69" s="20">
        <v>3</v>
      </c>
      <c r="B69" s="202" t="s">
        <v>2</v>
      </c>
      <c r="C69" s="203"/>
      <c r="D69" s="15">
        <f t="shared" si="4"/>
        <v>40240</v>
      </c>
      <c r="E69" s="18">
        <f>IF(F3="1",SUMIF(Data!A:A,'17'!$A$2,Data!EA:EA),0)</f>
        <v>168624</v>
      </c>
      <c r="F69" s="22">
        <f t="shared" si="5"/>
        <v>4.190457256461233</v>
      </c>
    </row>
    <row r="70" spans="1:6" ht="14.25" customHeight="1" x14ac:dyDescent="0.2">
      <c r="A70" s="20">
        <v>4</v>
      </c>
      <c r="B70" s="202" t="s">
        <v>3</v>
      </c>
      <c r="C70" s="203"/>
      <c r="D70" s="15">
        <f t="shared" si="4"/>
        <v>15657</v>
      </c>
      <c r="E70" s="18">
        <f>IF(F3="1",SUMIF(Data!A:A,'17'!$A$2,Data!EB:EB),0)</f>
        <v>72267</v>
      </c>
      <c r="F70" s="22">
        <f t="shared" si="5"/>
        <v>4.6156351791530943</v>
      </c>
    </row>
    <row r="71" spans="1:6" x14ac:dyDescent="0.2">
      <c r="A71" s="20">
        <v>5</v>
      </c>
      <c r="B71" s="202" t="s">
        <v>4</v>
      </c>
      <c r="C71" s="203"/>
      <c r="D71" s="15">
        <f t="shared" si="4"/>
        <v>0</v>
      </c>
      <c r="E71" s="18">
        <f>IF(F3="1",SUMIF(Data!A:A,'17'!$A$2,Data!EC:EC),0)</f>
        <v>0</v>
      </c>
      <c r="F71" s="22" t="str">
        <f t="shared" si="5"/>
        <v/>
      </c>
    </row>
    <row r="72" spans="1:6" x14ac:dyDescent="0.2">
      <c r="A72" s="20">
        <v>6</v>
      </c>
      <c r="B72" s="202" t="s">
        <v>5</v>
      </c>
      <c r="C72" s="203"/>
      <c r="D72" s="15">
        <f t="shared" si="4"/>
        <v>0</v>
      </c>
      <c r="E72" s="18">
        <f>IF(F3="1",SUMIF(Data!A:A,'17'!$A$2,Data!ED:ED),0)</f>
        <v>0</v>
      </c>
      <c r="F72" s="22" t="str">
        <f t="shared" si="5"/>
        <v/>
      </c>
    </row>
    <row r="73" spans="1:6" x14ac:dyDescent="0.2">
      <c r="A73" s="20">
        <v>7</v>
      </c>
      <c r="B73" s="202" t="s">
        <v>6</v>
      </c>
      <c r="C73" s="203"/>
      <c r="D73" s="15">
        <f t="shared" si="4"/>
        <v>1810</v>
      </c>
      <c r="E73" s="18">
        <f>IF(F3="1",SUMIF(Data!A:A,'17'!$A$2,Data!EE:EE),0)</f>
        <v>6022</v>
      </c>
      <c r="F73" s="22">
        <f t="shared" si="5"/>
        <v>3.3270718232044199</v>
      </c>
    </row>
    <row r="74" spans="1:6" x14ac:dyDescent="0.2">
      <c r="A74" s="20">
        <v>8</v>
      </c>
      <c r="B74" s="202" t="s">
        <v>7</v>
      </c>
      <c r="C74" s="203"/>
      <c r="D74" s="15">
        <f t="shared" si="4"/>
        <v>8057</v>
      </c>
      <c r="E74" s="18">
        <f>IF(F3="1",SUMIF(Data!A:A,'17'!$A$2,Data!EF:EF),0)</f>
        <v>12000</v>
      </c>
      <c r="F74" s="22">
        <f t="shared" si="5"/>
        <v>1.4893881097182575</v>
      </c>
    </row>
    <row r="75" spans="1:6" x14ac:dyDescent="0.2">
      <c r="A75" s="20">
        <v>9</v>
      </c>
      <c r="B75" s="202" t="s">
        <v>8</v>
      </c>
      <c r="C75" s="203"/>
      <c r="D75" s="15">
        <f t="shared" si="4"/>
        <v>53854</v>
      </c>
      <c r="E75" s="18">
        <f>IF(F3="1",SUMIF(Data!A:A,'17'!$A$2,Data!EG:EG),0)</f>
        <v>216801</v>
      </c>
      <c r="F75" s="22">
        <f t="shared" si="5"/>
        <v>4.0257176811378912</v>
      </c>
    </row>
    <row r="76" spans="1:6" x14ac:dyDescent="0.2">
      <c r="A76" s="20">
        <v>10</v>
      </c>
      <c r="B76" s="202" t="s">
        <v>9</v>
      </c>
      <c r="C76" s="203"/>
      <c r="D76" s="15">
        <f t="shared" si="4"/>
        <v>0</v>
      </c>
      <c r="E76" s="18">
        <f>IF(F3="1",SUMIF(Data!A:A,'17'!$A$2,Data!EH:EH),0)</f>
        <v>0</v>
      </c>
      <c r="F76" s="22" t="str">
        <f t="shared" si="5"/>
        <v/>
      </c>
    </row>
    <row r="77" spans="1:6" x14ac:dyDescent="0.2">
      <c r="A77" s="20">
        <v>11</v>
      </c>
      <c r="B77" s="202" t="s">
        <v>10</v>
      </c>
      <c r="C77" s="203"/>
      <c r="D77" s="15">
        <f t="shared" si="4"/>
        <v>64484</v>
      </c>
      <c r="E77" s="18">
        <f>IF(F3="1",SUMIF(Data!A:A,'17'!$A$2,Data!EI:EI),0)</f>
        <v>264979</v>
      </c>
      <c r="F77" s="22">
        <f t="shared" si="5"/>
        <v>4.1092208920042177</v>
      </c>
    </row>
    <row r="78" spans="1:6" ht="14.25" customHeight="1" x14ac:dyDescent="0.2">
      <c r="A78" s="20">
        <v>12</v>
      </c>
      <c r="B78" s="202" t="s">
        <v>11</v>
      </c>
      <c r="C78" s="203"/>
      <c r="D78" s="15">
        <f t="shared" si="4"/>
        <v>48736</v>
      </c>
      <c r="E78" s="18">
        <f>IF(F3="1",SUMIF(Data!A:A,'17'!$A$2,Data!EJ:EJ),0)</f>
        <v>192712</v>
      </c>
      <c r="F78" s="22">
        <f t="shared" si="5"/>
        <v>3.9542022324359816</v>
      </c>
    </row>
    <row r="79" spans="1:6" x14ac:dyDescent="0.2">
      <c r="A79" s="20">
        <v>13</v>
      </c>
      <c r="B79" s="202" t="s">
        <v>12</v>
      </c>
      <c r="C79" s="203"/>
      <c r="D79" s="15">
        <f t="shared" si="4"/>
        <v>13044</v>
      </c>
      <c r="E79" s="18">
        <f>IF(F3="1",SUMIF(Data!A:A,'17'!$A$2,Data!EK:EK),0)</f>
        <v>48178</v>
      </c>
      <c r="F79" s="22">
        <f t="shared" si="5"/>
        <v>3.6934989267095983</v>
      </c>
    </row>
    <row r="80" spans="1:6" ht="14.25" customHeight="1" x14ac:dyDescent="0.2">
      <c r="A80" s="20">
        <v>14</v>
      </c>
      <c r="B80" s="202" t="s">
        <v>449</v>
      </c>
      <c r="C80" s="203"/>
      <c r="D80" s="15">
        <f t="shared" si="4"/>
        <v>960</v>
      </c>
      <c r="E80" s="18">
        <f>IF(F3="1",SUMIF(Data!A:A,'17'!$A$2,Data!EL:EL),0)</f>
        <v>6000</v>
      </c>
      <c r="F80" s="22">
        <f t="shared" si="5"/>
        <v>6.25</v>
      </c>
    </row>
    <row r="81" spans="1:6" x14ac:dyDescent="0.2">
      <c r="A81" s="20">
        <v>15</v>
      </c>
      <c r="B81" s="202" t="s">
        <v>13</v>
      </c>
      <c r="C81" s="203"/>
      <c r="D81" s="15">
        <f t="shared" si="4"/>
        <v>0</v>
      </c>
      <c r="E81" s="18">
        <f>IF(F3="1",SUMIF(Data!A:A,'17'!$A$2,Data!EM:EM),0)</f>
        <v>0</v>
      </c>
      <c r="F81" s="22" t="str">
        <f t="shared" si="5"/>
        <v/>
      </c>
    </row>
    <row r="82" spans="1:6" x14ac:dyDescent="0.2">
      <c r="A82" s="20">
        <v>16</v>
      </c>
      <c r="B82" s="202" t="s">
        <v>14</v>
      </c>
      <c r="C82" s="203"/>
      <c r="D82" s="15">
        <f t="shared" si="4"/>
        <v>16898</v>
      </c>
      <c r="E82" s="18">
        <f>IF(F3="1",SUMIF(Data!A:A,'17'!$A$2,Data!EN:EN),0)</f>
        <v>72267</v>
      </c>
      <c r="F82" s="22">
        <f t="shared" si="5"/>
        <v>4.2766599597585513</v>
      </c>
    </row>
    <row r="83" spans="1:6" x14ac:dyDescent="0.2">
      <c r="A83" s="20">
        <v>17</v>
      </c>
      <c r="B83" s="202" t="s">
        <v>15</v>
      </c>
      <c r="C83" s="203"/>
      <c r="D83" s="15">
        <f t="shared" si="4"/>
        <v>0</v>
      </c>
      <c r="E83" s="18">
        <f>IF(F3="1",SUMIF(Data!A:A,'17'!$A$2,Data!EO:EO),0)</f>
        <v>0</v>
      </c>
      <c r="F83" s="22" t="str">
        <f t="shared" si="5"/>
        <v/>
      </c>
    </row>
    <row r="84" spans="1:6" x14ac:dyDescent="0.2">
      <c r="A84" s="20">
        <v>18</v>
      </c>
      <c r="B84" s="202" t="s">
        <v>16</v>
      </c>
      <c r="C84" s="203"/>
      <c r="D84" s="15">
        <f t="shared" si="4"/>
        <v>50956</v>
      </c>
      <c r="E84" s="18">
        <f>IF(F3="1",SUMIF(Data!A:A,'17'!$A$2,Data!EP:EP),0)</f>
        <v>216801</v>
      </c>
      <c r="F84" s="22">
        <f t="shared" si="5"/>
        <v>4.2546706962869925</v>
      </c>
    </row>
    <row r="85" spans="1:6" x14ac:dyDescent="0.2">
      <c r="A85" s="20">
        <v>19</v>
      </c>
      <c r="B85" s="202" t="s">
        <v>17</v>
      </c>
      <c r="C85" s="203"/>
      <c r="D85" s="15">
        <f t="shared" si="4"/>
        <v>29056</v>
      </c>
      <c r="E85" s="18">
        <f>IF(F3="1",SUMIF(Data!A:A,'17'!$A$2,Data!EQ:EQ),0)</f>
        <v>124696</v>
      </c>
      <c r="F85" s="22">
        <f t="shared" si="5"/>
        <v>4.2915748898678414</v>
      </c>
    </row>
    <row r="86" spans="1:6" x14ac:dyDescent="0.2">
      <c r="A86" s="20">
        <v>20</v>
      </c>
      <c r="B86" s="202" t="s">
        <v>18</v>
      </c>
      <c r="C86" s="203"/>
      <c r="D86" s="15">
        <f t="shared" si="4"/>
        <v>0</v>
      </c>
      <c r="E86" s="18">
        <f>IF(F3="1",SUMIF(Data!A:A,'17'!$A$2,Data!ER:ER),0)</f>
        <v>0</v>
      </c>
      <c r="F86" s="22" t="str">
        <f t="shared" si="5"/>
        <v/>
      </c>
    </row>
    <row r="87" spans="1:6" ht="14.25" customHeight="1" x14ac:dyDescent="0.2">
      <c r="A87" s="20">
        <v>21</v>
      </c>
      <c r="B87" s="202" t="s">
        <v>446</v>
      </c>
      <c r="C87" s="203"/>
      <c r="D87" s="15">
        <f t="shared" si="4"/>
        <v>5342</v>
      </c>
      <c r="E87" s="18">
        <f>IF(F3="1",SUMIF(Data!A:A,'17'!$A$2,Data!ES:ES),0)</f>
        <v>6000</v>
      </c>
      <c r="F87" s="22">
        <f t="shared" si="5"/>
        <v>1.1231748408835642</v>
      </c>
    </row>
    <row r="88" spans="1:6" x14ac:dyDescent="0.2">
      <c r="A88" s="20">
        <v>22</v>
      </c>
      <c r="B88" s="202" t="s">
        <v>19</v>
      </c>
      <c r="C88" s="203"/>
      <c r="D88" s="15">
        <f t="shared" si="4"/>
        <v>91</v>
      </c>
      <c r="E88" s="18">
        <f>IF(F3="1",SUMIF(Data!A:A,'17'!$A$2,Data!ET:ET),0)</f>
        <v>2000</v>
      </c>
      <c r="F88" s="22">
        <f t="shared" si="5"/>
        <v>21.978021978021978</v>
      </c>
    </row>
    <row r="89" spans="1:6" x14ac:dyDescent="0.2">
      <c r="A89" s="20">
        <v>23</v>
      </c>
      <c r="B89" s="202" t="s">
        <v>20</v>
      </c>
      <c r="C89" s="203"/>
      <c r="D89" s="15">
        <f t="shared" si="4"/>
        <v>12912</v>
      </c>
      <c r="E89" s="18">
        <f>IF(F3="1",SUMIF(Data!A:A,'17'!$A$2,Data!EU:EU),0)</f>
        <v>48178</v>
      </c>
      <c r="F89" s="22">
        <f t="shared" si="5"/>
        <v>3.7312577447335813</v>
      </c>
    </row>
    <row r="90" spans="1:6" x14ac:dyDescent="0.2">
      <c r="A90" s="20">
        <v>24</v>
      </c>
      <c r="B90" s="202" t="s">
        <v>21</v>
      </c>
      <c r="C90" s="203"/>
      <c r="D90" s="15">
        <f t="shared" si="4"/>
        <v>4729</v>
      </c>
      <c r="E90" s="18">
        <f>IF(F3="1",SUMIF(Data!A:A,'17'!$A$2,Data!EV:EV),0)</f>
        <v>12000</v>
      </c>
      <c r="F90" s="22">
        <f t="shared" si="5"/>
        <v>2.5375343624444913</v>
      </c>
    </row>
    <row r="91" spans="1:6" x14ac:dyDescent="0.2">
      <c r="A91" s="20">
        <v>25</v>
      </c>
      <c r="B91" s="202" t="s">
        <v>22</v>
      </c>
      <c r="C91" s="203"/>
      <c r="D91" s="15">
        <f t="shared" si="4"/>
        <v>77888</v>
      </c>
      <c r="E91" s="18">
        <f>IF(F3="1",SUMIF(Data!A:A,'17'!$A$2,Data!EW:EW),0)</f>
        <v>313158</v>
      </c>
      <c r="F91" s="22">
        <f t="shared" si="5"/>
        <v>4.020619350862777</v>
      </c>
    </row>
    <row r="92" spans="1:6" x14ac:dyDescent="0.2">
      <c r="A92" s="20">
        <v>26</v>
      </c>
      <c r="B92" s="202" t="s">
        <v>23</v>
      </c>
      <c r="C92" s="203"/>
      <c r="D92" s="15">
        <f t="shared" si="4"/>
        <v>8736</v>
      </c>
      <c r="E92" s="18">
        <f>IF(F3="1",SUMIF(Data!A:A,'17'!$A$2,Data!EX:EX),0)</f>
        <v>24000</v>
      </c>
      <c r="F92" s="22">
        <f t="shared" si="5"/>
        <v>2.7472527472527473</v>
      </c>
    </row>
    <row r="93" spans="1:6" x14ac:dyDescent="0.2">
      <c r="A93" s="20">
        <v>28</v>
      </c>
      <c r="B93" s="202" t="s">
        <v>24</v>
      </c>
      <c r="C93" s="203"/>
      <c r="D93" s="15">
        <f t="shared" si="4"/>
        <v>21520</v>
      </c>
      <c r="E93" s="18">
        <f>IF(F3="1",SUMIF(Data!A:A,'17'!$A$2,Data!EZ:EZ),0)</f>
        <v>96356</v>
      </c>
      <c r="F93" s="22">
        <f t="shared" si="5"/>
        <v>4.4775092936802974</v>
      </c>
    </row>
    <row r="94" spans="1:6" ht="15.75" customHeight="1" thickBot="1" x14ac:dyDescent="0.25">
      <c r="A94" s="23">
        <v>29</v>
      </c>
      <c r="B94" s="206" t="s">
        <v>25</v>
      </c>
      <c r="C94" s="207"/>
      <c r="D94" s="24">
        <f t="shared" si="4"/>
        <v>34080</v>
      </c>
      <c r="E94" s="25">
        <f>IF(F3="1",SUMIF(Data!A:A,'17'!$A$2,Data!FA:FA),0)</f>
        <v>144534</v>
      </c>
      <c r="F94" s="26">
        <f t="shared" si="5"/>
        <v>4.2410211267605638</v>
      </c>
    </row>
    <row r="95" spans="1:6" x14ac:dyDescent="0.2">
      <c r="B95" s="31" t="s">
        <v>35</v>
      </c>
      <c r="C95" s="31"/>
      <c r="D95" s="60">
        <f>SUM(D67:D94)</f>
        <v>585802</v>
      </c>
      <c r="E95" s="32">
        <f>SUM(E67:E94)</f>
        <v>2408908</v>
      </c>
      <c r="F95" s="33">
        <f t="shared" si="5"/>
        <v>4.1121539359715396</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IF(F3="1",SUMIF(Data!A:A,'17'!$A$2,Data!AH:AH),0)</f>
        <v>1290618</v>
      </c>
      <c r="F98" s="21">
        <f t="shared" ref="F98:F105" si="6">IFERROR(E98/$D$95,0)</f>
        <v>2.2031642090672277</v>
      </c>
    </row>
    <row r="99" spans="2:6" x14ac:dyDescent="0.2">
      <c r="B99" s="212" t="s">
        <v>31</v>
      </c>
      <c r="C99" s="213"/>
      <c r="D99" s="37"/>
      <c r="E99" s="18">
        <f>IF(F3="1",SUMIF(Data!A:A,'17'!$A$2,Data!AI:AI),0)</f>
        <v>290507</v>
      </c>
      <c r="F99" s="22">
        <f t="shared" si="6"/>
        <v>0.49591329493583158</v>
      </c>
    </row>
    <row r="100" spans="2:6" x14ac:dyDescent="0.2">
      <c r="B100" s="212" t="s">
        <v>32</v>
      </c>
      <c r="C100" s="213"/>
      <c r="D100" s="37"/>
      <c r="E100" s="18">
        <f>IF(F3="1",SUMIF(Data!A:A,'17'!$A$2,Data!AJ:AJ),0)</f>
        <v>131695</v>
      </c>
      <c r="F100" s="22">
        <f t="shared" si="6"/>
        <v>0.22481145506502198</v>
      </c>
    </row>
    <row r="101" spans="2:6" x14ac:dyDescent="0.2">
      <c r="B101" s="212" t="s">
        <v>28</v>
      </c>
      <c r="C101" s="213"/>
      <c r="D101" s="37"/>
      <c r="E101" s="18">
        <f>IF(F3="1",SUMIF(Data!A:A,'17'!$A$2,Data!AK:AK),0)</f>
        <v>0</v>
      </c>
      <c r="F101" s="22">
        <f t="shared" si="6"/>
        <v>0</v>
      </c>
    </row>
    <row r="102" spans="2:6" x14ac:dyDescent="0.2">
      <c r="B102" s="212" t="s">
        <v>33</v>
      </c>
      <c r="C102" s="213"/>
      <c r="D102" s="37"/>
      <c r="E102" s="18">
        <f>IF(F3="1",SUMIF(Data!A:A,'17'!$A$2,Data!AL:AL),0)</f>
        <v>124205</v>
      </c>
      <c r="F102" s="22">
        <f t="shared" si="6"/>
        <v>0.21202556495198036</v>
      </c>
    </row>
    <row r="103" spans="2:6" x14ac:dyDescent="0.2">
      <c r="B103" s="214" t="s">
        <v>34</v>
      </c>
      <c r="C103" s="215"/>
      <c r="D103" s="37"/>
      <c r="E103" s="18">
        <f>IF(F3="1",SUMIF(Data!A:A,'17'!$A$2,Data!AM:AM),0)</f>
        <v>217140</v>
      </c>
      <c r="F103" s="22">
        <f t="shared" si="6"/>
        <v>0.37067131897808475</v>
      </c>
    </row>
    <row r="104" spans="2:6" ht="15.75" customHeight="1" thickBot="1" x14ac:dyDescent="0.25">
      <c r="B104" s="208" t="s">
        <v>29</v>
      </c>
      <c r="C104" s="209"/>
      <c r="D104" s="38"/>
      <c r="E104" s="25">
        <f>IF(F3="1",SUMIF(Data!A:A,'17'!$A$2,Data!Q:Q),0)</f>
        <v>241710</v>
      </c>
      <c r="F104" s="26">
        <f t="shared" si="6"/>
        <v>0.41261381832086608</v>
      </c>
    </row>
    <row r="105" spans="2:6" x14ac:dyDescent="0.2">
      <c r="B105" s="31" t="s">
        <v>35</v>
      </c>
      <c r="C105" s="31"/>
      <c r="D105" s="35">
        <f>D95</f>
        <v>585802</v>
      </c>
      <c r="E105" s="32">
        <f>SUM(E98:E104)</f>
        <v>2295875</v>
      </c>
      <c r="F105" s="33">
        <f t="shared" si="6"/>
        <v>3.9191996613190123</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2408908</v>
      </c>
      <c r="D109" s="192">
        <f>IF(F3="1",SUMIF(Data!$A:$A,$A$2,Data!HJ:HJ),0)</f>
        <v>397977</v>
      </c>
      <c r="E109" s="192">
        <f>IF(F3="1",SUMIF(Data!$A:$A,$A$2,Data!IN:IN),0)</f>
        <v>857569</v>
      </c>
      <c r="F109" s="48">
        <f>SUM(C109:E109)</f>
        <v>3664454</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0</v>
      </c>
      <c r="D111" s="52"/>
      <c r="E111" s="193">
        <f>IF(F3="1",SUMIF(Data!A:A,$A$2,Data!AX:AX)-SUMIF(Data!A:A,$A$2,Data!AW:AW),0)</f>
        <v>0</v>
      </c>
      <c r="F111" s="49">
        <f t="shared" si="7"/>
        <v>0</v>
      </c>
    </row>
    <row r="112" spans="2:6" x14ac:dyDescent="0.2">
      <c r="B112" s="43" t="s">
        <v>32</v>
      </c>
      <c r="C112" s="193">
        <f>IF(F3="1",SUMIF(Data!A:A,$A$2,Data!V:V),0)</f>
        <v>47520</v>
      </c>
      <c r="D112" s="52"/>
      <c r="E112" s="193">
        <f>IF(F3="1",SUMIF(Data!A:A,$A$2,Data!AC:AC),0)</f>
        <v>84175</v>
      </c>
      <c r="F112" s="49">
        <f t="shared" si="7"/>
        <v>131695</v>
      </c>
    </row>
    <row r="113" spans="1:6" x14ac:dyDescent="0.2">
      <c r="B113" s="43" t="s">
        <v>31</v>
      </c>
      <c r="C113" s="193">
        <f>IF(F3="1",SUMIF(Data!A:A,$A$2,Data!U:U),0)</f>
        <v>276047</v>
      </c>
      <c r="D113" s="52"/>
      <c r="E113" s="193">
        <f>IF(F3="1",SUMIF(Data!A:A,$A$2,Data!AB:AB),0)</f>
        <v>14460</v>
      </c>
      <c r="F113" s="49">
        <f t="shared" si="7"/>
        <v>290507</v>
      </c>
    </row>
    <row r="114" spans="1:6" x14ac:dyDescent="0.2">
      <c r="B114" s="43" t="s">
        <v>1002</v>
      </c>
      <c r="C114" s="193">
        <f>IF(F3="1",SUMIF(Data!A:A,$A$2,Data!T:T),0)</f>
        <v>658093</v>
      </c>
      <c r="D114" s="52"/>
      <c r="E114" s="193">
        <f>IF(F3="1",SUMIF(Data!A:A,$A$2,Data!AA:AA),0)</f>
        <v>632525</v>
      </c>
      <c r="F114" s="49">
        <f t="shared" si="7"/>
        <v>1290618</v>
      </c>
    </row>
    <row r="115" spans="1:6" x14ac:dyDescent="0.2">
      <c r="B115" s="43" t="s">
        <v>916</v>
      </c>
      <c r="C115" s="193">
        <f>IF(F3="1",SUMIF(Data!A:A,$A$2,Data!BI:BI),0)</f>
        <v>294211</v>
      </c>
      <c r="D115" s="193">
        <f>IF(F3="1",SUMIF(Data!A:A,$A$2,Data!BL:BL),0)</f>
        <v>49670</v>
      </c>
      <c r="E115" s="193">
        <f>IF(F3="1",SUMIF(Data!A:A,$A$2,Data!BU:BU)-SUMIF(Data!A:A,$A$2,Data!BT:BT),0)</f>
        <v>351199</v>
      </c>
      <c r="F115" s="49">
        <f t="shared" si="7"/>
        <v>695080</v>
      </c>
    </row>
    <row r="116" spans="1:6" x14ac:dyDescent="0.2">
      <c r="B116" s="43" t="s">
        <v>33</v>
      </c>
      <c r="C116" s="193">
        <f>IF(F3="1",SUMIF(Data!A:A,$A$2,Data!X:X),0)</f>
        <v>0</v>
      </c>
      <c r="D116" s="51"/>
      <c r="E116" s="193">
        <f>E102-C116</f>
        <v>124205</v>
      </c>
      <c r="F116" s="49">
        <f t="shared" si="7"/>
        <v>124205</v>
      </c>
    </row>
    <row r="117" spans="1:6" ht="15" thickBot="1" x14ac:dyDescent="0.25">
      <c r="B117" s="44" t="s">
        <v>920</v>
      </c>
      <c r="C117" s="53"/>
      <c r="D117" s="53">
        <f>IF(F3="1",SUMIF(Data!A:A,$A$2,Data!Q:Q),0)</f>
        <v>241710</v>
      </c>
      <c r="E117" s="53"/>
      <c r="F117" s="50">
        <f>SUM(C117:E117)</f>
        <v>241710</v>
      </c>
    </row>
    <row r="118" spans="1:6" x14ac:dyDescent="0.2">
      <c r="B118" s="14" t="s">
        <v>35</v>
      </c>
      <c r="C118" s="178">
        <f>SUM(C109:C117)</f>
        <v>3684779</v>
      </c>
      <c r="D118" s="194">
        <f>SUM(D109:D117)</f>
        <v>689357</v>
      </c>
      <c r="E118" s="178">
        <f>SUM(E109:E117)</f>
        <v>2064133</v>
      </c>
      <c r="F118" s="178">
        <f>SUM(F109:F117)</f>
        <v>6438269</v>
      </c>
    </row>
    <row r="119" spans="1:6" x14ac:dyDescent="0.2">
      <c r="C119" s="177"/>
      <c r="D119" s="177"/>
      <c r="E119" s="177"/>
    </row>
    <row r="120" spans="1:6" ht="15" thickBot="1" x14ac:dyDescent="0.25">
      <c r="B120" s="188" t="s">
        <v>921</v>
      </c>
      <c r="C120" s="53"/>
      <c r="D120" s="53"/>
      <c r="E120" s="195">
        <f>IF(F3="1",SUMIF(Data!A:A,$A$2,Data!AF:AF)+SUMIF(Data!A:A,$A$2,Data!AW:AW)+SUMIF(Data!A:A,$A$2,Data!BT:BT),0)</f>
        <v>217140</v>
      </c>
      <c r="F120" s="181">
        <f>SUM(C120:E120)</f>
        <v>217140</v>
      </c>
    </row>
    <row r="121" spans="1:6" s="177" customFormat="1" x14ac:dyDescent="0.2">
      <c r="B121" s="14" t="s">
        <v>35</v>
      </c>
      <c r="C121" s="178">
        <f>SUM(C120:C120)</f>
        <v>0</v>
      </c>
      <c r="D121" s="178">
        <f>SUM(D120:D120)</f>
        <v>0</v>
      </c>
      <c r="E121" s="178">
        <f>SUM(E120:E120)</f>
        <v>217140</v>
      </c>
      <c r="F121" s="178">
        <f>SUM(F120:F120)</f>
        <v>217140</v>
      </c>
    </row>
    <row r="122" spans="1:6" s="177" customFormat="1" ht="15" thickBot="1" x14ac:dyDescent="0.25">
      <c r="B122" s="14" t="s">
        <v>1396</v>
      </c>
      <c r="C122" s="178"/>
      <c r="D122" s="178"/>
      <c r="E122" s="178"/>
      <c r="F122" s="190">
        <f>F118+F121</f>
        <v>6655409</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415</v>
      </c>
      <c r="B2" s="59" t="str">
        <f>VLOOKUP(A2,Data!A:G,7,0)</f>
        <v>Galveston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26208</v>
      </c>
      <c r="E5" s="16">
        <f>E36+E67+IFERROR($E$105/$D$105*D5,0)</f>
        <v>279062.75792047475</v>
      </c>
      <c r="F5" s="21">
        <f>IFERROR(E5/D5,"")</f>
        <v>10.64799900490212</v>
      </c>
    </row>
    <row r="6" spans="1:6" x14ac:dyDescent="0.2">
      <c r="A6" s="20">
        <v>2</v>
      </c>
      <c r="B6" s="202" t="s">
        <v>1</v>
      </c>
      <c r="C6" s="203"/>
      <c r="D6" s="15">
        <f t="shared" ref="D6:D32" si="0">D37</f>
        <v>36480</v>
      </c>
      <c r="E6" s="18">
        <f t="shared" ref="E6:E32" si="1">E37+E68+IFERROR($E$105/$D$105*D6,0)</f>
        <v>407013.71065853623</v>
      </c>
      <c r="F6" s="22">
        <f t="shared" ref="F6:F33" si="2">IFERROR(E6/D6,"")</f>
        <v>11.157174086034436</v>
      </c>
    </row>
    <row r="7" spans="1:6" ht="14.25" customHeight="1" x14ac:dyDescent="0.2">
      <c r="A7" s="20">
        <v>3</v>
      </c>
      <c r="B7" s="202" t="s">
        <v>2</v>
      </c>
      <c r="C7" s="203"/>
      <c r="D7" s="15">
        <f t="shared" si="0"/>
        <v>133392</v>
      </c>
      <c r="E7" s="18">
        <f t="shared" si="1"/>
        <v>1371259.6012106212</v>
      </c>
      <c r="F7" s="22">
        <f t="shared" si="2"/>
        <v>10.27992384258892</v>
      </c>
    </row>
    <row r="8" spans="1:6" ht="14.25" customHeight="1" x14ac:dyDescent="0.2">
      <c r="A8" s="20">
        <v>4</v>
      </c>
      <c r="B8" s="202" t="s">
        <v>3</v>
      </c>
      <c r="C8" s="203"/>
      <c r="D8" s="15">
        <f t="shared" si="0"/>
        <v>32922</v>
      </c>
      <c r="E8" s="18">
        <f t="shared" si="1"/>
        <v>332507.57983279414</v>
      </c>
      <c r="F8" s="22">
        <f t="shared" si="2"/>
        <v>10.099859663228058</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0</v>
      </c>
      <c r="E10" s="18">
        <f t="shared" si="1"/>
        <v>0</v>
      </c>
      <c r="F10" s="22" t="str">
        <f t="shared" si="2"/>
        <v/>
      </c>
    </row>
    <row r="11" spans="1:6" x14ac:dyDescent="0.2">
      <c r="A11" s="20">
        <v>7</v>
      </c>
      <c r="B11" s="202" t="s">
        <v>6</v>
      </c>
      <c r="C11" s="203"/>
      <c r="D11" s="15">
        <f t="shared" si="0"/>
        <v>14256</v>
      </c>
      <c r="E11" s="18">
        <f t="shared" si="1"/>
        <v>181948.65403366482</v>
      </c>
      <c r="F11" s="22">
        <f t="shared" si="2"/>
        <v>12.762952724022504</v>
      </c>
    </row>
    <row r="12" spans="1:6" x14ac:dyDescent="0.2">
      <c r="A12" s="20">
        <v>8</v>
      </c>
      <c r="B12" s="202" t="s">
        <v>7</v>
      </c>
      <c r="C12" s="203"/>
      <c r="D12" s="15">
        <f t="shared" si="0"/>
        <v>0</v>
      </c>
      <c r="E12" s="18">
        <f t="shared" si="1"/>
        <v>0</v>
      </c>
      <c r="F12" s="22" t="str">
        <f t="shared" si="2"/>
        <v/>
      </c>
    </row>
    <row r="13" spans="1:6" x14ac:dyDescent="0.2">
      <c r="A13" s="20">
        <v>9</v>
      </c>
      <c r="B13" s="202" t="s">
        <v>8</v>
      </c>
      <c r="C13" s="203"/>
      <c r="D13" s="15">
        <f t="shared" si="0"/>
        <v>21968</v>
      </c>
      <c r="E13" s="18">
        <f t="shared" si="1"/>
        <v>243240.9954974431</v>
      </c>
      <c r="F13" s="22">
        <f t="shared" si="2"/>
        <v>11.072514361682588</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24808</v>
      </c>
      <c r="E15" s="18">
        <f t="shared" si="1"/>
        <v>329590.79862985108</v>
      </c>
      <c r="F15" s="22">
        <f t="shared" si="2"/>
        <v>13.285665858991095</v>
      </c>
    </row>
    <row r="16" spans="1:6" ht="14.25" customHeight="1" x14ac:dyDescent="0.2">
      <c r="A16" s="20">
        <v>12</v>
      </c>
      <c r="B16" s="202" t="s">
        <v>11</v>
      </c>
      <c r="C16" s="203"/>
      <c r="D16" s="15">
        <f t="shared" si="0"/>
        <v>108648</v>
      </c>
      <c r="E16" s="18">
        <f t="shared" si="1"/>
        <v>1068854.8178626273</v>
      </c>
      <c r="F16" s="22">
        <f t="shared" si="2"/>
        <v>9.8377772058632225</v>
      </c>
    </row>
    <row r="17" spans="1:6" x14ac:dyDescent="0.2">
      <c r="A17" s="20">
        <v>13</v>
      </c>
      <c r="B17" s="202" t="s">
        <v>12</v>
      </c>
      <c r="C17" s="203"/>
      <c r="D17" s="15">
        <f t="shared" si="0"/>
        <v>6304</v>
      </c>
      <c r="E17" s="18">
        <f t="shared" si="1"/>
        <v>46188.005262922488</v>
      </c>
      <c r="F17" s="22">
        <f t="shared" si="2"/>
        <v>7.3267774846006484</v>
      </c>
    </row>
    <row r="18" spans="1:6" ht="14.25" customHeight="1" x14ac:dyDescent="0.2">
      <c r="A18" s="20">
        <v>14</v>
      </c>
      <c r="B18" s="202" t="s">
        <v>449</v>
      </c>
      <c r="C18" s="203"/>
      <c r="D18" s="15">
        <f t="shared" si="0"/>
        <v>80544</v>
      </c>
      <c r="E18" s="18">
        <f t="shared" si="1"/>
        <v>1542945.7322171365</v>
      </c>
      <c r="F18" s="22">
        <f t="shared" si="2"/>
        <v>19.15655706467442</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147506</v>
      </c>
      <c r="E20" s="18">
        <f t="shared" si="1"/>
        <v>1718208.0650876658</v>
      </c>
      <c r="F20" s="22">
        <f t="shared" si="2"/>
        <v>11.648394404889739</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31040</v>
      </c>
      <c r="E22" s="18">
        <f t="shared" si="1"/>
        <v>435408.41170068434</v>
      </c>
      <c r="F22" s="22">
        <f t="shared" si="2"/>
        <v>14.027332851181841</v>
      </c>
    </row>
    <row r="23" spans="1:6" x14ac:dyDescent="0.2">
      <c r="A23" s="20">
        <v>19</v>
      </c>
      <c r="B23" s="202" t="s">
        <v>17</v>
      </c>
      <c r="C23" s="203"/>
      <c r="D23" s="15">
        <f t="shared" si="0"/>
        <v>49784</v>
      </c>
      <c r="E23" s="18">
        <f t="shared" si="1"/>
        <v>544234.51237457688</v>
      </c>
      <c r="F23" s="22">
        <f t="shared" si="2"/>
        <v>10.931916125152195</v>
      </c>
    </row>
    <row r="24" spans="1:6" x14ac:dyDescent="0.2">
      <c r="A24" s="20">
        <v>20</v>
      </c>
      <c r="B24" s="202" t="s">
        <v>18</v>
      </c>
      <c r="C24" s="203"/>
      <c r="D24" s="15">
        <f t="shared" si="0"/>
        <v>40</v>
      </c>
      <c r="E24" s="18">
        <f t="shared" si="1"/>
        <v>660.88455116067576</v>
      </c>
      <c r="F24" s="22">
        <f t="shared" si="2"/>
        <v>16.522113779016895</v>
      </c>
    </row>
    <row r="25" spans="1:6" ht="14.25" customHeight="1" x14ac:dyDescent="0.2">
      <c r="A25" s="20">
        <v>21</v>
      </c>
      <c r="B25" s="202" t="s">
        <v>446</v>
      </c>
      <c r="C25" s="203"/>
      <c r="D25" s="15">
        <f t="shared" si="0"/>
        <v>500</v>
      </c>
      <c r="E25" s="18">
        <f t="shared" si="1"/>
        <v>6590.5568895084461</v>
      </c>
      <c r="F25" s="22">
        <f t="shared" si="2"/>
        <v>13.181113779016892</v>
      </c>
    </row>
    <row r="26" spans="1:6" x14ac:dyDescent="0.2">
      <c r="A26" s="20">
        <v>22</v>
      </c>
      <c r="B26" s="202" t="s">
        <v>19</v>
      </c>
      <c r="C26" s="203"/>
      <c r="D26" s="15">
        <f t="shared" si="0"/>
        <v>0</v>
      </c>
      <c r="E26" s="18">
        <f t="shared" si="1"/>
        <v>0</v>
      </c>
      <c r="F26" s="22" t="str">
        <f t="shared" si="2"/>
        <v/>
      </c>
    </row>
    <row r="27" spans="1:6" x14ac:dyDescent="0.2">
      <c r="A27" s="20">
        <v>23</v>
      </c>
      <c r="B27" s="202" t="s">
        <v>20</v>
      </c>
      <c r="C27" s="203"/>
      <c r="D27" s="15">
        <f t="shared" si="0"/>
        <v>26688</v>
      </c>
      <c r="E27" s="18">
        <f t="shared" si="1"/>
        <v>392314.37253440282</v>
      </c>
      <c r="F27" s="22">
        <f t="shared" si="2"/>
        <v>14.7000289468826</v>
      </c>
    </row>
    <row r="28" spans="1:6" x14ac:dyDescent="0.2">
      <c r="A28" s="20">
        <v>24</v>
      </c>
      <c r="B28" s="202" t="s">
        <v>21</v>
      </c>
      <c r="C28" s="203"/>
      <c r="D28" s="15">
        <f t="shared" si="0"/>
        <v>21840</v>
      </c>
      <c r="E28" s="18">
        <f t="shared" si="1"/>
        <v>254172.96493372892</v>
      </c>
      <c r="F28" s="22">
        <f t="shared" si="2"/>
        <v>11.637956269859382</v>
      </c>
    </row>
    <row r="29" spans="1:6" x14ac:dyDescent="0.2">
      <c r="A29" s="20">
        <v>25</v>
      </c>
      <c r="B29" s="202" t="s">
        <v>22</v>
      </c>
      <c r="C29" s="203"/>
      <c r="D29" s="15">
        <f t="shared" si="0"/>
        <v>143232</v>
      </c>
      <c r="E29" s="18">
        <f t="shared" si="1"/>
        <v>1342572.2007961473</v>
      </c>
      <c r="F29" s="22">
        <f t="shared" si="2"/>
        <v>9.3734095788381602</v>
      </c>
    </row>
    <row r="30" spans="1:6" x14ac:dyDescent="0.2">
      <c r="A30" s="20">
        <v>26</v>
      </c>
      <c r="B30" s="202" t="s">
        <v>23</v>
      </c>
      <c r="C30" s="203"/>
      <c r="D30" s="15">
        <f t="shared" si="0"/>
        <v>44800</v>
      </c>
      <c r="E30" s="18">
        <f t="shared" si="1"/>
        <v>521585.69729995675</v>
      </c>
      <c r="F30" s="22">
        <f t="shared" si="2"/>
        <v>11.642537886159749</v>
      </c>
    </row>
    <row r="31" spans="1:6" x14ac:dyDescent="0.2">
      <c r="A31" s="20">
        <v>28</v>
      </c>
      <c r="B31" s="202" t="s">
        <v>24</v>
      </c>
      <c r="C31" s="203"/>
      <c r="D31" s="15">
        <f t="shared" si="0"/>
        <v>82016</v>
      </c>
      <c r="E31" s="18">
        <f t="shared" si="1"/>
        <v>724346.08369984943</v>
      </c>
      <c r="F31" s="22">
        <f t="shared" si="2"/>
        <v>8.8317655542802562</v>
      </c>
    </row>
    <row r="32" spans="1:6" ht="15.75" customHeight="1" thickBot="1" x14ac:dyDescent="0.25">
      <c r="A32" s="23">
        <v>29</v>
      </c>
      <c r="B32" s="206" t="s">
        <v>25</v>
      </c>
      <c r="C32" s="207"/>
      <c r="D32" s="24">
        <f t="shared" si="0"/>
        <v>40192</v>
      </c>
      <c r="E32" s="25">
        <f t="shared" si="1"/>
        <v>480560.59700624691</v>
      </c>
      <c r="F32" s="26">
        <f t="shared" si="2"/>
        <v>11.956623134112434</v>
      </c>
    </row>
    <row r="33" spans="1:6" x14ac:dyDescent="0.2">
      <c r="B33" s="31" t="s">
        <v>35</v>
      </c>
      <c r="C33" s="31"/>
      <c r="D33" s="60">
        <f>SUM(D5:D32)</f>
        <v>1073168</v>
      </c>
      <c r="E33" s="32">
        <f>SUM(E5:E32)</f>
        <v>12223267</v>
      </c>
      <c r="F33" s="33">
        <f t="shared" si="2"/>
        <v>11.389891424269081</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IF(F3="1",SUMIF(Data!A:A,'18'!$A$2,Data!CU:CU),0)</f>
        <v>26208</v>
      </c>
      <c r="E36" s="16">
        <f>IF(F3="1",SUMIF(Data!$A:$A,'18'!$A$2,Data!IO:IO),0)</f>
        <v>30594</v>
      </c>
      <c r="F36" s="21">
        <f t="shared" ref="F36:F64" si="3">IFERROR(E36/D36,"")</f>
        <v>1.1673534798534799</v>
      </c>
    </row>
    <row r="37" spans="1:6" x14ac:dyDescent="0.2">
      <c r="A37" s="20">
        <v>2</v>
      </c>
      <c r="B37" s="202" t="s">
        <v>1</v>
      </c>
      <c r="C37" s="203"/>
      <c r="D37" s="15">
        <f>IF(F3="1",SUMIF(Data!A:A,'18'!$A$2,Data!CV:CV),0)</f>
        <v>36480</v>
      </c>
      <c r="E37" s="18">
        <f>IF(F3="1",SUMIF(Data!$A:$A,'18'!$A$2,Data!IP:IP),0)</f>
        <v>76809</v>
      </c>
      <c r="F37" s="22">
        <f t="shared" si="3"/>
        <v>2.1055098684210525</v>
      </c>
    </row>
    <row r="38" spans="1:6" ht="14.25" customHeight="1" x14ac:dyDescent="0.2">
      <c r="A38" s="20">
        <v>3</v>
      </c>
      <c r="B38" s="202" t="s">
        <v>2</v>
      </c>
      <c r="C38" s="203"/>
      <c r="D38" s="15">
        <f>IF(F3="1",SUMIF(Data!A:A,'18'!$A$2,Data!CW:CW),0)</f>
        <v>133392</v>
      </c>
      <c r="E38" s="18">
        <f>IF(F3="1",SUMIF(Data!$A:$A,'18'!$A$2,Data!IQ:IQ),0)</f>
        <v>106613</v>
      </c>
      <c r="F38" s="22">
        <f t="shared" si="3"/>
        <v>0.799245831833993</v>
      </c>
    </row>
    <row r="39" spans="1:6" ht="14.25" customHeight="1" x14ac:dyDescent="0.2">
      <c r="A39" s="20">
        <v>4</v>
      </c>
      <c r="B39" s="202" t="s">
        <v>3</v>
      </c>
      <c r="C39" s="203"/>
      <c r="D39" s="15">
        <f>IF(F3="1",SUMIF(Data!A:A,'18'!$A$2,Data!CX:CX),0)</f>
        <v>32922</v>
      </c>
      <c r="E39" s="18">
        <f>IF(F3="1",SUMIF(Data!$A:$A,'18'!$A$2,Data!IR:IR),0)</f>
        <v>57356</v>
      </c>
      <c r="F39" s="22">
        <f t="shared" si="3"/>
        <v>1.7421784824737259</v>
      </c>
    </row>
    <row r="40" spans="1:6" x14ac:dyDescent="0.2">
      <c r="A40" s="20">
        <v>5</v>
      </c>
      <c r="B40" s="202" t="s">
        <v>4</v>
      </c>
      <c r="C40" s="203"/>
      <c r="D40" s="15">
        <f>IF(F3="1",SUMIF(Data!A:A,'18'!$A$2,Data!CY:CY),0)</f>
        <v>0</v>
      </c>
      <c r="E40" s="18">
        <f>IF(F3="1",SUMIF(Data!$A:$A,'18'!$A$2,Data!IS:IS),0)</f>
        <v>0</v>
      </c>
      <c r="F40" s="22" t="str">
        <f t="shared" si="3"/>
        <v/>
      </c>
    </row>
    <row r="41" spans="1:6" x14ac:dyDescent="0.2">
      <c r="A41" s="20">
        <v>6</v>
      </c>
      <c r="B41" s="202" t="s">
        <v>5</v>
      </c>
      <c r="C41" s="203"/>
      <c r="D41" s="15">
        <f>IF(F3="1",SUMIF(Data!A:A,'18'!$A$2,Data!CZ:CZ),0)</f>
        <v>0</v>
      </c>
      <c r="E41" s="18">
        <f>IF(F3="1",SUMIF(Data!$A:$A,'18'!$A$2,Data!IT:IT),0)</f>
        <v>0</v>
      </c>
      <c r="F41" s="22" t="str">
        <f t="shared" si="3"/>
        <v/>
      </c>
    </row>
    <row r="42" spans="1:6" x14ac:dyDescent="0.2">
      <c r="A42" s="20">
        <v>7</v>
      </c>
      <c r="B42" s="202" t="s">
        <v>6</v>
      </c>
      <c r="C42" s="203"/>
      <c r="D42" s="15">
        <f>IF(F3="1",SUMIF(Data!A:A,'18'!$A$2,Data!DA:DA),0)</f>
        <v>14256</v>
      </c>
      <c r="E42" s="18">
        <f>IF(F3="1",SUMIF(Data!$A:$A,'18'!$A$2,Data!IU:IU),0)</f>
        <v>17397</v>
      </c>
      <c r="F42" s="22">
        <f t="shared" si="3"/>
        <v>1.2203282828282829</v>
      </c>
    </row>
    <row r="43" spans="1:6" x14ac:dyDescent="0.2">
      <c r="A43" s="20">
        <v>8</v>
      </c>
      <c r="B43" s="202" t="s">
        <v>7</v>
      </c>
      <c r="C43" s="203"/>
      <c r="D43" s="15">
        <f>IF(F3="1",SUMIF(Data!A:A,'18'!$A$2,Data!DB:DB),0)</f>
        <v>0</v>
      </c>
      <c r="E43" s="18">
        <f>IF(F3="1",SUMIF(Data!$A:$A,'18'!$A$2,Data!IV:IV),0)</f>
        <v>0</v>
      </c>
      <c r="F43" s="22" t="str">
        <f t="shared" si="3"/>
        <v/>
      </c>
    </row>
    <row r="44" spans="1:6" x14ac:dyDescent="0.2">
      <c r="A44" s="20">
        <v>9</v>
      </c>
      <c r="B44" s="202" t="s">
        <v>8</v>
      </c>
      <c r="C44" s="203"/>
      <c r="D44" s="15">
        <f>IF(F3="1",SUMIF(Data!A:A,'18'!$A$2,Data!DC:DC),0)</f>
        <v>21968</v>
      </c>
      <c r="E44" s="18">
        <f>IF(F3="1",SUMIF(Data!$A:$A,'18'!$A$2,Data!IW:IW),0)</f>
        <v>41045</v>
      </c>
      <c r="F44" s="22">
        <f t="shared" si="3"/>
        <v>1.8683994901675165</v>
      </c>
    </row>
    <row r="45" spans="1:6" x14ac:dyDescent="0.2">
      <c r="A45" s="20">
        <v>10</v>
      </c>
      <c r="B45" s="202" t="s">
        <v>9</v>
      </c>
      <c r="C45" s="203"/>
      <c r="D45" s="15">
        <f>IF(F3="1",SUMIF(Data!A:A,'18'!$A$2,Data!DD:DD),0)</f>
        <v>0</v>
      </c>
      <c r="E45" s="18">
        <f>IF(F3="1",SUMIF(Data!$A:$A,'18'!$A$2,Data!IX:IX),0)</f>
        <v>0</v>
      </c>
      <c r="F45" s="22" t="str">
        <f t="shared" si="3"/>
        <v/>
      </c>
    </row>
    <row r="46" spans="1:6" x14ac:dyDescent="0.2">
      <c r="A46" s="20">
        <v>11</v>
      </c>
      <c r="B46" s="202" t="s">
        <v>10</v>
      </c>
      <c r="C46" s="203"/>
      <c r="D46" s="15">
        <f>IF(F3="1",SUMIF(Data!A:A,'18'!$A$2,Data!DE:DE),0)</f>
        <v>24808</v>
      </c>
      <c r="E46" s="18">
        <f>IF(F3="1",SUMIF(Data!$A:$A,'18'!$A$2,Data!IY:IY),0)</f>
        <v>76067</v>
      </c>
      <c r="F46" s="22">
        <f t="shared" si="3"/>
        <v>3.0662286359238955</v>
      </c>
    </row>
    <row r="47" spans="1:6" ht="14.25" customHeight="1" x14ac:dyDescent="0.2">
      <c r="A47" s="20">
        <v>12</v>
      </c>
      <c r="B47" s="202" t="s">
        <v>11</v>
      </c>
      <c r="C47" s="203"/>
      <c r="D47" s="15">
        <f>IF(F3="1",SUMIF(Data!A:A,'18'!$A$2,Data!DF:DF),0)</f>
        <v>108648</v>
      </c>
      <c r="E47" s="18">
        <f>IF(F3="1",SUMIF(Data!$A:$A,'18'!$A$2,Data!IZ:IZ),0)</f>
        <v>76820</v>
      </c>
      <c r="F47" s="22">
        <f t="shared" si="3"/>
        <v>0.70705397246152712</v>
      </c>
    </row>
    <row r="48" spans="1:6" x14ac:dyDescent="0.2">
      <c r="A48" s="20">
        <v>13</v>
      </c>
      <c r="B48" s="202" t="s">
        <v>12</v>
      </c>
      <c r="C48" s="203"/>
      <c r="D48" s="15">
        <f>IF(F3="1",SUMIF(Data!A:A,'18'!$A$2,Data!DG:DG),0)</f>
        <v>6304</v>
      </c>
      <c r="E48" s="18">
        <f>IF(F3="1",SUMIF(Data!$A:$A,'18'!$A$2,Data!JA:JA),0)</f>
        <v>1719</v>
      </c>
      <c r="F48" s="22">
        <f t="shared" si="3"/>
        <v>0.27268401015228427</v>
      </c>
    </row>
    <row r="49" spans="1:6" ht="14.25" customHeight="1" x14ac:dyDescent="0.2">
      <c r="A49" s="20">
        <v>14</v>
      </c>
      <c r="B49" s="202" t="s">
        <v>449</v>
      </c>
      <c r="C49" s="203"/>
      <c r="D49" s="15">
        <f>IF(F3="1",SUMIF(Data!A:A,'18'!$A$2,Data!DH:DH),0)</f>
        <v>80544</v>
      </c>
      <c r="E49" s="18">
        <f>IF(F3="1",SUMIF(Data!$A:$A,'18'!$A$2,Data!JB:JB),0)</f>
        <v>361299</v>
      </c>
      <c r="F49" s="22">
        <f t="shared" si="3"/>
        <v>4.4857345053635278</v>
      </c>
    </row>
    <row r="50" spans="1:6" x14ac:dyDescent="0.2">
      <c r="A50" s="20">
        <v>15</v>
      </c>
      <c r="B50" s="202" t="s">
        <v>13</v>
      </c>
      <c r="C50" s="203"/>
      <c r="D50" s="15">
        <f>IF(F3="1",SUMIF(Data!A:A,'18'!$A$2,Data!DI:DI),0)</f>
        <v>0</v>
      </c>
      <c r="E50" s="18">
        <f>IF(F3="1",SUMIF(Data!$A:$A,'18'!$A$2,Data!JC:JC),0)</f>
        <v>0</v>
      </c>
      <c r="F50" s="22" t="str">
        <f t="shared" si="3"/>
        <v/>
      </c>
    </row>
    <row r="51" spans="1:6" x14ac:dyDescent="0.2">
      <c r="A51" s="20">
        <v>16</v>
      </c>
      <c r="B51" s="202" t="s">
        <v>14</v>
      </c>
      <c r="C51" s="203"/>
      <c r="D51" s="15">
        <f>IF(F3="1",SUMIF(Data!A:A,'18'!$A$2,Data!DJ:DJ),0)</f>
        <v>147506</v>
      </c>
      <c r="E51" s="18">
        <f>IF(F3="1",SUMIF(Data!$A:$A,'18'!$A$2,Data!JD:JD),0)</f>
        <v>213279</v>
      </c>
      <c r="F51" s="22">
        <f t="shared" si="3"/>
        <v>1.4459005057421392</v>
      </c>
    </row>
    <row r="52" spans="1:6" x14ac:dyDescent="0.2">
      <c r="A52" s="20">
        <v>17</v>
      </c>
      <c r="B52" s="202" t="s">
        <v>15</v>
      </c>
      <c r="C52" s="203"/>
      <c r="D52" s="15">
        <f>IF(F3="1",SUMIF(Data!A:A,'18'!$A$2,Data!DK:DK),0)</f>
        <v>0</v>
      </c>
      <c r="E52" s="18">
        <f>IF(F3="1",SUMIF(Data!$A:$A,'18'!$A$2,Data!JE:JE),0)</f>
        <v>0</v>
      </c>
      <c r="F52" s="22" t="str">
        <f t="shared" si="3"/>
        <v/>
      </c>
    </row>
    <row r="53" spans="1:6" x14ac:dyDescent="0.2">
      <c r="A53" s="20">
        <v>18</v>
      </c>
      <c r="B53" s="202" t="s">
        <v>16</v>
      </c>
      <c r="C53" s="203"/>
      <c r="D53" s="15">
        <f>IF(F3="1",SUMIF(Data!A:A,'18'!$A$2,Data!DL:DL),0)</f>
        <v>31040</v>
      </c>
      <c r="E53" s="18">
        <f>IF(F3="1",SUMIF(Data!$A:$A,'18'!$A$2,Data!JF:JF),0)</f>
        <v>67854</v>
      </c>
      <c r="F53" s="22">
        <f t="shared" si="3"/>
        <v>2.1860180412371135</v>
      </c>
    </row>
    <row r="54" spans="1:6" x14ac:dyDescent="0.2">
      <c r="A54" s="20">
        <v>19</v>
      </c>
      <c r="B54" s="202" t="s">
        <v>17</v>
      </c>
      <c r="C54" s="203"/>
      <c r="D54" s="15">
        <f>IF(F3="1",SUMIF(Data!A:A,'18'!$A$2,Data!DM:DM),0)</f>
        <v>49784</v>
      </c>
      <c r="E54" s="18">
        <f>IF(F3="1",SUMIF(Data!$A:$A,'18'!$A$2,Data!JG:JG),0)</f>
        <v>64358</v>
      </c>
      <c r="F54" s="22">
        <f t="shared" si="3"/>
        <v>1.2927446569178853</v>
      </c>
    </row>
    <row r="55" spans="1:6" x14ac:dyDescent="0.2">
      <c r="A55" s="20">
        <v>20</v>
      </c>
      <c r="B55" s="202" t="s">
        <v>18</v>
      </c>
      <c r="C55" s="203"/>
      <c r="D55" s="15">
        <f>IF(F3="1",SUMIF(Data!A:A,'18'!$A$2,Data!DN:DN),0)</f>
        <v>40</v>
      </c>
      <c r="E55" s="18">
        <f>IF(F3="1",SUMIF(Data!$A:$A,'18'!$A$2,Data!JH:JH),0)</f>
        <v>285</v>
      </c>
      <c r="F55" s="22">
        <f t="shared" si="3"/>
        <v>7.125</v>
      </c>
    </row>
    <row r="56" spans="1:6" ht="14.25" customHeight="1" x14ac:dyDescent="0.2">
      <c r="A56" s="20">
        <v>21</v>
      </c>
      <c r="B56" s="202" t="s">
        <v>446</v>
      </c>
      <c r="C56" s="203"/>
      <c r="D56" s="15">
        <f>IF(F3="1",SUMIF(Data!A:A,'18'!$A$2,Data!DO:DO),0)</f>
        <v>500</v>
      </c>
      <c r="E56" s="18">
        <f>IF(F3="1",SUMIF(Data!$A:$A,'18'!$A$2,Data!JI:JI),0)</f>
        <v>1012</v>
      </c>
      <c r="F56" s="22">
        <f t="shared" si="3"/>
        <v>2.024</v>
      </c>
    </row>
    <row r="57" spans="1:6" x14ac:dyDescent="0.2">
      <c r="A57" s="20">
        <v>22</v>
      </c>
      <c r="B57" s="202" t="s">
        <v>19</v>
      </c>
      <c r="C57" s="203"/>
      <c r="D57" s="15">
        <f>IF(F3="1",SUMIF(Data!A:A,'18'!$A$2,Data!DP:DP),0)</f>
        <v>0</v>
      </c>
      <c r="E57" s="18">
        <f>IF(F3="1",SUMIF(Data!$A:$A,'18'!$A$2,Data!JJ:JJ),0)</f>
        <v>0</v>
      </c>
      <c r="F57" s="22" t="str">
        <f t="shared" si="3"/>
        <v/>
      </c>
    </row>
    <row r="58" spans="1:6" x14ac:dyDescent="0.2">
      <c r="A58" s="20">
        <v>23</v>
      </c>
      <c r="B58" s="202" t="s">
        <v>20</v>
      </c>
      <c r="C58" s="203"/>
      <c r="D58" s="15">
        <f>IF(F3="1",SUMIF(Data!A:A,'18'!$A$2,Data!DQ:DQ),0)</f>
        <v>26688</v>
      </c>
      <c r="E58" s="18">
        <f>IF(F3="1",SUMIF(Data!$A:$A,'18'!$A$2,Data!JK:JK),0)</f>
        <v>144007</v>
      </c>
      <c r="F58" s="22">
        <f t="shared" si="3"/>
        <v>5.3959457434052762</v>
      </c>
    </row>
    <row r="59" spans="1:6" x14ac:dyDescent="0.2">
      <c r="A59" s="20">
        <v>24</v>
      </c>
      <c r="B59" s="202" t="s">
        <v>21</v>
      </c>
      <c r="C59" s="203"/>
      <c r="D59" s="15">
        <f>IF(F3="1",SUMIF(Data!A:A,'18'!$A$2,Data!DR:DR),0)</f>
        <v>21840</v>
      </c>
      <c r="E59" s="18">
        <f>IF(F3="1",SUMIF(Data!$A:$A,'18'!$A$2,Data!JL:JL),0)</f>
        <v>52831</v>
      </c>
      <c r="F59" s="22">
        <f t="shared" si="3"/>
        <v>2.4190018315018316</v>
      </c>
    </row>
    <row r="60" spans="1:6" x14ac:dyDescent="0.2">
      <c r="A60" s="20">
        <v>25</v>
      </c>
      <c r="B60" s="202" t="s">
        <v>22</v>
      </c>
      <c r="C60" s="203"/>
      <c r="D60" s="15">
        <f>IF(F3="1",SUMIF(Data!A:A,'18'!$A$2,Data!DS:DS),0)</f>
        <v>143232</v>
      </c>
      <c r="E60" s="18">
        <f>IF(F3="1",SUMIF(Data!$A:$A,'18'!$A$2,Data!JM:JM),0)</f>
        <v>88038</v>
      </c>
      <c r="F60" s="22">
        <f t="shared" si="3"/>
        <v>0.61465315013404831</v>
      </c>
    </row>
    <row r="61" spans="1:6" x14ac:dyDescent="0.2">
      <c r="A61" s="20">
        <v>26</v>
      </c>
      <c r="B61" s="202" t="s">
        <v>23</v>
      </c>
      <c r="C61" s="203"/>
      <c r="D61" s="15">
        <f>IF(F3="1",SUMIF(Data!A:A,'18'!$A$2,Data!DT:DT),0)</f>
        <v>44800</v>
      </c>
      <c r="E61" s="18">
        <f>IF(F3="1",SUMIF(Data!$A:$A,'18'!$A$2,Data!JN:JN),0)</f>
        <v>50612</v>
      </c>
      <c r="F61" s="22">
        <f t="shared" si="3"/>
        <v>1.129732142857143</v>
      </c>
    </row>
    <row r="62" spans="1:6" x14ac:dyDescent="0.2">
      <c r="A62" s="20">
        <v>28</v>
      </c>
      <c r="B62" s="202" t="s">
        <v>24</v>
      </c>
      <c r="C62" s="203"/>
      <c r="D62" s="15">
        <f>IF(F3="1",SUMIF(Data!A:A,'18'!$A$2,Data!DV:DV),0)</f>
        <v>82016</v>
      </c>
      <c r="E62" s="18">
        <f>IF(F3="1",SUMIF(Data!$A:$A,'18'!$A$2,Data!JP:JP),0)</f>
        <v>39110</v>
      </c>
      <c r="F62" s="22">
        <f t="shared" si="3"/>
        <v>0.47685817401482639</v>
      </c>
    </row>
    <row r="63" spans="1:6" ht="15.75" customHeight="1" thickBot="1" x14ac:dyDescent="0.25">
      <c r="A63" s="23">
        <v>29</v>
      </c>
      <c r="B63" s="206" t="s">
        <v>25</v>
      </c>
      <c r="C63" s="207"/>
      <c r="D63" s="24">
        <f>IF(F3="1",SUMIF(Data!A:A,'18'!$A$2,Data!DW:DW),0)</f>
        <v>40192</v>
      </c>
      <c r="E63" s="25">
        <f>IF(F3="1",SUMIF(Data!$A:$A,'18'!$A$2,Data!JQ:JQ),0)</f>
        <v>52159</v>
      </c>
      <c r="F63" s="26">
        <f t="shared" si="3"/>
        <v>1.2977458200636942</v>
      </c>
    </row>
    <row r="64" spans="1:6" x14ac:dyDescent="0.2">
      <c r="B64" s="31" t="s">
        <v>35</v>
      </c>
      <c r="C64" s="31"/>
      <c r="D64" s="60">
        <f>SUM(D36:D63)</f>
        <v>1073168</v>
      </c>
      <c r="E64" s="32">
        <f>SUM(E36:E63)</f>
        <v>1619264</v>
      </c>
      <c r="F64" s="33">
        <f t="shared" si="3"/>
        <v>1.5088634771070326</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26208</v>
      </c>
      <c r="E67" s="16">
        <f>IF(F3="1",SUMIF(Data!A:A,'18'!$A$2,Data!DY:DY),0)</f>
        <v>83434</v>
      </c>
      <c r="F67" s="21">
        <f>IFERROR(E67/D67,"")</f>
        <v>3.183531746031746</v>
      </c>
    </row>
    <row r="68" spans="1:6" x14ac:dyDescent="0.2">
      <c r="A68" s="20">
        <v>2</v>
      </c>
      <c r="B68" s="202" t="s">
        <v>1</v>
      </c>
      <c r="C68" s="203"/>
      <c r="D68" s="15">
        <f t="shared" ref="D68:D94" si="4">D37</f>
        <v>36480</v>
      </c>
      <c r="E68" s="18">
        <f>IF(F3="1",SUMIF(Data!A:A,'18'!$A$2,Data!DZ:DZ),0)</f>
        <v>100486</v>
      </c>
      <c r="F68" s="22">
        <f t="shared" ref="F68:F95" si="5">IFERROR(E68/D68,"")</f>
        <v>2.7545504385964912</v>
      </c>
    </row>
    <row r="69" spans="1:6" ht="14.25" customHeight="1" x14ac:dyDescent="0.2">
      <c r="A69" s="20">
        <v>3</v>
      </c>
      <c r="B69" s="202" t="s">
        <v>2</v>
      </c>
      <c r="C69" s="203"/>
      <c r="D69" s="15">
        <f t="shared" si="4"/>
        <v>133392</v>
      </c>
      <c r="E69" s="18">
        <f>IF(F3="1",SUMIF(Data!A:A,'18'!$A$2,Data!EA:EA),0)</f>
        <v>424662</v>
      </c>
      <c r="F69" s="22">
        <f t="shared" si="5"/>
        <v>3.183564231738035</v>
      </c>
    </row>
    <row r="70" spans="1:6" ht="14.25" customHeight="1" x14ac:dyDescent="0.2">
      <c r="A70" s="20">
        <v>4</v>
      </c>
      <c r="B70" s="202" t="s">
        <v>3</v>
      </c>
      <c r="C70" s="203"/>
      <c r="D70" s="15">
        <f t="shared" si="4"/>
        <v>32922</v>
      </c>
      <c r="E70" s="18">
        <f>IF(F3="1",SUMIF(Data!A:A,'18'!$A$2,Data!EB:EB),0)</f>
        <v>67838</v>
      </c>
      <c r="F70" s="22">
        <f t="shared" si="5"/>
        <v>2.06056740173744</v>
      </c>
    </row>
    <row r="71" spans="1:6" x14ac:dyDescent="0.2">
      <c r="A71" s="20">
        <v>5</v>
      </c>
      <c r="B71" s="202" t="s">
        <v>4</v>
      </c>
      <c r="C71" s="203"/>
      <c r="D71" s="15">
        <f t="shared" si="4"/>
        <v>0</v>
      </c>
      <c r="E71" s="18">
        <f>IF(F3="1",SUMIF(Data!A:A,'18'!$A$2,Data!EC:EC),0)</f>
        <v>0</v>
      </c>
      <c r="F71" s="22" t="str">
        <f t="shared" si="5"/>
        <v/>
      </c>
    </row>
    <row r="72" spans="1:6" x14ac:dyDescent="0.2">
      <c r="A72" s="20">
        <v>6</v>
      </c>
      <c r="B72" s="202" t="s">
        <v>5</v>
      </c>
      <c r="C72" s="203"/>
      <c r="D72" s="15">
        <f t="shared" si="4"/>
        <v>0</v>
      </c>
      <c r="E72" s="18">
        <f>IF(F3="1",SUMIF(Data!A:A,'18'!$A$2,Data!ED:ED),0)</f>
        <v>0</v>
      </c>
      <c r="F72" s="22" t="str">
        <f t="shared" si="5"/>
        <v/>
      </c>
    </row>
    <row r="73" spans="1:6" x14ac:dyDescent="0.2">
      <c r="A73" s="20">
        <v>7</v>
      </c>
      <c r="B73" s="202" t="s">
        <v>6</v>
      </c>
      <c r="C73" s="203"/>
      <c r="D73" s="15">
        <f t="shared" si="4"/>
        <v>14256</v>
      </c>
      <c r="E73" s="18">
        <f>IF(F3="1",SUMIF(Data!A:A,'18'!$A$2,Data!EE:EE),0)</f>
        <v>74780</v>
      </c>
      <c r="F73" s="22">
        <f t="shared" si="5"/>
        <v>5.2455106621773284</v>
      </c>
    </row>
    <row r="74" spans="1:6" x14ac:dyDescent="0.2">
      <c r="A74" s="20">
        <v>8</v>
      </c>
      <c r="B74" s="202" t="s">
        <v>7</v>
      </c>
      <c r="C74" s="203"/>
      <c r="D74" s="15">
        <f t="shared" si="4"/>
        <v>0</v>
      </c>
      <c r="E74" s="18">
        <f>IF(F3="1",SUMIF(Data!A:A,'18'!$A$2,Data!EF:EF),0)</f>
        <v>0</v>
      </c>
      <c r="F74" s="22" t="str">
        <f t="shared" si="5"/>
        <v/>
      </c>
    </row>
    <row r="75" spans="1:6" x14ac:dyDescent="0.2">
      <c r="A75" s="20">
        <v>9</v>
      </c>
      <c r="B75" s="202" t="s">
        <v>8</v>
      </c>
      <c r="C75" s="203"/>
      <c r="D75" s="15">
        <f t="shared" si="4"/>
        <v>21968</v>
      </c>
      <c r="E75" s="18">
        <f>IF(F3="1",SUMIF(Data!A:A,'18'!$A$2,Data!EG:EG),0)</f>
        <v>63861</v>
      </c>
      <c r="F75" s="22">
        <f t="shared" si="5"/>
        <v>2.9070010924981791</v>
      </c>
    </row>
    <row r="76" spans="1:6" x14ac:dyDescent="0.2">
      <c r="A76" s="20">
        <v>10</v>
      </c>
      <c r="B76" s="202" t="s">
        <v>9</v>
      </c>
      <c r="C76" s="203"/>
      <c r="D76" s="15">
        <f t="shared" si="4"/>
        <v>0</v>
      </c>
      <c r="E76" s="18">
        <f>IF(F3="1",SUMIF(Data!A:A,'18'!$A$2,Data!EH:EH),0)</f>
        <v>0</v>
      </c>
      <c r="F76" s="22" t="str">
        <f t="shared" si="5"/>
        <v/>
      </c>
    </row>
    <row r="77" spans="1:6" x14ac:dyDescent="0.2">
      <c r="A77" s="20">
        <v>11</v>
      </c>
      <c r="B77" s="202" t="s">
        <v>10</v>
      </c>
      <c r="C77" s="203"/>
      <c r="D77" s="15">
        <f t="shared" si="4"/>
        <v>24808</v>
      </c>
      <c r="E77" s="18">
        <f>IF(F3="1",SUMIF(Data!A:A,'18'!$A$2,Data!EI:EI),0)</f>
        <v>97305</v>
      </c>
      <c r="F77" s="22">
        <f t="shared" si="5"/>
        <v>3.9223234440503063</v>
      </c>
    </row>
    <row r="78" spans="1:6" ht="14.25" customHeight="1" x14ac:dyDescent="0.2">
      <c r="A78" s="20">
        <v>12</v>
      </c>
      <c r="B78" s="202" t="s">
        <v>11</v>
      </c>
      <c r="C78" s="203"/>
      <c r="D78" s="15">
        <f t="shared" si="4"/>
        <v>108648</v>
      </c>
      <c r="E78" s="18">
        <f>IF(F3="1",SUMIF(Data!A:A,'18'!$A$2,Data!EJ:EJ),0)</f>
        <v>307866</v>
      </c>
      <c r="F78" s="22">
        <f t="shared" si="5"/>
        <v>2.8336094543848023</v>
      </c>
    </row>
    <row r="79" spans="1:6" x14ac:dyDescent="0.2">
      <c r="A79" s="20">
        <v>13</v>
      </c>
      <c r="B79" s="202" t="s">
        <v>12</v>
      </c>
      <c r="C79" s="203"/>
      <c r="D79" s="15">
        <f t="shared" si="4"/>
        <v>6304</v>
      </c>
      <c r="E79" s="18">
        <f>IF(F3="1",SUMIF(Data!A:A,'18'!$A$2,Data!EK:EK),0)</f>
        <v>4772</v>
      </c>
      <c r="F79" s="22">
        <f t="shared" si="5"/>
        <v>0.75697969543147203</v>
      </c>
    </row>
    <row r="80" spans="1:6" ht="14.25" customHeight="1" x14ac:dyDescent="0.2">
      <c r="A80" s="20">
        <v>14</v>
      </c>
      <c r="B80" s="202" t="s">
        <v>449</v>
      </c>
      <c r="C80" s="203"/>
      <c r="D80" s="15">
        <f t="shared" si="4"/>
        <v>80544</v>
      </c>
      <c r="E80" s="18">
        <f>IF(F3="1",SUMIF(Data!A:A,'18'!$A$2,Data!EL:EL),0)</f>
        <v>674452</v>
      </c>
      <c r="F80" s="22">
        <f t="shared" si="5"/>
        <v>8.3737087802940007</v>
      </c>
    </row>
    <row r="81" spans="1:6" x14ac:dyDescent="0.2">
      <c r="A81" s="20">
        <v>15</v>
      </c>
      <c r="B81" s="202" t="s">
        <v>13</v>
      </c>
      <c r="C81" s="203"/>
      <c r="D81" s="15">
        <f t="shared" si="4"/>
        <v>0</v>
      </c>
      <c r="E81" s="18">
        <f>IF(F3="1",SUMIF(Data!A:A,'18'!$A$2,Data!EM:EM),0)</f>
        <v>0</v>
      </c>
      <c r="F81" s="22" t="str">
        <f t="shared" si="5"/>
        <v/>
      </c>
    </row>
    <row r="82" spans="1:6" x14ac:dyDescent="0.2">
      <c r="A82" s="20">
        <v>16</v>
      </c>
      <c r="B82" s="202" t="s">
        <v>14</v>
      </c>
      <c r="C82" s="203"/>
      <c r="D82" s="15">
        <f t="shared" si="4"/>
        <v>147506</v>
      </c>
      <c r="E82" s="18">
        <f>IF(F3="1",SUMIF(Data!A:A,'18'!$A$2,Data!EN:EN),0)</f>
        <v>576067</v>
      </c>
      <c r="F82" s="22">
        <f t="shared" si="5"/>
        <v>3.9053801201307063</v>
      </c>
    </row>
    <row r="83" spans="1:6" x14ac:dyDescent="0.2">
      <c r="A83" s="20">
        <v>17</v>
      </c>
      <c r="B83" s="202" t="s">
        <v>15</v>
      </c>
      <c r="C83" s="203"/>
      <c r="D83" s="15">
        <f t="shared" si="4"/>
        <v>0</v>
      </c>
      <c r="E83" s="18">
        <f>IF(F3="1",SUMIF(Data!A:A,'18'!$A$2,Data!EO:EO),0)</f>
        <v>0</v>
      </c>
      <c r="F83" s="22" t="str">
        <f t="shared" si="5"/>
        <v/>
      </c>
    </row>
    <row r="84" spans="1:6" x14ac:dyDescent="0.2">
      <c r="A84" s="20">
        <v>18</v>
      </c>
      <c r="B84" s="202" t="s">
        <v>16</v>
      </c>
      <c r="C84" s="203"/>
      <c r="D84" s="15">
        <f t="shared" si="4"/>
        <v>31040</v>
      </c>
      <c r="E84" s="18">
        <f>IF(F3="1",SUMIF(Data!A:A,'18'!$A$2,Data!EP:EP),0)</f>
        <v>172092</v>
      </c>
      <c r="F84" s="22">
        <f t="shared" si="5"/>
        <v>5.5442010309278347</v>
      </c>
    </row>
    <row r="85" spans="1:6" x14ac:dyDescent="0.2">
      <c r="A85" s="20">
        <v>19</v>
      </c>
      <c r="B85" s="202" t="s">
        <v>17</v>
      </c>
      <c r="C85" s="203"/>
      <c r="D85" s="15">
        <f t="shared" si="4"/>
        <v>49784</v>
      </c>
      <c r="E85" s="18">
        <f>IF(F3="1",SUMIF(Data!A:A,'18'!$A$2,Data!EQ:EQ),0)</f>
        <v>166381</v>
      </c>
      <c r="F85" s="22">
        <f t="shared" si="5"/>
        <v>3.3420576892174192</v>
      </c>
    </row>
    <row r="86" spans="1:6" x14ac:dyDescent="0.2">
      <c r="A86" s="20">
        <v>20</v>
      </c>
      <c r="B86" s="202" t="s">
        <v>18</v>
      </c>
      <c r="C86" s="203"/>
      <c r="D86" s="15">
        <f t="shared" si="4"/>
        <v>40</v>
      </c>
      <c r="E86" s="18">
        <f>IF(F3="1",SUMIF(Data!A:A,'18'!$A$2,Data!ER:ER),0)</f>
        <v>124</v>
      </c>
      <c r="F86" s="22">
        <f t="shared" si="5"/>
        <v>3.1</v>
      </c>
    </row>
    <row r="87" spans="1:6" ht="14.25" customHeight="1" x14ac:dyDescent="0.2">
      <c r="A87" s="20">
        <v>21</v>
      </c>
      <c r="B87" s="202" t="s">
        <v>446</v>
      </c>
      <c r="C87" s="203"/>
      <c r="D87" s="15">
        <f t="shared" si="4"/>
        <v>500</v>
      </c>
      <c r="E87" s="18">
        <f>IF(F3="1",SUMIF(Data!A:A,'18'!$A$2,Data!ES:ES),0)</f>
        <v>2430</v>
      </c>
      <c r="F87" s="22">
        <f t="shared" si="5"/>
        <v>4.8600000000000003</v>
      </c>
    </row>
    <row r="88" spans="1:6" x14ac:dyDescent="0.2">
      <c r="A88" s="20">
        <v>22</v>
      </c>
      <c r="B88" s="202" t="s">
        <v>19</v>
      </c>
      <c r="C88" s="203"/>
      <c r="D88" s="15">
        <f t="shared" si="4"/>
        <v>0</v>
      </c>
      <c r="E88" s="18">
        <f>IF(F3="1",SUMIF(Data!A:A,'18'!$A$2,Data!ET:ET),0)</f>
        <v>0</v>
      </c>
      <c r="F88" s="22" t="str">
        <f t="shared" si="5"/>
        <v/>
      </c>
    </row>
    <row r="89" spans="1:6" x14ac:dyDescent="0.2">
      <c r="A89" s="20">
        <v>23</v>
      </c>
      <c r="B89" s="202" t="s">
        <v>20</v>
      </c>
      <c r="C89" s="203"/>
      <c r="D89" s="15">
        <f t="shared" si="4"/>
        <v>26688</v>
      </c>
      <c r="E89" s="18">
        <f>IF(F3="1",SUMIF(Data!A:A,'18'!$A$2,Data!EU:EU),0)</f>
        <v>80250</v>
      </c>
      <c r="F89" s="22">
        <f t="shared" si="5"/>
        <v>3.0069694244604315</v>
      </c>
    </row>
    <row r="90" spans="1:6" x14ac:dyDescent="0.2">
      <c r="A90" s="20">
        <v>24</v>
      </c>
      <c r="B90" s="202" t="s">
        <v>21</v>
      </c>
      <c r="C90" s="203"/>
      <c r="D90" s="15">
        <f t="shared" si="4"/>
        <v>21840</v>
      </c>
      <c r="E90" s="18">
        <f>IF(F3="1",SUMIF(Data!A:A,'18'!$A$2,Data!EV:EV),0)</f>
        <v>63813</v>
      </c>
      <c r="F90" s="22">
        <f t="shared" si="5"/>
        <v>2.9218406593406594</v>
      </c>
    </row>
    <row r="91" spans="1:6" x14ac:dyDescent="0.2">
      <c r="A91" s="20">
        <v>25</v>
      </c>
      <c r="B91" s="202" t="s">
        <v>22</v>
      </c>
      <c r="C91" s="203"/>
      <c r="D91" s="15">
        <f t="shared" si="4"/>
        <v>143232</v>
      </c>
      <c r="E91" s="18">
        <f>IF(F3="1",SUMIF(Data!A:A,'18'!$A$2,Data!EW:EW),0)</f>
        <v>352586</v>
      </c>
      <c r="F91" s="22">
        <f t="shared" si="5"/>
        <v>2.4616426496872208</v>
      </c>
    </row>
    <row r="92" spans="1:6" x14ac:dyDescent="0.2">
      <c r="A92" s="20">
        <v>26</v>
      </c>
      <c r="B92" s="202" t="s">
        <v>23</v>
      </c>
      <c r="C92" s="203"/>
      <c r="D92" s="15">
        <f t="shared" si="4"/>
        <v>44800</v>
      </c>
      <c r="E92" s="18">
        <f>IF(F3="1",SUMIF(Data!A:A,'18'!$A$2,Data!EX:EX),0)</f>
        <v>188863</v>
      </c>
      <c r="F92" s="22">
        <f t="shared" si="5"/>
        <v>4.215691964285714</v>
      </c>
    </row>
    <row r="93" spans="1:6" x14ac:dyDescent="0.2">
      <c r="A93" s="20">
        <v>28</v>
      </c>
      <c r="B93" s="202" t="s">
        <v>24</v>
      </c>
      <c r="C93" s="203"/>
      <c r="D93" s="15">
        <f t="shared" si="4"/>
        <v>82016</v>
      </c>
      <c r="E93" s="18">
        <f>IF(F3="1",SUMIF(Data!A:A,'18'!$A$2,Data!EZ:EZ),0)</f>
        <v>168772</v>
      </c>
      <c r="F93" s="22">
        <f t="shared" si="5"/>
        <v>2.0577936012485369</v>
      </c>
    </row>
    <row r="94" spans="1:6" ht="15.75" customHeight="1" thickBot="1" x14ac:dyDescent="0.25">
      <c r="A94" s="23">
        <v>29</v>
      </c>
      <c r="B94" s="206" t="s">
        <v>25</v>
      </c>
      <c r="C94" s="207"/>
      <c r="D94" s="24">
        <f t="shared" si="4"/>
        <v>40192</v>
      </c>
      <c r="E94" s="25">
        <f>IF(F3="1",SUMIF(Data!A:A,'18'!$A$2,Data!FA:FA),0)</f>
        <v>175308</v>
      </c>
      <c r="F94" s="26">
        <f t="shared" si="5"/>
        <v>4.3617635350318471</v>
      </c>
    </row>
    <row r="95" spans="1:6" x14ac:dyDescent="0.2">
      <c r="B95" s="31" t="s">
        <v>35</v>
      </c>
      <c r="C95" s="31"/>
      <c r="D95" s="60">
        <f>SUM(D67:D94)</f>
        <v>1073168</v>
      </c>
      <c r="E95" s="32">
        <f>SUM(E67:E94)</f>
        <v>3846142</v>
      </c>
      <c r="F95" s="33">
        <f t="shared" si="5"/>
        <v>3.5839141681451552</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IF(F3="1",SUMIF(Data!A:A,'18'!$A$2,Data!AH:AH),0)</f>
        <v>3018099</v>
      </c>
      <c r="F98" s="21">
        <f t="shared" ref="F98:F105" si="6">IFERROR(E98/$D$95,0)</f>
        <v>2.8123266813770069</v>
      </c>
    </row>
    <row r="99" spans="2:6" x14ac:dyDescent="0.2">
      <c r="B99" s="212" t="s">
        <v>31</v>
      </c>
      <c r="C99" s="213"/>
      <c r="D99" s="37"/>
      <c r="E99" s="18">
        <f>IF(F3="1",SUMIF(Data!A:A,'18'!$A$2,Data!AI:AI),0)</f>
        <v>1578547</v>
      </c>
      <c r="F99" s="22">
        <f t="shared" si="6"/>
        <v>1.4709225396210099</v>
      </c>
    </row>
    <row r="100" spans="2:6" x14ac:dyDescent="0.2">
      <c r="B100" s="212" t="s">
        <v>32</v>
      </c>
      <c r="C100" s="213"/>
      <c r="D100" s="37"/>
      <c r="E100" s="18">
        <f>IF(F3="1",SUMIF(Data!A:A,'18'!$A$2,Data!AJ:AJ),0)</f>
        <v>1011259</v>
      </c>
      <c r="F100" s="22">
        <f t="shared" si="6"/>
        <v>0.94231192133943609</v>
      </c>
    </row>
    <row r="101" spans="2:6" x14ac:dyDescent="0.2">
      <c r="B101" s="212" t="s">
        <v>28</v>
      </c>
      <c r="C101" s="213"/>
      <c r="D101" s="37"/>
      <c r="E101" s="18">
        <f>IF(F3="1",SUMIF(Data!A:A,'18'!$A$2,Data!AK:AK),0)</f>
        <v>0</v>
      </c>
      <c r="F101" s="22">
        <f t="shared" si="6"/>
        <v>0</v>
      </c>
    </row>
    <row r="102" spans="2:6" x14ac:dyDescent="0.2">
      <c r="B102" s="212" t="s">
        <v>33</v>
      </c>
      <c r="C102" s="213"/>
      <c r="D102" s="37"/>
      <c r="E102" s="18">
        <f>IF(F3="1",SUMIF(Data!A:A,'18'!$A$2,Data!AL:AL),0)</f>
        <v>0</v>
      </c>
      <c r="F102" s="22">
        <f t="shared" si="6"/>
        <v>0</v>
      </c>
    </row>
    <row r="103" spans="2:6" x14ac:dyDescent="0.2">
      <c r="B103" s="214" t="s">
        <v>34</v>
      </c>
      <c r="C103" s="215"/>
      <c r="D103" s="37"/>
      <c r="E103" s="18">
        <f>IF(F3="1",SUMIF(Data!A:A,'18'!$A$2,Data!AM:AM),0)</f>
        <v>365854</v>
      </c>
      <c r="F103" s="22">
        <f t="shared" si="6"/>
        <v>0.3409102768625229</v>
      </c>
    </row>
    <row r="104" spans="2:6" ht="15.75" customHeight="1" thickBot="1" x14ac:dyDescent="0.25">
      <c r="B104" s="208" t="s">
        <v>29</v>
      </c>
      <c r="C104" s="209"/>
      <c r="D104" s="38"/>
      <c r="E104" s="25">
        <f>IF(F3="1",SUMIF(Data!A:A,'18'!$A$2,Data!Q:Q),0)</f>
        <v>784102</v>
      </c>
      <c r="F104" s="26">
        <f t="shared" si="6"/>
        <v>0.73064235981691594</v>
      </c>
    </row>
    <row r="105" spans="2:6" x14ac:dyDescent="0.2">
      <c r="B105" s="31" t="s">
        <v>35</v>
      </c>
      <c r="C105" s="31"/>
      <c r="D105" s="35">
        <f>D95</f>
        <v>1073168</v>
      </c>
      <c r="E105" s="32">
        <f>SUM(E98:E104)</f>
        <v>6757861</v>
      </c>
      <c r="F105" s="33">
        <f t="shared" si="6"/>
        <v>6.2971137790168923</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4179012</v>
      </c>
      <c r="D109" s="192">
        <f>IF(F3="1",SUMIF(Data!$A:$A,$A$2,Data!HJ:HJ),0)</f>
        <v>700059</v>
      </c>
      <c r="E109" s="192">
        <f>IF(F3="1",SUMIF(Data!$A:$A,$A$2,Data!IN:IN),0)</f>
        <v>586336</v>
      </c>
      <c r="F109" s="48">
        <f>SUM(C109:E109)</f>
        <v>5465407</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26035</v>
      </c>
      <c r="D111" s="52"/>
      <c r="E111" s="193">
        <f>IF(F3="1",SUMIF(Data!A:A,$A$2,Data!AX:AX)-SUMIF(Data!A:A,$A$2,Data!AW:AW),0)</f>
        <v>8131</v>
      </c>
      <c r="F111" s="49">
        <f t="shared" si="7"/>
        <v>34166</v>
      </c>
    </row>
    <row r="112" spans="2:6" x14ac:dyDescent="0.2">
      <c r="B112" s="43" t="s">
        <v>32</v>
      </c>
      <c r="C112" s="193">
        <f>IF(F3="1",SUMIF(Data!A:A,$A$2,Data!V:V),0)</f>
        <v>871891</v>
      </c>
      <c r="D112" s="52"/>
      <c r="E112" s="193">
        <f>IF(F3="1",SUMIF(Data!A:A,$A$2,Data!AC:AC),0)</f>
        <v>139368</v>
      </c>
      <c r="F112" s="49">
        <f t="shared" si="7"/>
        <v>1011259</v>
      </c>
    </row>
    <row r="113" spans="1:6" x14ac:dyDescent="0.2">
      <c r="B113" s="43" t="s">
        <v>31</v>
      </c>
      <c r="C113" s="193">
        <f>IF(F3="1",SUMIF(Data!A:A,$A$2,Data!U:U),0)</f>
        <v>1142782</v>
      </c>
      <c r="D113" s="52"/>
      <c r="E113" s="193">
        <f>IF(F3="1",SUMIF(Data!A:A,$A$2,Data!AB:AB),0)</f>
        <v>435765</v>
      </c>
      <c r="F113" s="49">
        <f t="shared" si="7"/>
        <v>1578547</v>
      </c>
    </row>
    <row r="114" spans="1:6" x14ac:dyDescent="0.2">
      <c r="B114" s="43" t="s">
        <v>1002</v>
      </c>
      <c r="C114" s="193">
        <f>IF(F3="1",SUMIF(Data!A:A,$A$2,Data!T:T),0)</f>
        <v>1497221</v>
      </c>
      <c r="D114" s="52"/>
      <c r="E114" s="193">
        <f>IF(F3="1",SUMIF(Data!A:A,$A$2,Data!AA:AA),0)</f>
        <v>1520878</v>
      </c>
      <c r="F114" s="49">
        <f t="shared" si="7"/>
        <v>3018099</v>
      </c>
    </row>
    <row r="115" spans="1:6" x14ac:dyDescent="0.2">
      <c r="B115" s="43" t="s">
        <v>916</v>
      </c>
      <c r="C115" s="193">
        <f>IF(F3="1",SUMIF(Data!A:A,$A$2,Data!BI:BI),0)</f>
        <v>417873</v>
      </c>
      <c r="D115" s="193">
        <f>IF(F3="1",SUMIF(Data!A:A,$A$2,Data!BL:BL),0)</f>
        <v>175880</v>
      </c>
      <c r="E115" s="193">
        <f>IF(F3="1",SUMIF(Data!A:A,$A$2,Data!BU:BU)-SUMIF(Data!A:A,$A$2,Data!BT:BT),0)</f>
        <v>1797708</v>
      </c>
      <c r="F115" s="49">
        <f t="shared" si="7"/>
        <v>2391461</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784102</v>
      </c>
      <c r="E117" s="53"/>
      <c r="F117" s="50">
        <f>SUM(C117:E117)</f>
        <v>784102</v>
      </c>
    </row>
    <row r="118" spans="1:6" x14ac:dyDescent="0.2">
      <c r="B118" s="14" t="s">
        <v>35</v>
      </c>
      <c r="C118" s="178">
        <f>SUM(C109:C117)</f>
        <v>8134814</v>
      </c>
      <c r="D118" s="194">
        <f>SUM(D109:D117)</f>
        <v>1660041</v>
      </c>
      <c r="E118" s="178">
        <f>SUM(E109:E117)</f>
        <v>4488186</v>
      </c>
      <c r="F118" s="178">
        <f>SUM(F109:F117)</f>
        <v>14283041</v>
      </c>
    </row>
    <row r="119" spans="1:6" x14ac:dyDescent="0.2">
      <c r="C119" s="177"/>
      <c r="D119" s="177"/>
      <c r="E119" s="177"/>
    </row>
    <row r="120" spans="1:6" ht="15" thickBot="1" x14ac:dyDescent="0.25">
      <c r="B120" s="188" t="s">
        <v>921</v>
      </c>
      <c r="C120" s="53"/>
      <c r="D120" s="53"/>
      <c r="E120" s="195">
        <f>IF(F3="1",SUMIF(Data!A:A,$A$2,Data!AF:AF)+SUMIF(Data!A:A,$A$2,Data!AW:AW)+SUMIF(Data!A:A,$A$2,Data!BT:BT),0)</f>
        <v>365854</v>
      </c>
      <c r="F120" s="181">
        <f>SUM(C120:E120)</f>
        <v>365854</v>
      </c>
    </row>
    <row r="121" spans="1:6" s="177" customFormat="1" x14ac:dyDescent="0.2">
      <c r="B121" s="14" t="s">
        <v>35</v>
      </c>
      <c r="C121" s="178">
        <f>SUM(C120:C120)</f>
        <v>0</v>
      </c>
      <c r="D121" s="178">
        <f>SUM(D120:D120)</f>
        <v>0</v>
      </c>
      <c r="E121" s="178">
        <f>SUM(E120:E120)</f>
        <v>365854</v>
      </c>
      <c r="F121" s="178">
        <f>SUM(F120:F120)</f>
        <v>365854</v>
      </c>
    </row>
    <row r="122" spans="1:6" s="177" customFormat="1" ht="15" thickBot="1" x14ac:dyDescent="0.25">
      <c r="B122" s="14" t="s">
        <v>1396</v>
      </c>
      <c r="C122" s="178"/>
      <c r="D122" s="178"/>
      <c r="E122" s="178"/>
      <c r="F122" s="190">
        <f>F118+F121</f>
        <v>14648895</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19" width="9.140625" style="11"/>
    <col min="20" max="20" width="17.85546875" style="11" bestFit="1" customWidth="1"/>
    <col min="21" max="23" width="9.140625" style="11"/>
    <col min="24" max="24" width="17.85546875" style="11" bestFit="1" customWidth="1"/>
    <col min="25"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368</v>
      </c>
      <c r="B2" s="59" t="str">
        <f>VLOOKUP(A2,Data!A:G,7,0)</f>
        <v>Grayson County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12104</v>
      </c>
      <c r="E5" s="16">
        <f>E36+E67+IFERROR($E$105/$D$105*D5,0)</f>
        <v>85948.901089680643</v>
      </c>
      <c r="F5" s="21">
        <f>IFERROR(E5/D5,"")</f>
        <v>7.1008675718506806</v>
      </c>
    </row>
    <row r="6" spans="1:6" x14ac:dyDescent="0.2">
      <c r="A6" s="20">
        <v>2</v>
      </c>
      <c r="B6" s="202" t="s">
        <v>1</v>
      </c>
      <c r="C6" s="203"/>
      <c r="D6" s="15">
        <f t="shared" ref="D6:D32" si="0">D37</f>
        <v>63904</v>
      </c>
      <c r="E6" s="18">
        <f t="shared" ref="E6:E32" si="1">E37+E68+IFERROR($E$105/$D$105*D6,0)</f>
        <v>435415.35353890876</v>
      </c>
      <c r="F6" s="22">
        <f t="shared" ref="F6:F33" si="2">IFERROR(E6/D6,"")</f>
        <v>6.8135852769608904</v>
      </c>
    </row>
    <row r="7" spans="1:6" ht="14.25" customHeight="1" x14ac:dyDescent="0.2">
      <c r="A7" s="20">
        <v>3</v>
      </c>
      <c r="B7" s="202" t="s">
        <v>2</v>
      </c>
      <c r="C7" s="203"/>
      <c r="D7" s="15">
        <f t="shared" si="0"/>
        <v>287456</v>
      </c>
      <c r="E7" s="18">
        <f t="shared" si="1"/>
        <v>1959590.8737306045</v>
      </c>
      <c r="F7" s="22">
        <f t="shared" si="2"/>
        <v>6.8170115556140924</v>
      </c>
    </row>
    <row r="8" spans="1:6" ht="14.25" customHeight="1" x14ac:dyDescent="0.2">
      <c r="A8" s="20">
        <v>4</v>
      </c>
      <c r="B8" s="202" t="s">
        <v>3</v>
      </c>
      <c r="C8" s="203"/>
      <c r="D8" s="15">
        <f t="shared" si="0"/>
        <v>111814</v>
      </c>
      <c r="E8" s="18">
        <f t="shared" si="1"/>
        <v>901315.11950111948</v>
      </c>
      <c r="F8" s="22">
        <f t="shared" si="2"/>
        <v>8.0608431815436301</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0</v>
      </c>
      <c r="E10" s="18">
        <f t="shared" si="1"/>
        <v>0</v>
      </c>
      <c r="F10" s="22" t="str">
        <f t="shared" si="2"/>
        <v/>
      </c>
    </row>
    <row r="11" spans="1:6" x14ac:dyDescent="0.2">
      <c r="A11" s="20">
        <v>7</v>
      </c>
      <c r="B11" s="202" t="s">
        <v>6</v>
      </c>
      <c r="C11" s="203"/>
      <c r="D11" s="15">
        <f t="shared" si="0"/>
        <v>66890</v>
      </c>
      <c r="E11" s="18">
        <f t="shared" si="1"/>
        <v>497774.85838472715</v>
      </c>
      <c r="F11" s="22">
        <f t="shared" si="2"/>
        <v>7.4416932035390513</v>
      </c>
    </row>
    <row r="12" spans="1:6" x14ac:dyDescent="0.2">
      <c r="A12" s="20">
        <v>8</v>
      </c>
      <c r="B12" s="202" t="s">
        <v>7</v>
      </c>
      <c r="C12" s="203"/>
      <c r="D12" s="15">
        <f t="shared" si="0"/>
        <v>1468</v>
      </c>
      <c r="E12" s="18">
        <f t="shared" si="1"/>
        <v>7026.9896562831436</v>
      </c>
      <c r="F12" s="22">
        <f t="shared" si="2"/>
        <v>4.7867776950157657</v>
      </c>
    </row>
    <row r="13" spans="1:6" x14ac:dyDescent="0.2">
      <c r="A13" s="20">
        <v>9</v>
      </c>
      <c r="B13" s="202" t="s">
        <v>8</v>
      </c>
      <c r="C13" s="203"/>
      <c r="D13" s="15">
        <f t="shared" si="0"/>
        <v>189408</v>
      </c>
      <c r="E13" s="18">
        <f t="shared" si="1"/>
        <v>1277548.1640444673</v>
      </c>
      <c r="F13" s="22">
        <f t="shared" si="2"/>
        <v>6.7449535608024336</v>
      </c>
    </row>
    <row r="14" spans="1:6" x14ac:dyDescent="0.2">
      <c r="A14" s="20">
        <v>10</v>
      </c>
      <c r="B14" s="202" t="s">
        <v>9</v>
      </c>
      <c r="C14" s="203"/>
      <c r="D14" s="15">
        <f t="shared" si="0"/>
        <v>912</v>
      </c>
      <c r="E14" s="18">
        <f t="shared" si="1"/>
        <v>10060.625726519229</v>
      </c>
      <c r="F14" s="22">
        <f t="shared" si="2"/>
        <v>11.03138785802547</v>
      </c>
    </row>
    <row r="15" spans="1:6" x14ac:dyDescent="0.2">
      <c r="A15" s="20">
        <v>11</v>
      </c>
      <c r="B15" s="202" t="s">
        <v>10</v>
      </c>
      <c r="C15" s="203"/>
      <c r="D15" s="15">
        <f t="shared" si="0"/>
        <v>65716</v>
      </c>
      <c r="E15" s="18">
        <f t="shared" si="1"/>
        <v>613707.43886396661</v>
      </c>
      <c r="F15" s="22">
        <f t="shared" si="2"/>
        <v>9.3387826231658444</v>
      </c>
    </row>
    <row r="16" spans="1:6" ht="14.25" customHeight="1" x14ac:dyDescent="0.2">
      <c r="A16" s="20">
        <v>12</v>
      </c>
      <c r="B16" s="202" t="s">
        <v>11</v>
      </c>
      <c r="C16" s="203"/>
      <c r="D16" s="15">
        <f t="shared" si="0"/>
        <v>253328</v>
      </c>
      <c r="E16" s="18">
        <f t="shared" si="1"/>
        <v>1424384.4057540165</v>
      </c>
      <c r="F16" s="22">
        <f t="shared" si="2"/>
        <v>5.6226883951004885</v>
      </c>
    </row>
    <row r="17" spans="1:6" x14ac:dyDescent="0.2">
      <c r="A17" s="20">
        <v>13</v>
      </c>
      <c r="B17" s="202" t="s">
        <v>12</v>
      </c>
      <c r="C17" s="203"/>
      <c r="D17" s="15">
        <f t="shared" si="0"/>
        <v>16016</v>
      </c>
      <c r="E17" s="18">
        <f t="shared" si="1"/>
        <v>130115.0588113289</v>
      </c>
      <c r="F17" s="22">
        <f t="shared" si="2"/>
        <v>8.1240671085994567</v>
      </c>
    </row>
    <row r="18" spans="1:6" ht="14.25" customHeight="1" x14ac:dyDescent="0.2">
      <c r="A18" s="20">
        <v>14</v>
      </c>
      <c r="B18" s="202" t="s">
        <v>449</v>
      </c>
      <c r="C18" s="203"/>
      <c r="D18" s="15">
        <f t="shared" si="0"/>
        <v>246185</v>
      </c>
      <c r="E18" s="18">
        <f t="shared" si="1"/>
        <v>2465510.7680736142</v>
      </c>
      <c r="F18" s="22">
        <f t="shared" si="2"/>
        <v>10.014869988316162</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168861</v>
      </c>
      <c r="E20" s="18">
        <f t="shared" si="1"/>
        <v>1384706.9614098282</v>
      </c>
      <c r="F20" s="22">
        <f t="shared" si="2"/>
        <v>8.2002769224973679</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104784</v>
      </c>
      <c r="E22" s="18">
        <f t="shared" si="1"/>
        <v>747654.62952586706</v>
      </c>
      <c r="F22" s="22">
        <f t="shared" si="2"/>
        <v>7.1351984036290563</v>
      </c>
    </row>
    <row r="23" spans="1:6" x14ac:dyDescent="0.2">
      <c r="A23" s="20">
        <v>19</v>
      </c>
      <c r="B23" s="202" t="s">
        <v>17</v>
      </c>
      <c r="C23" s="203"/>
      <c r="D23" s="15">
        <f t="shared" si="0"/>
        <v>130200</v>
      </c>
      <c r="E23" s="18">
        <f t="shared" si="1"/>
        <v>814828.48858860042</v>
      </c>
      <c r="F23" s="22">
        <f t="shared" si="2"/>
        <v>6.2582833224930905</v>
      </c>
    </row>
    <row r="24" spans="1:6" x14ac:dyDescent="0.2">
      <c r="A24" s="20">
        <v>20</v>
      </c>
      <c r="B24" s="202" t="s">
        <v>18</v>
      </c>
      <c r="C24" s="203"/>
      <c r="D24" s="15">
        <f t="shared" si="0"/>
        <v>22080</v>
      </c>
      <c r="E24" s="18">
        <f t="shared" si="1"/>
        <v>181385.67548414975</v>
      </c>
      <c r="F24" s="22">
        <f t="shared" si="2"/>
        <v>8.2149309548980867</v>
      </c>
    </row>
    <row r="25" spans="1:6" ht="14.25" customHeight="1" x14ac:dyDescent="0.2">
      <c r="A25" s="20">
        <v>21</v>
      </c>
      <c r="B25" s="202" t="s">
        <v>446</v>
      </c>
      <c r="C25" s="203"/>
      <c r="D25" s="15">
        <f t="shared" si="0"/>
        <v>15790</v>
      </c>
      <c r="E25" s="18">
        <f t="shared" si="1"/>
        <v>46272.76340102918</v>
      </c>
      <c r="F25" s="22">
        <f t="shared" si="2"/>
        <v>2.9305106650430135</v>
      </c>
    </row>
    <row r="26" spans="1:6" x14ac:dyDescent="0.2">
      <c r="A26" s="20">
        <v>22</v>
      </c>
      <c r="B26" s="202" t="s">
        <v>19</v>
      </c>
      <c r="C26" s="203"/>
      <c r="D26" s="15">
        <f t="shared" si="0"/>
        <v>17112</v>
      </c>
      <c r="E26" s="18">
        <f t="shared" si="1"/>
        <v>183911.89850021605</v>
      </c>
      <c r="F26" s="22">
        <f t="shared" si="2"/>
        <v>10.747539650550261</v>
      </c>
    </row>
    <row r="27" spans="1:6" x14ac:dyDescent="0.2">
      <c r="A27" s="20">
        <v>23</v>
      </c>
      <c r="B27" s="202" t="s">
        <v>20</v>
      </c>
      <c r="C27" s="203"/>
      <c r="D27" s="15">
        <f t="shared" si="0"/>
        <v>12480</v>
      </c>
      <c r="E27" s="18">
        <f t="shared" si="1"/>
        <v>44035.773099736805</v>
      </c>
      <c r="F27" s="22">
        <f t="shared" si="2"/>
        <v>3.5285074599148083</v>
      </c>
    </row>
    <row r="28" spans="1:6" x14ac:dyDescent="0.2">
      <c r="A28" s="20">
        <v>24</v>
      </c>
      <c r="B28" s="202" t="s">
        <v>21</v>
      </c>
      <c r="C28" s="203"/>
      <c r="D28" s="15">
        <f t="shared" si="0"/>
        <v>72152</v>
      </c>
      <c r="E28" s="18">
        <f t="shared" si="1"/>
        <v>539182.20550418354</v>
      </c>
      <c r="F28" s="22">
        <f t="shared" si="2"/>
        <v>7.4728656933166588</v>
      </c>
    </row>
    <row r="29" spans="1:6" x14ac:dyDescent="0.2">
      <c r="A29" s="20">
        <v>25</v>
      </c>
      <c r="B29" s="202" t="s">
        <v>22</v>
      </c>
      <c r="C29" s="203"/>
      <c r="D29" s="15">
        <f t="shared" si="0"/>
        <v>411440</v>
      </c>
      <c r="E29" s="18">
        <f t="shared" si="1"/>
        <v>2430045.3080252977</v>
      </c>
      <c r="F29" s="22">
        <f t="shared" si="2"/>
        <v>5.9061960626708574</v>
      </c>
    </row>
    <row r="30" spans="1:6" x14ac:dyDescent="0.2">
      <c r="A30" s="20">
        <v>26</v>
      </c>
      <c r="B30" s="202" t="s">
        <v>23</v>
      </c>
      <c r="C30" s="203"/>
      <c r="D30" s="15">
        <f t="shared" si="0"/>
        <v>101216</v>
      </c>
      <c r="E30" s="18">
        <f t="shared" si="1"/>
        <v>694836.56747299363</v>
      </c>
      <c r="F30" s="22">
        <f t="shared" si="2"/>
        <v>6.8648886290012809</v>
      </c>
    </row>
    <row r="31" spans="1:6" x14ac:dyDescent="0.2">
      <c r="A31" s="20">
        <v>28</v>
      </c>
      <c r="B31" s="202" t="s">
        <v>24</v>
      </c>
      <c r="C31" s="203"/>
      <c r="D31" s="15">
        <f t="shared" si="0"/>
        <v>120960</v>
      </c>
      <c r="E31" s="18">
        <f t="shared" si="1"/>
        <v>666989.57004360296</v>
      </c>
      <c r="F31" s="22">
        <f t="shared" si="2"/>
        <v>5.5141333502281995</v>
      </c>
    </row>
    <row r="32" spans="1:6" ht="15.75" customHeight="1" thickBot="1" x14ac:dyDescent="0.25">
      <c r="A32" s="23">
        <v>29</v>
      </c>
      <c r="B32" s="206" t="s">
        <v>25</v>
      </c>
      <c r="C32" s="207"/>
      <c r="D32" s="24">
        <f t="shared" si="0"/>
        <v>53424</v>
      </c>
      <c r="E32" s="25">
        <f t="shared" si="1"/>
        <v>367706.60176925792</v>
      </c>
      <c r="F32" s="26">
        <f t="shared" si="2"/>
        <v>6.8827980265284872</v>
      </c>
    </row>
    <row r="33" spans="1:6" x14ac:dyDescent="0.2">
      <c r="B33" s="31" t="s">
        <v>35</v>
      </c>
      <c r="C33" s="31"/>
      <c r="D33" s="60">
        <f>SUM(D5:D32)</f>
        <v>2545700</v>
      </c>
      <c r="E33" s="32">
        <f>SUM(E5:E32)</f>
        <v>17909954.999999996</v>
      </c>
      <c r="F33" s="33">
        <f t="shared" si="2"/>
        <v>7.035375338806614</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IF(F3="1",SUMIF(Data!A:A,'19'!$A$2,Data!CU:CU),0)</f>
        <v>12104</v>
      </c>
      <c r="E36" s="16">
        <f>IF(F3="1",SUMIF(Data!$A:$A,'19'!$A$2,Data!IO:IO),0)</f>
        <v>24626</v>
      </c>
      <c r="F36" s="21">
        <f t="shared" ref="F36:F64" si="3">IFERROR(E36/D36,"")</f>
        <v>2.034534038334435</v>
      </c>
    </row>
    <row r="37" spans="1:6" x14ac:dyDescent="0.2">
      <c r="A37" s="20">
        <v>2</v>
      </c>
      <c r="B37" s="202" t="s">
        <v>1</v>
      </c>
      <c r="C37" s="203"/>
      <c r="D37" s="15">
        <f>IF(F3="1",SUMIF(Data!A:A,'19'!$A$2,Data!CV:CV),0)</f>
        <v>63904</v>
      </c>
      <c r="E37" s="18">
        <f>IF(F3="1",SUMIF(Data!$A:$A,'19'!$A$2,Data!IP:IP),0)</f>
        <v>142153</v>
      </c>
      <c r="F37" s="22">
        <f t="shared" si="3"/>
        <v>2.2244773410115171</v>
      </c>
    </row>
    <row r="38" spans="1:6" ht="14.25" customHeight="1" x14ac:dyDescent="0.2">
      <c r="A38" s="20">
        <v>3</v>
      </c>
      <c r="B38" s="202" t="s">
        <v>2</v>
      </c>
      <c r="C38" s="203"/>
      <c r="D38" s="15">
        <f>IF(F3="1",SUMIF(Data!A:A,'19'!$A$2,Data!CW:CW),0)</f>
        <v>287456</v>
      </c>
      <c r="E38" s="18">
        <f>IF(F3="1",SUMIF(Data!$A:$A,'19'!$A$2,Data!IQ:IQ),0)</f>
        <v>342375</v>
      </c>
      <c r="F38" s="22">
        <f t="shared" si="3"/>
        <v>1.1910518479349883</v>
      </c>
    </row>
    <row r="39" spans="1:6" ht="14.25" customHeight="1" x14ac:dyDescent="0.2">
      <c r="A39" s="20">
        <v>4</v>
      </c>
      <c r="B39" s="202" t="s">
        <v>3</v>
      </c>
      <c r="C39" s="203"/>
      <c r="D39" s="15">
        <f>IF(F3="1",SUMIF(Data!A:A,'19'!$A$2,Data!CX:CX),0)</f>
        <v>111814</v>
      </c>
      <c r="E39" s="18">
        <f>IF(F3="1",SUMIF(Data!$A:$A,'19'!$A$2,Data!IR:IR),0)</f>
        <v>298264</v>
      </c>
      <c r="F39" s="22">
        <f t="shared" si="3"/>
        <v>2.6675013862307044</v>
      </c>
    </row>
    <row r="40" spans="1:6" x14ac:dyDescent="0.2">
      <c r="A40" s="20">
        <v>5</v>
      </c>
      <c r="B40" s="202" t="s">
        <v>4</v>
      </c>
      <c r="C40" s="203"/>
      <c r="D40" s="15">
        <f>IF(F3="1",SUMIF(Data!A:A,'19'!$A$2,Data!CY:CY),0)</f>
        <v>0</v>
      </c>
      <c r="E40" s="18">
        <f>IF(F3="1",SUMIF(Data!$A:$A,'19'!$A$2,Data!IS:IS),0)</f>
        <v>0</v>
      </c>
      <c r="F40" s="22" t="str">
        <f t="shared" si="3"/>
        <v/>
      </c>
    </row>
    <row r="41" spans="1:6" x14ac:dyDescent="0.2">
      <c r="A41" s="20">
        <v>6</v>
      </c>
      <c r="B41" s="202" t="s">
        <v>5</v>
      </c>
      <c r="C41" s="203"/>
      <c r="D41" s="15">
        <f>IF(F3="1",SUMIF(Data!A:A,'19'!$A$2,Data!CZ:CZ),0)</f>
        <v>0</v>
      </c>
      <c r="E41" s="18">
        <f>IF(F3="1",SUMIF(Data!$A:$A,'19'!$A$2,Data!IT:IT),0)</f>
        <v>0</v>
      </c>
      <c r="F41" s="22" t="str">
        <f t="shared" si="3"/>
        <v/>
      </c>
    </row>
    <row r="42" spans="1:6" x14ac:dyDescent="0.2">
      <c r="A42" s="20">
        <v>7</v>
      </c>
      <c r="B42" s="202" t="s">
        <v>6</v>
      </c>
      <c r="C42" s="203"/>
      <c r="D42" s="15">
        <f>IF(F3="1",SUMIF(Data!A:A,'19'!$A$2,Data!DA:DA),0)</f>
        <v>66890</v>
      </c>
      <c r="E42" s="18">
        <f>IF(F3="1",SUMIF(Data!$A:$A,'19'!$A$2,Data!IU:IU),0)</f>
        <v>64564</v>
      </c>
      <c r="F42" s="22">
        <f t="shared" si="3"/>
        <v>0.96522649125429805</v>
      </c>
    </row>
    <row r="43" spans="1:6" x14ac:dyDescent="0.2">
      <c r="A43" s="20">
        <v>8</v>
      </c>
      <c r="B43" s="202" t="s">
        <v>7</v>
      </c>
      <c r="C43" s="203"/>
      <c r="D43" s="15">
        <f>IF(F3="1",SUMIF(Data!A:A,'19'!$A$2,Data!DB:DB),0)</f>
        <v>1468</v>
      </c>
      <c r="E43" s="18">
        <f>IF(F3="1",SUMIF(Data!$A:$A,'19'!$A$2,Data!IV:IV),0)</f>
        <v>445</v>
      </c>
      <c r="F43" s="22">
        <f t="shared" si="3"/>
        <v>0.30313351498637603</v>
      </c>
    </row>
    <row r="44" spans="1:6" x14ac:dyDescent="0.2">
      <c r="A44" s="20">
        <v>9</v>
      </c>
      <c r="B44" s="202" t="s">
        <v>8</v>
      </c>
      <c r="C44" s="203"/>
      <c r="D44" s="15">
        <f>IF(F3="1",SUMIF(Data!A:A,'19'!$A$2,Data!DC:DC),0)</f>
        <v>189408</v>
      </c>
      <c r="E44" s="18">
        <f>IF(F3="1",SUMIF(Data!$A:$A,'19'!$A$2,Data!IW:IW),0)</f>
        <v>178667</v>
      </c>
      <c r="F44" s="22">
        <f t="shared" si="3"/>
        <v>0.9432917300219632</v>
      </c>
    </row>
    <row r="45" spans="1:6" x14ac:dyDescent="0.2">
      <c r="A45" s="20">
        <v>10</v>
      </c>
      <c r="B45" s="202" t="s">
        <v>9</v>
      </c>
      <c r="C45" s="203"/>
      <c r="D45" s="15">
        <f>IF(F3="1",SUMIF(Data!A:A,'19'!$A$2,Data!DD:DD),0)</f>
        <v>912</v>
      </c>
      <c r="E45" s="18">
        <f>IF(F3="1",SUMIF(Data!$A:$A,'19'!$A$2,Data!IX:IX),0)</f>
        <v>3434</v>
      </c>
      <c r="F45" s="22">
        <f t="shared" si="3"/>
        <v>3.7653508771929824</v>
      </c>
    </row>
    <row r="46" spans="1:6" x14ac:dyDescent="0.2">
      <c r="A46" s="20">
        <v>11</v>
      </c>
      <c r="B46" s="202" t="s">
        <v>10</v>
      </c>
      <c r="C46" s="203"/>
      <c r="D46" s="15">
        <f>IF(F3="1",SUMIF(Data!A:A,'19'!$A$2,Data!DE:DE),0)</f>
        <v>65716</v>
      </c>
      <c r="E46" s="18">
        <f>IF(F3="1",SUMIF(Data!$A:$A,'19'!$A$2,Data!IY:IY),0)</f>
        <v>258035</v>
      </c>
      <c r="F46" s="22">
        <f t="shared" si="3"/>
        <v>3.9265171343356262</v>
      </c>
    </row>
    <row r="47" spans="1:6" ht="14.25" customHeight="1" x14ac:dyDescent="0.2">
      <c r="A47" s="20">
        <v>12</v>
      </c>
      <c r="B47" s="202" t="s">
        <v>11</v>
      </c>
      <c r="C47" s="203"/>
      <c r="D47" s="15">
        <f>IF(F3="1",SUMIF(Data!A:A,'19'!$A$2,Data!DF:DF),0)</f>
        <v>253328</v>
      </c>
      <c r="E47" s="18">
        <f>IF(F3="1",SUMIF(Data!$A:$A,'19'!$A$2,Data!IZ:IZ),0)</f>
        <v>133207</v>
      </c>
      <c r="F47" s="22">
        <f t="shared" si="3"/>
        <v>0.52582817533000692</v>
      </c>
    </row>
    <row r="48" spans="1:6" x14ac:dyDescent="0.2">
      <c r="A48" s="20">
        <v>13</v>
      </c>
      <c r="B48" s="202" t="s">
        <v>12</v>
      </c>
      <c r="C48" s="203"/>
      <c r="D48" s="15">
        <f>IF(F3="1",SUMIF(Data!A:A,'19'!$A$2,Data!DG:DG),0)</f>
        <v>16016</v>
      </c>
      <c r="E48" s="18">
        <f>IF(F3="1",SUMIF(Data!$A:$A,'19'!$A$2,Data!JA:JA),0)</f>
        <v>15548</v>
      </c>
      <c r="F48" s="22">
        <f t="shared" si="3"/>
        <v>0.97077922077922074</v>
      </c>
    </row>
    <row r="49" spans="1:6" ht="14.25" customHeight="1" x14ac:dyDescent="0.2">
      <c r="A49" s="20">
        <v>14</v>
      </c>
      <c r="B49" s="202" t="s">
        <v>449</v>
      </c>
      <c r="C49" s="203"/>
      <c r="D49" s="15">
        <f>IF(F3="1",SUMIF(Data!A:A,'19'!$A$2,Data!DH:DH),0)</f>
        <v>246185</v>
      </c>
      <c r="E49" s="18">
        <f>IF(F3="1",SUMIF(Data!$A:$A,'19'!$A$2,Data!JB:JB),0)</f>
        <v>365742</v>
      </c>
      <c r="F49" s="22">
        <f t="shared" si="3"/>
        <v>1.4856388488331946</v>
      </c>
    </row>
    <row r="50" spans="1:6" x14ac:dyDescent="0.2">
      <c r="A50" s="20">
        <v>15</v>
      </c>
      <c r="B50" s="202" t="s">
        <v>13</v>
      </c>
      <c r="C50" s="203"/>
      <c r="D50" s="15">
        <f>IF(F3="1",SUMIF(Data!A:A,'19'!$A$2,Data!DI:DI),0)</f>
        <v>0</v>
      </c>
      <c r="E50" s="18">
        <f>IF(F3="1",SUMIF(Data!$A:$A,'19'!$A$2,Data!JC:JC),0)</f>
        <v>0</v>
      </c>
      <c r="F50" s="22" t="str">
        <f t="shared" si="3"/>
        <v/>
      </c>
    </row>
    <row r="51" spans="1:6" x14ac:dyDescent="0.2">
      <c r="A51" s="20">
        <v>16</v>
      </c>
      <c r="B51" s="202" t="s">
        <v>14</v>
      </c>
      <c r="C51" s="203"/>
      <c r="D51" s="15">
        <f>IF(F3="1",SUMIF(Data!A:A,'19'!$A$2,Data!DJ:DJ),0)</f>
        <v>168861</v>
      </c>
      <c r="E51" s="18">
        <f>IF(F3="1",SUMIF(Data!$A:$A,'19'!$A$2,Data!JD:JD),0)</f>
        <v>454242</v>
      </c>
      <c r="F51" s="22">
        <f t="shared" si="3"/>
        <v>2.6900349992005257</v>
      </c>
    </row>
    <row r="52" spans="1:6" x14ac:dyDescent="0.2">
      <c r="A52" s="20">
        <v>17</v>
      </c>
      <c r="B52" s="202" t="s">
        <v>15</v>
      </c>
      <c r="C52" s="203"/>
      <c r="D52" s="15">
        <f>IF(F3="1",SUMIF(Data!A:A,'19'!$A$2,Data!DK:DK),0)</f>
        <v>0</v>
      </c>
      <c r="E52" s="18">
        <f>IF(F3="1",SUMIF(Data!$A:$A,'19'!$A$2,Data!JE:JE),0)</f>
        <v>0</v>
      </c>
      <c r="F52" s="22" t="str">
        <f t="shared" si="3"/>
        <v/>
      </c>
    </row>
    <row r="53" spans="1:6" x14ac:dyDescent="0.2">
      <c r="A53" s="20">
        <v>18</v>
      </c>
      <c r="B53" s="202" t="s">
        <v>16</v>
      </c>
      <c r="C53" s="203"/>
      <c r="D53" s="15">
        <f>IF(F3="1",SUMIF(Data!A:A,'19'!$A$2,Data!DL:DL),0)</f>
        <v>104784</v>
      </c>
      <c r="E53" s="18">
        <f>IF(F3="1",SUMIF(Data!$A:$A,'19'!$A$2,Data!JF:JF),0)</f>
        <v>92568</v>
      </c>
      <c r="F53" s="22">
        <f t="shared" si="3"/>
        <v>0.88341731562070547</v>
      </c>
    </row>
    <row r="54" spans="1:6" x14ac:dyDescent="0.2">
      <c r="A54" s="20">
        <v>19</v>
      </c>
      <c r="B54" s="202" t="s">
        <v>17</v>
      </c>
      <c r="C54" s="203"/>
      <c r="D54" s="15">
        <f>IF(F3="1",SUMIF(Data!A:A,'19'!$A$2,Data!DM:DM),0)</f>
        <v>130200</v>
      </c>
      <c r="E54" s="18">
        <f>IF(F3="1",SUMIF(Data!$A:$A,'19'!$A$2,Data!JG:JG),0)</f>
        <v>75978</v>
      </c>
      <c r="F54" s="22">
        <f t="shared" si="3"/>
        <v>0.58354838709677415</v>
      </c>
    </row>
    <row r="55" spans="1:6" x14ac:dyDescent="0.2">
      <c r="A55" s="20">
        <v>20</v>
      </c>
      <c r="B55" s="202" t="s">
        <v>18</v>
      </c>
      <c r="C55" s="203"/>
      <c r="D55" s="15">
        <f>IF(F3="1",SUMIF(Data!A:A,'19'!$A$2,Data!DN:DN),0)</f>
        <v>22080</v>
      </c>
      <c r="E55" s="18">
        <f>IF(F3="1",SUMIF(Data!$A:$A,'19'!$A$2,Data!JH:JH),0)</f>
        <v>42801</v>
      </c>
      <c r="F55" s="22">
        <f t="shared" si="3"/>
        <v>1.9384510869565217</v>
      </c>
    </row>
    <row r="56" spans="1:6" ht="14.25" customHeight="1" x14ac:dyDescent="0.2">
      <c r="A56" s="20">
        <v>21</v>
      </c>
      <c r="B56" s="202" t="s">
        <v>446</v>
      </c>
      <c r="C56" s="203"/>
      <c r="D56" s="15">
        <f>IF(F3="1",SUMIF(Data!A:A,'19'!$A$2,Data!DO:DO),0)</f>
        <v>15790</v>
      </c>
      <c r="E56" s="18">
        <f>IF(F3="1",SUMIF(Data!$A:$A,'19'!$A$2,Data!JI:JI),0)</f>
        <v>0</v>
      </c>
      <c r="F56" s="22">
        <f t="shared" si="3"/>
        <v>0</v>
      </c>
    </row>
    <row r="57" spans="1:6" x14ac:dyDescent="0.2">
      <c r="A57" s="20">
        <v>22</v>
      </c>
      <c r="B57" s="202" t="s">
        <v>19</v>
      </c>
      <c r="C57" s="203"/>
      <c r="D57" s="15">
        <f>IF(F3="1",SUMIF(Data!A:A,'19'!$A$2,Data!DP:DP),0)</f>
        <v>17112</v>
      </c>
      <c r="E57" s="18">
        <f>IF(F3="1",SUMIF(Data!$A:$A,'19'!$A$2,Data!JJ:JJ),0)</f>
        <v>29811</v>
      </c>
      <c r="F57" s="22">
        <f t="shared" si="3"/>
        <v>1.7421107994389902</v>
      </c>
    </row>
    <row r="58" spans="1:6" x14ac:dyDescent="0.2">
      <c r="A58" s="20">
        <v>23</v>
      </c>
      <c r="B58" s="202" t="s">
        <v>20</v>
      </c>
      <c r="C58" s="203"/>
      <c r="D58" s="15">
        <f>IF(F3="1",SUMIF(Data!A:A,'19'!$A$2,Data!DQ:DQ),0)</f>
        <v>12480</v>
      </c>
      <c r="E58" s="18">
        <f>IF(F3="1",SUMIF(Data!$A:$A,'19'!$A$2,Data!JK:JK),0)</f>
        <v>3064</v>
      </c>
      <c r="F58" s="22">
        <f t="shared" si="3"/>
        <v>0.2455128205128205</v>
      </c>
    </row>
    <row r="59" spans="1:6" x14ac:dyDescent="0.2">
      <c r="A59" s="20">
        <v>24</v>
      </c>
      <c r="B59" s="202" t="s">
        <v>21</v>
      </c>
      <c r="C59" s="203"/>
      <c r="D59" s="15">
        <f>IF(F3="1",SUMIF(Data!A:A,'19'!$A$2,Data!DR:DR),0)</f>
        <v>72152</v>
      </c>
      <c r="E59" s="18">
        <f>IF(F3="1",SUMIF(Data!$A:$A,'19'!$A$2,Data!JL:JL),0)</f>
        <v>99582</v>
      </c>
      <c r="F59" s="22">
        <f t="shared" si="3"/>
        <v>1.3801696418671694</v>
      </c>
    </row>
    <row r="60" spans="1:6" x14ac:dyDescent="0.2">
      <c r="A60" s="20">
        <v>25</v>
      </c>
      <c r="B60" s="202" t="s">
        <v>22</v>
      </c>
      <c r="C60" s="203"/>
      <c r="D60" s="15">
        <f>IF(F3="1",SUMIF(Data!A:A,'19'!$A$2,Data!DS:DS),0)</f>
        <v>411440</v>
      </c>
      <c r="E60" s="18">
        <f>IF(F3="1",SUMIF(Data!$A:$A,'19'!$A$2,Data!JM:JM),0)</f>
        <v>218391</v>
      </c>
      <c r="F60" s="22">
        <f t="shared" si="3"/>
        <v>0.53079671398016726</v>
      </c>
    </row>
    <row r="61" spans="1:6" x14ac:dyDescent="0.2">
      <c r="A61" s="20">
        <v>26</v>
      </c>
      <c r="B61" s="202" t="s">
        <v>23</v>
      </c>
      <c r="C61" s="203"/>
      <c r="D61" s="15">
        <f>IF(F3="1",SUMIF(Data!A:A,'19'!$A$2,Data!DT:DT),0)</f>
        <v>101216</v>
      </c>
      <c r="E61" s="18">
        <f>IF(F3="1",SUMIF(Data!$A:$A,'19'!$A$2,Data!JN:JN),0)</f>
        <v>104937</v>
      </c>
      <c r="F61" s="22">
        <f t="shared" si="3"/>
        <v>1.0367629623774897</v>
      </c>
    </row>
    <row r="62" spans="1:6" x14ac:dyDescent="0.2">
      <c r="A62" s="20">
        <v>28</v>
      </c>
      <c r="B62" s="202" t="s">
        <v>24</v>
      </c>
      <c r="C62" s="203"/>
      <c r="D62" s="15">
        <f>IF(F3="1",SUMIF(Data!A:A,'19'!$A$2,Data!DV:DV),0)</f>
        <v>120960</v>
      </c>
      <c r="E62" s="18">
        <f>IF(F3="1",SUMIF(Data!$A:$A,'19'!$A$2,Data!JP:JP),0)</f>
        <v>120066</v>
      </c>
      <c r="F62" s="22">
        <f t="shared" si="3"/>
        <v>0.99260912698412695</v>
      </c>
    </row>
    <row r="63" spans="1:6" ht="15.75" customHeight="1" thickBot="1" x14ac:dyDescent="0.25">
      <c r="A63" s="23">
        <v>29</v>
      </c>
      <c r="B63" s="206" t="s">
        <v>25</v>
      </c>
      <c r="C63" s="207"/>
      <c r="D63" s="24">
        <f>IF(F3="1",SUMIF(Data!A:A,'19'!$A$2,Data!DW:DW),0)</f>
        <v>53424</v>
      </c>
      <c r="E63" s="25">
        <f>IF(F3="1",SUMIF(Data!$A:$A,'19'!$A$2,Data!JQ:JQ),0)</f>
        <v>136271</v>
      </c>
      <c r="F63" s="26">
        <f t="shared" si="3"/>
        <v>2.5507449835280025</v>
      </c>
    </row>
    <row r="64" spans="1:6" x14ac:dyDescent="0.2">
      <c r="B64" s="31" t="s">
        <v>35</v>
      </c>
      <c r="C64" s="31"/>
      <c r="D64" s="60">
        <f>SUM(D36:D63)</f>
        <v>2545700</v>
      </c>
      <c r="E64" s="32">
        <f>SUM(E36:E63)</f>
        <v>3204771</v>
      </c>
      <c r="F64" s="33">
        <f t="shared" si="3"/>
        <v>1.2588957850492988</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12104</v>
      </c>
      <c r="E67" s="16">
        <f>IF(F3="1",SUMIF(Data!A:A,'19'!$A$2,Data!DY:DY),0)</f>
        <v>25852</v>
      </c>
      <c r="F67" s="21">
        <f>IFERROR(E67/D67,"")</f>
        <v>2.1358228684732321</v>
      </c>
    </row>
    <row r="68" spans="1:6" x14ac:dyDescent="0.2">
      <c r="A68" s="20">
        <v>2</v>
      </c>
      <c r="B68" s="202" t="s">
        <v>1</v>
      </c>
      <c r="C68" s="203"/>
      <c r="D68" s="15">
        <f t="shared" ref="D68:D94" si="4">D37</f>
        <v>63904</v>
      </c>
      <c r="E68" s="18">
        <f>IF(F3="1",SUMIF(Data!A:A,'19'!$A$2,Data!DZ:DZ),0)</f>
        <v>105991</v>
      </c>
      <c r="F68" s="22">
        <f t="shared" ref="F68:F95" si="5">IFERROR(E68/D68,"")</f>
        <v>1.6585972709063594</v>
      </c>
    </row>
    <row r="69" spans="1:6" ht="14.25" customHeight="1" x14ac:dyDescent="0.2">
      <c r="A69" s="20">
        <v>3</v>
      </c>
      <c r="B69" s="202" t="s">
        <v>2</v>
      </c>
      <c r="C69" s="203"/>
      <c r="D69" s="15">
        <f t="shared" si="4"/>
        <v>287456</v>
      </c>
      <c r="E69" s="18">
        <f>IF(F3="1",SUMIF(Data!A:A,'19'!$A$2,Data!EA:EA),0)</f>
        <v>774823</v>
      </c>
      <c r="F69" s="22">
        <f t="shared" si="5"/>
        <v>2.6954490426360902</v>
      </c>
    </row>
    <row r="70" spans="1:6" ht="14.25" customHeight="1" x14ac:dyDescent="0.2">
      <c r="A70" s="20">
        <v>4</v>
      </c>
      <c r="B70" s="202" t="s">
        <v>3</v>
      </c>
      <c r="C70" s="203"/>
      <c r="D70" s="15">
        <f t="shared" si="4"/>
        <v>111814</v>
      </c>
      <c r="E70" s="18">
        <f>IF(F3="1",SUMIF(Data!A:A,'19'!$A$2,Data!EB:EB),0)</f>
        <v>275379</v>
      </c>
      <c r="F70" s="22">
        <f t="shared" si="5"/>
        <v>2.4628311302699126</v>
      </c>
    </row>
    <row r="71" spans="1:6" x14ac:dyDescent="0.2">
      <c r="A71" s="20">
        <v>5</v>
      </c>
      <c r="B71" s="202" t="s">
        <v>4</v>
      </c>
      <c r="C71" s="203"/>
      <c r="D71" s="15">
        <f t="shared" si="4"/>
        <v>0</v>
      </c>
      <c r="E71" s="18">
        <f>IF(F3="1",SUMIF(Data!A:A,'19'!$A$2,Data!EC:EC),0)</f>
        <v>0</v>
      </c>
      <c r="F71" s="22" t="str">
        <f t="shared" si="5"/>
        <v/>
      </c>
    </row>
    <row r="72" spans="1:6" x14ac:dyDescent="0.2">
      <c r="A72" s="20">
        <v>6</v>
      </c>
      <c r="B72" s="202" t="s">
        <v>5</v>
      </c>
      <c r="C72" s="203"/>
      <c r="D72" s="15">
        <f t="shared" si="4"/>
        <v>0</v>
      </c>
      <c r="E72" s="18">
        <f>IF(F3="1",SUMIF(Data!A:A,'19'!$A$2,Data!ED:ED),0)</f>
        <v>0</v>
      </c>
      <c r="F72" s="22" t="str">
        <f t="shared" si="5"/>
        <v/>
      </c>
    </row>
    <row r="73" spans="1:6" x14ac:dyDescent="0.2">
      <c r="A73" s="20">
        <v>7</v>
      </c>
      <c r="B73" s="202" t="s">
        <v>6</v>
      </c>
      <c r="C73" s="203"/>
      <c r="D73" s="15">
        <f t="shared" si="4"/>
        <v>66890</v>
      </c>
      <c r="E73" s="18">
        <f>IF(F3="1",SUMIF(Data!A:A,'19'!$A$2,Data!EE:EE),0)</f>
        <v>237189</v>
      </c>
      <c r="F73" s="22">
        <f t="shared" si="5"/>
        <v>3.5459560472417402</v>
      </c>
    </row>
    <row r="74" spans="1:6" x14ac:dyDescent="0.2">
      <c r="A74" s="20">
        <v>8</v>
      </c>
      <c r="B74" s="202" t="s">
        <v>7</v>
      </c>
      <c r="C74" s="203"/>
      <c r="D74" s="15">
        <f t="shared" si="4"/>
        <v>1468</v>
      </c>
      <c r="E74" s="18">
        <f>IF(F3="1",SUMIF(Data!A:A,'19'!$A$2,Data!EF:EF),0)</f>
        <v>2280</v>
      </c>
      <c r="F74" s="22">
        <f t="shared" si="5"/>
        <v>1.5531335149863761</v>
      </c>
    </row>
    <row r="75" spans="1:6" x14ac:dyDescent="0.2">
      <c r="A75" s="20">
        <v>9</v>
      </c>
      <c r="B75" s="202" t="s">
        <v>8</v>
      </c>
      <c r="C75" s="203"/>
      <c r="D75" s="15">
        <f t="shared" si="4"/>
        <v>189408</v>
      </c>
      <c r="E75" s="18">
        <f>IF(F3="1",SUMIF(Data!A:A,'19'!$A$2,Data!EG:EG),0)</f>
        <v>543819</v>
      </c>
      <c r="F75" s="22">
        <f t="shared" si="5"/>
        <v>2.8711511657374555</v>
      </c>
    </row>
    <row r="76" spans="1:6" x14ac:dyDescent="0.2">
      <c r="A76" s="20">
        <v>10</v>
      </c>
      <c r="B76" s="202" t="s">
        <v>9</v>
      </c>
      <c r="C76" s="203"/>
      <c r="D76" s="15">
        <f t="shared" si="4"/>
        <v>912</v>
      </c>
      <c r="E76" s="18">
        <f>IF(F3="1",SUMIF(Data!A:A,'19'!$A$2,Data!EH:EH),0)</f>
        <v>3954</v>
      </c>
      <c r="F76" s="22">
        <f t="shared" si="5"/>
        <v>4.3355263157894735</v>
      </c>
    </row>
    <row r="77" spans="1:6" x14ac:dyDescent="0.2">
      <c r="A77" s="20">
        <v>11</v>
      </c>
      <c r="B77" s="202" t="s">
        <v>10</v>
      </c>
      <c r="C77" s="203"/>
      <c r="D77" s="15">
        <f t="shared" si="4"/>
        <v>65716</v>
      </c>
      <c r="E77" s="18">
        <f>IF(F3="1",SUMIF(Data!A:A,'19'!$A$2,Data!EI:EI),0)</f>
        <v>163091</v>
      </c>
      <c r="F77" s="22">
        <f t="shared" si="5"/>
        <v>2.4817548237872056</v>
      </c>
    </row>
    <row r="78" spans="1:6" ht="14.25" customHeight="1" x14ac:dyDescent="0.2">
      <c r="A78" s="20">
        <v>12</v>
      </c>
      <c r="B78" s="202" t="s">
        <v>11</v>
      </c>
      <c r="C78" s="203"/>
      <c r="D78" s="15">
        <f t="shared" si="4"/>
        <v>253328</v>
      </c>
      <c r="E78" s="18">
        <f>IF(F3="1",SUMIF(Data!A:A,'19'!$A$2,Data!EJ:EJ),0)</f>
        <v>548797</v>
      </c>
      <c r="F78" s="22">
        <f t="shared" si="5"/>
        <v>2.1663495547274678</v>
      </c>
    </row>
    <row r="79" spans="1:6" x14ac:dyDescent="0.2">
      <c r="A79" s="20">
        <v>13</v>
      </c>
      <c r="B79" s="202" t="s">
        <v>12</v>
      </c>
      <c r="C79" s="203"/>
      <c r="D79" s="15">
        <f t="shared" si="4"/>
        <v>16016</v>
      </c>
      <c r="E79" s="18">
        <f>IF(F3="1",SUMIF(Data!A:A,'19'!$A$2,Data!EK:EK),0)</f>
        <v>67632</v>
      </c>
      <c r="F79" s="22">
        <f t="shared" si="5"/>
        <v>4.2227772227772231</v>
      </c>
    </row>
    <row r="80" spans="1:6" ht="14.25" customHeight="1" x14ac:dyDescent="0.2">
      <c r="A80" s="20">
        <v>14</v>
      </c>
      <c r="B80" s="202" t="s">
        <v>449</v>
      </c>
      <c r="C80" s="203"/>
      <c r="D80" s="15">
        <f t="shared" si="4"/>
        <v>246185</v>
      </c>
      <c r="E80" s="18">
        <f>IF(F3="1",SUMIF(Data!A:A,'19'!$A$2,Data!EL:EL),0)</f>
        <v>1378321</v>
      </c>
      <c r="F80" s="22">
        <f t="shared" si="5"/>
        <v>5.5987204744399541</v>
      </c>
    </row>
    <row r="81" spans="1:6" x14ac:dyDescent="0.2">
      <c r="A81" s="20">
        <v>15</v>
      </c>
      <c r="B81" s="202" t="s">
        <v>13</v>
      </c>
      <c r="C81" s="203"/>
      <c r="D81" s="15">
        <f t="shared" si="4"/>
        <v>0</v>
      </c>
      <c r="E81" s="18">
        <f>IF(F3="1",SUMIF(Data!A:A,'19'!$A$2,Data!EM:EM),0)</f>
        <v>0</v>
      </c>
      <c r="F81" s="22" t="str">
        <f t="shared" si="5"/>
        <v/>
      </c>
    </row>
    <row r="82" spans="1:6" x14ac:dyDescent="0.2">
      <c r="A82" s="20">
        <v>16</v>
      </c>
      <c r="B82" s="202" t="s">
        <v>14</v>
      </c>
      <c r="C82" s="203"/>
      <c r="D82" s="15">
        <f t="shared" si="4"/>
        <v>168861</v>
      </c>
      <c r="E82" s="18">
        <f>IF(F3="1",SUMIF(Data!A:A,'19'!$A$2,Data!EN:EN),0)</f>
        <v>435616</v>
      </c>
      <c r="F82" s="22">
        <f t="shared" si="5"/>
        <v>2.5797312582538301</v>
      </c>
    </row>
    <row r="83" spans="1:6" x14ac:dyDescent="0.2">
      <c r="A83" s="20">
        <v>17</v>
      </c>
      <c r="B83" s="202" t="s">
        <v>15</v>
      </c>
      <c r="C83" s="203"/>
      <c r="D83" s="15">
        <f t="shared" si="4"/>
        <v>0</v>
      </c>
      <c r="E83" s="18">
        <f>IF(F3="1",SUMIF(Data!A:A,'19'!$A$2,Data!EO:EO),0)</f>
        <v>0</v>
      </c>
      <c r="F83" s="22" t="str">
        <f t="shared" si="5"/>
        <v/>
      </c>
    </row>
    <row r="84" spans="1:6" x14ac:dyDescent="0.2">
      <c r="A84" s="20">
        <v>18</v>
      </c>
      <c r="B84" s="202" t="s">
        <v>16</v>
      </c>
      <c r="C84" s="203"/>
      <c r="D84" s="15">
        <f t="shared" si="4"/>
        <v>104784</v>
      </c>
      <c r="E84" s="18">
        <f>IF(F3="1",SUMIF(Data!A:A,'19'!$A$2,Data!EP:EP),0)</f>
        <v>348016</v>
      </c>
      <c r="F84" s="22">
        <f t="shared" si="5"/>
        <v>3.321270422965338</v>
      </c>
    </row>
    <row r="85" spans="1:6" x14ac:dyDescent="0.2">
      <c r="A85" s="20">
        <v>19</v>
      </c>
      <c r="B85" s="202" t="s">
        <v>17</v>
      </c>
      <c r="C85" s="203"/>
      <c r="D85" s="15">
        <f t="shared" si="4"/>
        <v>130200</v>
      </c>
      <c r="E85" s="18">
        <f>IF(F3="1",SUMIF(Data!A:A,'19'!$A$2,Data!EQ:EQ),0)</f>
        <v>357298</v>
      </c>
      <c r="F85" s="22">
        <f t="shared" si="5"/>
        <v>2.7442242703533024</v>
      </c>
    </row>
    <row r="86" spans="1:6" x14ac:dyDescent="0.2">
      <c r="A86" s="20">
        <v>20</v>
      </c>
      <c r="B86" s="202" t="s">
        <v>18</v>
      </c>
      <c r="C86" s="203"/>
      <c r="D86" s="15">
        <f t="shared" si="4"/>
        <v>22080</v>
      </c>
      <c r="E86" s="18">
        <f>IF(F3="1",SUMIF(Data!A:A,'19'!$A$2,Data!ER:ER),0)</f>
        <v>73879</v>
      </c>
      <c r="F86" s="22">
        <f t="shared" si="5"/>
        <v>3.3459692028985506</v>
      </c>
    </row>
    <row r="87" spans="1:6" ht="14.25" customHeight="1" x14ac:dyDescent="0.2">
      <c r="A87" s="20">
        <v>21</v>
      </c>
      <c r="B87" s="202" t="s">
        <v>446</v>
      </c>
      <c r="C87" s="203"/>
      <c r="D87" s="15">
        <f t="shared" si="4"/>
        <v>15790</v>
      </c>
      <c r="E87" s="18">
        <f>IF(F3="1",SUMIF(Data!A:A,'19'!$A$2,Data!ES:ES),0)</f>
        <v>0</v>
      </c>
      <c r="F87" s="22">
        <f t="shared" si="5"/>
        <v>0</v>
      </c>
    </row>
    <row r="88" spans="1:6" x14ac:dyDescent="0.2">
      <c r="A88" s="20">
        <v>22</v>
      </c>
      <c r="B88" s="202" t="s">
        <v>19</v>
      </c>
      <c r="C88" s="203"/>
      <c r="D88" s="15">
        <f t="shared" si="4"/>
        <v>17112</v>
      </c>
      <c r="E88" s="18">
        <f>IF(F3="1",SUMIF(Data!A:A,'19'!$A$2,Data!ET:ET),0)</f>
        <v>103954</v>
      </c>
      <c r="F88" s="22">
        <f t="shared" si="5"/>
        <v>6.0749181860682562</v>
      </c>
    </row>
    <row r="89" spans="1:6" x14ac:dyDescent="0.2">
      <c r="A89" s="20">
        <v>23</v>
      </c>
      <c r="B89" s="202" t="s">
        <v>20</v>
      </c>
      <c r="C89" s="203"/>
      <c r="D89" s="15">
        <f t="shared" si="4"/>
        <v>12480</v>
      </c>
      <c r="E89" s="18">
        <f>IF(F3="1",SUMIF(Data!A:A,'19'!$A$2,Data!EU:EU),0)</f>
        <v>4399</v>
      </c>
      <c r="F89" s="22">
        <f t="shared" si="5"/>
        <v>0.35248397435897438</v>
      </c>
    </row>
    <row r="90" spans="1:6" x14ac:dyDescent="0.2">
      <c r="A90" s="20">
        <v>24</v>
      </c>
      <c r="B90" s="202" t="s">
        <v>21</v>
      </c>
      <c r="C90" s="203"/>
      <c r="D90" s="15">
        <f t="shared" si="4"/>
        <v>72152</v>
      </c>
      <c r="E90" s="18">
        <f>IF(F3="1",SUMIF(Data!A:A,'19'!$A$2,Data!EV:EV),0)</f>
        <v>228158</v>
      </c>
      <c r="F90" s="22">
        <f t="shared" si="5"/>
        <v>3.1621853864064753</v>
      </c>
    </row>
    <row r="91" spans="1:6" x14ac:dyDescent="0.2">
      <c r="A91" s="20">
        <v>25</v>
      </c>
      <c r="B91" s="202" t="s">
        <v>22</v>
      </c>
      <c r="C91" s="203"/>
      <c r="D91" s="15">
        <f t="shared" si="4"/>
        <v>411440</v>
      </c>
      <c r="E91" s="18">
        <f>IF(F3="1",SUMIF(Data!A:A,'19'!$A$2,Data!EW:EW),0)</f>
        <v>1005925</v>
      </c>
      <c r="F91" s="22">
        <f t="shared" si="5"/>
        <v>2.4448886836476764</v>
      </c>
    </row>
    <row r="92" spans="1:6" x14ac:dyDescent="0.2">
      <c r="A92" s="20">
        <v>26</v>
      </c>
      <c r="B92" s="202" t="s">
        <v>23</v>
      </c>
      <c r="C92" s="203"/>
      <c r="D92" s="15">
        <f t="shared" si="4"/>
        <v>101216</v>
      </c>
      <c r="E92" s="18">
        <f>IF(F3="1",SUMIF(Data!A:A,'19'!$A$2,Data!EX:EX),0)</f>
        <v>293285</v>
      </c>
      <c r="F92" s="22">
        <f t="shared" si="5"/>
        <v>2.8976150015807778</v>
      </c>
    </row>
    <row r="93" spans="1:6" x14ac:dyDescent="0.2">
      <c r="A93" s="20">
        <v>28</v>
      </c>
      <c r="B93" s="202" t="s">
        <v>24</v>
      </c>
      <c r="C93" s="203"/>
      <c r="D93" s="15">
        <f t="shared" si="4"/>
        <v>120960</v>
      </c>
      <c r="E93" s="18">
        <f>IF(F3="1",SUMIF(Data!A:A,'19'!$A$2,Data!EZ:EZ),0)</f>
        <v>192449</v>
      </c>
      <c r="F93" s="22">
        <f t="shared" si="5"/>
        <v>1.5910135582010583</v>
      </c>
    </row>
    <row r="94" spans="1:6" ht="15.75" customHeight="1" thickBot="1" x14ac:dyDescent="0.25">
      <c r="A94" s="23">
        <v>29</v>
      </c>
      <c r="B94" s="206" t="s">
        <v>25</v>
      </c>
      <c r="C94" s="207"/>
      <c r="D94" s="24">
        <f t="shared" si="4"/>
        <v>53424</v>
      </c>
      <c r="E94" s="25">
        <f>IF(F3="1",SUMIF(Data!A:A,'19'!$A$2,Data!FA:FA),0)</f>
        <v>74876</v>
      </c>
      <c r="F94" s="26">
        <f t="shared" si="5"/>
        <v>1.4015423779574723</v>
      </c>
    </row>
    <row r="95" spans="1:6" x14ac:dyDescent="0.2">
      <c r="B95" s="31" t="s">
        <v>35</v>
      </c>
      <c r="C95" s="31"/>
      <c r="D95" s="60">
        <f>SUM(D67:D94)</f>
        <v>2545700</v>
      </c>
      <c r="E95" s="32">
        <f>SUM(E67:E94)</f>
        <v>7244983</v>
      </c>
      <c r="F95" s="33">
        <f t="shared" si="5"/>
        <v>2.8459688887143026</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IF(F3="1",SUMIF(Data!A:A,'19'!$A$2,Data!AH:AH),0)</f>
        <v>3435252</v>
      </c>
      <c r="F98" s="21">
        <f t="shared" ref="F98:F105" si="6">IFERROR(E98/$D$95,0)</f>
        <v>1.3494331618022548</v>
      </c>
    </row>
    <row r="99" spans="2:6" x14ac:dyDescent="0.2">
      <c r="B99" s="212" t="s">
        <v>31</v>
      </c>
      <c r="C99" s="213"/>
      <c r="D99" s="37"/>
      <c r="E99" s="18">
        <f>IF(F3="1",SUMIF(Data!A:A,'19'!$A$2,Data!AI:AI),0)</f>
        <v>1554130</v>
      </c>
      <c r="F99" s="22">
        <f t="shared" si="6"/>
        <v>0.61049220253761249</v>
      </c>
    </row>
    <row r="100" spans="2:6" x14ac:dyDescent="0.2">
      <c r="B100" s="212" t="s">
        <v>32</v>
      </c>
      <c r="C100" s="213"/>
      <c r="D100" s="37"/>
      <c r="E100" s="18">
        <f>IF(F3="1",SUMIF(Data!A:A,'19'!$A$2,Data!AJ:AJ),0)</f>
        <v>1261140</v>
      </c>
      <c r="F100" s="22">
        <f t="shared" si="6"/>
        <v>0.49540008642023803</v>
      </c>
    </row>
    <row r="101" spans="2:6" x14ac:dyDescent="0.2">
      <c r="B101" s="212" t="s">
        <v>28</v>
      </c>
      <c r="C101" s="213"/>
      <c r="D101" s="37"/>
      <c r="E101" s="18">
        <f>IF(F3="1",SUMIF(Data!A:A,'19'!$A$2,Data!AK:AK),0)</f>
        <v>0</v>
      </c>
      <c r="F101" s="22">
        <f t="shared" si="6"/>
        <v>0</v>
      </c>
    </row>
    <row r="102" spans="2:6" x14ac:dyDescent="0.2">
      <c r="B102" s="212" t="s">
        <v>33</v>
      </c>
      <c r="C102" s="213"/>
      <c r="D102" s="37"/>
      <c r="E102" s="18">
        <f>IF(F3="1",SUMIF(Data!A:A,'19'!$A$2,Data!AL:AL),0)</f>
        <v>0</v>
      </c>
      <c r="F102" s="22">
        <f t="shared" si="6"/>
        <v>0</v>
      </c>
    </row>
    <row r="103" spans="2:6" x14ac:dyDescent="0.2">
      <c r="B103" s="214" t="s">
        <v>34</v>
      </c>
      <c r="C103" s="215"/>
      <c r="D103" s="37"/>
      <c r="E103" s="18">
        <f>IF(F3="1",SUMIF(Data!A:A,'19'!$A$2,Data!AM:AM),0)</f>
        <v>465454</v>
      </c>
      <c r="F103" s="22">
        <f t="shared" si="6"/>
        <v>0.18283929763915621</v>
      </c>
    </row>
    <row r="104" spans="2:6" ht="15.75" customHeight="1" thickBot="1" x14ac:dyDescent="0.25">
      <c r="B104" s="208" t="s">
        <v>29</v>
      </c>
      <c r="C104" s="209"/>
      <c r="D104" s="38"/>
      <c r="E104" s="25">
        <f>IF(F3="1",SUMIF(Data!A:A,'19'!$A$2,Data!Q:Q),0)</f>
        <v>744225</v>
      </c>
      <c r="F104" s="26">
        <f t="shared" si="6"/>
        <v>0.2923459166437522</v>
      </c>
    </row>
    <row r="105" spans="2:6" x14ac:dyDescent="0.2">
      <c r="B105" s="31" t="s">
        <v>35</v>
      </c>
      <c r="C105" s="31"/>
      <c r="D105" s="35">
        <f>D95</f>
        <v>2545700</v>
      </c>
      <c r="E105" s="32">
        <f>SUM(E98:E104)</f>
        <v>7460201</v>
      </c>
      <c r="F105" s="33">
        <f t="shared" si="6"/>
        <v>2.9305106650430135</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7743299</v>
      </c>
      <c r="D109" s="192">
        <f>IF(F3="1",SUMIF(Data!$A:$A,$A$2,Data!HJ:HJ),0)</f>
        <v>1511373</v>
      </c>
      <c r="E109" s="192">
        <f>IF(F3="1",SUMIF(Data!$A:$A,$A$2,Data!IN:IN),0)</f>
        <v>1195081</v>
      </c>
      <c r="F109" s="48">
        <f>SUM(C109:E109)</f>
        <v>10449753</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253416</v>
      </c>
      <c r="D111" s="52"/>
      <c r="E111" s="193">
        <f>IF(F3="1",SUMIF(Data!A:A,$A$2,Data!AX:AX)-SUMIF(Data!A:A,$A$2,Data!AW:AW),0)</f>
        <v>114547</v>
      </c>
      <c r="F111" s="49">
        <f t="shared" si="7"/>
        <v>367963</v>
      </c>
    </row>
    <row r="112" spans="2:6" x14ac:dyDescent="0.2">
      <c r="B112" s="43" t="s">
        <v>32</v>
      </c>
      <c r="C112" s="193">
        <f>IF(F3="1",SUMIF(Data!A:A,$A$2,Data!V:V),0)</f>
        <v>867268</v>
      </c>
      <c r="D112" s="52"/>
      <c r="E112" s="193">
        <f>IF(F3="1",SUMIF(Data!A:A,$A$2,Data!AC:AC),0)</f>
        <v>393872</v>
      </c>
      <c r="F112" s="49">
        <f t="shared" si="7"/>
        <v>1261140</v>
      </c>
    </row>
    <row r="113" spans="1:6" x14ac:dyDescent="0.2">
      <c r="B113" s="43" t="s">
        <v>31</v>
      </c>
      <c r="C113" s="193">
        <f>IF(F3="1",SUMIF(Data!A:A,$A$2,Data!U:U),0)</f>
        <v>1259481</v>
      </c>
      <c r="D113" s="52"/>
      <c r="E113" s="193">
        <f>IF(F3="1",SUMIF(Data!A:A,$A$2,Data!AB:AB),0)</f>
        <v>294649</v>
      </c>
      <c r="F113" s="49">
        <f t="shared" si="7"/>
        <v>1554130</v>
      </c>
    </row>
    <row r="114" spans="1:6" x14ac:dyDescent="0.2">
      <c r="B114" s="43" t="s">
        <v>1002</v>
      </c>
      <c r="C114" s="193">
        <f>IF(F3="1",SUMIF(Data!A:A,$A$2,Data!T:T),0)</f>
        <v>1650466</v>
      </c>
      <c r="D114" s="52"/>
      <c r="E114" s="193">
        <f>IF(F3="1",SUMIF(Data!A:A,$A$2,Data!AA:AA),0)</f>
        <v>1784786</v>
      </c>
      <c r="F114" s="49">
        <f t="shared" si="7"/>
        <v>3435252</v>
      </c>
    </row>
    <row r="115" spans="1:6" x14ac:dyDescent="0.2">
      <c r="B115" s="43" t="s">
        <v>916</v>
      </c>
      <c r="C115" s="193">
        <f>IF(F3="1",SUMIF(Data!A:A,$A$2,Data!BI:BI),0)</f>
        <v>600774</v>
      </c>
      <c r="D115" s="193">
        <f>IF(F3="1",SUMIF(Data!A:A,$A$2,Data!BL:BL),0)</f>
        <v>175283</v>
      </c>
      <c r="E115" s="193">
        <f>IF(F3="1",SUMIF(Data!A:A,$A$2,Data!BU:BU)-SUMIF(Data!A:A,$A$2,Data!BT:BT),0)</f>
        <v>2270901</v>
      </c>
      <c r="F115" s="49">
        <f t="shared" si="7"/>
        <v>3046958</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744225</v>
      </c>
      <c r="E117" s="53"/>
      <c r="F117" s="50">
        <f>SUM(C117:E117)</f>
        <v>744225</v>
      </c>
    </row>
    <row r="118" spans="1:6" x14ac:dyDescent="0.2">
      <c r="B118" s="14" t="s">
        <v>35</v>
      </c>
      <c r="C118" s="178">
        <f>SUM(C109:C117)</f>
        <v>12374704</v>
      </c>
      <c r="D118" s="194">
        <f>SUM(D109:D117)</f>
        <v>2430881</v>
      </c>
      <c r="E118" s="178">
        <f>SUM(E109:E117)</f>
        <v>6053836</v>
      </c>
      <c r="F118" s="178">
        <f>SUM(F109:F117)</f>
        <v>20859421</v>
      </c>
    </row>
    <row r="119" spans="1:6" x14ac:dyDescent="0.2">
      <c r="C119" s="177"/>
      <c r="D119" s="177"/>
      <c r="E119" s="177"/>
    </row>
    <row r="120" spans="1:6" ht="15" thickBot="1" x14ac:dyDescent="0.25">
      <c r="B120" s="188" t="s">
        <v>921</v>
      </c>
      <c r="C120" s="53"/>
      <c r="D120" s="53"/>
      <c r="E120" s="195">
        <f>IF(F3="1",SUMIF(Data!A:A,$A$2,Data!AF:AF)+SUMIF(Data!A:A,$A$2,Data!AW:AW)+SUMIF(Data!A:A,$A$2,Data!BT:BT),0)</f>
        <v>536549</v>
      </c>
      <c r="F120" s="181">
        <f>SUM(C120:E120)</f>
        <v>536549</v>
      </c>
    </row>
    <row r="121" spans="1:6" s="177" customFormat="1" x14ac:dyDescent="0.2">
      <c r="B121" s="14" t="s">
        <v>35</v>
      </c>
      <c r="C121" s="178">
        <f>SUM(C120:C120)</f>
        <v>0</v>
      </c>
      <c r="D121" s="178">
        <f>SUM(D120:D120)</f>
        <v>0</v>
      </c>
      <c r="E121" s="178">
        <f>SUM(E120:E120)</f>
        <v>536549</v>
      </c>
      <c r="F121" s="178">
        <f>SUM(F120:F120)</f>
        <v>536549</v>
      </c>
    </row>
    <row r="122" spans="1:6" s="177" customFormat="1" ht="15" thickBot="1" x14ac:dyDescent="0.25">
      <c r="B122" s="14" t="s">
        <v>1396</v>
      </c>
      <c r="C122" s="178"/>
      <c r="D122" s="178"/>
      <c r="E122" s="178"/>
      <c r="F122" s="190">
        <f>F118+F121</f>
        <v>21395970</v>
      </c>
    </row>
    <row r="123" spans="1:6" ht="15" thickTop="1" x14ac:dyDescent="0.2">
      <c r="F123" s="184">
        <f>F118+F120</f>
        <v>21395970</v>
      </c>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371</v>
      </c>
      <c r="B2" s="59" t="str">
        <f>VLOOKUP(A2,Data!A:G,7,0)</f>
        <v>Hill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15376</v>
      </c>
      <c r="E5" s="16">
        <f>E36+E67+IFERROR($E$105/$D$105*D5,0)</f>
        <v>124800.30056206489</v>
      </c>
      <c r="F5" s="21">
        <f>IFERROR(E5/D5,"")</f>
        <v>8.1165648128294023</v>
      </c>
    </row>
    <row r="6" spans="1:6" x14ac:dyDescent="0.2">
      <c r="A6" s="20">
        <v>2</v>
      </c>
      <c r="B6" s="202" t="s">
        <v>1</v>
      </c>
      <c r="C6" s="203"/>
      <c r="D6" s="15">
        <f t="shared" ref="D6:D32" si="0">D37</f>
        <v>70902</v>
      </c>
      <c r="E6" s="18">
        <f t="shared" ref="E6:E32" si="1">E37+E68+IFERROR($E$105/$D$105*D6,0)</f>
        <v>503122.01420730527</v>
      </c>
      <c r="F6" s="22">
        <f t="shared" ref="F6:F33" si="2">IFERROR(E6/D6,"")</f>
        <v>7.0960200587755669</v>
      </c>
    </row>
    <row r="7" spans="1:6" ht="14.25" customHeight="1" x14ac:dyDescent="0.2">
      <c r="A7" s="20">
        <v>3</v>
      </c>
      <c r="B7" s="202" t="s">
        <v>2</v>
      </c>
      <c r="C7" s="203"/>
      <c r="D7" s="15">
        <f t="shared" si="0"/>
        <v>255440</v>
      </c>
      <c r="E7" s="18">
        <f t="shared" si="1"/>
        <v>1524804.1222407557</v>
      </c>
      <c r="F7" s="22">
        <f t="shared" si="2"/>
        <v>5.9693239987502178</v>
      </c>
    </row>
    <row r="8" spans="1:6" ht="14.25" customHeight="1" x14ac:dyDescent="0.2">
      <c r="A8" s="20">
        <v>4</v>
      </c>
      <c r="B8" s="202" t="s">
        <v>3</v>
      </c>
      <c r="C8" s="203"/>
      <c r="D8" s="15">
        <f t="shared" si="0"/>
        <v>181957</v>
      </c>
      <c r="E8" s="18">
        <f t="shared" si="1"/>
        <v>620235.15318494034</v>
      </c>
      <c r="F8" s="22">
        <f t="shared" si="2"/>
        <v>3.4086908070859616</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5472</v>
      </c>
      <c r="E10" s="18">
        <f t="shared" si="1"/>
        <v>26227.117369642241</v>
      </c>
      <c r="F10" s="22">
        <f t="shared" si="2"/>
        <v>4.7929673555632748</v>
      </c>
    </row>
    <row r="11" spans="1:6" x14ac:dyDescent="0.2">
      <c r="A11" s="20">
        <v>7</v>
      </c>
      <c r="B11" s="202" t="s">
        <v>6</v>
      </c>
      <c r="C11" s="203"/>
      <c r="D11" s="15">
        <f t="shared" si="0"/>
        <v>30992</v>
      </c>
      <c r="E11" s="18">
        <f t="shared" si="1"/>
        <v>540070.53609648254</v>
      </c>
      <c r="F11" s="22">
        <f t="shared" si="2"/>
        <v>17.426127261760538</v>
      </c>
    </row>
    <row r="12" spans="1:6" x14ac:dyDescent="0.2">
      <c r="A12" s="20">
        <v>8</v>
      </c>
      <c r="B12" s="202" t="s">
        <v>7</v>
      </c>
      <c r="C12" s="203"/>
      <c r="D12" s="15">
        <f t="shared" si="0"/>
        <v>1676</v>
      </c>
      <c r="E12" s="18">
        <f t="shared" si="1"/>
        <v>21384.929223596562</v>
      </c>
      <c r="F12" s="22">
        <f t="shared" si="2"/>
        <v>12.759504310021816</v>
      </c>
    </row>
    <row r="13" spans="1:6" x14ac:dyDescent="0.2">
      <c r="A13" s="20">
        <v>9</v>
      </c>
      <c r="B13" s="202" t="s">
        <v>8</v>
      </c>
      <c r="C13" s="203"/>
      <c r="D13" s="15">
        <f t="shared" si="0"/>
        <v>249464</v>
      </c>
      <c r="E13" s="18">
        <f t="shared" si="1"/>
        <v>1390130.4414291726</v>
      </c>
      <c r="F13" s="22">
        <f t="shared" si="2"/>
        <v>5.5724691395518899</v>
      </c>
    </row>
    <row r="14" spans="1:6" x14ac:dyDescent="0.2">
      <c r="A14" s="20">
        <v>10</v>
      </c>
      <c r="B14" s="202" t="s">
        <v>9</v>
      </c>
      <c r="C14" s="203"/>
      <c r="D14" s="15">
        <f t="shared" si="0"/>
        <v>64</v>
      </c>
      <c r="E14" s="18">
        <f t="shared" si="1"/>
        <v>287.84932596072798</v>
      </c>
      <c r="F14" s="22">
        <f t="shared" si="2"/>
        <v>4.4976457181363747</v>
      </c>
    </row>
    <row r="15" spans="1:6" x14ac:dyDescent="0.2">
      <c r="A15" s="20">
        <v>11</v>
      </c>
      <c r="B15" s="202" t="s">
        <v>10</v>
      </c>
      <c r="C15" s="203"/>
      <c r="D15" s="15">
        <f t="shared" si="0"/>
        <v>5000</v>
      </c>
      <c r="E15" s="18">
        <f t="shared" si="1"/>
        <v>24034.478590681872</v>
      </c>
      <c r="F15" s="22">
        <f t="shared" si="2"/>
        <v>4.8068957181363743</v>
      </c>
    </row>
    <row r="16" spans="1:6" ht="14.25" customHeight="1" x14ac:dyDescent="0.2">
      <c r="A16" s="20">
        <v>12</v>
      </c>
      <c r="B16" s="202" t="s">
        <v>11</v>
      </c>
      <c r="C16" s="203"/>
      <c r="D16" s="15">
        <f t="shared" si="0"/>
        <v>247760</v>
      </c>
      <c r="E16" s="18">
        <f t="shared" si="1"/>
        <v>1226001.2031254682</v>
      </c>
      <c r="F16" s="22">
        <f t="shared" si="2"/>
        <v>4.9483419564314994</v>
      </c>
    </row>
    <row r="17" spans="1:6" x14ac:dyDescent="0.2">
      <c r="A17" s="20">
        <v>13</v>
      </c>
      <c r="B17" s="202" t="s">
        <v>12</v>
      </c>
      <c r="C17" s="203"/>
      <c r="D17" s="15">
        <f t="shared" si="0"/>
        <v>39712</v>
      </c>
      <c r="E17" s="18">
        <f t="shared" si="1"/>
        <v>184750.50675863173</v>
      </c>
      <c r="F17" s="22">
        <f t="shared" si="2"/>
        <v>4.6522589332854487</v>
      </c>
    </row>
    <row r="18" spans="1:6" ht="14.25" customHeight="1" x14ac:dyDescent="0.2">
      <c r="A18" s="20">
        <v>14</v>
      </c>
      <c r="B18" s="202" t="s">
        <v>449</v>
      </c>
      <c r="C18" s="203"/>
      <c r="D18" s="15">
        <f t="shared" si="0"/>
        <v>41710</v>
      </c>
      <c r="E18" s="18">
        <f t="shared" si="1"/>
        <v>348236.4904034682</v>
      </c>
      <c r="F18" s="22">
        <f t="shared" si="2"/>
        <v>8.3489928171533965</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117122</v>
      </c>
      <c r="E20" s="18">
        <f t="shared" si="1"/>
        <v>799372.07429956854</v>
      </c>
      <c r="F20" s="22">
        <f t="shared" si="2"/>
        <v>6.8251231561924195</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111944</v>
      </c>
      <c r="E22" s="18">
        <f t="shared" si="1"/>
        <v>901129.70227105834</v>
      </c>
      <c r="F22" s="22">
        <f t="shared" si="2"/>
        <v>8.0498258260474724</v>
      </c>
    </row>
    <row r="23" spans="1:6" x14ac:dyDescent="0.2">
      <c r="A23" s="20">
        <v>19</v>
      </c>
      <c r="B23" s="202" t="s">
        <v>17</v>
      </c>
      <c r="C23" s="203"/>
      <c r="D23" s="15">
        <f t="shared" si="0"/>
        <v>133744</v>
      </c>
      <c r="E23" s="18">
        <f t="shared" si="1"/>
        <v>643159.62892643129</v>
      </c>
      <c r="F23" s="22">
        <f t="shared" si="2"/>
        <v>4.8088858485347474</v>
      </c>
    </row>
    <row r="24" spans="1:6" x14ac:dyDescent="0.2">
      <c r="A24" s="20">
        <v>20</v>
      </c>
      <c r="B24" s="202" t="s">
        <v>18</v>
      </c>
      <c r="C24" s="203"/>
      <c r="D24" s="15">
        <f t="shared" si="0"/>
        <v>39776</v>
      </c>
      <c r="E24" s="18">
        <f t="shared" si="1"/>
        <v>298529.35608459241</v>
      </c>
      <c r="F24" s="22">
        <f t="shared" si="2"/>
        <v>7.5052633770261563</v>
      </c>
    </row>
    <row r="25" spans="1:6" ht="14.25" customHeight="1" x14ac:dyDescent="0.2">
      <c r="A25" s="20">
        <v>21</v>
      </c>
      <c r="B25" s="202" t="s">
        <v>446</v>
      </c>
      <c r="C25" s="203"/>
      <c r="D25" s="15">
        <f t="shared" si="0"/>
        <v>0</v>
      </c>
      <c r="E25" s="18">
        <f t="shared" si="1"/>
        <v>0</v>
      </c>
      <c r="F25" s="22" t="str">
        <f t="shared" si="2"/>
        <v/>
      </c>
    </row>
    <row r="26" spans="1:6" x14ac:dyDescent="0.2">
      <c r="A26" s="20">
        <v>22</v>
      </c>
      <c r="B26" s="202" t="s">
        <v>19</v>
      </c>
      <c r="C26" s="203"/>
      <c r="D26" s="15">
        <f t="shared" si="0"/>
        <v>0</v>
      </c>
      <c r="E26" s="18">
        <f t="shared" si="1"/>
        <v>0</v>
      </c>
      <c r="F26" s="22" t="str">
        <f t="shared" si="2"/>
        <v/>
      </c>
    </row>
    <row r="27" spans="1:6" x14ac:dyDescent="0.2">
      <c r="A27" s="20">
        <v>23</v>
      </c>
      <c r="B27" s="202" t="s">
        <v>20</v>
      </c>
      <c r="C27" s="203"/>
      <c r="D27" s="15">
        <f t="shared" si="0"/>
        <v>71952</v>
      </c>
      <c r="E27" s="18">
        <f t="shared" si="1"/>
        <v>822688.10471134842</v>
      </c>
      <c r="F27" s="22">
        <f t="shared" si="2"/>
        <v>11.433846240706977</v>
      </c>
    </row>
    <row r="28" spans="1:6" x14ac:dyDescent="0.2">
      <c r="A28" s="20">
        <v>24</v>
      </c>
      <c r="B28" s="202" t="s">
        <v>21</v>
      </c>
      <c r="C28" s="203"/>
      <c r="D28" s="15">
        <f t="shared" si="0"/>
        <v>86760</v>
      </c>
      <c r="E28" s="18">
        <f t="shared" si="1"/>
        <v>556696.99250551185</v>
      </c>
      <c r="F28" s="22">
        <f t="shared" si="2"/>
        <v>6.4165167416495139</v>
      </c>
    </row>
    <row r="29" spans="1:6" x14ac:dyDescent="0.2">
      <c r="A29" s="20">
        <v>25</v>
      </c>
      <c r="B29" s="202" t="s">
        <v>22</v>
      </c>
      <c r="C29" s="203"/>
      <c r="D29" s="15">
        <f t="shared" si="0"/>
        <v>285616</v>
      </c>
      <c r="E29" s="18">
        <f t="shared" si="1"/>
        <v>1459765.0794312388</v>
      </c>
      <c r="F29" s="22">
        <f t="shared" si="2"/>
        <v>5.1109359399726868</v>
      </c>
    </row>
    <row r="30" spans="1:6" x14ac:dyDescent="0.2">
      <c r="A30" s="20">
        <v>26</v>
      </c>
      <c r="B30" s="202" t="s">
        <v>23</v>
      </c>
      <c r="C30" s="203"/>
      <c r="D30" s="15">
        <f t="shared" si="0"/>
        <v>109872</v>
      </c>
      <c r="E30" s="18">
        <f t="shared" si="1"/>
        <v>679546.83034307975</v>
      </c>
      <c r="F30" s="22">
        <f t="shared" si="2"/>
        <v>6.1848954268883771</v>
      </c>
    </row>
    <row r="31" spans="1:6" x14ac:dyDescent="0.2">
      <c r="A31" s="20">
        <v>28</v>
      </c>
      <c r="B31" s="202" t="s">
        <v>24</v>
      </c>
      <c r="C31" s="203"/>
      <c r="D31" s="15">
        <f t="shared" si="0"/>
        <v>118560</v>
      </c>
      <c r="E31" s="18">
        <f t="shared" si="1"/>
        <v>559181.87634224864</v>
      </c>
      <c r="F31" s="22">
        <f t="shared" si="2"/>
        <v>4.7164463254238242</v>
      </c>
    </row>
    <row r="32" spans="1:6" ht="15.75" customHeight="1" thickBot="1" x14ac:dyDescent="0.25">
      <c r="A32" s="23">
        <v>29</v>
      </c>
      <c r="B32" s="206" t="s">
        <v>25</v>
      </c>
      <c r="C32" s="207"/>
      <c r="D32" s="24">
        <f t="shared" si="0"/>
        <v>81888</v>
      </c>
      <c r="E32" s="25">
        <f t="shared" si="1"/>
        <v>402937.21256675146</v>
      </c>
      <c r="F32" s="26">
        <f t="shared" si="2"/>
        <v>4.9205892507663087</v>
      </c>
    </row>
    <row r="33" spans="1:6" x14ac:dyDescent="0.2">
      <c r="B33" s="31" t="s">
        <v>35</v>
      </c>
      <c r="C33" s="31"/>
      <c r="D33" s="60">
        <f>SUM(D5:D32)</f>
        <v>2302759</v>
      </c>
      <c r="E33" s="32">
        <f>SUM(E5:E32)</f>
        <v>13657092</v>
      </c>
      <c r="F33" s="33">
        <f t="shared" si="2"/>
        <v>5.9307517634281313</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IF(F3="1",SUMIF(Data!A:A,'20'!$A$2,Data!CU:CU),0)</f>
        <v>15376</v>
      </c>
      <c r="E36" s="16">
        <f>IF(F3="1",SUMIF(Data!$A:$A,'20'!$A$2,Data!IO:IO),0)</f>
        <v>15460</v>
      </c>
      <c r="F36" s="21">
        <f t="shared" ref="F36:F64" si="3">IFERROR(E36/D36,"")</f>
        <v>1.0054630593132154</v>
      </c>
    </row>
    <row r="37" spans="1:6" x14ac:dyDescent="0.2">
      <c r="A37" s="20">
        <v>2</v>
      </c>
      <c r="B37" s="202" t="s">
        <v>1</v>
      </c>
      <c r="C37" s="203"/>
      <c r="D37" s="15">
        <f>IF(F3="1",SUMIF(Data!A:A,'20'!$A$2,Data!CV:CV),0)</f>
        <v>70902</v>
      </c>
      <c r="E37" s="18">
        <f>IF(F3="1",SUMIF(Data!$A:$A,'20'!$A$2,Data!IP:IP),0)</f>
        <v>57116</v>
      </c>
      <c r="F37" s="22">
        <f t="shared" si="3"/>
        <v>0.80556260754280551</v>
      </c>
    </row>
    <row r="38" spans="1:6" ht="14.25" customHeight="1" x14ac:dyDescent="0.2">
      <c r="A38" s="20">
        <v>3</v>
      </c>
      <c r="B38" s="202" t="s">
        <v>2</v>
      </c>
      <c r="C38" s="203"/>
      <c r="D38" s="15">
        <f>IF(F3="1",SUMIF(Data!A:A,'20'!$A$2,Data!CW:CW),0)</f>
        <v>255440</v>
      </c>
      <c r="E38" s="18">
        <f>IF(F3="1",SUMIF(Data!$A:$A,'20'!$A$2,Data!IQ:IQ),0)</f>
        <v>74931</v>
      </c>
      <c r="F38" s="22">
        <f t="shared" si="3"/>
        <v>0.29334090197306606</v>
      </c>
    </row>
    <row r="39" spans="1:6" ht="14.25" customHeight="1" x14ac:dyDescent="0.2">
      <c r="A39" s="20">
        <v>4</v>
      </c>
      <c r="B39" s="202" t="s">
        <v>3</v>
      </c>
      <c r="C39" s="203"/>
      <c r="D39" s="15">
        <f>IF(F3="1",SUMIF(Data!A:A,'20'!$A$2,Data!CX:CX),0)</f>
        <v>181957</v>
      </c>
      <c r="E39" s="18">
        <f>IF(F3="1",SUMIF(Data!$A:$A,'20'!$A$2,Data!IR:IR),0)</f>
        <v>5186</v>
      </c>
      <c r="F39" s="22">
        <f t="shared" si="3"/>
        <v>2.8501239303791556E-2</v>
      </c>
    </row>
    <row r="40" spans="1:6" x14ac:dyDescent="0.2">
      <c r="A40" s="20">
        <v>5</v>
      </c>
      <c r="B40" s="202" t="s">
        <v>4</v>
      </c>
      <c r="C40" s="203"/>
      <c r="D40" s="15">
        <f>IF(F3="1",SUMIF(Data!A:A,'20'!$A$2,Data!CY:CY),0)</f>
        <v>0</v>
      </c>
      <c r="E40" s="18">
        <f>IF(F3="1",SUMIF(Data!$A:$A,'20'!$A$2,Data!IS:IS),0)</f>
        <v>0</v>
      </c>
      <c r="F40" s="22" t="str">
        <f t="shared" si="3"/>
        <v/>
      </c>
    </row>
    <row r="41" spans="1:6" x14ac:dyDescent="0.2">
      <c r="A41" s="20">
        <v>6</v>
      </c>
      <c r="B41" s="202" t="s">
        <v>5</v>
      </c>
      <c r="C41" s="203"/>
      <c r="D41" s="15">
        <f>IF(F3="1",SUMIF(Data!A:A,'20'!$A$2,Data!CZ:CZ),0)</f>
        <v>5472</v>
      </c>
      <c r="E41" s="18">
        <f>IF(F3="1",SUMIF(Data!$A:$A,'20'!$A$2,Data!IT:IT),0)</f>
        <v>420</v>
      </c>
      <c r="F41" s="22">
        <f t="shared" si="3"/>
        <v>7.6754385964912283E-2</v>
      </c>
    </row>
    <row r="42" spans="1:6" x14ac:dyDescent="0.2">
      <c r="A42" s="20">
        <v>7</v>
      </c>
      <c r="B42" s="202" t="s">
        <v>6</v>
      </c>
      <c r="C42" s="203"/>
      <c r="D42" s="15">
        <f>IF(F3="1",SUMIF(Data!A:A,'20'!$A$2,Data!DA:DA),0)</f>
        <v>30992</v>
      </c>
      <c r="E42" s="18">
        <f>IF(F3="1",SUMIF(Data!$A:$A,'20'!$A$2,Data!IU:IU),0)</f>
        <v>26610</v>
      </c>
      <c r="F42" s="22">
        <f t="shared" si="3"/>
        <v>0.85860867320598866</v>
      </c>
    </row>
    <row r="43" spans="1:6" x14ac:dyDescent="0.2">
      <c r="A43" s="20">
        <v>8</v>
      </c>
      <c r="B43" s="202" t="s">
        <v>7</v>
      </c>
      <c r="C43" s="203"/>
      <c r="D43" s="15">
        <f>IF(F3="1",SUMIF(Data!A:A,'20'!$A$2,Data!DB:DB),0)</f>
        <v>1676</v>
      </c>
      <c r="E43" s="18">
        <f>IF(F3="1",SUMIF(Data!$A:$A,'20'!$A$2,Data!IV:IV),0)</f>
        <v>4288</v>
      </c>
      <c r="F43" s="22">
        <f t="shared" si="3"/>
        <v>2.5584725536992838</v>
      </c>
    </row>
    <row r="44" spans="1:6" x14ac:dyDescent="0.2">
      <c r="A44" s="20">
        <v>9</v>
      </c>
      <c r="B44" s="202" t="s">
        <v>8</v>
      </c>
      <c r="C44" s="203"/>
      <c r="D44" s="15">
        <f>IF(F3="1",SUMIF(Data!A:A,'20'!$A$2,Data!DC:DC),0)</f>
        <v>249464</v>
      </c>
      <c r="E44" s="18">
        <f>IF(F3="1",SUMIF(Data!$A:$A,'20'!$A$2,Data!IW:IW),0)</f>
        <v>72741</v>
      </c>
      <c r="F44" s="22">
        <f t="shared" si="3"/>
        <v>0.29158916717442196</v>
      </c>
    </row>
    <row r="45" spans="1:6" x14ac:dyDescent="0.2">
      <c r="A45" s="20">
        <v>10</v>
      </c>
      <c r="B45" s="202" t="s">
        <v>9</v>
      </c>
      <c r="C45" s="203"/>
      <c r="D45" s="15">
        <f>IF(F3="1",SUMIF(Data!A:A,'20'!$A$2,Data!DD:DD),0)</f>
        <v>64</v>
      </c>
      <c r="E45" s="18">
        <f>IF(F3="1",SUMIF(Data!$A:$A,'20'!$A$2,Data!IX:IX),0)</f>
        <v>2</v>
      </c>
      <c r="F45" s="22">
        <f t="shared" si="3"/>
        <v>3.125E-2</v>
      </c>
    </row>
    <row r="46" spans="1:6" x14ac:dyDescent="0.2">
      <c r="A46" s="20">
        <v>11</v>
      </c>
      <c r="B46" s="202" t="s">
        <v>10</v>
      </c>
      <c r="C46" s="203"/>
      <c r="D46" s="15">
        <f>IF(F3="1",SUMIF(Data!A:A,'20'!$A$2,Data!DE:DE),0)</f>
        <v>5000</v>
      </c>
      <c r="E46" s="18">
        <f>IF(F3="1",SUMIF(Data!$A:$A,'20'!$A$2,Data!IY:IY),0)</f>
        <v>291</v>
      </c>
      <c r="F46" s="22">
        <f t="shared" si="3"/>
        <v>5.8200000000000002E-2</v>
      </c>
    </row>
    <row r="47" spans="1:6" ht="14.25" customHeight="1" x14ac:dyDescent="0.2">
      <c r="A47" s="20">
        <v>12</v>
      </c>
      <c r="B47" s="202" t="s">
        <v>11</v>
      </c>
      <c r="C47" s="203"/>
      <c r="D47" s="15">
        <f>IF(F3="1",SUMIF(Data!A:A,'20'!$A$2,Data!DF:DF),0)</f>
        <v>247760</v>
      </c>
      <c r="E47" s="18">
        <f>IF(F3="1",SUMIF(Data!$A:$A,'20'!$A$2,Data!IZ:IZ),0)</f>
        <v>20580</v>
      </c>
      <c r="F47" s="22">
        <f t="shared" si="3"/>
        <v>8.3064255731352926E-2</v>
      </c>
    </row>
    <row r="48" spans="1:6" x14ac:dyDescent="0.2">
      <c r="A48" s="20">
        <v>13</v>
      </c>
      <c r="B48" s="202" t="s">
        <v>12</v>
      </c>
      <c r="C48" s="203"/>
      <c r="D48" s="15">
        <f>IF(F3="1",SUMIF(Data!A:A,'20'!$A$2,Data!DG:DG),0)</f>
        <v>39712</v>
      </c>
      <c r="E48" s="18">
        <f>IF(F3="1",SUMIF(Data!$A:$A,'20'!$A$2,Data!JA:JA),0)</f>
        <v>2324</v>
      </c>
      <c r="F48" s="22">
        <f t="shared" si="3"/>
        <v>5.8521353746978241E-2</v>
      </c>
    </row>
    <row r="49" spans="1:6" ht="14.25" customHeight="1" x14ac:dyDescent="0.2">
      <c r="A49" s="20">
        <v>14</v>
      </c>
      <c r="B49" s="202" t="s">
        <v>449</v>
      </c>
      <c r="C49" s="203"/>
      <c r="D49" s="15">
        <f>IF(F3="1",SUMIF(Data!A:A,'20'!$A$2,Data!DH:DH),0)</f>
        <v>41710</v>
      </c>
      <c r="E49" s="18">
        <f>IF(F3="1",SUMIF(Data!$A:$A,'20'!$A$2,Data!JB:JB),0)</f>
        <v>16581</v>
      </c>
      <c r="F49" s="22">
        <f t="shared" si="3"/>
        <v>0.39753056820906257</v>
      </c>
    </row>
    <row r="50" spans="1:6" x14ac:dyDescent="0.2">
      <c r="A50" s="20">
        <v>15</v>
      </c>
      <c r="B50" s="202" t="s">
        <v>13</v>
      </c>
      <c r="C50" s="203"/>
      <c r="D50" s="15">
        <f>IF(F3="1",SUMIF(Data!A:A,'20'!$A$2,Data!DI:DI),0)</f>
        <v>0</v>
      </c>
      <c r="E50" s="18">
        <f>IF(F3="1",SUMIF(Data!$A:$A,'20'!$A$2,Data!JC:JC),0)</f>
        <v>0</v>
      </c>
      <c r="F50" s="22" t="str">
        <f t="shared" si="3"/>
        <v/>
      </c>
    </row>
    <row r="51" spans="1:6" x14ac:dyDescent="0.2">
      <c r="A51" s="20">
        <v>16</v>
      </c>
      <c r="B51" s="202" t="s">
        <v>14</v>
      </c>
      <c r="C51" s="203"/>
      <c r="D51" s="15">
        <f>IF(F3="1",SUMIF(Data!A:A,'20'!$A$2,Data!DJ:DJ),0)</f>
        <v>117122</v>
      </c>
      <c r="E51" s="18">
        <f>IF(F3="1",SUMIF(Data!$A:$A,'20'!$A$2,Data!JD:JD),0)</f>
        <v>74927</v>
      </c>
      <c r="F51" s="22">
        <f t="shared" si="3"/>
        <v>0.63973463567903555</v>
      </c>
    </row>
    <row r="52" spans="1:6" x14ac:dyDescent="0.2">
      <c r="A52" s="20">
        <v>17</v>
      </c>
      <c r="B52" s="202" t="s">
        <v>15</v>
      </c>
      <c r="C52" s="203"/>
      <c r="D52" s="15">
        <f>IF(F3="1",SUMIF(Data!A:A,'20'!$A$2,Data!DK:DK),0)</f>
        <v>0</v>
      </c>
      <c r="E52" s="18">
        <f>IF(F3="1",SUMIF(Data!$A:$A,'20'!$A$2,Data!JE:JE),0)</f>
        <v>0</v>
      </c>
      <c r="F52" s="22" t="str">
        <f t="shared" si="3"/>
        <v/>
      </c>
    </row>
    <row r="53" spans="1:6" x14ac:dyDescent="0.2">
      <c r="A53" s="20">
        <v>18</v>
      </c>
      <c r="B53" s="202" t="s">
        <v>16</v>
      </c>
      <c r="C53" s="203"/>
      <c r="D53" s="15">
        <f>IF(F3="1",SUMIF(Data!A:A,'20'!$A$2,Data!DL:DL),0)</f>
        <v>111944</v>
      </c>
      <c r="E53" s="18">
        <f>IF(F3="1",SUMIF(Data!$A:$A,'20'!$A$2,Data!JF:JF),0)</f>
        <v>81369</v>
      </c>
      <c r="F53" s="22">
        <f t="shared" si="3"/>
        <v>0.72687236475380546</v>
      </c>
    </row>
    <row r="54" spans="1:6" x14ac:dyDescent="0.2">
      <c r="A54" s="20">
        <v>19</v>
      </c>
      <c r="B54" s="202" t="s">
        <v>17</v>
      </c>
      <c r="C54" s="203"/>
      <c r="D54" s="15">
        <f>IF(F3="1",SUMIF(Data!A:A,'20'!$A$2,Data!DM:DM),0)</f>
        <v>133744</v>
      </c>
      <c r="E54" s="18">
        <f>IF(F3="1",SUMIF(Data!$A:$A,'20'!$A$2,Data!JG:JG),0)</f>
        <v>7787</v>
      </c>
      <c r="F54" s="22">
        <f t="shared" si="3"/>
        <v>5.8223172628304821E-2</v>
      </c>
    </row>
    <row r="55" spans="1:6" x14ac:dyDescent="0.2">
      <c r="A55" s="20">
        <v>20</v>
      </c>
      <c r="B55" s="202" t="s">
        <v>18</v>
      </c>
      <c r="C55" s="203"/>
      <c r="D55" s="15">
        <f>IF(F3="1",SUMIF(Data!A:A,'20'!$A$2,Data!DN:DN),0)</f>
        <v>39776</v>
      </c>
      <c r="E55" s="18">
        <f>IF(F3="1",SUMIF(Data!$A:$A,'20'!$A$2,Data!JH:JH),0)</f>
        <v>92474</v>
      </c>
      <c r="F55" s="22">
        <f t="shared" si="3"/>
        <v>2.3248692679002412</v>
      </c>
    </row>
    <row r="56" spans="1:6" ht="14.25" customHeight="1" x14ac:dyDescent="0.2">
      <c r="A56" s="20">
        <v>21</v>
      </c>
      <c r="B56" s="202" t="s">
        <v>446</v>
      </c>
      <c r="C56" s="203"/>
      <c r="D56" s="15">
        <f>IF(F3="1",SUMIF(Data!A:A,'20'!$A$2,Data!DO:DO),0)</f>
        <v>0</v>
      </c>
      <c r="E56" s="18">
        <f>IF(F3="1",SUMIF(Data!$A:$A,'20'!$A$2,Data!JI:JI),0)</f>
        <v>0</v>
      </c>
      <c r="F56" s="22" t="str">
        <f t="shared" si="3"/>
        <v/>
      </c>
    </row>
    <row r="57" spans="1:6" x14ac:dyDescent="0.2">
      <c r="A57" s="20">
        <v>22</v>
      </c>
      <c r="B57" s="202" t="s">
        <v>19</v>
      </c>
      <c r="C57" s="203"/>
      <c r="D57" s="15">
        <f>IF(F3="1",SUMIF(Data!A:A,'20'!$A$2,Data!DP:DP),0)</f>
        <v>0</v>
      </c>
      <c r="E57" s="18">
        <f>IF(F3="1",SUMIF(Data!$A:$A,'20'!$A$2,Data!JJ:JJ),0)</f>
        <v>0</v>
      </c>
      <c r="F57" s="22" t="str">
        <f t="shared" si="3"/>
        <v/>
      </c>
    </row>
    <row r="58" spans="1:6" x14ac:dyDescent="0.2">
      <c r="A58" s="20">
        <v>23</v>
      </c>
      <c r="B58" s="202" t="s">
        <v>20</v>
      </c>
      <c r="C58" s="203"/>
      <c r="D58" s="15">
        <f>IF(F3="1",SUMIF(Data!A:A,'20'!$A$2,Data!DQ:DQ),0)</f>
        <v>71952</v>
      </c>
      <c r="E58" s="18">
        <f>IF(F3="1",SUMIF(Data!$A:$A,'20'!$A$2,Data!JK:JK),0)</f>
        <v>63084</v>
      </c>
      <c r="F58" s="22">
        <f t="shared" si="3"/>
        <v>0.87675116744496329</v>
      </c>
    </row>
    <row r="59" spans="1:6" x14ac:dyDescent="0.2">
      <c r="A59" s="20">
        <v>24</v>
      </c>
      <c r="B59" s="202" t="s">
        <v>21</v>
      </c>
      <c r="C59" s="203"/>
      <c r="D59" s="15">
        <f>IF(F3="1",SUMIF(Data!A:A,'20'!$A$2,Data!DR:DR),0)</f>
        <v>86760</v>
      </c>
      <c r="E59" s="18">
        <f>IF(F3="1",SUMIF(Data!$A:$A,'20'!$A$2,Data!JL:JL),0)</f>
        <v>42692</v>
      </c>
      <c r="F59" s="22">
        <f t="shared" si="3"/>
        <v>0.49207007837713229</v>
      </c>
    </row>
    <row r="60" spans="1:6" x14ac:dyDescent="0.2">
      <c r="A60" s="20">
        <v>25</v>
      </c>
      <c r="B60" s="202" t="s">
        <v>22</v>
      </c>
      <c r="C60" s="203"/>
      <c r="D60" s="15">
        <f>IF(F3="1",SUMIF(Data!A:A,'20'!$A$2,Data!DS:DS),0)</f>
        <v>285616</v>
      </c>
      <c r="E60" s="18">
        <f>IF(F3="1",SUMIF(Data!$A:$A,'20'!$A$2,Data!JM:JM),0)</f>
        <v>29513</v>
      </c>
      <c r="F60" s="22">
        <f t="shared" si="3"/>
        <v>0.10333104587978265</v>
      </c>
    </row>
    <row r="61" spans="1:6" x14ac:dyDescent="0.2">
      <c r="A61" s="20">
        <v>26</v>
      </c>
      <c r="B61" s="202" t="s">
        <v>23</v>
      </c>
      <c r="C61" s="203"/>
      <c r="D61" s="15">
        <f>IF(F3="1",SUMIF(Data!A:A,'20'!$A$2,Data!DT:DT),0)</f>
        <v>109872</v>
      </c>
      <c r="E61" s="18">
        <f>IF(F3="1",SUMIF(Data!$A:$A,'20'!$A$2,Data!JN:JN),0)</f>
        <v>31735</v>
      </c>
      <c r="F61" s="22">
        <f t="shared" si="3"/>
        <v>0.28883610018931122</v>
      </c>
    </row>
    <row r="62" spans="1:6" x14ac:dyDescent="0.2">
      <c r="A62" s="20">
        <v>28</v>
      </c>
      <c r="B62" s="202" t="s">
        <v>24</v>
      </c>
      <c r="C62" s="203"/>
      <c r="D62" s="15">
        <f>IF(F3="1",SUMIF(Data!A:A,'20'!$A$2,Data!DV:DV),0)</f>
        <v>118560</v>
      </c>
      <c r="E62" s="18">
        <f>IF(F3="1",SUMIF(Data!$A:$A,'20'!$A$2,Data!JP:JP),0)</f>
        <v>5620</v>
      </c>
      <c r="F62" s="22">
        <f t="shared" si="3"/>
        <v>4.7402159244264511E-2</v>
      </c>
    </row>
    <row r="63" spans="1:6" ht="15.75" customHeight="1" thickBot="1" x14ac:dyDescent="0.25">
      <c r="A63" s="23">
        <v>29</v>
      </c>
      <c r="B63" s="206" t="s">
        <v>25</v>
      </c>
      <c r="C63" s="207"/>
      <c r="D63" s="24">
        <f>IF(F3="1",SUMIF(Data!A:A,'20'!$A$2,Data!DW:DW),0)</f>
        <v>81888</v>
      </c>
      <c r="E63" s="25">
        <f>IF(F3="1",SUMIF(Data!$A:$A,'20'!$A$2,Data!JQ:JQ),0)</f>
        <v>5643</v>
      </c>
      <c r="F63" s="26">
        <f t="shared" si="3"/>
        <v>6.8911195779601406E-2</v>
      </c>
    </row>
    <row r="64" spans="1:6" x14ac:dyDescent="0.2">
      <c r="B64" s="31" t="s">
        <v>35</v>
      </c>
      <c r="C64" s="31"/>
      <c r="D64" s="60">
        <f>SUM(D36:D63)</f>
        <v>2302759</v>
      </c>
      <c r="E64" s="32">
        <f>SUM(E36:E63)</f>
        <v>731374</v>
      </c>
      <c r="F64" s="33">
        <f t="shared" si="3"/>
        <v>0.3176077044970837</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15376</v>
      </c>
      <c r="E67" s="16">
        <f>IF(F3="1",SUMIF(Data!A:A,'20'!$A$2,Data!DY:DY),0)</f>
        <v>64690</v>
      </c>
      <c r="F67" s="21">
        <f>IFERROR(E67/D67,"")</f>
        <v>4.2072060353798131</v>
      </c>
    </row>
    <row r="68" spans="1:6" x14ac:dyDescent="0.2">
      <c r="A68" s="20">
        <v>2</v>
      </c>
      <c r="B68" s="202" t="s">
        <v>1</v>
      </c>
      <c r="C68" s="203"/>
      <c r="D68" s="15">
        <f t="shared" ref="D68:D94" si="4">D37</f>
        <v>70902</v>
      </c>
      <c r="E68" s="18">
        <f>IF(F3="1",SUMIF(Data!A:A,'20'!$A$2,Data!DZ:DZ),0)</f>
        <v>240114</v>
      </c>
      <c r="F68" s="22">
        <f t="shared" ref="F68:F95" si="5">IFERROR(E68/D68,"")</f>
        <v>3.3865617330963866</v>
      </c>
    </row>
    <row r="69" spans="1:6" ht="14.25" customHeight="1" x14ac:dyDescent="0.2">
      <c r="A69" s="20">
        <v>3</v>
      </c>
      <c r="B69" s="202" t="s">
        <v>2</v>
      </c>
      <c r="C69" s="203"/>
      <c r="D69" s="15">
        <f t="shared" si="4"/>
        <v>255440</v>
      </c>
      <c r="E69" s="18">
        <f>IF(F3="1",SUMIF(Data!A:A,'20'!$A$2,Data!EA:EA),0)</f>
        <v>708102</v>
      </c>
      <c r="F69" s="22">
        <f t="shared" si="5"/>
        <v>2.7720873786407765</v>
      </c>
    </row>
    <row r="70" spans="1:6" ht="14.25" customHeight="1" x14ac:dyDescent="0.2">
      <c r="A70" s="20">
        <v>4</v>
      </c>
      <c r="B70" s="202" t="s">
        <v>3</v>
      </c>
      <c r="C70" s="203"/>
      <c r="D70" s="15">
        <f t="shared" si="4"/>
        <v>181957</v>
      </c>
      <c r="E70" s="18">
        <f>IF(F3="1",SUMIF(Data!A:A,'20'!$A$2,Data!EB:EB),0)</f>
        <v>86665</v>
      </c>
      <c r="F70" s="22">
        <f t="shared" si="5"/>
        <v>0.47629384964579541</v>
      </c>
    </row>
    <row r="71" spans="1:6" x14ac:dyDescent="0.2">
      <c r="A71" s="20">
        <v>5</v>
      </c>
      <c r="B71" s="202" t="s">
        <v>4</v>
      </c>
      <c r="C71" s="203"/>
      <c r="D71" s="15">
        <f t="shared" si="4"/>
        <v>0</v>
      </c>
      <c r="E71" s="18">
        <f>IF(F3="1",SUMIF(Data!A:A,'20'!$A$2,Data!EC:EC),0)</f>
        <v>0</v>
      </c>
      <c r="F71" s="22" t="str">
        <f t="shared" si="5"/>
        <v/>
      </c>
    </row>
    <row r="72" spans="1:6" x14ac:dyDescent="0.2">
      <c r="A72" s="20">
        <v>6</v>
      </c>
      <c r="B72" s="202" t="s">
        <v>5</v>
      </c>
      <c r="C72" s="203"/>
      <c r="D72" s="15">
        <f t="shared" si="4"/>
        <v>5472</v>
      </c>
      <c r="E72" s="18">
        <f>IF(F3="1",SUMIF(Data!A:A,'20'!$A$2,Data!ED:ED),0)</f>
        <v>9917</v>
      </c>
      <c r="F72" s="22">
        <f t="shared" si="5"/>
        <v>1.8123172514619883</v>
      </c>
    </row>
    <row r="73" spans="1:6" x14ac:dyDescent="0.2">
      <c r="A73" s="20">
        <v>7</v>
      </c>
      <c r="B73" s="202" t="s">
        <v>6</v>
      </c>
      <c r="C73" s="203"/>
      <c r="D73" s="15">
        <f t="shared" si="4"/>
        <v>30992</v>
      </c>
      <c r="E73" s="18">
        <f>IF(F3="1",SUMIF(Data!A:A,'20'!$A$2,Data!EE:EE),0)</f>
        <v>423463</v>
      </c>
      <c r="F73" s="22">
        <f t="shared" si="5"/>
        <v>13.663622870418173</v>
      </c>
    </row>
    <row r="74" spans="1:6" x14ac:dyDescent="0.2">
      <c r="A74" s="20">
        <v>8</v>
      </c>
      <c r="B74" s="202" t="s">
        <v>7</v>
      </c>
      <c r="C74" s="203"/>
      <c r="D74" s="15">
        <f t="shared" si="4"/>
        <v>1676</v>
      </c>
      <c r="E74" s="18">
        <f>IF(F3="1",SUMIF(Data!A:A,'20'!$A$2,Data!EF:EF),0)</f>
        <v>12230</v>
      </c>
      <c r="F74" s="22">
        <f t="shared" si="5"/>
        <v>7.2971360381861574</v>
      </c>
    </row>
    <row r="75" spans="1:6" x14ac:dyDescent="0.2">
      <c r="A75" s="20">
        <v>9</v>
      </c>
      <c r="B75" s="202" t="s">
        <v>8</v>
      </c>
      <c r="C75" s="203"/>
      <c r="D75" s="15">
        <f t="shared" si="4"/>
        <v>249464</v>
      </c>
      <c r="E75" s="18">
        <f>IF(F3="1",SUMIF(Data!A:A,'20'!$A$2,Data!EG:EG),0)</f>
        <v>592972</v>
      </c>
      <c r="F75" s="22">
        <f t="shared" si="5"/>
        <v>2.3769842542410928</v>
      </c>
    </row>
    <row r="76" spans="1:6" x14ac:dyDescent="0.2">
      <c r="A76" s="20">
        <v>10</v>
      </c>
      <c r="B76" s="202" t="s">
        <v>9</v>
      </c>
      <c r="C76" s="203"/>
      <c r="D76" s="15">
        <f t="shared" si="4"/>
        <v>64</v>
      </c>
      <c r="E76" s="18">
        <f>IF(F3="1",SUMIF(Data!A:A,'20'!$A$2,Data!EH:EH),0)</f>
        <v>100</v>
      </c>
      <c r="F76" s="22">
        <f t="shared" si="5"/>
        <v>1.5625</v>
      </c>
    </row>
    <row r="77" spans="1:6" x14ac:dyDescent="0.2">
      <c r="A77" s="20">
        <v>11</v>
      </c>
      <c r="B77" s="202" t="s">
        <v>10</v>
      </c>
      <c r="C77" s="203"/>
      <c r="D77" s="15">
        <f t="shared" si="4"/>
        <v>5000</v>
      </c>
      <c r="E77" s="18">
        <f>IF(F3="1",SUMIF(Data!A:A,'20'!$A$2,Data!EI:EI),0)</f>
        <v>9224</v>
      </c>
      <c r="F77" s="22">
        <f t="shared" si="5"/>
        <v>1.8448</v>
      </c>
    </row>
    <row r="78" spans="1:6" ht="14.25" customHeight="1" x14ac:dyDescent="0.2">
      <c r="A78" s="20">
        <v>12</v>
      </c>
      <c r="B78" s="202" t="s">
        <v>11</v>
      </c>
      <c r="C78" s="203"/>
      <c r="D78" s="15">
        <f t="shared" si="4"/>
        <v>247760</v>
      </c>
      <c r="E78" s="18">
        <f>IF(F3="1",SUMIF(Data!A:A,'20'!$A$2,Data!EJ:EJ),0)</f>
        <v>485952</v>
      </c>
      <c r="F78" s="22">
        <f t="shared" si="5"/>
        <v>1.9613819825637715</v>
      </c>
    </row>
    <row r="79" spans="1:6" x14ac:dyDescent="0.2">
      <c r="A79" s="20">
        <v>13</v>
      </c>
      <c r="B79" s="202" t="s">
        <v>12</v>
      </c>
      <c r="C79" s="203"/>
      <c r="D79" s="15">
        <f t="shared" si="4"/>
        <v>39712</v>
      </c>
      <c r="E79" s="18">
        <f>IF(F3="1",SUMIF(Data!A:A,'20'!$A$2,Data!EK:EK),0)</f>
        <v>67107</v>
      </c>
      <c r="F79" s="22">
        <f t="shared" si="5"/>
        <v>1.6898418614020951</v>
      </c>
    </row>
    <row r="80" spans="1:6" ht="14.25" customHeight="1" x14ac:dyDescent="0.2">
      <c r="A80" s="20">
        <v>14</v>
      </c>
      <c r="B80" s="202" t="s">
        <v>449</v>
      </c>
      <c r="C80" s="203"/>
      <c r="D80" s="15">
        <f t="shared" si="4"/>
        <v>41710</v>
      </c>
      <c r="E80" s="18">
        <f>IF(F3="1",SUMIF(Data!A:A,'20'!$A$2,Data!EL:EL),0)</f>
        <v>210534</v>
      </c>
      <c r="F80" s="22">
        <f t="shared" si="5"/>
        <v>5.04756653080796</v>
      </c>
    </row>
    <row r="81" spans="1:6" x14ac:dyDescent="0.2">
      <c r="A81" s="20">
        <v>15</v>
      </c>
      <c r="B81" s="202" t="s">
        <v>13</v>
      </c>
      <c r="C81" s="203"/>
      <c r="D81" s="15">
        <f t="shared" si="4"/>
        <v>0</v>
      </c>
      <c r="E81" s="18">
        <f>IF(F3="1",SUMIF(Data!A:A,'20'!$A$2,Data!EM:EM),0)</f>
        <v>0</v>
      </c>
      <c r="F81" s="22" t="str">
        <f t="shared" si="5"/>
        <v/>
      </c>
    </row>
    <row r="82" spans="1:6" x14ac:dyDescent="0.2">
      <c r="A82" s="20">
        <v>16</v>
      </c>
      <c r="B82" s="202" t="s">
        <v>14</v>
      </c>
      <c r="C82" s="203"/>
      <c r="D82" s="15">
        <f t="shared" si="4"/>
        <v>117122</v>
      </c>
      <c r="E82" s="18">
        <f>IF(F3="1",SUMIF(Data!A:A,'20'!$A$2,Data!EN:EN),0)</f>
        <v>384335</v>
      </c>
      <c r="F82" s="22">
        <f t="shared" si="5"/>
        <v>3.2814928023770085</v>
      </c>
    </row>
    <row r="83" spans="1:6" x14ac:dyDescent="0.2">
      <c r="A83" s="20">
        <v>17</v>
      </c>
      <c r="B83" s="202" t="s">
        <v>15</v>
      </c>
      <c r="C83" s="203"/>
      <c r="D83" s="15">
        <f t="shared" si="4"/>
        <v>0</v>
      </c>
      <c r="E83" s="18">
        <f>IF(F3="1",SUMIF(Data!A:A,'20'!$A$2,Data!EO:EO),0)</f>
        <v>0</v>
      </c>
      <c r="F83" s="22" t="str">
        <f t="shared" si="5"/>
        <v/>
      </c>
    </row>
    <row r="84" spans="1:6" x14ac:dyDescent="0.2">
      <c r="A84" s="20">
        <v>18</v>
      </c>
      <c r="B84" s="202" t="s">
        <v>16</v>
      </c>
      <c r="C84" s="203"/>
      <c r="D84" s="15">
        <f t="shared" si="4"/>
        <v>111944</v>
      </c>
      <c r="E84" s="18">
        <f>IF(F3="1",SUMIF(Data!A:A,'20'!$A$2,Data!EP:EP),0)</f>
        <v>494687</v>
      </c>
      <c r="F84" s="22">
        <f t="shared" si="5"/>
        <v>4.4190577431572926</v>
      </c>
    </row>
    <row r="85" spans="1:6" x14ac:dyDescent="0.2">
      <c r="A85" s="20">
        <v>19</v>
      </c>
      <c r="B85" s="202" t="s">
        <v>17</v>
      </c>
      <c r="C85" s="203"/>
      <c r="D85" s="15">
        <f t="shared" si="4"/>
        <v>133744</v>
      </c>
      <c r="E85" s="18">
        <f>IF(F3="1",SUMIF(Data!A:A,'20'!$A$2,Data!EQ:EQ),0)</f>
        <v>246994</v>
      </c>
      <c r="F85" s="22">
        <f t="shared" si="5"/>
        <v>1.8467669577700683</v>
      </c>
    </row>
    <row r="86" spans="1:6" x14ac:dyDescent="0.2">
      <c r="A86" s="20">
        <v>20</v>
      </c>
      <c r="B86" s="202" t="s">
        <v>18</v>
      </c>
      <c r="C86" s="203"/>
      <c r="D86" s="15">
        <f t="shared" si="4"/>
        <v>39776</v>
      </c>
      <c r="E86" s="18">
        <f>IF(F3="1",SUMIF(Data!A:A,'20'!$A$2,Data!ER:ER),0)</f>
        <v>90550</v>
      </c>
      <c r="F86" s="22">
        <f t="shared" si="5"/>
        <v>2.2764983909895413</v>
      </c>
    </row>
    <row r="87" spans="1:6" ht="14.25" customHeight="1" x14ac:dyDescent="0.2">
      <c r="A87" s="20">
        <v>21</v>
      </c>
      <c r="B87" s="202" t="s">
        <v>446</v>
      </c>
      <c r="C87" s="203"/>
      <c r="D87" s="15">
        <f t="shared" si="4"/>
        <v>0</v>
      </c>
      <c r="E87" s="18">
        <f>IF(F3="1",SUMIF(Data!A:A,'20'!$A$2,Data!ES:ES),0)</f>
        <v>0</v>
      </c>
      <c r="F87" s="22" t="str">
        <f t="shared" si="5"/>
        <v/>
      </c>
    </row>
    <row r="88" spans="1:6" x14ac:dyDescent="0.2">
      <c r="A88" s="20">
        <v>22</v>
      </c>
      <c r="B88" s="202" t="s">
        <v>19</v>
      </c>
      <c r="C88" s="203"/>
      <c r="D88" s="15">
        <f t="shared" si="4"/>
        <v>0</v>
      </c>
      <c r="E88" s="18">
        <f>IF(F3="1",SUMIF(Data!A:A,'20'!$A$2,Data!ET:ET),0)</f>
        <v>0</v>
      </c>
      <c r="F88" s="22" t="str">
        <f t="shared" si="5"/>
        <v/>
      </c>
    </row>
    <row r="89" spans="1:6" x14ac:dyDescent="0.2">
      <c r="A89" s="20">
        <v>23</v>
      </c>
      <c r="B89" s="202" t="s">
        <v>20</v>
      </c>
      <c r="C89" s="203"/>
      <c r="D89" s="15">
        <f t="shared" si="4"/>
        <v>71952</v>
      </c>
      <c r="E89" s="18">
        <f>IF(F3="1",SUMIF(Data!A:A,'20'!$A$2,Data!EU:EU),0)</f>
        <v>550663</v>
      </c>
      <c r="F89" s="22">
        <f t="shared" si="5"/>
        <v>7.653199355125639</v>
      </c>
    </row>
    <row r="90" spans="1:6" x14ac:dyDescent="0.2">
      <c r="A90" s="20">
        <v>24</v>
      </c>
      <c r="B90" s="202" t="s">
        <v>21</v>
      </c>
      <c r="C90" s="203"/>
      <c r="D90" s="15">
        <f t="shared" si="4"/>
        <v>86760</v>
      </c>
      <c r="E90" s="18">
        <f>IF(F3="1",SUMIF(Data!A:A,'20'!$A$2,Data!EV:EV),0)</f>
        <v>262063</v>
      </c>
      <c r="F90" s="22">
        <f t="shared" si="5"/>
        <v>3.0205509451360073</v>
      </c>
    </row>
    <row r="91" spans="1:6" x14ac:dyDescent="0.2">
      <c r="A91" s="20">
        <v>25</v>
      </c>
      <c r="B91" s="202" t="s">
        <v>22</v>
      </c>
      <c r="C91" s="203"/>
      <c r="D91" s="15">
        <f t="shared" si="4"/>
        <v>285616</v>
      </c>
      <c r="E91" s="18">
        <f>IF(F3="1",SUMIF(Data!A:A,'20'!$A$2,Data!EW:EW),0)</f>
        <v>600853</v>
      </c>
      <c r="F91" s="22">
        <f t="shared" si="5"/>
        <v>2.1037091759565292</v>
      </c>
    </row>
    <row r="92" spans="1:6" x14ac:dyDescent="0.2">
      <c r="A92" s="20">
        <v>26</v>
      </c>
      <c r="B92" s="202" t="s">
        <v>23</v>
      </c>
      <c r="C92" s="203"/>
      <c r="D92" s="15">
        <f t="shared" si="4"/>
        <v>109872</v>
      </c>
      <c r="E92" s="18">
        <f>IF(F3="1",SUMIF(Data!A:A,'20'!$A$2,Data!EX:EX),0)</f>
        <v>328755</v>
      </c>
      <c r="F92" s="22">
        <f t="shared" si="5"/>
        <v>2.992163608562691</v>
      </c>
    </row>
    <row r="93" spans="1:6" x14ac:dyDescent="0.2">
      <c r="A93" s="20">
        <v>28</v>
      </c>
      <c r="B93" s="202" t="s">
        <v>24</v>
      </c>
      <c r="C93" s="203"/>
      <c r="D93" s="15">
        <f t="shared" si="4"/>
        <v>118560</v>
      </c>
      <c r="E93" s="18">
        <f>IF(F3="1",SUMIF(Data!A:A,'20'!$A$2,Data!EZ:EZ),0)</f>
        <v>209276</v>
      </c>
      <c r="F93" s="22">
        <f t="shared" si="5"/>
        <v>1.7651484480431849</v>
      </c>
    </row>
    <row r="94" spans="1:6" ht="15.75" customHeight="1" thickBot="1" x14ac:dyDescent="0.25">
      <c r="A94" s="23">
        <v>29</v>
      </c>
      <c r="B94" s="206" t="s">
        <v>25</v>
      </c>
      <c r="C94" s="207"/>
      <c r="D94" s="24">
        <f t="shared" si="4"/>
        <v>81888</v>
      </c>
      <c r="E94" s="25">
        <f>IF(F3="1",SUMIF(Data!A:A,'20'!$A$2,Data!FA:FA),0)</f>
        <v>159500</v>
      </c>
      <c r="F94" s="26">
        <f t="shared" si="5"/>
        <v>1.9477823368503322</v>
      </c>
    </row>
    <row r="95" spans="1:6" x14ac:dyDescent="0.2">
      <c r="B95" s="31" t="s">
        <v>35</v>
      </c>
      <c r="C95" s="31"/>
      <c r="D95" s="60">
        <f>SUM(D67:D94)</f>
        <v>2302759</v>
      </c>
      <c r="E95" s="32">
        <f>SUM(E67:E94)</f>
        <v>6238746</v>
      </c>
      <c r="F95" s="33">
        <f t="shared" si="5"/>
        <v>2.709248340794673</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IF(F3="1",SUMIF(Data!A:A,'20'!$A$2,Data!AH:AH),0)</f>
        <v>2824971</v>
      </c>
      <c r="F98" s="21">
        <f t="shared" ref="F98:F105" si="6">IFERROR(E98/$D$95,0)</f>
        <v>1.2267766622560154</v>
      </c>
    </row>
    <row r="99" spans="2:6" x14ac:dyDescent="0.2">
      <c r="B99" s="212" t="s">
        <v>31</v>
      </c>
      <c r="C99" s="213"/>
      <c r="D99" s="37"/>
      <c r="E99" s="18">
        <f>IF(F3="1",SUMIF(Data!A:A,'20'!$A$2,Data!AI:AI),0)</f>
        <v>1316967</v>
      </c>
      <c r="F99" s="22">
        <f t="shared" si="6"/>
        <v>0.57190830651405555</v>
      </c>
    </row>
    <row r="100" spans="2:6" x14ac:dyDescent="0.2">
      <c r="B100" s="212" t="s">
        <v>32</v>
      </c>
      <c r="C100" s="213"/>
      <c r="D100" s="37"/>
      <c r="E100" s="18">
        <f>IF(F3="1",SUMIF(Data!A:A,'20'!$A$2,Data!AJ:AJ),0)</f>
        <v>1128873</v>
      </c>
      <c r="F100" s="22">
        <f t="shared" si="6"/>
        <v>0.49022628942064717</v>
      </c>
    </row>
    <row r="101" spans="2:6" x14ac:dyDescent="0.2">
      <c r="B101" s="212" t="s">
        <v>28</v>
      </c>
      <c r="C101" s="213"/>
      <c r="D101" s="37"/>
      <c r="E101" s="18">
        <f>IF(F3="1",SUMIF(Data!A:A,'20'!$A$2,Data!AK:AK),0)</f>
        <v>0</v>
      </c>
      <c r="F101" s="22">
        <f t="shared" si="6"/>
        <v>0</v>
      </c>
    </row>
    <row r="102" spans="2:6" x14ac:dyDescent="0.2">
      <c r="B102" s="212" t="s">
        <v>33</v>
      </c>
      <c r="C102" s="213"/>
      <c r="D102" s="37"/>
      <c r="E102" s="18">
        <f>IF(F3="1",SUMIF(Data!A:A,'20'!$A$2,Data!AL:AL),0)</f>
        <v>0</v>
      </c>
      <c r="F102" s="22">
        <f t="shared" si="6"/>
        <v>0</v>
      </c>
    </row>
    <row r="103" spans="2:6" x14ac:dyDescent="0.2">
      <c r="B103" s="214" t="s">
        <v>34</v>
      </c>
      <c r="C103" s="215"/>
      <c r="D103" s="37"/>
      <c r="E103" s="18">
        <f>IF(F3="1",SUMIF(Data!A:A,'20'!$A$2,Data!AM:AM),0)</f>
        <v>336770</v>
      </c>
      <c r="F103" s="22">
        <f t="shared" si="6"/>
        <v>0.14624630714720907</v>
      </c>
    </row>
    <row r="104" spans="2:6" ht="15.75" customHeight="1" thickBot="1" x14ac:dyDescent="0.25">
      <c r="B104" s="208" t="s">
        <v>29</v>
      </c>
      <c r="C104" s="209"/>
      <c r="D104" s="38"/>
      <c r="E104" s="25">
        <f>IF(F3="1",SUMIF(Data!A:A,'20'!$A$2,Data!Q:Q),0)</f>
        <v>1079391</v>
      </c>
      <c r="F104" s="26">
        <f t="shared" si="6"/>
        <v>0.46873815279844744</v>
      </c>
    </row>
    <row r="105" spans="2:6" x14ac:dyDescent="0.2">
      <c r="B105" s="31" t="s">
        <v>35</v>
      </c>
      <c r="C105" s="31"/>
      <c r="D105" s="35">
        <f>D95</f>
        <v>2302759</v>
      </c>
      <c r="E105" s="32">
        <f>SUM(E98:E104)</f>
        <v>6686972</v>
      </c>
      <c r="F105" s="33">
        <f t="shared" si="6"/>
        <v>2.9038957181363747</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6238746</v>
      </c>
      <c r="D109" s="192">
        <f>IF(F3="1",SUMIF(Data!$A:$A,$A$2,Data!HJ:HJ),0)</f>
        <v>127093</v>
      </c>
      <c r="E109" s="192">
        <f>IF(F3="1",SUMIF(Data!$A:$A,$A$2,Data!IN:IN),0)</f>
        <v>604279</v>
      </c>
      <c r="F109" s="48">
        <f>SUM(C109:E109)</f>
        <v>6970118</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171316</v>
      </c>
      <c r="D111" s="52"/>
      <c r="E111" s="193">
        <f>IF(F3="1",SUMIF(Data!A:A,$A$2,Data!AX:AX)-SUMIF(Data!A:A,$A$2,Data!AW:AW),0)</f>
        <v>81129</v>
      </c>
      <c r="F111" s="49">
        <f t="shared" si="7"/>
        <v>252445</v>
      </c>
    </row>
    <row r="112" spans="2:6" x14ac:dyDescent="0.2">
      <c r="B112" s="43" t="s">
        <v>32</v>
      </c>
      <c r="C112" s="193">
        <f>IF(F3="1",SUMIF(Data!A:A,$A$2,Data!V:V),0)</f>
        <v>889302</v>
      </c>
      <c r="D112" s="52"/>
      <c r="E112" s="193">
        <f>IF(F3="1",SUMIF(Data!A:A,$A$2,Data!AC:AC),0)</f>
        <v>239571</v>
      </c>
      <c r="F112" s="49">
        <f t="shared" si="7"/>
        <v>1128873</v>
      </c>
    </row>
    <row r="113" spans="1:6" x14ac:dyDescent="0.2">
      <c r="B113" s="43" t="s">
        <v>31</v>
      </c>
      <c r="C113" s="193">
        <f>IF(F3="1",SUMIF(Data!A:A,$A$2,Data!U:U),0)</f>
        <v>1124065</v>
      </c>
      <c r="D113" s="52"/>
      <c r="E113" s="193">
        <f>IF(F3="1",SUMIF(Data!A:A,$A$2,Data!AB:AB),0)</f>
        <v>192902</v>
      </c>
      <c r="F113" s="49">
        <f t="shared" si="7"/>
        <v>1316967</v>
      </c>
    </row>
    <row r="114" spans="1:6" x14ac:dyDescent="0.2">
      <c r="B114" s="43" t="s">
        <v>1002</v>
      </c>
      <c r="C114" s="193">
        <f>IF(F3="1",SUMIF(Data!A:A,$A$2,Data!T:T),0)</f>
        <v>1521445</v>
      </c>
      <c r="D114" s="52"/>
      <c r="E114" s="193">
        <f>IF(F3="1",SUMIF(Data!A:A,$A$2,Data!AA:AA),0)</f>
        <v>1303526</v>
      </c>
      <c r="F114" s="49">
        <f t="shared" si="7"/>
        <v>2824971</v>
      </c>
    </row>
    <row r="115" spans="1:6" x14ac:dyDescent="0.2">
      <c r="B115" s="43" t="s">
        <v>916</v>
      </c>
      <c r="C115" s="193">
        <f>IF(F3="1",SUMIF(Data!A:A,$A$2,Data!BI:BI),0)</f>
        <v>318450</v>
      </c>
      <c r="D115" s="193">
        <f>IF(F3="1",SUMIF(Data!A:A,$A$2,Data!BL:BL),0)</f>
        <v>42433</v>
      </c>
      <c r="E115" s="193">
        <f>IF(F3="1",SUMIF(Data!A:A,$A$2,Data!BU:BU)-SUMIF(Data!A:A,$A$2,Data!BT:BT),0)</f>
        <v>1850103</v>
      </c>
      <c r="F115" s="49">
        <f t="shared" si="7"/>
        <v>2210986</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1079391</v>
      </c>
      <c r="E117" s="53"/>
      <c r="F117" s="50">
        <f>SUM(C117:E117)</f>
        <v>1079391</v>
      </c>
    </row>
    <row r="118" spans="1:6" x14ac:dyDescent="0.2">
      <c r="B118" s="14" t="s">
        <v>35</v>
      </c>
      <c r="C118" s="178">
        <f>SUM(C109:C117)</f>
        <v>10263324</v>
      </c>
      <c r="D118" s="194">
        <f>SUM(D109:D117)</f>
        <v>1248917</v>
      </c>
      <c r="E118" s="178">
        <f>SUM(E109:E117)</f>
        <v>4271510</v>
      </c>
      <c r="F118" s="178">
        <f>SUM(F109:F117)</f>
        <v>15783751</v>
      </c>
    </row>
    <row r="119" spans="1:6" x14ac:dyDescent="0.2">
      <c r="C119" s="177"/>
      <c r="D119" s="177"/>
      <c r="E119" s="177"/>
    </row>
    <row r="120" spans="1:6" ht="15" thickBot="1" x14ac:dyDescent="0.25">
      <c r="B120" s="188" t="s">
        <v>921</v>
      </c>
      <c r="C120" s="53"/>
      <c r="D120" s="53"/>
      <c r="E120" s="195">
        <f>IF(F3="1",SUMIF(Data!A:A,$A$2,Data!AF:AF)+SUMIF(Data!A:A,$A$2,Data!AW:AW)+SUMIF(Data!A:A,$A$2,Data!BT:BT),0)</f>
        <v>344346</v>
      </c>
      <c r="F120" s="181">
        <f>SUM(C120:E120)</f>
        <v>344346</v>
      </c>
    </row>
    <row r="121" spans="1:6" s="177" customFormat="1" x14ac:dyDescent="0.2">
      <c r="B121" s="14" t="s">
        <v>35</v>
      </c>
      <c r="C121" s="178">
        <f>SUM(C120:C120)</f>
        <v>0</v>
      </c>
      <c r="D121" s="178">
        <f>SUM(D120:D120)</f>
        <v>0</v>
      </c>
      <c r="E121" s="178">
        <f>SUM(E120:E120)</f>
        <v>344346</v>
      </c>
      <c r="F121" s="178">
        <f>SUM(F120:F120)</f>
        <v>344346</v>
      </c>
    </row>
    <row r="122" spans="1:6" s="177" customFormat="1" ht="15" thickBot="1" x14ac:dyDescent="0.25">
      <c r="B122" s="14" t="s">
        <v>1396</v>
      </c>
      <c r="C122" s="178"/>
      <c r="D122" s="178"/>
      <c r="E122" s="178"/>
      <c r="F122" s="190">
        <f>F118+F121</f>
        <v>16128097</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9.28515625" style="58" bestFit="1"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429</v>
      </c>
      <c r="B2" s="59" t="str">
        <f>VLOOKUP(A2,Data!A:G,7,0)</f>
        <v>Houston Community College System</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97632</v>
      </c>
      <c r="E5" s="16">
        <f>E36+E67+IFERROR($E$105/$D$105*D5,0)</f>
        <v>667483.3364556547</v>
      </c>
      <c r="F5" s="21">
        <f>IFERROR(E5/D5,"")</f>
        <v>6.8367270613697837</v>
      </c>
    </row>
    <row r="6" spans="1:6" x14ac:dyDescent="0.2">
      <c r="A6" s="20">
        <v>2</v>
      </c>
      <c r="B6" s="202" t="s">
        <v>1</v>
      </c>
      <c r="C6" s="203"/>
      <c r="D6" s="15">
        <f t="shared" ref="D6:D32" si="0">D37</f>
        <v>220172</v>
      </c>
      <c r="E6" s="18">
        <f t="shared" ref="E6:E32" si="1">E37+E68+IFERROR($E$105/$D$105*D6,0)</f>
        <v>2203316.7709574159</v>
      </c>
      <c r="F6" s="22">
        <f t="shared" ref="F6:F33" si="2">IFERROR(E6/D6,"")</f>
        <v>10.007252379764076</v>
      </c>
    </row>
    <row r="7" spans="1:6" ht="14.25" customHeight="1" x14ac:dyDescent="0.2">
      <c r="A7" s="20">
        <v>3</v>
      </c>
      <c r="B7" s="202" t="s">
        <v>2</v>
      </c>
      <c r="C7" s="203"/>
      <c r="D7" s="15">
        <f t="shared" si="0"/>
        <v>3301744</v>
      </c>
      <c r="E7" s="18">
        <f t="shared" si="1"/>
        <v>23024864.473066609</v>
      </c>
      <c r="F7" s="22">
        <f t="shared" si="2"/>
        <v>6.9735462449743562</v>
      </c>
    </row>
    <row r="8" spans="1:6" ht="14.25" customHeight="1" x14ac:dyDescent="0.2">
      <c r="A8" s="20">
        <v>4</v>
      </c>
      <c r="B8" s="202" t="s">
        <v>3</v>
      </c>
      <c r="C8" s="203"/>
      <c r="D8" s="15">
        <f t="shared" si="0"/>
        <v>2714406</v>
      </c>
      <c r="E8" s="18">
        <f t="shared" si="1"/>
        <v>17367219.113254339</v>
      </c>
      <c r="F8" s="22">
        <f t="shared" si="2"/>
        <v>6.398165607228373</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545528</v>
      </c>
      <c r="E10" s="18">
        <f t="shared" si="1"/>
        <v>3272870.6648023231</v>
      </c>
      <c r="F10" s="22">
        <f t="shared" si="2"/>
        <v>5.9994549588697978</v>
      </c>
    </row>
    <row r="11" spans="1:6" x14ac:dyDescent="0.2">
      <c r="A11" s="20">
        <v>7</v>
      </c>
      <c r="B11" s="202" t="s">
        <v>6</v>
      </c>
      <c r="C11" s="203"/>
      <c r="D11" s="15">
        <f t="shared" si="0"/>
        <v>417672</v>
      </c>
      <c r="E11" s="18">
        <f t="shared" si="1"/>
        <v>6110041.7741734907</v>
      </c>
      <c r="F11" s="22">
        <f t="shared" si="2"/>
        <v>14.628803880014678</v>
      </c>
    </row>
    <row r="12" spans="1:6" x14ac:dyDescent="0.2">
      <c r="A12" s="20">
        <v>8</v>
      </c>
      <c r="B12" s="202" t="s">
        <v>7</v>
      </c>
      <c r="C12" s="203"/>
      <c r="D12" s="15">
        <f t="shared" si="0"/>
        <v>305491</v>
      </c>
      <c r="E12" s="18">
        <f t="shared" si="1"/>
        <v>2673693.5953188958</v>
      </c>
      <c r="F12" s="22">
        <f t="shared" si="2"/>
        <v>8.7521190323737716</v>
      </c>
    </row>
    <row r="13" spans="1:6" x14ac:dyDescent="0.2">
      <c r="A13" s="20">
        <v>9</v>
      </c>
      <c r="B13" s="202" t="s">
        <v>8</v>
      </c>
      <c r="C13" s="203"/>
      <c r="D13" s="15">
        <f t="shared" si="0"/>
        <v>917896</v>
      </c>
      <c r="E13" s="18">
        <f t="shared" si="1"/>
        <v>6439846.4246077072</v>
      </c>
      <c r="F13" s="22">
        <f t="shared" si="2"/>
        <v>7.0158780783527845</v>
      </c>
    </row>
    <row r="14" spans="1:6" x14ac:dyDescent="0.2">
      <c r="A14" s="20">
        <v>10</v>
      </c>
      <c r="B14" s="202" t="s">
        <v>9</v>
      </c>
      <c r="C14" s="203"/>
      <c r="D14" s="15">
        <f t="shared" si="0"/>
        <v>56288</v>
      </c>
      <c r="E14" s="18">
        <f t="shared" si="1"/>
        <v>377099.91243051348</v>
      </c>
      <c r="F14" s="22">
        <f t="shared" si="2"/>
        <v>6.6994725772902477</v>
      </c>
    </row>
    <row r="15" spans="1:6" x14ac:dyDescent="0.2">
      <c r="A15" s="20">
        <v>11</v>
      </c>
      <c r="B15" s="202" t="s">
        <v>10</v>
      </c>
      <c r="C15" s="203"/>
      <c r="D15" s="15">
        <f t="shared" si="0"/>
        <v>536320</v>
      </c>
      <c r="E15" s="18">
        <f t="shared" si="1"/>
        <v>3593063.1042270642</v>
      </c>
      <c r="F15" s="22">
        <f t="shared" si="2"/>
        <v>6.6994762534066679</v>
      </c>
    </row>
    <row r="16" spans="1:6" ht="14.25" customHeight="1" x14ac:dyDescent="0.2">
      <c r="A16" s="20">
        <v>12</v>
      </c>
      <c r="B16" s="202" t="s">
        <v>11</v>
      </c>
      <c r="C16" s="203"/>
      <c r="D16" s="15">
        <f t="shared" si="0"/>
        <v>2256044</v>
      </c>
      <c r="E16" s="18">
        <f t="shared" si="1"/>
        <v>18135445.235279016</v>
      </c>
      <c r="F16" s="22">
        <f t="shared" si="2"/>
        <v>8.0386044045590488</v>
      </c>
    </row>
    <row r="17" spans="1:6" x14ac:dyDescent="0.2">
      <c r="A17" s="20">
        <v>13</v>
      </c>
      <c r="B17" s="202" t="s">
        <v>12</v>
      </c>
      <c r="C17" s="203"/>
      <c r="D17" s="15">
        <f t="shared" si="0"/>
        <v>484088</v>
      </c>
      <c r="E17" s="18">
        <f t="shared" si="1"/>
        <v>3440454.2328144973</v>
      </c>
      <c r="F17" s="22">
        <f t="shared" si="2"/>
        <v>7.1070843169310072</v>
      </c>
    </row>
    <row r="18" spans="1:6" ht="14.25" customHeight="1" x14ac:dyDescent="0.2">
      <c r="A18" s="20">
        <v>14</v>
      </c>
      <c r="B18" s="202" t="s">
        <v>449</v>
      </c>
      <c r="C18" s="203"/>
      <c r="D18" s="15">
        <f t="shared" si="0"/>
        <v>371016</v>
      </c>
      <c r="E18" s="18">
        <f t="shared" si="1"/>
        <v>3880104.7461327352</v>
      </c>
      <c r="F18" s="22">
        <f t="shared" si="2"/>
        <v>10.458052337723267</v>
      </c>
    </row>
    <row r="19" spans="1:6" x14ac:dyDescent="0.2">
      <c r="A19" s="20">
        <v>15</v>
      </c>
      <c r="B19" s="202" t="s">
        <v>13</v>
      </c>
      <c r="C19" s="203"/>
      <c r="D19" s="15">
        <f t="shared" si="0"/>
        <v>29376</v>
      </c>
      <c r="E19" s="18">
        <f t="shared" si="1"/>
        <v>530550.90654417931</v>
      </c>
      <c r="F19" s="22">
        <f t="shared" si="2"/>
        <v>18.060692624733772</v>
      </c>
    </row>
    <row r="20" spans="1:6" x14ac:dyDescent="0.2">
      <c r="A20" s="20">
        <v>16</v>
      </c>
      <c r="B20" s="202" t="s">
        <v>14</v>
      </c>
      <c r="C20" s="203"/>
      <c r="D20" s="15">
        <f t="shared" si="0"/>
        <v>1038075</v>
      </c>
      <c r="E20" s="18">
        <f t="shared" si="1"/>
        <v>9840134.400321655</v>
      </c>
      <c r="F20" s="22">
        <f t="shared" si="2"/>
        <v>9.4792133519462993</v>
      </c>
    </row>
    <row r="21" spans="1:6" x14ac:dyDescent="0.2">
      <c r="A21" s="20">
        <v>17</v>
      </c>
      <c r="B21" s="202" t="s">
        <v>15</v>
      </c>
      <c r="C21" s="203"/>
      <c r="D21" s="15">
        <f t="shared" si="0"/>
        <v>41984</v>
      </c>
      <c r="E21" s="18">
        <f t="shared" si="1"/>
        <v>758820.7618583478</v>
      </c>
      <c r="F21" s="22">
        <f t="shared" si="2"/>
        <v>18.074046347616896</v>
      </c>
    </row>
    <row r="22" spans="1:6" x14ac:dyDescent="0.2">
      <c r="A22" s="20">
        <v>18</v>
      </c>
      <c r="B22" s="202" t="s">
        <v>16</v>
      </c>
      <c r="C22" s="203"/>
      <c r="D22" s="15">
        <f t="shared" si="0"/>
        <v>152400</v>
      </c>
      <c r="E22" s="18">
        <f t="shared" si="1"/>
        <v>1878985.4465323025</v>
      </c>
      <c r="F22" s="22">
        <f t="shared" si="2"/>
        <v>12.329300830264453</v>
      </c>
    </row>
    <row r="23" spans="1:6" x14ac:dyDescent="0.2">
      <c r="A23" s="20">
        <v>19</v>
      </c>
      <c r="B23" s="202" t="s">
        <v>17</v>
      </c>
      <c r="C23" s="203"/>
      <c r="D23" s="15">
        <f t="shared" si="0"/>
        <v>1293939</v>
      </c>
      <c r="E23" s="18">
        <f t="shared" si="1"/>
        <v>8749811.5618147068</v>
      </c>
      <c r="F23" s="22">
        <f t="shared" si="2"/>
        <v>6.7621515093174462</v>
      </c>
    </row>
    <row r="24" spans="1:6" x14ac:dyDescent="0.2">
      <c r="A24" s="20">
        <v>20</v>
      </c>
      <c r="B24" s="202" t="s">
        <v>18</v>
      </c>
      <c r="C24" s="203"/>
      <c r="D24" s="15">
        <f t="shared" si="0"/>
        <v>278712</v>
      </c>
      <c r="E24" s="18">
        <f t="shared" si="1"/>
        <v>2388317.4221385247</v>
      </c>
      <c r="F24" s="22">
        <f t="shared" si="2"/>
        <v>8.5691230450734981</v>
      </c>
    </row>
    <row r="25" spans="1:6" ht="14.25" customHeight="1" x14ac:dyDescent="0.2">
      <c r="A25" s="20">
        <v>21</v>
      </c>
      <c r="B25" s="202" t="s">
        <v>446</v>
      </c>
      <c r="C25" s="203"/>
      <c r="D25" s="15">
        <f t="shared" si="0"/>
        <v>148969</v>
      </c>
      <c r="E25" s="18">
        <f t="shared" si="1"/>
        <v>2105151.0479295971</v>
      </c>
      <c r="F25" s="22">
        <f t="shared" si="2"/>
        <v>14.131470627644658</v>
      </c>
    </row>
    <row r="26" spans="1:6" x14ac:dyDescent="0.2">
      <c r="A26" s="20">
        <v>22</v>
      </c>
      <c r="B26" s="202" t="s">
        <v>19</v>
      </c>
      <c r="C26" s="203"/>
      <c r="D26" s="15">
        <f t="shared" si="0"/>
        <v>127016</v>
      </c>
      <c r="E26" s="18">
        <f t="shared" si="1"/>
        <v>978876.947222749</v>
      </c>
      <c r="F26" s="22">
        <f t="shared" si="2"/>
        <v>7.7067215722645104</v>
      </c>
    </row>
    <row r="27" spans="1:6" x14ac:dyDescent="0.2">
      <c r="A27" s="20">
        <v>23</v>
      </c>
      <c r="B27" s="202" t="s">
        <v>20</v>
      </c>
      <c r="C27" s="203"/>
      <c r="D27" s="15">
        <f t="shared" si="0"/>
        <v>62208</v>
      </c>
      <c r="E27" s="18">
        <f t="shared" si="1"/>
        <v>631804.03738767374</v>
      </c>
      <c r="F27" s="22">
        <f t="shared" si="2"/>
        <v>10.156314901422224</v>
      </c>
    </row>
    <row r="28" spans="1:6" x14ac:dyDescent="0.2">
      <c r="A28" s="20">
        <v>24</v>
      </c>
      <c r="B28" s="202" t="s">
        <v>21</v>
      </c>
      <c r="C28" s="203"/>
      <c r="D28" s="15">
        <f t="shared" si="0"/>
        <v>333302</v>
      </c>
      <c r="E28" s="18">
        <f t="shared" si="1"/>
        <v>3451604.6132553117</v>
      </c>
      <c r="F28" s="22">
        <f t="shared" si="2"/>
        <v>10.35578728377061</v>
      </c>
    </row>
    <row r="29" spans="1:6" x14ac:dyDescent="0.2">
      <c r="A29" s="20">
        <v>25</v>
      </c>
      <c r="B29" s="202" t="s">
        <v>22</v>
      </c>
      <c r="C29" s="203"/>
      <c r="D29" s="15">
        <f t="shared" si="0"/>
        <v>4843136</v>
      </c>
      <c r="E29" s="18">
        <f t="shared" si="1"/>
        <v>31019189.919007022</v>
      </c>
      <c r="F29" s="22">
        <f t="shared" si="2"/>
        <v>6.4047736671047479</v>
      </c>
    </row>
    <row r="30" spans="1:6" x14ac:dyDescent="0.2">
      <c r="A30" s="20">
        <v>26</v>
      </c>
      <c r="B30" s="202" t="s">
        <v>23</v>
      </c>
      <c r="C30" s="203"/>
      <c r="D30" s="15">
        <f t="shared" si="0"/>
        <v>1383888</v>
      </c>
      <c r="E30" s="18">
        <f t="shared" si="1"/>
        <v>11096091.705188289</v>
      </c>
      <c r="F30" s="22">
        <f t="shared" si="2"/>
        <v>8.0180561614728134</v>
      </c>
    </row>
    <row r="31" spans="1:6" x14ac:dyDescent="0.2">
      <c r="A31" s="20">
        <v>28</v>
      </c>
      <c r="B31" s="202" t="s">
        <v>24</v>
      </c>
      <c r="C31" s="203"/>
      <c r="D31" s="15">
        <f t="shared" si="0"/>
        <v>1568592</v>
      </c>
      <c r="E31" s="18">
        <f t="shared" si="1"/>
        <v>10607057.80385169</v>
      </c>
      <c r="F31" s="22">
        <f t="shared" si="2"/>
        <v>6.7621521745945987</v>
      </c>
    </row>
    <row r="32" spans="1:6" ht="15.75" customHeight="1" thickBot="1" x14ac:dyDescent="0.25">
      <c r="A32" s="23">
        <v>29</v>
      </c>
      <c r="B32" s="206" t="s">
        <v>25</v>
      </c>
      <c r="C32" s="207"/>
      <c r="D32" s="24">
        <f t="shared" si="0"/>
        <v>2215424</v>
      </c>
      <c r="E32" s="25">
        <f t="shared" si="1"/>
        <v>17808917.043427691</v>
      </c>
      <c r="F32" s="26">
        <f t="shared" si="2"/>
        <v>8.0386043680251227</v>
      </c>
    </row>
    <row r="33" spans="1:6" x14ac:dyDescent="0.2">
      <c r="B33" s="31" t="s">
        <v>35</v>
      </c>
      <c r="C33" s="31"/>
      <c r="D33" s="60">
        <f>SUM(D5:D32)</f>
        <v>25741318</v>
      </c>
      <c r="E33" s="32">
        <f>SUM(E5:E32)</f>
        <v>193030817</v>
      </c>
      <c r="F33" s="33">
        <f t="shared" si="2"/>
        <v>7.498870764892458</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IF(F3="1",SUMIF(Data!A:A,'21'!$A$2,Data!CU:CU),0)</f>
        <v>97632</v>
      </c>
      <c r="E36" s="16">
        <f>IF(F3="1",SUMIF(Data!$A:$A,'21'!$A$2,Data!IO:IO),0)</f>
        <v>87686</v>
      </c>
      <c r="F36" s="21">
        <f t="shared" ref="F36:F64" si="3">IFERROR(E36/D36,"")</f>
        <v>0.89812766306129133</v>
      </c>
    </row>
    <row r="37" spans="1:6" x14ac:dyDescent="0.2">
      <c r="A37" s="20">
        <v>2</v>
      </c>
      <c r="B37" s="202" t="s">
        <v>1</v>
      </c>
      <c r="C37" s="203"/>
      <c r="D37" s="15">
        <f>IF(F3="1",SUMIF(Data!A:A,'21'!$A$2,Data!CV:CV),0)</f>
        <v>220172</v>
      </c>
      <c r="E37" s="18">
        <f>IF(F3="1",SUMIF(Data!$A:$A,'21'!$A$2,Data!IP:IP),0)</f>
        <v>319922</v>
      </c>
      <c r="F37" s="22">
        <f t="shared" si="3"/>
        <v>1.4530548843631343</v>
      </c>
    </row>
    <row r="38" spans="1:6" ht="14.25" customHeight="1" x14ac:dyDescent="0.2">
      <c r="A38" s="20">
        <v>3</v>
      </c>
      <c r="B38" s="202" t="s">
        <v>2</v>
      </c>
      <c r="C38" s="203"/>
      <c r="D38" s="15">
        <f>IF(F3="1",SUMIF(Data!A:A,'21'!$A$2,Data!CW:CW),0)</f>
        <v>3301744</v>
      </c>
      <c r="E38" s="18">
        <f>IF(F3="1",SUMIF(Data!$A:$A,'21'!$A$2,Data!IQ:IQ),0)</f>
        <v>1784201</v>
      </c>
      <c r="F38" s="22">
        <f t="shared" si="3"/>
        <v>0.54038138632189536</v>
      </c>
    </row>
    <row r="39" spans="1:6" ht="14.25" customHeight="1" x14ac:dyDescent="0.2">
      <c r="A39" s="20">
        <v>4</v>
      </c>
      <c r="B39" s="202" t="s">
        <v>3</v>
      </c>
      <c r="C39" s="203"/>
      <c r="D39" s="15">
        <f>IF(F3="1",SUMIF(Data!A:A,'21'!$A$2,Data!CX:CX),0)</f>
        <v>2714406</v>
      </c>
      <c r="E39" s="18">
        <f>IF(F3="1",SUMIF(Data!$A:$A,'21'!$A$2,Data!IR:IR),0)</f>
        <v>1338999</v>
      </c>
      <c r="F39" s="22">
        <f t="shared" si="3"/>
        <v>0.49329356035906197</v>
      </c>
    </row>
    <row r="40" spans="1:6" x14ac:dyDescent="0.2">
      <c r="A40" s="20">
        <v>5</v>
      </c>
      <c r="B40" s="202" t="s">
        <v>4</v>
      </c>
      <c r="C40" s="203"/>
      <c r="D40" s="15">
        <f>IF(F3="1",SUMIF(Data!A:A,'21'!$A$2,Data!CY:CY),0)</f>
        <v>0</v>
      </c>
      <c r="E40" s="18">
        <f>IF(F3="1",SUMIF(Data!$A:$A,'21'!$A$2,Data!IS:IS),0)</f>
        <v>0</v>
      </c>
      <c r="F40" s="22" t="str">
        <f t="shared" si="3"/>
        <v/>
      </c>
    </row>
    <row r="41" spans="1:6" x14ac:dyDescent="0.2">
      <c r="A41" s="20">
        <v>6</v>
      </c>
      <c r="B41" s="202" t="s">
        <v>5</v>
      </c>
      <c r="C41" s="203"/>
      <c r="D41" s="15">
        <f>IF(F3="1",SUMIF(Data!A:A,'21'!$A$2,Data!CZ:CZ),0)</f>
        <v>545528</v>
      </c>
      <c r="E41" s="18">
        <f>IF(F3="1",SUMIF(Data!$A:$A,'21'!$A$2,Data!IT:IT),0)</f>
        <v>391935</v>
      </c>
      <c r="F41" s="22">
        <f t="shared" si="3"/>
        <v>0.71845074863251746</v>
      </c>
    </row>
    <row r="42" spans="1:6" x14ac:dyDescent="0.2">
      <c r="A42" s="20">
        <v>7</v>
      </c>
      <c r="B42" s="202" t="s">
        <v>6</v>
      </c>
      <c r="C42" s="203"/>
      <c r="D42" s="15">
        <f>IF(F3="1",SUMIF(Data!A:A,'21'!$A$2,Data!DA:DA),0)</f>
        <v>417672</v>
      </c>
      <c r="E42" s="18">
        <f>IF(F3="1",SUMIF(Data!$A:$A,'21'!$A$2,Data!IU:IU),0)</f>
        <v>726488</v>
      </c>
      <c r="F42" s="22">
        <f t="shared" si="3"/>
        <v>1.7393744373575437</v>
      </c>
    </row>
    <row r="43" spans="1:6" x14ac:dyDescent="0.2">
      <c r="A43" s="20">
        <v>8</v>
      </c>
      <c r="B43" s="202" t="s">
        <v>7</v>
      </c>
      <c r="C43" s="203"/>
      <c r="D43" s="15">
        <f>IF(F3="1",SUMIF(Data!A:A,'21'!$A$2,Data!DB:DB),0)</f>
        <v>305491</v>
      </c>
      <c r="E43" s="18">
        <f>IF(F3="1",SUMIF(Data!$A:$A,'21'!$A$2,Data!IV:IV),0)</f>
        <v>499811</v>
      </c>
      <c r="F43" s="22">
        <f t="shared" si="3"/>
        <v>1.6360907522643875</v>
      </c>
    </row>
    <row r="44" spans="1:6" x14ac:dyDescent="0.2">
      <c r="A44" s="20">
        <v>9</v>
      </c>
      <c r="B44" s="202" t="s">
        <v>8</v>
      </c>
      <c r="C44" s="203"/>
      <c r="D44" s="15">
        <f>IF(F3="1",SUMIF(Data!A:A,'21'!$A$2,Data!DC:DC),0)</f>
        <v>917896</v>
      </c>
      <c r="E44" s="18">
        <f>IF(F3="1",SUMIF(Data!$A:$A,'21'!$A$2,Data!IW:IW),0)</f>
        <v>742747</v>
      </c>
      <c r="F44" s="22">
        <f t="shared" si="3"/>
        <v>0.80918426488403916</v>
      </c>
    </row>
    <row r="45" spans="1:6" x14ac:dyDescent="0.2">
      <c r="A45" s="20">
        <v>10</v>
      </c>
      <c r="B45" s="202" t="s">
        <v>9</v>
      </c>
      <c r="C45" s="203"/>
      <c r="D45" s="15">
        <f>IF(F3="1",SUMIF(Data!A:A,'21'!$A$2,Data!DD:DD),0)</f>
        <v>56288</v>
      </c>
      <c r="E45" s="18">
        <f>IF(F3="1",SUMIF(Data!$A:$A,'21'!$A$2,Data!IX:IX),0)</f>
        <v>37027</v>
      </c>
      <c r="F45" s="22">
        <f t="shared" si="3"/>
        <v>0.65781338828880043</v>
      </c>
    </row>
    <row r="46" spans="1:6" x14ac:dyDescent="0.2">
      <c r="A46" s="20">
        <v>11</v>
      </c>
      <c r="B46" s="202" t="s">
        <v>10</v>
      </c>
      <c r="C46" s="203"/>
      <c r="D46" s="15">
        <f>IF(F3="1",SUMIF(Data!A:A,'21'!$A$2,Data!DE:DE),0)</f>
        <v>536320</v>
      </c>
      <c r="E46" s="18">
        <f>IF(F3="1",SUMIF(Data!$A:$A,'21'!$A$2,Data!IY:IY),0)</f>
        <v>352799</v>
      </c>
      <c r="F46" s="22">
        <f t="shared" si="3"/>
        <v>0.65781436455847253</v>
      </c>
    </row>
    <row r="47" spans="1:6" ht="14.25" customHeight="1" x14ac:dyDescent="0.2">
      <c r="A47" s="20">
        <v>12</v>
      </c>
      <c r="B47" s="202" t="s">
        <v>11</v>
      </c>
      <c r="C47" s="203"/>
      <c r="D47" s="15">
        <f>IF(F3="1",SUMIF(Data!A:A,'21'!$A$2,Data!DF:DF),0)</f>
        <v>2256044</v>
      </c>
      <c r="E47" s="18">
        <f>IF(F3="1",SUMIF(Data!$A:$A,'21'!$A$2,Data!IZ:IZ),0)</f>
        <v>1442121</v>
      </c>
      <c r="F47" s="22">
        <f t="shared" si="3"/>
        <v>0.63922556474962366</v>
      </c>
    </row>
    <row r="48" spans="1:6" x14ac:dyDescent="0.2">
      <c r="A48" s="20">
        <v>13</v>
      </c>
      <c r="B48" s="202" t="s">
        <v>12</v>
      </c>
      <c r="C48" s="203"/>
      <c r="D48" s="15">
        <f>IF(F3="1",SUMIF(Data!A:A,'21'!$A$2,Data!DG:DG),0)</f>
        <v>484088</v>
      </c>
      <c r="E48" s="18">
        <f>IF(F3="1",SUMIF(Data!$A:$A,'21'!$A$2,Data!JA:JA),0)</f>
        <v>336508</v>
      </c>
      <c r="F48" s="22">
        <f t="shared" si="3"/>
        <v>0.69513807406917749</v>
      </c>
    </row>
    <row r="49" spans="1:6" ht="14.25" customHeight="1" x14ac:dyDescent="0.2">
      <c r="A49" s="20">
        <v>14</v>
      </c>
      <c r="B49" s="202" t="s">
        <v>449</v>
      </c>
      <c r="C49" s="203"/>
      <c r="D49" s="15">
        <f>IF(F3="1",SUMIF(Data!A:A,'21'!$A$2,Data!DH:DH),0)</f>
        <v>371016</v>
      </c>
      <c r="E49" s="18">
        <f>IF(F3="1",SUMIF(Data!$A:$A,'21'!$A$2,Data!JB:JB),0)</f>
        <v>391449</v>
      </c>
      <c r="F49" s="22">
        <f t="shared" si="3"/>
        <v>1.055073096578045</v>
      </c>
    </row>
    <row r="50" spans="1:6" x14ac:dyDescent="0.2">
      <c r="A50" s="20">
        <v>15</v>
      </c>
      <c r="B50" s="202" t="s">
        <v>13</v>
      </c>
      <c r="C50" s="203"/>
      <c r="D50" s="15">
        <f>IF(F3="1",SUMIF(Data!A:A,'21'!$A$2,Data!DI:DI),0)</f>
        <v>29376</v>
      </c>
      <c r="E50" s="18">
        <f>IF(F3="1",SUMIF(Data!$A:$A,'21'!$A$2,Data!JC:JC),0)</f>
        <v>115002</v>
      </c>
      <c r="F50" s="22">
        <f t="shared" si="3"/>
        <v>3.9148284313725492</v>
      </c>
    </row>
    <row r="51" spans="1:6" x14ac:dyDescent="0.2">
      <c r="A51" s="20">
        <v>16</v>
      </c>
      <c r="B51" s="202" t="s">
        <v>14</v>
      </c>
      <c r="C51" s="203"/>
      <c r="D51" s="15">
        <f>IF(F3="1",SUMIF(Data!A:A,'21'!$A$2,Data!DJ:DJ),0)</f>
        <v>1038075</v>
      </c>
      <c r="E51" s="18">
        <f>IF(F3="1",SUMIF(Data!$A:$A,'21'!$A$2,Data!JD:JD),0)</f>
        <v>1254092</v>
      </c>
      <c r="F51" s="22">
        <f t="shared" si="3"/>
        <v>1.2080938275172797</v>
      </c>
    </row>
    <row r="52" spans="1:6" x14ac:dyDescent="0.2">
      <c r="A52" s="20">
        <v>17</v>
      </c>
      <c r="B52" s="202" t="s">
        <v>15</v>
      </c>
      <c r="C52" s="203"/>
      <c r="D52" s="15">
        <f>IF(F3="1",SUMIF(Data!A:A,'21'!$A$2,Data!DK:DK),0)</f>
        <v>41984</v>
      </c>
      <c r="E52" s="18">
        <f>IF(F3="1",SUMIF(Data!$A:$A,'21'!$A$2,Data!JE:JE),0)</f>
        <v>93132</v>
      </c>
      <c r="F52" s="22">
        <f t="shared" si="3"/>
        <v>2.2182736280487805</v>
      </c>
    </row>
    <row r="53" spans="1:6" x14ac:dyDescent="0.2">
      <c r="A53" s="20">
        <v>18</v>
      </c>
      <c r="B53" s="202" t="s">
        <v>16</v>
      </c>
      <c r="C53" s="203"/>
      <c r="D53" s="15">
        <f>IF(F3="1",SUMIF(Data!A:A,'21'!$A$2,Data!DL:DL),0)</f>
        <v>152400</v>
      </c>
      <c r="E53" s="18">
        <f>IF(F3="1",SUMIF(Data!$A:$A,'21'!$A$2,Data!JF:JF),0)</f>
        <v>309809</v>
      </c>
      <c r="F53" s="22">
        <f t="shared" si="3"/>
        <v>2.0328674540682417</v>
      </c>
    </row>
    <row r="54" spans="1:6" x14ac:dyDescent="0.2">
      <c r="A54" s="20">
        <v>19</v>
      </c>
      <c r="B54" s="202" t="s">
        <v>17</v>
      </c>
      <c r="C54" s="203"/>
      <c r="D54" s="15">
        <f>IF(F3="1",SUMIF(Data!A:A,'21'!$A$2,Data!DM:DM),0)</f>
        <v>1293939</v>
      </c>
      <c r="E54" s="18">
        <f>IF(F3="1",SUMIF(Data!$A:$A,'21'!$A$2,Data!JG:JG),0)</f>
        <v>522723</v>
      </c>
      <c r="F54" s="22">
        <f t="shared" si="3"/>
        <v>0.40397808552026021</v>
      </c>
    </row>
    <row r="55" spans="1:6" x14ac:dyDescent="0.2">
      <c r="A55" s="20">
        <v>20</v>
      </c>
      <c r="B55" s="202" t="s">
        <v>18</v>
      </c>
      <c r="C55" s="203"/>
      <c r="D55" s="15">
        <f>IF(F3="1",SUMIF(Data!A:A,'21'!$A$2,Data!DN:DN),0)</f>
        <v>278712</v>
      </c>
      <c r="E55" s="18">
        <f>IF(F3="1",SUMIF(Data!$A:$A,'21'!$A$2,Data!JH:JH),0)</f>
        <v>259472</v>
      </c>
      <c r="F55" s="22">
        <f t="shared" si="3"/>
        <v>0.93096816785786041</v>
      </c>
    </row>
    <row r="56" spans="1:6" ht="14.25" customHeight="1" x14ac:dyDescent="0.2">
      <c r="A56" s="20">
        <v>21</v>
      </c>
      <c r="B56" s="202" t="s">
        <v>446</v>
      </c>
      <c r="C56" s="203"/>
      <c r="D56" s="15">
        <f>IF(F3="1",SUMIF(Data!A:A,'21'!$A$2,Data!DO:DO),0)</f>
        <v>148969</v>
      </c>
      <c r="E56" s="18">
        <f>IF(F3="1",SUMIF(Data!$A:$A,'21'!$A$2,Data!JI:JI),0)</f>
        <v>693865</v>
      </c>
      <c r="F56" s="22">
        <f t="shared" si="3"/>
        <v>4.6577811490981347</v>
      </c>
    </row>
    <row r="57" spans="1:6" x14ac:dyDescent="0.2">
      <c r="A57" s="20">
        <v>22</v>
      </c>
      <c r="B57" s="202" t="s">
        <v>19</v>
      </c>
      <c r="C57" s="203"/>
      <c r="D57" s="15">
        <f>IF(F3="1",SUMIF(Data!A:A,'21'!$A$2,Data!DP:DP),0)</f>
        <v>127016</v>
      </c>
      <c r="E57" s="18">
        <f>IF(F3="1",SUMIF(Data!$A:$A,'21'!$A$2,Data!JJ:JJ),0)</f>
        <v>109479</v>
      </c>
      <c r="F57" s="22">
        <f t="shared" si="3"/>
        <v>0.86193078037412607</v>
      </c>
    </row>
    <row r="58" spans="1:6" x14ac:dyDescent="0.2">
      <c r="A58" s="20">
        <v>23</v>
      </c>
      <c r="B58" s="202" t="s">
        <v>20</v>
      </c>
      <c r="C58" s="203"/>
      <c r="D58" s="15">
        <f>IF(F3="1",SUMIF(Data!A:A,'21'!$A$2,Data!DQ:DQ),0)</f>
        <v>62208</v>
      </c>
      <c r="E58" s="18">
        <f>IF(F3="1",SUMIF(Data!$A:$A,'21'!$A$2,Data!JK:JK),0)</f>
        <v>111149</v>
      </c>
      <c r="F58" s="22">
        <f t="shared" si="3"/>
        <v>1.7867316100823045</v>
      </c>
    </row>
    <row r="59" spans="1:6" x14ac:dyDescent="0.2">
      <c r="A59" s="20">
        <v>24</v>
      </c>
      <c r="B59" s="202" t="s">
        <v>21</v>
      </c>
      <c r="C59" s="203"/>
      <c r="D59" s="15">
        <f>IF(F3="1",SUMIF(Data!A:A,'21'!$A$2,Data!DR:DR),0)</f>
        <v>333302</v>
      </c>
      <c r="E59" s="18">
        <f>IF(F3="1",SUMIF(Data!$A:$A,'21'!$A$2,Data!JL:JL),0)</f>
        <v>722565</v>
      </c>
      <c r="F59" s="22">
        <f t="shared" si="3"/>
        <v>2.1678987824855538</v>
      </c>
    </row>
    <row r="60" spans="1:6" x14ac:dyDescent="0.2">
      <c r="A60" s="20">
        <v>25</v>
      </c>
      <c r="B60" s="202" t="s">
        <v>22</v>
      </c>
      <c r="C60" s="203"/>
      <c r="D60" s="15">
        <f>IF(F3="1",SUMIF(Data!A:A,'21'!$A$2,Data!DS:DS),0)</f>
        <v>4843136</v>
      </c>
      <c r="E60" s="18">
        <f>IF(F3="1",SUMIF(Data!$A:$A,'21'!$A$2,Data!JM:JM),0)</f>
        <v>1746838</v>
      </c>
      <c r="F60" s="22">
        <f t="shared" si="3"/>
        <v>0.36068324325395779</v>
      </c>
    </row>
    <row r="61" spans="1:6" x14ac:dyDescent="0.2">
      <c r="A61" s="20">
        <v>26</v>
      </c>
      <c r="B61" s="202" t="s">
        <v>23</v>
      </c>
      <c r="C61" s="203"/>
      <c r="D61" s="15">
        <f>IF(F3="1",SUMIF(Data!A:A,'21'!$A$2,Data!DT:DT),0)</f>
        <v>1383888</v>
      </c>
      <c r="E61" s="18">
        <f>IF(F3="1",SUMIF(Data!$A:$A,'21'!$A$2,Data!JN:JN),0)</f>
        <v>1383869</v>
      </c>
      <c r="F61" s="22">
        <f t="shared" si="3"/>
        <v>0.99998627056524803</v>
      </c>
    </row>
    <row r="62" spans="1:6" x14ac:dyDescent="0.2">
      <c r="A62" s="20">
        <v>28</v>
      </c>
      <c r="B62" s="202" t="s">
        <v>24</v>
      </c>
      <c r="C62" s="203"/>
      <c r="D62" s="15">
        <f>IF(F3="1",SUMIF(Data!A:A,'21'!$A$2,Data!DV:DV),0)</f>
        <v>1568592</v>
      </c>
      <c r="E62" s="18">
        <f>IF(F3="1",SUMIF(Data!$A:$A,'21'!$A$2,Data!JP:JP),0)</f>
        <v>633678</v>
      </c>
      <c r="F62" s="22">
        <f t="shared" si="3"/>
        <v>0.40397885492212127</v>
      </c>
    </row>
    <row r="63" spans="1:6" ht="15.75" customHeight="1" thickBot="1" x14ac:dyDescent="0.25">
      <c r="A63" s="23">
        <v>29</v>
      </c>
      <c r="B63" s="206" t="s">
        <v>25</v>
      </c>
      <c r="C63" s="207"/>
      <c r="D63" s="24">
        <f>IF(F3="1",SUMIF(Data!A:A,'21'!$A$2,Data!DW:DW),0)</f>
        <v>2215424</v>
      </c>
      <c r="E63" s="25">
        <f>IF(F3="1",SUMIF(Data!$A:$A,'21'!$A$2,Data!JQ:JQ),0)</f>
        <v>1416156</v>
      </c>
      <c r="F63" s="26">
        <f t="shared" si="3"/>
        <v>0.63922571932054539</v>
      </c>
    </row>
    <row r="64" spans="1:6" x14ac:dyDescent="0.2">
      <c r="B64" s="31" t="s">
        <v>35</v>
      </c>
      <c r="C64" s="31"/>
      <c r="D64" s="60">
        <f>SUM(D36:D63)</f>
        <v>25741318</v>
      </c>
      <c r="E64" s="32">
        <f>SUM(E36:E63)</f>
        <v>17823522</v>
      </c>
      <c r="F64" s="33">
        <f t="shared" si="3"/>
        <v>0.69240906778743805</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97632</v>
      </c>
      <c r="E67" s="16">
        <f>IF(F3="1",SUMIF(Data!A:A,'21'!$A$2,Data!DY:DY),0)</f>
        <v>217287</v>
      </c>
      <c r="F67" s="21">
        <f>IFERROR(E67/D67,"")</f>
        <v>2.2255715339233038</v>
      </c>
    </row>
    <row r="68" spans="1:6" x14ac:dyDescent="0.2">
      <c r="A68" s="20">
        <v>2</v>
      </c>
      <c r="B68" s="202" t="s">
        <v>1</v>
      </c>
      <c r="C68" s="203"/>
      <c r="D68" s="15">
        <f t="shared" ref="D68:D94" si="4">D37</f>
        <v>220172</v>
      </c>
      <c r="E68" s="18">
        <f>IF(F3="1",SUMIF(Data!A:A,'21'!$A$2,Data!DZ:DZ),0)</f>
        <v>1065890</v>
      </c>
      <c r="F68" s="22">
        <f t="shared" ref="F68:F95" si="5">IFERROR(E68/D68,"")</f>
        <v>4.8411696310157515</v>
      </c>
    </row>
    <row r="69" spans="1:6" ht="14.25" customHeight="1" x14ac:dyDescent="0.2">
      <c r="A69" s="20">
        <v>3</v>
      </c>
      <c r="B69" s="202" t="s">
        <v>2</v>
      </c>
      <c r="C69" s="203"/>
      <c r="D69" s="15">
        <f t="shared" si="4"/>
        <v>3301744</v>
      </c>
      <c r="E69" s="18">
        <f>IF(F3="1",SUMIF(Data!A:A,'21'!$A$2,Data!EA:EA),0)</f>
        <v>8981196</v>
      </c>
      <c r="F69" s="22">
        <f t="shared" si="5"/>
        <v>2.7201369942672722</v>
      </c>
    </row>
    <row r="70" spans="1:6" ht="14.25" customHeight="1" x14ac:dyDescent="0.2">
      <c r="A70" s="20">
        <v>4</v>
      </c>
      <c r="B70" s="202" t="s">
        <v>3</v>
      </c>
      <c r="C70" s="203"/>
      <c r="D70" s="15">
        <f t="shared" si="4"/>
        <v>2714406</v>
      </c>
      <c r="E70" s="18">
        <f>IF(F3="1",SUMIF(Data!A:A,'21'!$A$2,Data!EB:EB),0)</f>
        <v>5949555</v>
      </c>
      <c r="F70" s="22">
        <f t="shared" si="5"/>
        <v>2.1918441824841235</v>
      </c>
    </row>
    <row r="71" spans="1:6" x14ac:dyDescent="0.2">
      <c r="A71" s="20">
        <v>5</v>
      </c>
      <c r="B71" s="202" t="s">
        <v>4</v>
      </c>
      <c r="C71" s="203"/>
      <c r="D71" s="15">
        <f t="shared" si="4"/>
        <v>0</v>
      </c>
      <c r="E71" s="18">
        <f>IF(F3="1",SUMIF(Data!A:A,'21'!$A$2,Data!EC:EC),0)</f>
        <v>0</v>
      </c>
      <c r="F71" s="22" t="str">
        <f t="shared" si="5"/>
        <v/>
      </c>
    </row>
    <row r="72" spans="1:6" x14ac:dyDescent="0.2">
      <c r="A72" s="20">
        <v>6</v>
      </c>
      <c r="B72" s="202" t="s">
        <v>5</v>
      </c>
      <c r="C72" s="203"/>
      <c r="D72" s="15">
        <f t="shared" si="4"/>
        <v>545528</v>
      </c>
      <c r="E72" s="18">
        <f>IF(F3="1",SUMIF(Data!A:A,'21'!$A$2,Data!ED:ED),0)</f>
        <v>855375</v>
      </c>
      <c r="F72" s="22">
        <f t="shared" si="5"/>
        <v>1.5679763458520919</v>
      </c>
    </row>
    <row r="73" spans="1:6" x14ac:dyDescent="0.2">
      <c r="A73" s="20">
        <v>7</v>
      </c>
      <c r="B73" s="202" t="s">
        <v>6</v>
      </c>
      <c r="C73" s="203"/>
      <c r="D73" s="15">
        <f t="shared" si="4"/>
        <v>417672</v>
      </c>
      <c r="E73" s="18">
        <f>IF(F3="1",SUMIF(Data!A:A,'21'!$A$2,Data!EE:EE),0)</f>
        <v>3832726</v>
      </c>
      <c r="F73" s="22">
        <f t="shared" si="5"/>
        <v>9.1764015782719461</v>
      </c>
    </row>
    <row r="74" spans="1:6" x14ac:dyDescent="0.2">
      <c r="A74" s="20">
        <v>8</v>
      </c>
      <c r="B74" s="202" t="s">
        <v>7</v>
      </c>
      <c r="C74" s="203"/>
      <c r="D74" s="15">
        <f t="shared" si="4"/>
        <v>305491</v>
      </c>
      <c r="E74" s="18">
        <f>IF(F3="1",SUMIF(Data!A:A,'21'!$A$2,Data!EF:EF),0)</f>
        <v>1039586</v>
      </c>
      <c r="F74" s="22">
        <f t="shared" si="5"/>
        <v>3.4030004157241946</v>
      </c>
    </row>
    <row r="75" spans="1:6" x14ac:dyDescent="0.2">
      <c r="A75" s="20">
        <v>9</v>
      </c>
      <c r="B75" s="202" t="s">
        <v>8</v>
      </c>
      <c r="C75" s="203"/>
      <c r="D75" s="15">
        <f t="shared" si="4"/>
        <v>917896</v>
      </c>
      <c r="E75" s="18">
        <f>IF(F3="1",SUMIF(Data!A:A,'21'!$A$2,Data!EG:EG),0)</f>
        <v>2288926</v>
      </c>
      <c r="F75" s="22">
        <f t="shared" si="5"/>
        <v>2.4936659490835562</v>
      </c>
    </row>
    <row r="76" spans="1:6" x14ac:dyDescent="0.2">
      <c r="A76" s="20">
        <v>10</v>
      </c>
      <c r="B76" s="202" t="s">
        <v>9</v>
      </c>
      <c r="C76" s="203"/>
      <c r="D76" s="15">
        <f t="shared" si="4"/>
        <v>56288</v>
      </c>
      <c r="E76" s="18">
        <f>IF(F3="1",SUMIF(Data!A:A,'21'!$A$2,Data!EH:EH),0)</f>
        <v>131074</v>
      </c>
      <c r="F76" s="22">
        <f t="shared" si="5"/>
        <v>2.3286313246162593</v>
      </c>
    </row>
    <row r="77" spans="1:6" x14ac:dyDescent="0.2">
      <c r="A77" s="20">
        <v>11</v>
      </c>
      <c r="B77" s="202" t="s">
        <v>10</v>
      </c>
      <c r="C77" s="203"/>
      <c r="D77" s="15">
        <f t="shared" si="4"/>
        <v>536320</v>
      </c>
      <c r="E77" s="18">
        <f>IF(F3="1",SUMIF(Data!A:A,'21'!$A$2,Data!EI:EI),0)</f>
        <v>1248893</v>
      </c>
      <c r="F77" s="22">
        <f t="shared" si="5"/>
        <v>2.3286340244630073</v>
      </c>
    </row>
    <row r="78" spans="1:6" ht="14.25" customHeight="1" x14ac:dyDescent="0.2">
      <c r="A78" s="20">
        <v>12</v>
      </c>
      <c r="B78" s="202" t="s">
        <v>11</v>
      </c>
      <c r="C78" s="203"/>
      <c r="D78" s="15">
        <f t="shared" si="4"/>
        <v>2256044</v>
      </c>
      <c r="E78" s="18">
        <f>IF(F3="1",SUMIF(Data!A:A,'21'!$A$2,Data!EJ:EJ),0)</f>
        <v>8316570</v>
      </c>
      <c r="F78" s="22">
        <f t="shared" si="5"/>
        <v>3.6863509754242383</v>
      </c>
    </row>
    <row r="79" spans="1:6" x14ac:dyDescent="0.2">
      <c r="A79" s="20">
        <v>13</v>
      </c>
      <c r="B79" s="202" t="s">
        <v>12</v>
      </c>
      <c r="C79" s="203"/>
      <c r="D79" s="15">
        <f t="shared" si="4"/>
        <v>484088</v>
      </c>
      <c r="E79" s="18">
        <f>IF(F3="1",SUMIF(Data!A:A,'21'!$A$2,Data!EK:EK),0)</f>
        <v>1306514</v>
      </c>
      <c r="F79" s="22">
        <f t="shared" si="5"/>
        <v>2.6989183784766406</v>
      </c>
    </row>
    <row r="80" spans="1:6" ht="14.25" customHeight="1" x14ac:dyDescent="0.2">
      <c r="A80" s="20">
        <v>14</v>
      </c>
      <c r="B80" s="202" t="s">
        <v>449</v>
      </c>
      <c r="C80" s="203"/>
      <c r="D80" s="15">
        <f t="shared" si="4"/>
        <v>371016</v>
      </c>
      <c r="E80" s="18">
        <f>IF(F3="1",SUMIF(Data!A:A,'21'!$A$2,Data!EL:EL),0)</f>
        <v>2111063</v>
      </c>
      <c r="F80" s="22">
        <f t="shared" si="5"/>
        <v>5.6899513767600318</v>
      </c>
    </row>
    <row r="81" spans="1:6" x14ac:dyDescent="0.2">
      <c r="A81" s="20">
        <v>15</v>
      </c>
      <c r="B81" s="202" t="s">
        <v>13</v>
      </c>
      <c r="C81" s="203"/>
      <c r="D81" s="15">
        <f t="shared" si="4"/>
        <v>29376</v>
      </c>
      <c r="E81" s="18">
        <f>IF(F3="1",SUMIF(Data!A:A,'21'!$A$2,Data!EM:EM),0)</f>
        <v>306475</v>
      </c>
      <c r="F81" s="22">
        <f t="shared" si="5"/>
        <v>10.432836328976036</v>
      </c>
    </row>
    <row r="82" spans="1:6" x14ac:dyDescent="0.2">
      <c r="A82" s="20">
        <v>16</v>
      </c>
      <c r="B82" s="202" t="s">
        <v>14</v>
      </c>
      <c r="C82" s="203"/>
      <c r="D82" s="15">
        <f t="shared" si="4"/>
        <v>1038075</v>
      </c>
      <c r="E82" s="18">
        <f>IF(F3="1",SUMIF(Data!A:A,'21'!$A$2,Data!EN:EN),0)</f>
        <v>4731641</v>
      </c>
      <c r="F82" s="22">
        <f t="shared" si="5"/>
        <v>4.5580916600438313</v>
      </c>
    </row>
    <row r="83" spans="1:6" x14ac:dyDescent="0.2">
      <c r="A83" s="20">
        <v>17</v>
      </c>
      <c r="B83" s="202" t="s">
        <v>15</v>
      </c>
      <c r="C83" s="203"/>
      <c r="D83" s="15">
        <f t="shared" si="4"/>
        <v>41984</v>
      </c>
      <c r="E83" s="18">
        <f>IF(F3="1",SUMIF(Data!A:A,'21'!$A$2,Data!EO:EO),0)</f>
        <v>509801</v>
      </c>
      <c r="F83" s="22">
        <f t="shared" si="5"/>
        <v>12.142744855182928</v>
      </c>
    </row>
    <row r="84" spans="1:6" x14ac:dyDescent="0.2">
      <c r="A84" s="20">
        <v>18</v>
      </c>
      <c r="B84" s="202" t="s">
        <v>16</v>
      </c>
      <c r="C84" s="203"/>
      <c r="D84" s="15">
        <f t="shared" si="4"/>
        <v>152400</v>
      </c>
      <c r="E84" s="18">
        <f>IF(F3="1",SUMIF(Data!A:A,'21'!$A$2,Data!EP:EP),0)</f>
        <v>1003311</v>
      </c>
      <c r="F84" s="22">
        <f t="shared" si="5"/>
        <v>6.5834055118110237</v>
      </c>
    </row>
    <row r="85" spans="1:6" x14ac:dyDescent="0.2">
      <c r="A85" s="20">
        <v>19</v>
      </c>
      <c r="B85" s="202" t="s">
        <v>17</v>
      </c>
      <c r="C85" s="203"/>
      <c r="D85" s="15">
        <f t="shared" si="4"/>
        <v>1293939</v>
      </c>
      <c r="E85" s="18">
        <f>IF(F3="1",SUMIF(Data!A:A,'21'!$A$2,Data!EQ:EQ),0)</f>
        <v>3422657</v>
      </c>
      <c r="F85" s="22">
        <f t="shared" si="5"/>
        <v>2.645145559411997</v>
      </c>
    </row>
    <row r="86" spans="1:6" x14ac:dyDescent="0.2">
      <c r="A86" s="20">
        <v>20</v>
      </c>
      <c r="B86" s="202" t="s">
        <v>18</v>
      </c>
      <c r="C86" s="203"/>
      <c r="D86" s="15">
        <f t="shared" si="4"/>
        <v>278712</v>
      </c>
      <c r="E86" s="18">
        <f>IF(F3="1",SUMIF(Data!A:A,'21'!$A$2,Data!ER:ER),0)</f>
        <v>1093980</v>
      </c>
      <c r="F86" s="22">
        <f t="shared" si="5"/>
        <v>3.9251270128304485</v>
      </c>
    </row>
    <row r="87" spans="1:6" ht="14.25" customHeight="1" x14ac:dyDescent="0.2">
      <c r="A87" s="20">
        <v>21</v>
      </c>
      <c r="B87" s="202" t="s">
        <v>446</v>
      </c>
      <c r="C87" s="203"/>
      <c r="D87" s="15">
        <f t="shared" si="4"/>
        <v>148969</v>
      </c>
      <c r="E87" s="18">
        <f>IF(F3="1",SUMIF(Data!A:A,'21'!$A$2,Data!ES:ES),0)</f>
        <v>858160</v>
      </c>
      <c r="F87" s="22">
        <f t="shared" si="5"/>
        <v>5.7606616141613358</v>
      </c>
    </row>
    <row r="88" spans="1:6" x14ac:dyDescent="0.2">
      <c r="A88" s="20">
        <v>22</v>
      </c>
      <c r="B88" s="202" t="s">
        <v>19</v>
      </c>
      <c r="C88" s="203"/>
      <c r="D88" s="15">
        <f t="shared" si="4"/>
        <v>127016</v>
      </c>
      <c r="E88" s="18">
        <f>IF(F3="1",SUMIF(Data!A:A,'21'!$A$2,Data!ET:ET),0)</f>
        <v>397784</v>
      </c>
      <c r="F88" s="22">
        <f t="shared" si="5"/>
        <v>3.1317629275051964</v>
      </c>
    </row>
    <row r="89" spans="1:6" x14ac:dyDescent="0.2">
      <c r="A89" s="20">
        <v>23</v>
      </c>
      <c r="B89" s="202" t="s">
        <v>20</v>
      </c>
      <c r="C89" s="203"/>
      <c r="D89" s="15">
        <f t="shared" si="4"/>
        <v>62208</v>
      </c>
      <c r="E89" s="18">
        <f>IF(F3="1",SUMIF(Data!A:A,'21'!$A$2,Data!EU:EU),0)</f>
        <v>289675</v>
      </c>
      <c r="F89" s="22">
        <f t="shared" si="5"/>
        <v>4.6565554269547329</v>
      </c>
    </row>
    <row r="90" spans="1:6" x14ac:dyDescent="0.2">
      <c r="A90" s="20">
        <v>24</v>
      </c>
      <c r="B90" s="202" t="s">
        <v>21</v>
      </c>
      <c r="C90" s="203"/>
      <c r="D90" s="15">
        <f t="shared" si="4"/>
        <v>333302</v>
      </c>
      <c r="E90" s="18">
        <f>IF(F3="1",SUMIF(Data!A:A,'21'!$A$2,Data!EV:EV),0)</f>
        <v>1491480</v>
      </c>
      <c r="F90" s="22">
        <f t="shared" si="5"/>
        <v>4.4748606368998685</v>
      </c>
    </row>
    <row r="91" spans="1:6" x14ac:dyDescent="0.2">
      <c r="A91" s="20">
        <v>25</v>
      </c>
      <c r="B91" s="202" t="s">
        <v>22</v>
      </c>
      <c r="C91" s="203"/>
      <c r="D91" s="15">
        <f t="shared" si="4"/>
        <v>4843136</v>
      </c>
      <c r="E91" s="18">
        <f>IF(F3="1",SUMIF(Data!A:A,'21'!$A$2,Data!EW:EW),0)</f>
        <v>11289653</v>
      </c>
      <c r="F91" s="22">
        <f t="shared" si="5"/>
        <v>2.3310625594656025</v>
      </c>
    </row>
    <row r="92" spans="1:6" x14ac:dyDescent="0.2">
      <c r="A92" s="20">
        <v>26</v>
      </c>
      <c r="B92" s="202" t="s">
        <v>23</v>
      </c>
      <c r="C92" s="203"/>
      <c r="D92" s="15">
        <f t="shared" si="4"/>
        <v>1383888</v>
      </c>
      <c r="E92" s="18">
        <f>IF(F3="1",SUMIF(Data!A:A,'21'!$A$2,Data!EX:EX),0)</f>
        <v>4573808</v>
      </c>
      <c r="F92" s="22">
        <f t="shared" si="5"/>
        <v>3.3050420265223774</v>
      </c>
    </row>
    <row r="93" spans="1:6" x14ac:dyDescent="0.2">
      <c r="A93" s="20">
        <v>28</v>
      </c>
      <c r="B93" s="202" t="s">
        <v>24</v>
      </c>
      <c r="C93" s="203"/>
      <c r="D93" s="15">
        <f t="shared" si="4"/>
        <v>1568592</v>
      </c>
      <c r="E93" s="18">
        <f>IF(F3="1",SUMIF(Data!A:A,'21'!$A$2,Data!EZ:EZ),0)</f>
        <v>4149154</v>
      </c>
      <c r="F93" s="22">
        <f t="shared" si="5"/>
        <v>2.6451454552872895</v>
      </c>
    </row>
    <row r="94" spans="1:6" ht="15.75" customHeight="1" thickBot="1" x14ac:dyDescent="0.25">
      <c r="A94" s="23">
        <v>29</v>
      </c>
      <c r="B94" s="206" t="s">
        <v>25</v>
      </c>
      <c r="C94" s="207"/>
      <c r="D94" s="24">
        <f t="shared" si="4"/>
        <v>2215424</v>
      </c>
      <c r="E94" s="25">
        <f>IF(F3="1",SUMIF(Data!A:A,'21'!$A$2,Data!FA:FA),0)</f>
        <v>8166830</v>
      </c>
      <c r="F94" s="26">
        <f t="shared" si="5"/>
        <v>3.6863507843193899</v>
      </c>
    </row>
    <row r="95" spans="1:6" x14ac:dyDescent="0.2">
      <c r="B95" s="31" t="s">
        <v>35</v>
      </c>
      <c r="C95" s="31"/>
      <c r="D95" s="60">
        <f>SUM(D67:D94)</f>
        <v>25741318</v>
      </c>
      <c r="E95" s="32">
        <f>SUM(E67:E94)</f>
        <v>79629064</v>
      </c>
      <c r="F95" s="33">
        <f t="shared" si="5"/>
        <v>3.0934338327198319</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IF(F3="1",SUMIF(Data!A:A,'21'!$A$2,Data!AH:AH),0)</f>
        <v>46424641</v>
      </c>
      <c r="F98" s="21">
        <f t="shared" ref="F98:F105" si="6">IFERROR(E98/$D$95,0)</f>
        <v>1.8035067590556164</v>
      </c>
    </row>
    <row r="99" spans="2:6" x14ac:dyDescent="0.2">
      <c r="B99" s="212" t="s">
        <v>31</v>
      </c>
      <c r="C99" s="213"/>
      <c r="D99" s="37"/>
      <c r="E99" s="18">
        <f>IF(F3="1",SUMIF(Data!A:A,'21'!$A$2,Data!AI:AI),0)</f>
        <v>24987002</v>
      </c>
      <c r="F99" s="22">
        <f t="shared" si="6"/>
        <v>0.97069629457201845</v>
      </c>
    </row>
    <row r="100" spans="2:6" x14ac:dyDescent="0.2">
      <c r="B100" s="212" t="s">
        <v>32</v>
      </c>
      <c r="C100" s="213"/>
      <c r="D100" s="37"/>
      <c r="E100" s="18">
        <f>IF(F3="1",SUMIF(Data!A:A,'21'!$A$2,Data!AJ:AJ),0)</f>
        <v>15685355</v>
      </c>
      <c r="F100" s="22">
        <f t="shared" si="6"/>
        <v>0.60934544998822515</v>
      </c>
    </row>
    <row r="101" spans="2:6" x14ac:dyDescent="0.2">
      <c r="B101" s="212" t="s">
        <v>28</v>
      </c>
      <c r="C101" s="213"/>
      <c r="D101" s="37"/>
      <c r="E101" s="18">
        <f>IF(F3="1",SUMIF(Data!A:A,'21'!$A$2,Data!AK:AK),0)</f>
        <v>0</v>
      </c>
      <c r="F101" s="22">
        <f t="shared" si="6"/>
        <v>0</v>
      </c>
    </row>
    <row r="102" spans="2:6" x14ac:dyDescent="0.2">
      <c r="B102" s="212" t="s">
        <v>33</v>
      </c>
      <c r="C102" s="213"/>
      <c r="D102" s="37"/>
      <c r="E102" s="18">
        <f>IF(F3="1",SUMIF(Data!A:A,'21'!$A$2,Data!AL:AL),0)</f>
        <v>0</v>
      </c>
      <c r="F102" s="22">
        <f t="shared" si="6"/>
        <v>0</v>
      </c>
    </row>
    <row r="103" spans="2:6" x14ac:dyDescent="0.2">
      <c r="B103" s="214" t="s">
        <v>34</v>
      </c>
      <c r="C103" s="215"/>
      <c r="D103" s="37"/>
      <c r="E103" s="18">
        <f>IF(F3="1",SUMIF(Data!A:A,'21'!$A$2,Data!AM:AM),0)</f>
        <v>3912025</v>
      </c>
      <c r="F103" s="22">
        <f t="shared" si="6"/>
        <v>0.15197454147452746</v>
      </c>
    </row>
    <row r="104" spans="2:6" ht="15.75" customHeight="1" thickBot="1" x14ac:dyDescent="0.25">
      <c r="B104" s="208" t="s">
        <v>29</v>
      </c>
      <c r="C104" s="209"/>
      <c r="D104" s="38"/>
      <c r="E104" s="25">
        <f>IF(F3="1",SUMIF(Data!A:A,'21'!$A$2,Data!Q:Q),0)</f>
        <v>4569208</v>
      </c>
      <c r="F104" s="26">
        <f t="shared" si="6"/>
        <v>0.17750481929480066</v>
      </c>
    </row>
    <row r="105" spans="2:6" x14ac:dyDescent="0.2">
      <c r="B105" s="31" t="s">
        <v>35</v>
      </c>
      <c r="C105" s="31"/>
      <c r="D105" s="35">
        <f>D95</f>
        <v>25741318</v>
      </c>
      <c r="E105" s="32">
        <f>SUM(E98:E104)</f>
        <v>95578231</v>
      </c>
      <c r="F105" s="33">
        <f t="shared" si="6"/>
        <v>3.7130278643851882</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88316259</v>
      </c>
      <c r="D109" s="192">
        <f>IF(F3="1",SUMIF(Data!$A:$A,$A$2,Data!HJ:HJ),0)</f>
        <v>6265883</v>
      </c>
      <c r="E109" s="192">
        <f>IF(F3="1",SUMIF(Data!$A:$A,$A$2,Data!IN:IN),0)</f>
        <v>2870445</v>
      </c>
      <c r="F109" s="48">
        <f>SUM(C109:E109)</f>
        <v>97452587</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680896</v>
      </c>
      <c r="D111" s="52"/>
      <c r="E111" s="193">
        <f>IF(F3="1",SUMIF(Data!A:A,$A$2,Data!AX:AX)-SUMIF(Data!A:A,$A$2,Data!AW:AW),0)</f>
        <v>460342</v>
      </c>
      <c r="F111" s="49">
        <f t="shared" si="7"/>
        <v>1141238</v>
      </c>
    </row>
    <row r="112" spans="2:6" x14ac:dyDescent="0.2">
      <c r="B112" s="43" t="s">
        <v>32</v>
      </c>
      <c r="C112" s="193">
        <f>IF(F3="1",SUMIF(Data!A:A,$A$2,Data!V:V),0)</f>
        <v>13095629</v>
      </c>
      <c r="D112" s="52"/>
      <c r="E112" s="193">
        <f>IF(F3="1",SUMIF(Data!A:A,$A$2,Data!AC:AC),0)</f>
        <v>2589726</v>
      </c>
      <c r="F112" s="49">
        <f t="shared" si="7"/>
        <v>15685355</v>
      </c>
    </row>
    <row r="113" spans="1:6" x14ac:dyDescent="0.2">
      <c r="B113" s="43" t="s">
        <v>31</v>
      </c>
      <c r="C113" s="193">
        <f>IF(F3="1",SUMIF(Data!A:A,$A$2,Data!U:U),0)</f>
        <v>20757138</v>
      </c>
      <c r="D113" s="52"/>
      <c r="E113" s="193">
        <f>IF(F3="1",SUMIF(Data!A:A,$A$2,Data!AB:AB),0)</f>
        <v>4229864</v>
      </c>
      <c r="F113" s="49">
        <f t="shared" si="7"/>
        <v>24987002</v>
      </c>
    </row>
    <row r="114" spans="1:6" x14ac:dyDescent="0.2">
      <c r="B114" s="43" t="s">
        <v>1002</v>
      </c>
      <c r="C114" s="193">
        <f>IF(F3="1",SUMIF(Data!A:A,$A$2,Data!T:T),0)</f>
        <v>29859164</v>
      </c>
      <c r="D114" s="52"/>
      <c r="E114" s="193">
        <f>IF(F3="1",SUMIF(Data!A:A,$A$2,Data!AA:AA),0)</f>
        <v>16565477</v>
      </c>
      <c r="F114" s="49">
        <f t="shared" si="7"/>
        <v>46424641</v>
      </c>
    </row>
    <row r="115" spans="1:6" x14ac:dyDescent="0.2">
      <c r="B115" s="43" t="s">
        <v>916</v>
      </c>
      <c r="C115" s="193">
        <f>IF(F3="1",SUMIF(Data!A:A,$A$2,Data!BI:BI),0)</f>
        <v>2075228</v>
      </c>
      <c r="D115" s="193">
        <f>IF(F3="1",SUMIF(Data!A:A,$A$2,Data!BL:BL),0)</f>
        <v>147255</v>
      </c>
      <c r="E115" s="193">
        <f>IF(F3="1",SUMIF(Data!A:A,$A$2,Data!BU:BU)-SUMIF(Data!A:A,$A$2,Data!BT:BT),0)</f>
        <v>25783228</v>
      </c>
      <c r="F115" s="49">
        <f t="shared" si="7"/>
        <v>28005711</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4569208</v>
      </c>
      <c r="E117" s="53"/>
      <c r="F117" s="50">
        <f>SUM(C117:E117)</f>
        <v>4569208</v>
      </c>
    </row>
    <row r="118" spans="1:6" x14ac:dyDescent="0.2">
      <c r="B118" s="14" t="s">
        <v>35</v>
      </c>
      <c r="C118" s="178">
        <f>SUM(C109:C117)</f>
        <v>154784314</v>
      </c>
      <c r="D118" s="194">
        <f>SUM(D109:D117)</f>
        <v>10982346</v>
      </c>
      <c r="E118" s="178">
        <f>SUM(E109:E117)</f>
        <v>52499082</v>
      </c>
      <c r="F118" s="178">
        <f>SUM(F109:F117)</f>
        <v>218265742</v>
      </c>
    </row>
    <row r="119" spans="1:6" x14ac:dyDescent="0.2">
      <c r="C119" s="177"/>
      <c r="D119" s="177"/>
      <c r="E119" s="177"/>
    </row>
    <row r="120" spans="1:6" ht="15" thickBot="1" x14ac:dyDescent="0.25">
      <c r="B120" s="188" t="s">
        <v>921</v>
      </c>
      <c r="C120" s="53"/>
      <c r="D120" s="53"/>
      <c r="E120" s="195">
        <f>IF(F3="1",SUMIF(Data!A:A,$A$2,Data!AF:AF)+SUMIF(Data!A:A,$A$2,Data!AW:AW)+SUMIF(Data!A:A,$A$2,Data!BT:BT),0)</f>
        <v>7444808</v>
      </c>
      <c r="F120" s="181">
        <f>SUM(C120:E120)</f>
        <v>7444808</v>
      </c>
    </row>
    <row r="121" spans="1:6" s="177" customFormat="1" x14ac:dyDescent="0.2">
      <c r="B121" s="14" t="s">
        <v>35</v>
      </c>
      <c r="C121" s="178">
        <f>SUM(C120:C120)</f>
        <v>0</v>
      </c>
      <c r="D121" s="178">
        <f>SUM(D120:D120)</f>
        <v>0</v>
      </c>
      <c r="E121" s="178">
        <f>SUM(E120:E120)</f>
        <v>7444808</v>
      </c>
      <c r="F121" s="178">
        <f>SUM(F120:F120)</f>
        <v>7444808</v>
      </c>
    </row>
    <row r="122" spans="1:6" s="177" customFormat="1" ht="15" thickBot="1" x14ac:dyDescent="0.25">
      <c r="B122" s="14" t="s">
        <v>1396</v>
      </c>
      <c r="C122" s="178"/>
      <c r="D122" s="178"/>
      <c r="E122" s="178"/>
      <c r="F122" s="190">
        <f>F118+F121</f>
        <v>225710550</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373</v>
      </c>
      <c r="B2" s="59" t="str">
        <f>VLOOKUP(A2,Data!A:G,7,0)</f>
        <v>Howard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43069</v>
      </c>
      <c r="E5" s="16">
        <f>E36+E67+IFERROR($E$105/$D$105*D5,0)</f>
        <v>391414.76392262283</v>
      </c>
      <c r="F5" s="21">
        <f>IFERROR(E5/D5,"")</f>
        <v>9.0880857211131634</v>
      </c>
    </row>
    <row r="6" spans="1:6" x14ac:dyDescent="0.2">
      <c r="A6" s="20">
        <v>2</v>
      </c>
      <c r="B6" s="202" t="s">
        <v>1</v>
      </c>
      <c r="C6" s="203"/>
      <c r="D6" s="15">
        <f t="shared" ref="D6:D32" si="0">D37</f>
        <v>26452</v>
      </c>
      <c r="E6" s="18">
        <f t="shared" ref="E6:E32" si="1">E37+E68+IFERROR($E$105/$D$105*D6,0)</f>
        <v>160758.04927630592</v>
      </c>
      <c r="F6" s="22">
        <f t="shared" ref="F6:F33" si="2">IFERROR(E6/D6,"")</f>
        <v>6.077349511428471</v>
      </c>
    </row>
    <row r="7" spans="1:6" ht="14.25" customHeight="1" x14ac:dyDescent="0.2">
      <c r="A7" s="20">
        <v>3</v>
      </c>
      <c r="B7" s="202" t="s">
        <v>2</v>
      </c>
      <c r="C7" s="203"/>
      <c r="D7" s="15">
        <f t="shared" si="0"/>
        <v>216688</v>
      </c>
      <c r="E7" s="18">
        <f t="shared" si="1"/>
        <v>1636206.7135031065</v>
      </c>
      <c r="F7" s="22">
        <f t="shared" si="2"/>
        <v>7.5509798120020788</v>
      </c>
    </row>
    <row r="8" spans="1:6" ht="14.25" customHeight="1" x14ac:dyDescent="0.2">
      <c r="A8" s="20">
        <v>4</v>
      </c>
      <c r="B8" s="202" t="s">
        <v>3</v>
      </c>
      <c r="C8" s="203"/>
      <c r="D8" s="15">
        <f t="shared" si="0"/>
        <v>153279</v>
      </c>
      <c r="E8" s="18">
        <f t="shared" si="1"/>
        <v>1161855.1746568461</v>
      </c>
      <c r="F8" s="22">
        <f t="shared" si="2"/>
        <v>7.5800023137993211</v>
      </c>
    </row>
    <row r="9" spans="1:6" x14ac:dyDescent="0.2">
      <c r="A9" s="20">
        <v>5</v>
      </c>
      <c r="B9" s="202" t="s">
        <v>4</v>
      </c>
      <c r="C9" s="203"/>
      <c r="D9" s="15">
        <f t="shared" si="0"/>
        <v>650</v>
      </c>
      <c r="E9" s="18">
        <f t="shared" si="1"/>
        <v>5031.2219125056272</v>
      </c>
      <c r="F9" s="22">
        <f t="shared" si="2"/>
        <v>7.7403414038548108</v>
      </c>
    </row>
    <row r="10" spans="1:6" x14ac:dyDescent="0.2">
      <c r="A10" s="20">
        <v>6</v>
      </c>
      <c r="B10" s="202" t="s">
        <v>5</v>
      </c>
      <c r="C10" s="203"/>
      <c r="D10" s="15">
        <f t="shared" si="0"/>
        <v>8636</v>
      </c>
      <c r="E10" s="18">
        <f t="shared" si="1"/>
        <v>52738.203748305532</v>
      </c>
      <c r="F10" s="22">
        <f t="shared" si="2"/>
        <v>6.106785982897815</v>
      </c>
    </row>
    <row r="11" spans="1:6" x14ac:dyDescent="0.2">
      <c r="A11" s="20">
        <v>7</v>
      </c>
      <c r="B11" s="202" t="s">
        <v>6</v>
      </c>
      <c r="C11" s="203"/>
      <c r="D11" s="15">
        <f t="shared" si="0"/>
        <v>64463</v>
      </c>
      <c r="E11" s="18">
        <f t="shared" si="1"/>
        <v>614095.01253207726</v>
      </c>
      <c r="F11" s="22">
        <f t="shared" si="2"/>
        <v>9.5263176168046364</v>
      </c>
    </row>
    <row r="12" spans="1:6" x14ac:dyDescent="0.2">
      <c r="A12" s="20">
        <v>8</v>
      </c>
      <c r="B12" s="202" t="s">
        <v>7</v>
      </c>
      <c r="C12" s="203"/>
      <c r="D12" s="15">
        <f t="shared" si="0"/>
        <v>105562</v>
      </c>
      <c r="E12" s="18">
        <f t="shared" si="1"/>
        <v>600181.22696602927</v>
      </c>
      <c r="F12" s="22">
        <f t="shared" si="2"/>
        <v>5.6855802937233975</v>
      </c>
    </row>
    <row r="13" spans="1:6" x14ac:dyDescent="0.2">
      <c r="A13" s="20">
        <v>9</v>
      </c>
      <c r="B13" s="202" t="s">
        <v>8</v>
      </c>
      <c r="C13" s="203"/>
      <c r="D13" s="15">
        <f t="shared" si="0"/>
        <v>231593</v>
      </c>
      <c r="E13" s="18">
        <f t="shared" si="1"/>
        <v>1911392.5790506396</v>
      </c>
      <c r="F13" s="22">
        <f t="shared" si="2"/>
        <v>8.2532398606634896</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202879</v>
      </c>
      <c r="E15" s="18">
        <f t="shared" si="1"/>
        <v>1357630.8775188141</v>
      </c>
      <c r="F15" s="22">
        <f t="shared" si="2"/>
        <v>6.691825558676916</v>
      </c>
    </row>
    <row r="16" spans="1:6" ht="14.25" customHeight="1" x14ac:dyDescent="0.2">
      <c r="A16" s="20">
        <v>12</v>
      </c>
      <c r="B16" s="202" t="s">
        <v>11</v>
      </c>
      <c r="C16" s="203"/>
      <c r="D16" s="15">
        <f t="shared" si="0"/>
        <v>184156</v>
      </c>
      <c r="E16" s="18">
        <f t="shared" si="1"/>
        <v>1357112.0038759788</v>
      </c>
      <c r="F16" s="22">
        <f t="shared" si="2"/>
        <v>7.3693607804034551</v>
      </c>
    </row>
    <row r="17" spans="1:6" x14ac:dyDescent="0.2">
      <c r="A17" s="20">
        <v>13</v>
      </c>
      <c r="B17" s="202" t="s">
        <v>12</v>
      </c>
      <c r="C17" s="203"/>
      <c r="D17" s="15">
        <f t="shared" si="0"/>
        <v>50448</v>
      </c>
      <c r="E17" s="18">
        <f t="shared" si="1"/>
        <v>377132.97391089826</v>
      </c>
      <c r="F17" s="22">
        <f t="shared" si="2"/>
        <v>7.4756774086365816</v>
      </c>
    </row>
    <row r="18" spans="1:6" ht="14.25" customHeight="1" x14ac:dyDescent="0.2">
      <c r="A18" s="20">
        <v>14</v>
      </c>
      <c r="B18" s="202" t="s">
        <v>449</v>
      </c>
      <c r="C18" s="203"/>
      <c r="D18" s="15">
        <f t="shared" si="0"/>
        <v>31754</v>
      </c>
      <c r="E18" s="18">
        <f t="shared" si="1"/>
        <v>476519.03170723643</v>
      </c>
      <c r="F18" s="22">
        <f t="shared" si="2"/>
        <v>15.006582846483481</v>
      </c>
    </row>
    <row r="19" spans="1:6" x14ac:dyDescent="0.2">
      <c r="A19" s="20">
        <v>15</v>
      </c>
      <c r="B19" s="202" t="s">
        <v>13</v>
      </c>
      <c r="C19" s="203"/>
      <c r="D19" s="15">
        <f t="shared" si="0"/>
        <v>18400</v>
      </c>
      <c r="E19" s="18">
        <f t="shared" si="1"/>
        <v>398788.05106169777</v>
      </c>
      <c r="F19" s="22">
        <f t="shared" si="2"/>
        <v>21.673263644657489</v>
      </c>
    </row>
    <row r="20" spans="1:6" x14ac:dyDescent="0.2">
      <c r="A20" s="20">
        <v>16</v>
      </c>
      <c r="B20" s="202" t="s">
        <v>14</v>
      </c>
      <c r="C20" s="203"/>
      <c r="D20" s="15">
        <f t="shared" si="0"/>
        <v>118190</v>
      </c>
      <c r="E20" s="18">
        <f t="shared" si="1"/>
        <v>841114.02744467696</v>
      </c>
      <c r="F20" s="22">
        <f t="shared" si="2"/>
        <v>7.1166260042700475</v>
      </c>
    </row>
    <row r="21" spans="1:6" x14ac:dyDescent="0.2">
      <c r="A21" s="20">
        <v>17</v>
      </c>
      <c r="B21" s="202" t="s">
        <v>15</v>
      </c>
      <c r="C21" s="203"/>
      <c r="D21" s="15">
        <f t="shared" si="0"/>
        <v>8864</v>
      </c>
      <c r="E21" s="18">
        <f t="shared" si="1"/>
        <v>161581.07851146135</v>
      </c>
      <c r="F21" s="22">
        <f t="shared" si="2"/>
        <v>18.228912286942844</v>
      </c>
    </row>
    <row r="22" spans="1:6" x14ac:dyDescent="0.2">
      <c r="A22" s="20">
        <v>18</v>
      </c>
      <c r="B22" s="202" t="s">
        <v>16</v>
      </c>
      <c r="C22" s="203"/>
      <c r="D22" s="15">
        <f t="shared" si="0"/>
        <v>85904</v>
      </c>
      <c r="E22" s="18">
        <f t="shared" si="1"/>
        <v>840583.28795674373</v>
      </c>
      <c r="F22" s="22">
        <f t="shared" si="2"/>
        <v>9.7851472336182681</v>
      </c>
    </row>
    <row r="23" spans="1:6" x14ac:dyDescent="0.2">
      <c r="A23" s="20">
        <v>19</v>
      </c>
      <c r="B23" s="202" t="s">
        <v>17</v>
      </c>
      <c r="C23" s="203"/>
      <c r="D23" s="15">
        <f t="shared" si="0"/>
        <v>70880</v>
      </c>
      <c r="E23" s="18">
        <f t="shared" si="1"/>
        <v>620741.01408984442</v>
      </c>
      <c r="F23" s="22">
        <f t="shared" si="2"/>
        <v>8.7576328172946454</v>
      </c>
    </row>
    <row r="24" spans="1:6" x14ac:dyDescent="0.2">
      <c r="A24" s="20">
        <v>20</v>
      </c>
      <c r="B24" s="202" t="s">
        <v>18</v>
      </c>
      <c r="C24" s="203"/>
      <c r="D24" s="15">
        <f t="shared" si="0"/>
        <v>10762</v>
      </c>
      <c r="E24" s="18">
        <f t="shared" si="1"/>
        <v>65565.246495977772</v>
      </c>
      <c r="F24" s="22">
        <f t="shared" si="2"/>
        <v>6.0922919992545781</v>
      </c>
    </row>
    <row r="25" spans="1:6" ht="14.25" customHeight="1" x14ac:dyDescent="0.2">
      <c r="A25" s="20">
        <v>21</v>
      </c>
      <c r="B25" s="202" t="s">
        <v>446</v>
      </c>
      <c r="C25" s="203"/>
      <c r="D25" s="15">
        <f t="shared" si="0"/>
        <v>14612</v>
      </c>
      <c r="E25" s="18">
        <f t="shared" si="1"/>
        <v>95981.868593126492</v>
      </c>
      <c r="F25" s="22">
        <f t="shared" si="2"/>
        <v>6.5687016557026068</v>
      </c>
    </row>
    <row r="26" spans="1:6" x14ac:dyDescent="0.2">
      <c r="A26" s="20">
        <v>22</v>
      </c>
      <c r="B26" s="202" t="s">
        <v>19</v>
      </c>
      <c r="C26" s="203"/>
      <c r="D26" s="15">
        <f t="shared" si="0"/>
        <v>15353</v>
      </c>
      <c r="E26" s="18">
        <f t="shared" si="1"/>
        <v>82828.461573382912</v>
      </c>
      <c r="F26" s="22">
        <f t="shared" si="2"/>
        <v>5.3949365969766765</v>
      </c>
    </row>
    <row r="27" spans="1:6" x14ac:dyDescent="0.2">
      <c r="A27" s="20">
        <v>23</v>
      </c>
      <c r="B27" s="202" t="s">
        <v>20</v>
      </c>
      <c r="C27" s="203"/>
      <c r="D27" s="15">
        <f t="shared" si="0"/>
        <v>16752</v>
      </c>
      <c r="E27" s="18">
        <f t="shared" si="1"/>
        <v>641890.42996660655</v>
      </c>
      <c r="F27" s="22">
        <f t="shared" si="2"/>
        <v>38.317241521406793</v>
      </c>
    </row>
    <row r="28" spans="1:6" x14ac:dyDescent="0.2">
      <c r="A28" s="20">
        <v>24</v>
      </c>
      <c r="B28" s="202" t="s">
        <v>21</v>
      </c>
      <c r="C28" s="203"/>
      <c r="D28" s="15">
        <f t="shared" si="0"/>
        <v>122953</v>
      </c>
      <c r="E28" s="18">
        <f t="shared" si="1"/>
        <v>764682.04278200679</v>
      </c>
      <c r="F28" s="22">
        <f t="shared" si="2"/>
        <v>6.219303658975436</v>
      </c>
    </row>
    <row r="29" spans="1:6" x14ac:dyDescent="0.2">
      <c r="A29" s="20">
        <v>25</v>
      </c>
      <c r="B29" s="202" t="s">
        <v>22</v>
      </c>
      <c r="C29" s="203"/>
      <c r="D29" s="15">
        <f t="shared" si="0"/>
        <v>314944</v>
      </c>
      <c r="E29" s="18">
        <f t="shared" si="1"/>
        <v>2091937.0061725725</v>
      </c>
      <c r="F29" s="22">
        <f t="shared" si="2"/>
        <v>6.6422507054351643</v>
      </c>
    </row>
    <row r="30" spans="1:6" x14ac:dyDescent="0.2">
      <c r="A30" s="20">
        <v>26</v>
      </c>
      <c r="B30" s="202" t="s">
        <v>23</v>
      </c>
      <c r="C30" s="203"/>
      <c r="D30" s="15">
        <f t="shared" si="0"/>
        <v>67999</v>
      </c>
      <c r="E30" s="18">
        <f t="shared" si="1"/>
        <v>612183.85973610787</v>
      </c>
      <c r="F30" s="22">
        <f t="shared" si="2"/>
        <v>9.0028362142988563</v>
      </c>
    </row>
    <row r="31" spans="1:6" x14ac:dyDescent="0.2">
      <c r="A31" s="20">
        <v>28</v>
      </c>
      <c r="B31" s="202" t="s">
        <v>24</v>
      </c>
      <c r="C31" s="203"/>
      <c r="D31" s="15">
        <f t="shared" si="0"/>
        <v>101968</v>
      </c>
      <c r="E31" s="18">
        <f t="shared" si="1"/>
        <v>723560.51688365196</v>
      </c>
      <c r="F31" s="22">
        <f t="shared" si="2"/>
        <v>7.0959567401895889</v>
      </c>
    </row>
    <row r="32" spans="1:6" ht="15.75" customHeight="1" thickBot="1" x14ac:dyDescent="0.25">
      <c r="A32" s="23">
        <v>29</v>
      </c>
      <c r="B32" s="206" t="s">
        <v>25</v>
      </c>
      <c r="C32" s="207"/>
      <c r="D32" s="24">
        <f t="shared" si="0"/>
        <v>71936</v>
      </c>
      <c r="E32" s="25">
        <f t="shared" si="1"/>
        <v>511268.2761507766</v>
      </c>
      <c r="F32" s="26">
        <f t="shared" si="2"/>
        <v>7.1072658495159109</v>
      </c>
    </row>
    <row r="33" spans="1:6" x14ac:dyDescent="0.2">
      <c r="B33" s="31" t="s">
        <v>35</v>
      </c>
      <c r="C33" s="31"/>
      <c r="D33" s="60">
        <f>SUM(D5:D32)</f>
        <v>2359146</v>
      </c>
      <c r="E33" s="32">
        <f>SUM(E5:E32)</f>
        <v>18554773.000000004</v>
      </c>
      <c r="F33" s="33">
        <f t="shared" si="2"/>
        <v>7.865038026472293</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IF(F3="1",SUMIF(Data!A:A,'22'!$A$2,Data!CU:CU),0)</f>
        <v>43069</v>
      </c>
      <c r="E36" s="16">
        <f>IF(F3="1",SUMIF(Data!$A:$A,'22'!$A$2,Data!IO:IO),0)</f>
        <v>72442</v>
      </c>
      <c r="F36" s="21">
        <f t="shared" ref="F36:F64" si="3">IFERROR(E36/D36,"")</f>
        <v>1.6819986533237363</v>
      </c>
    </row>
    <row r="37" spans="1:6" x14ac:dyDescent="0.2">
      <c r="A37" s="20">
        <v>2</v>
      </c>
      <c r="B37" s="202" t="s">
        <v>1</v>
      </c>
      <c r="C37" s="203"/>
      <c r="D37" s="15">
        <f>IF(F3="1",SUMIF(Data!A:A,'22'!$A$2,Data!CV:CV),0)</f>
        <v>26452</v>
      </c>
      <c r="E37" s="18">
        <f>IF(F3="1",SUMIF(Data!$A:$A,'22'!$A$2,Data!IP:IP),0)</f>
        <v>20579</v>
      </c>
      <c r="F37" s="22">
        <f t="shared" si="3"/>
        <v>0.77797520036292156</v>
      </c>
    </row>
    <row r="38" spans="1:6" ht="14.25" customHeight="1" x14ac:dyDescent="0.2">
      <c r="A38" s="20">
        <v>3</v>
      </c>
      <c r="B38" s="202" t="s">
        <v>2</v>
      </c>
      <c r="C38" s="203"/>
      <c r="D38" s="15">
        <f>IF(F3="1",SUMIF(Data!A:A,'22'!$A$2,Data!CW:CW),0)</f>
        <v>216688</v>
      </c>
      <c r="E38" s="18">
        <f>IF(F3="1",SUMIF(Data!$A:$A,'22'!$A$2,Data!IQ:IQ),0)</f>
        <v>216896</v>
      </c>
      <c r="F38" s="22">
        <f t="shared" si="3"/>
        <v>1.000959905486229</v>
      </c>
    </row>
    <row r="39" spans="1:6" ht="14.25" customHeight="1" x14ac:dyDescent="0.2">
      <c r="A39" s="20">
        <v>4</v>
      </c>
      <c r="B39" s="202" t="s">
        <v>3</v>
      </c>
      <c r="C39" s="203"/>
      <c r="D39" s="15">
        <f>IF(F3="1",SUMIF(Data!A:A,'22'!$A$2,Data!CX:CX),0)</f>
        <v>153279</v>
      </c>
      <c r="E39" s="18">
        <f>IF(F3="1",SUMIF(Data!$A:$A,'22'!$A$2,Data!IR:IR),0)</f>
        <v>99988</v>
      </c>
      <c r="F39" s="22">
        <f t="shared" si="3"/>
        <v>0.65232680275836874</v>
      </c>
    </row>
    <row r="40" spans="1:6" x14ac:dyDescent="0.2">
      <c r="A40" s="20">
        <v>5</v>
      </c>
      <c r="B40" s="202" t="s">
        <v>4</v>
      </c>
      <c r="C40" s="203"/>
      <c r="D40" s="15">
        <f>IF(F3="1",SUMIF(Data!A:A,'22'!$A$2,Data!CY:CY),0)</f>
        <v>650</v>
      </c>
      <c r="E40" s="18">
        <f>IF(F3="1",SUMIF(Data!$A:$A,'22'!$A$2,Data!IS:IS),0)</f>
        <v>2500</v>
      </c>
      <c r="F40" s="22">
        <f t="shared" si="3"/>
        <v>3.8461538461538463</v>
      </c>
    </row>
    <row r="41" spans="1:6" x14ac:dyDescent="0.2">
      <c r="A41" s="20">
        <v>6</v>
      </c>
      <c r="B41" s="202" t="s">
        <v>5</v>
      </c>
      <c r="C41" s="203"/>
      <c r="D41" s="15">
        <f>IF(F3="1",SUMIF(Data!A:A,'22'!$A$2,Data!CZ:CZ),0)</f>
        <v>8636</v>
      </c>
      <c r="E41" s="18">
        <f>IF(F3="1",SUMIF(Data!$A:$A,'22'!$A$2,Data!IT:IT),0)</f>
        <v>4874</v>
      </c>
      <c r="F41" s="22">
        <f t="shared" si="3"/>
        <v>0.56438165817508101</v>
      </c>
    </row>
    <row r="42" spans="1:6" x14ac:dyDescent="0.2">
      <c r="A42" s="20">
        <v>7</v>
      </c>
      <c r="B42" s="202" t="s">
        <v>6</v>
      </c>
      <c r="C42" s="203"/>
      <c r="D42" s="15">
        <f>IF(F3="1",SUMIF(Data!A:A,'22'!$A$2,Data!DA:DA),0)</f>
        <v>64463</v>
      </c>
      <c r="E42" s="18">
        <f>IF(F3="1",SUMIF(Data!$A:$A,'22'!$A$2,Data!IU:IU),0)</f>
        <v>162981</v>
      </c>
      <c r="F42" s="22">
        <f t="shared" si="3"/>
        <v>2.528287544793137</v>
      </c>
    </row>
    <row r="43" spans="1:6" x14ac:dyDescent="0.2">
      <c r="A43" s="20">
        <v>8</v>
      </c>
      <c r="B43" s="202" t="s">
        <v>7</v>
      </c>
      <c r="C43" s="203"/>
      <c r="D43" s="15">
        <f>IF(F3="1",SUMIF(Data!A:A,'22'!$A$2,Data!DB:DB),0)</f>
        <v>105562</v>
      </c>
      <c r="E43" s="18">
        <f>IF(F3="1",SUMIF(Data!$A:$A,'22'!$A$2,Data!IV:IV),0)</f>
        <v>26606</v>
      </c>
      <c r="F43" s="22">
        <f t="shared" si="3"/>
        <v>0.2520414543112105</v>
      </c>
    </row>
    <row r="44" spans="1:6" x14ac:dyDescent="0.2">
      <c r="A44" s="20">
        <v>9</v>
      </c>
      <c r="B44" s="202" t="s">
        <v>8</v>
      </c>
      <c r="C44" s="203"/>
      <c r="D44" s="15">
        <f>IF(F3="1",SUMIF(Data!A:A,'22'!$A$2,Data!DC:DC),0)</f>
        <v>231593</v>
      </c>
      <c r="E44" s="18">
        <f>IF(F3="1",SUMIF(Data!$A:$A,'22'!$A$2,Data!IW:IW),0)</f>
        <v>450648</v>
      </c>
      <c r="F44" s="22">
        <f t="shared" si="3"/>
        <v>1.945861921560669</v>
      </c>
    </row>
    <row r="45" spans="1:6" x14ac:dyDescent="0.2">
      <c r="A45" s="20">
        <v>10</v>
      </c>
      <c r="B45" s="202" t="s">
        <v>9</v>
      </c>
      <c r="C45" s="203"/>
      <c r="D45" s="15">
        <f>IF(F3="1",SUMIF(Data!A:A,'22'!$A$2,Data!DD:DD),0)</f>
        <v>0</v>
      </c>
      <c r="E45" s="18">
        <f>IF(F3="1",SUMIF(Data!$A:$A,'22'!$A$2,Data!IX:IX),0)</f>
        <v>0</v>
      </c>
      <c r="F45" s="22" t="str">
        <f t="shared" si="3"/>
        <v/>
      </c>
    </row>
    <row r="46" spans="1:6" x14ac:dyDescent="0.2">
      <c r="A46" s="20">
        <v>11</v>
      </c>
      <c r="B46" s="202" t="s">
        <v>10</v>
      </c>
      <c r="C46" s="203"/>
      <c r="D46" s="15">
        <f>IF(F3="1",SUMIF(Data!A:A,'22'!$A$2,Data!DE:DE),0)</f>
        <v>202879</v>
      </c>
      <c r="E46" s="18">
        <f>IF(F3="1",SUMIF(Data!$A:$A,'22'!$A$2,Data!IY:IY),0)</f>
        <v>122014</v>
      </c>
      <c r="F46" s="22">
        <f t="shared" si="3"/>
        <v>0.60141266469176213</v>
      </c>
    </row>
    <row r="47" spans="1:6" ht="14.25" customHeight="1" x14ac:dyDescent="0.2">
      <c r="A47" s="20">
        <v>12</v>
      </c>
      <c r="B47" s="202" t="s">
        <v>11</v>
      </c>
      <c r="C47" s="203"/>
      <c r="D47" s="15">
        <f>IF(F3="1",SUMIF(Data!A:A,'22'!$A$2,Data!DF:DF),0)</f>
        <v>184156</v>
      </c>
      <c r="E47" s="18">
        <f>IF(F3="1",SUMIF(Data!$A:$A,'22'!$A$2,Data!IZ:IZ),0)</f>
        <v>97932</v>
      </c>
      <c r="F47" s="22">
        <f t="shared" si="3"/>
        <v>0.53178826646973221</v>
      </c>
    </row>
    <row r="48" spans="1:6" x14ac:dyDescent="0.2">
      <c r="A48" s="20">
        <v>13</v>
      </c>
      <c r="B48" s="202" t="s">
        <v>12</v>
      </c>
      <c r="C48" s="203"/>
      <c r="D48" s="15">
        <f>IF(F3="1",SUMIF(Data!A:A,'22'!$A$2,Data!DG:DG),0)</f>
        <v>50448</v>
      </c>
      <c r="E48" s="18">
        <f>IF(F3="1",SUMIF(Data!$A:$A,'22'!$A$2,Data!JA:JA),0)</f>
        <v>15398</v>
      </c>
      <c r="F48" s="22">
        <f t="shared" si="3"/>
        <v>0.30522518236600066</v>
      </c>
    </row>
    <row r="49" spans="1:6" ht="14.25" customHeight="1" x14ac:dyDescent="0.2">
      <c r="A49" s="20">
        <v>14</v>
      </c>
      <c r="B49" s="202" t="s">
        <v>449</v>
      </c>
      <c r="C49" s="203"/>
      <c r="D49" s="15">
        <f>IF(F3="1",SUMIF(Data!A:A,'22'!$A$2,Data!DH:DH),0)</f>
        <v>31754</v>
      </c>
      <c r="E49" s="18">
        <f>IF(F3="1",SUMIF(Data!$A:$A,'22'!$A$2,Data!JB:JB),0)</f>
        <v>112482</v>
      </c>
      <c r="F49" s="22">
        <f t="shared" si="3"/>
        <v>3.5422938842350571</v>
      </c>
    </row>
    <row r="50" spans="1:6" x14ac:dyDescent="0.2">
      <c r="A50" s="20">
        <v>15</v>
      </c>
      <c r="B50" s="202" t="s">
        <v>13</v>
      </c>
      <c r="C50" s="203"/>
      <c r="D50" s="15">
        <f>IF(F3="1",SUMIF(Data!A:A,'22'!$A$2,Data!DI:DI),0)</f>
        <v>18400</v>
      </c>
      <c r="E50" s="18">
        <f>IF(F3="1",SUMIF(Data!$A:$A,'22'!$A$2,Data!JC:JC),0)</f>
        <v>117127</v>
      </c>
      <c r="F50" s="22">
        <f t="shared" si="3"/>
        <v>6.3655978260869563</v>
      </c>
    </row>
    <row r="51" spans="1:6" x14ac:dyDescent="0.2">
      <c r="A51" s="20">
        <v>16</v>
      </c>
      <c r="B51" s="202" t="s">
        <v>14</v>
      </c>
      <c r="C51" s="203"/>
      <c r="D51" s="15">
        <f>IF(F3="1",SUMIF(Data!A:A,'22'!$A$2,Data!DJ:DJ),0)</f>
        <v>118190</v>
      </c>
      <c r="E51" s="18">
        <f>IF(F3="1",SUMIF(Data!$A:$A,'22'!$A$2,Data!JD:JD),0)</f>
        <v>76206</v>
      </c>
      <c r="F51" s="22">
        <f t="shared" si="3"/>
        <v>0.64477536170572802</v>
      </c>
    </row>
    <row r="52" spans="1:6" x14ac:dyDescent="0.2">
      <c r="A52" s="20">
        <v>17</v>
      </c>
      <c r="B52" s="202" t="s">
        <v>15</v>
      </c>
      <c r="C52" s="203"/>
      <c r="D52" s="15">
        <f>IF(F3="1",SUMIF(Data!A:A,'22'!$A$2,Data!DK:DK),0)</f>
        <v>8864</v>
      </c>
      <c r="E52" s="18">
        <f>IF(F3="1",SUMIF(Data!$A:$A,'22'!$A$2,Data!JE:JE),0)</f>
        <v>26620</v>
      </c>
      <c r="F52" s="22">
        <f t="shared" si="3"/>
        <v>3.003158844765343</v>
      </c>
    </row>
    <row r="53" spans="1:6" x14ac:dyDescent="0.2">
      <c r="A53" s="20">
        <v>18</v>
      </c>
      <c r="B53" s="202" t="s">
        <v>16</v>
      </c>
      <c r="C53" s="203"/>
      <c r="D53" s="15">
        <f>IF(F3="1",SUMIF(Data!A:A,'22'!$A$2,Data!DL:DL),0)</f>
        <v>85904</v>
      </c>
      <c r="E53" s="18">
        <f>IF(F3="1",SUMIF(Data!$A:$A,'22'!$A$2,Data!JF:JF),0)</f>
        <v>80302</v>
      </c>
      <c r="F53" s="22">
        <f t="shared" si="3"/>
        <v>0.93478766995716145</v>
      </c>
    </row>
    <row r="54" spans="1:6" x14ac:dyDescent="0.2">
      <c r="A54" s="20">
        <v>19</v>
      </c>
      <c r="B54" s="202" t="s">
        <v>17</v>
      </c>
      <c r="C54" s="203"/>
      <c r="D54" s="15">
        <f>IF(F3="1",SUMIF(Data!A:A,'22'!$A$2,Data!DM:DM),0)</f>
        <v>70880</v>
      </c>
      <c r="E54" s="18">
        <f>IF(F3="1",SUMIF(Data!$A:$A,'22'!$A$2,Data!JG:JG),0)</f>
        <v>64388</v>
      </c>
      <c r="F54" s="22">
        <f t="shared" si="3"/>
        <v>0.90840857787810381</v>
      </c>
    </row>
    <row r="55" spans="1:6" x14ac:dyDescent="0.2">
      <c r="A55" s="20">
        <v>20</v>
      </c>
      <c r="B55" s="202" t="s">
        <v>18</v>
      </c>
      <c r="C55" s="203"/>
      <c r="D55" s="15">
        <f>IF(F3="1",SUMIF(Data!A:A,'22'!$A$2,Data!DN:DN),0)</f>
        <v>10762</v>
      </c>
      <c r="E55" s="18">
        <f>IF(F3="1",SUMIF(Data!$A:$A,'22'!$A$2,Data!JH:JH),0)</f>
        <v>8454</v>
      </c>
      <c r="F55" s="22">
        <f t="shared" si="3"/>
        <v>0.78554172086972684</v>
      </c>
    </row>
    <row r="56" spans="1:6" ht="14.25" customHeight="1" x14ac:dyDescent="0.2">
      <c r="A56" s="20">
        <v>21</v>
      </c>
      <c r="B56" s="202" t="s">
        <v>446</v>
      </c>
      <c r="C56" s="203"/>
      <c r="D56" s="15">
        <f>IF(F3="1",SUMIF(Data!A:A,'22'!$A$2,Data!DO:DO),0)</f>
        <v>14612</v>
      </c>
      <c r="E56" s="18">
        <f>IF(F3="1",SUMIF(Data!$A:$A,'22'!$A$2,Data!JI:JI),0)</f>
        <v>10985</v>
      </c>
      <c r="F56" s="22">
        <f t="shared" si="3"/>
        <v>0.75177935943060503</v>
      </c>
    </row>
    <row r="57" spans="1:6" x14ac:dyDescent="0.2">
      <c r="A57" s="20">
        <v>22</v>
      </c>
      <c r="B57" s="202" t="s">
        <v>19</v>
      </c>
      <c r="C57" s="203"/>
      <c r="D57" s="15">
        <f>IF(F3="1",SUMIF(Data!A:A,'22'!$A$2,Data!DP:DP),0)</f>
        <v>15353</v>
      </c>
      <c r="E57" s="18">
        <f>IF(F3="1",SUMIF(Data!$A:$A,'22'!$A$2,Data!JJ:JJ),0)</f>
        <v>4541</v>
      </c>
      <c r="F57" s="22">
        <f t="shared" si="3"/>
        <v>0.29577281313098419</v>
      </c>
    </row>
    <row r="58" spans="1:6" x14ac:dyDescent="0.2">
      <c r="A58" s="20">
        <v>23</v>
      </c>
      <c r="B58" s="202" t="s">
        <v>20</v>
      </c>
      <c r="C58" s="203"/>
      <c r="D58" s="15">
        <f>IF(F3="1",SUMIF(Data!A:A,'22'!$A$2,Data!DQ:DQ),0)</f>
        <v>16752</v>
      </c>
      <c r="E58" s="18">
        <f>IF(F3="1",SUMIF(Data!$A:$A,'22'!$A$2,Data!JK:JK),0)</f>
        <v>162071</v>
      </c>
      <c r="F58" s="22">
        <f t="shared" si="3"/>
        <v>9.6747254059216807</v>
      </c>
    </row>
    <row r="59" spans="1:6" x14ac:dyDescent="0.2">
      <c r="A59" s="20">
        <v>24</v>
      </c>
      <c r="B59" s="202" t="s">
        <v>21</v>
      </c>
      <c r="C59" s="203"/>
      <c r="D59" s="15">
        <f>IF(F3="1",SUMIF(Data!A:A,'22'!$A$2,Data!DR:DR),0)</f>
        <v>122953</v>
      </c>
      <c r="E59" s="18">
        <f>IF(F3="1",SUMIF(Data!$A:$A,'22'!$A$2,Data!JL:JL),0)</f>
        <v>150254</v>
      </c>
      <c r="F59" s="22">
        <f t="shared" si="3"/>
        <v>1.2220441957495953</v>
      </c>
    </row>
    <row r="60" spans="1:6" x14ac:dyDescent="0.2">
      <c r="A60" s="20">
        <v>25</v>
      </c>
      <c r="B60" s="202" t="s">
        <v>22</v>
      </c>
      <c r="C60" s="203"/>
      <c r="D60" s="15">
        <f>IF(F3="1",SUMIF(Data!A:A,'22'!$A$2,Data!DS:DS),0)</f>
        <v>314944</v>
      </c>
      <c r="E60" s="18">
        <f>IF(F3="1",SUMIF(Data!$A:$A,'22'!$A$2,Data!JM:JM),0)</f>
        <v>97375</v>
      </c>
      <c r="F60" s="22">
        <f t="shared" si="3"/>
        <v>0.3091819498069498</v>
      </c>
    </row>
    <row r="61" spans="1:6" x14ac:dyDescent="0.2">
      <c r="A61" s="20">
        <v>26</v>
      </c>
      <c r="B61" s="202" t="s">
        <v>23</v>
      </c>
      <c r="C61" s="203"/>
      <c r="D61" s="15">
        <f>IF(F3="1",SUMIF(Data!A:A,'22'!$A$2,Data!DT:DT),0)</f>
        <v>67999</v>
      </c>
      <c r="E61" s="18">
        <f>IF(F3="1",SUMIF(Data!$A:$A,'22'!$A$2,Data!JN:JN),0)</f>
        <v>64696</v>
      </c>
      <c r="F61" s="22">
        <f t="shared" si="3"/>
        <v>0.95142575626112147</v>
      </c>
    </row>
    <row r="62" spans="1:6" x14ac:dyDescent="0.2">
      <c r="A62" s="20">
        <v>28</v>
      </c>
      <c r="B62" s="202" t="s">
        <v>24</v>
      </c>
      <c r="C62" s="203"/>
      <c r="D62" s="15">
        <f>IF(F3="1",SUMIF(Data!A:A,'22'!$A$2,Data!DV:DV),0)</f>
        <v>101968</v>
      </c>
      <c r="E62" s="18">
        <f>IF(F3="1",SUMIF(Data!$A:$A,'22'!$A$2,Data!JP:JP),0)</f>
        <v>55534</v>
      </c>
      <c r="F62" s="22">
        <f t="shared" si="3"/>
        <v>0.54462184214655573</v>
      </c>
    </row>
    <row r="63" spans="1:6" ht="15.75" customHeight="1" thickBot="1" x14ac:dyDescent="0.25">
      <c r="A63" s="23">
        <v>29</v>
      </c>
      <c r="B63" s="206" t="s">
        <v>25</v>
      </c>
      <c r="C63" s="207"/>
      <c r="D63" s="24">
        <f>IF(F3="1",SUMIF(Data!A:A,'22'!$A$2,Data!DW:DW),0)</f>
        <v>71936</v>
      </c>
      <c r="E63" s="25">
        <f>IF(F3="1",SUMIF(Data!$A:$A,'22'!$A$2,Data!JQ:JQ),0)</f>
        <v>32983</v>
      </c>
      <c r="F63" s="26">
        <f t="shared" si="3"/>
        <v>0.45850478202846973</v>
      </c>
    </row>
    <row r="64" spans="1:6" x14ac:dyDescent="0.2">
      <c r="B64" s="31" t="s">
        <v>35</v>
      </c>
      <c r="C64" s="31"/>
      <c r="D64" s="60">
        <f>SUM(D36:D63)</f>
        <v>2359146</v>
      </c>
      <c r="E64" s="32">
        <f>SUM(E36:E63)</f>
        <v>2356876</v>
      </c>
      <c r="F64" s="33">
        <f t="shared" si="3"/>
        <v>0.99903778740272964</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43069</v>
      </c>
      <c r="E67" s="16">
        <f>IF(F3="1",SUMIF(Data!A:A,'22'!$A$2,Data!DY:DY),0)</f>
        <v>151254</v>
      </c>
      <c r="F67" s="21">
        <f>IFERROR(E67/D67,"")</f>
        <v>3.5118995100884627</v>
      </c>
    </row>
    <row r="68" spans="1:6" x14ac:dyDescent="0.2">
      <c r="A68" s="20">
        <v>2</v>
      </c>
      <c r="B68" s="202" t="s">
        <v>1</v>
      </c>
      <c r="C68" s="203"/>
      <c r="D68" s="15">
        <f t="shared" ref="D68:D94" si="4">D37</f>
        <v>26452</v>
      </c>
      <c r="E68" s="18">
        <f>IF(F3="1",SUMIF(Data!A:A,'22'!$A$2,Data!DZ:DZ),0)</f>
        <v>37170</v>
      </c>
      <c r="F68" s="22">
        <f t="shared" ref="F68:F95" si="5">IFERROR(E68/D68,"")</f>
        <v>1.405186753364585</v>
      </c>
    </row>
    <row r="69" spans="1:6" ht="14.25" customHeight="1" x14ac:dyDescent="0.2">
      <c r="A69" s="20">
        <v>3</v>
      </c>
      <c r="B69" s="202" t="s">
        <v>2</v>
      </c>
      <c r="C69" s="203"/>
      <c r="D69" s="15">
        <f t="shared" si="4"/>
        <v>216688</v>
      </c>
      <c r="E69" s="18">
        <f>IF(F3="1",SUMIF(Data!A:A,'22'!$A$2,Data!EA:EA),0)</f>
        <v>575487</v>
      </c>
      <c r="F69" s="22">
        <f t="shared" si="5"/>
        <v>2.6558323488148861</v>
      </c>
    </row>
    <row r="70" spans="1:6" ht="14.25" customHeight="1" x14ac:dyDescent="0.2">
      <c r="A70" s="20">
        <v>4</v>
      </c>
      <c r="B70" s="202" t="s">
        <v>3</v>
      </c>
      <c r="C70" s="203"/>
      <c r="D70" s="15">
        <f t="shared" si="4"/>
        <v>153279</v>
      </c>
      <c r="E70" s="18">
        <f>IF(F3="1",SUMIF(Data!A:A,'22'!$A$2,Data!EB:EB),0)</f>
        <v>464970</v>
      </c>
      <c r="F70" s="22">
        <f t="shared" si="5"/>
        <v>3.0334879533399879</v>
      </c>
    </row>
    <row r="71" spans="1:6" x14ac:dyDescent="0.2">
      <c r="A71" s="20">
        <v>5</v>
      </c>
      <c r="B71" s="202" t="s">
        <v>4</v>
      </c>
      <c r="C71" s="203"/>
      <c r="D71" s="15">
        <f t="shared" si="4"/>
        <v>650</v>
      </c>
      <c r="E71" s="18">
        <f>IF(F3="1",SUMIF(Data!A:A,'22'!$A$2,Data!EC:EC),0)</f>
        <v>0</v>
      </c>
      <c r="F71" s="22">
        <f t="shared" si="5"/>
        <v>0</v>
      </c>
    </row>
    <row r="72" spans="1:6" x14ac:dyDescent="0.2">
      <c r="A72" s="20">
        <v>6</v>
      </c>
      <c r="B72" s="202" t="s">
        <v>5</v>
      </c>
      <c r="C72" s="203"/>
      <c r="D72" s="15">
        <f t="shared" si="4"/>
        <v>8636</v>
      </c>
      <c r="E72" s="18">
        <f>IF(F3="1",SUMIF(Data!A:A,'22'!$A$2,Data!ED:ED),0)</f>
        <v>14234</v>
      </c>
      <c r="F72" s="22">
        <f t="shared" si="5"/>
        <v>1.6482167670217693</v>
      </c>
    </row>
    <row r="73" spans="1:6" x14ac:dyDescent="0.2">
      <c r="A73" s="20">
        <v>7</v>
      </c>
      <c r="B73" s="202" t="s">
        <v>6</v>
      </c>
      <c r="C73" s="203"/>
      <c r="D73" s="15">
        <f t="shared" si="4"/>
        <v>64463</v>
      </c>
      <c r="E73" s="18">
        <f>IF(F3="1",SUMIF(Data!A:A,'22'!$A$2,Data!EE:EE),0)</f>
        <v>200083</v>
      </c>
      <c r="F73" s="22">
        <f t="shared" si="5"/>
        <v>3.1038425143105348</v>
      </c>
    </row>
    <row r="74" spans="1:6" x14ac:dyDescent="0.2">
      <c r="A74" s="20">
        <v>8</v>
      </c>
      <c r="B74" s="202" t="s">
        <v>7</v>
      </c>
      <c r="C74" s="203"/>
      <c r="D74" s="15">
        <f t="shared" si="4"/>
        <v>105562</v>
      </c>
      <c r="E74" s="18">
        <f>IF(F3="1",SUMIF(Data!A:A,'22'!$A$2,Data!EF:EF),0)</f>
        <v>162497</v>
      </c>
      <c r="F74" s="22">
        <f t="shared" si="5"/>
        <v>1.5393512817112218</v>
      </c>
    </row>
    <row r="75" spans="1:6" x14ac:dyDescent="0.2">
      <c r="A75" s="20">
        <v>9</v>
      </c>
      <c r="B75" s="202" t="s">
        <v>8</v>
      </c>
      <c r="C75" s="203"/>
      <c r="D75" s="15">
        <f t="shared" si="4"/>
        <v>231593</v>
      </c>
      <c r="E75" s="18">
        <f>IF(F3="1",SUMIF(Data!A:A,'22'!$A$2,Data!EG:EG),0)</f>
        <v>558878</v>
      </c>
      <c r="F75" s="22">
        <f t="shared" si="5"/>
        <v>2.413190381401856</v>
      </c>
    </row>
    <row r="76" spans="1:6" x14ac:dyDescent="0.2">
      <c r="A76" s="20">
        <v>10</v>
      </c>
      <c r="B76" s="202" t="s">
        <v>9</v>
      </c>
      <c r="C76" s="203"/>
      <c r="D76" s="15">
        <f t="shared" si="4"/>
        <v>0</v>
      </c>
      <c r="E76" s="18">
        <f>IF(F3="1",SUMIF(Data!A:A,'22'!$A$2,Data!EH:EH),0)</f>
        <v>0</v>
      </c>
      <c r="F76" s="22" t="str">
        <f t="shared" si="5"/>
        <v/>
      </c>
    </row>
    <row r="77" spans="1:6" x14ac:dyDescent="0.2">
      <c r="A77" s="20">
        <v>11</v>
      </c>
      <c r="B77" s="202" t="s">
        <v>10</v>
      </c>
      <c r="C77" s="203"/>
      <c r="D77" s="15">
        <f t="shared" si="4"/>
        <v>202879</v>
      </c>
      <c r="E77" s="18">
        <f>IF(F3="1",SUMIF(Data!A:A,'22'!$A$2,Data!EI:EI),0)</f>
        <v>445568</v>
      </c>
      <c r="F77" s="22">
        <f t="shared" si="5"/>
        <v>2.196225336284189</v>
      </c>
    </row>
    <row r="78" spans="1:6" ht="14.25" customHeight="1" x14ac:dyDescent="0.2">
      <c r="A78" s="20">
        <v>12</v>
      </c>
      <c r="B78" s="202" t="s">
        <v>11</v>
      </c>
      <c r="C78" s="203"/>
      <c r="D78" s="15">
        <f t="shared" si="4"/>
        <v>184156</v>
      </c>
      <c r="E78" s="18">
        <f>IF(F3="1",SUMIF(Data!A:A,'22'!$A$2,Data!EJ:EJ),0)</f>
        <v>542042</v>
      </c>
      <c r="F78" s="22">
        <f t="shared" si="5"/>
        <v>2.9433849562327592</v>
      </c>
    </row>
    <row r="79" spans="1:6" x14ac:dyDescent="0.2">
      <c r="A79" s="20">
        <v>13</v>
      </c>
      <c r="B79" s="202" t="s">
        <v>12</v>
      </c>
      <c r="C79" s="203"/>
      <c r="D79" s="15">
        <f t="shared" si="4"/>
        <v>50448</v>
      </c>
      <c r="E79" s="18">
        <f>IF(F3="1",SUMIF(Data!A:A,'22'!$A$2,Data!EK:EK),0)</f>
        <v>165281</v>
      </c>
      <c r="F79" s="22">
        <f t="shared" si="5"/>
        <v>3.2762646685696164</v>
      </c>
    </row>
    <row r="80" spans="1:6" ht="14.25" customHeight="1" x14ac:dyDescent="0.2">
      <c r="A80" s="20">
        <v>14</v>
      </c>
      <c r="B80" s="202" t="s">
        <v>449</v>
      </c>
      <c r="C80" s="203"/>
      <c r="D80" s="15">
        <f t="shared" si="4"/>
        <v>31754</v>
      </c>
      <c r="E80" s="18">
        <f>IF(F3="1",SUMIF(Data!A:A,'22'!$A$2,Data!EL:EL),0)</f>
        <v>240381</v>
      </c>
      <c r="F80" s="22">
        <f t="shared" si="5"/>
        <v>7.5701014045474588</v>
      </c>
    </row>
    <row r="81" spans="1:6" x14ac:dyDescent="0.2">
      <c r="A81" s="20">
        <v>15</v>
      </c>
      <c r="B81" s="202" t="s">
        <v>13</v>
      </c>
      <c r="C81" s="203"/>
      <c r="D81" s="15">
        <f t="shared" si="4"/>
        <v>18400</v>
      </c>
      <c r="E81" s="18">
        <f>IF(F3="1",SUMIF(Data!A:A,'22'!$A$2,Data!EM:EM),0)</f>
        <v>210008</v>
      </c>
      <c r="F81" s="22">
        <f t="shared" si="5"/>
        <v>11.413478260869566</v>
      </c>
    </row>
    <row r="82" spans="1:6" x14ac:dyDescent="0.2">
      <c r="A82" s="20">
        <v>16</v>
      </c>
      <c r="B82" s="202" t="s">
        <v>14</v>
      </c>
      <c r="C82" s="203"/>
      <c r="D82" s="15">
        <f t="shared" si="4"/>
        <v>118190</v>
      </c>
      <c r="E82" s="18">
        <f>IF(F3="1",SUMIF(Data!A:A,'22'!$A$2,Data!EN:EN),0)</f>
        <v>304654</v>
      </c>
      <c r="F82" s="22">
        <f t="shared" si="5"/>
        <v>2.5776630848633557</v>
      </c>
    </row>
    <row r="83" spans="1:6" x14ac:dyDescent="0.2">
      <c r="A83" s="20">
        <v>17</v>
      </c>
      <c r="B83" s="202" t="s">
        <v>15</v>
      </c>
      <c r="C83" s="203"/>
      <c r="D83" s="15">
        <f t="shared" si="4"/>
        <v>8864</v>
      </c>
      <c r="E83" s="18">
        <f>IF(F3="1",SUMIF(Data!A:A,'22'!$A$2,Data!EO:EO),0)</f>
        <v>100443</v>
      </c>
      <c r="F83" s="22">
        <f t="shared" si="5"/>
        <v>11.331565884476534</v>
      </c>
    </row>
    <row r="84" spans="1:6" x14ac:dyDescent="0.2">
      <c r="A84" s="20">
        <v>18</v>
      </c>
      <c r="B84" s="202" t="s">
        <v>16</v>
      </c>
      <c r="C84" s="203"/>
      <c r="D84" s="15">
        <f t="shared" si="4"/>
        <v>85904</v>
      </c>
      <c r="E84" s="18">
        <f>IF(F3="1",SUMIF(Data!A:A,'22'!$A$2,Data!EP:EP),0)</f>
        <v>425755</v>
      </c>
      <c r="F84" s="22">
        <f t="shared" si="5"/>
        <v>4.9561720059601413</v>
      </c>
    </row>
    <row r="85" spans="1:6" x14ac:dyDescent="0.2">
      <c r="A85" s="20">
        <v>19</v>
      </c>
      <c r="B85" s="202" t="s">
        <v>17</v>
      </c>
      <c r="C85" s="203"/>
      <c r="D85" s="15">
        <f t="shared" si="4"/>
        <v>70880</v>
      </c>
      <c r="E85" s="18">
        <f>IF(F3="1",SUMIF(Data!A:A,'22'!$A$2,Data!EQ:EQ),0)</f>
        <v>280333</v>
      </c>
      <c r="F85" s="22">
        <f t="shared" si="5"/>
        <v>3.9550366817155758</v>
      </c>
    </row>
    <row r="86" spans="1:6" x14ac:dyDescent="0.2">
      <c r="A86" s="20">
        <v>20</v>
      </c>
      <c r="B86" s="202" t="s">
        <v>18</v>
      </c>
      <c r="C86" s="203"/>
      <c r="D86" s="15">
        <f t="shared" si="4"/>
        <v>10762</v>
      </c>
      <c r="E86" s="18">
        <f>IF(F3="1",SUMIF(Data!A:A,'22'!$A$2,Data!ER:ER),0)</f>
        <v>15202</v>
      </c>
      <c r="F86" s="22">
        <f t="shared" si="5"/>
        <v>1.4125627206838878</v>
      </c>
    </row>
    <row r="87" spans="1:6" ht="14.25" customHeight="1" x14ac:dyDescent="0.2">
      <c r="A87" s="20">
        <v>21</v>
      </c>
      <c r="B87" s="202" t="s">
        <v>446</v>
      </c>
      <c r="C87" s="203"/>
      <c r="D87" s="15">
        <f t="shared" si="4"/>
        <v>14612</v>
      </c>
      <c r="E87" s="18">
        <f>IF(F3="1",SUMIF(Data!A:A,'22'!$A$2,Data!ES:ES),0)</f>
        <v>28095</v>
      </c>
      <c r="F87" s="22">
        <f t="shared" si="5"/>
        <v>1.9227347385710376</v>
      </c>
    </row>
    <row r="88" spans="1:6" x14ac:dyDescent="0.2">
      <c r="A88" s="20">
        <v>22</v>
      </c>
      <c r="B88" s="202" t="s">
        <v>19</v>
      </c>
      <c r="C88" s="203"/>
      <c r="D88" s="15">
        <f t="shared" si="4"/>
        <v>15353</v>
      </c>
      <c r="E88" s="18">
        <f>IF(F3="1",SUMIF(Data!A:A,'22'!$A$2,Data!ET:ET),0)</f>
        <v>18500</v>
      </c>
      <c r="F88" s="22">
        <f t="shared" si="5"/>
        <v>1.2049762261447274</v>
      </c>
    </row>
    <row r="89" spans="1:6" x14ac:dyDescent="0.2">
      <c r="A89" s="20">
        <v>23</v>
      </c>
      <c r="B89" s="202" t="s">
        <v>20</v>
      </c>
      <c r="C89" s="203"/>
      <c r="D89" s="15">
        <f t="shared" si="4"/>
        <v>16752</v>
      </c>
      <c r="E89" s="18">
        <f>IF(F3="1",SUMIF(Data!A:A,'22'!$A$2,Data!EU:EU),0)</f>
        <v>414584</v>
      </c>
      <c r="F89" s="22">
        <f t="shared" si="5"/>
        <v>24.748328557784145</v>
      </c>
    </row>
    <row r="90" spans="1:6" x14ac:dyDescent="0.2">
      <c r="A90" s="20">
        <v>24</v>
      </c>
      <c r="B90" s="202" t="s">
        <v>21</v>
      </c>
      <c r="C90" s="203"/>
      <c r="D90" s="15">
        <f t="shared" si="4"/>
        <v>122953</v>
      </c>
      <c r="E90" s="18">
        <f>IF(F3="1",SUMIF(Data!A:A,'22'!$A$2,Data!EV:EV),0)</f>
        <v>135626</v>
      </c>
      <c r="F90" s="22">
        <f t="shared" si="5"/>
        <v>1.1030719055248754</v>
      </c>
    </row>
    <row r="91" spans="1:6" x14ac:dyDescent="0.2">
      <c r="A91" s="20">
        <v>25</v>
      </c>
      <c r="B91" s="202" t="s">
        <v>22</v>
      </c>
      <c r="C91" s="203"/>
      <c r="D91" s="15">
        <f t="shared" si="4"/>
        <v>314944</v>
      </c>
      <c r="E91" s="18">
        <f>IF(F3="1",SUMIF(Data!A:A,'22'!$A$2,Data!EW:EW),0)</f>
        <v>768111</v>
      </c>
      <c r="F91" s="22">
        <f t="shared" si="5"/>
        <v>2.4388811979272504</v>
      </c>
    </row>
    <row r="92" spans="1:6" x14ac:dyDescent="0.2">
      <c r="A92" s="20">
        <v>26</v>
      </c>
      <c r="B92" s="202" t="s">
        <v>23</v>
      </c>
      <c r="C92" s="203"/>
      <c r="D92" s="15">
        <f t="shared" si="4"/>
        <v>67999</v>
      </c>
      <c r="E92" s="18">
        <f>IF(F3="1",SUMIF(Data!A:A,'22'!$A$2,Data!EX:EX),0)</f>
        <v>282687</v>
      </c>
      <c r="F92" s="22">
        <f t="shared" si="5"/>
        <v>4.1572229003367696</v>
      </c>
    </row>
    <row r="93" spans="1:6" x14ac:dyDescent="0.2">
      <c r="A93" s="20">
        <v>28</v>
      </c>
      <c r="B93" s="202" t="s">
        <v>24</v>
      </c>
      <c r="C93" s="203"/>
      <c r="D93" s="15">
        <f t="shared" si="4"/>
        <v>101968</v>
      </c>
      <c r="E93" s="18">
        <f>IF(F3="1",SUMIF(Data!A:A,'22'!$A$2,Data!EZ:EZ),0)</f>
        <v>270944</v>
      </c>
      <c r="F93" s="22">
        <f t="shared" si="5"/>
        <v>2.657147340342068</v>
      </c>
    </row>
    <row r="94" spans="1:6" ht="15.75" customHeight="1" thickBot="1" x14ac:dyDescent="0.25">
      <c r="A94" s="23">
        <v>29</v>
      </c>
      <c r="B94" s="206" t="s">
        <v>25</v>
      </c>
      <c r="C94" s="207"/>
      <c r="D94" s="24">
        <f t="shared" si="4"/>
        <v>71936</v>
      </c>
      <c r="E94" s="25">
        <f>IF(F3="1",SUMIF(Data!A:A,'22'!$A$2,Data!FA:FA),0)</f>
        <v>198153</v>
      </c>
      <c r="F94" s="26">
        <f t="shared" si="5"/>
        <v>2.7545735097864767</v>
      </c>
    </row>
    <row r="95" spans="1:6" x14ac:dyDescent="0.2">
      <c r="B95" s="31" t="s">
        <v>35</v>
      </c>
      <c r="C95" s="31"/>
      <c r="D95" s="60">
        <f>SUM(D67:D94)</f>
        <v>2359146</v>
      </c>
      <c r="E95" s="32">
        <f>SUM(E67:E94)</f>
        <v>7010940</v>
      </c>
      <c r="F95" s="33">
        <f t="shared" si="5"/>
        <v>2.971812681368597</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IF(F3="1",SUMIF(Data!A:A,'22'!$A$2,Data!AH:AH),0)</f>
        <v>4264025</v>
      </c>
      <c r="F98" s="21">
        <f t="shared" ref="F98:F105" si="6">IFERROR(E98/$D$95,0)</f>
        <v>1.8074443039981416</v>
      </c>
    </row>
    <row r="99" spans="2:6" x14ac:dyDescent="0.2">
      <c r="B99" s="212" t="s">
        <v>31</v>
      </c>
      <c r="C99" s="213"/>
      <c r="D99" s="37"/>
      <c r="E99" s="18">
        <f>IF(F3="1",SUMIF(Data!A:A,'22'!$A$2,Data!AI:AI),0)</f>
        <v>1680292</v>
      </c>
      <c r="F99" s="22">
        <f t="shared" si="6"/>
        <v>0.71224587202318124</v>
      </c>
    </row>
    <row r="100" spans="2:6" x14ac:dyDescent="0.2">
      <c r="B100" s="212" t="s">
        <v>32</v>
      </c>
      <c r="C100" s="213"/>
      <c r="D100" s="37"/>
      <c r="E100" s="18">
        <f>IF(F3="1",SUMIF(Data!A:A,'22'!$A$2,Data!AJ:AJ),0)</f>
        <v>1081340</v>
      </c>
      <c r="F100" s="22">
        <f t="shared" si="6"/>
        <v>0.45836077970587663</v>
      </c>
    </row>
    <row r="101" spans="2:6" x14ac:dyDescent="0.2">
      <c r="B101" s="212" t="s">
        <v>28</v>
      </c>
      <c r="C101" s="213"/>
      <c r="D101" s="37"/>
      <c r="E101" s="18">
        <f>IF(F3="1",SUMIF(Data!A:A,'22'!$A$2,Data!AK:AK),0)</f>
        <v>0</v>
      </c>
      <c r="F101" s="22">
        <f t="shared" si="6"/>
        <v>0</v>
      </c>
    </row>
    <row r="102" spans="2:6" x14ac:dyDescent="0.2">
      <c r="B102" s="212" t="s">
        <v>33</v>
      </c>
      <c r="C102" s="213"/>
      <c r="D102" s="37"/>
      <c r="E102" s="18">
        <f>IF(F3="1",SUMIF(Data!A:A,'22'!$A$2,Data!AL:AL),0)</f>
        <v>43553</v>
      </c>
      <c r="F102" s="22">
        <f t="shared" si="6"/>
        <v>1.8461341519346409E-2</v>
      </c>
    </row>
    <row r="103" spans="2:6" x14ac:dyDescent="0.2">
      <c r="B103" s="214" t="s">
        <v>34</v>
      </c>
      <c r="C103" s="215"/>
      <c r="D103" s="37"/>
      <c r="E103" s="18">
        <f>IF(F3="1",SUMIF(Data!A:A,'22'!$A$2,Data!AM:AM),0)</f>
        <v>426675</v>
      </c>
      <c r="F103" s="22">
        <f t="shared" si="6"/>
        <v>0.18085993829970676</v>
      </c>
    </row>
    <row r="104" spans="2:6" ht="15.75" customHeight="1" thickBot="1" x14ac:dyDescent="0.25">
      <c r="B104" s="208" t="s">
        <v>29</v>
      </c>
      <c r="C104" s="209"/>
      <c r="D104" s="38"/>
      <c r="E104" s="25">
        <f>IF(F3="1",SUMIF(Data!A:A,'22'!$A$2,Data!Q:Q),0)</f>
        <v>1691072</v>
      </c>
      <c r="F104" s="26">
        <f t="shared" si="6"/>
        <v>0.71681532215471189</v>
      </c>
    </row>
    <row r="105" spans="2:6" x14ac:dyDescent="0.2">
      <c r="B105" s="31" t="s">
        <v>35</v>
      </c>
      <c r="C105" s="31"/>
      <c r="D105" s="35">
        <f>D95</f>
        <v>2359146</v>
      </c>
      <c r="E105" s="32">
        <f>SUM(E98:E104)</f>
        <v>9186957</v>
      </c>
      <c r="F105" s="33">
        <f t="shared" si="6"/>
        <v>3.8941875577009646</v>
      </c>
    </row>
    <row r="107" spans="2:6" ht="15" thickBot="1" x14ac:dyDescent="0.25">
      <c r="B107" s="59" t="s">
        <v>919</v>
      </c>
      <c r="C107" s="183"/>
    </row>
    <row r="108" spans="2:6" ht="28.5" x14ac:dyDescent="0.2">
      <c r="B108" s="46" t="s">
        <v>913</v>
      </c>
      <c r="C108" s="28" t="s">
        <v>917</v>
      </c>
      <c r="D108" s="28" t="s">
        <v>29</v>
      </c>
      <c r="E108" s="28" t="s">
        <v>918</v>
      </c>
      <c r="F108" s="47" t="s">
        <v>35</v>
      </c>
    </row>
    <row r="109" spans="2:6" x14ac:dyDescent="0.2">
      <c r="B109" s="43" t="s">
        <v>914</v>
      </c>
      <c r="C109" s="192">
        <f>E95+IF(F3="1",SUMIF(Data!$A:$A,$A$2,Data!GF:GF),0)</f>
        <v>7674559</v>
      </c>
      <c r="D109" s="192">
        <f>IF(F3="1",SUMIF(Data!$A:$A,$A$2,Data!HJ:HJ),0)</f>
        <v>639430</v>
      </c>
      <c r="E109" s="192">
        <f>IF(F3="1",SUMIF(Data!$A:$A,$A$2,Data!IN:IN),0)</f>
        <v>1053826</v>
      </c>
      <c r="F109" s="179">
        <f>SUM(C109:E109)</f>
        <v>9367815</v>
      </c>
    </row>
    <row r="110" spans="2:6" x14ac:dyDescent="0.2">
      <c r="B110" s="43" t="s">
        <v>28</v>
      </c>
      <c r="C110" s="193">
        <f>IF(F3="1",SUMIF(Data!A:A,$A$2,Data!W:W),0)</f>
        <v>0</v>
      </c>
      <c r="D110" s="51"/>
      <c r="E110" s="193">
        <f>IF(F3="1",SUMIF(Data!A:A,$A$2,Data!AD:AD),0)</f>
        <v>0</v>
      </c>
      <c r="F110" s="180">
        <f t="shared" ref="F110:F116" si="7">SUM(C110:E110)</f>
        <v>0</v>
      </c>
    </row>
    <row r="111" spans="2:6" x14ac:dyDescent="0.2">
      <c r="B111" s="43" t="s">
        <v>915</v>
      </c>
      <c r="C111" s="193">
        <f>IF(F3="1",SUMIF(Data!A:A,$A$2,Data!AS:AS),0)</f>
        <v>434626</v>
      </c>
      <c r="D111" s="51"/>
      <c r="E111" s="193">
        <f>IF(F3="1",SUMIF(Data!A:A,$A$2,Data!AX:AX)-SUMIF(Data!A:A,$A$2,Data!AW:AW),0)</f>
        <v>130246</v>
      </c>
      <c r="F111" s="180">
        <f t="shared" si="7"/>
        <v>564872</v>
      </c>
    </row>
    <row r="112" spans="2:6" x14ac:dyDescent="0.2">
      <c r="B112" s="43" t="s">
        <v>32</v>
      </c>
      <c r="C112" s="193">
        <f>IF(F3="1",SUMIF(Data!A:A,$A$2,Data!V:V),0)</f>
        <v>825704</v>
      </c>
      <c r="D112" s="52"/>
      <c r="E112" s="193">
        <f>IF(F3="1",SUMIF(Data!A:A,$A$2,Data!AC:AC),0)</f>
        <v>255636</v>
      </c>
      <c r="F112" s="180">
        <f t="shared" si="7"/>
        <v>1081340</v>
      </c>
    </row>
    <row r="113" spans="1:6" x14ac:dyDescent="0.2">
      <c r="B113" s="43" t="s">
        <v>31</v>
      </c>
      <c r="C113" s="193">
        <f>IF(F3="1",SUMIF(Data!A:A,$A$2,Data!U:U),0)</f>
        <v>1362582</v>
      </c>
      <c r="D113" s="52"/>
      <c r="E113" s="193">
        <f>IF(F3="1",SUMIF(Data!A:A,$A$2,Data!AB:AB),0)</f>
        <v>317710</v>
      </c>
      <c r="F113" s="180">
        <f t="shared" si="7"/>
        <v>1680292</v>
      </c>
    </row>
    <row r="114" spans="1:6" x14ac:dyDescent="0.2">
      <c r="B114" s="43" t="s">
        <v>1002</v>
      </c>
      <c r="C114" s="193">
        <f>IF(F3="1",SUMIF(Data!A:A,$A$2,Data!T:T),0)</f>
        <v>2697774</v>
      </c>
      <c r="D114" s="52"/>
      <c r="E114" s="193">
        <f>IF(F3="1",SUMIF(Data!A:A,$A$2,Data!AA:AA),0)</f>
        <v>1566251</v>
      </c>
      <c r="F114" s="180">
        <f t="shared" si="7"/>
        <v>4264025</v>
      </c>
    </row>
    <row r="115" spans="1:6" x14ac:dyDescent="0.2">
      <c r="B115" s="43" t="s">
        <v>916</v>
      </c>
      <c r="C115" s="193">
        <f>IF(F3="1",SUMIF(Data!A:A,$A$2,Data!BI:BI),0)</f>
        <v>822825</v>
      </c>
      <c r="D115" s="193">
        <f>IF(F3="1",SUMIF(Data!A:A,$A$2,Data!BL:BL),0)</f>
        <v>253445</v>
      </c>
      <c r="E115" s="193">
        <f>IF(F3="1",SUMIF(Data!A:A,$A$2,Data!BU:BU)-SUMIF(Data!A:A,$A$2,Data!BT:BT),0)</f>
        <v>2003400</v>
      </c>
      <c r="F115" s="180">
        <f t="shared" si="7"/>
        <v>3079670</v>
      </c>
    </row>
    <row r="116" spans="1:6" x14ac:dyDescent="0.2">
      <c r="B116" s="43" t="s">
        <v>33</v>
      </c>
      <c r="C116" s="193">
        <f>IF(F3="1",SUMIF(Data!A:A,$A$2,Data!X:X),0)</f>
        <v>0</v>
      </c>
      <c r="D116" s="51"/>
      <c r="E116" s="193">
        <f>E102-C116</f>
        <v>43553</v>
      </c>
      <c r="F116" s="180">
        <f t="shared" si="7"/>
        <v>43553</v>
      </c>
    </row>
    <row r="117" spans="1:6" ht="15" thickBot="1" x14ac:dyDescent="0.25">
      <c r="B117" s="44" t="s">
        <v>920</v>
      </c>
      <c r="C117" s="53"/>
      <c r="D117" s="53">
        <f>IF(F3="1",SUMIF(Data!A:A,$A$2,Data!Q:Q),0)</f>
        <v>1691072</v>
      </c>
      <c r="E117" s="53"/>
      <c r="F117" s="181">
        <f>SUM(C117:E117)</f>
        <v>1691072</v>
      </c>
    </row>
    <row r="118" spans="1:6" x14ac:dyDescent="0.2">
      <c r="B118" s="14" t="s">
        <v>35</v>
      </c>
      <c r="C118" s="178">
        <f>SUM(C109:C117)</f>
        <v>13818070</v>
      </c>
      <c r="D118" s="194">
        <f>SUM(D109:D117)</f>
        <v>2583947</v>
      </c>
      <c r="E118" s="178">
        <f>SUM(E109:E117)</f>
        <v>5370622</v>
      </c>
      <c r="F118" s="178">
        <f>SUM(F109:F117)</f>
        <v>21772639</v>
      </c>
    </row>
    <row r="119" spans="1:6" x14ac:dyDescent="0.2">
      <c r="C119" s="177"/>
      <c r="D119" s="177"/>
      <c r="E119" s="177"/>
      <c r="F119" s="183"/>
    </row>
    <row r="120" spans="1:6" ht="15" thickBot="1" x14ac:dyDescent="0.25">
      <c r="B120" s="188" t="s">
        <v>921</v>
      </c>
      <c r="C120" s="53"/>
      <c r="D120" s="53"/>
      <c r="E120" s="195">
        <f>IF(F3="1",SUMIF(Data!A:A,$A$2,Data!AF:AF)+SUMIF(Data!A:A,$A$2,Data!AW:AW)+SUMIF(Data!A:A,$A$2,Data!BT:BT),0)</f>
        <v>431266</v>
      </c>
      <c r="F120" s="181">
        <f>SUM(C120:E120)</f>
        <v>431266</v>
      </c>
    </row>
    <row r="121" spans="1:6" s="177" customFormat="1" x14ac:dyDescent="0.2">
      <c r="B121" s="14" t="s">
        <v>35</v>
      </c>
      <c r="C121" s="178">
        <f>SUM(C120:C120)</f>
        <v>0</v>
      </c>
      <c r="D121" s="178">
        <f>SUM(D120:D120)</f>
        <v>0</v>
      </c>
      <c r="E121" s="178">
        <f>SUM(E120:E120)</f>
        <v>431266</v>
      </c>
      <c r="F121" s="178">
        <f>SUM(F120:F120)</f>
        <v>431266</v>
      </c>
    </row>
    <row r="122" spans="1:6" s="177" customFormat="1" ht="15" thickBot="1" x14ac:dyDescent="0.25">
      <c r="B122" s="14" t="s">
        <v>1396</v>
      </c>
      <c r="C122" s="178"/>
      <c r="D122" s="178"/>
      <c r="E122" s="178"/>
      <c r="F122" s="190">
        <f>F118+F121</f>
        <v>22203905</v>
      </c>
    </row>
    <row r="123" spans="1:6" ht="15" thickTop="1" x14ac:dyDescent="0.2">
      <c r="F123" s="184">
        <f>F118+F120</f>
        <v>22203905</v>
      </c>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374</v>
      </c>
      <c r="B2" s="59" t="str">
        <f>VLOOKUP(A2,Data!A:G,7,0)</f>
        <v>Kilgore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18040</v>
      </c>
      <c r="E5" s="16">
        <f>E36+E67+IFERROR($E$105/$D$105*D5,0)</f>
        <v>93243.750144304329</v>
      </c>
      <c r="F5" s="21">
        <f>IFERROR(E5/D5,"")</f>
        <v>5.1687222918128786</v>
      </c>
    </row>
    <row r="6" spans="1:6" x14ac:dyDescent="0.2">
      <c r="A6" s="20">
        <v>2</v>
      </c>
      <c r="B6" s="202" t="s">
        <v>1</v>
      </c>
      <c r="C6" s="203"/>
      <c r="D6" s="15">
        <f t="shared" ref="D6:D32" si="0">D37</f>
        <v>52185</v>
      </c>
      <c r="E6" s="18">
        <f t="shared" ref="E6:E32" si="1">E37+E68+IFERROR($E$105/$D$105*D6,0)</f>
        <v>356845.72983816639</v>
      </c>
      <c r="F6" s="22">
        <f t="shared" ref="F6:F33" si="2">IFERROR(E6/D6,"")</f>
        <v>6.8380900610935402</v>
      </c>
    </row>
    <row r="7" spans="1:6" ht="14.25" customHeight="1" x14ac:dyDescent="0.2">
      <c r="A7" s="20">
        <v>3</v>
      </c>
      <c r="B7" s="202" t="s">
        <v>2</v>
      </c>
      <c r="C7" s="203"/>
      <c r="D7" s="15">
        <f t="shared" si="0"/>
        <v>314976</v>
      </c>
      <c r="E7" s="18">
        <f t="shared" si="1"/>
        <v>2316511.9244707539</v>
      </c>
      <c r="F7" s="22">
        <f t="shared" si="2"/>
        <v>7.3545664573515248</v>
      </c>
    </row>
    <row r="8" spans="1:6" ht="14.25" customHeight="1" x14ac:dyDescent="0.2">
      <c r="A8" s="20">
        <v>4</v>
      </c>
      <c r="B8" s="202" t="s">
        <v>3</v>
      </c>
      <c r="C8" s="203"/>
      <c r="D8" s="15">
        <f t="shared" si="0"/>
        <v>218413</v>
      </c>
      <c r="E8" s="18">
        <f t="shared" si="1"/>
        <v>1429905.3781190654</v>
      </c>
      <c r="F8" s="22">
        <f t="shared" si="2"/>
        <v>6.5467961070040035</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12288</v>
      </c>
      <c r="E10" s="18">
        <f t="shared" si="1"/>
        <v>137765.0098543909</v>
      </c>
      <c r="F10" s="22">
        <f t="shared" si="2"/>
        <v>11.211345202994051</v>
      </c>
    </row>
    <row r="11" spans="1:6" x14ac:dyDescent="0.2">
      <c r="A11" s="20">
        <v>7</v>
      </c>
      <c r="B11" s="202" t="s">
        <v>6</v>
      </c>
      <c r="C11" s="203"/>
      <c r="D11" s="15">
        <f t="shared" si="0"/>
        <v>157548</v>
      </c>
      <c r="E11" s="18">
        <f t="shared" si="1"/>
        <v>1080953.7884553692</v>
      </c>
      <c r="F11" s="22">
        <f t="shared" si="2"/>
        <v>6.861107652622497</v>
      </c>
    </row>
    <row r="12" spans="1:6" x14ac:dyDescent="0.2">
      <c r="A12" s="20">
        <v>8</v>
      </c>
      <c r="B12" s="202" t="s">
        <v>7</v>
      </c>
      <c r="C12" s="203"/>
      <c r="D12" s="15">
        <f t="shared" si="0"/>
        <v>7572</v>
      </c>
      <c r="E12" s="18">
        <f t="shared" si="1"/>
        <v>344791.96896300843</v>
      </c>
      <c r="F12" s="22">
        <f t="shared" si="2"/>
        <v>45.53512532527845</v>
      </c>
    </row>
    <row r="13" spans="1:6" x14ac:dyDescent="0.2">
      <c r="A13" s="20">
        <v>9</v>
      </c>
      <c r="B13" s="202" t="s">
        <v>8</v>
      </c>
      <c r="C13" s="203"/>
      <c r="D13" s="15">
        <f t="shared" si="0"/>
        <v>182186</v>
      </c>
      <c r="E13" s="18">
        <f t="shared" si="1"/>
        <v>1095459.2785914761</v>
      </c>
      <c r="F13" s="22">
        <f t="shared" si="2"/>
        <v>6.0128620124020298</v>
      </c>
    </row>
    <row r="14" spans="1:6" x14ac:dyDescent="0.2">
      <c r="A14" s="20">
        <v>10</v>
      </c>
      <c r="B14" s="202" t="s">
        <v>9</v>
      </c>
      <c r="C14" s="203"/>
      <c r="D14" s="15">
        <f t="shared" si="0"/>
        <v>1536</v>
      </c>
      <c r="E14" s="18">
        <f t="shared" si="1"/>
        <v>19607.751231798862</v>
      </c>
      <c r="F14" s="22">
        <f t="shared" si="2"/>
        <v>12.765463041535718</v>
      </c>
    </row>
    <row r="15" spans="1:6" x14ac:dyDescent="0.2">
      <c r="A15" s="20">
        <v>11</v>
      </c>
      <c r="B15" s="202" t="s">
        <v>10</v>
      </c>
      <c r="C15" s="203"/>
      <c r="D15" s="15">
        <f t="shared" si="0"/>
        <v>183799</v>
      </c>
      <c r="E15" s="18">
        <f t="shared" si="1"/>
        <v>1227483.5818055982</v>
      </c>
      <c r="F15" s="22">
        <f t="shared" si="2"/>
        <v>6.6784018509654475</v>
      </c>
    </row>
    <row r="16" spans="1:6" ht="14.25" customHeight="1" x14ac:dyDescent="0.2">
      <c r="A16" s="20">
        <v>12</v>
      </c>
      <c r="B16" s="202" t="s">
        <v>11</v>
      </c>
      <c r="C16" s="203"/>
      <c r="D16" s="15">
        <f t="shared" si="0"/>
        <v>288032</v>
      </c>
      <c r="E16" s="18">
        <f t="shared" si="1"/>
        <v>1937458.1632796158</v>
      </c>
      <c r="F16" s="22">
        <f t="shared" si="2"/>
        <v>6.7265378960657696</v>
      </c>
    </row>
    <row r="17" spans="1:6" x14ac:dyDescent="0.2">
      <c r="A17" s="20">
        <v>13</v>
      </c>
      <c r="B17" s="202" t="s">
        <v>12</v>
      </c>
      <c r="C17" s="203"/>
      <c r="D17" s="15">
        <f t="shared" si="0"/>
        <v>21896</v>
      </c>
      <c r="E17" s="18">
        <f t="shared" si="1"/>
        <v>180229.78188246605</v>
      </c>
      <c r="F17" s="22">
        <f t="shared" si="2"/>
        <v>8.231173816334767</v>
      </c>
    </row>
    <row r="18" spans="1:6" ht="14.25" customHeight="1" x14ac:dyDescent="0.2">
      <c r="A18" s="20">
        <v>14</v>
      </c>
      <c r="B18" s="202" t="s">
        <v>449</v>
      </c>
      <c r="C18" s="203"/>
      <c r="D18" s="15">
        <f t="shared" si="0"/>
        <v>159136</v>
      </c>
      <c r="E18" s="18">
        <f t="shared" si="1"/>
        <v>1484025.2890778279</v>
      </c>
      <c r="F18" s="22">
        <f t="shared" si="2"/>
        <v>9.3255158422847622</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182904</v>
      </c>
      <c r="E20" s="18">
        <f t="shared" si="1"/>
        <v>1385872.0490240487</v>
      </c>
      <c r="F20" s="22">
        <f t="shared" si="2"/>
        <v>7.5770461500243229</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93360</v>
      </c>
      <c r="E22" s="18">
        <f t="shared" si="1"/>
        <v>673752.59830777464</v>
      </c>
      <c r="F22" s="22">
        <f t="shared" si="2"/>
        <v>7.2167159201775348</v>
      </c>
    </row>
    <row r="23" spans="1:6" x14ac:dyDescent="0.2">
      <c r="A23" s="20">
        <v>19</v>
      </c>
      <c r="B23" s="202" t="s">
        <v>17</v>
      </c>
      <c r="C23" s="203"/>
      <c r="D23" s="15">
        <f t="shared" si="0"/>
        <v>114864</v>
      </c>
      <c r="E23" s="18">
        <f t="shared" si="1"/>
        <v>698337.11555295857</v>
      </c>
      <c r="F23" s="22">
        <f t="shared" si="2"/>
        <v>6.079686547159759</v>
      </c>
    </row>
    <row r="24" spans="1:6" x14ac:dyDescent="0.2">
      <c r="A24" s="20">
        <v>20</v>
      </c>
      <c r="B24" s="202" t="s">
        <v>18</v>
      </c>
      <c r="C24" s="203"/>
      <c r="D24" s="15">
        <f t="shared" si="0"/>
        <v>56539</v>
      </c>
      <c r="E24" s="18">
        <f t="shared" si="1"/>
        <v>468525.66920226288</v>
      </c>
      <c r="F24" s="22">
        <f t="shared" si="2"/>
        <v>8.2867696493086704</v>
      </c>
    </row>
    <row r="25" spans="1:6" ht="14.25" customHeight="1" x14ac:dyDescent="0.2">
      <c r="A25" s="20">
        <v>21</v>
      </c>
      <c r="B25" s="202" t="s">
        <v>446</v>
      </c>
      <c r="C25" s="203"/>
      <c r="D25" s="15">
        <f t="shared" si="0"/>
        <v>45740</v>
      </c>
      <c r="E25" s="18">
        <f t="shared" si="1"/>
        <v>235376.02170734369</v>
      </c>
      <c r="F25" s="22">
        <f t="shared" si="2"/>
        <v>5.1459558746686422</v>
      </c>
    </row>
    <row r="26" spans="1:6" x14ac:dyDescent="0.2">
      <c r="A26" s="20">
        <v>22</v>
      </c>
      <c r="B26" s="202" t="s">
        <v>19</v>
      </c>
      <c r="C26" s="203"/>
      <c r="D26" s="15">
        <f t="shared" si="0"/>
        <v>15820</v>
      </c>
      <c r="E26" s="18">
        <f t="shared" si="1"/>
        <v>49056.680004595044</v>
      </c>
      <c r="F26" s="22">
        <f t="shared" si="2"/>
        <v>3.1009279396077778</v>
      </c>
    </row>
    <row r="27" spans="1:6" x14ac:dyDescent="0.2">
      <c r="A27" s="20">
        <v>23</v>
      </c>
      <c r="B27" s="202" t="s">
        <v>20</v>
      </c>
      <c r="C27" s="203"/>
      <c r="D27" s="15">
        <f t="shared" si="0"/>
        <v>110400</v>
      </c>
      <c r="E27" s="18">
        <f t="shared" si="1"/>
        <v>974728.24478554318</v>
      </c>
      <c r="F27" s="22">
        <f t="shared" si="2"/>
        <v>8.8290601882748483</v>
      </c>
    </row>
    <row r="28" spans="1:6" x14ac:dyDescent="0.2">
      <c r="A28" s="20">
        <v>24</v>
      </c>
      <c r="B28" s="202" t="s">
        <v>21</v>
      </c>
      <c r="C28" s="203"/>
      <c r="D28" s="15">
        <f t="shared" si="0"/>
        <v>289975</v>
      </c>
      <c r="E28" s="18">
        <f t="shared" si="1"/>
        <v>2267336.2607036945</v>
      </c>
      <c r="F28" s="22">
        <f t="shared" si="2"/>
        <v>7.8190749571642195</v>
      </c>
    </row>
    <row r="29" spans="1:6" x14ac:dyDescent="0.2">
      <c r="A29" s="20">
        <v>25</v>
      </c>
      <c r="B29" s="202" t="s">
        <v>22</v>
      </c>
      <c r="C29" s="203"/>
      <c r="D29" s="15">
        <f t="shared" si="0"/>
        <v>438384</v>
      </c>
      <c r="E29" s="18">
        <f t="shared" si="1"/>
        <v>2511302.0937505937</v>
      </c>
      <c r="F29" s="22">
        <f t="shared" si="2"/>
        <v>5.7285441388157272</v>
      </c>
    </row>
    <row r="30" spans="1:6" x14ac:dyDescent="0.2">
      <c r="A30" s="20">
        <v>26</v>
      </c>
      <c r="B30" s="202" t="s">
        <v>23</v>
      </c>
      <c r="C30" s="203"/>
      <c r="D30" s="15">
        <f t="shared" si="0"/>
        <v>204646</v>
      </c>
      <c r="E30" s="18">
        <f t="shared" si="1"/>
        <v>1661883.7269418682</v>
      </c>
      <c r="F30" s="22">
        <f t="shared" si="2"/>
        <v>8.1207730761503676</v>
      </c>
    </row>
    <row r="31" spans="1:6" x14ac:dyDescent="0.2">
      <c r="A31" s="20">
        <v>28</v>
      </c>
      <c r="B31" s="202" t="s">
        <v>24</v>
      </c>
      <c r="C31" s="203"/>
      <c r="D31" s="15">
        <f t="shared" si="0"/>
        <v>205088</v>
      </c>
      <c r="E31" s="18">
        <f t="shared" si="1"/>
        <v>1274953.5967624772</v>
      </c>
      <c r="F31" s="22">
        <f t="shared" si="2"/>
        <v>6.2166172411963512</v>
      </c>
    </row>
    <row r="32" spans="1:6" ht="15.75" customHeight="1" thickBot="1" x14ac:dyDescent="0.25">
      <c r="A32" s="23">
        <v>29</v>
      </c>
      <c r="B32" s="206" t="s">
        <v>25</v>
      </c>
      <c r="C32" s="207"/>
      <c r="D32" s="24">
        <f t="shared" si="0"/>
        <v>150208</v>
      </c>
      <c r="E32" s="25">
        <f t="shared" si="1"/>
        <v>754134.54754299694</v>
      </c>
      <c r="F32" s="26">
        <f t="shared" si="2"/>
        <v>5.0206017491944301</v>
      </c>
    </row>
    <row r="33" spans="1:6" x14ac:dyDescent="0.2">
      <c r="B33" s="31" t="s">
        <v>35</v>
      </c>
      <c r="C33" s="31"/>
      <c r="D33" s="60">
        <f>SUM(D5:D32)</f>
        <v>3525535</v>
      </c>
      <c r="E33" s="32">
        <f>SUM(E5:E32)</f>
        <v>24659540</v>
      </c>
      <c r="F33" s="33">
        <f t="shared" si="2"/>
        <v>6.9945525998181832</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IF(F3="1",SUMIF(Data!A:A,'23'!$A$2,Data!CU:CU),0)</f>
        <v>18040</v>
      </c>
      <c r="E36" s="16">
        <f>IF(F3="1",SUMIF(Data!$A:$A,'23'!$A$2,Data!IO:IO),0)</f>
        <v>10001</v>
      </c>
      <c r="F36" s="21">
        <f t="shared" ref="F36:F64" si="3">IFERROR(E36/D36,"")</f>
        <v>0.55437915742793786</v>
      </c>
    </row>
    <row r="37" spans="1:6" x14ac:dyDescent="0.2">
      <c r="A37" s="20">
        <v>2</v>
      </c>
      <c r="B37" s="202" t="s">
        <v>1</v>
      </c>
      <c r="C37" s="203"/>
      <c r="D37" s="15">
        <f>IF(F3="1",SUMIF(Data!A:A,'23'!$A$2,Data!CV:CV),0)</f>
        <v>52185</v>
      </c>
      <c r="E37" s="18">
        <f>IF(F3="1",SUMIF(Data!$A:$A,'23'!$A$2,Data!IP:IP),0)</f>
        <v>25716</v>
      </c>
      <c r="F37" s="22">
        <f t="shared" si="3"/>
        <v>0.49278528312733544</v>
      </c>
    </row>
    <row r="38" spans="1:6" ht="14.25" customHeight="1" x14ac:dyDescent="0.2">
      <c r="A38" s="20">
        <v>3</v>
      </c>
      <c r="B38" s="202" t="s">
        <v>2</v>
      </c>
      <c r="C38" s="203"/>
      <c r="D38" s="15">
        <f>IF(F3="1",SUMIF(Data!A:A,'23'!$A$2,Data!CW:CW),0)</f>
        <v>314976</v>
      </c>
      <c r="E38" s="18">
        <f>IF(F3="1",SUMIF(Data!$A:$A,'23'!$A$2,Data!IQ:IQ),0)</f>
        <v>284080</v>
      </c>
      <c r="F38" s="22">
        <f t="shared" si="3"/>
        <v>0.90190998679264456</v>
      </c>
    </row>
    <row r="39" spans="1:6" ht="14.25" customHeight="1" x14ac:dyDescent="0.2">
      <c r="A39" s="20">
        <v>4</v>
      </c>
      <c r="B39" s="202" t="s">
        <v>3</v>
      </c>
      <c r="C39" s="203"/>
      <c r="D39" s="15">
        <f>IF(F3="1",SUMIF(Data!A:A,'23'!$A$2,Data!CX:CX),0)</f>
        <v>218413</v>
      </c>
      <c r="E39" s="18">
        <f>IF(F3="1",SUMIF(Data!$A:$A,'23'!$A$2,Data!IR:IR),0)</f>
        <v>116679</v>
      </c>
      <c r="F39" s="22">
        <f t="shared" si="3"/>
        <v>0.53421270711908175</v>
      </c>
    </row>
    <row r="40" spans="1:6" x14ac:dyDescent="0.2">
      <c r="A40" s="20">
        <v>5</v>
      </c>
      <c r="B40" s="202" t="s">
        <v>4</v>
      </c>
      <c r="C40" s="203"/>
      <c r="D40" s="15">
        <f>IF(F3="1",SUMIF(Data!A:A,'23'!$A$2,Data!CY:CY),0)</f>
        <v>0</v>
      </c>
      <c r="E40" s="18">
        <f>IF(F3="1",SUMIF(Data!$A:$A,'23'!$A$2,Data!IS:IS),0)</f>
        <v>0</v>
      </c>
      <c r="F40" s="22" t="str">
        <f t="shared" si="3"/>
        <v/>
      </c>
    </row>
    <row r="41" spans="1:6" x14ac:dyDescent="0.2">
      <c r="A41" s="20">
        <v>6</v>
      </c>
      <c r="B41" s="202" t="s">
        <v>5</v>
      </c>
      <c r="C41" s="203"/>
      <c r="D41" s="15">
        <f>IF(F3="1",SUMIF(Data!A:A,'23'!$A$2,Data!CZ:CZ),0)</f>
        <v>12288</v>
      </c>
      <c r="E41" s="18">
        <f>IF(F3="1",SUMIF(Data!$A:$A,'23'!$A$2,Data!IT:IT),0)</f>
        <v>27446</v>
      </c>
      <c r="F41" s="22">
        <f t="shared" si="3"/>
        <v>2.2335611979166665</v>
      </c>
    </row>
    <row r="42" spans="1:6" x14ac:dyDescent="0.2">
      <c r="A42" s="20">
        <v>7</v>
      </c>
      <c r="B42" s="202" t="s">
        <v>6</v>
      </c>
      <c r="C42" s="203"/>
      <c r="D42" s="15">
        <f>IF(F3="1",SUMIF(Data!A:A,'23'!$A$2,Data!DA:DA),0)</f>
        <v>157548</v>
      </c>
      <c r="E42" s="18">
        <f>IF(F3="1",SUMIF(Data!$A:$A,'23'!$A$2,Data!IU:IU),0)</f>
        <v>206052</v>
      </c>
      <c r="F42" s="22">
        <f t="shared" si="3"/>
        <v>1.3078680782999468</v>
      </c>
    </row>
    <row r="43" spans="1:6" x14ac:dyDescent="0.2">
      <c r="A43" s="20">
        <v>8</v>
      </c>
      <c r="B43" s="202" t="s">
        <v>7</v>
      </c>
      <c r="C43" s="203"/>
      <c r="D43" s="15">
        <f>IF(F3="1",SUMIF(Data!A:A,'23'!$A$2,Data!DB:DB),0)</f>
        <v>7572</v>
      </c>
      <c r="E43" s="18">
        <f>IF(F3="1",SUMIF(Data!$A:$A,'23'!$A$2,Data!IV:IV),0)</f>
        <v>100653</v>
      </c>
      <c r="F43" s="22">
        <f t="shared" si="3"/>
        <v>13.292789223454834</v>
      </c>
    </row>
    <row r="44" spans="1:6" x14ac:dyDescent="0.2">
      <c r="A44" s="20">
        <v>9</v>
      </c>
      <c r="B44" s="202" t="s">
        <v>8</v>
      </c>
      <c r="C44" s="203"/>
      <c r="D44" s="15">
        <f>IF(F3="1",SUMIF(Data!A:A,'23'!$A$2,Data!DC:DC),0)</f>
        <v>182186</v>
      </c>
      <c r="E44" s="18">
        <f>IF(F3="1",SUMIF(Data!$A:$A,'23'!$A$2,Data!IW:IW),0)</f>
        <v>47672</v>
      </c>
      <c r="F44" s="22">
        <f t="shared" si="3"/>
        <v>0.26166664837034681</v>
      </c>
    </row>
    <row r="45" spans="1:6" x14ac:dyDescent="0.2">
      <c r="A45" s="20">
        <v>10</v>
      </c>
      <c r="B45" s="202" t="s">
        <v>9</v>
      </c>
      <c r="C45" s="203"/>
      <c r="D45" s="15">
        <f>IF(F3="1",SUMIF(Data!A:A,'23'!$A$2,Data!DD:DD),0)</f>
        <v>1536</v>
      </c>
      <c r="E45" s="18">
        <f>IF(F3="1",SUMIF(Data!$A:$A,'23'!$A$2,Data!IX:IX),0)</f>
        <v>1454</v>
      </c>
      <c r="F45" s="22">
        <f t="shared" si="3"/>
        <v>0.94661458333333337</v>
      </c>
    </row>
    <row r="46" spans="1:6" x14ac:dyDescent="0.2">
      <c r="A46" s="20">
        <v>11</v>
      </c>
      <c r="B46" s="202" t="s">
        <v>10</v>
      </c>
      <c r="C46" s="203"/>
      <c r="D46" s="15">
        <f>IF(F3="1",SUMIF(Data!A:A,'23'!$A$2,Data!DE:DE),0)</f>
        <v>183799</v>
      </c>
      <c r="E46" s="18">
        <f>IF(F3="1",SUMIF(Data!$A:$A,'23'!$A$2,Data!IY:IY),0)</f>
        <v>248928</v>
      </c>
      <c r="F46" s="22">
        <f t="shared" si="3"/>
        <v>1.3543490443364763</v>
      </c>
    </row>
    <row r="47" spans="1:6" ht="14.25" customHeight="1" x14ac:dyDescent="0.2">
      <c r="A47" s="20">
        <v>12</v>
      </c>
      <c r="B47" s="202" t="s">
        <v>11</v>
      </c>
      <c r="C47" s="203"/>
      <c r="D47" s="15">
        <f>IF(F3="1",SUMIF(Data!A:A,'23'!$A$2,Data!DF:DF),0)</f>
        <v>288032</v>
      </c>
      <c r="E47" s="18">
        <f>IF(F3="1",SUMIF(Data!$A:$A,'23'!$A$2,Data!IZ:IZ),0)</f>
        <v>60795</v>
      </c>
      <c r="F47" s="22">
        <f t="shared" si="3"/>
        <v>0.21107029774469505</v>
      </c>
    </row>
    <row r="48" spans="1:6" x14ac:dyDescent="0.2">
      <c r="A48" s="20">
        <v>13</v>
      </c>
      <c r="B48" s="202" t="s">
        <v>12</v>
      </c>
      <c r="C48" s="203"/>
      <c r="D48" s="15">
        <f>IF(F3="1",SUMIF(Data!A:A,'23'!$A$2,Data!DG:DG),0)</f>
        <v>21896</v>
      </c>
      <c r="E48" s="18">
        <f>IF(F3="1",SUMIF(Data!$A:$A,'23'!$A$2,Data!JA:JA),0)</f>
        <v>7558</v>
      </c>
      <c r="F48" s="22">
        <f t="shared" si="3"/>
        <v>0.34517720131530871</v>
      </c>
    </row>
    <row r="49" spans="1:6" ht="14.25" customHeight="1" x14ac:dyDescent="0.2">
      <c r="A49" s="20">
        <v>14</v>
      </c>
      <c r="B49" s="202" t="s">
        <v>449</v>
      </c>
      <c r="C49" s="203"/>
      <c r="D49" s="15">
        <f>IF(F3="1",SUMIF(Data!A:A,'23'!$A$2,Data!DH:DH),0)</f>
        <v>159136</v>
      </c>
      <c r="E49" s="18">
        <f>IF(F3="1",SUMIF(Data!$A:$A,'23'!$A$2,Data!JB:JB),0)</f>
        <v>163494</v>
      </c>
      <c r="F49" s="22">
        <f t="shared" si="3"/>
        <v>1.0273853810577116</v>
      </c>
    </row>
    <row r="50" spans="1:6" x14ac:dyDescent="0.2">
      <c r="A50" s="20">
        <v>15</v>
      </c>
      <c r="B50" s="202" t="s">
        <v>13</v>
      </c>
      <c r="C50" s="203"/>
      <c r="D50" s="15">
        <f>IF(F3="1",SUMIF(Data!A:A,'23'!$A$2,Data!DI:DI),0)</f>
        <v>0</v>
      </c>
      <c r="E50" s="18">
        <f>IF(F3="1",SUMIF(Data!$A:$A,'23'!$A$2,Data!JC:JC),0)</f>
        <v>0</v>
      </c>
      <c r="F50" s="22" t="str">
        <f t="shared" si="3"/>
        <v/>
      </c>
    </row>
    <row r="51" spans="1:6" x14ac:dyDescent="0.2">
      <c r="A51" s="20">
        <v>16</v>
      </c>
      <c r="B51" s="202" t="s">
        <v>14</v>
      </c>
      <c r="C51" s="203"/>
      <c r="D51" s="15">
        <f>IF(F3="1",SUMIF(Data!A:A,'23'!$A$2,Data!DJ:DJ),0)</f>
        <v>182904</v>
      </c>
      <c r="E51" s="18">
        <f>IF(F3="1",SUMIF(Data!$A:$A,'23'!$A$2,Data!JD:JD),0)</f>
        <v>156061</v>
      </c>
      <c r="F51" s="22">
        <f t="shared" si="3"/>
        <v>0.85323995101255301</v>
      </c>
    </row>
    <row r="52" spans="1:6" x14ac:dyDescent="0.2">
      <c r="A52" s="20">
        <v>17</v>
      </c>
      <c r="B52" s="202" t="s">
        <v>15</v>
      </c>
      <c r="C52" s="203"/>
      <c r="D52" s="15">
        <f>IF(F3="1",SUMIF(Data!A:A,'23'!$A$2,Data!DK:DK),0)</f>
        <v>0</v>
      </c>
      <c r="E52" s="18">
        <f>IF(F3="1",SUMIF(Data!$A:$A,'23'!$A$2,Data!JE:JE),0)</f>
        <v>0</v>
      </c>
      <c r="F52" s="22" t="str">
        <f t="shared" si="3"/>
        <v/>
      </c>
    </row>
    <row r="53" spans="1:6" x14ac:dyDescent="0.2">
      <c r="A53" s="20">
        <v>18</v>
      </c>
      <c r="B53" s="202" t="s">
        <v>16</v>
      </c>
      <c r="C53" s="203"/>
      <c r="D53" s="15">
        <f>IF(F3="1",SUMIF(Data!A:A,'23'!$A$2,Data!DL:DL),0)</f>
        <v>93360</v>
      </c>
      <c r="E53" s="18">
        <f>IF(F3="1",SUMIF(Data!$A:$A,'23'!$A$2,Data!JF:JF),0)</f>
        <v>47468</v>
      </c>
      <c r="F53" s="22">
        <f t="shared" si="3"/>
        <v>0.5084404455869751</v>
      </c>
    </row>
    <row r="54" spans="1:6" x14ac:dyDescent="0.2">
      <c r="A54" s="20">
        <v>19</v>
      </c>
      <c r="B54" s="202" t="s">
        <v>17</v>
      </c>
      <c r="C54" s="203"/>
      <c r="D54" s="15">
        <f>IF(F3="1",SUMIF(Data!A:A,'23'!$A$2,Data!DM:DM),0)</f>
        <v>114864</v>
      </c>
      <c r="E54" s="18">
        <f>IF(F3="1",SUMIF(Data!$A:$A,'23'!$A$2,Data!JG:JG),0)</f>
        <v>24828</v>
      </c>
      <c r="F54" s="22">
        <f t="shared" si="3"/>
        <v>0.2161512745507731</v>
      </c>
    </row>
    <row r="55" spans="1:6" x14ac:dyDescent="0.2">
      <c r="A55" s="20">
        <v>20</v>
      </c>
      <c r="B55" s="202" t="s">
        <v>18</v>
      </c>
      <c r="C55" s="203"/>
      <c r="D55" s="15">
        <f>IF(F3="1",SUMIF(Data!A:A,'23'!$A$2,Data!DN:DN),0)</f>
        <v>56539</v>
      </c>
      <c r="E55" s="18">
        <f>IF(F3="1",SUMIF(Data!$A:$A,'23'!$A$2,Data!JH:JH),0)</f>
        <v>43782</v>
      </c>
      <c r="F55" s="22">
        <f t="shared" si="3"/>
        <v>0.77436813526946002</v>
      </c>
    </row>
    <row r="56" spans="1:6" ht="14.25" customHeight="1" x14ac:dyDescent="0.2">
      <c r="A56" s="20">
        <v>21</v>
      </c>
      <c r="B56" s="202" t="s">
        <v>446</v>
      </c>
      <c r="C56" s="203"/>
      <c r="D56" s="15">
        <f>IF(F3="1",SUMIF(Data!A:A,'23'!$A$2,Data!DO:DO),0)</f>
        <v>45740</v>
      </c>
      <c r="E56" s="18">
        <f>IF(F3="1",SUMIF(Data!$A:$A,'23'!$A$2,Data!JI:JI),0)</f>
        <v>22556</v>
      </c>
      <c r="F56" s="22">
        <f t="shared" si="3"/>
        <v>0.4931351114997814</v>
      </c>
    </row>
    <row r="57" spans="1:6" x14ac:dyDescent="0.2">
      <c r="A57" s="20">
        <v>22</v>
      </c>
      <c r="B57" s="202" t="s">
        <v>19</v>
      </c>
      <c r="C57" s="203"/>
      <c r="D57" s="15">
        <f>IF(F3="1",SUMIF(Data!A:A,'23'!$A$2,Data!DP:DP),0)</f>
        <v>15820</v>
      </c>
      <c r="E57" s="18">
        <f>IF(F3="1",SUMIF(Data!$A:$A,'23'!$A$2,Data!JJ:JJ),0)</f>
        <v>287</v>
      </c>
      <c r="F57" s="22">
        <f t="shared" si="3"/>
        <v>1.8141592920353982E-2</v>
      </c>
    </row>
    <row r="58" spans="1:6" x14ac:dyDescent="0.2">
      <c r="A58" s="20">
        <v>23</v>
      </c>
      <c r="B58" s="202" t="s">
        <v>20</v>
      </c>
      <c r="C58" s="203"/>
      <c r="D58" s="15">
        <f>IF(F3="1",SUMIF(Data!A:A,'23'!$A$2,Data!DQ:DQ),0)</f>
        <v>110400</v>
      </c>
      <c r="E58" s="18">
        <f>IF(F3="1",SUMIF(Data!$A:$A,'23'!$A$2,Data!JK:JK),0)</f>
        <v>35230</v>
      </c>
      <c r="F58" s="22">
        <f t="shared" si="3"/>
        <v>0.31911231884057972</v>
      </c>
    </row>
    <row r="59" spans="1:6" x14ac:dyDescent="0.2">
      <c r="A59" s="20">
        <v>24</v>
      </c>
      <c r="B59" s="202" t="s">
        <v>21</v>
      </c>
      <c r="C59" s="203"/>
      <c r="D59" s="15">
        <f>IF(F3="1",SUMIF(Data!A:A,'23'!$A$2,Data!DR:DR),0)</f>
        <v>289975</v>
      </c>
      <c r="E59" s="18">
        <f>IF(F3="1",SUMIF(Data!$A:$A,'23'!$A$2,Data!JL:JL),0)</f>
        <v>592241</v>
      </c>
      <c r="F59" s="22">
        <f t="shared" si="3"/>
        <v>2.0423864126217777</v>
      </c>
    </row>
    <row r="60" spans="1:6" x14ac:dyDescent="0.2">
      <c r="A60" s="20">
        <v>25</v>
      </c>
      <c r="B60" s="202" t="s">
        <v>22</v>
      </c>
      <c r="C60" s="203"/>
      <c r="D60" s="15">
        <f>IF(F3="1",SUMIF(Data!A:A,'23'!$A$2,Data!DS:DS),0)</f>
        <v>438384</v>
      </c>
      <c r="E60" s="18">
        <f>IF(F3="1",SUMIF(Data!$A:$A,'23'!$A$2,Data!JM:JM),0)</f>
        <v>50714</v>
      </c>
      <c r="F60" s="22">
        <f t="shared" si="3"/>
        <v>0.11568396656812292</v>
      </c>
    </row>
    <row r="61" spans="1:6" x14ac:dyDescent="0.2">
      <c r="A61" s="20">
        <v>26</v>
      </c>
      <c r="B61" s="202" t="s">
        <v>23</v>
      </c>
      <c r="C61" s="203"/>
      <c r="D61" s="15">
        <f>IF(F3="1",SUMIF(Data!A:A,'23'!$A$2,Data!DT:DT),0)</f>
        <v>204646</v>
      </c>
      <c r="E61" s="18">
        <f>IF(F3="1",SUMIF(Data!$A:$A,'23'!$A$2,Data!JN:JN),0)</f>
        <v>176095</v>
      </c>
      <c r="F61" s="22">
        <f t="shared" si="3"/>
        <v>0.86048591225824111</v>
      </c>
    </row>
    <row r="62" spans="1:6" x14ac:dyDescent="0.2">
      <c r="A62" s="20">
        <v>28</v>
      </c>
      <c r="B62" s="202" t="s">
        <v>24</v>
      </c>
      <c r="C62" s="203"/>
      <c r="D62" s="15">
        <f>IF(F3="1",SUMIF(Data!A:A,'23'!$A$2,Data!DV:DV),0)</f>
        <v>205088</v>
      </c>
      <c r="E62" s="18">
        <f>IF(F3="1",SUMIF(Data!$A:$A,'23'!$A$2,Data!JP:JP),0)</f>
        <v>49437</v>
      </c>
      <c r="F62" s="22">
        <f t="shared" si="3"/>
        <v>0.2410526213137775</v>
      </c>
    </row>
    <row r="63" spans="1:6" ht="15.75" customHeight="1" thickBot="1" x14ac:dyDescent="0.25">
      <c r="A63" s="23">
        <v>29</v>
      </c>
      <c r="B63" s="206" t="s">
        <v>25</v>
      </c>
      <c r="C63" s="207"/>
      <c r="D63" s="24">
        <f>IF(F3="1",SUMIF(Data!A:A,'23'!$A$2,Data!DW:DW),0)</f>
        <v>150208</v>
      </c>
      <c r="E63" s="25">
        <f>IF(F3="1",SUMIF(Data!$A:$A,'23'!$A$2,Data!JQ:JQ),0)</f>
        <v>18014</v>
      </c>
      <c r="F63" s="26">
        <f t="shared" si="3"/>
        <v>0.11992703451214316</v>
      </c>
    </row>
    <row r="64" spans="1:6" x14ac:dyDescent="0.2">
      <c r="B64" s="31" t="s">
        <v>35</v>
      </c>
      <c r="C64" s="31"/>
      <c r="D64" s="60">
        <f>SUM(D36:D63)</f>
        <v>3525535</v>
      </c>
      <c r="E64" s="32">
        <f>SUM(E36:E63)</f>
        <v>2517241</v>
      </c>
      <c r="F64" s="33">
        <f t="shared" si="3"/>
        <v>0.71400255564049142</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18040</v>
      </c>
      <c r="E67" s="16">
        <f>IF(F3="1",SUMIF(Data!A:A,'23'!$A$2,Data!DY:DY),0)</f>
        <v>27822</v>
      </c>
      <c r="F67" s="21">
        <f>IFERROR(E67/D67,"")</f>
        <v>1.5422394678492239</v>
      </c>
    </row>
    <row r="68" spans="1:6" x14ac:dyDescent="0.2">
      <c r="A68" s="20">
        <v>2</v>
      </c>
      <c r="B68" s="202" t="s">
        <v>1</v>
      </c>
      <c r="C68" s="203"/>
      <c r="D68" s="15">
        <f t="shared" ref="D68:D94" si="4">D37</f>
        <v>52185</v>
      </c>
      <c r="E68" s="18">
        <f>IF(F3="1",SUMIF(Data!A:A,'23'!$A$2,Data!DZ:DZ),0)</f>
        <v>170812</v>
      </c>
      <c r="F68" s="22">
        <f t="shared" ref="F68:F95" si="5">IFERROR(E68/D68,"")</f>
        <v>3.2732011114304878</v>
      </c>
    </row>
    <row r="69" spans="1:6" ht="14.25" customHeight="1" x14ac:dyDescent="0.2">
      <c r="A69" s="20">
        <v>3</v>
      </c>
      <c r="B69" s="202" t="s">
        <v>2</v>
      </c>
      <c r="C69" s="203"/>
      <c r="D69" s="15">
        <f t="shared" si="4"/>
        <v>314976</v>
      </c>
      <c r="E69" s="18">
        <f>IF(F3="1",SUMIF(Data!A:A,'23'!$A$2,Data!EA:EA),0)</f>
        <v>1064793</v>
      </c>
      <c r="F69" s="22">
        <f t="shared" si="5"/>
        <v>3.3805528040231638</v>
      </c>
    </row>
    <row r="70" spans="1:6" ht="14.25" customHeight="1" x14ac:dyDescent="0.2">
      <c r="A70" s="20">
        <v>4</v>
      </c>
      <c r="B70" s="202" t="s">
        <v>3</v>
      </c>
      <c r="C70" s="203"/>
      <c r="D70" s="15">
        <f t="shared" si="4"/>
        <v>218413</v>
      </c>
      <c r="E70" s="18">
        <f>IF(F3="1",SUMIF(Data!A:A,'23'!$A$2,Data!EB:EB),0)</f>
        <v>642239</v>
      </c>
      <c r="F70" s="22">
        <f t="shared" si="5"/>
        <v>2.9404797333492052</v>
      </c>
    </row>
    <row r="71" spans="1:6" x14ac:dyDescent="0.2">
      <c r="A71" s="20">
        <v>5</v>
      </c>
      <c r="B71" s="202" t="s">
        <v>4</v>
      </c>
      <c r="C71" s="203"/>
      <c r="D71" s="15">
        <f t="shared" si="4"/>
        <v>0</v>
      </c>
      <c r="E71" s="18">
        <f>IF(F3="1",SUMIF(Data!A:A,'23'!$A$2,Data!EC:EC),0)</f>
        <v>0</v>
      </c>
      <c r="F71" s="22" t="str">
        <f t="shared" si="5"/>
        <v/>
      </c>
    </row>
    <row r="72" spans="1:6" x14ac:dyDescent="0.2">
      <c r="A72" s="20">
        <v>6</v>
      </c>
      <c r="B72" s="202" t="s">
        <v>5</v>
      </c>
      <c r="C72" s="203"/>
      <c r="D72" s="15">
        <f t="shared" si="4"/>
        <v>12288</v>
      </c>
      <c r="E72" s="18">
        <f>IF(F3="1",SUMIF(Data!A:A,'23'!$A$2,Data!ED:ED),0)</f>
        <v>72569</v>
      </c>
      <c r="F72" s="22">
        <f t="shared" si="5"/>
        <v>5.905680338541667</v>
      </c>
    </row>
    <row r="73" spans="1:6" x14ac:dyDescent="0.2">
      <c r="A73" s="20">
        <v>7</v>
      </c>
      <c r="B73" s="202" t="s">
        <v>6</v>
      </c>
      <c r="C73" s="203"/>
      <c r="D73" s="15">
        <f t="shared" si="4"/>
        <v>157548</v>
      </c>
      <c r="E73" s="18">
        <f>IF(F3="1",SUMIF(Data!A:A,'23'!$A$2,Data!EE:EE),0)</f>
        <v>390898</v>
      </c>
      <c r="F73" s="22">
        <f t="shared" si="5"/>
        <v>2.4811359077868334</v>
      </c>
    </row>
    <row r="74" spans="1:6" x14ac:dyDescent="0.2">
      <c r="A74" s="20">
        <v>8</v>
      </c>
      <c r="B74" s="202" t="s">
        <v>7</v>
      </c>
      <c r="C74" s="203"/>
      <c r="D74" s="15">
        <f t="shared" si="4"/>
        <v>7572</v>
      </c>
      <c r="E74" s="18">
        <f>IF(F3="1",SUMIF(Data!A:A,'23'!$A$2,Data!EF:EF),0)</f>
        <v>220877</v>
      </c>
      <c r="F74" s="22">
        <f t="shared" si="5"/>
        <v>29.170232435287904</v>
      </c>
    </row>
    <row r="75" spans="1:6" x14ac:dyDescent="0.2">
      <c r="A75" s="20">
        <v>9</v>
      </c>
      <c r="B75" s="202" t="s">
        <v>8</v>
      </c>
      <c r="C75" s="203"/>
      <c r="D75" s="15">
        <f t="shared" si="4"/>
        <v>182186</v>
      </c>
      <c r="E75" s="18">
        <f>IF(F3="1",SUMIF(Data!A:A,'23'!$A$2,Data!EG:EG),0)</f>
        <v>488093</v>
      </c>
      <c r="F75" s="22">
        <f t="shared" si="5"/>
        <v>2.6790916974959655</v>
      </c>
    </row>
    <row r="76" spans="1:6" x14ac:dyDescent="0.2">
      <c r="A76" s="20">
        <v>10</v>
      </c>
      <c r="B76" s="202" t="s">
        <v>9</v>
      </c>
      <c r="C76" s="203"/>
      <c r="D76" s="15">
        <f t="shared" si="4"/>
        <v>1536</v>
      </c>
      <c r="E76" s="18">
        <f>IF(F3="1",SUMIF(Data!A:A,'23'!$A$2,Data!EH:EH),0)</f>
        <v>13435</v>
      </c>
      <c r="F76" s="22">
        <f t="shared" si="5"/>
        <v>8.7467447916666661</v>
      </c>
    </row>
    <row r="77" spans="1:6" x14ac:dyDescent="0.2">
      <c r="A77" s="20">
        <v>11</v>
      </c>
      <c r="B77" s="202" t="s">
        <v>10</v>
      </c>
      <c r="C77" s="203"/>
      <c r="D77" s="15">
        <f t="shared" si="4"/>
        <v>183799</v>
      </c>
      <c r="E77" s="18">
        <f>IF(F3="1",SUMIF(Data!A:A,'23'!$A$2,Data!EI:EI),0)</f>
        <v>413906</v>
      </c>
      <c r="F77" s="22">
        <f t="shared" si="5"/>
        <v>2.2519491400932541</v>
      </c>
    </row>
    <row r="78" spans="1:6" ht="14.25" customHeight="1" x14ac:dyDescent="0.2">
      <c r="A78" s="20">
        <v>12</v>
      </c>
      <c r="B78" s="202" t="s">
        <v>11</v>
      </c>
      <c r="C78" s="203"/>
      <c r="D78" s="15">
        <f t="shared" si="4"/>
        <v>288032</v>
      </c>
      <c r="E78" s="18">
        <f>IF(F3="1",SUMIF(Data!A:A,'23'!$A$2,Data!EJ:EJ),0)</f>
        <v>991799</v>
      </c>
      <c r="F78" s="22">
        <f t="shared" si="5"/>
        <v>3.443363931785357</v>
      </c>
    </row>
    <row r="79" spans="1:6" x14ac:dyDescent="0.2">
      <c r="A79" s="20">
        <v>13</v>
      </c>
      <c r="B79" s="202" t="s">
        <v>12</v>
      </c>
      <c r="C79" s="203"/>
      <c r="D79" s="15">
        <f t="shared" si="4"/>
        <v>21896</v>
      </c>
      <c r="E79" s="18">
        <f>IF(F3="1",SUMIF(Data!A:A,'23'!$A$2,Data!EK:EK),0)</f>
        <v>105405</v>
      </c>
      <c r="F79" s="22">
        <f t="shared" si="5"/>
        <v>4.8138929484837414</v>
      </c>
    </row>
    <row r="80" spans="1:6" ht="14.25" customHeight="1" x14ac:dyDescent="0.2">
      <c r="A80" s="20">
        <v>14</v>
      </c>
      <c r="B80" s="202" t="s">
        <v>449</v>
      </c>
      <c r="C80" s="203"/>
      <c r="D80" s="15">
        <f t="shared" si="4"/>
        <v>159136</v>
      </c>
      <c r="E80" s="18">
        <f>IF(F3="1",SUMIF(Data!A:A,'23'!$A$2,Data!EL:EL),0)</f>
        <v>831649</v>
      </c>
      <c r="F80" s="22">
        <f t="shared" si="5"/>
        <v>5.2260267946913332</v>
      </c>
    </row>
    <row r="81" spans="1:6" x14ac:dyDescent="0.2">
      <c r="A81" s="20">
        <v>15</v>
      </c>
      <c r="B81" s="202" t="s">
        <v>13</v>
      </c>
      <c r="C81" s="203"/>
      <c r="D81" s="15">
        <f t="shared" si="4"/>
        <v>0</v>
      </c>
      <c r="E81" s="18">
        <f>IF(F3="1",SUMIF(Data!A:A,'23'!$A$2,Data!EM:EM),0)</f>
        <v>0</v>
      </c>
      <c r="F81" s="22" t="str">
        <f t="shared" si="5"/>
        <v/>
      </c>
    </row>
    <row r="82" spans="1:6" x14ac:dyDescent="0.2">
      <c r="A82" s="20">
        <v>16</v>
      </c>
      <c r="B82" s="202" t="s">
        <v>14</v>
      </c>
      <c r="C82" s="203"/>
      <c r="D82" s="15">
        <f t="shared" si="4"/>
        <v>182904</v>
      </c>
      <c r="E82" s="18">
        <f>IF(F3="1",SUMIF(Data!A:A,'23'!$A$2,Data!EN:EN),0)</f>
        <v>667911</v>
      </c>
      <c r="F82" s="22">
        <f t="shared" si="5"/>
        <v>3.6517025324760528</v>
      </c>
    </row>
    <row r="83" spans="1:6" x14ac:dyDescent="0.2">
      <c r="A83" s="20">
        <v>17</v>
      </c>
      <c r="B83" s="202" t="s">
        <v>15</v>
      </c>
      <c r="C83" s="203"/>
      <c r="D83" s="15">
        <f t="shared" si="4"/>
        <v>0</v>
      </c>
      <c r="E83" s="18">
        <f>IF(F3="1",SUMIF(Data!A:A,'23'!$A$2,Data!EO:EO),0)</f>
        <v>0</v>
      </c>
      <c r="F83" s="22" t="str">
        <f t="shared" si="5"/>
        <v/>
      </c>
    </row>
    <row r="84" spans="1:6" x14ac:dyDescent="0.2">
      <c r="A84" s="20">
        <v>18</v>
      </c>
      <c r="B84" s="202" t="s">
        <v>16</v>
      </c>
      <c r="C84" s="203"/>
      <c r="D84" s="15">
        <f t="shared" si="4"/>
        <v>93360</v>
      </c>
      <c r="E84" s="18">
        <f>IF(F3="1",SUMIF(Data!A:A,'23'!$A$2,Data!EP:EP),0)</f>
        <v>339473</v>
      </c>
      <c r="F84" s="22">
        <f t="shared" si="5"/>
        <v>3.6361718080548413</v>
      </c>
    </row>
    <row r="85" spans="1:6" x14ac:dyDescent="0.2">
      <c r="A85" s="20">
        <v>19</v>
      </c>
      <c r="B85" s="202" t="s">
        <v>17</v>
      </c>
      <c r="C85" s="203"/>
      <c r="D85" s="15">
        <f t="shared" si="4"/>
        <v>114864</v>
      </c>
      <c r="E85" s="18">
        <f>IF(F3="1",SUMIF(Data!A:A,'23'!$A$2,Data!EQ:EQ),0)</f>
        <v>320635</v>
      </c>
      <c r="F85" s="22">
        <f t="shared" si="5"/>
        <v>2.7914316060732691</v>
      </c>
    </row>
    <row r="86" spans="1:6" x14ac:dyDescent="0.2">
      <c r="A86" s="20">
        <v>20</v>
      </c>
      <c r="B86" s="202" t="s">
        <v>18</v>
      </c>
      <c r="C86" s="203"/>
      <c r="D86" s="15">
        <f t="shared" si="4"/>
        <v>56539</v>
      </c>
      <c r="E86" s="18">
        <f>IF(F3="1",SUMIF(Data!A:A,'23'!$A$2,Data!ER:ER),0)</f>
        <v>251050</v>
      </c>
      <c r="F86" s="22">
        <f t="shared" si="5"/>
        <v>4.4402978475034933</v>
      </c>
    </row>
    <row r="87" spans="1:6" ht="14.25" customHeight="1" x14ac:dyDescent="0.2">
      <c r="A87" s="20">
        <v>21</v>
      </c>
      <c r="B87" s="202" t="s">
        <v>446</v>
      </c>
      <c r="C87" s="203"/>
      <c r="D87" s="15">
        <f t="shared" si="4"/>
        <v>45740</v>
      </c>
      <c r="E87" s="18">
        <f>IF(F3="1",SUMIF(Data!A:A,'23'!$A$2,Data!ES:ES),0)</f>
        <v>72302</v>
      </c>
      <c r="F87" s="22">
        <f t="shared" si="5"/>
        <v>1.5807170966331439</v>
      </c>
    </row>
    <row r="88" spans="1:6" x14ac:dyDescent="0.2">
      <c r="A88" s="20">
        <v>22</v>
      </c>
      <c r="B88" s="202" t="s">
        <v>19</v>
      </c>
      <c r="C88" s="203"/>
      <c r="D88" s="15">
        <f t="shared" si="4"/>
        <v>15820</v>
      </c>
      <c r="E88" s="18">
        <f>IF(F3="1",SUMIF(Data!A:A,'23'!$A$2,Data!ET:ET),0)</f>
        <v>169</v>
      </c>
      <c r="F88" s="22">
        <f t="shared" si="5"/>
        <v>1.0682680151706701E-2</v>
      </c>
    </row>
    <row r="89" spans="1:6" x14ac:dyDescent="0.2">
      <c r="A89" s="20">
        <v>23</v>
      </c>
      <c r="B89" s="202" t="s">
        <v>20</v>
      </c>
      <c r="C89" s="203"/>
      <c r="D89" s="15">
        <f t="shared" si="4"/>
        <v>110400</v>
      </c>
      <c r="E89" s="18">
        <f>IF(F3="1",SUMIF(Data!A:A,'23'!$A$2,Data!EU:EU),0)</f>
        <v>600338</v>
      </c>
      <c r="F89" s="22">
        <f t="shared" si="5"/>
        <v>5.4378442028985505</v>
      </c>
    </row>
    <row r="90" spans="1:6" x14ac:dyDescent="0.2">
      <c r="A90" s="20">
        <v>24</v>
      </c>
      <c r="B90" s="202" t="s">
        <v>21</v>
      </c>
      <c r="C90" s="203"/>
      <c r="D90" s="15">
        <f t="shared" si="4"/>
        <v>289975</v>
      </c>
      <c r="E90" s="18">
        <f>IF(F3="1",SUMIF(Data!A:A,'23'!$A$2,Data!EV:EV),0)</f>
        <v>784262</v>
      </c>
      <c r="F90" s="22">
        <f t="shared" si="5"/>
        <v>2.7045848780067248</v>
      </c>
    </row>
    <row r="91" spans="1:6" x14ac:dyDescent="0.2">
      <c r="A91" s="20">
        <v>25</v>
      </c>
      <c r="B91" s="202" t="s">
        <v>22</v>
      </c>
      <c r="C91" s="203"/>
      <c r="D91" s="15">
        <f t="shared" si="4"/>
        <v>438384</v>
      </c>
      <c r="E91" s="18">
        <f>IF(F3="1",SUMIF(Data!A:A,'23'!$A$2,Data!EW:EW),0)</f>
        <v>1113827</v>
      </c>
      <c r="F91" s="22">
        <f t="shared" si="5"/>
        <v>2.5407565057118875</v>
      </c>
    </row>
    <row r="92" spans="1:6" x14ac:dyDescent="0.2">
      <c r="A92" s="20">
        <v>26</v>
      </c>
      <c r="B92" s="202" t="s">
        <v>23</v>
      </c>
      <c r="C92" s="203"/>
      <c r="D92" s="15">
        <f t="shared" si="4"/>
        <v>204646</v>
      </c>
      <c r="E92" s="18">
        <f>IF(F3="1",SUMIF(Data!A:A,'23'!$A$2,Data!EX:EX),0)</f>
        <v>857095</v>
      </c>
      <c r="F92" s="22">
        <f t="shared" si="5"/>
        <v>4.1881834973564107</v>
      </c>
    </row>
    <row r="93" spans="1:6" x14ac:dyDescent="0.2">
      <c r="A93" s="20">
        <v>28</v>
      </c>
      <c r="B93" s="202" t="s">
        <v>24</v>
      </c>
      <c r="C93" s="203"/>
      <c r="D93" s="15">
        <f t="shared" si="4"/>
        <v>205088</v>
      </c>
      <c r="E93" s="18">
        <f>IF(F3="1",SUMIF(Data!A:A,'23'!$A$2,Data!EZ:EZ),0)</f>
        <v>595465</v>
      </c>
      <c r="F93" s="22">
        <f t="shared" si="5"/>
        <v>2.9034609533468561</v>
      </c>
    </row>
    <row r="94" spans="1:6" ht="15.75" customHeight="1" thickBot="1" x14ac:dyDescent="0.25">
      <c r="A94" s="23">
        <v>29</v>
      </c>
      <c r="B94" s="206" t="s">
        <v>25</v>
      </c>
      <c r="C94" s="207"/>
      <c r="D94" s="24">
        <f t="shared" si="4"/>
        <v>150208</v>
      </c>
      <c r="E94" s="25">
        <f>IF(F3="1",SUMIF(Data!A:A,'23'!$A$2,Data!FA:FA),0)</f>
        <v>274666</v>
      </c>
      <c r="F94" s="26">
        <f t="shared" si="5"/>
        <v>1.82857104814657</v>
      </c>
    </row>
    <row r="95" spans="1:6" x14ac:dyDescent="0.2">
      <c r="B95" s="31" t="s">
        <v>35</v>
      </c>
      <c r="C95" s="31"/>
      <c r="D95" s="60">
        <f>SUM(D67:D94)</f>
        <v>3525535</v>
      </c>
      <c r="E95" s="32">
        <f>SUM(E67:E94)</f>
        <v>11311490</v>
      </c>
      <c r="F95" s="33">
        <f t="shared" si="5"/>
        <v>3.2084463776419749</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IF(F3="1",SUMIF(Data!A:A,'23'!$A$2,Data!AH:AH),0)</f>
        <v>3775999</v>
      </c>
      <c r="F98" s="21">
        <f t="shared" ref="F98:F105" si="6">IFERROR(E98/$D$95,0)</f>
        <v>1.0710428346336087</v>
      </c>
    </row>
    <row r="99" spans="2:6" x14ac:dyDescent="0.2">
      <c r="B99" s="212" t="s">
        <v>31</v>
      </c>
      <c r="C99" s="213"/>
      <c r="D99" s="37"/>
      <c r="E99" s="18">
        <f>IF(F3="1",SUMIF(Data!A:A,'23'!$A$2,Data!AI:AI),0)</f>
        <v>1536127</v>
      </c>
      <c r="F99" s="22">
        <f t="shared" si="6"/>
        <v>0.4357145794893541</v>
      </c>
    </row>
    <row r="100" spans="2:6" x14ac:dyDescent="0.2">
      <c r="B100" s="212" t="s">
        <v>32</v>
      </c>
      <c r="C100" s="213"/>
      <c r="D100" s="37"/>
      <c r="E100" s="18">
        <f>IF(F3="1",SUMIF(Data!A:A,'23'!$A$2,Data!AJ:AJ),0)</f>
        <v>2646594</v>
      </c>
      <c r="F100" s="22">
        <f t="shared" si="6"/>
        <v>0.75069287356387049</v>
      </c>
    </row>
    <row r="101" spans="2:6" x14ac:dyDescent="0.2">
      <c r="B101" s="212" t="s">
        <v>28</v>
      </c>
      <c r="C101" s="213"/>
      <c r="D101" s="37"/>
      <c r="E101" s="18">
        <f>IF(F3="1",SUMIF(Data!A:A,'23'!$A$2,Data!AK:AK),0)</f>
        <v>0</v>
      </c>
      <c r="F101" s="22">
        <f t="shared" si="6"/>
        <v>0</v>
      </c>
    </row>
    <row r="102" spans="2:6" x14ac:dyDescent="0.2">
      <c r="B102" s="212" t="s">
        <v>33</v>
      </c>
      <c r="C102" s="213"/>
      <c r="D102" s="37"/>
      <c r="E102" s="18">
        <f>IF(F3="1",SUMIF(Data!A:A,'23'!$A$2,Data!AL:AL),0)</f>
        <v>386628</v>
      </c>
      <c r="F102" s="22">
        <f t="shared" si="6"/>
        <v>0.10966505792737839</v>
      </c>
    </row>
    <row r="103" spans="2:6" x14ac:dyDescent="0.2">
      <c r="B103" s="214" t="s">
        <v>34</v>
      </c>
      <c r="C103" s="215"/>
      <c r="D103" s="37"/>
      <c r="E103" s="18">
        <f>IF(F3="1",SUMIF(Data!A:A,'23'!$A$2,Data!AM:AM),0)</f>
        <v>284373</v>
      </c>
      <c r="F103" s="22">
        <f t="shared" si="6"/>
        <v>8.0660949331094425E-2</v>
      </c>
    </row>
    <row r="104" spans="2:6" ht="15.75" customHeight="1" thickBot="1" x14ac:dyDescent="0.25">
      <c r="B104" s="208" t="s">
        <v>29</v>
      </c>
      <c r="C104" s="209"/>
      <c r="D104" s="38"/>
      <c r="E104" s="25">
        <f>IF(F3="1",SUMIF(Data!A:A,'23'!$A$2,Data!Q:Q),0)</f>
        <v>2201088</v>
      </c>
      <c r="F104" s="26">
        <f t="shared" si="6"/>
        <v>0.62432737159041107</v>
      </c>
    </row>
    <row r="105" spans="2:6" x14ac:dyDescent="0.2">
      <c r="B105" s="31" t="s">
        <v>35</v>
      </c>
      <c r="C105" s="31"/>
      <c r="D105" s="35">
        <f>D95</f>
        <v>3525535</v>
      </c>
      <c r="E105" s="32">
        <f>SUM(E98:E104)</f>
        <v>10830809</v>
      </c>
      <c r="F105" s="33">
        <f t="shared" si="6"/>
        <v>3.0721036665357171</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11916334</v>
      </c>
      <c r="D109" s="192">
        <f>IF(F3="1",SUMIF(Data!$A:$A,$A$2,Data!HJ:HJ),0)</f>
        <v>404554</v>
      </c>
      <c r="E109" s="192">
        <f>IF(F3="1",SUMIF(Data!$A:$A,$A$2,Data!IN:IN),0)</f>
        <v>1507845</v>
      </c>
      <c r="F109" s="185">
        <f>SUM(C109:E109)</f>
        <v>13828733</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112600</v>
      </c>
      <c r="D111" s="52"/>
      <c r="E111" s="193">
        <f>IF(F3="1",SUMIF(Data!A:A,$A$2,Data!AX:AX)-SUMIF(Data!A:A,$A$2,Data!AW:AW),0)</f>
        <v>101083</v>
      </c>
      <c r="F111" s="49">
        <f t="shared" si="7"/>
        <v>213683</v>
      </c>
    </row>
    <row r="112" spans="2:6" x14ac:dyDescent="0.2">
      <c r="B112" s="43" t="s">
        <v>32</v>
      </c>
      <c r="C112" s="193">
        <f>IF(F3="1",SUMIF(Data!A:A,$A$2,Data!V:V),0)</f>
        <v>2275086</v>
      </c>
      <c r="D112" s="52"/>
      <c r="E112" s="193">
        <f>IF(F3="1",SUMIF(Data!A:A,$A$2,Data!AC:AC),0)</f>
        <v>371508</v>
      </c>
      <c r="F112" s="49">
        <f t="shared" si="7"/>
        <v>2646594</v>
      </c>
    </row>
    <row r="113" spans="1:6" x14ac:dyDescent="0.2">
      <c r="B113" s="43" t="s">
        <v>31</v>
      </c>
      <c r="C113" s="193">
        <f>IF(F3="1",SUMIF(Data!A:A,$A$2,Data!U:U),0)</f>
        <v>1131464</v>
      </c>
      <c r="D113" s="52"/>
      <c r="E113" s="193">
        <f>IF(F3="1",SUMIF(Data!A:A,$A$2,Data!AB:AB),0)</f>
        <v>404663</v>
      </c>
      <c r="F113" s="49">
        <f t="shared" si="7"/>
        <v>1536127</v>
      </c>
    </row>
    <row r="114" spans="1:6" x14ac:dyDescent="0.2">
      <c r="B114" s="43" t="s">
        <v>1002</v>
      </c>
      <c r="C114" s="193">
        <f>IF(F3="1",SUMIF(Data!A:A,$A$2,Data!T:T),0)</f>
        <v>2213127</v>
      </c>
      <c r="D114" s="52"/>
      <c r="E114" s="193">
        <f>IF(F3="1",SUMIF(Data!A:A,$A$2,Data!AA:AA),0)</f>
        <v>1562872</v>
      </c>
      <c r="F114" s="49">
        <f t="shared" si="7"/>
        <v>3775999</v>
      </c>
    </row>
    <row r="115" spans="1:6" x14ac:dyDescent="0.2">
      <c r="B115" s="43" t="s">
        <v>916</v>
      </c>
      <c r="C115" s="193">
        <f>IF(F3="1",SUMIF(Data!A:A,$A$2,Data!BI:BI),0)</f>
        <v>491944</v>
      </c>
      <c r="D115" s="193">
        <f>IF(F3="1",SUMIF(Data!A:A,$A$2,Data!BL:BL),0)</f>
        <v>148871</v>
      </c>
      <c r="E115" s="193">
        <f>IF(F3="1",SUMIF(Data!A:A,$A$2,Data!BU:BU)-SUMIF(Data!A:A,$A$2,Data!BT:BT),0)</f>
        <v>2537916</v>
      </c>
      <c r="F115" s="49">
        <f t="shared" si="7"/>
        <v>3178731</v>
      </c>
    </row>
    <row r="116" spans="1:6" x14ac:dyDescent="0.2">
      <c r="B116" s="43" t="s">
        <v>33</v>
      </c>
      <c r="C116" s="193">
        <f>IF(F3="1",SUMIF(Data!A:A,$A$2,Data!X:X),0)</f>
        <v>0</v>
      </c>
      <c r="D116" s="51"/>
      <c r="E116" s="193">
        <f>E102-C116</f>
        <v>386628</v>
      </c>
      <c r="F116" s="49">
        <f t="shared" si="7"/>
        <v>386628</v>
      </c>
    </row>
    <row r="117" spans="1:6" ht="15" thickBot="1" x14ac:dyDescent="0.25">
      <c r="B117" s="44" t="s">
        <v>920</v>
      </c>
      <c r="C117" s="53"/>
      <c r="D117" s="53">
        <f>IF(F3="1",SUMIF(Data!A:A,$A$2,Data!Q:Q),0)</f>
        <v>2201088</v>
      </c>
      <c r="E117" s="53"/>
      <c r="F117" s="50">
        <f>SUM(C117:E117)</f>
        <v>2201088</v>
      </c>
    </row>
    <row r="118" spans="1:6" x14ac:dyDescent="0.2">
      <c r="B118" s="14" t="s">
        <v>35</v>
      </c>
      <c r="C118" s="178">
        <f>SUM(C109:C117)</f>
        <v>18140555</v>
      </c>
      <c r="D118" s="194">
        <f>SUM(D109:D117)</f>
        <v>2754513</v>
      </c>
      <c r="E118" s="178">
        <f>SUM(E109:E117)</f>
        <v>6872515</v>
      </c>
      <c r="F118" s="178">
        <f>SUM(F109:F117)</f>
        <v>27767583</v>
      </c>
    </row>
    <row r="119" spans="1:6" x14ac:dyDescent="0.2">
      <c r="C119" s="177"/>
      <c r="D119" s="177"/>
      <c r="E119" s="177"/>
    </row>
    <row r="120" spans="1:6" ht="15" thickBot="1" x14ac:dyDescent="0.25">
      <c r="B120" s="188" t="s">
        <v>921</v>
      </c>
      <c r="C120" s="53"/>
      <c r="D120" s="53"/>
      <c r="E120" s="195">
        <f>IF(F3="1",SUMIF(Data!A:A,$A$2,Data!AF:AF)+SUMIF(Data!A:A,$A$2,Data!AW:AW)+SUMIF(Data!A:A,$A$2,Data!BT:BT),0)</f>
        <v>370344</v>
      </c>
      <c r="F120" s="181">
        <f>SUM(C120:E120)</f>
        <v>370344</v>
      </c>
    </row>
    <row r="121" spans="1:6" s="177" customFormat="1" x14ac:dyDescent="0.2">
      <c r="B121" s="14" t="s">
        <v>35</v>
      </c>
      <c r="C121" s="178">
        <f>SUM(C120:C120)</f>
        <v>0</v>
      </c>
      <c r="D121" s="178">
        <f>SUM(D120:D120)</f>
        <v>0</v>
      </c>
      <c r="E121" s="178">
        <f>SUM(E120:E120)</f>
        <v>370344</v>
      </c>
      <c r="F121" s="178">
        <f>SUM(F120:F120)</f>
        <v>370344</v>
      </c>
    </row>
    <row r="122" spans="1:6" s="177" customFormat="1" ht="15" thickBot="1" x14ac:dyDescent="0.25">
      <c r="B122" s="14" t="s">
        <v>1396</v>
      </c>
      <c r="C122" s="178"/>
      <c r="D122" s="178"/>
      <c r="E122" s="178"/>
      <c r="F122" s="190">
        <f>F118+F121</f>
        <v>28137927</v>
      </c>
    </row>
    <row r="123" spans="1:6" ht="15" thickTop="1" x14ac:dyDescent="0.2">
      <c r="F123" s="176"/>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376</v>
      </c>
      <c r="B2" s="59" t="str">
        <f>VLOOKUP(A2,Data!A:G,7,0)</f>
        <v>Laredo Community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1824</v>
      </c>
      <c r="E5" s="16">
        <f>E36+E67+IFERROR($E$105/$D$105*D5,0)</f>
        <v>9824.0949503462252</v>
      </c>
      <c r="F5" s="21">
        <f>IFERROR(E5/D5,"")</f>
        <v>5.3860169683915711</v>
      </c>
    </row>
    <row r="6" spans="1:6" x14ac:dyDescent="0.2">
      <c r="A6" s="20">
        <v>2</v>
      </c>
      <c r="B6" s="202" t="s">
        <v>1</v>
      </c>
      <c r="C6" s="203"/>
      <c r="D6" s="15">
        <f t="shared" ref="D6:D32" si="0">D37</f>
        <v>27552</v>
      </c>
      <c r="E6" s="18">
        <f t="shared" ref="E6:E32" si="1">E37+E68+IFERROR($E$105/$D$105*D6,0)</f>
        <v>148395.53951312456</v>
      </c>
      <c r="F6" s="22">
        <f t="shared" ref="F6:F33" si="2">IFERROR(E6/D6,"")</f>
        <v>5.3860169683915711</v>
      </c>
    </row>
    <row r="7" spans="1:6" ht="14.25" customHeight="1" x14ac:dyDescent="0.2">
      <c r="A7" s="20">
        <v>3</v>
      </c>
      <c r="B7" s="202" t="s">
        <v>2</v>
      </c>
      <c r="C7" s="203"/>
      <c r="D7" s="15">
        <f t="shared" si="0"/>
        <v>328848</v>
      </c>
      <c r="E7" s="18">
        <f t="shared" si="1"/>
        <v>3204868.9080216317</v>
      </c>
      <c r="F7" s="22">
        <f t="shared" si="2"/>
        <v>9.7457454751789019</v>
      </c>
    </row>
    <row r="8" spans="1:6" ht="14.25" customHeight="1" x14ac:dyDescent="0.2">
      <c r="A8" s="20">
        <v>4</v>
      </c>
      <c r="B8" s="202" t="s">
        <v>3</v>
      </c>
      <c r="C8" s="203"/>
      <c r="D8" s="15">
        <f t="shared" si="0"/>
        <v>131068</v>
      </c>
      <c r="E8" s="18">
        <f t="shared" si="1"/>
        <v>1423062.4720131464</v>
      </c>
      <c r="F8" s="22">
        <f t="shared" si="2"/>
        <v>10.857436384267299</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2152</v>
      </c>
      <c r="E10" s="18">
        <f t="shared" si="1"/>
        <v>17262.708515978658</v>
      </c>
      <c r="F10" s="22">
        <f t="shared" si="2"/>
        <v>8.0217047007335776</v>
      </c>
    </row>
    <row r="11" spans="1:6" x14ac:dyDescent="0.2">
      <c r="A11" s="20">
        <v>7</v>
      </c>
      <c r="B11" s="202" t="s">
        <v>6</v>
      </c>
      <c r="C11" s="203"/>
      <c r="D11" s="15">
        <f t="shared" si="0"/>
        <v>192957</v>
      </c>
      <c r="E11" s="18">
        <f t="shared" si="1"/>
        <v>2654709.6761699324</v>
      </c>
      <c r="F11" s="22">
        <f t="shared" si="2"/>
        <v>13.758037677668767</v>
      </c>
    </row>
    <row r="12" spans="1:6" x14ac:dyDescent="0.2">
      <c r="A12" s="20">
        <v>8</v>
      </c>
      <c r="B12" s="202" t="s">
        <v>7</v>
      </c>
      <c r="C12" s="203"/>
      <c r="D12" s="15">
        <f t="shared" si="0"/>
        <v>25340</v>
      </c>
      <c r="E12" s="18">
        <f t="shared" si="1"/>
        <v>782815.66997904237</v>
      </c>
      <c r="F12" s="22">
        <f t="shared" si="2"/>
        <v>30.892488949449184</v>
      </c>
    </row>
    <row r="13" spans="1:6" x14ac:dyDescent="0.2">
      <c r="A13" s="20">
        <v>9</v>
      </c>
      <c r="B13" s="202" t="s">
        <v>8</v>
      </c>
      <c r="C13" s="203"/>
      <c r="D13" s="15">
        <f t="shared" si="0"/>
        <v>61516</v>
      </c>
      <c r="E13" s="18">
        <f t="shared" si="1"/>
        <v>331326.2198275759</v>
      </c>
      <c r="F13" s="22">
        <f t="shared" si="2"/>
        <v>5.3860169683915711</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113108</v>
      </c>
      <c r="E15" s="18">
        <f t="shared" si="1"/>
        <v>609201.60726083384</v>
      </c>
      <c r="F15" s="22">
        <f t="shared" si="2"/>
        <v>5.3860169683915711</v>
      </c>
    </row>
    <row r="16" spans="1:6" ht="14.25" customHeight="1" x14ac:dyDescent="0.2">
      <c r="A16" s="20">
        <v>12</v>
      </c>
      <c r="B16" s="202" t="s">
        <v>11</v>
      </c>
      <c r="C16" s="203"/>
      <c r="D16" s="15">
        <f t="shared" si="0"/>
        <v>417024</v>
      </c>
      <c r="E16" s="18">
        <f t="shared" si="1"/>
        <v>5991540.3402265264</v>
      </c>
      <c r="F16" s="22">
        <f t="shared" si="2"/>
        <v>14.367375355438838</v>
      </c>
    </row>
    <row r="17" spans="1:6" x14ac:dyDescent="0.2">
      <c r="A17" s="20">
        <v>13</v>
      </c>
      <c r="B17" s="202" t="s">
        <v>12</v>
      </c>
      <c r="C17" s="203"/>
      <c r="D17" s="15">
        <f t="shared" si="0"/>
        <v>18096</v>
      </c>
      <c r="E17" s="18">
        <f t="shared" si="1"/>
        <v>597538.36306001386</v>
      </c>
      <c r="F17" s="22">
        <f t="shared" si="2"/>
        <v>33.020466570513584</v>
      </c>
    </row>
    <row r="18" spans="1:6" ht="14.25" customHeight="1" x14ac:dyDescent="0.2">
      <c r="A18" s="20">
        <v>14</v>
      </c>
      <c r="B18" s="202" t="s">
        <v>449</v>
      </c>
      <c r="C18" s="203"/>
      <c r="D18" s="15">
        <f t="shared" si="0"/>
        <v>78348</v>
      </c>
      <c r="E18" s="18">
        <f t="shared" si="1"/>
        <v>1334271.6574395429</v>
      </c>
      <c r="F18" s="22">
        <f t="shared" si="2"/>
        <v>17.030066593142681</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234234</v>
      </c>
      <c r="E20" s="18">
        <f t="shared" si="1"/>
        <v>2449905.2985742316</v>
      </c>
      <c r="F20" s="22">
        <f t="shared" si="2"/>
        <v>10.459221541596145</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59408</v>
      </c>
      <c r="E22" s="18">
        <f t="shared" si="1"/>
        <v>1173334.4960582065</v>
      </c>
      <c r="F22" s="22">
        <f t="shared" si="2"/>
        <v>19.750446001518423</v>
      </c>
    </row>
    <row r="23" spans="1:6" x14ac:dyDescent="0.2">
      <c r="A23" s="20">
        <v>19</v>
      </c>
      <c r="B23" s="202" t="s">
        <v>17</v>
      </c>
      <c r="C23" s="203"/>
      <c r="D23" s="15">
        <f t="shared" si="0"/>
        <v>234368</v>
      </c>
      <c r="E23" s="18">
        <f t="shared" si="1"/>
        <v>2279013.0248479955</v>
      </c>
      <c r="F23" s="22">
        <f t="shared" si="2"/>
        <v>9.7240793318541581</v>
      </c>
    </row>
    <row r="24" spans="1:6" x14ac:dyDescent="0.2">
      <c r="A24" s="20">
        <v>20</v>
      </c>
      <c r="B24" s="202" t="s">
        <v>18</v>
      </c>
      <c r="C24" s="203"/>
      <c r="D24" s="15">
        <f t="shared" si="0"/>
        <v>80416</v>
      </c>
      <c r="E24" s="18">
        <f t="shared" si="1"/>
        <v>810692.94053017651</v>
      </c>
      <c r="F24" s="22">
        <f t="shared" si="2"/>
        <v>10.081239312203747</v>
      </c>
    </row>
    <row r="25" spans="1:6" ht="14.25" customHeight="1" x14ac:dyDescent="0.2">
      <c r="A25" s="20">
        <v>21</v>
      </c>
      <c r="B25" s="202" t="s">
        <v>446</v>
      </c>
      <c r="C25" s="203"/>
      <c r="D25" s="15">
        <f t="shared" si="0"/>
        <v>75088</v>
      </c>
      <c r="E25" s="18">
        <f t="shared" si="1"/>
        <v>904926.24212258635</v>
      </c>
      <c r="F25" s="22">
        <f t="shared" si="2"/>
        <v>12.051542751472757</v>
      </c>
    </row>
    <row r="26" spans="1:6" x14ac:dyDescent="0.2">
      <c r="A26" s="20">
        <v>22</v>
      </c>
      <c r="B26" s="202" t="s">
        <v>19</v>
      </c>
      <c r="C26" s="203"/>
      <c r="D26" s="15">
        <f t="shared" si="0"/>
        <v>26256</v>
      </c>
      <c r="E26" s="18">
        <f t="shared" si="1"/>
        <v>471690.26152208913</v>
      </c>
      <c r="F26" s="22">
        <f t="shared" si="2"/>
        <v>17.96504652354087</v>
      </c>
    </row>
    <row r="27" spans="1:6" x14ac:dyDescent="0.2">
      <c r="A27" s="20">
        <v>23</v>
      </c>
      <c r="B27" s="202" t="s">
        <v>20</v>
      </c>
      <c r="C27" s="203"/>
      <c r="D27" s="15">
        <f t="shared" si="0"/>
        <v>77336</v>
      </c>
      <c r="E27" s="18">
        <f t="shared" si="1"/>
        <v>960202.00826753047</v>
      </c>
      <c r="F27" s="22">
        <f t="shared" si="2"/>
        <v>12.415977142178681</v>
      </c>
    </row>
    <row r="28" spans="1:6" x14ac:dyDescent="0.2">
      <c r="A28" s="20">
        <v>24</v>
      </c>
      <c r="B28" s="202" t="s">
        <v>21</v>
      </c>
      <c r="C28" s="203"/>
      <c r="D28" s="15">
        <f t="shared" si="0"/>
        <v>152488</v>
      </c>
      <c r="E28" s="18">
        <f t="shared" si="1"/>
        <v>1616268.955476094</v>
      </c>
      <c r="F28" s="22">
        <f t="shared" si="2"/>
        <v>10.599318998715269</v>
      </c>
    </row>
    <row r="29" spans="1:6" x14ac:dyDescent="0.2">
      <c r="A29" s="20">
        <v>25</v>
      </c>
      <c r="B29" s="202" t="s">
        <v>22</v>
      </c>
      <c r="C29" s="203"/>
      <c r="D29" s="15">
        <f t="shared" si="0"/>
        <v>675792</v>
      </c>
      <c r="E29" s="18">
        <f t="shared" si="1"/>
        <v>5470495.1791032767</v>
      </c>
      <c r="F29" s="22">
        <f t="shared" si="2"/>
        <v>8.0949392403332343</v>
      </c>
    </row>
    <row r="30" spans="1:6" x14ac:dyDescent="0.2">
      <c r="A30" s="20">
        <v>26</v>
      </c>
      <c r="B30" s="202" t="s">
        <v>23</v>
      </c>
      <c r="C30" s="203"/>
      <c r="D30" s="15">
        <f t="shared" si="0"/>
        <v>261952</v>
      </c>
      <c r="E30" s="18">
        <f t="shared" si="1"/>
        <v>3146900.9169041086</v>
      </c>
      <c r="F30" s="22">
        <f t="shared" si="2"/>
        <v>12.013273106920767</v>
      </c>
    </row>
    <row r="31" spans="1:6" x14ac:dyDescent="0.2">
      <c r="A31" s="20">
        <v>28</v>
      </c>
      <c r="B31" s="202" t="s">
        <v>24</v>
      </c>
      <c r="C31" s="203"/>
      <c r="D31" s="15">
        <f t="shared" si="0"/>
        <v>180528</v>
      </c>
      <c r="E31" s="18">
        <f t="shared" si="1"/>
        <v>1755417.8712697937</v>
      </c>
      <c r="F31" s="22">
        <f t="shared" si="2"/>
        <v>9.723798365183205</v>
      </c>
    </row>
    <row r="32" spans="1:6" ht="15.75" customHeight="1" thickBot="1" x14ac:dyDescent="0.25">
      <c r="A32" s="23">
        <v>29</v>
      </c>
      <c r="B32" s="206" t="s">
        <v>25</v>
      </c>
      <c r="C32" s="207"/>
      <c r="D32" s="24">
        <f t="shared" si="0"/>
        <v>310480</v>
      </c>
      <c r="E32" s="25">
        <f t="shared" si="1"/>
        <v>2488781.5483462149</v>
      </c>
      <c r="F32" s="26">
        <f t="shared" si="2"/>
        <v>8.0159158346631507</v>
      </c>
    </row>
    <row r="33" spans="1:6" x14ac:dyDescent="0.2">
      <c r="B33" s="31" t="s">
        <v>35</v>
      </c>
      <c r="C33" s="31"/>
      <c r="D33" s="60">
        <f>SUM(D5:D32)</f>
        <v>3766179</v>
      </c>
      <c r="E33" s="32">
        <f>SUM(E5:E32)</f>
        <v>40632446</v>
      </c>
      <c r="F33" s="33">
        <f t="shared" si="2"/>
        <v>10.788771856037645</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IF(F3="1",SUMIF(Data!A:A,'24'!$A$2,Data!CU:CU),0)</f>
        <v>1824</v>
      </c>
      <c r="E36" s="16">
        <f>IF(F3="1",SUMIF(Data!$A:$A,'24'!$A$2,Data!IO:IO),0)</f>
        <v>0</v>
      </c>
      <c r="F36" s="21">
        <f t="shared" ref="F36:F64" si="3">IFERROR(E36/D36,"")</f>
        <v>0</v>
      </c>
    </row>
    <row r="37" spans="1:6" x14ac:dyDescent="0.2">
      <c r="A37" s="20">
        <v>2</v>
      </c>
      <c r="B37" s="202" t="s">
        <v>1</v>
      </c>
      <c r="C37" s="203"/>
      <c r="D37" s="15">
        <f>IF(F3="1",SUMIF(Data!A:A,'24'!$A$2,Data!CV:CV),0)</f>
        <v>27552</v>
      </c>
      <c r="E37" s="18">
        <f>IF(F3="1",SUMIF(Data!$A:$A,'24'!$A$2,Data!IP:IP),0)</f>
        <v>0</v>
      </c>
      <c r="F37" s="22">
        <f t="shared" si="3"/>
        <v>0</v>
      </c>
    </row>
    <row r="38" spans="1:6" ht="14.25" customHeight="1" x14ac:dyDescent="0.2">
      <c r="A38" s="20">
        <v>3</v>
      </c>
      <c r="B38" s="202" t="s">
        <v>2</v>
      </c>
      <c r="C38" s="203"/>
      <c r="D38" s="15">
        <f>IF(F3="1",SUMIF(Data!A:A,'24'!$A$2,Data!CW:CW),0)</f>
        <v>328848</v>
      </c>
      <c r="E38" s="18">
        <f>IF(F3="1",SUMIF(Data!$A:$A,'24'!$A$2,Data!IQ:IQ),0)</f>
        <v>387514</v>
      </c>
      <c r="F38" s="22">
        <f t="shared" si="3"/>
        <v>1.1783985306281322</v>
      </c>
    </row>
    <row r="39" spans="1:6" ht="14.25" customHeight="1" x14ac:dyDescent="0.2">
      <c r="A39" s="20">
        <v>4</v>
      </c>
      <c r="B39" s="202" t="s">
        <v>3</v>
      </c>
      <c r="C39" s="203"/>
      <c r="D39" s="15">
        <f>IF(F3="1",SUMIF(Data!A:A,'24'!$A$2,Data!CX:CX),0)</f>
        <v>131068</v>
      </c>
      <c r="E39" s="18">
        <f>IF(F3="1",SUMIF(Data!$A:$A,'24'!$A$2,Data!IR:IR),0)</f>
        <v>133283</v>
      </c>
      <c r="F39" s="22">
        <f t="shared" si="3"/>
        <v>1.0168996246223334</v>
      </c>
    </row>
    <row r="40" spans="1:6" x14ac:dyDescent="0.2">
      <c r="A40" s="20">
        <v>5</v>
      </c>
      <c r="B40" s="202" t="s">
        <v>4</v>
      </c>
      <c r="C40" s="203"/>
      <c r="D40" s="15">
        <f>IF(F3="1",SUMIF(Data!A:A,'24'!$A$2,Data!CY:CY),0)</f>
        <v>0</v>
      </c>
      <c r="E40" s="18">
        <f>IF(F3="1",SUMIF(Data!$A:$A,'24'!$A$2,Data!IS:IS),0)</f>
        <v>0</v>
      </c>
      <c r="F40" s="22" t="str">
        <f t="shared" si="3"/>
        <v/>
      </c>
    </row>
    <row r="41" spans="1:6" x14ac:dyDescent="0.2">
      <c r="A41" s="20">
        <v>6</v>
      </c>
      <c r="B41" s="202" t="s">
        <v>5</v>
      </c>
      <c r="C41" s="203"/>
      <c r="D41" s="15">
        <f>IF(F3="1",SUMIF(Data!A:A,'24'!$A$2,Data!CZ:CZ),0)</f>
        <v>2152</v>
      </c>
      <c r="E41" s="18">
        <f>IF(F3="1",SUMIF(Data!$A:$A,'24'!$A$2,Data!IT:IT),0)</f>
        <v>1026</v>
      </c>
      <c r="F41" s="22">
        <f t="shared" si="3"/>
        <v>0.47676579925650558</v>
      </c>
    </row>
    <row r="42" spans="1:6" x14ac:dyDescent="0.2">
      <c r="A42" s="20">
        <v>7</v>
      </c>
      <c r="B42" s="202" t="s">
        <v>6</v>
      </c>
      <c r="C42" s="203"/>
      <c r="D42" s="15">
        <f>IF(F3="1",SUMIF(Data!A:A,'24'!$A$2,Data!DA:DA),0)</f>
        <v>192957</v>
      </c>
      <c r="E42" s="18">
        <f>IF(F3="1",SUMIF(Data!$A:$A,'24'!$A$2,Data!IU:IU),0)</f>
        <v>472062</v>
      </c>
      <c r="F42" s="22">
        <f t="shared" si="3"/>
        <v>2.4464621651456024</v>
      </c>
    </row>
    <row r="43" spans="1:6" x14ac:dyDescent="0.2">
      <c r="A43" s="20">
        <v>8</v>
      </c>
      <c r="B43" s="202" t="s">
        <v>7</v>
      </c>
      <c r="C43" s="203"/>
      <c r="D43" s="15">
        <f>IF(F3="1",SUMIF(Data!A:A,'24'!$A$2,Data!DB:DB),0)</f>
        <v>25340</v>
      </c>
      <c r="E43" s="18">
        <f>IF(F3="1",SUMIF(Data!$A:$A,'24'!$A$2,Data!IV:IV),0)</f>
        <v>208016</v>
      </c>
      <c r="F43" s="22">
        <f t="shared" si="3"/>
        <v>8.2089976322020526</v>
      </c>
    </row>
    <row r="44" spans="1:6" x14ac:dyDescent="0.2">
      <c r="A44" s="20">
        <v>9</v>
      </c>
      <c r="B44" s="202" t="s">
        <v>8</v>
      </c>
      <c r="C44" s="203"/>
      <c r="D44" s="15">
        <f>IF(F3="1",SUMIF(Data!A:A,'24'!$A$2,Data!DC:DC),0)</f>
        <v>61516</v>
      </c>
      <c r="E44" s="18">
        <f>IF(F3="1",SUMIF(Data!$A:$A,'24'!$A$2,Data!IW:IW),0)</f>
        <v>0</v>
      </c>
      <c r="F44" s="22">
        <f t="shared" si="3"/>
        <v>0</v>
      </c>
    </row>
    <row r="45" spans="1:6" x14ac:dyDescent="0.2">
      <c r="A45" s="20">
        <v>10</v>
      </c>
      <c r="B45" s="202" t="s">
        <v>9</v>
      </c>
      <c r="C45" s="203"/>
      <c r="D45" s="15">
        <f>IF(F3="1",SUMIF(Data!A:A,'24'!$A$2,Data!DD:DD),0)</f>
        <v>0</v>
      </c>
      <c r="E45" s="18">
        <f>IF(F3="1",SUMIF(Data!$A:$A,'24'!$A$2,Data!IX:IX),0)</f>
        <v>0</v>
      </c>
      <c r="F45" s="22" t="str">
        <f t="shared" si="3"/>
        <v/>
      </c>
    </row>
    <row r="46" spans="1:6" x14ac:dyDescent="0.2">
      <c r="A46" s="20">
        <v>11</v>
      </c>
      <c r="B46" s="202" t="s">
        <v>10</v>
      </c>
      <c r="C46" s="203"/>
      <c r="D46" s="15">
        <f>IF(F3="1",SUMIF(Data!A:A,'24'!$A$2,Data!DE:DE),0)</f>
        <v>113108</v>
      </c>
      <c r="E46" s="18">
        <f>IF(F3="1",SUMIF(Data!$A:$A,'24'!$A$2,Data!IY:IY),0)</f>
        <v>0</v>
      </c>
      <c r="F46" s="22">
        <f t="shared" si="3"/>
        <v>0</v>
      </c>
    </row>
    <row r="47" spans="1:6" ht="14.25" customHeight="1" x14ac:dyDescent="0.2">
      <c r="A47" s="20">
        <v>12</v>
      </c>
      <c r="B47" s="202" t="s">
        <v>11</v>
      </c>
      <c r="C47" s="203"/>
      <c r="D47" s="15">
        <f>IF(F3="1",SUMIF(Data!A:A,'24'!$A$2,Data!DF:DF),0)</f>
        <v>417024</v>
      </c>
      <c r="E47" s="18">
        <f>IF(F3="1",SUMIF(Data!$A:$A,'24'!$A$2,Data!IZ:IZ),0)</f>
        <v>1618150</v>
      </c>
      <c r="F47" s="22">
        <f t="shared" si="3"/>
        <v>3.8802323127685696</v>
      </c>
    </row>
    <row r="48" spans="1:6" x14ac:dyDescent="0.2">
      <c r="A48" s="20">
        <v>13</v>
      </c>
      <c r="B48" s="202" t="s">
        <v>12</v>
      </c>
      <c r="C48" s="203"/>
      <c r="D48" s="15">
        <f>IF(F3="1",SUMIF(Data!A:A,'24'!$A$2,Data!DG:DG),0)</f>
        <v>18096</v>
      </c>
      <c r="E48" s="18">
        <f>IF(F3="1",SUMIF(Data!$A:$A,'24'!$A$2,Data!JA:JA),0)</f>
        <v>109749</v>
      </c>
      <c r="F48" s="22">
        <f t="shared" si="3"/>
        <v>6.0648209549071614</v>
      </c>
    </row>
    <row r="49" spans="1:6" ht="14.25" customHeight="1" x14ac:dyDescent="0.2">
      <c r="A49" s="20">
        <v>14</v>
      </c>
      <c r="B49" s="202" t="s">
        <v>449</v>
      </c>
      <c r="C49" s="203"/>
      <c r="D49" s="15">
        <f>IF(F3="1",SUMIF(Data!A:A,'24'!$A$2,Data!DH:DH),0)</f>
        <v>78348</v>
      </c>
      <c r="E49" s="18">
        <f>IF(F3="1",SUMIF(Data!$A:$A,'24'!$A$2,Data!JB:JB),0)</f>
        <v>260866</v>
      </c>
      <c r="F49" s="22">
        <f t="shared" si="3"/>
        <v>3.3295808444376371</v>
      </c>
    </row>
    <row r="50" spans="1:6" x14ac:dyDescent="0.2">
      <c r="A50" s="20">
        <v>15</v>
      </c>
      <c r="B50" s="202" t="s">
        <v>13</v>
      </c>
      <c r="C50" s="203"/>
      <c r="D50" s="15">
        <f>IF(F3="1",SUMIF(Data!A:A,'24'!$A$2,Data!DI:DI),0)</f>
        <v>0</v>
      </c>
      <c r="E50" s="18">
        <f>IF(F3="1",SUMIF(Data!$A:$A,'24'!$A$2,Data!JC:JC),0)</f>
        <v>0</v>
      </c>
      <c r="F50" s="22" t="str">
        <f t="shared" si="3"/>
        <v/>
      </c>
    </row>
    <row r="51" spans="1:6" x14ac:dyDescent="0.2">
      <c r="A51" s="20">
        <v>16</v>
      </c>
      <c r="B51" s="202" t="s">
        <v>14</v>
      </c>
      <c r="C51" s="203"/>
      <c r="D51" s="15">
        <f>IF(F3="1",SUMIF(Data!A:A,'24'!$A$2,Data!DJ:DJ),0)</f>
        <v>234234</v>
      </c>
      <c r="E51" s="18">
        <f>IF(F3="1",SUMIF(Data!$A:$A,'24'!$A$2,Data!JD:JD),0)</f>
        <v>302424</v>
      </c>
      <c r="F51" s="22">
        <f t="shared" si="3"/>
        <v>1.2911191372729833</v>
      </c>
    </row>
    <row r="52" spans="1:6" x14ac:dyDescent="0.2">
      <c r="A52" s="20">
        <v>17</v>
      </c>
      <c r="B52" s="202" t="s">
        <v>15</v>
      </c>
      <c r="C52" s="203"/>
      <c r="D52" s="15">
        <f>IF(F3="1",SUMIF(Data!A:A,'24'!$A$2,Data!DK:DK),0)</f>
        <v>0</v>
      </c>
      <c r="E52" s="18">
        <f>IF(F3="1",SUMIF(Data!$A:$A,'24'!$A$2,Data!JE:JE),0)</f>
        <v>0</v>
      </c>
      <c r="F52" s="22" t="str">
        <f t="shared" si="3"/>
        <v/>
      </c>
    </row>
    <row r="53" spans="1:6" x14ac:dyDescent="0.2">
      <c r="A53" s="20">
        <v>18</v>
      </c>
      <c r="B53" s="202" t="s">
        <v>16</v>
      </c>
      <c r="C53" s="203"/>
      <c r="D53" s="15">
        <f>IF(F3="1",SUMIF(Data!A:A,'24'!$A$2,Data!DL:DL),0)</f>
        <v>59408</v>
      </c>
      <c r="E53" s="18">
        <f>IF(F3="1",SUMIF(Data!$A:$A,'24'!$A$2,Data!JF:JF),0)</f>
        <v>190412</v>
      </c>
      <c r="F53" s="22">
        <f t="shared" si="3"/>
        <v>3.2051575545381095</v>
      </c>
    </row>
    <row r="54" spans="1:6" x14ac:dyDescent="0.2">
      <c r="A54" s="20">
        <v>19</v>
      </c>
      <c r="B54" s="202" t="s">
        <v>17</v>
      </c>
      <c r="C54" s="203"/>
      <c r="D54" s="15">
        <f>IF(F3="1",SUMIF(Data!A:A,'24'!$A$2,Data!DM:DM),0)</f>
        <v>234368</v>
      </c>
      <c r="E54" s="18">
        <f>IF(F3="1",SUMIF(Data!$A:$A,'24'!$A$2,Data!JG:JG),0)</f>
        <v>208356</v>
      </c>
      <c r="F54" s="22">
        <f t="shared" si="3"/>
        <v>0.88901215182960136</v>
      </c>
    </row>
    <row r="55" spans="1:6" x14ac:dyDescent="0.2">
      <c r="A55" s="20">
        <v>20</v>
      </c>
      <c r="B55" s="202" t="s">
        <v>18</v>
      </c>
      <c r="C55" s="203"/>
      <c r="D55" s="15">
        <f>IF(F3="1",SUMIF(Data!A:A,'24'!$A$2,Data!DN:DN),0)</f>
        <v>80416</v>
      </c>
      <c r="E55" s="18">
        <f>IF(F3="1",SUMIF(Data!$A:$A,'24'!$A$2,Data!JH:JH),0)</f>
        <v>102078</v>
      </c>
      <c r="F55" s="22">
        <f t="shared" si="3"/>
        <v>1.2693742538798249</v>
      </c>
    </row>
    <row r="56" spans="1:6" ht="14.25" customHeight="1" x14ac:dyDescent="0.2">
      <c r="A56" s="20">
        <v>21</v>
      </c>
      <c r="B56" s="202" t="s">
        <v>446</v>
      </c>
      <c r="C56" s="203"/>
      <c r="D56" s="15">
        <f>IF(F3="1",SUMIF(Data!A:A,'24'!$A$2,Data!DO:DO),0)</f>
        <v>75088</v>
      </c>
      <c r="E56" s="18">
        <f>IF(F3="1",SUMIF(Data!$A:$A,'24'!$A$2,Data!JI:JI),0)</f>
        <v>135313</v>
      </c>
      <c r="F56" s="22">
        <f t="shared" si="3"/>
        <v>1.802058917536757</v>
      </c>
    </row>
    <row r="57" spans="1:6" x14ac:dyDescent="0.2">
      <c r="A57" s="20">
        <v>22</v>
      </c>
      <c r="B57" s="202" t="s">
        <v>19</v>
      </c>
      <c r="C57" s="203"/>
      <c r="D57" s="15">
        <f>IF(F3="1",SUMIF(Data!A:A,'24'!$A$2,Data!DP:DP),0)</f>
        <v>26256</v>
      </c>
      <c r="E57" s="18">
        <f>IF(F3="1",SUMIF(Data!$A:$A,'24'!$A$2,Data!JJ:JJ),0)</f>
        <v>97172</v>
      </c>
      <c r="F57" s="22">
        <f t="shared" si="3"/>
        <v>3.7009445460085315</v>
      </c>
    </row>
    <row r="58" spans="1:6" x14ac:dyDescent="0.2">
      <c r="A58" s="20">
        <v>23</v>
      </c>
      <c r="B58" s="202" t="s">
        <v>20</v>
      </c>
      <c r="C58" s="203"/>
      <c r="D58" s="15">
        <f>IF(F3="1",SUMIF(Data!A:A,'24'!$A$2,Data!DQ:DQ),0)</f>
        <v>77336</v>
      </c>
      <c r="E58" s="18">
        <f>IF(F3="1",SUMIF(Data!$A:$A,'24'!$A$2,Data!JK:JK),0)</f>
        <v>178084</v>
      </c>
      <c r="F58" s="22">
        <f t="shared" si="3"/>
        <v>2.302730940312403</v>
      </c>
    </row>
    <row r="59" spans="1:6" x14ac:dyDescent="0.2">
      <c r="A59" s="20">
        <v>24</v>
      </c>
      <c r="B59" s="202" t="s">
        <v>21</v>
      </c>
      <c r="C59" s="203"/>
      <c r="D59" s="15">
        <f>IF(F3="1",SUMIF(Data!A:A,'24'!$A$2,Data!DR:DR),0)</f>
        <v>152488</v>
      </c>
      <c r="E59" s="18">
        <f>IF(F3="1",SUMIF(Data!$A:$A,'24'!$A$2,Data!JL:JL),0)</f>
        <v>315083</v>
      </c>
      <c r="F59" s="22">
        <f t="shared" si="3"/>
        <v>2.066280625360684</v>
      </c>
    </row>
    <row r="60" spans="1:6" x14ac:dyDescent="0.2">
      <c r="A60" s="20">
        <v>25</v>
      </c>
      <c r="B60" s="202" t="s">
        <v>22</v>
      </c>
      <c r="C60" s="203"/>
      <c r="D60" s="15">
        <f>IF(F3="1",SUMIF(Data!A:A,'24'!$A$2,Data!DS:DS),0)</f>
        <v>675792</v>
      </c>
      <c r="E60" s="18">
        <f>IF(F3="1",SUMIF(Data!$A:$A,'24'!$A$2,Data!JM:JM),0)</f>
        <v>357913</v>
      </c>
      <c r="F60" s="22">
        <f t="shared" si="3"/>
        <v>0.52962006061036537</v>
      </c>
    </row>
    <row r="61" spans="1:6" x14ac:dyDescent="0.2">
      <c r="A61" s="20">
        <v>26</v>
      </c>
      <c r="B61" s="202" t="s">
        <v>23</v>
      </c>
      <c r="C61" s="203"/>
      <c r="D61" s="15">
        <f>IF(F3="1",SUMIF(Data!A:A,'24'!$A$2,Data!DT:DT),0)</f>
        <v>261952</v>
      </c>
      <c r="E61" s="18">
        <f>IF(F3="1",SUMIF(Data!$A:$A,'24'!$A$2,Data!JN:JN),0)</f>
        <v>437846</v>
      </c>
      <c r="F61" s="22">
        <f t="shared" si="3"/>
        <v>1.6714741632054728</v>
      </c>
    </row>
    <row r="62" spans="1:6" x14ac:dyDescent="0.2">
      <c r="A62" s="20">
        <v>28</v>
      </c>
      <c r="B62" s="202" t="s">
        <v>24</v>
      </c>
      <c r="C62" s="203"/>
      <c r="D62" s="15">
        <f>IF(F3="1",SUMIF(Data!A:A,'24'!$A$2,Data!DV:DV),0)</f>
        <v>180528</v>
      </c>
      <c r="E62" s="18">
        <f>IF(F3="1",SUMIF(Data!$A:$A,'24'!$A$2,Data!JP:JP),0)</f>
        <v>160482</v>
      </c>
      <c r="F62" s="22">
        <f t="shared" si="3"/>
        <v>0.88895905344323323</v>
      </c>
    </row>
    <row r="63" spans="1:6" ht="15.75" customHeight="1" thickBot="1" x14ac:dyDescent="0.25">
      <c r="A63" s="23">
        <v>29</v>
      </c>
      <c r="B63" s="206" t="s">
        <v>25</v>
      </c>
      <c r="C63" s="207"/>
      <c r="D63" s="24">
        <f>IF(F3="1",SUMIF(Data!A:A,'24'!$A$2,Data!DW:DW),0)</f>
        <v>310480</v>
      </c>
      <c r="E63" s="25">
        <f>IF(F3="1",SUMIF(Data!$A:$A,'24'!$A$2,Data!JQ:JQ),0)</f>
        <v>147789</v>
      </c>
      <c r="F63" s="26">
        <f t="shared" si="3"/>
        <v>0.47600167482607575</v>
      </c>
    </row>
    <row r="64" spans="1:6" x14ac:dyDescent="0.2">
      <c r="B64" s="31" t="s">
        <v>35</v>
      </c>
      <c r="C64" s="31"/>
      <c r="D64" s="60">
        <f>SUM(D36:D63)</f>
        <v>3766179</v>
      </c>
      <c r="E64" s="32">
        <f>SUM(E36:E63)</f>
        <v>5823618</v>
      </c>
      <c r="F64" s="33">
        <f t="shared" si="3"/>
        <v>1.54629347144679</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1824</v>
      </c>
      <c r="E67" s="16">
        <f>IF(F3="1",SUMIF(Data!A:A,'24'!$A$2,Data!DY:DY),0)</f>
        <v>0</v>
      </c>
      <c r="F67" s="21">
        <f>IFERROR(E67/D67,"")</f>
        <v>0</v>
      </c>
    </row>
    <row r="68" spans="1:6" x14ac:dyDescent="0.2">
      <c r="A68" s="20">
        <v>2</v>
      </c>
      <c r="B68" s="202" t="s">
        <v>1</v>
      </c>
      <c r="C68" s="203"/>
      <c r="D68" s="15">
        <f t="shared" ref="D68:D94" si="4">D37</f>
        <v>27552</v>
      </c>
      <c r="E68" s="18">
        <f>IF(F3="1",SUMIF(Data!A:A,'24'!$A$2,Data!DZ:DZ),0)</f>
        <v>0</v>
      </c>
      <c r="F68" s="22">
        <f t="shared" ref="F68:F95" si="5">IFERROR(E68/D68,"")</f>
        <v>0</v>
      </c>
    </row>
    <row r="69" spans="1:6" ht="14.25" customHeight="1" x14ac:dyDescent="0.2">
      <c r="A69" s="20">
        <v>3</v>
      </c>
      <c r="B69" s="202" t="s">
        <v>2</v>
      </c>
      <c r="C69" s="203"/>
      <c r="D69" s="15">
        <f t="shared" si="4"/>
        <v>328848</v>
      </c>
      <c r="E69" s="18">
        <f>IF(F3="1",SUMIF(Data!A:A,'24'!$A$2,Data!EA:EA),0)</f>
        <v>1046174</v>
      </c>
      <c r="F69" s="22">
        <f t="shared" si="5"/>
        <v>3.1813299761591982</v>
      </c>
    </row>
    <row r="70" spans="1:6" ht="14.25" customHeight="1" x14ac:dyDescent="0.2">
      <c r="A70" s="20">
        <v>4</v>
      </c>
      <c r="B70" s="202" t="s">
        <v>3</v>
      </c>
      <c r="C70" s="203"/>
      <c r="D70" s="15">
        <f t="shared" si="4"/>
        <v>131068</v>
      </c>
      <c r="E70" s="18">
        <f>IF(F3="1",SUMIF(Data!A:A,'24'!$A$2,Data!EB:EB),0)</f>
        <v>583845</v>
      </c>
      <c r="F70" s="22">
        <f t="shared" si="5"/>
        <v>4.4545197912533956</v>
      </c>
    </row>
    <row r="71" spans="1:6" x14ac:dyDescent="0.2">
      <c r="A71" s="20">
        <v>5</v>
      </c>
      <c r="B71" s="202" t="s">
        <v>4</v>
      </c>
      <c r="C71" s="203"/>
      <c r="D71" s="15">
        <f t="shared" si="4"/>
        <v>0</v>
      </c>
      <c r="E71" s="18">
        <f>IF(F3="1",SUMIF(Data!A:A,'24'!$A$2,Data!EC:EC),0)</f>
        <v>0</v>
      </c>
      <c r="F71" s="22" t="str">
        <f t="shared" si="5"/>
        <v/>
      </c>
    </row>
    <row r="72" spans="1:6" x14ac:dyDescent="0.2">
      <c r="A72" s="20">
        <v>6</v>
      </c>
      <c r="B72" s="202" t="s">
        <v>5</v>
      </c>
      <c r="C72" s="203"/>
      <c r="D72" s="15">
        <f t="shared" si="4"/>
        <v>2152</v>
      </c>
      <c r="E72" s="18">
        <f>IF(F3="1",SUMIF(Data!A:A,'24'!$A$2,Data!ED:ED),0)</f>
        <v>4646</v>
      </c>
      <c r="F72" s="22">
        <f t="shared" si="5"/>
        <v>2.1589219330855021</v>
      </c>
    </row>
    <row r="73" spans="1:6" x14ac:dyDescent="0.2">
      <c r="A73" s="20">
        <v>7</v>
      </c>
      <c r="B73" s="202" t="s">
        <v>6</v>
      </c>
      <c r="C73" s="203"/>
      <c r="D73" s="15">
        <f t="shared" si="4"/>
        <v>192957</v>
      </c>
      <c r="E73" s="18">
        <f>IF(F3="1",SUMIF(Data!A:A,'24'!$A$2,Data!EE:EE),0)</f>
        <v>1143378</v>
      </c>
      <c r="F73" s="22">
        <f t="shared" si="5"/>
        <v>5.9255585441315937</v>
      </c>
    </row>
    <row r="74" spans="1:6" x14ac:dyDescent="0.2">
      <c r="A74" s="20">
        <v>8</v>
      </c>
      <c r="B74" s="202" t="s">
        <v>7</v>
      </c>
      <c r="C74" s="203"/>
      <c r="D74" s="15">
        <f t="shared" si="4"/>
        <v>25340</v>
      </c>
      <c r="E74" s="18">
        <f>IF(F3="1",SUMIF(Data!A:A,'24'!$A$2,Data!EF:EF),0)</f>
        <v>438318</v>
      </c>
      <c r="F74" s="22">
        <f t="shared" si="5"/>
        <v>17.297474348855566</v>
      </c>
    </row>
    <row r="75" spans="1:6" x14ac:dyDescent="0.2">
      <c r="A75" s="20">
        <v>9</v>
      </c>
      <c r="B75" s="202" t="s">
        <v>8</v>
      </c>
      <c r="C75" s="203"/>
      <c r="D75" s="15">
        <f t="shared" si="4"/>
        <v>61516</v>
      </c>
      <c r="E75" s="18">
        <f>IF(F3="1",SUMIF(Data!A:A,'24'!$A$2,Data!EG:EG),0)</f>
        <v>0</v>
      </c>
      <c r="F75" s="22">
        <f t="shared" si="5"/>
        <v>0</v>
      </c>
    </row>
    <row r="76" spans="1:6" x14ac:dyDescent="0.2">
      <c r="A76" s="20">
        <v>10</v>
      </c>
      <c r="B76" s="202" t="s">
        <v>9</v>
      </c>
      <c r="C76" s="203"/>
      <c r="D76" s="15">
        <f t="shared" si="4"/>
        <v>0</v>
      </c>
      <c r="E76" s="18">
        <f>IF(F3="1",SUMIF(Data!A:A,'24'!$A$2,Data!EH:EH),0)</f>
        <v>0</v>
      </c>
      <c r="F76" s="22" t="str">
        <f t="shared" si="5"/>
        <v/>
      </c>
    </row>
    <row r="77" spans="1:6" x14ac:dyDescent="0.2">
      <c r="A77" s="20">
        <v>11</v>
      </c>
      <c r="B77" s="202" t="s">
        <v>10</v>
      </c>
      <c r="C77" s="203"/>
      <c r="D77" s="15">
        <f t="shared" si="4"/>
        <v>113108</v>
      </c>
      <c r="E77" s="18">
        <f>IF(F3="1",SUMIF(Data!A:A,'24'!$A$2,Data!EI:EI),0)</f>
        <v>0</v>
      </c>
      <c r="F77" s="22">
        <f t="shared" si="5"/>
        <v>0</v>
      </c>
    </row>
    <row r="78" spans="1:6" ht="14.25" customHeight="1" x14ac:dyDescent="0.2">
      <c r="A78" s="20">
        <v>12</v>
      </c>
      <c r="B78" s="202" t="s">
        <v>11</v>
      </c>
      <c r="C78" s="203"/>
      <c r="D78" s="15">
        <f t="shared" si="4"/>
        <v>417024</v>
      </c>
      <c r="E78" s="18">
        <f>IF(F3="1",SUMIF(Data!A:A,'24'!$A$2,Data!EJ:EJ),0)</f>
        <v>2127292</v>
      </c>
      <c r="F78" s="22">
        <f t="shared" si="5"/>
        <v>5.1011260742786986</v>
      </c>
    </row>
    <row r="79" spans="1:6" x14ac:dyDescent="0.2">
      <c r="A79" s="20">
        <v>13</v>
      </c>
      <c r="B79" s="202" t="s">
        <v>12</v>
      </c>
      <c r="C79" s="203"/>
      <c r="D79" s="15">
        <f t="shared" si="4"/>
        <v>18096</v>
      </c>
      <c r="E79" s="18">
        <f>IF(F3="1",SUMIF(Data!A:A,'24'!$A$2,Data!EK:EK),0)</f>
        <v>390324</v>
      </c>
      <c r="F79" s="22">
        <f t="shared" si="5"/>
        <v>21.569628647214856</v>
      </c>
    </row>
    <row r="80" spans="1:6" ht="14.25" customHeight="1" x14ac:dyDescent="0.2">
      <c r="A80" s="20">
        <v>14</v>
      </c>
      <c r="B80" s="202" t="s">
        <v>449</v>
      </c>
      <c r="C80" s="203"/>
      <c r="D80" s="15">
        <f t="shared" si="4"/>
        <v>78348</v>
      </c>
      <c r="E80" s="18">
        <f>IF(F3="1",SUMIF(Data!A:A,'24'!$A$2,Data!EL:EL),0)</f>
        <v>651422</v>
      </c>
      <c r="F80" s="22">
        <f t="shared" si="5"/>
        <v>8.314468780313474</v>
      </c>
    </row>
    <row r="81" spans="1:6" x14ac:dyDescent="0.2">
      <c r="A81" s="20">
        <v>15</v>
      </c>
      <c r="B81" s="202" t="s">
        <v>13</v>
      </c>
      <c r="C81" s="203"/>
      <c r="D81" s="15">
        <f t="shared" si="4"/>
        <v>0</v>
      </c>
      <c r="E81" s="18">
        <f>IF(F3="1",SUMIF(Data!A:A,'24'!$A$2,Data!EM:EM),0)</f>
        <v>0</v>
      </c>
      <c r="F81" s="22" t="str">
        <f t="shared" si="5"/>
        <v/>
      </c>
    </row>
    <row r="82" spans="1:6" x14ac:dyDescent="0.2">
      <c r="A82" s="20">
        <v>16</v>
      </c>
      <c r="B82" s="202" t="s">
        <v>14</v>
      </c>
      <c r="C82" s="203"/>
      <c r="D82" s="15">
        <f t="shared" si="4"/>
        <v>234234</v>
      </c>
      <c r="E82" s="18">
        <f>IF(F3="1",SUMIF(Data!A:A,'24'!$A$2,Data!EN:EN),0)</f>
        <v>885893</v>
      </c>
      <c r="F82" s="22">
        <f t="shared" si="5"/>
        <v>3.7820854359315899</v>
      </c>
    </row>
    <row r="83" spans="1:6" x14ac:dyDescent="0.2">
      <c r="A83" s="20">
        <v>17</v>
      </c>
      <c r="B83" s="202" t="s">
        <v>15</v>
      </c>
      <c r="C83" s="203"/>
      <c r="D83" s="15">
        <f t="shared" si="4"/>
        <v>0</v>
      </c>
      <c r="E83" s="18">
        <f>IF(F3="1",SUMIF(Data!A:A,'24'!$A$2,Data!EO:EO),0)</f>
        <v>0</v>
      </c>
      <c r="F83" s="22" t="str">
        <f t="shared" si="5"/>
        <v/>
      </c>
    </row>
    <row r="84" spans="1:6" x14ac:dyDescent="0.2">
      <c r="A84" s="20">
        <v>18</v>
      </c>
      <c r="B84" s="202" t="s">
        <v>16</v>
      </c>
      <c r="C84" s="203"/>
      <c r="D84" s="15">
        <f t="shared" si="4"/>
        <v>59408</v>
      </c>
      <c r="E84" s="18">
        <f>IF(F3="1",SUMIF(Data!A:A,'24'!$A$2,Data!EP:EP),0)</f>
        <v>662950</v>
      </c>
      <c r="F84" s="22">
        <f t="shared" si="5"/>
        <v>11.159271478588742</v>
      </c>
    </row>
    <row r="85" spans="1:6" x14ac:dyDescent="0.2">
      <c r="A85" s="20">
        <v>19</v>
      </c>
      <c r="B85" s="202" t="s">
        <v>17</v>
      </c>
      <c r="C85" s="203"/>
      <c r="D85" s="15">
        <f t="shared" si="4"/>
        <v>234368</v>
      </c>
      <c r="E85" s="18">
        <f>IF(F3="1",SUMIF(Data!A:A,'24'!$A$2,Data!EQ:EQ),0)</f>
        <v>808347</v>
      </c>
      <c r="F85" s="22">
        <f t="shared" si="5"/>
        <v>3.4490502116329873</v>
      </c>
    </row>
    <row r="86" spans="1:6" x14ac:dyDescent="0.2">
      <c r="A86" s="20">
        <v>20</v>
      </c>
      <c r="B86" s="202" t="s">
        <v>18</v>
      </c>
      <c r="C86" s="203"/>
      <c r="D86" s="15">
        <f t="shared" si="4"/>
        <v>80416</v>
      </c>
      <c r="E86" s="18">
        <f>IF(F3="1",SUMIF(Data!A:A,'24'!$A$2,Data!ER:ER),0)</f>
        <v>275493</v>
      </c>
      <c r="F86" s="22">
        <f t="shared" si="5"/>
        <v>3.4258480899323516</v>
      </c>
    </row>
    <row r="87" spans="1:6" ht="14.25" customHeight="1" x14ac:dyDescent="0.2">
      <c r="A87" s="20">
        <v>21</v>
      </c>
      <c r="B87" s="202" t="s">
        <v>446</v>
      </c>
      <c r="C87" s="203"/>
      <c r="D87" s="15">
        <f t="shared" si="4"/>
        <v>75088</v>
      </c>
      <c r="E87" s="18">
        <f>IF(F3="1",SUMIF(Data!A:A,'24'!$A$2,Data!ES:ES),0)</f>
        <v>365188</v>
      </c>
      <c r="F87" s="22">
        <f t="shared" si="5"/>
        <v>4.863466865544428</v>
      </c>
    </row>
    <row r="88" spans="1:6" x14ac:dyDescent="0.2">
      <c r="A88" s="20">
        <v>22</v>
      </c>
      <c r="B88" s="202" t="s">
        <v>19</v>
      </c>
      <c r="C88" s="203"/>
      <c r="D88" s="15">
        <f t="shared" si="4"/>
        <v>26256</v>
      </c>
      <c r="E88" s="18">
        <f>IF(F3="1",SUMIF(Data!A:A,'24'!$A$2,Data!ET:ET),0)</f>
        <v>233103</v>
      </c>
      <c r="F88" s="22">
        <f t="shared" si="5"/>
        <v>8.8780850091407686</v>
      </c>
    </row>
    <row r="89" spans="1:6" x14ac:dyDescent="0.2">
      <c r="A89" s="20">
        <v>23</v>
      </c>
      <c r="B89" s="202" t="s">
        <v>20</v>
      </c>
      <c r="C89" s="203"/>
      <c r="D89" s="15">
        <f t="shared" si="4"/>
        <v>77336</v>
      </c>
      <c r="E89" s="18">
        <f>IF(F3="1",SUMIF(Data!A:A,'24'!$A$2,Data!EU:EU),0)</f>
        <v>365585</v>
      </c>
      <c r="F89" s="22">
        <f t="shared" si="5"/>
        <v>4.7272292334747075</v>
      </c>
    </row>
    <row r="90" spans="1:6" x14ac:dyDescent="0.2">
      <c r="A90" s="20">
        <v>24</v>
      </c>
      <c r="B90" s="202" t="s">
        <v>21</v>
      </c>
      <c r="C90" s="203"/>
      <c r="D90" s="15">
        <f t="shared" si="4"/>
        <v>152488</v>
      </c>
      <c r="E90" s="18">
        <f>IF(F3="1",SUMIF(Data!A:A,'24'!$A$2,Data!EV:EV),0)</f>
        <v>479883</v>
      </c>
      <c r="F90" s="22">
        <f t="shared" si="5"/>
        <v>3.1470214049630134</v>
      </c>
    </row>
    <row r="91" spans="1:6" x14ac:dyDescent="0.2">
      <c r="A91" s="20">
        <v>25</v>
      </c>
      <c r="B91" s="202" t="s">
        <v>22</v>
      </c>
      <c r="C91" s="203"/>
      <c r="D91" s="15">
        <f t="shared" si="4"/>
        <v>675792</v>
      </c>
      <c r="E91" s="18">
        <f>IF(F3="1",SUMIF(Data!A:A,'24'!$A$2,Data!EW:EW),0)</f>
        <v>1472755</v>
      </c>
      <c r="F91" s="22">
        <f t="shared" si="5"/>
        <v>2.1793022113312972</v>
      </c>
    </row>
    <row r="92" spans="1:6" x14ac:dyDescent="0.2">
      <c r="A92" s="20">
        <v>26</v>
      </c>
      <c r="B92" s="202" t="s">
        <v>23</v>
      </c>
      <c r="C92" s="203"/>
      <c r="D92" s="15">
        <f t="shared" si="4"/>
        <v>261952</v>
      </c>
      <c r="E92" s="18">
        <f>IF(F3="1",SUMIF(Data!A:A,'24'!$A$2,Data!EX:EX),0)</f>
        <v>1298177</v>
      </c>
      <c r="F92" s="22">
        <f t="shared" si="5"/>
        <v>4.9557819753237231</v>
      </c>
    </row>
    <row r="93" spans="1:6" x14ac:dyDescent="0.2">
      <c r="A93" s="20">
        <v>28</v>
      </c>
      <c r="B93" s="202" t="s">
        <v>24</v>
      </c>
      <c r="C93" s="203"/>
      <c r="D93" s="15">
        <f t="shared" si="4"/>
        <v>180528</v>
      </c>
      <c r="E93" s="18">
        <f>IF(F3="1",SUMIF(Data!A:A,'24'!$A$2,Data!EZ:EZ),0)</f>
        <v>622609</v>
      </c>
      <c r="F93" s="22">
        <f t="shared" si="5"/>
        <v>3.4488223433484002</v>
      </c>
    </row>
    <row r="94" spans="1:6" ht="15.75" customHeight="1" thickBot="1" x14ac:dyDescent="0.25">
      <c r="A94" s="23">
        <v>29</v>
      </c>
      <c r="B94" s="206" t="s">
        <v>25</v>
      </c>
      <c r="C94" s="207"/>
      <c r="D94" s="24">
        <f t="shared" si="4"/>
        <v>310480</v>
      </c>
      <c r="E94" s="25">
        <f>IF(F3="1",SUMIF(Data!A:A,'24'!$A$2,Data!FA:FA),0)</f>
        <v>668742</v>
      </c>
      <c r="F94" s="26">
        <f t="shared" si="5"/>
        <v>2.1538971914455036</v>
      </c>
    </row>
    <row r="95" spans="1:6" x14ac:dyDescent="0.2">
      <c r="B95" s="31" t="s">
        <v>35</v>
      </c>
      <c r="C95" s="31"/>
      <c r="D95" s="60">
        <f>SUM(D67:D94)</f>
        <v>3766179</v>
      </c>
      <c r="E95" s="32">
        <f>SUM(E67:E94)</f>
        <v>14524124</v>
      </c>
      <c r="F95" s="33">
        <f t="shared" si="5"/>
        <v>3.856461416199283</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IF(F3="1",SUMIF(Data!A:A,'24'!$A$2,Data!AH:AH),0)</f>
        <v>9631112</v>
      </c>
      <c r="F98" s="21">
        <f t="shared" ref="F98:F105" si="6">IFERROR(E98/$D$95,0)</f>
        <v>2.5572634757933703</v>
      </c>
    </row>
    <row r="99" spans="2:6" x14ac:dyDescent="0.2">
      <c r="B99" s="212" t="s">
        <v>31</v>
      </c>
      <c r="C99" s="213"/>
      <c r="D99" s="37"/>
      <c r="E99" s="18">
        <f>IF(F3="1",SUMIF(Data!A:A,'24'!$A$2,Data!AI:AI),0)</f>
        <v>3906044</v>
      </c>
      <c r="F99" s="22">
        <f t="shared" si="6"/>
        <v>1.0371371089903056</v>
      </c>
    </row>
    <row r="100" spans="2:6" x14ac:dyDescent="0.2">
      <c r="B100" s="212" t="s">
        <v>32</v>
      </c>
      <c r="C100" s="213"/>
      <c r="D100" s="37"/>
      <c r="E100" s="18">
        <f>IF(F3="1",SUMIF(Data!A:A,'24'!$A$2,Data!AJ:AJ),0)</f>
        <v>2666743</v>
      </c>
      <c r="F100" s="22">
        <f t="shared" si="6"/>
        <v>0.70807654123715313</v>
      </c>
    </row>
    <row r="101" spans="2:6" x14ac:dyDescent="0.2">
      <c r="B101" s="212" t="s">
        <v>28</v>
      </c>
      <c r="C101" s="213"/>
      <c r="D101" s="37"/>
      <c r="E101" s="18">
        <f>IF(F3="1",SUMIF(Data!A:A,'24'!$A$2,Data!AK:AK),0)</f>
        <v>0</v>
      </c>
      <c r="F101" s="22">
        <f t="shared" si="6"/>
        <v>0</v>
      </c>
    </row>
    <row r="102" spans="2:6" x14ac:dyDescent="0.2">
      <c r="B102" s="212" t="s">
        <v>33</v>
      </c>
      <c r="C102" s="213"/>
      <c r="D102" s="37"/>
      <c r="E102" s="18">
        <f>IF(F3="1",SUMIF(Data!A:A,'24'!$A$2,Data!AL:AL),0)</f>
        <v>220655</v>
      </c>
      <c r="F102" s="22">
        <f t="shared" si="6"/>
        <v>5.8588558855009285E-2</v>
      </c>
    </row>
    <row r="103" spans="2:6" x14ac:dyDescent="0.2">
      <c r="B103" s="214" t="s">
        <v>34</v>
      </c>
      <c r="C103" s="215"/>
      <c r="D103" s="37"/>
      <c r="E103" s="18">
        <f>IF(F3="1",SUMIF(Data!A:A,'24'!$A$2,Data!AM:AM),0)</f>
        <v>1047269</v>
      </c>
      <c r="F103" s="22">
        <f t="shared" si="6"/>
        <v>0.27807201941277881</v>
      </c>
    </row>
    <row r="104" spans="2:6" ht="15.75" customHeight="1" thickBot="1" x14ac:dyDescent="0.25">
      <c r="B104" s="208" t="s">
        <v>29</v>
      </c>
      <c r="C104" s="209"/>
      <c r="D104" s="38"/>
      <c r="E104" s="25">
        <f>IF(F3="1",SUMIF(Data!A:A,'24'!$A$2,Data!Q:Q),0)</f>
        <v>2812881</v>
      </c>
      <c r="F104" s="26">
        <f t="shared" si="6"/>
        <v>0.74687926410295424</v>
      </c>
    </row>
    <row r="105" spans="2:6" x14ac:dyDescent="0.2">
      <c r="B105" s="31" t="s">
        <v>35</v>
      </c>
      <c r="C105" s="31"/>
      <c r="D105" s="35">
        <f>D95</f>
        <v>3766179</v>
      </c>
      <c r="E105" s="32">
        <f>SUM(E98:E104)</f>
        <v>20284704</v>
      </c>
      <c r="F105" s="33">
        <f t="shared" si="6"/>
        <v>5.3860169683915711</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16230581</v>
      </c>
      <c r="D109" s="192">
        <f>IF(F3="1",SUMIF(Data!$A:$A,$A$2,Data!HJ:HJ),0)</f>
        <v>3505206</v>
      </c>
      <c r="E109" s="192">
        <f>IF(F3="1",SUMIF(Data!$A:$A,$A$2,Data!IN:IN),0)</f>
        <v>611955</v>
      </c>
      <c r="F109" s="48">
        <f>SUM(C109:E109)</f>
        <v>20347742</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171884</v>
      </c>
      <c r="D111" s="52"/>
      <c r="E111" s="193">
        <f>IF(F3="1",SUMIF(Data!A:A,$A$2,Data!AX:AX)-SUMIF(Data!A:A,$A$2,Data!AW:AW),0)</f>
        <v>9457</v>
      </c>
      <c r="F111" s="49">
        <f t="shared" si="7"/>
        <v>181341</v>
      </c>
    </row>
    <row r="112" spans="2:6" x14ac:dyDescent="0.2">
      <c r="B112" s="43" t="s">
        <v>32</v>
      </c>
      <c r="C112" s="193">
        <f>IF(F3="1",SUMIF(Data!A:A,$A$2,Data!V:V),0)</f>
        <v>2376817</v>
      </c>
      <c r="D112" s="52"/>
      <c r="E112" s="193">
        <f>IF(F3="1",SUMIF(Data!A:A,$A$2,Data!AC:AC),0)</f>
        <v>289926</v>
      </c>
      <c r="F112" s="49">
        <f t="shared" si="7"/>
        <v>2666743</v>
      </c>
    </row>
    <row r="113" spans="1:6" x14ac:dyDescent="0.2">
      <c r="B113" s="43" t="s">
        <v>31</v>
      </c>
      <c r="C113" s="193">
        <f>IF(F3="1",SUMIF(Data!A:A,$A$2,Data!U:U),0)</f>
        <v>3379516</v>
      </c>
      <c r="D113" s="52"/>
      <c r="E113" s="193">
        <f>IF(F3="1",SUMIF(Data!A:A,$A$2,Data!AB:AB),0)</f>
        <v>526528</v>
      </c>
      <c r="F113" s="49">
        <f t="shared" si="7"/>
        <v>3906044</v>
      </c>
    </row>
    <row r="114" spans="1:6" x14ac:dyDescent="0.2">
      <c r="B114" s="43" t="s">
        <v>1002</v>
      </c>
      <c r="C114" s="193">
        <f>IF(F3="1",SUMIF(Data!A:A,$A$2,Data!T:T),0)</f>
        <v>6841851</v>
      </c>
      <c r="D114" s="52"/>
      <c r="E114" s="193">
        <f>IF(F3="1",SUMIF(Data!A:A,$A$2,Data!AA:AA),0)</f>
        <v>2789261</v>
      </c>
      <c r="F114" s="49">
        <f t="shared" si="7"/>
        <v>9631112</v>
      </c>
    </row>
    <row r="115" spans="1:6" x14ac:dyDescent="0.2">
      <c r="B115" s="43" t="s">
        <v>916</v>
      </c>
      <c r="C115" s="193">
        <f>IF(F3="1",SUMIF(Data!A:A,$A$2,Data!BI:BI),0)</f>
        <v>1762697</v>
      </c>
      <c r="D115" s="193">
        <f>IF(F3="1",SUMIF(Data!A:A,$A$2,Data!BL:BL),0)</f>
        <v>499621</v>
      </c>
      <c r="E115" s="193">
        <f>IF(F3="1",SUMIF(Data!A:A,$A$2,Data!BU:BU)-SUMIF(Data!A:A,$A$2,Data!BT:BT),0)</f>
        <v>3302566</v>
      </c>
      <c r="F115" s="49">
        <f t="shared" si="7"/>
        <v>5564884</v>
      </c>
    </row>
    <row r="116" spans="1:6" x14ac:dyDescent="0.2">
      <c r="B116" s="43" t="s">
        <v>33</v>
      </c>
      <c r="C116" s="193">
        <f>IF(F3="1",SUMIF(Data!A:A,$A$2,Data!X:X),0)</f>
        <v>0</v>
      </c>
      <c r="D116" s="51"/>
      <c r="E116" s="193">
        <f>E102-C116</f>
        <v>220655</v>
      </c>
      <c r="F116" s="49">
        <f t="shared" si="7"/>
        <v>220655</v>
      </c>
    </row>
    <row r="117" spans="1:6" ht="15" thickBot="1" x14ac:dyDescent="0.25">
      <c r="B117" s="44" t="s">
        <v>920</v>
      </c>
      <c r="C117" s="53"/>
      <c r="D117" s="53">
        <f>IF(F3="1",SUMIF(Data!A:A,$A$2,Data!Q:Q),0)</f>
        <v>2812881</v>
      </c>
      <c r="E117" s="53"/>
      <c r="F117" s="50">
        <f>SUM(C117:E117)</f>
        <v>2812881</v>
      </c>
    </row>
    <row r="118" spans="1:6" x14ac:dyDescent="0.2">
      <c r="B118" s="14" t="s">
        <v>35</v>
      </c>
      <c r="C118" s="178">
        <f>SUM(C109:C117)</f>
        <v>30763346</v>
      </c>
      <c r="D118" s="194">
        <f>SUM(D109:D117)</f>
        <v>6817708</v>
      </c>
      <c r="E118" s="178">
        <f>SUM(E109:E117)</f>
        <v>7750348</v>
      </c>
      <c r="F118" s="178">
        <f>SUM(F109:F117)</f>
        <v>45331402</v>
      </c>
    </row>
    <row r="119" spans="1:6" x14ac:dyDescent="0.2">
      <c r="C119" s="177"/>
      <c r="D119" s="177"/>
      <c r="E119" s="177"/>
    </row>
    <row r="120" spans="1:6" ht="15" thickBot="1" x14ac:dyDescent="0.25">
      <c r="B120" s="188" t="s">
        <v>921</v>
      </c>
      <c r="C120" s="53"/>
      <c r="D120" s="53"/>
      <c r="E120" s="195">
        <f>IF(F3="1",SUMIF(Data!A:A,$A$2,Data!AF:AF)+SUMIF(Data!A:A,$A$2,Data!AW:AW)+SUMIF(Data!A:A,$A$2,Data!BT:BT),0)</f>
        <v>1105361</v>
      </c>
      <c r="F120" s="181">
        <f>SUM(C120:E120)</f>
        <v>1105361</v>
      </c>
    </row>
    <row r="121" spans="1:6" s="177" customFormat="1" x14ac:dyDescent="0.2">
      <c r="B121" s="14" t="s">
        <v>35</v>
      </c>
      <c r="C121" s="178">
        <f>SUM(C120:C120)</f>
        <v>0</v>
      </c>
      <c r="D121" s="178">
        <f>SUM(D120:D120)</f>
        <v>0</v>
      </c>
      <c r="E121" s="178">
        <f>SUM(E120:E120)</f>
        <v>1105361</v>
      </c>
      <c r="F121" s="178">
        <f>SUM(F120:F120)</f>
        <v>1105361</v>
      </c>
    </row>
    <row r="122" spans="1:6" s="177" customFormat="1" ht="15" thickBot="1" x14ac:dyDescent="0.25">
      <c r="B122" s="14" t="s">
        <v>1396</v>
      </c>
      <c r="C122" s="178"/>
      <c r="D122" s="178"/>
      <c r="E122" s="178"/>
      <c r="F122" s="190">
        <f>F118+F121</f>
        <v>46436763</v>
      </c>
    </row>
    <row r="123" spans="1:6" ht="15" thickTop="1" x14ac:dyDescent="0.2">
      <c r="C123" s="74"/>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377</v>
      </c>
      <c r="B2" s="59" t="str">
        <f>VLOOKUP(A2,Data!A:G,7,0)</f>
        <v>Lee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51232</v>
      </c>
      <c r="E5" s="16">
        <f>E36+E67+IFERROR($E$105/$D$105*D5,0)</f>
        <v>316283.97021527367</v>
      </c>
      <c r="F5" s="21">
        <f>IFERROR(E5/D5,"")</f>
        <v>6.1735628165067471</v>
      </c>
    </row>
    <row r="6" spans="1:6" x14ac:dyDescent="0.2">
      <c r="A6" s="20">
        <v>2</v>
      </c>
      <c r="B6" s="202" t="s">
        <v>1</v>
      </c>
      <c r="C6" s="203"/>
      <c r="D6" s="15">
        <f t="shared" ref="D6:D32" si="0">D37</f>
        <v>127940</v>
      </c>
      <c r="E6" s="18">
        <f t="shared" ref="E6:E32" si="1">E37+E68+IFERROR($E$105/$D$105*D6,0)</f>
        <v>1708719.5014315685</v>
      </c>
      <c r="F6" s="22">
        <f t="shared" ref="F6:F33" si="2">IFERROR(E6/D6,"")</f>
        <v>13.355631557226578</v>
      </c>
    </row>
    <row r="7" spans="1:6" ht="14.25" customHeight="1" x14ac:dyDescent="0.2">
      <c r="A7" s="20">
        <v>3</v>
      </c>
      <c r="B7" s="202" t="s">
        <v>2</v>
      </c>
      <c r="C7" s="203"/>
      <c r="D7" s="15">
        <f t="shared" si="0"/>
        <v>410123</v>
      </c>
      <c r="E7" s="18">
        <f t="shared" si="1"/>
        <v>3446244.3241255209</v>
      </c>
      <c r="F7" s="22">
        <f t="shared" si="2"/>
        <v>8.4029530753591501</v>
      </c>
    </row>
    <row r="8" spans="1:6" ht="14.25" customHeight="1" x14ac:dyDescent="0.2">
      <c r="A8" s="20">
        <v>4</v>
      </c>
      <c r="B8" s="202" t="s">
        <v>3</v>
      </c>
      <c r="C8" s="203"/>
      <c r="D8" s="15">
        <f t="shared" si="0"/>
        <v>181763</v>
      </c>
      <c r="E8" s="18">
        <f t="shared" si="1"/>
        <v>1718247.9742199951</v>
      </c>
      <c r="F8" s="22">
        <f t="shared" si="2"/>
        <v>9.4532329143994929</v>
      </c>
    </row>
    <row r="9" spans="1:6" x14ac:dyDescent="0.2">
      <c r="A9" s="20">
        <v>5</v>
      </c>
      <c r="B9" s="202" t="s">
        <v>4</v>
      </c>
      <c r="C9" s="203"/>
      <c r="D9" s="15">
        <f t="shared" si="0"/>
        <v>11136</v>
      </c>
      <c r="E9" s="18">
        <f t="shared" si="1"/>
        <v>174218.9060805217</v>
      </c>
      <c r="F9" s="22">
        <f t="shared" si="2"/>
        <v>15.644657514414664</v>
      </c>
    </row>
    <row r="10" spans="1:6" x14ac:dyDescent="0.2">
      <c r="A10" s="20">
        <v>6</v>
      </c>
      <c r="B10" s="202" t="s">
        <v>5</v>
      </c>
      <c r="C10" s="203"/>
      <c r="D10" s="15">
        <f t="shared" si="0"/>
        <v>20408</v>
      </c>
      <c r="E10" s="18">
        <f t="shared" si="1"/>
        <v>204191.9083415308</v>
      </c>
      <c r="F10" s="22">
        <f t="shared" si="2"/>
        <v>10.00548355260343</v>
      </c>
    </row>
    <row r="11" spans="1:6" x14ac:dyDescent="0.2">
      <c r="A11" s="20">
        <v>7</v>
      </c>
      <c r="B11" s="202" t="s">
        <v>6</v>
      </c>
      <c r="C11" s="203"/>
      <c r="D11" s="15">
        <f t="shared" si="0"/>
        <v>126733</v>
      </c>
      <c r="E11" s="18">
        <f t="shared" si="1"/>
        <v>1401824.7343123883</v>
      </c>
      <c r="F11" s="22">
        <f t="shared" si="2"/>
        <v>11.061244776911998</v>
      </c>
    </row>
    <row r="12" spans="1:6" x14ac:dyDescent="0.2">
      <c r="A12" s="20">
        <v>8</v>
      </c>
      <c r="B12" s="202" t="s">
        <v>7</v>
      </c>
      <c r="C12" s="203"/>
      <c r="D12" s="15">
        <f t="shared" si="0"/>
        <v>83556</v>
      </c>
      <c r="E12" s="18">
        <f t="shared" si="1"/>
        <v>1135164.9332313281</v>
      </c>
      <c r="F12" s="22">
        <f t="shared" si="2"/>
        <v>13.585678266447989</v>
      </c>
    </row>
    <row r="13" spans="1:6" x14ac:dyDescent="0.2">
      <c r="A13" s="20">
        <v>9</v>
      </c>
      <c r="B13" s="202" t="s">
        <v>8</v>
      </c>
      <c r="C13" s="203"/>
      <c r="D13" s="15">
        <f t="shared" si="0"/>
        <v>206716</v>
      </c>
      <c r="E13" s="18">
        <f t="shared" si="1"/>
        <v>1588743.8830227302</v>
      </c>
      <c r="F13" s="22">
        <f t="shared" si="2"/>
        <v>7.6856357660884029</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206108</v>
      </c>
      <c r="E15" s="18">
        <f t="shared" si="1"/>
        <v>1794361.6697597133</v>
      </c>
      <c r="F15" s="22">
        <f t="shared" si="2"/>
        <v>8.7059292689255798</v>
      </c>
    </row>
    <row r="16" spans="1:6" ht="14.25" customHeight="1" x14ac:dyDescent="0.2">
      <c r="A16" s="20">
        <v>12</v>
      </c>
      <c r="B16" s="202" t="s">
        <v>11</v>
      </c>
      <c r="C16" s="203"/>
      <c r="D16" s="15">
        <f t="shared" si="0"/>
        <v>258684</v>
      </c>
      <c r="E16" s="18">
        <f t="shared" si="1"/>
        <v>2983957.1113984985</v>
      </c>
      <c r="F16" s="22">
        <f t="shared" si="2"/>
        <v>11.535143694231181</v>
      </c>
    </row>
    <row r="17" spans="1:6" x14ac:dyDescent="0.2">
      <c r="A17" s="20">
        <v>13</v>
      </c>
      <c r="B17" s="202" t="s">
        <v>12</v>
      </c>
      <c r="C17" s="203"/>
      <c r="D17" s="15">
        <f t="shared" si="0"/>
        <v>21624</v>
      </c>
      <c r="E17" s="18">
        <f t="shared" si="1"/>
        <v>304170.33486756479</v>
      </c>
      <c r="F17" s="22">
        <f t="shared" si="2"/>
        <v>14.066330691248835</v>
      </c>
    </row>
    <row r="18" spans="1:6" ht="14.25" customHeight="1" x14ac:dyDescent="0.2">
      <c r="A18" s="20">
        <v>14</v>
      </c>
      <c r="B18" s="202" t="s">
        <v>449</v>
      </c>
      <c r="C18" s="203"/>
      <c r="D18" s="15">
        <f t="shared" si="0"/>
        <v>152738</v>
      </c>
      <c r="E18" s="18">
        <f t="shared" si="1"/>
        <v>2216684.3871162646</v>
      </c>
      <c r="F18" s="22">
        <f t="shared" si="2"/>
        <v>14.512985551180876</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46695</v>
      </c>
      <c r="E20" s="18">
        <f t="shared" si="1"/>
        <v>597928.22256016172</v>
      </c>
      <c r="F20" s="22">
        <f t="shared" si="2"/>
        <v>12.804973178288076</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41267</v>
      </c>
      <c r="E22" s="18">
        <f t="shared" si="1"/>
        <v>489576.19362651662</v>
      </c>
      <c r="F22" s="22">
        <f t="shared" si="2"/>
        <v>11.863624533562328</v>
      </c>
    </row>
    <row r="23" spans="1:6" x14ac:dyDescent="0.2">
      <c r="A23" s="20">
        <v>19</v>
      </c>
      <c r="B23" s="202" t="s">
        <v>17</v>
      </c>
      <c r="C23" s="203"/>
      <c r="D23" s="15">
        <f t="shared" si="0"/>
        <v>107056</v>
      </c>
      <c r="E23" s="18">
        <f t="shared" si="1"/>
        <v>972323.05112754414</v>
      </c>
      <c r="F23" s="22">
        <f t="shared" si="2"/>
        <v>9.0823779248948604</v>
      </c>
    </row>
    <row r="24" spans="1:6" x14ac:dyDescent="0.2">
      <c r="A24" s="20">
        <v>20</v>
      </c>
      <c r="B24" s="202" t="s">
        <v>18</v>
      </c>
      <c r="C24" s="203"/>
      <c r="D24" s="15">
        <f t="shared" si="0"/>
        <v>20736</v>
      </c>
      <c r="E24" s="18">
        <f t="shared" si="1"/>
        <v>162662.2733913163</v>
      </c>
      <c r="F24" s="22">
        <f t="shared" si="2"/>
        <v>7.8444383387015959</v>
      </c>
    </row>
    <row r="25" spans="1:6" ht="14.25" customHeight="1" x14ac:dyDescent="0.2">
      <c r="A25" s="20">
        <v>21</v>
      </c>
      <c r="B25" s="202" t="s">
        <v>446</v>
      </c>
      <c r="C25" s="203"/>
      <c r="D25" s="15">
        <f t="shared" si="0"/>
        <v>39264</v>
      </c>
      <c r="E25" s="18">
        <f t="shared" si="1"/>
        <v>369225.77230114979</v>
      </c>
      <c r="F25" s="22">
        <f t="shared" si="2"/>
        <v>9.4036718699355593</v>
      </c>
    </row>
    <row r="26" spans="1:6" x14ac:dyDescent="0.2">
      <c r="A26" s="20">
        <v>22</v>
      </c>
      <c r="B26" s="202" t="s">
        <v>19</v>
      </c>
      <c r="C26" s="203"/>
      <c r="D26" s="15">
        <f t="shared" si="0"/>
        <v>21584</v>
      </c>
      <c r="E26" s="18">
        <f t="shared" si="1"/>
        <v>95112.070837103136</v>
      </c>
      <c r="F26" s="22">
        <f t="shared" si="2"/>
        <v>4.4066007615411014</v>
      </c>
    </row>
    <row r="27" spans="1:6" x14ac:dyDescent="0.2">
      <c r="A27" s="20">
        <v>23</v>
      </c>
      <c r="B27" s="202" t="s">
        <v>20</v>
      </c>
      <c r="C27" s="203"/>
      <c r="D27" s="15">
        <f t="shared" si="0"/>
        <v>46272</v>
      </c>
      <c r="E27" s="18">
        <f t="shared" si="1"/>
        <v>907400.23043802986</v>
      </c>
      <c r="F27" s="22">
        <f t="shared" si="2"/>
        <v>19.610136377032113</v>
      </c>
    </row>
    <row r="28" spans="1:6" x14ac:dyDescent="0.2">
      <c r="A28" s="20">
        <v>24</v>
      </c>
      <c r="B28" s="202" t="s">
        <v>21</v>
      </c>
      <c r="C28" s="203"/>
      <c r="D28" s="15">
        <f t="shared" si="0"/>
        <v>29616</v>
      </c>
      <c r="E28" s="18">
        <f t="shared" si="1"/>
        <v>214562.88815380126</v>
      </c>
      <c r="F28" s="22">
        <f t="shared" si="2"/>
        <v>7.2448300970354289</v>
      </c>
    </row>
    <row r="29" spans="1:6" x14ac:dyDescent="0.2">
      <c r="A29" s="20">
        <v>25</v>
      </c>
      <c r="B29" s="202" t="s">
        <v>22</v>
      </c>
      <c r="C29" s="203"/>
      <c r="D29" s="15">
        <f t="shared" si="0"/>
        <v>324416</v>
      </c>
      <c r="E29" s="18">
        <f t="shared" si="1"/>
        <v>2678900.7926561181</v>
      </c>
      <c r="F29" s="22">
        <f t="shared" si="2"/>
        <v>8.2576099596077821</v>
      </c>
    </row>
    <row r="30" spans="1:6" x14ac:dyDescent="0.2">
      <c r="A30" s="20">
        <v>26</v>
      </c>
      <c r="B30" s="202" t="s">
        <v>23</v>
      </c>
      <c r="C30" s="203"/>
      <c r="D30" s="15">
        <f t="shared" si="0"/>
        <v>126520</v>
      </c>
      <c r="E30" s="18">
        <f t="shared" si="1"/>
        <v>1453235.1283501801</v>
      </c>
      <c r="F30" s="22">
        <f t="shared" si="2"/>
        <v>11.486208728660925</v>
      </c>
    </row>
    <row r="31" spans="1:6" x14ac:dyDescent="0.2">
      <c r="A31" s="20">
        <v>28</v>
      </c>
      <c r="B31" s="202" t="s">
        <v>24</v>
      </c>
      <c r="C31" s="203"/>
      <c r="D31" s="15">
        <f t="shared" si="0"/>
        <v>118768</v>
      </c>
      <c r="E31" s="18">
        <f t="shared" si="1"/>
        <v>1033396.1592467135</v>
      </c>
      <c r="F31" s="22">
        <f t="shared" si="2"/>
        <v>8.7009645632385286</v>
      </c>
    </row>
    <row r="32" spans="1:6" ht="15.75" customHeight="1" thickBot="1" x14ac:dyDescent="0.25">
      <c r="A32" s="23">
        <v>29</v>
      </c>
      <c r="B32" s="206" t="s">
        <v>25</v>
      </c>
      <c r="C32" s="207"/>
      <c r="D32" s="24">
        <f t="shared" si="0"/>
        <v>107136</v>
      </c>
      <c r="E32" s="25">
        <f t="shared" si="1"/>
        <v>1043155.5791884675</v>
      </c>
      <c r="F32" s="26">
        <f t="shared" si="2"/>
        <v>9.7367418905733594</v>
      </c>
    </row>
    <row r="33" spans="1:6" x14ac:dyDescent="0.2">
      <c r="B33" s="31" t="s">
        <v>35</v>
      </c>
      <c r="C33" s="31"/>
      <c r="D33" s="60">
        <f>SUM(D5:D32)</f>
        <v>2888091</v>
      </c>
      <c r="E33" s="32">
        <f>SUM(E5:E32)</f>
        <v>29010292.000000004</v>
      </c>
      <c r="F33" s="33">
        <f t="shared" si="2"/>
        <v>10.04479844991034</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IF(F3="1",SUMIF(Data!A:A,'25'!$A$2,Data!CU:CU),0)</f>
        <v>51232</v>
      </c>
      <c r="E36" s="16">
        <f>IF(F3="1",SUMIF(Data!$A:$A,'25'!$A$2,Data!IO:IO),0)</f>
        <v>24463</v>
      </c>
      <c r="F36" s="21">
        <f t="shared" ref="F36:F64" si="3">IFERROR(E36/D36,"")</f>
        <v>0.47749453466583386</v>
      </c>
    </row>
    <row r="37" spans="1:6" x14ac:dyDescent="0.2">
      <c r="A37" s="20">
        <v>2</v>
      </c>
      <c r="B37" s="202" t="s">
        <v>1</v>
      </c>
      <c r="C37" s="203"/>
      <c r="D37" s="15">
        <f>IF(F3="1",SUMIF(Data!A:A,'25'!$A$2,Data!CV:CV),0)</f>
        <v>127940</v>
      </c>
      <c r="E37" s="18">
        <f>IF(F3="1",SUMIF(Data!$A:$A,'25'!$A$2,Data!IP:IP),0)</f>
        <v>310642</v>
      </c>
      <c r="F37" s="22">
        <f t="shared" si="3"/>
        <v>2.4280287634828825</v>
      </c>
    </row>
    <row r="38" spans="1:6" ht="14.25" customHeight="1" x14ac:dyDescent="0.2">
      <c r="A38" s="20">
        <v>3</v>
      </c>
      <c r="B38" s="202" t="s">
        <v>2</v>
      </c>
      <c r="C38" s="203"/>
      <c r="D38" s="15">
        <f>IF(F3="1",SUMIF(Data!A:A,'25'!$A$2,Data!CW:CW),0)</f>
        <v>410123</v>
      </c>
      <c r="E38" s="18">
        <f>IF(F3="1",SUMIF(Data!$A:$A,'25'!$A$2,Data!IQ:IQ),0)</f>
        <v>441622</v>
      </c>
      <c r="F38" s="22">
        <f t="shared" si="3"/>
        <v>1.0768037881318531</v>
      </c>
    </row>
    <row r="39" spans="1:6" ht="14.25" customHeight="1" x14ac:dyDescent="0.2">
      <c r="A39" s="20">
        <v>4</v>
      </c>
      <c r="B39" s="202" t="s">
        <v>3</v>
      </c>
      <c r="C39" s="203"/>
      <c r="D39" s="15">
        <f>IF(F3="1",SUMIF(Data!A:A,'25'!$A$2,Data!CX:CX),0)</f>
        <v>181763</v>
      </c>
      <c r="E39" s="18">
        <f>IF(F3="1",SUMIF(Data!$A:$A,'25'!$A$2,Data!IR:IR),0)</f>
        <v>255993</v>
      </c>
      <c r="F39" s="22">
        <f t="shared" si="3"/>
        <v>1.4083889460451247</v>
      </c>
    </row>
    <row r="40" spans="1:6" x14ac:dyDescent="0.2">
      <c r="A40" s="20">
        <v>5</v>
      </c>
      <c r="B40" s="202" t="s">
        <v>4</v>
      </c>
      <c r="C40" s="203"/>
      <c r="D40" s="15">
        <f>IF(F3="1",SUMIF(Data!A:A,'25'!$A$2,Data!CY:CY),0)</f>
        <v>11136</v>
      </c>
      <c r="E40" s="18">
        <f>IF(F3="1",SUMIF(Data!$A:$A,'25'!$A$2,Data!IS:IS),0)</f>
        <v>114452</v>
      </c>
      <c r="F40" s="22">
        <f t="shared" si="3"/>
        <v>10.277658045977011</v>
      </c>
    </row>
    <row r="41" spans="1:6" x14ac:dyDescent="0.2">
      <c r="A41" s="20">
        <v>6</v>
      </c>
      <c r="B41" s="202" t="s">
        <v>5</v>
      </c>
      <c r="C41" s="203"/>
      <c r="D41" s="15">
        <f>IF(F3="1",SUMIF(Data!A:A,'25'!$A$2,Data!CZ:CZ),0)</f>
        <v>20408</v>
      </c>
      <c r="E41" s="18">
        <f>IF(F3="1",SUMIF(Data!$A:$A,'25'!$A$2,Data!IT:IT),0)</f>
        <v>33424</v>
      </c>
      <c r="F41" s="22">
        <f t="shared" si="3"/>
        <v>1.6377891023128186</v>
      </c>
    </row>
    <row r="42" spans="1:6" x14ac:dyDescent="0.2">
      <c r="A42" s="20">
        <v>7</v>
      </c>
      <c r="B42" s="202" t="s">
        <v>6</v>
      </c>
      <c r="C42" s="203"/>
      <c r="D42" s="15">
        <f>IF(F3="1",SUMIF(Data!A:A,'25'!$A$2,Data!DA:DA),0)</f>
        <v>126733</v>
      </c>
      <c r="E42" s="18">
        <f>IF(F3="1",SUMIF(Data!$A:$A,'25'!$A$2,Data!IU:IU),0)</f>
        <v>247550</v>
      </c>
      <c r="F42" s="22">
        <f t="shared" si="3"/>
        <v>1.9533191828489818</v>
      </c>
    </row>
    <row r="43" spans="1:6" x14ac:dyDescent="0.2">
      <c r="A43" s="20">
        <v>8</v>
      </c>
      <c r="B43" s="202" t="s">
        <v>7</v>
      </c>
      <c r="C43" s="203"/>
      <c r="D43" s="15">
        <f>IF(F3="1",SUMIF(Data!A:A,'25'!$A$2,Data!DB:DB),0)</f>
        <v>83556</v>
      </c>
      <c r="E43" s="18">
        <f>IF(F3="1",SUMIF(Data!$A:$A,'25'!$A$2,Data!IV:IV),0)</f>
        <v>267545</v>
      </c>
      <c r="F43" s="22">
        <f t="shared" si="3"/>
        <v>3.2019842979558621</v>
      </c>
    </row>
    <row r="44" spans="1:6" x14ac:dyDescent="0.2">
      <c r="A44" s="20">
        <v>9</v>
      </c>
      <c r="B44" s="202" t="s">
        <v>8</v>
      </c>
      <c r="C44" s="203"/>
      <c r="D44" s="15">
        <f>IF(F3="1",SUMIF(Data!A:A,'25'!$A$2,Data!DC:DC),0)</f>
        <v>206716</v>
      </c>
      <c r="E44" s="18">
        <f>IF(F3="1",SUMIF(Data!$A:$A,'25'!$A$2,Data!IW:IW),0)</f>
        <v>174347</v>
      </c>
      <c r="F44" s="22">
        <f t="shared" si="3"/>
        <v>0.84341318523965247</v>
      </c>
    </row>
    <row r="45" spans="1:6" x14ac:dyDescent="0.2">
      <c r="A45" s="20">
        <v>10</v>
      </c>
      <c r="B45" s="202" t="s">
        <v>9</v>
      </c>
      <c r="C45" s="203"/>
      <c r="D45" s="15">
        <f>IF(F3="1",SUMIF(Data!A:A,'25'!$A$2,Data!DD:DD),0)</f>
        <v>0</v>
      </c>
      <c r="E45" s="18">
        <f>IF(F3="1",SUMIF(Data!$A:$A,'25'!$A$2,Data!IX:IX),0)</f>
        <v>0</v>
      </c>
      <c r="F45" s="22" t="str">
        <f t="shared" si="3"/>
        <v/>
      </c>
    </row>
    <row r="46" spans="1:6" x14ac:dyDescent="0.2">
      <c r="A46" s="20">
        <v>11</v>
      </c>
      <c r="B46" s="202" t="s">
        <v>10</v>
      </c>
      <c r="C46" s="203"/>
      <c r="D46" s="15">
        <f>IF(F3="1",SUMIF(Data!A:A,'25'!$A$2,Data!DE:DE),0)</f>
        <v>206108</v>
      </c>
      <c r="E46" s="18">
        <f>IF(F3="1",SUMIF(Data!$A:$A,'25'!$A$2,Data!IY:IY),0)</f>
        <v>168482</v>
      </c>
      <c r="F46" s="22">
        <f t="shared" si="3"/>
        <v>0.81744522289285226</v>
      </c>
    </row>
    <row r="47" spans="1:6" ht="14.25" customHeight="1" x14ac:dyDescent="0.2">
      <c r="A47" s="20">
        <v>12</v>
      </c>
      <c r="B47" s="202" t="s">
        <v>11</v>
      </c>
      <c r="C47" s="203"/>
      <c r="D47" s="15">
        <f>IF(F3="1",SUMIF(Data!A:A,'25'!$A$2,Data!DF:DF),0)</f>
        <v>258684</v>
      </c>
      <c r="E47" s="18">
        <f>IF(F3="1",SUMIF(Data!$A:$A,'25'!$A$2,Data!IZ:IZ),0)</f>
        <v>411589</v>
      </c>
      <c r="F47" s="22">
        <f t="shared" si="3"/>
        <v>1.5910879683320189</v>
      </c>
    </row>
    <row r="48" spans="1:6" x14ac:dyDescent="0.2">
      <c r="A48" s="20">
        <v>13</v>
      </c>
      <c r="B48" s="202" t="s">
        <v>12</v>
      </c>
      <c r="C48" s="203"/>
      <c r="D48" s="15">
        <f>IF(F3="1",SUMIF(Data!A:A,'25'!$A$2,Data!DG:DG),0)</f>
        <v>21624</v>
      </c>
      <c r="E48" s="18">
        <f>IF(F3="1",SUMIF(Data!$A:$A,'25'!$A$2,Data!JA:JA),0)</f>
        <v>35157</v>
      </c>
      <c r="F48" s="22">
        <f t="shared" si="3"/>
        <v>1.6258324084350722</v>
      </c>
    </row>
    <row r="49" spans="1:6" ht="14.25" customHeight="1" x14ac:dyDescent="0.2">
      <c r="A49" s="20">
        <v>14</v>
      </c>
      <c r="B49" s="202" t="s">
        <v>449</v>
      </c>
      <c r="C49" s="203"/>
      <c r="D49" s="15">
        <f>IF(F3="1",SUMIF(Data!A:A,'25'!$A$2,Data!DH:DH),0)</f>
        <v>152738</v>
      </c>
      <c r="E49" s="18">
        <f>IF(F3="1",SUMIF(Data!$A:$A,'25'!$A$2,Data!JB:JB),0)</f>
        <v>599912</v>
      </c>
      <c r="F49" s="22">
        <f t="shared" si="3"/>
        <v>3.9277193625685816</v>
      </c>
    </row>
    <row r="50" spans="1:6" x14ac:dyDescent="0.2">
      <c r="A50" s="20">
        <v>15</v>
      </c>
      <c r="B50" s="202" t="s">
        <v>13</v>
      </c>
      <c r="C50" s="203"/>
      <c r="D50" s="15">
        <f>IF(F3="1",SUMIF(Data!A:A,'25'!$A$2,Data!DI:DI),0)</f>
        <v>0</v>
      </c>
      <c r="E50" s="18">
        <f>IF(F3="1",SUMIF(Data!$A:$A,'25'!$A$2,Data!JC:JC),0)</f>
        <v>0</v>
      </c>
      <c r="F50" s="22" t="str">
        <f t="shared" si="3"/>
        <v/>
      </c>
    </row>
    <row r="51" spans="1:6" x14ac:dyDescent="0.2">
      <c r="A51" s="20">
        <v>16</v>
      </c>
      <c r="B51" s="202" t="s">
        <v>14</v>
      </c>
      <c r="C51" s="203"/>
      <c r="D51" s="15">
        <f>IF(F3="1",SUMIF(Data!A:A,'25'!$A$2,Data!DJ:DJ),0)</f>
        <v>46695</v>
      </c>
      <c r="E51" s="18">
        <f>IF(F3="1",SUMIF(Data!$A:$A,'25'!$A$2,Data!JD:JD),0)</f>
        <v>71595</v>
      </c>
      <c r="F51" s="22">
        <f t="shared" si="3"/>
        <v>1.5332476710568583</v>
      </c>
    </row>
    <row r="52" spans="1:6" x14ac:dyDescent="0.2">
      <c r="A52" s="20">
        <v>17</v>
      </c>
      <c r="B52" s="202" t="s">
        <v>15</v>
      </c>
      <c r="C52" s="203"/>
      <c r="D52" s="15">
        <f>IF(F3="1",SUMIF(Data!A:A,'25'!$A$2,Data!DK:DK),0)</f>
        <v>0</v>
      </c>
      <c r="E52" s="18">
        <f>IF(F3="1",SUMIF(Data!$A:$A,'25'!$A$2,Data!JE:JE),0)</f>
        <v>0</v>
      </c>
      <c r="F52" s="22" t="str">
        <f t="shared" si="3"/>
        <v/>
      </c>
    </row>
    <row r="53" spans="1:6" x14ac:dyDescent="0.2">
      <c r="A53" s="20">
        <v>18</v>
      </c>
      <c r="B53" s="202" t="s">
        <v>16</v>
      </c>
      <c r="C53" s="203"/>
      <c r="D53" s="15">
        <f>IF(F3="1",SUMIF(Data!A:A,'25'!$A$2,Data!DL:DL),0)</f>
        <v>41267</v>
      </c>
      <c r="E53" s="18">
        <f>IF(F3="1",SUMIF(Data!$A:$A,'25'!$A$2,Data!JF:JF),0)</f>
        <v>53943</v>
      </c>
      <c r="F53" s="22">
        <f t="shared" si="3"/>
        <v>1.3071703782683499</v>
      </c>
    </row>
    <row r="54" spans="1:6" x14ac:dyDescent="0.2">
      <c r="A54" s="20">
        <v>19</v>
      </c>
      <c r="B54" s="202" t="s">
        <v>17</v>
      </c>
      <c r="C54" s="203"/>
      <c r="D54" s="15">
        <f>IF(F3="1",SUMIF(Data!A:A,'25'!$A$2,Data!DM:DM),0)</f>
        <v>107056</v>
      </c>
      <c r="E54" s="18">
        <f>IF(F3="1",SUMIF(Data!$A:$A,'25'!$A$2,Data!JG:JG),0)</f>
        <v>132918</v>
      </c>
      <c r="F54" s="22">
        <f t="shared" si="3"/>
        <v>1.241574503063817</v>
      </c>
    </row>
    <row r="55" spans="1:6" x14ac:dyDescent="0.2">
      <c r="A55" s="20">
        <v>20</v>
      </c>
      <c r="B55" s="202" t="s">
        <v>18</v>
      </c>
      <c r="C55" s="203"/>
      <c r="D55" s="15">
        <f>IF(F3="1",SUMIF(Data!A:A,'25'!$A$2,Data!DN:DN),0)</f>
        <v>20736</v>
      </c>
      <c r="E55" s="18">
        <f>IF(F3="1",SUMIF(Data!$A:$A,'25'!$A$2,Data!JH:JH),0)</f>
        <v>11556</v>
      </c>
      <c r="F55" s="22">
        <f t="shared" si="3"/>
        <v>0.55729166666666663</v>
      </c>
    </row>
    <row r="56" spans="1:6" ht="14.25" customHeight="1" x14ac:dyDescent="0.2">
      <c r="A56" s="20">
        <v>21</v>
      </c>
      <c r="B56" s="202" t="s">
        <v>446</v>
      </c>
      <c r="C56" s="203"/>
      <c r="D56" s="15">
        <f>IF(F3="1",SUMIF(Data!A:A,'25'!$A$2,Data!DO:DO),0)</f>
        <v>39264</v>
      </c>
      <c r="E56" s="18">
        <f>IF(F3="1",SUMIF(Data!$A:$A,'25'!$A$2,Data!JI:JI),0)</f>
        <v>46692</v>
      </c>
      <c r="F56" s="22">
        <f t="shared" si="3"/>
        <v>1.1891809290953546</v>
      </c>
    </row>
    <row r="57" spans="1:6" x14ac:dyDescent="0.2">
      <c r="A57" s="20">
        <v>22</v>
      </c>
      <c r="B57" s="202" t="s">
        <v>19</v>
      </c>
      <c r="C57" s="203"/>
      <c r="D57" s="15">
        <f>IF(F3="1",SUMIF(Data!A:A,'25'!$A$2,Data!DP:DP),0)</f>
        <v>21584</v>
      </c>
      <c r="E57" s="18">
        <f>IF(F3="1",SUMIF(Data!$A:$A,'25'!$A$2,Data!JJ:JJ),0)</f>
        <v>0</v>
      </c>
      <c r="F57" s="22">
        <f t="shared" si="3"/>
        <v>0</v>
      </c>
    </row>
    <row r="58" spans="1:6" x14ac:dyDescent="0.2">
      <c r="A58" s="20">
        <v>23</v>
      </c>
      <c r="B58" s="202" t="s">
        <v>20</v>
      </c>
      <c r="C58" s="203"/>
      <c r="D58" s="15">
        <f>IF(F3="1",SUMIF(Data!A:A,'25'!$A$2,Data!DQ:DQ),0)</f>
        <v>46272</v>
      </c>
      <c r="E58" s="18">
        <f>IF(F3="1",SUMIF(Data!$A:$A,'25'!$A$2,Data!JK:JK),0)</f>
        <v>287734</v>
      </c>
      <c r="F58" s="22">
        <f t="shared" si="3"/>
        <v>6.2183177731673585</v>
      </c>
    </row>
    <row r="59" spans="1:6" x14ac:dyDescent="0.2">
      <c r="A59" s="20">
        <v>24</v>
      </c>
      <c r="B59" s="202" t="s">
        <v>21</v>
      </c>
      <c r="C59" s="203"/>
      <c r="D59" s="15">
        <f>IF(F3="1",SUMIF(Data!A:A,'25'!$A$2,Data!DR:DR),0)</f>
        <v>29616</v>
      </c>
      <c r="E59" s="18">
        <f>IF(F3="1",SUMIF(Data!$A:$A,'25'!$A$2,Data!JL:JL),0)</f>
        <v>12709</v>
      </c>
      <c r="F59" s="22">
        <f t="shared" si="3"/>
        <v>0.4291261480280929</v>
      </c>
    </row>
    <row r="60" spans="1:6" x14ac:dyDescent="0.2">
      <c r="A60" s="20">
        <v>25</v>
      </c>
      <c r="B60" s="202" t="s">
        <v>22</v>
      </c>
      <c r="C60" s="203"/>
      <c r="D60" s="15">
        <f>IF(F3="1",SUMIF(Data!A:A,'25'!$A$2,Data!DS:DS),0)</f>
        <v>324416</v>
      </c>
      <c r="E60" s="18">
        <f>IF(F3="1",SUMIF(Data!$A:$A,'25'!$A$2,Data!JM:JM),0)</f>
        <v>196940</v>
      </c>
      <c r="F60" s="22">
        <f t="shared" si="3"/>
        <v>0.60706007101992498</v>
      </c>
    </row>
    <row r="61" spans="1:6" x14ac:dyDescent="0.2">
      <c r="A61" s="20">
        <v>26</v>
      </c>
      <c r="B61" s="202" t="s">
        <v>23</v>
      </c>
      <c r="C61" s="203"/>
      <c r="D61" s="15">
        <f>IF(F3="1",SUMIF(Data!A:A,'25'!$A$2,Data!DT:DT),0)</f>
        <v>126520</v>
      </c>
      <c r="E61" s="18">
        <f>IF(F3="1",SUMIF(Data!$A:$A,'25'!$A$2,Data!JN:JN),0)</f>
        <v>250410</v>
      </c>
      <c r="F61" s="22">
        <f t="shared" si="3"/>
        <v>1.9792127726841606</v>
      </c>
    </row>
    <row r="62" spans="1:6" x14ac:dyDescent="0.2">
      <c r="A62" s="20">
        <v>28</v>
      </c>
      <c r="B62" s="202" t="s">
        <v>24</v>
      </c>
      <c r="C62" s="203"/>
      <c r="D62" s="15">
        <f>IF(F3="1",SUMIF(Data!A:A,'25'!$A$2,Data!DV:DV),0)</f>
        <v>118768</v>
      </c>
      <c r="E62" s="18">
        <f>IF(F3="1",SUMIF(Data!$A:$A,'25'!$A$2,Data!JP:JP),0)</f>
        <v>95446</v>
      </c>
      <c r="F62" s="22">
        <f t="shared" si="3"/>
        <v>0.8036339754816112</v>
      </c>
    </row>
    <row r="63" spans="1:6" ht="15.75" customHeight="1" thickBot="1" x14ac:dyDescent="0.25">
      <c r="A63" s="23">
        <v>29</v>
      </c>
      <c r="B63" s="206" t="s">
        <v>25</v>
      </c>
      <c r="C63" s="207"/>
      <c r="D63" s="24">
        <f>IF(F3="1",SUMIF(Data!A:A,'25'!$A$2,Data!DW:DW),0)</f>
        <v>107136</v>
      </c>
      <c r="E63" s="25">
        <f>IF(F3="1",SUMIF(Data!$A:$A,'25'!$A$2,Data!JQ:JQ),0)</f>
        <v>104285</v>
      </c>
      <c r="F63" s="26">
        <f t="shared" si="3"/>
        <v>0.97338896356033455</v>
      </c>
    </row>
    <row r="64" spans="1:6" x14ac:dyDescent="0.2">
      <c r="B64" s="31" t="s">
        <v>35</v>
      </c>
      <c r="C64" s="31"/>
      <c r="D64" s="60">
        <f>SUM(D36:D63)</f>
        <v>2888091</v>
      </c>
      <c r="E64" s="32">
        <f>SUM(E36:E63)</f>
        <v>4349406</v>
      </c>
      <c r="F64" s="33">
        <f t="shared" si="3"/>
        <v>1.5059795553533459</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51232</v>
      </c>
      <c r="E67" s="16">
        <f>IF(F3="1",SUMIF(Data!A:A,'25'!$A$2,Data!DY:DY),0)</f>
        <v>66062</v>
      </c>
      <c r="F67" s="21">
        <f>IFERROR(E67/D67,"")</f>
        <v>1.2894675202998127</v>
      </c>
    </row>
    <row r="68" spans="1:6" x14ac:dyDescent="0.2">
      <c r="A68" s="20">
        <v>2</v>
      </c>
      <c r="B68" s="202" t="s">
        <v>1</v>
      </c>
      <c r="C68" s="203"/>
      <c r="D68" s="15">
        <f t="shared" ref="D68:D94" si="4">D37</f>
        <v>127940</v>
      </c>
      <c r="E68" s="18">
        <f>IF(F3="1",SUMIF(Data!A:A,'25'!$A$2,Data!DZ:DZ),0)</f>
        <v>834297</v>
      </c>
      <c r="F68" s="22">
        <f t="shared" ref="F68:F95" si="5">IFERROR(E68/D68,"")</f>
        <v>6.5210020322025946</v>
      </c>
    </row>
    <row r="69" spans="1:6" ht="14.25" customHeight="1" x14ac:dyDescent="0.2">
      <c r="A69" s="20">
        <v>3</v>
      </c>
      <c r="B69" s="202" t="s">
        <v>2</v>
      </c>
      <c r="C69" s="203"/>
      <c r="D69" s="15">
        <f t="shared" si="4"/>
        <v>410123</v>
      </c>
      <c r="E69" s="18">
        <f>IF(F3="1",SUMIF(Data!A:A,'25'!$A$2,Data!EA:EA),0)</f>
        <v>1197374</v>
      </c>
      <c r="F69" s="22">
        <f t="shared" si="5"/>
        <v>2.9195485256861966</v>
      </c>
    </row>
    <row r="70" spans="1:6" ht="14.25" customHeight="1" x14ac:dyDescent="0.2">
      <c r="A70" s="20">
        <v>4</v>
      </c>
      <c r="B70" s="202" t="s">
        <v>3</v>
      </c>
      <c r="C70" s="203"/>
      <c r="D70" s="15">
        <f t="shared" si="4"/>
        <v>181763</v>
      </c>
      <c r="E70" s="18">
        <f>IF(F3="1",SUMIF(Data!A:A,'25'!$A$2,Data!EB:EB),0)</f>
        <v>661298</v>
      </c>
      <c r="F70" s="22">
        <f t="shared" si="5"/>
        <v>3.638243206813268</v>
      </c>
    </row>
    <row r="71" spans="1:6" x14ac:dyDescent="0.2">
      <c r="A71" s="20">
        <v>5</v>
      </c>
      <c r="B71" s="202" t="s">
        <v>4</v>
      </c>
      <c r="C71" s="203"/>
      <c r="D71" s="15">
        <f t="shared" si="4"/>
        <v>11136</v>
      </c>
      <c r="E71" s="18">
        <f>IF(F3="1",SUMIF(Data!A:A,'25'!$A$2,Data!EC:EC),0)</f>
        <v>10695</v>
      </c>
      <c r="F71" s="22">
        <f t="shared" si="5"/>
        <v>0.96039870689655171</v>
      </c>
    </row>
    <row r="72" spans="1:6" x14ac:dyDescent="0.2">
      <c r="A72" s="20">
        <v>6</v>
      </c>
      <c r="B72" s="202" t="s">
        <v>5</v>
      </c>
      <c r="C72" s="203"/>
      <c r="D72" s="15">
        <f t="shared" si="4"/>
        <v>20408</v>
      </c>
      <c r="E72" s="18">
        <f>IF(F3="1",SUMIF(Data!A:A,'25'!$A$2,Data!ED:ED),0)</f>
        <v>80838</v>
      </c>
      <c r="F72" s="22">
        <f t="shared" si="5"/>
        <v>3.9610936887495098</v>
      </c>
    </row>
    <row r="73" spans="1:6" x14ac:dyDescent="0.2">
      <c r="A73" s="20">
        <v>7</v>
      </c>
      <c r="B73" s="202" t="s">
        <v>6</v>
      </c>
      <c r="C73" s="203"/>
      <c r="D73" s="15">
        <f t="shared" si="4"/>
        <v>126733</v>
      </c>
      <c r="E73" s="18">
        <f>IF(F3="1",SUMIF(Data!A:A,'25'!$A$2,Data!EE:EE),0)</f>
        <v>595813</v>
      </c>
      <c r="F73" s="22">
        <f t="shared" si="5"/>
        <v>4.7013248325219159</v>
      </c>
    </row>
    <row r="74" spans="1:6" x14ac:dyDescent="0.2">
      <c r="A74" s="20">
        <v>8</v>
      </c>
      <c r="B74" s="202" t="s">
        <v>7</v>
      </c>
      <c r="C74" s="203"/>
      <c r="D74" s="15">
        <f t="shared" si="4"/>
        <v>83556</v>
      </c>
      <c r="E74" s="18">
        <f>IF(F3="1",SUMIF(Data!A:A,'25'!$A$2,Data!EF:EF),0)</f>
        <v>499422</v>
      </c>
      <c r="F74" s="22">
        <f t="shared" si="5"/>
        <v>5.977093206951027</v>
      </c>
    </row>
    <row r="75" spans="1:6" x14ac:dyDescent="0.2">
      <c r="A75" s="20">
        <v>9</v>
      </c>
      <c r="B75" s="202" t="s">
        <v>8</v>
      </c>
      <c r="C75" s="203"/>
      <c r="D75" s="15">
        <f t="shared" si="4"/>
        <v>206716</v>
      </c>
      <c r="E75" s="18">
        <f>IF(F3="1",SUMIF(Data!A:A,'25'!$A$2,Data!EG:EG),0)</f>
        <v>503482</v>
      </c>
      <c r="F75" s="22">
        <f t="shared" si="5"/>
        <v>2.4356218193076491</v>
      </c>
    </row>
    <row r="76" spans="1:6" x14ac:dyDescent="0.2">
      <c r="A76" s="20">
        <v>10</v>
      </c>
      <c r="B76" s="202" t="s">
        <v>9</v>
      </c>
      <c r="C76" s="203"/>
      <c r="D76" s="15">
        <f t="shared" si="4"/>
        <v>0</v>
      </c>
      <c r="E76" s="18">
        <f>IF(F3="1",SUMIF(Data!A:A,'25'!$A$2,Data!EH:EH),0)</f>
        <v>0</v>
      </c>
      <c r="F76" s="22" t="str">
        <f t="shared" si="5"/>
        <v/>
      </c>
    </row>
    <row r="77" spans="1:6" x14ac:dyDescent="0.2">
      <c r="A77" s="20">
        <v>11</v>
      </c>
      <c r="B77" s="202" t="s">
        <v>10</v>
      </c>
      <c r="C77" s="203"/>
      <c r="D77" s="15">
        <f t="shared" si="4"/>
        <v>206108</v>
      </c>
      <c r="E77" s="18">
        <f>IF(F3="1",SUMIF(Data!A:A,'25'!$A$2,Data!EI:EI),0)</f>
        <v>717644</v>
      </c>
      <c r="F77" s="22">
        <f t="shared" si="5"/>
        <v>3.4818832844916257</v>
      </c>
    </row>
    <row r="78" spans="1:6" ht="14.25" customHeight="1" x14ac:dyDescent="0.2">
      <c r="A78" s="20">
        <v>12</v>
      </c>
      <c r="B78" s="202" t="s">
        <v>11</v>
      </c>
      <c r="C78" s="203"/>
      <c r="D78" s="15">
        <f t="shared" si="4"/>
        <v>258684</v>
      </c>
      <c r="E78" s="18">
        <f>IF(F3="1",SUMIF(Data!A:A,'25'!$A$2,Data!EJ:EJ),0)</f>
        <v>1432451</v>
      </c>
      <c r="F78" s="22">
        <f t="shared" si="5"/>
        <v>5.5374549643580586</v>
      </c>
    </row>
    <row r="79" spans="1:6" x14ac:dyDescent="0.2">
      <c r="A79" s="20">
        <v>13</v>
      </c>
      <c r="B79" s="202" t="s">
        <v>12</v>
      </c>
      <c r="C79" s="203"/>
      <c r="D79" s="15">
        <f t="shared" si="4"/>
        <v>21624</v>
      </c>
      <c r="E79" s="18">
        <f>IF(F3="1",SUMIF(Data!A:A,'25'!$A$2,Data!EK:EK),0)</f>
        <v>173725</v>
      </c>
      <c r="F79" s="22">
        <f t="shared" si="5"/>
        <v>8.0338975212726602</v>
      </c>
    </row>
    <row r="80" spans="1:6" ht="14.25" customHeight="1" x14ac:dyDescent="0.2">
      <c r="A80" s="20">
        <v>14</v>
      </c>
      <c r="B80" s="202" t="s">
        <v>449</v>
      </c>
      <c r="C80" s="203"/>
      <c r="D80" s="15">
        <f t="shared" si="4"/>
        <v>152738</v>
      </c>
      <c r="E80" s="18">
        <f>IF(F3="1",SUMIF(Data!A:A,'25'!$A$2,Data!EL:EL),0)</f>
        <v>943717</v>
      </c>
      <c r="F80" s="22">
        <f t="shared" si="5"/>
        <v>6.178665427071194</v>
      </c>
    </row>
    <row r="81" spans="1:6" x14ac:dyDescent="0.2">
      <c r="A81" s="20">
        <v>15</v>
      </c>
      <c r="B81" s="202" t="s">
        <v>13</v>
      </c>
      <c r="C81" s="203"/>
      <c r="D81" s="15">
        <f t="shared" si="4"/>
        <v>0</v>
      </c>
      <c r="E81" s="18">
        <f>IF(F3="1",SUMIF(Data!A:A,'25'!$A$2,Data!EM:EM),0)</f>
        <v>0</v>
      </c>
      <c r="F81" s="22" t="str">
        <f t="shared" si="5"/>
        <v/>
      </c>
    </row>
    <row r="82" spans="1:6" x14ac:dyDescent="0.2">
      <c r="A82" s="20">
        <v>16</v>
      </c>
      <c r="B82" s="202" t="s">
        <v>14</v>
      </c>
      <c r="C82" s="203"/>
      <c r="D82" s="15">
        <f t="shared" si="4"/>
        <v>46695</v>
      </c>
      <c r="E82" s="18">
        <f>IF(F3="1",SUMIF(Data!A:A,'25'!$A$2,Data!EN:EN),0)</f>
        <v>320567</v>
      </c>
      <c r="F82" s="22">
        <f t="shared" si="5"/>
        <v>6.8651247456901165</v>
      </c>
    </row>
    <row r="83" spans="1:6" x14ac:dyDescent="0.2">
      <c r="A83" s="20">
        <v>17</v>
      </c>
      <c r="B83" s="202" t="s">
        <v>15</v>
      </c>
      <c r="C83" s="203"/>
      <c r="D83" s="15">
        <f t="shared" si="4"/>
        <v>0</v>
      </c>
      <c r="E83" s="18">
        <f>IF(F3="1",SUMIF(Data!A:A,'25'!$A$2,Data!EO:EO),0)</f>
        <v>0</v>
      </c>
      <c r="F83" s="22" t="str">
        <f t="shared" si="5"/>
        <v/>
      </c>
    </row>
    <row r="84" spans="1:6" x14ac:dyDescent="0.2">
      <c r="A84" s="20">
        <v>18</v>
      </c>
      <c r="B84" s="202" t="s">
        <v>16</v>
      </c>
      <c r="C84" s="203"/>
      <c r="D84" s="15">
        <f t="shared" si="4"/>
        <v>41267</v>
      </c>
      <c r="E84" s="18">
        <f>IF(F3="1",SUMIF(Data!A:A,'25'!$A$2,Data!EP:EP),0)</f>
        <v>253786</v>
      </c>
      <c r="F84" s="22">
        <f t="shared" si="5"/>
        <v>6.1498533937528777</v>
      </c>
    </row>
    <row r="85" spans="1:6" x14ac:dyDescent="0.2">
      <c r="A85" s="20">
        <v>19</v>
      </c>
      <c r="B85" s="202" t="s">
        <v>17</v>
      </c>
      <c r="C85" s="203"/>
      <c r="D85" s="15">
        <f t="shared" si="4"/>
        <v>107056</v>
      </c>
      <c r="E85" s="18">
        <f>IF(F3="1",SUMIF(Data!A:A,'25'!$A$2,Data!EQ:EQ),0)</f>
        <v>367652</v>
      </c>
      <c r="F85" s="22">
        <f t="shared" si="5"/>
        <v>3.4342026602899418</v>
      </c>
    </row>
    <row r="86" spans="1:6" x14ac:dyDescent="0.2">
      <c r="A86" s="20">
        <v>20</v>
      </c>
      <c r="B86" s="202" t="s">
        <v>18</v>
      </c>
      <c r="C86" s="203"/>
      <c r="D86" s="15">
        <f t="shared" si="4"/>
        <v>20736</v>
      </c>
      <c r="E86" s="18">
        <f>IF(F3="1",SUMIF(Data!A:A,'25'!$A$2,Data!ER:ER),0)</f>
        <v>59731</v>
      </c>
      <c r="F86" s="22">
        <f t="shared" si="5"/>
        <v>2.8805459104938271</v>
      </c>
    </row>
    <row r="87" spans="1:6" ht="14.25" customHeight="1" x14ac:dyDescent="0.2">
      <c r="A87" s="20">
        <v>21</v>
      </c>
      <c r="B87" s="202" t="s">
        <v>446</v>
      </c>
      <c r="C87" s="203"/>
      <c r="D87" s="15">
        <f t="shared" si="4"/>
        <v>39264</v>
      </c>
      <c r="E87" s="18">
        <f>IF(F3="1",SUMIF(Data!A:A,'25'!$A$2,Data!ES:ES),0)</f>
        <v>149513</v>
      </c>
      <c r="F87" s="22">
        <f t="shared" si="5"/>
        <v>3.8078901792991036</v>
      </c>
    </row>
    <row r="88" spans="1:6" x14ac:dyDescent="0.2">
      <c r="A88" s="20">
        <v>22</v>
      </c>
      <c r="B88" s="202" t="s">
        <v>19</v>
      </c>
      <c r="C88" s="203"/>
      <c r="D88" s="15">
        <f t="shared" si="4"/>
        <v>21584</v>
      </c>
      <c r="E88" s="18">
        <f>IF(F3="1",SUMIF(Data!A:A,'25'!$A$2,Data!ET:ET),0)</f>
        <v>0</v>
      </c>
      <c r="F88" s="22">
        <f t="shared" si="5"/>
        <v>0</v>
      </c>
    </row>
    <row r="89" spans="1:6" x14ac:dyDescent="0.2">
      <c r="A89" s="20">
        <v>23</v>
      </c>
      <c r="B89" s="202" t="s">
        <v>20</v>
      </c>
      <c r="C89" s="203"/>
      <c r="D89" s="15">
        <f t="shared" si="4"/>
        <v>46272</v>
      </c>
      <c r="E89" s="18">
        <f>IF(F3="1",SUMIF(Data!A:A,'25'!$A$2,Data!EU:EU),0)</f>
        <v>415764</v>
      </c>
      <c r="F89" s="22">
        <f t="shared" si="5"/>
        <v>8.9852178423236513</v>
      </c>
    </row>
    <row r="90" spans="1:6" x14ac:dyDescent="0.2">
      <c r="A90" s="20">
        <v>24</v>
      </c>
      <c r="B90" s="202" t="s">
        <v>21</v>
      </c>
      <c r="C90" s="203"/>
      <c r="D90" s="15">
        <f t="shared" si="4"/>
        <v>29616</v>
      </c>
      <c r="E90" s="18">
        <f>IF(F3="1",SUMIF(Data!A:A,'25'!$A$2,Data!EV:EV),0)</f>
        <v>71348</v>
      </c>
      <c r="F90" s="22">
        <f t="shared" si="5"/>
        <v>2.4091031874662345</v>
      </c>
    </row>
    <row r="91" spans="1:6" x14ac:dyDescent="0.2">
      <c r="A91" s="20">
        <v>25</v>
      </c>
      <c r="B91" s="202" t="s">
        <v>22</v>
      </c>
      <c r="C91" s="203"/>
      <c r="D91" s="15">
        <f t="shared" si="4"/>
        <v>324416</v>
      </c>
      <c r="E91" s="18">
        <f>IF(F3="1",SUMIF(Data!A:A,'25'!$A$2,Data!EW:EW),0)</f>
        <v>1052389</v>
      </c>
      <c r="F91" s="22">
        <f t="shared" si="5"/>
        <v>3.2439491270467546</v>
      </c>
    </row>
    <row r="92" spans="1:6" x14ac:dyDescent="0.2">
      <c r="A92" s="20">
        <v>26</v>
      </c>
      <c r="B92" s="202" t="s">
        <v>23</v>
      </c>
      <c r="C92" s="203"/>
      <c r="D92" s="15">
        <f t="shared" si="4"/>
        <v>126520</v>
      </c>
      <c r="E92" s="18">
        <f>IF(F3="1",SUMIF(Data!A:A,'25'!$A$2,Data!EX:EX),0)</f>
        <v>645302</v>
      </c>
      <c r="F92" s="22">
        <f t="shared" si="5"/>
        <v>5.100395194435662</v>
      </c>
    </row>
    <row r="93" spans="1:6" x14ac:dyDescent="0.2">
      <c r="A93" s="20">
        <v>28</v>
      </c>
      <c r="B93" s="202" t="s">
        <v>24</v>
      </c>
      <c r="C93" s="203"/>
      <c r="D93" s="15">
        <f t="shared" si="4"/>
        <v>118768</v>
      </c>
      <c r="E93" s="18">
        <f>IF(F3="1",SUMIF(Data!A:A,'25'!$A$2,Data!EZ:EZ),0)</f>
        <v>414587</v>
      </c>
      <c r="F93" s="22">
        <f t="shared" si="5"/>
        <v>3.4907298262158157</v>
      </c>
    </row>
    <row r="94" spans="1:6" ht="15.75" customHeight="1" thickBot="1" x14ac:dyDescent="0.25">
      <c r="A94" s="23">
        <v>29</v>
      </c>
      <c r="B94" s="206" t="s">
        <v>25</v>
      </c>
      <c r="C94" s="207"/>
      <c r="D94" s="24">
        <f t="shared" si="4"/>
        <v>107136</v>
      </c>
      <c r="E94" s="25">
        <f>IF(F3="1",SUMIF(Data!A:A,'25'!$A$2,Data!FA:FA),0)</f>
        <v>466765</v>
      </c>
      <c r="F94" s="26">
        <f t="shared" si="5"/>
        <v>4.3567521654719235</v>
      </c>
    </row>
    <row r="95" spans="1:6" x14ac:dyDescent="0.2">
      <c r="B95" s="31" t="s">
        <v>35</v>
      </c>
      <c r="C95" s="31"/>
      <c r="D95" s="60">
        <f>SUM(D67:D94)</f>
        <v>2888091</v>
      </c>
      <c r="E95" s="32">
        <f>SUM(E67:E94)</f>
        <v>11934222</v>
      </c>
      <c r="F95" s="33">
        <f t="shared" si="5"/>
        <v>4.1322181330158916</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IF(F3="1",SUMIF(Data!A:A,'25'!$A$2,Data!AH:AH),0)</f>
        <v>6661509</v>
      </c>
      <c r="F98" s="21">
        <f t="shared" ref="F98:F105" si="6">IFERROR(E98/$D$95,0)</f>
        <v>2.3065440112517228</v>
      </c>
    </row>
    <row r="99" spans="2:6" x14ac:dyDescent="0.2">
      <c r="B99" s="212" t="s">
        <v>31</v>
      </c>
      <c r="C99" s="213"/>
      <c r="D99" s="37"/>
      <c r="E99" s="18">
        <f>IF(F3="1",SUMIF(Data!A:A,'25'!$A$2,Data!AI:AI),0)</f>
        <v>2139545</v>
      </c>
      <c r="F99" s="22">
        <f t="shared" si="6"/>
        <v>0.74081633854334927</v>
      </c>
    </row>
    <row r="100" spans="2:6" x14ac:dyDescent="0.2">
      <c r="B100" s="212" t="s">
        <v>32</v>
      </c>
      <c r="C100" s="213"/>
      <c r="D100" s="37"/>
      <c r="E100" s="18">
        <f>IF(F3="1",SUMIF(Data!A:A,'25'!$A$2,Data!AJ:AJ),0)</f>
        <v>2486141</v>
      </c>
      <c r="F100" s="22">
        <f t="shared" si="6"/>
        <v>0.86082502248024728</v>
      </c>
    </row>
    <row r="101" spans="2:6" x14ac:dyDescent="0.2">
      <c r="B101" s="212" t="s">
        <v>28</v>
      </c>
      <c r="C101" s="213"/>
      <c r="D101" s="37"/>
      <c r="E101" s="18">
        <f>IF(F3="1",SUMIF(Data!A:A,'25'!$A$2,Data!AK:AK),0)</f>
        <v>0</v>
      </c>
      <c r="F101" s="22">
        <f t="shared" si="6"/>
        <v>0</v>
      </c>
    </row>
    <row r="102" spans="2:6" x14ac:dyDescent="0.2">
      <c r="B102" s="212" t="s">
        <v>33</v>
      </c>
      <c r="C102" s="213"/>
      <c r="D102" s="37"/>
      <c r="E102" s="18">
        <f>IF(F3="1",SUMIF(Data!A:A,'25'!$A$2,Data!AL:AL),0)</f>
        <v>0</v>
      </c>
      <c r="F102" s="22">
        <f t="shared" si="6"/>
        <v>0</v>
      </c>
    </row>
    <row r="103" spans="2:6" x14ac:dyDescent="0.2">
      <c r="B103" s="214" t="s">
        <v>34</v>
      </c>
      <c r="C103" s="215"/>
      <c r="D103" s="37"/>
      <c r="E103" s="18">
        <f>IF(F3="1",SUMIF(Data!A:A,'25'!$A$2,Data!AM:AM),0)</f>
        <v>0</v>
      </c>
      <c r="F103" s="22">
        <f t="shared" si="6"/>
        <v>0</v>
      </c>
    </row>
    <row r="104" spans="2:6" ht="15.75" customHeight="1" thickBot="1" x14ac:dyDescent="0.25">
      <c r="B104" s="208" t="s">
        <v>29</v>
      </c>
      <c r="C104" s="209"/>
      <c r="D104" s="38"/>
      <c r="E104" s="25">
        <f>IF(F3="1",SUMIF(Data!A:A,'25'!$A$2,Data!Q:Q),0)</f>
        <v>1439469</v>
      </c>
      <c r="F104" s="26">
        <f t="shared" si="6"/>
        <v>0.49841538926578144</v>
      </c>
    </row>
    <row r="105" spans="2:6" x14ac:dyDescent="0.2">
      <c r="B105" s="31" t="s">
        <v>35</v>
      </c>
      <c r="C105" s="31"/>
      <c r="D105" s="35">
        <f>D95</f>
        <v>2888091</v>
      </c>
      <c r="E105" s="32">
        <f>SUM(E98:E104)</f>
        <v>12726664</v>
      </c>
      <c r="F105" s="33">
        <f t="shared" si="6"/>
        <v>4.4066007615411014</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6">
        <f>E95+IF(F3="1",SUMIF(Data!$A:$A,$A$2,Data!GF:GF),0)</f>
        <v>12528236</v>
      </c>
      <c r="D109" s="192">
        <f>IF(F3="1",SUMIF(Data!$A:$A,$A$2,Data!HJ:HJ),0)</f>
        <v>2121964</v>
      </c>
      <c r="E109" s="196">
        <f>IF(F3="1",SUMIF(Data!$A:$A,$A$2,Data!IN:IN),0)</f>
        <v>1633427</v>
      </c>
      <c r="F109" s="48">
        <f>SUM(C109:E109)</f>
        <v>16283627</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470138</v>
      </c>
      <c r="D111" s="52"/>
      <c r="E111" s="193">
        <f>IF(F3="1",SUMIF(Data!A:A,$A$2,Data!AX:AX)-SUMIF(Data!A:A,$A$2,Data!AW:AW),0)</f>
        <v>490514</v>
      </c>
      <c r="F111" s="49">
        <f t="shared" si="7"/>
        <v>960652</v>
      </c>
    </row>
    <row r="112" spans="2:6" x14ac:dyDescent="0.2">
      <c r="B112" s="43" t="s">
        <v>32</v>
      </c>
      <c r="C112" s="193">
        <f>IF(F3="1",SUMIF(Data!A:A,$A$2,Data!V:V),0)</f>
        <v>1906115</v>
      </c>
      <c r="D112" s="52"/>
      <c r="E112" s="193">
        <f>IF(F3="1",SUMIF(Data!A:A,$A$2,Data!AC:AC),0)</f>
        <v>580026</v>
      </c>
      <c r="F112" s="49">
        <f t="shared" si="7"/>
        <v>2486141</v>
      </c>
    </row>
    <row r="113" spans="1:6" x14ac:dyDescent="0.2">
      <c r="B113" s="43" t="s">
        <v>31</v>
      </c>
      <c r="C113" s="193">
        <f>IF(F3="1",SUMIF(Data!A:A,$A$2,Data!U:U),0)</f>
        <v>1841066</v>
      </c>
      <c r="D113" s="52"/>
      <c r="E113" s="193">
        <f>IF(F3="1",SUMIF(Data!A:A,$A$2,Data!AB:AB),0)</f>
        <v>298479</v>
      </c>
      <c r="F113" s="49">
        <f t="shared" si="7"/>
        <v>2139545</v>
      </c>
    </row>
    <row r="114" spans="1:6" x14ac:dyDescent="0.2">
      <c r="B114" s="43" t="s">
        <v>1002</v>
      </c>
      <c r="C114" s="193">
        <f>IF(F3="1",SUMIF(Data!A:A,$A$2,Data!T:T),0)</f>
        <v>4281413</v>
      </c>
      <c r="D114" s="52"/>
      <c r="E114" s="193">
        <f>IF(F3="1",SUMIF(Data!A:A,$A$2,Data!AA:AA),0)</f>
        <v>2380096</v>
      </c>
      <c r="F114" s="49">
        <f t="shared" si="7"/>
        <v>6661509</v>
      </c>
    </row>
    <row r="115" spans="1:6" x14ac:dyDescent="0.2">
      <c r="B115" s="43" t="s">
        <v>916</v>
      </c>
      <c r="C115" s="193">
        <f>IF(F3="1",SUMIF(Data!A:A,$A$2,Data!BI:BI),0)</f>
        <v>1520655</v>
      </c>
      <c r="D115" s="193">
        <f>IF(F3="1",SUMIF(Data!A:A,$A$2,Data!BL:BL),0)</f>
        <v>257560</v>
      </c>
      <c r="E115" s="193">
        <f>IF(F3="1",SUMIF(Data!A:A,$A$2,Data!BU:BU)-SUMIF(Data!A:A,$A$2,Data!BT:BT),0)</f>
        <v>3247212</v>
      </c>
      <c r="F115" s="49">
        <f t="shared" si="7"/>
        <v>5025427</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1439469</v>
      </c>
      <c r="E117" s="53"/>
      <c r="F117" s="50">
        <f>SUM(C117:E117)</f>
        <v>1439469</v>
      </c>
    </row>
    <row r="118" spans="1:6" x14ac:dyDescent="0.2">
      <c r="B118" s="14" t="s">
        <v>35</v>
      </c>
      <c r="C118" s="178">
        <f>SUM(C109:C117)</f>
        <v>22547623</v>
      </c>
      <c r="D118" s="194">
        <f>SUM(D109:D117)</f>
        <v>3818993</v>
      </c>
      <c r="E118" s="178">
        <f>SUM(E109:E117)</f>
        <v>8629754</v>
      </c>
      <c r="F118" s="178">
        <f>SUM(F109:F117)</f>
        <v>34996370</v>
      </c>
    </row>
    <row r="119" spans="1:6" x14ac:dyDescent="0.2">
      <c r="C119" s="177"/>
      <c r="D119" s="177"/>
      <c r="E119" s="177"/>
    </row>
    <row r="120" spans="1:6" ht="15" thickBot="1" x14ac:dyDescent="0.25">
      <c r="B120" s="188" t="s">
        <v>921</v>
      </c>
      <c r="C120" s="53"/>
      <c r="D120" s="53"/>
      <c r="E120" s="195">
        <f>IF(F3="1",SUMIF(Data!A:A,$A$2,Data!AF:AF)+SUMIF(Data!A:A,$A$2,Data!AW:AW)+SUMIF(Data!A:A,$A$2,Data!BT:BT),0)</f>
        <v>621936</v>
      </c>
      <c r="F120" s="181">
        <f>SUM(C120:E120)</f>
        <v>621936</v>
      </c>
    </row>
    <row r="121" spans="1:6" s="177" customFormat="1" x14ac:dyDescent="0.2">
      <c r="B121" s="14" t="s">
        <v>35</v>
      </c>
      <c r="C121" s="178">
        <f>SUM(C120:C120)</f>
        <v>0</v>
      </c>
      <c r="D121" s="178">
        <f>SUM(D120:D120)</f>
        <v>0</v>
      </c>
      <c r="E121" s="178">
        <f>SUM(E120:E120)</f>
        <v>621936</v>
      </c>
      <c r="F121" s="178">
        <f>SUM(F120:F120)</f>
        <v>621936</v>
      </c>
    </row>
    <row r="122" spans="1:6" s="177" customFormat="1" ht="15" thickBot="1" x14ac:dyDescent="0.25">
      <c r="B122" s="14" t="s">
        <v>1396</v>
      </c>
      <c r="C122" s="178"/>
      <c r="D122" s="178"/>
      <c r="E122" s="178"/>
      <c r="F122" s="190">
        <f>F118+F121</f>
        <v>35618306</v>
      </c>
    </row>
    <row r="123" spans="1:6" ht="15" thickTop="1" x14ac:dyDescent="0.2">
      <c r="C123" s="177"/>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9.7109375" style="58" bestFit="1" customWidth="1"/>
    <col min="6" max="6" width="19.28515625" style="58" bestFit="1"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431</v>
      </c>
      <c r="B2" s="59" t="str">
        <f>VLOOKUP(A2,Data!A:G,7,0)</f>
        <v>Lone Star College System District</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80500</v>
      </c>
      <c r="E5" s="16">
        <f>E36+E67+IFERROR($E$105/$D$105*D5,0)</f>
        <v>545223.75615268701</v>
      </c>
      <c r="F5" s="21">
        <f>IFERROR(E5/D5,"")</f>
        <v>6.7729659149402117</v>
      </c>
    </row>
    <row r="6" spans="1:6" x14ac:dyDescent="0.2">
      <c r="A6" s="20">
        <v>2</v>
      </c>
      <c r="B6" s="202" t="s">
        <v>1</v>
      </c>
      <c r="C6" s="203"/>
      <c r="D6" s="15">
        <f t="shared" ref="D6:D32" si="0">D37</f>
        <v>239255</v>
      </c>
      <c r="E6" s="18">
        <f t="shared" ref="E6:E32" si="1">E37+E68+IFERROR($E$105/$D$105*D6,0)</f>
        <v>2483193.8951343</v>
      </c>
      <c r="F6" s="22">
        <f t="shared" ref="F6:F33" si="2">IFERROR(E6/D6,"")</f>
        <v>10.378858937678627</v>
      </c>
    </row>
    <row r="7" spans="1:6" ht="14.25" customHeight="1" x14ac:dyDescent="0.2">
      <c r="A7" s="20">
        <v>3</v>
      </c>
      <c r="B7" s="202" t="s">
        <v>2</v>
      </c>
      <c r="C7" s="203"/>
      <c r="D7" s="15">
        <f t="shared" si="0"/>
        <v>3198288</v>
      </c>
      <c r="E7" s="18">
        <f t="shared" si="1"/>
        <v>25652548.620448012</v>
      </c>
      <c r="F7" s="22">
        <f t="shared" si="2"/>
        <v>8.0207125250909268</v>
      </c>
    </row>
    <row r="8" spans="1:6" ht="14.25" customHeight="1" x14ac:dyDescent="0.2">
      <c r="A8" s="20">
        <v>4</v>
      </c>
      <c r="B8" s="202" t="s">
        <v>3</v>
      </c>
      <c r="C8" s="203"/>
      <c r="D8" s="15">
        <f t="shared" si="0"/>
        <v>1244016</v>
      </c>
      <c r="E8" s="18">
        <f t="shared" si="1"/>
        <v>10616556.900994299</v>
      </c>
      <c r="F8" s="22">
        <f t="shared" si="2"/>
        <v>8.5340999641437882</v>
      </c>
    </row>
    <row r="9" spans="1:6" x14ac:dyDescent="0.2">
      <c r="A9" s="20">
        <v>5</v>
      </c>
      <c r="B9" s="202" t="s">
        <v>4</v>
      </c>
      <c r="C9" s="203"/>
      <c r="D9" s="15">
        <f t="shared" si="0"/>
        <v>2256</v>
      </c>
      <c r="E9" s="18">
        <f t="shared" si="1"/>
        <v>21728.068694167228</v>
      </c>
      <c r="F9" s="22">
        <f t="shared" si="2"/>
        <v>9.6312361233010773</v>
      </c>
    </row>
    <row r="10" spans="1:6" x14ac:dyDescent="0.2">
      <c r="A10" s="20">
        <v>6</v>
      </c>
      <c r="B10" s="202" t="s">
        <v>5</v>
      </c>
      <c r="C10" s="203"/>
      <c r="D10" s="15">
        <f t="shared" si="0"/>
        <v>159844</v>
      </c>
      <c r="E10" s="18">
        <f t="shared" si="1"/>
        <v>1128241.9806518024</v>
      </c>
      <c r="F10" s="22">
        <f t="shared" si="2"/>
        <v>7.0583943135294565</v>
      </c>
    </row>
    <row r="11" spans="1:6" x14ac:dyDescent="0.2">
      <c r="A11" s="20">
        <v>7</v>
      </c>
      <c r="B11" s="202" t="s">
        <v>6</v>
      </c>
      <c r="C11" s="203"/>
      <c r="D11" s="15">
        <f t="shared" si="0"/>
        <v>1169505</v>
      </c>
      <c r="E11" s="18">
        <f t="shared" si="1"/>
        <v>10144755.015147183</v>
      </c>
      <c r="F11" s="22">
        <f t="shared" si="2"/>
        <v>8.6744007209436322</v>
      </c>
    </row>
    <row r="12" spans="1:6" x14ac:dyDescent="0.2">
      <c r="A12" s="20">
        <v>8</v>
      </c>
      <c r="B12" s="202" t="s">
        <v>7</v>
      </c>
      <c r="C12" s="203"/>
      <c r="D12" s="15">
        <f t="shared" si="0"/>
        <v>15952</v>
      </c>
      <c r="E12" s="18">
        <f t="shared" si="1"/>
        <v>151565.32261052995</v>
      </c>
      <c r="F12" s="22">
        <f t="shared" si="2"/>
        <v>9.5013366731776543</v>
      </c>
    </row>
    <row r="13" spans="1:6" x14ac:dyDescent="0.2">
      <c r="A13" s="20">
        <v>9</v>
      </c>
      <c r="B13" s="202" t="s">
        <v>8</v>
      </c>
      <c r="C13" s="203"/>
      <c r="D13" s="15">
        <f t="shared" si="0"/>
        <v>357020</v>
      </c>
      <c r="E13" s="18">
        <f t="shared" si="1"/>
        <v>3321849.0129395318</v>
      </c>
      <c r="F13" s="22">
        <f t="shared" si="2"/>
        <v>9.3043779422428212</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408451</v>
      </c>
      <c r="E15" s="18">
        <f t="shared" si="1"/>
        <v>4084738.976153058</v>
      </c>
      <c r="F15" s="22">
        <f t="shared" si="2"/>
        <v>10.000560596382572</v>
      </c>
    </row>
    <row r="16" spans="1:6" ht="14.25" customHeight="1" x14ac:dyDescent="0.2">
      <c r="A16" s="20">
        <v>12</v>
      </c>
      <c r="B16" s="202" t="s">
        <v>11</v>
      </c>
      <c r="C16" s="203"/>
      <c r="D16" s="15">
        <f t="shared" si="0"/>
        <v>3301768</v>
      </c>
      <c r="E16" s="18">
        <f t="shared" si="1"/>
        <v>29191979.523139689</v>
      </c>
      <c r="F16" s="22">
        <f t="shared" si="2"/>
        <v>8.8413175980685761</v>
      </c>
    </row>
    <row r="17" spans="1:6" x14ac:dyDescent="0.2">
      <c r="A17" s="20">
        <v>13</v>
      </c>
      <c r="B17" s="202" t="s">
        <v>12</v>
      </c>
      <c r="C17" s="203"/>
      <c r="D17" s="15">
        <f t="shared" si="0"/>
        <v>568936</v>
      </c>
      <c r="E17" s="18">
        <f t="shared" si="1"/>
        <v>4266242.8415712435</v>
      </c>
      <c r="F17" s="22">
        <f t="shared" si="2"/>
        <v>7.4986340143201407</v>
      </c>
    </row>
    <row r="18" spans="1:6" ht="14.25" customHeight="1" x14ac:dyDescent="0.2">
      <c r="A18" s="20">
        <v>14</v>
      </c>
      <c r="B18" s="202" t="s">
        <v>449</v>
      </c>
      <c r="C18" s="203"/>
      <c r="D18" s="15">
        <f t="shared" si="0"/>
        <v>615575</v>
      </c>
      <c r="E18" s="18">
        <f t="shared" si="1"/>
        <v>8112292.6943315566</v>
      </c>
      <c r="F18" s="22">
        <f t="shared" si="2"/>
        <v>13.178398561233898</v>
      </c>
    </row>
    <row r="19" spans="1:6" x14ac:dyDescent="0.2">
      <c r="A19" s="20">
        <v>15</v>
      </c>
      <c r="B19" s="202" t="s">
        <v>13</v>
      </c>
      <c r="C19" s="203"/>
      <c r="D19" s="15">
        <f t="shared" si="0"/>
        <v>23152</v>
      </c>
      <c r="E19" s="18">
        <f t="shared" si="1"/>
        <v>534126.20142170193</v>
      </c>
      <c r="F19" s="22">
        <f t="shared" si="2"/>
        <v>23.070412984696869</v>
      </c>
    </row>
    <row r="20" spans="1:6" x14ac:dyDescent="0.2">
      <c r="A20" s="20">
        <v>16</v>
      </c>
      <c r="B20" s="202" t="s">
        <v>14</v>
      </c>
      <c r="C20" s="203"/>
      <c r="D20" s="15">
        <f t="shared" si="0"/>
        <v>763465</v>
      </c>
      <c r="E20" s="18">
        <f t="shared" si="1"/>
        <v>8322573.3606349211</v>
      </c>
      <c r="F20" s="22">
        <f t="shared" si="2"/>
        <v>10.901054220736931</v>
      </c>
    </row>
    <row r="21" spans="1:6" x14ac:dyDescent="0.2">
      <c r="A21" s="20">
        <v>17</v>
      </c>
      <c r="B21" s="202" t="s">
        <v>15</v>
      </c>
      <c r="C21" s="203"/>
      <c r="D21" s="15">
        <f t="shared" si="0"/>
        <v>98560</v>
      </c>
      <c r="E21" s="18">
        <f t="shared" si="1"/>
        <v>1421396.5188373767</v>
      </c>
      <c r="F21" s="22">
        <f t="shared" si="2"/>
        <v>14.421636757684423</v>
      </c>
    </row>
    <row r="22" spans="1:6" x14ac:dyDescent="0.2">
      <c r="A22" s="20">
        <v>18</v>
      </c>
      <c r="B22" s="202" t="s">
        <v>16</v>
      </c>
      <c r="C22" s="203"/>
      <c r="D22" s="15">
        <f t="shared" si="0"/>
        <v>149264</v>
      </c>
      <c r="E22" s="18">
        <f t="shared" si="1"/>
        <v>1566768.0698431637</v>
      </c>
      <c r="F22" s="22">
        <f t="shared" si="2"/>
        <v>10.496623900224861</v>
      </c>
    </row>
    <row r="23" spans="1:6" x14ac:dyDescent="0.2">
      <c r="A23" s="20">
        <v>19</v>
      </c>
      <c r="B23" s="202" t="s">
        <v>17</v>
      </c>
      <c r="C23" s="203"/>
      <c r="D23" s="15">
        <f t="shared" si="0"/>
        <v>1462424</v>
      </c>
      <c r="E23" s="18">
        <f t="shared" si="1"/>
        <v>12839697.033687416</v>
      </c>
      <c r="F23" s="22">
        <f t="shared" si="2"/>
        <v>8.779736269158203</v>
      </c>
    </row>
    <row r="24" spans="1:6" x14ac:dyDescent="0.2">
      <c r="A24" s="20">
        <v>20</v>
      </c>
      <c r="B24" s="202" t="s">
        <v>18</v>
      </c>
      <c r="C24" s="203"/>
      <c r="D24" s="15">
        <f t="shared" si="0"/>
        <v>90112</v>
      </c>
      <c r="E24" s="18">
        <f t="shared" si="1"/>
        <v>833788.47436560155</v>
      </c>
      <c r="F24" s="22">
        <f t="shared" si="2"/>
        <v>9.2528017840642924</v>
      </c>
    </row>
    <row r="25" spans="1:6" ht="14.25" customHeight="1" x14ac:dyDescent="0.2">
      <c r="A25" s="20">
        <v>21</v>
      </c>
      <c r="B25" s="202" t="s">
        <v>446</v>
      </c>
      <c r="C25" s="203"/>
      <c r="D25" s="15">
        <f t="shared" si="0"/>
        <v>83766</v>
      </c>
      <c r="E25" s="18">
        <f t="shared" si="1"/>
        <v>971758.76340231032</v>
      </c>
      <c r="F25" s="22">
        <f t="shared" si="2"/>
        <v>11.600873425999932</v>
      </c>
    </row>
    <row r="26" spans="1:6" x14ac:dyDescent="0.2">
      <c r="A26" s="20">
        <v>22</v>
      </c>
      <c r="B26" s="202" t="s">
        <v>19</v>
      </c>
      <c r="C26" s="203"/>
      <c r="D26" s="15">
        <f t="shared" si="0"/>
        <v>35592</v>
      </c>
      <c r="E26" s="18">
        <f t="shared" si="1"/>
        <v>353751.1475898936</v>
      </c>
      <c r="F26" s="22">
        <f t="shared" si="2"/>
        <v>9.9390634858927172</v>
      </c>
    </row>
    <row r="27" spans="1:6" x14ac:dyDescent="0.2">
      <c r="A27" s="20">
        <v>23</v>
      </c>
      <c r="B27" s="202" t="s">
        <v>20</v>
      </c>
      <c r="C27" s="203"/>
      <c r="D27" s="15">
        <f t="shared" si="0"/>
        <v>509488</v>
      </c>
      <c r="E27" s="18">
        <f t="shared" si="1"/>
        <v>4457797.9888536669</v>
      </c>
      <c r="F27" s="22">
        <f t="shared" si="2"/>
        <v>8.7495642465645247</v>
      </c>
    </row>
    <row r="28" spans="1:6" x14ac:dyDescent="0.2">
      <c r="A28" s="20">
        <v>24</v>
      </c>
      <c r="B28" s="202" t="s">
        <v>21</v>
      </c>
      <c r="C28" s="203"/>
      <c r="D28" s="15">
        <f t="shared" si="0"/>
        <v>363310</v>
      </c>
      <c r="E28" s="18">
        <f t="shared" si="1"/>
        <v>3124606.7292898474</v>
      </c>
      <c r="F28" s="22">
        <f t="shared" si="2"/>
        <v>8.6003873531965738</v>
      </c>
    </row>
    <row r="29" spans="1:6" x14ac:dyDescent="0.2">
      <c r="A29" s="20">
        <v>25</v>
      </c>
      <c r="B29" s="202" t="s">
        <v>22</v>
      </c>
      <c r="C29" s="203"/>
      <c r="D29" s="15">
        <f t="shared" si="0"/>
        <v>4671952</v>
      </c>
      <c r="E29" s="18">
        <f t="shared" si="1"/>
        <v>34457838.287168428</v>
      </c>
      <c r="F29" s="22">
        <f t="shared" si="2"/>
        <v>7.3754692443690404</v>
      </c>
    </row>
    <row r="30" spans="1:6" x14ac:dyDescent="0.2">
      <c r="A30" s="20">
        <v>26</v>
      </c>
      <c r="B30" s="202" t="s">
        <v>23</v>
      </c>
      <c r="C30" s="203"/>
      <c r="D30" s="15">
        <f t="shared" si="0"/>
        <v>1222816</v>
      </c>
      <c r="E30" s="18">
        <f t="shared" si="1"/>
        <v>12153286.36893918</v>
      </c>
      <c r="F30" s="22">
        <f t="shared" si="2"/>
        <v>9.9387695032933649</v>
      </c>
    </row>
    <row r="31" spans="1:6" x14ac:dyDescent="0.2">
      <c r="A31" s="20">
        <v>28</v>
      </c>
      <c r="B31" s="202" t="s">
        <v>24</v>
      </c>
      <c r="C31" s="203"/>
      <c r="D31" s="15">
        <f t="shared" si="0"/>
        <v>2224240</v>
      </c>
      <c r="E31" s="18">
        <f t="shared" si="1"/>
        <v>14658793.606522391</v>
      </c>
      <c r="F31" s="22">
        <f t="shared" si="2"/>
        <v>6.5904729734751601</v>
      </c>
    </row>
    <row r="32" spans="1:6" ht="15.75" customHeight="1" thickBot="1" x14ac:dyDescent="0.25">
      <c r="A32" s="23">
        <v>29</v>
      </c>
      <c r="B32" s="206" t="s">
        <v>25</v>
      </c>
      <c r="C32" s="207"/>
      <c r="D32" s="24">
        <f t="shared" si="0"/>
        <v>1580256</v>
      </c>
      <c r="E32" s="25">
        <f t="shared" si="1"/>
        <v>11589959.841476031</v>
      </c>
      <c r="F32" s="26">
        <f t="shared" si="2"/>
        <v>7.3342292903656308</v>
      </c>
    </row>
    <row r="33" spans="1:6" x14ac:dyDescent="0.2">
      <c r="B33" s="31" t="s">
        <v>35</v>
      </c>
      <c r="C33" s="31"/>
      <c r="D33" s="60">
        <f>SUM(D5:D32)</f>
        <v>24639763</v>
      </c>
      <c r="E33" s="32">
        <f>SUM(E5:E32)</f>
        <v>207007058.99999997</v>
      </c>
      <c r="F33" s="33">
        <f t="shared" si="2"/>
        <v>8.4013413197196734</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IF(F3="1",SUMIF(Data!A:A,'26'!$A$2,Data!CU:CU),0)</f>
        <v>80500</v>
      </c>
      <c r="E36" s="16">
        <f>IF(F3="1",SUMIF(Data!$A:$A,'26'!$A$2,Data!IO:IO),0)</f>
        <v>30411</v>
      </c>
      <c r="F36" s="21">
        <f t="shared" ref="F36:F64" si="3">IFERROR(E36/D36,"")</f>
        <v>0.37777639751552794</v>
      </c>
    </row>
    <row r="37" spans="1:6" x14ac:dyDescent="0.2">
      <c r="A37" s="20">
        <v>2</v>
      </c>
      <c r="B37" s="202" t="s">
        <v>1</v>
      </c>
      <c r="C37" s="203"/>
      <c r="D37" s="15">
        <f>IF(F3="1",SUMIF(Data!A:A,'26'!$A$2,Data!CV:CV),0)</f>
        <v>239255</v>
      </c>
      <c r="E37" s="18">
        <f>IF(F3="1",SUMIF(Data!$A:$A,'26'!$A$2,Data!IP:IP),0)</f>
        <v>235558</v>
      </c>
      <c r="F37" s="22">
        <f t="shared" si="3"/>
        <v>0.98454786733819566</v>
      </c>
    </row>
    <row r="38" spans="1:6" ht="14.25" customHeight="1" x14ac:dyDescent="0.2">
      <c r="A38" s="20">
        <v>3</v>
      </c>
      <c r="B38" s="202" t="s">
        <v>2</v>
      </c>
      <c r="C38" s="203"/>
      <c r="D38" s="15">
        <f>IF(F3="1",SUMIF(Data!A:A,'26'!$A$2,Data!CW:CW),0)</f>
        <v>3198288</v>
      </c>
      <c r="E38" s="18">
        <f>IF(F3="1",SUMIF(Data!$A:$A,'26'!$A$2,Data!IQ:IQ),0)</f>
        <v>2530907</v>
      </c>
      <c r="F38" s="22">
        <f t="shared" si="3"/>
        <v>0.79133180001300696</v>
      </c>
    </row>
    <row r="39" spans="1:6" ht="14.25" customHeight="1" x14ac:dyDescent="0.2">
      <c r="A39" s="20">
        <v>4</v>
      </c>
      <c r="B39" s="202" t="s">
        <v>3</v>
      </c>
      <c r="C39" s="203"/>
      <c r="D39" s="15">
        <f>IF(F3="1",SUMIF(Data!A:A,'26'!$A$2,Data!CX:CX),0)</f>
        <v>1244016</v>
      </c>
      <c r="E39" s="18">
        <f>IF(F3="1",SUMIF(Data!$A:$A,'26'!$A$2,Data!IR:IR),0)</f>
        <v>1179025</v>
      </c>
      <c r="F39" s="22">
        <f t="shared" si="3"/>
        <v>0.94775710280253633</v>
      </c>
    </row>
    <row r="40" spans="1:6" x14ac:dyDescent="0.2">
      <c r="A40" s="20">
        <v>5</v>
      </c>
      <c r="B40" s="202" t="s">
        <v>4</v>
      </c>
      <c r="C40" s="203"/>
      <c r="D40" s="15">
        <f>IF(F3="1",SUMIF(Data!A:A,'26'!$A$2,Data!CY:CY),0)</f>
        <v>2256</v>
      </c>
      <c r="E40" s="18">
        <f>IF(F3="1",SUMIF(Data!$A:$A,'26'!$A$2,Data!IS:IS),0)</f>
        <v>1932</v>
      </c>
      <c r="F40" s="22">
        <f t="shared" si="3"/>
        <v>0.8563829787234043</v>
      </c>
    </row>
    <row r="41" spans="1:6" x14ac:dyDescent="0.2">
      <c r="A41" s="20">
        <v>6</v>
      </c>
      <c r="B41" s="202" t="s">
        <v>5</v>
      </c>
      <c r="C41" s="203"/>
      <c r="D41" s="15">
        <f>IF(F3="1",SUMIF(Data!A:A,'26'!$A$2,Data!CZ:CZ),0)</f>
        <v>159844</v>
      </c>
      <c r="E41" s="18">
        <f>IF(F3="1",SUMIF(Data!$A:$A,'26'!$A$2,Data!IT:IT),0)</f>
        <v>136984</v>
      </c>
      <c r="F41" s="22">
        <f t="shared" si="3"/>
        <v>0.85698556092189881</v>
      </c>
    </row>
    <row r="42" spans="1:6" x14ac:dyDescent="0.2">
      <c r="A42" s="20">
        <v>7</v>
      </c>
      <c r="B42" s="202" t="s">
        <v>6</v>
      </c>
      <c r="C42" s="203"/>
      <c r="D42" s="15">
        <f>IF(F3="1",SUMIF(Data!A:A,'26'!$A$2,Data!DA:DA),0)</f>
        <v>1169505</v>
      </c>
      <c r="E42" s="18">
        <f>IF(F3="1",SUMIF(Data!$A:$A,'26'!$A$2,Data!IU:IU),0)</f>
        <v>882393</v>
      </c>
      <c r="F42" s="22">
        <f t="shared" si="3"/>
        <v>0.75450126335500922</v>
      </c>
    </row>
    <row r="43" spans="1:6" x14ac:dyDescent="0.2">
      <c r="A43" s="20">
        <v>8</v>
      </c>
      <c r="B43" s="202" t="s">
        <v>7</v>
      </c>
      <c r="C43" s="203"/>
      <c r="D43" s="15">
        <f>IF(F3="1",SUMIF(Data!A:A,'26'!$A$2,Data!DB:DB),0)</f>
        <v>15952</v>
      </c>
      <c r="E43" s="18">
        <f>IF(F3="1",SUMIF(Data!$A:$A,'26'!$A$2,Data!IV:IV),0)</f>
        <v>13362</v>
      </c>
      <c r="F43" s="22">
        <f t="shared" si="3"/>
        <v>0.83763791374122365</v>
      </c>
    </row>
    <row r="44" spans="1:6" x14ac:dyDescent="0.2">
      <c r="A44" s="20">
        <v>9</v>
      </c>
      <c r="B44" s="202" t="s">
        <v>8</v>
      </c>
      <c r="C44" s="203"/>
      <c r="D44" s="15">
        <f>IF(F3="1",SUMIF(Data!A:A,'26'!$A$2,Data!DC:DC),0)</f>
        <v>357020</v>
      </c>
      <c r="E44" s="18">
        <f>IF(F3="1",SUMIF(Data!$A:$A,'26'!$A$2,Data!IW:IW),0)</f>
        <v>311888</v>
      </c>
      <c r="F44" s="22">
        <f t="shared" si="3"/>
        <v>0.87358691389838106</v>
      </c>
    </row>
    <row r="45" spans="1:6" x14ac:dyDescent="0.2">
      <c r="A45" s="20">
        <v>10</v>
      </c>
      <c r="B45" s="202" t="s">
        <v>9</v>
      </c>
      <c r="C45" s="203"/>
      <c r="D45" s="15">
        <f>IF(F3="1",SUMIF(Data!A:A,'26'!$A$2,Data!DD:DD),0)</f>
        <v>0</v>
      </c>
      <c r="E45" s="18">
        <f>IF(F3="1",SUMIF(Data!$A:$A,'26'!$A$2,Data!IX:IX),0)</f>
        <v>0</v>
      </c>
      <c r="F45" s="22" t="str">
        <f t="shared" si="3"/>
        <v/>
      </c>
    </row>
    <row r="46" spans="1:6" x14ac:dyDescent="0.2">
      <c r="A46" s="20">
        <v>11</v>
      </c>
      <c r="B46" s="202" t="s">
        <v>10</v>
      </c>
      <c r="C46" s="203"/>
      <c r="D46" s="15">
        <f>IF(F3="1",SUMIF(Data!A:A,'26'!$A$2,Data!DE:DE),0)</f>
        <v>408451</v>
      </c>
      <c r="E46" s="18">
        <f>IF(F3="1",SUMIF(Data!$A:$A,'26'!$A$2,Data!IY:IY),0)</f>
        <v>439662</v>
      </c>
      <c r="F46" s="22">
        <f t="shared" si="3"/>
        <v>1.076413082597423</v>
      </c>
    </row>
    <row r="47" spans="1:6" ht="14.25" customHeight="1" x14ac:dyDescent="0.2">
      <c r="A47" s="20">
        <v>12</v>
      </c>
      <c r="B47" s="202" t="s">
        <v>11</v>
      </c>
      <c r="C47" s="203"/>
      <c r="D47" s="15">
        <f>IF(F3="1",SUMIF(Data!A:A,'26'!$A$2,Data!DF:DF),0)</f>
        <v>3301768</v>
      </c>
      <c r="E47" s="18">
        <f>IF(F3="1",SUMIF(Data!$A:$A,'26'!$A$2,Data!IZ:IZ),0)</f>
        <v>2417172</v>
      </c>
      <c r="F47" s="22">
        <f t="shared" si="3"/>
        <v>0.73208414401011823</v>
      </c>
    </row>
    <row r="48" spans="1:6" x14ac:dyDescent="0.2">
      <c r="A48" s="20">
        <v>13</v>
      </c>
      <c r="B48" s="202" t="s">
        <v>12</v>
      </c>
      <c r="C48" s="203"/>
      <c r="D48" s="15">
        <f>IF(F3="1",SUMIF(Data!A:A,'26'!$A$2,Data!DG:DG),0)</f>
        <v>568936</v>
      </c>
      <c r="E48" s="18">
        <f>IF(F3="1",SUMIF(Data!$A:$A,'26'!$A$2,Data!JA:JA),0)</f>
        <v>200694</v>
      </c>
      <c r="F48" s="22">
        <f t="shared" si="3"/>
        <v>0.35275320949983829</v>
      </c>
    </row>
    <row r="49" spans="1:6" ht="14.25" customHeight="1" x14ac:dyDescent="0.2">
      <c r="A49" s="20">
        <v>14</v>
      </c>
      <c r="B49" s="202" t="s">
        <v>449</v>
      </c>
      <c r="C49" s="203"/>
      <c r="D49" s="15">
        <f>IF(F3="1",SUMIF(Data!A:A,'26'!$A$2,Data!DH:DH),0)</f>
        <v>615575</v>
      </c>
      <c r="E49" s="18">
        <f>IF(F3="1",SUMIF(Data!$A:$A,'26'!$A$2,Data!JB:JB),0)</f>
        <v>1170431</v>
      </c>
      <c r="F49" s="22">
        <f t="shared" si="3"/>
        <v>1.9013621410876009</v>
      </c>
    </row>
    <row r="50" spans="1:6" x14ac:dyDescent="0.2">
      <c r="A50" s="20">
        <v>15</v>
      </c>
      <c r="B50" s="202" t="s">
        <v>13</v>
      </c>
      <c r="C50" s="203"/>
      <c r="D50" s="15">
        <f>IF(F3="1",SUMIF(Data!A:A,'26'!$A$2,Data!DI:DI),0)</f>
        <v>23152</v>
      </c>
      <c r="E50" s="18">
        <f>IF(F3="1",SUMIF(Data!$A:$A,'26'!$A$2,Data!JC:JC),0)</f>
        <v>206226</v>
      </c>
      <c r="F50" s="22">
        <f t="shared" si="3"/>
        <v>8.9074809951624054</v>
      </c>
    </row>
    <row r="51" spans="1:6" x14ac:dyDescent="0.2">
      <c r="A51" s="20">
        <v>16</v>
      </c>
      <c r="B51" s="202" t="s">
        <v>14</v>
      </c>
      <c r="C51" s="203"/>
      <c r="D51" s="15">
        <f>IF(F3="1",SUMIF(Data!A:A,'26'!$A$2,Data!DJ:DJ),0)</f>
        <v>763465</v>
      </c>
      <c r="E51" s="18">
        <f>IF(F3="1",SUMIF(Data!$A:$A,'26'!$A$2,Data!JD:JD),0)</f>
        <v>1601958</v>
      </c>
      <c r="F51" s="22">
        <f t="shared" si="3"/>
        <v>2.0982730053113108</v>
      </c>
    </row>
    <row r="52" spans="1:6" x14ac:dyDescent="0.2">
      <c r="A52" s="20">
        <v>17</v>
      </c>
      <c r="B52" s="202" t="s">
        <v>15</v>
      </c>
      <c r="C52" s="203"/>
      <c r="D52" s="15">
        <f>IF(F3="1",SUMIF(Data!A:A,'26'!$A$2,Data!DK:DK),0)</f>
        <v>98560</v>
      </c>
      <c r="E52" s="18">
        <f>IF(F3="1",SUMIF(Data!$A:$A,'26'!$A$2,Data!JE:JE),0)</f>
        <v>192304</v>
      </c>
      <c r="F52" s="22">
        <f t="shared" si="3"/>
        <v>1.9511363636363637</v>
      </c>
    </row>
    <row r="53" spans="1:6" x14ac:dyDescent="0.2">
      <c r="A53" s="20">
        <v>18</v>
      </c>
      <c r="B53" s="202" t="s">
        <v>16</v>
      </c>
      <c r="C53" s="203"/>
      <c r="D53" s="15">
        <f>IF(F3="1",SUMIF(Data!A:A,'26'!$A$2,Data!DL:DL),0)</f>
        <v>149264</v>
      </c>
      <c r="E53" s="18">
        <f>IF(F3="1",SUMIF(Data!$A:$A,'26'!$A$2,Data!JF:JF),0)</f>
        <v>98575</v>
      </c>
      <c r="F53" s="22">
        <f t="shared" si="3"/>
        <v>0.66040706399399718</v>
      </c>
    </row>
    <row r="54" spans="1:6" x14ac:dyDescent="0.2">
      <c r="A54" s="20">
        <v>19</v>
      </c>
      <c r="B54" s="202" t="s">
        <v>17</v>
      </c>
      <c r="C54" s="203"/>
      <c r="D54" s="15">
        <f>IF(F3="1",SUMIF(Data!A:A,'26'!$A$2,Data!DM:DM),0)</f>
        <v>1462424</v>
      </c>
      <c r="E54" s="18">
        <f>IF(F3="1",SUMIF(Data!$A:$A,'26'!$A$2,Data!JG:JG),0)</f>
        <v>1157561</v>
      </c>
      <c r="F54" s="22">
        <f t="shared" si="3"/>
        <v>0.79153583365699687</v>
      </c>
    </row>
    <row r="55" spans="1:6" x14ac:dyDescent="0.2">
      <c r="A55" s="20">
        <v>20</v>
      </c>
      <c r="B55" s="202" t="s">
        <v>18</v>
      </c>
      <c r="C55" s="203"/>
      <c r="D55" s="15">
        <f>IF(F3="1",SUMIF(Data!A:A,'26'!$A$2,Data!DN:DN),0)</f>
        <v>90112</v>
      </c>
      <c r="E55" s="18">
        <f>IF(F3="1",SUMIF(Data!$A:$A,'26'!$A$2,Data!JH:JH),0)</f>
        <v>130190</v>
      </c>
      <c r="F55" s="22">
        <f t="shared" si="3"/>
        <v>1.4447576349431819</v>
      </c>
    </row>
    <row r="56" spans="1:6" ht="14.25" customHeight="1" x14ac:dyDescent="0.2">
      <c r="A56" s="20">
        <v>21</v>
      </c>
      <c r="B56" s="202" t="s">
        <v>446</v>
      </c>
      <c r="C56" s="203"/>
      <c r="D56" s="15">
        <f>IF(F3="1",SUMIF(Data!A:A,'26'!$A$2,Data!DO:DO),0)</f>
        <v>83766</v>
      </c>
      <c r="E56" s="18">
        <f>IF(F3="1",SUMIF(Data!$A:$A,'26'!$A$2,Data!JI:JI),0)</f>
        <v>266316</v>
      </c>
      <c r="F56" s="22">
        <f t="shared" si="3"/>
        <v>3.1792851514934459</v>
      </c>
    </row>
    <row r="57" spans="1:6" x14ac:dyDescent="0.2">
      <c r="A57" s="20">
        <v>22</v>
      </c>
      <c r="B57" s="202" t="s">
        <v>19</v>
      </c>
      <c r="C57" s="203"/>
      <c r="D57" s="15">
        <f>IF(F3="1",SUMIF(Data!A:A,'26'!$A$2,Data!DP:DP),0)</f>
        <v>35592</v>
      </c>
      <c r="E57" s="18">
        <f>IF(F3="1",SUMIF(Data!$A:$A,'26'!$A$2,Data!JJ:JJ),0)</f>
        <v>32323</v>
      </c>
      <c r="F57" s="22">
        <f t="shared" si="3"/>
        <v>0.90815351764441443</v>
      </c>
    </row>
    <row r="58" spans="1:6" x14ac:dyDescent="0.2">
      <c r="A58" s="20">
        <v>23</v>
      </c>
      <c r="B58" s="202" t="s">
        <v>20</v>
      </c>
      <c r="C58" s="203"/>
      <c r="D58" s="15">
        <f>IF(F3="1",SUMIF(Data!A:A,'26'!$A$2,Data!DQ:DQ),0)</f>
        <v>509488</v>
      </c>
      <c r="E58" s="18">
        <f>IF(F3="1",SUMIF(Data!$A:$A,'26'!$A$2,Data!JK:JK),0)</f>
        <v>481029</v>
      </c>
      <c r="F58" s="22">
        <f t="shared" si="3"/>
        <v>0.944141962126684</v>
      </c>
    </row>
    <row r="59" spans="1:6" x14ac:dyDescent="0.2">
      <c r="A59" s="20">
        <v>24</v>
      </c>
      <c r="B59" s="202" t="s">
        <v>21</v>
      </c>
      <c r="C59" s="203"/>
      <c r="D59" s="15">
        <f>IF(F3="1",SUMIF(Data!A:A,'26'!$A$2,Data!DR:DR),0)</f>
        <v>363310</v>
      </c>
      <c r="E59" s="18">
        <f>IF(F3="1",SUMIF(Data!$A:$A,'26'!$A$2,Data!JL:JL),0)</f>
        <v>630340</v>
      </c>
      <c r="F59" s="22">
        <f t="shared" si="3"/>
        <v>1.7349921554595249</v>
      </c>
    </row>
    <row r="60" spans="1:6" x14ac:dyDescent="0.2">
      <c r="A60" s="20">
        <v>25</v>
      </c>
      <c r="B60" s="202" t="s">
        <v>22</v>
      </c>
      <c r="C60" s="203"/>
      <c r="D60" s="15">
        <f>IF(F3="1",SUMIF(Data!A:A,'26'!$A$2,Data!DS:DS),0)</f>
        <v>4671952</v>
      </c>
      <c r="E60" s="18">
        <f>IF(F3="1",SUMIF(Data!$A:$A,'26'!$A$2,Data!JM:JM),0)</f>
        <v>1976422</v>
      </c>
      <c r="F60" s="22">
        <f t="shared" si="3"/>
        <v>0.42303987712202523</v>
      </c>
    </row>
    <row r="61" spans="1:6" x14ac:dyDescent="0.2">
      <c r="A61" s="20">
        <v>26</v>
      </c>
      <c r="B61" s="202" t="s">
        <v>23</v>
      </c>
      <c r="C61" s="203"/>
      <c r="D61" s="15">
        <f>IF(F3="1",SUMIF(Data!A:A,'26'!$A$2,Data!DT:DT),0)</f>
        <v>1222816</v>
      </c>
      <c r="E61" s="18">
        <f>IF(F3="1",SUMIF(Data!$A:$A,'26'!$A$2,Data!JN:JN),0)</f>
        <v>1449642</v>
      </c>
      <c r="F61" s="22">
        <f t="shared" si="3"/>
        <v>1.1854947923481538</v>
      </c>
    </row>
    <row r="62" spans="1:6" x14ac:dyDescent="0.2">
      <c r="A62" s="20">
        <v>28</v>
      </c>
      <c r="B62" s="202" t="s">
        <v>24</v>
      </c>
      <c r="C62" s="203"/>
      <c r="D62" s="15">
        <f>IF(F3="1",SUMIF(Data!A:A,'26'!$A$2,Data!DV:DV),0)</f>
        <v>2224240</v>
      </c>
      <c r="E62" s="18">
        <f>IF(F3="1",SUMIF(Data!$A:$A,'26'!$A$2,Data!JP:JP),0)</f>
        <v>889230</v>
      </c>
      <c r="F62" s="22">
        <f t="shared" si="3"/>
        <v>0.39979049023486674</v>
      </c>
    </row>
    <row r="63" spans="1:6" ht="15.75" customHeight="1" thickBot="1" x14ac:dyDescent="0.25">
      <c r="A63" s="23">
        <v>29</v>
      </c>
      <c r="B63" s="206" t="s">
        <v>25</v>
      </c>
      <c r="C63" s="207"/>
      <c r="D63" s="24">
        <f>IF(F3="1",SUMIF(Data!A:A,'26'!$A$2,Data!DW:DW),0)</f>
        <v>1580256</v>
      </c>
      <c r="E63" s="25">
        <f>IF(F3="1",SUMIF(Data!$A:$A,'26'!$A$2,Data!JQ:JQ),0)</f>
        <v>670211</v>
      </c>
      <c r="F63" s="26">
        <f t="shared" si="3"/>
        <v>0.42411545977360632</v>
      </c>
    </row>
    <row r="64" spans="1:6" x14ac:dyDescent="0.2">
      <c r="B64" s="31" t="s">
        <v>35</v>
      </c>
      <c r="C64" s="31"/>
      <c r="D64" s="60">
        <f>SUM(D36:D63)</f>
        <v>24639763</v>
      </c>
      <c r="E64" s="32">
        <f>SUM(E36:E63)</f>
        <v>19332746</v>
      </c>
      <c r="F64" s="33">
        <f t="shared" si="3"/>
        <v>0.7846157448835851</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80500</v>
      </c>
      <c r="E67" s="16">
        <f>IF(F3="1",SUMIF(Data!A:A,'26'!$A$2,Data!DY:DY),0)</f>
        <v>151133</v>
      </c>
      <c r="F67" s="21">
        <f>IFERROR(E67/D67,"")</f>
        <v>1.8774285714285714</v>
      </c>
    </row>
    <row r="68" spans="1:6" x14ac:dyDescent="0.2">
      <c r="A68" s="20">
        <v>2</v>
      </c>
      <c r="B68" s="202" t="s">
        <v>1</v>
      </c>
      <c r="C68" s="203"/>
      <c r="D68" s="15">
        <f t="shared" ref="D68:D94" si="4">D37</f>
        <v>239255</v>
      </c>
      <c r="E68" s="18">
        <f>IF(F3="1",SUMIF(Data!A:A,'26'!$A$2,Data!DZ:DZ),0)</f>
        <v>1166739</v>
      </c>
      <c r="F68" s="22">
        <f t="shared" ref="F68:F95" si="5">IFERROR(E68/D68,"")</f>
        <v>4.8765501243443188</v>
      </c>
    </row>
    <row r="69" spans="1:6" ht="14.25" customHeight="1" x14ac:dyDescent="0.2">
      <c r="A69" s="20">
        <v>3</v>
      </c>
      <c r="B69" s="202" t="s">
        <v>2</v>
      </c>
      <c r="C69" s="203"/>
      <c r="D69" s="15">
        <f t="shared" si="4"/>
        <v>3198288</v>
      </c>
      <c r="E69" s="18">
        <f>IF(F3="1",SUMIF(Data!A:A,'26'!$A$2,Data!EA:EA),0)</f>
        <v>8672541</v>
      </c>
      <c r="F69" s="22">
        <f t="shared" si="5"/>
        <v>2.7116197790818086</v>
      </c>
    </row>
    <row r="70" spans="1:6" ht="14.25" customHeight="1" x14ac:dyDescent="0.2">
      <c r="A70" s="20">
        <v>4</v>
      </c>
      <c r="B70" s="202" t="s">
        <v>3</v>
      </c>
      <c r="C70" s="203"/>
      <c r="D70" s="15">
        <f t="shared" si="4"/>
        <v>1244016</v>
      </c>
      <c r="E70" s="18">
        <f>IF(F3="1",SUMIF(Data!A:A,'26'!$A$2,Data!EB:EB),0)</f>
        <v>3817365</v>
      </c>
      <c r="F70" s="22">
        <f t="shared" si="5"/>
        <v>3.0685819153451401</v>
      </c>
    </row>
    <row r="71" spans="1:6" x14ac:dyDescent="0.2">
      <c r="A71" s="20">
        <v>5</v>
      </c>
      <c r="B71" s="202" t="s">
        <v>4</v>
      </c>
      <c r="C71" s="203"/>
      <c r="D71" s="15">
        <f t="shared" si="4"/>
        <v>2256</v>
      </c>
      <c r="E71" s="18">
        <f>IF(F3="1",SUMIF(Data!A:A,'26'!$A$2,Data!EC:EC),0)</f>
        <v>9604</v>
      </c>
      <c r="F71" s="22">
        <f t="shared" si="5"/>
        <v>4.2570921985815602</v>
      </c>
    </row>
    <row r="72" spans="1:6" x14ac:dyDescent="0.2">
      <c r="A72" s="20">
        <v>6</v>
      </c>
      <c r="B72" s="202" t="s">
        <v>5</v>
      </c>
      <c r="C72" s="203"/>
      <c r="D72" s="15">
        <f t="shared" si="4"/>
        <v>159844</v>
      </c>
      <c r="E72" s="18">
        <f>IF(F3="1",SUMIF(Data!A:A,'26'!$A$2,Data!ED:ED),0)</f>
        <v>269121</v>
      </c>
      <c r="F72" s="22">
        <f t="shared" si="5"/>
        <v>1.6836478066114462</v>
      </c>
    </row>
    <row r="73" spans="1:6" x14ac:dyDescent="0.2">
      <c r="A73" s="20">
        <v>7</v>
      </c>
      <c r="B73" s="202" t="s">
        <v>6</v>
      </c>
      <c r="C73" s="203"/>
      <c r="D73" s="15">
        <f t="shared" si="4"/>
        <v>1169505</v>
      </c>
      <c r="E73" s="18">
        <f>IF(F3="1",SUMIF(Data!A:A,'26'!$A$2,Data!EE:EE),0)</f>
        <v>3978818</v>
      </c>
      <c r="F73" s="22">
        <f t="shared" si="5"/>
        <v>3.4021385115925113</v>
      </c>
    </row>
    <row r="74" spans="1:6" x14ac:dyDescent="0.2">
      <c r="A74" s="20">
        <v>8</v>
      </c>
      <c r="B74" s="202" t="s">
        <v>7</v>
      </c>
      <c r="C74" s="203"/>
      <c r="D74" s="15">
        <f t="shared" si="4"/>
        <v>15952</v>
      </c>
      <c r="E74" s="18">
        <f>IF(F3="1",SUMIF(Data!A:A,'26'!$A$2,Data!EF:EF),0)</f>
        <v>66136</v>
      </c>
      <c r="F74" s="22">
        <f t="shared" si="5"/>
        <v>4.1459378134403213</v>
      </c>
    </row>
    <row r="75" spans="1:6" x14ac:dyDescent="0.2">
      <c r="A75" s="20">
        <v>9</v>
      </c>
      <c r="B75" s="202" t="s">
        <v>8</v>
      </c>
      <c r="C75" s="203"/>
      <c r="D75" s="15">
        <f t="shared" si="4"/>
        <v>357020</v>
      </c>
      <c r="E75" s="18">
        <f>IF(F3="1",SUMIF(Data!A:A,'26'!$A$2,Data!EG:EG),0)</f>
        <v>1397030</v>
      </c>
      <c r="F75" s="22">
        <f t="shared" si="5"/>
        <v>3.9130300823483277</v>
      </c>
    </row>
    <row r="76" spans="1:6" x14ac:dyDescent="0.2">
      <c r="A76" s="20">
        <v>10</v>
      </c>
      <c r="B76" s="202" t="s">
        <v>9</v>
      </c>
      <c r="C76" s="203"/>
      <c r="D76" s="15">
        <f t="shared" si="4"/>
        <v>0</v>
      </c>
      <c r="E76" s="18">
        <f>IF(F3="1",SUMIF(Data!A:A,'26'!$A$2,Data!EH:EH),0)</f>
        <v>0</v>
      </c>
      <c r="F76" s="22" t="str">
        <f t="shared" si="5"/>
        <v/>
      </c>
    </row>
    <row r="77" spans="1:6" x14ac:dyDescent="0.2">
      <c r="A77" s="20">
        <v>11</v>
      </c>
      <c r="B77" s="202" t="s">
        <v>10</v>
      </c>
      <c r="C77" s="203"/>
      <c r="D77" s="15">
        <f t="shared" si="4"/>
        <v>408451</v>
      </c>
      <c r="E77" s="18">
        <f>IF(F3="1",SUMIF(Data!A:A,'26'!$A$2,Data!EI:EI),0)</f>
        <v>1799793</v>
      </c>
      <c r="F77" s="22">
        <f t="shared" si="5"/>
        <v>4.4063865677890375</v>
      </c>
    </row>
    <row r="78" spans="1:6" ht="14.25" customHeight="1" x14ac:dyDescent="0.2">
      <c r="A78" s="20">
        <v>12</v>
      </c>
      <c r="B78" s="202" t="s">
        <v>11</v>
      </c>
      <c r="C78" s="203"/>
      <c r="D78" s="15">
        <f t="shared" si="4"/>
        <v>3301768</v>
      </c>
      <c r="E78" s="18">
        <f>IF(F3="1",SUMIF(Data!A:A,'26'!$A$2,Data!EJ:EJ),0)</f>
        <v>11858209</v>
      </c>
      <c r="F78" s="22">
        <f t="shared" si="5"/>
        <v>3.5914725080623473</v>
      </c>
    </row>
    <row r="79" spans="1:6" x14ac:dyDescent="0.2">
      <c r="A79" s="20">
        <v>13</v>
      </c>
      <c r="B79" s="202" t="s">
        <v>12</v>
      </c>
      <c r="C79" s="203"/>
      <c r="D79" s="15">
        <f t="shared" si="4"/>
        <v>568936</v>
      </c>
      <c r="E79" s="18">
        <f>IF(F3="1",SUMIF(Data!A:A,'26'!$A$2,Data!EK:EK),0)</f>
        <v>1495232</v>
      </c>
      <c r="F79" s="22">
        <f t="shared" si="5"/>
        <v>2.6281198588241912</v>
      </c>
    </row>
    <row r="80" spans="1:6" ht="14.25" customHeight="1" x14ac:dyDescent="0.2">
      <c r="A80" s="20">
        <v>14</v>
      </c>
      <c r="B80" s="202" t="s">
        <v>449</v>
      </c>
      <c r="C80" s="203"/>
      <c r="D80" s="15">
        <f t="shared" si="4"/>
        <v>615575</v>
      </c>
      <c r="E80" s="18">
        <f>IF(F3="1",SUMIF(Data!A:A,'26'!$A$2,Data!EL:EL),0)</f>
        <v>4160841</v>
      </c>
      <c r="F80" s="22">
        <f t="shared" si="5"/>
        <v>6.7592754741501846</v>
      </c>
    </row>
    <row r="81" spans="1:6" x14ac:dyDescent="0.2">
      <c r="A81" s="20">
        <v>15</v>
      </c>
      <c r="B81" s="202" t="s">
        <v>13</v>
      </c>
      <c r="C81" s="203"/>
      <c r="D81" s="15">
        <f t="shared" si="4"/>
        <v>23152</v>
      </c>
      <c r="E81" s="18">
        <f>IF(F3="1",SUMIF(Data!A:A,'26'!$A$2,Data!EM:EM),0)</f>
        <v>223305</v>
      </c>
      <c r="F81" s="22">
        <f t="shared" si="5"/>
        <v>9.6451710435383546</v>
      </c>
    </row>
    <row r="82" spans="1:6" x14ac:dyDescent="0.2">
      <c r="A82" s="20">
        <v>16</v>
      </c>
      <c r="B82" s="202" t="s">
        <v>14</v>
      </c>
      <c r="C82" s="203"/>
      <c r="D82" s="15">
        <f t="shared" si="4"/>
        <v>763465</v>
      </c>
      <c r="E82" s="18">
        <f>IF(F3="1",SUMIF(Data!A:A,'26'!$A$2,Data!EN:EN),0)</f>
        <v>3271463</v>
      </c>
      <c r="F82" s="22">
        <f t="shared" si="5"/>
        <v>4.2850202694295092</v>
      </c>
    </row>
    <row r="83" spans="1:6" x14ac:dyDescent="0.2">
      <c r="A83" s="20">
        <v>17</v>
      </c>
      <c r="B83" s="202" t="s">
        <v>15</v>
      </c>
      <c r="C83" s="203"/>
      <c r="D83" s="15">
        <f t="shared" si="4"/>
        <v>98560</v>
      </c>
      <c r="E83" s="18">
        <f>IF(F3="1",SUMIF(Data!A:A,'26'!$A$2,Data!EO:EO),0)</f>
        <v>783822</v>
      </c>
      <c r="F83" s="22">
        <f t="shared" si="5"/>
        <v>7.9527394480519478</v>
      </c>
    </row>
    <row r="84" spans="1:6" x14ac:dyDescent="0.2">
      <c r="A84" s="20">
        <v>18</v>
      </c>
      <c r="B84" s="202" t="s">
        <v>16</v>
      </c>
      <c r="C84" s="203"/>
      <c r="D84" s="15">
        <f t="shared" si="4"/>
        <v>149264</v>
      </c>
      <c r="E84" s="18">
        <f>IF(F3="1",SUMIF(Data!A:A,'26'!$A$2,Data!EP:EP),0)</f>
        <v>793854</v>
      </c>
      <c r="F84" s="22">
        <f t="shared" si="5"/>
        <v>5.3184558902347518</v>
      </c>
    </row>
    <row r="85" spans="1:6" x14ac:dyDescent="0.2">
      <c r="A85" s="20">
        <v>19</v>
      </c>
      <c r="B85" s="202" t="s">
        <v>17</v>
      </c>
      <c r="C85" s="203"/>
      <c r="D85" s="15">
        <f t="shared" si="4"/>
        <v>1462424</v>
      </c>
      <c r="E85" s="18">
        <f>IF(F3="1",SUMIF(Data!A:A,'26'!$A$2,Data!EQ:EQ),0)</f>
        <v>5075254</v>
      </c>
      <c r="F85" s="22">
        <f t="shared" si="5"/>
        <v>3.4704394895050958</v>
      </c>
    </row>
    <row r="86" spans="1:6" x14ac:dyDescent="0.2">
      <c r="A86" s="20">
        <v>20</v>
      </c>
      <c r="B86" s="202" t="s">
        <v>18</v>
      </c>
      <c r="C86" s="203"/>
      <c r="D86" s="15">
        <f t="shared" si="4"/>
        <v>90112</v>
      </c>
      <c r="E86" s="18">
        <f>IF(F3="1",SUMIF(Data!A:A,'26'!$A$2,Data!ER:ER),0)</f>
        <v>296494</v>
      </c>
      <c r="F86" s="22">
        <f t="shared" si="5"/>
        <v>3.290283203125</v>
      </c>
    </row>
    <row r="87" spans="1:6" ht="14.25" customHeight="1" x14ac:dyDescent="0.2">
      <c r="A87" s="20">
        <v>21</v>
      </c>
      <c r="B87" s="202" t="s">
        <v>446</v>
      </c>
      <c r="C87" s="203"/>
      <c r="D87" s="15">
        <f t="shared" si="4"/>
        <v>83766</v>
      </c>
      <c r="E87" s="18">
        <f>IF(F3="1",SUMIF(Data!A:A,'26'!$A$2,Data!ES:ES),0)</f>
        <v>327008</v>
      </c>
      <c r="F87" s="22">
        <f t="shared" si="5"/>
        <v>3.9038273285103742</v>
      </c>
    </row>
    <row r="88" spans="1:6" x14ac:dyDescent="0.2">
      <c r="A88" s="20">
        <v>22</v>
      </c>
      <c r="B88" s="202" t="s">
        <v>19</v>
      </c>
      <c r="C88" s="203"/>
      <c r="D88" s="15">
        <f t="shared" si="4"/>
        <v>35592</v>
      </c>
      <c r="E88" s="18">
        <f>IF(F3="1",SUMIF(Data!A:A,'26'!$A$2,Data!ET:ET),0)</f>
        <v>160632</v>
      </c>
      <c r="F88" s="22">
        <f t="shared" si="5"/>
        <v>4.5131490222521915</v>
      </c>
    </row>
    <row r="89" spans="1:6" x14ac:dyDescent="0.2">
      <c r="A89" s="20">
        <v>23</v>
      </c>
      <c r="B89" s="202" t="s">
        <v>20</v>
      </c>
      <c r="C89" s="203"/>
      <c r="D89" s="15">
        <f t="shared" si="4"/>
        <v>509488</v>
      </c>
      <c r="E89" s="18">
        <f>IF(F3="1",SUMIF(Data!A:A,'26'!$A$2,Data!EU:EU),0)</f>
        <v>1675024</v>
      </c>
      <c r="F89" s="22">
        <f t="shared" si="5"/>
        <v>3.2876613384417297</v>
      </c>
    </row>
    <row r="90" spans="1:6" x14ac:dyDescent="0.2">
      <c r="A90" s="20">
        <v>24</v>
      </c>
      <c r="B90" s="202" t="s">
        <v>21</v>
      </c>
      <c r="C90" s="203"/>
      <c r="D90" s="15">
        <f t="shared" si="4"/>
        <v>363310</v>
      </c>
      <c r="E90" s="18">
        <f>IF(F3="1",SUMIF(Data!A:A,'26'!$A$2,Data!EV:EV),0)</f>
        <v>852919</v>
      </c>
      <c r="F90" s="22">
        <f t="shared" si="5"/>
        <v>2.3476342517409376</v>
      </c>
    </row>
    <row r="91" spans="1:6" x14ac:dyDescent="0.2">
      <c r="A91" s="20">
        <v>25</v>
      </c>
      <c r="B91" s="202" t="s">
        <v>22</v>
      </c>
      <c r="C91" s="203"/>
      <c r="D91" s="15">
        <f t="shared" si="4"/>
        <v>4671952</v>
      </c>
      <c r="E91" s="18">
        <f>IF(F3="1",SUMIF(Data!A:A,'26'!$A$2,Data!EW:EW),0)</f>
        <v>11374654</v>
      </c>
      <c r="F91" s="22">
        <f t="shared" si="5"/>
        <v>2.4346684212509033</v>
      </c>
    </row>
    <row r="92" spans="1:6" x14ac:dyDescent="0.2">
      <c r="A92" s="20">
        <v>26</v>
      </c>
      <c r="B92" s="202" t="s">
        <v>23</v>
      </c>
      <c r="C92" s="203"/>
      <c r="D92" s="15">
        <f t="shared" si="4"/>
        <v>1222816</v>
      </c>
      <c r="E92" s="18">
        <f>IF(F3="1",SUMIF(Data!A:A,'26'!$A$2,Data!EX:EX),0)</f>
        <v>5179254</v>
      </c>
      <c r="F92" s="22">
        <f t="shared" si="5"/>
        <v>4.2355137649491015</v>
      </c>
    </row>
    <row r="93" spans="1:6" x14ac:dyDescent="0.2">
      <c r="A93" s="20">
        <v>28</v>
      </c>
      <c r="B93" s="202" t="s">
        <v>24</v>
      </c>
      <c r="C93" s="203"/>
      <c r="D93" s="15">
        <f t="shared" si="4"/>
        <v>2224240</v>
      </c>
      <c r="E93" s="18">
        <f>IF(F3="1",SUMIF(Data!A:A,'26'!$A$2,Data!EZ:EZ),0)</f>
        <v>3720979</v>
      </c>
      <c r="F93" s="22">
        <f t="shared" si="5"/>
        <v>1.6729215372441824</v>
      </c>
    </row>
    <row r="94" spans="1:6" ht="15.75" customHeight="1" thickBot="1" x14ac:dyDescent="0.25">
      <c r="A94" s="23">
        <v>29</v>
      </c>
      <c r="B94" s="206" t="s">
        <v>25</v>
      </c>
      <c r="C94" s="207"/>
      <c r="D94" s="24">
        <f t="shared" si="4"/>
        <v>1580256</v>
      </c>
      <c r="E94" s="25">
        <f>IF(F3="1",SUMIF(Data!A:A,'26'!$A$2,Data!FA:FA),0)</f>
        <v>3780530</v>
      </c>
      <c r="F94" s="26">
        <f t="shared" si="5"/>
        <v>2.3923528845959137</v>
      </c>
    </row>
    <row r="95" spans="1:6" x14ac:dyDescent="0.2">
      <c r="B95" s="31" t="s">
        <v>35</v>
      </c>
      <c r="C95" s="31"/>
      <c r="D95" s="60">
        <f>SUM(D67:D94)</f>
        <v>24639763</v>
      </c>
      <c r="E95" s="32">
        <f>SUM(E67:E94)</f>
        <v>76357754</v>
      </c>
      <c r="F95" s="33">
        <f t="shared" si="5"/>
        <v>3.098964628839977</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IF(F3="1",SUMIF(Data!A:A,'26'!$A$2,Data!AH:AH),0)</f>
        <v>23173319</v>
      </c>
      <c r="F98" s="21">
        <f t="shared" ref="F98:F105" si="6">IFERROR(E98/$D$95,0)</f>
        <v>0.94048465482399324</v>
      </c>
    </row>
    <row r="99" spans="2:6" x14ac:dyDescent="0.2">
      <c r="B99" s="212" t="s">
        <v>31</v>
      </c>
      <c r="C99" s="213"/>
      <c r="D99" s="37"/>
      <c r="E99" s="18">
        <f>IF(F3="1",SUMIF(Data!A:A,'26'!$A$2,Data!AI:AI),0)</f>
        <v>29885706</v>
      </c>
      <c r="F99" s="22">
        <f t="shared" si="6"/>
        <v>1.2129055786778469</v>
      </c>
    </row>
    <row r="100" spans="2:6" x14ac:dyDescent="0.2">
      <c r="B100" s="212" t="s">
        <v>32</v>
      </c>
      <c r="C100" s="213"/>
      <c r="D100" s="37"/>
      <c r="E100" s="18">
        <f>IF(F3="1",SUMIF(Data!A:A,'26'!$A$2,Data!AJ:AJ),0)</f>
        <v>38345388</v>
      </c>
      <c r="F100" s="22">
        <f t="shared" si="6"/>
        <v>1.5562401310434681</v>
      </c>
    </row>
    <row r="101" spans="2:6" x14ac:dyDescent="0.2">
      <c r="B101" s="212" t="s">
        <v>28</v>
      </c>
      <c r="C101" s="213"/>
      <c r="D101" s="37"/>
      <c r="E101" s="18">
        <f>IF(F3="1",SUMIF(Data!A:A,'26'!$A$2,Data!AK:AK),0)</f>
        <v>0</v>
      </c>
      <c r="F101" s="22">
        <f t="shared" si="6"/>
        <v>0</v>
      </c>
    </row>
    <row r="102" spans="2:6" x14ac:dyDescent="0.2">
      <c r="B102" s="212" t="s">
        <v>33</v>
      </c>
      <c r="C102" s="213"/>
      <c r="D102" s="37"/>
      <c r="E102" s="18">
        <f>IF(F3="1",SUMIF(Data!A:A,'26'!$A$2,Data!AL:AL),0)</f>
        <v>0</v>
      </c>
      <c r="F102" s="22">
        <f t="shared" si="6"/>
        <v>0</v>
      </c>
    </row>
    <row r="103" spans="2:6" x14ac:dyDescent="0.2">
      <c r="B103" s="214" t="s">
        <v>34</v>
      </c>
      <c r="C103" s="215"/>
      <c r="D103" s="37"/>
      <c r="E103" s="18">
        <f>IF(F3="1",SUMIF(Data!A:A,'26'!$A$2,Data!AM:AM),0)</f>
        <v>9653457</v>
      </c>
      <c r="F103" s="22">
        <f t="shared" si="6"/>
        <v>0.3917836790881471</v>
      </c>
    </row>
    <row r="104" spans="2:6" ht="15.75" customHeight="1" thickBot="1" x14ac:dyDescent="0.25">
      <c r="B104" s="208" t="s">
        <v>29</v>
      </c>
      <c r="C104" s="209"/>
      <c r="D104" s="38"/>
      <c r="E104" s="25">
        <f>IF(F3="1",SUMIF(Data!A:A,'26'!$A$2,Data!Q:Q),0)</f>
        <v>10258689</v>
      </c>
      <c r="F104" s="26">
        <f t="shared" si="6"/>
        <v>0.41634690236265665</v>
      </c>
    </row>
    <row r="105" spans="2:6" x14ac:dyDescent="0.2">
      <c r="B105" s="31" t="s">
        <v>35</v>
      </c>
      <c r="C105" s="31"/>
      <c r="D105" s="35">
        <f>D95</f>
        <v>24639763</v>
      </c>
      <c r="E105" s="32">
        <f>SUM(E98:E104)</f>
        <v>111316559</v>
      </c>
      <c r="F105" s="33">
        <f t="shared" si="6"/>
        <v>4.5177609459961117</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80627320</v>
      </c>
      <c r="D109" s="192">
        <f>IF(F3="1",SUMIF(Data!$A:$A,$A$2,Data!HJ:HJ),0)</f>
        <v>5417414</v>
      </c>
      <c r="E109" s="192">
        <f>IF(F3="1",SUMIF(Data!$A:$A,$A$2,Data!IN:IN),0)</f>
        <v>9645764</v>
      </c>
      <c r="F109" s="48">
        <f>SUM(C109:E109)</f>
        <v>95690498</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1682453</v>
      </c>
      <c r="D111" s="52"/>
      <c r="E111" s="193">
        <f>IF(F3="1",SUMIF(Data!A:A,$A$2,Data!AX:AX)-SUMIF(Data!A:A,$A$2,Data!AW:AW),0)</f>
        <v>430501</v>
      </c>
      <c r="F111" s="49">
        <f t="shared" si="7"/>
        <v>2112954</v>
      </c>
    </row>
    <row r="112" spans="2:6" x14ac:dyDescent="0.2">
      <c r="B112" s="43" t="s">
        <v>32</v>
      </c>
      <c r="C112" s="193">
        <f>IF(F3="1",SUMIF(Data!A:A,$A$2,Data!V:V),0)</f>
        <v>28695219</v>
      </c>
      <c r="D112" s="52"/>
      <c r="E112" s="193">
        <f>IF(F3="1",SUMIF(Data!A:A,$A$2,Data!AC:AC),0)</f>
        <v>9650169</v>
      </c>
      <c r="F112" s="49">
        <f t="shared" si="7"/>
        <v>38345388</v>
      </c>
    </row>
    <row r="113" spans="1:6" x14ac:dyDescent="0.2">
      <c r="B113" s="43" t="s">
        <v>31</v>
      </c>
      <c r="C113" s="193">
        <f>IF(F3="1",SUMIF(Data!A:A,$A$2,Data!U:U),0)</f>
        <v>20581832</v>
      </c>
      <c r="D113" s="52"/>
      <c r="E113" s="193">
        <f>IF(F3="1",SUMIF(Data!A:A,$A$2,Data!AB:AB),0)</f>
        <v>9303874</v>
      </c>
      <c r="F113" s="49">
        <f t="shared" si="7"/>
        <v>29885706</v>
      </c>
    </row>
    <row r="114" spans="1:6" x14ac:dyDescent="0.2">
      <c r="B114" s="43" t="s">
        <v>1002</v>
      </c>
      <c r="C114" s="193">
        <f>IF(F3="1",SUMIF(Data!A:A,$A$2,Data!T:T),0)</f>
        <v>14826209</v>
      </c>
      <c r="D114" s="52"/>
      <c r="E114" s="193">
        <f>IF(F3="1",SUMIF(Data!A:A,$A$2,Data!AA:AA),0)</f>
        <v>8347110</v>
      </c>
      <c r="F114" s="49">
        <f t="shared" si="7"/>
        <v>23173319</v>
      </c>
    </row>
    <row r="115" spans="1:6" x14ac:dyDescent="0.2">
      <c r="B115" s="43" t="s">
        <v>916</v>
      </c>
      <c r="C115" s="193">
        <f>IF(F3="1",SUMIF(Data!A:A,$A$2,Data!BI:BI),0)</f>
        <v>10978563</v>
      </c>
      <c r="D115" s="193">
        <f>IF(F3="1",SUMIF(Data!A:A,$A$2,Data!BL:BL),0)</f>
        <v>2964321</v>
      </c>
      <c r="E115" s="193">
        <f>IF(F3="1",SUMIF(Data!A:A,$A$2,Data!BU:BU)-SUMIF(Data!A:A,$A$2,Data!BT:BT),0)</f>
        <v>28175529</v>
      </c>
      <c r="F115" s="49">
        <f t="shared" si="7"/>
        <v>42118413</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10258689</v>
      </c>
      <c r="E117" s="53"/>
      <c r="F117" s="50">
        <f>SUM(C117:E117)</f>
        <v>10258689</v>
      </c>
    </row>
    <row r="118" spans="1:6" x14ac:dyDescent="0.2">
      <c r="B118" s="14" t="s">
        <v>35</v>
      </c>
      <c r="C118" s="178">
        <f>SUM(C109:C117)</f>
        <v>157391596</v>
      </c>
      <c r="D118" s="194">
        <f>SUM(D109:D117)</f>
        <v>18640424</v>
      </c>
      <c r="E118" s="178">
        <f>SUM(E109:E117)</f>
        <v>65552947</v>
      </c>
      <c r="F118" s="178">
        <f>SUM(F109:F117)</f>
        <v>241584967</v>
      </c>
    </row>
    <row r="119" spans="1:6" x14ac:dyDescent="0.2">
      <c r="C119" s="177"/>
      <c r="D119" s="177"/>
      <c r="E119" s="177"/>
    </row>
    <row r="120" spans="1:6" ht="15" thickBot="1" x14ac:dyDescent="0.25">
      <c r="B120" s="188" t="s">
        <v>921</v>
      </c>
      <c r="C120" s="53"/>
      <c r="D120" s="53"/>
      <c r="E120" s="195">
        <f>IF(F3="1",SUMIF(Data!A:A,$A$2,Data!AF:AF)+SUMIF(Data!A:A,$A$2,Data!AW:AW)+SUMIF(Data!A:A,$A$2,Data!BT:BT),0)</f>
        <v>9840373</v>
      </c>
      <c r="F120" s="181">
        <f>SUM(C120:E120)</f>
        <v>9840373</v>
      </c>
    </row>
    <row r="121" spans="1:6" s="177" customFormat="1" x14ac:dyDescent="0.2">
      <c r="B121" s="14" t="s">
        <v>35</v>
      </c>
      <c r="C121" s="178">
        <f>SUM(C120:C120)</f>
        <v>0</v>
      </c>
      <c r="D121" s="178">
        <f>SUM(D120:D120)</f>
        <v>0</v>
      </c>
      <c r="E121" s="178">
        <f>SUM(E120:E120)</f>
        <v>9840373</v>
      </c>
      <c r="F121" s="178">
        <f>SUM(F120:F120)</f>
        <v>9840373</v>
      </c>
    </row>
    <row r="122" spans="1:6" s="177" customFormat="1" ht="15" thickBot="1" x14ac:dyDescent="0.25">
      <c r="B122" s="14" t="s">
        <v>1396</v>
      </c>
      <c r="C122" s="178"/>
      <c r="D122" s="178"/>
      <c r="E122" s="178"/>
      <c r="F122" s="190">
        <f>F118+F121</f>
        <v>251425340</v>
      </c>
    </row>
    <row r="123" spans="1:6" ht="15" thickTop="1" x14ac:dyDescent="0.2">
      <c r="C123" s="74"/>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379</v>
      </c>
      <c r="B2" s="59" t="str">
        <f>VLOOKUP(A2,Data!A:G,7,0)</f>
        <v>McLennan Community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52640</v>
      </c>
      <c r="E5" s="16">
        <f>E36+E67+IFERROR($E$105/$D$105*D5,0)</f>
        <v>569084.07920528378</v>
      </c>
      <c r="F5" s="21">
        <f>IFERROR(E5/D5,"")</f>
        <v>10.810867766057823</v>
      </c>
    </row>
    <row r="6" spans="1:6" x14ac:dyDescent="0.2">
      <c r="A6" s="20">
        <v>2</v>
      </c>
      <c r="B6" s="202" t="s">
        <v>1</v>
      </c>
      <c r="C6" s="203"/>
      <c r="D6" s="15">
        <f t="shared" ref="D6:D32" si="0">D37</f>
        <v>0</v>
      </c>
      <c r="E6" s="18">
        <f t="shared" ref="E6:E32" si="1">E37+E68+IFERROR($E$105/$D$105*D6,0)</f>
        <v>0</v>
      </c>
      <c r="F6" s="22" t="str">
        <f t="shared" ref="F6:F33" si="2">IFERROR(E6/D6,"")</f>
        <v/>
      </c>
    </row>
    <row r="7" spans="1:6" ht="14.25" customHeight="1" x14ac:dyDescent="0.2">
      <c r="A7" s="20">
        <v>3</v>
      </c>
      <c r="B7" s="202" t="s">
        <v>2</v>
      </c>
      <c r="C7" s="203"/>
      <c r="D7" s="15">
        <f t="shared" si="0"/>
        <v>669472</v>
      </c>
      <c r="E7" s="18">
        <f t="shared" si="1"/>
        <v>4801534.6602150407</v>
      </c>
      <c r="F7" s="22">
        <f t="shared" si="2"/>
        <v>7.1721217021997044</v>
      </c>
    </row>
    <row r="8" spans="1:6" ht="14.25" customHeight="1" x14ac:dyDescent="0.2">
      <c r="A8" s="20">
        <v>4</v>
      </c>
      <c r="B8" s="202" t="s">
        <v>3</v>
      </c>
      <c r="C8" s="203"/>
      <c r="D8" s="15">
        <f t="shared" si="0"/>
        <v>354486</v>
      </c>
      <c r="E8" s="18">
        <f t="shared" si="1"/>
        <v>3140226.5277576791</v>
      </c>
      <c r="F8" s="22">
        <f t="shared" si="2"/>
        <v>8.8585346889797592</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18526</v>
      </c>
      <c r="E10" s="18">
        <f t="shared" si="1"/>
        <v>71445.140793257713</v>
      </c>
      <c r="F10" s="22">
        <f t="shared" si="2"/>
        <v>3.8564795850835427</v>
      </c>
    </row>
    <row r="11" spans="1:6" x14ac:dyDescent="0.2">
      <c r="A11" s="20">
        <v>7</v>
      </c>
      <c r="B11" s="202" t="s">
        <v>6</v>
      </c>
      <c r="C11" s="203"/>
      <c r="D11" s="15">
        <f t="shared" si="0"/>
        <v>149290</v>
      </c>
      <c r="E11" s="18">
        <f t="shared" si="1"/>
        <v>1786387.2983388451</v>
      </c>
      <c r="F11" s="22">
        <f t="shared" si="2"/>
        <v>11.96588718828351</v>
      </c>
    </row>
    <row r="12" spans="1:6" x14ac:dyDescent="0.2">
      <c r="A12" s="20">
        <v>8</v>
      </c>
      <c r="B12" s="202" t="s">
        <v>7</v>
      </c>
      <c r="C12" s="203"/>
      <c r="D12" s="15">
        <f t="shared" si="0"/>
        <v>708</v>
      </c>
      <c r="E12" s="18">
        <f t="shared" si="1"/>
        <v>2248.8907309525243</v>
      </c>
      <c r="F12" s="22">
        <f t="shared" si="2"/>
        <v>3.1763993375035655</v>
      </c>
    </row>
    <row r="13" spans="1:6" x14ac:dyDescent="0.2">
      <c r="A13" s="20">
        <v>9</v>
      </c>
      <c r="B13" s="202" t="s">
        <v>8</v>
      </c>
      <c r="C13" s="203"/>
      <c r="D13" s="15">
        <f t="shared" si="0"/>
        <v>172600</v>
      </c>
      <c r="E13" s="18">
        <f t="shared" si="1"/>
        <v>2041756.7855401211</v>
      </c>
      <c r="F13" s="22">
        <f t="shared" si="2"/>
        <v>11.82941358945609</v>
      </c>
    </row>
    <row r="14" spans="1:6" x14ac:dyDescent="0.2">
      <c r="A14" s="20">
        <v>10</v>
      </c>
      <c r="B14" s="202" t="s">
        <v>9</v>
      </c>
      <c r="C14" s="203"/>
      <c r="D14" s="15">
        <f t="shared" si="0"/>
        <v>3360</v>
      </c>
      <c r="E14" s="18">
        <f t="shared" si="1"/>
        <v>10299.430587571302</v>
      </c>
      <c r="F14" s="22">
        <f t="shared" si="2"/>
        <v>3.0653067224914587</v>
      </c>
    </row>
    <row r="15" spans="1:6" x14ac:dyDescent="0.2">
      <c r="A15" s="20">
        <v>11</v>
      </c>
      <c r="B15" s="202" t="s">
        <v>10</v>
      </c>
      <c r="C15" s="203"/>
      <c r="D15" s="15">
        <f t="shared" si="0"/>
        <v>5818</v>
      </c>
      <c r="E15" s="18">
        <f t="shared" si="1"/>
        <v>76631.712249550546</v>
      </c>
      <c r="F15" s="22">
        <f t="shared" si="2"/>
        <v>13.171487151864996</v>
      </c>
    </row>
    <row r="16" spans="1:6" ht="14.25" customHeight="1" x14ac:dyDescent="0.2">
      <c r="A16" s="20">
        <v>12</v>
      </c>
      <c r="B16" s="202" t="s">
        <v>11</v>
      </c>
      <c r="C16" s="203"/>
      <c r="D16" s="15">
        <f t="shared" si="0"/>
        <v>513484</v>
      </c>
      <c r="E16" s="18">
        <f t="shared" si="1"/>
        <v>5284143.8701870423</v>
      </c>
      <c r="F16" s="22">
        <f t="shared" si="2"/>
        <v>10.290766353356759</v>
      </c>
    </row>
    <row r="17" spans="1:6" x14ac:dyDescent="0.2">
      <c r="A17" s="20">
        <v>13</v>
      </c>
      <c r="B17" s="202" t="s">
        <v>12</v>
      </c>
      <c r="C17" s="203"/>
      <c r="D17" s="15">
        <f t="shared" si="0"/>
        <v>87649</v>
      </c>
      <c r="E17" s="18">
        <f t="shared" si="1"/>
        <v>618921.04897917772</v>
      </c>
      <c r="F17" s="22">
        <f t="shared" si="2"/>
        <v>7.0613589314102585</v>
      </c>
    </row>
    <row r="18" spans="1:6" ht="14.25" customHeight="1" x14ac:dyDescent="0.2">
      <c r="A18" s="20">
        <v>14</v>
      </c>
      <c r="B18" s="202" t="s">
        <v>449</v>
      </c>
      <c r="C18" s="203"/>
      <c r="D18" s="15">
        <f t="shared" si="0"/>
        <v>204529</v>
      </c>
      <c r="E18" s="18">
        <f t="shared" si="1"/>
        <v>3262596.0272754082</v>
      </c>
      <c r="F18" s="22">
        <f t="shared" si="2"/>
        <v>15.951752696563364</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367157</v>
      </c>
      <c r="E20" s="18">
        <f t="shared" si="1"/>
        <v>3656608.3348931298</v>
      </c>
      <c r="F20" s="22">
        <f t="shared" si="2"/>
        <v>9.9592499527262994</v>
      </c>
    </row>
    <row r="21" spans="1:6" x14ac:dyDescent="0.2">
      <c r="A21" s="20">
        <v>17</v>
      </c>
      <c r="B21" s="202" t="s">
        <v>15</v>
      </c>
      <c r="C21" s="203"/>
      <c r="D21" s="15">
        <f t="shared" si="0"/>
        <v>64544</v>
      </c>
      <c r="E21" s="18">
        <f t="shared" si="1"/>
        <v>784352.00471553637</v>
      </c>
      <c r="F21" s="22">
        <f t="shared" si="2"/>
        <v>12.152206319960591</v>
      </c>
    </row>
    <row r="22" spans="1:6" x14ac:dyDescent="0.2">
      <c r="A22" s="20">
        <v>18</v>
      </c>
      <c r="B22" s="202" t="s">
        <v>16</v>
      </c>
      <c r="C22" s="203"/>
      <c r="D22" s="15">
        <f t="shared" si="0"/>
        <v>86080</v>
      </c>
      <c r="E22" s="18">
        <f t="shared" si="1"/>
        <v>724817.69791016006</v>
      </c>
      <c r="F22" s="22">
        <f t="shared" si="2"/>
        <v>8.4202799478410792</v>
      </c>
    </row>
    <row r="23" spans="1:6" x14ac:dyDescent="0.2">
      <c r="A23" s="20">
        <v>19</v>
      </c>
      <c r="B23" s="202" t="s">
        <v>17</v>
      </c>
      <c r="C23" s="203"/>
      <c r="D23" s="15">
        <f t="shared" si="0"/>
        <v>169248</v>
      </c>
      <c r="E23" s="18">
        <f t="shared" si="1"/>
        <v>1432398.4893110916</v>
      </c>
      <c r="F23" s="22">
        <f t="shared" si="2"/>
        <v>8.4633111724279857</v>
      </c>
    </row>
    <row r="24" spans="1:6" x14ac:dyDescent="0.2">
      <c r="A24" s="20">
        <v>20</v>
      </c>
      <c r="B24" s="202" t="s">
        <v>18</v>
      </c>
      <c r="C24" s="203"/>
      <c r="D24" s="15">
        <f t="shared" si="0"/>
        <v>0</v>
      </c>
      <c r="E24" s="18">
        <f t="shared" si="1"/>
        <v>0</v>
      </c>
      <c r="F24" s="22" t="str">
        <f t="shared" si="2"/>
        <v/>
      </c>
    </row>
    <row r="25" spans="1:6" ht="14.25" customHeight="1" x14ac:dyDescent="0.2">
      <c r="A25" s="20">
        <v>21</v>
      </c>
      <c r="B25" s="202" t="s">
        <v>446</v>
      </c>
      <c r="C25" s="203"/>
      <c r="D25" s="15">
        <f t="shared" si="0"/>
        <v>63508</v>
      </c>
      <c r="E25" s="18">
        <f t="shared" si="1"/>
        <v>859554.6052843685</v>
      </c>
      <c r="F25" s="22">
        <f t="shared" si="2"/>
        <v>13.534587851678033</v>
      </c>
    </row>
    <row r="26" spans="1:6" x14ac:dyDescent="0.2">
      <c r="A26" s="20">
        <v>22</v>
      </c>
      <c r="B26" s="202" t="s">
        <v>19</v>
      </c>
      <c r="C26" s="203"/>
      <c r="D26" s="15">
        <f t="shared" si="0"/>
        <v>2496</v>
      </c>
      <c r="E26" s="18">
        <f t="shared" si="1"/>
        <v>7661.919865052967</v>
      </c>
      <c r="F26" s="22">
        <f t="shared" si="2"/>
        <v>3.0696794331141697</v>
      </c>
    </row>
    <row r="27" spans="1:6" x14ac:dyDescent="0.2">
      <c r="A27" s="20">
        <v>23</v>
      </c>
      <c r="B27" s="202" t="s">
        <v>20</v>
      </c>
      <c r="C27" s="203"/>
      <c r="D27" s="15">
        <f t="shared" si="0"/>
        <v>144264</v>
      </c>
      <c r="E27" s="18">
        <f t="shared" si="1"/>
        <v>1272722.8875849363</v>
      </c>
      <c r="F27" s="22">
        <f t="shared" si="2"/>
        <v>8.8221793904573307</v>
      </c>
    </row>
    <row r="28" spans="1:6" x14ac:dyDescent="0.2">
      <c r="A28" s="20">
        <v>24</v>
      </c>
      <c r="B28" s="202" t="s">
        <v>21</v>
      </c>
      <c r="C28" s="203"/>
      <c r="D28" s="15">
        <f t="shared" si="0"/>
        <v>182006</v>
      </c>
      <c r="E28" s="18">
        <f t="shared" si="1"/>
        <v>1495141.7575956853</v>
      </c>
      <c r="F28" s="22">
        <f t="shared" si="2"/>
        <v>8.2147937847965746</v>
      </c>
    </row>
    <row r="29" spans="1:6" x14ac:dyDescent="0.2">
      <c r="A29" s="20">
        <v>25</v>
      </c>
      <c r="B29" s="202" t="s">
        <v>22</v>
      </c>
      <c r="C29" s="203"/>
      <c r="D29" s="15">
        <f t="shared" si="0"/>
        <v>714736</v>
      </c>
      <c r="E29" s="18">
        <f t="shared" si="1"/>
        <v>4642878.8608447509</v>
      </c>
      <c r="F29" s="22">
        <f t="shared" si="2"/>
        <v>6.495935367526962</v>
      </c>
    </row>
    <row r="30" spans="1:6" x14ac:dyDescent="0.2">
      <c r="A30" s="20">
        <v>26</v>
      </c>
      <c r="B30" s="202" t="s">
        <v>23</v>
      </c>
      <c r="C30" s="203"/>
      <c r="D30" s="15">
        <f t="shared" si="0"/>
        <v>315152</v>
      </c>
      <c r="E30" s="18">
        <f t="shared" si="1"/>
        <v>3371386.9203971047</v>
      </c>
      <c r="F30" s="22">
        <f t="shared" si="2"/>
        <v>10.697653577946847</v>
      </c>
    </row>
    <row r="31" spans="1:6" x14ac:dyDescent="0.2">
      <c r="A31" s="20">
        <v>28</v>
      </c>
      <c r="B31" s="202" t="s">
        <v>24</v>
      </c>
      <c r="C31" s="203"/>
      <c r="D31" s="15">
        <f t="shared" si="0"/>
        <v>192144</v>
      </c>
      <c r="E31" s="18">
        <f t="shared" si="1"/>
        <v>1545305.0234578275</v>
      </c>
      <c r="F31" s="22">
        <f t="shared" si="2"/>
        <v>8.0424318399628802</v>
      </c>
    </row>
    <row r="32" spans="1:6" ht="15.75" customHeight="1" thickBot="1" x14ac:dyDescent="0.25">
      <c r="A32" s="23">
        <v>29</v>
      </c>
      <c r="B32" s="206" t="s">
        <v>25</v>
      </c>
      <c r="C32" s="207"/>
      <c r="D32" s="24">
        <f t="shared" si="0"/>
        <v>196848</v>
      </c>
      <c r="E32" s="25">
        <f t="shared" si="1"/>
        <v>742444.02628042735</v>
      </c>
      <c r="F32" s="26">
        <f t="shared" si="2"/>
        <v>3.7716615169086167</v>
      </c>
    </row>
    <row r="33" spans="1:6" x14ac:dyDescent="0.2">
      <c r="B33" s="31" t="s">
        <v>35</v>
      </c>
      <c r="C33" s="31"/>
      <c r="D33" s="60">
        <f>SUM(D5:D32)</f>
        <v>4730745</v>
      </c>
      <c r="E33" s="32">
        <f>SUM(E5:E32)</f>
        <v>42200547.999999993</v>
      </c>
      <c r="F33" s="33">
        <f t="shared" si="2"/>
        <v>8.920486730948296</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IF(F3="1",SUMIF(Data!A:A,'27'!$A$2,Data!CU:CU),0)</f>
        <v>52640</v>
      </c>
      <c r="E36" s="16">
        <f>IF(F3="1",SUMIF(Data!$A:$A,'27'!$A$2,Data!IO:IO),0)</f>
        <v>273145</v>
      </c>
      <c r="F36" s="21">
        <f t="shared" ref="F36:F64" si="3">IFERROR(E36/D36,"")</f>
        <v>5.188924772036474</v>
      </c>
    </row>
    <row r="37" spans="1:6" x14ac:dyDescent="0.2">
      <c r="A37" s="20">
        <v>2</v>
      </c>
      <c r="B37" s="202" t="s">
        <v>1</v>
      </c>
      <c r="C37" s="203"/>
      <c r="D37" s="15">
        <f>IF(F3="1",SUMIF(Data!A:A,'27'!$A$2,Data!CV:CV),0)</f>
        <v>0</v>
      </c>
      <c r="E37" s="18">
        <f>IF(F3="1",SUMIF(Data!$A:$A,'27'!$A$2,Data!IP:IP),0)</f>
        <v>0</v>
      </c>
      <c r="F37" s="22" t="str">
        <f t="shared" si="3"/>
        <v/>
      </c>
    </row>
    <row r="38" spans="1:6" ht="14.25" customHeight="1" x14ac:dyDescent="0.2">
      <c r="A38" s="20">
        <v>3</v>
      </c>
      <c r="B38" s="202" t="s">
        <v>2</v>
      </c>
      <c r="C38" s="203"/>
      <c r="D38" s="15">
        <f>IF(F3="1",SUMIF(Data!A:A,'27'!$A$2,Data!CW:CW),0)</f>
        <v>669472</v>
      </c>
      <c r="E38" s="18">
        <f>IF(F3="1",SUMIF(Data!$A:$A,'27'!$A$2,Data!IQ:IQ),0)</f>
        <v>563768</v>
      </c>
      <c r="F38" s="22">
        <f t="shared" si="3"/>
        <v>0.84210840781989393</v>
      </c>
    </row>
    <row r="39" spans="1:6" ht="14.25" customHeight="1" x14ac:dyDescent="0.2">
      <c r="A39" s="20">
        <v>4</v>
      </c>
      <c r="B39" s="202" t="s">
        <v>3</v>
      </c>
      <c r="C39" s="203"/>
      <c r="D39" s="15">
        <f>IF(F3="1",SUMIF(Data!A:A,'27'!$A$2,Data!CX:CX),0)</f>
        <v>354486</v>
      </c>
      <c r="E39" s="18">
        <f>IF(F3="1",SUMIF(Data!$A:$A,'27'!$A$2,Data!IR:IR),0)</f>
        <v>703803</v>
      </c>
      <c r="F39" s="22">
        <f t="shared" si="3"/>
        <v>1.98541832399587</v>
      </c>
    </row>
    <row r="40" spans="1:6" x14ac:dyDescent="0.2">
      <c r="A40" s="20">
        <v>5</v>
      </c>
      <c r="B40" s="202" t="s">
        <v>4</v>
      </c>
      <c r="C40" s="203"/>
      <c r="D40" s="15">
        <f>IF(F3="1",SUMIF(Data!A:A,'27'!$A$2,Data!CY:CY),0)</f>
        <v>0</v>
      </c>
      <c r="E40" s="18">
        <f>IF(F3="1",SUMIF(Data!$A:$A,'27'!$A$2,Data!IS:IS),0)</f>
        <v>0</v>
      </c>
      <c r="F40" s="22" t="str">
        <f t="shared" si="3"/>
        <v/>
      </c>
    </row>
    <row r="41" spans="1:6" x14ac:dyDescent="0.2">
      <c r="A41" s="20">
        <v>6</v>
      </c>
      <c r="B41" s="202" t="s">
        <v>5</v>
      </c>
      <c r="C41" s="203"/>
      <c r="D41" s="15">
        <f>IF(F3="1",SUMIF(Data!A:A,'27'!$A$2,Data!CZ:CZ),0)</f>
        <v>18526</v>
      </c>
      <c r="E41" s="18">
        <f>IF(F3="1",SUMIF(Data!$A:$A,'27'!$A$2,Data!IT:IT),0)</f>
        <v>2811</v>
      </c>
      <c r="F41" s="22">
        <f t="shared" si="3"/>
        <v>0.15173269998920436</v>
      </c>
    </row>
    <row r="42" spans="1:6" x14ac:dyDescent="0.2">
      <c r="A42" s="20">
        <v>7</v>
      </c>
      <c r="B42" s="202" t="s">
        <v>6</v>
      </c>
      <c r="C42" s="203"/>
      <c r="D42" s="15">
        <f>IF(F3="1",SUMIF(Data!A:A,'27'!$A$2,Data!DA:DA),0)</f>
        <v>149290</v>
      </c>
      <c r="E42" s="18">
        <f>IF(F3="1",SUMIF(Data!$A:$A,'27'!$A$2,Data!IU:IU),0)</f>
        <v>221043</v>
      </c>
      <c r="F42" s="22">
        <f t="shared" si="3"/>
        <v>1.4806283073213209</v>
      </c>
    </row>
    <row r="43" spans="1:6" x14ac:dyDescent="0.2">
      <c r="A43" s="20">
        <v>8</v>
      </c>
      <c r="B43" s="202" t="s">
        <v>7</v>
      </c>
      <c r="C43" s="203"/>
      <c r="D43" s="15">
        <f>IF(F3="1",SUMIF(Data!A:A,'27'!$A$2,Data!DB:DB),0)</f>
        <v>708</v>
      </c>
      <c r="E43" s="18">
        <f>IF(F3="1",SUMIF(Data!$A:$A,'27'!$A$2,Data!IV:IV),0)</f>
        <v>113</v>
      </c>
      <c r="F43" s="22">
        <f t="shared" si="3"/>
        <v>0.1596045197740113</v>
      </c>
    </row>
    <row r="44" spans="1:6" x14ac:dyDescent="0.2">
      <c r="A44" s="20">
        <v>9</v>
      </c>
      <c r="B44" s="202" t="s">
        <v>8</v>
      </c>
      <c r="C44" s="203"/>
      <c r="D44" s="15">
        <f>IF(F3="1",SUMIF(Data!A:A,'27'!$A$2,Data!DC:DC),0)</f>
        <v>172600</v>
      </c>
      <c r="E44" s="18">
        <f>IF(F3="1",SUMIF(Data!$A:$A,'27'!$A$2,Data!IW:IW),0)</f>
        <v>933044</v>
      </c>
      <c r="F44" s="22">
        <f t="shared" si="3"/>
        <v>5.4058169177288526</v>
      </c>
    </row>
    <row r="45" spans="1:6" x14ac:dyDescent="0.2">
      <c r="A45" s="20">
        <v>10</v>
      </c>
      <c r="B45" s="202" t="s">
        <v>9</v>
      </c>
      <c r="C45" s="203"/>
      <c r="D45" s="15">
        <f>IF(F3="1",SUMIF(Data!A:A,'27'!$A$2,Data!DD:DD),0)</f>
        <v>3360</v>
      </c>
      <c r="E45" s="18">
        <f>IF(F3="1",SUMIF(Data!$A:$A,'27'!$A$2,Data!IX:IX),0)</f>
        <v>163</v>
      </c>
      <c r="F45" s="22">
        <f t="shared" si="3"/>
        <v>4.8511904761904763E-2</v>
      </c>
    </row>
    <row r="46" spans="1:6" x14ac:dyDescent="0.2">
      <c r="A46" s="20">
        <v>11</v>
      </c>
      <c r="B46" s="202" t="s">
        <v>10</v>
      </c>
      <c r="C46" s="203"/>
      <c r="D46" s="15">
        <f>IF(F3="1",SUMIF(Data!A:A,'27'!$A$2,Data!DE:DE),0)</f>
        <v>5818</v>
      </c>
      <c r="E46" s="18">
        <f>IF(F3="1",SUMIF(Data!$A:$A,'27'!$A$2,Data!IY:IY),0)</f>
        <v>10960</v>
      </c>
      <c r="F46" s="22">
        <f t="shared" si="3"/>
        <v>1.8838088690271571</v>
      </c>
    </row>
    <row r="47" spans="1:6" ht="14.25" customHeight="1" x14ac:dyDescent="0.2">
      <c r="A47" s="20">
        <v>12</v>
      </c>
      <c r="B47" s="202" t="s">
        <v>11</v>
      </c>
      <c r="C47" s="203"/>
      <c r="D47" s="15">
        <f>IF(F3="1",SUMIF(Data!A:A,'27'!$A$2,Data!DF:DF),0)</f>
        <v>513484</v>
      </c>
      <c r="E47" s="18">
        <f>IF(F3="1",SUMIF(Data!$A:$A,'27'!$A$2,Data!IZ:IZ),0)</f>
        <v>592689</v>
      </c>
      <c r="F47" s="22">
        <f t="shared" si="3"/>
        <v>1.1542501811156725</v>
      </c>
    </row>
    <row r="48" spans="1:6" x14ac:dyDescent="0.2">
      <c r="A48" s="20">
        <v>13</v>
      </c>
      <c r="B48" s="202" t="s">
        <v>12</v>
      </c>
      <c r="C48" s="203"/>
      <c r="D48" s="15">
        <f>IF(F3="1",SUMIF(Data!A:A,'27'!$A$2,Data!DG:DG),0)</f>
        <v>87649</v>
      </c>
      <c r="E48" s="18">
        <f>IF(F3="1",SUMIF(Data!$A:$A,'27'!$A$2,Data!JA:JA),0)</f>
        <v>57372</v>
      </c>
      <c r="F48" s="22">
        <f t="shared" si="3"/>
        <v>0.65456536868646531</v>
      </c>
    </row>
    <row r="49" spans="1:6" ht="14.25" customHeight="1" x14ac:dyDescent="0.2">
      <c r="A49" s="20">
        <v>14</v>
      </c>
      <c r="B49" s="202" t="s">
        <v>449</v>
      </c>
      <c r="C49" s="203"/>
      <c r="D49" s="15">
        <f>IF(F3="1",SUMIF(Data!A:A,'27'!$A$2,Data!DH:DH),0)</f>
        <v>204529</v>
      </c>
      <c r="E49" s="18">
        <f>IF(F3="1",SUMIF(Data!$A:$A,'27'!$A$2,Data!JB:JB),0)</f>
        <v>1084875</v>
      </c>
      <c r="F49" s="22">
        <f t="shared" si="3"/>
        <v>5.3042600315847634</v>
      </c>
    </row>
    <row r="50" spans="1:6" x14ac:dyDescent="0.2">
      <c r="A50" s="20">
        <v>15</v>
      </c>
      <c r="B50" s="202" t="s">
        <v>13</v>
      </c>
      <c r="C50" s="203"/>
      <c r="D50" s="15">
        <f>IF(F3="1",SUMIF(Data!A:A,'27'!$A$2,Data!DI:DI),0)</f>
        <v>0</v>
      </c>
      <c r="E50" s="18">
        <f>IF(F3="1",SUMIF(Data!$A:$A,'27'!$A$2,Data!JC:JC),0)</f>
        <v>0</v>
      </c>
      <c r="F50" s="22" t="str">
        <f t="shared" si="3"/>
        <v/>
      </c>
    </row>
    <row r="51" spans="1:6" x14ac:dyDescent="0.2">
      <c r="A51" s="20">
        <v>16</v>
      </c>
      <c r="B51" s="202" t="s">
        <v>14</v>
      </c>
      <c r="C51" s="203"/>
      <c r="D51" s="15">
        <f>IF(F3="1",SUMIF(Data!A:A,'27'!$A$2,Data!DJ:DJ),0)</f>
        <v>367157</v>
      </c>
      <c r="E51" s="18">
        <f>IF(F3="1",SUMIF(Data!$A:$A,'27'!$A$2,Data!JD:JD),0)</f>
        <v>772576</v>
      </c>
      <c r="F51" s="22">
        <f t="shared" si="3"/>
        <v>2.1042115498274581</v>
      </c>
    </row>
    <row r="52" spans="1:6" x14ac:dyDescent="0.2">
      <c r="A52" s="20">
        <v>17</v>
      </c>
      <c r="B52" s="202" t="s">
        <v>15</v>
      </c>
      <c r="C52" s="203"/>
      <c r="D52" s="15">
        <f>IF(F3="1",SUMIF(Data!A:A,'27'!$A$2,Data!DK:DK),0)</f>
        <v>64544</v>
      </c>
      <c r="E52" s="18">
        <f>IF(F3="1",SUMIF(Data!$A:$A,'27'!$A$2,Data!JE:JE),0)</f>
        <v>123370</v>
      </c>
      <c r="F52" s="22">
        <f t="shared" si="3"/>
        <v>1.9114092711948438</v>
      </c>
    </row>
    <row r="53" spans="1:6" x14ac:dyDescent="0.2">
      <c r="A53" s="20">
        <v>18</v>
      </c>
      <c r="B53" s="202" t="s">
        <v>16</v>
      </c>
      <c r="C53" s="203"/>
      <c r="D53" s="15">
        <f>IF(F3="1",SUMIF(Data!A:A,'27'!$A$2,Data!DL:DL),0)</f>
        <v>86080</v>
      </c>
      <c r="E53" s="18">
        <f>IF(F3="1",SUMIF(Data!$A:$A,'27'!$A$2,Data!JF:JF),0)</f>
        <v>88185</v>
      </c>
      <c r="F53" s="22">
        <f t="shared" si="3"/>
        <v>1.0244539962825279</v>
      </c>
    </row>
    <row r="54" spans="1:6" x14ac:dyDescent="0.2">
      <c r="A54" s="20">
        <v>19</v>
      </c>
      <c r="B54" s="202" t="s">
        <v>17</v>
      </c>
      <c r="C54" s="203"/>
      <c r="D54" s="15">
        <f>IF(F3="1",SUMIF(Data!A:A,'27'!$A$2,Data!DM:DM),0)</f>
        <v>169248</v>
      </c>
      <c r="E54" s="18">
        <f>IF(F3="1",SUMIF(Data!$A:$A,'27'!$A$2,Data!JG:JG),0)</f>
        <v>201247</v>
      </c>
      <c r="F54" s="22">
        <f t="shared" si="3"/>
        <v>1.1890657496691246</v>
      </c>
    </row>
    <row r="55" spans="1:6" x14ac:dyDescent="0.2">
      <c r="A55" s="20">
        <v>20</v>
      </c>
      <c r="B55" s="202" t="s">
        <v>18</v>
      </c>
      <c r="C55" s="203"/>
      <c r="D55" s="15">
        <f>IF(F3="1",SUMIF(Data!A:A,'27'!$A$2,Data!DN:DN),0)</f>
        <v>0</v>
      </c>
      <c r="E55" s="18">
        <f>IF(F3="1",SUMIF(Data!$A:$A,'27'!$A$2,Data!JH:JH),0)</f>
        <v>0</v>
      </c>
      <c r="F55" s="22" t="str">
        <f t="shared" si="3"/>
        <v/>
      </c>
    </row>
    <row r="56" spans="1:6" ht="14.25" customHeight="1" x14ac:dyDescent="0.2">
      <c r="A56" s="20">
        <v>21</v>
      </c>
      <c r="B56" s="202" t="s">
        <v>446</v>
      </c>
      <c r="C56" s="203"/>
      <c r="D56" s="15">
        <f>IF(F3="1",SUMIF(Data!A:A,'27'!$A$2,Data!DO:DO),0)</f>
        <v>63508</v>
      </c>
      <c r="E56" s="18">
        <f>IF(F3="1",SUMIF(Data!$A:$A,'27'!$A$2,Data!JI:JI),0)</f>
        <v>667964</v>
      </c>
      <c r="F56" s="22">
        <f t="shared" si="3"/>
        <v>10.517793033948479</v>
      </c>
    </row>
    <row r="57" spans="1:6" x14ac:dyDescent="0.2">
      <c r="A57" s="20">
        <v>22</v>
      </c>
      <c r="B57" s="202" t="s">
        <v>19</v>
      </c>
      <c r="C57" s="203"/>
      <c r="D57" s="15">
        <f>IF(F3="1",SUMIF(Data!A:A,'27'!$A$2,Data!DP:DP),0)</f>
        <v>2496</v>
      </c>
      <c r="E57" s="18">
        <f>IF(F3="1",SUMIF(Data!$A:$A,'27'!$A$2,Data!JJ:JJ),0)</f>
        <v>132</v>
      </c>
      <c r="F57" s="22">
        <f t="shared" si="3"/>
        <v>5.2884615384615384E-2</v>
      </c>
    </row>
    <row r="58" spans="1:6" x14ac:dyDescent="0.2">
      <c r="A58" s="20">
        <v>23</v>
      </c>
      <c r="B58" s="202" t="s">
        <v>20</v>
      </c>
      <c r="C58" s="203"/>
      <c r="D58" s="15">
        <f>IF(F3="1",SUMIF(Data!A:A,'27'!$A$2,Data!DQ:DQ),0)</f>
        <v>144264</v>
      </c>
      <c r="E58" s="18">
        <f>IF(F3="1",SUMIF(Data!$A:$A,'27'!$A$2,Data!JK:JK),0)</f>
        <v>114596</v>
      </c>
      <c r="F58" s="22">
        <f t="shared" si="3"/>
        <v>0.79434924859978928</v>
      </c>
    </row>
    <row r="59" spans="1:6" x14ac:dyDescent="0.2">
      <c r="A59" s="20">
        <v>24</v>
      </c>
      <c r="B59" s="202" t="s">
        <v>21</v>
      </c>
      <c r="C59" s="203"/>
      <c r="D59" s="15">
        <f>IF(F3="1",SUMIF(Data!A:A,'27'!$A$2,Data!DR:DR),0)</f>
        <v>182006</v>
      </c>
      <c r="E59" s="18">
        <f>IF(F3="1",SUMIF(Data!$A:$A,'27'!$A$2,Data!JL:JL),0)</f>
        <v>608697</v>
      </c>
      <c r="F59" s="22">
        <f t="shared" si="3"/>
        <v>3.3443787567442831</v>
      </c>
    </row>
    <row r="60" spans="1:6" x14ac:dyDescent="0.2">
      <c r="A60" s="20">
        <v>25</v>
      </c>
      <c r="B60" s="202" t="s">
        <v>22</v>
      </c>
      <c r="C60" s="203"/>
      <c r="D60" s="15">
        <f>IF(F3="1",SUMIF(Data!A:A,'27'!$A$2,Data!DS:DS),0)</f>
        <v>714736</v>
      </c>
      <c r="E60" s="18">
        <f>IF(F3="1",SUMIF(Data!$A:$A,'27'!$A$2,Data!JM:JM),0)</f>
        <v>453614</v>
      </c>
      <c r="F60" s="22">
        <f t="shared" si="3"/>
        <v>0.63465951064448967</v>
      </c>
    </row>
    <row r="61" spans="1:6" x14ac:dyDescent="0.2">
      <c r="A61" s="20">
        <v>26</v>
      </c>
      <c r="B61" s="202" t="s">
        <v>23</v>
      </c>
      <c r="C61" s="203"/>
      <c r="D61" s="15">
        <f>IF(F3="1",SUMIF(Data!A:A,'27'!$A$2,Data!DT:DT),0)</f>
        <v>315152</v>
      </c>
      <c r="E61" s="18">
        <f>IF(F3="1",SUMIF(Data!$A:$A,'27'!$A$2,Data!JN:JN),0)</f>
        <v>364345</v>
      </c>
      <c r="F61" s="22">
        <f t="shared" si="3"/>
        <v>1.1560929329339493</v>
      </c>
    </row>
    <row r="62" spans="1:6" x14ac:dyDescent="0.2">
      <c r="A62" s="20">
        <v>28</v>
      </c>
      <c r="B62" s="202" t="s">
        <v>24</v>
      </c>
      <c r="C62" s="203"/>
      <c r="D62" s="15">
        <f>IF(F3="1",SUMIF(Data!A:A,'27'!$A$2,Data!DV:DV),0)</f>
        <v>192144</v>
      </c>
      <c r="E62" s="18">
        <f>IF(F3="1",SUMIF(Data!$A:$A,'27'!$A$2,Data!JP:JP),0)</f>
        <v>147656</v>
      </c>
      <c r="F62" s="22">
        <f t="shared" si="3"/>
        <v>0.76846531767840787</v>
      </c>
    </row>
    <row r="63" spans="1:6" ht="15.75" customHeight="1" thickBot="1" x14ac:dyDescent="0.25">
      <c r="A63" s="23">
        <v>29</v>
      </c>
      <c r="B63" s="206" t="s">
        <v>25</v>
      </c>
      <c r="C63" s="207"/>
      <c r="D63" s="24">
        <f>IF(F3="1",SUMIF(Data!A:A,'27'!$A$2,Data!DW:DW),0)</f>
        <v>196848</v>
      </c>
      <c r="E63" s="25">
        <f>IF(F3="1",SUMIF(Data!$A:$A,'27'!$A$2,Data!JQ:JQ),0)</f>
        <v>28491</v>
      </c>
      <c r="F63" s="26">
        <f t="shared" si="3"/>
        <v>0.14473603999024628</v>
      </c>
    </row>
    <row r="64" spans="1:6" x14ac:dyDescent="0.2">
      <c r="B64" s="31" t="s">
        <v>35</v>
      </c>
      <c r="C64" s="31"/>
      <c r="D64" s="60">
        <f>SUM(D36:D63)</f>
        <v>4730745</v>
      </c>
      <c r="E64" s="32">
        <f>SUM(E36:E63)</f>
        <v>8014659</v>
      </c>
      <c r="F64" s="33">
        <f t="shared" si="3"/>
        <v>1.6941642384021967</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52640</v>
      </c>
      <c r="E67" s="16">
        <f>IF(F3="1",SUMIF(Data!A:A,'27'!$A$2,Data!DY:DY),0)</f>
        <v>137135</v>
      </c>
      <c r="F67" s="21">
        <f>IFERROR(E67/D67,"")</f>
        <v>2.6051481762917934</v>
      </c>
    </row>
    <row r="68" spans="1:6" x14ac:dyDescent="0.2">
      <c r="A68" s="20">
        <v>2</v>
      </c>
      <c r="B68" s="202" t="s">
        <v>1</v>
      </c>
      <c r="C68" s="203"/>
      <c r="D68" s="15">
        <f t="shared" ref="D68:D94" si="4">D37</f>
        <v>0</v>
      </c>
      <c r="E68" s="18">
        <f>IF(F3="1",SUMIF(Data!A:A,'27'!$A$2,Data!DZ:DZ),0)</f>
        <v>0</v>
      </c>
      <c r="F68" s="22" t="str">
        <f t="shared" ref="F68:F95" si="5">IFERROR(E68/D68,"")</f>
        <v/>
      </c>
    </row>
    <row r="69" spans="1:6" ht="14.25" customHeight="1" x14ac:dyDescent="0.2">
      <c r="A69" s="20">
        <v>3</v>
      </c>
      <c r="B69" s="202" t="s">
        <v>2</v>
      </c>
      <c r="C69" s="203"/>
      <c r="D69" s="15">
        <f t="shared" si="4"/>
        <v>669472</v>
      </c>
      <c r="E69" s="18">
        <f>IF(F3="1",SUMIF(Data!A:A,'27'!$A$2,Data!EA:EA),0)</f>
        <v>2218107</v>
      </c>
      <c r="F69" s="22">
        <f t="shared" si="5"/>
        <v>3.3132184766502557</v>
      </c>
    </row>
    <row r="70" spans="1:6" ht="14.25" customHeight="1" x14ac:dyDescent="0.2">
      <c r="A70" s="20">
        <v>4</v>
      </c>
      <c r="B70" s="202" t="s">
        <v>3</v>
      </c>
      <c r="C70" s="203"/>
      <c r="D70" s="15">
        <f t="shared" si="4"/>
        <v>354486</v>
      </c>
      <c r="E70" s="18">
        <f>IF(F3="1",SUMIF(Data!A:A,'27'!$A$2,Data!EB:EB),0)</f>
        <v>1367012</v>
      </c>
      <c r="F70" s="22">
        <f t="shared" si="5"/>
        <v>3.8563215472543346</v>
      </c>
    </row>
    <row r="71" spans="1:6" x14ac:dyDescent="0.2">
      <c r="A71" s="20">
        <v>5</v>
      </c>
      <c r="B71" s="202" t="s">
        <v>4</v>
      </c>
      <c r="C71" s="203"/>
      <c r="D71" s="15">
        <f t="shared" si="4"/>
        <v>0</v>
      </c>
      <c r="E71" s="18">
        <f>IF(F3="1",SUMIF(Data!A:A,'27'!$A$2,Data!EC:EC),0)</f>
        <v>0</v>
      </c>
      <c r="F71" s="22" t="str">
        <f t="shared" si="5"/>
        <v/>
      </c>
    </row>
    <row r="72" spans="1:6" x14ac:dyDescent="0.2">
      <c r="A72" s="20">
        <v>6</v>
      </c>
      <c r="B72" s="202" t="s">
        <v>5</v>
      </c>
      <c r="C72" s="203"/>
      <c r="D72" s="15">
        <f t="shared" si="4"/>
        <v>18526</v>
      </c>
      <c r="E72" s="18">
        <f>IF(F3="1",SUMIF(Data!A:A,'27'!$A$2,Data!ED:ED),0)</f>
        <v>12745</v>
      </c>
      <c r="F72" s="22">
        <f t="shared" si="5"/>
        <v>0.68795206736478465</v>
      </c>
    </row>
    <row r="73" spans="1:6" x14ac:dyDescent="0.2">
      <c r="A73" s="20">
        <v>7</v>
      </c>
      <c r="B73" s="202" t="s">
        <v>6</v>
      </c>
      <c r="C73" s="203"/>
      <c r="D73" s="15">
        <f t="shared" si="4"/>
        <v>149290</v>
      </c>
      <c r="E73" s="18">
        <f>IF(F3="1",SUMIF(Data!A:A,'27'!$A$2,Data!EE:EE),0)</f>
        <v>1114967</v>
      </c>
      <c r="F73" s="22">
        <f t="shared" si="5"/>
        <v>7.4684640632326342</v>
      </c>
    </row>
    <row r="74" spans="1:6" x14ac:dyDescent="0.2">
      <c r="A74" s="20">
        <v>8</v>
      </c>
      <c r="B74" s="202" t="s">
        <v>7</v>
      </c>
      <c r="C74" s="203"/>
      <c r="D74" s="15">
        <f t="shared" si="4"/>
        <v>708</v>
      </c>
      <c r="E74" s="18">
        <f>IF(F3="1",SUMIF(Data!A:A,'27'!$A$2,Data!EF:EF),0)</f>
        <v>0</v>
      </c>
      <c r="F74" s="22">
        <f t="shared" si="5"/>
        <v>0</v>
      </c>
    </row>
    <row r="75" spans="1:6" x14ac:dyDescent="0.2">
      <c r="A75" s="20">
        <v>9</v>
      </c>
      <c r="B75" s="202" t="s">
        <v>8</v>
      </c>
      <c r="C75" s="203"/>
      <c r="D75" s="15">
        <f t="shared" si="4"/>
        <v>172600</v>
      </c>
      <c r="E75" s="18">
        <f>IF(F3="1",SUMIF(Data!A:A,'27'!$A$2,Data!EG:EG),0)</f>
        <v>588014</v>
      </c>
      <c r="F75" s="22">
        <f t="shared" si="5"/>
        <v>3.4068018539976825</v>
      </c>
    </row>
    <row r="76" spans="1:6" x14ac:dyDescent="0.2">
      <c r="A76" s="20">
        <v>10</v>
      </c>
      <c r="B76" s="202" t="s">
        <v>9</v>
      </c>
      <c r="C76" s="203"/>
      <c r="D76" s="15">
        <f t="shared" si="4"/>
        <v>3360</v>
      </c>
      <c r="E76" s="18">
        <f>IF(F3="1",SUMIF(Data!A:A,'27'!$A$2,Data!EH:EH),0)</f>
        <v>0</v>
      </c>
      <c r="F76" s="22">
        <f t="shared" si="5"/>
        <v>0</v>
      </c>
    </row>
    <row r="77" spans="1:6" x14ac:dyDescent="0.2">
      <c r="A77" s="20">
        <v>11</v>
      </c>
      <c r="B77" s="202" t="s">
        <v>10</v>
      </c>
      <c r="C77" s="203"/>
      <c r="D77" s="15">
        <f t="shared" si="4"/>
        <v>5818</v>
      </c>
      <c r="E77" s="18">
        <f>IF(F3="1",SUMIF(Data!A:A,'27'!$A$2,Data!EI:EI),0)</f>
        <v>48120</v>
      </c>
      <c r="F77" s="22">
        <f t="shared" si="5"/>
        <v>8.2708834651082839</v>
      </c>
    </row>
    <row r="78" spans="1:6" ht="14.25" customHeight="1" x14ac:dyDescent="0.2">
      <c r="A78" s="20">
        <v>12</v>
      </c>
      <c r="B78" s="202" t="s">
        <v>11</v>
      </c>
      <c r="C78" s="203"/>
      <c r="D78" s="15">
        <f t="shared" si="4"/>
        <v>513484</v>
      </c>
      <c r="E78" s="18">
        <f>IF(F3="1",SUMIF(Data!A:A,'27'!$A$2,Data!EJ:EJ),0)</f>
        <v>3142379</v>
      </c>
      <c r="F78" s="22">
        <f t="shared" si="5"/>
        <v>6.1197213545115332</v>
      </c>
    </row>
    <row r="79" spans="1:6" x14ac:dyDescent="0.2">
      <c r="A79" s="20">
        <v>13</v>
      </c>
      <c r="B79" s="202" t="s">
        <v>12</v>
      </c>
      <c r="C79" s="203"/>
      <c r="D79" s="15">
        <f t="shared" si="4"/>
        <v>87649</v>
      </c>
      <c r="E79" s="18">
        <f>IF(F3="1",SUMIF(Data!A:A,'27'!$A$2,Data!EK:EK),0)</f>
        <v>297130</v>
      </c>
      <c r="F79" s="22">
        <f t="shared" si="5"/>
        <v>3.3899987449942386</v>
      </c>
    </row>
    <row r="80" spans="1:6" ht="14.25" customHeight="1" x14ac:dyDescent="0.2">
      <c r="A80" s="20">
        <v>14</v>
      </c>
      <c r="B80" s="202" t="s">
        <v>449</v>
      </c>
      <c r="C80" s="203"/>
      <c r="D80" s="15">
        <f t="shared" si="4"/>
        <v>204529</v>
      </c>
      <c r="E80" s="18">
        <f>IF(F3="1",SUMIF(Data!A:A,'27'!$A$2,Data!EL:EL),0)</f>
        <v>1560699</v>
      </c>
      <c r="F80" s="22">
        <f t="shared" si="5"/>
        <v>7.6306978472490457</v>
      </c>
    </row>
    <row r="81" spans="1:6" x14ac:dyDescent="0.2">
      <c r="A81" s="20">
        <v>15</v>
      </c>
      <c r="B81" s="202" t="s">
        <v>13</v>
      </c>
      <c r="C81" s="203"/>
      <c r="D81" s="15">
        <f t="shared" si="4"/>
        <v>0</v>
      </c>
      <c r="E81" s="18">
        <f>IF(F3="1",SUMIF(Data!A:A,'27'!$A$2,Data!EM:EM),0)</f>
        <v>0</v>
      </c>
      <c r="F81" s="22" t="str">
        <f t="shared" si="5"/>
        <v/>
      </c>
    </row>
    <row r="82" spans="1:6" x14ac:dyDescent="0.2">
      <c r="A82" s="20">
        <v>16</v>
      </c>
      <c r="B82" s="202" t="s">
        <v>14</v>
      </c>
      <c r="C82" s="203"/>
      <c r="D82" s="15">
        <f t="shared" si="4"/>
        <v>367157</v>
      </c>
      <c r="E82" s="18">
        <f>IF(F3="1",SUMIF(Data!A:A,'27'!$A$2,Data!EN:EN),0)</f>
        <v>1776395</v>
      </c>
      <c r="F82" s="22">
        <f t="shared" si="5"/>
        <v>4.8382435851692875</v>
      </c>
    </row>
    <row r="83" spans="1:6" x14ac:dyDescent="0.2">
      <c r="A83" s="20">
        <v>17</v>
      </c>
      <c r="B83" s="202" t="s">
        <v>15</v>
      </c>
      <c r="C83" s="203"/>
      <c r="D83" s="15">
        <f t="shared" si="4"/>
        <v>64544</v>
      </c>
      <c r="E83" s="18">
        <f>IF(F3="1",SUMIF(Data!A:A,'27'!$A$2,Data!EO:EO),0)</f>
        <v>466266</v>
      </c>
      <c r="F83" s="22">
        <f t="shared" si="5"/>
        <v>7.2240022310361924</v>
      </c>
    </row>
    <row r="84" spans="1:6" x14ac:dyDescent="0.2">
      <c r="A84" s="20">
        <v>18</v>
      </c>
      <c r="B84" s="202" t="s">
        <v>16</v>
      </c>
      <c r="C84" s="203"/>
      <c r="D84" s="15">
        <f t="shared" si="4"/>
        <v>86080</v>
      </c>
      <c r="E84" s="18">
        <f>IF(F3="1",SUMIF(Data!A:A,'27'!$A$2,Data!EP:EP),0)</f>
        <v>376947</v>
      </c>
      <c r="F84" s="22">
        <f t="shared" si="5"/>
        <v>4.3790311338289962</v>
      </c>
    </row>
    <row r="85" spans="1:6" x14ac:dyDescent="0.2">
      <c r="A85" s="20">
        <v>19</v>
      </c>
      <c r="B85" s="202" t="s">
        <v>17</v>
      </c>
      <c r="C85" s="203"/>
      <c r="D85" s="15">
        <f t="shared" si="4"/>
        <v>169248</v>
      </c>
      <c r="E85" s="18">
        <f>IF(F3="1",SUMIF(Data!A:A,'27'!$A$2,Data!EQ:EQ),0)</f>
        <v>720565</v>
      </c>
      <c r="F85" s="22">
        <f t="shared" si="5"/>
        <v>4.2574506050293062</v>
      </c>
    </row>
    <row r="86" spans="1:6" x14ac:dyDescent="0.2">
      <c r="A86" s="20">
        <v>20</v>
      </c>
      <c r="B86" s="202" t="s">
        <v>18</v>
      </c>
      <c r="C86" s="203"/>
      <c r="D86" s="15">
        <f t="shared" si="4"/>
        <v>0</v>
      </c>
      <c r="E86" s="18">
        <f>IF(F3="1",SUMIF(Data!A:A,'27'!$A$2,Data!ER:ER),0)</f>
        <v>0</v>
      </c>
      <c r="F86" s="22" t="str">
        <f t="shared" si="5"/>
        <v/>
      </c>
    </row>
    <row r="87" spans="1:6" ht="14.25" customHeight="1" x14ac:dyDescent="0.2">
      <c r="A87" s="20">
        <v>21</v>
      </c>
      <c r="B87" s="202" t="s">
        <v>446</v>
      </c>
      <c r="C87" s="203"/>
      <c r="D87" s="15">
        <f t="shared" si="4"/>
        <v>63508</v>
      </c>
      <c r="E87" s="18">
        <f>IF(F3="1",SUMIF(Data!A:A,'27'!$A$2,Data!ES:ES),0)</f>
        <v>0</v>
      </c>
      <c r="F87" s="22">
        <f t="shared" si="5"/>
        <v>0</v>
      </c>
    </row>
    <row r="88" spans="1:6" x14ac:dyDescent="0.2">
      <c r="A88" s="20">
        <v>22</v>
      </c>
      <c r="B88" s="202" t="s">
        <v>19</v>
      </c>
      <c r="C88" s="203"/>
      <c r="D88" s="15">
        <f t="shared" si="4"/>
        <v>2496</v>
      </c>
      <c r="E88" s="18">
        <f>IF(F3="1",SUMIF(Data!A:A,'27'!$A$2,Data!ET:ET),0)</f>
        <v>0</v>
      </c>
      <c r="F88" s="22">
        <f t="shared" si="5"/>
        <v>0</v>
      </c>
    </row>
    <row r="89" spans="1:6" x14ac:dyDescent="0.2">
      <c r="A89" s="20">
        <v>23</v>
      </c>
      <c r="B89" s="202" t="s">
        <v>20</v>
      </c>
      <c r="C89" s="203"/>
      <c r="D89" s="15">
        <f t="shared" si="4"/>
        <v>144264</v>
      </c>
      <c r="E89" s="18">
        <f>IF(F3="1",SUMIF(Data!A:A,'27'!$A$2,Data!EU:EU),0)</f>
        <v>722912</v>
      </c>
      <c r="F89" s="22">
        <f t="shared" si="5"/>
        <v>5.0110353241279872</v>
      </c>
    </row>
    <row r="90" spans="1:6" x14ac:dyDescent="0.2">
      <c r="A90" s="20">
        <v>24</v>
      </c>
      <c r="B90" s="202" t="s">
        <v>21</v>
      </c>
      <c r="C90" s="203"/>
      <c r="D90" s="15">
        <f t="shared" si="4"/>
        <v>182006</v>
      </c>
      <c r="E90" s="18">
        <f>IF(F3="1",SUMIF(Data!A:A,'27'!$A$2,Data!EV:EV),0)</f>
        <v>337370</v>
      </c>
      <c r="F90" s="22">
        <f t="shared" si="5"/>
        <v>1.8536202103227366</v>
      </c>
    </row>
    <row r="91" spans="1:6" x14ac:dyDescent="0.2">
      <c r="A91" s="20">
        <v>25</v>
      </c>
      <c r="B91" s="202" t="s">
        <v>22</v>
      </c>
      <c r="C91" s="203"/>
      <c r="D91" s="15">
        <f t="shared" si="4"/>
        <v>714736</v>
      </c>
      <c r="E91" s="18">
        <f>IF(F3="1",SUMIF(Data!A:A,'27'!$A$2,Data!EW:EW),0)</f>
        <v>2033053</v>
      </c>
      <c r="F91" s="22">
        <f t="shared" si="5"/>
        <v>2.8444810391529178</v>
      </c>
    </row>
    <row r="92" spans="1:6" x14ac:dyDescent="0.2">
      <c r="A92" s="20">
        <v>26</v>
      </c>
      <c r="B92" s="202" t="s">
        <v>23</v>
      </c>
      <c r="C92" s="203"/>
      <c r="D92" s="15">
        <f t="shared" si="4"/>
        <v>315152</v>
      </c>
      <c r="E92" s="18">
        <f>IF(F3="1",SUMIF(Data!A:A,'27'!$A$2,Data!EX:EX),0)</f>
        <v>2056293</v>
      </c>
      <c r="F92" s="22">
        <f t="shared" si="5"/>
        <v>6.5247658272833426</v>
      </c>
    </row>
    <row r="93" spans="1:6" x14ac:dyDescent="0.2">
      <c r="A93" s="20">
        <v>28</v>
      </c>
      <c r="B93" s="202" t="s">
        <v>24</v>
      </c>
      <c r="C93" s="203"/>
      <c r="D93" s="15">
        <f t="shared" si="4"/>
        <v>192144</v>
      </c>
      <c r="E93" s="18">
        <f>IF(F3="1",SUMIF(Data!A:A,'27'!$A$2,Data!EZ:EZ),0)</f>
        <v>817990</v>
      </c>
      <c r="F93" s="22">
        <f t="shared" si="5"/>
        <v>4.2571717045549171</v>
      </c>
    </row>
    <row r="94" spans="1:6" ht="15.75" customHeight="1" thickBot="1" x14ac:dyDescent="0.25">
      <c r="A94" s="23">
        <v>29</v>
      </c>
      <c r="B94" s="206" t="s">
        <v>25</v>
      </c>
      <c r="C94" s="207"/>
      <c r="D94" s="24">
        <f t="shared" si="4"/>
        <v>196848</v>
      </c>
      <c r="E94" s="25">
        <f>IF(F3="1",SUMIF(Data!A:A,'27'!$A$2,Data!FA:FA),0)</f>
        <v>120103</v>
      </c>
      <c r="F94" s="26">
        <f t="shared" si="5"/>
        <v>0.6101306591888157</v>
      </c>
    </row>
    <row r="95" spans="1:6" x14ac:dyDescent="0.2">
      <c r="B95" s="31" t="s">
        <v>35</v>
      </c>
      <c r="C95" s="31"/>
      <c r="D95" s="60">
        <f>SUM(D67:D94)</f>
        <v>4730745</v>
      </c>
      <c r="E95" s="32">
        <f>SUM(E67:E94)</f>
        <v>19914202</v>
      </c>
      <c r="F95" s="33">
        <f t="shared" si="5"/>
        <v>4.2095276748165462</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IF(F3="1",SUMIF(Data!A:A,'27'!$A$2,Data!AH:AH),0)</f>
        <v>7118400</v>
      </c>
      <c r="F98" s="21">
        <f t="shared" ref="F98:F105" si="6">IFERROR(E98/$D$95,0)</f>
        <v>1.5047101460763579</v>
      </c>
    </row>
    <row r="99" spans="2:6" x14ac:dyDescent="0.2">
      <c r="B99" s="212" t="s">
        <v>31</v>
      </c>
      <c r="C99" s="213"/>
      <c r="D99" s="37"/>
      <c r="E99" s="18">
        <f>IF(F3="1",SUMIF(Data!A:A,'27'!$A$2,Data!AI:AI),0)</f>
        <v>2473826</v>
      </c>
      <c r="F99" s="22">
        <f t="shared" si="6"/>
        <v>0.52292524750330027</v>
      </c>
    </row>
    <row r="100" spans="2:6" x14ac:dyDescent="0.2">
      <c r="B100" s="212" t="s">
        <v>32</v>
      </c>
      <c r="C100" s="213"/>
      <c r="D100" s="37"/>
      <c r="E100" s="18">
        <f>IF(F3="1",SUMIF(Data!A:A,'27'!$A$2,Data!AJ:AJ),0)</f>
        <v>2028037</v>
      </c>
      <c r="F100" s="22">
        <f t="shared" si="6"/>
        <v>0.42869294371182554</v>
      </c>
    </row>
    <row r="101" spans="2:6" x14ac:dyDescent="0.2">
      <c r="B101" s="212" t="s">
        <v>28</v>
      </c>
      <c r="C101" s="213"/>
      <c r="D101" s="37"/>
      <c r="E101" s="18">
        <f>IF(F3="1",SUMIF(Data!A:A,'27'!$A$2,Data!AK:AK),0)</f>
        <v>0</v>
      </c>
      <c r="F101" s="22">
        <f t="shared" si="6"/>
        <v>0</v>
      </c>
    </row>
    <row r="102" spans="2:6" x14ac:dyDescent="0.2">
      <c r="B102" s="212" t="s">
        <v>33</v>
      </c>
      <c r="C102" s="213"/>
      <c r="D102" s="37"/>
      <c r="E102" s="18">
        <f>IF(F3="1",SUMIF(Data!A:A,'27'!$A$2,Data!AL:AL),0)</f>
        <v>1696357</v>
      </c>
      <c r="F102" s="22">
        <f t="shared" si="6"/>
        <v>0.35858136509154476</v>
      </c>
    </row>
    <row r="103" spans="2:6" x14ac:dyDescent="0.2">
      <c r="B103" s="214" t="s">
        <v>34</v>
      </c>
      <c r="C103" s="215"/>
      <c r="D103" s="37"/>
      <c r="E103" s="18">
        <f>IF(F3="1",SUMIF(Data!A:A,'27'!$A$2,Data!AM:AM),0)</f>
        <v>0</v>
      </c>
      <c r="F103" s="22">
        <f t="shared" si="6"/>
        <v>0</v>
      </c>
    </row>
    <row r="104" spans="2:6" ht="15.75" customHeight="1" thickBot="1" x14ac:dyDescent="0.25">
      <c r="B104" s="208" t="s">
        <v>29</v>
      </c>
      <c r="C104" s="209"/>
      <c r="D104" s="38"/>
      <c r="E104" s="25">
        <f>IF(F3="1",SUMIF(Data!A:A,'27'!$A$2,Data!Q:Q),0)</f>
        <v>955067</v>
      </c>
      <c r="F104" s="26">
        <f t="shared" si="6"/>
        <v>0.20188511534652576</v>
      </c>
    </row>
    <row r="105" spans="2:6" x14ac:dyDescent="0.2">
      <c r="B105" s="31" t="s">
        <v>35</v>
      </c>
      <c r="C105" s="31"/>
      <c r="D105" s="35">
        <f>D95</f>
        <v>4730745</v>
      </c>
      <c r="E105" s="32">
        <f>SUM(E98:E104)</f>
        <v>14271687</v>
      </c>
      <c r="F105" s="33">
        <f t="shared" si="6"/>
        <v>3.0167948177295543</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22057039</v>
      </c>
      <c r="D109" s="192">
        <f>IF(F3="1",SUMIF(Data!$A:$A,$A$2,Data!HJ:HJ),0)</f>
        <v>2724845</v>
      </c>
      <c r="E109" s="192">
        <f>IF(F3="1",SUMIF(Data!$A:$A,$A$2,Data!IN:IN),0)</f>
        <v>3146978</v>
      </c>
      <c r="F109" s="48">
        <f>SUM(C109:E109)</f>
        <v>27928862</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377299</v>
      </c>
      <c r="D111" s="52"/>
      <c r="E111" s="193">
        <f>IF(F3="1",SUMIF(Data!A:A,$A$2,Data!AX:AX)-SUMIF(Data!A:A,$A$2,Data!AW:AW),0)</f>
        <v>140306</v>
      </c>
      <c r="F111" s="49">
        <f t="shared" si="7"/>
        <v>517605</v>
      </c>
    </row>
    <row r="112" spans="2:6" x14ac:dyDescent="0.2">
      <c r="B112" s="43" t="s">
        <v>32</v>
      </c>
      <c r="C112" s="193">
        <f>IF(F3="1",SUMIF(Data!A:A,$A$2,Data!V:V),0)</f>
        <v>1580995</v>
      </c>
      <c r="D112" s="52"/>
      <c r="E112" s="193">
        <f>IF(F3="1",SUMIF(Data!A:A,$A$2,Data!AC:AC),0)</f>
        <v>447042</v>
      </c>
      <c r="F112" s="49">
        <f t="shared" si="7"/>
        <v>2028037</v>
      </c>
    </row>
    <row r="113" spans="1:6" x14ac:dyDescent="0.2">
      <c r="B113" s="43" t="s">
        <v>31</v>
      </c>
      <c r="C113" s="193">
        <f>IF(F3="1",SUMIF(Data!A:A,$A$2,Data!U:U),0)</f>
        <v>1909426</v>
      </c>
      <c r="D113" s="52"/>
      <c r="E113" s="193">
        <f>IF(F3="1",SUMIF(Data!A:A,$A$2,Data!AB:AB),0)</f>
        <v>564400</v>
      </c>
      <c r="F113" s="49">
        <f t="shared" si="7"/>
        <v>2473826</v>
      </c>
    </row>
    <row r="114" spans="1:6" x14ac:dyDescent="0.2">
      <c r="B114" s="43" t="s">
        <v>1002</v>
      </c>
      <c r="C114" s="193">
        <f>IF(F3="1",SUMIF(Data!A:A,$A$2,Data!T:T),0)</f>
        <v>4158492</v>
      </c>
      <c r="D114" s="52"/>
      <c r="E114" s="193">
        <f>IF(F3="1",SUMIF(Data!A:A,$A$2,Data!AA:AA),0)</f>
        <v>2959908</v>
      </c>
      <c r="F114" s="49">
        <f t="shared" si="7"/>
        <v>7118400</v>
      </c>
    </row>
    <row r="115" spans="1:6" x14ac:dyDescent="0.2">
      <c r="B115" s="43" t="s">
        <v>916</v>
      </c>
      <c r="C115" s="193">
        <f>IF(F3="1",SUMIF(Data!A:A,$A$2,Data!BI:BI),0)</f>
        <v>1365972</v>
      </c>
      <c r="D115" s="193">
        <f>IF(F3="1",SUMIF(Data!A:A,$A$2,Data!BL:BL),0)</f>
        <v>579471</v>
      </c>
      <c r="E115" s="193">
        <f>IF(F3="1",SUMIF(Data!A:A,$A$2,Data!BU:BU)-SUMIF(Data!A:A,$A$2,Data!BT:BT),0)</f>
        <v>3211292</v>
      </c>
      <c r="F115" s="49">
        <f t="shared" si="7"/>
        <v>5156735</v>
      </c>
    </row>
    <row r="116" spans="1:6" x14ac:dyDescent="0.2">
      <c r="B116" s="43" t="s">
        <v>33</v>
      </c>
      <c r="C116" s="193">
        <f>IF(F3="1",SUMIF(Data!A:A,$A$2,Data!X:X),0)</f>
        <v>0</v>
      </c>
      <c r="D116" s="51"/>
      <c r="E116" s="193">
        <f>E102-C116</f>
        <v>1696357</v>
      </c>
      <c r="F116" s="49">
        <f t="shared" si="7"/>
        <v>1696357</v>
      </c>
    </row>
    <row r="117" spans="1:6" ht="15" thickBot="1" x14ac:dyDescent="0.25">
      <c r="B117" s="44" t="s">
        <v>920</v>
      </c>
      <c r="C117" s="53"/>
      <c r="D117" s="53">
        <f>IF(F3="1",SUMIF(Data!A:A,$A$2,Data!Q:Q),0)</f>
        <v>955067</v>
      </c>
      <c r="E117" s="53"/>
      <c r="F117" s="50">
        <f>SUM(C117:E117)</f>
        <v>955067</v>
      </c>
    </row>
    <row r="118" spans="1:6" x14ac:dyDescent="0.2">
      <c r="B118" s="14" t="s">
        <v>35</v>
      </c>
      <c r="C118" s="178">
        <f>SUM(C109:C117)</f>
        <v>31449223</v>
      </c>
      <c r="D118" s="194">
        <f>SUM(D109:D117)</f>
        <v>4259383</v>
      </c>
      <c r="E118" s="178">
        <f>SUM(E109:E117)</f>
        <v>12166283</v>
      </c>
      <c r="F118" s="178">
        <f>SUM(F109:F117)</f>
        <v>47874889</v>
      </c>
    </row>
    <row r="119" spans="1:6" x14ac:dyDescent="0.2">
      <c r="C119" s="177"/>
      <c r="D119" s="177"/>
      <c r="E119" s="177"/>
    </row>
    <row r="120" spans="1:6" ht="15" thickBot="1" x14ac:dyDescent="0.25">
      <c r="B120" s="188" t="s">
        <v>921</v>
      </c>
      <c r="C120" s="53"/>
      <c r="D120" s="53"/>
      <c r="E120" s="195">
        <f>IF(F3="1",SUMIF(Data!A:A,$A$2,Data!AF:AF)+SUMIF(Data!A:A,$A$2,Data!AW:AW)+SUMIF(Data!A:A,$A$2,Data!BT:BT),0)</f>
        <v>452531</v>
      </c>
      <c r="F120" s="181">
        <f>SUM(C120:E120)</f>
        <v>452531</v>
      </c>
    </row>
    <row r="121" spans="1:6" s="177" customFormat="1" x14ac:dyDescent="0.2">
      <c r="B121" s="14" t="s">
        <v>35</v>
      </c>
      <c r="C121" s="178">
        <f>SUM(C120:C120)</f>
        <v>0</v>
      </c>
      <c r="D121" s="178">
        <f>SUM(D120:D120)</f>
        <v>0</v>
      </c>
      <c r="E121" s="178">
        <f>SUM(E120:E120)</f>
        <v>452531</v>
      </c>
      <c r="F121" s="178">
        <f>SUM(F120:F120)</f>
        <v>452531</v>
      </c>
    </row>
    <row r="122" spans="1:6" s="177" customFormat="1" ht="15" thickBot="1" x14ac:dyDescent="0.25">
      <c r="B122" s="14" t="s">
        <v>1396</v>
      </c>
      <c r="C122" s="178"/>
      <c r="D122" s="178"/>
      <c r="E122" s="178"/>
      <c r="F122" s="190">
        <f>F118+F121</f>
        <v>48327420</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423</v>
      </c>
      <c r="B2" s="59" t="str">
        <f>VLOOKUP(A2,Data!A:G,7,0)</f>
        <v>Midland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4416</v>
      </c>
      <c r="E5" s="16">
        <f>E36+E67+IFERROR($E$105/$D$105*D5,0)</f>
        <v>41934.899594409086</v>
      </c>
      <c r="F5" s="21">
        <f>IFERROR(E5/D5,"")</f>
        <v>9.4961276255455349</v>
      </c>
    </row>
    <row r="6" spans="1:6" x14ac:dyDescent="0.2">
      <c r="A6" s="20">
        <v>2</v>
      </c>
      <c r="B6" s="202" t="s">
        <v>1</v>
      </c>
      <c r="C6" s="203"/>
      <c r="D6" s="15">
        <f t="shared" ref="D6:D32" si="0">D37</f>
        <v>41328</v>
      </c>
      <c r="E6" s="18">
        <f t="shared" ref="E6:E32" si="1">E37+E68+IFERROR($E$105/$D$105*D6,0)</f>
        <v>427347.59294332849</v>
      </c>
      <c r="F6" s="22">
        <f t="shared" ref="F6:F33" si="2">IFERROR(E6/D6,"")</f>
        <v>10.340388911714298</v>
      </c>
    </row>
    <row r="7" spans="1:6" ht="14.25" customHeight="1" x14ac:dyDescent="0.2">
      <c r="A7" s="20">
        <v>3</v>
      </c>
      <c r="B7" s="202" t="s">
        <v>2</v>
      </c>
      <c r="C7" s="203"/>
      <c r="D7" s="15">
        <f t="shared" si="0"/>
        <v>296032</v>
      </c>
      <c r="E7" s="18">
        <f t="shared" si="1"/>
        <v>2967701.0300570903</v>
      </c>
      <c r="F7" s="22">
        <f t="shared" si="2"/>
        <v>10.02493321687213</v>
      </c>
    </row>
    <row r="8" spans="1:6" ht="14.25" customHeight="1" x14ac:dyDescent="0.2">
      <c r="A8" s="20">
        <v>4</v>
      </c>
      <c r="B8" s="202" t="s">
        <v>3</v>
      </c>
      <c r="C8" s="203"/>
      <c r="D8" s="15">
        <f t="shared" si="0"/>
        <v>231314</v>
      </c>
      <c r="E8" s="18">
        <f t="shared" si="1"/>
        <v>2086963.4893073239</v>
      </c>
      <c r="F8" s="22">
        <f t="shared" si="2"/>
        <v>9.0222100232036269</v>
      </c>
    </row>
    <row r="9" spans="1:6" x14ac:dyDescent="0.2">
      <c r="A9" s="20">
        <v>5</v>
      </c>
      <c r="B9" s="202" t="s">
        <v>4</v>
      </c>
      <c r="C9" s="203"/>
      <c r="D9" s="15">
        <f t="shared" si="0"/>
        <v>6174</v>
      </c>
      <c r="E9" s="18">
        <f t="shared" si="1"/>
        <v>609245.46967750939</v>
      </c>
      <c r="F9" s="22">
        <f t="shared" si="2"/>
        <v>98.679214395450174</v>
      </c>
    </row>
    <row r="10" spans="1:6" x14ac:dyDescent="0.2">
      <c r="A10" s="20">
        <v>6</v>
      </c>
      <c r="B10" s="202" t="s">
        <v>5</v>
      </c>
      <c r="C10" s="203"/>
      <c r="D10" s="15">
        <f t="shared" si="0"/>
        <v>7424</v>
      </c>
      <c r="E10" s="18">
        <f t="shared" si="1"/>
        <v>202715.13555002108</v>
      </c>
      <c r="F10" s="22">
        <f t="shared" si="2"/>
        <v>27.305379249733441</v>
      </c>
    </row>
    <row r="11" spans="1:6" x14ac:dyDescent="0.2">
      <c r="A11" s="20">
        <v>7</v>
      </c>
      <c r="B11" s="202" t="s">
        <v>6</v>
      </c>
      <c r="C11" s="203"/>
      <c r="D11" s="15">
        <f t="shared" si="0"/>
        <v>36751</v>
      </c>
      <c r="E11" s="18">
        <f t="shared" si="1"/>
        <v>565485.05638453993</v>
      </c>
      <c r="F11" s="22">
        <f t="shared" si="2"/>
        <v>15.386929781081873</v>
      </c>
    </row>
    <row r="12" spans="1:6" x14ac:dyDescent="0.2">
      <c r="A12" s="20">
        <v>8</v>
      </c>
      <c r="B12" s="202" t="s">
        <v>7</v>
      </c>
      <c r="C12" s="203"/>
      <c r="D12" s="15">
        <f t="shared" si="0"/>
        <v>1023</v>
      </c>
      <c r="E12" s="18">
        <f t="shared" si="1"/>
        <v>6434.9665500635174</v>
      </c>
      <c r="F12" s="22">
        <f t="shared" si="2"/>
        <v>6.2902898827600362</v>
      </c>
    </row>
    <row r="13" spans="1:6" x14ac:dyDescent="0.2">
      <c r="A13" s="20">
        <v>9</v>
      </c>
      <c r="B13" s="202" t="s">
        <v>8</v>
      </c>
      <c r="C13" s="203"/>
      <c r="D13" s="15">
        <f t="shared" si="0"/>
        <v>86258</v>
      </c>
      <c r="E13" s="18">
        <f t="shared" si="1"/>
        <v>1055810.9830648864</v>
      </c>
      <c r="F13" s="22">
        <f t="shared" si="2"/>
        <v>12.240151441777996</v>
      </c>
    </row>
    <row r="14" spans="1:6" x14ac:dyDescent="0.2">
      <c r="A14" s="20">
        <v>10</v>
      </c>
      <c r="B14" s="202" t="s">
        <v>9</v>
      </c>
      <c r="C14" s="203"/>
      <c r="D14" s="15">
        <f t="shared" si="0"/>
        <v>2544</v>
      </c>
      <c r="E14" s="18">
        <f t="shared" si="1"/>
        <v>14650.039983735667</v>
      </c>
      <c r="F14" s="22">
        <f t="shared" si="2"/>
        <v>5.7586635156193662</v>
      </c>
    </row>
    <row r="15" spans="1:6" x14ac:dyDescent="0.2">
      <c r="A15" s="20">
        <v>11</v>
      </c>
      <c r="B15" s="202" t="s">
        <v>10</v>
      </c>
      <c r="C15" s="203"/>
      <c r="D15" s="15">
        <f t="shared" si="0"/>
        <v>110025</v>
      </c>
      <c r="E15" s="18">
        <f t="shared" si="1"/>
        <v>1806939.5900984737</v>
      </c>
      <c r="F15" s="22">
        <f t="shared" si="2"/>
        <v>16.422991048384219</v>
      </c>
    </row>
    <row r="16" spans="1:6" ht="14.25" customHeight="1" x14ac:dyDescent="0.2">
      <c r="A16" s="20">
        <v>12</v>
      </c>
      <c r="B16" s="202" t="s">
        <v>11</v>
      </c>
      <c r="C16" s="203"/>
      <c r="D16" s="15">
        <f t="shared" si="0"/>
        <v>269808</v>
      </c>
      <c r="E16" s="18">
        <f t="shared" si="1"/>
        <v>2674846.9197844942</v>
      </c>
      <c r="F16" s="22">
        <f t="shared" si="2"/>
        <v>9.9138903212080223</v>
      </c>
    </row>
    <row r="17" spans="1:6" x14ac:dyDescent="0.2">
      <c r="A17" s="20">
        <v>13</v>
      </c>
      <c r="B17" s="202" t="s">
        <v>12</v>
      </c>
      <c r="C17" s="203"/>
      <c r="D17" s="15">
        <f t="shared" si="0"/>
        <v>381024</v>
      </c>
      <c r="E17" s="18">
        <f t="shared" si="1"/>
        <v>2457583.2715262966</v>
      </c>
      <c r="F17" s="22">
        <f t="shared" si="2"/>
        <v>6.4499434983788335</v>
      </c>
    </row>
    <row r="18" spans="1:6" ht="14.25" customHeight="1" x14ac:dyDescent="0.2">
      <c r="A18" s="20">
        <v>14</v>
      </c>
      <c r="B18" s="202" t="s">
        <v>449</v>
      </c>
      <c r="C18" s="203"/>
      <c r="D18" s="15">
        <f t="shared" si="0"/>
        <v>124704</v>
      </c>
      <c r="E18" s="18">
        <f t="shared" si="1"/>
        <v>1624881.1863725521</v>
      </c>
      <c r="F18" s="22">
        <f t="shared" si="2"/>
        <v>13.029904304373172</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117551</v>
      </c>
      <c r="E20" s="18">
        <f t="shared" si="1"/>
        <v>1330801.4583836915</v>
      </c>
      <c r="F20" s="22">
        <f t="shared" si="2"/>
        <v>11.321056038516828</v>
      </c>
    </row>
    <row r="21" spans="1:6" x14ac:dyDescent="0.2">
      <c r="A21" s="20">
        <v>17</v>
      </c>
      <c r="B21" s="202" t="s">
        <v>15</v>
      </c>
      <c r="C21" s="203"/>
      <c r="D21" s="15">
        <f t="shared" si="0"/>
        <v>24214</v>
      </c>
      <c r="E21" s="18">
        <f t="shared" si="1"/>
        <v>346160.84754959727</v>
      </c>
      <c r="F21" s="22">
        <f t="shared" si="2"/>
        <v>14.295896900536766</v>
      </c>
    </row>
    <row r="22" spans="1:6" x14ac:dyDescent="0.2">
      <c r="A22" s="20">
        <v>18</v>
      </c>
      <c r="B22" s="202" t="s">
        <v>16</v>
      </c>
      <c r="C22" s="203"/>
      <c r="D22" s="15">
        <f t="shared" si="0"/>
        <v>104464</v>
      </c>
      <c r="E22" s="18">
        <f t="shared" si="1"/>
        <v>1183785.3965648438</v>
      </c>
      <c r="F22" s="22">
        <f t="shared" si="2"/>
        <v>11.331993764022474</v>
      </c>
    </row>
    <row r="23" spans="1:6" x14ac:dyDescent="0.2">
      <c r="A23" s="20">
        <v>19</v>
      </c>
      <c r="B23" s="202" t="s">
        <v>17</v>
      </c>
      <c r="C23" s="203"/>
      <c r="D23" s="15">
        <f t="shared" si="0"/>
        <v>81840</v>
      </c>
      <c r="E23" s="18">
        <f t="shared" si="1"/>
        <v>818657.32400508132</v>
      </c>
      <c r="F23" s="22">
        <f t="shared" si="2"/>
        <v>10.003144232711159</v>
      </c>
    </row>
    <row r="24" spans="1:6" x14ac:dyDescent="0.2">
      <c r="A24" s="20">
        <v>20</v>
      </c>
      <c r="B24" s="202" t="s">
        <v>18</v>
      </c>
      <c r="C24" s="203"/>
      <c r="D24" s="15">
        <f t="shared" si="0"/>
        <v>30096</v>
      </c>
      <c r="E24" s="18">
        <f t="shared" si="1"/>
        <v>520818.43527928798</v>
      </c>
      <c r="F24" s="22">
        <f t="shared" si="2"/>
        <v>17.305237748514354</v>
      </c>
    </row>
    <row r="25" spans="1:6" ht="14.25" customHeight="1" x14ac:dyDescent="0.2">
      <c r="A25" s="20">
        <v>21</v>
      </c>
      <c r="B25" s="202" t="s">
        <v>446</v>
      </c>
      <c r="C25" s="203"/>
      <c r="D25" s="15">
        <f t="shared" si="0"/>
        <v>38800</v>
      </c>
      <c r="E25" s="18">
        <f t="shared" si="1"/>
        <v>762219.62868276099</v>
      </c>
      <c r="F25" s="22">
        <f t="shared" si="2"/>
        <v>19.644835790792808</v>
      </c>
    </row>
    <row r="26" spans="1:6" x14ac:dyDescent="0.2">
      <c r="A26" s="20">
        <v>22</v>
      </c>
      <c r="B26" s="202" t="s">
        <v>19</v>
      </c>
      <c r="C26" s="203"/>
      <c r="D26" s="15">
        <f t="shared" si="0"/>
        <v>4800</v>
      </c>
      <c r="E26" s="18">
        <f t="shared" si="1"/>
        <v>63575.716950444657</v>
      </c>
      <c r="F26" s="22">
        <f t="shared" si="2"/>
        <v>13.244941031342638</v>
      </c>
    </row>
    <row r="27" spans="1:6" x14ac:dyDescent="0.2">
      <c r="A27" s="20">
        <v>23</v>
      </c>
      <c r="B27" s="202" t="s">
        <v>20</v>
      </c>
      <c r="C27" s="203"/>
      <c r="D27" s="15">
        <f t="shared" si="0"/>
        <v>53344</v>
      </c>
      <c r="E27" s="18">
        <f t="shared" si="1"/>
        <v>605049.46104260825</v>
      </c>
      <c r="F27" s="22">
        <f t="shared" si="2"/>
        <v>11.342408912766352</v>
      </c>
    </row>
    <row r="28" spans="1:6" x14ac:dyDescent="0.2">
      <c r="A28" s="20">
        <v>24</v>
      </c>
      <c r="B28" s="202" t="s">
        <v>21</v>
      </c>
      <c r="C28" s="203"/>
      <c r="D28" s="15">
        <f t="shared" si="0"/>
        <v>88219</v>
      </c>
      <c r="E28" s="18">
        <f t="shared" si="1"/>
        <v>777344.13888568268</v>
      </c>
      <c r="F28" s="22">
        <f t="shared" si="2"/>
        <v>8.8115274361042708</v>
      </c>
    </row>
    <row r="29" spans="1:6" x14ac:dyDescent="0.2">
      <c r="A29" s="20">
        <v>25</v>
      </c>
      <c r="B29" s="202" t="s">
        <v>22</v>
      </c>
      <c r="C29" s="203"/>
      <c r="D29" s="15">
        <f t="shared" si="0"/>
        <v>379392</v>
      </c>
      <c r="E29" s="18">
        <f t="shared" si="1"/>
        <v>3469352.5477631455</v>
      </c>
      <c r="F29" s="22">
        <f t="shared" si="2"/>
        <v>9.1445063358298153</v>
      </c>
    </row>
    <row r="30" spans="1:6" x14ac:dyDescent="0.2">
      <c r="A30" s="20">
        <v>26</v>
      </c>
      <c r="B30" s="202" t="s">
        <v>23</v>
      </c>
      <c r="C30" s="203"/>
      <c r="D30" s="15">
        <f t="shared" si="0"/>
        <v>117424</v>
      </c>
      <c r="E30" s="18">
        <f t="shared" si="1"/>
        <v>1336516.7323310445</v>
      </c>
      <c r="F30" s="22">
        <f t="shared" si="2"/>
        <v>11.381972444568781</v>
      </c>
    </row>
    <row r="31" spans="1:6" x14ac:dyDescent="0.2">
      <c r="A31" s="20">
        <v>28</v>
      </c>
      <c r="B31" s="202" t="s">
        <v>24</v>
      </c>
      <c r="C31" s="203"/>
      <c r="D31" s="15">
        <f t="shared" si="0"/>
        <v>162416</v>
      </c>
      <c r="E31" s="18">
        <f t="shared" si="1"/>
        <v>1559499.6658798791</v>
      </c>
      <c r="F31" s="22">
        <f t="shared" si="2"/>
        <v>9.601884456456748</v>
      </c>
    </row>
    <row r="32" spans="1:6" ht="15.75" customHeight="1" thickBot="1" x14ac:dyDescent="0.25">
      <c r="A32" s="23">
        <v>29</v>
      </c>
      <c r="B32" s="206" t="s">
        <v>25</v>
      </c>
      <c r="C32" s="207"/>
      <c r="D32" s="24">
        <f t="shared" si="0"/>
        <v>49024</v>
      </c>
      <c r="E32" s="25">
        <f t="shared" si="1"/>
        <v>468816.0157872081</v>
      </c>
      <c r="F32" s="26">
        <f t="shared" si="2"/>
        <v>9.5629898781659612</v>
      </c>
    </row>
    <row r="33" spans="1:6" x14ac:dyDescent="0.2">
      <c r="B33" s="31" t="s">
        <v>35</v>
      </c>
      <c r="C33" s="31"/>
      <c r="D33" s="60">
        <f>SUM(D5:D32)</f>
        <v>2850409</v>
      </c>
      <c r="E33" s="32">
        <f>SUM(E5:E32)</f>
        <v>29785137.000000007</v>
      </c>
      <c r="F33" s="33">
        <f t="shared" si="2"/>
        <v>10.449425678911345</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IF(F3="1",SUMIF(Data!A:A,'28'!$A$2,Data!CU:CU),0)</f>
        <v>4416</v>
      </c>
      <c r="E36" s="16">
        <f>IF(F3="1",SUMIF(Data!$A:$A,'28'!$A$2,Data!IO:IO),0)</f>
        <v>3649</v>
      </c>
      <c r="F36" s="21">
        <f t="shared" ref="F36:F64" si="3">IFERROR(E36/D36,"")</f>
        <v>0.82631340579710144</v>
      </c>
    </row>
    <row r="37" spans="1:6" x14ac:dyDescent="0.2">
      <c r="A37" s="20">
        <v>2</v>
      </c>
      <c r="B37" s="202" t="s">
        <v>1</v>
      </c>
      <c r="C37" s="203"/>
      <c r="D37" s="15">
        <f>IF(F3="1",SUMIF(Data!A:A,'28'!$A$2,Data!CV:CV),0)</f>
        <v>41328</v>
      </c>
      <c r="E37" s="18">
        <f>IF(F3="1",SUMIF(Data!$A:$A,'28'!$A$2,Data!IP:IP),0)</f>
        <v>68672</v>
      </c>
      <c r="F37" s="22">
        <f t="shared" si="3"/>
        <v>1.6616337591947348</v>
      </c>
    </row>
    <row r="38" spans="1:6" ht="14.25" customHeight="1" x14ac:dyDescent="0.2">
      <c r="A38" s="20">
        <v>3</v>
      </c>
      <c r="B38" s="202" t="s">
        <v>2</v>
      </c>
      <c r="C38" s="203"/>
      <c r="D38" s="15">
        <f>IF(F3="1",SUMIF(Data!A:A,'28'!$A$2,Data!CW:CW),0)</f>
        <v>296032</v>
      </c>
      <c r="E38" s="18">
        <f>IF(F3="1",SUMIF(Data!$A:$A,'28'!$A$2,Data!IQ:IQ),0)</f>
        <v>378384</v>
      </c>
      <c r="F38" s="22">
        <f t="shared" si="3"/>
        <v>1.2781861420386986</v>
      </c>
    </row>
    <row r="39" spans="1:6" ht="14.25" customHeight="1" x14ac:dyDescent="0.2">
      <c r="A39" s="20">
        <v>4</v>
      </c>
      <c r="B39" s="202" t="s">
        <v>3</v>
      </c>
      <c r="C39" s="203"/>
      <c r="D39" s="15">
        <f>IF(F3="1",SUMIF(Data!A:A,'28'!$A$2,Data!CX:CX),0)</f>
        <v>231314</v>
      </c>
      <c r="E39" s="18">
        <f>IF(F3="1",SUMIF(Data!$A:$A,'28'!$A$2,Data!IR:IR),0)</f>
        <v>238519</v>
      </c>
      <c r="F39" s="22">
        <f t="shared" si="3"/>
        <v>1.0311481362995756</v>
      </c>
    </row>
    <row r="40" spans="1:6" x14ac:dyDescent="0.2">
      <c r="A40" s="20">
        <v>5</v>
      </c>
      <c r="B40" s="202" t="s">
        <v>4</v>
      </c>
      <c r="C40" s="203"/>
      <c r="D40" s="15">
        <f>IF(F3="1",SUMIF(Data!A:A,'28'!$A$2,Data!CY:CY),0)</f>
        <v>6174</v>
      </c>
      <c r="E40" s="18">
        <f>IF(F3="1",SUMIF(Data!$A:$A,'28'!$A$2,Data!IS:IS),0)</f>
        <v>395003</v>
      </c>
      <c r="F40" s="22">
        <f t="shared" si="3"/>
        <v>63.978458049886619</v>
      </c>
    </row>
    <row r="41" spans="1:6" x14ac:dyDescent="0.2">
      <c r="A41" s="20">
        <v>6</v>
      </c>
      <c r="B41" s="202" t="s">
        <v>5</v>
      </c>
      <c r="C41" s="203"/>
      <c r="D41" s="15">
        <f>IF(F3="1",SUMIF(Data!A:A,'28'!$A$2,Data!CZ:CZ),0)</f>
        <v>7424</v>
      </c>
      <c r="E41" s="18">
        <f>IF(F3="1",SUMIF(Data!$A:$A,'28'!$A$2,Data!IT:IT),0)</f>
        <v>34886</v>
      </c>
      <c r="F41" s="22">
        <f t="shared" si="3"/>
        <v>4.6990840517241379</v>
      </c>
    </row>
    <row r="42" spans="1:6" x14ac:dyDescent="0.2">
      <c r="A42" s="20">
        <v>7</v>
      </c>
      <c r="B42" s="202" t="s">
        <v>6</v>
      </c>
      <c r="C42" s="203"/>
      <c r="D42" s="15">
        <f>IF(F3="1",SUMIF(Data!A:A,'28'!$A$2,Data!DA:DA),0)</f>
        <v>36751</v>
      </c>
      <c r="E42" s="18">
        <f>IF(F3="1",SUMIF(Data!$A:$A,'28'!$A$2,Data!IU:IU),0)</f>
        <v>115442</v>
      </c>
      <c r="F42" s="22">
        <f t="shared" si="3"/>
        <v>3.1411934369132815</v>
      </c>
    </row>
    <row r="43" spans="1:6" x14ac:dyDescent="0.2">
      <c r="A43" s="20">
        <v>8</v>
      </c>
      <c r="B43" s="202" t="s">
        <v>7</v>
      </c>
      <c r="C43" s="203"/>
      <c r="D43" s="15">
        <f>IF(F3="1",SUMIF(Data!A:A,'28'!$A$2,Data!DB:DB),0)</f>
        <v>1023</v>
      </c>
      <c r="E43" s="18">
        <f>IF(F3="1",SUMIF(Data!$A:$A,'28'!$A$2,Data!IV:IV),0)</f>
        <v>840</v>
      </c>
      <c r="F43" s="22">
        <f t="shared" si="3"/>
        <v>0.82111436950146632</v>
      </c>
    </row>
    <row r="44" spans="1:6" x14ac:dyDescent="0.2">
      <c r="A44" s="20">
        <v>9</v>
      </c>
      <c r="B44" s="202" t="s">
        <v>8</v>
      </c>
      <c r="C44" s="203"/>
      <c r="D44" s="15">
        <f>IF(F3="1",SUMIF(Data!A:A,'28'!$A$2,Data!DC:DC),0)</f>
        <v>86258</v>
      </c>
      <c r="E44" s="18">
        <f>IF(F3="1",SUMIF(Data!$A:$A,'28'!$A$2,Data!IW:IW),0)</f>
        <v>172616</v>
      </c>
      <c r="F44" s="22">
        <f t="shared" si="3"/>
        <v>2.0011593127593961</v>
      </c>
    </row>
    <row r="45" spans="1:6" x14ac:dyDescent="0.2">
      <c r="A45" s="20">
        <v>10</v>
      </c>
      <c r="B45" s="202" t="s">
        <v>9</v>
      </c>
      <c r="C45" s="203"/>
      <c r="D45" s="15">
        <f>IF(F3="1",SUMIF(Data!A:A,'28'!$A$2,Data!DD:DD),0)</f>
        <v>2544</v>
      </c>
      <c r="E45" s="18">
        <f>IF(F3="1",SUMIF(Data!$A:$A,'28'!$A$2,Data!IX:IX),0)</f>
        <v>1302</v>
      </c>
      <c r="F45" s="22">
        <f t="shared" si="3"/>
        <v>0.5117924528301887</v>
      </c>
    </row>
    <row r="46" spans="1:6" x14ac:dyDescent="0.2">
      <c r="A46" s="20">
        <v>11</v>
      </c>
      <c r="B46" s="202" t="s">
        <v>10</v>
      </c>
      <c r="C46" s="203"/>
      <c r="D46" s="15">
        <f>IF(F3="1",SUMIF(Data!A:A,'28'!$A$2,Data!DE:DE),0)</f>
        <v>110025</v>
      </c>
      <c r="E46" s="18">
        <f>IF(F3="1",SUMIF(Data!$A:$A,'28'!$A$2,Data!IY:IY),0)</f>
        <v>859688</v>
      </c>
      <c r="F46" s="22">
        <f t="shared" si="3"/>
        <v>7.8135696432628947</v>
      </c>
    </row>
    <row r="47" spans="1:6" ht="14.25" customHeight="1" x14ac:dyDescent="0.2">
      <c r="A47" s="20">
        <v>12</v>
      </c>
      <c r="B47" s="202" t="s">
        <v>11</v>
      </c>
      <c r="C47" s="203"/>
      <c r="D47" s="15">
        <f>IF(F3="1",SUMIF(Data!A:A,'28'!$A$2,Data!DF:DF),0)</f>
        <v>269808</v>
      </c>
      <c r="E47" s="18">
        <f>IF(F3="1",SUMIF(Data!$A:$A,'28'!$A$2,Data!IZ:IZ),0)</f>
        <v>368708</v>
      </c>
      <c r="F47" s="22">
        <f t="shared" si="3"/>
        <v>1.3665569590227125</v>
      </c>
    </row>
    <row r="48" spans="1:6" x14ac:dyDescent="0.2">
      <c r="A48" s="20">
        <v>13</v>
      </c>
      <c r="B48" s="202" t="s">
        <v>12</v>
      </c>
      <c r="C48" s="203"/>
      <c r="D48" s="15">
        <f>IF(F3="1",SUMIF(Data!A:A,'28'!$A$2,Data!DG:DG),0)</f>
        <v>381024</v>
      </c>
      <c r="E48" s="18">
        <f>IF(F3="1",SUMIF(Data!$A:$A,'28'!$A$2,Data!JA:JA),0)</f>
        <v>108862</v>
      </c>
      <c r="F48" s="22">
        <f t="shared" si="3"/>
        <v>0.28570903670110021</v>
      </c>
    </row>
    <row r="49" spans="1:6" ht="14.25" customHeight="1" x14ac:dyDescent="0.2">
      <c r="A49" s="20">
        <v>14</v>
      </c>
      <c r="B49" s="202" t="s">
        <v>449</v>
      </c>
      <c r="C49" s="203"/>
      <c r="D49" s="15">
        <f>IF(F3="1",SUMIF(Data!A:A,'28'!$A$2,Data!DH:DH),0)</f>
        <v>124704</v>
      </c>
      <c r="E49" s="18">
        <f>IF(F3="1",SUMIF(Data!$A:$A,'28'!$A$2,Data!JB:JB),0)</f>
        <v>278609</v>
      </c>
      <c r="F49" s="22">
        <f t="shared" si="3"/>
        <v>2.2341624967924045</v>
      </c>
    </row>
    <row r="50" spans="1:6" x14ac:dyDescent="0.2">
      <c r="A50" s="20">
        <v>15</v>
      </c>
      <c r="B50" s="202" t="s">
        <v>13</v>
      </c>
      <c r="C50" s="203"/>
      <c r="D50" s="15">
        <f>IF(F3="1",SUMIF(Data!A:A,'28'!$A$2,Data!DI:DI),0)</f>
        <v>0</v>
      </c>
      <c r="E50" s="18">
        <f>IF(F3="1",SUMIF(Data!$A:$A,'28'!$A$2,Data!JC:JC),0)</f>
        <v>0</v>
      </c>
      <c r="F50" s="22" t="str">
        <f t="shared" si="3"/>
        <v/>
      </c>
    </row>
    <row r="51" spans="1:6" x14ac:dyDescent="0.2">
      <c r="A51" s="20">
        <v>16</v>
      </c>
      <c r="B51" s="202" t="s">
        <v>14</v>
      </c>
      <c r="C51" s="203"/>
      <c r="D51" s="15">
        <f>IF(F3="1",SUMIF(Data!A:A,'28'!$A$2,Data!DJ:DJ),0)</f>
        <v>117551</v>
      </c>
      <c r="E51" s="18">
        <f>IF(F3="1",SUMIF(Data!$A:$A,'28'!$A$2,Data!JD:JD),0)</f>
        <v>225549</v>
      </c>
      <c r="F51" s="22">
        <f t="shared" si="3"/>
        <v>1.9187331456133934</v>
      </c>
    </row>
    <row r="52" spans="1:6" x14ac:dyDescent="0.2">
      <c r="A52" s="20">
        <v>17</v>
      </c>
      <c r="B52" s="202" t="s">
        <v>15</v>
      </c>
      <c r="C52" s="203"/>
      <c r="D52" s="15">
        <f>IF(F3="1",SUMIF(Data!A:A,'28'!$A$2,Data!DK:DK),0)</f>
        <v>24214</v>
      </c>
      <c r="E52" s="18">
        <f>IF(F3="1",SUMIF(Data!$A:$A,'28'!$A$2,Data!JE:JE),0)</f>
        <v>50283</v>
      </c>
      <c r="F52" s="22">
        <f t="shared" si="3"/>
        <v>2.0766085735524902</v>
      </c>
    </row>
    <row r="53" spans="1:6" x14ac:dyDescent="0.2">
      <c r="A53" s="20">
        <v>18</v>
      </c>
      <c r="B53" s="202" t="s">
        <v>16</v>
      </c>
      <c r="C53" s="203"/>
      <c r="D53" s="15">
        <f>IF(F3="1",SUMIF(Data!A:A,'28'!$A$2,Data!DL:DL),0)</f>
        <v>104464</v>
      </c>
      <c r="E53" s="18">
        <f>IF(F3="1",SUMIF(Data!$A:$A,'28'!$A$2,Data!JF:JF),0)</f>
        <v>179253</v>
      </c>
      <c r="F53" s="22">
        <f t="shared" si="3"/>
        <v>1.7159308469903507</v>
      </c>
    </row>
    <row r="54" spans="1:6" x14ac:dyDescent="0.2">
      <c r="A54" s="20">
        <v>19</v>
      </c>
      <c r="B54" s="202" t="s">
        <v>17</v>
      </c>
      <c r="C54" s="203"/>
      <c r="D54" s="15">
        <f>IF(F3="1",SUMIF(Data!A:A,'28'!$A$2,Data!DM:DM),0)</f>
        <v>81840</v>
      </c>
      <c r="E54" s="18">
        <f>IF(F3="1",SUMIF(Data!$A:$A,'28'!$A$2,Data!JG:JG),0)</f>
        <v>94660</v>
      </c>
      <c r="F54" s="22">
        <f t="shared" si="3"/>
        <v>1.1566471163245358</v>
      </c>
    </row>
    <row r="55" spans="1:6" x14ac:dyDescent="0.2">
      <c r="A55" s="20">
        <v>20</v>
      </c>
      <c r="B55" s="202" t="s">
        <v>18</v>
      </c>
      <c r="C55" s="203"/>
      <c r="D55" s="15">
        <f>IF(F3="1",SUMIF(Data!A:A,'28'!$A$2,Data!DN:DN),0)</f>
        <v>30096</v>
      </c>
      <c r="E55" s="18">
        <f>IF(F3="1",SUMIF(Data!$A:$A,'28'!$A$2,Data!JH:JH),0)</f>
        <v>101256</v>
      </c>
      <c r="F55" s="22">
        <f t="shared" si="3"/>
        <v>3.364433811802233</v>
      </c>
    </row>
    <row r="56" spans="1:6" ht="14.25" customHeight="1" x14ac:dyDescent="0.2">
      <c r="A56" s="20">
        <v>21</v>
      </c>
      <c r="B56" s="202" t="s">
        <v>446</v>
      </c>
      <c r="C56" s="203"/>
      <c r="D56" s="15">
        <f>IF(F3="1",SUMIF(Data!A:A,'28'!$A$2,Data!DO:DO),0)</f>
        <v>38800</v>
      </c>
      <c r="E56" s="18">
        <f>IF(F3="1",SUMIF(Data!$A:$A,'28'!$A$2,Data!JI:JI),0)</f>
        <v>244512</v>
      </c>
      <c r="F56" s="22">
        <f t="shared" si="3"/>
        <v>6.3018556701030928</v>
      </c>
    </row>
    <row r="57" spans="1:6" x14ac:dyDescent="0.2">
      <c r="A57" s="20">
        <v>22</v>
      </c>
      <c r="B57" s="202" t="s">
        <v>19</v>
      </c>
      <c r="C57" s="203"/>
      <c r="D57" s="15">
        <f>IF(F3="1",SUMIF(Data!A:A,'28'!$A$2,Data!DP:DP),0)</f>
        <v>4800</v>
      </c>
      <c r="E57" s="18">
        <f>IF(F3="1",SUMIF(Data!$A:$A,'28'!$A$2,Data!JJ:JJ),0)</f>
        <v>7187</v>
      </c>
      <c r="F57" s="22">
        <f t="shared" si="3"/>
        <v>1.4972916666666667</v>
      </c>
    </row>
    <row r="58" spans="1:6" x14ac:dyDescent="0.2">
      <c r="A58" s="20">
        <v>23</v>
      </c>
      <c r="B58" s="202" t="s">
        <v>20</v>
      </c>
      <c r="C58" s="203"/>
      <c r="D58" s="15">
        <f>IF(F3="1",SUMIF(Data!A:A,'28'!$A$2,Data!DQ:DQ),0)</f>
        <v>53344</v>
      </c>
      <c r="E58" s="18">
        <f>IF(F3="1",SUMIF(Data!$A:$A,'28'!$A$2,Data!JK:JK),0)</f>
        <v>74232</v>
      </c>
      <c r="F58" s="22">
        <f t="shared" si="3"/>
        <v>1.3915716856628675</v>
      </c>
    </row>
    <row r="59" spans="1:6" x14ac:dyDescent="0.2">
      <c r="A59" s="20">
        <v>24</v>
      </c>
      <c r="B59" s="202" t="s">
        <v>21</v>
      </c>
      <c r="C59" s="203"/>
      <c r="D59" s="15">
        <f>IF(F3="1",SUMIF(Data!A:A,'28'!$A$2,Data!DR:DR),0)</f>
        <v>88219</v>
      </c>
      <c r="E59" s="18">
        <f>IF(F3="1",SUMIF(Data!$A:$A,'28'!$A$2,Data!JL:JL),0)</f>
        <v>113747</v>
      </c>
      <c r="F59" s="22">
        <f t="shared" si="3"/>
        <v>1.2893707704689465</v>
      </c>
    </row>
    <row r="60" spans="1:6" x14ac:dyDescent="0.2">
      <c r="A60" s="20">
        <v>25</v>
      </c>
      <c r="B60" s="202" t="s">
        <v>22</v>
      </c>
      <c r="C60" s="203"/>
      <c r="D60" s="15">
        <f>IF(F3="1",SUMIF(Data!A:A,'28'!$A$2,Data!DS:DS),0)</f>
        <v>379392</v>
      </c>
      <c r="E60" s="18">
        <f>IF(F3="1",SUMIF(Data!$A:$A,'28'!$A$2,Data!JM:JM),0)</f>
        <v>326563</v>
      </c>
      <c r="F60" s="22">
        <f t="shared" si="3"/>
        <v>0.86075352142375172</v>
      </c>
    </row>
    <row r="61" spans="1:6" x14ac:dyDescent="0.2">
      <c r="A61" s="20">
        <v>26</v>
      </c>
      <c r="B61" s="202" t="s">
        <v>23</v>
      </c>
      <c r="C61" s="203"/>
      <c r="D61" s="15">
        <f>IF(F3="1",SUMIF(Data!A:A,'28'!$A$2,Data!DT:DT),0)</f>
        <v>117424</v>
      </c>
      <c r="E61" s="18">
        <f>IF(F3="1",SUMIF(Data!$A:$A,'28'!$A$2,Data!JN:JN),0)</f>
        <v>193620</v>
      </c>
      <c r="F61" s="22">
        <f t="shared" si="3"/>
        <v>1.6488963073988281</v>
      </c>
    </row>
    <row r="62" spans="1:6" x14ac:dyDescent="0.2">
      <c r="A62" s="20">
        <v>28</v>
      </c>
      <c r="B62" s="202" t="s">
        <v>24</v>
      </c>
      <c r="C62" s="203"/>
      <c r="D62" s="15">
        <f>IF(F3="1",SUMIF(Data!A:A,'28'!$A$2,Data!DV:DV),0)</f>
        <v>162416</v>
      </c>
      <c r="E62" s="18">
        <f>IF(F3="1",SUMIF(Data!$A:$A,'28'!$A$2,Data!JP:JP),0)</f>
        <v>159105</v>
      </c>
      <c r="F62" s="22">
        <f t="shared" si="3"/>
        <v>0.97961407743079498</v>
      </c>
    </row>
    <row r="63" spans="1:6" ht="15.75" customHeight="1" thickBot="1" x14ac:dyDescent="0.25">
      <c r="A63" s="23">
        <v>29</v>
      </c>
      <c r="B63" s="206" t="s">
        <v>25</v>
      </c>
      <c r="C63" s="207"/>
      <c r="D63" s="24">
        <f>IF(F3="1",SUMIF(Data!A:A,'28'!$A$2,Data!DW:DW),0)</f>
        <v>49024</v>
      </c>
      <c r="E63" s="25">
        <f>IF(F3="1",SUMIF(Data!$A:$A,'28'!$A$2,Data!JQ:JQ),0)</f>
        <v>42635</v>
      </c>
      <c r="F63" s="26">
        <f t="shared" si="3"/>
        <v>0.86967607702349869</v>
      </c>
    </row>
    <row r="64" spans="1:6" x14ac:dyDescent="0.2">
      <c r="B64" s="31" t="s">
        <v>35</v>
      </c>
      <c r="C64" s="31"/>
      <c r="D64" s="60">
        <f>SUM(D36:D63)</f>
        <v>2850409</v>
      </c>
      <c r="E64" s="32">
        <f>SUM(E36:E63)</f>
        <v>4837782</v>
      </c>
      <c r="F64" s="33">
        <f t="shared" si="3"/>
        <v>1.6972238019175494</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4416</v>
      </c>
      <c r="E67" s="16">
        <f>IF(F3="1",SUMIF(Data!A:A,'28'!$A$2,Data!DY:DY),0)</f>
        <v>16737</v>
      </c>
      <c r="F67" s="21">
        <f>IFERROR(E67/D67,"")</f>
        <v>3.7900815217391304</v>
      </c>
    </row>
    <row r="68" spans="1:6" x14ac:dyDescent="0.2">
      <c r="A68" s="20">
        <v>2</v>
      </c>
      <c r="B68" s="202" t="s">
        <v>1</v>
      </c>
      <c r="C68" s="203"/>
      <c r="D68" s="15">
        <f t="shared" ref="D68:D94" si="4">D37</f>
        <v>41328</v>
      </c>
      <c r="E68" s="18">
        <f>IF(F3="1",SUMIF(Data!A:A,'28'!$A$2,Data!DZ:DZ),0)</f>
        <v>157006</v>
      </c>
      <c r="F68" s="22">
        <f t="shared" ref="F68:F95" si="5">IFERROR(E68/D68,"")</f>
        <v>3.7990224545102595</v>
      </c>
    </row>
    <row r="69" spans="1:6" ht="14.25" customHeight="1" x14ac:dyDescent="0.2">
      <c r="A69" s="20">
        <v>3</v>
      </c>
      <c r="B69" s="202" t="s">
        <v>2</v>
      </c>
      <c r="C69" s="203"/>
      <c r="D69" s="15">
        <f t="shared" si="4"/>
        <v>296032</v>
      </c>
      <c r="E69" s="18">
        <f>IF(F3="1",SUMIF(Data!A:A,'28'!$A$2,Data!EA:EA),0)</f>
        <v>1144760</v>
      </c>
      <c r="F69" s="22">
        <f t="shared" si="5"/>
        <v>3.8670143768241272</v>
      </c>
    </row>
    <row r="70" spans="1:6" ht="14.25" customHeight="1" x14ac:dyDescent="0.2">
      <c r="A70" s="20">
        <v>4</v>
      </c>
      <c r="B70" s="202" t="s">
        <v>3</v>
      </c>
      <c r="C70" s="203"/>
      <c r="D70" s="15">
        <f t="shared" si="4"/>
        <v>231314</v>
      </c>
      <c r="E70" s="18">
        <f>IF(F3="1",SUMIF(Data!A:A,'28'!$A$2,Data!EB:EB),0)</f>
        <v>719694</v>
      </c>
      <c r="F70" s="22">
        <f t="shared" si="5"/>
        <v>3.1113291888947492</v>
      </c>
    </row>
    <row r="71" spans="1:6" x14ac:dyDescent="0.2">
      <c r="A71" s="20">
        <v>5</v>
      </c>
      <c r="B71" s="202" t="s">
        <v>4</v>
      </c>
      <c r="C71" s="203"/>
      <c r="D71" s="15">
        <f t="shared" si="4"/>
        <v>6174</v>
      </c>
      <c r="E71" s="18">
        <f>IF(F3="1",SUMIF(Data!A:A,'28'!$A$2,Data!EC:EC),0)</f>
        <v>184115</v>
      </c>
      <c r="F71" s="22">
        <f t="shared" si="5"/>
        <v>29.821023647554259</v>
      </c>
    </row>
    <row r="72" spans="1:6" x14ac:dyDescent="0.2">
      <c r="A72" s="20">
        <v>6</v>
      </c>
      <c r="B72" s="202" t="s">
        <v>5</v>
      </c>
      <c r="C72" s="203"/>
      <c r="D72" s="15">
        <f t="shared" si="4"/>
        <v>7424</v>
      </c>
      <c r="E72" s="18">
        <f>IF(F3="1",SUMIF(Data!A:A,'28'!$A$2,Data!ED:ED),0)</f>
        <v>131602</v>
      </c>
      <c r="F72" s="22">
        <f t="shared" si="5"/>
        <v>17.7265625</v>
      </c>
    </row>
    <row r="73" spans="1:6" x14ac:dyDescent="0.2">
      <c r="A73" s="20">
        <v>7</v>
      </c>
      <c r="B73" s="202" t="s">
        <v>6</v>
      </c>
      <c r="C73" s="203"/>
      <c r="D73" s="15">
        <f t="shared" si="4"/>
        <v>36751</v>
      </c>
      <c r="E73" s="18">
        <f>IF(F3="1",SUMIF(Data!A:A,'28'!$A$2,Data!EE:EE),0)</f>
        <v>270708</v>
      </c>
      <c r="F73" s="22">
        <f t="shared" si="5"/>
        <v>7.3660036461592879</v>
      </c>
    </row>
    <row r="74" spans="1:6" x14ac:dyDescent="0.2">
      <c r="A74" s="20">
        <v>8</v>
      </c>
      <c r="B74" s="202" t="s">
        <v>7</v>
      </c>
      <c r="C74" s="203"/>
      <c r="D74" s="15">
        <f t="shared" si="4"/>
        <v>1023</v>
      </c>
      <c r="E74" s="18">
        <f>IF(F3="1",SUMIF(Data!A:A,'28'!$A$2,Data!EF:EF),0)</f>
        <v>603</v>
      </c>
      <c r="F74" s="22">
        <f t="shared" si="5"/>
        <v>0.58944281524926689</v>
      </c>
    </row>
    <row r="75" spans="1:6" x14ac:dyDescent="0.2">
      <c r="A75" s="20">
        <v>9</v>
      </c>
      <c r="B75" s="202" t="s">
        <v>8</v>
      </c>
      <c r="C75" s="203"/>
      <c r="D75" s="15">
        <f t="shared" si="4"/>
        <v>86258</v>
      </c>
      <c r="E75" s="18">
        <f>IF(F3="1",SUMIF(Data!A:A,'28'!$A$2,Data!EG:EG),0)</f>
        <v>462279</v>
      </c>
      <c r="F75" s="22">
        <f t="shared" si="5"/>
        <v>5.3592594310092974</v>
      </c>
    </row>
    <row r="76" spans="1:6" x14ac:dyDescent="0.2">
      <c r="A76" s="20">
        <v>10</v>
      </c>
      <c r="B76" s="202" t="s">
        <v>9</v>
      </c>
      <c r="C76" s="203"/>
      <c r="D76" s="15">
        <f t="shared" si="4"/>
        <v>2544</v>
      </c>
      <c r="E76" s="18">
        <f>IF(F3="1",SUMIF(Data!A:A,'28'!$A$2,Data!EH:EH),0)</f>
        <v>934</v>
      </c>
      <c r="F76" s="22">
        <f t="shared" si="5"/>
        <v>0.36713836477987422</v>
      </c>
    </row>
    <row r="77" spans="1:6" x14ac:dyDescent="0.2">
      <c r="A77" s="20">
        <v>11</v>
      </c>
      <c r="B77" s="202" t="s">
        <v>10</v>
      </c>
      <c r="C77" s="203"/>
      <c r="D77" s="15">
        <f t="shared" si="4"/>
        <v>110025</v>
      </c>
      <c r="E77" s="18">
        <f>IF(F3="1",SUMIF(Data!A:A,'28'!$A$2,Data!EI:EI),0)</f>
        <v>410359</v>
      </c>
      <c r="F77" s="22">
        <f t="shared" si="5"/>
        <v>3.7296887071120199</v>
      </c>
    </row>
    <row r="78" spans="1:6" ht="14.25" customHeight="1" x14ac:dyDescent="0.2">
      <c r="A78" s="20">
        <v>12</v>
      </c>
      <c r="B78" s="202" t="s">
        <v>11</v>
      </c>
      <c r="C78" s="203"/>
      <c r="D78" s="15">
        <f t="shared" si="4"/>
        <v>269808</v>
      </c>
      <c r="E78" s="18">
        <f>IF(F3="1",SUMIF(Data!A:A,'28'!$A$2,Data!EJ:EJ),0)</f>
        <v>989548</v>
      </c>
      <c r="F78" s="22">
        <f t="shared" si="5"/>
        <v>3.6676006641760068</v>
      </c>
    </row>
    <row r="79" spans="1:6" x14ac:dyDescent="0.2">
      <c r="A79" s="20">
        <v>13</v>
      </c>
      <c r="B79" s="202" t="s">
        <v>12</v>
      </c>
      <c r="C79" s="203"/>
      <c r="D79" s="15">
        <f t="shared" si="4"/>
        <v>381024</v>
      </c>
      <c r="E79" s="18">
        <f>IF(F3="1",SUMIF(Data!A:A,'28'!$A$2,Data!EK:EK),0)</f>
        <v>489426</v>
      </c>
      <c r="F79" s="22">
        <f t="shared" si="5"/>
        <v>1.2845017636684304</v>
      </c>
    </row>
    <row r="80" spans="1:6" ht="14.25" customHeight="1" x14ac:dyDescent="0.2">
      <c r="A80" s="20">
        <v>14</v>
      </c>
      <c r="B80" s="202" t="s">
        <v>449</v>
      </c>
      <c r="C80" s="203"/>
      <c r="D80" s="15">
        <f t="shared" si="4"/>
        <v>124704</v>
      </c>
      <c r="E80" s="18">
        <f>IF(F3="1",SUMIF(Data!A:A,'28'!$A$2,Data!EL:EL),0)</f>
        <v>737750</v>
      </c>
      <c r="F80" s="22">
        <f t="shared" si="5"/>
        <v>5.9160091095714655</v>
      </c>
    </row>
    <row r="81" spans="1:6" x14ac:dyDescent="0.2">
      <c r="A81" s="20">
        <v>15</v>
      </c>
      <c r="B81" s="202" t="s">
        <v>13</v>
      </c>
      <c r="C81" s="203"/>
      <c r="D81" s="15">
        <f t="shared" si="4"/>
        <v>0</v>
      </c>
      <c r="E81" s="18">
        <f>IF(F3="1",SUMIF(Data!A:A,'28'!$A$2,Data!EM:EM),0)</f>
        <v>0</v>
      </c>
      <c r="F81" s="22" t="str">
        <f t="shared" si="5"/>
        <v/>
      </c>
    </row>
    <row r="82" spans="1:6" x14ac:dyDescent="0.2">
      <c r="A82" s="20">
        <v>16</v>
      </c>
      <c r="B82" s="202" t="s">
        <v>14</v>
      </c>
      <c r="C82" s="203"/>
      <c r="D82" s="15">
        <f t="shared" si="4"/>
        <v>117551</v>
      </c>
      <c r="E82" s="18">
        <f>IF(F3="1",SUMIF(Data!A:A,'28'!$A$2,Data!EN:EN),0)</f>
        <v>531635</v>
      </c>
      <c r="F82" s="22">
        <f t="shared" si="5"/>
        <v>4.5225901948941312</v>
      </c>
    </row>
    <row r="83" spans="1:6" x14ac:dyDescent="0.2">
      <c r="A83" s="20">
        <v>17</v>
      </c>
      <c r="B83" s="202" t="s">
        <v>15</v>
      </c>
      <c r="C83" s="203"/>
      <c r="D83" s="15">
        <f t="shared" si="4"/>
        <v>24214</v>
      </c>
      <c r="E83" s="18">
        <f>IF(F3="1",SUMIF(Data!A:A,'28'!$A$2,Data!EO:EO),0)</f>
        <v>177720</v>
      </c>
      <c r="F83" s="22">
        <f t="shared" si="5"/>
        <v>7.3395556289749733</v>
      </c>
    </row>
    <row r="84" spans="1:6" x14ac:dyDescent="0.2">
      <c r="A84" s="20">
        <v>18</v>
      </c>
      <c r="B84" s="202" t="s">
        <v>16</v>
      </c>
      <c r="C84" s="203"/>
      <c r="D84" s="15">
        <f t="shared" si="4"/>
        <v>104464</v>
      </c>
      <c r="E84" s="18">
        <f>IF(F3="1",SUMIF(Data!A:A,'28'!$A$2,Data!EP:EP),0)</f>
        <v>494776</v>
      </c>
      <c r="F84" s="22">
        <f t="shared" si="5"/>
        <v>4.7363302190228209</v>
      </c>
    </row>
    <row r="85" spans="1:6" x14ac:dyDescent="0.2">
      <c r="A85" s="20">
        <v>19</v>
      </c>
      <c r="B85" s="202" t="s">
        <v>17</v>
      </c>
      <c r="C85" s="203"/>
      <c r="D85" s="15">
        <f t="shared" si="4"/>
        <v>81840</v>
      </c>
      <c r="E85" s="18">
        <f>IF(F3="1",SUMIF(Data!A:A,'28'!$A$2,Data!EQ:EQ),0)</f>
        <v>324640</v>
      </c>
      <c r="F85" s="22">
        <f t="shared" si="5"/>
        <v>3.9667644183773216</v>
      </c>
    </row>
    <row r="86" spans="1:6" x14ac:dyDescent="0.2">
      <c r="A86" s="20">
        <v>20</v>
      </c>
      <c r="B86" s="202" t="s">
        <v>18</v>
      </c>
      <c r="C86" s="203"/>
      <c r="D86" s="15">
        <f t="shared" si="4"/>
        <v>30096</v>
      </c>
      <c r="E86" s="18">
        <f>IF(F3="1",SUMIF(Data!A:A,'28'!$A$2,Data!ER:ER),0)</f>
        <v>272702</v>
      </c>
      <c r="F86" s="22">
        <f t="shared" si="5"/>
        <v>9.0610712387028176</v>
      </c>
    </row>
    <row r="87" spans="1:6" ht="14.25" customHeight="1" x14ac:dyDescent="0.2">
      <c r="A87" s="20">
        <v>21</v>
      </c>
      <c r="B87" s="202" t="s">
        <v>446</v>
      </c>
      <c r="C87" s="203"/>
      <c r="D87" s="15">
        <f t="shared" si="4"/>
        <v>38800</v>
      </c>
      <c r="E87" s="18">
        <f>IF(F3="1",SUMIF(Data!A:A,'28'!$A$2,Data!ES:ES),0)</f>
        <v>328374</v>
      </c>
      <c r="F87" s="22">
        <f t="shared" si="5"/>
        <v>8.4632474226804124</v>
      </c>
    </row>
    <row r="88" spans="1:6" x14ac:dyDescent="0.2">
      <c r="A88" s="20">
        <v>22</v>
      </c>
      <c r="B88" s="202" t="s">
        <v>19</v>
      </c>
      <c r="C88" s="203"/>
      <c r="D88" s="15">
        <f t="shared" si="4"/>
        <v>4800</v>
      </c>
      <c r="E88" s="18">
        <f>IF(F3="1",SUMIF(Data!A:A,'28'!$A$2,Data!ET:ET),0)</f>
        <v>32966</v>
      </c>
      <c r="F88" s="22">
        <f t="shared" si="5"/>
        <v>6.8679166666666669</v>
      </c>
    </row>
    <row r="89" spans="1:6" x14ac:dyDescent="0.2">
      <c r="A89" s="20">
        <v>23</v>
      </c>
      <c r="B89" s="202" t="s">
        <v>20</v>
      </c>
      <c r="C89" s="203"/>
      <c r="D89" s="15">
        <f t="shared" si="4"/>
        <v>53344</v>
      </c>
      <c r="E89" s="18">
        <f>IF(F3="1",SUMIF(Data!A:A,'28'!$A$2,Data!EU:EU),0)</f>
        <v>270513</v>
      </c>
      <c r="F89" s="22">
        <f t="shared" si="5"/>
        <v>5.071104529094181</v>
      </c>
    </row>
    <row r="90" spans="1:6" x14ac:dyDescent="0.2">
      <c r="A90" s="20">
        <v>24</v>
      </c>
      <c r="B90" s="202" t="s">
        <v>21</v>
      </c>
      <c r="C90" s="203"/>
      <c r="D90" s="15">
        <f t="shared" si="4"/>
        <v>88219</v>
      </c>
      <c r="E90" s="18">
        <f>IF(F3="1",SUMIF(Data!A:A,'28'!$A$2,Data!EV:EV),0)</f>
        <v>233112</v>
      </c>
      <c r="F90" s="22">
        <f t="shared" si="5"/>
        <v>2.6424239676260215</v>
      </c>
    </row>
    <row r="91" spans="1:6" x14ac:dyDescent="0.2">
      <c r="A91" s="20">
        <v>25</v>
      </c>
      <c r="B91" s="202" t="s">
        <v>22</v>
      </c>
      <c r="C91" s="203"/>
      <c r="D91" s="15">
        <f t="shared" si="4"/>
        <v>379392</v>
      </c>
      <c r="E91" s="18">
        <f>IF(F3="1",SUMIF(Data!A:A,'28'!$A$2,Data!EW:EW),0)</f>
        <v>1291458</v>
      </c>
      <c r="F91" s="22">
        <f t="shared" si="5"/>
        <v>3.4040201163967612</v>
      </c>
    </row>
    <row r="92" spans="1:6" x14ac:dyDescent="0.2">
      <c r="A92" s="20">
        <v>26</v>
      </c>
      <c r="B92" s="202" t="s">
        <v>23</v>
      </c>
      <c r="C92" s="203"/>
      <c r="D92" s="15">
        <f t="shared" si="4"/>
        <v>117424</v>
      </c>
      <c r="E92" s="18">
        <f>IF(F3="1",SUMIF(Data!A:A,'28'!$A$2,Data!EX:EX),0)</f>
        <v>569899</v>
      </c>
      <c r="F92" s="22">
        <f t="shared" si="5"/>
        <v>4.8533434391606489</v>
      </c>
    </row>
    <row r="93" spans="1:6" x14ac:dyDescent="0.2">
      <c r="A93" s="20">
        <v>28</v>
      </c>
      <c r="B93" s="202" t="s">
        <v>24</v>
      </c>
      <c r="C93" s="203"/>
      <c r="D93" s="15">
        <f t="shared" si="4"/>
        <v>162416</v>
      </c>
      <c r="E93" s="18">
        <f>IF(F3="1",SUMIF(Data!A:A,'28'!$A$2,Data!EZ:EZ),0)</f>
        <v>607848</v>
      </c>
      <c r="F93" s="22">
        <f t="shared" si="5"/>
        <v>3.7425376810166484</v>
      </c>
    </row>
    <row r="94" spans="1:6" ht="15.75" customHeight="1" thickBot="1" x14ac:dyDescent="0.25">
      <c r="A94" s="23">
        <v>29</v>
      </c>
      <c r="B94" s="206" t="s">
        <v>25</v>
      </c>
      <c r="C94" s="207"/>
      <c r="D94" s="24">
        <f t="shared" si="4"/>
        <v>49024</v>
      </c>
      <c r="E94" s="25">
        <f>IF(F3="1",SUMIF(Data!A:A,'28'!$A$2,Data!FA:FA),0)</f>
        <v>186957</v>
      </c>
      <c r="F94" s="26">
        <f t="shared" si="5"/>
        <v>3.8135811031331595</v>
      </c>
    </row>
    <row r="95" spans="1:6" x14ac:dyDescent="0.2">
      <c r="B95" s="31" t="s">
        <v>35</v>
      </c>
      <c r="C95" s="31"/>
      <c r="D95" s="60">
        <f>SUM(D67:D94)</f>
        <v>2850409</v>
      </c>
      <c r="E95" s="32">
        <f>SUM(E67:E94)</f>
        <v>11038121</v>
      </c>
      <c r="F95" s="33">
        <f t="shared" si="5"/>
        <v>3.8724691789844896</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IF(F3="1",SUMIF(Data!A:A,'28'!$A$2,Data!AH:AH),0)</f>
        <v>4291340</v>
      </c>
      <c r="F98" s="21">
        <f t="shared" ref="F98:F105" si="6">IFERROR(E98/$D$95,0)</f>
        <v>1.5055172783975914</v>
      </c>
    </row>
    <row r="99" spans="2:6" x14ac:dyDescent="0.2">
      <c r="B99" s="212" t="s">
        <v>31</v>
      </c>
      <c r="C99" s="213"/>
      <c r="D99" s="37"/>
      <c r="E99" s="18">
        <f>IF(F3="1",SUMIF(Data!A:A,'28'!$A$2,Data!AI:AI),0)</f>
        <v>2263229</v>
      </c>
      <c r="F99" s="22">
        <f t="shared" si="6"/>
        <v>0.79400149241740392</v>
      </c>
    </row>
    <row r="100" spans="2:6" x14ac:dyDescent="0.2">
      <c r="B100" s="212" t="s">
        <v>32</v>
      </c>
      <c r="C100" s="213"/>
      <c r="D100" s="37"/>
      <c r="E100" s="18">
        <f>IF(F3="1",SUMIF(Data!A:A,'28'!$A$2,Data!AJ:AJ),0)</f>
        <v>4700561</v>
      </c>
      <c r="F100" s="22">
        <f t="shared" si="6"/>
        <v>1.6490829912479226</v>
      </c>
    </row>
    <row r="101" spans="2:6" x14ac:dyDescent="0.2">
      <c r="B101" s="212" t="s">
        <v>28</v>
      </c>
      <c r="C101" s="213"/>
      <c r="D101" s="37"/>
      <c r="E101" s="18">
        <f>IF(F3="1",SUMIF(Data!A:A,'28'!$A$2,Data!AK:AK),0)</f>
        <v>0</v>
      </c>
      <c r="F101" s="22">
        <f t="shared" si="6"/>
        <v>0</v>
      </c>
    </row>
    <row r="102" spans="2:6" x14ac:dyDescent="0.2">
      <c r="B102" s="212" t="s">
        <v>33</v>
      </c>
      <c r="C102" s="213"/>
      <c r="D102" s="37"/>
      <c r="E102" s="18">
        <f>IF(F3="1",SUMIF(Data!A:A,'28'!$A$2,Data!AL:AL),0)</f>
        <v>16648</v>
      </c>
      <c r="F102" s="22">
        <f t="shared" si="6"/>
        <v>5.8405653364131255E-3</v>
      </c>
    </row>
    <row r="103" spans="2:6" x14ac:dyDescent="0.2">
      <c r="B103" s="214" t="s">
        <v>34</v>
      </c>
      <c r="C103" s="215"/>
      <c r="D103" s="37"/>
      <c r="E103" s="18">
        <f>IF(F3="1",SUMIF(Data!A:A,'28'!$A$2,Data!AM:AM),0)</f>
        <v>683458</v>
      </c>
      <c r="F103" s="22">
        <f t="shared" si="6"/>
        <v>0.23977541468610294</v>
      </c>
    </row>
    <row r="104" spans="2:6" ht="15.75" customHeight="1" thickBot="1" x14ac:dyDescent="0.25">
      <c r="B104" s="208" t="s">
        <v>29</v>
      </c>
      <c r="C104" s="209"/>
      <c r="D104" s="38"/>
      <c r="E104" s="25">
        <f>IF(F3="1",SUMIF(Data!A:A,'28'!$A$2,Data!Q:Q),0)</f>
        <v>1953998</v>
      </c>
      <c r="F104" s="26">
        <f t="shared" si="6"/>
        <v>0.68551495592386913</v>
      </c>
    </row>
    <row r="105" spans="2:6" x14ac:dyDescent="0.2">
      <c r="B105" s="31" t="s">
        <v>35</v>
      </c>
      <c r="C105" s="31"/>
      <c r="D105" s="35">
        <f>D95</f>
        <v>2850409</v>
      </c>
      <c r="E105" s="32">
        <f>SUM(E98:E104)</f>
        <v>13909234</v>
      </c>
      <c r="F105" s="33">
        <f t="shared" si="6"/>
        <v>4.8797326980093034</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11471633</v>
      </c>
      <c r="D109" s="192">
        <f>IF(F3="1",SUMIF(Data!$A:$A,$A$2,Data!HJ:HJ),0)</f>
        <v>2500903</v>
      </c>
      <c r="E109" s="192">
        <f>IF(F3="1",SUMIF(Data!$A:$A,$A$2,Data!IN:IN),0)</f>
        <v>1903369</v>
      </c>
      <c r="F109" s="48">
        <f>SUM(C109:E109)</f>
        <v>15875905</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726992</v>
      </c>
      <c r="D111" s="52"/>
      <c r="E111" s="193">
        <f>IF(F3="1",SUMIF(Data!A:A,$A$2,Data!AX:AX)-SUMIF(Data!A:A,$A$2,Data!AW:AW),0)</f>
        <v>156907</v>
      </c>
      <c r="F111" s="49">
        <f t="shared" si="7"/>
        <v>883899</v>
      </c>
    </row>
    <row r="112" spans="2:6" x14ac:dyDescent="0.2">
      <c r="B112" s="43" t="s">
        <v>32</v>
      </c>
      <c r="C112" s="193">
        <f>IF(F3="1",SUMIF(Data!A:A,$A$2,Data!V:V),0)</f>
        <v>3246152</v>
      </c>
      <c r="D112" s="52"/>
      <c r="E112" s="193">
        <f>IF(F3="1",SUMIF(Data!A:A,$A$2,Data!AC:AC),0)</f>
        <v>1454409</v>
      </c>
      <c r="F112" s="49">
        <f t="shared" si="7"/>
        <v>4700561</v>
      </c>
    </row>
    <row r="113" spans="1:6" x14ac:dyDescent="0.2">
      <c r="B113" s="43" t="s">
        <v>31</v>
      </c>
      <c r="C113" s="193">
        <f>IF(F3="1",SUMIF(Data!A:A,$A$2,Data!U:U),0)</f>
        <v>1878887</v>
      </c>
      <c r="D113" s="52"/>
      <c r="E113" s="193">
        <f>IF(F3="1",SUMIF(Data!A:A,$A$2,Data!AB:AB),0)</f>
        <v>384342</v>
      </c>
      <c r="F113" s="49">
        <f t="shared" si="7"/>
        <v>2263229</v>
      </c>
    </row>
    <row r="114" spans="1:6" x14ac:dyDescent="0.2">
      <c r="B114" s="43" t="s">
        <v>1002</v>
      </c>
      <c r="C114" s="193">
        <f>IF(F3="1",SUMIF(Data!A:A,$A$2,Data!T:T),0)</f>
        <v>2854218</v>
      </c>
      <c r="D114" s="52"/>
      <c r="E114" s="193">
        <f>IF(F3="1",SUMIF(Data!A:A,$A$2,Data!AA:AA),0)</f>
        <v>1437122</v>
      </c>
      <c r="F114" s="49">
        <f t="shared" si="7"/>
        <v>4291340</v>
      </c>
    </row>
    <row r="115" spans="1:6" x14ac:dyDescent="0.2">
      <c r="B115" s="43" t="s">
        <v>916</v>
      </c>
      <c r="C115" s="193">
        <f>IF(F3="1",SUMIF(Data!A:A,$A$2,Data!BI:BI),0)</f>
        <v>920547</v>
      </c>
      <c r="D115" s="193">
        <f>IF(F3="1",SUMIF(Data!A:A,$A$2,Data!BL:BL),0)</f>
        <v>339067</v>
      </c>
      <c r="E115" s="193">
        <f>IF(F3="1",SUMIF(Data!A:A,$A$2,Data!BU:BU)-SUMIF(Data!A:A,$A$2,Data!BT:BT),0)</f>
        <v>3733912</v>
      </c>
      <c r="F115" s="49">
        <f t="shared" si="7"/>
        <v>4993526</v>
      </c>
    </row>
    <row r="116" spans="1:6" x14ac:dyDescent="0.2">
      <c r="B116" s="43" t="s">
        <v>33</v>
      </c>
      <c r="C116" s="193">
        <f>IF(F3="1",SUMIF(Data!A:A,$A$2,Data!X:X),0)</f>
        <v>0</v>
      </c>
      <c r="D116" s="51"/>
      <c r="E116" s="193">
        <f>E102-C116</f>
        <v>16648</v>
      </c>
      <c r="F116" s="49">
        <f t="shared" si="7"/>
        <v>16648</v>
      </c>
    </row>
    <row r="117" spans="1:6" ht="15" thickBot="1" x14ac:dyDescent="0.25">
      <c r="B117" s="44" t="s">
        <v>920</v>
      </c>
      <c r="C117" s="53"/>
      <c r="D117" s="53">
        <f>IF(F3="1",SUMIF(Data!A:A,$A$2,Data!Q:Q),0)</f>
        <v>1953998</v>
      </c>
      <c r="E117" s="53"/>
      <c r="F117" s="50">
        <f>SUM(C117:E117)</f>
        <v>1953998</v>
      </c>
    </row>
    <row r="118" spans="1:6" x14ac:dyDescent="0.2">
      <c r="B118" s="14" t="s">
        <v>35</v>
      </c>
      <c r="C118" s="178">
        <f>SUM(C109:C117)</f>
        <v>21098429</v>
      </c>
      <c r="D118" s="194">
        <f>SUM(D109:D117)</f>
        <v>4793968</v>
      </c>
      <c r="E118" s="178">
        <f>SUM(E109:E117)</f>
        <v>9086709</v>
      </c>
      <c r="F118" s="178">
        <f>SUM(F109:F117)</f>
        <v>34979106</v>
      </c>
    </row>
    <row r="119" spans="1:6" x14ac:dyDescent="0.2">
      <c r="C119" s="177"/>
      <c r="D119" s="177"/>
      <c r="E119" s="177"/>
    </row>
    <row r="120" spans="1:6" ht="15" thickBot="1" x14ac:dyDescent="0.25">
      <c r="B120" s="188" t="s">
        <v>921</v>
      </c>
      <c r="C120" s="53"/>
      <c r="D120" s="53"/>
      <c r="E120" s="198">
        <f>IF(F3="1",SUMIF(Data!A:A,$A$2,Data!AF:AF)+SUMIF(Data!A:A,$A$2,Data!AW:AW)+SUMIF(Data!A:A,$A$2,Data!BT:BT),0)</f>
        <v>1422289</v>
      </c>
      <c r="F120" s="181">
        <f>SUM(C120:E120)</f>
        <v>1422289</v>
      </c>
    </row>
    <row r="121" spans="1:6" s="177" customFormat="1" x14ac:dyDescent="0.2">
      <c r="B121" s="14" t="s">
        <v>35</v>
      </c>
      <c r="C121" s="178">
        <f>SUM(C120:C120)</f>
        <v>0</v>
      </c>
      <c r="D121" s="178">
        <f>SUM(D120:D120)</f>
        <v>0</v>
      </c>
      <c r="E121" s="178">
        <f>SUM(E120:E120)</f>
        <v>1422289</v>
      </c>
      <c r="F121" s="178">
        <f>SUM(F120:F120)</f>
        <v>1422289</v>
      </c>
    </row>
    <row r="122" spans="1:6" s="177" customFormat="1" ht="15" thickBot="1" x14ac:dyDescent="0.25">
      <c r="B122" s="14" t="s">
        <v>1396</v>
      </c>
      <c r="C122" s="178"/>
      <c r="D122" s="178"/>
      <c r="E122" s="178"/>
      <c r="F122" s="190">
        <f>F118+F121</f>
        <v>36401395</v>
      </c>
    </row>
    <row r="123" spans="1:6" ht="15" thickTop="1" x14ac:dyDescent="0.2">
      <c r="C123" s="74"/>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380</v>
      </c>
      <c r="B2" s="59" t="str">
        <f>VLOOKUP(A2,Data!A:G,7,0)</f>
        <v>Navarro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17408</v>
      </c>
      <c r="E5" s="16">
        <f>E36+E67+IFERROR($E$105/$D$105*D5,0)</f>
        <v>184701.31061731101</v>
      </c>
      <c r="F5" s="21">
        <f>IFERROR(E5/D5,"")</f>
        <v>10.610139626453988</v>
      </c>
    </row>
    <row r="6" spans="1:6" x14ac:dyDescent="0.2">
      <c r="A6" s="20">
        <v>2</v>
      </c>
      <c r="B6" s="202" t="s">
        <v>1</v>
      </c>
      <c r="C6" s="203"/>
      <c r="D6" s="15">
        <f t="shared" ref="D6:D32" si="0">D37</f>
        <v>60096</v>
      </c>
      <c r="E6" s="18">
        <f t="shared" ref="E6:E32" si="1">E37+E68+IFERROR($E$105/$D$105*D6,0)</f>
        <v>229975.29657961414</v>
      </c>
      <c r="F6" s="22">
        <f t="shared" ref="F6:F33" si="2">IFERROR(E6/D6,"")</f>
        <v>3.8267987316895322</v>
      </c>
    </row>
    <row r="7" spans="1:6" ht="14.25" customHeight="1" x14ac:dyDescent="0.2">
      <c r="A7" s="20">
        <v>3</v>
      </c>
      <c r="B7" s="202" t="s">
        <v>2</v>
      </c>
      <c r="C7" s="203"/>
      <c r="D7" s="15">
        <f t="shared" si="0"/>
        <v>574848</v>
      </c>
      <c r="E7" s="18">
        <f t="shared" si="1"/>
        <v>2741477.9998701746</v>
      </c>
      <c r="F7" s="22">
        <f t="shared" si="2"/>
        <v>4.7690485134682117</v>
      </c>
    </row>
    <row r="8" spans="1:6" ht="14.25" customHeight="1" x14ac:dyDescent="0.2">
      <c r="A8" s="20">
        <v>4</v>
      </c>
      <c r="B8" s="202" t="s">
        <v>3</v>
      </c>
      <c r="C8" s="203"/>
      <c r="D8" s="15">
        <f t="shared" si="0"/>
        <v>377571</v>
      </c>
      <c r="E8" s="18">
        <f t="shared" si="1"/>
        <v>2198359.7162849689</v>
      </c>
      <c r="F8" s="22">
        <f t="shared" si="2"/>
        <v>5.8223743780241835</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19368</v>
      </c>
      <c r="E10" s="18">
        <f t="shared" si="1"/>
        <v>125104.6778513373</v>
      </c>
      <c r="F10" s="22">
        <f t="shared" si="2"/>
        <v>6.4593493314403814</v>
      </c>
    </row>
    <row r="11" spans="1:6" x14ac:dyDescent="0.2">
      <c r="A11" s="20">
        <v>7</v>
      </c>
      <c r="B11" s="202" t="s">
        <v>6</v>
      </c>
      <c r="C11" s="203"/>
      <c r="D11" s="15">
        <f t="shared" si="0"/>
        <v>356729</v>
      </c>
      <c r="E11" s="18">
        <f t="shared" si="1"/>
        <v>1490263.6510341647</v>
      </c>
      <c r="F11" s="22">
        <f t="shared" si="2"/>
        <v>4.1775792016745621</v>
      </c>
    </row>
    <row r="12" spans="1:6" x14ac:dyDescent="0.2">
      <c r="A12" s="20">
        <v>8</v>
      </c>
      <c r="B12" s="202" t="s">
        <v>7</v>
      </c>
      <c r="C12" s="203"/>
      <c r="D12" s="15">
        <f t="shared" si="0"/>
        <v>1424</v>
      </c>
      <c r="E12" s="18">
        <f t="shared" si="1"/>
        <v>10622.862725129302</v>
      </c>
      <c r="F12" s="22">
        <f t="shared" si="2"/>
        <v>7.4598755092200157</v>
      </c>
    </row>
    <row r="13" spans="1:6" x14ac:dyDescent="0.2">
      <c r="A13" s="20">
        <v>9</v>
      </c>
      <c r="B13" s="202" t="s">
        <v>8</v>
      </c>
      <c r="C13" s="203"/>
      <c r="D13" s="15">
        <f t="shared" si="0"/>
        <v>555368</v>
      </c>
      <c r="E13" s="18">
        <f t="shared" si="1"/>
        <v>1566753.1867483219</v>
      </c>
      <c r="F13" s="22">
        <f t="shared" si="2"/>
        <v>2.8211081422558051</v>
      </c>
    </row>
    <row r="14" spans="1:6" x14ac:dyDescent="0.2">
      <c r="A14" s="20">
        <v>10</v>
      </c>
      <c r="B14" s="202" t="s">
        <v>9</v>
      </c>
      <c r="C14" s="203"/>
      <c r="D14" s="15">
        <f t="shared" si="0"/>
        <v>1056</v>
      </c>
      <c r="E14" s="18">
        <f t="shared" si="1"/>
        <v>3056.5611220059991</v>
      </c>
      <c r="F14" s="22">
        <f t="shared" si="2"/>
        <v>2.8944707594753778</v>
      </c>
    </row>
    <row r="15" spans="1:6" x14ac:dyDescent="0.2">
      <c r="A15" s="20">
        <v>11</v>
      </c>
      <c r="B15" s="202" t="s">
        <v>10</v>
      </c>
      <c r="C15" s="203"/>
      <c r="D15" s="15">
        <f t="shared" si="0"/>
        <v>99352</v>
      </c>
      <c r="E15" s="18">
        <f t="shared" si="1"/>
        <v>457515.70889539772</v>
      </c>
      <c r="F15" s="22">
        <f t="shared" si="2"/>
        <v>4.6049974725762715</v>
      </c>
    </row>
    <row r="16" spans="1:6" ht="14.25" customHeight="1" x14ac:dyDescent="0.2">
      <c r="A16" s="20">
        <v>12</v>
      </c>
      <c r="B16" s="202" t="s">
        <v>11</v>
      </c>
      <c r="C16" s="203"/>
      <c r="D16" s="15">
        <f t="shared" si="0"/>
        <v>604192</v>
      </c>
      <c r="E16" s="18">
        <f t="shared" si="1"/>
        <v>3159419.4407453113</v>
      </c>
      <c r="F16" s="22">
        <f t="shared" si="2"/>
        <v>5.2291646376405367</v>
      </c>
    </row>
    <row r="17" spans="1:6" x14ac:dyDescent="0.2">
      <c r="A17" s="20">
        <v>13</v>
      </c>
      <c r="B17" s="202" t="s">
        <v>12</v>
      </c>
      <c r="C17" s="203"/>
      <c r="D17" s="15">
        <f t="shared" si="0"/>
        <v>59672</v>
      </c>
      <c r="E17" s="18">
        <f t="shared" si="1"/>
        <v>225286.92734123295</v>
      </c>
      <c r="F17" s="22">
        <f t="shared" si="2"/>
        <v>3.7754210909845982</v>
      </c>
    </row>
    <row r="18" spans="1:6" ht="14.25" customHeight="1" x14ac:dyDescent="0.2">
      <c r="A18" s="20">
        <v>14</v>
      </c>
      <c r="B18" s="202" t="s">
        <v>449</v>
      </c>
      <c r="C18" s="203"/>
      <c r="D18" s="15">
        <f t="shared" si="0"/>
        <v>142112</v>
      </c>
      <c r="E18" s="18">
        <f t="shared" si="1"/>
        <v>1307668.2103887468</v>
      </c>
      <c r="F18" s="22">
        <f t="shared" si="2"/>
        <v>9.2016734011817913</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215702</v>
      </c>
      <c r="E20" s="18">
        <f t="shared" si="1"/>
        <v>1100932.6260785398</v>
      </c>
      <c r="F20" s="22">
        <f t="shared" si="2"/>
        <v>5.1039518691460426</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144224</v>
      </c>
      <c r="E22" s="18">
        <f t="shared" si="1"/>
        <v>1137723.3326327587</v>
      </c>
      <c r="F22" s="22">
        <f t="shared" si="2"/>
        <v>7.8885853438592655</v>
      </c>
    </row>
    <row r="23" spans="1:6" x14ac:dyDescent="0.2">
      <c r="A23" s="20">
        <v>19</v>
      </c>
      <c r="B23" s="202" t="s">
        <v>17</v>
      </c>
      <c r="C23" s="203"/>
      <c r="D23" s="15">
        <f t="shared" si="0"/>
        <v>234208</v>
      </c>
      <c r="E23" s="18">
        <f t="shared" si="1"/>
        <v>1354579.2985443003</v>
      </c>
      <c r="F23" s="22">
        <f t="shared" si="2"/>
        <v>5.7836593905601017</v>
      </c>
    </row>
    <row r="24" spans="1:6" x14ac:dyDescent="0.2">
      <c r="A24" s="20">
        <v>20</v>
      </c>
      <c r="B24" s="202" t="s">
        <v>18</v>
      </c>
      <c r="C24" s="203"/>
      <c r="D24" s="15">
        <f t="shared" si="0"/>
        <v>0</v>
      </c>
      <c r="E24" s="18">
        <f t="shared" si="1"/>
        <v>0</v>
      </c>
      <c r="F24" s="22" t="str">
        <f t="shared" si="2"/>
        <v/>
      </c>
    </row>
    <row r="25" spans="1:6" ht="14.25" customHeight="1" x14ac:dyDescent="0.2">
      <c r="A25" s="20">
        <v>21</v>
      </c>
      <c r="B25" s="202" t="s">
        <v>446</v>
      </c>
      <c r="C25" s="203"/>
      <c r="D25" s="15">
        <f t="shared" si="0"/>
        <v>28676</v>
      </c>
      <c r="E25" s="18">
        <f t="shared" si="1"/>
        <v>76425.991225988662</v>
      </c>
      <c r="F25" s="22">
        <f t="shared" si="2"/>
        <v>2.6651552247868833</v>
      </c>
    </row>
    <row r="26" spans="1:6" x14ac:dyDescent="0.2">
      <c r="A26" s="20">
        <v>22</v>
      </c>
      <c r="B26" s="202" t="s">
        <v>19</v>
      </c>
      <c r="C26" s="203"/>
      <c r="D26" s="15">
        <f t="shared" si="0"/>
        <v>6912</v>
      </c>
      <c r="E26" s="18">
        <f t="shared" si="1"/>
        <v>31881.490980402905</v>
      </c>
      <c r="F26" s="22">
        <f t="shared" si="2"/>
        <v>4.6124842274888458</v>
      </c>
    </row>
    <row r="27" spans="1:6" x14ac:dyDescent="0.2">
      <c r="A27" s="20">
        <v>23</v>
      </c>
      <c r="B27" s="202" t="s">
        <v>20</v>
      </c>
      <c r="C27" s="203"/>
      <c r="D27" s="15">
        <f t="shared" si="0"/>
        <v>226416</v>
      </c>
      <c r="E27" s="18">
        <f t="shared" si="1"/>
        <v>1211148.1732955589</v>
      </c>
      <c r="F27" s="22">
        <f t="shared" si="2"/>
        <v>5.3492163685232441</v>
      </c>
    </row>
    <row r="28" spans="1:6" x14ac:dyDescent="0.2">
      <c r="A28" s="20">
        <v>24</v>
      </c>
      <c r="B28" s="202" t="s">
        <v>21</v>
      </c>
      <c r="C28" s="203"/>
      <c r="D28" s="15">
        <f t="shared" si="0"/>
        <v>308190</v>
      </c>
      <c r="E28" s="18">
        <f t="shared" si="1"/>
        <v>1366370.1876808987</v>
      </c>
      <c r="F28" s="22">
        <f t="shared" si="2"/>
        <v>4.4335318721597021</v>
      </c>
    </row>
    <row r="29" spans="1:6" x14ac:dyDescent="0.2">
      <c r="A29" s="20">
        <v>25</v>
      </c>
      <c r="B29" s="202" t="s">
        <v>22</v>
      </c>
      <c r="C29" s="203"/>
      <c r="D29" s="15">
        <f t="shared" si="0"/>
        <v>707664</v>
      </c>
      <c r="E29" s="18">
        <f t="shared" si="1"/>
        <v>3415810.9828061112</v>
      </c>
      <c r="F29" s="22">
        <f t="shared" si="2"/>
        <v>4.826882507526328</v>
      </c>
    </row>
    <row r="30" spans="1:6" x14ac:dyDescent="0.2">
      <c r="A30" s="20">
        <v>26</v>
      </c>
      <c r="B30" s="202" t="s">
        <v>23</v>
      </c>
      <c r="C30" s="203"/>
      <c r="D30" s="15">
        <f t="shared" si="0"/>
        <v>251504</v>
      </c>
      <c r="E30" s="18">
        <f t="shared" si="1"/>
        <v>1422533.4738910955</v>
      </c>
      <c r="F30" s="22">
        <f t="shared" si="2"/>
        <v>5.6561067573123909</v>
      </c>
    </row>
    <row r="31" spans="1:6" x14ac:dyDescent="0.2">
      <c r="A31" s="20">
        <v>28</v>
      </c>
      <c r="B31" s="202" t="s">
        <v>24</v>
      </c>
      <c r="C31" s="203"/>
      <c r="D31" s="15">
        <f t="shared" si="0"/>
        <v>308576</v>
      </c>
      <c r="E31" s="18">
        <f t="shared" si="1"/>
        <v>1438231.1181667834</v>
      </c>
      <c r="F31" s="22">
        <f t="shared" si="2"/>
        <v>4.6608651293904364</v>
      </c>
    </row>
    <row r="32" spans="1:6" ht="15.75" customHeight="1" thickBot="1" x14ac:dyDescent="0.25">
      <c r="A32" s="23">
        <v>29</v>
      </c>
      <c r="B32" s="206" t="s">
        <v>25</v>
      </c>
      <c r="C32" s="207"/>
      <c r="D32" s="24">
        <f t="shared" si="0"/>
        <v>244656</v>
      </c>
      <c r="E32" s="25">
        <f t="shared" si="1"/>
        <v>1044697.7744938445</v>
      </c>
      <c r="F32" s="26">
        <f t="shared" si="2"/>
        <v>4.2700680731060938</v>
      </c>
    </row>
    <row r="33" spans="1:6" x14ac:dyDescent="0.2">
      <c r="B33" s="31" t="s">
        <v>35</v>
      </c>
      <c r="C33" s="31"/>
      <c r="D33" s="60">
        <f>SUM(D5:D32)</f>
        <v>5545924</v>
      </c>
      <c r="E33" s="32">
        <f>SUM(E5:E32)</f>
        <v>27300539.999999993</v>
      </c>
      <c r="F33" s="33">
        <f t="shared" si="2"/>
        <v>4.9226314677229608</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IF(F3="1",SUMIF(Data!A:A,'29'!$A$2,Data!CU:CU),0)</f>
        <v>17408</v>
      </c>
      <c r="E36" s="16">
        <f>IF(F3="1",SUMIF(Data!$A:$A,'29'!$A$2,Data!IO:IO),0)</f>
        <v>32351</v>
      </c>
      <c r="F36" s="21">
        <f t="shared" ref="F36:F64" si="3">IFERROR(E36/D36,"")</f>
        <v>1.8583984375</v>
      </c>
    </row>
    <row r="37" spans="1:6" x14ac:dyDescent="0.2">
      <c r="A37" s="20">
        <v>2</v>
      </c>
      <c r="B37" s="202" t="s">
        <v>1</v>
      </c>
      <c r="C37" s="203"/>
      <c r="D37" s="15">
        <f>IF(F3="1",SUMIF(Data!A:A,'29'!$A$2,Data!CV:CV),0)</f>
        <v>60096</v>
      </c>
      <c r="E37" s="18">
        <f>IF(F3="1",SUMIF(Data!$A:$A,'29'!$A$2,Data!IP:IP),0)</f>
        <v>28615</v>
      </c>
      <c r="F37" s="22">
        <f t="shared" si="3"/>
        <v>0.47615481895633655</v>
      </c>
    </row>
    <row r="38" spans="1:6" ht="14.25" customHeight="1" x14ac:dyDescent="0.2">
      <c r="A38" s="20">
        <v>3</v>
      </c>
      <c r="B38" s="202" t="s">
        <v>2</v>
      </c>
      <c r="C38" s="203"/>
      <c r="D38" s="15">
        <f>IF(F3="1",SUMIF(Data!A:A,'29'!$A$2,Data!CW:CW),0)</f>
        <v>574848</v>
      </c>
      <c r="E38" s="18">
        <f>IF(F3="1",SUMIF(Data!$A:$A,'29'!$A$2,Data!IQ:IQ),0)</f>
        <v>319364</v>
      </c>
      <c r="F38" s="22">
        <f t="shared" si="3"/>
        <v>0.55556251391672229</v>
      </c>
    </row>
    <row r="39" spans="1:6" ht="14.25" customHeight="1" x14ac:dyDescent="0.2">
      <c r="A39" s="20">
        <v>4</v>
      </c>
      <c r="B39" s="202" t="s">
        <v>3</v>
      </c>
      <c r="C39" s="203"/>
      <c r="D39" s="15">
        <f>IF(F3="1",SUMIF(Data!A:A,'29'!$A$2,Data!CX:CX),0)</f>
        <v>377571</v>
      </c>
      <c r="E39" s="18">
        <f>IF(F3="1",SUMIF(Data!$A:$A,'29'!$A$2,Data!IR:IR),0)</f>
        <v>348501</v>
      </c>
      <c r="F39" s="22">
        <f t="shared" si="3"/>
        <v>0.9230078581246971</v>
      </c>
    </row>
    <row r="40" spans="1:6" x14ac:dyDescent="0.2">
      <c r="A40" s="20">
        <v>5</v>
      </c>
      <c r="B40" s="202" t="s">
        <v>4</v>
      </c>
      <c r="C40" s="203"/>
      <c r="D40" s="15">
        <f>IF(F3="1",SUMIF(Data!A:A,'29'!$A$2,Data!CY:CY),0)</f>
        <v>0</v>
      </c>
      <c r="E40" s="18">
        <f>IF(F3="1",SUMIF(Data!$A:$A,'29'!$A$2,Data!IS:IS),0)</f>
        <v>0</v>
      </c>
      <c r="F40" s="22" t="str">
        <f t="shared" si="3"/>
        <v/>
      </c>
    </row>
    <row r="41" spans="1:6" x14ac:dyDescent="0.2">
      <c r="A41" s="20">
        <v>6</v>
      </c>
      <c r="B41" s="202" t="s">
        <v>5</v>
      </c>
      <c r="C41" s="203"/>
      <c r="D41" s="15">
        <f>IF(F3="1",SUMIF(Data!A:A,'29'!$A$2,Data!CZ:CZ),0)</f>
        <v>19368</v>
      </c>
      <c r="E41" s="18">
        <f>IF(F3="1",SUMIF(Data!$A:$A,'29'!$A$2,Data!IT:IT),0)</f>
        <v>18203</v>
      </c>
      <c r="F41" s="22">
        <f t="shared" si="3"/>
        <v>0.93984923585295332</v>
      </c>
    </row>
    <row r="42" spans="1:6" x14ac:dyDescent="0.2">
      <c r="A42" s="20">
        <v>7</v>
      </c>
      <c r="B42" s="202" t="s">
        <v>6</v>
      </c>
      <c r="C42" s="203"/>
      <c r="D42" s="15">
        <f>IF(F3="1",SUMIF(Data!A:A,'29'!$A$2,Data!DA:DA),0)</f>
        <v>356729</v>
      </c>
      <c r="E42" s="18">
        <f>IF(F3="1",SUMIF(Data!$A:$A,'29'!$A$2,Data!IU:IU),0)</f>
        <v>131306</v>
      </c>
      <c r="F42" s="22">
        <f t="shared" si="3"/>
        <v>0.36808333496856155</v>
      </c>
    </row>
    <row r="43" spans="1:6" x14ac:dyDescent="0.2">
      <c r="A43" s="20">
        <v>8</v>
      </c>
      <c r="B43" s="202" t="s">
        <v>7</v>
      </c>
      <c r="C43" s="203"/>
      <c r="D43" s="15">
        <f>IF(F3="1",SUMIF(Data!A:A,'29'!$A$2,Data!DB:DB),0)</f>
        <v>1424</v>
      </c>
      <c r="E43" s="18">
        <f>IF(F3="1",SUMIF(Data!$A:$A,'29'!$A$2,Data!IV:IV),0)</f>
        <v>1254</v>
      </c>
      <c r="F43" s="22">
        <f t="shared" si="3"/>
        <v>0.8806179775280899</v>
      </c>
    </row>
    <row r="44" spans="1:6" x14ac:dyDescent="0.2">
      <c r="A44" s="20">
        <v>9</v>
      </c>
      <c r="B44" s="202" t="s">
        <v>8</v>
      </c>
      <c r="C44" s="203"/>
      <c r="D44" s="15">
        <f>IF(F3="1",SUMIF(Data!A:A,'29'!$A$2,Data!DC:DC),0)</f>
        <v>555368</v>
      </c>
      <c r="E44" s="18">
        <f>IF(F3="1",SUMIF(Data!$A:$A,'29'!$A$2,Data!IW:IW),0)</f>
        <v>65249</v>
      </c>
      <c r="F44" s="22">
        <f t="shared" si="3"/>
        <v>0.11748786390285361</v>
      </c>
    </row>
    <row r="45" spans="1:6" x14ac:dyDescent="0.2">
      <c r="A45" s="20">
        <v>10</v>
      </c>
      <c r="B45" s="202" t="s">
        <v>9</v>
      </c>
      <c r="C45" s="203"/>
      <c r="D45" s="15">
        <f>IF(F3="1",SUMIF(Data!A:A,'29'!$A$2,Data!DD:DD),0)</f>
        <v>1056</v>
      </c>
      <c r="E45" s="18">
        <f>IF(F3="1",SUMIF(Data!$A:$A,'29'!$A$2,Data!IX:IX),0)</f>
        <v>139</v>
      </c>
      <c r="F45" s="22">
        <f t="shared" si="3"/>
        <v>0.13162878787878787</v>
      </c>
    </row>
    <row r="46" spans="1:6" x14ac:dyDescent="0.2">
      <c r="A46" s="20">
        <v>11</v>
      </c>
      <c r="B46" s="202" t="s">
        <v>10</v>
      </c>
      <c r="C46" s="203"/>
      <c r="D46" s="15">
        <f>IF(F3="1",SUMIF(Data!A:A,'29'!$A$2,Data!DE:DE),0)</f>
        <v>99352</v>
      </c>
      <c r="E46" s="18">
        <f>IF(F3="1",SUMIF(Data!$A:$A,'29'!$A$2,Data!IY:IY),0)</f>
        <v>60696</v>
      </c>
      <c r="F46" s="22">
        <f t="shared" si="3"/>
        <v>0.61091875352282787</v>
      </c>
    </row>
    <row r="47" spans="1:6" ht="14.25" customHeight="1" x14ac:dyDescent="0.2">
      <c r="A47" s="20">
        <v>12</v>
      </c>
      <c r="B47" s="202" t="s">
        <v>11</v>
      </c>
      <c r="C47" s="203"/>
      <c r="D47" s="15">
        <f>IF(F3="1",SUMIF(Data!A:A,'29'!$A$2,Data!DF:DF),0)</f>
        <v>604192</v>
      </c>
      <c r="E47" s="18">
        <f>IF(F3="1",SUMIF(Data!$A:$A,'29'!$A$2,Data!IZ:IZ),0)</f>
        <v>317194</v>
      </c>
      <c r="F47" s="22">
        <f t="shared" si="3"/>
        <v>0.52498874529950745</v>
      </c>
    </row>
    <row r="48" spans="1:6" x14ac:dyDescent="0.2">
      <c r="A48" s="20">
        <v>13</v>
      </c>
      <c r="B48" s="202" t="s">
        <v>12</v>
      </c>
      <c r="C48" s="203"/>
      <c r="D48" s="15">
        <f>IF(F3="1",SUMIF(Data!A:A,'29'!$A$2,Data!DG:DG),0)</f>
        <v>59672</v>
      </c>
      <c r="E48" s="18">
        <f>IF(F3="1",SUMIF(Data!$A:$A,'29'!$A$2,Data!JA:JA),0)</f>
        <v>17284</v>
      </c>
      <c r="F48" s="22">
        <f t="shared" si="3"/>
        <v>0.28965008714304868</v>
      </c>
    </row>
    <row r="49" spans="1:6" ht="14.25" customHeight="1" x14ac:dyDescent="0.2">
      <c r="A49" s="20">
        <v>14</v>
      </c>
      <c r="B49" s="202" t="s">
        <v>449</v>
      </c>
      <c r="C49" s="203"/>
      <c r="D49" s="15">
        <f>IF(F3="1",SUMIF(Data!A:A,'29'!$A$2,Data!DH:DH),0)</f>
        <v>142112</v>
      </c>
      <c r="E49" s="18">
        <f>IF(F3="1",SUMIF(Data!$A:$A,'29'!$A$2,Data!JB:JB),0)</f>
        <v>218582</v>
      </c>
      <c r="F49" s="22">
        <f t="shared" si="3"/>
        <v>1.5380967124521505</v>
      </c>
    </row>
    <row r="50" spans="1:6" x14ac:dyDescent="0.2">
      <c r="A50" s="20">
        <v>15</v>
      </c>
      <c r="B50" s="202" t="s">
        <v>13</v>
      </c>
      <c r="C50" s="203"/>
      <c r="D50" s="15">
        <f>IF(F3="1",SUMIF(Data!A:A,'29'!$A$2,Data!DI:DI),0)</f>
        <v>0</v>
      </c>
      <c r="E50" s="18">
        <f>IF(F3="1",SUMIF(Data!$A:$A,'29'!$A$2,Data!JC:JC),0)</f>
        <v>0</v>
      </c>
      <c r="F50" s="22" t="str">
        <f t="shared" si="3"/>
        <v/>
      </c>
    </row>
    <row r="51" spans="1:6" x14ac:dyDescent="0.2">
      <c r="A51" s="20">
        <v>16</v>
      </c>
      <c r="B51" s="202" t="s">
        <v>14</v>
      </c>
      <c r="C51" s="203"/>
      <c r="D51" s="15">
        <f>IF(F3="1",SUMIF(Data!A:A,'29'!$A$2,Data!DJ:DJ),0)</f>
        <v>215702</v>
      </c>
      <c r="E51" s="18">
        <f>IF(F3="1",SUMIF(Data!$A:$A,'29'!$A$2,Data!JD:JD),0)</f>
        <v>155149</v>
      </c>
      <c r="F51" s="22">
        <f t="shared" si="3"/>
        <v>0.71927474015076354</v>
      </c>
    </row>
    <row r="52" spans="1:6" x14ac:dyDescent="0.2">
      <c r="A52" s="20">
        <v>17</v>
      </c>
      <c r="B52" s="202" t="s">
        <v>15</v>
      </c>
      <c r="C52" s="203"/>
      <c r="D52" s="15">
        <f>IF(F3="1",SUMIF(Data!A:A,'29'!$A$2,Data!DK:DK),0)</f>
        <v>0</v>
      </c>
      <c r="E52" s="18">
        <f>IF(F3="1",SUMIF(Data!$A:$A,'29'!$A$2,Data!JE:JE),0)</f>
        <v>0</v>
      </c>
      <c r="F52" s="22" t="str">
        <f t="shared" si="3"/>
        <v/>
      </c>
    </row>
    <row r="53" spans="1:6" x14ac:dyDescent="0.2">
      <c r="A53" s="20">
        <v>18</v>
      </c>
      <c r="B53" s="202" t="s">
        <v>16</v>
      </c>
      <c r="C53" s="203"/>
      <c r="D53" s="15">
        <f>IF(F3="1",SUMIF(Data!A:A,'29'!$A$2,Data!DL:DL),0)</f>
        <v>144224</v>
      </c>
      <c r="E53" s="18">
        <f>IF(F3="1",SUMIF(Data!$A:$A,'29'!$A$2,Data!JF:JF),0)</f>
        <v>189597</v>
      </c>
      <c r="F53" s="22">
        <f t="shared" si="3"/>
        <v>1.3146008986021744</v>
      </c>
    </row>
    <row r="54" spans="1:6" x14ac:dyDescent="0.2">
      <c r="A54" s="20">
        <v>19</v>
      </c>
      <c r="B54" s="202" t="s">
        <v>17</v>
      </c>
      <c r="C54" s="203"/>
      <c r="D54" s="15">
        <f>IF(F3="1",SUMIF(Data!A:A,'29'!$A$2,Data!DM:DM),0)</f>
        <v>234208</v>
      </c>
      <c r="E54" s="18">
        <f>IF(F3="1",SUMIF(Data!$A:$A,'29'!$A$2,Data!JG:JG),0)</f>
        <v>145781</v>
      </c>
      <c r="F54" s="22">
        <f t="shared" si="3"/>
        <v>0.62244244432299489</v>
      </c>
    </row>
    <row r="55" spans="1:6" x14ac:dyDescent="0.2">
      <c r="A55" s="20">
        <v>20</v>
      </c>
      <c r="B55" s="202" t="s">
        <v>18</v>
      </c>
      <c r="C55" s="203"/>
      <c r="D55" s="15">
        <f>IF(F3="1",SUMIF(Data!A:A,'29'!$A$2,Data!DN:DN),0)</f>
        <v>0</v>
      </c>
      <c r="E55" s="18">
        <f>IF(F3="1",SUMIF(Data!$A:$A,'29'!$A$2,Data!JH:JH),0)</f>
        <v>0</v>
      </c>
      <c r="F55" s="22" t="str">
        <f t="shared" si="3"/>
        <v/>
      </c>
    </row>
    <row r="56" spans="1:6" ht="14.25" customHeight="1" x14ac:dyDescent="0.2">
      <c r="A56" s="20">
        <v>21</v>
      </c>
      <c r="B56" s="202" t="s">
        <v>446</v>
      </c>
      <c r="C56" s="203"/>
      <c r="D56" s="15">
        <f>IF(F3="1",SUMIF(Data!A:A,'29'!$A$2,Data!DO:DO),0)</f>
        <v>28676</v>
      </c>
      <c r="E56" s="18">
        <f>IF(F3="1",SUMIF(Data!$A:$A,'29'!$A$2,Data!JI:JI),0)</f>
        <v>3595</v>
      </c>
      <c r="F56" s="22">
        <f t="shared" si="3"/>
        <v>0.12536615985493096</v>
      </c>
    </row>
    <row r="57" spans="1:6" x14ac:dyDescent="0.2">
      <c r="A57" s="20">
        <v>22</v>
      </c>
      <c r="B57" s="202" t="s">
        <v>19</v>
      </c>
      <c r="C57" s="203"/>
      <c r="D57" s="15">
        <f>IF(F3="1",SUMIF(Data!A:A,'29'!$A$2,Data!DP:DP),0)</f>
        <v>6912</v>
      </c>
      <c r="E57" s="18">
        <f>IF(F3="1",SUMIF(Data!$A:$A,'29'!$A$2,Data!JJ:JJ),0)</f>
        <v>4204</v>
      </c>
      <c r="F57" s="22">
        <f t="shared" si="3"/>
        <v>0.60821759259259256</v>
      </c>
    </row>
    <row r="58" spans="1:6" x14ac:dyDescent="0.2">
      <c r="A58" s="20">
        <v>23</v>
      </c>
      <c r="B58" s="202" t="s">
        <v>20</v>
      </c>
      <c r="C58" s="203"/>
      <c r="D58" s="15">
        <f>IF(F3="1",SUMIF(Data!A:A,'29'!$A$2,Data!DQ:DQ),0)</f>
        <v>226416</v>
      </c>
      <c r="E58" s="18">
        <f>IF(F3="1",SUMIF(Data!$A:$A,'29'!$A$2,Data!JK:JK),0)</f>
        <v>143544</v>
      </c>
      <c r="F58" s="22">
        <f t="shared" si="3"/>
        <v>0.6339834640661437</v>
      </c>
    </row>
    <row r="59" spans="1:6" x14ac:dyDescent="0.2">
      <c r="A59" s="20">
        <v>24</v>
      </c>
      <c r="B59" s="202" t="s">
        <v>21</v>
      </c>
      <c r="C59" s="203"/>
      <c r="D59" s="15">
        <f>IF(F3="1",SUMIF(Data!A:A,'29'!$A$2,Data!DR:DR),0)</f>
        <v>308190</v>
      </c>
      <c r="E59" s="18">
        <f>IF(F3="1",SUMIF(Data!$A:$A,'29'!$A$2,Data!JL:JL),0)</f>
        <v>242002</v>
      </c>
      <c r="F59" s="22">
        <f t="shared" si="3"/>
        <v>0.78523638015509911</v>
      </c>
    </row>
    <row r="60" spans="1:6" x14ac:dyDescent="0.2">
      <c r="A60" s="20">
        <v>25</v>
      </c>
      <c r="B60" s="202" t="s">
        <v>22</v>
      </c>
      <c r="C60" s="203"/>
      <c r="D60" s="15">
        <f>IF(F3="1",SUMIF(Data!A:A,'29'!$A$2,Data!DS:DS),0)</f>
        <v>707664</v>
      </c>
      <c r="E60" s="18">
        <f>IF(F3="1",SUMIF(Data!$A:$A,'29'!$A$2,Data!JM:JM),0)</f>
        <v>322197</v>
      </c>
      <c r="F60" s="22">
        <f t="shared" si="3"/>
        <v>0.45529658142847451</v>
      </c>
    </row>
    <row r="61" spans="1:6" x14ac:dyDescent="0.2">
      <c r="A61" s="20">
        <v>26</v>
      </c>
      <c r="B61" s="202" t="s">
        <v>23</v>
      </c>
      <c r="C61" s="203"/>
      <c r="D61" s="15">
        <f>IF(F3="1",SUMIF(Data!A:A,'29'!$A$2,Data!DT:DT),0)</f>
        <v>251504</v>
      </c>
      <c r="E61" s="18">
        <f>IF(F3="1",SUMIF(Data!$A:$A,'29'!$A$2,Data!JN:JN),0)</f>
        <v>204546</v>
      </c>
      <c r="F61" s="22">
        <f t="shared" si="3"/>
        <v>0.81329123990075702</v>
      </c>
    </row>
    <row r="62" spans="1:6" x14ac:dyDescent="0.2">
      <c r="A62" s="20">
        <v>28</v>
      </c>
      <c r="B62" s="202" t="s">
        <v>24</v>
      </c>
      <c r="C62" s="203"/>
      <c r="D62" s="15">
        <f>IF(F3="1",SUMIF(Data!A:A,'29'!$A$2,Data!DV:DV),0)</f>
        <v>308576</v>
      </c>
      <c r="E62" s="18">
        <f>IF(F3="1",SUMIF(Data!$A:$A,'29'!$A$2,Data!JP:JP),0)</f>
        <v>166096</v>
      </c>
      <c r="F62" s="22">
        <f t="shared" si="3"/>
        <v>0.53826609976148498</v>
      </c>
    </row>
    <row r="63" spans="1:6" ht="15.75" customHeight="1" thickBot="1" x14ac:dyDescent="0.25">
      <c r="A63" s="23">
        <v>29</v>
      </c>
      <c r="B63" s="206" t="s">
        <v>25</v>
      </c>
      <c r="C63" s="207"/>
      <c r="D63" s="24">
        <f>IF(F3="1",SUMIF(Data!A:A,'29'!$A$2,Data!DW:DW),0)</f>
        <v>244656</v>
      </c>
      <c r="E63" s="25">
        <f>IF(F3="1",SUMIF(Data!$A:$A,'29'!$A$2,Data!JQ:JQ),0)</f>
        <v>86493</v>
      </c>
      <c r="F63" s="26">
        <f t="shared" si="3"/>
        <v>0.35352903668824798</v>
      </c>
    </row>
    <row r="64" spans="1:6" x14ac:dyDescent="0.2">
      <c r="B64" s="31" t="s">
        <v>35</v>
      </c>
      <c r="C64" s="31"/>
      <c r="D64" s="60">
        <f>SUM(D36:D63)</f>
        <v>5545924</v>
      </c>
      <c r="E64" s="32">
        <f>SUM(E36:E63)</f>
        <v>3221942</v>
      </c>
      <c r="F64" s="33">
        <f t="shared" si="3"/>
        <v>0.58095675310372086</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17408</v>
      </c>
      <c r="E67" s="16">
        <f>IF(F3="1",SUMIF(Data!A:A,'29'!$A$2,Data!DY:DY),0)</f>
        <v>115959</v>
      </c>
      <c r="F67" s="21">
        <f>IFERROR(E67/D67,"")</f>
        <v>6.6612477022058822</v>
      </c>
    </row>
    <row r="68" spans="1:6" x14ac:dyDescent="0.2">
      <c r="A68" s="20">
        <v>2</v>
      </c>
      <c r="B68" s="202" t="s">
        <v>1</v>
      </c>
      <c r="C68" s="203"/>
      <c r="D68" s="15">
        <f t="shared" ref="D68:D94" si="4">D37</f>
        <v>60096</v>
      </c>
      <c r="E68" s="18">
        <f>IF(F3="1",SUMIF(Data!A:A,'29'!$A$2,Data!DZ:DZ),0)</f>
        <v>75730</v>
      </c>
      <c r="F68" s="22">
        <f t="shared" ref="F68:F95" si="5">IFERROR(E68/D68,"")</f>
        <v>1.2601504259850904</v>
      </c>
    </row>
    <row r="69" spans="1:6" ht="14.25" customHeight="1" x14ac:dyDescent="0.2">
      <c r="A69" s="20">
        <v>3</v>
      </c>
      <c r="B69" s="202" t="s">
        <v>2</v>
      </c>
      <c r="C69" s="203"/>
      <c r="D69" s="15">
        <f t="shared" si="4"/>
        <v>574848</v>
      </c>
      <c r="E69" s="18">
        <f>IF(F3="1",SUMIF(Data!A:A,'29'!$A$2,Data!EA:EA),0)</f>
        <v>1220398</v>
      </c>
      <c r="F69" s="22">
        <f t="shared" si="5"/>
        <v>2.1229925128033846</v>
      </c>
    </row>
    <row r="70" spans="1:6" ht="14.25" customHeight="1" x14ac:dyDescent="0.2">
      <c r="A70" s="20">
        <v>4</v>
      </c>
      <c r="B70" s="202" t="s">
        <v>3</v>
      </c>
      <c r="C70" s="203"/>
      <c r="D70" s="15">
        <f t="shared" si="4"/>
        <v>377571</v>
      </c>
      <c r="E70" s="18">
        <f>IF(F3="1",SUMIF(Data!A:A,'29'!$A$2,Data!EB:EB),0)</f>
        <v>1060549</v>
      </c>
      <c r="F70" s="22">
        <f t="shared" si="5"/>
        <v>2.8088730331513809</v>
      </c>
    </row>
    <row r="71" spans="1:6" x14ac:dyDescent="0.2">
      <c r="A71" s="20">
        <v>5</v>
      </c>
      <c r="B71" s="202" t="s">
        <v>4</v>
      </c>
      <c r="C71" s="203"/>
      <c r="D71" s="15">
        <f t="shared" si="4"/>
        <v>0</v>
      </c>
      <c r="E71" s="18">
        <f>IF(F3="1",SUMIF(Data!A:A,'29'!$A$2,Data!EC:EC),0)</f>
        <v>0</v>
      </c>
      <c r="F71" s="22" t="str">
        <f t="shared" si="5"/>
        <v/>
      </c>
    </row>
    <row r="72" spans="1:6" x14ac:dyDescent="0.2">
      <c r="A72" s="20">
        <v>6</v>
      </c>
      <c r="B72" s="202" t="s">
        <v>5</v>
      </c>
      <c r="C72" s="203"/>
      <c r="D72" s="15">
        <f t="shared" si="4"/>
        <v>19368</v>
      </c>
      <c r="E72" s="18">
        <f>IF(F3="1",SUMIF(Data!A:A,'29'!$A$2,Data!ED:ED),0)</f>
        <v>66413</v>
      </c>
      <c r="F72" s="22">
        <f t="shared" si="5"/>
        <v>3.4290066088393227</v>
      </c>
    </row>
    <row r="73" spans="1:6" x14ac:dyDescent="0.2">
      <c r="A73" s="20">
        <v>7</v>
      </c>
      <c r="B73" s="202" t="s">
        <v>6</v>
      </c>
      <c r="C73" s="203"/>
      <c r="D73" s="15">
        <f t="shared" si="4"/>
        <v>356729</v>
      </c>
      <c r="E73" s="18">
        <f>IF(F3="1",SUMIF(Data!A:A,'29'!$A$2,Data!EE:EE),0)</f>
        <v>613218</v>
      </c>
      <c r="F73" s="22">
        <f t="shared" si="5"/>
        <v>1.7190023799578953</v>
      </c>
    </row>
    <row r="74" spans="1:6" x14ac:dyDescent="0.2">
      <c r="A74" s="20">
        <v>8</v>
      </c>
      <c r="B74" s="202" t="s">
        <v>7</v>
      </c>
      <c r="C74" s="203"/>
      <c r="D74" s="15">
        <f t="shared" si="4"/>
        <v>1424</v>
      </c>
      <c r="E74" s="18">
        <f>IF(F3="1",SUMIF(Data!A:A,'29'!$A$2,Data!EF:EF),0)</f>
        <v>6392</v>
      </c>
      <c r="F74" s="22">
        <f t="shared" si="5"/>
        <v>4.48876404494382</v>
      </c>
    </row>
    <row r="75" spans="1:6" x14ac:dyDescent="0.2">
      <c r="A75" s="20">
        <v>9</v>
      </c>
      <c r="B75" s="202" t="s">
        <v>8</v>
      </c>
      <c r="C75" s="203"/>
      <c r="D75" s="15">
        <f t="shared" si="4"/>
        <v>555368</v>
      </c>
      <c r="E75" s="18">
        <f>IF(F3="1",SUMIF(Data!A:A,'29'!$A$2,Data!EG:EG),0)</f>
        <v>340511</v>
      </c>
      <c r="F75" s="22">
        <f t="shared" si="5"/>
        <v>0.61312679160484584</v>
      </c>
    </row>
    <row r="76" spans="1:6" x14ac:dyDescent="0.2">
      <c r="A76" s="20">
        <v>10</v>
      </c>
      <c r="B76" s="202" t="s">
        <v>9</v>
      </c>
      <c r="C76" s="203"/>
      <c r="D76" s="15">
        <f t="shared" si="4"/>
        <v>1056</v>
      </c>
      <c r="E76" s="18">
        <f>IF(F3="1",SUMIF(Data!A:A,'29'!$A$2,Data!EH:EH),0)</f>
        <v>710</v>
      </c>
      <c r="F76" s="22">
        <f t="shared" si="5"/>
        <v>0.67234848484848486</v>
      </c>
    </row>
    <row r="77" spans="1:6" x14ac:dyDescent="0.2">
      <c r="A77" s="20">
        <v>11</v>
      </c>
      <c r="B77" s="202" t="s">
        <v>10</v>
      </c>
      <c r="C77" s="203"/>
      <c r="D77" s="15">
        <f t="shared" si="4"/>
        <v>99352</v>
      </c>
      <c r="E77" s="18">
        <f>IF(F3="1",SUMIF(Data!A:A,'29'!$A$2,Data!EI:EI),0)</f>
        <v>189125</v>
      </c>
      <c r="F77" s="22">
        <f t="shared" si="5"/>
        <v>1.9035852323053386</v>
      </c>
    </row>
    <row r="78" spans="1:6" ht="14.25" customHeight="1" x14ac:dyDescent="0.2">
      <c r="A78" s="20">
        <v>12</v>
      </c>
      <c r="B78" s="202" t="s">
        <v>11</v>
      </c>
      <c r="C78" s="203"/>
      <c r="D78" s="15">
        <f t="shared" si="4"/>
        <v>604192</v>
      </c>
      <c r="E78" s="18">
        <f>IF(F3="1",SUMIF(Data!A:A,'29'!$A$2,Data!EJ:EJ),0)</f>
        <v>1579166</v>
      </c>
      <c r="F78" s="22">
        <f t="shared" si="5"/>
        <v>2.613682405592924</v>
      </c>
    </row>
    <row r="79" spans="1:6" x14ac:dyDescent="0.2">
      <c r="A79" s="20">
        <v>13</v>
      </c>
      <c r="B79" s="202" t="s">
        <v>12</v>
      </c>
      <c r="C79" s="203"/>
      <c r="D79" s="15">
        <f t="shared" si="4"/>
        <v>59672</v>
      </c>
      <c r="E79" s="18">
        <f>IF(F3="1",SUMIF(Data!A:A,'29'!$A$2,Data!EK:EK),0)</f>
        <v>83259</v>
      </c>
      <c r="F79" s="22">
        <f t="shared" si="5"/>
        <v>1.3952775170934442</v>
      </c>
    </row>
    <row r="80" spans="1:6" ht="14.25" customHeight="1" x14ac:dyDescent="0.2">
      <c r="A80" s="20">
        <v>14</v>
      </c>
      <c r="B80" s="202" t="s">
        <v>449</v>
      </c>
      <c r="C80" s="203"/>
      <c r="D80" s="15">
        <f t="shared" si="4"/>
        <v>142112</v>
      </c>
      <c r="E80" s="18">
        <f>IF(F3="1",SUMIF(Data!A:A,'29'!$A$2,Data!EL:EL),0)</f>
        <v>792002</v>
      </c>
      <c r="F80" s="22">
        <f t="shared" si="5"/>
        <v>5.573083201981536</v>
      </c>
    </row>
    <row r="81" spans="1:6" x14ac:dyDescent="0.2">
      <c r="A81" s="20">
        <v>15</v>
      </c>
      <c r="B81" s="202" t="s">
        <v>13</v>
      </c>
      <c r="C81" s="203"/>
      <c r="D81" s="15">
        <f t="shared" si="4"/>
        <v>0</v>
      </c>
      <c r="E81" s="18">
        <f>IF(F3="1",SUMIF(Data!A:A,'29'!$A$2,Data!EM:EM),0)</f>
        <v>0</v>
      </c>
      <c r="F81" s="22" t="str">
        <f t="shared" si="5"/>
        <v/>
      </c>
    </row>
    <row r="82" spans="1:6" x14ac:dyDescent="0.2">
      <c r="A82" s="20">
        <v>16</v>
      </c>
      <c r="B82" s="202" t="s">
        <v>14</v>
      </c>
      <c r="C82" s="203"/>
      <c r="D82" s="15">
        <f t="shared" si="4"/>
        <v>215702</v>
      </c>
      <c r="E82" s="18">
        <f>IF(F3="1",SUMIF(Data!A:A,'29'!$A$2,Data!EN:EN),0)</f>
        <v>494860</v>
      </c>
      <c r="F82" s="22">
        <f t="shared" si="5"/>
        <v>2.2941836422471744</v>
      </c>
    </row>
    <row r="83" spans="1:6" x14ac:dyDescent="0.2">
      <c r="A83" s="20">
        <v>17</v>
      </c>
      <c r="B83" s="202" t="s">
        <v>15</v>
      </c>
      <c r="C83" s="203"/>
      <c r="D83" s="15">
        <f t="shared" si="4"/>
        <v>0</v>
      </c>
      <c r="E83" s="18">
        <f>IF(F3="1",SUMIF(Data!A:A,'29'!$A$2,Data!EO:EO),0)</f>
        <v>0</v>
      </c>
      <c r="F83" s="22" t="str">
        <f t="shared" si="5"/>
        <v/>
      </c>
    </row>
    <row r="84" spans="1:6" x14ac:dyDescent="0.2">
      <c r="A84" s="20">
        <v>18</v>
      </c>
      <c r="B84" s="202" t="s">
        <v>16</v>
      </c>
      <c r="C84" s="203"/>
      <c r="D84" s="15">
        <f t="shared" si="4"/>
        <v>144224</v>
      </c>
      <c r="E84" s="18">
        <f>IF(F3="1",SUMIF(Data!A:A,'29'!$A$2,Data!EP:EP),0)</f>
        <v>646627</v>
      </c>
      <c r="F84" s="22">
        <f t="shared" si="5"/>
        <v>4.4834909585089857</v>
      </c>
    </row>
    <row r="85" spans="1:6" x14ac:dyDescent="0.2">
      <c r="A85" s="20">
        <v>19</v>
      </c>
      <c r="B85" s="202" t="s">
        <v>17</v>
      </c>
      <c r="C85" s="203"/>
      <c r="D85" s="15">
        <f t="shared" si="4"/>
        <v>234208</v>
      </c>
      <c r="E85" s="18">
        <f>IF(F3="1",SUMIF(Data!A:A,'29'!$A$2,Data!EQ:EQ),0)</f>
        <v>719188</v>
      </c>
      <c r="F85" s="22">
        <f t="shared" si="5"/>
        <v>3.0707234594890012</v>
      </c>
    </row>
    <row r="86" spans="1:6" x14ac:dyDescent="0.2">
      <c r="A86" s="20">
        <v>20</v>
      </c>
      <c r="B86" s="202" t="s">
        <v>18</v>
      </c>
      <c r="C86" s="203"/>
      <c r="D86" s="15">
        <f t="shared" si="4"/>
        <v>0</v>
      </c>
      <c r="E86" s="18">
        <f>IF(F3="1",SUMIF(Data!A:A,'29'!$A$2,Data!ER:ER),0)</f>
        <v>0</v>
      </c>
      <c r="F86" s="22" t="str">
        <f t="shared" si="5"/>
        <v/>
      </c>
    </row>
    <row r="87" spans="1:6" ht="14.25" customHeight="1" x14ac:dyDescent="0.2">
      <c r="A87" s="20">
        <v>21</v>
      </c>
      <c r="B87" s="202" t="s">
        <v>446</v>
      </c>
      <c r="C87" s="203"/>
      <c r="D87" s="15">
        <f t="shared" si="4"/>
        <v>28676</v>
      </c>
      <c r="E87" s="18">
        <f>IF(F3="1",SUMIF(Data!A:A,'29'!$A$2,Data!ES:ES),0)</f>
        <v>12884</v>
      </c>
      <c r="F87" s="22">
        <f t="shared" si="5"/>
        <v>0.44929557818384713</v>
      </c>
    </row>
    <row r="88" spans="1:6" x14ac:dyDescent="0.2">
      <c r="A88" s="20">
        <v>22</v>
      </c>
      <c r="B88" s="202" t="s">
        <v>19</v>
      </c>
      <c r="C88" s="203"/>
      <c r="D88" s="15">
        <f t="shared" si="4"/>
        <v>6912</v>
      </c>
      <c r="E88" s="18">
        <f>IF(F3="1",SUMIF(Data!A:A,'29'!$A$2,Data!ET:ET),0)</f>
        <v>13228</v>
      </c>
      <c r="F88" s="22">
        <f t="shared" si="5"/>
        <v>1.9137731481481481</v>
      </c>
    </row>
    <row r="89" spans="1:6" x14ac:dyDescent="0.2">
      <c r="A89" s="20">
        <v>23</v>
      </c>
      <c r="B89" s="202" t="s">
        <v>20</v>
      </c>
      <c r="C89" s="203"/>
      <c r="D89" s="15">
        <f t="shared" si="4"/>
        <v>226416</v>
      </c>
      <c r="E89" s="18">
        <f>IF(F3="1",SUMIF(Data!A:A,'29'!$A$2,Data!EU:EU),0)</f>
        <v>594283</v>
      </c>
      <c r="F89" s="22">
        <f t="shared" si="5"/>
        <v>2.6247394177089958</v>
      </c>
    </row>
    <row r="90" spans="1:6" x14ac:dyDescent="0.2">
      <c r="A90" s="20">
        <v>24</v>
      </c>
      <c r="B90" s="202" t="s">
        <v>21</v>
      </c>
      <c r="C90" s="203"/>
      <c r="D90" s="15">
        <f t="shared" si="4"/>
        <v>308190</v>
      </c>
      <c r="E90" s="18">
        <f>IF(F3="1",SUMIF(Data!A:A,'29'!$A$2,Data!EV:EV),0)</f>
        <v>480099</v>
      </c>
      <c r="F90" s="22">
        <f t="shared" si="5"/>
        <v>1.5578020052564976</v>
      </c>
    </row>
    <row r="91" spans="1:6" x14ac:dyDescent="0.2">
      <c r="A91" s="20">
        <v>25</v>
      </c>
      <c r="B91" s="202" t="s">
        <v>22</v>
      </c>
      <c r="C91" s="203"/>
      <c r="D91" s="15">
        <f t="shared" si="4"/>
        <v>707664</v>
      </c>
      <c r="E91" s="18">
        <f>IF(F3="1",SUMIF(Data!A:A,'29'!$A$2,Data!EW:EW),0)</f>
        <v>1614247</v>
      </c>
      <c r="F91" s="22">
        <f t="shared" si="5"/>
        <v>2.2810924393497478</v>
      </c>
    </row>
    <row r="92" spans="1:6" x14ac:dyDescent="0.2">
      <c r="A92" s="20">
        <v>26</v>
      </c>
      <c r="B92" s="202" t="s">
        <v>23</v>
      </c>
      <c r="C92" s="203"/>
      <c r="D92" s="15">
        <f t="shared" si="4"/>
        <v>251504</v>
      </c>
      <c r="E92" s="18">
        <f>IF(F3="1",SUMIF(Data!A:A,'29'!$A$2,Data!EX:EX),0)</f>
        <v>692220</v>
      </c>
      <c r="F92" s="22">
        <f t="shared" si="5"/>
        <v>2.7523220306635281</v>
      </c>
    </row>
    <row r="93" spans="1:6" x14ac:dyDescent="0.2">
      <c r="A93" s="20">
        <v>28</v>
      </c>
      <c r="B93" s="202" t="s">
        <v>24</v>
      </c>
      <c r="C93" s="203"/>
      <c r="D93" s="15">
        <f t="shared" si="4"/>
        <v>308576</v>
      </c>
      <c r="E93" s="18">
        <f>IF(F3="1",SUMIF(Data!A:A,'29'!$A$2,Data!EZ:EZ),0)</f>
        <v>627059</v>
      </c>
      <c r="F93" s="22">
        <f t="shared" si="5"/>
        <v>2.0321055428808461</v>
      </c>
    </row>
    <row r="94" spans="1:6" ht="15.75" customHeight="1" thickBot="1" x14ac:dyDescent="0.25">
      <c r="A94" s="23">
        <v>29</v>
      </c>
      <c r="B94" s="206" t="s">
        <v>25</v>
      </c>
      <c r="C94" s="207"/>
      <c r="D94" s="24">
        <f t="shared" si="4"/>
        <v>244656</v>
      </c>
      <c r="E94" s="25">
        <f>IF(F3="1",SUMIF(Data!A:A,'29'!$A$2,Data!FA:FA),0)</f>
        <v>446753</v>
      </c>
      <c r="F94" s="26">
        <f t="shared" si="5"/>
        <v>1.8260455496697403</v>
      </c>
    </row>
    <row r="95" spans="1:6" x14ac:dyDescent="0.2">
      <c r="B95" s="31" t="s">
        <v>35</v>
      </c>
      <c r="C95" s="31"/>
      <c r="D95" s="60">
        <f>SUM(D67:D94)</f>
        <v>5545924</v>
      </c>
      <c r="E95" s="32">
        <f>SUM(E67:E94)</f>
        <v>12484880</v>
      </c>
      <c r="F95" s="33">
        <f t="shared" si="5"/>
        <v>2.2511812278711356</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IF(F3="1",SUMIF(Data!A:A,'29'!$A$2,Data!AH:AH),0)</f>
        <v>4420914</v>
      </c>
      <c r="F98" s="21">
        <f t="shared" ref="F98:F105" si="6">IFERROR(E98/$D$95,0)</f>
        <v>0.79714651697354666</v>
      </c>
    </row>
    <row r="99" spans="2:6" x14ac:dyDescent="0.2">
      <c r="B99" s="212" t="s">
        <v>31</v>
      </c>
      <c r="C99" s="213"/>
      <c r="D99" s="37"/>
      <c r="E99" s="18">
        <f>IF(F3="1",SUMIF(Data!A:A,'29'!$A$2,Data!AI:AI),0)</f>
        <v>2747133</v>
      </c>
      <c r="F99" s="22">
        <f t="shared" si="6"/>
        <v>0.49534270574209094</v>
      </c>
    </row>
    <row r="100" spans="2:6" x14ac:dyDescent="0.2">
      <c r="B100" s="212" t="s">
        <v>32</v>
      </c>
      <c r="C100" s="213"/>
      <c r="D100" s="37"/>
      <c r="E100" s="18">
        <f>IF(F3="1",SUMIF(Data!A:A,'29'!$A$2,Data!AJ:AJ),0)</f>
        <v>2844563</v>
      </c>
      <c r="F100" s="22">
        <f t="shared" si="6"/>
        <v>0.51291056278448821</v>
      </c>
    </row>
    <row r="101" spans="2:6" x14ac:dyDescent="0.2">
      <c r="B101" s="212" t="s">
        <v>28</v>
      </c>
      <c r="C101" s="213"/>
      <c r="D101" s="37"/>
      <c r="E101" s="18">
        <f>IF(F3="1",SUMIF(Data!A:A,'29'!$A$2,Data!AK:AK),0)</f>
        <v>0</v>
      </c>
      <c r="F101" s="22">
        <f t="shared" si="6"/>
        <v>0</v>
      </c>
    </row>
    <row r="102" spans="2:6" x14ac:dyDescent="0.2">
      <c r="B102" s="212" t="s">
        <v>33</v>
      </c>
      <c r="C102" s="213"/>
      <c r="D102" s="37"/>
      <c r="E102" s="18">
        <f>IF(F3="1",SUMIF(Data!A:A,'29'!$A$2,Data!AL:AL),0)</f>
        <v>0</v>
      </c>
      <c r="F102" s="22">
        <f t="shared" si="6"/>
        <v>0</v>
      </c>
    </row>
    <row r="103" spans="2:6" x14ac:dyDescent="0.2">
      <c r="B103" s="214" t="s">
        <v>34</v>
      </c>
      <c r="C103" s="215"/>
      <c r="D103" s="37"/>
      <c r="E103" s="18">
        <f>IF(F3="1",SUMIF(Data!A:A,'29'!$A$2,Data!AM:AM),0)</f>
        <v>208100</v>
      </c>
      <c r="F103" s="22">
        <f t="shared" si="6"/>
        <v>3.7523052966466908E-2</v>
      </c>
    </row>
    <row r="104" spans="2:6" ht="15.75" customHeight="1" thickBot="1" x14ac:dyDescent="0.25">
      <c r="B104" s="208" t="s">
        <v>29</v>
      </c>
      <c r="C104" s="209"/>
      <c r="D104" s="38"/>
      <c r="E104" s="25">
        <f>IF(F3="1",SUMIF(Data!A:A,'29'!$A$2,Data!Q:Q),0)</f>
        <v>1373008</v>
      </c>
      <c r="F104" s="26">
        <f t="shared" si="6"/>
        <v>0.24757064828151271</v>
      </c>
    </row>
    <row r="105" spans="2:6" x14ac:dyDescent="0.2">
      <c r="B105" s="31" t="s">
        <v>35</v>
      </c>
      <c r="C105" s="31"/>
      <c r="D105" s="35">
        <f>D95</f>
        <v>5545924</v>
      </c>
      <c r="E105" s="32">
        <f>SUM(E98:E104)</f>
        <v>11593718</v>
      </c>
      <c r="F105" s="33">
        <f t="shared" si="6"/>
        <v>2.0904934867481053</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12484880</v>
      </c>
      <c r="D109" s="192">
        <f>IF(F3="1",SUMIF(Data!$A:$A,$A$2,Data!HJ:HJ),0)</f>
        <v>2326410</v>
      </c>
      <c r="E109" s="192">
        <f>IF(F3="1",SUMIF(Data!$A:$A,$A$2,Data!IN:IN),0)</f>
        <v>895533</v>
      </c>
      <c r="F109" s="48">
        <f>SUM(C109:E109)</f>
        <v>15706823</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30375</v>
      </c>
      <c r="D111" s="52"/>
      <c r="E111" s="193">
        <f>IF(F3="1",SUMIF(Data!A:A,$A$2,Data!AX:AX)-SUMIF(Data!A:A,$A$2,Data!AW:AW),0)</f>
        <v>4073</v>
      </c>
      <c r="F111" s="49">
        <f t="shared" si="7"/>
        <v>34448</v>
      </c>
    </row>
    <row r="112" spans="2:6" x14ac:dyDescent="0.2">
      <c r="B112" s="43" t="s">
        <v>32</v>
      </c>
      <c r="C112" s="193">
        <f>IF(F3="1",SUMIF(Data!A:A,$A$2,Data!V:V),0)</f>
        <v>2405711</v>
      </c>
      <c r="D112" s="52"/>
      <c r="E112" s="193">
        <f>IF(F3="1",SUMIF(Data!A:A,$A$2,Data!AC:AC),0)</f>
        <v>438852</v>
      </c>
      <c r="F112" s="49">
        <f t="shared" si="7"/>
        <v>2844563</v>
      </c>
    </row>
    <row r="113" spans="1:6" x14ac:dyDescent="0.2">
      <c r="B113" s="43" t="s">
        <v>31</v>
      </c>
      <c r="C113" s="193">
        <f>IF(F3="1",SUMIF(Data!A:A,$A$2,Data!U:U),0)</f>
        <v>2157628</v>
      </c>
      <c r="D113" s="52"/>
      <c r="E113" s="193">
        <f>IF(F3="1",SUMIF(Data!A:A,$A$2,Data!AB:AB),0)</f>
        <v>589505</v>
      </c>
      <c r="F113" s="49">
        <f t="shared" si="7"/>
        <v>2747133</v>
      </c>
    </row>
    <row r="114" spans="1:6" x14ac:dyDescent="0.2">
      <c r="B114" s="43" t="s">
        <v>1002</v>
      </c>
      <c r="C114" s="193">
        <f>IF(F3="1",SUMIF(Data!A:A,$A$2,Data!T:T),0)</f>
        <v>2774650</v>
      </c>
      <c r="D114" s="52"/>
      <c r="E114" s="193">
        <f>IF(F3="1",SUMIF(Data!A:A,$A$2,Data!AA:AA),0)</f>
        <v>1646264</v>
      </c>
      <c r="F114" s="49">
        <f t="shared" si="7"/>
        <v>4420914</v>
      </c>
    </row>
    <row r="115" spans="1:6" x14ac:dyDescent="0.2">
      <c r="B115" s="43" t="s">
        <v>916</v>
      </c>
      <c r="C115" s="193">
        <f>IF(F3="1",SUMIF(Data!A:A,$A$2,Data!BI:BI),0)</f>
        <v>715335</v>
      </c>
      <c r="D115" s="193">
        <f>IF(F3="1",SUMIF(Data!A:A,$A$2,Data!BL:BL),0)</f>
        <v>133294</v>
      </c>
      <c r="E115" s="193">
        <f>IF(F3="1",SUMIF(Data!A:A,$A$2,Data!BU:BU)-SUMIF(Data!A:A,$A$2,Data!BT:BT),0)</f>
        <v>3216230</v>
      </c>
      <c r="F115" s="49">
        <f t="shared" si="7"/>
        <v>4064859</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1373008</v>
      </c>
      <c r="E117" s="53"/>
      <c r="F117" s="50">
        <f>SUM(C117:E117)</f>
        <v>1373008</v>
      </c>
    </row>
    <row r="118" spans="1:6" x14ac:dyDescent="0.2">
      <c r="B118" s="14" t="s">
        <v>35</v>
      </c>
      <c r="C118" s="178">
        <f>SUM(C109:C117)</f>
        <v>20568579</v>
      </c>
      <c r="D118" s="194">
        <f>SUM(D109:D117)</f>
        <v>3832712</v>
      </c>
      <c r="E118" s="178">
        <f>SUM(E109:E117)</f>
        <v>6790457</v>
      </c>
      <c r="F118" s="178">
        <f>SUM(F109:F117)</f>
        <v>31191748</v>
      </c>
    </row>
    <row r="119" spans="1:6" x14ac:dyDescent="0.2">
      <c r="C119" s="177"/>
      <c r="D119" s="177"/>
      <c r="E119" s="177"/>
    </row>
    <row r="120" spans="1:6" ht="15" thickBot="1" x14ac:dyDescent="0.25">
      <c r="B120" s="188" t="s">
        <v>921</v>
      </c>
      <c r="C120" s="53"/>
      <c r="D120" s="53"/>
      <c r="E120" s="195">
        <f>IF(F3="1",SUMIF(Data!A:A,$A$2,Data!AF:AF)+SUMIF(Data!A:A,$A$2,Data!AW:AW)+SUMIF(Data!A:A,$A$2,Data!BT:BT),0)</f>
        <v>281629</v>
      </c>
      <c r="F120" s="181">
        <f>SUM(C120:E120)</f>
        <v>281629</v>
      </c>
    </row>
    <row r="121" spans="1:6" s="177" customFormat="1" x14ac:dyDescent="0.2">
      <c r="B121" s="14" t="s">
        <v>35</v>
      </c>
      <c r="C121" s="178">
        <f>SUM(C120:C120)</f>
        <v>0</v>
      </c>
      <c r="D121" s="178">
        <f>SUM(D120:D120)</f>
        <v>0</v>
      </c>
      <c r="E121" s="178">
        <f>SUM(E120:E120)</f>
        <v>281629</v>
      </c>
      <c r="F121" s="178">
        <f>SUM(F120:F120)</f>
        <v>281629</v>
      </c>
    </row>
    <row r="122" spans="1:6" s="177" customFormat="1" ht="15" thickBot="1" x14ac:dyDescent="0.25">
      <c r="B122" s="14" t="s">
        <v>1396</v>
      </c>
      <c r="C122" s="178"/>
      <c r="D122" s="178"/>
      <c r="E122" s="178"/>
      <c r="F122" s="190">
        <f>F118+F121</f>
        <v>31473377</v>
      </c>
    </row>
    <row r="123" spans="1:6" ht="15" thickTop="1" x14ac:dyDescent="0.2">
      <c r="C123" s="177"/>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legacy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362</v>
      </c>
      <c r="B2" s="59" t="str">
        <f>VLOOKUP(A2,Data!A:G,7,0)</f>
        <v>North Central Texas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89952</v>
      </c>
      <c r="E5" s="16">
        <f>E36+E67+IFERROR($E$105/$D$105*D5,0)</f>
        <v>731318.20948568953</v>
      </c>
      <c r="F5" s="21">
        <f>IFERROR(E5/D5,"")</f>
        <v>8.1300939332720734</v>
      </c>
    </row>
    <row r="6" spans="1:6" x14ac:dyDescent="0.2">
      <c r="A6" s="20">
        <v>2</v>
      </c>
      <c r="B6" s="202" t="s">
        <v>1</v>
      </c>
      <c r="C6" s="203"/>
      <c r="D6" s="15">
        <f t="shared" ref="D6:D32" si="0">D37</f>
        <v>13537</v>
      </c>
      <c r="E6" s="18">
        <f t="shared" ref="E6:E32" si="1">E37+E68+IFERROR($E$105/$D$105*D6,0)</f>
        <v>234932.89459720493</v>
      </c>
      <c r="F6" s="22">
        <f t="shared" ref="F6:F33" si="2">IFERROR(E6/D6,"")</f>
        <v>17.354871433641495</v>
      </c>
    </row>
    <row r="7" spans="1:6" ht="14.25" customHeight="1" x14ac:dyDescent="0.2">
      <c r="A7" s="20">
        <v>3</v>
      </c>
      <c r="B7" s="202" t="s">
        <v>2</v>
      </c>
      <c r="C7" s="203"/>
      <c r="D7" s="15">
        <f t="shared" si="0"/>
        <v>354992</v>
      </c>
      <c r="E7" s="18">
        <f t="shared" si="1"/>
        <v>2073936.4658233712</v>
      </c>
      <c r="F7" s="22">
        <f t="shared" si="2"/>
        <v>5.8422062069662735</v>
      </c>
    </row>
    <row r="8" spans="1:6" ht="14.25" customHeight="1" x14ac:dyDescent="0.2">
      <c r="A8" s="20">
        <v>4</v>
      </c>
      <c r="B8" s="202" t="s">
        <v>3</v>
      </c>
      <c r="C8" s="203"/>
      <c r="D8" s="15">
        <f t="shared" si="0"/>
        <v>204355</v>
      </c>
      <c r="E8" s="18">
        <f t="shared" si="1"/>
        <v>1014460.3358507657</v>
      </c>
      <c r="F8" s="22">
        <f t="shared" si="2"/>
        <v>4.964206091609042</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6592</v>
      </c>
      <c r="E10" s="18">
        <f t="shared" si="1"/>
        <v>44534.738582017802</v>
      </c>
      <c r="F10" s="22">
        <f t="shared" si="2"/>
        <v>6.7558766052818271</v>
      </c>
    </row>
    <row r="11" spans="1:6" x14ac:dyDescent="0.2">
      <c r="A11" s="20">
        <v>7</v>
      </c>
      <c r="B11" s="202" t="s">
        <v>6</v>
      </c>
      <c r="C11" s="203"/>
      <c r="D11" s="15">
        <f t="shared" si="0"/>
        <v>40262</v>
      </c>
      <c r="E11" s="18">
        <f t="shared" si="1"/>
        <v>595118.18610273069</v>
      </c>
      <c r="F11" s="22">
        <f t="shared" si="2"/>
        <v>14.781138197375459</v>
      </c>
    </row>
    <row r="12" spans="1:6" x14ac:dyDescent="0.2">
      <c r="A12" s="20">
        <v>8</v>
      </c>
      <c r="B12" s="202" t="s">
        <v>7</v>
      </c>
      <c r="C12" s="203"/>
      <c r="D12" s="15">
        <f t="shared" si="0"/>
        <v>0</v>
      </c>
      <c r="E12" s="18">
        <f t="shared" si="1"/>
        <v>0</v>
      </c>
      <c r="F12" s="22" t="str">
        <f t="shared" si="2"/>
        <v/>
      </c>
    </row>
    <row r="13" spans="1:6" x14ac:dyDescent="0.2">
      <c r="A13" s="20">
        <v>9</v>
      </c>
      <c r="B13" s="202" t="s">
        <v>8</v>
      </c>
      <c r="C13" s="203"/>
      <c r="D13" s="15">
        <f t="shared" si="0"/>
        <v>135040</v>
      </c>
      <c r="E13" s="18">
        <f t="shared" si="1"/>
        <v>790233.56706852</v>
      </c>
      <c r="F13" s="22">
        <f t="shared" si="2"/>
        <v>5.8518480973675944</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40944</v>
      </c>
      <c r="E15" s="18">
        <f t="shared" si="1"/>
        <v>236009.50250335812</v>
      </c>
      <c r="F15" s="22">
        <f t="shared" si="2"/>
        <v>5.7642023862680274</v>
      </c>
    </row>
    <row r="16" spans="1:6" ht="14.25" customHeight="1" x14ac:dyDescent="0.2">
      <c r="A16" s="20">
        <v>12</v>
      </c>
      <c r="B16" s="202" t="s">
        <v>11</v>
      </c>
      <c r="C16" s="203"/>
      <c r="D16" s="15">
        <f t="shared" si="0"/>
        <v>494608</v>
      </c>
      <c r="E16" s="18">
        <f t="shared" si="1"/>
        <v>3309837.2203541659</v>
      </c>
      <c r="F16" s="22">
        <f t="shared" si="2"/>
        <v>6.6918392350187741</v>
      </c>
    </row>
    <row r="17" spans="1:6" x14ac:dyDescent="0.2">
      <c r="A17" s="20">
        <v>13</v>
      </c>
      <c r="B17" s="202" t="s">
        <v>12</v>
      </c>
      <c r="C17" s="203"/>
      <c r="D17" s="15">
        <f t="shared" si="0"/>
        <v>80024</v>
      </c>
      <c r="E17" s="18">
        <f t="shared" si="1"/>
        <v>385043.4041698107</v>
      </c>
      <c r="F17" s="22">
        <f t="shared" si="2"/>
        <v>4.8115990724009139</v>
      </c>
    </row>
    <row r="18" spans="1:6" ht="14.25" customHeight="1" x14ac:dyDescent="0.2">
      <c r="A18" s="20">
        <v>14</v>
      </c>
      <c r="B18" s="202" t="s">
        <v>449</v>
      </c>
      <c r="C18" s="203"/>
      <c r="D18" s="15">
        <f t="shared" si="0"/>
        <v>129043</v>
      </c>
      <c r="E18" s="18">
        <f t="shared" si="1"/>
        <v>1248431.3904489265</v>
      </c>
      <c r="F18" s="22">
        <f t="shared" si="2"/>
        <v>9.6745378707014442</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141708</v>
      </c>
      <c r="E20" s="18">
        <f t="shared" si="1"/>
        <v>1200759.7807919567</v>
      </c>
      <c r="F20" s="22">
        <f t="shared" si="2"/>
        <v>8.4734791316789213</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234016</v>
      </c>
      <c r="E22" s="18">
        <f t="shared" si="1"/>
        <v>1719620.7196616319</v>
      </c>
      <c r="F22" s="22">
        <f t="shared" si="2"/>
        <v>7.3483040461405711</v>
      </c>
    </row>
    <row r="23" spans="1:6" x14ac:dyDescent="0.2">
      <c r="A23" s="20">
        <v>19</v>
      </c>
      <c r="B23" s="202" t="s">
        <v>17</v>
      </c>
      <c r="C23" s="203"/>
      <c r="D23" s="15">
        <f t="shared" si="0"/>
        <v>281856</v>
      </c>
      <c r="E23" s="18">
        <f t="shared" si="1"/>
        <v>1490256.8613126834</v>
      </c>
      <c r="F23" s="22">
        <f t="shared" si="2"/>
        <v>5.2872986961877109</v>
      </c>
    </row>
    <row r="24" spans="1:6" x14ac:dyDescent="0.2">
      <c r="A24" s="20">
        <v>20</v>
      </c>
      <c r="B24" s="202" t="s">
        <v>18</v>
      </c>
      <c r="C24" s="203"/>
      <c r="D24" s="15">
        <f t="shared" si="0"/>
        <v>0</v>
      </c>
      <c r="E24" s="18">
        <f t="shared" si="1"/>
        <v>0</v>
      </c>
      <c r="F24" s="22" t="str">
        <f t="shared" si="2"/>
        <v/>
      </c>
    </row>
    <row r="25" spans="1:6" ht="14.25" customHeight="1" x14ac:dyDescent="0.2">
      <c r="A25" s="20">
        <v>21</v>
      </c>
      <c r="B25" s="202" t="s">
        <v>446</v>
      </c>
      <c r="C25" s="203"/>
      <c r="D25" s="15">
        <f t="shared" si="0"/>
        <v>56</v>
      </c>
      <c r="E25" s="18">
        <f t="shared" si="1"/>
        <v>606.87641999286961</v>
      </c>
      <c r="F25" s="22">
        <f t="shared" si="2"/>
        <v>10.8370789284441</v>
      </c>
    </row>
    <row r="26" spans="1:6" x14ac:dyDescent="0.2">
      <c r="A26" s="20">
        <v>22</v>
      </c>
      <c r="B26" s="202" t="s">
        <v>19</v>
      </c>
      <c r="C26" s="203"/>
      <c r="D26" s="15">
        <f t="shared" si="0"/>
        <v>4032</v>
      </c>
      <c r="E26" s="18">
        <f t="shared" si="1"/>
        <v>28334.102239486616</v>
      </c>
      <c r="F26" s="22">
        <f t="shared" si="2"/>
        <v>7.027307103047276</v>
      </c>
    </row>
    <row r="27" spans="1:6" x14ac:dyDescent="0.2">
      <c r="A27" s="20">
        <v>23</v>
      </c>
      <c r="B27" s="202" t="s">
        <v>20</v>
      </c>
      <c r="C27" s="203"/>
      <c r="D27" s="15">
        <f t="shared" si="0"/>
        <v>103216</v>
      </c>
      <c r="E27" s="18">
        <f t="shared" si="1"/>
        <v>692017.08153542923</v>
      </c>
      <c r="F27" s="22">
        <f t="shared" si="2"/>
        <v>6.7045524098534068</v>
      </c>
    </row>
    <row r="28" spans="1:6" x14ac:dyDescent="0.2">
      <c r="A28" s="20">
        <v>24</v>
      </c>
      <c r="B28" s="202" t="s">
        <v>21</v>
      </c>
      <c r="C28" s="203"/>
      <c r="D28" s="15">
        <f t="shared" si="0"/>
        <v>33456</v>
      </c>
      <c r="E28" s="18">
        <f t="shared" si="1"/>
        <v>231085.74120145442</v>
      </c>
      <c r="F28" s="22">
        <f t="shared" si="2"/>
        <v>6.9071539096560981</v>
      </c>
    </row>
    <row r="29" spans="1:6" x14ac:dyDescent="0.2">
      <c r="A29" s="20">
        <v>25</v>
      </c>
      <c r="B29" s="202" t="s">
        <v>22</v>
      </c>
      <c r="C29" s="203"/>
      <c r="D29" s="15">
        <f t="shared" si="0"/>
        <v>882080</v>
      </c>
      <c r="E29" s="18">
        <f t="shared" si="1"/>
        <v>4714301.0097734015</v>
      </c>
      <c r="F29" s="22">
        <f t="shared" si="2"/>
        <v>5.344527718317388</v>
      </c>
    </row>
    <row r="30" spans="1:6" x14ac:dyDescent="0.2">
      <c r="A30" s="20">
        <v>26</v>
      </c>
      <c r="B30" s="202" t="s">
        <v>23</v>
      </c>
      <c r="C30" s="203"/>
      <c r="D30" s="15">
        <f t="shared" si="0"/>
        <v>176732</v>
      </c>
      <c r="E30" s="18">
        <f t="shared" si="1"/>
        <v>1108901.0617532115</v>
      </c>
      <c r="F30" s="22">
        <f t="shared" si="2"/>
        <v>6.27447808972462</v>
      </c>
    </row>
    <row r="31" spans="1:6" x14ac:dyDescent="0.2">
      <c r="A31" s="20">
        <v>28</v>
      </c>
      <c r="B31" s="202" t="s">
        <v>24</v>
      </c>
      <c r="C31" s="203"/>
      <c r="D31" s="15">
        <f t="shared" si="0"/>
        <v>181440</v>
      </c>
      <c r="E31" s="18">
        <f t="shared" si="1"/>
        <v>1080450.6007768977</v>
      </c>
      <c r="F31" s="22">
        <f t="shared" si="2"/>
        <v>5.9548644222712621</v>
      </c>
    </row>
    <row r="32" spans="1:6" ht="15.75" customHeight="1" thickBot="1" x14ac:dyDescent="0.25">
      <c r="A32" s="23">
        <v>29</v>
      </c>
      <c r="B32" s="206" t="s">
        <v>25</v>
      </c>
      <c r="C32" s="207"/>
      <c r="D32" s="24">
        <f t="shared" si="0"/>
        <v>54912</v>
      </c>
      <c r="E32" s="25">
        <f t="shared" si="1"/>
        <v>362807.24954729388</v>
      </c>
      <c r="F32" s="26">
        <f t="shared" si="2"/>
        <v>6.6070667531194252</v>
      </c>
    </row>
    <row r="33" spans="1:6" x14ac:dyDescent="0.2">
      <c r="B33" s="31" t="s">
        <v>35</v>
      </c>
      <c r="C33" s="31"/>
      <c r="D33" s="60">
        <f>SUM(D5:D32)</f>
        <v>3682853</v>
      </c>
      <c r="E33" s="32">
        <f>SUM(E5:E32)</f>
        <v>23292997</v>
      </c>
      <c r="F33" s="33">
        <f t="shared" si="2"/>
        <v>6.3247153769102376</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IF(F3="1",SUMIF(Data!A:A,'30'!$A$2,Data!CU:CU),0)</f>
        <v>89952</v>
      </c>
      <c r="E36" s="16">
        <f>IF(F3="1",SUMIF(Data!$A:$A,'30'!$A$2,Data!IO:IO),0)</f>
        <v>269259</v>
      </c>
      <c r="F36" s="21">
        <f t="shared" ref="F36:F64" si="3">IFERROR(E36/D36,"")</f>
        <v>2.9933631270010674</v>
      </c>
    </row>
    <row r="37" spans="1:6" x14ac:dyDescent="0.2">
      <c r="A37" s="20">
        <v>2</v>
      </c>
      <c r="B37" s="202" t="s">
        <v>1</v>
      </c>
      <c r="C37" s="203"/>
      <c r="D37" s="15">
        <f>IF(F3="1",SUMIF(Data!A:A,'30'!$A$2,Data!CV:CV),0)</f>
        <v>13537</v>
      </c>
      <c r="E37" s="18">
        <f>IF(F3="1",SUMIF(Data!$A:$A,'30'!$A$2,Data!IP:IP),0)</f>
        <v>79822</v>
      </c>
      <c r="F37" s="22">
        <f t="shared" si="3"/>
        <v>5.8965797444042254</v>
      </c>
    </row>
    <row r="38" spans="1:6" ht="14.25" customHeight="1" x14ac:dyDescent="0.2">
      <c r="A38" s="20">
        <v>3</v>
      </c>
      <c r="B38" s="202" t="s">
        <v>2</v>
      </c>
      <c r="C38" s="203"/>
      <c r="D38" s="15">
        <f>IF(F3="1",SUMIF(Data!A:A,'30'!$A$2,Data!CW:CW),0)</f>
        <v>354992</v>
      </c>
      <c r="E38" s="18">
        <f>IF(F3="1",SUMIF(Data!$A:$A,'30'!$A$2,Data!IQ:IQ),0)</f>
        <v>308451</v>
      </c>
      <c r="F38" s="22">
        <f t="shared" si="3"/>
        <v>0.86889563708477935</v>
      </c>
    </row>
    <row r="39" spans="1:6" ht="14.25" customHeight="1" x14ac:dyDescent="0.2">
      <c r="A39" s="20">
        <v>4</v>
      </c>
      <c r="B39" s="202" t="s">
        <v>3</v>
      </c>
      <c r="C39" s="203"/>
      <c r="D39" s="15">
        <f>IF(F3="1",SUMIF(Data!A:A,'30'!$A$2,Data!CX:CX),0)</f>
        <v>204355</v>
      </c>
      <c r="E39" s="18">
        <f>IF(F3="1",SUMIF(Data!$A:$A,'30'!$A$2,Data!IR:IR),0)</f>
        <v>159241</v>
      </c>
      <c r="F39" s="22">
        <f t="shared" si="3"/>
        <v>0.77923711188862521</v>
      </c>
    </row>
    <row r="40" spans="1:6" x14ac:dyDescent="0.2">
      <c r="A40" s="20">
        <v>5</v>
      </c>
      <c r="B40" s="202" t="s">
        <v>4</v>
      </c>
      <c r="C40" s="203"/>
      <c r="D40" s="15">
        <f>IF(F3="1",SUMIF(Data!A:A,'30'!$A$2,Data!CY:CY),0)</f>
        <v>0</v>
      </c>
      <c r="E40" s="18">
        <f>IF(F3="1",SUMIF(Data!$A:$A,'30'!$A$2,Data!IS:IS),0)</f>
        <v>0</v>
      </c>
      <c r="F40" s="22" t="str">
        <f t="shared" si="3"/>
        <v/>
      </c>
    </row>
    <row r="41" spans="1:6" x14ac:dyDescent="0.2">
      <c r="A41" s="20">
        <v>6</v>
      </c>
      <c r="B41" s="202" t="s">
        <v>5</v>
      </c>
      <c r="C41" s="203"/>
      <c r="D41" s="15">
        <f>IF(F3="1",SUMIF(Data!A:A,'30'!$A$2,Data!CZ:CZ),0)</f>
        <v>6592</v>
      </c>
      <c r="E41" s="18">
        <f>IF(F3="1",SUMIF(Data!$A:$A,'30'!$A$2,Data!IT:IT),0)</f>
        <v>14615</v>
      </c>
      <c r="F41" s="22">
        <f t="shared" si="3"/>
        <v>2.2170813106796117</v>
      </c>
    </row>
    <row r="42" spans="1:6" x14ac:dyDescent="0.2">
      <c r="A42" s="20">
        <v>7</v>
      </c>
      <c r="B42" s="202" t="s">
        <v>6</v>
      </c>
      <c r="C42" s="203"/>
      <c r="D42" s="15">
        <f>IF(F3="1",SUMIF(Data!A:A,'30'!$A$2,Data!DA:DA),0)</f>
        <v>40262</v>
      </c>
      <c r="E42" s="18">
        <f>IF(F3="1",SUMIF(Data!$A:$A,'30'!$A$2,Data!IU:IU),0)</f>
        <v>126186</v>
      </c>
      <c r="F42" s="22">
        <f t="shared" si="3"/>
        <v>3.1341215041478319</v>
      </c>
    </row>
    <row r="43" spans="1:6" x14ac:dyDescent="0.2">
      <c r="A43" s="20">
        <v>8</v>
      </c>
      <c r="B43" s="202" t="s">
        <v>7</v>
      </c>
      <c r="C43" s="203"/>
      <c r="D43" s="15">
        <f>IF(F3="1",SUMIF(Data!A:A,'30'!$A$2,Data!DB:DB),0)</f>
        <v>0</v>
      </c>
      <c r="E43" s="18">
        <f>IF(F3="1",SUMIF(Data!$A:$A,'30'!$A$2,Data!IV:IV),0)</f>
        <v>0</v>
      </c>
      <c r="F43" s="22" t="str">
        <f t="shared" si="3"/>
        <v/>
      </c>
    </row>
    <row r="44" spans="1:6" x14ac:dyDescent="0.2">
      <c r="A44" s="20">
        <v>9</v>
      </c>
      <c r="B44" s="202" t="s">
        <v>8</v>
      </c>
      <c r="C44" s="203"/>
      <c r="D44" s="15">
        <f>IF(F3="1",SUMIF(Data!A:A,'30'!$A$2,Data!DC:DC),0)</f>
        <v>135040</v>
      </c>
      <c r="E44" s="18">
        <f>IF(F3="1",SUMIF(Data!$A:$A,'30'!$A$2,Data!IW:IW),0)</f>
        <v>164100</v>
      </c>
      <c r="F44" s="22">
        <f t="shared" si="3"/>
        <v>1.2151954976303319</v>
      </c>
    </row>
    <row r="45" spans="1:6" x14ac:dyDescent="0.2">
      <c r="A45" s="20">
        <v>10</v>
      </c>
      <c r="B45" s="202" t="s">
        <v>9</v>
      </c>
      <c r="C45" s="203"/>
      <c r="D45" s="15">
        <f>IF(F3="1",SUMIF(Data!A:A,'30'!$A$2,Data!DD:DD),0)</f>
        <v>0</v>
      </c>
      <c r="E45" s="18">
        <f>IF(F3="1",SUMIF(Data!$A:$A,'30'!$A$2,Data!IX:IX),0)</f>
        <v>0</v>
      </c>
      <c r="F45" s="22" t="str">
        <f t="shared" si="3"/>
        <v/>
      </c>
    </row>
    <row r="46" spans="1:6" x14ac:dyDescent="0.2">
      <c r="A46" s="20">
        <v>11</v>
      </c>
      <c r="B46" s="202" t="s">
        <v>10</v>
      </c>
      <c r="C46" s="203"/>
      <c r="D46" s="15">
        <f>IF(F3="1",SUMIF(Data!A:A,'30'!$A$2,Data!DE:DE),0)</f>
        <v>40944</v>
      </c>
      <c r="E46" s="18">
        <f>IF(F3="1",SUMIF(Data!$A:$A,'30'!$A$2,Data!IY:IY),0)</f>
        <v>65813</v>
      </c>
      <c r="F46" s="22">
        <f t="shared" si="3"/>
        <v>1.6073905822586949</v>
      </c>
    </row>
    <row r="47" spans="1:6" ht="14.25" customHeight="1" x14ac:dyDescent="0.2">
      <c r="A47" s="20">
        <v>12</v>
      </c>
      <c r="B47" s="202" t="s">
        <v>11</v>
      </c>
      <c r="C47" s="203"/>
      <c r="D47" s="15">
        <f>IF(F3="1",SUMIF(Data!A:A,'30'!$A$2,Data!DF:DF),0)</f>
        <v>494608</v>
      </c>
      <c r="E47" s="18">
        <f>IF(F3="1",SUMIF(Data!$A:$A,'30'!$A$2,Data!IZ:IZ),0)</f>
        <v>595845</v>
      </c>
      <c r="F47" s="22">
        <f t="shared" si="3"/>
        <v>1.204681282955391</v>
      </c>
    </row>
    <row r="48" spans="1:6" x14ac:dyDescent="0.2">
      <c r="A48" s="20">
        <v>13</v>
      </c>
      <c r="B48" s="202" t="s">
        <v>12</v>
      </c>
      <c r="C48" s="203"/>
      <c r="D48" s="15">
        <f>IF(F3="1",SUMIF(Data!A:A,'30'!$A$2,Data!DG:DG),0)</f>
        <v>80024</v>
      </c>
      <c r="E48" s="18">
        <f>IF(F3="1",SUMIF(Data!$A:$A,'30'!$A$2,Data!JA:JA),0)</f>
        <v>47753</v>
      </c>
      <c r="F48" s="22">
        <f t="shared" si="3"/>
        <v>0.59673347995601322</v>
      </c>
    </row>
    <row r="49" spans="1:6" ht="14.25" customHeight="1" x14ac:dyDescent="0.2">
      <c r="A49" s="20">
        <v>14</v>
      </c>
      <c r="B49" s="202" t="s">
        <v>449</v>
      </c>
      <c r="C49" s="203"/>
      <c r="D49" s="15">
        <f>IF(F3="1",SUMIF(Data!A:A,'30'!$A$2,Data!DH:DH),0)</f>
        <v>129043</v>
      </c>
      <c r="E49" s="18">
        <f>IF(F3="1",SUMIF(Data!$A:$A,'30'!$A$2,Data!JB:JB),0)</f>
        <v>313384</v>
      </c>
      <c r="F49" s="22">
        <f t="shared" si="3"/>
        <v>2.4285238253915362</v>
      </c>
    </row>
    <row r="50" spans="1:6" x14ac:dyDescent="0.2">
      <c r="A50" s="20">
        <v>15</v>
      </c>
      <c r="B50" s="202" t="s">
        <v>13</v>
      </c>
      <c r="C50" s="203"/>
      <c r="D50" s="15">
        <f>IF(F3="1",SUMIF(Data!A:A,'30'!$A$2,Data!DI:DI),0)</f>
        <v>0</v>
      </c>
      <c r="E50" s="18">
        <f>IF(F3="1",SUMIF(Data!$A:$A,'30'!$A$2,Data!JC:JC),0)</f>
        <v>0</v>
      </c>
      <c r="F50" s="22" t="str">
        <f t="shared" si="3"/>
        <v/>
      </c>
    </row>
    <row r="51" spans="1:6" x14ac:dyDescent="0.2">
      <c r="A51" s="20">
        <v>16</v>
      </c>
      <c r="B51" s="202" t="s">
        <v>14</v>
      </c>
      <c r="C51" s="203"/>
      <c r="D51" s="15">
        <f>IF(F3="1",SUMIF(Data!A:A,'30'!$A$2,Data!DJ:DJ),0)</f>
        <v>141708</v>
      </c>
      <c r="E51" s="18">
        <f>IF(F3="1",SUMIF(Data!$A:$A,'30'!$A$2,Data!JD:JD),0)</f>
        <v>343522</v>
      </c>
      <c r="F51" s="22">
        <f t="shared" si="3"/>
        <v>2.4241538939227145</v>
      </c>
    </row>
    <row r="52" spans="1:6" x14ac:dyDescent="0.2">
      <c r="A52" s="20">
        <v>17</v>
      </c>
      <c r="B52" s="202" t="s">
        <v>15</v>
      </c>
      <c r="C52" s="203"/>
      <c r="D52" s="15">
        <f>IF(F3="1",SUMIF(Data!A:A,'30'!$A$2,Data!DK:DK),0)</f>
        <v>0</v>
      </c>
      <c r="E52" s="18">
        <f>IF(F3="1",SUMIF(Data!$A:$A,'30'!$A$2,Data!JE:JE),0)</f>
        <v>0</v>
      </c>
      <c r="F52" s="22" t="str">
        <f t="shared" si="3"/>
        <v/>
      </c>
    </row>
    <row r="53" spans="1:6" x14ac:dyDescent="0.2">
      <c r="A53" s="20">
        <v>18</v>
      </c>
      <c r="B53" s="202" t="s">
        <v>16</v>
      </c>
      <c r="C53" s="203"/>
      <c r="D53" s="15">
        <f>IF(F3="1",SUMIF(Data!A:A,'30'!$A$2,Data!DL:DL),0)</f>
        <v>234016</v>
      </c>
      <c r="E53" s="18">
        <f>IF(F3="1",SUMIF(Data!$A:$A,'30'!$A$2,Data!JF:JF),0)</f>
        <v>297506</v>
      </c>
      <c r="F53" s="22">
        <f t="shared" si="3"/>
        <v>1.2713062354710789</v>
      </c>
    </row>
    <row r="54" spans="1:6" x14ac:dyDescent="0.2">
      <c r="A54" s="20">
        <v>19</v>
      </c>
      <c r="B54" s="202" t="s">
        <v>17</v>
      </c>
      <c r="C54" s="203"/>
      <c r="D54" s="15">
        <f>IF(F3="1",SUMIF(Data!A:A,'30'!$A$2,Data!DM:DM),0)</f>
        <v>281856</v>
      </c>
      <c r="E54" s="18">
        <f>IF(F3="1",SUMIF(Data!$A:$A,'30'!$A$2,Data!JG:JG),0)</f>
        <v>176642</v>
      </c>
      <c r="F54" s="22">
        <f t="shared" si="3"/>
        <v>0.6267100930971844</v>
      </c>
    </row>
    <row r="55" spans="1:6" x14ac:dyDescent="0.2">
      <c r="A55" s="20">
        <v>20</v>
      </c>
      <c r="B55" s="202" t="s">
        <v>18</v>
      </c>
      <c r="C55" s="203"/>
      <c r="D55" s="15">
        <f>IF(F3="1",SUMIF(Data!A:A,'30'!$A$2,Data!DN:DN),0)</f>
        <v>0</v>
      </c>
      <c r="E55" s="18">
        <f>IF(F3="1",SUMIF(Data!$A:$A,'30'!$A$2,Data!JH:JH),0)</f>
        <v>0</v>
      </c>
      <c r="F55" s="22" t="str">
        <f t="shared" si="3"/>
        <v/>
      </c>
    </row>
    <row r="56" spans="1:6" ht="14.25" customHeight="1" x14ac:dyDescent="0.2">
      <c r="A56" s="20">
        <v>21</v>
      </c>
      <c r="B56" s="202" t="s">
        <v>446</v>
      </c>
      <c r="C56" s="203"/>
      <c r="D56" s="15">
        <f>IF(F3="1",SUMIF(Data!A:A,'30'!$A$2,Data!DO:DO),0)</f>
        <v>56</v>
      </c>
      <c r="E56" s="18">
        <f>IF(F3="1",SUMIF(Data!$A:$A,'30'!$A$2,Data!JI:JI),0)</f>
        <v>280</v>
      </c>
      <c r="F56" s="22">
        <f t="shared" si="3"/>
        <v>5</v>
      </c>
    </row>
    <row r="57" spans="1:6" x14ac:dyDescent="0.2">
      <c r="A57" s="20">
        <v>22</v>
      </c>
      <c r="B57" s="202" t="s">
        <v>19</v>
      </c>
      <c r="C57" s="203"/>
      <c r="D57" s="15">
        <f>IF(F3="1",SUMIF(Data!A:A,'30'!$A$2,Data!DP:DP),0)</f>
        <v>4032</v>
      </c>
      <c r="E57" s="18">
        <f>IF(F3="1",SUMIF(Data!$A:$A,'30'!$A$2,Data!JJ:JJ),0)</f>
        <v>3120</v>
      </c>
      <c r="F57" s="22">
        <f t="shared" si="3"/>
        <v>0.77380952380952384</v>
      </c>
    </row>
    <row r="58" spans="1:6" x14ac:dyDescent="0.2">
      <c r="A58" s="20">
        <v>23</v>
      </c>
      <c r="B58" s="202" t="s">
        <v>20</v>
      </c>
      <c r="C58" s="203"/>
      <c r="D58" s="15">
        <f>IF(F3="1",SUMIF(Data!A:A,'30'!$A$2,Data!DQ:DQ),0)</f>
        <v>103216</v>
      </c>
      <c r="E58" s="18">
        <f>IF(F3="1",SUMIF(Data!$A:$A,'30'!$A$2,Data!JK:JK),0)</f>
        <v>113711</v>
      </c>
      <c r="F58" s="22">
        <f t="shared" si="3"/>
        <v>1.1016799720973494</v>
      </c>
    </row>
    <row r="59" spans="1:6" x14ac:dyDescent="0.2">
      <c r="A59" s="20">
        <v>24</v>
      </c>
      <c r="B59" s="202" t="s">
        <v>21</v>
      </c>
      <c r="C59" s="203"/>
      <c r="D59" s="15">
        <f>IF(F3="1",SUMIF(Data!A:A,'30'!$A$2,Data!DR:DR),0)</f>
        <v>33456</v>
      </c>
      <c r="E59" s="18">
        <f>IF(F3="1",SUMIF(Data!$A:$A,'30'!$A$2,Data!JL:JL),0)</f>
        <v>30240</v>
      </c>
      <c r="F59" s="22">
        <f t="shared" si="3"/>
        <v>0.90387374461979919</v>
      </c>
    </row>
    <row r="60" spans="1:6" x14ac:dyDescent="0.2">
      <c r="A60" s="20">
        <v>25</v>
      </c>
      <c r="B60" s="202" t="s">
        <v>22</v>
      </c>
      <c r="C60" s="203"/>
      <c r="D60" s="15">
        <f>IF(F3="1",SUMIF(Data!A:A,'30'!$A$2,Data!DS:DS),0)</f>
        <v>882080</v>
      </c>
      <c r="E60" s="18">
        <f>IF(F3="1",SUMIF(Data!$A:$A,'30'!$A$2,Data!JM:JM),0)</f>
        <v>542608</v>
      </c>
      <c r="F60" s="22">
        <f t="shared" si="3"/>
        <v>0.61514601850172324</v>
      </c>
    </row>
    <row r="61" spans="1:6" x14ac:dyDescent="0.2">
      <c r="A61" s="20">
        <v>26</v>
      </c>
      <c r="B61" s="202" t="s">
        <v>23</v>
      </c>
      <c r="C61" s="203"/>
      <c r="D61" s="15">
        <f>IF(F3="1",SUMIF(Data!A:A,'30'!$A$2,Data!DT:DT),0)</f>
        <v>176732</v>
      </c>
      <c r="E61" s="18">
        <f>IF(F3="1",SUMIF(Data!$A:$A,'30'!$A$2,Data!JN:JN),0)</f>
        <v>215590</v>
      </c>
      <c r="F61" s="22">
        <f t="shared" si="3"/>
        <v>1.2198696331168097</v>
      </c>
    </row>
    <row r="62" spans="1:6" x14ac:dyDescent="0.2">
      <c r="A62" s="20">
        <v>28</v>
      </c>
      <c r="B62" s="202" t="s">
        <v>24</v>
      </c>
      <c r="C62" s="203"/>
      <c r="D62" s="15">
        <f>IF(F3="1",SUMIF(Data!A:A,'30'!$A$2,Data!DV:DV),0)</f>
        <v>181440</v>
      </c>
      <c r="E62" s="18">
        <f>IF(F3="1",SUMIF(Data!$A:$A,'30'!$A$2,Data!JP:JP),0)</f>
        <v>128789</v>
      </c>
      <c r="F62" s="22">
        <f t="shared" si="3"/>
        <v>0.70981591710758374</v>
      </c>
    </row>
    <row r="63" spans="1:6" ht="15.75" customHeight="1" thickBot="1" x14ac:dyDescent="0.25">
      <c r="A63" s="23">
        <v>29</v>
      </c>
      <c r="B63" s="206" t="s">
        <v>25</v>
      </c>
      <c r="C63" s="207"/>
      <c r="D63" s="24">
        <f>IF(F3="1",SUMIF(Data!A:A,'30'!$A$2,Data!DW:DW),0)</f>
        <v>54912</v>
      </c>
      <c r="E63" s="25">
        <f>IF(F3="1",SUMIF(Data!$A:$A,'30'!$A$2,Data!JQ:JQ),0)</f>
        <v>43125</v>
      </c>
      <c r="F63" s="26">
        <f t="shared" si="3"/>
        <v>0.785347465034965</v>
      </c>
    </row>
    <row r="64" spans="1:6" x14ac:dyDescent="0.2">
      <c r="B64" s="31" t="s">
        <v>35</v>
      </c>
      <c r="C64" s="31"/>
      <c r="D64" s="60">
        <f>SUM(D36:D63)</f>
        <v>3682853</v>
      </c>
      <c r="E64" s="32">
        <f>SUM(E36:E63)</f>
        <v>4039602</v>
      </c>
      <c r="F64" s="33">
        <f t="shared" si="3"/>
        <v>1.0968675643583927</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89952</v>
      </c>
      <c r="E67" s="16">
        <f>IF(F3="1",SUMIF(Data!A:A,'30'!$A$2,Data!DY:DY),0)</f>
        <v>238984</v>
      </c>
      <c r="F67" s="21">
        <f>IFERROR(E67/D67,"")</f>
        <v>2.6567947349697616</v>
      </c>
    </row>
    <row r="68" spans="1:6" x14ac:dyDescent="0.2">
      <c r="A68" s="20">
        <v>2</v>
      </c>
      <c r="B68" s="202" t="s">
        <v>1</v>
      </c>
      <c r="C68" s="203"/>
      <c r="D68" s="15">
        <f t="shared" ref="D68:D94" si="4">D37</f>
        <v>13537</v>
      </c>
      <c r="E68" s="18">
        <f>IF(F3="1",SUMIF(Data!A:A,'30'!$A$2,Data!DZ:DZ),0)</f>
        <v>121540</v>
      </c>
      <c r="F68" s="22">
        <f t="shared" ref="F68:F95" si="5">IFERROR(E68/D68,"")</f>
        <v>8.9783556179360264</v>
      </c>
    </row>
    <row r="69" spans="1:6" ht="14.25" customHeight="1" x14ac:dyDescent="0.2">
      <c r="A69" s="20">
        <v>3</v>
      </c>
      <c r="B69" s="202" t="s">
        <v>2</v>
      </c>
      <c r="C69" s="203"/>
      <c r="D69" s="15">
        <f t="shared" si="4"/>
        <v>354992</v>
      </c>
      <c r="E69" s="18">
        <f>IF(F3="1",SUMIF(Data!A:A,'30'!$A$2,Data!EA:EA),0)</f>
        <v>885128</v>
      </c>
      <c r="F69" s="22">
        <f t="shared" si="5"/>
        <v>2.4933744985802497</v>
      </c>
    </row>
    <row r="70" spans="1:6" ht="14.25" customHeight="1" x14ac:dyDescent="0.2">
      <c r="A70" s="20">
        <v>4</v>
      </c>
      <c r="B70" s="202" t="s">
        <v>3</v>
      </c>
      <c r="C70" s="203"/>
      <c r="D70" s="15">
        <f t="shared" si="4"/>
        <v>204355</v>
      </c>
      <c r="E70" s="18">
        <f>IF(F3="1",SUMIF(Data!A:A,'30'!$A$2,Data!EB:EB),0)</f>
        <v>348432</v>
      </c>
      <c r="F70" s="22">
        <f t="shared" si="5"/>
        <v>1.7050329084191724</v>
      </c>
    </row>
    <row r="71" spans="1:6" x14ac:dyDescent="0.2">
      <c r="A71" s="20">
        <v>5</v>
      </c>
      <c r="B71" s="202" t="s">
        <v>4</v>
      </c>
      <c r="C71" s="203"/>
      <c r="D71" s="15">
        <f t="shared" si="4"/>
        <v>0</v>
      </c>
      <c r="E71" s="18">
        <f>IF(F3="1",SUMIF(Data!A:A,'30'!$A$2,Data!EC:EC),0)</f>
        <v>0</v>
      </c>
      <c r="F71" s="22" t="str">
        <f t="shared" si="5"/>
        <v/>
      </c>
    </row>
    <row r="72" spans="1:6" x14ac:dyDescent="0.2">
      <c r="A72" s="20">
        <v>6</v>
      </c>
      <c r="B72" s="202" t="s">
        <v>5</v>
      </c>
      <c r="C72" s="203"/>
      <c r="D72" s="15">
        <f t="shared" si="4"/>
        <v>6592</v>
      </c>
      <c r="E72" s="18">
        <f>IF(F3="1",SUMIF(Data!A:A,'30'!$A$2,Data!ED:ED),0)</f>
        <v>13572</v>
      </c>
      <c r="F72" s="22">
        <f t="shared" si="5"/>
        <v>2.058859223300971</v>
      </c>
    </row>
    <row r="73" spans="1:6" x14ac:dyDescent="0.2">
      <c r="A73" s="20">
        <v>7</v>
      </c>
      <c r="B73" s="202" t="s">
        <v>6</v>
      </c>
      <c r="C73" s="203"/>
      <c r="D73" s="15">
        <f t="shared" si="4"/>
        <v>40262</v>
      </c>
      <c r="E73" s="18">
        <f>IF(F3="1",SUMIF(Data!A:A,'30'!$A$2,Data!EE:EE),0)</f>
        <v>369085</v>
      </c>
      <c r="F73" s="22">
        <f t="shared" si="5"/>
        <v>9.1670806219263827</v>
      </c>
    </row>
    <row r="74" spans="1:6" x14ac:dyDescent="0.2">
      <c r="A74" s="20">
        <v>8</v>
      </c>
      <c r="B74" s="202" t="s">
        <v>7</v>
      </c>
      <c r="C74" s="203"/>
      <c r="D74" s="15">
        <f t="shared" si="4"/>
        <v>0</v>
      </c>
      <c r="E74" s="18">
        <f>IF(F3="1",SUMIF(Data!A:A,'30'!$A$2,Data!EF:EF),0)</f>
        <v>0</v>
      </c>
      <c r="F74" s="22" t="str">
        <f t="shared" si="5"/>
        <v/>
      </c>
    </row>
    <row r="75" spans="1:6" x14ac:dyDescent="0.2">
      <c r="A75" s="20">
        <v>9</v>
      </c>
      <c r="B75" s="202" t="s">
        <v>8</v>
      </c>
      <c r="C75" s="203"/>
      <c r="D75" s="15">
        <f t="shared" si="4"/>
        <v>135040</v>
      </c>
      <c r="E75" s="18">
        <f>IF(F3="1",SUMIF(Data!A:A,'30'!$A$2,Data!EG:EG),0)</f>
        <v>291243</v>
      </c>
      <c r="F75" s="22">
        <f t="shared" si="5"/>
        <v>2.1567165284360188</v>
      </c>
    </row>
    <row r="76" spans="1:6" x14ac:dyDescent="0.2">
      <c r="A76" s="20">
        <v>10</v>
      </c>
      <c r="B76" s="202" t="s">
        <v>9</v>
      </c>
      <c r="C76" s="203"/>
      <c r="D76" s="15">
        <f t="shared" si="4"/>
        <v>0</v>
      </c>
      <c r="E76" s="18">
        <f>IF(F3="1",SUMIF(Data!A:A,'30'!$A$2,Data!EH:EH),0)</f>
        <v>0</v>
      </c>
      <c r="F76" s="22" t="str">
        <f t="shared" si="5"/>
        <v/>
      </c>
    </row>
    <row r="77" spans="1:6" x14ac:dyDescent="0.2">
      <c r="A77" s="20">
        <v>11</v>
      </c>
      <c r="B77" s="202" t="s">
        <v>10</v>
      </c>
      <c r="C77" s="203"/>
      <c r="D77" s="15">
        <f t="shared" si="4"/>
        <v>40944</v>
      </c>
      <c r="E77" s="18">
        <f>IF(F3="1",SUMIF(Data!A:A,'30'!$A$2,Data!EI:EI),0)</f>
        <v>68658</v>
      </c>
      <c r="F77" s="22">
        <f t="shared" si="5"/>
        <v>1.6768757327080892</v>
      </c>
    </row>
    <row r="78" spans="1:6" ht="14.25" customHeight="1" x14ac:dyDescent="0.2">
      <c r="A78" s="20">
        <v>12</v>
      </c>
      <c r="B78" s="202" t="s">
        <v>11</v>
      </c>
      <c r="C78" s="203"/>
      <c r="D78" s="15">
        <f t="shared" si="4"/>
        <v>494608</v>
      </c>
      <c r="E78" s="18">
        <f>IF(F3="1",SUMIF(Data!A:A,'30'!$A$2,Data!EJ:EJ),0)</f>
        <v>1487396</v>
      </c>
      <c r="F78" s="22">
        <f t="shared" si="5"/>
        <v>3.0072218807621387</v>
      </c>
    </row>
    <row r="79" spans="1:6" x14ac:dyDescent="0.2">
      <c r="A79" s="20">
        <v>13</v>
      </c>
      <c r="B79" s="202" t="s">
        <v>12</v>
      </c>
      <c r="C79" s="203"/>
      <c r="D79" s="15">
        <f t="shared" si="4"/>
        <v>80024</v>
      </c>
      <c r="E79" s="18">
        <f>IF(F3="1",SUMIF(Data!A:A,'30'!$A$2,Data!EK:EK),0)</f>
        <v>138836</v>
      </c>
      <c r="F79" s="22">
        <f t="shared" si="5"/>
        <v>1.7349295211436568</v>
      </c>
    </row>
    <row r="80" spans="1:6" ht="14.25" customHeight="1" x14ac:dyDescent="0.2">
      <c r="A80" s="20">
        <v>14</v>
      </c>
      <c r="B80" s="202" t="s">
        <v>449</v>
      </c>
      <c r="C80" s="203"/>
      <c r="D80" s="15">
        <f t="shared" si="4"/>
        <v>129043</v>
      </c>
      <c r="E80" s="18">
        <f>IF(F3="1",SUMIF(Data!A:A,'30'!$A$2,Data!EL:EL),0)</f>
        <v>615029</v>
      </c>
      <c r="F80" s="22">
        <f t="shared" si="5"/>
        <v>4.7660779740086641</v>
      </c>
    </row>
    <row r="81" spans="1:6" x14ac:dyDescent="0.2">
      <c r="A81" s="20">
        <v>15</v>
      </c>
      <c r="B81" s="202" t="s">
        <v>13</v>
      </c>
      <c r="C81" s="203"/>
      <c r="D81" s="15">
        <f t="shared" si="4"/>
        <v>0</v>
      </c>
      <c r="E81" s="18">
        <f>IF(F3="1",SUMIF(Data!A:A,'30'!$A$2,Data!EM:EM),0)</f>
        <v>0</v>
      </c>
      <c r="F81" s="22" t="str">
        <f t="shared" si="5"/>
        <v/>
      </c>
    </row>
    <row r="82" spans="1:6" x14ac:dyDescent="0.2">
      <c r="A82" s="20">
        <v>16</v>
      </c>
      <c r="B82" s="202" t="s">
        <v>14</v>
      </c>
      <c r="C82" s="203"/>
      <c r="D82" s="15">
        <f t="shared" si="4"/>
        <v>141708</v>
      </c>
      <c r="E82" s="18">
        <f>IF(F3="1",SUMIF(Data!A:A,'30'!$A$2,Data!EN:EN),0)</f>
        <v>505811</v>
      </c>
      <c r="F82" s="22">
        <f t="shared" si="5"/>
        <v>3.5693891664549637</v>
      </c>
    </row>
    <row r="83" spans="1:6" x14ac:dyDescent="0.2">
      <c r="A83" s="20">
        <v>17</v>
      </c>
      <c r="B83" s="202" t="s">
        <v>15</v>
      </c>
      <c r="C83" s="203"/>
      <c r="D83" s="15">
        <f t="shared" si="4"/>
        <v>0</v>
      </c>
      <c r="E83" s="18">
        <f>IF(F3="1",SUMIF(Data!A:A,'30'!$A$2,Data!EO:EO),0)</f>
        <v>0</v>
      </c>
      <c r="F83" s="22" t="str">
        <f t="shared" si="5"/>
        <v/>
      </c>
    </row>
    <row r="84" spans="1:6" x14ac:dyDescent="0.2">
      <c r="A84" s="20">
        <v>18</v>
      </c>
      <c r="B84" s="202" t="s">
        <v>16</v>
      </c>
      <c r="C84" s="203"/>
      <c r="D84" s="15">
        <f t="shared" si="4"/>
        <v>234016</v>
      </c>
      <c r="E84" s="18">
        <f>IF(F3="1",SUMIF(Data!A:A,'30'!$A$2,Data!EP:EP),0)</f>
        <v>841770</v>
      </c>
      <c r="F84" s="22">
        <f t="shared" si="5"/>
        <v>3.5970617393682485</v>
      </c>
    </row>
    <row r="85" spans="1:6" x14ac:dyDescent="0.2">
      <c r="A85" s="20">
        <v>19</v>
      </c>
      <c r="B85" s="202" t="s">
        <v>17</v>
      </c>
      <c r="C85" s="203"/>
      <c r="D85" s="15">
        <f t="shared" si="4"/>
        <v>281856</v>
      </c>
      <c r="E85" s="18">
        <f>IF(F3="1",SUMIF(Data!A:A,'30'!$A$2,Data!EQ:EQ),0)</f>
        <v>614630</v>
      </c>
      <c r="F85" s="22">
        <f t="shared" si="5"/>
        <v>2.1806525317892826</v>
      </c>
    </row>
    <row r="86" spans="1:6" x14ac:dyDescent="0.2">
      <c r="A86" s="20">
        <v>20</v>
      </c>
      <c r="B86" s="202" t="s">
        <v>18</v>
      </c>
      <c r="C86" s="203"/>
      <c r="D86" s="15">
        <f t="shared" si="4"/>
        <v>0</v>
      </c>
      <c r="E86" s="18">
        <f>IF(F3="1",SUMIF(Data!A:A,'30'!$A$2,Data!ER:ER),0)</f>
        <v>0</v>
      </c>
      <c r="F86" s="22" t="str">
        <f t="shared" si="5"/>
        <v/>
      </c>
    </row>
    <row r="87" spans="1:6" ht="14.25" customHeight="1" x14ac:dyDescent="0.2">
      <c r="A87" s="20">
        <v>21</v>
      </c>
      <c r="B87" s="202" t="s">
        <v>446</v>
      </c>
      <c r="C87" s="203"/>
      <c r="D87" s="15">
        <f t="shared" si="4"/>
        <v>56</v>
      </c>
      <c r="E87" s="18">
        <f>IF(F3="1",SUMIF(Data!A:A,'30'!$A$2,Data!ES:ES),0)</f>
        <v>188</v>
      </c>
      <c r="F87" s="22">
        <f t="shared" si="5"/>
        <v>3.3571428571428572</v>
      </c>
    </row>
    <row r="88" spans="1:6" x14ac:dyDescent="0.2">
      <c r="A88" s="20">
        <v>22</v>
      </c>
      <c r="B88" s="202" t="s">
        <v>19</v>
      </c>
      <c r="C88" s="203"/>
      <c r="D88" s="15">
        <f t="shared" si="4"/>
        <v>4032</v>
      </c>
      <c r="E88" s="18">
        <f>IF(F3="1",SUMIF(Data!A:A,'30'!$A$2,Data!ET:ET),0)</f>
        <v>15215</v>
      </c>
      <c r="F88" s="22">
        <f t="shared" si="5"/>
        <v>3.7735615079365079</v>
      </c>
    </row>
    <row r="89" spans="1:6" x14ac:dyDescent="0.2">
      <c r="A89" s="20">
        <v>23</v>
      </c>
      <c r="B89" s="202" t="s">
        <v>20</v>
      </c>
      <c r="C89" s="203"/>
      <c r="D89" s="15">
        <f t="shared" si="4"/>
        <v>103216</v>
      </c>
      <c r="E89" s="18">
        <f>IF(F3="1",SUMIF(Data!A:A,'30'!$A$2,Data!EU:EU),0)</f>
        <v>322337</v>
      </c>
      <c r="F89" s="22">
        <f t="shared" si="5"/>
        <v>3.1229363664548133</v>
      </c>
    </row>
    <row r="90" spans="1:6" x14ac:dyDescent="0.2">
      <c r="A90" s="20">
        <v>24</v>
      </c>
      <c r="B90" s="202" t="s">
        <v>21</v>
      </c>
      <c r="C90" s="203"/>
      <c r="D90" s="15">
        <f t="shared" si="4"/>
        <v>33456</v>
      </c>
      <c r="E90" s="18">
        <f>IF(F3="1",SUMIF(Data!A:A,'30'!$A$2,Data!EV:EV),0)</f>
        <v>117877</v>
      </c>
      <c r="F90" s="22">
        <f t="shared" si="5"/>
        <v>3.5233440937350551</v>
      </c>
    </row>
    <row r="91" spans="1:6" x14ac:dyDescent="0.2">
      <c r="A91" s="20">
        <v>25</v>
      </c>
      <c r="B91" s="202" t="s">
        <v>22</v>
      </c>
      <c r="C91" s="203"/>
      <c r="D91" s="15">
        <f t="shared" si="4"/>
        <v>882080</v>
      </c>
      <c r="E91" s="18">
        <f>IF(F3="1",SUMIF(Data!A:A,'30'!$A$2,Data!EW:EW),0)</f>
        <v>1984191</v>
      </c>
      <c r="F91" s="22">
        <f t="shared" si="5"/>
        <v>2.2494456285144206</v>
      </c>
    </row>
    <row r="92" spans="1:6" x14ac:dyDescent="0.2">
      <c r="A92" s="20">
        <v>26</v>
      </c>
      <c r="B92" s="202" t="s">
        <v>23</v>
      </c>
      <c r="C92" s="203"/>
      <c r="D92" s="15">
        <f t="shared" si="4"/>
        <v>176732</v>
      </c>
      <c r="E92" s="18">
        <f>IF(F3="1",SUMIF(Data!A:A,'30'!$A$2,Data!EX:EX),0)</f>
        <v>455027</v>
      </c>
      <c r="F92" s="22">
        <f t="shared" si="5"/>
        <v>2.5746723853065658</v>
      </c>
    </row>
    <row r="93" spans="1:6" x14ac:dyDescent="0.2">
      <c r="A93" s="20">
        <v>28</v>
      </c>
      <c r="B93" s="202" t="s">
        <v>24</v>
      </c>
      <c r="C93" s="203"/>
      <c r="D93" s="15">
        <f t="shared" si="4"/>
        <v>181440</v>
      </c>
      <c r="E93" s="18">
        <f>IF(F3="1",SUMIF(Data!A:A,'30'!$A$2,Data!EZ:EZ),0)</f>
        <v>501702</v>
      </c>
      <c r="F93" s="22">
        <f t="shared" si="5"/>
        <v>2.7651124338624338</v>
      </c>
    </row>
    <row r="94" spans="1:6" ht="15.75" customHeight="1" thickBot="1" x14ac:dyDescent="0.25">
      <c r="A94" s="23">
        <v>29</v>
      </c>
      <c r="B94" s="206" t="s">
        <v>25</v>
      </c>
      <c r="C94" s="207"/>
      <c r="D94" s="24">
        <f t="shared" si="4"/>
        <v>54912</v>
      </c>
      <c r="E94" s="25">
        <f>IF(F3="1",SUMIF(Data!A:A,'30'!$A$2,Data!FA:FA),0)</f>
        <v>183504</v>
      </c>
      <c r="F94" s="26">
        <f t="shared" si="5"/>
        <v>3.3417832167832167</v>
      </c>
    </row>
    <row r="95" spans="1:6" x14ac:dyDescent="0.2">
      <c r="B95" s="31" t="s">
        <v>35</v>
      </c>
      <c r="C95" s="31"/>
      <c r="D95" s="60">
        <f>SUM(D67:D94)</f>
        <v>3682853</v>
      </c>
      <c r="E95" s="32">
        <f>SUM(E67:E94)</f>
        <v>10120155</v>
      </c>
      <c r="F95" s="33">
        <f t="shared" si="5"/>
        <v>2.7479117412506011</v>
      </c>
    </row>
    <row r="96" spans="1:6" ht="15" thickBot="1" x14ac:dyDescent="0.25"/>
    <row r="97" spans="2:8" ht="29.25" customHeight="1" x14ac:dyDescent="0.2">
      <c r="B97" s="210" t="s">
        <v>453</v>
      </c>
      <c r="C97" s="211"/>
      <c r="D97" s="29" t="s">
        <v>27</v>
      </c>
      <c r="E97" s="34" t="s">
        <v>447</v>
      </c>
      <c r="F97" s="30" t="s">
        <v>448</v>
      </c>
    </row>
    <row r="98" spans="2:8" x14ac:dyDescent="0.2">
      <c r="B98" s="212" t="s">
        <v>30</v>
      </c>
      <c r="C98" s="213"/>
      <c r="D98" s="36"/>
      <c r="E98" s="16">
        <f>IF(F3="1",SUMIF(Data!A:A,'30'!$A$2,Data!AH:AH),0)</f>
        <v>4142141</v>
      </c>
      <c r="F98" s="21">
        <f t="shared" ref="F98:F105" si="6">IFERROR(E98/$D$95,0)</f>
        <v>1.1247098377263496</v>
      </c>
    </row>
    <row r="99" spans="2:8" x14ac:dyDescent="0.2">
      <c r="B99" s="212" t="s">
        <v>31</v>
      </c>
      <c r="C99" s="213"/>
      <c r="D99" s="37"/>
      <c r="E99" s="18">
        <f>IF(F3="1",SUMIF(Data!A:A,'30'!$A$2,Data!AI:AI),0)</f>
        <v>1672238</v>
      </c>
      <c r="F99" s="22">
        <f t="shared" si="6"/>
        <v>0.45406047974219987</v>
      </c>
    </row>
    <row r="100" spans="2:8" x14ac:dyDescent="0.2">
      <c r="B100" s="212" t="s">
        <v>32</v>
      </c>
      <c r="C100" s="213"/>
      <c r="D100" s="37"/>
      <c r="E100" s="18">
        <f>IF(F3="1",SUMIF(Data!A:A,'30'!$A$2,Data!AJ:AJ),0)</f>
        <v>2145647</v>
      </c>
      <c r="F100" s="22">
        <f t="shared" si="6"/>
        <v>0.58260457313935687</v>
      </c>
    </row>
    <row r="101" spans="2:8" x14ac:dyDescent="0.2">
      <c r="B101" s="212" t="s">
        <v>28</v>
      </c>
      <c r="C101" s="213"/>
      <c r="D101" s="37"/>
      <c r="E101" s="18">
        <f>IF(F3="1",SUMIF(Data!A:A,'30'!$A$2,Data!AK:AK),0)</f>
        <v>107703</v>
      </c>
      <c r="F101" s="22">
        <f t="shared" si="6"/>
        <v>2.9244447171798603E-2</v>
      </c>
    </row>
    <row r="102" spans="2:8" x14ac:dyDescent="0.2">
      <c r="B102" s="212" t="s">
        <v>33</v>
      </c>
      <c r="C102" s="213"/>
      <c r="D102" s="37"/>
      <c r="E102" s="18">
        <f>IF(F3="1",SUMIF(Data!A:A,'30'!$A$2,Data!AL:AL),0)</f>
        <v>0</v>
      </c>
      <c r="F102" s="22">
        <f t="shared" si="6"/>
        <v>0</v>
      </c>
    </row>
    <row r="103" spans="2:8" x14ac:dyDescent="0.2">
      <c r="B103" s="214" t="s">
        <v>34</v>
      </c>
      <c r="C103" s="215"/>
      <c r="D103" s="37"/>
      <c r="E103" s="18">
        <f>IF(F3="1",SUMIF(Data!A:A,'30'!$A$2,Data!AM:AM),0)</f>
        <v>407505</v>
      </c>
      <c r="F103" s="22">
        <f t="shared" si="6"/>
        <v>0.11064927109499076</v>
      </c>
    </row>
    <row r="104" spans="2:8" ht="15.75" customHeight="1" thickBot="1" x14ac:dyDescent="0.25">
      <c r="B104" s="208" t="s">
        <v>29</v>
      </c>
      <c r="C104" s="209"/>
      <c r="D104" s="38"/>
      <c r="E104" s="25">
        <f>IF(F3="1",SUMIF(Data!A:A,'30'!$A$2,Data!Q:Q),0)</f>
        <v>658006</v>
      </c>
      <c r="F104" s="26">
        <f t="shared" si="6"/>
        <v>0.1786674624265481</v>
      </c>
    </row>
    <row r="105" spans="2:8" x14ac:dyDescent="0.2">
      <c r="B105" s="31" t="s">
        <v>35</v>
      </c>
      <c r="C105" s="31"/>
      <c r="D105" s="35">
        <f>D95</f>
        <v>3682853</v>
      </c>
      <c r="E105" s="32">
        <f>SUM(E98:E104)</f>
        <v>9133240</v>
      </c>
      <c r="F105" s="33">
        <f t="shared" si="6"/>
        <v>2.4799360713012439</v>
      </c>
    </row>
    <row r="107" spans="2:8" ht="15" thickBot="1" x14ac:dyDescent="0.25">
      <c r="B107" s="59" t="s">
        <v>919</v>
      </c>
    </row>
    <row r="108" spans="2:8" ht="28.5" x14ac:dyDescent="0.2">
      <c r="B108" s="46" t="s">
        <v>913</v>
      </c>
      <c r="C108" s="28" t="s">
        <v>917</v>
      </c>
      <c r="D108" s="28" t="s">
        <v>29</v>
      </c>
      <c r="E108" s="28" t="s">
        <v>918</v>
      </c>
      <c r="F108" s="47" t="s">
        <v>35</v>
      </c>
    </row>
    <row r="109" spans="2:8" x14ac:dyDescent="0.2">
      <c r="B109" s="43" t="s">
        <v>914</v>
      </c>
      <c r="C109" s="192">
        <f>E95+IF(F3="1",SUMIF(Data!$A:$A,$A$2,Data!GF:GF),0)</f>
        <v>10895057</v>
      </c>
      <c r="D109" s="192">
        <f>IF(F3="1",SUMIF(Data!$A:$A,$A$2,Data!HJ:HJ),0)</f>
        <v>1370228</v>
      </c>
      <c r="E109" s="192">
        <f>IF(F3="1",SUMIF(Data!$A:$A,$A$2,Data!IN:IN),0)</f>
        <v>1894472</v>
      </c>
      <c r="F109" s="48">
        <f>SUM(C109:E109)</f>
        <v>14159757</v>
      </c>
    </row>
    <row r="110" spans="2:8" x14ac:dyDescent="0.2">
      <c r="B110" s="43" t="s">
        <v>28</v>
      </c>
      <c r="C110" s="193">
        <f>IF(F3="1",SUMIF(Data!A:A,$A$2,Data!W:W),0)</f>
        <v>59317</v>
      </c>
      <c r="D110" s="52"/>
      <c r="E110" s="193">
        <f>IF(F3="1",SUMIF(Data!A:A,$A$2,Data!AD:AD),0)</f>
        <v>48386</v>
      </c>
      <c r="F110" s="49">
        <f t="shared" ref="F110:F116" si="7">SUM(C110:E110)</f>
        <v>107703</v>
      </c>
      <c r="H110" s="184"/>
    </row>
    <row r="111" spans="2:8" x14ac:dyDescent="0.2">
      <c r="B111" s="43" t="s">
        <v>915</v>
      </c>
      <c r="C111" s="193">
        <f>IF(F3="1",SUMIF(Data!A:A,$A$2,Data!AS:AS),0)</f>
        <v>250947</v>
      </c>
      <c r="D111" s="52"/>
      <c r="E111" s="193">
        <f>IF(F3="1",SUMIF(Data!A:A,$A$2,Data!AX:AX)-SUMIF(Data!A:A,$A$2,Data!AW:AW),0)</f>
        <v>188277</v>
      </c>
      <c r="F111" s="49">
        <f t="shared" si="7"/>
        <v>439224</v>
      </c>
    </row>
    <row r="112" spans="2:8" x14ac:dyDescent="0.2">
      <c r="B112" s="43" t="s">
        <v>32</v>
      </c>
      <c r="C112" s="193">
        <f>IF(F3="1",SUMIF(Data!A:A,$A$2,Data!V:V),0)</f>
        <v>1768316</v>
      </c>
      <c r="D112" s="52"/>
      <c r="E112" s="193">
        <f>IF(F3="1",SUMIF(Data!A:A,$A$2,Data!AC:AC),0)</f>
        <v>377331</v>
      </c>
      <c r="F112" s="49">
        <f t="shared" si="7"/>
        <v>2145647</v>
      </c>
    </row>
    <row r="113" spans="1:8" x14ac:dyDescent="0.2">
      <c r="B113" s="43" t="s">
        <v>31</v>
      </c>
      <c r="C113" s="193">
        <f>IF(F3="1",SUMIF(Data!A:A,$A$2,Data!U:U),0)</f>
        <v>1437802</v>
      </c>
      <c r="D113" s="52"/>
      <c r="E113" s="193">
        <f>IF(F3="1",SUMIF(Data!A:A,$A$2,Data!AB:AB),0)</f>
        <v>234436</v>
      </c>
      <c r="F113" s="49">
        <f t="shared" si="7"/>
        <v>1672238</v>
      </c>
    </row>
    <row r="114" spans="1:8" x14ac:dyDescent="0.2">
      <c r="B114" s="43" t="s">
        <v>1002</v>
      </c>
      <c r="C114" s="193">
        <f>IF(F3="1",SUMIF(Data!A:A,$A$2,Data!T:T),0)</f>
        <v>1715598</v>
      </c>
      <c r="D114" s="52"/>
      <c r="E114" s="193">
        <f>IF(F3="1",SUMIF(Data!A:A,$A$2,Data!AA:AA),0)</f>
        <v>2426543</v>
      </c>
      <c r="F114" s="49">
        <f t="shared" si="7"/>
        <v>4142141</v>
      </c>
    </row>
    <row r="115" spans="1:8" x14ac:dyDescent="0.2">
      <c r="B115" s="43" t="s">
        <v>916</v>
      </c>
      <c r="C115" s="193">
        <f>IF(F3="1",SUMIF(Data!A:A,$A$2,Data!BI:BI),0)</f>
        <v>444588</v>
      </c>
      <c r="D115" s="193">
        <f>IF(F3="1",SUMIF(Data!A:A,$A$2,Data!BL:BL),0)</f>
        <v>107675</v>
      </c>
      <c r="E115" s="193">
        <f>IF(F3="1",SUMIF(Data!A:A,$A$2,Data!BU:BU)-SUMIF(Data!A:A,$A$2,Data!BT:BT),0)</f>
        <v>2809886</v>
      </c>
      <c r="F115" s="49">
        <f t="shared" si="7"/>
        <v>3362149</v>
      </c>
    </row>
    <row r="116" spans="1:8" x14ac:dyDescent="0.2">
      <c r="B116" s="43" t="s">
        <v>33</v>
      </c>
      <c r="C116" s="193">
        <f>IF(F3="1",SUMIF(Data!A:A,$A$2,Data!X:X),0)</f>
        <v>0</v>
      </c>
      <c r="D116" s="51"/>
      <c r="E116" s="193">
        <f>E102-C116</f>
        <v>0</v>
      </c>
      <c r="F116" s="49">
        <f t="shared" si="7"/>
        <v>0</v>
      </c>
    </row>
    <row r="117" spans="1:8" ht="15" thickBot="1" x14ac:dyDescent="0.25">
      <c r="B117" s="44" t="s">
        <v>920</v>
      </c>
      <c r="C117" s="53"/>
      <c r="D117" s="53">
        <f>IF(F3="1",SUMIF(Data!A:A,$A$2,Data!Q:Q),0)</f>
        <v>658006</v>
      </c>
      <c r="E117" s="53"/>
      <c r="F117" s="50">
        <f>SUM(C117:E117)</f>
        <v>658006</v>
      </c>
    </row>
    <row r="118" spans="1:8" x14ac:dyDescent="0.2">
      <c r="B118" s="14" t="s">
        <v>35</v>
      </c>
      <c r="C118" s="178">
        <f>SUM(C109:C117)</f>
        <v>16571625</v>
      </c>
      <c r="D118" s="194">
        <f>SUM(D109:D117)</f>
        <v>2135909</v>
      </c>
      <c r="E118" s="178">
        <f>SUM(E109:E117)</f>
        <v>7979331</v>
      </c>
      <c r="F118" s="178">
        <f>SUM(F109:F117)</f>
        <v>26686865</v>
      </c>
    </row>
    <row r="119" spans="1:8" x14ac:dyDescent="0.2">
      <c r="C119" s="177"/>
      <c r="D119" s="177"/>
      <c r="E119" s="177"/>
      <c r="F119" s="183"/>
      <c r="H119" s="183"/>
    </row>
    <row r="120" spans="1:8" ht="15" thickBot="1" x14ac:dyDescent="0.25">
      <c r="B120" s="188" t="s">
        <v>921</v>
      </c>
      <c r="C120" s="53"/>
      <c r="D120" s="53"/>
      <c r="E120" s="195">
        <f>IF(F3="1",SUMIF(Data!A:A,$A$2,Data!AF:AF)+SUMIF(Data!A:A,$A$2,Data!AW:AW)+SUMIF(Data!A:A,$A$2,Data!BT:BT),0)</f>
        <v>407505</v>
      </c>
      <c r="F120" s="181">
        <f>SUM(C120:E120)</f>
        <v>407505</v>
      </c>
    </row>
    <row r="121" spans="1:8" s="177" customFormat="1" x14ac:dyDescent="0.2">
      <c r="B121" s="14" t="s">
        <v>35</v>
      </c>
      <c r="C121" s="178">
        <f>SUM(C120:C120)</f>
        <v>0</v>
      </c>
      <c r="D121" s="178">
        <f>SUM(D120:D120)</f>
        <v>0</v>
      </c>
      <c r="E121" s="178">
        <f>SUM(E120:E120)</f>
        <v>407505</v>
      </c>
      <c r="F121" s="178">
        <f>SUM(F120:F120)</f>
        <v>407505</v>
      </c>
    </row>
    <row r="122" spans="1:8" s="177" customFormat="1" ht="15" thickBot="1" x14ac:dyDescent="0.25">
      <c r="B122" s="14" t="s">
        <v>1396</v>
      </c>
      <c r="C122" s="178"/>
      <c r="D122" s="178"/>
      <c r="E122" s="178"/>
      <c r="F122" s="190">
        <f>F118+F121</f>
        <v>27094370</v>
      </c>
    </row>
    <row r="123" spans="1:8" ht="15" thickTop="1" x14ac:dyDescent="0.2"/>
    <row r="124" spans="1:8"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434</v>
      </c>
      <c r="B2" s="59" t="str">
        <f>VLOOKUP(A2,Data!A:G,7,0)</f>
        <v>Northeast Texas Community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21312</v>
      </c>
      <c r="E5" s="16">
        <f>E36+E67+IFERROR($E$105/$D$105*D5,0)</f>
        <v>360440.59641581262</v>
      </c>
      <c r="F5" s="21">
        <f>IFERROR(E5/D5,"")</f>
        <v>16.912565522513731</v>
      </c>
    </row>
    <row r="6" spans="1:6" x14ac:dyDescent="0.2">
      <c r="A6" s="20">
        <v>2</v>
      </c>
      <c r="B6" s="202" t="s">
        <v>1</v>
      </c>
      <c r="C6" s="203"/>
      <c r="D6" s="15">
        <f t="shared" ref="D6:D32" si="0">D37</f>
        <v>54688</v>
      </c>
      <c r="E6" s="18">
        <f t="shared" ref="E6:E32" si="1">E37+E68+IFERROR($E$105/$D$105*D6,0)</f>
        <v>341486.01542736293</v>
      </c>
      <c r="F6" s="22">
        <f t="shared" ref="F6:F33" si="2">IFERROR(E6/D6,"")</f>
        <v>6.2442586203072512</v>
      </c>
    </row>
    <row r="7" spans="1:6" ht="14.25" customHeight="1" x14ac:dyDescent="0.2">
      <c r="A7" s="20">
        <v>3</v>
      </c>
      <c r="B7" s="202" t="s">
        <v>2</v>
      </c>
      <c r="C7" s="203"/>
      <c r="D7" s="15">
        <f t="shared" si="0"/>
        <v>193584</v>
      </c>
      <c r="E7" s="18">
        <f t="shared" si="1"/>
        <v>1418943.0007769642</v>
      </c>
      <c r="F7" s="22">
        <f t="shared" si="2"/>
        <v>7.3298568103612087</v>
      </c>
    </row>
    <row r="8" spans="1:6" ht="14.25" customHeight="1" x14ac:dyDescent="0.2">
      <c r="A8" s="20">
        <v>4</v>
      </c>
      <c r="B8" s="202" t="s">
        <v>3</v>
      </c>
      <c r="C8" s="203"/>
      <c r="D8" s="15">
        <f t="shared" si="0"/>
        <v>82104</v>
      </c>
      <c r="E8" s="18">
        <f t="shared" si="1"/>
        <v>592313.8596154222</v>
      </c>
      <c r="F8" s="22">
        <f t="shared" si="2"/>
        <v>7.2141900469577873</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2848</v>
      </c>
      <c r="E10" s="18">
        <f t="shared" si="1"/>
        <v>36310.75387538637</v>
      </c>
      <c r="F10" s="22">
        <f t="shared" si="2"/>
        <v>12.749562456245215</v>
      </c>
    </row>
    <row r="11" spans="1:6" x14ac:dyDescent="0.2">
      <c r="A11" s="20">
        <v>7</v>
      </c>
      <c r="B11" s="202" t="s">
        <v>6</v>
      </c>
      <c r="C11" s="203"/>
      <c r="D11" s="15">
        <f t="shared" si="0"/>
        <v>22927</v>
      </c>
      <c r="E11" s="18">
        <f t="shared" si="1"/>
        <v>274842.77566748008</v>
      </c>
      <c r="F11" s="22">
        <f t="shared" si="2"/>
        <v>11.987733923648104</v>
      </c>
    </row>
    <row r="12" spans="1:6" x14ac:dyDescent="0.2">
      <c r="A12" s="20">
        <v>8</v>
      </c>
      <c r="B12" s="202" t="s">
        <v>7</v>
      </c>
      <c r="C12" s="203"/>
      <c r="D12" s="15">
        <f t="shared" si="0"/>
        <v>12716</v>
      </c>
      <c r="E12" s="18">
        <f t="shared" si="1"/>
        <v>133532.06400260289</v>
      </c>
      <c r="F12" s="22">
        <f t="shared" si="2"/>
        <v>10.501106008383367</v>
      </c>
    </row>
    <row r="13" spans="1:6" x14ac:dyDescent="0.2">
      <c r="A13" s="20">
        <v>9</v>
      </c>
      <c r="B13" s="202" t="s">
        <v>8</v>
      </c>
      <c r="C13" s="203"/>
      <c r="D13" s="15">
        <f t="shared" si="0"/>
        <v>109712</v>
      </c>
      <c r="E13" s="18">
        <f t="shared" si="1"/>
        <v>622644.93440182204</v>
      </c>
      <c r="F13" s="22">
        <f t="shared" si="2"/>
        <v>5.6752673764202823</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11744</v>
      </c>
      <c r="E15" s="18">
        <f t="shared" si="1"/>
        <v>152200.77159850334</v>
      </c>
      <c r="F15" s="22">
        <f t="shared" si="2"/>
        <v>12.959874965812615</v>
      </c>
    </row>
    <row r="16" spans="1:6" ht="14.25" customHeight="1" x14ac:dyDescent="0.2">
      <c r="A16" s="20">
        <v>12</v>
      </c>
      <c r="B16" s="202" t="s">
        <v>11</v>
      </c>
      <c r="C16" s="203"/>
      <c r="D16" s="15">
        <f t="shared" si="0"/>
        <v>183888</v>
      </c>
      <c r="E16" s="18">
        <f t="shared" si="1"/>
        <v>1081367.3555607614</v>
      </c>
      <c r="F16" s="22">
        <f t="shared" si="2"/>
        <v>5.8805759786433125</v>
      </c>
    </row>
    <row r="17" spans="1:6" x14ac:dyDescent="0.2">
      <c r="A17" s="20">
        <v>13</v>
      </c>
      <c r="B17" s="202" t="s">
        <v>12</v>
      </c>
      <c r="C17" s="203"/>
      <c r="D17" s="15">
        <f t="shared" si="0"/>
        <v>16032</v>
      </c>
      <c r="E17" s="18">
        <f t="shared" si="1"/>
        <v>129345.25496144462</v>
      </c>
      <c r="F17" s="22">
        <f t="shared" si="2"/>
        <v>8.0679425499903079</v>
      </c>
    </row>
    <row r="18" spans="1:6" ht="14.25" customHeight="1" x14ac:dyDescent="0.2">
      <c r="A18" s="20">
        <v>14</v>
      </c>
      <c r="B18" s="202" t="s">
        <v>449</v>
      </c>
      <c r="C18" s="203"/>
      <c r="D18" s="15">
        <f t="shared" si="0"/>
        <v>69844</v>
      </c>
      <c r="E18" s="18">
        <f t="shared" si="1"/>
        <v>589800.09328387829</v>
      </c>
      <c r="F18" s="22">
        <f t="shared" si="2"/>
        <v>8.4445348674743475</v>
      </c>
    </row>
    <row r="19" spans="1:6" x14ac:dyDescent="0.2">
      <c r="A19" s="20">
        <v>15</v>
      </c>
      <c r="B19" s="202" t="s">
        <v>13</v>
      </c>
      <c r="C19" s="203"/>
      <c r="D19" s="15">
        <f t="shared" si="0"/>
        <v>21808</v>
      </c>
      <c r="E19" s="18">
        <f t="shared" si="1"/>
        <v>355055.02546152595</v>
      </c>
      <c r="F19" s="22">
        <f t="shared" si="2"/>
        <v>16.280953111772099</v>
      </c>
    </row>
    <row r="20" spans="1:6" x14ac:dyDescent="0.2">
      <c r="A20" s="20">
        <v>16</v>
      </c>
      <c r="B20" s="202" t="s">
        <v>14</v>
      </c>
      <c r="C20" s="203"/>
      <c r="D20" s="15">
        <f t="shared" si="0"/>
        <v>83955</v>
      </c>
      <c r="E20" s="18">
        <f t="shared" si="1"/>
        <v>747072.11397755006</v>
      </c>
      <c r="F20" s="22">
        <f t="shared" si="2"/>
        <v>8.8984826868864282</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29696</v>
      </c>
      <c r="E22" s="18">
        <f t="shared" si="1"/>
        <v>354890.33254335448</v>
      </c>
      <c r="F22" s="22">
        <f t="shared" si="2"/>
        <v>11.950778978426538</v>
      </c>
    </row>
    <row r="23" spans="1:6" x14ac:dyDescent="0.2">
      <c r="A23" s="20">
        <v>19</v>
      </c>
      <c r="B23" s="202" t="s">
        <v>17</v>
      </c>
      <c r="C23" s="203"/>
      <c r="D23" s="15">
        <f t="shared" si="0"/>
        <v>97008</v>
      </c>
      <c r="E23" s="18">
        <f t="shared" si="1"/>
        <v>753694.00981161534</v>
      </c>
      <c r="F23" s="22">
        <f t="shared" si="2"/>
        <v>7.7694005629599143</v>
      </c>
    </row>
    <row r="24" spans="1:6" x14ac:dyDescent="0.2">
      <c r="A24" s="20">
        <v>20</v>
      </c>
      <c r="B24" s="202" t="s">
        <v>18</v>
      </c>
      <c r="C24" s="203"/>
      <c r="D24" s="15">
        <f t="shared" si="0"/>
        <v>35472</v>
      </c>
      <c r="E24" s="18">
        <f t="shared" si="1"/>
        <v>444577.10304343584</v>
      </c>
      <c r="F24" s="22">
        <f t="shared" si="2"/>
        <v>12.533184005509581</v>
      </c>
    </row>
    <row r="25" spans="1:6" ht="14.25" customHeight="1" x14ac:dyDescent="0.2">
      <c r="A25" s="20">
        <v>21</v>
      </c>
      <c r="B25" s="202" t="s">
        <v>446</v>
      </c>
      <c r="C25" s="203"/>
      <c r="D25" s="15">
        <f t="shared" si="0"/>
        <v>0</v>
      </c>
      <c r="E25" s="18">
        <f t="shared" si="1"/>
        <v>0</v>
      </c>
      <c r="F25" s="22" t="str">
        <f t="shared" si="2"/>
        <v/>
      </c>
    </row>
    <row r="26" spans="1:6" x14ac:dyDescent="0.2">
      <c r="A26" s="20">
        <v>22</v>
      </c>
      <c r="B26" s="202" t="s">
        <v>19</v>
      </c>
      <c r="C26" s="203"/>
      <c r="D26" s="15">
        <f t="shared" si="0"/>
        <v>0</v>
      </c>
      <c r="E26" s="18">
        <f t="shared" si="1"/>
        <v>0</v>
      </c>
      <c r="F26" s="22" t="str">
        <f t="shared" si="2"/>
        <v/>
      </c>
    </row>
    <row r="27" spans="1:6" x14ac:dyDescent="0.2">
      <c r="A27" s="20">
        <v>23</v>
      </c>
      <c r="B27" s="202" t="s">
        <v>20</v>
      </c>
      <c r="C27" s="203"/>
      <c r="D27" s="15">
        <f t="shared" si="0"/>
        <v>48720</v>
      </c>
      <c r="E27" s="18">
        <f t="shared" si="1"/>
        <v>298551.01432894095</v>
      </c>
      <c r="F27" s="22">
        <f t="shared" si="2"/>
        <v>6.1278943827779342</v>
      </c>
    </row>
    <row r="28" spans="1:6" x14ac:dyDescent="0.2">
      <c r="A28" s="20">
        <v>24</v>
      </c>
      <c r="B28" s="202" t="s">
        <v>21</v>
      </c>
      <c r="C28" s="203"/>
      <c r="D28" s="15">
        <f t="shared" si="0"/>
        <v>56220</v>
      </c>
      <c r="E28" s="18">
        <f t="shared" si="1"/>
        <v>518234.14707662276</v>
      </c>
      <c r="F28" s="22">
        <f t="shared" si="2"/>
        <v>9.2179677530526991</v>
      </c>
    </row>
    <row r="29" spans="1:6" x14ac:dyDescent="0.2">
      <c r="A29" s="20">
        <v>25</v>
      </c>
      <c r="B29" s="202" t="s">
        <v>22</v>
      </c>
      <c r="C29" s="203"/>
      <c r="D29" s="15">
        <f t="shared" si="0"/>
        <v>243904</v>
      </c>
      <c r="E29" s="18">
        <f t="shared" si="1"/>
        <v>1458814.2700920776</v>
      </c>
      <c r="F29" s="22">
        <f t="shared" si="2"/>
        <v>5.9811002283360564</v>
      </c>
    </row>
    <row r="30" spans="1:6" x14ac:dyDescent="0.2">
      <c r="A30" s="20">
        <v>26</v>
      </c>
      <c r="B30" s="202" t="s">
        <v>23</v>
      </c>
      <c r="C30" s="203"/>
      <c r="D30" s="15">
        <f t="shared" si="0"/>
        <v>51928</v>
      </c>
      <c r="E30" s="18">
        <f t="shared" si="1"/>
        <v>496430.95057621604</v>
      </c>
      <c r="F30" s="22">
        <f t="shared" si="2"/>
        <v>9.5599859531700826</v>
      </c>
    </row>
    <row r="31" spans="1:6" x14ac:dyDescent="0.2">
      <c r="A31" s="20">
        <v>28</v>
      </c>
      <c r="B31" s="202" t="s">
        <v>24</v>
      </c>
      <c r="C31" s="203"/>
      <c r="D31" s="15">
        <f t="shared" si="0"/>
        <v>53712</v>
      </c>
      <c r="E31" s="18">
        <f t="shared" si="1"/>
        <v>262709.00988579798</v>
      </c>
      <c r="F31" s="22">
        <f t="shared" si="2"/>
        <v>4.8910673571231378</v>
      </c>
    </row>
    <row r="32" spans="1:6" ht="15.75" customHeight="1" thickBot="1" x14ac:dyDescent="0.25">
      <c r="A32" s="23">
        <v>29</v>
      </c>
      <c r="B32" s="206" t="s">
        <v>25</v>
      </c>
      <c r="C32" s="207"/>
      <c r="D32" s="24">
        <f t="shared" si="0"/>
        <v>32928</v>
      </c>
      <c r="E32" s="25">
        <f t="shared" si="1"/>
        <v>201847.54761542217</v>
      </c>
      <c r="F32" s="26">
        <f t="shared" si="2"/>
        <v>6.1299668250553383</v>
      </c>
    </row>
    <row r="33" spans="1:6" x14ac:dyDescent="0.2">
      <c r="B33" s="31" t="s">
        <v>35</v>
      </c>
      <c r="C33" s="31"/>
      <c r="D33" s="60">
        <f>SUM(D5:D32)</f>
        <v>1536750</v>
      </c>
      <c r="E33" s="32">
        <f>SUM(E5:E32)</f>
        <v>11625103</v>
      </c>
      <c r="F33" s="33">
        <f t="shared" si="2"/>
        <v>7.5647327151455999</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IF(F3="1",SUMIF(Data!A:A,'31'!$A$2,Data!CU:CU),0)</f>
        <v>21312</v>
      </c>
      <c r="E36" s="16">
        <f>IF(F3="1",SUMIF(Data!$A:$A,'31'!$A$2,Data!IO:IO),0)</f>
        <v>115698</v>
      </c>
      <c r="F36" s="21">
        <f t="shared" ref="F36:F64" si="3">IFERROR(E36/D36,"")</f>
        <v>5.4287725225225225</v>
      </c>
    </row>
    <row r="37" spans="1:6" x14ac:dyDescent="0.2">
      <c r="A37" s="20">
        <v>2</v>
      </c>
      <c r="B37" s="202" t="s">
        <v>1</v>
      </c>
      <c r="C37" s="203"/>
      <c r="D37" s="15">
        <f>IF(F3="1",SUMIF(Data!A:A,'31'!$A$2,Data!CV:CV),0)</f>
        <v>54688</v>
      </c>
      <c r="E37" s="18">
        <f>IF(F3="1",SUMIF(Data!$A:$A,'31'!$A$2,Data!IP:IP),0)</f>
        <v>57923</v>
      </c>
      <c r="F37" s="22">
        <f t="shared" si="3"/>
        <v>1.0591537448800468</v>
      </c>
    </row>
    <row r="38" spans="1:6" ht="14.25" customHeight="1" x14ac:dyDescent="0.2">
      <c r="A38" s="20">
        <v>3</v>
      </c>
      <c r="B38" s="202" t="s">
        <v>2</v>
      </c>
      <c r="C38" s="203"/>
      <c r="D38" s="15">
        <f>IF(F3="1",SUMIF(Data!A:A,'31'!$A$2,Data!CW:CW),0)</f>
        <v>193584</v>
      </c>
      <c r="E38" s="18">
        <f>IF(F3="1",SUMIF(Data!$A:$A,'31'!$A$2,Data!IQ:IQ),0)</f>
        <v>147434</v>
      </c>
      <c r="F38" s="22">
        <f t="shared" si="3"/>
        <v>0.76160219852880406</v>
      </c>
    </row>
    <row r="39" spans="1:6" ht="14.25" customHeight="1" x14ac:dyDescent="0.2">
      <c r="A39" s="20">
        <v>4</v>
      </c>
      <c r="B39" s="202" t="s">
        <v>3</v>
      </c>
      <c r="C39" s="203"/>
      <c r="D39" s="15">
        <f>IF(F3="1",SUMIF(Data!A:A,'31'!$A$2,Data!CX:CX),0)</f>
        <v>82104</v>
      </c>
      <c r="E39" s="18">
        <f>IF(F3="1",SUMIF(Data!$A:$A,'31'!$A$2,Data!IR:IR),0)</f>
        <v>74998</v>
      </c>
      <c r="F39" s="22">
        <f t="shared" si="3"/>
        <v>0.91345123258306538</v>
      </c>
    </row>
    <row r="40" spans="1:6" x14ac:dyDescent="0.2">
      <c r="A40" s="20">
        <v>5</v>
      </c>
      <c r="B40" s="202" t="s">
        <v>4</v>
      </c>
      <c r="C40" s="203"/>
      <c r="D40" s="15">
        <f>IF(F3="1",SUMIF(Data!A:A,'31'!$A$2,Data!CY:CY),0)</f>
        <v>0</v>
      </c>
      <c r="E40" s="18">
        <f>IF(F3="1",SUMIF(Data!$A:$A,'31'!$A$2,Data!IS:IS),0)</f>
        <v>0</v>
      </c>
      <c r="F40" s="22" t="str">
        <f t="shared" si="3"/>
        <v/>
      </c>
    </row>
    <row r="41" spans="1:6" x14ac:dyDescent="0.2">
      <c r="A41" s="20">
        <v>6</v>
      </c>
      <c r="B41" s="202" t="s">
        <v>5</v>
      </c>
      <c r="C41" s="203"/>
      <c r="D41" s="15">
        <f>IF(F3="1",SUMIF(Data!A:A,'31'!$A$2,Data!CZ:CZ),0)</f>
        <v>2848</v>
      </c>
      <c r="E41" s="18">
        <f>IF(F3="1",SUMIF(Data!$A:$A,'31'!$A$2,Data!IT:IT),0)</f>
        <v>27971</v>
      </c>
      <c r="F41" s="22">
        <f t="shared" si="3"/>
        <v>9.82127808988764</v>
      </c>
    </row>
    <row r="42" spans="1:6" x14ac:dyDescent="0.2">
      <c r="A42" s="20">
        <v>7</v>
      </c>
      <c r="B42" s="202" t="s">
        <v>6</v>
      </c>
      <c r="C42" s="203"/>
      <c r="D42" s="15">
        <f>IF(F3="1",SUMIF(Data!A:A,'31'!$A$2,Data!DA:DA),0)</f>
        <v>22927</v>
      </c>
      <c r="E42" s="18">
        <f>IF(F3="1",SUMIF(Data!$A:$A,'31'!$A$2,Data!IU:IU),0)</f>
        <v>31317</v>
      </c>
      <c r="F42" s="22">
        <f t="shared" si="3"/>
        <v>1.3659440833951237</v>
      </c>
    </row>
    <row r="43" spans="1:6" x14ac:dyDescent="0.2">
      <c r="A43" s="20">
        <v>8</v>
      </c>
      <c r="B43" s="202" t="s">
        <v>7</v>
      </c>
      <c r="C43" s="203"/>
      <c r="D43" s="15">
        <f>IF(F3="1",SUMIF(Data!A:A,'31'!$A$2,Data!DB:DB),0)</f>
        <v>12716</v>
      </c>
      <c r="E43" s="18">
        <f>IF(F3="1",SUMIF(Data!$A:$A,'31'!$A$2,Data!IV:IV),0)</f>
        <v>53141</v>
      </c>
      <c r="F43" s="22">
        <f t="shared" si="3"/>
        <v>4.179065743944637</v>
      </c>
    </row>
    <row r="44" spans="1:6" x14ac:dyDescent="0.2">
      <c r="A44" s="20">
        <v>9</v>
      </c>
      <c r="B44" s="202" t="s">
        <v>8</v>
      </c>
      <c r="C44" s="203"/>
      <c r="D44" s="15">
        <f>IF(F3="1",SUMIF(Data!A:A,'31'!$A$2,Data!DC:DC),0)</f>
        <v>109712</v>
      </c>
      <c r="E44" s="18">
        <f>IF(F3="1",SUMIF(Data!$A:$A,'31'!$A$2,Data!IW:IW),0)</f>
        <v>79034</v>
      </c>
      <c r="F44" s="22">
        <f t="shared" si="3"/>
        <v>0.72037698702056296</v>
      </c>
    </row>
    <row r="45" spans="1:6" x14ac:dyDescent="0.2">
      <c r="A45" s="20">
        <v>10</v>
      </c>
      <c r="B45" s="202" t="s">
        <v>9</v>
      </c>
      <c r="C45" s="203"/>
      <c r="D45" s="15">
        <f>IF(F3="1",SUMIF(Data!A:A,'31'!$A$2,Data!DD:DD),0)</f>
        <v>0</v>
      </c>
      <c r="E45" s="18">
        <f>IF(F3="1",SUMIF(Data!$A:$A,'31'!$A$2,Data!IX:IX),0)</f>
        <v>0</v>
      </c>
      <c r="F45" s="22" t="str">
        <f t="shared" si="3"/>
        <v/>
      </c>
    </row>
    <row r="46" spans="1:6" x14ac:dyDescent="0.2">
      <c r="A46" s="20">
        <v>11</v>
      </c>
      <c r="B46" s="202" t="s">
        <v>10</v>
      </c>
      <c r="C46" s="203"/>
      <c r="D46" s="15">
        <f>IF(F3="1",SUMIF(Data!A:A,'31'!$A$2,Data!DE:DE),0)</f>
        <v>11744</v>
      </c>
      <c r="E46" s="18">
        <f>IF(F3="1",SUMIF(Data!$A:$A,'31'!$A$2,Data!IY:IY),0)</f>
        <v>68380</v>
      </c>
      <c r="F46" s="22">
        <f t="shared" si="3"/>
        <v>5.8225476839237054</v>
      </c>
    </row>
    <row r="47" spans="1:6" ht="14.25" customHeight="1" x14ac:dyDescent="0.2">
      <c r="A47" s="20">
        <v>12</v>
      </c>
      <c r="B47" s="202" t="s">
        <v>11</v>
      </c>
      <c r="C47" s="203"/>
      <c r="D47" s="15">
        <f>IF(F3="1",SUMIF(Data!A:A,'31'!$A$2,Data!DF:DF),0)</f>
        <v>183888</v>
      </c>
      <c r="E47" s="18">
        <f>IF(F3="1",SUMIF(Data!$A:$A,'31'!$A$2,Data!IZ:IZ),0)</f>
        <v>120664</v>
      </c>
      <c r="F47" s="22">
        <f t="shared" si="3"/>
        <v>0.65618202384059865</v>
      </c>
    </row>
    <row r="48" spans="1:6" x14ac:dyDescent="0.2">
      <c r="A48" s="20">
        <v>13</v>
      </c>
      <c r="B48" s="202" t="s">
        <v>12</v>
      </c>
      <c r="C48" s="203"/>
      <c r="D48" s="15">
        <f>IF(F3="1",SUMIF(Data!A:A,'31'!$A$2,Data!DG:DG),0)</f>
        <v>16032</v>
      </c>
      <c r="E48" s="18">
        <f>IF(F3="1",SUMIF(Data!$A:$A,'31'!$A$2,Data!JA:JA),0)</f>
        <v>12887</v>
      </c>
      <c r="F48" s="22">
        <f t="shared" si="3"/>
        <v>0.80382984031936133</v>
      </c>
    </row>
    <row r="49" spans="1:6" ht="14.25" customHeight="1" x14ac:dyDescent="0.2">
      <c r="A49" s="20">
        <v>14</v>
      </c>
      <c r="B49" s="202" t="s">
        <v>449</v>
      </c>
      <c r="C49" s="203"/>
      <c r="D49" s="15">
        <f>IF(F3="1",SUMIF(Data!A:A,'31'!$A$2,Data!DH:DH),0)</f>
        <v>69844</v>
      </c>
      <c r="E49" s="18">
        <f>IF(F3="1",SUMIF(Data!$A:$A,'31'!$A$2,Data!JB:JB),0)</f>
        <v>65624</v>
      </c>
      <c r="F49" s="22">
        <f t="shared" si="3"/>
        <v>0.93957963461428329</v>
      </c>
    </row>
    <row r="50" spans="1:6" x14ac:dyDescent="0.2">
      <c r="A50" s="20">
        <v>15</v>
      </c>
      <c r="B50" s="202" t="s">
        <v>13</v>
      </c>
      <c r="C50" s="203"/>
      <c r="D50" s="15">
        <f>IF(F3="1",SUMIF(Data!A:A,'31'!$A$2,Data!DI:DI),0)</f>
        <v>21808</v>
      </c>
      <c r="E50" s="18">
        <f>IF(F3="1",SUMIF(Data!$A:$A,'31'!$A$2,Data!JC:JC),0)</f>
        <v>72905</v>
      </c>
      <c r="F50" s="22">
        <f t="shared" si="3"/>
        <v>3.3430392516507705</v>
      </c>
    </row>
    <row r="51" spans="1:6" x14ac:dyDescent="0.2">
      <c r="A51" s="20">
        <v>16</v>
      </c>
      <c r="B51" s="202" t="s">
        <v>14</v>
      </c>
      <c r="C51" s="203"/>
      <c r="D51" s="15">
        <f>IF(F3="1",SUMIF(Data!A:A,'31'!$A$2,Data!DJ:DJ),0)</f>
        <v>83955</v>
      </c>
      <c r="E51" s="18">
        <f>IF(F3="1",SUMIF(Data!$A:$A,'31'!$A$2,Data!JD:JD),0)</f>
        <v>133079</v>
      </c>
      <c r="F51" s="22">
        <f t="shared" si="3"/>
        <v>1.5851229825501756</v>
      </c>
    </row>
    <row r="52" spans="1:6" x14ac:dyDescent="0.2">
      <c r="A52" s="20">
        <v>17</v>
      </c>
      <c r="B52" s="202" t="s">
        <v>15</v>
      </c>
      <c r="C52" s="203"/>
      <c r="D52" s="15">
        <f>IF(F3="1",SUMIF(Data!A:A,'31'!$A$2,Data!DK:DK),0)</f>
        <v>0</v>
      </c>
      <c r="E52" s="18">
        <f>IF(F3="1",SUMIF(Data!$A:$A,'31'!$A$2,Data!JE:JE),0)</f>
        <v>0</v>
      </c>
      <c r="F52" s="22" t="str">
        <f t="shared" si="3"/>
        <v/>
      </c>
    </row>
    <row r="53" spans="1:6" x14ac:dyDescent="0.2">
      <c r="A53" s="20">
        <v>18</v>
      </c>
      <c r="B53" s="202" t="s">
        <v>16</v>
      </c>
      <c r="C53" s="203"/>
      <c r="D53" s="15">
        <f>IF(F3="1",SUMIF(Data!A:A,'31'!$A$2,Data!DL:DL),0)</f>
        <v>29696</v>
      </c>
      <c r="E53" s="18">
        <f>IF(F3="1",SUMIF(Data!$A:$A,'31'!$A$2,Data!JF:JF),0)</f>
        <v>39353</v>
      </c>
      <c r="F53" s="22">
        <f t="shared" si="3"/>
        <v>1.3251953125</v>
      </c>
    </row>
    <row r="54" spans="1:6" x14ac:dyDescent="0.2">
      <c r="A54" s="20">
        <v>19</v>
      </c>
      <c r="B54" s="202" t="s">
        <v>17</v>
      </c>
      <c r="C54" s="203"/>
      <c r="D54" s="15">
        <f>IF(F3="1",SUMIF(Data!A:A,'31'!$A$2,Data!DM:DM),0)</f>
        <v>97008</v>
      </c>
      <c r="E54" s="18">
        <f>IF(F3="1",SUMIF(Data!$A:$A,'31'!$A$2,Data!JG:JG),0)</f>
        <v>78619</v>
      </c>
      <c r="F54" s="22">
        <f t="shared" si="3"/>
        <v>0.81043831436582547</v>
      </c>
    </row>
    <row r="55" spans="1:6" x14ac:dyDescent="0.2">
      <c r="A55" s="20">
        <v>20</v>
      </c>
      <c r="B55" s="202" t="s">
        <v>18</v>
      </c>
      <c r="C55" s="203"/>
      <c r="D55" s="15">
        <f>IF(F3="1",SUMIF(Data!A:A,'31'!$A$2,Data!DN:DN),0)</f>
        <v>35472</v>
      </c>
      <c r="E55" s="18">
        <f>IF(F3="1",SUMIF(Data!$A:$A,'31'!$A$2,Data!JH:JH),0)</f>
        <v>80837</v>
      </c>
      <c r="F55" s="22">
        <f t="shared" si="3"/>
        <v>2.2788960306720796</v>
      </c>
    </row>
    <row r="56" spans="1:6" ht="14.25" customHeight="1" x14ac:dyDescent="0.2">
      <c r="A56" s="20">
        <v>21</v>
      </c>
      <c r="B56" s="202" t="s">
        <v>446</v>
      </c>
      <c r="C56" s="203"/>
      <c r="D56" s="15">
        <f>IF(F3="1",SUMIF(Data!A:A,'31'!$A$2,Data!DO:DO),0)</f>
        <v>0</v>
      </c>
      <c r="E56" s="18">
        <f>IF(F3="1",SUMIF(Data!$A:$A,'31'!$A$2,Data!JI:JI),0)</f>
        <v>0</v>
      </c>
      <c r="F56" s="22" t="str">
        <f t="shared" si="3"/>
        <v/>
      </c>
    </row>
    <row r="57" spans="1:6" x14ac:dyDescent="0.2">
      <c r="A57" s="20">
        <v>22</v>
      </c>
      <c r="B57" s="202" t="s">
        <v>19</v>
      </c>
      <c r="C57" s="203"/>
      <c r="D57" s="15">
        <f>IF(F3="1",SUMIF(Data!A:A,'31'!$A$2,Data!DP:DP),0)</f>
        <v>0</v>
      </c>
      <c r="E57" s="18">
        <f>IF(F3="1",SUMIF(Data!$A:$A,'31'!$A$2,Data!JJ:JJ),0)</f>
        <v>0</v>
      </c>
      <c r="F57" s="22" t="str">
        <f t="shared" si="3"/>
        <v/>
      </c>
    </row>
    <row r="58" spans="1:6" x14ac:dyDescent="0.2">
      <c r="A58" s="20">
        <v>23</v>
      </c>
      <c r="B58" s="202" t="s">
        <v>20</v>
      </c>
      <c r="C58" s="203"/>
      <c r="D58" s="15">
        <f>IF(F3="1",SUMIF(Data!A:A,'31'!$A$2,Data!DQ:DQ),0)</f>
        <v>48720</v>
      </c>
      <c r="E58" s="18">
        <f>IF(F3="1",SUMIF(Data!$A:$A,'31'!$A$2,Data!JK:JK),0)</f>
        <v>27449</v>
      </c>
      <c r="F58" s="22">
        <f t="shared" si="3"/>
        <v>0.56340311986863711</v>
      </c>
    </row>
    <row r="59" spans="1:6" x14ac:dyDescent="0.2">
      <c r="A59" s="20">
        <v>24</v>
      </c>
      <c r="B59" s="202" t="s">
        <v>21</v>
      </c>
      <c r="C59" s="203"/>
      <c r="D59" s="15">
        <f>IF(F3="1",SUMIF(Data!A:A,'31'!$A$2,Data!DR:DR),0)</f>
        <v>56220</v>
      </c>
      <c r="E59" s="18">
        <f>IF(F3="1",SUMIF(Data!$A:$A,'31'!$A$2,Data!JL:JL),0)</f>
        <v>116995</v>
      </c>
      <c r="F59" s="22">
        <f t="shared" si="3"/>
        <v>2.081020988971896</v>
      </c>
    </row>
    <row r="60" spans="1:6" x14ac:dyDescent="0.2">
      <c r="A60" s="20">
        <v>25</v>
      </c>
      <c r="B60" s="202" t="s">
        <v>22</v>
      </c>
      <c r="C60" s="203"/>
      <c r="D60" s="15">
        <f>IF(F3="1",SUMIF(Data!A:A,'31'!$A$2,Data!DS:DS),0)</f>
        <v>243904</v>
      </c>
      <c r="E60" s="18">
        <f>IF(F3="1",SUMIF(Data!$A:$A,'31'!$A$2,Data!JM:JM),0)</f>
        <v>143787</v>
      </c>
      <c r="F60" s="22">
        <f t="shared" si="3"/>
        <v>0.58952292705326681</v>
      </c>
    </row>
    <row r="61" spans="1:6" x14ac:dyDescent="0.2">
      <c r="A61" s="20">
        <v>26</v>
      </c>
      <c r="B61" s="202" t="s">
        <v>23</v>
      </c>
      <c r="C61" s="203"/>
      <c r="D61" s="15">
        <f>IF(F3="1",SUMIF(Data!A:A,'31'!$A$2,Data!DT:DT),0)</f>
        <v>51928</v>
      </c>
      <c r="E61" s="18">
        <f>IF(F3="1",SUMIF(Data!$A:$A,'31'!$A$2,Data!JN:JN),0)</f>
        <v>57519</v>
      </c>
      <c r="F61" s="22">
        <f t="shared" si="3"/>
        <v>1.1076683099676474</v>
      </c>
    </row>
    <row r="62" spans="1:6" x14ac:dyDescent="0.2">
      <c r="A62" s="20">
        <v>28</v>
      </c>
      <c r="B62" s="202" t="s">
        <v>24</v>
      </c>
      <c r="C62" s="203"/>
      <c r="D62" s="15">
        <f>IF(F3="1",SUMIF(Data!A:A,'31'!$A$2,Data!DV:DV),0)</f>
        <v>53712</v>
      </c>
      <c r="E62" s="18">
        <f>IF(F3="1",SUMIF(Data!$A:$A,'31'!$A$2,Data!JP:JP),0)</f>
        <v>35885</v>
      </c>
      <c r="F62" s="22">
        <f t="shared" si="3"/>
        <v>0.66810023830801313</v>
      </c>
    </row>
    <row r="63" spans="1:6" ht="15.75" customHeight="1" thickBot="1" x14ac:dyDescent="0.25">
      <c r="A63" s="23">
        <v>29</v>
      </c>
      <c r="B63" s="206" t="s">
        <v>25</v>
      </c>
      <c r="C63" s="207"/>
      <c r="D63" s="24">
        <f>IF(F3="1",SUMIF(Data!A:A,'31'!$A$2,Data!DW:DW),0)</f>
        <v>32928</v>
      </c>
      <c r="E63" s="25">
        <f>IF(F3="1",SUMIF(Data!$A:$A,'31'!$A$2,Data!JQ:JQ),0)</f>
        <v>35886</v>
      </c>
      <c r="F63" s="26">
        <f t="shared" si="3"/>
        <v>1.089832361516035</v>
      </c>
    </row>
    <row r="64" spans="1:6" x14ac:dyDescent="0.2">
      <c r="B64" s="31" t="s">
        <v>35</v>
      </c>
      <c r="C64" s="31"/>
      <c r="D64" s="60">
        <f>SUM(D36:D63)</f>
        <v>1536750</v>
      </c>
      <c r="E64" s="32">
        <f>SUM(E36:E63)</f>
        <v>1677385</v>
      </c>
      <c r="F64" s="33">
        <f t="shared" si="3"/>
        <v>1.0915145599479421</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21312</v>
      </c>
      <c r="E67" s="16">
        <f>IF(F3="1",SUMIF(Data!A:A,'31'!$A$2,Data!DY:DY),0)</f>
        <v>182335</v>
      </c>
      <c r="F67" s="21">
        <f>IFERROR(E67/D67,"")</f>
        <v>8.5555086336336341</v>
      </c>
    </row>
    <row r="68" spans="1:6" x14ac:dyDescent="0.2">
      <c r="A68" s="20">
        <v>2</v>
      </c>
      <c r="B68" s="202" t="s">
        <v>1</v>
      </c>
      <c r="C68" s="203"/>
      <c r="D68" s="15">
        <f t="shared" ref="D68:D94" si="4">D37</f>
        <v>54688</v>
      </c>
      <c r="E68" s="18">
        <f>IF(F3="1",SUMIF(Data!A:A,'31'!$A$2,Data!DZ:DZ),0)</f>
        <v>123421</v>
      </c>
      <c r="F68" s="22">
        <f t="shared" ref="F68:F95" si="5">IFERROR(E68/D68,"")</f>
        <v>2.2568205090696312</v>
      </c>
    </row>
    <row r="69" spans="1:6" ht="14.25" customHeight="1" x14ac:dyDescent="0.2">
      <c r="A69" s="20">
        <v>3</v>
      </c>
      <c r="B69" s="202" t="s">
        <v>2</v>
      </c>
      <c r="C69" s="203"/>
      <c r="D69" s="15">
        <f t="shared" si="4"/>
        <v>193584</v>
      </c>
      <c r="E69" s="18">
        <f>IF(F3="1",SUMIF(Data!A:A,'31'!$A$2,Data!EA:EA),0)</f>
        <v>704640</v>
      </c>
      <c r="F69" s="22">
        <f t="shared" si="5"/>
        <v>3.6399702454748328</v>
      </c>
    </row>
    <row r="70" spans="1:6" ht="14.25" customHeight="1" x14ac:dyDescent="0.2">
      <c r="A70" s="20">
        <v>4</v>
      </c>
      <c r="B70" s="202" t="s">
        <v>3</v>
      </c>
      <c r="C70" s="203"/>
      <c r="D70" s="15">
        <f t="shared" si="4"/>
        <v>82104</v>
      </c>
      <c r="E70" s="18">
        <f>IF(F3="1",SUMIF(Data!A:A,'31'!$A$2,Data!EB:EB),0)</f>
        <v>276892</v>
      </c>
      <c r="F70" s="22">
        <f t="shared" si="5"/>
        <v>3.372454448017149</v>
      </c>
    </row>
    <row r="71" spans="1:6" x14ac:dyDescent="0.2">
      <c r="A71" s="20">
        <v>5</v>
      </c>
      <c r="B71" s="202" t="s">
        <v>4</v>
      </c>
      <c r="C71" s="203"/>
      <c r="D71" s="15">
        <f t="shared" si="4"/>
        <v>0</v>
      </c>
      <c r="E71" s="18">
        <f>IF(F3="1",SUMIF(Data!A:A,'31'!$A$2,Data!EC:EC),0)</f>
        <v>0</v>
      </c>
      <c r="F71" s="22" t="str">
        <f t="shared" si="5"/>
        <v/>
      </c>
    </row>
    <row r="72" spans="1:6" x14ac:dyDescent="0.2">
      <c r="A72" s="20">
        <v>6</v>
      </c>
      <c r="B72" s="202" t="s">
        <v>5</v>
      </c>
      <c r="C72" s="203"/>
      <c r="D72" s="15">
        <f t="shared" si="4"/>
        <v>2848</v>
      </c>
      <c r="E72" s="18">
        <f>IF(F3="1",SUMIF(Data!A:A,'31'!$A$2,Data!ED:ED),0)</f>
        <v>0</v>
      </c>
      <c r="F72" s="22">
        <f t="shared" si="5"/>
        <v>0</v>
      </c>
    </row>
    <row r="73" spans="1:6" x14ac:dyDescent="0.2">
      <c r="A73" s="20">
        <v>7</v>
      </c>
      <c r="B73" s="202" t="s">
        <v>6</v>
      </c>
      <c r="C73" s="203"/>
      <c r="D73" s="15">
        <f t="shared" si="4"/>
        <v>22927</v>
      </c>
      <c r="E73" s="18">
        <f>IF(F3="1",SUMIF(Data!A:A,'31'!$A$2,Data!EE:EE),0)</f>
        <v>176389</v>
      </c>
      <c r="F73" s="22">
        <f t="shared" si="5"/>
        <v>7.6935054738954074</v>
      </c>
    </row>
    <row r="74" spans="1:6" x14ac:dyDescent="0.2">
      <c r="A74" s="20">
        <v>8</v>
      </c>
      <c r="B74" s="202" t="s">
        <v>7</v>
      </c>
      <c r="C74" s="203"/>
      <c r="D74" s="15">
        <f t="shared" si="4"/>
        <v>12716</v>
      </c>
      <c r="E74" s="18">
        <f>IF(F3="1",SUMIF(Data!A:A,'31'!$A$2,Data!EF:EF),0)</f>
        <v>43155</v>
      </c>
      <c r="F74" s="22">
        <f t="shared" si="5"/>
        <v>3.3937558980811575</v>
      </c>
    </row>
    <row r="75" spans="1:6" x14ac:dyDescent="0.2">
      <c r="A75" s="20">
        <v>9</v>
      </c>
      <c r="B75" s="202" t="s">
        <v>8</v>
      </c>
      <c r="C75" s="203"/>
      <c r="D75" s="15">
        <f t="shared" si="4"/>
        <v>109712</v>
      </c>
      <c r="E75" s="18">
        <f>IF(F3="1",SUMIF(Data!A:A,'31'!$A$2,Data!EG:EG),0)</f>
        <v>222343</v>
      </c>
      <c r="F75" s="22">
        <f t="shared" si="5"/>
        <v>2.0266060230421465</v>
      </c>
    </row>
    <row r="76" spans="1:6" x14ac:dyDescent="0.2">
      <c r="A76" s="20">
        <v>10</v>
      </c>
      <c r="B76" s="202" t="s">
        <v>9</v>
      </c>
      <c r="C76" s="203"/>
      <c r="D76" s="15">
        <f t="shared" si="4"/>
        <v>0</v>
      </c>
      <c r="E76" s="18">
        <f>IF(F3="1",SUMIF(Data!A:A,'31'!$A$2,Data!EH:EH),0)</f>
        <v>0</v>
      </c>
      <c r="F76" s="22" t="str">
        <f t="shared" si="5"/>
        <v/>
      </c>
    </row>
    <row r="77" spans="1:6" x14ac:dyDescent="0.2">
      <c r="A77" s="20">
        <v>11</v>
      </c>
      <c r="B77" s="202" t="s">
        <v>10</v>
      </c>
      <c r="C77" s="203"/>
      <c r="D77" s="15">
        <f t="shared" si="4"/>
        <v>11744</v>
      </c>
      <c r="E77" s="18">
        <f>IF(F3="1",SUMIF(Data!A:A,'31'!$A$2,Data!EI:EI),0)</f>
        <v>49431</v>
      </c>
      <c r="F77" s="22">
        <f t="shared" si="5"/>
        <v>4.2090429155313354</v>
      </c>
    </row>
    <row r="78" spans="1:6" ht="14.25" customHeight="1" x14ac:dyDescent="0.2">
      <c r="A78" s="20">
        <v>12</v>
      </c>
      <c r="B78" s="202" t="s">
        <v>11</v>
      </c>
      <c r="C78" s="203"/>
      <c r="D78" s="15">
        <f t="shared" si="4"/>
        <v>183888</v>
      </c>
      <c r="E78" s="18">
        <f>IF(F3="1",SUMIF(Data!A:A,'31'!$A$2,Data!EJ:EJ),0)</f>
        <v>422227</v>
      </c>
      <c r="F78" s="22">
        <f t="shared" si="5"/>
        <v>2.2961095884451406</v>
      </c>
    </row>
    <row r="79" spans="1:6" x14ac:dyDescent="0.2">
      <c r="A79" s="20">
        <v>13</v>
      </c>
      <c r="B79" s="202" t="s">
        <v>12</v>
      </c>
      <c r="C79" s="203"/>
      <c r="D79" s="15">
        <f t="shared" si="4"/>
        <v>16032</v>
      </c>
      <c r="E79" s="18">
        <f>IF(F3="1",SUMIF(Data!A:A,'31'!$A$2,Data!EK:EK),0)</f>
        <v>69512</v>
      </c>
      <c r="F79" s="22">
        <f t="shared" si="5"/>
        <v>4.3358283433133735</v>
      </c>
    </row>
    <row r="80" spans="1:6" ht="14.25" customHeight="1" x14ac:dyDescent="0.2">
      <c r="A80" s="20">
        <v>14</v>
      </c>
      <c r="B80" s="202" t="s">
        <v>449</v>
      </c>
      <c r="C80" s="203"/>
      <c r="D80" s="15">
        <f t="shared" si="4"/>
        <v>69844</v>
      </c>
      <c r="E80" s="18">
        <f>IF(F3="1",SUMIF(Data!A:A,'31'!$A$2,Data!EL:EL),0)</f>
        <v>319653</v>
      </c>
      <c r="F80" s="22">
        <f t="shared" si="5"/>
        <v>4.5766708665024911</v>
      </c>
    </row>
    <row r="81" spans="1:6" x14ac:dyDescent="0.2">
      <c r="A81" s="20">
        <v>15</v>
      </c>
      <c r="B81" s="202" t="s">
        <v>13</v>
      </c>
      <c r="C81" s="203"/>
      <c r="D81" s="15">
        <f t="shared" si="4"/>
        <v>21808</v>
      </c>
      <c r="E81" s="18">
        <f>IF(F3="1",SUMIF(Data!A:A,'31'!$A$2,Data!EM:EM),0)</f>
        <v>218290</v>
      </c>
      <c r="F81" s="22">
        <f t="shared" si="5"/>
        <v>10.009629493763756</v>
      </c>
    </row>
    <row r="82" spans="1:6" x14ac:dyDescent="0.2">
      <c r="A82" s="20">
        <v>16</v>
      </c>
      <c r="B82" s="202" t="s">
        <v>14</v>
      </c>
      <c r="C82" s="203"/>
      <c r="D82" s="15">
        <f t="shared" si="4"/>
        <v>83955</v>
      </c>
      <c r="E82" s="18">
        <f>IF(F3="1",SUMIF(Data!A:A,'31'!$A$2,Data!EN:EN),0)</f>
        <v>368149</v>
      </c>
      <c r="F82" s="22">
        <f t="shared" si="5"/>
        <v>4.3850753379786793</v>
      </c>
    </row>
    <row r="83" spans="1:6" x14ac:dyDescent="0.2">
      <c r="A83" s="20">
        <v>17</v>
      </c>
      <c r="B83" s="202" t="s">
        <v>15</v>
      </c>
      <c r="C83" s="203"/>
      <c r="D83" s="15">
        <f t="shared" si="4"/>
        <v>0</v>
      </c>
      <c r="E83" s="18">
        <f>IF(F3="1",SUMIF(Data!A:A,'31'!$A$2,Data!EO:EO),0)</f>
        <v>0</v>
      </c>
      <c r="F83" s="22" t="str">
        <f t="shared" si="5"/>
        <v/>
      </c>
    </row>
    <row r="84" spans="1:6" x14ac:dyDescent="0.2">
      <c r="A84" s="20">
        <v>18</v>
      </c>
      <c r="B84" s="202" t="s">
        <v>16</v>
      </c>
      <c r="C84" s="203"/>
      <c r="D84" s="15">
        <f t="shared" si="4"/>
        <v>29696</v>
      </c>
      <c r="E84" s="18">
        <f>IF(F3="1",SUMIF(Data!A:A,'31'!$A$2,Data!EP:EP),0)</f>
        <v>228579</v>
      </c>
      <c r="F84" s="22">
        <f t="shared" si="5"/>
        <v>7.6972992995689653</v>
      </c>
    </row>
    <row r="85" spans="1:6" x14ac:dyDescent="0.2">
      <c r="A85" s="20">
        <v>19</v>
      </c>
      <c r="B85" s="202" t="s">
        <v>17</v>
      </c>
      <c r="C85" s="203"/>
      <c r="D85" s="15">
        <f t="shared" si="4"/>
        <v>97008</v>
      </c>
      <c r="E85" s="18">
        <f>IF(F3="1",SUMIF(Data!A:A,'31'!$A$2,Data!EQ:EQ),0)</f>
        <v>391008</v>
      </c>
      <c r="F85" s="22">
        <f t="shared" si="5"/>
        <v>4.0306778822365166</v>
      </c>
    </row>
    <row r="86" spans="1:6" x14ac:dyDescent="0.2">
      <c r="A86" s="20">
        <v>20</v>
      </c>
      <c r="B86" s="202" t="s">
        <v>18</v>
      </c>
      <c r="C86" s="203"/>
      <c r="D86" s="15">
        <f t="shared" si="4"/>
        <v>35472</v>
      </c>
      <c r="E86" s="18">
        <f>IF(F3="1",SUMIF(Data!A:A,'31'!$A$2,Data!ER:ER),0)</f>
        <v>259868</v>
      </c>
      <c r="F86" s="22">
        <f t="shared" si="5"/>
        <v>7.3260036084799278</v>
      </c>
    </row>
    <row r="87" spans="1:6" ht="14.25" customHeight="1" x14ac:dyDescent="0.2">
      <c r="A87" s="20">
        <v>21</v>
      </c>
      <c r="B87" s="202" t="s">
        <v>446</v>
      </c>
      <c r="C87" s="203"/>
      <c r="D87" s="15">
        <f t="shared" si="4"/>
        <v>0</v>
      </c>
      <c r="E87" s="18">
        <f>IF(F3="1",SUMIF(Data!A:A,'31'!$A$2,Data!ES:ES),0)</f>
        <v>0</v>
      </c>
      <c r="F87" s="22" t="str">
        <f t="shared" si="5"/>
        <v/>
      </c>
    </row>
    <row r="88" spans="1:6" x14ac:dyDescent="0.2">
      <c r="A88" s="20">
        <v>22</v>
      </c>
      <c r="B88" s="202" t="s">
        <v>19</v>
      </c>
      <c r="C88" s="203"/>
      <c r="D88" s="15">
        <f t="shared" si="4"/>
        <v>0</v>
      </c>
      <c r="E88" s="18">
        <f>IF(F3="1",SUMIF(Data!A:A,'31'!$A$2,Data!ET:ET),0)</f>
        <v>0</v>
      </c>
      <c r="F88" s="22" t="str">
        <f t="shared" si="5"/>
        <v/>
      </c>
    </row>
    <row r="89" spans="1:6" x14ac:dyDescent="0.2">
      <c r="A89" s="20">
        <v>23</v>
      </c>
      <c r="B89" s="202" t="s">
        <v>20</v>
      </c>
      <c r="C89" s="203"/>
      <c r="D89" s="15">
        <f t="shared" si="4"/>
        <v>48720</v>
      </c>
      <c r="E89" s="18">
        <f>IF(F3="1",SUMIF(Data!A:A,'31'!$A$2,Data!EU:EU),0)</f>
        <v>128436</v>
      </c>
      <c r="F89" s="22">
        <f t="shared" si="5"/>
        <v>2.636206896551724</v>
      </c>
    </row>
    <row r="90" spans="1:6" x14ac:dyDescent="0.2">
      <c r="A90" s="20">
        <v>24</v>
      </c>
      <c r="B90" s="202" t="s">
        <v>21</v>
      </c>
      <c r="C90" s="203"/>
      <c r="D90" s="15">
        <f t="shared" si="4"/>
        <v>56220</v>
      </c>
      <c r="E90" s="18">
        <f>IF(F3="1",SUMIF(Data!A:A,'31'!$A$2,Data!EV:EV),0)</f>
        <v>236611</v>
      </c>
      <c r="F90" s="22">
        <f t="shared" si="5"/>
        <v>4.2086623977232298</v>
      </c>
    </row>
    <row r="91" spans="1:6" x14ac:dyDescent="0.2">
      <c r="A91" s="20">
        <v>25</v>
      </c>
      <c r="B91" s="202" t="s">
        <v>22</v>
      </c>
      <c r="C91" s="203"/>
      <c r="D91" s="15">
        <f t="shared" si="4"/>
        <v>243904</v>
      </c>
      <c r="E91" s="18">
        <f>IF(F3="1",SUMIF(Data!A:A,'31'!$A$2,Data!EW:EW),0)</f>
        <v>600807</v>
      </c>
      <c r="F91" s="22">
        <f t="shared" si="5"/>
        <v>2.4632929349252164</v>
      </c>
    </row>
    <row r="92" spans="1:6" x14ac:dyDescent="0.2">
      <c r="A92" s="20">
        <v>26</v>
      </c>
      <c r="B92" s="202" t="s">
        <v>23</v>
      </c>
      <c r="C92" s="203"/>
      <c r="D92" s="15">
        <f t="shared" si="4"/>
        <v>51928</v>
      </c>
      <c r="E92" s="18">
        <f>IF(F3="1",SUMIF(Data!A:A,'31'!$A$2,Data!EX:EX),0)</f>
        <v>286852</v>
      </c>
      <c r="F92" s="22">
        <f t="shared" si="5"/>
        <v>5.5240332768448619</v>
      </c>
    </row>
    <row r="93" spans="1:6" x14ac:dyDescent="0.2">
      <c r="A93" s="20">
        <v>28</v>
      </c>
      <c r="B93" s="202" t="s">
        <v>24</v>
      </c>
      <c r="C93" s="203"/>
      <c r="D93" s="15">
        <f t="shared" si="4"/>
        <v>53712</v>
      </c>
      <c r="E93" s="18">
        <f>IF(F3="1",SUMIF(Data!A:A,'31'!$A$2,Data!EZ:EZ),0)</f>
        <v>69540</v>
      </c>
      <c r="F93" s="22">
        <f t="shared" si="5"/>
        <v>1.2946827524575515</v>
      </c>
    </row>
    <row r="94" spans="1:6" ht="15.75" customHeight="1" thickBot="1" x14ac:dyDescent="0.25">
      <c r="A94" s="23">
        <v>29</v>
      </c>
      <c r="B94" s="206" t="s">
        <v>25</v>
      </c>
      <c r="C94" s="207"/>
      <c r="D94" s="24">
        <f t="shared" si="4"/>
        <v>32928</v>
      </c>
      <c r="E94" s="25">
        <f>IF(F3="1",SUMIF(Data!A:A,'31'!$A$2,Data!FA:FA),0)</f>
        <v>69539</v>
      </c>
      <c r="F94" s="26">
        <f t="shared" si="5"/>
        <v>2.1118500971817298</v>
      </c>
    </row>
    <row r="95" spans="1:6" x14ac:dyDescent="0.2">
      <c r="B95" s="31" t="s">
        <v>35</v>
      </c>
      <c r="C95" s="31"/>
      <c r="D95" s="60">
        <f>SUM(D67:D94)</f>
        <v>1536750</v>
      </c>
      <c r="E95" s="32">
        <f>SUM(E67:E94)</f>
        <v>5447677</v>
      </c>
      <c r="F95" s="33">
        <f t="shared" si="5"/>
        <v>3.5449337888400847</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IF(F3="1",SUMIF(Data!A:A,'31'!$A$2,Data!AH:AH),0)</f>
        <v>2563259</v>
      </c>
      <c r="F98" s="21">
        <f t="shared" ref="F98:F105" si="6">IFERROR(E98/$D$95,0)</f>
        <v>1.667973971042785</v>
      </c>
    </row>
    <row r="99" spans="2:6" x14ac:dyDescent="0.2">
      <c r="B99" s="212" t="s">
        <v>31</v>
      </c>
      <c r="C99" s="213"/>
      <c r="D99" s="37"/>
      <c r="E99" s="18">
        <f>IF(F3="1",SUMIF(Data!A:A,'31'!$A$2,Data!AI:AI),0)</f>
        <v>832098</v>
      </c>
      <c r="F99" s="22">
        <f t="shared" si="6"/>
        <v>0.54146608101512939</v>
      </c>
    </row>
    <row r="100" spans="2:6" x14ac:dyDescent="0.2">
      <c r="B100" s="212" t="s">
        <v>32</v>
      </c>
      <c r="C100" s="213"/>
      <c r="D100" s="37"/>
      <c r="E100" s="18">
        <f>IF(F3="1",SUMIF(Data!A:A,'31'!$A$2,Data!AJ:AJ),0)</f>
        <v>698231</v>
      </c>
      <c r="F100" s="22">
        <f t="shared" si="6"/>
        <v>0.4543556206279486</v>
      </c>
    </row>
    <row r="101" spans="2:6" x14ac:dyDescent="0.2">
      <c r="B101" s="212" t="s">
        <v>28</v>
      </c>
      <c r="C101" s="213"/>
      <c r="D101" s="37"/>
      <c r="E101" s="18">
        <f>IF(F3="1",SUMIF(Data!A:A,'31'!$A$2,Data!AK:AK),0)</f>
        <v>0</v>
      </c>
      <c r="F101" s="22">
        <f t="shared" si="6"/>
        <v>0</v>
      </c>
    </row>
    <row r="102" spans="2:6" x14ac:dyDescent="0.2">
      <c r="B102" s="212" t="s">
        <v>33</v>
      </c>
      <c r="C102" s="213"/>
      <c r="D102" s="37"/>
      <c r="E102" s="18">
        <f>IF(F3="1",SUMIF(Data!A:A,'31'!$A$2,Data!AL:AL),0)</f>
        <v>0</v>
      </c>
      <c r="F102" s="22">
        <f t="shared" si="6"/>
        <v>0</v>
      </c>
    </row>
    <row r="103" spans="2:6" x14ac:dyDescent="0.2">
      <c r="B103" s="214" t="s">
        <v>34</v>
      </c>
      <c r="C103" s="215"/>
      <c r="D103" s="37"/>
      <c r="E103" s="18">
        <f>IF(F3="1",SUMIF(Data!A:A,'31'!$A$2,Data!AM:AM),0)</f>
        <v>0</v>
      </c>
      <c r="F103" s="22">
        <f t="shared" si="6"/>
        <v>0</v>
      </c>
    </row>
    <row r="104" spans="2:6" ht="15.75" customHeight="1" thickBot="1" x14ac:dyDescent="0.25">
      <c r="B104" s="208" t="s">
        <v>29</v>
      </c>
      <c r="C104" s="209"/>
      <c r="D104" s="38"/>
      <c r="E104" s="25">
        <f>IF(F3="1",SUMIF(Data!A:A,'31'!$A$2,Data!Q:Q),0)</f>
        <v>406453</v>
      </c>
      <c r="F104" s="26">
        <f t="shared" si="6"/>
        <v>0.2644886936717098</v>
      </c>
    </row>
    <row r="105" spans="2:6" x14ac:dyDescent="0.2">
      <c r="B105" s="31" t="s">
        <v>35</v>
      </c>
      <c r="C105" s="31"/>
      <c r="D105" s="35">
        <f>D95</f>
        <v>1536750</v>
      </c>
      <c r="E105" s="32">
        <f>SUM(E98:E104)</f>
        <v>4500041</v>
      </c>
      <c r="F105" s="33">
        <f t="shared" si="6"/>
        <v>2.9282843663575728</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5822791</v>
      </c>
      <c r="D109" s="192">
        <f>IF(F3="1",SUMIF(Data!$A:$A,$A$2,Data!HJ:HJ),0)</f>
        <v>837047</v>
      </c>
      <c r="E109" s="192">
        <f>IF(F3="1",SUMIF(Data!$A:$A,$A$2,Data!IN:IN),0)</f>
        <v>465225</v>
      </c>
      <c r="F109" s="48">
        <f>SUM(C109:E109)</f>
        <v>7125063</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48921</v>
      </c>
      <c r="D111" s="52"/>
      <c r="E111" s="193">
        <f>IF(F3="1",SUMIF(Data!A:A,$A$2,Data!AX:AX)-SUMIF(Data!A:A,$A$2,Data!AW:AW),0)</f>
        <v>97805</v>
      </c>
      <c r="F111" s="49">
        <f t="shared" si="7"/>
        <v>146726</v>
      </c>
    </row>
    <row r="112" spans="2:6" x14ac:dyDescent="0.2">
      <c r="B112" s="43" t="s">
        <v>32</v>
      </c>
      <c r="C112" s="193">
        <f>IF(F3="1",SUMIF(Data!A:A,$A$2,Data!V:V),0)</f>
        <v>605571</v>
      </c>
      <c r="D112" s="52"/>
      <c r="E112" s="193">
        <f>IF(F3="1",SUMIF(Data!A:A,$A$2,Data!AC:AC),0)</f>
        <v>92660</v>
      </c>
      <c r="F112" s="49">
        <f t="shared" si="7"/>
        <v>698231</v>
      </c>
    </row>
    <row r="113" spans="1:6" x14ac:dyDescent="0.2">
      <c r="B113" s="43" t="s">
        <v>31</v>
      </c>
      <c r="C113" s="193">
        <f>IF(F3="1",SUMIF(Data!A:A,$A$2,Data!U:U),0)</f>
        <v>702629</v>
      </c>
      <c r="D113" s="52"/>
      <c r="E113" s="193">
        <f>IF(F3="1",SUMIF(Data!A:A,$A$2,Data!AB:AB),0)</f>
        <v>129469</v>
      </c>
      <c r="F113" s="49">
        <f t="shared" si="7"/>
        <v>832098</v>
      </c>
    </row>
    <row r="114" spans="1:6" x14ac:dyDescent="0.2">
      <c r="B114" s="43" t="s">
        <v>1002</v>
      </c>
      <c r="C114" s="193">
        <f>IF(F3="1",SUMIF(Data!A:A,$A$2,Data!T:T),0)</f>
        <v>1470307</v>
      </c>
      <c r="D114" s="52"/>
      <c r="E114" s="193">
        <f>IF(F3="1",SUMIF(Data!A:A,$A$2,Data!AA:AA),0)</f>
        <v>1092952</v>
      </c>
      <c r="F114" s="49">
        <f t="shared" si="7"/>
        <v>2563259</v>
      </c>
    </row>
    <row r="115" spans="1:6" x14ac:dyDescent="0.2">
      <c r="B115" s="43" t="s">
        <v>916</v>
      </c>
      <c r="C115" s="193">
        <f>IF(F3="1",SUMIF(Data!A:A,$A$2,Data!BI:BI),0)</f>
        <v>269987</v>
      </c>
      <c r="D115" s="193">
        <f>IF(F3="1",SUMIF(Data!A:A,$A$2,Data!BL:BL),0)</f>
        <v>38812</v>
      </c>
      <c r="E115" s="193">
        <f>IF(F3="1",SUMIF(Data!A:A,$A$2,Data!BU:BU)-SUMIF(Data!A:A,$A$2,Data!BT:BT),0)</f>
        <v>947266</v>
      </c>
      <c r="F115" s="49">
        <f t="shared" si="7"/>
        <v>1256065</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406453</v>
      </c>
      <c r="E117" s="53"/>
      <c r="F117" s="50">
        <f>SUM(C117:E117)</f>
        <v>406453</v>
      </c>
    </row>
    <row r="118" spans="1:6" x14ac:dyDescent="0.2">
      <c r="B118" s="14" t="s">
        <v>35</v>
      </c>
      <c r="C118" s="178">
        <f>SUM(C109:C117)</f>
        <v>8920206</v>
      </c>
      <c r="D118" s="194">
        <f>SUM(D109:D117)</f>
        <v>1282312</v>
      </c>
      <c r="E118" s="178">
        <f>SUM(E109:E117)</f>
        <v>2825377</v>
      </c>
      <c r="F118" s="178">
        <f>SUM(F109:F117)</f>
        <v>13027895</v>
      </c>
    </row>
    <row r="119" spans="1:6" x14ac:dyDescent="0.2">
      <c r="C119" s="177"/>
      <c r="D119" s="177"/>
      <c r="E119" s="177"/>
    </row>
    <row r="120" spans="1:6" ht="15" thickBot="1" x14ac:dyDescent="0.25">
      <c r="B120" s="188" t="s">
        <v>921</v>
      </c>
      <c r="C120" s="53"/>
      <c r="D120" s="53"/>
      <c r="E120" s="195">
        <f>IF(F3="1",SUMIF(Data!A:A,$A$2,Data!AF:AF)+SUMIF(Data!A:A,$A$2,Data!AW:AW)+SUMIF(Data!A:A,$A$2,Data!BT:BT),0)</f>
        <v>496485</v>
      </c>
      <c r="F120" s="181">
        <f>SUM(C120:E120)</f>
        <v>496485</v>
      </c>
    </row>
    <row r="121" spans="1:6" s="177" customFormat="1" x14ac:dyDescent="0.2">
      <c r="B121" s="14" t="s">
        <v>35</v>
      </c>
      <c r="C121" s="178">
        <f>SUM(C120:C120)</f>
        <v>0</v>
      </c>
      <c r="D121" s="178">
        <f>SUM(D120:D120)</f>
        <v>0</v>
      </c>
      <c r="E121" s="178">
        <f>SUM(E120:E120)</f>
        <v>496485</v>
      </c>
      <c r="F121" s="178">
        <f>SUM(F120:F120)</f>
        <v>496485</v>
      </c>
    </row>
    <row r="122" spans="1:6" s="177" customFormat="1" ht="15" thickBot="1" x14ac:dyDescent="0.25">
      <c r="B122" s="14" t="s">
        <v>1396</v>
      </c>
      <c r="C122" s="178"/>
      <c r="D122" s="178"/>
      <c r="E122" s="178"/>
      <c r="F122" s="190">
        <f>F118+F121</f>
        <v>13524380</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382</v>
      </c>
      <c r="B2" s="59" t="str">
        <f>VLOOKUP(A2,Data!A:G,7,0)</f>
        <v>Odessa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20336</v>
      </c>
      <c r="E5" s="16">
        <f>E36+E67+IFERROR($E$105/$D$105*D5,0)</f>
        <v>191598.26480635547</v>
      </c>
      <c r="F5" s="21">
        <f>IFERROR(E5/D5,"")</f>
        <v>9.4216298586917517</v>
      </c>
    </row>
    <row r="6" spans="1:6" x14ac:dyDescent="0.2">
      <c r="A6" s="20">
        <v>2</v>
      </c>
      <c r="B6" s="202" t="s">
        <v>1</v>
      </c>
      <c r="C6" s="203"/>
      <c r="D6" s="15">
        <f t="shared" ref="D6:D32" si="0">D37</f>
        <v>30672</v>
      </c>
      <c r="E6" s="18">
        <f t="shared" ref="E6:E32" si="1">E37+E68+IFERROR($E$105/$D$105*D6,0)</f>
        <v>378208.50325238658</v>
      </c>
      <c r="F6" s="22">
        <f t="shared" ref="F6:F33" si="2">IFERROR(E6/D6,"")</f>
        <v>12.330741498838895</v>
      </c>
    </row>
    <row r="7" spans="1:6" ht="14.25" customHeight="1" x14ac:dyDescent="0.2">
      <c r="A7" s="20">
        <v>3</v>
      </c>
      <c r="B7" s="202" t="s">
        <v>2</v>
      </c>
      <c r="C7" s="203"/>
      <c r="D7" s="15">
        <f t="shared" si="0"/>
        <v>243672</v>
      </c>
      <c r="E7" s="18">
        <f t="shared" si="1"/>
        <v>2370630.6647272939</v>
      </c>
      <c r="F7" s="22">
        <f t="shared" si="2"/>
        <v>9.7287774743396618</v>
      </c>
    </row>
    <row r="8" spans="1:6" ht="14.25" customHeight="1" x14ac:dyDescent="0.2">
      <c r="A8" s="20">
        <v>4</v>
      </c>
      <c r="B8" s="202" t="s">
        <v>3</v>
      </c>
      <c r="C8" s="203"/>
      <c r="D8" s="15">
        <f t="shared" si="0"/>
        <v>158110</v>
      </c>
      <c r="E8" s="18">
        <f t="shared" si="1"/>
        <v>1851267.4787830871</v>
      </c>
      <c r="F8" s="22">
        <f t="shared" si="2"/>
        <v>11.708731128853881</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43055</v>
      </c>
      <c r="E10" s="18">
        <f t="shared" si="1"/>
        <v>266064.44449437619</v>
      </c>
      <c r="F10" s="22">
        <f t="shared" si="2"/>
        <v>6.1796410287858832</v>
      </c>
    </row>
    <row r="11" spans="1:6" x14ac:dyDescent="0.2">
      <c r="A11" s="20">
        <v>7</v>
      </c>
      <c r="B11" s="202" t="s">
        <v>6</v>
      </c>
      <c r="C11" s="203"/>
      <c r="D11" s="15">
        <f t="shared" si="0"/>
        <v>32082</v>
      </c>
      <c r="E11" s="18">
        <f t="shared" si="1"/>
        <v>217141.42896919235</v>
      </c>
      <c r="F11" s="22">
        <f t="shared" si="2"/>
        <v>6.7683258203725565</v>
      </c>
    </row>
    <row r="12" spans="1:6" x14ac:dyDescent="0.2">
      <c r="A12" s="20">
        <v>8</v>
      </c>
      <c r="B12" s="202" t="s">
        <v>7</v>
      </c>
      <c r="C12" s="203"/>
      <c r="D12" s="15">
        <f t="shared" si="0"/>
        <v>50975</v>
      </c>
      <c r="E12" s="18">
        <f t="shared" si="1"/>
        <v>329642.729371753</v>
      </c>
      <c r="F12" s="22">
        <f t="shared" si="2"/>
        <v>6.4667529057724966</v>
      </c>
    </row>
    <row r="13" spans="1:6" x14ac:dyDescent="0.2">
      <c r="A13" s="20">
        <v>9</v>
      </c>
      <c r="B13" s="202" t="s">
        <v>8</v>
      </c>
      <c r="C13" s="203"/>
      <c r="D13" s="15">
        <f t="shared" si="0"/>
        <v>152152</v>
      </c>
      <c r="E13" s="18">
        <f t="shared" si="1"/>
        <v>1479346.0394776058</v>
      </c>
      <c r="F13" s="22">
        <f t="shared" si="2"/>
        <v>9.7228169164888136</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106075</v>
      </c>
      <c r="E15" s="18">
        <f t="shared" si="1"/>
        <v>1120645.2946171397</v>
      </c>
      <c r="F15" s="22">
        <f t="shared" si="2"/>
        <v>10.564650432402919</v>
      </c>
    </row>
    <row r="16" spans="1:6" ht="14.25" customHeight="1" x14ac:dyDescent="0.2">
      <c r="A16" s="20">
        <v>12</v>
      </c>
      <c r="B16" s="202" t="s">
        <v>11</v>
      </c>
      <c r="C16" s="203"/>
      <c r="D16" s="15">
        <f t="shared" si="0"/>
        <v>219936</v>
      </c>
      <c r="E16" s="18">
        <f t="shared" si="1"/>
        <v>2354952.1109584281</v>
      </c>
      <c r="F16" s="22">
        <f t="shared" si="2"/>
        <v>10.707442669496709</v>
      </c>
    </row>
    <row r="17" spans="1:6" x14ac:dyDescent="0.2">
      <c r="A17" s="20">
        <v>13</v>
      </c>
      <c r="B17" s="202" t="s">
        <v>12</v>
      </c>
      <c r="C17" s="203"/>
      <c r="D17" s="15">
        <f t="shared" si="0"/>
        <v>11152</v>
      </c>
      <c r="E17" s="18">
        <f t="shared" si="1"/>
        <v>120871.46779703363</v>
      </c>
      <c r="F17" s="22">
        <f t="shared" si="2"/>
        <v>10.838546251527406</v>
      </c>
    </row>
    <row r="18" spans="1:6" ht="14.25" customHeight="1" x14ac:dyDescent="0.2">
      <c r="A18" s="20">
        <v>14</v>
      </c>
      <c r="B18" s="202" t="s">
        <v>449</v>
      </c>
      <c r="C18" s="203"/>
      <c r="D18" s="15">
        <f t="shared" si="0"/>
        <v>127810</v>
      </c>
      <c r="E18" s="18">
        <f t="shared" si="1"/>
        <v>1913942.1389113045</v>
      </c>
      <c r="F18" s="22">
        <f t="shared" si="2"/>
        <v>14.974901329405403</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170871</v>
      </c>
      <c r="E20" s="18">
        <f t="shared" si="1"/>
        <v>2208118.408621497</v>
      </c>
      <c r="F20" s="22">
        <f t="shared" si="2"/>
        <v>12.922721869840387</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88640</v>
      </c>
      <c r="E22" s="18">
        <f t="shared" si="1"/>
        <v>985710.52165791439</v>
      </c>
      <c r="F22" s="22">
        <f t="shared" si="2"/>
        <v>11.120380433866362</v>
      </c>
    </row>
    <row r="23" spans="1:6" x14ac:dyDescent="0.2">
      <c r="A23" s="20">
        <v>19</v>
      </c>
      <c r="B23" s="202" t="s">
        <v>17</v>
      </c>
      <c r="C23" s="203"/>
      <c r="D23" s="15">
        <f t="shared" si="0"/>
        <v>103056</v>
      </c>
      <c r="E23" s="18">
        <f t="shared" si="1"/>
        <v>1102641.9068589578</v>
      </c>
      <c r="F23" s="22">
        <f t="shared" si="2"/>
        <v>10.699444058171848</v>
      </c>
    </row>
    <row r="24" spans="1:6" x14ac:dyDescent="0.2">
      <c r="A24" s="20">
        <v>20</v>
      </c>
      <c r="B24" s="202" t="s">
        <v>18</v>
      </c>
      <c r="C24" s="203"/>
      <c r="D24" s="15">
        <f t="shared" si="0"/>
        <v>50080</v>
      </c>
      <c r="E24" s="18">
        <f t="shared" si="1"/>
        <v>398723.46801250399</v>
      </c>
      <c r="F24" s="22">
        <f t="shared" si="2"/>
        <v>7.9617305913039935</v>
      </c>
    </row>
    <row r="25" spans="1:6" ht="14.25" customHeight="1" x14ac:dyDescent="0.2">
      <c r="A25" s="20">
        <v>21</v>
      </c>
      <c r="B25" s="202" t="s">
        <v>446</v>
      </c>
      <c r="C25" s="203"/>
      <c r="D25" s="15">
        <f t="shared" si="0"/>
        <v>41992</v>
      </c>
      <c r="E25" s="18">
        <f t="shared" si="1"/>
        <v>1178075.0770922736</v>
      </c>
      <c r="F25" s="22">
        <f t="shared" si="2"/>
        <v>28.054750359408306</v>
      </c>
    </row>
    <row r="26" spans="1:6" x14ac:dyDescent="0.2">
      <c r="A26" s="20">
        <v>22</v>
      </c>
      <c r="B26" s="202" t="s">
        <v>19</v>
      </c>
      <c r="C26" s="203"/>
      <c r="D26" s="15">
        <f t="shared" si="0"/>
        <v>6032</v>
      </c>
      <c r="E26" s="18">
        <f t="shared" si="1"/>
        <v>81780.9503005476</v>
      </c>
      <c r="F26" s="22">
        <f t="shared" si="2"/>
        <v>13.557849850886539</v>
      </c>
    </row>
    <row r="27" spans="1:6" x14ac:dyDescent="0.2">
      <c r="A27" s="20">
        <v>23</v>
      </c>
      <c r="B27" s="202" t="s">
        <v>20</v>
      </c>
      <c r="C27" s="203"/>
      <c r="D27" s="15">
        <f t="shared" si="0"/>
        <v>87840</v>
      </c>
      <c r="E27" s="18">
        <f t="shared" si="1"/>
        <v>939235.15954908845</v>
      </c>
      <c r="F27" s="22">
        <f t="shared" si="2"/>
        <v>10.692567845504195</v>
      </c>
    </row>
    <row r="28" spans="1:6" x14ac:dyDescent="0.2">
      <c r="A28" s="20">
        <v>24</v>
      </c>
      <c r="B28" s="202" t="s">
        <v>21</v>
      </c>
      <c r="C28" s="203"/>
      <c r="D28" s="15">
        <f t="shared" si="0"/>
        <v>68685</v>
      </c>
      <c r="E28" s="18">
        <f t="shared" si="1"/>
        <v>856105.15805588732</v>
      </c>
      <c r="F28" s="22">
        <f t="shared" si="2"/>
        <v>12.464223018939904</v>
      </c>
    </row>
    <row r="29" spans="1:6" x14ac:dyDescent="0.2">
      <c r="A29" s="20">
        <v>25</v>
      </c>
      <c r="B29" s="202" t="s">
        <v>22</v>
      </c>
      <c r="C29" s="203"/>
      <c r="D29" s="15">
        <f t="shared" si="0"/>
        <v>293616</v>
      </c>
      <c r="E29" s="18">
        <f t="shared" si="1"/>
        <v>2747911.7611812972</v>
      </c>
      <c r="F29" s="22">
        <f t="shared" si="2"/>
        <v>9.3588624638347273</v>
      </c>
    </row>
    <row r="30" spans="1:6" x14ac:dyDescent="0.2">
      <c r="A30" s="20">
        <v>26</v>
      </c>
      <c r="B30" s="202" t="s">
        <v>23</v>
      </c>
      <c r="C30" s="203"/>
      <c r="D30" s="15">
        <f t="shared" si="0"/>
        <v>122368</v>
      </c>
      <c r="E30" s="18">
        <f t="shared" si="1"/>
        <v>1350867.6681660162</v>
      </c>
      <c r="F30" s="22">
        <f t="shared" si="2"/>
        <v>11.03938667107427</v>
      </c>
    </row>
    <row r="31" spans="1:6" x14ac:dyDescent="0.2">
      <c r="A31" s="20">
        <v>28</v>
      </c>
      <c r="B31" s="202" t="s">
        <v>24</v>
      </c>
      <c r="C31" s="203"/>
      <c r="D31" s="15">
        <f t="shared" si="0"/>
        <v>94896</v>
      </c>
      <c r="E31" s="18">
        <f t="shared" si="1"/>
        <v>913869.61334893329</v>
      </c>
      <c r="F31" s="22">
        <f t="shared" si="2"/>
        <v>9.6302227001025678</v>
      </c>
    </row>
    <row r="32" spans="1:6" ht="15.75" customHeight="1" thickBot="1" x14ac:dyDescent="0.25">
      <c r="A32" s="23">
        <v>29</v>
      </c>
      <c r="B32" s="206" t="s">
        <v>25</v>
      </c>
      <c r="C32" s="207"/>
      <c r="D32" s="24">
        <f t="shared" si="0"/>
        <v>61376</v>
      </c>
      <c r="E32" s="25">
        <f t="shared" si="1"/>
        <v>718683.74098912627</v>
      </c>
      <c r="F32" s="26">
        <f t="shared" si="2"/>
        <v>11.709523934259748</v>
      </c>
    </row>
    <row r="33" spans="1:6" x14ac:dyDescent="0.2">
      <c r="B33" s="31" t="s">
        <v>35</v>
      </c>
      <c r="C33" s="31"/>
      <c r="D33" s="60">
        <f>SUM(D5:D32)</f>
        <v>2385479</v>
      </c>
      <c r="E33" s="32">
        <f>SUM(E5:E32)</f>
        <v>26076034</v>
      </c>
      <c r="F33" s="33">
        <f t="shared" si="2"/>
        <v>10.931152192075469</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IF(F3="1",SUMIF(Data!A:A,'32'!$A$2,Data!CU:CU),0)</f>
        <v>20336</v>
      </c>
      <c r="E36" s="16">
        <f>IF(F3="1",SUMIF(Data!$A:$A,'32'!$A$2,Data!IO:IO),0)</f>
        <v>18211</v>
      </c>
      <c r="F36" s="21">
        <f t="shared" ref="F36:F64" si="3">IFERROR(E36/D36,"")</f>
        <v>0.89550550747442959</v>
      </c>
    </row>
    <row r="37" spans="1:6" x14ac:dyDescent="0.2">
      <c r="A37" s="20">
        <v>2</v>
      </c>
      <c r="B37" s="202" t="s">
        <v>1</v>
      </c>
      <c r="C37" s="203"/>
      <c r="D37" s="15">
        <f>IF(F3="1",SUMIF(Data!A:A,'32'!$A$2,Data!CV:CV),0)</f>
        <v>30672</v>
      </c>
      <c r="E37" s="18">
        <f>IF(F3="1",SUMIF(Data!$A:$A,'32'!$A$2,Data!IP:IP),0)</f>
        <v>78803</v>
      </c>
      <c r="F37" s="22">
        <f t="shared" si="3"/>
        <v>2.5692162232655189</v>
      </c>
    </row>
    <row r="38" spans="1:6" ht="14.25" customHeight="1" x14ac:dyDescent="0.2">
      <c r="A38" s="20">
        <v>3</v>
      </c>
      <c r="B38" s="202" t="s">
        <v>2</v>
      </c>
      <c r="C38" s="203"/>
      <c r="D38" s="15">
        <f>IF(F3="1",SUMIF(Data!A:A,'32'!$A$2,Data!CW:CW),0)</f>
        <v>243672</v>
      </c>
      <c r="E38" s="18">
        <f>IF(F3="1",SUMIF(Data!$A:$A,'32'!$A$2,Data!IQ:IQ),0)</f>
        <v>357281</v>
      </c>
      <c r="F38" s="22">
        <f t="shared" si="3"/>
        <v>1.466237401096556</v>
      </c>
    </row>
    <row r="39" spans="1:6" ht="14.25" customHeight="1" x14ac:dyDescent="0.2">
      <c r="A39" s="20">
        <v>4</v>
      </c>
      <c r="B39" s="202" t="s">
        <v>3</v>
      </c>
      <c r="C39" s="203"/>
      <c r="D39" s="15">
        <f>IF(F3="1",SUMIF(Data!A:A,'32'!$A$2,Data!CX:CX),0)</f>
        <v>158110</v>
      </c>
      <c r="E39" s="18">
        <f>IF(F3="1",SUMIF(Data!$A:$A,'32'!$A$2,Data!IR:IR),0)</f>
        <v>267425</v>
      </c>
      <c r="F39" s="22">
        <f t="shared" si="3"/>
        <v>1.6913857441022073</v>
      </c>
    </row>
    <row r="40" spans="1:6" x14ac:dyDescent="0.2">
      <c r="A40" s="20">
        <v>5</v>
      </c>
      <c r="B40" s="202" t="s">
        <v>4</v>
      </c>
      <c r="C40" s="203"/>
      <c r="D40" s="15">
        <f>IF(F3="1",SUMIF(Data!A:A,'32'!$A$2,Data!CY:CY),0)</f>
        <v>0</v>
      </c>
      <c r="E40" s="18">
        <f>IF(F3="1",SUMIF(Data!$A:$A,'32'!$A$2,Data!IS:IS),0)</f>
        <v>0</v>
      </c>
      <c r="F40" s="22" t="str">
        <f t="shared" si="3"/>
        <v/>
      </c>
    </row>
    <row r="41" spans="1:6" x14ac:dyDescent="0.2">
      <c r="A41" s="20">
        <v>6</v>
      </c>
      <c r="B41" s="202" t="s">
        <v>5</v>
      </c>
      <c r="C41" s="203"/>
      <c r="D41" s="15">
        <f>IF(F3="1",SUMIF(Data!A:A,'32'!$A$2,Data!CZ:CZ),0)</f>
        <v>43055</v>
      </c>
      <c r="E41" s="18">
        <f>IF(F3="1",SUMIF(Data!$A:$A,'32'!$A$2,Data!IT:IT),0)</f>
        <v>8960</v>
      </c>
      <c r="F41" s="22">
        <f t="shared" si="3"/>
        <v>0.20810591104401346</v>
      </c>
    </row>
    <row r="42" spans="1:6" x14ac:dyDescent="0.2">
      <c r="A42" s="20">
        <v>7</v>
      </c>
      <c r="B42" s="202" t="s">
        <v>6</v>
      </c>
      <c r="C42" s="203"/>
      <c r="D42" s="15">
        <f>IF(F3="1",SUMIF(Data!A:A,'32'!$A$2,Data!DA:DA),0)</f>
        <v>32082</v>
      </c>
      <c r="E42" s="18">
        <f>IF(F3="1",SUMIF(Data!$A:$A,'32'!$A$2,Data!IU:IU),0)</f>
        <v>14493</v>
      </c>
      <c r="F42" s="22">
        <f t="shared" si="3"/>
        <v>0.45174864409949506</v>
      </c>
    </row>
    <row r="43" spans="1:6" x14ac:dyDescent="0.2">
      <c r="A43" s="20">
        <v>8</v>
      </c>
      <c r="B43" s="202" t="s">
        <v>7</v>
      </c>
      <c r="C43" s="203"/>
      <c r="D43" s="15">
        <f>IF(F3="1",SUMIF(Data!A:A,'32'!$A$2,Data!DB:DB),0)</f>
        <v>50975</v>
      </c>
      <c r="E43" s="18">
        <f>IF(F3="1",SUMIF(Data!$A:$A,'32'!$A$2,Data!IV:IV),0)</f>
        <v>19620</v>
      </c>
      <c r="F43" s="22">
        <f t="shared" si="3"/>
        <v>0.38489455615497792</v>
      </c>
    </row>
    <row r="44" spans="1:6" x14ac:dyDescent="0.2">
      <c r="A44" s="20">
        <v>9</v>
      </c>
      <c r="B44" s="202" t="s">
        <v>8</v>
      </c>
      <c r="C44" s="203"/>
      <c r="D44" s="15">
        <f>IF(F3="1",SUMIF(Data!A:A,'32'!$A$2,Data!DC:DC),0)</f>
        <v>152152</v>
      </c>
      <c r="E44" s="18">
        <f>IF(F3="1",SUMIF(Data!$A:$A,'32'!$A$2,Data!IW:IW),0)</f>
        <v>243680</v>
      </c>
      <c r="F44" s="22">
        <f t="shared" si="3"/>
        <v>1.6015563383984437</v>
      </c>
    </row>
    <row r="45" spans="1:6" x14ac:dyDescent="0.2">
      <c r="A45" s="20">
        <v>10</v>
      </c>
      <c r="B45" s="202" t="s">
        <v>9</v>
      </c>
      <c r="C45" s="203"/>
      <c r="D45" s="15">
        <f>IF(F3="1",SUMIF(Data!A:A,'32'!$A$2,Data!DD:DD),0)</f>
        <v>0</v>
      </c>
      <c r="E45" s="18">
        <f>IF(F3="1",SUMIF(Data!$A:$A,'32'!$A$2,Data!IX:IX),0)</f>
        <v>0</v>
      </c>
      <c r="F45" s="22" t="str">
        <f t="shared" si="3"/>
        <v/>
      </c>
    </row>
    <row r="46" spans="1:6" x14ac:dyDescent="0.2">
      <c r="A46" s="20">
        <v>11</v>
      </c>
      <c r="B46" s="202" t="s">
        <v>10</v>
      </c>
      <c r="C46" s="203"/>
      <c r="D46" s="15">
        <f>IF(F3="1",SUMIF(Data!A:A,'32'!$A$2,Data!DE:DE),0)</f>
        <v>106075</v>
      </c>
      <c r="E46" s="18">
        <f>IF(F3="1",SUMIF(Data!$A:$A,'32'!$A$2,Data!IY:IY),0)</f>
        <v>175405</v>
      </c>
      <c r="F46" s="22">
        <f t="shared" si="3"/>
        <v>1.6535941550789535</v>
      </c>
    </row>
    <row r="47" spans="1:6" ht="14.25" customHeight="1" x14ac:dyDescent="0.2">
      <c r="A47" s="20">
        <v>12</v>
      </c>
      <c r="B47" s="202" t="s">
        <v>11</v>
      </c>
      <c r="C47" s="203"/>
      <c r="D47" s="15">
        <f>IF(F3="1",SUMIF(Data!A:A,'32'!$A$2,Data!DF:DF),0)</f>
        <v>219936</v>
      </c>
      <c r="E47" s="18">
        <f>IF(F3="1",SUMIF(Data!$A:$A,'32'!$A$2,Data!IZ:IZ),0)</f>
        <v>243548</v>
      </c>
      <c r="F47" s="22">
        <f t="shared" si="3"/>
        <v>1.1073585042921577</v>
      </c>
    </row>
    <row r="48" spans="1:6" x14ac:dyDescent="0.2">
      <c r="A48" s="20">
        <v>13</v>
      </c>
      <c r="B48" s="202" t="s">
        <v>12</v>
      </c>
      <c r="C48" s="203"/>
      <c r="D48" s="15">
        <f>IF(F3="1",SUMIF(Data!A:A,'32'!$A$2,Data!DG:DG),0)</f>
        <v>11152</v>
      </c>
      <c r="E48" s="18">
        <f>IF(F3="1",SUMIF(Data!$A:$A,'32'!$A$2,Data!JA:JA),0)</f>
        <v>13276</v>
      </c>
      <c r="F48" s="22">
        <f t="shared" si="3"/>
        <v>1.1904591104734576</v>
      </c>
    </row>
    <row r="49" spans="1:6" ht="14.25" customHeight="1" x14ac:dyDescent="0.2">
      <c r="A49" s="20">
        <v>14</v>
      </c>
      <c r="B49" s="202" t="s">
        <v>449</v>
      </c>
      <c r="C49" s="203"/>
      <c r="D49" s="15">
        <f>IF(F3="1",SUMIF(Data!A:A,'32'!$A$2,Data!DH:DH),0)</f>
        <v>127810</v>
      </c>
      <c r="E49" s="18">
        <f>IF(F3="1",SUMIF(Data!$A:$A,'32'!$A$2,Data!JB:JB),0)</f>
        <v>360307</v>
      </c>
      <c r="F49" s="22">
        <f t="shared" si="3"/>
        <v>2.8190830138486818</v>
      </c>
    </row>
    <row r="50" spans="1:6" x14ac:dyDescent="0.2">
      <c r="A50" s="20">
        <v>15</v>
      </c>
      <c r="B50" s="202" t="s">
        <v>13</v>
      </c>
      <c r="C50" s="203"/>
      <c r="D50" s="15">
        <f>IF(F3="1",SUMIF(Data!A:A,'32'!$A$2,Data!DI:DI),0)</f>
        <v>0</v>
      </c>
      <c r="E50" s="18">
        <f>IF(F3="1",SUMIF(Data!$A:$A,'32'!$A$2,Data!JC:JC),0)</f>
        <v>0</v>
      </c>
      <c r="F50" s="22" t="str">
        <f t="shared" si="3"/>
        <v/>
      </c>
    </row>
    <row r="51" spans="1:6" x14ac:dyDescent="0.2">
      <c r="A51" s="20">
        <v>16</v>
      </c>
      <c r="B51" s="202" t="s">
        <v>14</v>
      </c>
      <c r="C51" s="203"/>
      <c r="D51" s="15">
        <f>IF(F3="1",SUMIF(Data!A:A,'32'!$A$2,Data!DJ:DJ),0)</f>
        <v>170871</v>
      </c>
      <c r="E51" s="18">
        <f>IF(F3="1",SUMIF(Data!$A:$A,'32'!$A$2,Data!JD:JD),0)</f>
        <v>378375</v>
      </c>
      <c r="F51" s="22">
        <f t="shared" si="3"/>
        <v>2.2143898028337166</v>
      </c>
    </row>
    <row r="52" spans="1:6" x14ac:dyDescent="0.2">
      <c r="A52" s="20">
        <v>17</v>
      </c>
      <c r="B52" s="202" t="s">
        <v>15</v>
      </c>
      <c r="C52" s="203"/>
      <c r="D52" s="15">
        <f>IF(F3="1",SUMIF(Data!A:A,'32'!$A$2,Data!DK:DK),0)</f>
        <v>0</v>
      </c>
      <c r="E52" s="18">
        <f>IF(F3="1",SUMIF(Data!$A:$A,'32'!$A$2,Data!JE:JE),0)</f>
        <v>0</v>
      </c>
      <c r="F52" s="22" t="str">
        <f t="shared" si="3"/>
        <v/>
      </c>
    </row>
    <row r="53" spans="1:6" x14ac:dyDescent="0.2">
      <c r="A53" s="20">
        <v>18</v>
      </c>
      <c r="B53" s="202" t="s">
        <v>16</v>
      </c>
      <c r="C53" s="203"/>
      <c r="D53" s="15">
        <f>IF(F3="1",SUMIF(Data!A:A,'32'!$A$2,Data!DL:DL),0)</f>
        <v>88640</v>
      </c>
      <c r="E53" s="18">
        <f>IF(F3="1",SUMIF(Data!$A:$A,'32'!$A$2,Data!JF:JF),0)</f>
        <v>158127</v>
      </c>
      <c r="F53" s="22">
        <f t="shared" si="3"/>
        <v>1.7839237364620939</v>
      </c>
    </row>
    <row r="54" spans="1:6" x14ac:dyDescent="0.2">
      <c r="A54" s="20">
        <v>19</v>
      </c>
      <c r="B54" s="202" t="s">
        <v>17</v>
      </c>
      <c r="C54" s="203"/>
      <c r="D54" s="15">
        <f>IF(F3="1",SUMIF(Data!A:A,'32'!$A$2,Data!DM:DM),0)</f>
        <v>103056</v>
      </c>
      <c r="E54" s="18">
        <f>IF(F3="1",SUMIF(Data!$A:$A,'32'!$A$2,Data!JG:JG),0)</f>
        <v>106498</v>
      </c>
      <c r="F54" s="22">
        <f t="shared" si="3"/>
        <v>1.0333993168762614</v>
      </c>
    </row>
    <row r="55" spans="1:6" x14ac:dyDescent="0.2">
      <c r="A55" s="20">
        <v>20</v>
      </c>
      <c r="B55" s="202" t="s">
        <v>18</v>
      </c>
      <c r="C55" s="203"/>
      <c r="D55" s="15">
        <f>IF(F3="1",SUMIF(Data!A:A,'32'!$A$2,Data!DN:DN),0)</f>
        <v>50080</v>
      </c>
      <c r="E55" s="18">
        <f>IF(F3="1",SUMIF(Data!$A:$A,'32'!$A$2,Data!JH:JH),0)</f>
        <v>45569</v>
      </c>
      <c r="F55" s="22">
        <f t="shared" si="3"/>
        <v>0.90992412140575085</v>
      </c>
    </row>
    <row r="56" spans="1:6" ht="14.25" customHeight="1" x14ac:dyDescent="0.2">
      <c r="A56" s="20">
        <v>21</v>
      </c>
      <c r="B56" s="202" t="s">
        <v>446</v>
      </c>
      <c r="C56" s="203"/>
      <c r="D56" s="15">
        <f>IF(F3="1",SUMIF(Data!A:A,'32'!$A$2,Data!DO:DO),0)</f>
        <v>41992</v>
      </c>
      <c r="E56" s="18">
        <f>IF(F3="1",SUMIF(Data!$A:$A,'32'!$A$2,Data!JI:JI),0)</f>
        <v>890403</v>
      </c>
      <c r="F56" s="22">
        <f t="shared" si="3"/>
        <v>21.204110306725092</v>
      </c>
    </row>
    <row r="57" spans="1:6" x14ac:dyDescent="0.2">
      <c r="A57" s="20">
        <v>22</v>
      </c>
      <c r="B57" s="202" t="s">
        <v>19</v>
      </c>
      <c r="C57" s="203"/>
      <c r="D57" s="15">
        <f>IF(F3="1",SUMIF(Data!A:A,'32'!$A$2,Data!DP:DP),0)</f>
        <v>6032</v>
      </c>
      <c r="E57" s="18">
        <f>IF(F3="1",SUMIF(Data!$A:$A,'32'!$A$2,Data!JJ:JJ),0)</f>
        <v>17889</v>
      </c>
      <c r="F57" s="22">
        <f t="shared" si="3"/>
        <v>2.9656830238726792</v>
      </c>
    </row>
    <row r="58" spans="1:6" x14ac:dyDescent="0.2">
      <c r="A58" s="20">
        <v>23</v>
      </c>
      <c r="B58" s="202" t="s">
        <v>20</v>
      </c>
      <c r="C58" s="203"/>
      <c r="D58" s="15">
        <f>IF(F3="1",SUMIF(Data!A:A,'32'!$A$2,Data!DQ:DQ),0)</f>
        <v>87840</v>
      </c>
      <c r="E58" s="18">
        <f>IF(F3="1",SUMIF(Data!$A:$A,'32'!$A$2,Data!JK:JK),0)</f>
        <v>137471</v>
      </c>
      <c r="F58" s="22">
        <f t="shared" si="3"/>
        <v>1.5650159380692168</v>
      </c>
    </row>
    <row r="59" spans="1:6" x14ac:dyDescent="0.2">
      <c r="A59" s="20">
        <v>24</v>
      </c>
      <c r="B59" s="202" t="s">
        <v>21</v>
      </c>
      <c r="C59" s="203"/>
      <c r="D59" s="15">
        <f>IF(F3="1",SUMIF(Data!A:A,'32'!$A$2,Data!DR:DR),0)</f>
        <v>68685</v>
      </c>
      <c r="E59" s="18">
        <f>IF(F3="1",SUMIF(Data!$A:$A,'32'!$A$2,Data!JL:JL),0)</f>
        <v>165568</v>
      </c>
      <c r="F59" s="22">
        <f t="shared" si="3"/>
        <v>2.4105408750090995</v>
      </c>
    </row>
    <row r="60" spans="1:6" x14ac:dyDescent="0.2">
      <c r="A60" s="20">
        <v>25</v>
      </c>
      <c r="B60" s="202" t="s">
        <v>22</v>
      </c>
      <c r="C60" s="203"/>
      <c r="D60" s="15">
        <f>IF(F3="1",SUMIF(Data!A:A,'32'!$A$2,Data!DS:DS),0)</f>
        <v>293616</v>
      </c>
      <c r="E60" s="18">
        <f>IF(F3="1",SUMIF(Data!$A:$A,'32'!$A$2,Data!JM:JM),0)</f>
        <v>243722</v>
      </c>
      <c r="F60" s="22">
        <f t="shared" si="3"/>
        <v>0.83007056836139725</v>
      </c>
    </row>
    <row r="61" spans="1:6" x14ac:dyDescent="0.2">
      <c r="A61" s="20">
        <v>26</v>
      </c>
      <c r="B61" s="202" t="s">
        <v>23</v>
      </c>
      <c r="C61" s="203"/>
      <c r="D61" s="15">
        <f>IF(F3="1",SUMIF(Data!A:A,'32'!$A$2,Data!DT:DT),0)</f>
        <v>122368</v>
      </c>
      <c r="E61" s="18">
        <f>IF(F3="1",SUMIF(Data!$A:$A,'32'!$A$2,Data!JN:JN),0)</f>
        <v>177683</v>
      </c>
      <c r="F61" s="22">
        <f t="shared" si="3"/>
        <v>1.452038114539749</v>
      </c>
    </row>
    <row r="62" spans="1:6" x14ac:dyDescent="0.2">
      <c r="A62" s="20">
        <v>28</v>
      </c>
      <c r="B62" s="202" t="s">
        <v>24</v>
      </c>
      <c r="C62" s="203"/>
      <c r="D62" s="15">
        <f>IF(F3="1",SUMIF(Data!A:A,'32'!$A$2,Data!DV:DV),0)</f>
        <v>94896</v>
      </c>
      <c r="E62" s="18">
        <f>IF(F3="1",SUMIF(Data!$A:$A,'32'!$A$2,Data!JP:JP),0)</f>
        <v>82263</v>
      </c>
      <c r="F62" s="22">
        <f t="shared" si="3"/>
        <v>0.8668753161355589</v>
      </c>
    </row>
    <row r="63" spans="1:6" ht="15.75" customHeight="1" thickBot="1" x14ac:dyDescent="0.25">
      <c r="A63" s="23">
        <v>29</v>
      </c>
      <c r="B63" s="206" t="s">
        <v>25</v>
      </c>
      <c r="C63" s="207"/>
      <c r="D63" s="24">
        <f>IF(F3="1",SUMIF(Data!A:A,'32'!$A$2,Data!DW:DW),0)</f>
        <v>61376</v>
      </c>
      <c r="E63" s="25">
        <f>IF(F3="1",SUMIF(Data!$A:$A,'32'!$A$2,Data!JQ:JQ),0)</f>
        <v>77380</v>
      </c>
      <c r="F63" s="26">
        <f t="shared" si="3"/>
        <v>1.2607533889468197</v>
      </c>
    </row>
    <row r="64" spans="1:6" x14ac:dyDescent="0.2">
      <c r="B64" s="31" t="s">
        <v>35</v>
      </c>
      <c r="C64" s="31"/>
      <c r="D64" s="60">
        <f>SUM(D36:D63)</f>
        <v>2385479</v>
      </c>
      <c r="E64" s="32">
        <f>SUM(E36:E63)</f>
        <v>4281957</v>
      </c>
      <c r="F64" s="33">
        <f t="shared" si="3"/>
        <v>1.79500930421102</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20336</v>
      </c>
      <c r="E67" s="16">
        <f>IF(F3="1",SUMIF(Data!A:A,'32'!$A$2,Data!DY:DY),0)</f>
        <v>65521</v>
      </c>
      <c r="F67" s="21">
        <f>IFERROR(E67/D67,"")</f>
        <v>3.2219217151848936</v>
      </c>
    </row>
    <row r="68" spans="1:6" x14ac:dyDescent="0.2">
      <c r="A68" s="20">
        <v>2</v>
      </c>
      <c r="B68" s="202" t="s">
        <v>1</v>
      </c>
      <c r="C68" s="203"/>
      <c r="D68" s="15">
        <f t="shared" ref="D68:D94" si="4">D37</f>
        <v>30672</v>
      </c>
      <c r="E68" s="18">
        <f>IF(F3="1",SUMIF(Data!A:A,'32'!$A$2,Data!DZ:DZ),0)</f>
        <v>136715</v>
      </c>
      <c r="F68" s="22">
        <f t="shared" ref="F68:F95" si="5">IFERROR(E68/D68,"")</f>
        <v>4.4573226395409495</v>
      </c>
    </row>
    <row r="69" spans="1:6" ht="14.25" customHeight="1" x14ac:dyDescent="0.2">
      <c r="A69" s="20">
        <v>3</v>
      </c>
      <c r="B69" s="202" t="s">
        <v>2</v>
      </c>
      <c r="C69" s="203"/>
      <c r="D69" s="15">
        <f t="shared" si="4"/>
        <v>243672</v>
      </c>
      <c r="E69" s="18">
        <f>IF(F3="1",SUMIF(Data!A:A,'32'!$A$2,Data!EA:EA),0)</f>
        <v>720864</v>
      </c>
      <c r="F69" s="22">
        <f t="shared" si="5"/>
        <v>2.9583374372106768</v>
      </c>
    </row>
    <row r="70" spans="1:6" ht="14.25" customHeight="1" x14ac:dyDescent="0.2">
      <c r="A70" s="20">
        <v>4</v>
      </c>
      <c r="B70" s="202" t="s">
        <v>3</v>
      </c>
      <c r="C70" s="203"/>
      <c r="D70" s="15">
        <f t="shared" si="4"/>
        <v>158110</v>
      </c>
      <c r="E70" s="18">
        <f>IF(F3="1",SUMIF(Data!A:A,'32'!$A$2,Data!EB:EB),0)</f>
        <v>745195</v>
      </c>
      <c r="F70" s="22">
        <f t="shared" si="5"/>
        <v>4.7131427487192461</v>
      </c>
    </row>
    <row r="71" spans="1:6" x14ac:dyDescent="0.2">
      <c r="A71" s="20">
        <v>5</v>
      </c>
      <c r="B71" s="202" t="s">
        <v>4</v>
      </c>
      <c r="C71" s="203"/>
      <c r="D71" s="15">
        <f t="shared" si="4"/>
        <v>0</v>
      </c>
      <c r="E71" s="18">
        <f>IF(F3="1",SUMIF(Data!A:A,'32'!$A$2,Data!EC:EC),0)</f>
        <v>0</v>
      </c>
      <c r="F71" s="22" t="str">
        <f t="shared" si="5"/>
        <v/>
      </c>
    </row>
    <row r="72" spans="1:6" x14ac:dyDescent="0.2">
      <c r="A72" s="20">
        <v>6</v>
      </c>
      <c r="B72" s="202" t="s">
        <v>5</v>
      </c>
      <c r="C72" s="203"/>
      <c r="D72" s="15">
        <f t="shared" si="4"/>
        <v>43055</v>
      </c>
      <c r="E72" s="18">
        <f>IF(F3="1",SUMIF(Data!A:A,'32'!$A$2,Data!ED:ED),0)</f>
        <v>28732</v>
      </c>
      <c r="F72" s="22">
        <f t="shared" si="5"/>
        <v>0.66733248170944137</v>
      </c>
    </row>
    <row r="73" spans="1:6" x14ac:dyDescent="0.2">
      <c r="A73" s="20">
        <v>7</v>
      </c>
      <c r="B73" s="202" t="s">
        <v>6</v>
      </c>
      <c r="C73" s="203"/>
      <c r="D73" s="15">
        <f t="shared" si="4"/>
        <v>32082</v>
      </c>
      <c r="E73" s="18">
        <f>IF(F3="1",SUMIF(Data!A:A,'32'!$A$2,Data!EE:EE),0)</f>
        <v>32479</v>
      </c>
      <c r="F73" s="22">
        <f t="shared" si="5"/>
        <v>1.0123745402406334</v>
      </c>
    </row>
    <row r="74" spans="1:6" x14ac:dyDescent="0.2">
      <c r="A74" s="20">
        <v>8</v>
      </c>
      <c r="B74" s="202" t="s">
        <v>7</v>
      </c>
      <c r="C74" s="203"/>
      <c r="D74" s="15">
        <f t="shared" si="4"/>
        <v>50975</v>
      </c>
      <c r="E74" s="18">
        <f>IF(F3="1",SUMIF(Data!A:A,'32'!$A$2,Data!EF:EF),0)</f>
        <v>39641</v>
      </c>
      <c r="F74" s="22">
        <f t="shared" si="5"/>
        <v>0.77765571358509078</v>
      </c>
    </row>
    <row r="75" spans="1:6" x14ac:dyDescent="0.2">
      <c r="A75" s="20">
        <v>9</v>
      </c>
      <c r="B75" s="202" t="s">
        <v>8</v>
      </c>
      <c r="C75" s="203"/>
      <c r="D75" s="15">
        <f t="shared" si="4"/>
        <v>152152</v>
      </c>
      <c r="E75" s="18">
        <f>IF(F3="1",SUMIF(Data!A:A,'32'!$A$2,Data!EG:EG),0)</f>
        <v>428621</v>
      </c>
      <c r="F75" s="22">
        <f t="shared" si="5"/>
        <v>2.817057942057942</v>
      </c>
    </row>
    <row r="76" spans="1:6" x14ac:dyDescent="0.2">
      <c r="A76" s="20">
        <v>10</v>
      </c>
      <c r="B76" s="202" t="s">
        <v>9</v>
      </c>
      <c r="C76" s="203"/>
      <c r="D76" s="15">
        <f t="shared" si="4"/>
        <v>0</v>
      </c>
      <c r="E76" s="18">
        <f>IF(F3="1",SUMIF(Data!A:A,'32'!$A$2,Data!EH:EH),0)</f>
        <v>0</v>
      </c>
      <c r="F76" s="22" t="str">
        <f t="shared" si="5"/>
        <v/>
      </c>
    </row>
    <row r="77" spans="1:6" x14ac:dyDescent="0.2">
      <c r="A77" s="20">
        <v>11</v>
      </c>
      <c r="B77" s="202" t="s">
        <v>10</v>
      </c>
      <c r="C77" s="203"/>
      <c r="D77" s="15">
        <f t="shared" si="4"/>
        <v>106075</v>
      </c>
      <c r="E77" s="18">
        <f>IF(F3="1",SUMIF(Data!A:A,'32'!$A$2,Data!EI:EI),0)</f>
        <v>382597</v>
      </c>
      <c r="F77" s="22">
        <f t="shared" si="5"/>
        <v>3.6068536412915391</v>
      </c>
    </row>
    <row r="78" spans="1:6" ht="14.25" customHeight="1" x14ac:dyDescent="0.2">
      <c r="A78" s="20">
        <v>12</v>
      </c>
      <c r="B78" s="202" t="s">
        <v>11</v>
      </c>
      <c r="C78" s="203"/>
      <c r="D78" s="15">
        <f t="shared" si="4"/>
        <v>219936</v>
      </c>
      <c r="E78" s="18">
        <f>IF(F3="1",SUMIF(Data!A:A,'32'!$A$2,Data!EJ:EJ),0)</f>
        <v>944819</v>
      </c>
      <c r="F78" s="22">
        <f t="shared" si="5"/>
        <v>4.2958815291721226</v>
      </c>
    </row>
    <row r="79" spans="1:6" x14ac:dyDescent="0.2">
      <c r="A79" s="20">
        <v>13</v>
      </c>
      <c r="B79" s="202" t="s">
        <v>12</v>
      </c>
      <c r="C79" s="203"/>
      <c r="D79" s="15">
        <f t="shared" si="4"/>
        <v>11152</v>
      </c>
      <c r="E79" s="18">
        <f>IF(F3="1",SUMIF(Data!A:A,'32'!$A$2,Data!EK:EK),0)</f>
        <v>48443</v>
      </c>
      <c r="F79" s="22">
        <f t="shared" si="5"/>
        <v>4.3438845050215207</v>
      </c>
    </row>
    <row r="80" spans="1:6" ht="14.25" customHeight="1" x14ac:dyDescent="0.2">
      <c r="A80" s="20">
        <v>14</v>
      </c>
      <c r="B80" s="202" t="s">
        <v>449</v>
      </c>
      <c r="C80" s="203"/>
      <c r="D80" s="15">
        <f t="shared" si="4"/>
        <v>127810</v>
      </c>
      <c r="E80" s="18">
        <f>IF(F3="1",SUMIF(Data!A:A,'32'!$A$2,Data!EL:EL),0)</f>
        <v>875705</v>
      </c>
      <c r="F80" s="22">
        <f t="shared" si="5"/>
        <v>6.8516156795242935</v>
      </c>
    </row>
    <row r="81" spans="1:6" x14ac:dyDescent="0.2">
      <c r="A81" s="20">
        <v>15</v>
      </c>
      <c r="B81" s="202" t="s">
        <v>13</v>
      </c>
      <c r="C81" s="203"/>
      <c r="D81" s="15">
        <f t="shared" si="4"/>
        <v>0</v>
      </c>
      <c r="E81" s="18">
        <f>IF(F3="1",SUMIF(Data!A:A,'32'!$A$2,Data!EM:EM),0)</f>
        <v>0</v>
      </c>
      <c r="F81" s="22" t="str">
        <f t="shared" si="5"/>
        <v/>
      </c>
    </row>
    <row r="82" spans="1:6" x14ac:dyDescent="0.2">
      <c r="A82" s="20">
        <v>16</v>
      </c>
      <c r="B82" s="202" t="s">
        <v>14</v>
      </c>
      <c r="C82" s="203"/>
      <c r="D82" s="15">
        <f t="shared" si="4"/>
        <v>170871</v>
      </c>
      <c r="E82" s="18">
        <f>IF(F3="1",SUMIF(Data!A:A,'32'!$A$2,Data!EN:EN),0)</f>
        <v>923409</v>
      </c>
      <c r="F82" s="22">
        <f t="shared" si="5"/>
        <v>5.404129430974244</v>
      </c>
    </row>
    <row r="83" spans="1:6" x14ac:dyDescent="0.2">
      <c r="A83" s="20">
        <v>17</v>
      </c>
      <c r="B83" s="202" t="s">
        <v>15</v>
      </c>
      <c r="C83" s="203"/>
      <c r="D83" s="15">
        <f t="shared" si="4"/>
        <v>0</v>
      </c>
      <c r="E83" s="18">
        <f>IF(F3="1",SUMIF(Data!A:A,'32'!$A$2,Data!EO:EO),0)</f>
        <v>0</v>
      </c>
      <c r="F83" s="22" t="str">
        <f t="shared" si="5"/>
        <v/>
      </c>
    </row>
    <row r="84" spans="1:6" x14ac:dyDescent="0.2">
      <c r="A84" s="20">
        <v>18</v>
      </c>
      <c r="B84" s="202" t="s">
        <v>16</v>
      </c>
      <c r="C84" s="203"/>
      <c r="D84" s="15">
        <f t="shared" si="4"/>
        <v>88640</v>
      </c>
      <c r="E84" s="18">
        <f>IF(F3="1",SUMIF(Data!A:A,'32'!$A$2,Data!EP:EP),0)</f>
        <v>357419</v>
      </c>
      <c r="F84" s="22">
        <f t="shared" si="5"/>
        <v>4.0322540613718409</v>
      </c>
    </row>
    <row r="85" spans="1:6" x14ac:dyDescent="0.2">
      <c r="A85" s="20">
        <v>19</v>
      </c>
      <c r="B85" s="202" t="s">
        <v>17</v>
      </c>
      <c r="C85" s="203"/>
      <c r="D85" s="15">
        <f t="shared" si="4"/>
        <v>103056</v>
      </c>
      <c r="E85" s="18">
        <f>IF(F3="1",SUMIF(Data!A:A,'32'!$A$2,Data!EQ:EQ),0)</f>
        <v>449514</v>
      </c>
      <c r="F85" s="22">
        <f t="shared" si="5"/>
        <v>4.3618421052631575</v>
      </c>
    </row>
    <row r="86" spans="1:6" x14ac:dyDescent="0.2">
      <c r="A86" s="20">
        <v>20</v>
      </c>
      <c r="B86" s="202" t="s">
        <v>18</v>
      </c>
      <c r="C86" s="203"/>
      <c r="D86" s="15">
        <f t="shared" si="4"/>
        <v>50080</v>
      </c>
      <c r="E86" s="18">
        <f>IF(F3="1",SUMIF(Data!A:A,'32'!$A$2,Data!ER:ER),0)</f>
        <v>87520</v>
      </c>
      <c r="F86" s="22">
        <f t="shared" si="5"/>
        <v>1.7476038338658146</v>
      </c>
    </row>
    <row r="87" spans="1:6" ht="14.25" customHeight="1" x14ac:dyDescent="0.2">
      <c r="A87" s="20">
        <v>21</v>
      </c>
      <c r="B87" s="202" t="s">
        <v>446</v>
      </c>
      <c r="C87" s="203"/>
      <c r="D87" s="15">
        <f t="shared" si="4"/>
        <v>41992</v>
      </c>
      <c r="E87" s="18">
        <f>IF(F3="1",SUMIF(Data!A:A,'32'!$A$2,Data!ES:ES),0)</f>
        <v>64938</v>
      </c>
      <c r="F87" s="22">
        <f t="shared" si="5"/>
        <v>1.5464374166507906</v>
      </c>
    </row>
    <row r="88" spans="1:6" x14ac:dyDescent="0.2">
      <c r="A88" s="20">
        <v>22</v>
      </c>
      <c r="B88" s="202" t="s">
        <v>19</v>
      </c>
      <c r="C88" s="203"/>
      <c r="D88" s="15">
        <f t="shared" si="4"/>
        <v>6032</v>
      </c>
      <c r="E88" s="18">
        <f>IF(F3="1",SUMIF(Data!A:A,'32'!$A$2,Data!ET:ET),0)</f>
        <v>31897</v>
      </c>
      <c r="F88" s="22">
        <f t="shared" si="5"/>
        <v>5.2879641909814321</v>
      </c>
    </row>
    <row r="89" spans="1:6" x14ac:dyDescent="0.2">
      <c r="A89" s="20">
        <v>23</v>
      </c>
      <c r="B89" s="202" t="s">
        <v>20</v>
      </c>
      <c r="C89" s="203"/>
      <c r="D89" s="15">
        <f t="shared" si="4"/>
        <v>87840</v>
      </c>
      <c r="E89" s="18">
        <f>IF(F3="1",SUMIF(Data!A:A,'32'!$A$2,Data!EU:EU),0)</f>
        <v>335843</v>
      </c>
      <c r="F89" s="22">
        <f t="shared" si="5"/>
        <v>3.8233492714025501</v>
      </c>
    </row>
    <row r="90" spans="1:6" x14ac:dyDescent="0.2">
      <c r="A90" s="20">
        <v>24</v>
      </c>
      <c r="B90" s="202" t="s">
        <v>21</v>
      </c>
      <c r="C90" s="203"/>
      <c r="D90" s="15">
        <f t="shared" si="4"/>
        <v>68685</v>
      </c>
      <c r="E90" s="18">
        <f>IF(F3="1",SUMIF(Data!A:A,'32'!$A$2,Data!EV:EV),0)</f>
        <v>326218</v>
      </c>
      <c r="F90" s="22">
        <f t="shared" si="5"/>
        <v>4.7494795078983767</v>
      </c>
    </row>
    <row r="91" spans="1:6" x14ac:dyDescent="0.2">
      <c r="A91" s="20">
        <v>25</v>
      </c>
      <c r="B91" s="202" t="s">
        <v>22</v>
      </c>
      <c r="C91" s="203"/>
      <c r="D91" s="15">
        <f t="shared" si="4"/>
        <v>293616</v>
      </c>
      <c r="E91" s="18">
        <f>IF(F3="1",SUMIF(Data!A:A,'32'!$A$2,Data!EW:EW),0)</f>
        <v>946791</v>
      </c>
      <c r="F91" s="22">
        <f t="shared" si="5"/>
        <v>3.2245892594409025</v>
      </c>
    </row>
    <row r="92" spans="1:6" x14ac:dyDescent="0.2">
      <c r="A92" s="20">
        <v>26</v>
      </c>
      <c r="B92" s="202" t="s">
        <v>23</v>
      </c>
      <c r="C92" s="203"/>
      <c r="D92" s="15">
        <f t="shared" si="4"/>
        <v>122368</v>
      </c>
      <c r="E92" s="18">
        <f>IF(F3="1",SUMIF(Data!A:A,'32'!$A$2,Data!EX:EX),0)</f>
        <v>524120</v>
      </c>
      <c r="F92" s="22">
        <f t="shared" si="5"/>
        <v>4.2831459205020916</v>
      </c>
    </row>
    <row r="93" spans="1:6" x14ac:dyDescent="0.2">
      <c r="A93" s="20">
        <v>28</v>
      </c>
      <c r="B93" s="202" t="s">
        <v>24</v>
      </c>
      <c r="C93" s="203"/>
      <c r="D93" s="15">
        <f t="shared" si="4"/>
        <v>94896</v>
      </c>
      <c r="E93" s="18">
        <f>IF(F3="1",SUMIF(Data!A:A,'32'!$A$2,Data!EZ:EZ),0)</f>
        <v>328259</v>
      </c>
      <c r="F93" s="22">
        <f t="shared" si="5"/>
        <v>3.4591447479345812</v>
      </c>
    </row>
    <row r="94" spans="1:6" ht="15.75" customHeight="1" thickBot="1" x14ac:dyDescent="0.25">
      <c r="A94" s="23">
        <v>29</v>
      </c>
      <c r="B94" s="206" t="s">
        <v>25</v>
      </c>
      <c r="C94" s="207"/>
      <c r="D94" s="24">
        <f t="shared" si="4"/>
        <v>61376</v>
      </c>
      <c r="E94" s="25">
        <f>IF(F3="1",SUMIF(Data!A:A,'32'!$A$2,Data!FA:FA),0)</f>
        <v>315753</v>
      </c>
      <c r="F94" s="26">
        <f t="shared" si="5"/>
        <v>5.1445679092805001</v>
      </c>
    </row>
    <row r="95" spans="1:6" x14ac:dyDescent="0.2">
      <c r="B95" s="31" t="s">
        <v>35</v>
      </c>
      <c r="C95" s="31"/>
      <c r="D95" s="60">
        <f>SUM(D67:D94)</f>
        <v>2385479</v>
      </c>
      <c r="E95" s="32">
        <f>SUM(E67:E94)</f>
        <v>9141013</v>
      </c>
      <c r="F95" s="33">
        <f t="shared" si="5"/>
        <v>3.8319402518320218</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IF(F3="1",SUMIF(Data!A:A,'32'!$A$2,Data!AH:AH),0)</f>
        <v>4593924</v>
      </c>
      <c r="F98" s="21">
        <f t="shared" ref="F98:F105" si="6">IFERROR(E98/$D$95,0)</f>
        <v>1.9257868126275688</v>
      </c>
    </row>
    <row r="99" spans="2:6" x14ac:dyDescent="0.2">
      <c r="B99" s="212" t="s">
        <v>31</v>
      </c>
      <c r="C99" s="213"/>
      <c r="D99" s="37"/>
      <c r="E99" s="18">
        <f>IF(F3="1",SUMIF(Data!A:A,'32'!$A$2,Data!AI:AI),0)</f>
        <v>2194000</v>
      </c>
      <c r="F99" s="22">
        <f t="shared" si="6"/>
        <v>0.91973142500940064</v>
      </c>
    </row>
    <row r="100" spans="2:6" x14ac:dyDescent="0.2">
      <c r="B100" s="212" t="s">
        <v>32</v>
      </c>
      <c r="C100" s="213"/>
      <c r="D100" s="37"/>
      <c r="E100" s="18">
        <f>IF(F3="1",SUMIF(Data!A:A,'32'!$A$2,Data!AJ:AJ),0)</f>
        <v>2587342</v>
      </c>
      <c r="F100" s="22">
        <f t="shared" si="6"/>
        <v>1.0846215791461589</v>
      </c>
    </row>
    <row r="101" spans="2:6" x14ac:dyDescent="0.2">
      <c r="B101" s="212" t="s">
        <v>28</v>
      </c>
      <c r="C101" s="213"/>
      <c r="D101" s="37"/>
      <c r="E101" s="18">
        <f>IF(F3="1",SUMIF(Data!A:A,'32'!$A$2,Data!AK:AK),0)</f>
        <v>0</v>
      </c>
      <c r="F101" s="22">
        <f t="shared" si="6"/>
        <v>0</v>
      </c>
    </row>
    <row r="102" spans="2:6" x14ac:dyDescent="0.2">
      <c r="B102" s="212" t="s">
        <v>33</v>
      </c>
      <c r="C102" s="213"/>
      <c r="D102" s="37"/>
      <c r="E102" s="18">
        <f>IF(F3="1",SUMIF(Data!A:A,'32'!$A$2,Data!AL:AL),0)</f>
        <v>655677</v>
      </c>
      <c r="F102" s="22">
        <f t="shared" si="6"/>
        <v>0.27486177828436131</v>
      </c>
    </row>
    <row r="103" spans="2:6" x14ac:dyDescent="0.2">
      <c r="B103" s="214" t="s">
        <v>34</v>
      </c>
      <c r="C103" s="215"/>
      <c r="D103" s="37"/>
      <c r="E103" s="18">
        <f>IF(F3="1",SUMIF(Data!A:A,'32'!$A$2,Data!AM:AM),0)</f>
        <v>758110</v>
      </c>
      <c r="F103" s="22">
        <f t="shared" si="6"/>
        <v>0.31780200119137497</v>
      </c>
    </row>
    <row r="104" spans="2:6" ht="15.75" customHeight="1" thickBot="1" x14ac:dyDescent="0.25">
      <c r="B104" s="208" t="s">
        <v>29</v>
      </c>
      <c r="C104" s="209"/>
      <c r="D104" s="38"/>
      <c r="E104" s="25">
        <f>IF(F3="1",SUMIF(Data!A:A,'32'!$A$2,Data!Q:Q),0)</f>
        <v>1864011</v>
      </c>
      <c r="F104" s="26">
        <f t="shared" si="6"/>
        <v>0.78139903977356329</v>
      </c>
    </row>
    <row r="105" spans="2:6" x14ac:dyDescent="0.2">
      <c r="B105" s="31" t="s">
        <v>35</v>
      </c>
      <c r="C105" s="31"/>
      <c r="D105" s="35">
        <f>D95</f>
        <v>2385479</v>
      </c>
      <c r="E105" s="32">
        <f>SUM(E98:E104)</f>
        <v>12653064</v>
      </c>
      <c r="F105" s="33">
        <f t="shared" si="6"/>
        <v>5.3042026360324277</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9766689</v>
      </c>
      <c r="D109" s="192">
        <f>IF(F3="1",SUMIF(Data!$A:$A,$A$2,Data!HJ:HJ),0)</f>
        <v>1812995</v>
      </c>
      <c r="E109" s="192">
        <f>IF(F3="1",SUMIF(Data!$A:$A,$A$2,Data!IN:IN),0)</f>
        <v>1843288</v>
      </c>
      <c r="F109" s="48">
        <f>SUM(C109:E109)</f>
        <v>13422972</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587339</v>
      </c>
      <c r="D111" s="52"/>
      <c r="E111" s="193">
        <f>IF(F3="1",SUMIF(Data!A:A,$A$2,Data!AX:AX)-SUMIF(Data!A:A,$A$2,Data!AW:AW),0)</f>
        <v>169887</v>
      </c>
      <c r="F111" s="49">
        <f t="shared" si="7"/>
        <v>757226</v>
      </c>
    </row>
    <row r="112" spans="2:6" x14ac:dyDescent="0.2">
      <c r="B112" s="43" t="s">
        <v>32</v>
      </c>
      <c r="C112" s="193">
        <f>IF(F3="1",SUMIF(Data!A:A,$A$2,Data!V:V),0)</f>
        <v>2033820</v>
      </c>
      <c r="D112" s="52"/>
      <c r="E112" s="193">
        <f>IF(F3="1",SUMIF(Data!A:A,$A$2,Data!AC:AC),0)</f>
        <v>553522</v>
      </c>
      <c r="F112" s="49">
        <f t="shared" si="7"/>
        <v>2587342</v>
      </c>
    </row>
    <row r="113" spans="1:6" x14ac:dyDescent="0.2">
      <c r="B113" s="43" t="s">
        <v>31</v>
      </c>
      <c r="C113" s="193">
        <f>IF(F3="1",SUMIF(Data!A:A,$A$2,Data!U:U),0)</f>
        <v>1835361</v>
      </c>
      <c r="D113" s="52"/>
      <c r="E113" s="193">
        <f>IF(F3="1",SUMIF(Data!A:A,$A$2,Data!AB:AB),0)</f>
        <v>358639</v>
      </c>
      <c r="F113" s="49">
        <f t="shared" si="7"/>
        <v>2194000</v>
      </c>
    </row>
    <row r="114" spans="1:6" x14ac:dyDescent="0.2">
      <c r="B114" s="43" t="s">
        <v>1002</v>
      </c>
      <c r="C114" s="193">
        <f>IF(F3="1",SUMIF(Data!A:A,$A$2,Data!T:T),0)</f>
        <v>2582803</v>
      </c>
      <c r="D114" s="52"/>
      <c r="E114" s="193">
        <f>IF(F3="1",SUMIF(Data!A:A,$A$2,Data!AA:AA),0)</f>
        <v>2011121</v>
      </c>
      <c r="F114" s="49">
        <f t="shared" si="7"/>
        <v>4593924</v>
      </c>
    </row>
    <row r="115" spans="1:6" x14ac:dyDescent="0.2">
      <c r="B115" s="43" t="s">
        <v>916</v>
      </c>
      <c r="C115" s="193">
        <f>IF(F3="1",SUMIF(Data!A:A,$A$2,Data!BI:BI),0)</f>
        <v>808680</v>
      </c>
      <c r="D115" s="193">
        <f>IF(F3="1",SUMIF(Data!A:A,$A$2,Data!BL:BL),0)</f>
        <v>208754</v>
      </c>
      <c r="E115" s="193">
        <f>IF(F3="1",SUMIF(Data!A:A,$A$2,Data!BU:BU)-SUMIF(Data!A:A,$A$2,Data!BT:BT),0)</f>
        <v>2333122</v>
      </c>
      <c r="F115" s="49">
        <f t="shared" si="7"/>
        <v>3350556</v>
      </c>
    </row>
    <row r="116" spans="1:6" x14ac:dyDescent="0.2">
      <c r="B116" s="43" t="s">
        <v>33</v>
      </c>
      <c r="C116" s="193">
        <f>IF(F3="1",SUMIF(Data!A:A,$A$2,Data!X:X),0)</f>
        <v>0</v>
      </c>
      <c r="D116" s="51"/>
      <c r="E116" s="193">
        <f>E102-C116</f>
        <v>655677</v>
      </c>
      <c r="F116" s="49">
        <f t="shared" si="7"/>
        <v>655677</v>
      </c>
    </row>
    <row r="117" spans="1:6" ht="15" thickBot="1" x14ac:dyDescent="0.25">
      <c r="B117" s="44" t="s">
        <v>920</v>
      </c>
      <c r="C117" s="53"/>
      <c r="D117" s="53">
        <f>IF(F3="1",SUMIF(Data!A:A,$A$2,Data!Q:Q),0)</f>
        <v>1864011</v>
      </c>
      <c r="E117" s="53"/>
      <c r="F117" s="50">
        <f>SUM(C117:E117)</f>
        <v>1864011</v>
      </c>
    </row>
    <row r="118" spans="1:6" x14ac:dyDescent="0.2">
      <c r="B118" s="14" t="s">
        <v>35</v>
      </c>
      <c r="C118" s="178">
        <f>SUM(C109:C117)</f>
        <v>17614692</v>
      </c>
      <c r="D118" s="194">
        <f>SUM(D109:D117)</f>
        <v>3885760</v>
      </c>
      <c r="E118" s="178">
        <f>SUM(E109:E117)</f>
        <v>7925256</v>
      </c>
      <c r="F118" s="178">
        <f>SUM(F109:F117)</f>
        <v>29425708</v>
      </c>
    </row>
    <row r="119" spans="1:6" x14ac:dyDescent="0.2">
      <c r="C119" s="177"/>
      <c r="D119" s="177"/>
      <c r="E119" s="177"/>
    </row>
    <row r="120" spans="1:6" ht="15" thickBot="1" x14ac:dyDescent="0.25">
      <c r="B120" s="188" t="s">
        <v>921</v>
      </c>
      <c r="C120" s="53"/>
      <c r="D120" s="53"/>
      <c r="E120" s="195">
        <f>IF(F3="1",SUMIF(Data!A:A,$A$2,Data!AF:AF)+SUMIF(Data!A:A,$A$2,Data!AW:AW)+SUMIF(Data!A:A,$A$2,Data!BT:BT),0)</f>
        <v>758110</v>
      </c>
      <c r="F120" s="181">
        <f>SUM(C120:E120)</f>
        <v>758110</v>
      </c>
    </row>
    <row r="121" spans="1:6" s="177" customFormat="1" x14ac:dyDescent="0.2">
      <c r="B121" s="14" t="s">
        <v>35</v>
      </c>
      <c r="C121" s="178">
        <f>SUM(C120:C120)</f>
        <v>0</v>
      </c>
      <c r="D121" s="178">
        <f>SUM(D120:D120)</f>
        <v>0</v>
      </c>
      <c r="E121" s="178">
        <f>SUM(E120:E120)</f>
        <v>758110</v>
      </c>
      <c r="F121" s="178">
        <f>SUM(F120:F120)</f>
        <v>758110</v>
      </c>
    </row>
    <row r="122" spans="1:6" s="177" customFormat="1" ht="15" thickBot="1" x14ac:dyDescent="0.25">
      <c r="B122" s="14" t="s">
        <v>1396</v>
      </c>
      <c r="C122" s="178"/>
      <c r="D122" s="178"/>
      <c r="E122" s="178"/>
      <c r="F122" s="190">
        <f>F118+F121</f>
        <v>30183818</v>
      </c>
    </row>
    <row r="123" spans="1:6" ht="15" thickTop="1" x14ac:dyDescent="0.2">
      <c r="C123" s="74" t="s">
        <v>1415</v>
      </c>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384</v>
      </c>
      <c r="B2" s="59" t="str">
        <f>VLOOKUP(A2,Data!A:G,7,0)</f>
        <v>Panola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5760</v>
      </c>
      <c r="E5" s="16">
        <f>E36+E67+IFERROR($E$105/$D$105*D5,0)</f>
        <v>112390.24453059555</v>
      </c>
      <c r="F5" s="21">
        <f>IFERROR(E5/D5,"")</f>
        <v>19.512195231006171</v>
      </c>
    </row>
    <row r="6" spans="1:6" x14ac:dyDescent="0.2">
      <c r="A6" s="20">
        <v>2</v>
      </c>
      <c r="B6" s="202" t="s">
        <v>1</v>
      </c>
      <c r="C6" s="203"/>
      <c r="D6" s="15">
        <f t="shared" ref="D6:D32" si="0">D37</f>
        <v>13854</v>
      </c>
      <c r="E6" s="18">
        <f t="shared" ref="E6:E32" si="1">E37+E68+IFERROR($E$105/$D$105*D6,0)</f>
        <v>216383.41314702615</v>
      </c>
      <c r="F6" s="22">
        <f t="shared" ref="F6:F33" si="2">IFERROR(E6/D6,"")</f>
        <v>15.618840273352545</v>
      </c>
    </row>
    <row r="7" spans="1:6" ht="14.25" customHeight="1" x14ac:dyDescent="0.2">
      <c r="A7" s="20">
        <v>3</v>
      </c>
      <c r="B7" s="202" t="s">
        <v>2</v>
      </c>
      <c r="C7" s="203"/>
      <c r="D7" s="15">
        <f t="shared" si="0"/>
        <v>167552</v>
      </c>
      <c r="E7" s="18">
        <f t="shared" si="1"/>
        <v>1227862.7131233239</v>
      </c>
      <c r="F7" s="22">
        <f t="shared" si="2"/>
        <v>7.3282486220595624</v>
      </c>
    </row>
    <row r="8" spans="1:6" ht="14.25" customHeight="1" x14ac:dyDescent="0.2">
      <c r="A8" s="20">
        <v>4</v>
      </c>
      <c r="B8" s="202" t="s">
        <v>3</v>
      </c>
      <c r="C8" s="203"/>
      <c r="D8" s="15">
        <f t="shared" si="0"/>
        <v>91574</v>
      </c>
      <c r="E8" s="18">
        <f t="shared" si="1"/>
        <v>819520.21261193696</v>
      </c>
      <c r="F8" s="22">
        <f t="shared" si="2"/>
        <v>8.9492673969897236</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2976</v>
      </c>
      <c r="E10" s="18">
        <f t="shared" si="1"/>
        <v>73679.926340807695</v>
      </c>
      <c r="F10" s="22">
        <f t="shared" si="2"/>
        <v>24.758039765056349</v>
      </c>
    </row>
    <row r="11" spans="1:6" x14ac:dyDescent="0.2">
      <c r="A11" s="20">
        <v>7</v>
      </c>
      <c r="B11" s="202" t="s">
        <v>6</v>
      </c>
      <c r="C11" s="203"/>
      <c r="D11" s="15">
        <f t="shared" si="0"/>
        <v>14774</v>
      </c>
      <c r="E11" s="18">
        <f t="shared" si="1"/>
        <v>163980.95220399628</v>
      </c>
      <c r="F11" s="22">
        <f t="shared" si="2"/>
        <v>11.099292825504012</v>
      </c>
    </row>
    <row r="12" spans="1:6" x14ac:dyDescent="0.2">
      <c r="A12" s="20">
        <v>8</v>
      </c>
      <c r="B12" s="202" t="s">
        <v>7</v>
      </c>
      <c r="C12" s="203"/>
      <c r="D12" s="15">
        <f t="shared" si="0"/>
        <v>7840</v>
      </c>
      <c r="E12" s="18">
        <f t="shared" si="1"/>
        <v>99272.332833310604</v>
      </c>
      <c r="F12" s="22">
        <f t="shared" si="2"/>
        <v>12.662287351187578</v>
      </c>
    </row>
    <row r="13" spans="1:6" x14ac:dyDescent="0.2">
      <c r="A13" s="20">
        <v>9</v>
      </c>
      <c r="B13" s="202" t="s">
        <v>8</v>
      </c>
      <c r="C13" s="203"/>
      <c r="D13" s="15">
        <f t="shared" si="0"/>
        <v>88385</v>
      </c>
      <c r="E13" s="18">
        <f t="shared" si="1"/>
        <v>590667.93972859159</v>
      </c>
      <c r="F13" s="22">
        <f t="shared" si="2"/>
        <v>6.682897999984065</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49824</v>
      </c>
      <c r="E15" s="18">
        <f t="shared" si="1"/>
        <v>310703.31518965145</v>
      </c>
      <c r="F15" s="22">
        <f t="shared" si="2"/>
        <v>6.2360170839284574</v>
      </c>
    </row>
    <row r="16" spans="1:6" ht="14.25" customHeight="1" x14ac:dyDescent="0.2">
      <c r="A16" s="20">
        <v>12</v>
      </c>
      <c r="B16" s="202" t="s">
        <v>11</v>
      </c>
      <c r="C16" s="203"/>
      <c r="D16" s="15">
        <f t="shared" si="0"/>
        <v>100592</v>
      </c>
      <c r="E16" s="18">
        <f t="shared" si="1"/>
        <v>828241.87045515049</v>
      </c>
      <c r="F16" s="22">
        <f t="shared" si="2"/>
        <v>8.2336753465002239</v>
      </c>
    </row>
    <row r="17" spans="1:6" x14ac:dyDescent="0.2">
      <c r="A17" s="20">
        <v>13</v>
      </c>
      <c r="B17" s="202" t="s">
        <v>12</v>
      </c>
      <c r="C17" s="203"/>
      <c r="D17" s="15">
        <f t="shared" si="0"/>
        <v>13904</v>
      </c>
      <c r="E17" s="18">
        <f t="shared" si="1"/>
        <v>125985.79026968758</v>
      </c>
      <c r="F17" s="22">
        <f t="shared" si="2"/>
        <v>9.0611184025954827</v>
      </c>
    </row>
    <row r="18" spans="1:6" ht="14.25" customHeight="1" x14ac:dyDescent="0.2">
      <c r="A18" s="20">
        <v>14</v>
      </c>
      <c r="B18" s="202" t="s">
        <v>449</v>
      </c>
      <c r="C18" s="203"/>
      <c r="D18" s="15">
        <f t="shared" si="0"/>
        <v>100246</v>
      </c>
      <c r="E18" s="18">
        <f t="shared" si="1"/>
        <v>1353684.1807663336</v>
      </c>
      <c r="F18" s="22">
        <f t="shared" si="2"/>
        <v>13.503622895340797</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86735</v>
      </c>
      <c r="E20" s="18">
        <f t="shared" si="1"/>
        <v>783081.49468076462</v>
      </c>
      <c r="F20" s="22">
        <f t="shared" si="2"/>
        <v>9.0284371324236421</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83816</v>
      </c>
      <c r="E22" s="18">
        <f t="shared" si="1"/>
        <v>770058.85825979104</v>
      </c>
      <c r="F22" s="22">
        <f t="shared" si="2"/>
        <v>9.1874923434641484</v>
      </c>
    </row>
    <row r="23" spans="1:6" x14ac:dyDescent="0.2">
      <c r="A23" s="20">
        <v>19</v>
      </c>
      <c r="B23" s="202" t="s">
        <v>17</v>
      </c>
      <c r="C23" s="203"/>
      <c r="D23" s="15">
        <f t="shared" si="0"/>
        <v>31888</v>
      </c>
      <c r="E23" s="18">
        <f t="shared" si="1"/>
        <v>431660.75374854699</v>
      </c>
      <c r="F23" s="22">
        <f t="shared" si="2"/>
        <v>13.536777275104962</v>
      </c>
    </row>
    <row r="24" spans="1:6" x14ac:dyDescent="0.2">
      <c r="A24" s="20">
        <v>20</v>
      </c>
      <c r="B24" s="202" t="s">
        <v>18</v>
      </c>
      <c r="C24" s="203"/>
      <c r="D24" s="15">
        <f t="shared" si="0"/>
        <v>3264</v>
      </c>
      <c r="E24" s="18">
        <f t="shared" si="1"/>
        <v>41333.338567337472</v>
      </c>
      <c r="F24" s="22">
        <f t="shared" si="2"/>
        <v>12.663400296365648</v>
      </c>
    </row>
    <row r="25" spans="1:6" ht="14.25" customHeight="1" x14ac:dyDescent="0.2">
      <c r="A25" s="20">
        <v>21</v>
      </c>
      <c r="B25" s="202" t="s">
        <v>446</v>
      </c>
      <c r="C25" s="203"/>
      <c r="D25" s="15">
        <f t="shared" si="0"/>
        <v>9184</v>
      </c>
      <c r="E25" s="18">
        <f t="shared" si="1"/>
        <v>327909.58989044954</v>
      </c>
      <c r="F25" s="22">
        <f t="shared" si="2"/>
        <v>35.704441407932222</v>
      </c>
    </row>
    <row r="26" spans="1:6" x14ac:dyDescent="0.2">
      <c r="A26" s="20">
        <v>22</v>
      </c>
      <c r="B26" s="202" t="s">
        <v>19</v>
      </c>
      <c r="C26" s="203"/>
      <c r="D26" s="15">
        <f t="shared" si="0"/>
        <v>1248</v>
      </c>
      <c r="E26" s="18">
        <f t="shared" si="1"/>
        <v>24351.452981629034</v>
      </c>
      <c r="F26" s="22">
        <f t="shared" si="2"/>
        <v>19.512382196818137</v>
      </c>
    </row>
    <row r="27" spans="1:6" x14ac:dyDescent="0.2">
      <c r="A27" s="20">
        <v>23</v>
      </c>
      <c r="B27" s="202" t="s">
        <v>20</v>
      </c>
      <c r="C27" s="203"/>
      <c r="D27" s="15">
        <f t="shared" si="0"/>
        <v>46224</v>
      </c>
      <c r="E27" s="18">
        <f t="shared" si="1"/>
        <v>440403.16235802928</v>
      </c>
      <c r="F27" s="22">
        <f t="shared" si="2"/>
        <v>9.5275865861463593</v>
      </c>
    </row>
    <row r="28" spans="1:6" x14ac:dyDescent="0.2">
      <c r="A28" s="20">
        <v>24</v>
      </c>
      <c r="B28" s="202" t="s">
        <v>21</v>
      </c>
      <c r="C28" s="203"/>
      <c r="D28" s="15">
        <f t="shared" si="0"/>
        <v>4608</v>
      </c>
      <c r="E28" s="18">
        <f t="shared" si="1"/>
        <v>37441.595624476438</v>
      </c>
      <c r="F28" s="22">
        <f t="shared" si="2"/>
        <v>8.1253462726728376</v>
      </c>
    </row>
    <row r="29" spans="1:6" x14ac:dyDescent="0.2">
      <c r="A29" s="20">
        <v>25</v>
      </c>
      <c r="B29" s="202" t="s">
        <v>22</v>
      </c>
      <c r="C29" s="203"/>
      <c r="D29" s="15">
        <f t="shared" si="0"/>
        <v>144624</v>
      </c>
      <c r="E29" s="18">
        <f t="shared" si="1"/>
        <v>975836.33975570311</v>
      </c>
      <c r="F29" s="22">
        <f t="shared" si="2"/>
        <v>6.7474025041189787</v>
      </c>
    </row>
    <row r="30" spans="1:6" x14ac:dyDescent="0.2">
      <c r="A30" s="20">
        <v>26</v>
      </c>
      <c r="B30" s="202" t="s">
        <v>23</v>
      </c>
      <c r="C30" s="203"/>
      <c r="D30" s="15">
        <f t="shared" si="0"/>
        <v>78256</v>
      </c>
      <c r="E30" s="18">
        <f t="shared" si="1"/>
        <v>722260.12221984123</v>
      </c>
      <c r="F30" s="22">
        <f t="shared" si="2"/>
        <v>9.2294536165896695</v>
      </c>
    </row>
    <row r="31" spans="1:6" x14ac:dyDescent="0.2">
      <c r="A31" s="20">
        <v>28</v>
      </c>
      <c r="B31" s="202" t="s">
        <v>24</v>
      </c>
      <c r="C31" s="203"/>
      <c r="D31" s="15">
        <f t="shared" si="0"/>
        <v>63024</v>
      </c>
      <c r="E31" s="18">
        <f t="shared" si="1"/>
        <v>414837.87557226629</v>
      </c>
      <c r="F31" s="22">
        <f t="shared" si="2"/>
        <v>6.5822206710501758</v>
      </c>
    </row>
    <row r="32" spans="1:6" ht="15.75" customHeight="1" thickBot="1" x14ac:dyDescent="0.25">
      <c r="A32" s="23">
        <v>29</v>
      </c>
      <c r="B32" s="206" t="s">
        <v>25</v>
      </c>
      <c r="C32" s="207"/>
      <c r="D32" s="24">
        <f t="shared" si="0"/>
        <v>21792</v>
      </c>
      <c r="E32" s="25">
        <f t="shared" si="1"/>
        <v>143439.52514075313</v>
      </c>
      <c r="F32" s="26">
        <f t="shared" si="2"/>
        <v>6.5822102212166449</v>
      </c>
    </row>
    <row r="33" spans="1:6" x14ac:dyDescent="0.2">
      <c r="B33" s="31" t="s">
        <v>35</v>
      </c>
      <c r="C33" s="31"/>
      <c r="D33" s="60">
        <f>SUM(D5:D32)</f>
        <v>1231944</v>
      </c>
      <c r="E33" s="32">
        <f>SUM(E5:E32)</f>
        <v>11034987</v>
      </c>
      <c r="F33" s="33">
        <f t="shared" si="2"/>
        <v>8.95737712103797</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IF(F3="1",SUMIF(Data!A:A,'33'!$A$2,Data!CU:CU),0)</f>
        <v>5760</v>
      </c>
      <c r="E36" s="16">
        <f>IF(F3="1",SUMIF(Data!$A:$A,'33'!$A$2,Data!IO:IO),0)</f>
        <v>47490</v>
      </c>
      <c r="F36" s="21">
        <f t="shared" ref="F36:F64" si="3">IFERROR(E36/D36,"")</f>
        <v>8.2447916666666661</v>
      </c>
    </row>
    <row r="37" spans="1:6" x14ac:dyDescent="0.2">
      <c r="A37" s="20">
        <v>2</v>
      </c>
      <c r="B37" s="202" t="s">
        <v>1</v>
      </c>
      <c r="C37" s="203"/>
      <c r="D37" s="15">
        <f>IF(F3="1",SUMIF(Data!A:A,'33'!$A$2,Data!CV:CV),0)</f>
        <v>13854</v>
      </c>
      <c r="E37" s="18">
        <f>IF(F3="1",SUMIF(Data!$A:$A,'33'!$A$2,Data!IP:IP),0)</f>
        <v>62864</v>
      </c>
      <c r="F37" s="22">
        <f t="shared" si="3"/>
        <v>4.5376064674462251</v>
      </c>
    </row>
    <row r="38" spans="1:6" ht="14.25" customHeight="1" x14ac:dyDescent="0.2">
      <c r="A38" s="20">
        <v>3</v>
      </c>
      <c r="B38" s="202" t="s">
        <v>2</v>
      </c>
      <c r="C38" s="203"/>
      <c r="D38" s="15">
        <f>IF(F3="1",SUMIF(Data!A:A,'33'!$A$2,Data!CW:CW),0)</f>
        <v>167552</v>
      </c>
      <c r="E38" s="18">
        <f>IF(F3="1",SUMIF(Data!$A:$A,'33'!$A$2,Data!IQ:IQ),0)</f>
        <v>122698</v>
      </c>
      <c r="F38" s="22">
        <f t="shared" si="3"/>
        <v>0.73229803284950346</v>
      </c>
    </row>
    <row r="39" spans="1:6" ht="14.25" customHeight="1" x14ac:dyDescent="0.2">
      <c r="A39" s="20">
        <v>4</v>
      </c>
      <c r="B39" s="202" t="s">
        <v>3</v>
      </c>
      <c r="C39" s="203"/>
      <c r="D39" s="15">
        <f>IF(F3="1",SUMIF(Data!A:A,'33'!$A$2,Data!CX:CX),0)</f>
        <v>91574</v>
      </c>
      <c r="E39" s="18">
        <f>IF(F3="1",SUMIF(Data!$A:$A,'33'!$A$2,Data!IR:IR),0)</f>
        <v>75568</v>
      </c>
      <c r="F39" s="22">
        <f t="shared" si="3"/>
        <v>0.8252123965317667</v>
      </c>
    </row>
    <row r="40" spans="1:6" x14ac:dyDescent="0.2">
      <c r="A40" s="20">
        <v>5</v>
      </c>
      <c r="B40" s="202" t="s">
        <v>4</v>
      </c>
      <c r="C40" s="203"/>
      <c r="D40" s="15">
        <f>IF(F3="1",SUMIF(Data!A:A,'33'!$A$2,Data!CY:CY),0)</f>
        <v>0</v>
      </c>
      <c r="E40" s="18">
        <f>IF(F3="1",SUMIF(Data!$A:$A,'33'!$A$2,Data!IS:IS),0)</f>
        <v>0</v>
      </c>
      <c r="F40" s="22" t="str">
        <f t="shared" si="3"/>
        <v/>
      </c>
    </row>
    <row r="41" spans="1:6" x14ac:dyDescent="0.2">
      <c r="A41" s="20">
        <v>6</v>
      </c>
      <c r="B41" s="202" t="s">
        <v>5</v>
      </c>
      <c r="C41" s="203"/>
      <c r="D41" s="15">
        <f>IF(F3="1",SUMIF(Data!A:A,'33'!$A$2,Data!CZ:CZ),0)</f>
        <v>2976</v>
      </c>
      <c r="E41" s="18">
        <f>IF(F3="1",SUMIF(Data!$A:$A,'33'!$A$2,Data!IT:IT),0)</f>
        <v>13250</v>
      </c>
      <c r="F41" s="22">
        <f t="shared" si="3"/>
        <v>4.452284946236559</v>
      </c>
    </row>
    <row r="42" spans="1:6" x14ac:dyDescent="0.2">
      <c r="A42" s="20">
        <v>7</v>
      </c>
      <c r="B42" s="202" t="s">
        <v>6</v>
      </c>
      <c r="C42" s="203"/>
      <c r="D42" s="15">
        <f>IF(F3="1",SUMIF(Data!A:A,'33'!$A$2,Data!DA:DA),0)</f>
        <v>14774</v>
      </c>
      <c r="E42" s="18">
        <f>IF(F3="1",SUMIF(Data!$A:$A,'33'!$A$2,Data!IU:IU),0)</f>
        <v>18806</v>
      </c>
      <c r="F42" s="22">
        <f t="shared" si="3"/>
        <v>1.2729118722079329</v>
      </c>
    </row>
    <row r="43" spans="1:6" x14ac:dyDescent="0.2">
      <c r="A43" s="20">
        <v>8</v>
      </c>
      <c r="B43" s="202" t="s">
        <v>7</v>
      </c>
      <c r="C43" s="203"/>
      <c r="D43" s="15">
        <f>IF(F3="1",SUMIF(Data!A:A,'33'!$A$2,Data!DB:DB),0)</f>
        <v>7840</v>
      </c>
      <c r="E43" s="18">
        <f>IF(F3="1",SUMIF(Data!$A:$A,'33'!$A$2,Data!IV:IV),0)</f>
        <v>36033</v>
      </c>
      <c r="F43" s="22">
        <f t="shared" si="3"/>
        <v>4.5960459183673468</v>
      </c>
    </row>
    <row r="44" spans="1:6" x14ac:dyDescent="0.2">
      <c r="A44" s="20">
        <v>9</v>
      </c>
      <c r="B44" s="202" t="s">
        <v>8</v>
      </c>
      <c r="C44" s="203"/>
      <c r="D44" s="15">
        <f>IF(F3="1",SUMIF(Data!A:A,'33'!$A$2,Data!DC:DC),0)</f>
        <v>88385</v>
      </c>
      <c r="E44" s="18">
        <f>IF(F3="1",SUMIF(Data!$A:$A,'33'!$A$2,Data!IW:IW),0)</f>
        <v>49947</v>
      </c>
      <c r="F44" s="22">
        <f t="shared" si="3"/>
        <v>0.56510720144820958</v>
      </c>
    </row>
    <row r="45" spans="1:6" x14ac:dyDescent="0.2">
      <c r="A45" s="20">
        <v>10</v>
      </c>
      <c r="B45" s="202" t="s">
        <v>9</v>
      </c>
      <c r="C45" s="203"/>
      <c r="D45" s="15">
        <f>IF(F3="1",SUMIF(Data!A:A,'33'!$A$2,Data!DD:DD),0)</f>
        <v>0</v>
      </c>
      <c r="E45" s="18">
        <f>IF(F3="1",SUMIF(Data!$A:$A,'33'!$A$2,Data!IX:IX),0)</f>
        <v>0</v>
      </c>
      <c r="F45" s="22" t="str">
        <f t="shared" si="3"/>
        <v/>
      </c>
    </row>
    <row r="46" spans="1:6" x14ac:dyDescent="0.2">
      <c r="A46" s="20">
        <v>11</v>
      </c>
      <c r="B46" s="202" t="s">
        <v>10</v>
      </c>
      <c r="C46" s="203"/>
      <c r="D46" s="15">
        <f>IF(F3="1",SUMIF(Data!A:A,'33'!$A$2,Data!DE:DE),0)</f>
        <v>49824</v>
      </c>
      <c r="E46" s="18">
        <f>IF(F3="1",SUMIF(Data!$A:$A,'33'!$A$2,Data!IY:IY),0)</f>
        <v>59496</v>
      </c>
      <c r="F46" s="22">
        <f t="shared" si="3"/>
        <v>1.1941233140655105</v>
      </c>
    </row>
    <row r="47" spans="1:6" ht="14.25" customHeight="1" x14ac:dyDescent="0.2">
      <c r="A47" s="20">
        <v>12</v>
      </c>
      <c r="B47" s="202" t="s">
        <v>11</v>
      </c>
      <c r="C47" s="203"/>
      <c r="D47" s="15">
        <f>IF(F3="1",SUMIF(Data!A:A,'33'!$A$2,Data!DF:DF),0)</f>
        <v>100592</v>
      </c>
      <c r="E47" s="18">
        <f>IF(F3="1",SUMIF(Data!$A:$A,'33'!$A$2,Data!IZ:IZ),0)</f>
        <v>68545</v>
      </c>
      <c r="F47" s="22">
        <f t="shared" si="3"/>
        <v>0.68141601717830447</v>
      </c>
    </row>
    <row r="48" spans="1:6" x14ac:dyDescent="0.2">
      <c r="A48" s="20">
        <v>13</v>
      </c>
      <c r="B48" s="202" t="s">
        <v>12</v>
      </c>
      <c r="C48" s="203"/>
      <c r="D48" s="15">
        <f>IF(F3="1",SUMIF(Data!A:A,'33'!$A$2,Data!DG:DG),0)</f>
        <v>13904</v>
      </c>
      <c r="E48" s="18">
        <f>IF(F3="1",SUMIF(Data!$A:$A,'33'!$A$2,Data!JA:JA),0)</f>
        <v>10898</v>
      </c>
      <c r="F48" s="22">
        <f t="shared" si="3"/>
        <v>0.78380322209436137</v>
      </c>
    </row>
    <row r="49" spans="1:6" ht="14.25" customHeight="1" x14ac:dyDescent="0.2">
      <c r="A49" s="20">
        <v>14</v>
      </c>
      <c r="B49" s="202" t="s">
        <v>449</v>
      </c>
      <c r="C49" s="203"/>
      <c r="D49" s="15">
        <f>IF(F3="1",SUMIF(Data!A:A,'33'!$A$2,Data!DH:DH),0)</f>
        <v>100246</v>
      </c>
      <c r="E49" s="18">
        <f>IF(F3="1",SUMIF(Data!$A:$A,'33'!$A$2,Data!JB:JB),0)</f>
        <v>229686</v>
      </c>
      <c r="F49" s="22">
        <f t="shared" si="3"/>
        <v>2.291223589968677</v>
      </c>
    </row>
    <row r="50" spans="1:6" x14ac:dyDescent="0.2">
      <c r="A50" s="20">
        <v>15</v>
      </c>
      <c r="B50" s="202" t="s">
        <v>13</v>
      </c>
      <c r="C50" s="203"/>
      <c r="D50" s="15">
        <f>IF(F3="1",SUMIF(Data!A:A,'33'!$A$2,Data!DI:DI),0)</f>
        <v>0</v>
      </c>
      <c r="E50" s="18">
        <f>IF(F3="1",SUMIF(Data!$A:$A,'33'!$A$2,Data!JC:JC),0)</f>
        <v>0</v>
      </c>
      <c r="F50" s="22" t="str">
        <f t="shared" si="3"/>
        <v/>
      </c>
    </row>
    <row r="51" spans="1:6" x14ac:dyDescent="0.2">
      <c r="A51" s="20">
        <v>16</v>
      </c>
      <c r="B51" s="202" t="s">
        <v>14</v>
      </c>
      <c r="C51" s="203"/>
      <c r="D51" s="15">
        <f>IF(F3="1",SUMIF(Data!A:A,'33'!$A$2,Data!DJ:DJ),0)</f>
        <v>86735</v>
      </c>
      <c r="E51" s="18">
        <f>IF(F3="1",SUMIF(Data!$A:$A,'33'!$A$2,Data!JD:JD),0)</f>
        <v>143566</v>
      </c>
      <c r="F51" s="22">
        <f t="shared" si="3"/>
        <v>1.6552256874387503</v>
      </c>
    </row>
    <row r="52" spans="1:6" x14ac:dyDescent="0.2">
      <c r="A52" s="20">
        <v>17</v>
      </c>
      <c r="B52" s="202" t="s">
        <v>15</v>
      </c>
      <c r="C52" s="203"/>
      <c r="D52" s="15">
        <f>IF(F3="1",SUMIF(Data!A:A,'33'!$A$2,Data!DK:DK),0)</f>
        <v>0</v>
      </c>
      <c r="E52" s="18">
        <f>IF(F3="1",SUMIF(Data!$A:$A,'33'!$A$2,Data!JE:JE),0)</f>
        <v>0</v>
      </c>
      <c r="F52" s="22" t="str">
        <f t="shared" si="3"/>
        <v/>
      </c>
    </row>
    <row r="53" spans="1:6" x14ac:dyDescent="0.2">
      <c r="A53" s="20">
        <v>18</v>
      </c>
      <c r="B53" s="202" t="s">
        <v>16</v>
      </c>
      <c r="C53" s="203"/>
      <c r="D53" s="15">
        <f>IF(F3="1",SUMIF(Data!A:A,'33'!$A$2,Data!DL:DL),0)</f>
        <v>83816</v>
      </c>
      <c r="E53" s="18">
        <f>IF(F3="1",SUMIF(Data!$A:$A,'33'!$A$2,Data!JF:JF),0)</f>
        <v>105298</v>
      </c>
      <c r="F53" s="22">
        <f t="shared" si="3"/>
        <v>1.256299513219433</v>
      </c>
    </row>
    <row r="54" spans="1:6" x14ac:dyDescent="0.2">
      <c r="A54" s="20">
        <v>19</v>
      </c>
      <c r="B54" s="202" t="s">
        <v>17</v>
      </c>
      <c r="C54" s="203"/>
      <c r="D54" s="15">
        <f>IF(F3="1",SUMIF(Data!A:A,'33'!$A$2,Data!DM:DM),0)</f>
        <v>31888</v>
      </c>
      <c r="E54" s="18">
        <f>IF(F3="1",SUMIF(Data!$A:$A,'33'!$A$2,Data!JG:JG),0)</f>
        <v>87368</v>
      </c>
      <c r="F54" s="22">
        <f t="shared" si="3"/>
        <v>2.7398394380331159</v>
      </c>
    </row>
    <row r="55" spans="1:6" x14ac:dyDescent="0.2">
      <c r="A55" s="20">
        <v>20</v>
      </c>
      <c r="B55" s="202" t="s">
        <v>18</v>
      </c>
      <c r="C55" s="203"/>
      <c r="D55" s="15">
        <f>IF(F3="1",SUMIF(Data!A:A,'33'!$A$2,Data!DN:DN),0)</f>
        <v>3264</v>
      </c>
      <c r="E55" s="18">
        <f>IF(F3="1",SUMIF(Data!$A:$A,'33'!$A$2,Data!JH:JH),0)</f>
        <v>15039</v>
      </c>
      <c r="F55" s="22">
        <f t="shared" si="3"/>
        <v>4.6075367647058822</v>
      </c>
    </row>
    <row r="56" spans="1:6" ht="14.25" customHeight="1" x14ac:dyDescent="0.2">
      <c r="A56" s="20">
        <v>21</v>
      </c>
      <c r="B56" s="202" t="s">
        <v>446</v>
      </c>
      <c r="C56" s="203"/>
      <c r="D56" s="15">
        <f>IF(F3="1",SUMIF(Data!A:A,'33'!$A$2,Data!DO:DO),0)</f>
        <v>9184</v>
      </c>
      <c r="E56" s="18">
        <f>IF(F3="1",SUMIF(Data!$A:$A,'33'!$A$2,Data!JI:JI),0)</f>
        <v>47712</v>
      </c>
      <c r="F56" s="22">
        <f t="shared" si="3"/>
        <v>5.1951219512195124</v>
      </c>
    </row>
    <row r="57" spans="1:6" x14ac:dyDescent="0.2">
      <c r="A57" s="20">
        <v>22</v>
      </c>
      <c r="B57" s="202" t="s">
        <v>19</v>
      </c>
      <c r="C57" s="203"/>
      <c r="D57" s="15">
        <f>IF(F3="1",SUMIF(Data!A:A,'33'!$A$2,Data!DP:DP),0)</f>
        <v>1248</v>
      </c>
      <c r="E57" s="18">
        <f>IF(F3="1",SUMIF(Data!$A:$A,'33'!$A$2,Data!JJ:JJ),0)</f>
        <v>10290</v>
      </c>
      <c r="F57" s="22">
        <f t="shared" si="3"/>
        <v>8.2451923076923084</v>
      </c>
    </row>
    <row r="58" spans="1:6" x14ac:dyDescent="0.2">
      <c r="A58" s="20">
        <v>23</v>
      </c>
      <c r="B58" s="202" t="s">
        <v>20</v>
      </c>
      <c r="C58" s="203"/>
      <c r="D58" s="15">
        <f>IF(F3="1",SUMIF(Data!A:A,'33'!$A$2,Data!DQ:DQ),0)</f>
        <v>46224</v>
      </c>
      <c r="E58" s="18">
        <f>IF(F3="1",SUMIF(Data!$A:$A,'33'!$A$2,Data!JK:JK),0)</f>
        <v>53931</v>
      </c>
      <c r="F58" s="22">
        <f t="shared" si="3"/>
        <v>1.1667315680166148</v>
      </c>
    </row>
    <row r="59" spans="1:6" x14ac:dyDescent="0.2">
      <c r="A59" s="20">
        <v>24</v>
      </c>
      <c r="B59" s="202" t="s">
        <v>21</v>
      </c>
      <c r="C59" s="203"/>
      <c r="D59" s="15">
        <f>IF(F3="1",SUMIF(Data!A:A,'33'!$A$2,Data!DR:DR),0)</f>
        <v>4608</v>
      </c>
      <c r="E59" s="18">
        <f>IF(F3="1",SUMIF(Data!$A:$A,'33'!$A$2,Data!JL:JL),0)</f>
        <v>3271</v>
      </c>
      <c r="F59" s="22">
        <f t="shared" si="3"/>
        <v>0.70985243055555558</v>
      </c>
    </row>
    <row r="60" spans="1:6" x14ac:dyDescent="0.2">
      <c r="A60" s="20">
        <v>25</v>
      </c>
      <c r="B60" s="202" t="s">
        <v>22</v>
      </c>
      <c r="C60" s="203"/>
      <c r="D60" s="15">
        <f>IF(F3="1",SUMIF(Data!A:A,'33'!$A$2,Data!DS:DS),0)</f>
        <v>144624</v>
      </c>
      <c r="E60" s="18">
        <f>IF(F3="1",SUMIF(Data!$A:$A,'33'!$A$2,Data!JM:JM),0)</f>
        <v>79520</v>
      </c>
      <c r="F60" s="22">
        <f t="shared" si="3"/>
        <v>0.5498395840247815</v>
      </c>
    </row>
    <row r="61" spans="1:6" x14ac:dyDescent="0.2">
      <c r="A61" s="20">
        <v>26</v>
      </c>
      <c r="B61" s="202" t="s">
        <v>23</v>
      </c>
      <c r="C61" s="203"/>
      <c r="D61" s="15">
        <f>IF(F3="1",SUMIF(Data!A:A,'33'!$A$2,Data!DT:DT),0)</f>
        <v>78256</v>
      </c>
      <c r="E61" s="18">
        <f>IF(F3="1",SUMIF(Data!$A:$A,'33'!$A$2,Data!JN:JN),0)</f>
        <v>108920</v>
      </c>
      <c r="F61" s="22">
        <f t="shared" si="3"/>
        <v>1.3918421590676753</v>
      </c>
    </row>
    <row r="62" spans="1:6" x14ac:dyDescent="0.2">
      <c r="A62" s="20">
        <v>28</v>
      </c>
      <c r="B62" s="202" t="s">
        <v>24</v>
      </c>
      <c r="C62" s="203"/>
      <c r="D62" s="15">
        <f>IF(F3="1",SUMIF(Data!A:A,'33'!$A$2,Data!DV:DV),0)</f>
        <v>63024</v>
      </c>
      <c r="E62" s="18">
        <f>IF(F3="1",SUMIF(Data!$A:$A,'33'!$A$2,Data!JP:JP),0)</f>
        <v>26677</v>
      </c>
      <c r="F62" s="22">
        <f t="shared" si="3"/>
        <v>0.42328319370398576</v>
      </c>
    </row>
    <row r="63" spans="1:6" ht="15.75" customHeight="1" thickBot="1" x14ac:dyDescent="0.25">
      <c r="A63" s="23">
        <v>29</v>
      </c>
      <c r="B63" s="206" t="s">
        <v>25</v>
      </c>
      <c r="C63" s="207"/>
      <c r="D63" s="24">
        <f>IF(F3="1",SUMIF(Data!A:A,'33'!$A$2,Data!DW:DW),0)</f>
        <v>21792</v>
      </c>
      <c r="E63" s="25">
        <f>IF(F3="1",SUMIF(Data!$A:$A,'33'!$A$2,Data!JQ:JQ),0)</f>
        <v>9224</v>
      </c>
      <c r="F63" s="26">
        <f t="shared" si="3"/>
        <v>0.42327459618208518</v>
      </c>
    </row>
    <row r="64" spans="1:6" x14ac:dyDescent="0.2">
      <c r="B64" s="31" t="s">
        <v>35</v>
      </c>
      <c r="C64" s="31"/>
      <c r="D64" s="60">
        <f>SUM(D36:D63)</f>
        <v>1231944</v>
      </c>
      <c r="E64" s="32">
        <f>SUM(E36:E63)</f>
        <v>1486097</v>
      </c>
      <c r="F64" s="33">
        <f t="shared" si="3"/>
        <v>1.2063023968621951</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5760</v>
      </c>
      <c r="E67" s="16">
        <f>IF(F3="1",SUMIF(Data!A:A,'33'!$A$2,Data!DY:DY),0)</f>
        <v>41932</v>
      </c>
      <c r="F67" s="21">
        <f>IFERROR(E67/D67,"")</f>
        <v>7.2798611111111109</v>
      </c>
    </row>
    <row r="68" spans="1:6" x14ac:dyDescent="0.2">
      <c r="A68" s="20">
        <v>2</v>
      </c>
      <c r="B68" s="202" t="s">
        <v>1</v>
      </c>
      <c r="C68" s="203"/>
      <c r="D68" s="15">
        <f t="shared" ref="D68:D94" si="4">D37</f>
        <v>13854</v>
      </c>
      <c r="E68" s="18">
        <f>IF(F3="1",SUMIF(Data!A:A,'33'!$A$2,Data!DZ:DZ),0)</f>
        <v>98276</v>
      </c>
      <c r="F68" s="22">
        <f t="shared" ref="F68:F95" si="5">IFERROR(E68/D68,"")</f>
        <v>7.0936913526779266</v>
      </c>
    </row>
    <row r="69" spans="1:6" ht="14.25" customHeight="1" x14ac:dyDescent="0.2">
      <c r="A69" s="20">
        <v>3</v>
      </c>
      <c r="B69" s="202" t="s">
        <v>2</v>
      </c>
      <c r="C69" s="203"/>
      <c r="D69" s="15">
        <f t="shared" si="4"/>
        <v>167552</v>
      </c>
      <c r="E69" s="18">
        <f>IF(F3="1",SUMIF(Data!A:A,'33'!$A$2,Data!EA:EA),0)</f>
        <v>437044</v>
      </c>
      <c r="F69" s="22">
        <f t="shared" si="5"/>
        <v>2.6084081359816653</v>
      </c>
    </row>
    <row r="70" spans="1:6" ht="14.25" customHeight="1" x14ac:dyDescent="0.2">
      <c r="A70" s="20">
        <v>4</v>
      </c>
      <c r="B70" s="202" t="s">
        <v>3</v>
      </c>
      <c r="C70" s="203"/>
      <c r="D70" s="15">
        <f t="shared" si="4"/>
        <v>91574</v>
      </c>
      <c r="E70" s="18">
        <f>IF(F3="1",SUMIF(Data!A:A,'33'!$A$2,Data!EB:EB),0)</f>
        <v>378797</v>
      </c>
      <c r="F70" s="22">
        <f t="shared" si="5"/>
        <v>4.1365125472295627</v>
      </c>
    </row>
    <row r="71" spans="1:6" x14ac:dyDescent="0.2">
      <c r="A71" s="20">
        <v>5</v>
      </c>
      <c r="B71" s="202" t="s">
        <v>4</v>
      </c>
      <c r="C71" s="203"/>
      <c r="D71" s="15">
        <f t="shared" si="4"/>
        <v>0</v>
      </c>
      <c r="E71" s="18">
        <f>IF(F3="1",SUMIF(Data!A:A,'33'!$A$2,Data!EC:EC),0)</f>
        <v>0</v>
      </c>
      <c r="F71" s="22" t="str">
        <f t="shared" si="5"/>
        <v/>
      </c>
    </row>
    <row r="72" spans="1:6" x14ac:dyDescent="0.2">
      <c r="A72" s="20">
        <v>6</v>
      </c>
      <c r="B72" s="202" t="s">
        <v>5</v>
      </c>
      <c r="C72" s="203"/>
      <c r="D72" s="15">
        <f t="shared" si="4"/>
        <v>2976</v>
      </c>
      <c r="E72" s="18">
        <f>IF(F3="1",SUMIF(Data!A:A,'33'!$A$2,Data!ED:ED),0)</f>
        <v>48563</v>
      </c>
      <c r="F72" s="22">
        <f t="shared" si="5"/>
        <v>16.318212365591396</v>
      </c>
    </row>
    <row r="73" spans="1:6" x14ac:dyDescent="0.2">
      <c r="A73" s="20">
        <v>7</v>
      </c>
      <c r="B73" s="202" t="s">
        <v>6</v>
      </c>
      <c r="C73" s="203"/>
      <c r="D73" s="15">
        <f t="shared" si="4"/>
        <v>14774</v>
      </c>
      <c r="E73" s="18">
        <f>IF(F3="1",SUMIF(Data!A:A,'33'!$A$2,Data!EE:EE),0)</f>
        <v>86263</v>
      </c>
      <c r="F73" s="22">
        <f t="shared" si="5"/>
        <v>5.8388385000676868</v>
      </c>
    </row>
    <row r="74" spans="1:6" x14ac:dyDescent="0.2">
      <c r="A74" s="20">
        <v>8</v>
      </c>
      <c r="B74" s="202" t="s">
        <v>7</v>
      </c>
      <c r="C74" s="203"/>
      <c r="D74" s="15">
        <f t="shared" si="4"/>
        <v>7840</v>
      </c>
      <c r="E74" s="18">
        <f>IF(F3="1",SUMIF(Data!A:A,'33'!$A$2,Data!EF:EF),0)</f>
        <v>31977</v>
      </c>
      <c r="F74" s="22">
        <f t="shared" si="5"/>
        <v>4.0786989795918371</v>
      </c>
    </row>
    <row r="75" spans="1:6" x14ac:dyDescent="0.2">
      <c r="A75" s="20">
        <v>9</v>
      </c>
      <c r="B75" s="202" t="s">
        <v>8</v>
      </c>
      <c r="C75" s="203"/>
      <c r="D75" s="15">
        <f t="shared" si="4"/>
        <v>88385</v>
      </c>
      <c r="E75" s="18">
        <f>IF(F3="1",SUMIF(Data!A:A,'33'!$A$2,Data!EG:EG),0)</f>
        <v>188282</v>
      </c>
      <c r="F75" s="22">
        <f t="shared" si="5"/>
        <v>2.1302483453074617</v>
      </c>
    </row>
    <row r="76" spans="1:6" x14ac:dyDescent="0.2">
      <c r="A76" s="20">
        <v>10</v>
      </c>
      <c r="B76" s="202" t="s">
        <v>9</v>
      </c>
      <c r="C76" s="203"/>
      <c r="D76" s="15">
        <f t="shared" si="4"/>
        <v>0</v>
      </c>
      <c r="E76" s="18">
        <f>IF(F3="1",SUMIF(Data!A:A,'33'!$A$2,Data!EH:EH),0)</f>
        <v>0</v>
      </c>
      <c r="F76" s="22" t="str">
        <f t="shared" si="5"/>
        <v/>
      </c>
    </row>
    <row r="77" spans="1:6" x14ac:dyDescent="0.2">
      <c r="A77" s="20">
        <v>11</v>
      </c>
      <c r="B77" s="202" t="s">
        <v>10</v>
      </c>
      <c r="C77" s="203"/>
      <c r="D77" s="15">
        <f t="shared" si="4"/>
        <v>49824</v>
      </c>
      <c r="E77" s="18">
        <f>IF(F3="1",SUMIF(Data!A:A,'33'!$A$2,Data!EI:EI),0)</f>
        <v>52532</v>
      </c>
      <c r="F77" s="22">
        <f t="shared" si="5"/>
        <v>1.0543513166345537</v>
      </c>
    </row>
    <row r="78" spans="1:6" ht="14.25" customHeight="1" x14ac:dyDescent="0.2">
      <c r="A78" s="20">
        <v>12</v>
      </c>
      <c r="B78" s="202" t="s">
        <v>11</v>
      </c>
      <c r="C78" s="203"/>
      <c r="D78" s="15">
        <f t="shared" si="4"/>
        <v>100592</v>
      </c>
      <c r="E78" s="18">
        <f>IF(F3="1",SUMIF(Data!A:A,'33'!$A$2,Data!EJ:EJ),0)</f>
        <v>358582</v>
      </c>
      <c r="F78" s="22">
        <f t="shared" si="5"/>
        <v>3.5647168760935264</v>
      </c>
    </row>
    <row r="79" spans="1:6" x14ac:dyDescent="0.2">
      <c r="A79" s="20">
        <v>13</v>
      </c>
      <c r="B79" s="202" t="s">
        <v>12</v>
      </c>
      <c r="C79" s="203"/>
      <c r="D79" s="15">
        <f t="shared" si="4"/>
        <v>13904</v>
      </c>
      <c r="E79" s="18">
        <f>IF(F3="1",SUMIF(Data!A:A,'33'!$A$2,Data!EK:EK),0)</f>
        <v>59645</v>
      </c>
      <c r="F79" s="22">
        <f t="shared" si="5"/>
        <v>4.2897727272727275</v>
      </c>
    </row>
    <row r="80" spans="1:6" ht="14.25" customHeight="1" x14ac:dyDescent="0.2">
      <c r="A80" s="20">
        <v>14</v>
      </c>
      <c r="B80" s="202" t="s">
        <v>449</v>
      </c>
      <c r="C80" s="203"/>
      <c r="D80" s="15">
        <f t="shared" si="4"/>
        <v>100246</v>
      </c>
      <c r="E80" s="18">
        <f>IF(F3="1",SUMIF(Data!A:A,'33'!$A$2,Data!EL:EL),0)</f>
        <v>724263</v>
      </c>
      <c r="F80" s="22">
        <f t="shared" si="5"/>
        <v>7.2248568521437262</v>
      </c>
    </row>
    <row r="81" spans="1:6" x14ac:dyDescent="0.2">
      <c r="A81" s="20">
        <v>15</v>
      </c>
      <c r="B81" s="202" t="s">
        <v>13</v>
      </c>
      <c r="C81" s="203"/>
      <c r="D81" s="15">
        <f t="shared" si="4"/>
        <v>0</v>
      </c>
      <c r="E81" s="18">
        <f>IF(F3="1",SUMIF(Data!A:A,'33'!$A$2,Data!EM:EM),0)</f>
        <v>0</v>
      </c>
      <c r="F81" s="22" t="str">
        <f t="shared" si="5"/>
        <v/>
      </c>
    </row>
    <row r="82" spans="1:6" x14ac:dyDescent="0.2">
      <c r="A82" s="20">
        <v>16</v>
      </c>
      <c r="B82" s="202" t="s">
        <v>14</v>
      </c>
      <c r="C82" s="203"/>
      <c r="D82" s="15">
        <f t="shared" si="4"/>
        <v>86735</v>
      </c>
      <c r="E82" s="18">
        <f>IF(F3="1",SUMIF(Data!A:A,'33'!$A$2,Data!EN:EN),0)</f>
        <v>293656</v>
      </c>
      <c r="F82" s="22">
        <f t="shared" si="5"/>
        <v>3.3856689917564995</v>
      </c>
    </row>
    <row r="83" spans="1:6" x14ac:dyDescent="0.2">
      <c r="A83" s="20">
        <v>17</v>
      </c>
      <c r="B83" s="202" t="s">
        <v>15</v>
      </c>
      <c r="C83" s="203"/>
      <c r="D83" s="15">
        <f t="shared" si="4"/>
        <v>0</v>
      </c>
      <c r="E83" s="18">
        <f>IF(F3="1",SUMIF(Data!A:A,'33'!$A$2,Data!EO:EO),0)</f>
        <v>0</v>
      </c>
      <c r="F83" s="22" t="str">
        <f t="shared" si="5"/>
        <v/>
      </c>
    </row>
    <row r="84" spans="1:6" x14ac:dyDescent="0.2">
      <c r="A84" s="20">
        <v>18</v>
      </c>
      <c r="B84" s="202" t="s">
        <v>16</v>
      </c>
      <c r="C84" s="203"/>
      <c r="D84" s="15">
        <f t="shared" si="4"/>
        <v>83816</v>
      </c>
      <c r="E84" s="18">
        <f>IF(F3="1",SUMIF(Data!A:A,'33'!$A$2,Data!EP:EP),0)</f>
        <v>330541</v>
      </c>
      <c r="F84" s="22">
        <f t="shared" si="5"/>
        <v>3.9436503770163216</v>
      </c>
    </row>
    <row r="85" spans="1:6" x14ac:dyDescent="0.2">
      <c r="A85" s="20">
        <v>19</v>
      </c>
      <c r="B85" s="202" t="s">
        <v>17</v>
      </c>
      <c r="C85" s="203"/>
      <c r="D85" s="15">
        <f t="shared" si="4"/>
        <v>31888</v>
      </c>
      <c r="E85" s="18">
        <f>IF(F3="1",SUMIF(Data!A:A,'33'!$A$2,Data!EQ:EQ),0)</f>
        <v>217138</v>
      </c>
      <c r="F85" s="22">
        <f t="shared" si="5"/>
        <v>6.8093953838434524</v>
      </c>
    </row>
    <row r="86" spans="1:6" x14ac:dyDescent="0.2">
      <c r="A86" s="20">
        <v>20</v>
      </c>
      <c r="B86" s="202" t="s">
        <v>18</v>
      </c>
      <c r="C86" s="203"/>
      <c r="D86" s="15">
        <f t="shared" si="4"/>
        <v>3264</v>
      </c>
      <c r="E86" s="18">
        <f>IF(F3="1",SUMIF(Data!A:A,'33'!$A$2,Data!ER:ER),0)</f>
        <v>13279</v>
      </c>
      <c r="F86" s="22">
        <f t="shared" si="5"/>
        <v>4.0683210784313726</v>
      </c>
    </row>
    <row r="87" spans="1:6" ht="14.25" customHeight="1" x14ac:dyDescent="0.2">
      <c r="A87" s="20">
        <v>21</v>
      </c>
      <c r="B87" s="202" t="s">
        <v>446</v>
      </c>
      <c r="C87" s="203"/>
      <c r="D87" s="15">
        <f t="shared" si="4"/>
        <v>9184</v>
      </c>
      <c r="E87" s="18">
        <f>IF(F3="1",SUMIF(Data!A:A,'33'!$A$2,Data!ES:ES),0)</f>
        <v>243576</v>
      </c>
      <c r="F87" s="22">
        <f t="shared" si="5"/>
        <v>26.521777003484321</v>
      </c>
    </row>
    <row r="88" spans="1:6" x14ac:dyDescent="0.2">
      <c r="A88" s="20">
        <v>22</v>
      </c>
      <c r="B88" s="202" t="s">
        <v>19</v>
      </c>
      <c r="C88" s="203"/>
      <c r="D88" s="15">
        <f t="shared" si="4"/>
        <v>1248</v>
      </c>
      <c r="E88" s="18">
        <f>IF(F3="1",SUMIF(Data!A:A,'33'!$A$2,Data!ET:ET),0)</f>
        <v>9085</v>
      </c>
      <c r="F88" s="22">
        <f t="shared" si="5"/>
        <v>7.2796474358974361</v>
      </c>
    </row>
    <row r="89" spans="1:6" x14ac:dyDescent="0.2">
      <c r="A89" s="20">
        <v>23</v>
      </c>
      <c r="B89" s="202" t="s">
        <v>20</v>
      </c>
      <c r="C89" s="203"/>
      <c r="D89" s="15">
        <f t="shared" si="4"/>
        <v>46224</v>
      </c>
      <c r="E89" s="18">
        <f>IF(F3="1",SUMIF(Data!A:A,'33'!$A$2,Data!EU:EU),0)</f>
        <v>202152</v>
      </c>
      <c r="F89" s="22">
        <f t="shared" si="5"/>
        <v>4.37331256490135</v>
      </c>
    </row>
    <row r="90" spans="1:6" x14ac:dyDescent="0.2">
      <c r="A90" s="20">
        <v>24</v>
      </c>
      <c r="B90" s="202" t="s">
        <v>21</v>
      </c>
      <c r="C90" s="203"/>
      <c r="D90" s="15">
        <f t="shared" si="4"/>
        <v>4608</v>
      </c>
      <c r="E90" s="18">
        <f>IF(F3="1",SUMIF(Data!A:A,'33'!$A$2,Data!EV:EV),0)</f>
        <v>15796</v>
      </c>
      <c r="F90" s="22">
        <f t="shared" si="5"/>
        <v>3.4279513888888888</v>
      </c>
    </row>
    <row r="91" spans="1:6" x14ac:dyDescent="0.2">
      <c r="A91" s="20">
        <v>25</v>
      </c>
      <c r="B91" s="202" t="s">
        <v>22</v>
      </c>
      <c r="C91" s="203"/>
      <c r="D91" s="15">
        <f t="shared" si="4"/>
        <v>144624</v>
      </c>
      <c r="E91" s="18">
        <f>IF(F3="1",SUMIF(Data!A:A,'33'!$A$2,Data!EW:EW),0)</f>
        <v>319622</v>
      </c>
      <c r="F91" s="22">
        <f t="shared" si="5"/>
        <v>2.2100204668658039</v>
      </c>
    </row>
    <row r="92" spans="1:6" x14ac:dyDescent="0.2">
      <c r="A92" s="20">
        <v>26</v>
      </c>
      <c r="B92" s="202" t="s">
        <v>23</v>
      </c>
      <c r="C92" s="203"/>
      <c r="D92" s="15">
        <f t="shared" si="4"/>
        <v>78256</v>
      </c>
      <c r="E92" s="18">
        <f>IF(F3="1",SUMIF(Data!A:A,'33'!$A$2,Data!EX:EX),0)</f>
        <v>301291</v>
      </c>
      <c r="F92" s="22">
        <f t="shared" si="5"/>
        <v>3.8500690042936005</v>
      </c>
    </row>
    <row r="93" spans="1:6" x14ac:dyDescent="0.2">
      <c r="A93" s="20">
        <v>28</v>
      </c>
      <c r="B93" s="202" t="s">
        <v>24</v>
      </c>
      <c r="C93" s="203"/>
      <c r="D93" s="15">
        <f t="shared" si="4"/>
        <v>63024</v>
      </c>
      <c r="E93" s="18">
        <f>IF(F3="1",SUMIF(Data!A:A,'33'!$A$2,Data!EZ:EZ),0)</f>
        <v>136850</v>
      </c>
      <c r="F93" s="22">
        <f t="shared" si="5"/>
        <v>2.1713950241177966</v>
      </c>
    </row>
    <row r="94" spans="1:6" ht="15.75" customHeight="1" thickBot="1" x14ac:dyDescent="0.25">
      <c r="A94" s="23">
        <v>29</v>
      </c>
      <c r="B94" s="206" t="s">
        <v>25</v>
      </c>
      <c r="C94" s="207"/>
      <c r="D94" s="24">
        <f t="shared" si="4"/>
        <v>21792</v>
      </c>
      <c r="E94" s="25">
        <f>IF(F3="1",SUMIF(Data!A:A,'33'!$A$2,Data!FA:FA),0)</f>
        <v>47319</v>
      </c>
      <c r="F94" s="26">
        <f t="shared" si="5"/>
        <v>2.1713931718061672</v>
      </c>
    </row>
    <row r="95" spans="1:6" x14ac:dyDescent="0.2">
      <c r="B95" s="31" t="s">
        <v>35</v>
      </c>
      <c r="C95" s="31"/>
      <c r="D95" s="60">
        <f>SUM(D67:D94)</f>
        <v>1231944</v>
      </c>
      <c r="E95" s="32">
        <f>SUM(E67:E94)</f>
        <v>4636461</v>
      </c>
      <c r="F95" s="33">
        <f t="shared" si="5"/>
        <v>3.7635322709473806</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IF(F3="1",SUMIF(Data!A:A,'33'!$A$2,Data!AH:AH),0)</f>
        <v>1694203</v>
      </c>
      <c r="F98" s="21">
        <f t="shared" ref="F98:F105" si="6">IFERROR(E98/$D$95,0)</f>
        <v>1.3752272830583208</v>
      </c>
    </row>
    <row r="99" spans="2:6" x14ac:dyDescent="0.2">
      <c r="B99" s="212" t="s">
        <v>31</v>
      </c>
      <c r="C99" s="213"/>
      <c r="D99" s="37"/>
      <c r="E99" s="18">
        <f>IF(F3="1",SUMIF(Data!A:A,'33'!$A$2,Data!AI:AI),0)</f>
        <v>864093</v>
      </c>
      <c r="F99" s="22">
        <f t="shared" si="6"/>
        <v>0.70140607040579772</v>
      </c>
    </row>
    <row r="100" spans="2:6" x14ac:dyDescent="0.2">
      <c r="B100" s="212" t="s">
        <v>32</v>
      </c>
      <c r="C100" s="213"/>
      <c r="D100" s="37"/>
      <c r="E100" s="18">
        <f>IF(F3="1",SUMIF(Data!A:A,'33'!$A$2,Data!AJ:AJ),0)</f>
        <v>1673530</v>
      </c>
      <c r="F100" s="22">
        <f t="shared" si="6"/>
        <v>1.3584464878273688</v>
      </c>
    </row>
    <row r="101" spans="2:6" x14ac:dyDescent="0.2">
      <c r="B101" s="212" t="s">
        <v>28</v>
      </c>
      <c r="C101" s="213"/>
      <c r="D101" s="37"/>
      <c r="E101" s="18">
        <f>IF(F3="1",SUMIF(Data!A:A,'33'!$A$2,Data!AK:AK),0)</f>
        <v>0</v>
      </c>
      <c r="F101" s="22">
        <f t="shared" si="6"/>
        <v>0</v>
      </c>
    </row>
    <row r="102" spans="2:6" x14ac:dyDescent="0.2">
      <c r="B102" s="212" t="s">
        <v>33</v>
      </c>
      <c r="C102" s="213"/>
      <c r="D102" s="37"/>
      <c r="E102" s="18">
        <f>IF(F3="1",SUMIF(Data!A:A,'33'!$A$2,Data!AL:AL),0)</f>
        <v>0</v>
      </c>
      <c r="F102" s="22">
        <f t="shared" si="6"/>
        <v>0</v>
      </c>
    </row>
    <row r="103" spans="2:6" x14ac:dyDescent="0.2">
      <c r="B103" s="214" t="s">
        <v>34</v>
      </c>
      <c r="C103" s="215"/>
      <c r="D103" s="37"/>
      <c r="E103" s="18">
        <f>IF(F3="1",SUMIF(Data!A:A,'33'!$A$2,Data!AM:AM),0)</f>
        <v>0</v>
      </c>
      <c r="F103" s="22">
        <f t="shared" si="6"/>
        <v>0</v>
      </c>
    </row>
    <row r="104" spans="2:6" ht="15.75" customHeight="1" thickBot="1" x14ac:dyDescent="0.25">
      <c r="B104" s="208" t="s">
        <v>29</v>
      </c>
      <c r="C104" s="209"/>
      <c r="D104" s="38"/>
      <c r="E104" s="25">
        <f>IF(F3="1",SUMIF(Data!A:A,'33'!$A$2,Data!Q:Q),0)</f>
        <v>680603</v>
      </c>
      <c r="F104" s="26">
        <f t="shared" si="6"/>
        <v>0.55246261193690627</v>
      </c>
    </row>
    <row r="105" spans="2:6" x14ac:dyDescent="0.2">
      <c r="B105" s="31" t="s">
        <v>35</v>
      </c>
      <c r="C105" s="31"/>
      <c r="D105" s="35">
        <f>D95</f>
        <v>1231944</v>
      </c>
      <c r="E105" s="32">
        <f>SUM(E98:E104)</f>
        <v>4912429</v>
      </c>
      <c r="F105" s="33">
        <f t="shared" si="6"/>
        <v>3.9875424532283934</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4762244</v>
      </c>
      <c r="D109" s="192">
        <f>IF(F3="1",SUMIF(Data!$A:$A,$A$2,Data!HJ:HJ),0)</f>
        <v>694337</v>
      </c>
      <c r="E109" s="192">
        <f>IF(F3="1",SUMIF(Data!$A:$A,$A$2,Data!IN:IN),0)</f>
        <v>665976</v>
      </c>
      <c r="F109" s="48">
        <f>SUM(C109:E109)</f>
        <v>6122557</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0</v>
      </c>
      <c r="D111" s="52"/>
      <c r="E111" s="193">
        <f>IF(F3="1",SUMIF(Data!A:A,$A$2,Data!AX:AX)-SUMIF(Data!A:A,$A$2,Data!AW:AW),0)</f>
        <v>0</v>
      </c>
      <c r="F111" s="49">
        <f t="shared" si="7"/>
        <v>0</v>
      </c>
    </row>
    <row r="112" spans="2:6" x14ac:dyDescent="0.2">
      <c r="B112" s="43" t="s">
        <v>32</v>
      </c>
      <c r="C112" s="193">
        <f>IF(F3="1",SUMIF(Data!A:A,$A$2,Data!V:V),0)</f>
        <v>1262998</v>
      </c>
      <c r="D112" s="52"/>
      <c r="E112" s="193">
        <f>IF(F3="1",SUMIF(Data!A:A,$A$2,Data!AC:AC),0)</f>
        <v>410532</v>
      </c>
      <c r="F112" s="49">
        <f t="shared" si="7"/>
        <v>1673530</v>
      </c>
    </row>
    <row r="113" spans="1:6" x14ac:dyDescent="0.2">
      <c r="B113" s="43" t="s">
        <v>31</v>
      </c>
      <c r="C113" s="193">
        <f>IF(F3="1",SUMIF(Data!A:A,$A$2,Data!U:U),0)</f>
        <v>747372</v>
      </c>
      <c r="D113" s="52"/>
      <c r="E113" s="193">
        <f>IF(F3="1",SUMIF(Data!A:A,$A$2,Data!AB:AB),0)</f>
        <v>116721</v>
      </c>
      <c r="F113" s="49">
        <f t="shared" si="7"/>
        <v>864093</v>
      </c>
    </row>
    <row r="114" spans="1:6" x14ac:dyDescent="0.2">
      <c r="B114" s="43" t="s">
        <v>1002</v>
      </c>
      <c r="C114" s="193">
        <f>IF(F3="1",SUMIF(Data!A:A,$A$2,Data!T:T),0)</f>
        <v>809606</v>
      </c>
      <c r="D114" s="52"/>
      <c r="E114" s="193">
        <f>IF(F3="1",SUMIF(Data!A:A,$A$2,Data!AA:AA),0)</f>
        <v>884597</v>
      </c>
      <c r="F114" s="49">
        <f t="shared" si="7"/>
        <v>1694203</v>
      </c>
    </row>
    <row r="115" spans="1:6" x14ac:dyDescent="0.2">
      <c r="B115" s="43" t="s">
        <v>916</v>
      </c>
      <c r="C115" s="193">
        <f>IF(F3="1",SUMIF(Data!A:A,$A$2,Data!BI:BI),0)</f>
        <v>248786</v>
      </c>
      <c r="D115" s="193">
        <f>IF(F3="1",SUMIF(Data!A:A,$A$2,Data!BL:BL),0)</f>
        <v>74251</v>
      </c>
      <c r="E115" s="193">
        <f>IF(F3="1",SUMIF(Data!A:A,$A$2,Data!BU:BU)-SUMIF(Data!A:A,$A$2,Data!BT:BT),0)</f>
        <v>1048602</v>
      </c>
      <c r="F115" s="49">
        <f t="shared" si="7"/>
        <v>1371639</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680603</v>
      </c>
      <c r="E117" s="53"/>
      <c r="F117" s="50">
        <f>SUM(C117:E117)</f>
        <v>680603</v>
      </c>
    </row>
    <row r="118" spans="1:6" x14ac:dyDescent="0.2">
      <c r="B118" s="14" t="s">
        <v>35</v>
      </c>
      <c r="C118" s="178">
        <f>SUM(C109:C117)</f>
        <v>7831006</v>
      </c>
      <c r="D118" s="194">
        <f>SUM(D109:D117)</f>
        <v>1449191</v>
      </c>
      <c r="E118" s="178">
        <f>SUM(E109:E117)</f>
        <v>3126428</v>
      </c>
      <c r="F118" s="178">
        <f>SUM(F109:F117)</f>
        <v>12406625</v>
      </c>
    </row>
    <row r="119" spans="1:6" x14ac:dyDescent="0.2">
      <c r="C119" s="177"/>
      <c r="D119" s="177"/>
      <c r="E119" s="177"/>
    </row>
    <row r="120" spans="1:6" ht="15" thickBot="1" x14ac:dyDescent="0.25">
      <c r="B120" s="188" t="s">
        <v>921</v>
      </c>
      <c r="C120" s="53"/>
      <c r="D120" s="53"/>
      <c r="E120" s="195">
        <f>IF(F3="1",SUMIF(Data!A:A,$A$2,Data!AF:AF)+SUMIF(Data!A:A,$A$2,Data!AW:AW)+SUMIF(Data!A:A,$A$2,Data!BT:BT),0)</f>
        <v>199792</v>
      </c>
      <c r="F120" s="181">
        <f>SUM(C120:E120)</f>
        <v>199792</v>
      </c>
    </row>
    <row r="121" spans="1:6" s="177" customFormat="1" x14ac:dyDescent="0.2">
      <c r="B121" s="14" t="s">
        <v>35</v>
      </c>
      <c r="C121" s="178">
        <f>SUM(C120:C120)</f>
        <v>0</v>
      </c>
      <c r="D121" s="178">
        <f>SUM(D120:D120)</f>
        <v>0</v>
      </c>
      <c r="E121" s="178">
        <f>SUM(E120:E120)</f>
        <v>199792</v>
      </c>
      <c r="F121" s="178">
        <f>SUM(F120:F120)</f>
        <v>199792</v>
      </c>
    </row>
    <row r="122" spans="1:6" s="177" customFormat="1" ht="15" thickBot="1" x14ac:dyDescent="0.25">
      <c r="B122" s="14" t="s">
        <v>1396</v>
      </c>
      <c r="C122" s="178"/>
      <c r="D122" s="178"/>
      <c r="E122" s="178"/>
      <c r="F122" s="190">
        <f>F118+F121</f>
        <v>12606417</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386</v>
      </c>
      <c r="B2" s="59" t="str">
        <f>VLOOKUP(A2,Data!A:G,7,0)</f>
        <v>Paris Junior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0</v>
      </c>
      <c r="E5" s="16">
        <f>E36+E67+IFERROR($E$105/$D$105*D5,0)</f>
        <v>0</v>
      </c>
      <c r="F5" s="21" t="str">
        <f>IFERROR(E5/D5,"")</f>
        <v/>
      </c>
    </row>
    <row r="6" spans="1:6" x14ac:dyDescent="0.2">
      <c r="A6" s="20">
        <v>2</v>
      </c>
      <c r="B6" s="202" t="s">
        <v>1</v>
      </c>
      <c r="C6" s="203"/>
      <c r="D6" s="15">
        <f t="shared" ref="D6:D32" si="0">D37</f>
        <v>202778</v>
      </c>
      <c r="E6" s="18">
        <f t="shared" ref="E6:E32" si="1">E37+E68+IFERROR($E$105/$D$105*D6,0)</f>
        <v>1387784.1520889318</v>
      </c>
      <c r="F6" s="22">
        <f t="shared" ref="F6:F33" si="2">IFERROR(E6/D6,"")</f>
        <v>6.8438595512774159</v>
      </c>
    </row>
    <row r="7" spans="1:6" ht="14.25" customHeight="1" x14ac:dyDescent="0.2">
      <c r="A7" s="20">
        <v>3</v>
      </c>
      <c r="B7" s="202" t="s">
        <v>2</v>
      </c>
      <c r="C7" s="203"/>
      <c r="D7" s="15">
        <f t="shared" si="0"/>
        <v>401808</v>
      </c>
      <c r="E7" s="18">
        <f t="shared" si="1"/>
        <v>1772636.9935720321</v>
      </c>
      <c r="F7" s="22">
        <f t="shared" si="2"/>
        <v>4.4116518177140129</v>
      </c>
    </row>
    <row r="8" spans="1:6" ht="14.25" customHeight="1" x14ac:dyDescent="0.2">
      <c r="A8" s="20">
        <v>4</v>
      </c>
      <c r="B8" s="202" t="s">
        <v>3</v>
      </c>
      <c r="C8" s="203"/>
      <c r="D8" s="15">
        <f t="shared" si="0"/>
        <v>145879</v>
      </c>
      <c r="E8" s="18">
        <f t="shared" si="1"/>
        <v>635649.06399896089</v>
      </c>
      <c r="F8" s="22">
        <f t="shared" si="2"/>
        <v>4.3573719589451594</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16768</v>
      </c>
      <c r="E10" s="18">
        <f t="shared" si="1"/>
        <v>93642.474983613647</v>
      </c>
      <c r="F10" s="22">
        <f t="shared" si="2"/>
        <v>5.5845941664845924</v>
      </c>
    </row>
    <row r="11" spans="1:6" x14ac:dyDescent="0.2">
      <c r="A11" s="20">
        <v>7</v>
      </c>
      <c r="B11" s="202" t="s">
        <v>6</v>
      </c>
      <c r="C11" s="203"/>
      <c r="D11" s="15">
        <f t="shared" si="0"/>
        <v>121192</v>
      </c>
      <c r="E11" s="18">
        <f t="shared" si="1"/>
        <v>596695.50025131833</v>
      </c>
      <c r="F11" s="22">
        <f t="shared" si="2"/>
        <v>4.9235551872344567</v>
      </c>
    </row>
    <row r="12" spans="1:6" x14ac:dyDescent="0.2">
      <c r="A12" s="20">
        <v>8</v>
      </c>
      <c r="B12" s="202" t="s">
        <v>7</v>
      </c>
      <c r="C12" s="203"/>
      <c r="D12" s="15">
        <f t="shared" si="0"/>
        <v>2616</v>
      </c>
      <c r="E12" s="18">
        <f t="shared" si="1"/>
        <v>21605.856068531328</v>
      </c>
      <c r="F12" s="22">
        <f t="shared" si="2"/>
        <v>8.259119292252036</v>
      </c>
    </row>
    <row r="13" spans="1:6" x14ac:dyDescent="0.2">
      <c r="A13" s="20">
        <v>9</v>
      </c>
      <c r="B13" s="202" t="s">
        <v>8</v>
      </c>
      <c r="C13" s="203"/>
      <c r="D13" s="15">
        <f t="shared" si="0"/>
        <v>66377</v>
      </c>
      <c r="E13" s="18">
        <f t="shared" si="1"/>
        <v>424297.97334132413</v>
      </c>
      <c r="F13" s="22">
        <f t="shared" si="2"/>
        <v>6.3922438998647744</v>
      </c>
    </row>
    <row r="14" spans="1:6" x14ac:dyDescent="0.2">
      <c r="A14" s="20">
        <v>10</v>
      </c>
      <c r="B14" s="202" t="s">
        <v>9</v>
      </c>
      <c r="C14" s="203"/>
      <c r="D14" s="15">
        <f t="shared" si="0"/>
        <v>4260</v>
      </c>
      <c r="E14" s="18">
        <f t="shared" si="1"/>
        <v>35181.233506094592</v>
      </c>
      <c r="F14" s="22">
        <f t="shared" si="2"/>
        <v>8.2585055178625808</v>
      </c>
    </row>
    <row r="15" spans="1:6" x14ac:dyDescent="0.2">
      <c r="A15" s="20">
        <v>11</v>
      </c>
      <c r="B15" s="202" t="s">
        <v>10</v>
      </c>
      <c r="C15" s="203"/>
      <c r="D15" s="15">
        <f t="shared" si="0"/>
        <v>237802</v>
      </c>
      <c r="E15" s="18">
        <f t="shared" si="1"/>
        <v>967047.37798504846</v>
      </c>
      <c r="F15" s="22">
        <f t="shared" si="2"/>
        <v>4.0666074212371992</v>
      </c>
    </row>
    <row r="16" spans="1:6" ht="14.25" customHeight="1" x14ac:dyDescent="0.2">
      <c r="A16" s="20">
        <v>12</v>
      </c>
      <c r="B16" s="202" t="s">
        <v>11</v>
      </c>
      <c r="C16" s="203"/>
      <c r="D16" s="15">
        <f t="shared" si="0"/>
        <v>289736</v>
      </c>
      <c r="E16" s="18">
        <f t="shared" si="1"/>
        <v>1510237.1199816486</v>
      </c>
      <c r="F16" s="22">
        <f t="shared" si="2"/>
        <v>5.212459342234478</v>
      </c>
    </row>
    <row r="17" spans="1:6" x14ac:dyDescent="0.2">
      <c r="A17" s="20">
        <v>13</v>
      </c>
      <c r="B17" s="202" t="s">
        <v>12</v>
      </c>
      <c r="C17" s="203"/>
      <c r="D17" s="15">
        <f t="shared" si="0"/>
        <v>58272</v>
      </c>
      <c r="E17" s="18">
        <f t="shared" si="1"/>
        <v>293814.2250861841</v>
      </c>
      <c r="F17" s="22">
        <f t="shared" si="2"/>
        <v>5.0421167127640052</v>
      </c>
    </row>
    <row r="18" spans="1:6" ht="14.25" customHeight="1" x14ac:dyDescent="0.2">
      <c r="A18" s="20">
        <v>14</v>
      </c>
      <c r="B18" s="202" t="s">
        <v>449</v>
      </c>
      <c r="C18" s="203"/>
      <c r="D18" s="15">
        <f t="shared" si="0"/>
        <v>55448</v>
      </c>
      <c r="E18" s="18">
        <f t="shared" si="1"/>
        <v>646470.90033942088</v>
      </c>
      <c r="F18" s="22">
        <f t="shared" si="2"/>
        <v>11.659048123276239</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177232</v>
      </c>
      <c r="E20" s="18">
        <f t="shared" si="1"/>
        <v>1198246.8114441684</v>
      </c>
      <c r="F20" s="22">
        <f t="shared" si="2"/>
        <v>6.7608942597508825</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80039</v>
      </c>
      <c r="E22" s="18">
        <f t="shared" si="1"/>
        <v>672163.47854326409</v>
      </c>
      <c r="F22" s="22">
        <f t="shared" si="2"/>
        <v>8.3979494814186104</v>
      </c>
    </row>
    <row r="23" spans="1:6" x14ac:dyDescent="0.2">
      <c r="A23" s="20">
        <v>19</v>
      </c>
      <c r="B23" s="202" t="s">
        <v>17</v>
      </c>
      <c r="C23" s="203"/>
      <c r="D23" s="15">
        <f t="shared" si="0"/>
        <v>113664</v>
      </c>
      <c r="E23" s="18">
        <f t="shared" si="1"/>
        <v>759366.88385838876</v>
      </c>
      <c r="F23" s="22">
        <f t="shared" si="2"/>
        <v>6.6808038064680879</v>
      </c>
    </row>
    <row r="24" spans="1:6" x14ac:dyDescent="0.2">
      <c r="A24" s="20">
        <v>20</v>
      </c>
      <c r="B24" s="202" t="s">
        <v>18</v>
      </c>
      <c r="C24" s="203"/>
      <c r="D24" s="15">
        <f t="shared" si="0"/>
        <v>0</v>
      </c>
      <c r="E24" s="18">
        <f t="shared" si="1"/>
        <v>0</v>
      </c>
      <c r="F24" s="22" t="str">
        <f t="shared" si="2"/>
        <v/>
      </c>
    </row>
    <row r="25" spans="1:6" ht="14.25" customHeight="1" x14ac:dyDescent="0.2">
      <c r="A25" s="20">
        <v>21</v>
      </c>
      <c r="B25" s="202" t="s">
        <v>446</v>
      </c>
      <c r="C25" s="203"/>
      <c r="D25" s="15">
        <f t="shared" si="0"/>
        <v>400</v>
      </c>
      <c r="E25" s="18">
        <f t="shared" si="1"/>
        <v>3303.4397658304783</v>
      </c>
      <c r="F25" s="22">
        <f t="shared" si="2"/>
        <v>8.2585994145761958</v>
      </c>
    </row>
    <row r="26" spans="1:6" x14ac:dyDescent="0.2">
      <c r="A26" s="20">
        <v>22</v>
      </c>
      <c r="B26" s="202" t="s">
        <v>19</v>
      </c>
      <c r="C26" s="203"/>
      <c r="D26" s="15">
        <f t="shared" si="0"/>
        <v>0</v>
      </c>
      <c r="E26" s="18">
        <f t="shared" si="1"/>
        <v>0</v>
      </c>
      <c r="F26" s="22" t="str">
        <f t="shared" si="2"/>
        <v/>
      </c>
    </row>
    <row r="27" spans="1:6" x14ac:dyDescent="0.2">
      <c r="A27" s="20">
        <v>23</v>
      </c>
      <c r="B27" s="202" t="s">
        <v>20</v>
      </c>
      <c r="C27" s="203"/>
      <c r="D27" s="15">
        <f t="shared" si="0"/>
        <v>116688</v>
      </c>
      <c r="E27" s="18">
        <f t="shared" si="1"/>
        <v>695255.92848806712</v>
      </c>
      <c r="F27" s="22">
        <f t="shared" si="2"/>
        <v>5.9582470218708616</v>
      </c>
    </row>
    <row r="28" spans="1:6" x14ac:dyDescent="0.2">
      <c r="A28" s="20">
        <v>24</v>
      </c>
      <c r="B28" s="202" t="s">
        <v>21</v>
      </c>
      <c r="C28" s="203"/>
      <c r="D28" s="15">
        <f t="shared" si="0"/>
        <v>49456</v>
      </c>
      <c r="E28" s="18">
        <f t="shared" si="1"/>
        <v>319243.05264728033</v>
      </c>
      <c r="F28" s="22">
        <f t="shared" si="2"/>
        <v>6.4550924588984211</v>
      </c>
    </row>
    <row r="29" spans="1:6" x14ac:dyDescent="0.2">
      <c r="A29" s="20">
        <v>25</v>
      </c>
      <c r="B29" s="202" t="s">
        <v>22</v>
      </c>
      <c r="C29" s="203"/>
      <c r="D29" s="15">
        <f t="shared" si="0"/>
        <v>420704</v>
      </c>
      <c r="E29" s="18">
        <f t="shared" si="1"/>
        <v>2118251.648109864</v>
      </c>
      <c r="F29" s="22">
        <f t="shared" si="2"/>
        <v>5.0350166580537952</v>
      </c>
    </row>
    <row r="30" spans="1:6" x14ac:dyDescent="0.2">
      <c r="A30" s="20">
        <v>26</v>
      </c>
      <c r="B30" s="202" t="s">
        <v>23</v>
      </c>
      <c r="C30" s="203"/>
      <c r="D30" s="15">
        <f t="shared" si="0"/>
        <v>124992</v>
      </c>
      <c r="E30" s="18">
        <f t="shared" si="1"/>
        <v>743023.17802670784</v>
      </c>
      <c r="F30" s="22">
        <f t="shared" si="2"/>
        <v>5.9445658764297544</v>
      </c>
    </row>
    <row r="31" spans="1:6" x14ac:dyDescent="0.2">
      <c r="A31" s="20">
        <v>28</v>
      </c>
      <c r="B31" s="202" t="s">
        <v>24</v>
      </c>
      <c r="C31" s="203"/>
      <c r="D31" s="15">
        <f t="shared" si="0"/>
        <v>203824</v>
      </c>
      <c r="E31" s="18">
        <f t="shared" si="1"/>
        <v>870599.80707657849</v>
      </c>
      <c r="F31" s="22">
        <f t="shared" si="2"/>
        <v>4.2713311831608571</v>
      </c>
    </row>
    <row r="32" spans="1:6" ht="15.75" customHeight="1" thickBot="1" x14ac:dyDescent="0.25">
      <c r="A32" s="23">
        <v>29</v>
      </c>
      <c r="B32" s="206" t="s">
        <v>25</v>
      </c>
      <c r="C32" s="207"/>
      <c r="D32" s="24">
        <f t="shared" si="0"/>
        <v>120192</v>
      </c>
      <c r="E32" s="25">
        <f t="shared" si="1"/>
        <v>724536.90083674213</v>
      </c>
      <c r="F32" s="26">
        <f t="shared" si="2"/>
        <v>6.028162447057559</v>
      </c>
    </row>
    <row r="33" spans="1:6" x14ac:dyDescent="0.2">
      <c r="B33" s="31" t="s">
        <v>35</v>
      </c>
      <c r="C33" s="31"/>
      <c r="D33" s="60">
        <f>SUM(D5:D32)</f>
        <v>3010127</v>
      </c>
      <c r="E33" s="32">
        <f>SUM(E5:E32)</f>
        <v>16489053.999999998</v>
      </c>
      <c r="F33" s="33">
        <f t="shared" si="2"/>
        <v>5.4778599042498861</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IF(F3="1",SUMIF(Data!A:A,'34'!$A$2,Data!CU:CU),0)</f>
        <v>0</v>
      </c>
      <c r="E36" s="16">
        <f>IF(F3="1",SUMIF(Data!$A:$A,'34'!$A$2,Data!IO:IO),0)</f>
        <v>0</v>
      </c>
      <c r="F36" s="21" t="str">
        <f t="shared" ref="F36:F64" si="3">IFERROR(E36/D36,"")</f>
        <v/>
      </c>
    </row>
    <row r="37" spans="1:6" x14ac:dyDescent="0.2">
      <c r="A37" s="20">
        <v>2</v>
      </c>
      <c r="B37" s="202" t="s">
        <v>1</v>
      </c>
      <c r="C37" s="203"/>
      <c r="D37" s="15">
        <f>IF(F3="1",SUMIF(Data!A:A,'34'!$A$2,Data!CV:CV),0)</f>
        <v>202778</v>
      </c>
      <c r="E37" s="18">
        <f>IF(F3="1",SUMIF(Data!$A:$A,'34'!$A$2,Data!IP:IP),0)</f>
        <v>260027</v>
      </c>
      <c r="F37" s="22">
        <f t="shared" si="3"/>
        <v>1.2823235262207933</v>
      </c>
    </row>
    <row r="38" spans="1:6" ht="14.25" customHeight="1" x14ac:dyDescent="0.2">
      <c r="A38" s="20">
        <v>3</v>
      </c>
      <c r="B38" s="202" t="s">
        <v>2</v>
      </c>
      <c r="C38" s="203"/>
      <c r="D38" s="15">
        <f>IF(F3="1",SUMIF(Data!A:A,'34'!$A$2,Data!CW:CW),0)</f>
        <v>401808</v>
      </c>
      <c r="E38" s="18">
        <f>IF(F3="1",SUMIF(Data!$A:$A,'34'!$A$2,Data!IQ:IQ),0)</f>
        <v>160827</v>
      </c>
      <c r="F38" s="22">
        <f t="shared" si="3"/>
        <v>0.40025833233783298</v>
      </c>
    </row>
    <row r="39" spans="1:6" ht="14.25" customHeight="1" x14ac:dyDescent="0.2">
      <c r="A39" s="20">
        <v>4</v>
      </c>
      <c r="B39" s="202" t="s">
        <v>3</v>
      </c>
      <c r="C39" s="203"/>
      <c r="D39" s="15">
        <f>IF(F3="1",SUMIF(Data!A:A,'34'!$A$2,Data!CX:CX),0)</f>
        <v>145879</v>
      </c>
      <c r="E39" s="18">
        <f>IF(F3="1",SUMIF(Data!$A:$A,'34'!$A$2,Data!IR:IR),0)</f>
        <v>85201</v>
      </c>
      <c r="F39" s="22">
        <f t="shared" si="3"/>
        <v>0.58405253669136747</v>
      </c>
    </row>
    <row r="40" spans="1:6" x14ac:dyDescent="0.2">
      <c r="A40" s="20">
        <v>5</v>
      </c>
      <c r="B40" s="202" t="s">
        <v>4</v>
      </c>
      <c r="C40" s="203"/>
      <c r="D40" s="15">
        <f>IF(F3="1",SUMIF(Data!A:A,'34'!$A$2,Data!CY:CY),0)</f>
        <v>0</v>
      </c>
      <c r="E40" s="18">
        <f>IF(F3="1",SUMIF(Data!$A:$A,'34'!$A$2,Data!IS:IS),0)</f>
        <v>0</v>
      </c>
      <c r="F40" s="22" t="str">
        <f t="shared" si="3"/>
        <v/>
      </c>
    </row>
    <row r="41" spans="1:6" x14ac:dyDescent="0.2">
      <c r="A41" s="20">
        <v>6</v>
      </c>
      <c r="B41" s="202" t="s">
        <v>5</v>
      </c>
      <c r="C41" s="203"/>
      <c r="D41" s="15">
        <f>IF(F3="1",SUMIF(Data!A:A,'34'!$A$2,Data!CZ:CZ),0)</f>
        <v>16768</v>
      </c>
      <c r="E41" s="18">
        <f>IF(F3="1",SUMIF(Data!$A:$A,'34'!$A$2,Data!IT:IT),0)</f>
        <v>10355</v>
      </c>
      <c r="F41" s="22">
        <f t="shared" si="3"/>
        <v>0.61754532442748089</v>
      </c>
    </row>
    <row r="42" spans="1:6" x14ac:dyDescent="0.2">
      <c r="A42" s="20">
        <v>7</v>
      </c>
      <c r="B42" s="202" t="s">
        <v>6</v>
      </c>
      <c r="C42" s="203"/>
      <c r="D42" s="15">
        <f>IF(F3="1",SUMIF(Data!A:A,'34'!$A$2,Data!DA:DA),0)</f>
        <v>121192</v>
      </c>
      <c r="E42" s="18">
        <f>IF(F3="1",SUMIF(Data!$A:$A,'34'!$A$2,Data!IU:IU),0)</f>
        <v>61854</v>
      </c>
      <c r="F42" s="22">
        <f t="shared" si="3"/>
        <v>0.51038022311703746</v>
      </c>
    </row>
    <row r="43" spans="1:6" x14ac:dyDescent="0.2">
      <c r="A43" s="20">
        <v>8</v>
      </c>
      <c r="B43" s="202" t="s">
        <v>7</v>
      </c>
      <c r="C43" s="203"/>
      <c r="D43" s="15">
        <f>IF(F3="1",SUMIF(Data!A:A,'34'!$A$2,Data!DB:DB),0)</f>
        <v>2616</v>
      </c>
      <c r="E43" s="18">
        <f>IF(F3="1",SUMIF(Data!$A:$A,'34'!$A$2,Data!IV:IV),0)</f>
        <v>12457</v>
      </c>
      <c r="F43" s="22">
        <f t="shared" si="3"/>
        <v>4.7618501529051986</v>
      </c>
    </row>
    <row r="44" spans="1:6" x14ac:dyDescent="0.2">
      <c r="A44" s="20">
        <v>9</v>
      </c>
      <c r="B44" s="202" t="s">
        <v>8</v>
      </c>
      <c r="C44" s="203"/>
      <c r="D44" s="15">
        <f>IF(F3="1",SUMIF(Data!A:A,'34'!$A$2,Data!DC:DC),0)</f>
        <v>66377</v>
      </c>
      <c r="E44" s="18">
        <f>IF(F3="1",SUMIF(Data!$A:$A,'34'!$A$2,Data!IW:IW),0)</f>
        <v>85644</v>
      </c>
      <c r="F44" s="22">
        <f t="shared" si="3"/>
        <v>1.2902662066679724</v>
      </c>
    </row>
    <row r="45" spans="1:6" x14ac:dyDescent="0.2">
      <c r="A45" s="20">
        <v>10</v>
      </c>
      <c r="B45" s="202" t="s">
        <v>9</v>
      </c>
      <c r="C45" s="203"/>
      <c r="D45" s="15">
        <f>IF(F3="1",SUMIF(Data!A:A,'34'!$A$2,Data!DD:DD),0)</f>
        <v>4260</v>
      </c>
      <c r="E45" s="18">
        <f>IF(F3="1",SUMIF(Data!$A:$A,'34'!$A$2,Data!IX:IX),0)</f>
        <v>20284</v>
      </c>
      <c r="F45" s="22">
        <f t="shared" si="3"/>
        <v>4.7615023474178404</v>
      </c>
    </row>
    <row r="46" spans="1:6" x14ac:dyDescent="0.2">
      <c r="A46" s="20">
        <v>11</v>
      </c>
      <c r="B46" s="202" t="s">
        <v>10</v>
      </c>
      <c r="C46" s="203"/>
      <c r="D46" s="15">
        <f>IF(F3="1",SUMIF(Data!A:A,'34'!$A$2,Data!DE:DE),0)</f>
        <v>237802</v>
      </c>
      <c r="E46" s="18">
        <f>IF(F3="1",SUMIF(Data!$A:$A,'34'!$A$2,Data!IY:IY),0)</f>
        <v>168052</v>
      </c>
      <c r="F46" s="22">
        <f t="shared" si="3"/>
        <v>0.70668875787419783</v>
      </c>
    </row>
    <row r="47" spans="1:6" ht="14.25" customHeight="1" x14ac:dyDescent="0.2">
      <c r="A47" s="20">
        <v>12</v>
      </c>
      <c r="B47" s="202" t="s">
        <v>11</v>
      </c>
      <c r="C47" s="203"/>
      <c r="D47" s="15">
        <f>IF(F3="1",SUMIF(Data!A:A,'34'!$A$2,Data!DF:DF),0)</f>
        <v>289736</v>
      </c>
      <c r="E47" s="18">
        <f>IF(F3="1",SUMIF(Data!$A:$A,'34'!$A$2,Data!IZ:IZ),0)</f>
        <v>151438</v>
      </c>
      <c r="F47" s="22">
        <f t="shared" si="3"/>
        <v>0.52267581522489437</v>
      </c>
    </row>
    <row r="48" spans="1:6" x14ac:dyDescent="0.2">
      <c r="A48" s="20">
        <v>13</v>
      </c>
      <c r="B48" s="202" t="s">
        <v>12</v>
      </c>
      <c r="C48" s="203"/>
      <c r="D48" s="15">
        <f>IF(F3="1",SUMIF(Data!A:A,'34'!$A$2,Data!DG:DG),0)</f>
        <v>58272</v>
      </c>
      <c r="E48" s="18">
        <f>IF(F3="1",SUMIF(Data!$A:$A,'34'!$A$2,Data!JA:JA),0)</f>
        <v>27404</v>
      </c>
      <c r="F48" s="22">
        <f t="shared" si="3"/>
        <v>0.47027732015376167</v>
      </c>
    </row>
    <row r="49" spans="1:6" ht="14.25" customHeight="1" x14ac:dyDescent="0.2">
      <c r="A49" s="20">
        <v>14</v>
      </c>
      <c r="B49" s="202" t="s">
        <v>449</v>
      </c>
      <c r="C49" s="203"/>
      <c r="D49" s="15">
        <f>IF(F3="1",SUMIF(Data!A:A,'34'!$A$2,Data!DH:DH),0)</f>
        <v>55448</v>
      </c>
      <c r="E49" s="18">
        <f>IF(F3="1",SUMIF(Data!$A:$A,'34'!$A$2,Data!JB:JB),0)</f>
        <v>120596</v>
      </c>
      <c r="F49" s="22">
        <f t="shared" si="3"/>
        <v>2.1749386812869718</v>
      </c>
    </row>
    <row r="50" spans="1:6" x14ac:dyDescent="0.2">
      <c r="A50" s="20">
        <v>15</v>
      </c>
      <c r="B50" s="202" t="s">
        <v>13</v>
      </c>
      <c r="C50" s="203"/>
      <c r="D50" s="15">
        <f>IF(F3="1",SUMIF(Data!A:A,'34'!$A$2,Data!DI:DI),0)</f>
        <v>0</v>
      </c>
      <c r="E50" s="18">
        <f>IF(F3="1",SUMIF(Data!$A:$A,'34'!$A$2,Data!JC:JC),0)</f>
        <v>0</v>
      </c>
      <c r="F50" s="22" t="str">
        <f t="shared" si="3"/>
        <v/>
      </c>
    </row>
    <row r="51" spans="1:6" x14ac:dyDescent="0.2">
      <c r="A51" s="20">
        <v>16</v>
      </c>
      <c r="B51" s="202" t="s">
        <v>14</v>
      </c>
      <c r="C51" s="203"/>
      <c r="D51" s="15">
        <f>IF(F3="1",SUMIF(Data!A:A,'34'!$A$2,Data!DJ:DJ),0)</f>
        <v>177232</v>
      </c>
      <c r="E51" s="18">
        <f>IF(F3="1",SUMIF(Data!$A:$A,'34'!$A$2,Data!JD:JD),0)</f>
        <v>287494</v>
      </c>
      <c r="F51" s="22">
        <f t="shared" si="3"/>
        <v>1.6221337004604135</v>
      </c>
    </row>
    <row r="52" spans="1:6" x14ac:dyDescent="0.2">
      <c r="A52" s="20">
        <v>17</v>
      </c>
      <c r="B52" s="202" t="s">
        <v>15</v>
      </c>
      <c r="C52" s="203"/>
      <c r="D52" s="15">
        <f>IF(F3="1",SUMIF(Data!A:A,'34'!$A$2,Data!DK:DK),0)</f>
        <v>0</v>
      </c>
      <c r="E52" s="18">
        <f>IF(F3="1",SUMIF(Data!$A:$A,'34'!$A$2,Data!JE:JE),0)</f>
        <v>0</v>
      </c>
      <c r="F52" s="22" t="str">
        <f t="shared" si="3"/>
        <v/>
      </c>
    </row>
    <row r="53" spans="1:6" x14ac:dyDescent="0.2">
      <c r="A53" s="20">
        <v>18</v>
      </c>
      <c r="B53" s="202" t="s">
        <v>16</v>
      </c>
      <c r="C53" s="203"/>
      <c r="D53" s="15">
        <f>IF(F3="1",SUMIF(Data!A:A,'34'!$A$2,Data!DL:DL),0)</f>
        <v>80039</v>
      </c>
      <c r="E53" s="18">
        <f>IF(F3="1",SUMIF(Data!$A:$A,'34'!$A$2,Data!JF:JF),0)</f>
        <v>95600</v>
      </c>
      <c r="F53" s="22">
        <f t="shared" si="3"/>
        <v>1.1944177213608367</v>
      </c>
    </row>
    <row r="54" spans="1:6" x14ac:dyDescent="0.2">
      <c r="A54" s="20">
        <v>19</v>
      </c>
      <c r="B54" s="202" t="s">
        <v>17</v>
      </c>
      <c r="C54" s="203"/>
      <c r="D54" s="15">
        <f>IF(F3="1",SUMIF(Data!A:A,'34'!$A$2,Data!DM:DM),0)</f>
        <v>113664</v>
      </c>
      <c r="E54" s="18">
        <f>IF(F3="1",SUMIF(Data!$A:$A,'34'!$A$2,Data!JG:JG),0)</f>
        <v>90937</v>
      </c>
      <c r="F54" s="22">
        <f t="shared" si="3"/>
        <v>0.80005102759009006</v>
      </c>
    </row>
    <row r="55" spans="1:6" x14ac:dyDescent="0.2">
      <c r="A55" s="20">
        <v>20</v>
      </c>
      <c r="B55" s="202" t="s">
        <v>18</v>
      </c>
      <c r="C55" s="203"/>
      <c r="D55" s="15">
        <f>IF(F3="1",SUMIF(Data!A:A,'34'!$A$2,Data!DN:DN),0)</f>
        <v>0</v>
      </c>
      <c r="E55" s="18">
        <f>IF(F3="1",SUMIF(Data!$A:$A,'34'!$A$2,Data!JH:JH),0)</f>
        <v>0</v>
      </c>
      <c r="F55" s="22" t="str">
        <f t="shared" si="3"/>
        <v/>
      </c>
    </row>
    <row r="56" spans="1:6" ht="14.25" customHeight="1" x14ac:dyDescent="0.2">
      <c r="A56" s="20">
        <v>21</v>
      </c>
      <c r="B56" s="202" t="s">
        <v>446</v>
      </c>
      <c r="C56" s="203"/>
      <c r="D56" s="15">
        <f>IF(F3="1",SUMIF(Data!A:A,'34'!$A$2,Data!DO:DO),0)</f>
        <v>400</v>
      </c>
      <c r="E56" s="18">
        <f>IF(F3="1",SUMIF(Data!$A:$A,'34'!$A$2,Data!JI:JI),0)</f>
        <v>1905</v>
      </c>
      <c r="F56" s="22">
        <f t="shared" si="3"/>
        <v>4.7625000000000002</v>
      </c>
    </row>
    <row r="57" spans="1:6" x14ac:dyDescent="0.2">
      <c r="A57" s="20">
        <v>22</v>
      </c>
      <c r="B57" s="202" t="s">
        <v>19</v>
      </c>
      <c r="C57" s="203"/>
      <c r="D57" s="15">
        <f>IF(F3="1",SUMIF(Data!A:A,'34'!$A$2,Data!DP:DP),0)</f>
        <v>0</v>
      </c>
      <c r="E57" s="18">
        <f>IF(F3="1",SUMIF(Data!$A:$A,'34'!$A$2,Data!JJ:JJ),0)</f>
        <v>0</v>
      </c>
      <c r="F57" s="22" t="str">
        <f t="shared" si="3"/>
        <v/>
      </c>
    </row>
    <row r="58" spans="1:6" x14ac:dyDescent="0.2">
      <c r="A58" s="20">
        <v>23</v>
      </c>
      <c r="B58" s="202" t="s">
        <v>20</v>
      </c>
      <c r="C58" s="203"/>
      <c r="D58" s="15">
        <f>IF(F3="1",SUMIF(Data!A:A,'34'!$A$2,Data!DQ:DQ),0)</f>
        <v>116688</v>
      </c>
      <c r="E58" s="18">
        <f>IF(F3="1",SUMIF(Data!$A:$A,'34'!$A$2,Data!JK:JK),0)</f>
        <v>87678</v>
      </c>
      <c r="F58" s="22">
        <f t="shared" si="3"/>
        <v>0.75138831756478819</v>
      </c>
    </row>
    <row r="59" spans="1:6" x14ac:dyDescent="0.2">
      <c r="A59" s="20">
        <v>24</v>
      </c>
      <c r="B59" s="202" t="s">
        <v>21</v>
      </c>
      <c r="C59" s="203"/>
      <c r="D59" s="15">
        <f>IF(F3="1",SUMIF(Data!A:A,'34'!$A$2,Data!DR:DR),0)</f>
        <v>49456</v>
      </c>
      <c r="E59" s="18">
        <f>IF(F3="1",SUMIF(Data!$A:$A,'34'!$A$2,Data!JL:JL),0)</f>
        <v>120060</v>
      </c>
      <c r="F59" s="22">
        <f t="shared" si="3"/>
        <v>2.4276124231640246</v>
      </c>
    </row>
    <row r="60" spans="1:6" x14ac:dyDescent="0.2">
      <c r="A60" s="20">
        <v>25</v>
      </c>
      <c r="B60" s="202" t="s">
        <v>22</v>
      </c>
      <c r="C60" s="203"/>
      <c r="D60" s="15">
        <f>IF(F3="1",SUMIF(Data!A:A,'34'!$A$2,Data!DS:DS),0)</f>
        <v>420704</v>
      </c>
      <c r="E60" s="18">
        <f>IF(F3="1",SUMIF(Data!$A:$A,'34'!$A$2,Data!JM:JM),0)</f>
        <v>214053</v>
      </c>
      <c r="F60" s="22">
        <f t="shared" si="3"/>
        <v>0.50879715904769152</v>
      </c>
    </row>
    <row r="61" spans="1:6" x14ac:dyDescent="0.2">
      <c r="A61" s="20">
        <v>26</v>
      </c>
      <c r="B61" s="202" t="s">
        <v>23</v>
      </c>
      <c r="C61" s="203"/>
      <c r="D61" s="15">
        <f>IF(F3="1",SUMIF(Data!A:A,'34'!$A$2,Data!DT:DT),0)</f>
        <v>124992</v>
      </c>
      <c r="E61" s="18">
        <f>IF(F3="1",SUMIF(Data!$A:$A,'34'!$A$2,Data!JN:JN),0)</f>
        <v>130333</v>
      </c>
      <c r="F61" s="22">
        <f t="shared" si="3"/>
        <v>1.0427307347670252</v>
      </c>
    </row>
    <row r="62" spans="1:6" x14ac:dyDescent="0.2">
      <c r="A62" s="20">
        <v>28</v>
      </c>
      <c r="B62" s="202" t="s">
        <v>24</v>
      </c>
      <c r="C62" s="203"/>
      <c r="D62" s="15">
        <f>IF(F3="1",SUMIF(Data!A:A,'34'!$A$2,Data!DV:DV),0)</f>
        <v>203824</v>
      </c>
      <c r="E62" s="18">
        <f>IF(F3="1",SUMIF(Data!$A:$A,'34'!$A$2,Data!JP:JP),0)</f>
        <v>67952</v>
      </c>
      <c r="F62" s="22">
        <f t="shared" si="3"/>
        <v>0.33338566606484027</v>
      </c>
    </row>
    <row r="63" spans="1:6" ht="15.75" customHeight="1" thickBot="1" x14ac:dyDescent="0.25">
      <c r="A63" s="23">
        <v>29</v>
      </c>
      <c r="B63" s="206" t="s">
        <v>25</v>
      </c>
      <c r="C63" s="207"/>
      <c r="D63" s="24">
        <f>IF(F3="1",SUMIF(Data!A:A,'34'!$A$2,Data!DW:DW),0)</f>
        <v>120192</v>
      </c>
      <c r="E63" s="25">
        <f>IF(F3="1",SUMIF(Data!$A:$A,'34'!$A$2,Data!JQ:JQ),0)</f>
        <v>75772</v>
      </c>
      <c r="F63" s="26">
        <f t="shared" si="3"/>
        <v>0.63042465388711399</v>
      </c>
    </row>
    <row r="64" spans="1:6" x14ac:dyDescent="0.2">
      <c r="B64" s="31" t="s">
        <v>35</v>
      </c>
      <c r="C64" s="31"/>
      <c r="D64" s="60">
        <f>SUM(D36:D63)</f>
        <v>3010127</v>
      </c>
      <c r="E64" s="32">
        <f>SUM(E36:E63)</f>
        <v>2335923</v>
      </c>
      <c r="F64" s="33">
        <f t="shared" si="3"/>
        <v>0.77602141039231898</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0</v>
      </c>
      <c r="E67" s="16">
        <f>IF(F3="1",SUMIF(Data!A:A,'34'!$A$2,Data!DY:DY),0)</f>
        <v>0</v>
      </c>
      <c r="F67" s="21" t="str">
        <f>IFERROR(E67/D67,"")</f>
        <v/>
      </c>
    </row>
    <row r="68" spans="1:6" x14ac:dyDescent="0.2">
      <c r="A68" s="20">
        <v>2</v>
      </c>
      <c r="B68" s="202" t="s">
        <v>1</v>
      </c>
      <c r="C68" s="203"/>
      <c r="D68" s="15">
        <f t="shared" ref="D68:D94" si="4">D37</f>
        <v>202778</v>
      </c>
      <c r="E68" s="18">
        <f>IF(F3="1",SUMIF(Data!A:A,'34'!$A$2,Data!DZ:DZ),0)</f>
        <v>677874</v>
      </c>
      <c r="F68" s="22">
        <f t="shared" ref="F68:F95" si="5">IFERROR(E68/D68,"")</f>
        <v>3.342936610480427</v>
      </c>
    </row>
    <row r="69" spans="1:6" ht="14.25" customHeight="1" x14ac:dyDescent="0.2">
      <c r="A69" s="20">
        <v>3</v>
      </c>
      <c r="B69" s="202" t="s">
        <v>2</v>
      </c>
      <c r="C69" s="203"/>
      <c r="D69" s="15">
        <f t="shared" si="4"/>
        <v>401808</v>
      </c>
      <c r="E69" s="18">
        <f>IF(F3="1",SUMIF(Data!A:A,'34'!$A$2,Data!EA:EA),0)</f>
        <v>720359</v>
      </c>
      <c r="F69" s="22">
        <f t="shared" si="5"/>
        <v>1.7927940707999841</v>
      </c>
    </row>
    <row r="70" spans="1:6" ht="14.25" customHeight="1" x14ac:dyDescent="0.2">
      <c r="A70" s="20">
        <v>4</v>
      </c>
      <c r="B70" s="202" t="s">
        <v>3</v>
      </c>
      <c r="C70" s="203"/>
      <c r="D70" s="15">
        <f t="shared" si="4"/>
        <v>145879</v>
      </c>
      <c r="E70" s="18">
        <f>IF(F3="1",SUMIF(Data!A:A,'34'!$A$2,Data!EB:EB),0)</f>
        <v>226801</v>
      </c>
      <c r="F70" s="22">
        <f t="shared" si="5"/>
        <v>1.5547200076775958</v>
      </c>
    </row>
    <row r="71" spans="1:6" x14ac:dyDescent="0.2">
      <c r="A71" s="20">
        <v>5</v>
      </c>
      <c r="B71" s="202" t="s">
        <v>4</v>
      </c>
      <c r="C71" s="203"/>
      <c r="D71" s="15">
        <f t="shared" si="4"/>
        <v>0</v>
      </c>
      <c r="E71" s="18">
        <f>IF(F3="1",SUMIF(Data!A:A,'34'!$A$2,Data!EC:EC),0)</f>
        <v>0</v>
      </c>
      <c r="F71" s="22" t="str">
        <f t="shared" si="5"/>
        <v/>
      </c>
    </row>
    <row r="72" spans="1:6" x14ac:dyDescent="0.2">
      <c r="A72" s="20">
        <v>6</v>
      </c>
      <c r="B72" s="202" t="s">
        <v>5</v>
      </c>
      <c r="C72" s="203"/>
      <c r="D72" s="15">
        <f t="shared" si="4"/>
        <v>16768</v>
      </c>
      <c r="E72" s="18">
        <f>IF(F3="1",SUMIF(Data!A:A,'34'!$A$2,Data!ED:ED),0)</f>
        <v>46086</v>
      </c>
      <c r="F72" s="22">
        <f t="shared" si="5"/>
        <v>2.7484494274809159</v>
      </c>
    </row>
    <row r="73" spans="1:6" x14ac:dyDescent="0.2">
      <c r="A73" s="20">
        <v>7</v>
      </c>
      <c r="B73" s="202" t="s">
        <v>6</v>
      </c>
      <c r="C73" s="203"/>
      <c r="D73" s="15">
        <f t="shared" si="4"/>
        <v>121192</v>
      </c>
      <c r="E73" s="18">
        <f>IF(F3="1",SUMIF(Data!A:A,'34'!$A$2,Data!EE:EE),0)</f>
        <v>265965</v>
      </c>
      <c r="F73" s="22">
        <f t="shared" si="5"/>
        <v>2.194575549541224</v>
      </c>
    </row>
    <row r="74" spans="1:6" x14ac:dyDescent="0.2">
      <c r="A74" s="20">
        <v>8</v>
      </c>
      <c r="B74" s="202" t="s">
        <v>7</v>
      </c>
      <c r="C74" s="203"/>
      <c r="D74" s="15">
        <f t="shared" si="4"/>
        <v>2616</v>
      </c>
      <c r="E74" s="18">
        <f>IF(F3="1",SUMIF(Data!A:A,'34'!$A$2,Data!EF:EF),0)</f>
        <v>3345</v>
      </c>
      <c r="F74" s="22">
        <f t="shared" si="5"/>
        <v>1.2786697247706422</v>
      </c>
    </row>
    <row r="75" spans="1:6" x14ac:dyDescent="0.2">
      <c r="A75" s="20">
        <v>9</v>
      </c>
      <c r="B75" s="202" t="s">
        <v>8</v>
      </c>
      <c r="C75" s="203"/>
      <c r="D75" s="15">
        <f t="shared" si="4"/>
        <v>66377</v>
      </c>
      <c r="E75" s="18">
        <f>IF(F3="1",SUMIF(Data!A:A,'34'!$A$2,Data!EG:EG),0)</f>
        <v>191390</v>
      </c>
      <c r="F75" s="22">
        <f t="shared" si="5"/>
        <v>2.8833782786206066</v>
      </c>
    </row>
    <row r="76" spans="1:6" x14ac:dyDescent="0.2">
      <c r="A76" s="20">
        <v>10</v>
      </c>
      <c r="B76" s="202" t="s">
        <v>9</v>
      </c>
      <c r="C76" s="203"/>
      <c r="D76" s="15">
        <f t="shared" si="4"/>
        <v>4260</v>
      </c>
      <c r="E76" s="18">
        <f>IF(F3="1",SUMIF(Data!A:A,'34'!$A$2,Data!EH:EH),0)</f>
        <v>5446</v>
      </c>
      <c r="F76" s="22">
        <f t="shared" si="5"/>
        <v>1.2784037558685446</v>
      </c>
    </row>
    <row r="77" spans="1:6" x14ac:dyDescent="0.2">
      <c r="A77" s="20">
        <v>11</v>
      </c>
      <c r="B77" s="202" t="s">
        <v>10</v>
      </c>
      <c r="C77" s="203"/>
      <c r="D77" s="15">
        <f t="shared" si="4"/>
        <v>237802</v>
      </c>
      <c r="E77" s="18">
        <f>IF(F3="1",SUMIF(Data!A:A,'34'!$A$2,Data!EI:EI),0)</f>
        <v>271408</v>
      </c>
      <c r="F77" s="22">
        <f t="shared" si="5"/>
        <v>1.1413192487868058</v>
      </c>
    </row>
    <row r="78" spans="1:6" ht="14.25" customHeight="1" x14ac:dyDescent="0.2">
      <c r="A78" s="20">
        <v>12</v>
      </c>
      <c r="B78" s="202" t="s">
        <v>11</v>
      </c>
      <c r="C78" s="203"/>
      <c r="D78" s="15">
        <f t="shared" si="4"/>
        <v>289736</v>
      </c>
      <c r="E78" s="18">
        <f>IF(F3="1",SUMIF(Data!A:A,'34'!$A$2,Data!EJ:EJ),0)</f>
        <v>715991</v>
      </c>
      <c r="F78" s="22">
        <f t="shared" si="5"/>
        <v>2.4711841124333875</v>
      </c>
    </row>
    <row r="79" spans="1:6" x14ac:dyDescent="0.2">
      <c r="A79" s="20">
        <v>13</v>
      </c>
      <c r="B79" s="202" t="s">
        <v>12</v>
      </c>
      <c r="C79" s="203"/>
      <c r="D79" s="15">
        <f t="shared" si="4"/>
        <v>58272</v>
      </c>
      <c r="E79" s="18">
        <f>IF(F3="1",SUMIF(Data!A:A,'34'!$A$2,Data!EK:EK),0)</f>
        <v>137128</v>
      </c>
      <c r="F79" s="22">
        <f t="shared" si="5"/>
        <v>2.3532399780340474</v>
      </c>
    </row>
    <row r="80" spans="1:6" ht="14.25" customHeight="1" x14ac:dyDescent="0.2">
      <c r="A80" s="20">
        <v>14</v>
      </c>
      <c r="B80" s="202" t="s">
        <v>449</v>
      </c>
      <c r="C80" s="203"/>
      <c r="D80" s="15">
        <f t="shared" si="4"/>
        <v>55448</v>
      </c>
      <c r="E80" s="18">
        <f>IF(F3="1",SUMIF(Data!A:A,'34'!$A$2,Data!EL:EL),0)</f>
        <v>402858</v>
      </c>
      <c r="F80" s="22">
        <f t="shared" si="5"/>
        <v>7.2655100274130717</v>
      </c>
    </row>
    <row r="81" spans="1:6" x14ac:dyDescent="0.2">
      <c r="A81" s="20">
        <v>15</v>
      </c>
      <c r="B81" s="202" t="s">
        <v>13</v>
      </c>
      <c r="C81" s="203"/>
      <c r="D81" s="15">
        <f t="shared" si="4"/>
        <v>0</v>
      </c>
      <c r="E81" s="18">
        <f>IF(F3="1",SUMIF(Data!A:A,'34'!$A$2,Data!EM:EM),0)</f>
        <v>0</v>
      </c>
      <c r="F81" s="22" t="str">
        <f t="shared" si="5"/>
        <v/>
      </c>
    </row>
    <row r="82" spans="1:6" x14ac:dyDescent="0.2">
      <c r="A82" s="20">
        <v>16</v>
      </c>
      <c r="B82" s="202" t="s">
        <v>14</v>
      </c>
      <c r="C82" s="203"/>
      <c r="D82" s="15">
        <f t="shared" si="4"/>
        <v>177232</v>
      </c>
      <c r="E82" s="18">
        <f>IF(F3="1",SUMIF(Data!A:A,'34'!$A$2,Data!EN:EN),0)</f>
        <v>517546</v>
      </c>
      <c r="F82" s="22">
        <f t="shared" si="5"/>
        <v>2.9201611447142728</v>
      </c>
    </row>
    <row r="83" spans="1:6" x14ac:dyDescent="0.2">
      <c r="A83" s="20">
        <v>17</v>
      </c>
      <c r="B83" s="202" t="s">
        <v>15</v>
      </c>
      <c r="C83" s="203"/>
      <c r="D83" s="15">
        <f t="shared" si="4"/>
        <v>0</v>
      </c>
      <c r="E83" s="18">
        <f>IF(F3="1",SUMIF(Data!A:A,'34'!$A$2,Data!EO:EO),0)</f>
        <v>0</v>
      </c>
      <c r="F83" s="22" t="str">
        <f t="shared" si="5"/>
        <v/>
      </c>
    </row>
    <row r="84" spans="1:6" x14ac:dyDescent="0.2">
      <c r="A84" s="20">
        <v>18</v>
      </c>
      <c r="B84" s="202" t="s">
        <v>16</v>
      </c>
      <c r="C84" s="203"/>
      <c r="D84" s="15">
        <f t="shared" si="4"/>
        <v>80039</v>
      </c>
      <c r="E84" s="18">
        <f>IF(F3="1",SUMIF(Data!A:A,'34'!$A$2,Data!EP:EP),0)</f>
        <v>398989</v>
      </c>
      <c r="F84" s="22">
        <f t="shared" si="5"/>
        <v>4.9849323454815782</v>
      </c>
    </row>
    <row r="85" spans="1:6" x14ac:dyDescent="0.2">
      <c r="A85" s="20">
        <v>19</v>
      </c>
      <c r="B85" s="202" t="s">
        <v>17</v>
      </c>
      <c r="C85" s="203"/>
      <c r="D85" s="15">
        <f t="shared" si="4"/>
        <v>113664</v>
      </c>
      <c r="E85" s="18">
        <f>IF(F3="1",SUMIF(Data!A:A,'34'!$A$2,Data!EQ:EQ),0)</f>
        <v>416255</v>
      </c>
      <c r="F85" s="22">
        <f t="shared" si="5"/>
        <v>3.6621533643018016</v>
      </c>
    </row>
    <row r="86" spans="1:6" x14ac:dyDescent="0.2">
      <c r="A86" s="20">
        <v>20</v>
      </c>
      <c r="B86" s="202" t="s">
        <v>18</v>
      </c>
      <c r="C86" s="203"/>
      <c r="D86" s="15">
        <f t="shared" si="4"/>
        <v>0</v>
      </c>
      <c r="E86" s="18">
        <f>IF(F3="1",SUMIF(Data!A:A,'34'!$A$2,Data!ER:ER),0)</f>
        <v>0</v>
      </c>
      <c r="F86" s="22" t="str">
        <f t="shared" si="5"/>
        <v/>
      </c>
    </row>
    <row r="87" spans="1:6" ht="14.25" customHeight="1" x14ac:dyDescent="0.2">
      <c r="A87" s="20">
        <v>21</v>
      </c>
      <c r="B87" s="202" t="s">
        <v>446</v>
      </c>
      <c r="C87" s="203"/>
      <c r="D87" s="15">
        <f t="shared" si="4"/>
        <v>400</v>
      </c>
      <c r="E87" s="18">
        <f>IF(F3="1",SUMIF(Data!A:A,'34'!$A$2,Data!ES:ES),0)</f>
        <v>511</v>
      </c>
      <c r="F87" s="22">
        <f t="shared" si="5"/>
        <v>1.2775000000000001</v>
      </c>
    </row>
    <row r="88" spans="1:6" x14ac:dyDescent="0.2">
      <c r="A88" s="20">
        <v>22</v>
      </c>
      <c r="B88" s="202" t="s">
        <v>19</v>
      </c>
      <c r="C88" s="203"/>
      <c r="D88" s="15">
        <f t="shared" si="4"/>
        <v>0</v>
      </c>
      <c r="E88" s="18">
        <f>IF(F3="1",SUMIF(Data!A:A,'34'!$A$2,Data!ET:ET),0)</f>
        <v>0</v>
      </c>
      <c r="F88" s="22" t="str">
        <f t="shared" si="5"/>
        <v/>
      </c>
    </row>
    <row r="89" spans="1:6" x14ac:dyDescent="0.2">
      <c r="A89" s="20">
        <v>23</v>
      </c>
      <c r="B89" s="202" t="s">
        <v>20</v>
      </c>
      <c r="C89" s="203"/>
      <c r="D89" s="15">
        <f t="shared" si="4"/>
        <v>116688</v>
      </c>
      <c r="E89" s="18">
        <f>IF(F3="1",SUMIF(Data!A:A,'34'!$A$2,Data!EU:EU),0)</f>
        <v>348694</v>
      </c>
      <c r="F89" s="22">
        <f t="shared" si="5"/>
        <v>2.9882592897298781</v>
      </c>
    </row>
    <row r="90" spans="1:6" x14ac:dyDescent="0.2">
      <c r="A90" s="20">
        <v>24</v>
      </c>
      <c r="B90" s="202" t="s">
        <v>21</v>
      </c>
      <c r="C90" s="203"/>
      <c r="D90" s="15">
        <f t="shared" si="4"/>
        <v>49456</v>
      </c>
      <c r="E90" s="18">
        <f>IF(F3="1",SUMIF(Data!A:A,'34'!$A$2,Data!EV:EV),0)</f>
        <v>89460</v>
      </c>
      <c r="F90" s="22">
        <f t="shared" si="5"/>
        <v>1.8088806211582011</v>
      </c>
    </row>
    <row r="91" spans="1:6" x14ac:dyDescent="0.2">
      <c r="A91" s="20">
        <v>25</v>
      </c>
      <c r="B91" s="202" t="s">
        <v>22</v>
      </c>
      <c r="C91" s="203"/>
      <c r="D91" s="15">
        <f t="shared" si="4"/>
        <v>420704</v>
      </c>
      <c r="E91" s="18">
        <f>IF(F3="1",SUMIF(Data!A:A,'34'!$A$2,Data!EW:EW),0)</f>
        <v>970825</v>
      </c>
      <c r="F91" s="22">
        <f t="shared" si="5"/>
        <v>2.307620084429908</v>
      </c>
    </row>
    <row r="92" spans="1:6" x14ac:dyDescent="0.2">
      <c r="A92" s="20">
        <v>26</v>
      </c>
      <c r="B92" s="202" t="s">
        <v>23</v>
      </c>
      <c r="C92" s="203"/>
      <c r="D92" s="15">
        <f t="shared" si="4"/>
        <v>124992</v>
      </c>
      <c r="E92" s="18">
        <f>IF(F3="1",SUMIF(Data!A:A,'34'!$A$2,Data!EX:EX),0)</f>
        <v>335383</v>
      </c>
      <c r="F92" s="22">
        <f t="shared" si="5"/>
        <v>2.6832357270865335</v>
      </c>
    </row>
    <row r="93" spans="1:6" x14ac:dyDescent="0.2">
      <c r="A93" s="20">
        <v>28</v>
      </c>
      <c r="B93" s="202" t="s">
        <v>24</v>
      </c>
      <c r="C93" s="203"/>
      <c r="D93" s="15">
        <f t="shared" si="4"/>
        <v>203824</v>
      </c>
      <c r="E93" s="18">
        <f>IF(F3="1",SUMIF(Data!A:A,'34'!$A$2,Data!EZ:EZ),0)</f>
        <v>350444</v>
      </c>
      <c r="F93" s="22">
        <f t="shared" si="5"/>
        <v>1.7193461025198211</v>
      </c>
    </row>
    <row r="94" spans="1:6" ht="15.75" customHeight="1" thickBot="1" x14ac:dyDescent="0.25">
      <c r="A94" s="23">
        <v>29</v>
      </c>
      <c r="B94" s="206" t="s">
        <v>25</v>
      </c>
      <c r="C94" s="207"/>
      <c r="D94" s="24">
        <f t="shared" si="4"/>
        <v>120192</v>
      </c>
      <c r="E94" s="25">
        <f>IF(F3="1",SUMIF(Data!A:A,'34'!$A$2,Data!FA:FA),0)</f>
        <v>382107</v>
      </c>
      <c r="F94" s="26">
        <f t="shared" si="5"/>
        <v>3.1791383785942493</v>
      </c>
    </row>
    <row r="95" spans="1:6" x14ac:dyDescent="0.2">
      <c r="B95" s="31" t="s">
        <v>35</v>
      </c>
      <c r="C95" s="31"/>
      <c r="D95" s="60">
        <f>SUM(D67:D94)</f>
        <v>3010127</v>
      </c>
      <c r="E95" s="32">
        <f>SUM(E67:E94)</f>
        <v>7474865</v>
      </c>
      <c r="F95" s="33">
        <f t="shared" si="5"/>
        <v>2.4832390792813723</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IF(F3="1",SUMIF(Data!A:A,'34'!$A$2,Data!AH:AH),0)</f>
        <v>2822903</v>
      </c>
      <c r="F98" s="21">
        <f t="shared" ref="F98:F105" si="6">IFERROR(E98/$D$95,0)</f>
        <v>0.93780195985086345</v>
      </c>
    </row>
    <row r="99" spans="2:6" x14ac:dyDescent="0.2">
      <c r="B99" s="212" t="s">
        <v>31</v>
      </c>
      <c r="C99" s="213"/>
      <c r="D99" s="37"/>
      <c r="E99" s="18">
        <f>IF(F3="1",SUMIF(Data!A:A,'34'!$A$2,Data!AI:AI),0)</f>
        <v>1547008</v>
      </c>
      <c r="F99" s="22">
        <f t="shared" si="6"/>
        <v>0.51393446190144132</v>
      </c>
    </row>
    <row r="100" spans="2:6" x14ac:dyDescent="0.2">
      <c r="B100" s="212" t="s">
        <v>32</v>
      </c>
      <c r="C100" s="213"/>
      <c r="D100" s="37"/>
      <c r="E100" s="18">
        <f>IF(F3="1",SUMIF(Data!A:A,'34'!$A$2,Data!AJ:AJ),0)</f>
        <v>1248330</v>
      </c>
      <c r="F100" s="22">
        <f t="shared" si="6"/>
        <v>0.414710077016684</v>
      </c>
    </row>
    <row r="101" spans="2:6" x14ac:dyDescent="0.2">
      <c r="B101" s="212" t="s">
        <v>28</v>
      </c>
      <c r="C101" s="213"/>
      <c r="D101" s="37"/>
      <c r="E101" s="18">
        <f>IF(F3="1",SUMIF(Data!A:A,'34'!$A$2,Data!AK:AK),0)</f>
        <v>0</v>
      </c>
      <c r="F101" s="22">
        <f t="shared" si="6"/>
        <v>0</v>
      </c>
    </row>
    <row r="102" spans="2:6" x14ac:dyDescent="0.2">
      <c r="B102" s="212" t="s">
        <v>33</v>
      </c>
      <c r="C102" s="213"/>
      <c r="D102" s="37"/>
      <c r="E102" s="18">
        <f>IF(F3="1",SUMIF(Data!A:A,'34'!$A$2,Data!AL:AL),0)</f>
        <v>200624</v>
      </c>
      <c r="F102" s="22">
        <f t="shared" si="6"/>
        <v>6.6649679565015024E-2</v>
      </c>
    </row>
    <row r="103" spans="2:6" x14ac:dyDescent="0.2">
      <c r="B103" s="214" t="s">
        <v>34</v>
      </c>
      <c r="C103" s="215"/>
      <c r="D103" s="37"/>
      <c r="E103" s="18">
        <f>IF(F3="1",SUMIF(Data!A:A,'34'!$A$2,Data!AM:AM),0)</f>
        <v>154280</v>
      </c>
      <c r="F103" s="22">
        <f t="shared" si="6"/>
        <v>5.1253651424009686E-2</v>
      </c>
    </row>
    <row r="104" spans="2:6" ht="15.75" customHeight="1" thickBot="1" x14ac:dyDescent="0.25">
      <c r="B104" s="208" t="s">
        <v>29</v>
      </c>
      <c r="C104" s="209"/>
      <c r="D104" s="38"/>
      <c r="E104" s="25">
        <f>IF(F3="1",SUMIF(Data!A:A,'34'!$A$2,Data!Q:Q),0)</f>
        <v>705121</v>
      </c>
      <c r="F104" s="26">
        <f t="shared" si="6"/>
        <v>0.23424958481818209</v>
      </c>
    </row>
    <row r="105" spans="2:6" x14ac:dyDescent="0.2">
      <c r="B105" s="31" t="s">
        <v>35</v>
      </c>
      <c r="C105" s="31"/>
      <c r="D105" s="35">
        <f>D95</f>
        <v>3010127</v>
      </c>
      <c r="E105" s="32">
        <f>SUM(E98:E104)</f>
        <v>6678266</v>
      </c>
      <c r="F105" s="33">
        <f t="shared" si="6"/>
        <v>2.2185994145761958</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7606027</v>
      </c>
      <c r="D109" s="192">
        <f>IF(F3="1",SUMIF(Data!$A:$A,$A$2,Data!HJ:HJ),0)</f>
        <v>1421593</v>
      </c>
      <c r="E109" s="192">
        <f>IF(F3="1",SUMIF(Data!$A:$A,$A$2,Data!IN:IN),0)</f>
        <v>794769</v>
      </c>
      <c r="F109" s="48">
        <f>SUM(C109:E109)</f>
        <v>9822389</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181879</v>
      </c>
      <c r="D111" s="52"/>
      <c r="E111" s="193">
        <f>IF(F3="1",SUMIF(Data!A:A,$A$2,Data!AX:AX)-SUMIF(Data!A:A,$A$2,Data!AW:AW),0)</f>
        <v>69806</v>
      </c>
      <c r="F111" s="49">
        <f t="shared" si="7"/>
        <v>251685</v>
      </c>
    </row>
    <row r="112" spans="2:6" x14ac:dyDescent="0.2">
      <c r="B112" s="43" t="s">
        <v>32</v>
      </c>
      <c r="C112" s="193">
        <f>IF(F3="1",SUMIF(Data!A:A,$A$2,Data!V:V),0)</f>
        <v>992726</v>
      </c>
      <c r="D112" s="52"/>
      <c r="E112" s="193">
        <f>IF(F3="1",SUMIF(Data!A:A,$A$2,Data!AC:AC),0)</f>
        <v>255604</v>
      </c>
      <c r="F112" s="49">
        <f t="shared" si="7"/>
        <v>1248330</v>
      </c>
    </row>
    <row r="113" spans="1:6" x14ac:dyDescent="0.2">
      <c r="B113" s="43" t="s">
        <v>31</v>
      </c>
      <c r="C113" s="193">
        <f>IF(F3="1",SUMIF(Data!A:A,$A$2,Data!U:U),0)</f>
        <v>1298655</v>
      </c>
      <c r="D113" s="52"/>
      <c r="E113" s="193">
        <f>IF(F3="1",SUMIF(Data!A:A,$A$2,Data!AB:AB),0)</f>
        <v>248353</v>
      </c>
      <c r="F113" s="49">
        <f t="shared" si="7"/>
        <v>1547008</v>
      </c>
    </row>
    <row r="114" spans="1:6" x14ac:dyDescent="0.2">
      <c r="B114" s="43" t="s">
        <v>1002</v>
      </c>
      <c r="C114" s="193">
        <f>IF(F3="1",SUMIF(Data!A:A,$A$2,Data!T:T),0)</f>
        <v>1439431</v>
      </c>
      <c r="D114" s="52"/>
      <c r="E114" s="193">
        <f>IF(F3="1",SUMIF(Data!A:A,$A$2,Data!AA:AA),0)</f>
        <v>1383472</v>
      </c>
      <c r="F114" s="49">
        <f t="shared" si="7"/>
        <v>2822903</v>
      </c>
    </row>
    <row r="115" spans="1:6" x14ac:dyDescent="0.2">
      <c r="B115" s="43" t="s">
        <v>916</v>
      </c>
      <c r="C115" s="193">
        <f>IF(F3="1",SUMIF(Data!A:A,$A$2,Data!BI:BI),0)</f>
        <v>767851</v>
      </c>
      <c r="D115" s="193">
        <f>IF(F3="1",SUMIF(Data!A:A,$A$2,Data!BL:BL),0)</f>
        <v>249507</v>
      </c>
      <c r="E115" s="193">
        <f>IF(F3="1",SUMIF(Data!A:A,$A$2,Data!BU:BU)-SUMIF(Data!A:A,$A$2,Data!BT:BT),0)</f>
        <v>1440256</v>
      </c>
      <c r="F115" s="49">
        <f t="shared" si="7"/>
        <v>2457614</v>
      </c>
    </row>
    <row r="116" spans="1:6" x14ac:dyDescent="0.2">
      <c r="B116" s="43" t="s">
        <v>33</v>
      </c>
      <c r="C116" s="193">
        <f>IF(F3="1",SUMIF(Data!A:A,$A$2,Data!X:X),0)</f>
        <v>0</v>
      </c>
      <c r="D116" s="51"/>
      <c r="E116" s="193">
        <f>E102-C116</f>
        <v>200624</v>
      </c>
      <c r="F116" s="49">
        <f t="shared" si="7"/>
        <v>200624</v>
      </c>
    </row>
    <row r="117" spans="1:6" ht="15" thickBot="1" x14ac:dyDescent="0.25">
      <c r="B117" s="44" t="s">
        <v>920</v>
      </c>
      <c r="C117" s="53"/>
      <c r="D117" s="53">
        <f>IF(F3="1",SUMIF(Data!A:A,$A$2,Data!Q:Q),0)</f>
        <v>705121</v>
      </c>
      <c r="E117" s="53"/>
      <c r="F117" s="50">
        <f>SUM(C117:E117)</f>
        <v>705121</v>
      </c>
    </row>
    <row r="118" spans="1:6" x14ac:dyDescent="0.2">
      <c r="B118" s="14" t="s">
        <v>35</v>
      </c>
      <c r="C118" s="178">
        <f>SUM(C109:C117)</f>
        <v>12286569</v>
      </c>
      <c r="D118" s="194">
        <f>SUM(D109:D117)</f>
        <v>2376221</v>
      </c>
      <c r="E118" s="178">
        <f>SUM(E109:E117)</f>
        <v>4392884</v>
      </c>
      <c r="F118" s="178">
        <f>SUM(F109:F117)</f>
        <v>19055674</v>
      </c>
    </row>
    <row r="119" spans="1:6" x14ac:dyDescent="0.2">
      <c r="C119" s="177"/>
      <c r="D119" s="177"/>
      <c r="E119" s="177"/>
    </row>
    <row r="120" spans="1:6" ht="15" thickBot="1" x14ac:dyDescent="0.25">
      <c r="B120" s="188" t="s">
        <v>921</v>
      </c>
      <c r="C120" s="53"/>
      <c r="D120" s="53"/>
      <c r="E120" s="195">
        <f>IF(F3="1",SUMIF(Data!A:A,$A$2,Data!AF:AF)+SUMIF(Data!A:A,$A$2,Data!AW:AW)+SUMIF(Data!A:A,$A$2,Data!BT:BT),0)</f>
        <v>859076</v>
      </c>
      <c r="F120" s="181">
        <f>SUM(C120:E120)</f>
        <v>859076</v>
      </c>
    </row>
    <row r="121" spans="1:6" s="177" customFormat="1" x14ac:dyDescent="0.2">
      <c r="B121" s="14" t="s">
        <v>35</v>
      </c>
      <c r="C121" s="178">
        <f>SUM(C120:C120)</f>
        <v>0</v>
      </c>
      <c r="D121" s="178">
        <f>SUM(D120:D120)</f>
        <v>0</v>
      </c>
      <c r="E121" s="178">
        <f>SUM(E120:E120)</f>
        <v>859076</v>
      </c>
      <c r="F121" s="178">
        <f>SUM(F120:F120)</f>
        <v>859076</v>
      </c>
    </row>
    <row r="122" spans="1:6" s="177" customFormat="1" ht="15" thickBot="1" x14ac:dyDescent="0.25">
      <c r="B122" s="14" t="s">
        <v>1396</v>
      </c>
      <c r="C122" s="178"/>
      <c r="D122" s="178"/>
      <c r="E122" s="178"/>
      <c r="F122" s="190">
        <f>F118+F121</f>
        <v>19914750</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388</v>
      </c>
      <c r="B2" s="59" t="str">
        <f>VLOOKUP(A2,Data!A:G,7,0)</f>
        <v>Ranger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4176</v>
      </c>
      <c r="E5" s="16">
        <f>E36+E67+IFERROR($E$105/$D$105*D5,0)</f>
        <v>22985.650388533933</v>
      </c>
      <c r="F5" s="21">
        <f>IFERROR(E5/D5,"")</f>
        <v>5.5042266256067851</v>
      </c>
    </row>
    <row r="6" spans="1:6" x14ac:dyDescent="0.2">
      <c r="A6" s="20">
        <v>2</v>
      </c>
      <c r="B6" s="202" t="s">
        <v>1</v>
      </c>
      <c r="C6" s="203"/>
      <c r="D6" s="15">
        <f t="shared" ref="D6:D32" si="0">D37</f>
        <v>24384</v>
      </c>
      <c r="E6" s="18">
        <f t="shared" ref="E6:E32" si="1">E37+E68+IFERROR($E$105/$D$105*D6,0)</f>
        <v>104568.39537212916</v>
      </c>
      <c r="F6" s="22">
        <f t="shared" ref="F6:F33" si="2">IFERROR(E6/D6,"")</f>
        <v>4.2884020411798378</v>
      </c>
    </row>
    <row r="7" spans="1:6" ht="14.25" customHeight="1" x14ac:dyDescent="0.2">
      <c r="A7" s="20">
        <v>3</v>
      </c>
      <c r="B7" s="202" t="s">
        <v>2</v>
      </c>
      <c r="C7" s="203"/>
      <c r="D7" s="15">
        <f t="shared" si="0"/>
        <v>77856</v>
      </c>
      <c r="E7" s="18">
        <f t="shared" si="1"/>
        <v>334066.73482990847</v>
      </c>
      <c r="F7" s="22">
        <f t="shared" si="2"/>
        <v>4.2908283861219232</v>
      </c>
    </row>
    <row r="8" spans="1:6" ht="14.25" customHeight="1" x14ac:dyDescent="0.2">
      <c r="A8" s="20">
        <v>4</v>
      </c>
      <c r="B8" s="202" t="s">
        <v>3</v>
      </c>
      <c r="C8" s="203"/>
      <c r="D8" s="15">
        <f t="shared" si="0"/>
        <v>15376</v>
      </c>
      <c r="E8" s="18">
        <f t="shared" si="1"/>
        <v>88366.099706441033</v>
      </c>
      <c r="F8" s="22">
        <f t="shared" si="2"/>
        <v>5.7470148092118256</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0</v>
      </c>
      <c r="E10" s="18">
        <f t="shared" si="1"/>
        <v>0</v>
      </c>
      <c r="F10" s="22" t="str">
        <f t="shared" si="2"/>
        <v/>
      </c>
    </row>
    <row r="11" spans="1:6" x14ac:dyDescent="0.2">
      <c r="A11" s="20">
        <v>7</v>
      </c>
      <c r="B11" s="202" t="s">
        <v>6</v>
      </c>
      <c r="C11" s="203"/>
      <c r="D11" s="15">
        <f t="shared" si="0"/>
        <v>40432</v>
      </c>
      <c r="E11" s="18">
        <f t="shared" si="1"/>
        <v>150071.00203764462</v>
      </c>
      <c r="F11" s="22">
        <f t="shared" si="2"/>
        <v>3.7116888117739566</v>
      </c>
    </row>
    <row r="12" spans="1:6" x14ac:dyDescent="0.2">
      <c r="A12" s="20">
        <v>8</v>
      </c>
      <c r="B12" s="202" t="s">
        <v>7</v>
      </c>
      <c r="C12" s="203"/>
      <c r="D12" s="15">
        <f t="shared" si="0"/>
        <v>0</v>
      </c>
      <c r="E12" s="18">
        <f t="shared" si="1"/>
        <v>0</v>
      </c>
      <c r="F12" s="22" t="str">
        <f t="shared" si="2"/>
        <v/>
      </c>
    </row>
    <row r="13" spans="1:6" x14ac:dyDescent="0.2">
      <c r="A13" s="20">
        <v>9</v>
      </c>
      <c r="B13" s="202" t="s">
        <v>8</v>
      </c>
      <c r="C13" s="203"/>
      <c r="D13" s="15">
        <f t="shared" si="0"/>
        <v>131440</v>
      </c>
      <c r="E13" s="18">
        <f t="shared" si="1"/>
        <v>594178.65878086688</v>
      </c>
      <c r="F13" s="22">
        <f t="shared" si="2"/>
        <v>4.5205314879859015</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176</v>
      </c>
      <c r="E15" s="18">
        <f t="shared" si="1"/>
        <v>2087.6327749956831</v>
      </c>
      <c r="F15" s="22">
        <f t="shared" si="2"/>
        <v>11.861549857930017</v>
      </c>
    </row>
    <row r="16" spans="1:6" ht="14.25" customHeight="1" x14ac:dyDescent="0.2">
      <c r="A16" s="20">
        <v>12</v>
      </c>
      <c r="B16" s="202" t="s">
        <v>11</v>
      </c>
      <c r="C16" s="203"/>
      <c r="D16" s="15">
        <f t="shared" si="0"/>
        <v>109008</v>
      </c>
      <c r="E16" s="18">
        <f t="shared" si="1"/>
        <v>554903.73600414442</v>
      </c>
      <c r="F16" s="22">
        <f t="shared" si="2"/>
        <v>5.0904863496637347</v>
      </c>
    </row>
    <row r="17" spans="1:6" x14ac:dyDescent="0.2">
      <c r="A17" s="20">
        <v>13</v>
      </c>
      <c r="B17" s="202" t="s">
        <v>12</v>
      </c>
      <c r="C17" s="203"/>
      <c r="D17" s="15">
        <f t="shared" si="0"/>
        <v>3744</v>
      </c>
      <c r="E17" s="18">
        <f t="shared" si="1"/>
        <v>17819.824486271802</v>
      </c>
      <c r="F17" s="22">
        <f t="shared" si="2"/>
        <v>4.759568505948665</v>
      </c>
    </row>
    <row r="18" spans="1:6" ht="14.25" customHeight="1" x14ac:dyDescent="0.2">
      <c r="A18" s="20">
        <v>14</v>
      </c>
      <c r="B18" s="202" t="s">
        <v>449</v>
      </c>
      <c r="C18" s="203"/>
      <c r="D18" s="15">
        <f t="shared" si="0"/>
        <v>29376</v>
      </c>
      <c r="E18" s="18">
        <f t="shared" si="1"/>
        <v>329483.16135382489</v>
      </c>
      <c r="F18" s="22">
        <f t="shared" si="2"/>
        <v>11.216066222556675</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18149</v>
      </c>
      <c r="E20" s="18">
        <f t="shared" si="1"/>
        <v>64762.535417026425</v>
      </c>
      <c r="F20" s="22">
        <f t="shared" si="2"/>
        <v>3.5683803745124485</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126320</v>
      </c>
      <c r="E22" s="18">
        <f t="shared" si="1"/>
        <v>580549.79623553785</v>
      </c>
      <c r="F22" s="22">
        <f t="shared" si="2"/>
        <v>4.5958660246638523</v>
      </c>
    </row>
    <row r="23" spans="1:6" x14ac:dyDescent="0.2">
      <c r="A23" s="20">
        <v>19</v>
      </c>
      <c r="B23" s="202" t="s">
        <v>17</v>
      </c>
      <c r="C23" s="203"/>
      <c r="D23" s="15">
        <f t="shared" si="0"/>
        <v>37232</v>
      </c>
      <c r="E23" s="18">
        <f t="shared" si="1"/>
        <v>183421.58794681402</v>
      </c>
      <c r="F23" s="22">
        <f t="shared" si="2"/>
        <v>4.9264500415452845</v>
      </c>
    </row>
    <row r="24" spans="1:6" x14ac:dyDescent="0.2">
      <c r="A24" s="20">
        <v>20</v>
      </c>
      <c r="B24" s="202" t="s">
        <v>18</v>
      </c>
      <c r="C24" s="203"/>
      <c r="D24" s="15">
        <f t="shared" si="0"/>
        <v>0</v>
      </c>
      <c r="E24" s="18">
        <f t="shared" si="1"/>
        <v>0</v>
      </c>
      <c r="F24" s="22" t="str">
        <f t="shared" si="2"/>
        <v/>
      </c>
    </row>
    <row r="25" spans="1:6" ht="14.25" customHeight="1" x14ac:dyDescent="0.2">
      <c r="A25" s="20">
        <v>21</v>
      </c>
      <c r="B25" s="202" t="s">
        <v>446</v>
      </c>
      <c r="C25" s="203"/>
      <c r="D25" s="15">
        <f t="shared" si="0"/>
        <v>2000</v>
      </c>
      <c r="E25" s="18">
        <f t="shared" si="1"/>
        <v>5680.0088067691249</v>
      </c>
      <c r="F25" s="22">
        <f t="shared" si="2"/>
        <v>2.8400044033845626</v>
      </c>
    </row>
    <row r="26" spans="1:6" x14ac:dyDescent="0.2">
      <c r="A26" s="20">
        <v>22</v>
      </c>
      <c r="B26" s="202" t="s">
        <v>19</v>
      </c>
      <c r="C26" s="203"/>
      <c r="D26" s="15">
        <f t="shared" si="0"/>
        <v>0</v>
      </c>
      <c r="E26" s="18">
        <f t="shared" si="1"/>
        <v>0</v>
      </c>
      <c r="F26" s="22" t="str">
        <f t="shared" si="2"/>
        <v/>
      </c>
    </row>
    <row r="27" spans="1:6" x14ac:dyDescent="0.2">
      <c r="A27" s="20">
        <v>23</v>
      </c>
      <c r="B27" s="202" t="s">
        <v>20</v>
      </c>
      <c r="C27" s="203"/>
      <c r="D27" s="15">
        <f t="shared" si="0"/>
        <v>44320</v>
      </c>
      <c r="E27" s="18">
        <f t="shared" si="1"/>
        <v>640788.43515800382</v>
      </c>
      <c r="F27" s="22">
        <f t="shared" si="2"/>
        <v>14.45822281493691</v>
      </c>
    </row>
    <row r="28" spans="1:6" x14ac:dyDescent="0.2">
      <c r="A28" s="20">
        <v>24</v>
      </c>
      <c r="B28" s="202" t="s">
        <v>21</v>
      </c>
      <c r="C28" s="203"/>
      <c r="D28" s="15">
        <f t="shared" si="0"/>
        <v>2736</v>
      </c>
      <c r="E28" s="18">
        <f t="shared" si="1"/>
        <v>7129.5640476601629</v>
      </c>
      <c r="F28" s="22">
        <f t="shared" si="2"/>
        <v>2.6058348127412878</v>
      </c>
    </row>
    <row r="29" spans="1:6" x14ac:dyDescent="0.2">
      <c r="A29" s="20">
        <v>25</v>
      </c>
      <c r="B29" s="202" t="s">
        <v>22</v>
      </c>
      <c r="C29" s="203"/>
      <c r="D29" s="15">
        <f t="shared" si="0"/>
        <v>124368</v>
      </c>
      <c r="E29" s="18">
        <f t="shared" si="1"/>
        <v>398244.32364013128</v>
      </c>
      <c r="F29" s="22">
        <f t="shared" si="2"/>
        <v>3.2021446323823755</v>
      </c>
    </row>
    <row r="30" spans="1:6" x14ac:dyDescent="0.2">
      <c r="A30" s="20">
        <v>26</v>
      </c>
      <c r="B30" s="202" t="s">
        <v>23</v>
      </c>
      <c r="C30" s="203"/>
      <c r="D30" s="15">
        <f t="shared" si="0"/>
        <v>26976</v>
      </c>
      <c r="E30" s="18">
        <f t="shared" si="1"/>
        <v>136407.35078570194</v>
      </c>
      <c r="F30" s="22">
        <f t="shared" si="2"/>
        <v>5.0566188755079304</v>
      </c>
    </row>
    <row r="31" spans="1:6" x14ac:dyDescent="0.2">
      <c r="A31" s="20">
        <v>28</v>
      </c>
      <c r="B31" s="202" t="s">
        <v>24</v>
      </c>
      <c r="C31" s="203"/>
      <c r="D31" s="15">
        <f t="shared" si="0"/>
        <v>31616</v>
      </c>
      <c r="E31" s="18">
        <f t="shared" si="1"/>
        <v>145299.85121740634</v>
      </c>
      <c r="F31" s="22">
        <f t="shared" si="2"/>
        <v>4.5957695855707978</v>
      </c>
    </row>
    <row r="32" spans="1:6" ht="15.75" customHeight="1" thickBot="1" x14ac:dyDescent="0.25">
      <c r="A32" s="23">
        <v>29</v>
      </c>
      <c r="B32" s="206" t="s">
        <v>25</v>
      </c>
      <c r="C32" s="207"/>
      <c r="D32" s="24">
        <f t="shared" si="0"/>
        <v>47920</v>
      </c>
      <c r="E32" s="25">
        <f t="shared" si="1"/>
        <v>217623.65101018822</v>
      </c>
      <c r="F32" s="26">
        <f t="shared" si="2"/>
        <v>4.5413950544697039</v>
      </c>
    </row>
    <row r="33" spans="1:6" x14ac:dyDescent="0.2">
      <c r="B33" s="31" t="s">
        <v>35</v>
      </c>
      <c r="C33" s="31"/>
      <c r="D33" s="60">
        <f>SUM(D5:D32)</f>
        <v>897605</v>
      </c>
      <c r="E33" s="32">
        <f>SUM(E5:E32)</f>
        <v>4578438.0000000009</v>
      </c>
      <c r="F33" s="33">
        <f t="shared" si="2"/>
        <v>5.1007269344533519</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IF(F3="1",SUMIF(Data!A:A,'35'!$A$2,Data!CU:CU),0)</f>
        <v>4176</v>
      </c>
      <c r="E36" s="16">
        <f>IF(F3="1",SUMIF(Data!$A:$A,'35'!$A$2,Data!IO:IO),0)</f>
        <v>3511</v>
      </c>
      <c r="F36" s="21">
        <f t="shared" ref="F36:F64" si="3">IFERROR(E36/D36,"")</f>
        <v>0.84075670498084287</v>
      </c>
    </row>
    <row r="37" spans="1:6" x14ac:dyDescent="0.2">
      <c r="A37" s="20">
        <v>2</v>
      </c>
      <c r="B37" s="202" t="s">
        <v>1</v>
      </c>
      <c r="C37" s="203"/>
      <c r="D37" s="15">
        <f>IF(F3="1",SUMIF(Data!A:A,'35'!$A$2,Data!CV:CV),0)</f>
        <v>24384</v>
      </c>
      <c r="E37" s="18">
        <f>IF(F3="1",SUMIF(Data!$A:$A,'35'!$A$2,Data!IP:IP),0)</f>
        <v>16786</v>
      </c>
      <c r="F37" s="22">
        <f t="shared" si="3"/>
        <v>0.68840223097112863</v>
      </c>
    </row>
    <row r="38" spans="1:6" ht="14.25" customHeight="1" x14ac:dyDescent="0.2">
      <c r="A38" s="20">
        <v>3</v>
      </c>
      <c r="B38" s="202" t="s">
        <v>2</v>
      </c>
      <c r="C38" s="203"/>
      <c r="D38" s="15">
        <f>IF(F3="1",SUMIF(Data!A:A,'35'!$A$2,Data!CW:CW),0)</f>
        <v>77856</v>
      </c>
      <c r="E38" s="18">
        <f>IF(F3="1",SUMIF(Data!$A:$A,'35'!$A$2,Data!IQ:IQ),0)</f>
        <v>55729</v>
      </c>
      <c r="F38" s="22">
        <f t="shared" si="3"/>
        <v>0.71579582819564325</v>
      </c>
    </row>
    <row r="39" spans="1:6" ht="14.25" customHeight="1" x14ac:dyDescent="0.2">
      <c r="A39" s="20">
        <v>4</v>
      </c>
      <c r="B39" s="202" t="s">
        <v>3</v>
      </c>
      <c r="C39" s="203"/>
      <c r="D39" s="15">
        <f>IF(F3="1",SUMIF(Data!A:A,'35'!$A$2,Data!CX:CX),0)</f>
        <v>15376</v>
      </c>
      <c r="E39" s="18">
        <f>IF(F3="1",SUMIF(Data!$A:$A,'35'!$A$2,Data!IR:IR),0)</f>
        <v>12583</v>
      </c>
      <c r="F39" s="22">
        <f t="shared" si="3"/>
        <v>0.81835327783558798</v>
      </c>
    </row>
    <row r="40" spans="1:6" x14ac:dyDescent="0.2">
      <c r="A40" s="20">
        <v>5</v>
      </c>
      <c r="B40" s="202" t="s">
        <v>4</v>
      </c>
      <c r="C40" s="203"/>
      <c r="D40" s="15">
        <f>IF(F3="1",SUMIF(Data!A:A,'35'!$A$2,Data!CY:CY),0)</f>
        <v>0</v>
      </c>
      <c r="E40" s="18">
        <f>IF(F3="1",SUMIF(Data!$A:$A,'35'!$A$2,Data!IS:IS),0)</f>
        <v>0</v>
      </c>
      <c r="F40" s="22" t="str">
        <f t="shared" si="3"/>
        <v/>
      </c>
    </row>
    <row r="41" spans="1:6" x14ac:dyDescent="0.2">
      <c r="A41" s="20">
        <v>6</v>
      </c>
      <c r="B41" s="202" t="s">
        <v>5</v>
      </c>
      <c r="C41" s="203"/>
      <c r="D41" s="15">
        <f>IF(F3="1",SUMIF(Data!A:A,'35'!$A$2,Data!CZ:CZ),0)</f>
        <v>0</v>
      </c>
      <c r="E41" s="18">
        <f>IF(F3="1",SUMIF(Data!$A:$A,'35'!$A$2,Data!IT:IT),0)</f>
        <v>0</v>
      </c>
      <c r="F41" s="22" t="str">
        <f t="shared" si="3"/>
        <v/>
      </c>
    </row>
    <row r="42" spans="1:6" x14ac:dyDescent="0.2">
      <c r="A42" s="20">
        <v>7</v>
      </c>
      <c r="B42" s="202" t="s">
        <v>6</v>
      </c>
      <c r="C42" s="203"/>
      <c r="D42" s="15">
        <f>IF(F3="1",SUMIF(Data!A:A,'35'!$A$2,Data!DA:DA),0)</f>
        <v>40432</v>
      </c>
      <c r="E42" s="18">
        <f>IF(F3="1",SUMIF(Data!$A:$A,'35'!$A$2,Data!IU:IU),0)</f>
        <v>14190</v>
      </c>
      <c r="F42" s="22">
        <f t="shared" si="3"/>
        <v>0.35095963593193508</v>
      </c>
    </row>
    <row r="43" spans="1:6" x14ac:dyDescent="0.2">
      <c r="A43" s="20">
        <v>8</v>
      </c>
      <c r="B43" s="202" t="s">
        <v>7</v>
      </c>
      <c r="C43" s="203"/>
      <c r="D43" s="15">
        <f>IF(F3="1",SUMIF(Data!A:A,'35'!$A$2,Data!DB:DB),0)</f>
        <v>0</v>
      </c>
      <c r="E43" s="18">
        <f>IF(F3="1",SUMIF(Data!$A:$A,'35'!$A$2,Data!IV:IV),0)</f>
        <v>0</v>
      </c>
      <c r="F43" s="22" t="str">
        <f t="shared" si="3"/>
        <v/>
      </c>
    </row>
    <row r="44" spans="1:6" x14ac:dyDescent="0.2">
      <c r="A44" s="20">
        <v>9</v>
      </c>
      <c r="B44" s="202" t="s">
        <v>8</v>
      </c>
      <c r="C44" s="203"/>
      <c r="D44" s="15">
        <f>IF(F3="1",SUMIF(Data!A:A,'35'!$A$2,Data!DC:DC),0)</f>
        <v>131440</v>
      </c>
      <c r="E44" s="18">
        <f>IF(F3="1",SUMIF(Data!$A:$A,'35'!$A$2,Data!IW:IW),0)</f>
        <v>168094</v>
      </c>
      <c r="F44" s="22">
        <f t="shared" si="3"/>
        <v>1.2788648813146684</v>
      </c>
    </row>
    <row r="45" spans="1:6" x14ac:dyDescent="0.2">
      <c r="A45" s="20">
        <v>10</v>
      </c>
      <c r="B45" s="202" t="s">
        <v>9</v>
      </c>
      <c r="C45" s="203"/>
      <c r="D45" s="15">
        <f>IF(F3="1",SUMIF(Data!A:A,'35'!$A$2,Data!DD:DD),0)</f>
        <v>0</v>
      </c>
      <c r="E45" s="18">
        <f>IF(F3="1",SUMIF(Data!$A:$A,'35'!$A$2,Data!IX:IX),0)</f>
        <v>0</v>
      </c>
      <c r="F45" s="22" t="str">
        <f t="shared" si="3"/>
        <v/>
      </c>
    </row>
    <row r="46" spans="1:6" x14ac:dyDescent="0.2">
      <c r="A46" s="20">
        <v>11</v>
      </c>
      <c r="B46" s="202" t="s">
        <v>10</v>
      </c>
      <c r="C46" s="203"/>
      <c r="D46" s="15">
        <f>IF(F3="1",SUMIF(Data!A:A,'35'!$A$2,Data!DE:DE),0)</f>
        <v>176</v>
      </c>
      <c r="E46" s="18">
        <f>IF(F3="1",SUMIF(Data!$A:$A,'35'!$A$2,Data!IY:IY),0)</f>
        <v>241</v>
      </c>
      <c r="F46" s="22">
        <f t="shared" si="3"/>
        <v>1.3693181818181819</v>
      </c>
    </row>
    <row r="47" spans="1:6" ht="14.25" customHeight="1" x14ac:dyDescent="0.2">
      <c r="A47" s="20">
        <v>12</v>
      </c>
      <c r="B47" s="202" t="s">
        <v>11</v>
      </c>
      <c r="C47" s="203"/>
      <c r="D47" s="15">
        <f>IF(F3="1",SUMIF(Data!A:A,'35'!$A$2,Data!DF:DF),0)</f>
        <v>109008</v>
      </c>
      <c r="E47" s="18">
        <f>IF(F3="1",SUMIF(Data!$A:$A,'35'!$A$2,Data!IZ:IZ),0)</f>
        <v>71455</v>
      </c>
      <c r="F47" s="22">
        <f t="shared" si="3"/>
        <v>0.6555023484514898</v>
      </c>
    </row>
    <row r="48" spans="1:6" x14ac:dyDescent="0.2">
      <c r="A48" s="20">
        <v>13</v>
      </c>
      <c r="B48" s="202" t="s">
        <v>12</v>
      </c>
      <c r="C48" s="203"/>
      <c r="D48" s="15">
        <f>IF(F3="1",SUMIF(Data!A:A,'35'!$A$2,Data!DG:DG),0)</f>
        <v>3744</v>
      </c>
      <c r="E48" s="18">
        <f>IF(F3="1",SUMIF(Data!$A:$A,'35'!$A$2,Data!JA:JA),0)</f>
        <v>1446</v>
      </c>
      <c r="F48" s="22">
        <f t="shared" si="3"/>
        <v>0.38621794871794873</v>
      </c>
    </row>
    <row r="49" spans="1:6" ht="14.25" customHeight="1" x14ac:dyDescent="0.2">
      <c r="A49" s="20">
        <v>14</v>
      </c>
      <c r="B49" s="202" t="s">
        <v>449</v>
      </c>
      <c r="C49" s="203"/>
      <c r="D49" s="15">
        <f>IF(F3="1",SUMIF(Data!A:A,'35'!$A$2,Data!DH:DH),0)</f>
        <v>29376</v>
      </c>
      <c r="E49" s="18">
        <f>IF(F3="1",SUMIF(Data!$A:$A,'35'!$A$2,Data!JB:JB),0)</f>
        <v>56627</v>
      </c>
      <c r="F49" s="22">
        <f t="shared" si="3"/>
        <v>1.927662037037037</v>
      </c>
    </row>
    <row r="50" spans="1:6" x14ac:dyDescent="0.2">
      <c r="A50" s="20">
        <v>15</v>
      </c>
      <c r="B50" s="202" t="s">
        <v>13</v>
      </c>
      <c r="C50" s="203"/>
      <c r="D50" s="15">
        <f>IF(F3="1",SUMIF(Data!A:A,'35'!$A$2,Data!DI:DI),0)</f>
        <v>0</v>
      </c>
      <c r="E50" s="18">
        <f>IF(F3="1",SUMIF(Data!$A:$A,'35'!$A$2,Data!JC:JC),0)</f>
        <v>0</v>
      </c>
      <c r="F50" s="22" t="str">
        <f t="shared" si="3"/>
        <v/>
      </c>
    </row>
    <row r="51" spans="1:6" x14ac:dyDescent="0.2">
      <c r="A51" s="20">
        <v>16</v>
      </c>
      <c r="B51" s="202" t="s">
        <v>14</v>
      </c>
      <c r="C51" s="203"/>
      <c r="D51" s="15">
        <f>IF(F3="1",SUMIF(Data!A:A,'35'!$A$2,Data!DJ:DJ),0)</f>
        <v>18149</v>
      </c>
      <c r="E51" s="18">
        <f>IF(F3="1",SUMIF(Data!$A:$A,'35'!$A$2,Data!JD:JD),0)</f>
        <v>4018</v>
      </c>
      <c r="F51" s="22">
        <f t="shared" si="3"/>
        <v>0.2213896082428784</v>
      </c>
    </row>
    <row r="52" spans="1:6" x14ac:dyDescent="0.2">
      <c r="A52" s="20">
        <v>17</v>
      </c>
      <c r="B52" s="202" t="s">
        <v>15</v>
      </c>
      <c r="C52" s="203"/>
      <c r="D52" s="15">
        <f>IF(F3="1",SUMIF(Data!A:A,'35'!$A$2,Data!DK:DK),0)</f>
        <v>0</v>
      </c>
      <c r="E52" s="18">
        <f>IF(F3="1",SUMIF(Data!$A:$A,'35'!$A$2,Data!JE:JE),0)</f>
        <v>0</v>
      </c>
      <c r="F52" s="22" t="str">
        <f t="shared" si="3"/>
        <v/>
      </c>
    </row>
    <row r="53" spans="1:6" x14ac:dyDescent="0.2">
      <c r="A53" s="20">
        <v>18</v>
      </c>
      <c r="B53" s="202" t="s">
        <v>16</v>
      </c>
      <c r="C53" s="203"/>
      <c r="D53" s="15">
        <f>IF(F3="1",SUMIF(Data!A:A,'35'!$A$2,Data!DL:DL),0)</f>
        <v>126320</v>
      </c>
      <c r="E53" s="18">
        <f>IF(F3="1",SUMIF(Data!$A:$A,'35'!$A$2,Data!JF:JF),0)</f>
        <v>72331</v>
      </c>
      <c r="F53" s="22">
        <f t="shared" si="3"/>
        <v>0.57260132995566815</v>
      </c>
    </row>
    <row r="54" spans="1:6" x14ac:dyDescent="0.2">
      <c r="A54" s="20">
        <v>19</v>
      </c>
      <c r="B54" s="202" t="s">
        <v>17</v>
      </c>
      <c r="C54" s="203"/>
      <c r="D54" s="15">
        <f>IF(F3="1",SUMIF(Data!A:A,'35'!$A$2,Data!DM:DM),0)</f>
        <v>37232</v>
      </c>
      <c r="E54" s="18">
        <f>IF(F3="1",SUMIF(Data!$A:$A,'35'!$A$2,Data!JG:JG),0)</f>
        <v>23093</v>
      </c>
      <c r="F54" s="22">
        <f t="shared" si="3"/>
        <v>0.62024602492479586</v>
      </c>
    </row>
    <row r="55" spans="1:6" x14ac:dyDescent="0.2">
      <c r="A55" s="20">
        <v>20</v>
      </c>
      <c r="B55" s="202" t="s">
        <v>18</v>
      </c>
      <c r="C55" s="203"/>
      <c r="D55" s="15">
        <f>IF(F3="1",SUMIF(Data!A:A,'35'!$A$2,Data!DN:DN),0)</f>
        <v>0</v>
      </c>
      <c r="E55" s="18">
        <f>IF(F3="1",SUMIF(Data!$A:$A,'35'!$A$2,Data!JH:JH),0)</f>
        <v>0</v>
      </c>
      <c r="F55" s="22" t="str">
        <f t="shared" si="3"/>
        <v/>
      </c>
    </row>
    <row r="56" spans="1:6" ht="14.25" customHeight="1" x14ac:dyDescent="0.2">
      <c r="A56" s="20">
        <v>21</v>
      </c>
      <c r="B56" s="202" t="s">
        <v>446</v>
      </c>
      <c r="C56" s="203"/>
      <c r="D56" s="15">
        <f>IF(F3="1",SUMIF(Data!A:A,'35'!$A$2,Data!DO:DO),0)</f>
        <v>2000</v>
      </c>
      <c r="E56" s="18">
        <f>IF(F3="1",SUMIF(Data!$A:$A,'35'!$A$2,Data!JI:JI),0)</f>
        <v>241</v>
      </c>
      <c r="F56" s="22">
        <f t="shared" si="3"/>
        <v>0.1205</v>
      </c>
    </row>
    <row r="57" spans="1:6" x14ac:dyDescent="0.2">
      <c r="A57" s="20">
        <v>22</v>
      </c>
      <c r="B57" s="202" t="s">
        <v>19</v>
      </c>
      <c r="C57" s="203"/>
      <c r="D57" s="15">
        <f>IF(F3="1",SUMIF(Data!A:A,'35'!$A$2,Data!DP:DP),0)</f>
        <v>0</v>
      </c>
      <c r="E57" s="18">
        <f>IF(F3="1",SUMIF(Data!$A:$A,'35'!$A$2,Data!JJ:JJ),0)</f>
        <v>0</v>
      </c>
      <c r="F57" s="22" t="str">
        <f t="shared" si="3"/>
        <v/>
      </c>
    </row>
    <row r="58" spans="1:6" x14ac:dyDescent="0.2">
      <c r="A58" s="20">
        <v>23</v>
      </c>
      <c r="B58" s="202" t="s">
        <v>20</v>
      </c>
      <c r="C58" s="203"/>
      <c r="D58" s="15">
        <f>IF(F3="1",SUMIF(Data!A:A,'35'!$A$2,Data!DQ:DQ),0)</f>
        <v>44320</v>
      </c>
      <c r="E58" s="18">
        <f>IF(F3="1",SUMIF(Data!$A:$A,'35'!$A$2,Data!JK:JK),0)</f>
        <v>79500</v>
      </c>
      <c r="F58" s="22">
        <f t="shared" si="3"/>
        <v>1.7937725631768953</v>
      </c>
    </row>
    <row r="59" spans="1:6" x14ac:dyDescent="0.2">
      <c r="A59" s="20">
        <v>24</v>
      </c>
      <c r="B59" s="202" t="s">
        <v>21</v>
      </c>
      <c r="C59" s="203"/>
      <c r="D59" s="15">
        <f>IF(F3="1",SUMIF(Data!A:A,'35'!$A$2,Data!DR:DR),0)</f>
        <v>2736</v>
      </c>
      <c r="E59" s="18">
        <f>IF(F3="1",SUMIF(Data!$A:$A,'35'!$A$2,Data!JL:JL),0)</f>
        <v>241</v>
      </c>
      <c r="F59" s="22">
        <f t="shared" si="3"/>
        <v>8.8084795321637432E-2</v>
      </c>
    </row>
    <row r="60" spans="1:6" x14ac:dyDescent="0.2">
      <c r="A60" s="20">
        <v>25</v>
      </c>
      <c r="B60" s="202" t="s">
        <v>22</v>
      </c>
      <c r="C60" s="203"/>
      <c r="D60" s="15">
        <f>IF(F3="1",SUMIF(Data!A:A,'35'!$A$2,Data!DS:DS),0)</f>
        <v>124368</v>
      </c>
      <c r="E60" s="18">
        <f>IF(F3="1",SUMIF(Data!$A:$A,'35'!$A$2,Data!JM:JM),0)</f>
        <v>28301</v>
      </c>
      <c r="F60" s="22">
        <f t="shared" si="3"/>
        <v>0.22755853595780265</v>
      </c>
    </row>
    <row r="61" spans="1:6" x14ac:dyDescent="0.2">
      <c r="A61" s="20">
        <v>26</v>
      </c>
      <c r="B61" s="202" t="s">
        <v>23</v>
      </c>
      <c r="C61" s="203"/>
      <c r="D61" s="15">
        <f>IF(F3="1",SUMIF(Data!A:A,'35'!$A$2,Data!DT:DT),0)</f>
        <v>26976</v>
      </c>
      <c r="E61" s="18">
        <f>IF(F3="1",SUMIF(Data!$A:$A,'35'!$A$2,Data!JN:JN),0)</f>
        <v>18278</v>
      </c>
      <c r="F61" s="22">
        <f t="shared" si="3"/>
        <v>0.67756524317912215</v>
      </c>
    </row>
    <row r="62" spans="1:6" x14ac:dyDescent="0.2">
      <c r="A62" s="20">
        <v>28</v>
      </c>
      <c r="B62" s="202" t="s">
        <v>24</v>
      </c>
      <c r="C62" s="203"/>
      <c r="D62" s="15">
        <f>IF(F3="1",SUMIF(Data!A:A,'35'!$A$2,Data!DV:DV),0)</f>
        <v>31616</v>
      </c>
      <c r="E62" s="18">
        <f>IF(F3="1",SUMIF(Data!$A:$A,'35'!$A$2,Data!JP:JP),0)</f>
        <v>18357</v>
      </c>
      <c r="F62" s="22">
        <f t="shared" si="3"/>
        <v>0.58062373481781382</v>
      </c>
    </row>
    <row r="63" spans="1:6" ht="15.75" customHeight="1" thickBot="1" x14ac:dyDescent="0.25">
      <c r="A63" s="23">
        <v>29</v>
      </c>
      <c r="B63" s="206" t="s">
        <v>25</v>
      </c>
      <c r="C63" s="207"/>
      <c r="D63" s="24">
        <f>IF(F3="1",SUMIF(Data!A:A,'35'!$A$2,Data!DW:DW),0)</f>
        <v>47920</v>
      </c>
      <c r="E63" s="25">
        <f>IF(F3="1",SUMIF(Data!$A:$A,'35'!$A$2,Data!JQ:JQ),0)</f>
        <v>24215</v>
      </c>
      <c r="F63" s="26">
        <f t="shared" si="3"/>
        <v>0.50532136894824708</v>
      </c>
    </row>
    <row r="64" spans="1:6" x14ac:dyDescent="0.2">
      <c r="B64" s="31" t="s">
        <v>35</v>
      </c>
      <c r="C64" s="31"/>
      <c r="D64" s="60">
        <f>SUM(D36:D63)</f>
        <v>897605</v>
      </c>
      <c r="E64" s="32">
        <f>SUM(E36:E63)</f>
        <v>669237</v>
      </c>
      <c r="F64" s="33">
        <f t="shared" si="3"/>
        <v>0.74558073985773254</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4176</v>
      </c>
      <c r="E67" s="16">
        <f>IF(F3="1",SUMIF(Data!A:A,'35'!$A$2,Data!DY:DY),0)</f>
        <v>11250</v>
      </c>
      <c r="F67" s="21">
        <f>IFERROR(E67/D67,"")</f>
        <v>2.6939655172413794</v>
      </c>
    </row>
    <row r="68" spans="1:6" x14ac:dyDescent="0.2">
      <c r="A68" s="20">
        <v>2</v>
      </c>
      <c r="B68" s="202" t="s">
        <v>1</v>
      </c>
      <c r="C68" s="203"/>
      <c r="D68" s="15">
        <f t="shared" ref="D68:D94" si="4">D37</f>
        <v>24384</v>
      </c>
      <c r="E68" s="18">
        <f>IF(F3="1",SUMIF(Data!A:A,'35'!$A$2,Data!DZ:DZ),0)</f>
        <v>39758</v>
      </c>
      <c r="F68" s="22">
        <f t="shared" ref="F68:F95" si="5">IFERROR(E68/D68,"")</f>
        <v>1.6304954068241471</v>
      </c>
    </row>
    <row r="69" spans="1:6" ht="14.25" customHeight="1" x14ac:dyDescent="0.2">
      <c r="A69" s="20">
        <v>3</v>
      </c>
      <c r="B69" s="202" t="s">
        <v>2</v>
      </c>
      <c r="C69" s="203"/>
      <c r="D69" s="15">
        <f t="shared" si="4"/>
        <v>77856</v>
      </c>
      <c r="E69" s="18">
        <f>IF(F3="1",SUMIF(Data!A:A,'35'!$A$2,Data!EA:EA),0)</f>
        <v>125000</v>
      </c>
      <c r="F69" s="22">
        <f t="shared" si="5"/>
        <v>1.6055281545417179</v>
      </c>
    </row>
    <row r="70" spans="1:6" ht="14.25" customHeight="1" x14ac:dyDescent="0.2">
      <c r="A70" s="20">
        <v>4</v>
      </c>
      <c r="B70" s="202" t="s">
        <v>3</v>
      </c>
      <c r="C70" s="203"/>
      <c r="D70" s="15">
        <f t="shared" si="4"/>
        <v>15376</v>
      </c>
      <c r="E70" s="18">
        <f>IF(F3="1",SUMIF(Data!A:A,'35'!$A$2,Data!EB:EB),0)</f>
        <v>45500</v>
      </c>
      <c r="F70" s="22">
        <f t="shared" si="5"/>
        <v>2.9591571279916753</v>
      </c>
    </row>
    <row r="71" spans="1:6" x14ac:dyDescent="0.2">
      <c r="A71" s="20">
        <v>5</v>
      </c>
      <c r="B71" s="202" t="s">
        <v>4</v>
      </c>
      <c r="C71" s="203"/>
      <c r="D71" s="15">
        <f t="shared" si="4"/>
        <v>0</v>
      </c>
      <c r="E71" s="18">
        <f>IF(F3="1",SUMIF(Data!A:A,'35'!$A$2,Data!EC:EC),0)</f>
        <v>0</v>
      </c>
      <c r="F71" s="22" t="str">
        <f t="shared" si="5"/>
        <v/>
      </c>
    </row>
    <row r="72" spans="1:6" x14ac:dyDescent="0.2">
      <c r="A72" s="20">
        <v>6</v>
      </c>
      <c r="B72" s="202" t="s">
        <v>5</v>
      </c>
      <c r="C72" s="203"/>
      <c r="D72" s="15">
        <f t="shared" si="4"/>
        <v>0</v>
      </c>
      <c r="E72" s="18">
        <f>IF(F3="1",SUMIF(Data!A:A,'35'!$A$2,Data!ED:ED),0)</f>
        <v>0</v>
      </c>
      <c r="F72" s="22" t="str">
        <f t="shared" si="5"/>
        <v/>
      </c>
    </row>
    <row r="73" spans="1:6" x14ac:dyDescent="0.2">
      <c r="A73" s="20">
        <v>7</v>
      </c>
      <c r="B73" s="202" t="s">
        <v>6</v>
      </c>
      <c r="C73" s="203"/>
      <c r="D73" s="15">
        <f t="shared" si="4"/>
        <v>40432</v>
      </c>
      <c r="E73" s="18">
        <f>IF(F3="1",SUMIF(Data!A:A,'35'!$A$2,Data!EE:EE),0)</f>
        <v>56250</v>
      </c>
      <c r="F73" s="22">
        <f t="shared" si="5"/>
        <v>1.3912247724574593</v>
      </c>
    </row>
    <row r="74" spans="1:6" x14ac:dyDescent="0.2">
      <c r="A74" s="20">
        <v>8</v>
      </c>
      <c r="B74" s="202" t="s">
        <v>7</v>
      </c>
      <c r="C74" s="203"/>
      <c r="D74" s="15">
        <f t="shared" si="4"/>
        <v>0</v>
      </c>
      <c r="E74" s="18">
        <f>IF(F3="1",SUMIF(Data!A:A,'35'!$A$2,Data!EF:EF),0)</f>
        <v>0</v>
      </c>
      <c r="F74" s="22" t="str">
        <f t="shared" si="5"/>
        <v/>
      </c>
    </row>
    <row r="75" spans="1:6" x14ac:dyDescent="0.2">
      <c r="A75" s="20">
        <v>9</v>
      </c>
      <c r="B75" s="202" t="s">
        <v>8</v>
      </c>
      <c r="C75" s="203"/>
      <c r="D75" s="15">
        <f t="shared" si="4"/>
        <v>131440</v>
      </c>
      <c r="E75" s="18">
        <f>IF(F3="1",SUMIF(Data!A:A,'35'!$A$2,Data!EG:EG),0)</f>
        <v>167213</v>
      </c>
      <c r="F75" s="22">
        <f t="shared" si="5"/>
        <v>1.2721622032866706</v>
      </c>
    </row>
    <row r="76" spans="1:6" x14ac:dyDescent="0.2">
      <c r="A76" s="20">
        <v>10</v>
      </c>
      <c r="B76" s="202" t="s">
        <v>9</v>
      </c>
      <c r="C76" s="203"/>
      <c r="D76" s="15">
        <f t="shared" si="4"/>
        <v>0</v>
      </c>
      <c r="E76" s="18">
        <f>IF(F3="1",SUMIF(Data!A:A,'35'!$A$2,Data!EH:EH),0)</f>
        <v>0</v>
      </c>
      <c r="F76" s="22" t="str">
        <f t="shared" si="5"/>
        <v/>
      </c>
    </row>
    <row r="77" spans="1:6" x14ac:dyDescent="0.2">
      <c r="A77" s="20">
        <v>11</v>
      </c>
      <c r="B77" s="202" t="s">
        <v>10</v>
      </c>
      <c r="C77" s="203"/>
      <c r="D77" s="15">
        <f t="shared" si="4"/>
        <v>176</v>
      </c>
      <c r="E77" s="18">
        <f>IF(F3="1",SUMIF(Data!A:A,'35'!$A$2,Data!EI:EI),0)</f>
        <v>1500</v>
      </c>
      <c r="F77" s="22">
        <f t="shared" si="5"/>
        <v>8.5227272727272734</v>
      </c>
    </row>
    <row r="78" spans="1:6" ht="14.25" customHeight="1" x14ac:dyDescent="0.2">
      <c r="A78" s="20">
        <v>12</v>
      </c>
      <c r="B78" s="202" t="s">
        <v>11</v>
      </c>
      <c r="C78" s="203"/>
      <c r="D78" s="15">
        <f t="shared" si="4"/>
        <v>109008</v>
      </c>
      <c r="E78" s="18">
        <f>IF(F3="1",SUMIF(Data!A:A,'35'!$A$2,Data!EJ:EJ),0)</f>
        <v>268757</v>
      </c>
      <c r="F78" s="22">
        <f t="shared" si="5"/>
        <v>2.4654795978276822</v>
      </c>
    </row>
    <row r="79" spans="1:6" x14ac:dyDescent="0.2">
      <c r="A79" s="20">
        <v>13</v>
      </c>
      <c r="B79" s="202" t="s">
        <v>12</v>
      </c>
      <c r="C79" s="203"/>
      <c r="D79" s="15">
        <f t="shared" si="4"/>
        <v>3744</v>
      </c>
      <c r="E79" s="18">
        <f>IF(F3="1",SUMIF(Data!A:A,'35'!$A$2,Data!EK:EK),0)</f>
        <v>9000</v>
      </c>
      <c r="F79" s="22">
        <f t="shared" si="5"/>
        <v>2.4038461538461537</v>
      </c>
    </row>
    <row r="80" spans="1:6" ht="14.25" customHeight="1" x14ac:dyDescent="0.2">
      <c r="A80" s="20">
        <v>14</v>
      </c>
      <c r="B80" s="202" t="s">
        <v>449</v>
      </c>
      <c r="C80" s="203"/>
      <c r="D80" s="15">
        <f t="shared" si="4"/>
        <v>29376</v>
      </c>
      <c r="E80" s="18">
        <f>IF(F3="1",SUMIF(Data!A:A,'35'!$A$2,Data!EL:EL),0)</f>
        <v>215000</v>
      </c>
      <c r="F80" s="22">
        <f t="shared" si="5"/>
        <v>7.3188997821350759</v>
      </c>
    </row>
    <row r="81" spans="1:6" x14ac:dyDescent="0.2">
      <c r="A81" s="20">
        <v>15</v>
      </c>
      <c r="B81" s="202" t="s">
        <v>13</v>
      </c>
      <c r="C81" s="203"/>
      <c r="D81" s="15">
        <f t="shared" si="4"/>
        <v>0</v>
      </c>
      <c r="E81" s="18">
        <f>IF(F3="1",SUMIF(Data!A:A,'35'!$A$2,Data!EM:EM),0)</f>
        <v>0</v>
      </c>
      <c r="F81" s="22" t="str">
        <f t="shared" si="5"/>
        <v/>
      </c>
    </row>
    <row r="82" spans="1:6" x14ac:dyDescent="0.2">
      <c r="A82" s="20">
        <v>16</v>
      </c>
      <c r="B82" s="202" t="s">
        <v>14</v>
      </c>
      <c r="C82" s="203"/>
      <c r="D82" s="15">
        <f t="shared" si="4"/>
        <v>18149</v>
      </c>
      <c r="E82" s="18">
        <f>IF(F3="1",SUMIF(Data!A:A,'35'!$A$2,Data!EN:EN),0)</f>
        <v>25000</v>
      </c>
      <c r="F82" s="22">
        <f t="shared" si="5"/>
        <v>1.3774863628850074</v>
      </c>
    </row>
    <row r="83" spans="1:6" x14ac:dyDescent="0.2">
      <c r="A83" s="20">
        <v>17</v>
      </c>
      <c r="B83" s="202" t="s">
        <v>15</v>
      </c>
      <c r="C83" s="203"/>
      <c r="D83" s="15">
        <f t="shared" si="4"/>
        <v>0</v>
      </c>
      <c r="E83" s="18">
        <f>IF(F3="1",SUMIF(Data!A:A,'35'!$A$2,Data!EO:EO),0)</f>
        <v>0</v>
      </c>
      <c r="F83" s="22" t="str">
        <f t="shared" si="5"/>
        <v/>
      </c>
    </row>
    <row r="84" spans="1:6" x14ac:dyDescent="0.2">
      <c r="A84" s="20">
        <v>18</v>
      </c>
      <c r="B84" s="202" t="s">
        <v>16</v>
      </c>
      <c r="C84" s="203"/>
      <c r="D84" s="15">
        <f t="shared" si="4"/>
        <v>126320</v>
      </c>
      <c r="E84" s="18">
        <f>IF(F3="1",SUMIF(Data!A:A,'35'!$A$2,Data!EP:EP),0)</f>
        <v>259431</v>
      </c>
      <c r="F84" s="22">
        <f t="shared" si="5"/>
        <v>2.0537602913236226</v>
      </c>
    </row>
    <row r="85" spans="1:6" x14ac:dyDescent="0.2">
      <c r="A85" s="20">
        <v>19</v>
      </c>
      <c r="B85" s="202" t="s">
        <v>17</v>
      </c>
      <c r="C85" s="203"/>
      <c r="D85" s="15">
        <f t="shared" si="4"/>
        <v>37232</v>
      </c>
      <c r="E85" s="18">
        <f>IF(F3="1",SUMIF(Data!A:A,'35'!$A$2,Data!EQ:EQ),0)</f>
        <v>87000</v>
      </c>
      <c r="F85" s="22">
        <f t="shared" si="5"/>
        <v>2.3366996132359259</v>
      </c>
    </row>
    <row r="86" spans="1:6" x14ac:dyDescent="0.2">
      <c r="A86" s="20">
        <v>20</v>
      </c>
      <c r="B86" s="202" t="s">
        <v>18</v>
      </c>
      <c r="C86" s="203"/>
      <c r="D86" s="15">
        <f t="shared" si="4"/>
        <v>0</v>
      </c>
      <c r="E86" s="18">
        <f>IF(F3="1",SUMIF(Data!A:A,'35'!$A$2,Data!ER:ER),0)</f>
        <v>0</v>
      </c>
      <c r="F86" s="22" t="str">
        <f t="shared" si="5"/>
        <v/>
      </c>
    </row>
    <row r="87" spans="1:6" ht="14.25" customHeight="1" x14ac:dyDescent="0.2">
      <c r="A87" s="20">
        <v>21</v>
      </c>
      <c r="B87" s="202" t="s">
        <v>446</v>
      </c>
      <c r="C87" s="203"/>
      <c r="D87" s="15">
        <f t="shared" si="4"/>
        <v>2000</v>
      </c>
      <c r="E87" s="18">
        <f>IF(F3="1",SUMIF(Data!A:A,'35'!$A$2,Data!ES:ES),0)</f>
        <v>1500</v>
      </c>
      <c r="F87" s="22">
        <f t="shared" si="5"/>
        <v>0.75</v>
      </c>
    </row>
    <row r="88" spans="1:6" x14ac:dyDescent="0.2">
      <c r="A88" s="20">
        <v>22</v>
      </c>
      <c r="B88" s="202" t="s">
        <v>19</v>
      </c>
      <c r="C88" s="203"/>
      <c r="D88" s="15">
        <f t="shared" si="4"/>
        <v>0</v>
      </c>
      <c r="E88" s="18">
        <f>IF(F3="1",SUMIF(Data!A:A,'35'!$A$2,Data!ET:ET),0)</f>
        <v>0</v>
      </c>
      <c r="F88" s="22" t="str">
        <f t="shared" si="5"/>
        <v/>
      </c>
    </row>
    <row r="89" spans="1:6" x14ac:dyDescent="0.2">
      <c r="A89" s="20">
        <v>23</v>
      </c>
      <c r="B89" s="202" t="s">
        <v>20</v>
      </c>
      <c r="C89" s="203"/>
      <c r="D89" s="15">
        <f t="shared" si="4"/>
        <v>44320</v>
      </c>
      <c r="E89" s="18">
        <f>IF(F3="1",SUMIF(Data!A:A,'35'!$A$2,Data!EU:EU),0)</f>
        <v>474000</v>
      </c>
      <c r="F89" s="22">
        <f t="shared" si="5"/>
        <v>10.69494584837545</v>
      </c>
    </row>
    <row r="90" spans="1:6" x14ac:dyDescent="0.2">
      <c r="A90" s="20">
        <v>24</v>
      </c>
      <c r="B90" s="202" t="s">
        <v>21</v>
      </c>
      <c r="C90" s="203"/>
      <c r="D90" s="15">
        <f t="shared" si="4"/>
        <v>2736</v>
      </c>
      <c r="E90" s="18">
        <f>IF(F3="1",SUMIF(Data!A:A,'35'!$A$2,Data!EV:EV),0)</f>
        <v>1500</v>
      </c>
      <c r="F90" s="22">
        <f t="shared" si="5"/>
        <v>0.54824561403508776</v>
      </c>
    </row>
    <row r="91" spans="1:6" x14ac:dyDescent="0.2">
      <c r="A91" s="20">
        <v>25</v>
      </c>
      <c r="B91" s="202" t="s">
        <v>22</v>
      </c>
      <c r="C91" s="203"/>
      <c r="D91" s="15">
        <f t="shared" si="4"/>
        <v>124368</v>
      </c>
      <c r="E91" s="18">
        <f>IF(F3="1",SUMIF(Data!A:A,'35'!$A$2,Data!EW:EW),0)</f>
        <v>125000</v>
      </c>
      <c r="F91" s="22">
        <f t="shared" si="5"/>
        <v>1.0050816930400104</v>
      </c>
    </row>
    <row r="92" spans="1:6" x14ac:dyDescent="0.2">
      <c r="A92" s="20">
        <v>26</v>
      </c>
      <c r="B92" s="202" t="s">
        <v>23</v>
      </c>
      <c r="C92" s="203"/>
      <c r="D92" s="15">
        <f t="shared" si="4"/>
        <v>26976</v>
      </c>
      <c r="E92" s="18">
        <f>IF(F3="1",SUMIF(Data!A:A,'35'!$A$2,Data!EX:EX),0)</f>
        <v>65000</v>
      </c>
      <c r="F92" s="22">
        <f t="shared" si="5"/>
        <v>2.4095492289442468</v>
      </c>
    </row>
    <row r="93" spans="1:6" x14ac:dyDescent="0.2">
      <c r="A93" s="20">
        <v>28</v>
      </c>
      <c r="B93" s="202" t="s">
        <v>24</v>
      </c>
      <c r="C93" s="203"/>
      <c r="D93" s="15">
        <f t="shared" si="4"/>
        <v>31616</v>
      </c>
      <c r="E93" s="18">
        <f>IF(F3="1",SUMIF(Data!A:A,'35'!$A$2,Data!EZ:EZ),0)</f>
        <v>64675</v>
      </c>
      <c r="F93" s="22">
        <f t="shared" si="5"/>
        <v>2.0456414473684212</v>
      </c>
    </row>
    <row r="94" spans="1:6" ht="15.75" customHeight="1" thickBot="1" x14ac:dyDescent="0.25">
      <c r="A94" s="23">
        <v>29</v>
      </c>
      <c r="B94" s="206" t="s">
        <v>25</v>
      </c>
      <c r="C94" s="207"/>
      <c r="D94" s="24">
        <f t="shared" si="4"/>
        <v>47920</v>
      </c>
      <c r="E94" s="25">
        <f>IF(F3="1",SUMIF(Data!A:A,'35'!$A$2,Data!FA:FA),0)</f>
        <v>99030</v>
      </c>
      <c r="F94" s="26">
        <f t="shared" si="5"/>
        <v>2.0665692821368946</v>
      </c>
    </row>
    <row r="95" spans="1:6" x14ac:dyDescent="0.2">
      <c r="B95" s="31" t="s">
        <v>35</v>
      </c>
      <c r="C95" s="31"/>
      <c r="D95" s="60">
        <f>SUM(D67:D94)</f>
        <v>897605</v>
      </c>
      <c r="E95" s="32">
        <f>SUM(E67:E94)</f>
        <v>2141364</v>
      </c>
      <c r="F95" s="33">
        <f t="shared" si="5"/>
        <v>2.3856417912110559</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IF(F3="1",SUMIF(Data!A:A,'35'!$A$2,Data!AH:AH),0)</f>
        <v>867049</v>
      </c>
      <c r="F98" s="21">
        <f t="shared" ref="F98:F105" si="6">IFERROR(E98/$D$95,0)</f>
        <v>0.96595830014315875</v>
      </c>
    </row>
    <row r="99" spans="2:6" x14ac:dyDescent="0.2">
      <c r="B99" s="212" t="s">
        <v>31</v>
      </c>
      <c r="C99" s="213"/>
      <c r="D99" s="37"/>
      <c r="E99" s="18">
        <f>IF(F3="1",SUMIF(Data!A:A,'35'!$A$2,Data!AI:AI),0)</f>
        <v>311294</v>
      </c>
      <c r="F99" s="22">
        <f t="shared" si="6"/>
        <v>0.34680510915157559</v>
      </c>
    </row>
    <row r="100" spans="2:6" x14ac:dyDescent="0.2">
      <c r="B100" s="212" t="s">
        <v>32</v>
      </c>
      <c r="C100" s="213"/>
      <c r="D100" s="37"/>
      <c r="E100" s="18">
        <f>IF(F3="1",SUMIF(Data!A:A,'35'!$A$2,Data!AJ:AJ),0)</f>
        <v>424635</v>
      </c>
      <c r="F100" s="22">
        <f t="shared" si="6"/>
        <v>0.47307557333125372</v>
      </c>
    </row>
    <row r="101" spans="2:6" x14ac:dyDescent="0.2">
      <c r="B101" s="212" t="s">
        <v>28</v>
      </c>
      <c r="C101" s="213"/>
      <c r="D101" s="37"/>
      <c r="E101" s="18">
        <f>IF(F3="1",SUMIF(Data!A:A,'35'!$A$2,Data!AK:AK),0)</f>
        <v>0</v>
      </c>
      <c r="F101" s="22">
        <f t="shared" si="6"/>
        <v>0</v>
      </c>
    </row>
    <row r="102" spans="2:6" x14ac:dyDescent="0.2">
      <c r="B102" s="212" t="s">
        <v>33</v>
      </c>
      <c r="C102" s="213"/>
      <c r="D102" s="37"/>
      <c r="E102" s="18">
        <f>IF(F3="1",SUMIF(Data!A:A,'35'!$A$2,Data!AL:AL),0)</f>
        <v>0</v>
      </c>
      <c r="F102" s="22">
        <f t="shared" si="6"/>
        <v>0</v>
      </c>
    </row>
    <row r="103" spans="2:6" x14ac:dyDescent="0.2">
      <c r="B103" s="214" t="s">
        <v>34</v>
      </c>
      <c r="C103" s="215"/>
      <c r="D103" s="37"/>
      <c r="E103" s="18">
        <f>IF(F3="1",SUMIF(Data!A:A,'35'!$A$2,Data!AM:AM),0)</f>
        <v>0</v>
      </c>
      <c r="F103" s="22">
        <f t="shared" si="6"/>
        <v>0</v>
      </c>
    </row>
    <row r="104" spans="2:6" ht="15.75" customHeight="1" thickBot="1" x14ac:dyDescent="0.25">
      <c r="B104" s="208" t="s">
        <v>29</v>
      </c>
      <c r="C104" s="209"/>
      <c r="D104" s="38"/>
      <c r="E104" s="25">
        <f>IF(F3="1",SUMIF(Data!A:A,'35'!$A$2,Data!Q:Q),0)</f>
        <v>164859</v>
      </c>
      <c r="F104" s="26">
        <f t="shared" si="6"/>
        <v>0.1836654207585742</v>
      </c>
    </row>
    <row r="105" spans="2:6" x14ac:dyDescent="0.2">
      <c r="B105" s="31" t="s">
        <v>35</v>
      </c>
      <c r="C105" s="31"/>
      <c r="D105" s="35">
        <f>D95</f>
        <v>897605</v>
      </c>
      <c r="E105" s="32">
        <f>SUM(E98:E104)</f>
        <v>1767837</v>
      </c>
      <c r="F105" s="33">
        <f t="shared" si="6"/>
        <v>1.9695044033845623</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2141364</v>
      </c>
      <c r="D109" s="192">
        <f>IF(F3="1",SUMIF(Data!$A:$A,$A$2,Data!HJ:HJ),0)</f>
        <v>344126</v>
      </c>
      <c r="E109" s="192">
        <f>IF(F3="1",SUMIF(Data!$A:$A,$A$2,Data!IN:IN),0)</f>
        <v>325110</v>
      </c>
      <c r="F109" s="48">
        <f>SUM(C109:E109)</f>
        <v>2810600</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0</v>
      </c>
      <c r="D111" s="52"/>
      <c r="E111" s="193">
        <f>IF(F3="1",SUMIF(Data!A:A,$A$2,Data!AX:AX)-SUMIF(Data!A:A,$A$2,Data!AW:AW),0)</f>
        <v>0</v>
      </c>
      <c r="F111" s="49">
        <f t="shared" si="7"/>
        <v>0</v>
      </c>
    </row>
    <row r="112" spans="2:6" x14ac:dyDescent="0.2">
      <c r="B112" s="43" t="s">
        <v>32</v>
      </c>
      <c r="C112" s="193">
        <f>IF(F3="1",SUMIF(Data!A:A,$A$2,Data!V:V),0)</f>
        <v>330884</v>
      </c>
      <c r="D112" s="52"/>
      <c r="E112" s="193">
        <f>IF(F3="1",SUMIF(Data!A:A,$A$2,Data!AC:AC),0)</f>
        <v>93751</v>
      </c>
      <c r="F112" s="49">
        <f t="shared" si="7"/>
        <v>424635</v>
      </c>
    </row>
    <row r="113" spans="1:6" x14ac:dyDescent="0.2">
      <c r="B113" s="43" t="s">
        <v>31</v>
      </c>
      <c r="C113" s="193">
        <f>IF(F3="1",SUMIF(Data!A:A,$A$2,Data!U:U),0)</f>
        <v>270421</v>
      </c>
      <c r="D113" s="52"/>
      <c r="E113" s="193">
        <f>IF(F3="1",SUMIF(Data!A:A,$A$2,Data!AB:AB),0)</f>
        <v>40873</v>
      </c>
      <c r="F113" s="49">
        <f t="shared" si="7"/>
        <v>311294</v>
      </c>
    </row>
    <row r="114" spans="1:6" x14ac:dyDescent="0.2">
      <c r="B114" s="43" t="s">
        <v>1002</v>
      </c>
      <c r="C114" s="193">
        <f>IF(F3="1",SUMIF(Data!A:A,$A$2,Data!T:T),0)</f>
        <v>424552</v>
      </c>
      <c r="D114" s="52"/>
      <c r="E114" s="193">
        <f>IF(F3="1",SUMIF(Data!A:A,$A$2,Data!AA:AA),0)</f>
        <v>442497</v>
      </c>
      <c r="F114" s="49">
        <f t="shared" si="7"/>
        <v>867049</v>
      </c>
    </row>
    <row r="115" spans="1:6" x14ac:dyDescent="0.2">
      <c r="B115" s="43" t="s">
        <v>916</v>
      </c>
      <c r="C115" s="193">
        <f>IF(F3="1",SUMIF(Data!A:A,$A$2,Data!BI:BI),0)</f>
        <v>143857</v>
      </c>
      <c r="D115" s="193">
        <f>IF(F3="1",SUMIF(Data!A:A,$A$2,Data!BL:BL),0)</f>
        <v>565</v>
      </c>
      <c r="E115" s="193">
        <f>IF(F3="1",SUMIF(Data!A:A,$A$2,Data!BU:BU)-SUMIF(Data!A:A,$A$2,Data!BT:BT),0)</f>
        <v>476475</v>
      </c>
      <c r="F115" s="49">
        <f t="shared" si="7"/>
        <v>620897</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164859</v>
      </c>
      <c r="E117" s="53"/>
      <c r="F117" s="50">
        <f>SUM(C117:E117)</f>
        <v>164859</v>
      </c>
    </row>
    <row r="118" spans="1:6" x14ac:dyDescent="0.2">
      <c r="B118" s="14" t="s">
        <v>35</v>
      </c>
      <c r="C118" s="178">
        <f>SUM(C109:C117)</f>
        <v>3311078</v>
      </c>
      <c r="D118" s="194">
        <f>SUM(D109:D117)</f>
        <v>509550</v>
      </c>
      <c r="E118" s="178">
        <f>SUM(E109:E117)</f>
        <v>1378706</v>
      </c>
      <c r="F118" s="178">
        <f>SUM(F109:F117)</f>
        <v>5199334</v>
      </c>
    </row>
    <row r="119" spans="1:6" x14ac:dyDescent="0.2">
      <c r="C119" s="177"/>
      <c r="D119" s="177"/>
      <c r="E119" s="177"/>
    </row>
    <row r="120" spans="1:6" ht="15" thickBot="1" x14ac:dyDescent="0.25">
      <c r="B120" s="188" t="s">
        <v>921</v>
      </c>
      <c r="C120" s="53"/>
      <c r="D120" s="53"/>
      <c r="E120" s="195">
        <f>IF(F3="1",SUMIF(Data!A:A,$A$2,Data!AF:AF)+SUMIF(Data!A:A,$A$2,Data!AW:AW)+SUMIF(Data!A:A,$A$2,Data!BT:BT),0)</f>
        <v>49737</v>
      </c>
      <c r="F120" s="181">
        <f>SUM(C120:E120)</f>
        <v>49737</v>
      </c>
    </row>
    <row r="121" spans="1:6" s="177" customFormat="1" x14ac:dyDescent="0.2">
      <c r="B121" s="14" t="s">
        <v>35</v>
      </c>
      <c r="C121" s="178">
        <f>SUM(C120:C120)</f>
        <v>0</v>
      </c>
      <c r="D121" s="178">
        <f>SUM(D120:D120)</f>
        <v>0</v>
      </c>
      <c r="E121" s="178">
        <f>SUM(E120:E120)</f>
        <v>49737</v>
      </c>
      <c r="F121" s="178">
        <f>SUM(F120:F120)</f>
        <v>49737</v>
      </c>
    </row>
    <row r="122" spans="1:6" s="177" customFormat="1" ht="15" thickBot="1" x14ac:dyDescent="0.25">
      <c r="B122" s="14" t="s">
        <v>1396</v>
      </c>
      <c r="C122" s="178"/>
      <c r="D122" s="178"/>
      <c r="E122" s="178"/>
      <c r="F122" s="190">
        <f>F118+F121</f>
        <v>5249071</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9.28515625" style="58" bestFit="1"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392</v>
      </c>
      <c r="B2" s="59" t="str">
        <f>VLOOKUP(A2,Data!A:G,7,0)</f>
        <v>San Jacinto College District</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17136</v>
      </c>
      <c r="E5" s="16">
        <f>E36+E67+IFERROR($E$105/$D$105*D5,0)</f>
        <v>78742.508919792148</v>
      </c>
      <c r="F5" s="21">
        <f>IFERROR(E5/D5,"")</f>
        <v>4.5951510807535101</v>
      </c>
    </row>
    <row r="6" spans="1:6" x14ac:dyDescent="0.2">
      <c r="A6" s="20">
        <v>2</v>
      </c>
      <c r="B6" s="202" t="s">
        <v>1</v>
      </c>
      <c r="C6" s="203"/>
      <c r="D6" s="15">
        <f t="shared" ref="D6:D32" si="0">D37</f>
        <v>273242</v>
      </c>
      <c r="E6" s="18">
        <f t="shared" ref="E6:E32" si="1">E37+E68+IFERROR($E$105/$D$105*D6,0)</f>
        <v>2090681.6897911909</v>
      </c>
      <c r="F6" s="22">
        <f t="shared" ref="F6:F33" si="2">IFERROR(E6/D6,"")</f>
        <v>7.6513921351446372</v>
      </c>
    </row>
    <row r="7" spans="1:6" ht="14.25" customHeight="1" x14ac:dyDescent="0.2">
      <c r="A7" s="20">
        <v>3</v>
      </c>
      <c r="B7" s="202" t="s">
        <v>2</v>
      </c>
      <c r="C7" s="203"/>
      <c r="D7" s="15">
        <f t="shared" si="0"/>
        <v>1739016</v>
      </c>
      <c r="E7" s="18">
        <f t="shared" si="1"/>
        <v>12588101.172015714</v>
      </c>
      <c r="F7" s="22">
        <f t="shared" si="2"/>
        <v>7.2386344760575598</v>
      </c>
    </row>
    <row r="8" spans="1:6" ht="14.25" customHeight="1" x14ac:dyDescent="0.2">
      <c r="A8" s="20">
        <v>4</v>
      </c>
      <c r="B8" s="202" t="s">
        <v>3</v>
      </c>
      <c r="C8" s="203"/>
      <c r="D8" s="15">
        <f t="shared" si="0"/>
        <v>784093</v>
      </c>
      <c r="E8" s="18">
        <f t="shared" si="1"/>
        <v>5673637.7309434284</v>
      </c>
      <c r="F8" s="22">
        <f t="shared" si="2"/>
        <v>7.2359244769988109</v>
      </c>
    </row>
    <row r="9" spans="1:6" x14ac:dyDescent="0.2">
      <c r="A9" s="20">
        <v>5</v>
      </c>
      <c r="B9" s="202" t="s">
        <v>4</v>
      </c>
      <c r="C9" s="203"/>
      <c r="D9" s="15">
        <f t="shared" si="0"/>
        <v>35936</v>
      </c>
      <c r="E9" s="18">
        <f t="shared" si="1"/>
        <v>837756.14382245857</v>
      </c>
      <c r="F9" s="22">
        <f t="shared" si="2"/>
        <v>23.312448347686402</v>
      </c>
    </row>
    <row r="10" spans="1:6" x14ac:dyDescent="0.2">
      <c r="A10" s="20">
        <v>6</v>
      </c>
      <c r="B10" s="202" t="s">
        <v>5</v>
      </c>
      <c r="C10" s="203"/>
      <c r="D10" s="15">
        <f t="shared" si="0"/>
        <v>94520</v>
      </c>
      <c r="E10" s="18">
        <f t="shared" si="1"/>
        <v>704761.33888298052</v>
      </c>
      <c r="F10" s="22">
        <f t="shared" si="2"/>
        <v>7.4562139111614529</v>
      </c>
    </row>
    <row r="11" spans="1:6" x14ac:dyDescent="0.2">
      <c r="A11" s="20">
        <v>7</v>
      </c>
      <c r="B11" s="202" t="s">
        <v>6</v>
      </c>
      <c r="C11" s="203"/>
      <c r="D11" s="15">
        <f t="shared" si="0"/>
        <v>239837</v>
      </c>
      <c r="E11" s="18">
        <f t="shared" si="1"/>
        <v>2260085.9863910009</v>
      </c>
      <c r="F11" s="22">
        <f t="shared" si="2"/>
        <v>9.4234250194548839</v>
      </c>
    </row>
    <row r="12" spans="1:6" x14ac:dyDescent="0.2">
      <c r="A12" s="20">
        <v>8</v>
      </c>
      <c r="B12" s="202" t="s">
        <v>7</v>
      </c>
      <c r="C12" s="203"/>
      <c r="D12" s="15">
        <f t="shared" si="0"/>
        <v>76424</v>
      </c>
      <c r="E12" s="18">
        <f t="shared" si="1"/>
        <v>380781.21881922241</v>
      </c>
      <c r="F12" s="22">
        <f t="shared" si="2"/>
        <v>4.9824821890927247</v>
      </c>
    </row>
    <row r="13" spans="1:6" x14ac:dyDescent="0.2">
      <c r="A13" s="20">
        <v>9</v>
      </c>
      <c r="B13" s="202" t="s">
        <v>8</v>
      </c>
      <c r="C13" s="203"/>
      <c r="D13" s="15">
        <f t="shared" si="0"/>
        <v>809646</v>
      </c>
      <c r="E13" s="18">
        <f t="shared" si="1"/>
        <v>7715015.6523619303</v>
      </c>
      <c r="F13" s="22">
        <f t="shared" si="2"/>
        <v>9.5288751532915992</v>
      </c>
    </row>
    <row r="14" spans="1:6" x14ac:dyDescent="0.2">
      <c r="A14" s="20">
        <v>10</v>
      </c>
      <c r="B14" s="202" t="s">
        <v>9</v>
      </c>
      <c r="C14" s="203"/>
      <c r="D14" s="15">
        <f t="shared" si="0"/>
        <v>608</v>
      </c>
      <c r="E14" s="18">
        <f t="shared" si="1"/>
        <v>793724.85372451181</v>
      </c>
      <c r="F14" s="22">
        <f t="shared" si="2"/>
        <v>1305.4685094153156</v>
      </c>
    </row>
    <row r="15" spans="1:6" x14ac:dyDescent="0.2">
      <c r="A15" s="20">
        <v>11</v>
      </c>
      <c r="B15" s="202" t="s">
        <v>10</v>
      </c>
      <c r="C15" s="203"/>
      <c r="D15" s="15">
        <f t="shared" si="0"/>
        <v>347222</v>
      </c>
      <c r="E15" s="18">
        <f t="shared" si="1"/>
        <v>2779129.0360730668</v>
      </c>
      <c r="F15" s="22">
        <f t="shared" si="2"/>
        <v>8.0038967463843491</v>
      </c>
    </row>
    <row r="16" spans="1:6" ht="14.25" customHeight="1" x14ac:dyDescent="0.2">
      <c r="A16" s="20">
        <v>12</v>
      </c>
      <c r="B16" s="202" t="s">
        <v>11</v>
      </c>
      <c r="C16" s="203"/>
      <c r="D16" s="15">
        <f t="shared" si="0"/>
        <v>1280448</v>
      </c>
      <c r="E16" s="18">
        <f t="shared" si="1"/>
        <v>9810134.9438217804</v>
      </c>
      <c r="F16" s="22">
        <f t="shared" si="2"/>
        <v>7.6614864046191489</v>
      </c>
    </row>
    <row r="17" spans="1:6" x14ac:dyDescent="0.2">
      <c r="A17" s="20">
        <v>13</v>
      </c>
      <c r="B17" s="202" t="s">
        <v>12</v>
      </c>
      <c r="C17" s="203"/>
      <c r="D17" s="15">
        <f t="shared" si="0"/>
        <v>170384</v>
      </c>
      <c r="E17" s="18">
        <f t="shared" si="1"/>
        <v>1328006.5345348895</v>
      </c>
      <c r="F17" s="22">
        <f t="shared" si="2"/>
        <v>7.7941974277801291</v>
      </c>
    </row>
    <row r="18" spans="1:6" ht="14.25" customHeight="1" x14ac:dyDescent="0.2">
      <c r="A18" s="20">
        <v>14</v>
      </c>
      <c r="B18" s="202" t="s">
        <v>449</v>
      </c>
      <c r="C18" s="203"/>
      <c r="D18" s="15">
        <f t="shared" si="0"/>
        <v>361684</v>
      </c>
      <c r="E18" s="18">
        <f t="shared" si="1"/>
        <v>4165933.7343689371</v>
      </c>
      <c r="F18" s="22">
        <f t="shared" si="2"/>
        <v>11.518158763918054</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738506</v>
      </c>
      <c r="E20" s="18">
        <f t="shared" si="1"/>
        <v>8103992.2807142865</v>
      </c>
      <c r="F20" s="22">
        <f t="shared" si="2"/>
        <v>10.973495517591308</v>
      </c>
    </row>
    <row r="21" spans="1:6" x14ac:dyDescent="0.2">
      <c r="A21" s="20">
        <v>17</v>
      </c>
      <c r="B21" s="202" t="s">
        <v>15</v>
      </c>
      <c r="C21" s="203"/>
      <c r="D21" s="15">
        <f t="shared" si="0"/>
        <v>58512</v>
      </c>
      <c r="E21" s="18">
        <f t="shared" si="1"/>
        <v>680284.44922472443</v>
      </c>
      <c r="F21" s="22">
        <f t="shared" si="2"/>
        <v>11.626409099410795</v>
      </c>
    </row>
    <row r="22" spans="1:6" x14ac:dyDescent="0.2">
      <c r="A22" s="20">
        <v>18</v>
      </c>
      <c r="B22" s="202" t="s">
        <v>16</v>
      </c>
      <c r="C22" s="203"/>
      <c r="D22" s="15">
        <f t="shared" si="0"/>
        <v>293840</v>
      </c>
      <c r="E22" s="18">
        <f t="shared" si="1"/>
        <v>3315588.7276489101</v>
      </c>
      <c r="F22" s="22">
        <f t="shared" si="2"/>
        <v>11.28365344285635</v>
      </c>
    </row>
    <row r="23" spans="1:6" x14ac:dyDescent="0.2">
      <c r="A23" s="20">
        <v>19</v>
      </c>
      <c r="B23" s="202" t="s">
        <v>17</v>
      </c>
      <c r="C23" s="203"/>
      <c r="D23" s="15">
        <f t="shared" si="0"/>
        <v>767120</v>
      </c>
      <c r="E23" s="18">
        <f t="shared" si="1"/>
        <v>6213044.0216241218</v>
      </c>
      <c r="F23" s="22">
        <f t="shared" si="2"/>
        <v>8.0991813818230813</v>
      </c>
    </row>
    <row r="24" spans="1:6" x14ac:dyDescent="0.2">
      <c r="A24" s="20">
        <v>20</v>
      </c>
      <c r="B24" s="202" t="s">
        <v>18</v>
      </c>
      <c r="C24" s="203"/>
      <c r="D24" s="15">
        <f t="shared" si="0"/>
        <v>283368</v>
      </c>
      <c r="E24" s="18">
        <f t="shared" si="1"/>
        <v>3074685.6944201486</v>
      </c>
      <c r="F24" s="22">
        <f t="shared" si="2"/>
        <v>10.850504271548477</v>
      </c>
    </row>
    <row r="25" spans="1:6" ht="14.25" customHeight="1" x14ac:dyDescent="0.2">
      <c r="A25" s="20">
        <v>21</v>
      </c>
      <c r="B25" s="202" t="s">
        <v>446</v>
      </c>
      <c r="C25" s="203"/>
      <c r="D25" s="15">
        <f t="shared" si="0"/>
        <v>94876</v>
      </c>
      <c r="E25" s="18">
        <f t="shared" si="1"/>
        <v>924139.58218220121</v>
      </c>
      <c r="F25" s="22">
        <f t="shared" si="2"/>
        <v>9.7404989900733714</v>
      </c>
    </row>
    <row r="26" spans="1:6" x14ac:dyDescent="0.2">
      <c r="A26" s="20">
        <v>22</v>
      </c>
      <c r="B26" s="202" t="s">
        <v>19</v>
      </c>
      <c r="C26" s="203"/>
      <c r="D26" s="15">
        <f t="shared" si="0"/>
        <v>12768</v>
      </c>
      <c r="E26" s="18">
        <f t="shared" si="1"/>
        <v>83025.928214747095</v>
      </c>
      <c r="F26" s="22">
        <f t="shared" si="2"/>
        <v>6.5026572849895912</v>
      </c>
    </row>
    <row r="27" spans="1:6" x14ac:dyDescent="0.2">
      <c r="A27" s="20">
        <v>23</v>
      </c>
      <c r="B27" s="202" t="s">
        <v>20</v>
      </c>
      <c r="C27" s="203"/>
      <c r="D27" s="15">
        <f t="shared" si="0"/>
        <v>530784</v>
      </c>
      <c r="E27" s="18">
        <f t="shared" si="1"/>
        <v>4478494.3014987726</v>
      </c>
      <c r="F27" s="22">
        <f t="shared" si="2"/>
        <v>8.437508104047545</v>
      </c>
    </row>
    <row r="28" spans="1:6" x14ac:dyDescent="0.2">
      <c r="A28" s="20">
        <v>24</v>
      </c>
      <c r="B28" s="202" t="s">
        <v>21</v>
      </c>
      <c r="C28" s="203"/>
      <c r="D28" s="15">
        <f t="shared" si="0"/>
        <v>153840</v>
      </c>
      <c r="E28" s="18">
        <f t="shared" si="1"/>
        <v>1441713.935820543</v>
      </c>
      <c r="F28" s="22">
        <f t="shared" si="2"/>
        <v>9.3715154434512673</v>
      </c>
    </row>
    <row r="29" spans="1:6" x14ac:dyDescent="0.2">
      <c r="A29" s="20">
        <v>25</v>
      </c>
      <c r="B29" s="202" t="s">
        <v>22</v>
      </c>
      <c r="C29" s="203"/>
      <c r="D29" s="15">
        <f t="shared" si="0"/>
        <v>1867872</v>
      </c>
      <c r="E29" s="18">
        <f t="shared" si="1"/>
        <v>14411791.302814543</v>
      </c>
      <c r="F29" s="22">
        <f t="shared" si="2"/>
        <v>7.7156203973369388</v>
      </c>
    </row>
    <row r="30" spans="1:6" x14ac:dyDescent="0.2">
      <c r="A30" s="20">
        <v>26</v>
      </c>
      <c r="B30" s="202" t="s">
        <v>23</v>
      </c>
      <c r="C30" s="203"/>
      <c r="D30" s="15">
        <f t="shared" si="0"/>
        <v>635288</v>
      </c>
      <c r="E30" s="18">
        <f t="shared" si="1"/>
        <v>6318045.3962789979</v>
      </c>
      <c r="F30" s="22">
        <f t="shared" si="2"/>
        <v>9.9451672253828161</v>
      </c>
    </row>
    <row r="31" spans="1:6" x14ac:dyDescent="0.2">
      <c r="A31" s="20">
        <v>28</v>
      </c>
      <c r="B31" s="202" t="s">
        <v>24</v>
      </c>
      <c r="C31" s="203"/>
      <c r="D31" s="15">
        <f t="shared" si="0"/>
        <v>613088</v>
      </c>
      <c r="E31" s="18">
        <f t="shared" si="1"/>
        <v>4965510.7635747865</v>
      </c>
      <c r="F31" s="22">
        <f t="shared" si="2"/>
        <v>8.0991811348041178</v>
      </c>
    </row>
    <row r="32" spans="1:6" ht="15.75" customHeight="1" thickBot="1" x14ac:dyDescent="0.25">
      <c r="A32" s="23">
        <v>29</v>
      </c>
      <c r="B32" s="206" t="s">
        <v>25</v>
      </c>
      <c r="C32" s="207"/>
      <c r="D32" s="24">
        <f t="shared" si="0"/>
        <v>682688</v>
      </c>
      <c r="E32" s="25">
        <f t="shared" si="1"/>
        <v>5230404.0715123173</v>
      </c>
      <c r="F32" s="26">
        <f t="shared" si="2"/>
        <v>7.6614852927139738</v>
      </c>
    </row>
    <row r="33" spans="1:6" x14ac:dyDescent="0.2">
      <c r="B33" s="31" t="s">
        <v>35</v>
      </c>
      <c r="C33" s="31"/>
      <c r="D33" s="60">
        <f>SUM(D5:D32)</f>
        <v>12962746</v>
      </c>
      <c r="E33" s="32">
        <f>SUM(E5:E32)</f>
        <v>110447212.99999997</v>
      </c>
      <c r="F33" s="33">
        <f t="shared" si="2"/>
        <v>8.5203561807043027</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IF(F3="1",SUMIF(Data!A:A,'36'!$A$2,Data!CU:CU),0)</f>
        <v>17136</v>
      </c>
      <c r="E36" s="16">
        <f>IF(F3="1",SUMIF(Data!$A:$A,'36'!$A$2,Data!IO:IO),0)</f>
        <v>821</v>
      </c>
      <c r="F36" s="21">
        <f t="shared" ref="F36:F64" si="3">IFERROR(E36/D36,"")</f>
        <v>4.7910830999066296E-2</v>
      </c>
    </row>
    <row r="37" spans="1:6" x14ac:dyDescent="0.2">
      <c r="A37" s="20">
        <v>2</v>
      </c>
      <c r="B37" s="202" t="s">
        <v>1</v>
      </c>
      <c r="C37" s="203"/>
      <c r="D37" s="15">
        <f>IF(F3="1",SUMIF(Data!A:A,'36'!$A$2,Data!CV:CV),0)</f>
        <v>273242</v>
      </c>
      <c r="E37" s="18">
        <f>IF(F3="1",SUMIF(Data!$A:$A,'36'!$A$2,Data!IP:IP),0)</f>
        <v>341212</v>
      </c>
      <c r="F37" s="22">
        <f t="shared" si="3"/>
        <v>1.2487538518968533</v>
      </c>
    </row>
    <row r="38" spans="1:6" ht="14.25" customHeight="1" x14ac:dyDescent="0.2">
      <c r="A38" s="20">
        <v>3</v>
      </c>
      <c r="B38" s="202" t="s">
        <v>2</v>
      </c>
      <c r="C38" s="203"/>
      <c r="D38" s="15">
        <f>IF(F3="1",SUMIF(Data!A:A,'36'!$A$2,Data!CW:CW),0)</f>
        <v>1739016</v>
      </c>
      <c r="E38" s="18">
        <f>IF(F3="1",SUMIF(Data!$A:$A,'36'!$A$2,Data!IQ:IQ),0)</f>
        <v>1176736</v>
      </c>
      <c r="F38" s="22">
        <f t="shared" si="3"/>
        <v>0.67666772473628767</v>
      </c>
    </row>
    <row r="39" spans="1:6" ht="14.25" customHeight="1" x14ac:dyDescent="0.2">
      <c r="A39" s="20">
        <v>4</v>
      </c>
      <c r="B39" s="202" t="s">
        <v>3</v>
      </c>
      <c r="C39" s="203"/>
      <c r="D39" s="15">
        <f>IF(F3="1",SUMIF(Data!A:A,'36'!$A$2,Data!CX:CX),0)</f>
        <v>784093</v>
      </c>
      <c r="E39" s="18">
        <f>IF(F3="1",SUMIF(Data!$A:$A,'36'!$A$2,Data!IR:IR),0)</f>
        <v>491026</v>
      </c>
      <c r="F39" s="22">
        <f t="shared" si="3"/>
        <v>0.62623438801264641</v>
      </c>
    </row>
    <row r="40" spans="1:6" x14ac:dyDescent="0.2">
      <c r="A40" s="20">
        <v>5</v>
      </c>
      <c r="B40" s="202" t="s">
        <v>4</v>
      </c>
      <c r="C40" s="203"/>
      <c r="D40" s="15">
        <f>IF(F3="1",SUMIF(Data!A:A,'36'!$A$2,Data!CY:CY),0)</f>
        <v>35936</v>
      </c>
      <c r="E40" s="18">
        <f>IF(F3="1",SUMIF(Data!$A:$A,'36'!$A$2,Data!IS:IS),0)</f>
        <v>529327</v>
      </c>
      <c r="F40" s="22">
        <f t="shared" si="3"/>
        <v>14.72971393588602</v>
      </c>
    </row>
    <row r="41" spans="1:6" x14ac:dyDescent="0.2">
      <c r="A41" s="20">
        <v>6</v>
      </c>
      <c r="B41" s="202" t="s">
        <v>5</v>
      </c>
      <c r="C41" s="203"/>
      <c r="D41" s="15">
        <f>IF(F3="1",SUMIF(Data!A:A,'36'!$A$2,Data!CZ:CZ),0)</f>
        <v>94520</v>
      </c>
      <c r="E41" s="18">
        <f>IF(F3="1",SUMIF(Data!$A:$A,'36'!$A$2,Data!IT:IT),0)</f>
        <v>85169</v>
      </c>
      <c r="F41" s="22">
        <f t="shared" si="3"/>
        <v>0.90106855691917054</v>
      </c>
    </row>
    <row r="42" spans="1:6" x14ac:dyDescent="0.2">
      <c r="A42" s="20">
        <v>7</v>
      </c>
      <c r="B42" s="202" t="s">
        <v>6</v>
      </c>
      <c r="C42" s="203"/>
      <c r="D42" s="15">
        <f>IF(F3="1",SUMIF(Data!A:A,'36'!$A$2,Data!DA:DA),0)</f>
        <v>239837</v>
      </c>
      <c r="E42" s="18">
        <f>IF(F3="1",SUMIF(Data!$A:$A,'36'!$A$2,Data!IU:IU),0)</f>
        <v>217574</v>
      </c>
      <c r="F42" s="22">
        <f t="shared" si="3"/>
        <v>0.9071744559846896</v>
      </c>
    </row>
    <row r="43" spans="1:6" x14ac:dyDescent="0.2">
      <c r="A43" s="20">
        <v>8</v>
      </c>
      <c r="B43" s="202" t="s">
        <v>7</v>
      </c>
      <c r="C43" s="203"/>
      <c r="D43" s="15">
        <f>IF(F3="1",SUMIF(Data!A:A,'36'!$A$2,Data!DB:DB),0)</f>
        <v>76424</v>
      </c>
      <c r="E43" s="18">
        <f>IF(F3="1",SUMIF(Data!$A:$A,'36'!$A$2,Data!IV:IV),0)</f>
        <v>47334</v>
      </c>
      <c r="F43" s="22">
        <f t="shared" si="3"/>
        <v>0.61936041034230083</v>
      </c>
    </row>
    <row r="44" spans="1:6" x14ac:dyDescent="0.2">
      <c r="A44" s="20">
        <v>9</v>
      </c>
      <c r="B44" s="202" t="s">
        <v>8</v>
      </c>
      <c r="C44" s="203"/>
      <c r="D44" s="15">
        <f>IF(F3="1",SUMIF(Data!A:A,'36'!$A$2,Data!DC:DC),0)</f>
        <v>809646</v>
      </c>
      <c r="E44" s="18">
        <f>IF(F3="1",SUMIF(Data!$A:$A,'36'!$A$2,Data!IW:IW),0)</f>
        <v>1711237</v>
      </c>
      <c r="F44" s="22">
        <f t="shared" si="3"/>
        <v>2.1135619764687283</v>
      </c>
    </row>
    <row r="45" spans="1:6" x14ac:dyDescent="0.2">
      <c r="A45" s="20">
        <v>10</v>
      </c>
      <c r="B45" s="202" t="s">
        <v>9</v>
      </c>
      <c r="C45" s="203"/>
      <c r="D45" s="15">
        <f>IF(F3="1",SUMIF(Data!A:A,'36'!$A$2,Data!DD:DD),0)</f>
        <v>608</v>
      </c>
      <c r="E45" s="18">
        <f>IF(F3="1",SUMIF(Data!$A:$A,'36'!$A$2,Data!IX:IX),0)</f>
        <v>147350</v>
      </c>
      <c r="F45" s="22">
        <f t="shared" si="3"/>
        <v>242.35197368421052</v>
      </c>
    </row>
    <row r="46" spans="1:6" x14ac:dyDescent="0.2">
      <c r="A46" s="20">
        <v>11</v>
      </c>
      <c r="B46" s="202" t="s">
        <v>10</v>
      </c>
      <c r="C46" s="203"/>
      <c r="D46" s="15">
        <f>IF(F3="1",SUMIF(Data!A:A,'36'!$A$2,Data!DE:DE),0)</f>
        <v>347222</v>
      </c>
      <c r="E46" s="18">
        <f>IF(F3="1",SUMIF(Data!$A:$A,'36'!$A$2,Data!IY:IY),0)</f>
        <v>436829</v>
      </c>
      <c r="F46" s="22">
        <f t="shared" si="3"/>
        <v>1.2580683251637281</v>
      </c>
    </row>
    <row r="47" spans="1:6" ht="14.25" customHeight="1" x14ac:dyDescent="0.2">
      <c r="A47" s="20">
        <v>12</v>
      </c>
      <c r="B47" s="202" t="s">
        <v>11</v>
      </c>
      <c r="C47" s="203"/>
      <c r="D47" s="15">
        <f>IF(F3="1",SUMIF(Data!A:A,'36'!$A$2,Data!DF:DF),0)</f>
        <v>1280448</v>
      </c>
      <c r="E47" s="18">
        <f>IF(F3="1",SUMIF(Data!$A:$A,'36'!$A$2,Data!IZ:IZ),0)</f>
        <v>585862</v>
      </c>
      <c r="F47" s="22">
        <f t="shared" si="3"/>
        <v>0.45754454690858198</v>
      </c>
    </row>
    <row r="48" spans="1:6" x14ac:dyDescent="0.2">
      <c r="A48" s="20">
        <v>13</v>
      </c>
      <c r="B48" s="202" t="s">
        <v>12</v>
      </c>
      <c r="C48" s="203"/>
      <c r="D48" s="15">
        <f>IF(F3="1",SUMIF(Data!A:A,'36'!$A$2,Data!DG:DG),0)</f>
        <v>170384</v>
      </c>
      <c r="E48" s="18">
        <f>IF(F3="1",SUMIF(Data!$A:$A,'36'!$A$2,Data!JA:JA),0)</f>
        <v>72504</v>
      </c>
      <c r="F48" s="22">
        <f t="shared" si="3"/>
        <v>0.42553291388862802</v>
      </c>
    </row>
    <row r="49" spans="1:6" ht="14.25" customHeight="1" x14ac:dyDescent="0.2">
      <c r="A49" s="20">
        <v>14</v>
      </c>
      <c r="B49" s="202" t="s">
        <v>449</v>
      </c>
      <c r="C49" s="203"/>
      <c r="D49" s="15">
        <f>IF(F3="1",SUMIF(Data!A:A,'36'!$A$2,Data!DH:DH),0)</f>
        <v>361684</v>
      </c>
      <c r="E49" s="18">
        <f>IF(F3="1",SUMIF(Data!$A:$A,'36'!$A$2,Data!JB:JB),0)</f>
        <v>607922</v>
      </c>
      <c r="F49" s="22">
        <f t="shared" si="3"/>
        <v>1.6808097676424725</v>
      </c>
    </row>
    <row r="50" spans="1:6" x14ac:dyDescent="0.2">
      <c r="A50" s="20">
        <v>15</v>
      </c>
      <c r="B50" s="202" t="s">
        <v>13</v>
      </c>
      <c r="C50" s="203"/>
      <c r="D50" s="15">
        <f>IF(F3="1",SUMIF(Data!A:A,'36'!$A$2,Data!DI:DI),0)</f>
        <v>0</v>
      </c>
      <c r="E50" s="18">
        <f>IF(F3="1",SUMIF(Data!$A:$A,'36'!$A$2,Data!JC:JC),0)</f>
        <v>0</v>
      </c>
      <c r="F50" s="22" t="str">
        <f t="shared" si="3"/>
        <v/>
      </c>
    </row>
    <row r="51" spans="1:6" x14ac:dyDescent="0.2">
      <c r="A51" s="20">
        <v>16</v>
      </c>
      <c r="B51" s="202" t="s">
        <v>14</v>
      </c>
      <c r="C51" s="203"/>
      <c r="D51" s="15">
        <f>IF(F3="1",SUMIF(Data!A:A,'36'!$A$2,Data!DJ:DJ),0)</f>
        <v>738506</v>
      </c>
      <c r="E51" s="18">
        <f>IF(F3="1",SUMIF(Data!$A:$A,'36'!$A$2,Data!JD:JD),0)</f>
        <v>1083539</v>
      </c>
      <c r="F51" s="22">
        <f t="shared" si="3"/>
        <v>1.467204057922346</v>
      </c>
    </row>
    <row r="52" spans="1:6" x14ac:dyDescent="0.2">
      <c r="A52" s="20">
        <v>17</v>
      </c>
      <c r="B52" s="202" t="s">
        <v>15</v>
      </c>
      <c r="C52" s="203"/>
      <c r="D52" s="15">
        <f>IF(F3="1",SUMIF(Data!A:A,'36'!$A$2,Data!DK:DK),0)</f>
        <v>58512</v>
      </c>
      <c r="E52" s="18">
        <f>IF(F3="1",SUMIF(Data!$A:$A,'36'!$A$2,Data!JE:JE),0)</f>
        <v>63861</v>
      </c>
      <c r="F52" s="22">
        <f t="shared" si="3"/>
        <v>1.0914171452009844</v>
      </c>
    </row>
    <row r="53" spans="1:6" x14ac:dyDescent="0.2">
      <c r="A53" s="20">
        <v>18</v>
      </c>
      <c r="B53" s="202" t="s">
        <v>16</v>
      </c>
      <c r="C53" s="203"/>
      <c r="D53" s="15">
        <f>IF(F3="1",SUMIF(Data!A:A,'36'!$A$2,Data!DL:DL),0)</f>
        <v>293840</v>
      </c>
      <c r="E53" s="18">
        <f>IF(F3="1",SUMIF(Data!$A:$A,'36'!$A$2,Data!JF:JF),0)</f>
        <v>349562</v>
      </c>
      <c r="F53" s="22">
        <f t="shared" si="3"/>
        <v>1.1896338143207188</v>
      </c>
    </row>
    <row r="54" spans="1:6" x14ac:dyDescent="0.2">
      <c r="A54" s="20">
        <v>19</v>
      </c>
      <c r="B54" s="202" t="s">
        <v>17</v>
      </c>
      <c r="C54" s="203"/>
      <c r="D54" s="15">
        <f>IF(F3="1",SUMIF(Data!A:A,'36'!$A$2,Data!DM:DM),0)</f>
        <v>767120</v>
      </c>
      <c r="E54" s="18">
        <f>IF(F3="1",SUMIF(Data!$A:$A,'36'!$A$2,Data!JG:JG),0)</f>
        <v>436768</v>
      </c>
      <c r="F54" s="22">
        <f t="shared" si="3"/>
        <v>0.56936072583168218</v>
      </c>
    </row>
    <row r="55" spans="1:6" x14ac:dyDescent="0.2">
      <c r="A55" s="20">
        <v>20</v>
      </c>
      <c r="B55" s="202" t="s">
        <v>18</v>
      </c>
      <c r="C55" s="203"/>
      <c r="D55" s="15">
        <f>IF(F3="1",SUMIF(Data!A:A,'36'!$A$2,Data!DN:DN),0)</f>
        <v>283368</v>
      </c>
      <c r="E55" s="18">
        <f>IF(F3="1",SUMIF(Data!$A:$A,'36'!$A$2,Data!JH:JH),0)</f>
        <v>475754</v>
      </c>
      <c r="F55" s="22">
        <f t="shared" si="3"/>
        <v>1.6789263431297818</v>
      </c>
    </row>
    <row r="56" spans="1:6" ht="14.25" customHeight="1" x14ac:dyDescent="0.2">
      <c r="A56" s="20">
        <v>21</v>
      </c>
      <c r="B56" s="202" t="s">
        <v>446</v>
      </c>
      <c r="C56" s="203"/>
      <c r="D56" s="15">
        <f>IF(F3="1",SUMIF(Data!A:A,'36'!$A$2,Data!DO:DO),0)</f>
        <v>94876</v>
      </c>
      <c r="E56" s="18">
        <f>IF(F3="1",SUMIF(Data!$A:$A,'36'!$A$2,Data!JI:JI),0)</f>
        <v>216945</v>
      </c>
      <c r="F56" s="22">
        <f t="shared" si="3"/>
        <v>2.2866162148488551</v>
      </c>
    </row>
    <row r="57" spans="1:6" x14ac:dyDescent="0.2">
      <c r="A57" s="20">
        <v>22</v>
      </c>
      <c r="B57" s="202" t="s">
        <v>19</v>
      </c>
      <c r="C57" s="203"/>
      <c r="D57" s="15">
        <f>IF(F3="1",SUMIF(Data!A:A,'36'!$A$2,Data!DP:DP),0)</f>
        <v>12768</v>
      </c>
      <c r="E57" s="18">
        <f>IF(F3="1",SUMIF(Data!$A:$A,'36'!$A$2,Data!JJ:JJ),0)</f>
        <v>5209</v>
      </c>
      <c r="F57" s="22">
        <f t="shared" si="3"/>
        <v>0.40797305764411029</v>
      </c>
    </row>
    <row r="58" spans="1:6" x14ac:dyDescent="0.2">
      <c r="A58" s="20">
        <v>23</v>
      </c>
      <c r="B58" s="202" t="s">
        <v>20</v>
      </c>
      <c r="C58" s="203"/>
      <c r="D58" s="15">
        <f>IF(F3="1",SUMIF(Data!A:A,'36'!$A$2,Data!DQ:DQ),0)</f>
        <v>530784</v>
      </c>
      <c r="E58" s="18">
        <f>IF(F3="1",SUMIF(Data!$A:$A,'36'!$A$2,Data!JK:JK),0)</f>
        <v>362835</v>
      </c>
      <c r="F58" s="22">
        <f t="shared" si="3"/>
        <v>0.68358315246880086</v>
      </c>
    </row>
    <row r="59" spans="1:6" x14ac:dyDescent="0.2">
      <c r="A59" s="20">
        <v>24</v>
      </c>
      <c r="B59" s="202" t="s">
        <v>21</v>
      </c>
      <c r="C59" s="203"/>
      <c r="D59" s="15">
        <f>IF(F3="1",SUMIF(Data!A:A,'36'!$A$2,Data!DR:DR),0)</f>
        <v>153840</v>
      </c>
      <c r="E59" s="18">
        <f>IF(F3="1",SUMIF(Data!$A:$A,'36'!$A$2,Data!JL:JL),0)</f>
        <v>159086</v>
      </c>
      <c r="F59" s="22">
        <f t="shared" si="3"/>
        <v>1.0341003640145605</v>
      </c>
    </row>
    <row r="60" spans="1:6" x14ac:dyDescent="0.2">
      <c r="A60" s="20">
        <v>25</v>
      </c>
      <c r="B60" s="202" t="s">
        <v>22</v>
      </c>
      <c r="C60" s="203"/>
      <c r="D60" s="15">
        <f>IF(F3="1",SUMIF(Data!A:A,'36'!$A$2,Data!DS:DS),0)</f>
        <v>1867872</v>
      </c>
      <c r="E60" s="18">
        <f>IF(F3="1",SUMIF(Data!$A:$A,'36'!$A$2,Data!JM:JM),0)</f>
        <v>819896</v>
      </c>
      <c r="F60" s="22">
        <f t="shared" si="3"/>
        <v>0.43894656593171266</v>
      </c>
    </row>
    <row r="61" spans="1:6" x14ac:dyDescent="0.2">
      <c r="A61" s="20">
        <v>26</v>
      </c>
      <c r="B61" s="202" t="s">
        <v>23</v>
      </c>
      <c r="C61" s="203"/>
      <c r="D61" s="15">
        <f>IF(F3="1",SUMIF(Data!A:A,'36'!$A$2,Data!DT:DT),0)</f>
        <v>635288</v>
      </c>
      <c r="E61" s="18">
        <f>IF(F3="1",SUMIF(Data!$A:$A,'36'!$A$2,Data!JN:JN),0)</f>
        <v>755772</v>
      </c>
      <c r="F61" s="22">
        <f t="shared" si="3"/>
        <v>1.1896525670247196</v>
      </c>
    </row>
    <row r="62" spans="1:6" x14ac:dyDescent="0.2">
      <c r="A62" s="20">
        <v>28</v>
      </c>
      <c r="B62" s="202" t="s">
        <v>24</v>
      </c>
      <c r="C62" s="203"/>
      <c r="D62" s="15">
        <f>IF(F3="1",SUMIF(Data!A:A,'36'!$A$2,Data!DV:DV),0)</f>
        <v>613088</v>
      </c>
      <c r="E62" s="18">
        <f>IF(F3="1",SUMIF(Data!$A:$A,'36'!$A$2,Data!JP:JP),0)</f>
        <v>349068</v>
      </c>
      <c r="F62" s="22">
        <f t="shared" si="3"/>
        <v>0.56936035283678688</v>
      </c>
    </row>
    <row r="63" spans="1:6" ht="15.75" customHeight="1" thickBot="1" x14ac:dyDescent="0.25">
      <c r="A63" s="23">
        <v>29</v>
      </c>
      <c r="B63" s="206" t="s">
        <v>25</v>
      </c>
      <c r="C63" s="207"/>
      <c r="D63" s="24">
        <f>IF(F3="1",SUMIF(Data!A:A,'36'!$A$2,Data!DW:DW),0)</f>
        <v>682688</v>
      </c>
      <c r="E63" s="25">
        <f>IF(F3="1",SUMIF(Data!$A:$A,'36'!$A$2,Data!JQ:JQ),0)</f>
        <v>312359</v>
      </c>
      <c r="F63" s="26">
        <f t="shared" si="3"/>
        <v>0.45754283069279084</v>
      </c>
    </row>
    <row r="64" spans="1:6" x14ac:dyDescent="0.2">
      <c r="B64" s="31" t="s">
        <v>35</v>
      </c>
      <c r="C64" s="31"/>
      <c r="D64" s="60">
        <f>SUM(D36:D63)</f>
        <v>12962746</v>
      </c>
      <c r="E64" s="32">
        <f>SUM(E36:E63)</f>
        <v>11841557</v>
      </c>
      <c r="F64" s="33">
        <f t="shared" si="3"/>
        <v>0.91350682949430617</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17136</v>
      </c>
      <c r="E67" s="16">
        <f>IF(F3="1",SUMIF(Data!A:A,'36'!$A$2,Data!DY:DY),0)</f>
        <v>7296</v>
      </c>
      <c r="F67" s="21">
        <f>IFERROR(E67/D67,"")</f>
        <v>0.42577030812324929</v>
      </c>
    </row>
    <row r="68" spans="1:6" x14ac:dyDescent="0.2">
      <c r="A68" s="20">
        <v>2</v>
      </c>
      <c r="B68" s="202" t="s">
        <v>1</v>
      </c>
      <c r="C68" s="203"/>
      <c r="D68" s="15">
        <f t="shared" ref="D68:D94" si="4">D37</f>
        <v>273242</v>
      </c>
      <c r="E68" s="18">
        <f>IF(F3="1",SUMIF(Data!A:A,'36'!$A$2,Data!DZ:DZ),0)</f>
        <v>623311</v>
      </c>
      <c r="F68" s="22">
        <f t="shared" ref="F68:F95" si="5">IFERROR(E68/D68,"")</f>
        <v>2.2811683416165889</v>
      </c>
    </row>
    <row r="69" spans="1:6" ht="14.25" customHeight="1" x14ac:dyDescent="0.2">
      <c r="A69" s="20">
        <v>3</v>
      </c>
      <c r="B69" s="202" t="s">
        <v>2</v>
      </c>
      <c r="C69" s="203"/>
      <c r="D69" s="15">
        <f t="shared" si="4"/>
        <v>1739016</v>
      </c>
      <c r="E69" s="18">
        <f>IF(F3="1",SUMIF(Data!A:A,'36'!$A$2,Data!EA:EA),0)</f>
        <v>4244063</v>
      </c>
      <c r="F69" s="22">
        <f t="shared" si="5"/>
        <v>2.4404968096900777</v>
      </c>
    </row>
    <row r="70" spans="1:6" ht="14.25" customHeight="1" x14ac:dyDescent="0.2">
      <c r="A70" s="20">
        <v>4</v>
      </c>
      <c r="B70" s="202" t="s">
        <v>3</v>
      </c>
      <c r="C70" s="203"/>
      <c r="D70" s="15">
        <f t="shared" si="4"/>
        <v>784093</v>
      </c>
      <c r="E70" s="18">
        <f>IF(F3="1",SUMIF(Data!A:A,'36'!$A$2,Data!EB:EB),0)</f>
        <v>1950996</v>
      </c>
      <c r="F70" s="22">
        <f t="shared" si="5"/>
        <v>2.4882201473549692</v>
      </c>
    </row>
    <row r="71" spans="1:6" x14ac:dyDescent="0.2">
      <c r="A71" s="20">
        <v>5</v>
      </c>
      <c r="B71" s="202" t="s">
        <v>4</v>
      </c>
      <c r="C71" s="203"/>
      <c r="D71" s="15">
        <f t="shared" si="4"/>
        <v>35936</v>
      </c>
      <c r="E71" s="18">
        <f>IF(F3="1",SUMIF(Data!A:A,'36'!$A$2,Data!EC:EC),0)</f>
        <v>160320</v>
      </c>
      <c r="F71" s="22">
        <f t="shared" si="5"/>
        <v>4.4612644701691897</v>
      </c>
    </row>
    <row r="72" spans="1:6" x14ac:dyDescent="0.2">
      <c r="A72" s="20">
        <v>6</v>
      </c>
      <c r="B72" s="202" t="s">
        <v>5</v>
      </c>
      <c r="C72" s="203"/>
      <c r="D72" s="15">
        <f t="shared" si="4"/>
        <v>94520</v>
      </c>
      <c r="E72" s="18">
        <f>IF(F3="1",SUMIF(Data!A:A,'36'!$A$2,Data!ED:ED),0)</f>
        <v>230031</v>
      </c>
      <c r="F72" s="22">
        <f t="shared" si="5"/>
        <v>2.4336754126110876</v>
      </c>
    </row>
    <row r="73" spans="1:6" x14ac:dyDescent="0.2">
      <c r="A73" s="20">
        <v>7</v>
      </c>
      <c r="B73" s="202" t="s">
        <v>6</v>
      </c>
      <c r="C73" s="203"/>
      <c r="D73" s="15">
        <f t="shared" si="4"/>
        <v>239837</v>
      </c>
      <c r="E73" s="18">
        <f>IF(F3="1",SUMIF(Data!A:A,'36'!$A$2,Data!EE:EE),0)</f>
        <v>1054031</v>
      </c>
      <c r="F73" s="22">
        <f t="shared" si="5"/>
        <v>4.3947806218389989</v>
      </c>
    </row>
    <row r="74" spans="1:6" x14ac:dyDescent="0.2">
      <c r="A74" s="20">
        <v>8</v>
      </c>
      <c r="B74" s="202" t="s">
        <v>7</v>
      </c>
      <c r="C74" s="203"/>
      <c r="D74" s="15">
        <f t="shared" si="4"/>
        <v>76424</v>
      </c>
      <c r="E74" s="18">
        <f>IF(F3="1",SUMIF(Data!A:A,'36'!$A$2,Data!EF:EF),0)</f>
        <v>18468</v>
      </c>
      <c r="F74" s="22">
        <f t="shared" si="5"/>
        <v>0.24165183711922955</v>
      </c>
    </row>
    <row r="75" spans="1:6" x14ac:dyDescent="0.2">
      <c r="A75" s="20">
        <v>9</v>
      </c>
      <c r="B75" s="202" t="s">
        <v>8</v>
      </c>
      <c r="C75" s="203"/>
      <c r="D75" s="15">
        <f t="shared" si="4"/>
        <v>809646</v>
      </c>
      <c r="E75" s="18">
        <f>IF(F3="1",SUMIF(Data!A:A,'36'!$A$2,Data!EG:EG),0)</f>
        <v>2666847</v>
      </c>
      <c r="F75" s="22">
        <f t="shared" si="5"/>
        <v>3.2938432351916762</v>
      </c>
    </row>
    <row r="76" spans="1:6" x14ac:dyDescent="0.2">
      <c r="A76" s="20">
        <v>10</v>
      </c>
      <c r="B76" s="202" t="s">
        <v>9</v>
      </c>
      <c r="C76" s="203"/>
      <c r="D76" s="15">
        <f t="shared" si="4"/>
        <v>608</v>
      </c>
      <c r="E76" s="18">
        <f>IF(F3="1",SUMIF(Data!A:A,'36'!$A$2,Data!EH:EH),0)</f>
        <v>643869</v>
      </c>
      <c r="F76" s="22">
        <f t="shared" si="5"/>
        <v>1058.9950657894738</v>
      </c>
    </row>
    <row r="77" spans="1:6" x14ac:dyDescent="0.2">
      <c r="A77" s="20">
        <v>11</v>
      </c>
      <c r="B77" s="202" t="s">
        <v>10</v>
      </c>
      <c r="C77" s="203"/>
      <c r="D77" s="15">
        <f t="shared" si="4"/>
        <v>347222</v>
      </c>
      <c r="E77" s="18">
        <f>IF(F3="1",SUMIF(Data!A:A,'36'!$A$2,Data!EI:EI),0)</f>
        <v>911235</v>
      </c>
      <c r="F77" s="22">
        <f t="shared" si="5"/>
        <v>2.6243584795894268</v>
      </c>
    </row>
    <row r="78" spans="1:6" ht="14.25" customHeight="1" x14ac:dyDescent="0.2">
      <c r="A78" s="20">
        <v>12</v>
      </c>
      <c r="B78" s="202" t="s">
        <v>11</v>
      </c>
      <c r="C78" s="203"/>
      <c r="D78" s="15">
        <f t="shared" si="4"/>
        <v>1280448</v>
      </c>
      <c r="E78" s="18">
        <f>IF(F3="1",SUMIF(Data!A:A,'36'!$A$2,Data!EJ:EJ),0)</f>
        <v>3946945</v>
      </c>
      <c r="F78" s="22">
        <f t="shared" si="5"/>
        <v>3.0824719160793723</v>
      </c>
    </row>
    <row r="79" spans="1:6" x14ac:dyDescent="0.2">
      <c r="A79" s="20">
        <v>13</v>
      </c>
      <c r="B79" s="202" t="s">
        <v>12</v>
      </c>
      <c r="C79" s="203"/>
      <c r="D79" s="15">
        <f t="shared" si="4"/>
        <v>170384</v>
      </c>
      <c r="E79" s="18">
        <f>IF(F3="1",SUMIF(Data!A:A,'36'!$A$2,Data!EK:EK),0)</f>
        <v>553270</v>
      </c>
      <c r="F79" s="22">
        <f t="shared" si="5"/>
        <v>3.2471945722603062</v>
      </c>
    </row>
    <row r="80" spans="1:6" ht="14.25" customHeight="1" x14ac:dyDescent="0.2">
      <c r="A80" s="20">
        <v>14</v>
      </c>
      <c r="B80" s="202" t="s">
        <v>449</v>
      </c>
      <c r="C80" s="203"/>
      <c r="D80" s="15">
        <f t="shared" si="4"/>
        <v>361684</v>
      </c>
      <c r="E80" s="18">
        <f>IF(F3="1",SUMIF(Data!A:A,'36'!$A$2,Data!EL:EL),0)</f>
        <v>2067342</v>
      </c>
      <c r="F80" s="22">
        <f t="shared" si="5"/>
        <v>5.7158790546443861</v>
      </c>
    </row>
    <row r="81" spans="1:6" x14ac:dyDescent="0.2">
      <c r="A81" s="20">
        <v>15</v>
      </c>
      <c r="B81" s="202" t="s">
        <v>13</v>
      </c>
      <c r="C81" s="203"/>
      <c r="D81" s="15">
        <f t="shared" si="4"/>
        <v>0</v>
      </c>
      <c r="E81" s="18">
        <f>IF(F3="1",SUMIF(Data!A:A,'36'!$A$2,Data!EM:EM),0)</f>
        <v>0</v>
      </c>
      <c r="F81" s="22" t="str">
        <f t="shared" si="5"/>
        <v/>
      </c>
    </row>
    <row r="82" spans="1:6" x14ac:dyDescent="0.2">
      <c r="A82" s="20">
        <v>16</v>
      </c>
      <c r="B82" s="202" t="s">
        <v>14</v>
      </c>
      <c r="C82" s="203"/>
      <c r="D82" s="15">
        <f t="shared" si="4"/>
        <v>738506</v>
      </c>
      <c r="E82" s="18">
        <f>IF(F3="1",SUMIF(Data!A:A,'36'!$A$2,Data!EN:EN),0)</f>
        <v>3976723</v>
      </c>
      <c r="F82" s="22">
        <f t="shared" si="5"/>
        <v>5.3848215180377679</v>
      </c>
    </row>
    <row r="83" spans="1:6" x14ac:dyDescent="0.2">
      <c r="A83" s="20">
        <v>17</v>
      </c>
      <c r="B83" s="202" t="s">
        <v>15</v>
      </c>
      <c r="C83" s="203"/>
      <c r="D83" s="15">
        <f t="shared" si="4"/>
        <v>58512</v>
      </c>
      <c r="E83" s="18">
        <f>IF(F3="1",SUMIF(Data!A:A,'36'!$A$2,Data!EO:EO),0)</f>
        <v>375268</v>
      </c>
      <c r="F83" s="22">
        <f t="shared" si="5"/>
        <v>6.4135220125786168</v>
      </c>
    </row>
    <row r="84" spans="1:6" x14ac:dyDescent="0.2">
      <c r="A84" s="20">
        <v>18</v>
      </c>
      <c r="B84" s="202" t="s">
        <v>16</v>
      </c>
      <c r="C84" s="203"/>
      <c r="D84" s="15">
        <f t="shared" si="4"/>
        <v>293840</v>
      </c>
      <c r="E84" s="18">
        <f>IF(F3="1",SUMIF(Data!A:A,'36'!$A$2,Data!EP:EP),0)</f>
        <v>1754974</v>
      </c>
      <c r="F84" s="22">
        <f t="shared" si="5"/>
        <v>5.9725496869044381</v>
      </c>
    </row>
    <row r="85" spans="1:6" x14ac:dyDescent="0.2">
      <c r="A85" s="20">
        <v>19</v>
      </c>
      <c r="B85" s="202" t="s">
        <v>17</v>
      </c>
      <c r="C85" s="203"/>
      <c r="D85" s="15">
        <f t="shared" si="4"/>
        <v>767120</v>
      </c>
      <c r="E85" s="18">
        <f>IF(F3="1",SUMIF(Data!A:A,'36'!$A$2,Data!EQ:EQ),0)</f>
        <v>2614614</v>
      </c>
      <c r="F85" s="22">
        <f t="shared" si="5"/>
        <v>3.4083507143602043</v>
      </c>
    </row>
    <row r="86" spans="1:6" x14ac:dyDescent="0.2">
      <c r="A86" s="20">
        <v>20</v>
      </c>
      <c r="B86" s="202" t="s">
        <v>18</v>
      </c>
      <c r="C86" s="203"/>
      <c r="D86" s="15">
        <f t="shared" si="4"/>
        <v>283368</v>
      </c>
      <c r="E86" s="18">
        <f>IF(F3="1",SUMIF(Data!A:A,'36'!$A$2,Data!ER:ER),0)</f>
        <v>1431039</v>
      </c>
      <c r="F86" s="22">
        <f t="shared" si="5"/>
        <v>5.0501079867874985</v>
      </c>
    </row>
    <row r="87" spans="1:6" ht="14.25" customHeight="1" x14ac:dyDescent="0.2">
      <c r="A87" s="20">
        <v>21</v>
      </c>
      <c r="B87" s="202" t="s">
        <v>446</v>
      </c>
      <c r="C87" s="203"/>
      <c r="D87" s="15">
        <f t="shared" si="4"/>
        <v>94876</v>
      </c>
      <c r="E87" s="18">
        <f>IF(F3="1",SUMIF(Data!A:A,'36'!$A$2,Data!ES:ES),0)</f>
        <v>316166</v>
      </c>
      <c r="F87" s="22">
        <f t="shared" si="5"/>
        <v>3.3324128335933216</v>
      </c>
    </row>
    <row r="88" spans="1:6" x14ac:dyDescent="0.2">
      <c r="A88" s="20">
        <v>22</v>
      </c>
      <c r="B88" s="202" t="s">
        <v>19</v>
      </c>
      <c r="C88" s="203"/>
      <c r="D88" s="15">
        <f t="shared" si="4"/>
        <v>12768</v>
      </c>
      <c r="E88" s="18">
        <f>IF(F3="1",SUMIF(Data!A:A,'36'!$A$2,Data!ET:ET),0)</f>
        <v>25194</v>
      </c>
      <c r="F88" s="22">
        <f t="shared" si="5"/>
        <v>1.9732142857142858</v>
      </c>
    </row>
    <row r="89" spans="1:6" x14ac:dyDescent="0.2">
      <c r="A89" s="20">
        <v>23</v>
      </c>
      <c r="B89" s="202" t="s">
        <v>20</v>
      </c>
      <c r="C89" s="203"/>
      <c r="D89" s="15">
        <f t="shared" si="4"/>
        <v>530784</v>
      </c>
      <c r="E89" s="18">
        <f>IF(F3="1",SUMIF(Data!A:A,'36'!$A$2,Data!EU:EU),0)</f>
        <v>1928049</v>
      </c>
      <c r="F89" s="22">
        <f t="shared" si="5"/>
        <v>3.6324550099475492</v>
      </c>
    </row>
    <row r="90" spans="1:6" x14ac:dyDescent="0.2">
      <c r="A90" s="20">
        <v>24</v>
      </c>
      <c r="B90" s="202" t="s">
        <v>21</v>
      </c>
      <c r="C90" s="203"/>
      <c r="D90" s="15">
        <f t="shared" si="4"/>
        <v>153840</v>
      </c>
      <c r="E90" s="18">
        <f>IF(F3="1",SUMIF(Data!A:A,'36'!$A$2,Data!EV:EV),0)</f>
        <v>648581</v>
      </c>
      <c r="F90" s="22">
        <f t="shared" si="5"/>
        <v>4.2159451378055124</v>
      </c>
    </row>
    <row r="91" spans="1:6" x14ac:dyDescent="0.2">
      <c r="A91" s="20">
        <v>25</v>
      </c>
      <c r="B91" s="202" t="s">
        <v>22</v>
      </c>
      <c r="C91" s="203"/>
      <c r="D91" s="15">
        <f t="shared" si="4"/>
        <v>1867872</v>
      </c>
      <c r="E91" s="18">
        <f>IF(F3="1",SUMIF(Data!A:A,'36'!$A$2,Data!EW:EW),0)</f>
        <v>5893517</v>
      </c>
      <c r="F91" s="22">
        <f t="shared" si="5"/>
        <v>3.1552038897740315</v>
      </c>
    </row>
    <row r="92" spans="1:6" x14ac:dyDescent="0.2">
      <c r="A92" s="20">
        <v>26</v>
      </c>
      <c r="B92" s="202" t="s">
        <v>23</v>
      </c>
      <c r="C92" s="203"/>
      <c r="D92" s="15">
        <f t="shared" si="4"/>
        <v>635288</v>
      </c>
      <c r="E92" s="18">
        <f>IF(F3="1",SUMIF(Data!A:A,'36'!$A$2,Data!EX:EX),0)</f>
        <v>2943953</v>
      </c>
      <c r="F92" s="22">
        <f t="shared" si="5"/>
        <v>4.6340447167269021</v>
      </c>
    </row>
    <row r="93" spans="1:6" x14ac:dyDescent="0.2">
      <c r="A93" s="20">
        <v>28</v>
      </c>
      <c r="B93" s="202" t="s">
        <v>24</v>
      </c>
      <c r="C93" s="203"/>
      <c r="D93" s="15">
        <f t="shared" si="4"/>
        <v>613088</v>
      </c>
      <c r="E93" s="18">
        <f>IF(F3="1",SUMIF(Data!A:A,'36'!$A$2,Data!EZ:EZ),0)</f>
        <v>2089619</v>
      </c>
      <c r="F93" s="22">
        <f t="shared" si="5"/>
        <v>3.4083508403361344</v>
      </c>
    </row>
    <row r="94" spans="1:6" ht="15.75" customHeight="1" thickBot="1" x14ac:dyDescent="0.25">
      <c r="A94" s="23">
        <v>29</v>
      </c>
      <c r="B94" s="206" t="s">
        <v>25</v>
      </c>
      <c r="C94" s="207"/>
      <c r="D94" s="24">
        <f t="shared" si="4"/>
        <v>682688</v>
      </c>
      <c r="E94" s="25">
        <f>IF(F3="1",SUMIF(Data!A:A,'36'!$A$2,Data!FA:FA),0)</f>
        <v>2104367</v>
      </c>
      <c r="F94" s="26">
        <f t="shared" si="5"/>
        <v>3.0824725203899876</v>
      </c>
    </row>
    <row r="95" spans="1:6" x14ac:dyDescent="0.2">
      <c r="B95" s="31" t="s">
        <v>35</v>
      </c>
      <c r="C95" s="31"/>
      <c r="D95" s="60">
        <f>SUM(D67:D94)</f>
        <v>12962746</v>
      </c>
      <c r="E95" s="32">
        <f>SUM(E67:E94)</f>
        <v>45180088</v>
      </c>
      <c r="F95" s="33">
        <f t="shared" si="5"/>
        <v>3.4853794095788038</v>
      </c>
    </row>
    <row r="96" spans="1:6" ht="15" thickBot="1" x14ac:dyDescent="0.25">
      <c r="E96" s="183"/>
    </row>
    <row r="97" spans="2:6" ht="29.25" customHeight="1" x14ac:dyDescent="0.2">
      <c r="B97" s="210" t="s">
        <v>453</v>
      </c>
      <c r="C97" s="211"/>
      <c r="D97" s="29" t="s">
        <v>27</v>
      </c>
      <c r="E97" s="34" t="s">
        <v>447</v>
      </c>
      <c r="F97" s="30" t="s">
        <v>448</v>
      </c>
    </row>
    <row r="98" spans="2:6" x14ac:dyDescent="0.2">
      <c r="B98" s="212" t="s">
        <v>30</v>
      </c>
      <c r="C98" s="213"/>
      <c r="D98" s="36"/>
      <c r="E98" s="16">
        <f>IF(F3="1",SUMIF(Data!A:A,'36'!$A$2,Data!AH:AH),0)</f>
        <v>27699409</v>
      </c>
      <c r="F98" s="21">
        <f t="shared" ref="F98:F105" si="6">IFERROR(E98/$D$95,0)</f>
        <v>2.1368473161473656</v>
      </c>
    </row>
    <row r="99" spans="2:6" x14ac:dyDescent="0.2">
      <c r="B99" s="212" t="s">
        <v>31</v>
      </c>
      <c r="C99" s="213"/>
      <c r="D99" s="37"/>
      <c r="E99" s="18">
        <f>IF(F3="1",SUMIF(Data!A:A,'36'!$A$2,Data!AI:AI),0)</f>
        <v>9885438</v>
      </c>
      <c r="F99" s="22">
        <f t="shared" si="6"/>
        <v>0.76260369523556193</v>
      </c>
    </row>
    <row r="100" spans="2:6" x14ac:dyDescent="0.2">
      <c r="B100" s="212" t="s">
        <v>32</v>
      </c>
      <c r="C100" s="213"/>
      <c r="D100" s="37"/>
      <c r="E100" s="18">
        <f>IF(F3="1",SUMIF(Data!A:A,'36'!$A$2,Data!AJ:AJ),0)</f>
        <v>8704423</v>
      </c>
      <c r="F100" s="22">
        <f t="shared" si="6"/>
        <v>0.67149529891274584</v>
      </c>
    </row>
    <row r="101" spans="2:6" x14ac:dyDescent="0.2">
      <c r="B101" s="212" t="s">
        <v>28</v>
      </c>
      <c r="C101" s="213"/>
      <c r="D101" s="37"/>
      <c r="E101" s="18">
        <f>IF(F3="1",SUMIF(Data!A:A,'36'!$A$2,Data!AK:AK),0)</f>
        <v>0</v>
      </c>
      <c r="F101" s="22">
        <f t="shared" si="6"/>
        <v>0</v>
      </c>
    </row>
    <row r="102" spans="2:6" x14ac:dyDescent="0.2">
      <c r="B102" s="212" t="s">
        <v>33</v>
      </c>
      <c r="C102" s="213"/>
      <c r="D102" s="37"/>
      <c r="E102" s="18">
        <f>IF(F3="1",SUMIF(Data!A:A,'36'!$A$2,Data!AL:AL),0)</f>
        <v>0</v>
      </c>
      <c r="F102" s="22">
        <f t="shared" si="6"/>
        <v>0</v>
      </c>
    </row>
    <row r="103" spans="2:6" x14ac:dyDescent="0.2">
      <c r="B103" s="214" t="s">
        <v>34</v>
      </c>
      <c r="C103" s="215"/>
      <c r="D103" s="37"/>
      <c r="E103" s="18">
        <f>IF(F3="1",SUMIF(Data!A:A,'36'!$A$2,Data!AM:AM),0)</f>
        <v>3239303</v>
      </c>
      <c r="F103" s="22">
        <f t="shared" si="6"/>
        <v>0.24989327107080553</v>
      </c>
    </row>
    <row r="104" spans="2:6" ht="15.75" customHeight="1" thickBot="1" x14ac:dyDescent="0.25">
      <c r="B104" s="208" t="s">
        <v>29</v>
      </c>
      <c r="C104" s="209"/>
      <c r="D104" s="38"/>
      <c r="E104" s="25">
        <f>IF(F3="1",SUMIF(Data!A:A,'36'!$A$2,Data!Q:Q),0)</f>
        <v>3896995</v>
      </c>
      <c r="F104" s="26">
        <f t="shared" si="6"/>
        <v>0.30063036026471551</v>
      </c>
    </row>
    <row r="105" spans="2:6" x14ac:dyDescent="0.2">
      <c r="B105" s="31" t="s">
        <v>35</v>
      </c>
      <c r="C105" s="31"/>
      <c r="D105" s="35">
        <f>D95</f>
        <v>12962746</v>
      </c>
      <c r="E105" s="32">
        <f>SUM(E98:E104)</f>
        <v>53425568</v>
      </c>
      <c r="F105" s="33">
        <f t="shared" si="6"/>
        <v>4.1214699416311946</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48238042</v>
      </c>
      <c r="D109" s="192">
        <f>IF(F3="1",SUMIF(Data!$A:$A,$A$2,Data!HJ:HJ),0)</f>
        <v>5428661</v>
      </c>
      <c r="E109" s="192">
        <f>IF(F3="1",SUMIF(Data!$A:$A,$A$2,Data!IN:IN),0)</f>
        <v>3354942</v>
      </c>
      <c r="F109" s="48">
        <f>SUM(C109:E109)</f>
        <v>57021645</v>
      </c>
    </row>
    <row r="110" spans="2:6" x14ac:dyDescent="0.2">
      <c r="B110" s="43" t="s">
        <v>28</v>
      </c>
      <c r="C110" s="193">
        <f>IF(F3="1",SUMIF(Data!A:A,$A$2,Data!W:W),0)</f>
        <v>0</v>
      </c>
      <c r="D110" s="51"/>
      <c r="E110" s="193">
        <f>IF(F3="1",SUMIF(Data!A:A,$A$2,Data!AD:AD),0)</f>
        <v>0</v>
      </c>
      <c r="F110" s="49">
        <f t="shared" ref="F110:F116" si="7">SUM(C110:E110)</f>
        <v>0</v>
      </c>
    </row>
    <row r="111" spans="2:6" x14ac:dyDescent="0.2">
      <c r="B111" s="43" t="s">
        <v>915</v>
      </c>
      <c r="C111" s="193">
        <f>IF(F3="1",SUMIF(Data!A:A,$A$2,Data!AS:AS),0)</f>
        <v>2259681</v>
      </c>
      <c r="D111" s="51"/>
      <c r="E111" s="193">
        <f>IF(F3="1",SUMIF(Data!A:A,$A$2,Data!AX:AX)-SUMIF(Data!A:A,$A$2,Data!AW:AW),0)</f>
        <v>2200418</v>
      </c>
      <c r="F111" s="49">
        <f t="shared" si="7"/>
        <v>4460099</v>
      </c>
    </row>
    <row r="112" spans="2:6" x14ac:dyDescent="0.2">
      <c r="B112" s="43" t="s">
        <v>32</v>
      </c>
      <c r="C112" s="193">
        <f>IF(F3="1",SUMIF(Data!A:A,$A$2,Data!V:V),0)</f>
        <v>7166024</v>
      </c>
      <c r="D112" s="52"/>
      <c r="E112" s="193">
        <f>IF(F3="1",SUMIF(Data!A:A,$A$2,Data!AC:AC),0)</f>
        <v>1538399</v>
      </c>
      <c r="F112" s="49">
        <f t="shared" si="7"/>
        <v>8704423</v>
      </c>
    </row>
    <row r="113" spans="1:6" x14ac:dyDescent="0.2">
      <c r="B113" s="43" t="s">
        <v>31</v>
      </c>
      <c r="C113" s="193">
        <f>IF(F3="1",SUMIF(Data!A:A,$A$2,Data!U:U),0)</f>
        <v>8287238</v>
      </c>
      <c r="D113" s="52"/>
      <c r="E113" s="193">
        <f>IF(F3="1",SUMIF(Data!A:A,$A$2,Data!AB:AB),0)</f>
        <v>1598200</v>
      </c>
      <c r="F113" s="49">
        <f t="shared" si="7"/>
        <v>9885438</v>
      </c>
    </row>
    <row r="114" spans="1:6" x14ac:dyDescent="0.2">
      <c r="B114" s="43" t="s">
        <v>1002</v>
      </c>
      <c r="C114" s="193">
        <f>IF(F3="1",SUMIF(Data!A:A,$A$2,Data!T:T),0)</f>
        <v>13550542</v>
      </c>
      <c r="D114" s="52"/>
      <c r="E114" s="193">
        <f>IF(F3="1",SUMIF(Data!A:A,$A$2,Data!AA:AA),0)</f>
        <v>14148867</v>
      </c>
      <c r="F114" s="49">
        <f t="shared" si="7"/>
        <v>27699409</v>
      </c>
    </row>
    <row r="115" spans="1:6" x14ac:dyDescent="0.2">
      <c r="B115" s="43" t="s">
        <v>916</v>
      </c>
      <c r="C115" s="193">
        <f>IF(F3="1",SUMIF(Data!A:A,$A$2,Data!BI:BI),0)</f>
        <v>3124692</v>
      </c>
      <c r="D115" s="193">
        <f>IF(F3="1",SUMIF(Data!A:A,$A$2,Data!BL:BL),0)</f>
        <v>2154672</v>
      </c>
      <c r="E115" s="193">
        <f>IF(F3="1",SUMIF(Data!A:A,$A$2,Data!BU:BU)-SUMIF(Data!A:A,$A$2,Data!BT:BT),0)</f>
        <v>11888943</v>
      </c>
      <c r="F115" s="49">
        <f t="shared" si="7"/>
        <v>17168307</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3896995</v>
      </c>
      <c r="E117" s="53"/>
      <c r="F117" s="50">
        <f>SUM(C117:E117)</f>
        <v>3896995</v>
      </c>
    </row>
    <row r="118" spans="1:6" x14ac:dyDescent="0.2">
      <c r="B118" s="14" t="s">
        <v>35</v>
      </c>
      <c r="C118" s="178">
        <f>SUM(C109:C117)</f>
        <v>82626219</v>
      </c>
      <c r="D118" s="194">
        <f>SUM(D109:D117)</f>
        <v>11480328</v>
      </c>
      <c r="E118" s="178">
        <f>SUM(E109:E117)</f>
        <v>34729769</v>
      </c>
      <c r="F118" s="178">
        <f>SUM(F109:F117)</f>
        <v>128836316</v>
      </c>
    </row>
    <row r="119" spans="1:6" x14ac:dyDescent="0.2">
      <c r="B119" s="176">
        <f>45315341+3057954</f>
        <v>48373295</v>
      </c>
      <c r="C119" s="183">
        <f>C118-82626219</f>
        <v>0</v>
      </c>
      <c r="D119" s="177"/>
      <c r="E119" s="177"/>
    </row>
    <row r="120" spans="1:6" ht="15" thickBot="1" x14ac:dyDescent="0.25">
      <c r="B120" s="188" t="s">
        <v>921</v>
      </c>
      <c r="C120" s="53"/>
      <c r="D120" s="53"/>
      <c r="E120" s="195">
        <f>IF(F3="1",SUMIF(Data!A:A,$A$2,Data!AF:AF)+SUMIF(Data!A:A,$A$2,Data!AW:AW)+SUMIF(Data!A:A,$A$2,Data!BT:BT),0)</f>
        <v>3239303</v>
      </c>
      <c r="F120" s="181">
        <f>SUM(C120:E120)</f>
        <v>3239303</v>
      </c>
    </row>
    <row r="121" spans="1:6" s="177" customFormat="1" x14ac:dyDescent="0.2">
      <c r="B121" s="14" t="s">
        <v>35</v>
      </c>
      <c r="C121" s="178">
        <f>SUM(C120:C120)</f>
        <v>0</v>
      </c>
      <c r="D121" s="178">
        <f>SUM(D120:D120)</f>
        <v>0</v>
      </c>
      <c r="E121" s="178">
        <f>SUM(E120:E120)</f>
        <v>3239303</v>
      </c>
      <c r="F121" s="178">
        <f>SUM(F120:F120)</f>
        <v>3239303</v>
      </c>
    </row>
    <row r="122" spans="1:6" s="177" customFormat="1" ht="15" thickBot="1" x14ac:dyDescent="0.25">
      <c r="B122" s="14" t="s">
        <v>1396</v>
      </c>
      <c r="C122" s="178"/>
      <c r="D122" s="178"/>
      <c r="E122" s="178"/>
      <c r="F122" s="190">
        <f>F118+F121</f>
        <v>132075619</v>
      </c>
    </row>
    <row r="123" spans="1:6" ht="15" thickTop="1" x14ac:dyDescent="0.2">
      <c r="C123" s="74" t="s">
        <v>1405</v>
      </c>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394</v>
      </c>
      <c r="B2" s="59" t="str">
        <f>VLOOKUP(A2,Data!A:G,7,0)</f>
        <v>South Plains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35608</v>
      </c>
      <c r="E5" s="16">
        <f>E36+E67+IFERROR($E$105/$D$105*D5,0)</f>
        <v>460497.48306013993</v>
      </c>
      <c r="F5" s="21">
        <f>IFERROR(E5/D5,"")</f>
        <v>12.932416396881036</v>
      </c>
    </row>
    <row r="6" spans="1:6" x14ac:dyDescent="0.2">
      <c r="A6" s="20">
        <v>2</v>
      </c>
      <c r="B6" s="202" t="s">
        <v>1</v>
      </c>
      <c r="C6" s="203"/>
      <c r="D6" s="15">
        <f t="shared" ref="D6:D32" si="0">D37</f>
        <v>74208</v>
      </c>
      <c r="E6" s="18">
        <f t="shared" ref="E6:E32" si="1">E37+E68+IFERROR($E$105/$D$105*D6,0)</f>
        <v>707477.44706040388</v>
      </c>
      <c r="F6" s="22">
        <f t="shared" ref="F6:F33" si="2">IFERROR(E6/D6,"")</f>
        <v>9.5337085901843999</v>
      </c>
    </row>
    <row r="7" spans="1:6" ht="14.25" customHeight="1" x14ac:dyDescent="0.2">
      <c r="A7" s="20">
        <v>3</v>
      </c>
      <c r="B7" s="202" t="s">
        <v>2</v>
      </c>
      <c r="C7" s="203"/>
      <c r="D7" s="15">
        <f t="shared" si="0"/>
        <v>529680</v>
      </c>
      <c r="E7" s="18">
        <f t="shared" si="1"/>
        <v>3563137.9225818608</v>
      </c>
      <c r="F7" s="22">
        <f t="shared" si="2"/>
        <v>6.7269633034697565</v>
      </c>
    </row>
    <row r="8" spans="1:6" ht="14.25" customHeight="1" x14ac:dyDescent="0.2">
      <c r="A8" s="20">
        <v>4</v>
      </c>
      <c r="B8" s="202" t="s">
        <v>3</v>
      </c>
      <c r="C8" s="203"/>
      <c r="D8" s="15">
        <f t="shared" si="0"/>
        <v>335335</v>
      </c>
      <c r="E8" s="18">
        <f t="shared" si="1"/>
        <v>2043653.0936017754</v>
      </c>
      <c r="F8" s="22">
        <f t="shared" si="2"/>
        <v>6.0943626331930023</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113688</v>
      </c>
      <c r="E10" s="18">
        <f t="shared" si="1"/>
        <v>1182467.3760430573</v>
      </c>
      <c r="F10" s="22">
        <f t="shared" si="2"/>
        <v>10.400986700822051</v>
      </c>
    </row>
    <row r="11" spans="1:6" x14ac:dyDescent="0.2">
      <c r="A11" s="20">
        <v>7</v>
      </c>
      <c r="B11" s="202" t="s">
        <v>6</v>
      </c>
      <c r="C11" s="203"/>
      <c r="D11" s="15">
        <f t="shared" si="0"/>
        <v>46936</v>
      </c>
      <c r="E11" s="18">
        <f t="shared" si="1"/>
        <v>1109747.4322879894</v>
      </c>
      <c r="F11" s="22">
        <f t="shared" si="2"/>
        <v>23.643843367308449</v>
      </c>
    </row>
    <row r="12" spans="1:6" x14ac:dyDescent="0.2">
      <c r="A12" s="20">
        <v>8</v>
      </c>
      <c r="B12" s="202" t="s">
        <v>7</v>
      </c>
      <c r="C12" s="203"/>
      <c r="D12" s="15">
        <f t="shared" si="0"/>
        <v>22192</v>
      </c>
      <c r="E12" s="18">
        <f t="shared" si="1"/>
        <v>160924.71691953001</v>
      </c>
      <c r="F12" s="22">
        <f t="shared" si="2"/>
        <v>7.2514742663811287</v>
      </c>
    </row>
    <row r="13" spans="1:6" x14ac:dyDescent="0.2">
      <c r="A13" s="20">
        <v>9</v>
      </c>
      <c r="B13" s="202" t="s">
        <v>8</v>
      </c>
      <c r="C13" s="203"/>
      <c r="D13" s="15">
        <f t="shared" si="0"/>
        <v>170192</v>
      </c>
      <c r="E13" s="18">
        <f t="shared" si="1"/>
        <v>1099919.8275941173</v>
      </c>
      <c r="F13" s="22">
        <f t="shared" si="2"/>
        <v>6.462817450844442</v>
      </c>
    </row>
    <row r="14" spans="1:6" x14ac:dyDescent="0.2">
      <c r="A14" s="20">
        <v>10</v>
      </c>
      <c r="B14" s="202" t="s">
        <v>9</v>
      </c>
      <c r="C14" s="203"/>
      <c r="D14" s="15">
        <f t="shared" si="0"/>
        <v>7360</v>
      </c>
      <c r="E14" s="18">
        <f t="shared" si="1"/>
        <v>129742.70712543893</v>
      </c>
      <c r="F14" s="22">
        <f t="shared" si="2"/>
        <v>17.628085207260725</v>
      </c>
    </row>
    <row r="15" spans="1:6" x14ac:dyDescent="0.2">
      <c r="A15" s="20">
        <v>11</v>
      </c>
      <c r="B15" s="202" t="s">
        <v>10</v>
      </c>
      <c r="C15" s="203"/>
      <c r="D15" s="15">
        <f t="shared" si="0"/>
        <v>67424</v>
      </c>
      <c r="E15" s="18">
        <f t="shared" si="1"/>
        <v>686748.51701434713</v>
      </c>
      <c r="F15" s="22">
        <f t="shared" si="2"/>
        <v>10.185520245229402</v>
      </c>
    </row>
    <row r="16" spans="1:6" ht="14.25" customHeight="1" x14ac:dyDescent="0.2">
      <c r="A16" s="20">
        <v>12</v>
      </c>
      <c r="B16" s="202" t="s">
        <v>11</v>
      </c>
      <c r="C16" s="203"/>
      <c r="D16" s="15">
        <f t="shared" si="0"/>
        <v>395024</v>
      </c>
      <c r="E16" s="18">
        <f t="shared" si="1"/>
        <v>2397961.4809129606</v>
      </c>
      <c r="F16" s="22">
        <f t="shared" si="2"/>
        <v>6.0704197236445392</v>
      </c>
    </row>
    <row r="17" spans="1:6" x14ac:dyDescent="0.2">
      <c r="A17" s="20">
        <v>13</v>
      </c>
      <c r="B17" s="202" t="s">
        <v>12</v>
      </c>
      <c r="C17" s="203"/>
      <c r="D17" s="15">
        <f t="shared" si="0"/>
        <v>138128</v>
      </c>
      <c r="E17" s="18">
        <f t="shared" si="1"/>
        <v>982331.90350850951</v>
      </c>
      <c r="F17" s="22">
        <f t="shared" si="2"/>
        <v>7.1117507204079518</v>
      </c>
    </row>
    <row r="18" spans="1:6" ht="14.25" customHeight="1" x14ac:dyDescent="0.2">
      <c r="A18" s="20">
        <v>14</v>
      </c>
      <c r="B18" s="202" t="s">
        <v>449</v>
      </c>
      <c r="C18" s="203"/>
      <c r="D18" s="15">
        <f t="shared" si="0"/>
        <v>97306</v>
      </c>
      <c r="E18" s="18">
        <f t="shared" si="1"/>
        <v>1016269.5529277121</v>
      </c>
      <c r="F18" s="22">
        <f t="shared" si="2"/>
        <v>10.444058464305511</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168179</v>
      </c>
      <c r="E20" s="18">
        <f t="shared" si="1"/>
        <v>2202076.6951969014</v>
      </c>
      <c r="F20" s="22">
        <f t="shared" si="2"/>
        <v>13.093648405549454</v>
      </c>
    </row>
    <row r="21" spans="1:6" x14ac:dyDescent="0.2">
      <c r="A21" s="20">
        <v>17</v>
      </c>
      <c r="B21" s="202" t="s">
        <v>15</v>
      </c>
      <c r="C21" s="203"/>
      <c r="D21" s="15">
        <f t="shared" si="0"/>
        <v>21248</v>
      </c>
      <c r="E21" s="18">
        <f t="shared" si="1"/>
        <v>171213.55448387589</v>
      </c>
      <c r="F21" s="22">
        <f t="shared" si="2"/>
        <v>8.0578668337667487</v>
      </c>
    </row>
    <row r="22" spans="1:6" x14ac:dyDescent="0.2">
      <c r="A22" s="20">
        <v>18</v>
      </c>
      <c r="B22" s="202" t="s">
        <v>16</v>
      </c>
      <c r="C22" s="203"/>
      <c r="D22" s="15">
        <f t="shared" si="0"/>
        <v>185600</v>
      </c>
      <c r="E22" s="18">
        <f t="shared" si="1"/>
        <v>829109.61446759058</v>
      </c>
      <c r="F22" s="22">
        <f t="shared" si="2"/>
        <v>4.4671854227779662</v>
      </c>
    </row>
    <row r="23" spans="1:6" x14ac:dyDescent="0.2">
      <c r="A23" s="20">
        <v>19</v>
      </c>
      <c r="B23" s="202" t="s">
        <v>17</v>
      </c>
      <c r="C23" s="203"/>
      <c r="D23" s="15">
        <f t="shared" si="0"/>
        <v>301965</v>
      </c>
      <c r="E23" s="18">
        <f t="shared" si="1"/>
        <v>1949598.7964854848</v>
      </c>
      <c r="F23" s="22">
        <f t="shared" si="2"/>
        <v>6.4563734091218681</v>
      </c>
    </row>
    <row r="24" spans="1:6" x14ac:dyDescent="0.2">
      <c r="A24" s="20">
        <v>20</v>
      </c>
      <c r="B24" s="202" t="s">
        <v>18</v>
      </c>
      <c r="C24" s="203"/>
      <c r="D24" s="15">
        <f t="shared" si="0"/>
        <v>98768</v>
      </c>
      <c r="E24" s="18">
        <f t="shared" si="1"/>
        <v>671561.46975072729</v>
      </c>
      <c r="F24" s="22">
        <f t="shared" si="2"/>
        <v>6.7993830972655847</v>
      </c>
    </row>
    <row r="25" spans="1:6" ht="14.25" customHeight="1" x14ac:dyDescent="0.2">
      <c r="A25" s="20">
        <v>21</v>
      </c>
      <c r="B25" s="202" t="s">
        <v>446</v>
      </c>
      <c r="C25" s="203"/>
      <c r="D25" s="15">
        <f t="shared" si="0"/>
        <v>64228</v>
      </c>
      <c r="E25" s="18">
        <f t="shared" si="1"/>
        <v>384717.09419194184</v>
      </c>
      <c r="F25" s="22">
        <f t="shared" si="2"/>
        <v>5.9898657001921567</v>
      </c>
    </row>
    <row r="26" spans="1:6" x14ac:dyDescent="0.2">
      <c r="A26" s="20">
        <v>22</v>
      </c>
      <c r="B26" s="202" t="s">
        <v>19</v>
      </c>
      <c r="C26" s="203"/>
      <c r="D26" s="15">
        <f t="shared" si="0"/>
        <v>4784</v>
      </c>
      <c r="E26" s="18">
        <f t="shared" si="1"/>
        <v>71263.009631535315</v>
      </c>
      <c r="F26" s="22">
        <f t="shared" si="2"/>
        <v>14.896114053414573</v>
      </c>
    </row>
    <row r="27" spans="1:6" x14ac:dyDescent="0.2">
      <c r="A27" s="20">
        <v>23</v>
      </c>
      <c r="B27" s="202" t="s">
        <v>20</v>
      </c>
      <c r="C27" s="203"/>
      <c r="D27" s="15">
        <f t="shared" si="0"/>
        <v>111744</v>
      </c>
      <c r="E27" s="18">
        <f t="shared" si="1"/>
        <v>1426085.7534001425</v>
      </c>
      <c r="F27" s="22">
        <f t="shared" si="2"/>
        <v>12.762078978738389</v>
      </c>
    </row>
    <row r="28" spans="1:6" x14ac:dyDescent="0.2">
      <c r="A28" s="20">
        <v>24</v>
      </c>
      <c r="B28" s="202" t="s">
        <v>21</v>
      </c>
      <c r="C28" s="203"/>
      <c r="D28" s="15">
        <f t="shared" si="0"/>
        <v>236424</v>
      </c>
      <c r="E28" s="18">
        <f t="shared" si="1"/>
        <v>1109511.2920414098</v>
      </c>
      <c r="F28" s="22">
        <f t="shared" si="2"/>
        <v>4.6928877442282078</v>
      </c>
    </row>
    <row r="29" spans="1:6" x14ac:dyDescent="0.2">
      <c r="A29" s="20">
        <v>25</v>
      </c>
      <c r="B29" s="202" t="s">
        <v>22</v>
      </c>
      <c r="C29" s="203"/>
      <c r="D29" s="15">
        <f t="shared" si="0"/>
        <v>872256</v>
      </c>
      <c r="E29" s="18">
        <f t="shared" si="1"/>
        <v>6574326.090544411</v>
      </c>
      <c r="F29" s="22">
        <f t="shared" si="2"/>
        <v>7.5371520408508639</v>
      </c>
    </row>
    <row r="30" spans="1:6" x14ac:dyDescent="0.2">
      <c r="A30" s="20">
        <v>26</v>
      </c>
      <c r="B30" s="202" t="s">
        <v>23</v>
      </c>
      <c r="C30" s="203"/>
      <c r="D30" s="15">
        <f t="shared" si="0"/>
        <v>284144</v>
      </c>
      <c r="E30" s="18">
        <f t="shared" si="1"/>
        <v>3472753.8931318913</v>
      </c>
      <c r="F30" s="22">
        <f t="shared" si="2"/>
        <v>12.22180969202901</v>
      </c>
    </row>
    <row r="31" spans="1:6" x14ac:dyDescent="0.2">
      <c r="A31" s="20">
        <v>28</v>
      </c>
      <c r="B31" s="202" t="s">
        <v>24</v>
      </c>
      <c r="C31" s="203"/>
      <c r="D31" s="15">
        <f t="shared" si="0"/>
        <v>236624</v>
      </c>
      <c r="E31" s="18">
        <f t="shared" si="1"/>
        <v>1614960.7840828619</v>
      </c>
      <c r="F31" s="22">
        <f t="shared" si="2"/>
        <v>6.8250083849603671</v>
      </c>
    </row>
    <row r="32" spans="1:6" ht="15.75" customHeight="1" thickBot="1" x14ac:dyDescent="0.25">
      <c r="A32" s="23">
        <v>29</v>
      </c>
      <c r="B32" s="206" t="s">
        <v>25</v>
      </c>
      <c r="C32" s="207"/>
      <c r="D32" s="24">
        <f t="shared" si="0"/>
        <v>93184</v>
      </c>
      <c r="E32" s="25">
        <f t="shared" si="1"/>
        <v>1227795.4919533834</v>
      </c>
      <c r="F32" s="26">
        <f t="shared" si="2"/>
        <v>13.176033352865121</v>
      </c>
    </row>
    <row r="33" spans="1:6" x14ac:dyDescent="0.2">
      <c r="B33" s="31" t="s">
        <v>35</v>
      </c>
      <c r="C33" s="31"/>
      <c r="D33" s="60">
        <f>SUM(D5:D32)</f>
        <v>4712229</v>
      </c>
      <c r="E33" s="32">
        <f>SUM(E5:E32)</f>
        <v>37245852.999999993</v>
      </c>
      <c r="F33" s="33">
        <f t="shared" si="2"/>
        <v>7.9040838210536863</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IF(F3="1",SUMIF(Data!A:A,'37'!$A$2,Data!CU:CU),0)</f>
        <v>35608</v>
      </c>
      <c r="E36" s="16">
        <f>IF(F3="1",SUMIF(Data!$A:$A,'37'!$A$2,Data!IO:IO),0)</f>
        <v>101788</v>
      </c>
      <c r="F36" s="21">
        <f t="shared" ref="F36:F64" si="3">IFERROR(E36/D36,"")</f>
        <v>2.8585711076162661</v>
      </c>
    </row>
    <row r="37" spans="1:6" x14ac:dyDescent="0.2">
      <c r="A37" s="20">
        <v>2</v>
      </c>
      <c r="B37" s="202" t="s">
        <v>1</v>
      </c>
      <c r="C37" s="203"/>
      <c r="D37" s="15">
        <f>IF(F3="1",SUMIF(Data!A:A,'37'!$A$2,Data!CV:CV),0)</f>
        <v>74208</v>
      </c>
      <c r="E37" s="18">
        <f>IF(F3="1",SUMIF(Data!$A:$A,'37'!$A$2,Data!IP:IP),0)</f>
        <v>214756</v>
      </c>
      <c r="F37" s="22">
        <f t="shared" si="3"/>
        <v>2.8939736955584303</v>
      </c>
    </row>
    <row r="38" spans="1:6" ht="14.25" customHeight="1" x14ac:dyDescent="0.2">
      <c r="A38" s="20">
        <v>3</v>
      </c>
      <c r="B38" s="202" t="s">
        <v>2</v>
      </c>
      <c r="C38" s="203"/>
      <c r="D38" s="15">
        <f>IF(F3="1",SUMIF(Data!A:A,'37'!$A$2,Data!CW:CW),0)</f>
        <v>529680</v>
      </c>
      <c r="E38" s="18">
        <f>IF(F3="1",SUMIF(Data!$A:$A,'37'!$A$2,Data!IQ:IQ),0)</f>
        <v>557209</v>
      </c>
      <c r="F38" s="22">
        <f t="shared" si="3"/>
        <v>1.0519728892916478</v>
      </c>
    </row>
    <row r="39" spans="1:6" ht="14.25" customHeight="1" x14ac:dyDescent="0.2">
      <c r="A39" s="20">
        <v>4</v>
      </c>
      <c r="B39" s="202" t="s">
        <v>3</v>
      </c>
      <c r="C39" s="203"/>
      <c r="D39" s="15">
        <f>IF(F3="1",SUMIF(Data!A:A,'37'!$A$2,Data!CX:CX),0)</f>
        <v>335335</v>
      </c>
      <c r="E39" s="18">
        <f>IF(F3="1",SUMIF(Data!$A:$A,'37'!$A$2,Data!IR:IR),0)</f>
        <v>241268</v>
      </c>
      <c r="F39" s="22">
        <f t="shared" si="3"/>
        <v>0.71948350157305385</v>
      </c>
    </row>
    <row r="40" spans="1:6" x14ac:dyDescent="0.2">
      <c r="A40" s="20">
        <v>5</v>
      </c>
      <c r="B40" s="202" t="s">
        <v>4</v>
      </c>
      <c r="C40" s="203"/>
      <c r="D40" s="15">
        <f>IF(F3="1",SUMIF(Data!A:A,'37'!$A$2,Data!CY:CY),0)</f>
        <v>0</v>
      </c>
      <c r="E40" s="18">
        <f>IF(F3="1",SUMIF(Data!$A:$A,'37'!$A$2,Data!IS:IS),0)</f>
        <v>0</v>
      </c>
      <c r="F40" s="22" t="str">
        <f t="shared" si="3"/>
        <v/>
      </c>
    </row>
    <row r="41" spans="1:6" x14ac:dyDescent="0.2">
      <c r="A41" s="20">
        <v>6</v>
      </c>
      <c r="B41" s="202" t="s">
        <v>5</v>
      </c>
      <c r="C41" s="203"/>
      <c r="D41" s="15">
        <f>IF(F3="1",SUMIF(Data!A:A,'37'!$A$2,Data!CZ:CZ),0)</f>
        <v>113688</v>
      </c>
      <c r="E41" s="18">
        <f>IF(F3="1",SUMIF(Data!$A:$A,'37'!$A$2,Data!IT:IT),0)</f>
        <v>268794</v>
      </c>
      <c r="F41" s="22">
        <f t="shared" si="3"/>
        <v>2.3643128562381253</v>
      </c>
    </row>
    <row r="42" spans="1:6" x14ac:dyDescent="0.2">
      <c r="A42" s="20">
        <v>7</v>
      </c>
      <c r="B42" s="202" t="s">
        <v>6</v>
      </c>
      <c r="C42" s="203"/>
      <c r="D42" s="15">
        <f>IF(F3="1",SUMIF(Data!A:A,'37'!$A$2,Data!DA:DA),0)</f>
        <v>46936</v>
      </c>
      <c r="E42" s="18">
        <f>IF(F3="1",SUMIF(Data!$A:$A,'37'!$A$2,Data!IU:IU),0)</f>
        <v>478037</v>
      </c>
      <c r="F42" s="22">
        <f t="shared" si="3"/>
        <v>10.184868757456963</v>
      </c>
    </row>
    <row r="43" spans="1:6" x14ac:dyDescent="0.2">
      <c r="A43" s="20">
        <v>8</v>
      </c>
      <c r="B43" s="202" t="s">
        <v>7</v>
      </c>
      <c r="C43" s="203"/>
      <c r="D43" s="15">
        <f>IF(F3="1",SUMIF(Data!A:A,'37'!$A$2,Data!DB:DB),0)</f>
        <v>22192</v>
      </c>
      <c r="E43" s="18">
        <f>IF(F3="1",SUMIF(Data!$A:$A,'37'!$A$2,Data!IV:IV),0)</f>
        <v>21702</v>
      </c>
      <c r="F43" s="22">
        <f t="shared" si="3"/>
        <v>0.97791997116077867</v>
      </c>
    </row>
    <row r="44" spans="1:6" x14ac:dyDescent="0.2">
      <c r="A44" s="20">
        <v>9</v>
      </c>
      <c r="B44" s="202" t="s">
        <v>8</v>
      </c>
      <c r="C44" s="203"/>
      <c r="D44" s="15">
        <f>IF(F3="1",SUMIF(Data!A:A,'37'!$A$2,Data!DC:DC),0)</f>
        <v>170192</v>
      </c>
      <c r="E44" s="18">
        <f>IF(F3="1",SUMIF(Data!$A:$A,'37'!$A$2,Data!IW:IW),0)</f>
        <v>212846</v>
      </c>
      <c r="F44" s="22">
        <f t="shared" si="3"/>
        <v>1.25062282598477</v>
      </c>
    </row>
    <row r="45" spans="1:6" x14ac:dyDescent="0.2">
      <c r="A45" s="20">
        <v>10</v>
      </c>
      <c r="B45" s="202" t="s">
        <v>9</v>
      </c>
      <c r="C45" s="203"/>
      <c r="D45" s="15">
        <f>IF(F3="1",SUMIF(Data!A:A,'37'!$A$2,Data!DD:DD),0)</f>
        <v>7360</v>
      </c>
      <c r="E45" s="18">
        <f>IF(F3="1",SUMIF(Data!$A:$A,'37'!$A$2,Data!IX:IX),0)</f>
        <v>23234</v>
      </c>
      <c r="F45" s="22">
        <f t="shared" si="3"/>
        <v>3.1567934782608695</v>
      </c>
    </row>
    <row r="46" spans="1:6" x14ac:dyDescent="0.2">
      <c r="A46" s="20">
        <v>11</v>
      </c>
      <c r="B46" s="202" t="s">
        <v>10</v>
      </c>
      <c r="C46" s="203"/>
      <c r="D46" s="15">
        <f>IF(F3="1",SUMIF(Data!A:A,'37'!$A$2,Data!DE:DE),0)</f>
        <v>67424</v>
      </c>
      <c r="E46" s="18">
        <f>IF(F3="1",SUMIF(Data!$A:$A,'37'!$A$2,Data!IY:IY),0)</f>
        <v>146550</v>
      </c>
      <c r="F46" s="22">
        <f t="shared" si="3"/>
        <v>2.1735583768391078</v>
      </c>
    </row>
    <row r="47" spans="1:6" ht="14.25" customHeight="1" x14ac:dyDescent="0.2">
      <c r="A47" s="20">
        <v>12</v>
      </c>
      <c r="B47" s="202" t="s">
        <v>11</v>
      </c>
      <c r="C47" s="203"/>
      <c r="D47" s="15">
        <f>IF(F3="1",SUMIF(Data!A:A,'37'!$A$2,Data!DF:DF),0)</f>
        <v>395024</v>
      </c>
      <c r="E47" s="18">
        <f>IF(F3="1",SUMIF(Data!$A:$A,'37'!$A$2,Data!IZ:IZ),0)</f>
        <v>256193</v>
      </c>
      <c r="F47" s="22">
        <f t="shared" si="3"/>
        <v>0.64855046781967673</v>
      </c>
    </row>
    <row r="48" spans="1:6" x14ac:dyDescent="0.2">
      <c r="A48" s="20">
        <v>13</v>
      </c>
      <c r="B48" s="202" t="s">
        <v>12</v>
      </c>
      <c r="C48" s="203"/>
      <c r="D48" s="15">
        <f>IF(F3="1",SUMIF(Data!A:A,'37'!$A$2,Data!DG:DG),0)</f>
        <v>138128</v>
      </c>
      <c r="E48" s="18">
        <f>IF(F3="1",SUMIF(Data!$A:$A,'37'!$A$2,Data!JA:JA),0)</f>
        <v>120416</v>
      </c>
      <c r="F48" s="22">
        <f t="shared" si="3"/>
        <v>0.87177111085370096</v>
      </c>
    </row>
    <row r="49" spans="1:6" ht="14.25" customHeight="1" x14ac:dyDescent="0.2">
      <c r="A49" s="20">
        <v>14</v>
      </c>
      <c r="B49" s="202" t="s">
        <v>449</v>
      </c>
      <c r="C49" s="203"/>
      <c r="D49" s="15">
        <f>IF(F3="1",SUMIF(Data!A:A,'37'!$A$2,Data!DH:DH),0)</f>
        <v>97306</v>
      </c>
      <c r="E49" s="18">
        <f>IF(F3="1",SUMIF(Data!$A:$A,'37'!$A$2,Data!JB:JB),0)</f>
        <v>308253</v>
      </c>
      <c r="F49" s="22">
        <f t="shared" si="3"/>
        <v>3.1678724847388651</v>
      </c>
    </row>
    <row r="50" spans="1:6" x14ac:dyDescent="0.2">
      <c r="A50" s="20">
        <v>15</v>
      </c>
      <c r="B50" s="202" t="s">
        <v>13</v>
      </c>
      <c r="C50" s="203"/>
      <c r="D50" s="15">
        <f>IF(F3="1",SUMIF(Data!A:A,'37'!$A$2,Data!DI:DI),0)</f>
        <v>0</v>
      </c>
      <c r="E50" s="18">
        <f>IF(F3="1",SUMIF(Data!$A:$A,'37'!$A$2,Data!JC:JC),0)</f>
        <v>0</v>
      </c>
      <c r="F50" s="22" t="str">
        <f t="shared" si="3"/>
        <v/>
      </c>
    </row>
    <row r="51" spans="1:6" x14ac:dyDescent="0.2">
      <c r="A51" s="20">
        <v>16</v>
      </c>
      <c r="B51" s="202" t="s">
        <v>14</v>
      </c>
      <c r="C51" s="203"/>
      <c r="D51" s="15">
        <f>IF(F3="1",SUMIF(Data!A:A,'37'!$A$2,Data!DJ:DJ),0)</f>
        <v>168179</v>
      </c>
      <c r="E51" s="18">
        <f>IF(F3="1",SUMIF(Data!$A:$A,'37'!$A$2,Data!JD:JD),0)</f>
        <v>472394</v>
      </c>
      <c r="F51" s="22">
        <f t="shared" si="3"/>
        <v>2.8088762568453851</v>
      </c>
    </row>
    <row r="52" spans="1:6" x14ac:dyDescent="0.2">
      <c r="A52" s="20">
        <v>17</v>
      </c>
      <c r="B52" s="202" t="s">
        <v>15</v>
      </c>
      <c r="C52" s="203"/>
      <c r="D52" s="15">
        <f>IF(F3="1",SUMIF(Data!A:A,'37'!$A$2,Data!DK:DK),0)</f>
        <v>21248</v>
      </c>
      <c r="E52" s="18">
        <f>IF(F3="1",SUMIF(Data!$A:$A,'37'!$A$2,Data!JE:JE),0)</f>
        <v>31220</v>
      </c>
      <c r="F52" s="22">
        <f t="shared" si="3"/>
        <v>1.4693147590361446</v>
      </c>
    </row>
    <row r="53" spans="1:6" x14ac:dyDescent="0.2">
      <c r="A53" s="20">
        <v>18</v>
      </c>
      <c r="B53" s="202" t="s">
        <v>16</v>
      </c>
      <c r="C53" s="203"/>
      <c r="D53" s="15">
        <f>IF(F3="1",SUMIF(Data!A:A,'37'!$A$2,Data!DL:DL),0)</f>
        <v>185600</v>
      </c>
      <c r="E53" s="18">
        <f>IF(F3="1",SUMIF(Data!$A:$A,'37'!$A$2,Data!JF:JF),0)</f>
        <v>238482</v>
      </c>
      <c r="F53" s="22">
        <f t="shared" si="3"/>
        <v>1.2849245689655173</v>
      </c>
    </row>
    <row r="54" spans="1:6" x14ac:dyDescent="0.2">
      <c r="A54" s="20">
        <v>19</v>
      </c>
      <c r="B54" s="202" t="s">
        <v>17</v>
      </c>
      <c r="C54" s="203"/>
      <c r="D54" s="15">
        <f>IF(F3="1",SUMIF(Data!A:A,'37'!$A$2,Data!DM:DM),0)</f>
        <v>301965</v>
      </c>
      <c r="E54" s="18">
        <f>IF(F3="1",SUMIF(Data!$A:$A,'37'!$A$2,Data!JG:JG),0)</f>
        <v>243533</v>
      </c>
      <c r="F54" s="22">
        <f t="shared" si="3"/>
        <v>0.80649413011441728</v>
      </c>
    </row>
    <row r="55" spans="1:6" x14ac:dyDescent="0.2">
      <c r="A55" s="20">
        <v>20</v>
      </c>
      <c r="B55" s="202" t="s">
        <v>18</v>
      </c>
      <c r="C55" s="203"/>
      <c r="D55" s="15">
        <f>IF(F3="1",SUMIF(Data!A:A,'37'!$A$2,Data!DN:DN),0)</f>
        <v>98768</v>
      </c>
      <c r="E55" s="18">
        <f>IF(F3="1",SUMIF(Data!$A:$A,'37'!$A$2,Data!JH:JH),0)</f>
        <v>130377</v>
      </c>
      <c r="F55" s="22">
        <f t="shared" si="3"/>
        <v>1.3200328041470921</v>
      </c>
    </row>
    <row r="56" spans="1:6" ht="14.25" customHeight="1" x14ac:dyDescent="0.2">
      <c r="A56" s="20">
        <v>21</v>
      </c>
      <c r="B56" s="202" t="s">
        <v>446</v>
      </c>
      <c r="C56" s="203"/>
      <c r="D56" s="15">
        <f>IF(F3="1",SUMIF(Data!A:A,'37'!$A$2,Data!DO:DO),0)</f>
        <v>64228</v>
      </c>
      <c r="E56" s="18">
        <f>IF(F3="1",SUMIF(Data!$A:$A,'37'!$A$2,Data!JI:JI),0)</f>
        <v>50601</v>
      </c>
      <c r="F56" s="22">
        <f t="shared" si="3"/>
        <v>0.78783396649436388</v>
      </c>
    </row>
    <row r="57" spans="1:6" x14ac:dyDescent="0.2">
      <c r="A57" s="20">
        <v>22</v>
      </c>
      <c r="B57" s="202" t="s">
        <v>19</v>
      </c>
      <c r="C57" s="203"/>
      <c r="D57" s="15">
        <f>IF(F3="1",SUMIF(Data!A:A,'37'!$A$2,Data!DP:DP),0)</f>
        <v>4784</v>
      </c>
      <c r="E57" s="18">
        <f>IF(F3="1",SUMIF(Data!$A:$A,'37'!$A$2,Data!JJ:JJ),0)</f>
        <v>33835</v>
      </c>
      <c r="F57" s="22">
        <f t="shared" si="3"/>
        <v>7.0725334448160533</v>
      </c>
    </row>
    <row r="58" spans="1:6" x14ac:dyDescent="0.2">
      <c r="A58" s="20">
        <v>23</v>
      </c>
      <c r="B58" s="202" t="s">
        <v>20</v>
      </c>
      <c r="C58" s="203"/>
      <c r="D58" s="15">
        <f>IF(F3="1",SUMIF(Data!A:A,'37'!$A$2,Data!DQ:DQ),0)</f>
        <v>111744</v>
      </c>
      <c r="E58" s="18">
        <f>IF(F3="1",SUMIF(Data!$A:$A,'37'!$A$2,Data!JK:JK),0)</f>
        <v>262008</v>
      </c>
      <c r="F58" s="22">
        <f t="shared" si="3"/>
        <v>2.3447164948453607</v>
      </c>
    </row>
    <row r="59" spans="1:6" x14ac:dyDescent="0.2">
      <c r="A59" s="20">
        <v>24</v>
      </c>
      <c r="B59" s="202" t="s">
        <v>21</v>
      </c>
      <c r="C59" s="203"/>
      <c r="D59" s="15">
        <f>IF(F3="1",SUMIF(Data!A:A,'37'!$A$2,Data!DR:DR),0)</f>
        <v>236424</v>
      </c>
      <c r="E59" s="18">
        <f>IF(F3="1",SUMIF(Data!$A:$A,'37'!$A$2,Data!JL:JL),0)</f>
        <v>139095</v>
      </c>
      <c r="F59" s="22">
        <f t="shared" si="3"/>
        <v>0.58832859608161603</v>
      </c>
    </row>
    <row r="60" spans="1:6" x14ac:dyDescent="0.2">
      <c r="A60" s="20">
        <v>25</v>
      </c>
      <c r="B60" s="202" t="s">
        <v>22</v>
      </c>
      <c r="C60" s="203"/>
      <c r="D60" s="15">
        <f>IF(F3="1",SUMIF(Data!A:A,'37'!$A$2,Data!DS:DS),0)</f>
        <v>872256</v>
      </c>
      <c r="E60" s="18">
        <f>IF(F3="1",SUMIF(Data!$A:$A,'37'!$A$2,Data!JM:JM),0)</f>
        <v>860455</v>
      </c>
      <c r="F60" s="22">
        <f t="shared" si="3"/>
        <v>0.98647071501944383</v>
      </c>
    </row>
    <row r="61" spans="1:6" x14ac:dyDescent="0.2">
      <c r="A61" s="20">
        <v>26</v>
      </c>
      <c r="B61" s="202" t="s">
        <v>23</v>
      </c>
      <c r="C61" s="203"/>
      <c r="D61" s="15">
        <f>IF(F3="1",SUMIF(Data!A:A,'37'!$A$2,Data!DT:DT),0)</f>
        <v>284144</v>
      </c>
      <c r="E61" s="18">
        <f>IF(F3="1",SUMIF(Data!$A:$A,'37'!$A$2,Data!JN:JN),0)</f>
        <v>646207</v>
      </c>
      <c r="F61" s="22">
        <f t="shared" si="3"/>
        <v>2.2742236330874488</v>
      </c>
    </row>
    <row r="62" spans="1:6" x14ac:dyDescent="0.2">
      <c r="A62" s="20">
        <v>28</v>
      </c>
      <c r="B62" s="202" t="s">
        <v>24</v>
      </c>
      <c r="C62" s="203"/>
      <c r="D62" s="15">
        <f>IF(F3="1",SUMIF(Data!A:A,'37'!$A$2,Data!DV:DV),0)</f>
        <v>236624</v>
      </c>
      <c r="E62" s="18">
        <f>IF(F3="1",SUMIF(Data!$A:$A,'37'!$A$2,Data!JP:JP),0)</f>
        <v>206564</v>
      </c>
      <c r="F62" s="22">
        <f t="shared" si="3"/>
        <v>0.87296301305024004</v>
      </c>
    </row>
    <row r="63" spans="1:6" ht="15.75" customHeight="1" thickBot="1" x14ac:dyDescent="0.25">
      <c r="A63" s="23">
        <v>29</v>
      </c>
      <c r="B63" s="206" t="s">
        <v>25</v>
      </c>
      <c r="C63" s="207"/>
      <c r="D63" s="24">
        <f>IF(F3="1",SUMIF(Data!A:A,'37'!$A$2,Data!DW:DW),0)</f>
        <v>93184</v>
      </c>
      <c r="E63" s="25">
        <f>IF(F3="1",SUMIF(Data!$A:$A,'37'!$A$2,Data!JQ:JQ),0)</f>
        <v>198354</v>
      </c>
      <c r="F63" s="26">
        <f t="shared" si="3"/>
        <v>2.1286272321428572</v>
      </c>
    </row>
    <row r="64" spans="1:6" x14ac:dyDescent="0.2">
      <c r="B64" s="31" t="s">
        <v>35</v>
      </c>
      <c r="C64" s="31"/>
      <c r="D64" s="60">
        <f>SUM(D36:D63)</f>
        <v>4712229</v>
      </c>
      <c r="E64" s="32">
        <f>SUM(E36:E63)</f>
        <v>6464171</v>
      </c>
      <c r="F64" s="33">
        <f t="shared" si="3"/>
        <v>1.3717862608120277</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35608</v>
      </c>
      <c r="E67" s="16">
        <f>IF(F3="1",SUMIF(Data!A:A,'37'!$A$2,Data!DY:DY),0)</f>
        <v>256783</v>
      </c>
      <c r="F67" s="21">
        <f>IFERROR(E67/D67,"")</f>
        <v>7.2113850820040444</v>
      </c>
    </row>
    <row r="68" spans="1:6" x14ac:dyDescent="0.2">
      <c r="A68" s="20">
        <v>2</v>
      </c>
      <c r="B68" s="202" t="s">
        <v>1</v>
      </c>
      <c r="C68" s="203"/>
      <c r="D68" s="15">
        <f t="shared" ref="D68:D94" si="4">D37</f>
        <v>74208</v>
      </c>
      <c r="E68" s="18">
        <f>IF(F3="1",SUMIF(Data!A:A,'37'!$A$2,Data!DZ:DZ),0)</f>
        <v>280304</v>
      </c>
      <c r="F68" s="22">
        <f t="shared" ref="F68:F95" si="5">IFERROR(E68/D68,"")</f>
        <v>3.7772746873652436</v>
      </c>
    </row>
    <row r="69" spans="1:6" ht="14.25" customHeight="1" x14ac:dyDescent="0.2">
      <c r="A69" s="20">
        <v>3</v>
      </c>
      <c r="B69" s="202" t="s">
        <v>2</v>
      </c>
      <c r="C69" s="203"/>
      <c r="D69" s="15">
        <f t="shared" si="4"/>
        <v>529680</v>
      </c>
      <c r="E69" s="18">
        <f>IF(F3="1",SUMIF(Data!A:A,'37'!$A$2,Data!EA:EA),0)</f>
        <v>1489741</v>
      </c>
      <c r="F69" s="22">
        <f t="shared" si="5"/>
        <v>2.8125302069173839</v>
      </c>
    </row>
    <row r="70" spans="1:6" ht="14.25" customHeight="1" x14ac:dyDescent="0.2">
      <c r="A70" s="20">
        <v>4</v>
      </c>
      <c r="B70" s="202" t="s">
        <v>3</v>
      </c>
      <c r="C70" s="203"/>
      <c r="D70" s="15">
        <f t="shared" si="4"/>
        <v>335335</v>
      </c>
      <c r="E70" s="18">
        <f>IF(F3="1",SUMIF(Data!A:A,'37'!$A$2,Data!EB:EB),0)</f>
        <v>842502</v>
      </c>
      <c r="F70" s="22">
        <f t="shared" si="5"/>
        <v>2.5124189243592228</v>
      </c>
    </row>
    <row r="71" spans="1:6" x14ac:dyDescent="0.2">
      <c r="A71" s="20">
        <v>5</v>
      </c>
      <c r="B71" s="202" t="s">
        <v>4</v>
      </c>
      <c r="C71" s="203"/>
      <c r="D71" s="15">
        <f t="shared" si="4"/>
        <v>0</v>
      </c>
      <c r="E71" s="18">
        <f>IF(F3="1",SUMIF(Data!A:A,'37'!$A$2,Data!EC:EC),0)</f>
        <v>0</v>
      </c>
      <c r="F71" s="22" t="str">
        <f t="shared" si="5"/>
        <v/>
      </c>
    </row>
    <row r="72" spans="1:6" x14ac:dyDescent="0.2">
      <c r="A72" s="20">
        <v>6</v>
      </c>
      <c r="B72" s="202" t="s">
        <v>5</v>
      </c>
      <c r="C72" s="203"/>
      <c r="D72" s="15">
        <f t="shared" si="4"/>
        <v>113688</v>
      </c>
      <c r="E72" s="18">
        <f>IF(F3="1",SUMIF(Data!A:A,'37'!$A$2,Data!ED:ED),0)</f>
        <v>588246</v>
      </c>
      <c r="F72" s="22">
        <f t="shared" si="5"/>
        <v>5.1742136373232004</v>
      </c>
    </row>
    <row r="73" spans="1:6" x14ac:dyDescent="0.2">
      <c r="A73" s="20">
        <v>7</v>
      </c>
      <c r="B73" s="202" t="s">
        <v>6</v>
      </c>
      <c r="C73" s="203"/>
      <c r="D73" s="15">
        <f t="shared" si="4"/>
        <v>46936</v>
      </c>
      <c r="E73" s="18">
        <f>IF(F3="1",SUMIF(Data!A:A,'37'!$A$2,Data!EE:EE),0)</f>
        <v>497358</v>
      </c>
      <c r="F73" s="22">
        <f t="shared" si="5"/>
        <v>10.596514402590762</v>
      </c>
    </row>
    <row r="74" spans="1:6" x14ac:dyDescent="0.2">
      <c r="A74" s="20">
        <v>8</v>
      </c>
      <c r="B74" s="202" t="s">
        <v>7</v>
      </c>
      <c r="C74" s="203"/>
      <c r="D74" s="15">
        <f t="shared" si="4"/>
        <v>22192</v>
      </c>
      <c r="E74" s="18">
        <f>IF(F3="1",SUMIF(Data!A:A,'37'!$A$2,Data!EF:EF),0)</f>
        <v>75699</v>
      </c>
      <c r="F74" s="22">
        <f t="shared" si="5"/>
        <v>3.4110940879596252</v>
      </c>
    </row>
    <row r="75" spans="1:6" x14ac:dyDescent="0.2">
      <c r="A75" s="20">
        <v>9</v>
      </c>
      <c r="B75" s="202" t="s">
        <v>8</v>
      </c>
      <c r="C75" s="203"/>
      <c r="D75" s="15">
        <f t="shared" si="4"/>
        <v>170192</v>
      </c>
      <c r="E75" s="18">
        <f>IF(F3="1",SUMIF(Data!A:A,'37'!$A$2,Data!EG:EG),0)</f>
        <v>399906</v>
      </c>
      <c r="F75" s="22">
        <f t="shared" si="5"/>
        <v>2.3497344175989472</v>
      </c>
    </row>
    <row r="76" spans="1:6" x14ac:dyDescent="0.2">
      <c r="A76" s="20">
        <v>10</v>
      </c>
      <c r="B76" s="202" t="s">
        <v>9</v>
      </c>
      <c r="C76" s="203"/>
      <c r="D76" s="15">
        <f t="shared" si="4"/>
        <v>7360</v>
      </c>
      <c r="E76" s="18">
        <f>IF(F3="1",SUMIF(Data!A:A,'37'!$A$2,Data!EH:EH),0)</f>
        <v>85441</v>
      </c>
      <c r="F76" s="22">
        <f t="shared" si="5"/>
        <v>11.60883152173913</v>
      </c>
    </row>
    <row r="77" spans="1:6" x14ac:dyDescent="0.2">
      <c r="A77" s="20">
        <v>11</v>
      </c>
      <c r="B77" s="202" t="s">
        <v>10</v>
      </c>
      <c r="C77" s="203"/>
      <c r="D77" s="15">
        <f t="shared" si="4"/>
        <v>67424</v>
      </c>
      <c r="E77" s="18">
        <f>IF(F3="1",SUMIF(Data!A:A,'37'!$A$2,Data!EI:EI),0)</f>
        <v>347200</v>
      </c>
      <c r="F77" s="22">
        <f t="shared" si="5"/>
        <v>5.1495016611295679</v>
      </c>
    </row>
    <row r="78" spans="1:6" ht="14.25" customHeight="1" x14ac:dyDescent="0.2">
      <c r="A78" s="20">
        <v>12</v>
      </c>
      <c r="B78" s="202" t="s">
        <v>11</v>
      </c>
      <c r="C78" s="203"/>
      <c r="D78" s="15">
        <f t="shared" si="4"/>
        <v>395024</v>
      </c>
      <c r="E78" s="18">
        <f>IF(F3="1",SUMIF(Data!A:A,'37'!$A$2,Data!EJ:EJ),0)</f>
        <v>1011028</v>
      </c>
      <c r="F78" s="22">
        <f t="shared" si="5"/>
        <v>2.5594090485641381</v>
      </c>
    </row>
    <row r="79" spans="1:6" x14ac:dyDescent="0.2">
      <c r="A79" s="20">
        <v>13</v>
      </c>
      <c r="B79" s="202" t="s">
        <v>12</v>
      </c>
      <c r="C79" s="203"/>
      <c r="D79" s="15">
        <f t="shared" si="4"/>
        <v>138128</v>
      </c>
      <c r="E79" s="18">
        <f>IF(F3="1",SUMIF(Data!A:A,'37'!$A$2,Data!EK:EK),0)</f>
        <v>466530</v>
      </c>
      <c r="F79" s="22">
        <f t="shared" si="5"/>
        <v>3.3775194022935247</v>
      </c>
    </row>
    <row r="80" spans="1:6" ht="14.25" customHeight="1" x14ac:dyDescent="0.2">
      <c r="A80" s="20">
        <v>14</v>
      </c>
      <c r="B80" s="202" t="s">
        <v>449</v>
      </c>
      <c r="C80" s="203"/>
      <c r="D80" s="15">
        <f t="shared" si="4"/>
        <v>97306</v>
      </c>
      <c r="E80" s="18">
        <f>IF(F3="1",SUMIF(Data!A:A,'37'!$A$2,Data!EL:EL),0)</f>
        <v>429482</v>
      </c>
      <c r="F80" s="22">
        <f t="shared" si="5"/>
        <v>4.4137257723059218</v>
      </c>
    </row>
    <row r="81" spans="1:6" x14ac:dyDescent="0.2">
      <c r="A81" s="20">
        <v>15</v>
      </c>
      <c r="B81" s="202" t="s">
        <v>13</v>
      </c>
      <c r="C81" s="203"/>
      <c r="D81" s="15">
        <f t="shared" si="4"/>
        <v>0</v>
      </c>
      <c r="E81" s="18">
        <f>IF(F3="1",SUMIF(Data!A:A,'37'!$A$2,Data!EM:EM),0)</f>
        <v>0</v>
      </c>
      <c r="F81" s="22" t="str">
        <f t="shared" si="5"/>
        <v/>
      </c>
    </row>
    <row r="82" spans="1:6" x14ac:dyDescent="0.2">
      <c r="A82" s="20">
        <v>16</v>
      </c>
      <c r="B82" s="202" t="s">
        <v>14</v>
      </c>
      <c r="C82" s="203"/>
      <c r="D82" s="15">
        <f t="shared" si="4"/>
        <v>168179</v>
      </c>
      <c r="E82" s="18">
        <f>IF(F3="1",SUMIF(Data!A:A,'37'!$A$2,Data!EN:EN),0)</f>
        <v>1248277</v>
      </c>
      <c r="F82" s="22">
        <f t="shared" si="5"/>
        <v>7.4223119414433434</v>
      </c>
    </row>
    <row r="83" spans="1:6" x14ac:dyDescent="0.2">
      <c r="A83" s="20">
        <v>17</v>
      </c>
      <c r="B83" s="202" t="s">
        <v>15</v>
      </c>
      <c r="C83" s="203"/>
      <c r="D83" s="15">
        <f t="shared" si="4"/>
        <v>21248</v>
      </c>
      <c r="E83" s="18">
        <f>IF(F3="1",SUMIF(Data!A:A,'37'!$A$2,Data!EO:EO),0)</f>
        <v>79172</v>
      </c>
      <c r="F83" s="22">
        <f t="shared" si="5"/>
        <v>3.7260918674698793</v>
      </c>
    </row>
    <row r="84" spans="1:6" x14ac:dyDescent="0.2">
      <c r="A84" s="20">
        <v>18</v>
      </c>
      <c r="B84" s="202" t="s">
        <v>16</v>
      </c>
      <c r="C84" s="203"/>
      <c r="D84" s="15">
        <f t="shared" si="4"/>
        <v>185600</v>
      </c>
      <c r="E84" s="18">
        <f>IF(F3="1",SUMIF(Data!A:A,'37'!$A$2,Data!EP:EP),0)</f>
        <v>59355</v>
      </c>
      <c r="F84" s="22">
        <f t="shared" si="5"/>
        <v>0.31980064655172413</v>
      </c>
    </row>
    <row r="85" spans="1:6" x14ac:dyDescent="0.2">
      <c r="A85" s="20">
        <v>19</v>
      </c>
      <c r="B85" s="202" t="s">
        <v>17</v>
      </c>
      <c r="C85" s="203"/>
      <c r="D85" s="15">
        <f t="shared" si="4"/>
        <v>301965</v>
      </c>
      <c r="E85" s="18">
        <f>IF(F3="1",SUMIF(Data!A:A,'37'!$A$2,Data!EQ:EQ),0)</f>
        <v>841703</v>
      </c>
      <c r="F85" s="22">
        <f t="shared" si="5"/>
        <v>2.7874190717467258</v>
      </c>
    </row>
    <row r="86" spans="1:6" x14ac:dyDescent="0.2">
      <c r="A86" s="20">
        <v>20</v>
      </c>
      <c r="B86" s="202" t="s">
        <v>18</v>
      </c>
      <c r="C86" s="203"/>
      <c r="D86" s="15">
        <f t="shared" si="4"/>
        <v>98768</v>
      </c>
      <c r="E86" s="18">
        <f>IF(F3="1",SUMIF(Data!A:A,'37'!$A$2,Data!ER:ER),0)</f>
        <v>258465</v>
      </c>
      <c r="F86" s="22">
        <f t="shared" si="5"/>
        <v>2.6168900858577677</v>
      </c>
    </row>
    <row r="87" spans="1:6" ht="14.25" customHeight="1" x14ac:dyDescent="0.2">
      <c r="A87" s="20">
        <v>21</v>
      </c>
      <c r="B87" s="202" t="s">
        <v>446</v>
      </c>
      <c r="C87" s="203"/>
      <c r="D87" s="15">
        <f t="shared" si="4"/>
        <v>64228</v>
      </c>
      <c r="E87" s="18">
        <f>IF(F3="1",SUMIF(Data!A:A,'37'!$A$2,Data!ES:ES),0)</f>
        <v>150266</v>
      </c>
      <c r="F87" s="22">
        <f t="shared" si="5"/>
        <v>2.339571526437068</v>
      </c>
    </row>
    <row r="88" spans="1:6" x14ac:dyDescent="0.2">
      <c r="A88" s="20">
        <v>22</v>
      </c>
      <c r="B88" s="202" t="s">
        <v>19</v>
      </c>
      <c r="C88" s="203"/>
      <c r="D88" s="15">
        <f t="shared" si="4"/>
        <v>4784</v>
      </c>
      <c r="E88" s="18">
        <f>IF(F3="1",SUMIF(Data!A:A,'37'!$A$2,Data!ET:ET),0)</f>
        <v>23734</v>
      </c>
      <c r="F88" s="22">
        <f t="shared" si="5"/>
        <v>4.9611204013377925</v>
      </c>
    </row>
    <row r="89" spans="1:6" x14ac:dyDescent="0.2">
      <c r="A89" s="20">
        <v>23</v>
      </c>
      <c r="B89" s="202" t="s">
        <v>20</v>
      </c>
      <c r="C89" s="203"/>
      <c r="D89" s="15">
        <f t="shared" si="4"/>
        <v>111744</v>
      </c>
      <c r="E89" s="18">
        <f>IF(F3="1",SUMIF(Data!A:A,'37'!$A$2,Data!EU:EU),0)</f>
        <v>844215</v>
      </c>
      <c r="F89" s="22">
        <f t="shared" si="5"/>
        <v>7.5549022766323022</v>
      </c>
    </row>
    <row r="90" spans="1:6" x14ac:dyDescent="0.2">
      <c r="A90" s="20">
        <v>24</v>
      </c>
      <c r="B90" s="202" t="s">
        <v>21</v>
      </c>
      <c r="C90" s="203"/>
      <c r="D90" s="15">
        <f t="shared" si="4"/>
        <v>236424</v>
      </c>
      <c r="E90" s="18">
        <f>IF(F3="1",SUMIF(Data!A:A,'37'!$A$2,Data!EV:EV),0)</f>
        <v>293662</v>
      </c>
      <c r="F90" s="22">
        <f t="shared" si="5"/>
        <v>1.242098940885866</v>
      </c>
    </row>
    <row r="91" spans="1:6" x14ac:dyDescent="0.2">
      <c r="A91" s="20">
        <v>25</v>
      </c>
      <c r="B91" s="202" t="s">
        <v>22</v>
      </c>
      <c r="C91" s="203"/>
      <c r="D91" s="15">
        <f t="shared" si="4"/>
        <v>872256</v>
      </c>
      <c r="E91" s="18">
        <f>IF(F3="1",SUMIF(Data!A:A,'37'!$A$2,Data!EW:EW),0)</f>
        <v>3217073</v>
      </c>
      <c r="F91" s="22">
        <f t="shared" si="5"/>
        <v>3.688221118570695</v>
      </c>
    </row>
    <row r="92" spans="1:6" x14ac:dyDescent="0.2">
      <c r="A92" s="20">
        <v>26</v>
      </c>
      <c r="B92" s="202" t="s">
        <v>23</v>
      </c>
      <c r="C92" s="203"/>
      <c r="D92" s="15">
        <f t="shared" si="4"/>
        <v>284144</v>
      </c>
      <c r="E92" s="18">
        <f>IF(F3="1",SUMIF(Data!A:A,'37'!$A$2,Data!EX:EX),0)</f>
        <v>2013196</v>
      </c>
      <c r="F92" s="22">
        <f t="shared" si="5"/>
        <v>7.0851258516808375</v>
      </c>
    </row>
    <row r="93" spans="1:6" x14ac:dyDescent="0.2">
      <c r="A93" s="20">
        <v>28</v>
      </c>
      <c r="B93" s="202" t="s">
        <v>24</v>
      </c>
      <c r="C93" s="203"/>
      <c r="D93" s="15">
        <f t="shared" si="4"/>
        <v>236624</v>
      </c>
      <c r="E93" s="18">
        <f>IF(F3="1",SUMIF(Data!A:A,'37'!$A$2,Data!EZ:EZ),0)</f>
        <v>731070</v>
      </c>
      <c r="F93" s="22">
        <f t="shared" si="5"/>
        <v>3.0895851646494017</v>
      </c>
    </row>
    <row r="94" spans="1:6" ht="15.75" customHeight="1" thickBot="1" x14ac:dyDescent="0.25">
      <c r="A94" s="23">
        <v>29</v>
      </c>
      <c r="B94" s="206" t="s">
        <v>25</v>
      </c>
      <c r="C94" s="207"/>
      <c r="D94" s="24">
        <f t="shared" si="4"/>
        <v>93184</v>
      </c>
      <c r="E94" s="25">
        <f>IF(F3="1",SUMIF(Data!A:A,'37'!$A$2,Data!FA:FA),0)</f>
        <v>762706</v>
      </c>
      <c r="F94" s="26">
        <f t="shared" si="5"/>
        <v>8.1849459134615383</v>
      </c>
    </row>
    <row r="95" spans="1:6" x14ac:dyDescent="0.2">
      <c r="B95" s="31" t="s">
        <v>35</v>
      </c>
      <c r="C95" s="31"/>
      <c r="D95" s="60">
        <f>SUM(D67:D94)</f>
        <v>4712229</v>
      </c>
      <c r="E95" s="32">
        <f>SUM(E67:E94)</f>
        <v>17293114</v>
      </c>
      <c r="F95" s="33">
        <f t="shared" si="5"/>
        <v>3.6698373529809354</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IF(F3="1",SUMIF(Data!A:A,'37'!$A$2,Data!AH:AH),0)</f>
        <v>3799340</v>
      </c>
      <c r="F98" s="21">
        <f t="shared" ref="F98:F105" si="6">IFERROR(E98/$D$95,0)</f>
        <v>0.80627236070233432</v>
      </c>
    </row>
    <row r="99" spans="2:6" x14ac:dyDescent="0.2">
      <c r="B99" s="212" t="s">
        <v>31</v>
      </c>
      <c r="C99" s="213"/>
      <c r="D99" s="37"/>
      <c r="E99" s="18">
        <f>IF(F3="1",SUMIF(Data!A:A,'37'!$A$2,Data!AI:AI),0)</f>
        <v>4218789</v>
      </c>
      <c r="F99" s="22">
        <f t="shared" si="6"/>
        <v>0.89528522489038631</v>
      </c>
    </row>
    <row r="100" spans="2:6" x14ac:dyDescent="0.2">
      <c r="B100" s="212" t="s">
        <v>32</v>
      </c>
      <c r="C100" s="213"/>
      <c r="D100" s="37"/>
      <c r="E100" s="18">
        <f>IF(F3="1",SUMIF(Data!A:A,'37'!$A$2,Data!AJ:AJ),0)</f>
        <v>1852139</v>
      </c>
      <c r="F100" s="22">
        <f t="shared" si="6"/>
        <v>0.39304944645092588</v>
      </c>
    </row>
    <row r="101" spans="2:6" x14ac:dyDescent="0.2">
      <c r="B101" s="212" t="s">
        <v>28</v>
      </c>
      <c r="C101" s="213"/>
      <c r="D101" s="37"/>
      <c r="E101" s="18">
        <f>IF(F3="1",SUMIF(Data!A:A,'37'!$A$2,Data!AK:AK),0)</f>
        <v>0</v>
      </c>
      <c r="F101" s="22">
        <f t="shared" si="6"/>
        <v>0</v>
      </c>
    </row>
    <row r="102" spans="2:6" x14ac:dyDescent="0.2">
      <c r="B102" s="212" t="s">
        <v>33</v>
      </c>
      <c r="C102" s="213"/>
      <c r="D102" s="37"/>
      <c r="E102" s="18">
        <f>IF(F3="1",SUMIF(Data!A:A,'37'!$A$2,Data!AL:AL),0)</f>
        <v>98895</v>
      </c>
      <c r="F102" s="22">
        <f t="shared" si="6"/>
        <v>2.0986883277531714E-2</v>
      </c>
    </row>
    <row r="103" spans="2:6" x14ac:dyDescent="0.2">
      <c r="B103" s="214" t="s">
        <v>34</v>
      </c>
      <c r="C103" s="215"/>
      <c r="D103" s="37"/>
      <c r="E103" s="18">
        <f>IF(F3="1",SUMIF(Data!A:A,'37'!$A$2,Data!AM:AM),0)</f>
        <v>1025055</v>
      </c>
      <c r="F103" s="22">
        <f t="shared" si="6"/>
        <v>0.21753081185146139</v>
      </c>
    </row>
    <row r="104" spans="2:6" ht="15.75" customHeight="1" thickBot="1" x14ac:dyDescent="0.25">
      <c r="B104" s="208" t="s">
        <v>29</v>
      </c>
      <c r="C104" s="209"/>
      <c r="D104" s="38"/>
      <c r="E104" s="25">
        <f>IF(F3="1",SUMIF(Data!A:A,'37'!$A$2,Data!Q:Q),0)</f>
        <v>2494350</v>
      </c>
      <c r="F104" s="26">
        <f t="shared" si="6"/>
        <v>0.52933548008808573</v>
      </c>
    </row>
    <row r="105" spans="2:6" x14ac:dyDescent="0.2">
      <c r="B105" s="31" t="s">
        <v>35</v>
      </c>
      <c r="C105" s="31"/>
      <c r="D105" s="35">
        <f>D95</f>
        <v>4712229</v>
      </c>
      <c r="E105" s="32">
        <f>SUM(E98:E104)</f>
        <v>13488568</v>
      </c>
      <c r="F105" s="33">
        <f t="shared" si="6"/>
        <v>2.862460207260725</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17293114</v>
      </c>
      <c r="D109" s="192">
        <f>IF(F3="1",SUMIF(Data!$A:$A,$A$2,Data!HJ:HJ),0)</f>
        <v>4136749</v>
      </c>
      <c r="E109" s="192">
        <f>IF(F3="1",SUMIF(Data!$A:$A,$A$2,Data!IN:IN),0)</f>
        <v>2327421</v>
      </c>
      <c r="F109" s="185">
        <f>SUM(C109:E109)</f>
        <v>23757284</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490995</v>
      </c>
      <c r="D111" s="52"/>
      <c r="E111" s="193">
        <f>IF(F3="1",SUMIF(Data!A:A,$A$2,Data!AX:AX)-SUMIF(Data!A:A,$A$2,Data!AW:AW),0)</f>
        <v>506597</v>
      </c>
      <c r="F111" s="49">
        <f t="shared" si="7"/>
        <v>997592</v>
      </c>
    </row>
    <row r="112" spans="2:6" x14ac:dyDescent="0.2">
      <c r="B112" s="43" t="s">
        <v>32</v>
      </c>
      <c r="C112" s="193">
        <f>IF(F3="1",SUMIF(Data!A:A,$A$2,Data!V:V),0)</f>
        <v>1389017</v>
      </c>
      <c r="D112" s="52"/>
      <c r="E112" s="193">
        <f>IF(F3="1",SUMIF(Data!A:A,$A$2,Data!AC:AC),0)</f>
        <v>463122</v>
      </c>
      <c r="F112" s="49">
        <f t="shared" si="7"/>
        <v>1852139</v>
      </c>
    </row>
    <row r="113" spans="1:6" x14ac:dyDescent="0.2">
      <c r="B113" s="43" t="s">
        <v>31</v>
      </c>
      <c r="C113" s="193">
        <f>IF(F3="1",SUMIF(Data!A:A,$A$2,Data!U:U),0)</f>
        <v>2808282</v>
      </c>
      <c r="D113" s="52"/>
      <c r="E113" s="193">
        <f>IF(F3="1",SUMIF(Data!A:A,$A$2,Data!AB:AB),0)</f>
        <v>1410507</v>
      </c>
      <c r="F113" s="49">
        <f t="shared" si="7"/>
        <v>4218789</v>
      </c>
    </row>
    <row r="114" spans="1:6" x14ac:dyDescent="0.2">
      <c r="B114" s="43" t="s">
        <v>1002</v>
      </c>
      <c r="C114" s="193">
        <f>IF(F3="1",SUMIF(Data!A:A,$A$2,Data!T:T),0)</f>
        <v>2224327</v>
      </c>
      <c r="D114" s="52"/>
      <c r="E114" s="193">
        <f>IF(F3="1",SUMIF(Data!A:A,$A$2,Data!AA:AA),0)</f>
        <v>1575013</v>
      </c>
      <c r="F114" s="49">
        <f t="shared" si="7"/>
        <v>3799340</v>
      </c>
    </row>
    <row r="115" spans="1:6" x14ac:dyDescent="0.2">
      <c r="B115" s="43" t="s">
        <v>916</v>
      </c>
      <c r="C115" s="193">
        <f>IF(F3="1",SUMIF(Data!A:A,$A$2,Data!BI:BI),0)</f>
        <v>1765643</v>
      </c>
      <c r="D115" s="193">
        <f>IF(F3="1",SUMIF(Data!A:A,$A$2,Data!BL:BL),0)</f>
        <v>969154</v>
      </c>
      <c r="E115" s="193">
        <f>IF(F3="1",SUMIF(Data!A:A,$A$2,Data!BU:BU)-SUMIF(Data!A:A,$A$2,Data!BT:BT),0)</f>
        <v>2835373</v>
      </c>
      <c r="F115" s="49">
        <f t="shared" si="7"/>
        <v>5570170</v>
      </c>
    </row>
    <row r="116" spans="1:6" x14ac:dyDescent="0.2">
      <c r="B116" s="43" t="s">
        <v>33</v>
      </c>
      <c r="C116" s="193">
        <f>IF(F3="1",SUMIF(Data!A:A,$A$2,Data!X:X),0)</f>
        <v>0</v>
      </c>
      <c r="D116" s="51"/>
      <c r="E116" s="193">
        <f>E102-C116</f>
        <v>98895</v>
      </c>
      <c r="F116" s="49">
        <f t="shared" si="7"/>
        <v>98895</v>
      </c>
    </row>
    <row r="117" spans="1:6" ht="15" thickBot="1" x14ac:dyDescent="0.25">
      <c r="B117" s="44" t="s">
        <v>920</v>
      </c>
      <c r="C117" s="53"/>
      <c r="D117" s="53">
        <f>IF(F3="1",SUMIF(Data!A:A,$A$2,Data!Q:Q),0)</f>
        <v>2494350</v>
      </c>
      <c r="E117" s="53"/>
      <c r="F117" s="50">
        <f>SUM(C117:E117)</f>
        <v>2494350</v>
      </c>
    </row>
    <row r="118" spans="1:6" x14ac:dyDescent="0.2">
      <c r="B118" s="14" t="s">
        <v>35</v>
      </c>
      <c r="C118" s="178">
        <f>SUM(C109:C117)</f>
        <v>25971378</v>
      </c>
      <c r="D118" s="194">
        <f>SUM(D109:D117)</f>
        <v>7600253</v>
      </c>
      <c r="E118" s="178">
        <f>SUM(E109:E117)</f>
        <v>9216928</v>
      </c>
      <c r="F118" s="178">
        <f>SUM(F109:F117)</f>
        <v>42788559</v>
      </c>
    </row>
    <row r="119" spans="1:6" x14ac:dyDescent="0.2">
      <c r="C119" s="177"/>
      <c r="D119" s="177"/>
      <c r="E119" s="177"/>
    </row>
    <row r="120" spans="1:6" ht="15" thickBot="1" x14ac:dyDescent="0.25">
      <c r="B120" s="188" t="s">
        <v>921</v>
      </c>
      <c r="C120" s="53"/>
      <c r="D120" s="53"/>
      <c r="E120" s="195">
        <f>IF(F3="1",SUMIF(Data!A:A,$A$2,Data!AF:AF)+SUMIF(Data!A:A,$A$2,Data!AW:AW)+SUMIF(Data!A:A,$A$2,Data!BT:BT),0)</f>
        <v>1128902</v>
      </c>
      <c r="F120" s="181">
        <f>SUM(C120:E120)</f>
        <v>1128902</v>
      </c>
    </row>
    <row r="121" spans="1:6" s="177" customFormat="1" x14ac:dyDescent="0.2">
      <c r="B121" s="14" t="s">
        <v>35</v>
      </c>
      <c r="C121" s="178">
        <f>SUM(C120:C120)</f>
        <v>0</v>
      </c>
      <c r="D121" s="178">
        <f>SUM(D120:D120)</f>
        <v>0</v>
      </c>
      <c r="E121" s="178">
        <f>SUM(E120:E120)</f>
        <v>1128902</v>
      </c>
      <c r="F121" s="178">
        <f>SUM(F120:F120)</f>
        <v>1128902</v>
      </c>
    </row>
    <row r="122" spans="1:6" s="177" customFormat="1" ht="15" thickBot="1" x14ac:dyDescent="0.25">
      <c r="B122" s="14" t="s">
        <v>1396</v>
      </c>
      <c r="C122" s="178"/>
      <c r="D122" s="178"/>
      <c r="E122" s="178"/>
      <c r="F122" s="190">
        <f>F118+F121</f>
        <v>43917461</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440</v>
      </c>
      <c r="B2" s="59" t="str">
        <f>VLOOKUP(A2,Data!A:G,7,0)</f>
        <v>South Texas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8160</v>
      </c>
      <c r="E5" s="16">
        <f>E36+E67+IFERROR($E$105/$D$105*D5,0)</f>
        <v>65344.02428845418</v>
      </c>
      <c r="F5" s="21">
        <f>IFERROR(E5/D5,"")</f>
        <v>8.0078461137811487</v>
      </c>
    </row>
    <row r="6" spans="1:6" x14ac:dyDescent="0.2">
      <c r="A6" s="20">
        <v>2</v>
      </c>
      <c r="B6" s="202" t="s">
        <v>1</v>
      </c>
      <c r="C6" s="203"/>
      <c r="D6" s="15">
        <f t="shared" ref="D6:D32" si="0">D37</f>
        <v>158972</v>
      </c>
      <c r="E6" s="18">
        <f t="shared" ref="E6:E32" si="1">E37+E68+IFERROR($E$105/$D$105*D6,0)</f>
        <v>1467529.5462235464</v>
      </c>
      <c r="F6" s="22">
        <f t="shared" ref="F6:F33" si="2">IFERROR(E6/D6,"")</f>
        <v>9.2313712240114381</v>
      </c>
    </row>
    <row r="7" spans="1:6" ht="14.25" customHeight="1" x14ac:dyDescent="0.2">
      <c r="A7" s="20">
        <v>3</v>
      </c>
      <c r="B7" s="202" t="s">
        <v>2</v>
      </c>
      <c r="C7" s="203"/>
      <c r="D7" s="15">
        <f t="shared" si="0"/>
        <v>1494624</v>
      </c>
      <c r="E7" s="18">
        <f t="shared" si="1"/>
        <v>10605648.001728743</v>
      </c>
      <c r="F7" s="22">
        <f t="shared" si="2"/>
        <v>7.0958635762096307</v>
      </c>
    </row>
    <row r="8" spans="1:6" ht="14.25" customHeight="1" x14ac:dyDescent="0.2">
      <c r="A8" s="20">
        <v>4</v>
      </c>
      <c r="B8" s="202" t="s">
        <v>3</v>
      </c>
      <c r="C8" s="203"/>
      <c r="D8" s="15">
        <f t="shared" si="0"/>
        <v>695970</v>
      </c>
      <c r="E8" s="18">
        <f t="shared" si="1"/>
        <v>3806455.3546612076</v>
      </c>
      <c r="F8" s="22">
        <f t="shared" si="2"/>
        <v>5.4692807946624242</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39514</v>
      </c>
      <c r="E10" s="18">
        <f t="shared" si="1"/>
        <v>391487.66442818363</v>
      </c>
      <c r="F10" s="22">
        <f t="shared" si="2"/>
        <v>9.9075685688157016</v>
      </c>
    </row>
    <row r="11" spans="1:6" x14ac:dyDescent="0.2">
      <c r="A11" s="20">
        <v>7</v>
      </c>
      <c r="B11" s="202" t="s">
        <v>6</v>
      </c>
      <c r="C11" s="203"/>
      <c r="D11" s="15">
        <f t="shared" si="0"/>
        <v>893350</v>
      </c>
      <c r="E11" s="18">
        <f t="shared" si="1"/>
        <v>5626217.76324639</v>
      </c>
      <c r="F11" s="22">
        <f t="shared" si="2"/>
        <v>6.297887460957508</v>
      </c>
    </row>
    <row r="12" spans="1:6" x14ac:dyDescent="0.2">
      <c r="A12" s="20">
        <v>8</v>
      </c>
      <c r="B12" s="202" t="s">
        <v>7</v>
      </c>
      <c r="C12" s="203"/>
      <c r="D12" s="15">
        <f t="shared" si="0"/>
        <v>45252</v>
      </c>
      <c r="E12" s="18">
        <f t="shared" si="1"/>
        <v>989812.65381141286</v>
      </c>
      <c r="F12" s="22">
        <f t="shared" si="2"/>
        <v>21.873346013688078</v>
      </c>
    </row>
    <row r="13" spans="1:6" x14ac:dyDescent="0.2">
      <c r="A13" s="20">
        <v>9</v>
      </c>
      <c r="B13" s="202" t="s">
        <v>8</v>
      </c>
      <c r="C13" s="203"/>
      <c r="D13" s="15">
        <f t="shared" si="0"/>
        <v>257758</v>
      </c>
      <c r="E13" s="18">
        <f t="shared" si="1"/>
        <v>2739261.4331548251</v>
      </c>
      <c r="F13" s="22">
        <f t="shared" si="2"/>
        <v>10.627260582231493</v>
      </c>
    </row>
    <row r="14" spans="1:6" x14ac:dyDescent="0.2">
      <c r="A14" s="20">
        <v>10</v>
      </c>
      <c r="B14" s="202" t="s">
        <v>9</v>
      </c>
      <c r="C14" s="203"/>
      <c r="D14" s="15">
        <f t="shared" si="0"/>
        <v>19440</v>
      </c>
      <c r="E14" s="18">
        <f t="shared" si="1"/>
        <v>170364.73433425848</v>
      </c>
      <c r="F14" s="22">
        <f t="shared" si="2"/>
        <v>8.7636180213095933</v>
      </c>
    </row>
    <row r="15" spans="1:6" x14ac:dyDescent="0.2">
      <c r="A15" s="20">
        <v>11</v>
      </c>
      <c r="B15" s="202" t="s">
        <v>10</v>
      </c>
      <c r="C15" s="203"/>
      <c r="D15" s="15">
        <f t="shared" si="0"/>
        <v>257799</v>
      </c>
      <c r="E15" s="18">
        <f t="shared" si="1"/>
        <v>1694503.6934484313</v>
      </c>
      <c r="F15" s="22">
        <f t="shared" si="2"/>
        <v>6.5729645710356959</v>
      </c>
    </row>
    <row r="16" spans="1:6" ht="14.25" customHeight="1" x14ac:dyDescent="0.2">
      <c r="A16" s="20">
        <v>12</v>
      </c>
      <c r="B16" s="202" t="s">
        <v>11</v>
      </c>
      <c r="C16" s="203"/>
      <c r="D16" s="15">
        <f t="shared" si="0"/>
        <v>1219120</v>
      </c>
      <c r="E16" s="18">
        <f t="shared" si="1"/>
        <v>10065406.44246817</v>
      </c>
      <c r="F16" s="22">
        <f t="shared" si="2"/>
        <v>8.2562885052071735</v>
      </c>
    </row>
    <row r="17" spans="1:6" x14ac:dyDescent="0.2">
      <c r="A17" s="20">
        <v>13</v>
      </c>
      <c r="B17" s="202" t="s">
        <v>12</v>
      </c>
      <c r="C17" s="203"/>
      <c r="D17" s="15">
        <f t="shared" si="0"/>
        <v>378016</v>
      </c>
      <c r="E17" s="18">
        <f t="shared" si="1"/>
        <v>2407421.0036059185</v>
      </c>
      <c r="F17" s="22">
        <f t="shared" si="2"/>
        <v>6.3685690648171462</v>
      </c>
    </row>
    <row r="18" spans="1:6" ht="14.25" customHeight="1" x14ac:dyDescent="0.2">
      <c r="A18" s="20">
        <v>14</v>
      </c>
      <c r="B18" s="202" t="s">
        <v>449</v>
      </c>
      <c r="C18" s="203"/>
      <c r="D18" s="15">
        <f t="shared" si="0"/>
        <v>316180</v>
      </c>
      <c r="E18" s="18">
        <f t="shared" si="1"/>
        <v>3474978.6739612063</v>
      </c>
      <c r="F18" s="22">
        <f t="shared" si="2"/>
        <v>10.990507539886162</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474252</v>
      </c>
      <c r="E20" s="18">
        <f t="shared" si="1"/>
        <v>4739111.9454470556</v>
      </c>
      <c r="F20" s="22">
        <f t="shared" si="2"/>
        <v>9.9928138319860658</v>
      </c>
    </row>
    <row r="21" spans="1:6" x14ac:dyDescent="0.2">
      <c r="A21" s="20">
        <v>17</v>
      </c>
      <c r="B21" s="202" t="s">
        <v>15</v>
      </c>
      <c r="C21" s="203"/>
      <c r="D21" s="15">
        <f t="shared" si="0"/>
        <v>28224</v>
      </c>
      <c r="E21" s="18">
        <f t="shared" si="1"/>
        <v>378775.69577418268</v>
      </c>
      <c r="F21" s="22">
        <f t="shared" si="2"/>
        <v>13.420340694946949</v>
      </c>
    </row>
    <row r="22" spans="1:6" x14ac:dyDescent="0.2">
      <c r="A22" s="20">
        <v>18</v>
      </c>
      <c r="B22" s="202" t="s">
        <v>16</v>
      </c>
      <c r="C22" s="203"/>
      <c r="D22" s="15">
        <f t="shared" si="0"/>
        <v>241808</v>
      </c>
      <c r="E22" s="18">
        <f t="shared" si="1"/>
        <v>2993030.9530811924</v>
      </c>
      <c r="F22" s="22">
        <f t="shared" si="2"/>
        <v>12.377716837661254</v>
      </c>
    </row>
    <row r="23" spans="1:6" x14ac:dyDescent="0.2">
      <c r="A23" s="20">
        <v>19</v>
      </c>
      <c r="B23" s="202" t="s">
        <v>17</v>
      </c>
      <c r="C23" s="203"/>
      <c r="D23" s="15">
        <f t="shared" si="0"/>
        <v>914304</v>
      </c>
      <c r="E23" s="18">
        <f t="shared" si="1"/>
        <v>5453032.4508616189</v>
      </c>
      <c r="F23" s="22">
        <f t="shared" si="2"/>
        <v>5.9641349604306866</v>
      </c>
    </row>
    <row r="24" spans="1:6" x14ac:dyDescent="0.2">
      <c r="A24" s="20">
        <v>20</v>
      </c>
      <c r="B24" s="202" t="s">
        <v>18</v>
      </c>
      <c r="C24" s="203"/>
      <c r="D24" s="15">
        <f t="shared" si="0"/>
        <v>205376</v>
      </c>
      <c r="E24" s="18">
        <f t="shared" si="1"/>
        <v>1578718.3916992114</v>
      </c>
      <c r="F24" s="22">
        <f t="shared" si="2"/>
        <v>7.686966304238136</v>
      </c>
    </row>
    <row r="25" spans="1:6" ht="14.25" customHeight="1" x14ac:dyDescent="0.2">
      <c r="A25" s="20">
        <v>21</v>
      </c>
      <c r="B25" s="202" t="s">
        <v>446</v>
      </c>
      <c r="C25" s="203"/>
      <c r="D25" s="15">
        <f t="shared" si="0"/>
        <v>99634</v>
      </c>
      <c r="E25" s="18">
        <f t="shared" si="1"/>
        <v>701564.41690635332</v>
      </c>
      <c r="F25" s="22">
        <f t="shared" si="2"/>
        <v>7.0414157507111357</v>
      </c>
    </row>
    <row r="26" spans="1:6" x14ac:dyDescent="0.2">
      <c r="A26" s="20">
        <v>22</v>
      </c>
      <c r="B26" s="202" t="s">
        <v>19</v>
      </c>
      <c r="C26" s="203"/>
      <c r="D26" s="15">
        <f t="shared" si="0"/>
        <v>148856</v>
      </c>
      <c r="E26" s="18">
        <f t="shared" si="1"/>
        <v>1214046.7381718303</v>
      </c>
      <c r="F26" s="22">
        <f t="shared" si="2"/>
        <v>8.1558468464276235</v>
      </c>
    </row>
    <row r="27" spans="1:6" x14ac:dyDescent="0.2">
      <c r="A27" s="20">
        <v>23</v>
      </c>
      <c r="B27" s="202" t="s">
        <v>20</v>
      </c>
      <c r="C27" s="203"/>
      <c r="D27" s="15">
        <f t="shared" si="0"/>
        <v>74976</v>
      </c>
      <c r="E27" s="18">
        <f t="shared" si="1"/>
        <v>706468.14081509074</v>
      </c>
      <c r="F27" s="22">
        <f t="shared" si="2"/>
        <v>9.4225904398086158</v>
      </c>
    </row>
    <row r="28" spans="1:6" x14ac:dyDescent="0.2">
      <c r="A28" s="20">
        <v>24</v>
      </c>
      <c r="B28" s="202" t="s">
        <v>21</v>
      </c>
      <c r="C28" s="203"/>
      <c r="D28" s="15">
        <f t="shared" si="0"/>
        <v>255908</v>
      </c>
      <c r="E28" s="18">
        <f t="shared" si="1"/>
        <v>1637166.5906384476</v>
      </c>
      <c r="F28" s="22">
        <f t="shared" si="2"/>
        <v>6.3974810894479557</v>
      </c>
    </row>
    <row r="29" spans="1:6" x14ac:dyDescent="0.2">
      <c r="A29" s="20">
        <v>25</v>
      </c>
      <c r="B29" s="202" t="s">
        <v>22</v>
      </c>
      <c r="C29" s="203"/>
      <c r="D29" s="15">
        <f t="shared" si="0"/>
        <v>1719600</v>
      </c>
      <c r="E29" s="18">
        <f t="shared" si="1"/>
        <v>12016550.265493359</v>
      </c>
      <c r="F29" s="22">
        <f t="shared" si="2"/>
        <v>6.9879915477397994</v>
      </c>
    </row>
    <row r="30" spans="1:6" x14ac:dyDescent="0.2">
      <c r="A30" s="20">
        <v>26</v>
      </c>
      <c r="B30" s="202" t="s">
        <v>23</v>
      </c>
      <c r="C30" s="203"/>
      <c r="D30" s="15">
        <f t="shared" si="0"/>
        <v>423840</v>
      </c>
      <c r="E30" s="18">
        <f t="shared" si="1"/>
        <v>3136012.8498061788</v>
      </c>
      <c r="F30" s="22">
        <f t="shared" si="2"/>
        <v>7.399048815133491</v>
      </c>
    </row>
    <row r="31" spans="1:6" x14ac:dyDescent="0.2">
      <c r="A31" s="20">
        <v>28</v>
      </c>
      <c r="B31" s="202" t="s">
        <v>24</v>
      </c>
      <c r="C31" s="203"/>
      <c r="D31" s="15">
        <f t="shared" si="0"/>
        <v>525472</v>
      </c>
      <c r="E31" s="18">
        <f t="shared" si="1"/>
        <v>4163632.5366302198</v>
      </c>
      <c r="F31" s="22">
        <f t="shared" si="2"/>
        <v>7.9236049430421023</v>
      </c>
    </row>
    <row r="32" spans="1:6" ht="15.75" customHeight="1" thickBot="1" x14ac:dyDescent="0.25">
      <c r="A32" s="23">
        <v>29</v>
      </c>
      <c r="B32" s="206" t="s">
        <v>25</v>
      </c>
      <c r="C32" s="207"/>
      <c r="D32" s="24">
        <f t="shared" si="0"/>
        <v>711456</v>
      </c>
      <c r="E32" s="25">
        <f t="shared" si="1"/>
        <v>4985726.0353145171</v>
      </c>
      <c r="F32" s="26">
        <f t="shared" si="2"/>
        <v>7.007778464605706</v>
      </c>
    </row>
    <row r="33" spans="1:6" x14ac:dyDescent="0.2">
      <c r="B33" s="31" t="s">
        <v>35</v>
      </c>
      <c r="C33" s="31"/>
      <c r="D33" s="60">
        <f>SUM(D5:D32)</f>
        <v>11607861</v>
      </c>
      <c r="E33" s="32">
        <f>SUM(E5:E32)</f>
        <v>87208268</v>
      </c>
      <c r="F33" s="33">
        <f t="shared" si="2"/>
        <v>7.5128628780099964</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IF(F3="1",SUMIF(Data!A:A,'38'!$A$2,Data!CU:CU),0)</f>
        <v>8160</v>
      </c>
      <c r="E36" s="16">
        <f>IF(F3="1",SUMIF(Data!$A:$A,'38'!$A$2,Data!IO:IO),0)</f>
        <v>15835</v>
      </c>
      <c r="F36" s="21">
        <f t="shared" ref="F36:F64" si="3">IFERROR(E36/D36,"")</f>
        <v>1.9405637254901962</v>
      </c>
    </row>
    <row r="37" spans="1:6" x14ac:dyDescent="0.2">
      <c r="A37" s="20">
        <v>2</v>
      </c>
      <c r="B37" s="202" t="s">
        <v>1</v>
      </c>
      <c r="C37" s="203"/>
      <c r="D37" s="15">
        <f>IF(F3="1",SUMIF(Data!A:A,'38'!$A$2,Data!CV:CV),0)</f>
        <v>158972</v>
      </c>
      <c r="E37" s="18">
        <f>IF(F3="1",SUMIF(Data!$A:$A,'38'!$A$2,Data!IP:IP),0)</f>
        <v>393107</v>
      </c>
      <c r="F37" s="22">
        <f t="shared" si="3"/>
        <v>2.4728065319678936</v>
      </c>
    </row>
    <row r="38" spans="1:6" ht="14.25" customHeight="1" x14ac:dyDescent="0.2">
      <c r="A38" s="20">
        <v>3</v>
      </c>
      <c r="B38" s="202" t="s">
        <v>2</v>
      </c>
      <c r="C38" s="203"/>
      <c r="D38" s="15">
        <f>IF(F3="1",SUMIF(Data!A:A,'38'!$A$2,Data!CW:CW),0)</f>
        <v>1494624</v>
      </c>
      <c r="E38" s="18">
        <f>IF(F3="1",SUMIF(Data!$A:$A,'38'!$A$2,Data!IQ:IQ),0)</f>
        <v>1537412</v>
      </c>
      <c r="F38" s="22">
        <f t="shared" si="3"/>
        <v>1.0286279358554393</v>
      </c>
    </row>
    <row r="39" spans="1:6" ht="14.25" customHeight="1" x14ac:dyDescent="0.2">
      <c r="A39" s="20">
        <v>4</v>
      </c>
      <c r="B39" s="202" t="s">
        <v>3</v>
      </c>
      <c r="C39" s="203"/>
      <c r="D39" s="15">
        <f>IF(F3="1",SUMIF(Data!A:A,'38'!$A$2,Data!CX:CX),0)</f>
        <v>695970</v>
      </c>
      <c r="E39" s="18">
        <f>IF(F3="1",SUMIF(Data!$A:$A,'38'!$A$2,Data!IR:IR),0)</f>
        <v>344015</v>
      </c>
      <c r="F39" s="22">
        <f t="shared" si="3"/>
        <v>0.49429573113783642</v>
      </c>
    </row>
    <row r="40" spans="1:6" x14ac:dyDescent="0.2">
      <c r="A40" s="20">
        <v>5</v>
      </c>
      <c r="B40" s="202" t="s">
        <v>4</v>
      </c>
      <c r="C40" s="203"/>
      <c r="D40" s="15">
        <f>IF(F3="1",SUMIF(Data!A:A,'38'!$A$2,Data!CY:CY),0)</f>
        <v>0</v>
      </c>
      <c r="E40" s="18">
        <f>IF(F3="1",SUMIF(Data!$A:$A,'38'!$A$2,Data!IS:IS),0)</f>
        <v>0</v>
      </c>
      <c r="F40" s="22" t="str">
        <f t="shared" si="3"/>
        <v/>
      </c>
    </row>
    <row r="41" spans="1:6" x14ac:dyDescent="0.2">
      <c r="A41" s="20">
        <v>6</v>
      </c>
      <c r="B41" s="202" t="s">
        <v>5</v>
      </c>
      <c r="C41" s="203"/>
      <c r="D41" s="15">
        <f>IF(F3="1",SUMIF(Data!A:A,'38'!$A$2,Data!CZ:CZ),0)</f>
        <v>39514</v>
      </c>
      <c r="E41" s="18">
        <f>IF(F3="1",SUMIF(Data!$A:$A,'38'!$A$2,Data!IT:IT),0)</f>
        <v>176980</v>
      </c>
      <c r="F41" s="22">
        <f t="shared" si="3"/>
        <v>4.4789188642000299</v>
      </c>
    </row>
    <row r="42" spans="1:6" x14ac:dyDescent="0.2">
      <c r="A42" s="20">
        <v>7</v>
      </c>
      <c r="B42" s="202" t="s">
        <v>6</v>
      </c>
      <c r="C42" s="203"/>
      <c r="D42" s="15">
        <f>IF(F3="1",SUMIF(Data!A:A,'38'!$A$2,Data!DA:DA),0)</f>
        <v>893350</v>
      </c>
      <c r="E42" s="18">
        <f>IF(F3="1",SUMIF(Data!$A:$A,'38'!$A$2,Data!IU:IU),0)</f>
        <v>776534</v>
      </c>
      <c r="F42" s="22">
        <f t="shared" si="3"/>
        <v>0.86923826048021491</v>
      </c>
    </row>
    <row r="43" spans="1:6" x14ac:dyDescent="0.2">
      <c r="A43" s="20">
        <v>8</v>
      </c>
      <c r="B43" s="202" t="s">
        <v>7</v>
      </c>
      <c r="C43" s="203"/>
      <c r="D43" s="15">
        <f>IF(F3="1",SUMIF(Data!A:A,'38'!$A$2,Data!DB:DB),0)</f>
        <v>45252</v>
      </c>
      <c r="E43" s="18">
        <f>IF(F3="1",SUMIF(Data!$A:$A,'38'!$A$2,Data!IV:IV),0)</f>
        <v>307470</v>
      </c>
      <c r="F43" s="22">
        <f t="shared" si="3"/>
        <v>6.7946168125165736</v>
      </c>
    </row>
    <row r="44" spans="1:6" x14ac:dyDescent="0.2">
      <c r="A44" s="20">
        <v>9</v>
      </c>
      <c r="B44" s="202" t="s">
        <v>8</v>
      </c>
      <c r="C44" s="203"/>
      <c r="D44" s="15">
        <f>IF(F3="1",SUMIF(Data!A:A,'38'!$A$2,Data!DC:DC),0)</f>
        <v>257758</v>
      </c>
      <c r="E44" s="18">
        <f>IF(F3="1",SUMIF(Data!$A:$A,'38'!$A$2,Data!IW:IW),0)</f>
        <v>721905</v>
      </c>
      <c r="F44" s="22">
        <f t="shared" si="3"/>
        <v>2.800708416421605</v>
      </c>
    </row>
    <row r="45" spans="1:6" x14ac:dyDescent="0.2">
      <c r="A45" s="20">
        <v>10</v>
      </c>
      <c r="B45" s="202" t="s">
        <v>9</v>
      </c>
      <c r="C45" s="203"/>
      <c r="D45" s="15">
        <f>IF(F3="1",SUMIF(Data!A:A,'38'!$A$2,Data!DD:DD),0)</f>
        <v>19440</v>
      </c>
      <c r="E45" s="18">
        <f>IF(F3="1",SUMIF(Data!$A:$A,'38'!$A$2,Data!IX:IX),0)</f>
        <v>40200</v>
      </c>
      <c r="F45" s="22">
        <f t="shared" si="3"/>
        <v>2.0679012345679011</v>
      </c>
    </row>
    <row r="46" spans="1:6" x14ac:dyDescent="0.2">
      <c r="A46" s="20">
        <v>11</v>
      </c>
      <c r="B46" s="202" t="s">
        <v>10</v>
      </c>
      <c r="C46" s="203"/>
      <c r="D46" s="15">
        <f>IF(F3="1",SUMIF(Data!A:A,'38'!$A$2,Data!DE:DE),0)</f>
        <v>257799</v>
      </c>
      <c r="E46" s="18">
        <f>IF(F3="1",SUMIF(Data!$A:$A,'38'!$A$2,Data!IY:IY),0)</f>
        <v>385601</v>
      </c>
      <c r="F46" s="22">
        <f t="shared" si="3"/>
        <v>1.495742807380944</v>
      </c>
    </row>
    <row r="47" spans="1:6" ht="14.25" customHeight="1" x14ac:dyDescent="0.2">
      <c r="A47" s="20">
        <v>12</v>
      </c>
      <c r="B47" s="202" t="s">
        <v>11</v>
      </c>
      <c r="C47" s="203"/>
      <c r="D47" s="15">
        <f>IF(F3="1",SUMIF(Data!A:A,'38'!$A$2,Data!DF:DF),0)</f>
        <v>1219120</v>
      </c>
      <c r="E47" s="18">
        <f>IF(F3="1",SUMIF(Data!$A:$A,'38'!$A$2,Data!IZ:IZ),0)</f>
        <v>992658</v>
      </c>
      <c r="F47" s="22">
        <f t="shared" si="3"/>
        <v>0.81424142004068512</v>
      </c>
    </row>
    <row r="48" spans="1:6" x14ac:dyDescent="0.2">
      <c r="A48" s="20">
        <v>13</v>
      </c>
      <c r="B48" s="202" t="s">
        <v>12</v>
      </c>
      <c r="C48" s="203"/>
      <c r="D48" s="15">
        <f>IF(F3="1",SUMIF(Data!A:A,'38'!$A$2,Data!DG:DG),0)</f>
        <v>378016</v>
      </c>
      <c r="E48" s="18">
        <f>IF(F3="1",SUMIF(Data!$A:$A,'38'!$A$2,Data!JA:JA),0)</f>
        <v>168993</v>
      </c>
      <c r="F48" s="22">
        <f t="shared" si="3"/>
        <v>0.44705250571404387</v>
      </c>
    </row>
    <row r="49" spans="1:6" ht="14.25" customHeight="1" x14ac:dyDescent="0.2">
      <c r="A49" s="20">
        <v>14</v>
      </c>
      <c r="B49" s="202" t="s">
        <v>449</v>
      </c>
      <c r="C49" s="203"/>
      <c r="D49" s="15">
        <f>IF(F3="1",SUMIF(Data!A:A,'38'!$A$2,Data!DH:DH),0)</f>
        <v>316180</v>
      </c>
      <c r="E49" s="18">
        <f>IF(F3="1",SUMIF(Data!$A:$A,'38'!$A$2,Data!JB:JB),0)</f>
        <v>499637</v>
      </c>
      <c r="F49" s="22">
        <f t="shared" si="3"/>
        <v>1.5802296160414953</v>
      </c>
    </row>
    <row r="50" spans="1:6" x14ac:dyDescent="0.2">
      <c r="A50" s="20">
        <v>15</v>
      </c>
      <c r="B50" s="202" t="s">
        <v>13</v>
      </c>
      <c r="C50" s="203"/>
      <c r="D50" s="15">
        <f>IF(F3="1",SUMIF(Data!A:A,'38'!$A$2,Data!DI:DI),0)</f>
        <v>0</v>
      </c>
      <c r="E50" s="18">
        <f>IF(F3="1",SUMIF(Data!$A:$A,'38'!$A$2,Data!JC:JC),0)</f>
        <v>0</v>
      </c>
      <c r="F50" s="22" t="str">
        <f t="shared" si="3"/>
        <v/>
      </c>
    </row>
    <row r="51" spans="1:6" x14ac:dyDescent="0.2">
      <c r="A51" s="20">
        <v>16</v>
      </c>
      <c r="B51" s="202" t="s">
        <v>14</v>
      </c>
      <c r="C51" s="203"/>
      <c r="D51" s="15">
        <f>IF(F3="1",SUMIF(Data!A:A,'38'!$A$2,Data!DJ:DJ),0)</f>
        <v>474252</v>
      </c>
      <c r="E51" s="18">
        <f>IF(F3="1",SUMIF(Data!$A:$A,'38'!$A$2,Data!JD:JD),0)</f>
        <v>942785</v>
      </c>
      <c r="F51" s="22">
        <f t="shared" si="3"/>
        <v>1.9879410102645851</v>
      </c>
    </row>
    <row r="52" spans="1:6" x14ac:dyDescent="0.2">
      <c r="A52" s="20">
        <v>17</v>
      </c>
      <c r="B52" s="202" t="s">
        <v>15</v>
      </c>
      <c r="C52" s="203"/>
      <c r="D52" s="15">
        <f>IF(F3="1",SUMIF(Data!A:A,'38'!$A$2,Data!DK:DK),0)</f>
        <v>28224</v>
      </c>
      <c r="E52" s="18">
        <f>IF(F3="1",SUMIF(Data!$A:$A,'38'!$A$2,Data!JE:JE),0)</f>
        <v>92032</v>
      </c>
      <c r="F52" s="22">
        <f t="shared" si="3"/>
        <v>3.2607709750566896</v>
      </c>
    </row>
    <row r="53" spans="1:6" x14ac:dyDescent="0.2">
      <c r="A53" s="20">
        <v>18</v>
      </c>
      <c r="B53" s="202" t="s">
        <v>16</v>
      </c>
      <c r="C53" s="203"/>
      <c r="D53" s="15">
        <f>IF(F3="1",SUMIF(Data!A:A,'38'!$A$2,Data!DL:DL),0)</f>
        <v>241808</v>
      </c>
      <c r="E53" s="18">
        <f>IF(F3="1",SUMIF(Data!$A:$A,'38'!$A$2,Data!JF:JF),0)</f>
        <v>521205</v>
      </c>
      <c r="F53" s="22">
        <f t="shared" si="3"/>
        <v>2.1554497783365316</v>
      </c>
    </row>
    <row r="54" spans="1:6" x14ac:dyDescent="0.2">
      <c r="A54" s="20">
        <v>19</v>
      </c>
      <c r="B54" s="202" t="s">
        <v>17</v>
      </c>
      <c r="C54" s="203"/>
      <c r="D54" s="15">
        <f>IF(F3="1",SUMIF(Data!A:A,'38'!$A$2,Data!DM:DM),0)</f>
        <v>914304</v>
      </c>
      <c r="E54" s="18">
        <f>IF(F3="1",SUMIF(Data!$A:$A,'38'!$A$2,Data!JG:JG),0)</f>
        <v>439433</v>
      </c>
      <c r="F54" s="22">
        <f t="shared" si="3"/>
        <v>0.48062023134537307</v>
      </c>
    </row>
    <row r="55" spans="1:6" x14ac:dyDescent="0.2">
      <c r="A55" s="20">
        <v>20</v>
      </c>
      <c r="B55" s="202" t="s">
        <v>18</v>
      </c>
      <c r="C55" s="203"/>
      <c r="D55" s="15">
        <f>IF(F3="1",SUMIF(Data!A:A,'38'!$A$2,Data!DN:DN),0)</f>
        <v>205376</v>
      </c>
      <c r="E55" s="18">
        <f>IF(F3="1",SUMIF(Data!$A:$A,'38'!$A$2,Data!JH:JH),0)</f>
        <v>257179</v>
      </c>
      <c r="F55" s="22">
        <f t="shared" si="3"/>
        <v>1.252234925210346</v>
      </c>
    </row>
    <row r="56" spans="1:6" ht="14.25" customHeight="1" x14ac:dyDescent="0.2">
      <c r="A56" s="20">
        <v>21</v>
      </c>
      <c r="B56" s="202" t="s">
        <v>446</v>
      </c>
      <c r="C56" s="203"/>
      <c r="D56" s="15">
        <f>IF(F3="1",SUMIF(Data!A:A,'38'!$A$2,Data!DO:DO),0)</f>
        <v>99634</v>
      </c>
      <c r="E56" s="18">
        <f>IF(F3="1",SUMIF(Data!$A:$A,'38'!$A$2,Data!JI:JI),0)</f>
        <v>171923</v>
      </c>
      <c r="F56" s="22">
        <f t="shared" si="3"/>
        <v>1.7255454965172532</v>
      </c>
    </row>
    <row r="57" spans="1:6" x14ac:dyDescent="0.2">
      <c r="A57" s="20">
        <v>22</v>
      </c>
      <c r="B57" s="202" t="s">
        <v>19</v>
      </c>
      <c r="C57" s="203"/>
      <c r="D57" s="15">
        <f>IF(F3="1",SUMIF(Data!A:A,'38'!$A$2,Data!DP:DP),0)</f>
        <v>148856</v>
      </c>
      <c r="E57" s="18">
        <f>IF(F3="1",SUMIF(Data!$A:$A,'38'!$A$2,Data!JJ:JJ),0)</f>
        <v>216267</v>
      </c>
      <c r="F57" s="22">
        <f t="shared" si="3"/>
        <v>1.4528604826140701</v>
      </c>
    </row>
    <row r="58" spans="1:6" x14ac:dyDescent="0.2">
      <c r="A58" s="20">
        <v>23</v>
      </c>
      <c r="B58" s="202" t="s">
        <v>20</v>
      </c>
      <c r="C58" s="203"/>
      <c r="D58" s="15">
        <f>IF(F3="1",SUMIF(Data!A:A,'38'!$A$2,Data!DQ:DQ),0)</f>
        <v>74976</v>
      </c>
      <c r="E58" s="18">
        <f>IF(F3="1",SUMIF(Data!$A:$A,'38'!$A$2,Data!JK:JK),0)</f>
        <v>82552</v>
      </c>
      <c r="F58" s="22">
        <f t="shared" si="3"/>
        <v>1.1010456679470764</v>
      </c>
    </row>
    <row r="59" spans="1:6" x14ac:dyDescent="0.2">
      <c r="A59" s="20">
        <v>24</v>
      </c>
      <c r="B59" s="202" t="s">
        <v>21</v>
      </c>
      <c r="C59" s="203"/>
      <c r="D59" s="15">
        <f>IF(F3="1",SUMIF(Data!A:A,'38'!$A$2,Data!DR:DR),0)</f>
        <v>255908</v>
      </c>
      <c r="E59" s="18">
        <f>IF(F3="1",SUMIF(Data!$A:$A,'38'!$A$2,Data!JL:JL),0)</f>
        <v>230367</v>
      </c>
      <c r="F59" s="22">
        <f t="shared" si="3"/>
        <v>0.90019460118480077</v>
      </c>
    </row>
    <row r="60" spans="1:6" x14ac:dyDescent="0.2">
      <c r="A60" s="20">
        <v>25</v>
      </c>
      <c r="B60" s="202" t="s">
        <v>22</v>
      </c>
      <c r="C60" s="203"/>
      <c r="D60" s="15">
        <f>IF(F3="1",SUMIF(Data!A:A,'38'!$A$2,Data!DS:DS),0)</f>
        <v>1719600</v>
      </c>
      <c r="E60" s="18">
        <f>IF(F3="1",SUMIF(Data!$A:$A,'38'!$A$2,Data!JM:JM),0)</f>
        <v>947194</v>
      </c>
      <c r="F60" s="22">
        <f t="shared" si="3"/>
        <v>0.55082228425215163</v>
      </c>
    </row>
    <row r="61" spans="1:6" x14ac:dyDescent="0.2">
      <c r="A61" s="20">
        <v>26</v>
      </c>
      <c r="B61" s="202" t="s">
        <v>23</v>
      </c>
      <c r="C61" s="203"/>
      <c r="D61" s="15">
        <f>IF(F3="1",SUMIF(Data!A:A,'38'!$A$2,Data!DT:DT),0)</f>
        <v>423840</v>
      </c>
      <c r="E61" s="18">
        <f>IF(F3="1",SUMIF(Data!$A:$A,'38'!$A$2,Data!JN:JN),0)</f>
        <v>324762</v>
      </c>
      <c r="F61" s="22">
        <f t="shared" si="3"/>
        <v>0.76623725934314835</v>
      </c>
    </row>
    <row r="62" spans="1:6" x14ac:dyDescent="0.2">
      <c r="A62" s="20">
        <v>28</v>
      </c>
      <c r="B62" s="202" t="s">
        <v>24</v>
      </c>
      <c r="C62" s="203"/>
      <c r="D62" s="15">
        <f>IF(F3="1",SUMIF(Data!A:A,'38'!$A$2,Data!DV:DV),0)</f>
        <v>525472</v>
      </c>
      <c r="E62" s="18">
        <f>IF(F3="1",SUMIF(Data!$A:$A,'38'!$A$2,Data!JP:JP),0)</f>
        <v>549843</v>
      </c>
      <c r="F62" s="22">
        <f t="shared" si="3"/>
        <v>1.0463792552219719</v>
      </c>
    </row>
    <row r="63" spans="1:6" ht="15.75" customHeight="1" thickBot="1" x14ac:dyDescent="0.25">
      <c r="A63" s="23">
        <v>29</v>
      </c>
      <c r="B63" s="206" t="s">
        <v>25</v>
      </c>
      <c r="C63" s="207"/>
      <c r="D63" s="24">
        <f>IF(F3="1",SUMIF(Data!A:A,'38'!$A$2,Data!DW:DW),0)</f>
        <v>711456</v>
      </c>
      <c r="E63" s="25">
        <f>IF(F3="1",SUMIF(Data!$A:$A,'38'!$A$2,Data!JQ:JQ),0)</f>
        <v>423156</v>
      </c>
      <c r="F63" s="26">
        <f t="shared" si="3"/>
        <v>0.5947746592902442</v>
      </c>
    </row>
    <row r="64" spans="1:6" x14ac:dyDescent="0.2">
      <c r="B64" s="31" t="s">
        <v>35</v>
      </c>
      <c r="C64" s="31"/>
      <c r="D64" s="60">
        <f>SUM(D36:D63)</f>
        <v>11607861</v>
      </c>
      <c r="E64" s="32">
        <f>SUM(E36:E63)</f>
        <v>11559045</v>
      </c>
      <c r="F64" s="33">
        <f t="shared" si="3"/>
        <v>0.99579457403909299</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8160</v>
      </c>
      <c r="E67" s="16">
        <f>IF(F3="1",SUMIF(Data!A:A,'38'!$A$2,Data!DY:DY),0)</f>
        <v>23186</v>
      </c>
      <c r="F67" s="21">
        <f>IFERROR(E67/D67,"")</f>
        <v>2.8414215686274509</v>
      </c>
    </row>
    <row r="68" spans="1:6" x14ac:dyDescent="0.2">
      <c r="A68" s="20">
        <v>2</v>
      </c>
      <c r="B68" s="202" t="s">
        <v>1</v>
      </c>
      <c r="C68" s="203"/>
      <c r="D68" s="15">
        <f t="shared" ref="D68:D94" si="4">D37</f>
        <v>158972</v>
      </c>
      <c r="E68" s="18">
        <f>IF(F3="1",SUMIF(Data!A:A,'38'!$A$2,Data!DZ:DZ),0)</f>
        <v>561601</v>
      </c>
      <c r="F68" s="22">
        <f t="shared" ref="F68:F95" si="5">IFERROR(E68/D68,"")</f>
        <v>3.5327038723800417</v>
      </c>
    </row>
    <row r="69" spans="1:6" ht="14.25" customHeight="1" x14ac:dyDescent="0.2">
      <c r="A69" s="20">
        <v>3</v>
      </c>
      <c r="B69" s="202" t="s">
        <v>2</v>
      </c>
      <c r="C69" s="203"/>
      <c r="D69" s="15">
        <f t="shared" si="4"/>
        <v>1494624</v>
      </c>
      <c r="E69" s="18">
        <f>IF(F3="1",SUMIF(Data!A:A,'38'!$A$2,Data!EA:EA),0)</f>
        <v>4246787</v>
      </c>
      <c r="F69" s="22">
        <f t="shared" si="5"/>
        <v>2.8413748206906888</v>
      </c>
    </row>
    <row r="70" spans="1:6" ht="14.25" customHeight="1" x14ac:dyDescent="0.2">
      <c r="A70" s="20">
        <v>4</v>
      </c>
      <c r="B70" s="202" t="s">
        <v>3</v>
      </c>
      <c r="C70" s="203"/>
      <c r="D70" s="15">
        <f t="shared" si="4"/>
        <v>695970</v>
      </c>
      <c r="E70" s="18">
        <f>IF(F3="1",SUMIF(Data!A:A,'38'!$A$2,Data!EB:EB),0)</f>
        <v>1217338</v>
      </c>
      <c r="F70" s="22">
        <f t="shared" si="5"/>
        <v>1.7491242438610859</v>
      </c>
    </row>
    <row r="71" spans="1:6" x14ac:dyDescent="0.2">
      <c r="A71" s="20">
        <v>5</v>
      </c>
      <c r="B71" s="202" t="s">
        <v>4</v>
      </c>
      <c r="C71" s="203"/>
      <c r="D71" s="15">
        <f t="shared" si="4"/>
        <v>0</v>
      </c>
      <c r="E71" s="18">
        <f>IF(F3="1",SUMIF(Data!A:A,'38'!$A$2,Data!EC:EC),0)</f>
        <v>0</v>
      </c>
      <c r="F71" s="22" t="str">
        <f t="shared" si="5"/>
        <v/>
      </c>
    </row>
    <row r="72" spans="1:6" x14ac:dyDescent="0.2">
      <c r="A72" s="20">
        <v>6</v>
      </c>
      <c r="B72" s="202" t="s">
        <v>5</v>
      </c>
      <c r="C72" s="203"/>
      <c r="D72" s="15">
        <f t="shared" si="4"/>
        <v>39514</v>
      </c>
      <c r="E72" s="18">
        <f>IF(F3="1",SUMIF(Data!A:A,'38'!$A$2,Data!ED:ED),0)</f>
        <v>87041</v>
      </c>
      <c r="F72" s="22">
        <f t="shared" si="5"/>
        <v>2.2027888849521688</v>
      </c>
    </row>
    <row r="73" spans="1:6" x14ac:dyDescent="0.2">
      <c r="A73" s="20">
        <v>7</v>
      </c>
      <c r="B73" s="202" t="s">
        <v>6</v>
      </c>
      <c r="C73" s="203"/>
      <c r="D73" s="15">
        <f t="shared" si="4"/>
        <v>893350</v>
      </c>
      <c r="E73" s="18">
        <f>IF(F3="1",SUMIF(Data!A:A,'38'!$A$2,Data!EE:EE),0)</f>
        <v>1967861</v>
      </c>
      <c r="F73" s="22">
        <f t="shared" si="5"/>
        <v>2.2027883808137907</v>
      </c>
    </row>
    <row r="74" spans="1:6" x14ac:dyDescent="0.2">
      <c r="A74" s="20">
        <v>8</v>
      </c>
      <c r="B74" s="202" t="s">
        <v>7</v>
      </c>
      <c r="C74" s="203"/>
      <c r="D74" s="15">
        <f t="shared" si="4"/>
        <v>45252</v>
      </c>
      <c r="E74" s="18">
        <f>IF(F3="1",SUMIF(Data!A:A,'38'!$A$2,Data!EF:EF),0)</f>
        <v>536366</v>
      </c>
      <c r="F74" s="22">
        <f t="shared" si="5"/>
        <v>11.852868381507999</v>
      </c>
    </row>
    <row r="75" spans="1:6" x14ac:dyDescent="0.2">
      <c r="A75" s="20">
        <v>9</v>
      </c>
      <c r="B75" s="202" t="s">
        <v>8</v>
      </c>
      <c r="C75" s="203"/>
      <c r="D75" s="15">
        <f t="shared" si="4"/>
        <v>257758</v>
      </c>
      <c r="E75" s="18">
        <f>IF(F3="1",SUMIF(Data!A:A,'38'!$A$2,Data!EG:EG),0)</f>
        <v>1185865</v>
      </c>
      <c r="F75" s="22">
        <f t="shared" si="5"/>
        <v>4.6006913461463856</v>
      </c>
    </row>
    <row r="76" spans="1:6" x14ac:dyDescent="0.2">
      <c r="A76" s="20">
        <v>10</v>
      </c>
      <c r="B76" s="202" t="s">
        <v>9</v>
      </c>
      <c r="C76" s="203"/>
      <c r="D76" s="15">
        <f t="shared" si="4"/>
        <v>19440</v>
      </c>
      <c r="E76" s="18">
        <f>IF(F3="1",SUMIF(Data!A:A,'38'!$A$2,Data!EH:EH),0)</f>
        <v>67454</v>
      </c>
      <c r="F76" s="22">
        <f t="shared" si="5"/>
        <v>3.4698559670781894</v>
      </c>
    </row>
    <row r="77" spans="1:6" x14ac:dyDescent="0.2">
      <c r="A77" s="20">
        <v>11</v>
      </c>
      <c r="B77" s="202" t="s">
        <v>10</v>
      </c>
      <c r="C77" s="203"/>
      <c r="D77" s="15">
        <f t="shared" si="4"/>
        <v>257799</v>
      </c>
      <c r="E77" s="18">
        <f>IF(F3="1",SUMIF(Data!A:A,'38'!$A$2,Data!EI:EI),0)</f>
        <v>477279</v>
      </c>
      <c r="F77" s="22">
        <f t="shared" si="5"/>
        <v>1.8513609439912491</v>
      </c>
    </row>
    <row r="78" spans="1:6" ht="14.25" customHeight="1" x14ac:dyDescent="0.2">
      <c r="A78" s="20">
        <v>12</v>
      </c>
      <c r="B78" s="202" t="s">
        <v>11</v>
      </c>
      <c r="C78" s="203"/>
      <c r="D78" s="15">
        <f t="shared" si="4"/>
        <v>1219120</v>
      </c>
      <c r="E78" s="18">
        <f>IF(F3="1",SUMIF(Data!A:A,'38'!$A$2,Data!EJ:EJ),0)</f>
        <v>5140037</v>
      </c>
      <c r="F78" s="22">
        <f t="shared" si="5"/>
        <v>4.2161862655029854</v>
      </c>
    </row>
    <row r="79" spans="1:6" x14ac:dyDescent="0.2">
      <c r="A79" s="20">
        <v>13</v>
      </c>
      <c r="B79" s="202" t="s">
        <v>12</v>
      </c>
      <c r="C79" s="203"/>
      <c r="D79" s="15">
        <f t="shared" si="4"/>
        <v>378016</v>
      </c>
      <c r="E79" s="18">
        <f>IF(F3="1",SUMIF(Data!A:A,'38'!$A$2,Data!EK:EK),0)</f>
        <v>1019001</v>
      </c>
      <c r="F79" s="22">
        <f t="shared" si="5"/>
        <v>2.6956557394396006</v>
      </c>
    </row>
    <row r="80" spans="1:6" ht="14.25" customHeight="1" x14ac:dyDescent="0.2">
      <c r="A80" s="20">
        <v>14</v>
      </c>
      <c r="B80" s="202" t="s">
        <v>449</v>
      </c>
      <c r="C80" s="203"/>
      <c r="D80" s="15">
        <f t="shared" si="4"/>
        <v>316180</v>
      </c>
      <c r="E80" s="18">
        <f>IF(F3="1",SUMIF(Data!A:A,'38'!$A$2,Data!EL:EL),0)</f>
        <v>1955389</v>
      </c>
      <c r="F80" s="22">
        <f t="shared" si="5"/>
        <v>6.1844171041811622</v>
      </c>
    </row>
    <row r="81" spans="1:6" x14ac:dyDescent="0.2">
      <c r="A81" s="20">
        <v>15</v>
      </c>
      <c r="B81" s="202" t="s">
        <v>13</v>
      </c>
      <c r="C81" s="203"/>
      <c r="D81" s="15">
        <f t="shared" si="4"/>
        <v>0</v>
      </c>
      <c r="E81" s="18">
        <f>IF(F3="1",SUMIF(Data!A:A,'38'!$A$2,Data!EM:EM),0)</f>
        <v>0</v>
      </c>
      <c r="F81" s="22" t="str">
        <f t="shared" si="5"/>
        <v/>
      </c>
    </row>
    <row r="82" spans="1:6" x14ac:dyDescent="0.2">
      <c r="A82" s="20">
        <v>16</v>
      </c>
      <c r="B82" s="202" t="s">
        <v>14</v>
      </c>
      <c r="C82" s="203"/>
      <c r="D82" s="15">
        <f t="shared" si="4"/>
        <v>474252</v>
      </c>
      <c r="E82" s="18">
        <f>IF(F3="1",SUMIF(Data!A:A,'38'!$A$2,Data!EN:EN),0)</f>
        <v>2266456</v>
      </c>
      <c r="F82" s="22">
        <f t="shared" si="5"/>
        <v>4.7790120020579776</v>
      </c>
    </row>
    <row r="83" spans="1:6" x14ac:dyDescent="0.2">
      <c r="A83" s="20">
        <v>17</v>
      </c>
      <c r="B83" s="202" t="s">
        <v>15</v>
      </c>
      <c r="C83" s="203"/>
      <c r="D83" s="15">
        <f t="shared" si="4"/>
        <v>28224</v>
      </c>
      <c r="E83" s="18">
        <f>IF(F3="1",SUMIF(Data!A:A,'38'!$A$2,Data!EO:EO),0)</f>
        <v>195697</v>
      </c>
      <c r="F83" s="22">
        <f t="shared" si="5"/>
        <v>6.9337089002267573</v>
      </c>
    </row>
    <row r="84" spans="1:6" x14ac:dyDescent="0.2">
      <c r="A84" s="20">
        <v>18</v>
      </c>
      <c r="B84" s="202" t="s">
        <v>16</v>
      </c>
      <c r="C84" s="203"/>
      <c r="D84" s="15">
        <f t="shared" si="4"/>
        <v>241808</v>
      </c>
      <c r="E84" s="18">
        <f>IF(F3="1",SUMIF(Data!A:A,'38'!$A$2,Data!EP:EP),0)</f>
        <v>1691787</v>
      </c>
      <c r="F84" s="22">
        <f t="shared" si="5"/>
        <v>6.9964062396612192</v>
      </c>
    </row>
    <row r="85" spans="1:6" x14ac:dyDescent="0.2">
      <c r="A85" s="20">
        <v>19</v>
      </c>
      <c r="B85" s="202" t="s">
        <v>17</v>
      </c>
      <c r="C85" s="203"/>
      <c r="D85" s="15">
        <f t="shared" si="4"/>
        <v>914304</v>
      </c>
      <c r="E85" s="18">
        <f>IF(F3="1",SUMIF(Data!A:A,'38'!$A$2,Data!EQ:EQ),0)</f>
        <v>2064182</v>
      </c>
      <c r="F85" s="22">
        <f t="shared" si="5"/>
        <v>2.2576539094218115</v>
      </c>
    </row>
    <row r="86" spans="1:6" x14ac:dyDescent="0.2">
      <c r="A86" s="20">
        <v>20</v>
      </c>
      <c r="B86" s="202" t="s">
        <v>18</v>
      </c>
      <c r="C86" s="203"/>
      <c r="D86" s="15">
        <f t="shared" si="4"/>
        <v>205376</v>
      </c>
      <c r="E86" s="18">
        <f>IF(F3="1",SUMIF(Data!A:A,'38'!$A$2,Data!ER:ER),0)</f>
        <v>659025</v>
      </c>
      <c r="F86" s="22">
        <f t="shared" si="5"/>
        <v>3.2088705593642879</v>
      </c>
    </row>
    <row r="87" spans="1:6" ht="14.25" customHeight="1" x14ac:dyDescent="0.2">
      <c r="A87" s="20">
        <v>21</v>
      </c>
      <c r="B87" s="202" t="s">
        <v>446</v>
      </c>
      <c r="C87" s="203"/>
      <c r="D87" s="15">
        <f t="shared" si="4"/>
        <v>99634</v>
      </c>
      <c r="E87" s="18">
        <f>IF(F3="1",SUMIF(Data!A:A,'38'!$A$2,Data!ES:ES),0)</f>
        <v>208236</v>
      </c>
      <c r="F87" s="22">
        <f t="shared" si="5"/>
        <v>2.0900094345303812</v>
      </c>
    </row>
    <row r="88" spans="1:6" x14ac:dyDescent="0.2">
      <c r="A88" s="20">
        <v>22</v>
      </c>
      <c r="B88" s="202" t="s">
        <v>19</v>
      </c>
      <c r="C88" s="203"/>
      <c r="D88" s="15">
        <f t="shared" si="4"/>
        <v>148856</v>
      </c>
      <c r="E88" s="18">
        <f>IF(F3="1",SUMIF(Data!A:A,'38'!$A$2,Data!ET:ET),0)</f>
        <v>517591</v>
      </c>
      <c r="F88" s="22">
        <f t="shared" si="5"/>
        <v>3.4771255441500513</v>
      </c>
    </row>
    <row r="89" spans="1:6" x14ac:dyDescent="0.2">
      <c r="A89" s="20">
        <v>23</v>
      </c>
      <c r="B89" s="202" t="s">
        <v>20</v>
      </c>
      <c r="C89" s="203"/>
      <c r="D89" s="15">
        <f t="shared" si="4"/>
        <v>74976</v>
      </c>
      <c r="E89" s="18">
        <f>IF(F3="1",SUMIF(Data!A:A,'38'!$A$2,Data!EU:EU),0)</f>
        <v>382054</v>
      </c>
      <c r="F89" s="22">
        <f t="shared" si="5"/>
        <v>5.095683952198037</v>
      </c>
    </row>
    <row r="90" spans="1:6" x14ac:dyDescent="0.2">
      <c r="A90" s="20">
        <v>24</v>
      </c>
      <c r="B90" s="202" t="s">
        <v>21</v>
      </c>
      <c r="C90" s="203"/>
      <c r="D90" s="15">
        <f t="shared" si="4"/>
        <v>255908</v>
      </c>
      <c r="E90" s="18">
        <f>IF(F3="1",SUMIF(Data!A:A,'38'!$A$2,Data!EV:EV),0)</f>
        <v>581276</v>
      </c>
      <c r="F90" s="22">
        <f t="shared" si="5"/>
        <v>2.2714256685996528</v>
      </c>
    </row>
    <row r="91" spans="1:6" x14ac:dyDescent="0.2">
      <c r="A91" s="20">
        <v>25</v>
      </c>
      <c r="B91" s="202" t="s">
        <v>22</v>
      </c>
      <c r="C91" s="203"/>
      <c r="D91" s="15">
        <f t="shared" si="4"/>
        <v>1719600</v>
      </c>
      <c r="E91" s="18">
        <f>IF(F3="1",SUMIF(Data!A:A,'38'!$A$2,Data!EW:EW),0)</f>
        <v>5522166</v>
      </c>
      <c r="F91" s="22">
        <f t="shared" si="5"/>
        <v>3.2113084438241453</v>
      </c>
    </row>
    <row r="92" spans="1:6" x14ac:dyDescent="0.2">
      <c r="A92" s="20">
        <v>26</v>
      </c>
      <c r="B92" s="202" t="s">
        <v>23</v>
      </c>
      <c r="C92" s="203"/>
      <c r="D92" s="15">
        <f t="shared" si="4"/>
        <v>423840</v>
      </c>
      <c r="E92" s="18">
        <f>IF(F3="1",SUMIF(Data!A:A,'38'!$A$2,Data!EX:EX),0)</f>
        <v>1444002</v>
      </c>
      <c r="F92" s="22">
        <f t="shared" si="5"/>
        <v>3.4069507361268405</v>
      </c>
    </row>
    <row r="93" spans="1:6" x14ac:dyDescent="0.2">
      <c r="A93" s="20">
        <v>28</v>
      </c>
      <c r="B93" s="202" t="s">
        <v>24</v>
      </c>
      <c r="C93" s="203"/>
      <c r="D93" s="15">
        <f t="shared" si="4"/>
        <v>525472</v>
      </c>
      <c r="E93" s="18">
        <f>IF(F3="1",SUMIF(Data!A:A,'38'!$A$2,Data!EZ:EZ),0)</f>
        <v>1918690</v>
      </c>
      <c r="F93" s="22">
        <f t="shared" si="5"/>
        <v>3.6513648681566289</v>
      </c>
    </row>
    <row r="94" spans="1:6" ht="15.75" customHeight="1" thickBot="1" x14ac:dyDescent="0.25">
      <c r="A94" s="23">
        <v>29</v>
      </c>
      <c r="B94" s="206" t="s">
        <v>25</v>
      </c>
      <c r="C94" s="207"/>
      <c r="D94" s="24">
        <f t="shared" si="4"/>
        <v>711456</v>
      </c>
      <c r="E94" s="25">
        <f>IF(F3="1",SUMIF(Data!A:A,'38'!$A$2,Data!FA:FA),0)</f>
        <v>2267512</v>
      </c>
      <c r="F94" s="26">
        <f t="shared" si="5"/>
        <v>3.1871429856519589</v>
      </c>
    </row>
    <row r="95" spans="1:6" x14ac:dyDescent="0.2">
      <c r="B95" s="31" t="s">
        <v>35</v>
      </c>
      <c r="C95" s="31"/>
      <c r="D95" s="60">
        <f>SUM(D67:D94)</f>
        <v>11607861</v>
      </c>
      <c r="E95" s="32">
        <f>SUM(E67:E94)</f>
        <v>38203879</v>
      </c>
      <c r="F95" s="33">
        <f t="shared" si="5"/>
        <v>3.2912074843074017</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IF(F3="1",SUMIF(Data!A:A,'38'!$A$2,Data!AH:AH),0)</f>
        <v>16533372</v>
      </c>
      <c r="F98" s="21">
        <f t="shared" ref="F98:F105" si="6">IFERROR(E98/$D$95,0)</f>
        <v>1.4243254635802409</v>
      </c>
    </row>
    <row r="99" spans="2:6" x14ac:dyDescent="0.2">
      <c r="B99" s="212" t="s">
        <v>31</v>
      </c>
      <c r="C99" s="213"/>
      <c r="D99" s="37"/>
      <c r="E99" s="18">
        <f>IF(F3="1",SUMIF(Data!A:A,'38'!$A$2,Data!AI:AI),0)</f>
        <v>7413371</v>
      </c>
      <c r="F99" s="22">
        <f t="shared" si="6"/>
        <v>0.63865091079226399</v>
      </c>
    </row>
    <row r="100" spans="2:6" x14ac:dyDescent="0.2">
      <c r="B100" s="212" t="s">
        <v>32</v>
      </c>
      <c r="C100" s="213"/>
      <c r="D100" s="37"/>
      <c r="E100" s="18">
        <f>IF(F3="1",SUMIF(Data!A:A,'38'!$A$2,Data!AJ:AJ),0)</f>
        <v>7616015</v>
      </c>
      <c r="F100" s="22">
        <f t="shared" si="6"/>
        <v>0.65610839068455418</v>
      </c>
    </row>
    <row r="101" spans="2:6" x14ac:dyDescent="0.2">
      <c r="B101" s="212" t="s">
        <v>28</v>
      </c>
      <c r="C101" s="213"/>
      <c r="D101" s="37"/>
      <c r="E101" s="18">
        <f>IF(F3="1",SUMIF(Data!A:A,'38'!$A$2,Data!AK:AK),0)</f>
        <v>0</v>
      </c>
      <c r="F101" s="22">
        <f t="shared" si="6"/>
        <v>0</v>
      </c>
    </row>
    <row r="102" spans="2:6" x14ac:dyDescent="0.2">
      <c r="B102" s="212" t="s">
        <v>33</v>
      </c>
      <c r="C102" s="213"/>
      <c r="D102" s="37"/>
      <c r="E102" s="18">
        <f>IF(F3="1",SUMIF(Data!A:A,'38'!$A$2,Data!AL:AL),0)</f>
        <v>0</v>
      </c>
      <c r="F102" s="22">
        <f t="shared" si="6"/>
        <v>0</v>
      </c>
    </row>
    <row r="103" spans="2:6" x14ac:dyDescent="0.2">
      <c r="B103" s="214" t="s">
        <v>34</v>
      </c>
      <c r="C103" s="215"/>
      <c r="D103" s="37"/>
      <c r="E103" s="18">
        <f>IF(F3="1",SUMIF(Data!A:A,'38'!$A$2,Data!AM:AM),0)</f>
        <v>2304527</v>
      </c>
      <c r="F103" s="22">
        <f t="shared" si="6"/>
        <v>0.19853158131373214</v>
      </c>
    </row>
    <row r="104" spans="2:6" ht="15.75" customHeight="1" thickBot="1" x14ac:dyDescent="0.25">
      <c r="B104" s="208" t="s">
        <v>29</v>
      </c>
      <c r="C104" s="209"/>
      <c r="D104" s="38"/>
      <c r="E104" s="25">
        <f>IF(F3="1",SUMIF(Data!A:A,'38'!$A$2,Data!Q:Q),0)</f>
        <v>3578059</v>
      </c>
      <c r="F104" s="26">
        <f t="shared" si="6"/>
        <v>0.30824447329271087</v>
      </c>
    </row>
    <row r="105" spans="2:6" x14ac:dyDescent="0.2">
      <c r="B105" s="31" t="s">
        <v>35</v>
      </c>
      <c r="C105" s="31"/>
      <c r="D105" s="35">
        <f>D95</f>
        <v>11607861</v>
      </c>
      <c r="E105" s="32">
        <f>SUM(E98:E104)</f>
        <v>37445344</v>
      </c>
      <c r="F105" s="33">
        <f t="shared" si="6"/>
        <v>3.2258608196635024</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41125269</v>
      </c>
      <c r="D109" s="192">
        <f>IF(F3="1",SUMIF(Data!$A:$A,$A$2,Data!HJ:HJ),0)</f>
        <v>5734918</v>
      </c>
      <c r="E109" s="192">
        <f>IF(F3="1",SUMIF(Data!$A:$A,$A$2,Data!IN:IN),0)</f>
        <v>2902737</v>
      </c>
      <c r="F109" s="48">
        <f>SUM(C109:E109)</f>
        <v>49762924</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161559</v>
      </c>
      <c r="D111" s="52"/>
      <c r="E111" s="193">
        <f>IF(F3="1",SUMIF(Data!A:A,$A$2,Data!AX:AX)-SUMIF(Data!A:A,$A$2,Data!AW:AW),0)</f>
        <v>29150</v>
      </c>
      <c r="F111" s="49">
        <f t="shared" si="7"/>
        <v>190709</v>
      </c>
    </row>
    <row r="112" spans="2:6" x14ac:dyDescent="0.2">
      <c r="B112" s="43" t="s">
        <v>32</v>
      </c>
      <c r="C112" s="193">
        <f>IF(F3="1",SUMIF(Data!A:A,$A$2,Data!V:V),0)</f>
        <v>5948499</v>
      </c>
      <c r="D112" s="52"/>
      <c r="E112" s="193">
        <f>IF(F3="1",SUMIF(Data!A:A,$A$2,Data!AC:AC),0)</f>
        <v>1667516</v>
      </c>
      <c r="F112" s="49">
        <f t="shared" si="7"/>
        <v>7616015</v>
      </c>
    </row>
    <row r="113" spans="1:6" x14ac:dyDescent="0.2">
      <c r="B113" s="43" t="s">
        <v>31</v>
      </c>
      <c r="C113" s="193">
        <f>IF(F3="1",SUMIF(Data!A:A,$A$2,Data!U:U),0)</f>
        <v>6202870</v>
      </c>
      <c r="D113" s="52"/>
      <c r="E113" s="193">
        <f>IF(F3="1",SUMIF(Data!A:A,$A$2,Data!AB:AB),0)</f>
        <v>1210501</v>
      </c>
      <c r="F113" s="49">
        <f t="shared" si="7"/>
        <v>7413371</v>
      </c>
    </row>
    <row r="114" spans="1:6" x14ac:dyDescent="0.2">
      <c r="B114" s="43" t="s">
        <v>1002</v>
      </c>
      <c r="C114" s="193">
        <f>IF(F3="1",SUMIF(Data!A:A,$A$2,Data!T:T),0)</f>
        <v>9181626</v>
      </c>
      <c r="D114" s="52"/>
      <c r="E114" s="193">
        <f>IF(F3="1",SUMIF(Data!A:A,$A$2,Data!AA:AA),0)</f>
        <v>7351746</v>
      </c>
      <c r="F114" s="49">
        <f t="shared" si="7"/>
        <v>16533372</v>
      </c>
    </row>
    <row r="115" spans="1:6" x14ac:dyDescent="0.2">
      <c r="B115" s="43" t="s">
        <v>916</v>
      </c>
      <c r="C115" s="193">
        <f>IF(F3="1",SUMIF(Data!A:A,$A$2,Data!BI:BI),0)</f>
        <v>2619893</v>
      </c>
      <c r="D115" s="193">
        <f>IF(F3="1",SUMIF(Data!A:A,$A$2,Data!BL:BL),0)</f>
        <v>871331</v>
      </c>
      <c r="E115" s="193">
        <f>IF(F3="1",SUMIF(Data!A:A,$A$2,Data!BU:BU)-SUMIF(Data!A:A,$A$2,Data!BT:BT),0)</f>
        <v>5966458</v>
      </c>
      <c r="F115" s="49">
        <f t="shared" si="7"/>
        <v>9457682</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3578059</v>
      </c>
      <c r="E117" s="53"/>
      <c r="F117" s="50">
        <f>SUM(C117:E117)</f>
        <v>3578059</v>
      </c>
    </row>
    <row r="118" spans="1:6" x14ac:dyDescent="0.2">
      <c r="B118" s="14" t="s">
        <v>35</v>
      </c>
      <c r="C118" s="178">
        <f>SUM(C109:C117)</f>
        <v>65239716</v>
      </c>
      <c r="D118" s="194">
        <f>SUM(D109:D117)</f>
        <v>10184308</v>
      </c>
      <c r="E118" s="178">
        <f>SUM(E109:E117)</f>
        <v>19128108</v>
      </c>
      <c r="F118" s="178">
        <f>SUM(F109:F117)</f>
        <v>94552132</v>
      </c>
    </row>
    <row r="119" spans="1:6" x14ac:dyDescent="0.2">
      <c r="C119" s="177"/>
      <c r="D119" s="177"/>
      <c r="E119" s="177"/>
    </row>
    <row r="120" spans="1:6" ht="15" thickBot="1" x14ac:dyDescent="0.25">
      <c r="B120" s="188" t="s">
        <v>921</v>
      </c>
      <c r="C120" s="53"/>
      <c r="D120" s="53"/>
      <c r="E120" s="195">
        <f>IF(F3="1",SUMIF(Data!A:A,$A$2,Data!AF:AF)+SUMIF(Data!A:A,$A$2,Data!AW:AW)+SUMIF(Data!A:A,$A$2,Data!BT:BT),0)</f>
        <v>2317635</v>
      </c>
      <c r="F120" s="181">
        <f>SUM(C120:E120)</f>
        <v>2317635</v>
      </c>
    </row>
    <row r="121" spans="1:6" s="177" customFormat="1" x14ac:dyDescent="0.2">
      <c r="B121" s="14" t="s">
        <v>35</v>
      </c>
      <c r="C121" s="178">
        <f>SUM(C120:C120)</f>
        <v>0</v>
      </c>
      <c r="D121" s="178">
        <f>SUM(D120:D120)</f>
        <v>0</v>
      </c>
      <c r="E121" s="178">
        <f>SUM(E120:E120)</f>
        <v>2317635</v>
      </c>
      <c r="F121" s="178">
        <f>SUM(F120:F120)</f>
        <v>2317635</v>
      </c>
    </row>
    <row r="122" spans="1:6" s="177" customFormat="1" ht="15" thickBot="1" x14ac:dyDescent="0.25">
      <c r="B122" s="14" t="s">
        <v>1396</v>
      </c>
      <c r="C122" s="178"/>
      <c r="D122" s="178"/>
      <c r="E122" s="178"/>
      <c r="F122" s="190">
        <f>F118+F121</f>
        <v>96869767</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17" width="9.140625" style="11"/>
    <col min="18" max="18" width="17.85546875" style="11" bestFit="1" customWidth="1"/>
    <col min="19" max="21" width="9.140625" style="11"/>
    <col min="22" max="22" width="17.85546875" style="11" bestFit="1" customWidth="1"/>
    <col min="23"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396</v>
      </c>
      <c r="B2" s="59" t="str">
        <f>VLOOKUP(A2,Data!A:G,7,0)</f>
        <v>Southwest Texas Junior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23520</v>
      </c>
      <c r="E5" s="16">
        <f>E36+E67+IFERROR($E$105/$D$105*D5,0)</f>
        <v>226076.07376994501</v>
      </c>
      <c r="F5" s="21">
        <f>IFERROR(E5/D5,"")</f>
        <v>9.6120779664092275</v>
      </c>
    </row>
    <row r="6" spans="1:6" x14ac:dyDescent="0.2">
      <c r="A6" s="20">
        <v>2</v>
      </c>
      <c r="B6" s="202" t="s">
        <v>1</v>
      </c>
      <c r="C6" s="203"/>
      <c r="D6" s="15">
        <f t="shared" ref="D6:D32" si="0">D37</f>
        <v>30864</v>
      </c>
      <c r="E6" s="18">
        <f t="shared" ref="E6:E32" si="1">E37+E68+IFERROR($E$105/$D$105*D6,0)</f>
        <v>305107.35802872374</v>
      </c>
      <c r="F6" s="22">
        <f t="shared" ref="F6:F33" si="2">IFERROR(E6/D6,"")</f>
        <v>9.8855416675973213</v>
      </c>
    </row>
    <row r="7" spans="1:6" ht="14.25" customHeight="1" x14ac:dyDescent="0.2">
      <c r="A7" s="20">
        <v>3</v>
      </c>
      <c r="B7" s="202" t="s">
        <v>2</v>
      </c>
      <c r="C7" s="203"/>
      <c r="D7" s="15">
        <f t="shared" si="0"/>
        <v>225216</v>
      </c>
      <c r="E7" s="18">
        <f t="shared" si="1"/>
        <v>1840122.3839358813</v>
      </c>
      <c r="F7" s="22">
        <f t="shared" si="2"/>
        <v>8.170478047456136</v>
      </c>
    </row>
    <row r="8" spans="1:6" ht="14.25" customHeight="1" x14ac:dyDescent="0.2">
      <c r="A8" s="20">
        <v>4</v>
      </c>
      <c r="B8" s="202" t="s">
        <v>3</v>
      </c>
      <c r="C8" s="203"/>
      <c r="D8" s="15">
        <f t="shared" si="0"/>
        <v>115270</v>
      </c>
      <c r="E8" s="18">
        <f t="shared" si="1"/>
        <v>1030959.0537186037</v>
      </c>
      <c r="F8" s="22">
        <f t="shared" si="2"/>
        <v>8.9438627025123942</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8304</v>
      </c>
      <c r="E10" s="18">
        <f t="shared" si="1"/>
        <v>78202.491351429562</v>
      </c>
      <c r="F10" s="22">
        <f t="shared" si="2"/>
        <v>9.4174483804708053</v>
      </c>
    </row>
    <row r="11" spans="1:6" x14ac:dyDescent="0.2">
      <c r="A11" s="20">
        <v>7</v>
      </c>
      <c r="B11" s="202" t="s">
        <v>6</v>
      </c>
      <c r="C11" s="203"/>
      <c r="D11" s="15">
        <f t="shared" si="0"/>
        <v>111215</v>
      </c>
      <c r="E11" s="18">
        <f t="shared" si="1"/>
        <v>721720.46021787554</v>
      </c>
      <c r="F11" s="22">
        <f t="shared" si="2"/>
        <v>6.489416537498319</v>
      </c>
    </row>
    <row r="12" spans="1:6" x14ac:dyDescent="0.2">
      <c r="A12" s="20">
        <v>8</v>
      </c>
      <c r="B12" s="202" t="s">
        <v>7</v>
      </c>
      <c r="C12" s="203"/>
      <c r="D12" s="15">
        <f t="shared" si="0"/>
        <v>13520</v>
      </c>
      <c r="E12" s="18">
        <f t="shared" si="1"/>
        <v>141475.41655483234</v>
      </c>
      <c r="F12" s="22">
        <f t="shared" si="2"/>
        <v>10.464158029203576</v>
      </c>
    </row>
    <row r="13" spans="1:6" x14ac:dyDescent="0.2">
      <c r="A13" s="20">
        <v>9</v>
      </c>
      <c r="B13" s="202" t="s">
        <v>8</v>
      </c>
      <c r="C13" s="203"/>
      <c r="D13" s="15">
        <f t="shared" si="0"/>
        <v>109317</v>
      </c>
      <c r="E13" s="18">
        <f t="shared" si="1"/>
        <v>881182.33827844716</v>
      </c>
      <c r="F13" s="22">
        <f t="shared" si="2"/>
        <v>8.0607987621179422</v>
      </c>
    </row>
    <row r="14" spans="1:6" x14ac:dyDescent="0.2">
      <c r="A14" s="20">
        <v>10</v>
      </c>
      <c r="B14" s="202" t="s">
        <v>9</v>
      </c>
      <c r="C14" s="203"/>
      <c r="D14" s="15">
        <f t="shared" si="0"/>
        <v>576</v>
      </c>
      <c r="E14" s="18">
        <f t="shared" si="1"/>
        <v>5805.9242555904893</v>
      </c>
      <c r="F14" s="22">
        <f t="shared" si="2"/>
        <v>10.079729610400156</v>
      </c>
    </row>
    <row r="15" spans="1:6" x14ac:dyDescent="0.2">
      <c r="A15" s="20">
        <v>11</v>
      </c>
      <c r="B15" s="202" t="s">
        <v>10</v>
      </c>
      <c r="C15" s="203"/>
      <c r="D15" s="15">
        <f t="shared" si="0"/>
        <v>23744</v>
      </c>
      <c r="E15" s="18">
        <f t="shared" si="1"/>
        <v>198950.32209156352</v>
      </c>
      <c r="F15" s="22">
        <f t="shared" si="2"/>
        <v>8.3789724600557403</v>
      </c>
    </row>
    <row r="16" spans="1:6" ht="14.25" customHeight="1" x14ac:dyDescent="0.2">
      <c r="A16" s="20">
        <v>12</v>
      </c>
      <c r="B16" s="202" t="s">
        <v>11</v>
      </c>
      <c r="C16" s="203"/>
      <c r="D16" s="15">
        <f t="shared" si="0"/>
        <v>232704</v>
      </c>
      <c r="E16" s="18">
        <f t="shared" si="1"/>
        <v>2366491.3992585577</v>
      </c>
      <c r="F16" s="22">
        <f t="shared" si="2"/>
        <v>10.169534684657581</v>
      </c>
    </row>
    <row r="17" spans="1:6" x14ac:dyDescent="0.2">
      <c r="A17" s="20">
        <v>13</v>
      </c>
      <c r="B17" s="202" t="s">
        <v>12</v>
      </c>
      <c r="C17" s="203"/>
      <c r="D17" s="15">
        <f t="shared" si="0"/>
        <v>24016</v>
      </c>
      <c r="E17" s="18">
        <f t="shared" si="1"/>
        <v>101413.48076781459</v>
      </c>
      <c r="F17" s="22">
        <f t="shared" si="2"/>
        <v>4.2227465343027397</v>
      </c>
    </row>
    <row r="18" spans="1:6" ht="14.25" customHeight="1" x14ac:dyDescent="0.2">
      <c r="A18" s="20">
        <v>14</v>
      </c>
      <c r="B18" s="202" t="s">
        <v>449</v>
      </c>
      <c r="C18" s="203"/>
      <c r="D18" s="15">
        <f t="shared" si="0"/>
        <v>26816</v>
      </c>
      <c r="E18" s="18">
        <f t="shared" si="1"/>
        <v>516010.58478804614</v>
      </c>
      <c r="F18" s="22">
        <f t="shared" si="2"/>
        <v>19.242638155878808</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43652</v>
      </c>
      <c r="E20" s="18">
        <f t="shared" si="1"/>
        <v>486634.14167540986</v>
      </c>
      <c r="F20" s="22">
        <f t="shared" si="2"/>
        <v>11.148037699885684</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99152</v>
      </c>
      <c r="E22" s="18">
        <f t="shared" si="1"/>
        <v>1190809.4892192851</v>
      </c>
      <c r="F22" s="22">
        <f t="shared" si="2"/>
        <v>12.009939176408798</v>
      </c>
    </row>
    <row r="23" spans="1:6" x14ac:dyDescent="0.2">
      <c r="A23" s="20">
        <v>19</v>
      </c>
      <c r="B23" s="202" t="s">
        <v>17</v>
      </c>
      <c r="C23" s="203"/>
      <c r="D23" s="15">
        <f t="shared" si="0"/>
        <v>100934</v>
      </c>
      <c r="E23" s="18">
        <f t="shared" si="1"/>
        <v>1181160.1611350183</v>
      </c>
      <c r="F23" s="22">
        <f t="shared" si="2"/>
        <v>11.702302109646089</v>
      </c>
    </row>
    <row r="24" spans="1:6" x14ac:dyDescent="0.2">
      <c r="A24" s="20">
        <v>20</v>
      </c>
      <c r="B24" s="202" t="s">
        <v>18</v>
      </c>
      <c r="C24" s="203"/>
      <c r="D24" s="15">
        <f t="shared" si="0"/>
        <v>45760</v>
      </c>
      <c r="E24" s="18">
        <f t="shared" si="1"/>
        <v>457814.8714163556</v>
      </c>
      <c r="F24" s="22">
        <f t="shared" si="2"/>
        <v>10.004695616616162</v>
      </c>
    </row>
    <row r="25" spans="1:6" ht="14.25" customHeight="1" x14ac:dyDescent="0.2">
      <c r="A25" s="20">
        <v>21</v>
      </c>
      <c r="B25" s="202" t="s">
        <v>446</v>
      </c>
      <c r="C25" s="203"/>
      <c r="D25" s="15">
        <f t="shared" si="0"/>
        <v>48822</v>
      </c>
      <c r="E25" s="18">
        <f t="shared" si="1"/>
        <v>667242.81945562304</v>
      </c>
      <c r="F25" s="22">
        <f t="shared" si="2"/>
        <v>13.66684731177795</v>
      </c>
    </row>
    <row r="26" spans="1:6" x14ac:dyDescent="0.2">
      <c r="A26" s="20">
        <v>22</v>
      </c>
      <c r="B26" s="202" t="s">
        <v>19</v>
      </c>
      <c r="C26" s="203"/>
      <c r="D26" s="15">
        <f t="shared" si="0"/>
        <v>5568</v>
      </c>
      <c r="E26" s="18">
        <f t="shared" si="1"/>
        <v>53726.601137374731</v>
      </c>
      <c r="F26" s="22">
        <f t="shared" si="2"/>
        <v>9.6491740548446003</v>
      </c>
    </row>
    <row r="27" spans="1:6" x14ac:dyDescent="0.2">
      <c r="A27" s="20">
        <v>23</v>
      </c>
      <c r="B27" s="202" t="s">
        <v>20</v>
      </c>
      <c r="C27" s="203"/>
      <c r="D27" s="15">
        <f t="shared" si="0"/>
        <v>69552</v>
      </c>
      <c r="E27" s="18">
        <f t="shared" si="1"/>
        <v>623359.10386255162</v>
      </c>
      <c r="F27" s="22">
        <f t="shared" si="2"/>
        <v>8.9624899911224922</v>
      </c>
    </row>
    <row r="28" spans="1:6" x14ac:dyDescent="0.2">
      <c r="A28" s="20">
        <v>24</v>
      </c>
      <c r="B28" s="202" t="s">
        <v>21</v>
      </c>
      <c r="C28" s="203"/>
      <c r="D28" s="15">
        <f t="shared" si="0"/>
        <v>99584</v>
      </c>
      <c r="E28" s="18">
        <f t="shared" si="1"/>
        <v>737537.68241097801</v>
      </c>
      <c r="F28" s="22">
        <f t="shared" si="2"/>
        <v>7.4061865602002133</v>
      </c>
    </row>
    <row r="29" spans="1:6" x14ac:dyDescent="0.2">
      <c r="A29" s="20">
        <v>25</v>
      </c>
      <c r="B29" s="202" t="s">
        <v>22</v>
      </c>
      <c r="C29" s="203"/>
      <c r="D29" s="15">
        <f t="shared" si="0"/>
        <v>433296</v>
      </c>
      <c r="E29" s="18">
        <f t="shared" si="1"/>
        <v>3132433.7712679459</v>
      </c>
      <c r="F29" s="22">
        <f t="shared" si="2"/>
        <v>7.229316151702176</v>
      </c>
    </row>
    <row r="30" spans="1:6" x14ac:dyDescent="0.2">
      <c r="A30" s="20">
        <v>26</v>
      </c>
      <c r="B30" s="202" t="s">
        <v>23</v>
      </c>
      <c r="C30" s="203"/>
      <c r="D30" s="15">
        <f t="shared" si="0"/>
        <v>69552</v>
      </c>
      <c r="E30" s="18">
        <f t="shared" si="1"/>
        <v>515055.10386255162</v>
      </c>
      <c r="F30" s="22">
        <f t="shared" si="2"/>
        <v>7.4053241296088048</v>
      </c>
    </row>
    <row r="31" spans="1:6" x14ac:dyDescent="0.2">
      <c r="A31" s="20">
        <v>28</v>
      </c>
      <c r="B31" s="202" t="s">
        <v>24</v>
      </c>
      <c r="C31" s="203"/>
      <c r="D31" s="15">
        <f t="shared" si="0"/>
        <v>145152</v>
      </c>
      <c r="E31" s="18">
        <f t="shared" si="1"/>
        <v>1123135.9124088034</v>
      </c>
      <c r="F31" s="22">
        <f t="shared" si="2"/>
        <v>7.7376537175430125</v>
      </c>
    </row>
    <row r="32" spans="1:6" ht="15.75" customHeight="1" thickBot="1" x14ac:dyDescent="0.25">
      <c r="A32" s="23">
        <v>29</v>
      </c>
      <c r="B32" s="206" t="s">
        <v>25</v>
      </c>
      <c r="C32" s="207"/>
      <c r="D32" s="24">
        <f t="shared" si="0"/>
        <v>202368</v>
      </c>
      <c r="E32" s="25">
        <f t="shared" si="1"/>
        <v>1202095.0551307921</v>
      </c>
      <c r="F32" s="26">
        <f t="shared" si="2"/>
        <v>5.9401439710368837</v>
      </c>
    </row>
    <row r="33" spans="1:6" x14ac:dyDescent="0.2">
      <c r="B33" s="31" t="s">
        <v>35</v>
      </c>
      <c r="C33" s="31"/>
      <c r="D33" s="60">
        <f>SUM(D5:D32)</f>
        <v>2308474</v>
      </c>
      <c r="E33" s="32">
        <f>SUM(E5:E32)</f>
        <v>19784522</v>
      </c>
      <c r="F33" s="33">
        <f t="shared" si="2"/>
        <v>8.5703897899651462</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IF(F3="1",SUMIF(Data!A:A,'39'!$A$2,Data!CU:CU),0)</f>
        <v>23520</v>
      </c>
      <c r="E36" s="16">
        <f>IF(F3="1",SUMIF(Data!$A:$A,'39'!$A$2,Data!IO:IO),0)</f>
        <v>28418</v>
      </c>
      <c r="F36" s="21">
        <f t="shared" ref="F36:F64" si="3">IFERROR(E36/D36,"")</f>
        <v>1.2082482993197279</v>
      </c>
    </row>
    <row r="37" spans="1:6" x14ac:dyDescent="0.2">
      <c r="A37" s="20">
        <v>2</v>
      </c>
      <c r="B37" s="202" t="s">
        <v>1</v>
      </c>
      <c r="C37" s="203"/>
      <c r="D37" s="15">
        <f>IF(F3="1",SUMIF(Data!A:A,'39'!$A$2,Data!CV:CV),0)</f>
        <v>30864</v>
      </c>
      <c r="E37" s="18">
        <f>IF(F3="1",SUMIF(Data!$A:$A,'39'!$A$2,Data!IP:IP),0)</f>
        <v>48587</v>
      </c>
      <c r="F37" s="22">
        <f t="shared" si="3"/>
        <v>1.5742288750648004</v>
      </c>
    </row>
    <row r="38" spans="1:6" ht="14.25" customHeight="1" x14ac:dyDescent="0.2">
      <c r="A38" s="20">
        <v>3</v>
      </c>
      <c r="B38" s="202" t="s">
        <v>2</v>
      </c>
      <c r="C38" s="203"/>
      <c r="D38" s="15">
        <f>IF(F3="1",SUMIF(Data!A:A,'39'!$A$2,Data!CW:CW),0)</f>
        <v>225216</v>
      </c>
      <c r="E38" s="18">
        <f>IF(F3="1",SUMIF(Data!$A:$A,'39'!$A$2,Data!IQ:IQ),0)</f>
        <v>221343</v>
      </c>
      <c r="F38" s="22">
        <f t="shared" si="3"/>
        <v>0.98280317561807329</v>
      </c>
    </row>
    <row r="39" spans="1:6" ht="14.25" customHeight="1" x14ac:dyDescent="0.2">
      <c r="A39" s="20">
        <v>4</v>
      </c>
      <c r="B39" s="202" t="s">
        <v>3</v>
      </c>
      <c r="C39" s="203"/>
      <c r="D39" s="15">
        <f>IF(F3="1",SUMIF(Data!A:A,'39'!$A$2,Data!CX:CX),0)</f>
        <v>115270</v>
      </c>
      <c r="E39" s="18">
        <f>IF(F3="1",SUMIF(Data!$A:$A,'39'!$A$2,Data!IR:IR),0)</f>
        <v>105208</v>
      </c>
      <c r="F39" s="22">
        <f t="shared" si="3"/>
        <v>0.91270929122928779</v>
      </c>
    </row>
    <row r="40" spans="1:6" x14ac:dyDescent="0.2">
      <c r="A40" s="20">
        <v>5</v>
      </c>
      <c r="B40" s="202" t="s">
        <v>4</v>
      </c>
      <c r="C40" s="203"/>
      <c r="D40" s="15">
        <f>IF(F3="1",SUMIF(Data!A:A,'39'!$A$2,Data!CY:CY),0)</f>
        <v>0</v>
      </c>
      <c r="E40" s="18">
        <f>IF(F3="1",SUMIF(Data!$A:$A,'39'!$A$2,Data!IS:IS),0)</f>
        <v>0</v>
      </c>
      <c r="F40" s="22" t="str">
        <f t="shared" si="3"/>
        <v/>
      </c>
    </row>
    <row r="41" spans="1:6" x14ac:dyDescent="0.2">
      <c r="A41" s="20">
        <v>6</v>
      </c>
      <c r="B41" s="202" t="s">
        <v>5</v>
      </c>
      <c r="C41" s="203"/>
      <c r="D41" s="15">
        <f>IF(F3="1",SUMIF(Data!A:A,'39'!$A$2,Data!CZ:CZ),0)</f>
        <v>8304</v>
      </c>
      <c r="E41" s="18">
        <f>IF(F3="1",SUMIF(Data!$A:$A,'39'!$A$2,Data!IT:IT),0)</f>
        <v>8848</v>
      </c>
      <c r="F41" s="22">
        <f t="shared" si="3"/>
        <v>1.0655105973025047</v>
      </c>
    </row>
    <row r="42" spans="1:6" x14ac:dyDescent="0.2">
      <c r="A42" s="20">
        <v>7</v>
      </c>
      <c r="B42" s="202" t="s">
        <v>6</v>
      </c>
      <c r="C42" s="203"/>
      <c r="D42" s="15">
        <f>IF(F3="1",SUMIF(Data!A:A,'39'!$A$2,Data!DA:DA),0)</f>
        <v>111215</v>
      </c>
      <c r="E42" s="18">
        <f>IF(F3="1",SUMIF(Data!$A:$A,'39'!$A$2,Data!IU:IU),0)</f>
        <v>62163</v>
      </c>
      <c r="F42" s="22">
        <f t="shared" si="3"/>
        <v>0.55894438699815674</v>
      </c>
    </row>
    <row r="43" spans="1:6" x14ac:dyDescent="0.2">
      <c r="A43" s="20">
        <v>8</v>
      </c>
      <c r="B43" s="202" t="s">
        <v>7</v>
      </c>
      <c r="C43" s="203"/>
      <c r="D43" s="15">
        <f>IF(F3="1",SUMIF(Data!A:A,'39'!$A$2,Data!DB:DB),0)</f>
        <v>13520</v>
      </c>
      <c r="E43" s="18">
        <f>IF(F3="1",SUMIF(Data!$A:$A,'39'!$A$2,Data!IV:IV),0)</f>
        <v>35157</v>
      </c>
      <c r="F43" s="22">
        <f t="shared" si="3"/>
        <v>2.6003698224852072</v>
      </c>
    </row>
    <row r="44" spans="1:6" x14ac:dyDescent="0.2">
      <c r="A44" s="20">
        <v>9</v>
      </c>
      <c r="B44" s="202" t="s">
        <v>8</v>
      </c>
      <c r="C44" s="203"/>
      <c r="D44" s="15">
        <f>IF(F3="1",SUMIF(Data!A:A,'39'!$A$2,Data!DC:DC),0)</f>
        <v>109317</v>
      </c>
      <c r="E44" s="18">
        <f>IF(F3="1",SUMIF(Data!$A:$A,'39'!$A$2,Data!IW:IW),0)</f>
        <v>103014</v>
      </c>
      <c r="F44" s="22">
        <f t="shared" si="3"/>
        <v>0.94234199621284886</v>
      </c>
    </row>
    <row r="45" spans="1:6" x14ac:dyDescent="0.2">
      <c r="A45" s="20">
        <v>10</v>
      </c>
      <c r="B45" s="202" t="s">
        <v>9</v>
      </c>
      <c r="C45" s="203"/>
      <c r="D45" s="15">
        <f>IF(F3="1",SUMIF(Data!A:A,'39'!$A$2,Data!DD:DD),0)</f>
        <v>576</v>
      </c>
      <c r="E45" s="18">
        <f>IF(F3="1",SUMIF(Data!$A:$A,'39'!$A$2,Data!IX:IX),0)</f>
        <v>857</v>
      </c>
      <c r="F45" s="22">
        <f t="shared" si="3"/>
        <v>1.4878472222222223</v>
      </c>
    </row>
    <row r="46" spans="1:6" x14ac:dyDescent="0.2">
      <c r="A46" s="20">
        <v>11</v>
      </c>
      <c r="B46" s="202" t="s">
        <v>10</v>
      </c>
      <c r="C46" s="203"/>
      <c r="D46" s="15">
        <f>IF(F3="1",SUMIF(Data!A:A,'39'!$A$2,Data!DE:DE),0)</f>
        <v>23744</v>
      </c>
      <c r="E46" s="18">
        <f>IF(F3="1",SUMIF(Data!$A:$A,'39'!$A$2,Data!IY:IY),0)</f>
        <v>25723</v>
      </c>
      <c r="F46" s="22">
        <f t="shared" si="3"/>
        <v>1.083347371967655</v>
      </c>
    </row>
    <row r="47" spans="1:6" ht="14.25" customHeight="1" x14ac:dyDescent="0.2">
      <c r="A47" s="20">
        <v>12</v>
      </c>
      <c r="B47" s="202" t="s">
        <v>11</v>
      </c>
      <c r="C47" s="203"/>
      <c r="D47" s="15">
        <f>IF(F3="1",SUMIF(Data!A:A,'39'!$A$2,Data!DF:DF),0)</f>
        <v>232704</v>
      </c>
      <c r="E47" s="18">
        <f>IF(F3="1",SUMIF(Data!$A:$A,'39'!$A$2,Data!IZ:IZ),0)</f>
        <v>376533</v>
      </c>
      <c r="F47" s="22">
        <f t="shared" si="3"/>
        <v>1.6180770420792079</v>
      </c>
    </row>
    <row r="48" spans="1:6" x14ac:dyDescent="0.2">
      <c r="A48" s="20">
        <v>13</v>
      </c>
      <c r="B48" s="202" t="s">
        <v>12</v>
      </c>
      <c r="C48" s="203"/>
      <c r="D48" s="15">
        <f>IF(F3="1",SUMIF(Data!A:A,'39'!$A$2,Data!DG:DG),0)</f>
        <v>24016</v>
      </c>
      <c r="E48" s="18">
        <f>IF(F3="1",SUMIF(Data!$A:$A,'39'!$A$2,Data!JA:JA),0)</f>
        <v>1727</v>
      </c>
      <c r="F48" s="22">
        <f t="shared" si="3"/>
        <v>7.1910393071285814E-2</v>
      </c>
    </row>
    <row r="49" spans="1:6" ht="14.25" customHeight="1" x14ac:dyDescent="0.2">
      <c r="A49" s="20">
        <v>14</v>
      </c>
      <c r="B49" s="202" t="s">
        <v>449</v>
      </c>
      <c r="C49" s="203"/>
      <c r="D49" s="15">
        <f>IF(F3="1",SUMIF(Data!A:A,'39'!$A$2,Data!DH:DH),0)</f>
        <v>26816</v>
      </c>
      <c r="E49" s="18">
        <f>IF(F3="1",SUMIF(Data!$A:$A,'39'!$A$2,Data!JB:JB),0)</f>
        <v>136072</v>
      </c>
      <c r="F49" s="22">
        <f t="shared" si="3"/>
        <v>5.0742840095465391</v>
      </c>
    </row>
    <row r="50" spans="1:6" x14ac:dyDescent="0.2">
      <c r="A50" s="20">
        <v>15</v>
      </c>
      <c r="B50" s="202" t="s">
        <v>13</v>
      </c>
      <c r="C50" s="203"/>
      <c r="D50" s="15">
        <f>IF(F3="1",SUMIF(Data!A:A,'39'!$A$2,Data!DI:DI),0)</f>
        <v>0</v>
      </c>
      <c r="E50" s="18">
        <f>IF(F3="1",SUMIF(Data!$A:$A,'39'!$A$2,Data!JC:JC),0)</f>
        <v>0</v>
      </c>
      <c r="F50" s="22" t="str">
        <f t="shared" si="3"/>
        <v/>
      </c>
    </row>
    <row r="51" spans="1:6" x14ac:dyDescent="0.2">
      <c r="A51" s="20">
        <v>16</v>
      </c>
      <c r="B51" s="202" t="s">
        <v>14</v>
      </c>
      <c r="C51" s="203"/>
      <c r="D51" s="15">
        <f>IF(F3="1",SUMIF(Data!A:A,'39'!$A$2,Data!DJ:DJ),0)</f>
        <v>43652</v>
      </c>
      <c r="E51" s="18">
        <f>IF(F3="1",SUMIF(Data!$A:$A,'39'!$A$2,Data!JD:JD),0)</f>
        <v>100831</v>
      </c>
      <c r="F51" s="22">
        <f t="shared" si="3"/>
        <v>2.3098827086960507</v>
      </c>
    </row>
    <row r="52" spans="1:6" x14ac:dyDescent="0.2">
      <c r="A52" s="20">
        <v>17</v>
      </c>
      <c r="B52" s="202" t="s">
        <v>15</v>
      </c>
      <c r="C52" s="203"/>
      <c r="D52" s="15">
        <f>IF(F3="1",SUMIF(Data!A:A,'39'!$A$2,Data!DK:DK),0)</f>
        <v>0</v>
      </c>
      <c r="E52" s="18">
        <f>IF(F3="1",SUMIF(Data!$A:$A,'39'!$A$2,Data!JE:JE),0)</f>
        <v>0</v>
      </c>
      <c r="F52" s="22" t="str">
        <f t="shared" si="3"/>
        <v/>
      </c>
    </row>
    <row r="53" spans="1:6" x14ac:dyDescent="0.2">
      <c r="A53" s="20">
        <v>18</v>
      </c>
      <c r="B53" s="202" t="s">
        <v>16</v>
      </c>
      <c r="C53" s="203"/>
      <c r="D53" s="15">
        <f>IF(F3="1",SUMIF(Data!A:A,'39'!$A$2,Data!DL:DL),0)</f>
        <v>99152</v>
      </c>
      <c r="E53" s="18">
        <f>IF(F3="1",SUMIF(Data!$A:$A,'39'!$A$2,Data!JF:JF),0)</f>
        <v>223187</v>
      </c>
      <c r="F53" s="22">
        <f t="shared" si="3"/>
        <v>2.2509581248991446</v>
      </c>
    </row>
    <row r="54" spans="1:6" x14ac:dyDescent="0.2">
      <c r="A54" s="20">
        <v>19</v>
      </c>
      <c r="B54" s="202" t="s">
        <v>17</v>
      </c>
      <c r="C54" s="203"/>
      <c r="D54" s="15">
        <f>IF(F3="1",SUMIF(Data!A:A,'39'!$A$2,Data!DM:DM),0)</f>
        <v>100934</v>
      </c>
      <c r="E54" s="18">
        <f>IF(F3="1",SUMIF(Data!$A:$A,'39'!$A$2,Data!JG:JG),0)</f>
        <v>224573</v>
      </c>
      <c r="F54" s="22">
        <f t="shared" si="3"/>
        <v>2.2249489765589394</v>
      </c>
    </row>
    <row r="55" spans="1:6" x14ac:dyDescent="0.2">
      <c r="A55" s="20">
        <v>20</v>
      </c>
      <c r="B55" s="202" t="s">
        <v>18</v>
      </c>
      <c r="C55" s="203"/>
      <c r="D55" s="15">
        <f>IF(F3="1",SUMIF(Data!A:A,'39'!$A$2,Data!DN:DN),0)</f>
        <v>45760</v>
      </c>
      <c r="E55" s="18">
        <f>IF(F3="1",SUMIF(Data!$A:$A,'39'!$A$2,Data!JH:JH),0)</f>
        <v>78857</v>
      </c>
      <c r="F55" s="22">
        <f t="shared" si="3"/>
        <v>1.7232736013986014</v>
      </c>
    </row>
    <row r="56" spans="1:6" ht="14.25" customHeight="1" x14ac:dyDescent="0.2">
      <c r="A56" s="20">
        <v>21</v>
      </c>
      <c r="B56" s="202" t="s">
        <v>446</v>
      </c>
      <c r="C56" s="203"/>
      <c r="D56" s="15">
        <f>IF(F3="1",SUMIF(Data!A:A,'39'!$A$2,Data!DO:DO),0)</f>
        <v>48822</v>
      </c>
      <c r="E56" s="18">
        <f>IF(F3="1",SUMIF(Data!$A:$A,'39'!$A$2,Data!JI:JI),0)</f>
        <v>282773</v>
      </c>
      <c r="F56" s="22">
        <f t="shared" si="3"/>
        <v>5.7919175781410024</v>
      </c>
    </row>
    <row r="57" spans="1:6" x14ac:dyDescent="0.2">
      <c r="A57" s="20">
        <v>22</v>
      </c>
      <c r="B57" s="202" t="s">
        <v>19</v>
      </c>
      <c r="C57" s="203"/>
      <c r="D57" s="15">
        <f>IF(F3="1",SUMIF(Data!A:A,'39'!$A$2,Data!DP:DP),0)</f>
        <v>5568</v>
      </c>
      <c r="E57" s="18">
        <f>IF(F3="1",SUMIF(Data!$A:$A,'39'!$A$2,Data!JJ:JJ),0)</f>
        <v>7717</v>
      </c>
      <c r="F57" s="22">
        <f t="shared" si="3"/>
        <v>1.3859554597701149</v>
      </c>
    </row>
    <row r="58" spans="1:6" x14ac:dyDescent="0.2">
      <c r="A58" s="20">
        <v>23</v>
      </c>
      <c r="B58" s="202" t="s">
        <v>20</v>
      </c>
      <c r="C58" s="203"/>
      <c r="D58" s="15">
        <f>IF(F3="1",SUMIF(Data!A:A,'39'!$A$2,Data!DQ:DQ),0)</f>
        <v>69552</v>
      </c>
      <c r="E58" s="18">
        <f>IF(F3="1",SUMIF(Data!$A:$A,'39'!$A$2,Data!JK:JK),0)</f>
        <v>119185</v>
      </c>
      <c r="F58" s="22">
        <f t="shared" si="3"/>
        <v>1.7136099608925697</v>
      </c>
    </row>
    <row r="59" spans="1:6" x14ac:dyDescent="0.2">
      <c r="A59" s="20">
        <v>24</v>
      </c>
      <c r="B59" s="202" t="s">
        <v>21</v>
      </c>
      <c r="C59" s="203"/>
      <c r="D59" s="15">
        <f>IF(F3="1",SUMIF(Data!A:A,'39'!$A$2,Data!DR:DR),0)</f>
        <v>99584</v>
      </c>
      <c r="E59" s="18">
        <f>IF(F3="1",SUMIF(Data!$A:$A,'39'!$A$2,Data!JL:JL),0)</f>
        <v>160114</v>
      </c>
      <c r="F59" s="22">
        <f t="shared" si="3"/>
        <v>1.6078285668380463</v>
      </c>
    </row>
    <row r="60" spans="1:6" x14ac:dyDescent="0.2">
      <c r="A60" s="20">
        <v>25</v>
      </c>
      <c r="B60" s="202" t="s">
        <v>22</v>
      </c>
      <c r="C60" s="203"/>
      <c r="D60" s="15">
        <f>IF(F3="1",SUMIF(Data!A:A,'39'!$A$2,Data!DS:DS),0)</f>
        <v>433296</v>
      </c>
      <c r="E60" s="18">
        <f>IF(F3="1",SUMIF(Data!$A:$A,'39'!$A$2,Data!JM:JM),0)</f>
        <v>231219</v>
      </c>
      <c r="F60" s="22">
        <f t="shared" si="3"/>
        <v>0.53362828182120303</v>
      </c>
    </row>
    <row r="61" spans="1:6" x14ac:dyDescent="0.2">
      <c r="A61" s="20">
        <v>26</v>
      </c>
      <c r="B61" s="202" t="s">
        <v>23</v>
      </c>
      <c r="C61" s="203"/>
      <c r="D61" s="15">
        <f>IF(F3="1",SUMIF(Data!A:A,'39'!$A$2,Data!DT:DT),0)</f>
        <v>69552</v>
      </c>
      <c r="E61" s="18">
        <f>IF(F3="1",SUMIF(Data!$A:$A,'39'!$A$2,Data!JN:JN),0)</f>
        <v>45932</v>
      </c>
      <c r="F61" s="22">
        <f t="shared" si="3"/>
        <v>0.66039797561536695</v>
      </c>
    </row>
    <row r="62" spans="1:6" x14ac:dyDescent="0.2">
      <c r="A62" s="20">
        <v>28</v>
      </c>
      <c r="B62" s="202" t="s">
        <v>24</v>
      </c>
      <c r="C62" s="203"/>
      <c r="D62" s="15">
        <f>IF(F3="1",SUMIF(Data!A:A,'39'!$A$2,Data!DV:DV),0)</f>
        <v>145152</v>
      </c>
      <c r="E62" s="18">
        <f>IF(F3="1",SUMIF(Data!$A:$A,'39'!$A$2,Data!JP:JP),0)</f>
        <v>222346</v>
      </c>
      <c r="F62" s="22">
        <f t="shared" si="3"/>
        <v>1.5318149250440918</v>
      </c>
    </row>
    <row r="63" spans="1:6" ht="15.75" customHeight="1" thickBot="1" x14ac:dyDescent="0.25">
      <c r="A63" s="23">
        <v>29</v>
      </c>
      <c r="B63" s="206" t="s">
        <v>25</v>
      </c>
      <c r="C63" s="207"/>
      <c r="D63" s="24">
        <f>IF(F3="1",SUMIF(Data!A:A,'39'!$A$2,Data!DW:DW),0)</f>
        <v>202368</v>
      </c>
      <c r="E63" s="25">
        <f>IF(F3="1",SUMIF(Data!$A:$A,'39'!$A$2,Data!JQ:JQ),0)</f>
        <v>204391</v>
      </c>
      <c r="F63" s="26">
        <f t="shared" si="3"/>
        <v>1.0099966397849462</v>
      </c>
    </row>
    <row r="64" spans="1:6" x14ac:dyDescent="0.2">
      <c r="B64" s="31" t="s">
        <v>35</v>
      </c>
      <c r="C64" s="31"/>
      <c r="D64" s="60">
        <f>SUM(D36:D63)</f>
        <v>2308474</v>
      </c>
      <c r="E64" s="32">
        <f>SUM(E36:E63)</f>
        <v>3054775</v>
      </c>
      <c r="F64" s="33">
        <f t="shared" si="3"/>
        <v>1.3232875917164326</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23520</v>
      </c>
      <c r="E67" s="16">
        <f>IF(F3="1",SUMIF(Data!A:A,'39'!$A$2,Data!DY:DY),0)</f>
        <v>107542</v>
      </c>
      <c r="F67" s="21">
        <f>IFERROR(E67/D67,"")</f>
        <v>4.572363945578231</v>
      </c>
    </row>
    <row r="68" spans="1:6" x14ac:dyDescent="0.2">
      <c r="A68" s="20">
        <v>2</v>
      </c>
      <c r="B68" s="202" t="s">
        <v>1</v>
      </c>
      <c r="C68" s="203"/>
      <c r="D68" s="15">
        <f t="shared" ref="D68:D94" si="4">D37</f>
        <v>30864</v>
      </c>
      <c r="E68" s="18">
        <f>IF(F3="1",SUMIF(Data!A:A,'39'!$A$2,Data!DZ:DZ),0)</f>
        <v>138266</v>
      </c>
      <c r="F68" s="22">
        <f t="shared" ref="F68:F95" si="5">IFERROR(E68/D68,"")</f>
        <v>4.4798470710212541</v>
      </c>
    </row>
    <row r="69" spans="1:6" ht="14.25" customHeight="1" x14ac:dyDescent="0.2">
      <c r="A69" s="20">
        <v>3</v>
      </c>
      <c r="B69" s="202" t="s">
        <v>2</v>
      </c>
      <c r="C69" s="203"/>
      <c r="D69" s="15">
        <f t="shared" si="4"/>
        <v>225216</v>
      </c>
      <c r="E69" s="18">
        <f>IF(F3="1",SUMIF(Data!A:A,'39'!$A$2,Data!EA:EA),0)</f>
        <v>755872</v>
      </c>
      <c r="F69" s="22">
        <f t="shared" si="5"/>
        <v>3.3562091503267975</v>
      </c>
    </row>
    <row r="70" spans="1:6" ht="14.25" customHeight="1" x14ac:dyDescent="0.2">
      <c r="A70" s="20">
        <v>4</v>
      </c>
      <c r="B70" s="202" t="s">
        <v>3</v>
      </c>
      <c r="C70" s="203"/>
      <c r="D70" s="15">
        <f t="shared" si="4"/>
        <v>115270</v>
      </c>
      <c r="E70" s="18">
        <f>IF(F3="1",SUMIF(Data!A:A,'39'!$A$2,Data!EB:EB),0)</f>
        <v>484098</v>
      </c>
      <c r="F70" s="22">
        <f t="shared" si="5"/>
        <v>4.1996876897718396</v>
      </c>
    </row>
    <row r="71" spans="1:6" x14ac:dyDescent="0.2">
      <c r="A71" s="20">
        <v>5</v>
      </c>
      <c r="B71" s="202" t="s">
        <v>4</v>
      </c>
      <c r="C71" s="203"/>
      <c r="D71" s="15">
        <f t="shared" si="4"/>
        <v>0</v>
      </c>
      <c r="E71" s="18">
        <f>IF(F3="1",SUMIF(Data!A:A,'39'!$A$2,Data!EC:EC),0)</f>
        <v>0</v>
      </c>
      <c r="F71" s="22" t="str">
        <f t="shared" si="5"/>
        <v/>
      </c>
    </row>
    <row r="72" spans="1:6" x14ac:dyDescent="0.2">
      <c r="A72" s="20">
        <v>6</v>
      </c>
      <c r="B72" s="202" t="s">
        <v>5</v>
      </c>
      <c r="C72" s="203"/>
      <c r="D72" s="15">
        <f t="shared" si="4"/>
        <v>8304</v>
      </c>
      <c r="E72" s="18">
        <f>IF(F3="1",SUMIF(Data!A:A,'39'!$A$2,Data!ED:ED),0)</f>
        <v>37538</v>
      </c>
      <c r="F72" s="22">
        <f t="shared" si="5"/>
        <v>4.5204720616570331</v>
      </c>
    </row>
    <row r="73" spans="1:6" x14ac:dyDescent="0.2">
      <c r="A73" s="20">
        <v>7</v>
      </c>
      <c r="B73" s="202" t="s">
        <v>6</v>
      </c>
      <c r="C73" s="203"/>
      <c r="D73" s="15">
        <f t="shared" si="4"/>
        <v>111215</v>
      </c>
      <c r="E73" s="18">
        <f>IF(F3="1",SUMIF(Data!A:A,'39'!$A$2,Data!EE:EE),0)</f>
        <v>233441</v>
      </c>
      <c r="F73" s="22">
        <f t="shared" si="5"/>
        <v>2.0990064289888952</v>
      </c>
    </row>
    <row r="74" spans="1:6" x14ac:dyDescent="0.2">
      <c r="A74" s="20">
        <v>8</v>
      </c>
      <c r="B74" s="202" t="s">
        <v>7</v>
      </c>
      <c r="C74" s="203"/>
      <c r="D74" s="15">
        <f t="shared" si="4"/>
        <v>13520</v>
      </c>
      <c r="E74" s="18">
        <f>IF(F3="1",SUMIF(Data!A:A,'39'!$A$2,Data!EF:EF),0)</f>
        <v>54517</v>
      </c>
      <c r="F74" s="22">
        <f t="shared" si="5"/>
        <v>4.0323224852071009</v>
      </c>
    </row>
    <row r="75" spans="1:6" x14ac:dyDescent="0.2">
      <c r="A75" s="20">
        <v>9</v>
      </c>
      <c r="B75" s="202" t="s">
        <v>8</v>
      </c>
      <c r="C75" s="203"/>
      <c r="D75" s="15">
        <f t="shared" si="4"/>
        <v>109317</v>
      </c>
      <c r="E75" s="18">
        <f>IF(F3="1",SUMIF(Data!A:A,'39'!$A$2,Data!EG:EG),0)</f>
        <v>359324</v>
      </c>
      <c r="F75" s="22">
        <f t="shared" si="5"/>
        <v>3.2869910443938273</v>
      </c>
    </row>
    <row r="76" spans="1:6" x14ac:dyDescent="0.2">
      <c r="A76" s="20">
        <v>10</v>
      </c>
      <c r="B76" s="202" t="s">
        <v>9</v>
      </c>
      <c r="C76" s="203"/>
      <c r="D76" s="15">
        <f t="shared" si="4"/>
        <v>576</v>
      </c>
      <c r="E76" s="18">
        <f>IF(F3="1",SUMIF(Data!A:A,'39'!$A$2,Data!EH:EH),0)</f>
        <v>2742</v>
      </c>
      <c r="F76" s="22">
        <f t="shared" si="5"/>
        <v>4.760416666666667</v>
      </c>
    </row>
    <row r="77" spans="1:6" x14ac:dyDescent="0.2">
      <c r="A77" s="20">
        <v>11</v>
      </c>
      <c r="B77" s="202" t="s">
        <v>10</v>
      </c>
      <c r="C77" s="203"/>
      <c r="D77" s="15">
        <f t="shared" si="4"/>
        <v>23744</v>
      </c>
      <c r="E77" s="18">
        <f>IF(F3="1",SUMIF(Data!A:A,'39'!$A$2,Data!EI:EI),0)</f>
        <v>82253</v>
      </c>
      <c r="F77" s="22">
        <f t="shared" si="5"/>
        <v>3.4641593665768196</v>
      </c>
    </row>
    <row r="78" spans="1:6" ht="14.25" customHeight="1" x14ac:dyDescent="0.2">
      <c r="A78" s="20">
        <v>12</v>
      </c>
      <c r="B78" s="202" t="s">
        <v>11</v>
      </c>
      <c r="C78" s="203"/>
      <c r="D78" s="15">
        <f t="shared" si="4"/>
        <v>232704</v>
      </c>
      <c r="E78" s="18">
        <f>IF(F3="1",SUMIF(Data!A:A,'39'!$A$2,Data!EJ:EJ),0)</f>
        <v>1098361</v>
      </c>
      <c r="F78" s="22">
        <f t="shared" si="5"/>
        <v>4.7199919210671064</v>
      </c>
    </row>
    <row r="79" spans="1:6" x14ac:dyDescent="0.2">
      <c r="A79" s="20">
        <v>13</v>
      </c>
      <c r="B79" s="202" t="s">
        <v>12</v>
      </c>
      <c r="C79" s="203"/>
      <c r="D79" s="15">
        <f t="shared" si="4"/>
        <v>24016</v>
      </c>
      <c r="E79" s="18">
        <f>IF(F3="1",SUMIF(Data!A:A,'39'!$A$2,Data!EK:EK),0)</f>
        <v>7670</v>
      </c>
      <c r="F79" s="22">
        <f t="shared" si="5"/>
        <v>0.31937041972018654</v>
      </c>
    </row>
    <row r="80" spans="1:6" ht="14.25" customHeight="1" x14ac:dyDescent="0.2">
      <c r="A80" s="20">
        <v>14</v>
      </c>
      <c r="B80" s="202" t="s">
        <v>449</v>
      </c>
      <c r="C80" s="203"/>
      <c r="D80" s="15">
        <f t="shared" si="4"/>
        <v>26816</v>
      </c>
      <c r="E80" s="18">
        <f>IF(F3="1",SUMIF(Data!A:A,'39'!$A$2,Data!EL:EL),0)</f>
        <v>277194</v>
      </c>
      <c r="F80" s="22">
        <f t="shared" si="5"/>
        <v>10.336888424821002</v>
      </c>
    </row>
    <row r="81" spans="1:6" x14ac:dyDescent="0.2">
      <c r="A81" s="20">
        <v>15</v>
      </c>
      <c r="B81" s="202" t="s">
        <v>13</v>
      </c>
      <c r="C81" s="203"/>
      <c r="D81" s="15">
        <f t="shared" si="4"/>
        <v>0</v>
      </c>
      <c r="E81" s="18">
        <f>IF(F3="1",SUMIF(Data!A:A,'39'!$A$2,Data!EM:EM),0)</f>
        <v>0</v>
      </c>
      <c r="F81" s="22" t="str">
        <f t="shared" si="5"/>
        <v/>
      </c>
    </row>
    <row r="82" spans="1:6" x14ac:dyDescent="0.2">
      <c r="A82" s="20">
        <v>16</v>
      </c>
      <c r="B82" s="202" t="s">
        <v>14</v>
      </c>
      <c r="C82" s="203"/>
      <c r="D82" s="15">
        <f t="shared" si="4"/>
        <v>43652</v>
      </c>
      <c r="E82" s="18">
        <f>IF(F3="1",SUMIF(Data!A:A,'39'!$A$2,Data!EN:EN),0)</f>
        <v>218552</v>
      </c>
      <c r="F82" s="22">
        <f t="shared" si="5"/>
        <v>5.0066892696783656</v>
      </c>
    </row>
    <row r="83" spans="1:6" x14ac:dyDescent="0.2">
      <c r="A83" s="20">
        <v>17</v>
      </c>
      <c r="B83" s="202" t="s">
        <v>15</v>
      </c>
      <c r="C83" s="203"/>
      <c r="D83" s="15">
        <f t="shared" si="4"/>
        <v>0</v>
      </c>
      <c r="E83" s="18">
        <f>IF(F3="1",SUMIF(Data!A:A,'39'!$A$2,Data!EO:EO),0)</f>
        <v>0</v>
      </c>
      <c r="F83" s="22" t="str">
        <f t="shared" si="5"/>
        <v/>
      </c>
    </row>
    <row r="84" spans="1:6" x14ac:dyDescent="0.2">
      <c r="A84" s="20">
        <v>18</v>
      </c>
      <c r="B84" s="202" t="s">
        <v>16</v>
      </c>
      <c r="C84" s="203"/>
      <c r="D84" s="15">
        <f t="shared" si="4"/>
        <v>99152</v>
      </c>
      <c r="E84" s="18">
        <f>IF(F3="1",SUMIF(Data!A:A,'39'!$A$2,Data!EP:EP),0)</f>
        <v>587725</v>
      </c>
      <c r="F84" s="22">
        <f t="shared" si="5"/>
        <v>5.9275153299983865</v>
      </c>
    </row>
    <row r="85" spans="1:6" x14ac:dyDescent="0.2">
      <c r="A85" s="20">
        <v>19</v>
      </c>
      <c r="B85" s="202" t="s">
        <v>17</v>
      </c>
      <c r="C85" s="203"/>
      <c r="D85" s="15">
        <f t="shared" si="4"/>
        <v>100934</v>
      </c>
      <c r="E85" s="18">
        <f>IF(F3="1",SUMIF(Data!A:A,'39'!$A$2,Data!EQ:EQ),0)</f>
        <v>569862</v>
      </c>
      <c r="F85" s="22">
        <f t="shared" si="5"/>
        <v>5.645887411575881</v>
      </c>
    </row>
    <row r="86" spans="1:6" x14ac:dyDescent="0.2">
      <c r="A86" s="20">
        <v>20</v>
      </c>
      <c r="B86" s="202" t="s">
        <v>18</v>
      </c>
      <c r="C86" s="203"/>
      <c r="D86" s="15">
        <f t="shared" si="4"/>
        <v>45760</v>
      </c>
      <c r="E86" s="18">
        <f>IF(F3="1",SUMIF(Data!A:A,'39'!$A$2,Data!ER:ER),0)</f>
        <v>203630</v>
      </c>
      <c r="F86" s="22">
        <f t="shared" si="5"/>
        <v>4.4499562937062933</v>
      </c>
    </row>
    <row r="87" spans="1:6" ht="14.25" customHeight="1" x14ac:dyDescent="0.2">
      <c r="A87" s="20">
        <v>21</v>
      </c>
      <c r="B87" s="202" t="s">
        <v>446</v>
      </c>
      <c r="C87" s="203"/>
      <c r="D87" s="15">
        <f t="shared" si="4"/>
        <v>48822</v>
      </c>
      <c r="E87" s="18">
        <f>IF(F3="1",SUMIF(Data!A:A,'39'!$A$2,Data!ES:ES),0)</f>
        <v>197410</v>
      </c>
      <c r="F87" s="22">
        <f t="shared" si="5"/>
        <v>4.0434640121256811</v>
      </c>
    </row>
    <row r="88" spans="1:6" x14ac:dyDescent="0.2">
      <c r="A88" s="20">
        <v>22</v>
      </c>
      <c r="B88" s="202" t="s">
        <v>19</v>
      </c>
      <c r="C88" s="203"/>
      <c r="D88" s="15">
        <f t="shared" si="4"/>
        <v>5568</v>
      </c>
      <c r="E88" s="18">
        <f>IF(F3="1",SUMIF(Data!A:A,'39'!$A$2,Data!ET:ET),0)</f>
        <v>24676</v>
      </c>
      <c r="F88" s="22">
        <f t="shared" si="5"/>
        <v>4.4317528735632186</v>
      </c>
    </row>
    <row r="89" spans="1:6" x14ac:dyDescent="0.2">
      <c r="A89" s="20">
        <v>23</v>
      </c>
      <c r="B89" s="202" t="s">
        <v>20</v>
      </c>
      <c r="C89" s="203"/>
      <c r="D89" s="15">
        <f t="shared" si="4"/>
        <v>69552</v>
      </c>
      <c r="E89" s="18">
        <f>IF(F3="1",SUMIF(Data!A:A,'39'!$A$2,Data!EU:EU),0)</f>
        <v>237688</v>
      </c>
      <c r="F89" s="22">
        <f t="shared" si="5"/>
        <v>3.4174143087186564</v>
      </c>
    </row>
    <row r="90" spans="1:6" x14ac:dyDescent="0.2">
      <c r="A90" s="20">
        <v>24</v>
      </c>
      <c r="B90" s="202" t="s">
        <v>21</v>
      </c>
      <c r="C90" s="203"/>
      <c r="D90" s="15">
        <f t="shared" si="4"/>
        <v>99584</v>
      </c>
      <c r="E90" s="18">
        <f>IF(F3="1",SUMIF(Data!A:A,'39'!$A$2,Data!EV:EV),0)</f>
        <v>195871</v>
      </c>
      <c r="F90" s="22">
        <f t="shared" si="5"/>
        <v>1.9668922718508997</v>
      </c>
    </row>
    <row r="91" spans="1:6" x14ac:dyDescent="0.2">
      <c r="A91" s="20">
        <v>25</v>
      </c>
      <c r="B91" s="202" t="s">
        <v>22</v>
      </c>
      <c r="C91" s="203"/>
      <c r="D91" s="15">
        <f t="shared" si="4"/>
        <v>433296</v>
      </c>
      <c r="E91" s="18">
        <f>IF(F3="1",SUMIF(Data!A:A,'39'!$A$2,Data!EW:EW),0)</f>
        <v>1241056</v>
      </c>
      <c r="F91" s="22">
        <f t="shared" si="5"/>
        <v>2.8642221483697057</v>
      </c>
    </row>
    <row r="92" spans="1:6" x14ac:dyDescent="0.2">
      <c r="A92" s="20">
        <v>26</v>
      </c>
      <c r="B92" s="202" t="s">
        <v>23</v>
      </c>
      <c r="C92" s="203"/>
      <c r="D92" s="15">
        <f t="shared" si="4"/>
        <v>69552</v>
      </c>
      <c r="E92" s="18">
        <f>IF(F3="1",SUMIF(Data!A:A,'39'!$A$2,Data!EX:EX),0)</f>
        <v>202637</v>
      </c>
      <c r="F92" s="22">
        <f t="shared" si="5"/>
        <v>2.9134604324821716</v>
      </c>
    </row>
    <row r="93" spans="1:6" x14ac:dyDescent="0.2">
      <c r="A93" s="20">
        <v>28</v>
      </c>
      <c r="B93" s="202" t="s">
        <v>24</v>
      </c>
      <c r="C93" s="203"/>
      <c r="D93" s="15">
        <f t="shared" si="4"/>
        <v>145152</v>
      </c>
      <c r="E93" s="18">
        <f>IF(F3="1",SUMIF(Data!A:A,'39'!$A$2,Data!EZ:EZ),0)</f>
        <v>344645</v>
      </c>
      <c r="F93" s="22">
        <f t="shared" si="5"/>
        <v>2.3743730709876543</v>
      </c>
    </row>
    <row r="94" spans="1:6" ht="15.75" customHeight="1" thickBot="1" x14ac:dyDescent="0.25">
      <c r="A94" s="23">
        <v>29</v>
      </c>
      <c r="B94" s="206" t="s">
        <v>25</v>
      </c>
      <c r="C94" s="207"/>
      <c r="D94" s="24">
        <f t="shared" si="4"/>
        <v>202368</v>
      </c>
      <c r="E94" s="25">
        <f>IF(F3="1",SUMIF(Data!A:A,'39'!$A$2,Data!FA:FA),0)</f>
        <v>222338</v>
      </c>
      <c r="F94" s="26">
        <f t="shared" si="5"/>
        <v>1.0986816097406704</v>
      </c>
    </row>
    <row r="95" spans="1:6" x14ac:dyDescent="0.2">
      <c r="B95" s="31" t="s">
        <v>35</v>
      </c>
      <c r="C95" s="31"/>
      <c r="D95" s="60">
        <f>SUM(D67:D94)</f>
        <v>2308474</v>
      </c>
      <c r="E95" s="32">
        <f>SUM(E67:E94)</f>
        <v>7884908</v>
      </c>
      <c r="F95" s="33">
        <f t="shared" si="5"/>
        <v>3.4156364767374465</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IF(F3="1",SUMIF(Data!A:A,'39'!$A$2,Data!AH:AH),0)</f>
        <v>3881339</v>
      </c>
      <c r="F98" s="21">
        <f t="shared" ref="F98:F105" si="6">IFERROR(E98/$D$95,0)</f>
        <v>1.681344039395722</v>
      </c>
    </row>
    <row r="99" spans="2:6" x14ac:dyDescent="0.2">
      <c r="B99" s="212" t="s">
        <v>31</v>
      </c>
      <c r="C99" s="213"/>
      <c r="D99" s="37"/>
      <c r="E99" s="18">
        <f>IF(F3="1",SUMIF(Data!A:A,'39'!$A$2,Data!AI:AI),0)</f>
        <v>1571788</v>
      </c>
      <c r="F99" s="22">
        <f t="shared" si="6"/>
        <v>0.68087749742903758</v>
      </c>
    </row>
    <row r="100" spans="2:6" x14ac:dyDescent="0.2">
      <c r="B100" s="212" t="s">
        <v>32</v>
      </c>
      <c r="C100" s="213"/>
      <c r="D100" s="37"/>
      <c r="E100" s="18">
        <f>IF(F3="1",SUMIF(Data!A:A,'39'!$A$2,Data!AJ:AJ),0)</f>
        <v>2233622</v>
      </c>
      <c r="F100" s="22">
        <f t="shared" si="6"/>
        <v>0.96757511672212904</v>
      </c>
    </row>
    <row r="101" spans="2:6" x14ac:dyDescent="0.2">
      <c r="B101" s="212" t="s">
        <v>28</v>
      </c>
      <c r="C101" s="213"/>
      <c r="D101" s="37"/>
      <c r="E101" s="18">
        <f>IF(F3="1",SUMIF(Data!A:A,'39'!$A$2,Data!AK:AK),0)</f>
        <v>0</v>
      </c>
      <c r="F101" s="22">
        <f t="shared" si="6"/>
        <v>0</v>
      </c>
    </row>
    <row r="102" spans="2:6" x14ac:dyDescent="0.2">
      <c r="B102" s="212" t="s">
        <v>33</v>
      </c>
      <c r="C102" s="213"/>
      <c r="D102" s="37"/>
      <c r="E102" s="18">
        <f>IF(F3="1",SUMIF(Data!A:A,'39'!$A$2,Data!AL:AL),0)</f>
        <v>0</v>
      </c>
      <c r="F102" s="22">
        <f t="shared" si="6"/>
        <v>0</v>
      </c>
    </row>
    <row r="103" spans="2:6" x14ac:dyDescent="0.2">
      <c r="B103" s="214" t="s">
        <v>34</v>
      </c>
      <c r="C103" s="215"/>
      <c r="D103" s="37"/>
      <c r="E103" s="18">
        <f>IF(F3="1",SUMIF(Data!A:A,'39'!$A$2,Data!AM:AM),0)</f>
        <v>326996</v>
      </c>
      <c r="F103" s="22">
        <f t="shared" si="6"/>
        <v>0.14165028499346322</v>
      </c>
    </row>
    <row r="104" spans="2:6" ht="15.75" customHeight="1" thickBot="1" x14ac:dyDescent="0.25">
      <c r="B104" s="208" t="s">
        <v>29</v>
      </c>
      <c r="C104" s="209"/>
      <c r="D104" s="38"/>
      <c r="E104" s="25">
        <f>IF(F3="1",SUMIF(Data!A:A,'39'!$A$2,Data!Q:Q),0)</f>
        <v>831094</v>
      </c>
      <c r="F104" s="26">
        <f t="shared" si="6"/>
        <v>0.360018782970915</v>
      </c>
    </row>
    <row r="105" spans="2:6" x14ac:dyDescent="0.2">
      <c r="B105" s="31" t="s">
        <v>35</v>
      </c>
      <c r="C105" s="31"/>
      <c r="D105" s="35">
        <f>D95</f>
        <v>2308474</v>
      </c>
      <c r="E105" s="32">
        <f>SUM(E98:E104)</f>
        <v>8844839</v>
      </c>
      <c r="F105" s="33">
        <f t="shared" si="6"/>
        <v>3.8314657215112669</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8633361</v>
      </c>
      <c r="D109" s="192">
        <f>IF(F3="1",SUMIF(Data!$A:$A,$A$2,Data!HJ:HJ),0)</f>
        <v>1323626</v>
      </c>
      <c r="E109" s="192">
        <f>IF(F3="1",SUMIF(Data!$A:$A,$A$2,Data!IN:IN),0)</f>
        <v>982696</v>
      </c>
      <c r="F109" s="48">
        <f>SUM(C109:E109)</f>
        <v>10939683</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20117</v>
      </c>
      <c r="D111" s="52"/>
      <c r="E111" s="193">
        <f>IF(F3="1",SUMIF(Data!A:A,$A$2,Data!AX:AX)-SUMIF(Data!A:A,$A$2,Data!AW:AW),0)</f>
        <v>16053</v>
      </c>
      <c r="F111" s="49">
        <f t="shared" si="7"/>
        <v>36170</v>
      </c>
    </row>
    <row r="112" spans="2:6" x14ac:dyDescent="0.2">
      <c r="B112" s="43" t="s">
        <v>32</v>
      </c>
      <c r="C112" s="193">
        <f>IF(F3="1",SUMIF(Data!A:A,$A$2,Data!V:V),0)</f>
        <v>1792754</v>
      </c>
      <c r="D112" s="52"/>
      <c r="E112" s="193">
        <f>IF(F3="1",SUMIF(Data!A:A,$A$2,Data!AC:AC),0)</f>
        <v>440868</v>
      </c>
      <c r="F112" s="49">
        <f t="shared" si="7"/>
        <v>2233622</v>
      </c>
    </row>
    <row r="113" spans="1:6" x14ac:dyDescent="0.2">
      <c r="B113" s="43" t="s">
        <v>31</v>
      </c>
      <c r="C113" s="193">
        <f>IF(F3="1",SUMIF(Data!A:A,$A$2,Data!U:U),0)</f>
        <v>1274433</v>
      </c>
      <c r="D113" s="52"/>
      <c r="E113" s="193">
        <f>IF(F3="1",SUMIF(Data!A:A,$A$2,Data!AB:AB),0)</f>
        <v>297355</v>
      </c>
      <c r="F113" s="49">
        <f t="shared" si="7"/>
        <v>1571788</v>
      </c>
    </row>
    <row r="114" spans="1:6" x14ac:dyDescent="0.2">
      <c r="B114" s="43" t="s">
        <v>1002</v>
      </c>
      <c r="C114" s="193">
        <f>IF(F3="1",SUMIF(Data!A:A,$A$2,Data!T:T),0)</f>
        <v>2333511</v>
      </c>
      <c r="D114" s="52"/>
      <c r="E114" s="193">
        <f>IF(F3="1",SUMIF(Data!A:A,$A$2,Data!AA:AA),0)</f>
        <v>1547828</v>
      </c>
      <c r="F114" s="49">
        <f t="shared" si="7"/>
        <v>3881339</v>
      </c>
    </row>
    <row r="115" spans="1:6" x14ac:dyDescent="0.2">
      <c r="B115" s="43" t="s">
        <v>916</v>
      </c>
      <c r="C115" s="193">
        <f>IF(F3="1",SUMIF(Data!A:A,$A$2,Data!BI:BI),0)</f>
        <v>916598</v>
      </c>
      <c r="D115" s="193">
        <f>IF(F3="1",SUMIF(Data!A:A,$A$2,Data!BL:BL),0)</f>
        <v>140528</v>
      </c>
      <c r="E115" s="193">
        <f>IF(F3="1",SUMIF(Data!A:A,$A$2,Data!BU:BU)-SUMIF(Data!A:A,$A$2,Data!BT:BT),0)</f>
        <v>2642220</v>
      </c>
      <c r="F115" s="49">
        <f t="shared" si="7"/>
        <v>3699346</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831094</v>
      </c>
      <c r="E117" s="53"/>
      <c r="F117" s="50">
        <f>SUM(C117:E117)</f>
        <v>831094</v>
      </c>
    </row>
    <row r="118" spans="1:6" x14ac:dyDescent="0.2">
      <c r="B118" s="14" t="s">
        <v>35</v>
      </c>
      <c r="C118" s="178">
        <f>SUM(C109:C117)</f>
        <v>14970774</v>
      </c>
      <c r="D118" s="194">
        <f>SUM(D109:D117)</f>
        <v>2295248</v>
      </c>
      <c r="E118" s="178">
        <f>SUM(E109:E117)</f>
        <v>5927020</v>
      </c>
      <c r="F118" s="178">
        <f>SUM(F109:F117)</f>
        <v>23193042</v>
      </c>
    </row>
    <row r="119" spans="1:6" x14ac:dyDescent="0.2">
      <c r="C119" s="177"/>
      <c r="D119" s="177"/>
      <c r="E119" s="177"/>
    </row>
    <row r="120" spans="1:6" ht="15" thickBot="1" x14ac:dyDescent="0.25">
      <c r="B120" s="188" t="s">
        <v>921</v>
      </c>
      <c r="C120" s="53"/>
      <c r="D120" s="53"/>
      <c r="E120" s="195">
        <f>IF(F3="1",SUMIF(Data!A:A,$A$2,Data!AF:AF)+SUMIF(Data!A:A,$A$2,Data!AW:AW)+SUMIF(Data!A:A,$A$2,Data!BT:BT),0)</f>
        <v>441260</v>
      </c>
      <c r="F120" s="181">
        <f>SUM(C120:E120)</f>
        <v>441260</v>
      </c>
    </row>
    <row r="121" spans="1:6" s="177" customFormat="1" x14ac:dyDescent="0.2">
      <c r="B121" s="14" t="s">
        <v>35</v>
      </c>
      <c r="C121" s="178">
        <f>SUM(C120:C120)</f>
        <v>0</v>
      </c>
      <c r="D121" s="178">
        <f>SUM(D120:D120)</f>
        <v>0</v>
      </c>
      <c r="E121" s="178">
        <f>SUM(E120:E120)</f>
        <v>441260</v>
      </c>
      <c r="F121" s="178">
        <f>SUM(F120:F120)</f>
        <v>441260</v>
      </c>
    </row>
    <row r="122" spans="1:6" s="177" customFormat="1" ht="15" thickBot="1" x14ac:dyDescent="0.25">
      <c r="B122" s="14" t="s">
        <v>1396</v>
      </c>
      <c r="C122" s="178"/>
      <c r="D122" s="178"/>
      <c r="E122" s="178"/>
      <c r="F122" s="190">
        <f>F118+F121</f>
        <v>23634302</v>
      </c>
    </row>
    <row r="123" spans="1:6" ht="15" thickTop="1" x14ac:dyDescent="0.2">
      <c r="F123" s="183"/>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9.28515625" style="58" bestFit="1"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398</v>
      </c>
      <c r="B2" s="59" t="str">
        <f>VLOOKUP(A2,Data!A:G,7,0)</f>
        <v>Tarrant County College District</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30584</v>
      </c>
      <c r="E5" s="16">
        <f>E36+E67+IFERROR($E$105/$D$105*D5,0)</f>
        <v>292869.25458590192</v>
      </c>
      <c r="F5" s="21">
        <f>IFERROR(E5/D5,"")</f>
        <v>9.5758976780637557</v>
      </c>
    </row>
    <row r="6" spans="1:6" x14ac:dyDescent="0.2">
      <c r="A6" s="20">
        <v>2</v>
      </c>
      <c r="B6" s="202" t="s">
        <v>1</v>
      </c>
      <c r="C6" s="203"/>
      <c r="D6" s="15">
        <f t="shared" ref="D6:D32" si="0">D37</f>
        <v>59360</v>
      </c>
      <c r="E6" s="18">
        <f t="shared" ref="E6:E32" si="1">E37+E68+IFERROR($E$105/$D$105*D6,0)</f>
        <v>995016.2246998148</v>
      </c>
      <c r="F6" s="22">
        <f t="shared" ref="F6:F33" si="2">IFERROR(E6/D6,"")</f>
        <v>16.762402707207123</v>
      </c>
    </row>
    <row r="7" spans="1:6" ht="14.25" customHeight="1" x14ac:dyDescent="0.2">
      <c r="A7" s="20">
        <v>3</v>
      </c>
      <c r="B7" s="202" t="s">
        <v>2</v>
      </c>
      <c r="C7" s="203"/>
      <c r="D7" s="15">
        <f t="shared" si="0"/>
        <v>2667496</v>
      </c>
      <c r="E7" s="18">
        <f t="shared" si="1"/>
        <v>23061440.73224153</v>
      </c>
      <c r="F7" s="22">
        <f t="shared" si="2"/>
        <v>8.6453515702522257</v>
      </c>
    </row>
    <row r="8" spans="1:6" ht="14.25" customHeight="1" x14ac:dyDescent="0.2">
      <c r="A8" s="20">
        <v>4</v>
      </c>
      <c r="B8" s="202" t="s">
        <v>3</v>
      </c>
      <c r="C8" s="203"/>
      <c r="D8" s="15">
        <f t="shared" si="0"/>
        <v>1412829</v>
      </c>
      <c r="E8" s="18">
        <f t="shared" si="1"/>
        <v>10657991.364090543</v>
      </c>
      <c r="F8" s="22">
        <f t="shared" si="2"/>
        <v>7.5437235249917318</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398246</v>
      </c>
      <c r="E10" s="18">
        <f t="shared" si="1"/>
        <v>3665948.8771193139</v>
      </c>
      <c r="F10" s="22">
        <f t="shared" si="2"/>
        <v>9.2052371577349525</v>
      </c>
    </row>
    <row r="11" spans="1:6" x14ac:dyDescent="0.2">
      <c r="A11" s="20">
        <v>7</v>
      </c>
      <c r="B11" s="202" t="s">
        <v>6</v>
      </c>
      <c r="C11" s="203"/>
      <c r="D11" s="15">
        <f t="shared" si="0"/>
        <v>761370</v>
      </c>
      <c r="E11" s="18">
        <f t="shared" si="1"/>
        <v>8198827.2590919472</v>
      </c>
      <c r="F11" s="22">
        <f t="shared" si="2"/>
        <v>10.768518931783426</v>
      </c>
    </row>
    <row r="12" spans="1:6" x14ac:dyDescent="0.2">
      <c r="A12" s="20">
        <v>8</v>
      </c>
      <c r="B12" s="202" t="s">
        <v>7</v>
      </c>
      <c r="C12" s="203"/>
      <c r="D12" s="15">
        <f t="shared" si="0"/>
        <v>2452</v>
      </c>
      <c r="E12" s="18">
        <f t="shared" si="1"/>
        <v>22633.668985241675</v>
      </c>
      <c r="F12" s="22">
        <f t="shared" si="2"/>
        <v>9.2306969760365725</v>
      </c>
    </row>
    <row r="13" spans="1:6" x14ac:dyDescent="0.2">
      <c r="A13" s="20">
        <v>9</v>
      </c>
      <c r="B13" s="202" t="s">
        <v>8</v>
      </c>
      <c r="C13" s="203"/>
      <c r="D13" s="15">
        <f t="shared" si="0"/>
        <v>251060</v>
      </c>
      <c r="E13" s="18">
        <f t="shared" si="1"/>
        <v>2272150.1302751941</v>
      </c>
      <c r="F13" s="22">
        <f t="shared" si="2"/>
        <v>9.0502275562622252</v>
      </c>
    </row>
    <row r="14" spans="1:6" x14ac:dyDescent="0.2">
      <c r="A14" s="20">
        <v>10</v>
      </c>
      <c r="B14" s="202" t="s">
        <v>9</v>
      </c>
      <c r="C14" s="203"/>
      <c r="D14" s="15">
        <f t="shared" si="0"/>
        <v>16208</v>
      </c>
      <c r="E14" s="18">
        <f t="shared" si="1"/>
        <v>169636.7891161489</v>
      </c>
      <c r="F14" s="22">
        <f t="shared" si="2"/>
        <v>10.466238222862099</v>
      </c>
    </row>
    <row r="15" spans="1:6" x14ac:dyDescent="0.2">
      <c r="A15" s="20">
        <v>11</v>
      </c>
      <c r="B15" s="202" t="s">
        <v>10</v>
      </c>
      <c r="C15" s="203"/>
      <c r="D15" s="15">
        <f t="shared" si="0"/>
        <v>300472</v>
      </c>
      <c r="E15" s="18">
        <f t="shared" si="1"/>
        <v>3295326.1171833351</v>
      </c>
      <c r="F15" s="22">
        <f t="shared" si="2"/>
        <v>10.967165383740699</v>
      </c>
    </row>
    <row r="16" spans="1:6" ht="14.25" customHeight="1" x14ac:dyDescent="0.2">
      <c r="A16" s="20">
        <v>12</v>
      </c>
      <c r="B16" s="202" t="s">
        <v>11</v>
      </c>
      <c r="C16" s="203"/>
      <c r="D16" s="15">
        <f t="shared" si="0"/>
        <v>2782704</v>
      </c>
      <c r="E16" s="18">
        <f t="shared" si="1"/>
        <v>24080852.115786277</v>
      </c>
      <c r="F16" s="22">
        <f t="shared" si="2"/>
        <v>8.6537598378362475</v>
      </c>
    </row>
    <row r="17" spans="1:6" x14ac:dyDescent="0.2">
      <c r="A17" s="20">
        <v>13</v>
      </c>
      <c r="B17" s="202" t="s">
        <v>12</v>
      </c>
      <c r="C17" s="203"/>
      <c r="D17" s="15">
        <f t="shared" si="0"/>
        <v>533608</v>
      </c>
      <c r="E17" s="18">
        <f t="shared" si="1"/>
        <v>4495845.6573722847</v>
      </c>
      <c r="F17" s="22">
        <f t="shared" si="2"/>
        <v>8.4253715412293015</v>
      </c>
    </row>
    <row r="18" spans="1:6" ht="14.25" customHeight="1" x14ac:dyDescent="0.2">
      <c r="A18" s="20">
        <v>14</v>
      </c>
      <c r="B18" s="202" t="s">
        <v>449</v>
      </c>
      <c r="C18" s="203"/>
      <c r="D18" s="15">
        <f t="shared" si="0"/>
        <v>332471</v>
      </c>
      <c r="E18" s="18">
        <f t="shared" si="1"/>
        <v>5824739.7647603117</v>
      </c>
      <c r="F18" s="22">
        <f t="shared" si="2"/>
        <v>17.519542350341268</v>
      </c>
    </row>
    <row r="19" spans="1:6" x14ac:dyDescent="0.2">
      <c r="A19" s="20">
        <v>15</v>
      </c>
      <c r="B19" s="202" t="s">
        <v>13</v>
      </c>
      <c r="C19" s="203"/>
      <c r="D19" s="15">
        <f t="shared" si="0"/>
        <v>32288</v>
      </c>
      <c r="E19" s="18">
        <f t="shared" si="1"/>
        <v>911671.03596879414</v>
      </c>
      <c r="F19" s="22">
        <f t="shared" si="2"/>
        <v>28.23559947871637</v>
      </c>
    </row>
    <row r="20" spans="1:6" x14ac:dyDescent="0.2">
      <c r="A20" s="20">
        <v>16</v>
      </c>
      <c r="B20" s="202" t="s">
        <v>14</v>
      </c>
      <c r="C20" s="203"/>
      <c r="D20" s="15">
        <f t="shared" si="0"/>
        <v>346940</v>
      </c>
      <c r="E20" s="18">
        <f t="shared" si="1"/>
        <v>4805868.6320308922</v>
      </c>
      <c r="F20" s="22">
        <f t="shared" si="2"/>
        <v>13.852160696463054</v>
      </c>
    </row>
    <row r="21" spans="1:6" x14ac:dyDescent="0.2">
      <c r="A21" s="20">
        <v>17</v>
      </c>
      <c r="B21" s="202" t="s">
        <v>15</v>
      </c>
      <c r="C21" s="203"/>
      <c r="D21" s="15">
        <f t="shared" si="0"/>
        <v>35680</v>
      </c>
      <c r="E21" s="18">
        <f t="shared" si="1"/>
        <v>741653.90595164069</v>
      </c>
      <c r="F21" s="22">
        <f t="shared" si="2"/>
        <v>20.786264180258989</v>
      </c>
    </row>
    <row r="22" spans="1:6" x14ac:dyDescent="0.2">
      <c r="A22" s="20">
        <v>18</v>
      </c>
      <c r="B22" s="202" t="s">
        <v>16</v>
      </c>
      <c r="C22" s="203"/>
      <c r="D22" s="15">
        <f t="shared" si="0"/>
        <v>0</v>
      </c>
      <c r="E22" s="18">
        <f t="shared" si="1"/>
        <v>0</v>
      </c>
      <c r="F22" s="22" t="str">
        <f t="shared" si="2"/>
        <v/>
      </c>
    </row>
    <row r="23" spans="1:6" x14ac:dyDescent="0.2">
      <c r="A23" s="20">
        <v>19</v>
      </c>
      <c r="B23" s="202" t="s">
        <v>17</v>
      </c>
      <c r="C23" s="203"/>
      <c r="D23" s="15">
        <f t="shared" si="0"/>
        <v>781402</v>
      </c>
      <c r="E23" s="18">
        <f t="shared" si="1"/>
        <v>6632291.6233302681</v>
      </c>
      <c r="F23" s="22">
        <f t="shared" si="2"/>
        <v>8.487681914469464</v>
      </c>
    </row>
    <row r="24" spans="1:6" x14ac:dyDescent="0.2">
      <c r="A24" s="20">
        <v>20</v>
      </c>
      <c r="B24" s="202" t="s">
        <v>18</v>
      </c>
      <c r="C24" s="203"/>
      <c r="D24" s="15">
        <f t="shared" si="0"/>
        <v>125140</v>
      </c>
      <c r="E24" s="18">
        <f t="shared" si="1"/>
        <v>1630265.9285534844</v>
      </c>
      <c r="F24" s="22">
        <f t="shared" si="2"/>
        <v>13.027536587449932</v>
      </c>
    </row>
    <row r="25" spans="1:6" ht="14.25" customHeight="1" x14ac:dyDescent="0.2">
      <c r="A25" s="20">
        <v>21</v>
      </c>
      <c r="B25" s="202" t="s">
        <v>446</v>
      </c>
      <c r="C25" s="203"/>
      <c r="D25" s="15">
        <f t="shared" si="0"/>
        <v>203354</v>
      </c>
      <c r="E25" s="18">
        <f t="shared" si="1"/>
        <v>2178165.7613478126</v>
      </c>
      <c r="F25" s="22">
        <f t="shared" si="2"/>
        <v>10.711201950036944</v>
      </c>
    </row>
    <row r="26" spans="1:6" x14ac:dyDescent="0.2">
      <c r="A26" s="20">
        <v>22</v>
      </c>
      <c r="B26" s="202" t="s">
        <v>19</v>
      </c>
      <c r="C26" s="203"/>
      <c r="D26" s="15">
        <f t="shared" si="0"/>
        <v>46560</v>
      </c>
      <c r="E26" s="18">
        <f t="shared" si="1"/>
        <v>225684.99834945044</v>
      </c>
      <c r="F26" s="22">
        <f t="shared" si="2"/>
        <v>4.8471863906668906</v>
      </c>
    </row>
    <row r="27" spans="1:6" x14ac:dyDescent="0.2">
      <c r="A27" s="20">
        <v>23</v>
      </c>
      <c r="B27" s="202" t="s">
        <v>20</v>
      </c>
      <c r="C27" s="203"/>
      <c r="D27" s="15">
        <f t="shared" si="0"/>
        <v>603648</v>
      </c>
      <c r="E27" s="18">
        <f t="shared" si="1"/>
        <v>5929169.314683184</v>
      </c>
      <c r="F27" s="22">
        <f t="shared" si="2"/>
        <v>9.8222297012218771</v>
      </c>
    </row>
    <row r="28" spans="1:6" x14ac:dyDescent="0.2">
      <c r="A28" s="20">
        <v>24</v>
      </c>
      <c r="B28" s="202" t="s">
        <v>21</v>
      </c>
      <c r="C28" s="203"/>
      <c r="D28" s="15">
        <f t="shared" si="0"/>
        <v>410666</v>
      </c>
      <c r="E28" s="18">
        <f t="shared" si="1"/>
        <v>5856442.1498749014</v>
      </c>
      <c r="F28" s="22">
        <f t="shared" si="2"/>
        <v>14.260840074111082</v>
      </c>
    </row>
    <row r="29" spans="1:6" x14ac:dyDescent="0.2">
      <c r="A29" s="20">
        <v>25</v>
      </c>
      <c r="B29" s="202" t="s">
        <v>22</v>
      </c>
      <c r="C29" s="203"/>
      <c r="D29" s="15">
        <f t="shared" si="0"/>
        <v>3823472</v>
      </c>
      <c r="E29" s="18">
        <f t="shared" si="1"/>
        <v>30023398.260334406</v>
      </c>
      <c r="F29" s="22">
        <f t="shared" si="2"/>
        <v>7.8523912978398709</v>
      </c>
    </row>
    <row r="30" spans="1:6" x14ac:dyDescent="0.2">
      <c r="A30" s="20">
        <v>26</v>
      </c>
      <c r="B30" s="202" t="s">
        <v>23</v>
      </c>
      <c r="C30" s="203"/>
      <c r="D30" s="15">
        <f t="shared" si="0"/>
        <v>1280760</v>
      </c>
      <c r="E30" s="18">
        <f t="shared" si="1"/>
        <v>13288760.54222599</v>
      </c>
      <c r="F30" s="22">
        <f t="shared" si="2"/>
        <v>10.375683611469745</v>
      </c>
    </row>
    <row r="31" spans="1:6" x14ac:dyDescent="0.2">
      <c r="A31" s="20">
        <v>28</v>
      </c>
      <c r="B31" s="202" t="s">
        <v>24</v>
      </c>
      <c r="C31" s="203"/>
      <c r="D31" s="15">
        <f t="shared" si="0"/>
        <v>1376512</v>
      </c>
      <c r="E31" s="18">
        <f t="shared" si="1"/>
        <v>11683395.501718186</v>
      </c>
      <c r="F31" s="22">
        <f t="shared" si="2"/>
        <v>8.4876815470683766</v>
      </c>
    </row>
    <row r="32" spans="1:6" ht="15.75" customHeight="1" thickBot="1" x14ac:dyDescent="0.25">
      <c r="A32" s="23">
        <v>29</v>
      </c>
      <c r="B32" s="206" t="s">
        <v>25</v>
      </c>
      <c r="C32" s="207"/>
      <c r="D32" s="24">
        <f t="shared" si="0"/>
        <v>738272</v>
      </c>
      <c r="E32" s="25">
        <f t="shared" si="1"/>
        <v>6388828.3903231416</v>
      </c>
      <c r="F32" s="26">
        <f t="shared" si="2"/>
        <v>8.6537595768539806</v>
      </c>
    </row>
    <row r="33" spans="1:6" x14ac:dyDescent="0.2">
      <c r="B33" s="31" t="s">
        <v>35</v>
      </c>
      <c r="C33" s="31"/>
      <c r="D33" s="60">
        <f>SUM(D5:D32)</f>
        <v>19353554</v>
      </c>
      <c r="E33" s="32">
        <f>SUM(E5:E32)</f>
        <v>177328874</v>
      </c>
      <c r="F33" s="33">
        <f t="shared" si="2"/>
        <v>9.1626000061797441</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IF(F3="1",SUMIF(Data!A:A,'40'!$A$2,Data!CU:CU),0)</f>
        <v>30584</v>
      </c>
      <c r="E36" s="16">
        <f>IF(F3="1",SUMIF(Data!$A:$A,'40'!$A$2,Data!IO:IO),0)</f>
        <v>77400</v>
      </c>
      <c r="F36" s="21">
        <f t="shared" ref="F36:F64" si="3">IFERROR(E36/D36,"")</f>
        <v>2.5307350248495943</v>
      </c>
    </row>
    <row r="37" spans="1:6" x14ac:dyDescent="0.2">
      <c r="A37" s="20">
        <v>2</v>
      </c>
      <c r="B37" s="202" t="s">
        <v>1</v>
      </c>
      <c r="C37" s="203"/>
      <c r="D37" s="15">
        <f>IF(F3="1",SUMIF(Data!A:A,'40'!$A$2,Data!CV:CV),0)</f>
        <v>59360</v>
      </c>
      <c r="E37" s="18">
        <f>IF(F3="1",SUMIF(Data!$A:$A,'40'!$A$2,Data!IP:IP),0)</f>
        <v>282596</v>
      </c>
      <c r="F37" s="22">
        <f t="shared" si="3"/>
        <v>4.7607142857142861</v>
      </c>
    </row>
    <row r="38" spans="1:6" ht="14.25" customHeight="1" x14ac:dyDescent="0.2">
      <c r="A38" s="20">
        <v>3</v>
      </c>
      <c r="B38" s="202" t="s">
        <v>2</v>
      </c>
      <c r="C38" s="203"/>
      <c r="D38" s="15">
        <f>IF(F3="1",SUMIF(Data!A:A,'40'!$A$2,Data!CW:CW),0)</f>
        <v>2667496</v>
      </c>
      <c r="E38" s="18">
        <f>IF(F3="1",SUMIF(Data!$A:$A,'40'!$A$2,Data!IQ:IQ),0)</f>
        <v>4817810</v>
      </c>
      <c r="F38" s="22">
        <f t="shared" si="3"/>
        <v>1.8061170475981969</v>
      </c>
    </row>
    <row r="39" spans="1:6" ht="14.25" customHeight="1" x14ac:dyDescent="0.2">
      <c r="A39" s="20">
        <v>4</v>
      </c>
      <c r="B39" s="202" t="s">
        <v>3</v>
      </c>
      <c r="C39" s="203"/>
      <c r="D39" s="15">
        <f>IF(F3="1",SUMIF(Data!A:A,'40'!$A$2,Data!CX:CX),0)</f>
        <v>1412829</v>
      </c>
      <c r="E39" s="18">
        <f>IF(F3="1",SUMIF(Data!$A:$A,'40'!$A$2,Data!IR:IR),0)</f>
        <v>2278240</v>
      </c>
      <c r="F39" s="22">
        <f t="shared" si="3"/>
        <v>1.6125376814887011</v>
      </c>
    </row>
    <row r="40" spans="1:6" x14ac:dyDescent="0.2">
      <c r="A40" s="20">
        <v>5</v>
      </c>
      <c r="B40" s="202" t="s">
        <v>4</v>
      </c>
      <c r="C40" s="203"/>
      <c r="D40" s="15">
        <f>IF(F3="1",SUMIF(Data!A:A,'40'!$A$2,Data!CY:CY),0)</f>
        <v>0</v>
      </c>
      <c r="E40" s="18">
        <f>IF(F3="1",SUMIF(Data!$A:$A,'40'!$A$2,Data!IS:IS),0)</f>
        <v>0</v>
      </c>
      <c r="F40" s="22" t="str">
        <f t="shared" si="3"/>
        <v/>
      </c>
    </row>
    <row r="41" spans="1:6" x14ac:dyDescent="0.2">
      <c r="A41" s="20">
        <v>6</v>
      </c>
      <c r="B41" s="202" t="s">
        <v>5</v>
      </c>
      <c r="C41" s="203"/>
      <c r="D41" s="15">
        <f>IF(F3="1",SUMIF(Data!A:A,'40'!$A$2,Data!CZ:CZ),0)</f>
        <v>398246</v>
      </c>
      <c r="E41" s="18">
        <f>IF(F3="1",SUMIF(Data!$A:$A,'40'!$A$2,Data!IT:IT),0)</f>
        <v>1458032</v>
      </c>
      <c r="F41" s="22">
        <f t="shared" si="3"/>
        <v>3.661134072909709</v>
      </c>
    </row>
    <row r="42" spans="1:6" x14ac:dyDescent="0.2">
      <c r="A42" s="20">
        <v>7</v>
      </c>
      <c r="B42" s="202" t="s">
        <v>6</v>
      </c>
      <c r="C42" s="203"/>
      <c r="D42" s="15">
        <f>IF(F3="1",SUMIF(Data!A:A,'40'!$A$2,Data!DA:DA),0)</f>
        <v>761370</v>
      </c>
      <c r="E42" s="18">
        <f>IF(F3="1",SUMIF(Data!$A:$A,'40'!$A$2,Data!IU:IU),0)</f>
        <v>1810991</v>
      </c>
      <c r="F42" s="22">
        <f t="shared" si="3"/>
        <v>2.378595163980719</v>
      </c>
    </row>
    <row r="43" spans="1:6" x14ac:dyDescent="0.2">
      <c r="A43" s="20">
        <v>8</v>
      </c>
      <c r="B43" s="202" t="s">
        <v>7</v>
      </c>
      <c r="C43" s="203"/>
      <c r="D43" s="15">
        <f>IF(F3="1",SUMIF(Data!A:A,'40'!$A$2,Data!DB:DB),0)</f>
        <v>2452</v>
      </c>
      <c r="E43" s="18">
        <f>IF(F3="1",SUMIF(Data!$A:$A,'40'!$A$2,Data!IV:IV),0)</f>
        <v>10070</v>
      </c>
      <c r="F43" s="22">
        <f t="shared" si="3"/>
        <v>4.1068515497553015</v>
      </c>
    </row>
    <row r="44" spans="1:6" x14ac:dyDescent="0.2">
      <c r="A44" s="20">
        <v>9</v>
      </c>
      <c r="B44" s="202" t="s">
        <v>8</v>
      </c>
      <c r="C44" s="203"/>
      <c r="D44" s="15">
        <f>IF(F3="1",SUMIF(Data!A:A,'40'!$A$2,Data!DC:DC),0)</f>
        <v>251060</v>
      </c>
      <c r="E44" s="18">
        <f>IF(F3="1",SUMIF(Data!$A:$A,'40'!$A$2,Data!IW:IW),0)</f>
        <v>504611</v>
      </c>
      <c r="F44" s="22">
        <f t="shared" si="3"/>
        <v>2.0099219310125069</v>
      </c>
    </row>
    <row r="45" spans="1:6" x14ac:dyDescent="0.2">
      <c r="A45" s="20">
        <v>10</v>
      </c>
      <c r="B45" s="202" t="s">
        <v>9</v>
      </c>
      <c r="C45" s="203"/>
      <c r="D45" s="15">
        <f>IF(F3="1",SUMIF(Data!A:A,'40'!$A$2,Data!DD:DD),0)</f>
        <v>16208</v>
      </c>
      <c r="E45" s="18">
        <f>IF(F3="1",SUMIF(Data!$A:$A,'40'!$A$2,Data!IX:IX),0)</f>
        <v>36746</v>
      </c>
      <c r="F45" s="22">
        <f t="shared" si="3"/>
        <v>2.2671520236920037</v>
      </c>
    </row>
    <row r="46" spans="1:6" x14ac:dyDescent="0.2">
      <c r="A46" s="20">
        <v>11</v>
      </c>
      <c r="B46" s="202" t="s">
        <v>10</v>
      </c>
      <c r="C46" s="203"/>
      <c r="D46" s="15">
        <f>IF(F3="1",SUMIF(Data!A:A,'40'!$A$2,Data!DE:DE),0)</f>
        <v>300472</v>
      </c>
      <c r="E46" s="18">
        <f>IF(F3="1",SUMIF(Data!$A:$A,'40'!$A$2,Data!IY:IY),0)</f>
        <v>889391</v>
      </c>
      <c r="F46" s="22">
        <f t="shared" si="3"/>
        <v>2.9599796320455818</v>
      </c>
    </row>
    <row r="47" spans="1:6" ht="14.25" customHeight="1" x14ac:dyDescent="0.2">
      <c r="A47" s="20">
        <v>12</v>
      </c>
      <c r="B47" s="202" t="s">
        <v>11</v>
      </c>
      <c r="C47" s="203"/>
      <c r="D47" s="15">
        <f>IF(F3="1",SUMIF(Data!A:A,'40'!$A$2,Data!DF:DF),0)</f>
        <v>2782704</v>
      </c>
      <c r="E47" s="18">
        <f>IF(F3="1",SUMIF(Data!$A:$A,'40'!$A$2,Data!IZ:IZ),0)</f>
        <v>4664301</v>
      </c>
      <c r="F47" s="22">
        <f t="shared" si="3"/>
        <v>1.6761757628551222</v>
      </c>
    </row>
    <row r="48" spans="1:6" x14ac:dyDescent="0.2">
      <c r="A48" s="20">
        <v>13</v>
      </c>
      <c r="B48" s="202" t="s">
        <v>12</v>
      </c>
      <c r="C48" s="203"/>
      <c r="D48" s="15">
        <f>IF(F3="1",SUMIF(Data!A:A,'40'!$A$2,Data!DG:DG),0)</f>
        <v>533608</v>
      </c>
      <c r="E48" s="18">
        <f>IF(F3="1",SUMIF(Data!$A:$A,'40'!$A$2,Data!JA:JA),0)</f>
        <v>873750</v>
      </c>
      <c r="F48" s="22">
        <f t="shared" si="3"/>
        <v>1.6374379694457355</v>
      </c>
    </row>
    <row r="49" spans="1:6" ht="14.25" customHeight="1" x14ac:dyDescent="0.2">
      <c r="A49" s="20">
        <v>14</v>
      </c>
      <c r="B49" s="202" t="s">
        <v>449</v>
      </c>
      <c r="C49" s="203"/>
      <c r="D49" s="15">
        <f>IF(F3="1",SUMIF(Data!A:A,'40'!$A$2,Data!DH:DH),0)</f>
        <v>332471</v>
      </c>
      <c r="E49" s="18">
        <f>IF(F3="1",SUMIF(Data!$A:$A,'40'!$A$2,Data!JB:JB),0)</f>
        <v>1428359</v>
      </c>
      <c r="F49" s="22">
        <f t="shared" si="3"/>
        <v>4.296191246755356</v>
      </c>
    </row>
    <row r="50" spans="1:6" x14ac:dyDescent="0.2">
      <c r="A50" s="20">
        <v>15</v>
      </c>
      <c r="B50" s="202" t="s">
        <v>13</v>
      </c>
      <c r="C50" s="203"/>
      <c r="D50" s="15">
        <f>IF(F3="1",SUMIF(Data!A:A,'40'!$A$2,Data!DI:DI),0)</f>
        <v>32288</v>
      </c>
      <c r="E50" s="18">
        <f>IF(F3="1",SUMIF(Data!$A:$A,'40'!$A$2,Data!JC:JC),0)</f>
        <v>231650</v>
      </c>
      <c r="F50" s="22">
        <f t="shared" si="3"/>
        <v>7.17449207135778</v>
      </c>
    </row>
    <row r="51" spans="1:6" x14ac:dyDescent="0.2">
      <c r="A51" s="20">
        <v>16</v>
      </c>
      <c r="B51" s="202" t="s">
        <v>14</v>
      </c>
      <c r="C51" s="203"/>
      <c r="D51" s="15">
        <f>IF(F3="1",SUMIF(Data!A:A,'40'!$A$2,Data!DJ:DJ),0)</f>
        <v>346940</v>
      </c>
      <c r="E51" s="18">
        <f>IF(F3="1",SUMIF(Data!$A:$A,'40'!$A$2,Data!JD:JD),0)</f>
        <v>1609570</v>
      </c>
      <c r="F51" s="22">
        <f t="shared" si="3"/>
        <v>4.6393324494148844</v>
      </c>
    </row>
    <row r="52" spans="1:6" x14ac:dyDescent="0.2">
      <c r="A52" s="20">
        <v>17</v>
      </c>
      <c r="B52" s="202" t="s">
        <v>15</v>
      </c>
      <c r="C52" s="203"/>
      <c r="D52" s="15">
        <f>IF(F3="1",SUMIF(Data!A:A,'40'!$A$2,Data!DK:DK),0)</f>
        <v>35680</v>
      </c>
      <c r="E52" s="18">
        <f>IF(F3="1",SUMIF(Data!$A:$A,'40'!$A$2,Data!JE:JE),0)</f>
        <v>169755</v>
      </c>
      <c r="F52" s="22">
        <f t="shared" si="3"/>
        <v>4.7577073991031389</v>
      </c>
    </row>
    <row r="53" spans="1:6" x14ac:dyDescent="0.2">
      <c r="A53" s="20">
        <v>18</v>
      </c>
      <c r="B53" s="202" t="s">
        <v>16</v>
      </c>
      <c r="C53" s="203"/>
      <c r="D53" s="15">
        <f>IF(F3="1",SUMIF(Data!A:A,'40'!$A$2,Data!DL:DL),0)</f>
        <v>0</v>
      </c>
      <c r="E53" s="18">
        <f>IF(F3="1",SUMIF(Data!$A:$A,'40'!$A$2,Data!JF:JF),0)</f>
        <v>0</v>
      </c>
      <c r="F53" s="22" t="str">
        <f t="shared" si="3"/>
        <v/>
      </c>
    </row>
    <row r="54" spans="1:6" x14ac:dyDescent="0.2">
      <c r="A54" s="20">
        <v>19</v>
      </c>
      <c r="B54" s="202" t="s">
        <v>17</v>
      </c>
      <c r="C54" s="203"/>
      <c r="D54" s="15">
        <f>IF(F3="1",SUMIF(Data!A:A,'40'!$A$2,Data!DM:DM),0)</f>
        <v>781402</v>
      </c>
      <c r="E54" s="18">
        <f>IF(F3="1",SUMIF(Data!$A:$A,'40'!$A$2,Data!JG:JG),0)</f>
        <v>1286624</v>
      </c>
      <c r="F54" s="22">
        <f t="shared" si="3"/>
        <v>1.6465583656043881</v>
      </c>
    </row>
    <row r="55" spans="1:6" x14ac:dyDescent="0.2">
      <c r="A55" s="20">
        <v>20</v>
      </c>
      <c r="B55" s="202" t="s">
        <v>18</v>
      </c>
      <c r="C55" s="203"/>
      <c r="D55" s="15">
        <f>IF(F3="1",SUMIF(Data!A:A,'40'!$A$2,Data!DN:DN),0)</f>
        <v>125140</v>
      </c>
      <c r="E55" s="18">
        <f>IF(F3="1",SUMIF(Data!$A:$A,'40'!$A$2,Data!JH:JH),0)</f>
        <v>468151</v>
      </c>
      <c r="F55" s="22">
        <f t="shared" si="3"/>
        <v>3.741018059773054</v>
      </c>
    </row>
    <row r="56" spans="1:6" ht="14.25" customHeight="1" x14ac:dyDescent="0.2">
      <c r="A56" s="20">
        <v>21</v>
      </c>
      <c r="B56" s="202" t="s">
        <v>446</v>
      </c>
      <c r="C56" s="203"/>
      <c r="D56" s="15">
        <f>IF(F3="1",SUMIF(Data!A:A,'40'!$A$2,Data!DO:DO),0)</f>
        <v>203354</v>
      </c>
      <c r="E56" s="18">
        <f>IF(F3="1",SUMIF(Data!$A:$A,'40'!$A$2,Data!JI:JI),0)</f>
        <v>574300</v>
      </c>
      <c r="F56" s="22">
        <f t="shared" si="3"/>
        <v>2.824139185853241</v>
      </c>
    </row>
    <row r="57" spans="1:6" x14ac:dyDescent="0.2">
      <c r="A57" s="20">
        <v>22</v>
      </c>
      <c r="B57" s="202" t="s">
        <v>19</v>
      </c>
      <c r="C57" s="203"/>
      <c r="D57" s="15">
        <f>IF(F3="1",SUMIF(Data!A:A,'40'!$A$2,Data!DP:DP),0)</f>
        <v>46560</v>
      </c>
      <c r="E57" s="18">
        <f>IF(F3="1",SUMIF(Data!$A:$A,'40'!$A$2,Data!JJ:JJ),0)</f>
        <v>40790</v>
      </c>
      <c r="F57" s="22">
        <f t="shared" si="3"/>
        <v>0.87607388316151202</v>
      </c>
    </row>
    <row r="58" spans="1:6" x14ac:dyDescent="0.2">
      <c r="A58" s="20">
        <v>23</v>
      </c>
      <c r="B58" s="202" t="s">
        <v>20</v>
      </c>
      <c r="C58" s="203"/>
      <c r="D58" s="15">
        <f>IF(F3="1",SUMIF(Data!A:A,'40'!$A$2,Data!DQ:DQ),0)</f>
        <v>603648</v>
      </c>
      <c r="E58" s="18">
        <f>IF(F3="1",SUMIF(Data!$A:$A,'40'!$A$2,Data!JK:JK),0)</f>
        <v>1278539</v>
      </c>
      <c r="F58" s="22">
        <f t="shared" si="3"/>
        <v>2.1180207670695506</v>
      </c>
    </row>
    <row r="59" spans="1:6" x14ac:dyDescent="0.2">
      <c r="A59" s="20">
        <v>24</v>
      </c>
      <c r="B59" s="202" t="s">
        <v>21</v>
      </c>
      <c r="C59" s="203"/>
      <c r="D59" s="15">
        <f>IF(F3="1",SUMIF(Data!A:A,'40'!$A$2,Data!DR:DR),0)</f>
        <v>410666</v>
      </c>
      <c r="E59" s="18">
        <f>IF(F3="1",SUMIF(Data!$A:$A,'40'!$A$2,Data!JL:JL),0)</f>
        <v>2563546</v>
      </c>
      <c r="F59" s="22">
        <f t="shared" si="3"/>
        <v>6.2424111078102396</v>
      </c>
    </row>
    <row r="60" spans="1:6" x14ac:dyDescent="0.2">
      <c r="A60" s="20">
        <v>25</v>
      </c>
      <c r="B60" s="202" t="s">
        <v>22</v>
      </c>
      <c r="C60" s="203"/>
      <c r="D60" s="15">
        <f>IF(F3="1",SUMIF(Data!A:A,'40'!$A$2,Data!DS:DS),0)</f>
        <v>3823472</v>
      </c>
      <c r="E60" s="18">
        <f>IF(F3="1",SUMIF(Data!$A:$A,'40'!$A$2,Data!JM:JM),0)</f>
        <v>5616998</v>
      </c>
      <c r="F60" s="22">
        <f t="shared" si="3"/>
        <v>1.4690830742320069</v>
      </c>
    </row>
    <row r="61" spans="1:6" x14ac:dyDescent="0.2">
      <c r="A61" s="20">
        <v>26</v>
      </c>
      <c r="B61" s="202" t="s">
        <v>23</v>
      </c>
      <c r="C61" s="203"/>
      <c r="D61" s="15">
        <f>IF(F3="1",SUMIF(Data!A:A,'40'!$A$2,Data!DT:DT),0)</f>
        <v>1280760</v>
      </c>
      <c r="E61" s="18">
        <f>IF(F3="1",SUMIF(Data!$A:$A,'40'!$A$2,Data!JN:JN),0)</f>
        <v>2857361</v>
      </c>
      <c r="F61" s="22">
        <f t="shared" si="3"/>
        <v>2.2309886317498986</v>
      </c>
    </row>
    <row r="62" spans="1:6" x14ac:dyDescent="0.2">
      <c r="A62" s="20">
        <v>28</v>
      </c>
      <c r="B62" s="202" t="s">
        <v>24</v>
      </c>
      <c r="C62" s="203"/>
      <c r="D62" s="15">
        <f>IF(F3="1",SUMIF(Data!A:A,'40'!$A$2,Data!DV:DV),0)</f>
        <v>1376512</v>
      </c>
      <c r="E62" s="18">
        <f>IF(F3="1",SUMIF(Data!$A:$A,'40'!$A$2,Data!JP:JP),0)</f>
        <v>2266507</v>
      </c>
      <c r="F62" s="22">
        <f t="shared" si="3"/>
        <v>1.6465581120978241</v>
      </c>
    </row>
    <row r="63" spans="1:6" ht="15.75" customHeight="1" thickBot="1" x14ac:dyDescent="0.25">
      <c r="A63" s="23">
        <v>29</v>
      </c>
      <c r="B63" s="206" t="s">
        <v>25</v>
      </c>
      <c r="C63" s="207"/>
      <c r="D63" s="24">
        <f>IF(F3="1",SUMIF(Data!A:A,'40'!$A$2,Data!DW:DW),0)</f>
        <v>738272</v>
      </c>
      <c r="E63" s="25">
        <f>IF(F3="1",SUMIF(Data!$A:$A,'40'!$A$2,Data!JQ:JQ),0)</f>
        <v>1237474</v>
      </c>
      <c r="F63" s="26">
        <f t="shared" si="3"/>
        <v>1.6761762602401282</v>
      </c>
    </row>
    <row r="64" spans="1:6" x14ac:dyDescent="0.2">
      <c r="B64" s="31" t="s">
        <v>35</v>
      </c>
      <c r="C64" s="31"/>
      <c r="D64" s="60">
        <f>SUM(D36:D63)</f>
        <v>19353554</v>
      </c>
      <c r="E64" s="32">
        <f>SUM(E36:E63)</f>
        <v>39333562</v>
      </c>
      <c r="F64" s="33">
        <f t="shared" si="3"/>
        <v>2.0323689385422439</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30584</v>
      </c>
      <c r="E67" s="16">
        <f>IF(F3="1",SUMIF(Data!A:A,'40'!$A$2,Data!DY:DY),0)</f>
        <v>95632</v>
      </c>
      <c r="F67" s="21">
        <f>IFERROR(E67/D67,"")</f>
        <v>3.1268637195919435</v>
      </c>
    </row>
    <row r="68" spans="1:6" x14ac:dyDescent="0.2">
      <c r="A68" s="20">
        <v>2</v>
      </c>
      <c r="B68" s="202" t="s">
        <v>1</v>
      </c>
      <c r="C68" s="203"/>
      <c r="D68" s="15">
        <f t="shared" ref="D68:D94" si="4">D37</f>
        <v>59360</v>
      </c>
      <c r="E68" s="18">
        <f>IF(F3="1",SUMIF(Data!A:A,'40'!$A$2,Data!DZ:DZ),0)</f>
        <v>479830</v>
      </c>
      <c r="F68" s="22">
        <f t="shared" ref="F68:F95" si="5">IFERROR(E68/D68,"")</f>
        <v>8.0833894878706207</v>
      </c>
    </row>
    <row r="69" spans="1:6" ht="14.25" customHeight="1" x14ac:dyDescent="0.2">
      <c r="A69" s="20">
        <v>3</v>
      </c>
      <c r="B69" s="202" t="s">
        <v>2</v>
      </c>
      <c r="C69" s="203"/>
      <c r="D69" s="15">
        <f t="shared" si="4"/>
        <v>2667496</v>
      </c>
      <c r="E69" s="18">
        <f>IF(F3="1",SUMIF(Data!A:A,'40'!$A$2,Data!EA:EA),0)</f>
        <v>7791584</v>
      </c>
      <c r="F69" s="22">
        <f t="shared" si="5"/>
        <v>2.9209355890318109</v>
      </c>
    </row>
    <row r="70" spans="1:6" ht="14.25" customHeight="1" x14ac:dyDescent="0.2">
      <c r="A70" s="20">
        <v>4</v>
      </c>
      <c r="B70" s="202" t="s">
        <v>3</v>
      </c>
      <c r="C70" s="203"/>
      <c r="D70" s="15">
        <f t="shared" si="4"/>
        <v>1412829</v>
      </c>
      <c r="E70" s="18">
        <f>IF(F3="1",SUMIF(Data!A:A,'40'!$A$2,Data!EB:EB),0)</f>
        <v>2843865</v>
      </c>
      <c r="F70" s="22">
        <f t="shared" si="5"/>
        <v>2.0128869098808138</v>
      </c>
    </row>
    <row r="71" spans="1:6" x14ac:dyDescent="0.2">
      <c r="A71" s="20">
        <v>5</v>
      </c>
      <c r="B71" s="202" t="s">
        <v>4</v>
      </c>
      <c r="C71" s="203"/>
      <c r="D71" s="15">
        <f t="shared" si="4"/>
        <v>0</v>
      </c>
      <c r="E71" s="18">
        <f>IF(F3="1",SUMIF(Data!A:A,'40'!$A$2,Data!EC:EC),0)</f>
        <v>0</v>
      </c>
      <c r="F71" s="22" t="str">
        <f t="shared" si="5"/>
        <v/>
      </c>
    </row>
    <row r="72" spans="1:6" x14ac:dyDescent="0.2">
      <c r="A72" s="20">
        <v>6</v>
      </c>
      <c r="B72" s="202" t="s">
        <v>5</v>
      </c>
      <c r="C72" s="203"/>
      <c r="D72" s="15">
        <f t="shared" si="4"/>
        <v>398246</v>
      </c>
      <c r="E72" s="18">
        <f>IF(F3="1",SUMIF(Data!A:A,'40'!$A$2,Data!ED:ED),0)</f>
        <v>647470</v>
      </c>
      <c r="F72" s="22">
        <f t="shared" si="5"/>
        <v>1.6258041512030252</v>
      </c>
    </row>
    <row r="73" spans="1:6" x14ac:dyDescent="0.2">
      <c r="A73" s="20">
        <v>7</v>
      </c>
      <c r="B73" s="202" t="s">
        <v>6</v>
      </c>
      <c r="C73" s="203"/>
      <c r="D73" s="15">
        <f t="shared" si="4"/>
        <v>761370</v>
      </c>
      <c r="E73" s="18">
        <f>IF(F3="1",SUMIF(Data!A:A,'40'!$A$2,Data!EE:EE),0)</f>
        <v>3404561</v>
      </c>
      <c r="F73" s="22">
        <f t="shared" si="5"/>
        <v>4.4716248341804903</v>
      </c>
    </row>
    <row r="74" spans="1:6" x14ac:dyDescent="0.2">
      <c r="A74" s="20">
        <v>8</v>
      </c>
      <c r="B74" s="202" t="s">
        <v>7</v>
      </c>
      <c r="C74" s="203"/>
      <c r="D74" s="15">
        <f t="shared" si="4"/>
        <v>2452</v>
      </c>
      <c r="E74" s="18">
        <f>IF(F3="1",SUMIF(Data!A:A,'40'!$A$2,Data!EF:EF),0)</f>
        <v>2956</v>
      </c>
      <c r="F74" s="22">
        <f t="shared" si="5"/>
        <v>1.2055464926590538</v>
      </c>
    </row>
    <row r="75" spans="1:6" x14ac:dyDescent="0.2">
      <c r="A75" s="20">
        <v>9</v>
      </c>
      <c r="B75" s="202" t="s">
        <v>8</v>
      </c>
      <c r="C75" s="203"/>
      <c r="D75" s="15">
        <f t="shared" si="4"/>
        <v>251060</v>
      </c>
      <c r="E75" s="18">
        <f>IF(F3="1",SUMIF(Data!A:A,'40'!$A$2,Data!EG:EG),0)</f>
        <v>783811</v>
      </c>
      <c r="F75" s="22">
        <f t="shared" si="5"/>
        <v>3.1220066916274996</v>
      </c>
    </row>
    <row r="76" spans="1:6" x14ac:dyDescent="0.2">
      <c r="A76" s="20">
        <v>10</v>
      </c>
      <c r="B76" s="202" t="s">
        <v>9</v>
      </c>
      <c r="C76" s="203"/>
      <c r="D76" s="15">
        <f t="shared" si="4"/>
        <v>16208</v>
      </c>
      <c r="E76" s="18">
        <f>IF(F3="1",SUMIF(Data!A:A,'40'!$A$2,Data!EH:EH),0)</f>
        <v>69383</v>
      </c>
      <c r="F76" s="22">
        <f t="shared" si="5"/>
        <v>4.280787265547878</v>
      </c>
    </row>
    <row r="77" spans="1:6" x14ac:dyDescent="0.2">
      <c r="A77" s="20">
        <v>11</v>
      </c>
      <c r="B77" s="202" t="s">
        <v>10</v>
      </c>
      <c r="C77" s="203"/>
      <c r="D77" s="15">
        <f t="shared" si="4"/>
        <v>300472</v>
      </c>
      <c r="E77" s="18">
        <f>IF(F3="1",SUMIF(Data!A:A,'40'!$A$2,Data!EI:EI),0)</f>
        <v>1228596</v>
      </c>
      <c r="F77" s="22">
        <f t="shared" si="5"/>
        <v>4.0888868180728988</v>
      </c>
    </row>
    <row r="78" spans="1:6" ht="14.25" customHeight="1" x14ac:dyDescent="0.2">
      <c r="A78" s="20">
        <v>12</v>
      </c>
      <c r="B78" s="202" t="s">
        <v>11</v>
      </c>
      <c r="C78" s="203"/>
      <c r="D78" s="15">
        <f t="shared" si="4"/>
        <v>2782704</v>
      </c>
      <c r="E78" s="18">
        <f>IF(F3="1",SUMIF(Data!A:A,'40'!$A$2,Data!EJ:EJ),0)</f>
        <v>8513085</v>
      </c>
      <c r="F78" s="22">
        <f t="shared" si="5"/>
        <v>3.0592851413589086</v>
      </c>
    </row>
    <row r="79" spans="1:6" x14ac:dyDescent="0.2">
      <c r="A79" s="20">
        <v>13</v>
      </c>
      <c r="B79" s="202" t="s">
        <v>12</v>
      </c>
      <c r="C79" s="203"/>
      <c r="D79" s="15">
        <f t="shared" si="4"/>
        <v>533608</v>
      </c>
      <c r="E79" s="18">
        <f>IF(F3="1",SUMIF(Data!A:A,'40'!$A$2,Data!EK:EK),0)</f>
        <v>1531260</v>
      </c>
      <c r="F79" s="22">
        <f t="shared" si="5"/>
        <v>2.8696346381613469</v>
      </c>
    </row>
    <row r="80" spans="1:6" ht="14.25" customHeight="1" x14ac:dyDescent="0.2">
      <c r="A80" s="20">
        <v>14</v>
      </c>
      <c r="B80" s="202" t="s">
        <v>449</v>
      </c>
      <c r="C80" s="203"/>
      <c r="D80" s="15">
        <f t="shared" si="4"/>
        <v>332471</v>
      </c>
      <c r="E80" s="18">
        <f>IF(F3="1",SUMIF(Data!A:A,'40'!$A$2,Data!EL:EL),0)</f>
        <v>3093660</v>
      </c>
      <c r="F80" s="22">
        <f t="shared" si="5"/>
        <v>9.3050521699636963</v>
      </c>
    </row>
    <row r="81" spans="1:6" x14ac:dyDescent="0.2">
      <c r="A81" s="20">
        <v>15</v>
      </c>
      <c r="B81" s="202" t="s">
        <v>13</v>
      </c>
      <c r="C81" s="203"/>
      <c r="D81" s="15">
        <f t="shared" si="4"/>
        <v>32288</v>
      </c>
      <c r="E81" s="18">
        <f>IF(F3="1",SUMIF(Data!A:A,'40'!$A$2,Data!EM:EM),0)</f>
        <v>553507</v>
      </c>
      <c r="F81" s="22">
        <f t="shared" si="5"/>
        <v>17.142808473736373</v>
      </c>
    </row>
    <row r="82" spans="1:6" x14ac:dyDescent="0.2">
      <c r="A82" s="20">
        <v>16</v>
      </c>
      <c r="B82" s="202" t="s">
        <v>14</v>
      </c>
      <c r="C82" s="203"/>
      <c r="D82" s="15">
        <f t="shared" si="4"/>
        <v>346940</v>
      </c>
      <c r="E82" s="18">
        <f>IF(F3="1",SUMIF(Data!A:A,'40'!$A$2,Data!EN:EN),0)</f>
        <v>1836884</v>
      </c>
      <c r="F82" s="22">
        <f t="shared" si="5"/>
        <v>5.2945293134259526</v>
      </c>
    </row>
    <row r="83" spans="1:6" x14ac:dyDescent="0.2">
      <c r="A83" s="20">
        <v>17</v>
      </c>
      <c r="B83" s="202" t="s">
        <v>15</v>
      </c>
      <c r="C83" s="203"/>
      <c r="D83" s="15">
        <f t="shared" si="4"/>
        <v>35680</v>
      </c>
      <c r="E83" s="18">
        <f>IF(F3="1",SUMIF(Data!A:A,'40'!$A$2,Data!EO:EO),0)</f>
        <v>432094</v>
      </c>
      <c r="F83" s="22">
        <f t="shared" si="5"/>
        <v>12.110257847533632</v>
      </c>
    </row>
    <row r="84" spans="1:6" x14ac:dyDescent="0.2">
      <c r="A84" s="20">
        <v>18</v>
      </c>
      <c r="B84" s="202" t="s">
        <v>16</v>
      </c>
      <c r="C84" s="203"/>
      <c r="D84" s="15">
        <f t="shared" si="4"/>
        <v>0</v>
      </c>
      <c r="E84" s="18">
        <f>IF(F3="1",SUMIF(Data!A:A,'40'!$A$2,Data!EP:EP),0)</f>
        <v>0</v>
      </c>
      <c r="F84" s="22" t="str">
        <f t="shared" si="5"/>
        <v/>
      </c>
    </row>
    <row r="85" spans="1:6" x14ac:dyDescent="0.2">
      <c r="A85" s="20">
        <v>19</v>
      </c>
      <c r="B85" s="202" t="s">
        <v>17</v>
      </c>
      <c r="C85" s="203"/>
      <c r="D85" s="15">
        <f t="shared" si="4"/>
        <v>781402</v>
      </c>
      <c r="E85" s="18">
        <f>IF(F3="1",SUMIF(Data!A:A,'40'!$A$2,Data!EQ:EQ),0)</f>
        <v>2283901</v>
      </c>
      <c r="F85" s="22">
        <f t="shared" si="5"/>
        <v>2.9228246152428583</v>
      </c>
    </row>
    <row r="86" spans="1:6" x14ac:dyDescent="0.2">
      <c r="A86" s="20">
        <v>20</v>
      </c>
      <c r="B86" s="202" t="s">
        <v>18</v>
      </c>
      <c r="C86" s="203"/>
      <c r="D86" s="15">
        <f t="shared" si="4"/>
        <v>125140</v>
      </c>
      <c r="E86" s="18">
        <f>IF(F3="1",SUMIF(Data!A:A,'40'!$A$2,Data!ER:ER),0)</f>
        <v>671779</v>
      </c>
      <c r="F86" s="22">
        <f t="shared" si="5"/>
        <v>5.3682195940546586</v>
      </c>
    </row>
    <row r="87" spans="1:6" ht="14.25" customHeight="1" x14ac:dyDescent="0.2">
      <c r="A87" s="20">
        <v>21</v>
      </c>
      <c r="B87" s="202" t="s">
        <v>446</v>
      </c>
      <c r="C87" s="203"/>
      <c r="D87" s="15">
        <f t="shared" si="4"/>
        <v>203354</v>
      </c>
      <c r="E87" s="18">
        <f>IF(F3="1",SUMIF(Data!A:A,'40'!$A$2,Data!ES:ES),0)</f>
        <v>807064</v>
      </c>
      <c r="F87" s="22">
        <f t="shared" si="5"/>
        <v>3.9687638305614841</v>
      </c>
    </row>
    <row r="88" spans="1:6" x14ac:dyDescent="0.2">
      <c r="A88" s="20">
        <v>22</v>
      </c>
      <c r="B88" s="202" t="s">
        <v>19</v>
      </c>
      <c r="C88" s="203"/>
      <c r="D88" s="15">
        <f t="shared" si="4"/>
        <v>46560</v>
      </c>
      <c r="E88" s="18">
        <f>IF(F3="1",SUMIF(Data!A:A,'40'!$A$2,Data!ET:ET),0)</f>
        <v>2459</v>
      </c>
      <c r="F88" s="22">
        <f t="shared" si="5"/>
        <v>5.2813573883161512E-2</v>
      </c>
    </row>
    <row r="89" spans="1:6" x14ac:dyDescent="0.2">
      <c r="A89" s="20">
        <v>23</v>
      </c>
      <c r="B89" s="202" t="s">
        <v>20</v>
      </c>
      <c r="C89" s="203"/>
      <c r="D89" s="15">
        <f t="shared" si="4"/>
        <v>603648</v>
      </c>
      <c r="E89" s="18">
        <f>IF(F3="1",SUMIF(Data!A:A,'40'!$A$2,Data!EU:EU),0)</f>
        <v>2285357</v>
      </c>
      <c r="F89" s="22">
        <f t="shared" si="5"/>
        <v>3.7859100005301101</v>
      </c>
    </row>
    <row r="90" spans="1:6" x14ac:dyDescent="0.2">
      <c r="A90" s="20">
        <v>24</v>
      </c>
      <c r="B90" s="202" t="s">
        <v>21</v>
      </c>
      <c r="C90" s="203"/>
      <c r="D90" s="15">
        <f t="shared" si="4"/>
        <v>410666</v>
      </c>
      <c r="E90" s="18">
        <f>IF(F3="1",SUMIF(Data!A:A,'40'!$A$2,Data!EV:EV),0)</f>
        <v>1683784</v>
      </c>
      <c r="F90" s="22">
        <f t="shared" si="5"/>
        <v>4.1001300326786243</v>
      </c>
    </row>
    <row r="91" spans="1:6" x14ac:dyDescent="0.2">
      <c r="A91" s="20">
        <v>25</v>
      </c>
      <c r="B91" s="202" t="s">
        <v>22</v>
      </c>
      <c r="C91" s="203"/>
      <c r="D91" s="15">
        <f t="shared" si="4"/>
        <v>3823472</v>
      </c>
      <c r="E91" s="18">
        <f>IF(F3="1",SUMIF(Data!A:A,'40'!$A$2,Data!EW:EW),0)</f>
        <v>9424894</v>
      </c>
      <c r="F91" s="22">
        <f t="shared" si="5"/>
        <v>2.4650092899856464</v>
      </c>
    </row>
    <row r="92" spans="1:6" x14ac:dyDescent="0.2">
      <c r="A92" s="20">
        <v>26</v>
      </c>
      <c r="B92" s="202" t="s">
        <v>23</v>
      </c>
      <c r="C92" s="203"/>
      <c r="D92" s="15">
        <f t="shared" si="4"/>
        <v>1280760</v>
      </c>
      <c r="E92" s="18">
        <f>IF(F3="1",SUMIF(Data!A:A,'40'!$A$2,Data!EX:EX),0)</f>
        <v>5412999</v>
      </c>
      <c r="F92" s="22">
        <f t="shared" si="5"/>
        <v>4.2263960460976291</v>
      </c>
    </row>
    <row r="93" spans="1:6" x14ac:dyDescent="0.2">
      <c r="A93" s="20">
        <v>28</v>
      </c>
      <c r="B93" s="202" t="s">
        <v>24</v>
      </c>
      <c r="C93" s="203"/>
      <c r="D93" s="15">
        <f t="shared" si="4"/>
        <v>1376512</v>
      </c>
      <c r="E93" s="18">
        <f>IF(F3="1",SUMIF(Data!A:A,'40'!$A$2,Data!EZ:EZ),0)</f>
        <v>4023303</v>
      </c>
      <c r="F93" s="22">
        <f t="shared" si="5"/>
        <v>2.9228245013483356</v>
      </c>
    </row>
    <row r="94" spans="1:6" ht="15.75" customHeight="1" thickBot="1" x14ac:dyDescent="0.25">
      <c r="A94" s="23">
        <v>29</v>
      </c>
      <c r="B94" s="206" t="s">
        <v>25</v>
      </c>
      <c r="C94" s="207"/>
      <c r="D94" s="24">
        <f t="shared" si="4"/>
        <v>738272</v>
      </c>
      <c r="E94" s="25">
        <f>IF(F3="1",SUMIF(Data!A:A,'40'!$A$2,Data!FA:FA),0)</f>
        <v>2258584</v>
      </c>
      <c r="F94" s="26">
        <f t="shared" si="5"/>
        <v>3.0592843829916343</v>
      </c>
    </row>
    <row r="95" spans="1:6" x14ac:dyDescent="0.2">
      <c r="B95" s="31" t="s">
        <v>35</v>
      </c>
      <c r="C95" s="31"/>
      <c r="D95" s="60">
        <f>SUM(D67:D94)</f>
        <v>19353554</v>
      </c>
      <c r="E95" s="32">
        <f>SUM(E67:E94)</f>
        <v>62162302</v>
      </c>
      <c r="F95" s="33">
        <f t="shared" si="5"/>
        <v>3.211932134015282</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IF(F3="1",SUMIF(Data!A:A,'40'!$A$2,Data!AH:AH),0)</f>
        <v>24781177</v>
      </c>
      <c r="F98" s="21">
        <f t="shared" ref="F98:F105" si="6">IFERROR(E98/$D$95,0)</f>
        <v>1.2804458033909432</v>
      </c>
    </row>
    <row r="99" spans="2:6" x14ac:dyDescent="0.2">
      <c r="B99" s="212" t="s">
        <v>31</v>
      </c>
      <c r="C99" s="213"/>
      <c r="D99" s="37"/>
      <c r="E99" s="18">
        <f>IF(F3="1",SUMIF(Data!A:A,'40'!$A$2,Data!AI:AI),0)</f>
        <v>19022105</v>
      </c>
      <c r="F99" s="22">
        <f t="shared" si="6"/>
        <v>0.98287399823308941</v>
      </c>
    </row>
    <row r="100" spans="2:6" x14ac:dyDescent="0.2">
      <c r="B100" s="212" t="s">
        <v>32</v>
      </c>
      <c r="C100" s="213"/>
      <c r="D100" s="37"/>
      <c r="E100" s="18">
        <f>IF(F3="1",SUMIF(Data!A:A,'40'!$A$2,Data!AJ:AJ),0)</f>
        <v>17445821</v>
      </c>
      <c r="F100" s="22">
        <f t="shared" si="6"/>
        <v>0.9014272520695682</v>
      </c>
    </row>
    <row r="101" spans="2:6" x14ac:dyDescent="0.2">
      <c r="B101" s="212" t="s">
        <v>28</v>
      </c>
      <c r="C101" s="213"/>
      <c r="D101" s="37"/>
      <c r="E101" s="18">
        <f>IF(F3="1",SUMIF(Data!A:A,'40'!$A$2,Data!AK:AK),0)</f>
        <v>0</v>
      </c>
      <c r="F101" s="22">
        <f t="shared" si="6"/>
        <v>0</v>
      </c>
    </row>
    <row r="102" spans="2:6" x14ac:dyDescent="0.2">
      <c r="B102" s="212" t="s">
        <v>33</v>
      </c>
      <c r="C102" s="213"/>
      <c r="D102" s="37"/>
      <c r="E102" s="18">
        <f>IF(F3="1",SUMIF(Data!A:A,'40'!$A$2,Data!AL:AL),0)</f>
        <v>1347638</v>
      </c>
      <c r="F102" s="22">
        <f t="shared" si="6"/>
        <v>6.9632585312237746E-2</v>
      </c>
    </row>
    <row r="103" spans="2:6" x14ac:dyDescent="0.2">
      <c r="B103" s="214" t="s">
        <v>34</v>
      </c>
      <c r="C103" s="215"/>
      <c r="D103" s="37"/>
      <c r="E103" s="18">
        <f>IF(F3="1",SUMIF(Data!A:A,'40'!$A$2,Data!AM:AM),0)</f>
        <v>2183894</v>
      </c>
      <c r="F103" s="22">
        <f t="shared" si="6"/>
        <v>0.11284201341004345</v>
      </c>
    </row>
    <row r="104" spans="2:6" ht="15.75" customHeight="1" thickBot="1" x14ac:dyDescent="0.25">
      <c r="B104" s="208" t="s">
        <v>29</v>
      </c>
      <c r="C104" s="209"/>
      <c r="D104" s="38"/>
      <c r="E104" s="25">
        <f>IF(F3="1",SUMIF(Data!A:A,'40'!$A$2,Data!Q:Q),0)</f>
        <v>11052375</v>
      </c>
      <c r="F104" s="26">
        <f t="shared" si="6"/>
        <v>0.5710772812063355</v>
      </c>
    </row>
    <row r="105" spans="2:6" x14ac:dyDescent="0.2">
      <c r="B105" s="31" t="s">
        <v>35</v>
      </c>
      <c r="C105" s="31"/>
      <c r="D105" s="35">
        <f>D95</f>
        <v>19353554</v>
      </c>
      <c r="E105" s="32">
        <f>SUM(E98:E104)</f>
        <v>75833010</v>
      </c>
      <c r="F105" s="33">
        <f t="shared" si="6"/>
        <v>3.9182989336222174</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77877809</v>
      </c>
      <c r="D109" s="192">
        <f>IF(F3="1",SUMIF(Data!$A:$A,$A$2,Data!HJ:HJ),0)</f>
        <v>11172821</v>
      </c>
      <c r="E109" s="192">
        <f>IF(F3="1",SUMIF(Data!$A:$A,$A$2,Data!IN:IN),0)</f>
        <v>12445233</v>
      </c>
      <c r="F109" s="48">
        <f>SUM(C109:E109)</f>
        <v>101495863</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3308690</v>
      </c>
      <c r="D111" s="52"/>
      <c r="E111" s="193">
        <f>IF(F3="1",SUMIF(Data!A:A,$A$2,Data!AX:AX)-SUMIF(Data!A:A,$A$2,Data!AW:AW),0)</f>
        <v>656604</v>
      </c>
      <c r="F111" s="49">
        <f t="shared" si="7"/>
        <v>3965294</v>
      </c>
    </row>
    <row r="112" spans="2:6" x14ac:dyDescent="0.2">
      <c r="B112" s="43" t="s">
        <v>32</v>
      </c>
      <c r="C112" s="193">
        <f>IF(F3="1",SUMIF(Data!A:A,$A$2,Data!V:V),0)</f>
        <v>14295132</v>
      </c>
      <c r="D112" s="52"/>
      <c r="E112" s="193">
        <f>IF(F3="1",SUMIF(Data!A:A,$A$2,Data!AC:AC),0)</f>
        <v>3150689</v>
      </c>
      <c r="F112" s="49">
        <f t="shared" si="7"/>
        <v>17445821</v>
      </c>
    </row>
    <row r="113" spans="1:6" x14ac:dyDescent="0.2">
      <c r="B113" s="43" t="s">
        <v>31</v>
      </c>
      <c r="C113" s="193">
        <f>IF(F3="1",SUMIF(Data!A:A,$A$2,Data!U:U),0)</f>
        <v>15158763</v>
      </c>
      <c r="D113" s="52"/>
      <c r="E113" s="193">
        <f>IF(F3="1",SUMIF(Data!A:A,$A$2,Data!AB:AB),0)</f>
        <v>3863342</v>
      </c>
      <c r="F113" s="49">
        <f t="shared" si="7"/>
        <v>19022105</v>
      </c>
    </row>
    <row r="114" spans="1:6" x14ac:dyDescent="0.2">
      <c r="B114" s="43" t="s">
        <v>1002</v>
      </c>
      <c r="C114" s="193">
        <f>IF(F3="1",SUMIF(Data!A:A,$A$2,Data!T:T),0)</f>
        <v>15997333</v>
      </c>
      <c r="D114" s="52"/>
      <c r="E114" s="193">
        <f>IF(F3="1",SUMIF(Data!A:A,$A$2,Data!AA:AA),0)</f>
        <v>8783844</v>
      </c>
      <c r="F114" s="49">
        <f t="shared" si="7"/>
        <v>24781177</v>
      </c>
    </row>
    <row r="115" spans="1:6" x14ac:dyDescent="0.2">
      <c r="B115" s="43" t="s">
        <v>916</v>
      </c>
      <c r="C115" s="193">
        <f>IF(F3="1",SUMIF(Data!A:A,$A$2,Data!BI:BI),0)</f>
        <v>7003338</v>
      </c>
      <c r="D115" s="193">
        <f>IF(F3="1",SUMIF(Data!A:A,$A$2,Data!BL:BL),0)</f>
        <v>2725300</v>
      </c>
      <c r="E115" s="193">
        <f>IF(F3="1",SUMIF(Data!A:A,$A$2,Data!BU:BU)-SUMIF(Data!A:A,$A$2,Data!BT:BT),0)</f>
        <v>29065554</v>
      </c>
      <c r="F115" s="49">
        <f t="shared" si="7"/>
        <v>38794192</v>
      </c>
    </row>
    <row r="116" spans="1:6" x14ac:dyDescent="0.2">
      <c r="B116" s="43" t="s">
        <v>33</v>
      </c>
      <c r="C116" s="193">
        <f>IF(F3="1",SUMIF(Data!A:A,$A$2,Data!X:X),0)</f>
        <v>0</v>
      </c>
      <c r="D116" s="51"/>
      <c r="E116" s="193">
        <f>E102-C116</f>
        <v>1347638</v>
      </c>
      <c r="F116" s="49">
        <f t="shared" si="7"/>
        <v>1347638</v>
      </c>
    </row>
    <row r="117" spans="1:6" ht="15" thickBot="1" x14ac:dyDescent="0.25">
      <c r="B117" s="44" t="s">
        <v>920</v>
      </c>
      <c r="C117" s="53"/>
      <c r="D117" s="53">
        <f>IF(F3="1",SUMIF(Data!A:A,$A$2,Data!Q:Q),0)</f>
        <v>11052375</v>
      </c>
      <c r="E117" s="53"/>
      <c r="F117" s="50">
        <f>SUM(C117:E117)</f>
        <v>11052375</v>
      </c>
    </row>
    <row r="118" spans="1:6" x14ac:dyDescent="0.2">
      <c r="B118" s="14" t="s">
        <v>35</v>
      </c>
      <c r="C118" s="178">
        <f>SUM(C109:C117)</f>
        <v>133641065</v>
      </c>
      <c r="D118" s="194">
        <f>SUM(D109:D117)</f>
        <v>24950496</v>
      </c>
      <c r="E118" s="178">
        <f>SUM(E109:E117)</f>
        <v>59312904</v>
      </c>
      <c r="F118" s="178">
        <f>SUM(F109:F117)</f>
        <v>217904465</v>
      </c>
    </row>
    <row r="119" spans="1:6" x14ac:dyDescent="0.2">
      <c r="C119" s="177"/>
      <c r="D119" s="177"/>
      <c r="E119" s="177"/>
    </row>
    <row r="120" spans="1:6" ht="15" thickBot="1" x14ac:dyDescent="0.25">
      <c r="B120" s="188" t="s">
        <v>921</v>
      </c>
      <c r="C120" s="53"/>
      <c r="D120" s="53"/>
      <c r="E120" s="195">
        <f>IF(F3="1",SUMIF(Data!A:A,$A$2,Data!AF:AF)+SUMIF(Data!A:A,$A$2,Data!AW:AW)+SUMIF(Data!A:A,$A$2,Data!BT:BT),0)</f>
        <v>3117941</v>
      </c>
      <c r="F120" s="181">
        <f>SUM(C120:E120)</f>
        <v>3117941</v>
      </c>
    </row>
    <row r="121" spans="1:6" s="177" customFormat="1" x14ac:dyDescent="0.2">
      <c r="B121" s="14" t="s">
        <v>35</v>
      </c>
      <c r="C121" s="178">
        <f>SUM(C120:C120)</f>
        <v>0</v>
      </c>
      <c r="D121" s="178">
        <f>SUM(D120:D120)</f>
        <v>0</v>
      </c>
      <c r="E121" s="178">
        <f>SUM(E120:E120)</f>
        <v>3117941</v>
      </c>
      <c r="F121" s="178">
        <f>SUM(F120:F120)</f>
        <v>3117941</v>
      </c>
    </row>
    <row r="122" spans="1:6" s="177" customFormat="1" ht="15" thickBot="1" x14ac:dyDescent="0.25">
      <c r="B122" s="14" t="s">
        <v>1396</v>
      </c>
      <c r="C122" s="178"/>
      <c r="D122" s="178"/>
      <c r="E122" s="178"/>
      <c r="F122" s="190">
        <f>F118+F121</f>
        <v>221022406</v>
      </c>
    </row>
    <row r="123" spans="1:6" ht="15" thickTop="1" x14ac:dyDescent="0.2">
      <c r="F123" s="183"/>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399</v>
      </c>
      <c r="B2" s="59" t="str">
        <f>VLOOKUP(A2,Data!A:G,7,0)</f>
        <v>Temple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12416</v>
      </c>
      <c r="E5" s="16">
        <f>E36+E67+IFERROR($E$105/$D$105*D5,0)</f>
        <v>102094.533171141</v>
      </c>
      <c r="F5" s="21">
        <f>IFERROR(E5/D5,"")</f>
        <v>8.2228200041189599</v>
      </c>
    </row>
    <row r="6" spans="1:6" x14ac:dyDescent="0.2">
      <c r="A6" s="20">
        <v>2</v>
      </c>
      <c r="B6" s="202" t="s">
        <v>1</v>
      </c>
      <c r="C6" s="203"/>
      <c r="D6" s="15">
        <f t="shared" ref="D6:D32" si="0">D37</f>
        <v>0</v>
      </c>
      <c r="E6" s="18">
        <f t="shared" ref="E6:E32" si="1">E37+E68+IFERROR($E$105/$D$105*D6,0)</f>
        <v>0</v>
      </c>
      <c r="F6" s="22" t="str">
        <f t="shared" ref="F6:F33" si="2">IFERROR(E6/D6,"")</f>
        <v/>
      </c>
    </row>
    <row r="7" spans="1:6" ht="14.25" customHeight="1" x14ac:dyDescent="0.2">
      <c r="A7" s="20">
        <v>3</v>
      </c>
      <c r="B7" s="202" t="s">
        <v>2</v>
      </c>
      <c r="C7" s="203"/>
      <c r="D7" s="15">
        <f t="shared" si="0"/>
        <v>316544</v>
      </c>
      <c r="E7" s="18">
        <f t="shared" si="1"/>
        <v>2429257.2219817694</v>
      </c>
      <c r="F7" s="22">
        <f t="shared" si="2"/>
        <v>7.6743113816144657</v>
      </c>
    </row>
    <row r="8" spans="1:6" ht="14.25" customHeight="1" x14ac:dyDescent="0.2">
      <c r="A8" s="20">
        <v>4</v>
      </c>
      <c r="B8" s="202" t="s">
        <v>3</v>
      </c>
      <c r="C8" s="203"/>
      <c r="D8" s="15">
        <f t="shared" si="0"/>
        <v>255742</v>
      </c>
      <c r="E8" s="18">
        <f t="shared" si="1"/>
        <v>1432213.0220887514</v>
      </c>
      <c r="F8" s="22">
        <f t="shared" si="2"/>
        <v>5.6002260953959517</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1008</v>
      </c>
      <c r="E10" s="18">
        <f t="shared" si="1"/>
        <v>11440.888646626136</v>
      </c>
      <c r="F10" s="22">
        <f t="shared" si="2"/>
        <v>11.350087943081483</v>
      </c>
    </row>
    <row r="11" spans="1:6" x14ac:dyDescent="0.2">
      <c r="A11" s="20">
        <v>7</v>
      </c>
      <c r="B11" s="202" t="s">
        <v>6</v>
      </c>
      <c r="C11" s="203"/>
      <c r="D11" s="15">
        <f t="shared" si="0"/>
        <v>96576</v>
      </c>
      <c r="E11" s="18">
        <f t="shared" si="1"/>
        <v>805952.1884291328</v>
      </c>
      <c r="F11" s="22">
        <f t="shared" si="2"/>
        <v>8.3452637138536776</v>
      </c>
    </row>
    <row r="12" spans="1:6" x14ac:dyDescent="0.2">
      <c r="A12" s="20">
        <v>8</v>
      </c>
      <c r="B12" s="202" t="s">
        <v>7</v>
      </c>
      <c r="C12" s="203"/>
      <c r="D12" s="15">
        <f t="shared" si="0"/>
        <v>0</v>
      </c>
      <c r="E12" s="18">
        <f t="shared" si="1"/>
        <v>0</v>
      </c>
      <c r="F12" s="22" t="str">
        <f t="shared" si="2"/>
        <v/>
      </c>
    </row>
    <row r="13" spans="1:6" x14ac:dyDescent="0.2">
      <c r="A13" s="20">
        <v>9</v>
      </c>
      <c r="B13" s="202" t="s">
        <v>8</v>
      </c>
      <c r="C13" s="203"/>
      <c r="D13" s="15">
        <f t="shared" si="0"/>
        <v>42984</v>
      </c>
      <c r="E13" s="18">
        <f t="shared" si="1"/>
        <v>332382.10871684313</v>
      </c>
      <c r="F13" s="22">
        <f t="shared" si="2"/>
        <v>7.7326937631873056</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43499</v>
      </c>
      <c r="E15" s="18">
        <f t="shared" si="1"/>
        <v>761234.61730118084</v>
      </c>
      <c r="F15" s="22">
        <f t="shared" si="2"/>
        <v>17.500048674709323</v>
      </c>
    </row>
    <row r="16" spans="1:6" ht="14.25" customHeight="1" x14ac:dyDescent="0.2">
      <c r="A16" s="20">
        <v>12</v>
      </c>
      <c r="B16" s="202" t="s">
        <v>11</v>
      </c>
      <c r="C16" s="203"/>
      <c r="D16" s="15">
        <f t="shared" si="0"/>
        <v>289920</v>
      </c>
      <c r="E16" s="18">
        <f t="shared" si="1"/>
        <v>2097428.6869343743</v>
      </c>
      <c r="F16" s="22">
        <f t="shared" si="2"/>
        <v>7.2345084400330242</v>
      </c>
    </row>
    <row r="17" spans="1:6" x14ac:dyDescent="0.2">
      <c r="A17" s="20">
        <v>13</v>
      </c>
      <c r="B17" s="202" t="s">
        <v>12</v>
      </c>
      <c r="C17" s="203"/>
      <c r="D17" s="15">
        <f t="shared" si="0"/>
        <v>30916</v>
      </c>
      <c r="E17" s="18">
        <f t="shared" si="1"/>
        <v>227357.60853084686</v>
      </c>
      <c r="F17" s="22">
        <f t="shared" si="2"/>
        <v>7.3540434898061475</v>
      </c>
    </row>
    <row r="18" spans="1:6" ht="14.25" customHeight="1" x14ac:dyDescent="0.2">
      <c r="A18" s="20">
        <v>14</v>
      </c>
      <c r="B18" s="202" t="s">
        <v>449</v>
      </c>
      <c r="C18" s="203"/>
      <c r="D18" s="15">
        <f t="shared" si="0"/>
        <v>120290</v>
      </c>
      <c r="E18" s="18">
        <f t="shared" si="1"/>
        <v>1253771.7235145415</v>
      </c>
      <c r="F18" s="22">
        <f t="shared" si="2"/>
        <v>10.422908999206431</v>
      </c>
    </row>
    <row r="19" spans="1:6" x14ac:dyDescent="0.2">
      <c r="A19" s="20">
        <v>15</v>
      </c>
      <c r="B19" s="202" t="s">
        <v>13</v>
      </c>
      <c r="C19" s="203"/>
      <c r="D19" s="15">
        <f t="shared" si="0"/>
        <v>18293</v>
      </c>
      <c r="E19" s="18">
        <f t="shared" si="1"/>
        <v>428322.36608405947</v>
      </c>
      <c r="F19" s="22">
        <f t="shared" si="2"/>
        <v>23.414550160392469</v>
      </c>
    </row>
    <row r="20" spans="1:6" x14ac:dyDescent="0.2">
      <c r="A20" s="20">
        <v>16</v>
      </c>
      <c r="B20" s="202" t="s">
        <v>14</v>
      </c>
      <c r="C20" s="203"/>
      <c r="D20" s="15">
        <f t="shared" si="0"/>
        <v>172981</v>
      </c>
      <c r="E20" s="18">
        <f t="shared" si="1"/>
        <v>1489365.0396647179</v>
      </c>
      <c r="F20" s="22">
        <f t="shared" si="2"/>
        <v>8.6099920781167754</v>
      </c>
    </row>
    <row r="21" spans="1:6" x14ac:dyDescent="0.2">
      <c r="A21" s="20">
        <v>17</v>
      </c>
      <c r="B21" s="202" t="s">
        <v>15</v>
      </c>
      <c r="C21" s="203"/>
      <c r="D21" s="15">
        <f t="shared" si="0"/>
        <v>40224</v>
      </c>
      <c r="E21" s="18">
        <f t="shared" si="1"/>
        <v>397886.98504155723</v>
      </c>
      <c r="F21" s="22">
        <f t="shared" si="2"/>
        <v>9.8917806543744344</v>
      </c>
    </row>
    <row r="22" spans="1:6" x14ac:dyDescent="0.2">
      <c r="A22" s="20">
        <v>18</v>
      </c>
      <c r="B22" s="202" t="s">
        <v>16</v>
      </c>
      <c r="C22" s="203"/>
      <c r="D22" s="15">
        <f t="shared" si="0"/>
        <v>119888</v>
      </c>
      <c r="E22" s="18">
        <f t="shared" si="1"/>
        <v>1168360.3750661849</v>
      </c>
      <c r="F22" s="22">
        <f t="shared" si="2"/>
        <v>9.7454321956007686</v>
      </c>
    </row>
    <row r="23" spans="1:6" x14ac:dyDescent="0.2">
      <c r="A23" s="20">
        <v>19</v>
      </c>
      <c r="B23" s="202" t="s">
        <v>17</v>
      </c>
      <c r="C23" s="203"/>
      <c r="D23" s="15">
        <f t="shared" si="0"/>
        <v>91248</v>
      </c>
      <c r="E23" s="18">
        <f t="shared" si="1"/>
        <v>754618.06272553746</v>
      </c>
      <c r="F23" s="22">
        <f t="shared" si="2"/>
        <v>8.2699682483510593</v>
      </c>
    </row>
    <row r="24" spans="1:6" x14ac:dyDescent="0.2">
      <c r="A24" s="20">
        <v>20</v>
      </c>
      <c r="B24" s="202" t="s">
        <v>18</v>
      </c>
      <c r="C24" s="203"/>
      <c r="D24" s="15">
        <f t="shared" si="0"/>
        <v>0</v>
      </c>
      <c r="E24" s="18">
        <f t="shared" si="1"/>
        <v>0</v>
      </c>
      <c r="F24" s="22" t="str">
        <f t="shared" si="2"/>
        <v/>
      </c>
    </row>
    <row r="25" spans="1:6" ht="14.25" customHeight="1" x14ac:dyDescent="0.2">
      <c r="A25" s="20">
        <v>21</v>
      </c>
      <c r="B25" s="202" t="s">
        <v>446</v>
      </c>
      <c r="C25" s="203"/>
      <c r="D25" s="15">
        <f t="shared" si="0"/>
        <v>98</v>
      </c>
      <c r="E25" s="18">
        <f t="shared" si="1"/>
        <v>838.57250731087447</v>
      </c>
      <c r="F25" s="22">
        <f t="shared" si="2"/>
        <v>8.5568623194987197</v>
      </c>
    </row>
    <row r="26" spans="1:6" x14ac:dyDescent="0.2">
      <c r="A26" s="20">
        <v>22</v>
      </c>
      <c r="B26" s="202" t="s">
        <v>19</v>
      </c>
      <c r="C26" s="203"/>
      <c r="D26" s="15">
        <f t="shared" si="0"/>
        <v>11360</v>
      </c>
      <c r="E26" s="18">
        <f t="shared" si="1"/>
        <v>98824.364112770738</v>
      </c>
      <c r="F26" s="22">
        <f t="shared" si="2"/>
        <v>8.6993278268284104</v>
      </c>
    </row>
    <row r="27" spans="1:6" x14ac:dyDescent="0.2">
      <c r="A27" s="20">
        <v>23</v>
      </c>
      <c r="B27" s="202" t="s">
        <v>20</v>
      </c>
      <c r="C27" s="203"/>
      <c r="D27" s="15">
        <f t="shared" si="0"/>
        <v>65398</v>
      </c>
      <c r="E27" s="18">
        <f t="shared" si="1"/>
        <v>443345.04931751592</v>
      </c>
      <c r="F27" s="22">
        <f t="shared" si="2"/>
        <v>6.7791836037419477</v>
      </c>
    </row>
    <row r="28" spans="1:6" x14ac:dyDescent="0.2">
      <c r="A28" s="20">
        <v>24</v>
      </c>
      <c r="B28" s="202" t="s">
        <v>21</v>
      </c>
      <c r="C28" s="203"/>
      <c r="D28" s="15">
        <f t="shared" si="0"/>
        <v>78336</v>
      </c>
      <c r="E28" s="18">
        <f t="shared" si="1"/>
        <v>583215.63196637412</v>
      </c>
      <c r="F28" s="22">
        <f t="shared" si="2"/>
        <v>7.4450524914008129</v>
      </c>
    </row>
    <row r="29" spans="1:6" x14ac:dyDescent="0.2">
      <c r="A29" s="20">
        <v>25</v>
      </c>
      <c r="B29" s="202" t="s">
        <v>22</v>
      </c>
      <c r="C29" s="203"/>
      <c r="D29" s="15">
        <f t="shared" si="0"/>
        <v>358528</v>
      </c>
      <c r="E29" s="18">
        <f t="shared" si="1"/>
        <v>2442904.4887872776</v>
      </c>
      <c r="F29" s="22">
        <f t="shared" si="2"/>
        <v>6.8137062901287422</v>
      </c>
    </row>
    <row r="30" spans="1:6" x14ac:dyDescent="0.2">
      <c r="A30" s="20">
        <v>26</v>
      </c>
      <c r="B30" s="202" t="s">
        <v>23</v>
      </c>
      <c r="C30" s="203"/>
      <c r="D30" s="15">
        <f t="shared" si="0"/>
        <v>161488</v>
      </c>
      <c r="E30" s="18">
        <f t="shared" si="1"/>
        <v>1579609.3985777395</v>
      </c>
      <c r="F30" s="22">
        <f t="shared" si="2"/>
        <v>9.7815899545337075</v>
      </c>
    </row>
    <row r="31" spans="1:6" x14ac:dyDescent="0.2">
      <c r="A31" s="20">
        <v>28</v>
      </c>
      <c r="B31" s="202" t="s">
        <v>24</v>
      </c>
      <c r="C31" s="203"/>
      <c r="D31" s="15">
        <f t="shared" si="0"/>
        <v>147216</v>
      </c>
      <c r="E31" s="18">
        <f t="shared" si="1"/>
        <v>1015221.02281916</v>
      </c>
      <c r="F31" s="22">
        <f t="shared" si="2"/>
        <v>6.8961323688944134</v>
      </c>
    </row>
    <row r="32" spans="1:6" ht="15.75" customHeight="1" thickBot="1" x14ac:dyDescent="0.25">
      <c r="A32" s="23">
        <v>29</v>
      </c>
      <c r="B32" s="206" t="s">
        <v>25</v>
      </c>
      <c r="C32" s="207"/>
      <c r="D32" s="24">
        <f t="shared" si="0"/>
        <v>103056</v>
      </c>
      <c r="E32" s="25">
        <f t="shared" si="1"/>
        <v>700906.04401458637</v>
      </c>
      <c r="F32" s="26">
        <f t="shared" si="2"/>
        <v>6.8012153005607274</v>
      </c>
    </row>
    <row r="33" spans="1:6" x14ac:dyDescent="0.2">
      <c r="B33" s="31" t="s">
        <v>35</v>
      </c>
      <c r="C33" s="31"/>
      <c r="D33" s="60">
        <f>SUM(D5:D32)</f>
        <v>2578009</v>
      </c>
      <c r="E33" s="32">
        <f>SUM(E5:E32)</f>
        <v>20556550</v>
      </c>
      <c r="F33" s="33">
        <f t="shared" si="2"/>
        <v>7.9738084700247365</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IF(F3="1",SUMIF(Data!A:A,'41'!$A$2,Data!CU:CU),0)</f>
        <v>12416</v>
      </c>
      <c r="E36" s="16">
        <f>IF(F3="1",SUMIF(Data!$A:$A,'41'!$A$2,Data!IO:IO),0)</f>
        <v>15469</v>
      </c>
      <c r="F36" s="21">
        <f t="shared" ref="F36:F64" si="3">IFERROR(E36/D36,"")</f>
        <v>1.2458923969072164</v>
      </c>
    </row>
    <row r="37" spans="1:6" x14ac:dyDescent="0.2">
      <c r="A37" s="20">
        <v>2</v>
      </c>
      <c r="B37" s="202" t="s">
        <v>1</v>
      </c>
      <c r="C37" s="203"/>
      <c r="D37" s="15">
        <f>IF(F3="1",SUMIF(Data!A:A,'41'!$A$2,Data!CV:CV),0)</f>
        <v>0</v>
      </c>
      <c r="E37" s="18">
        <f>IF(F3="1",SUMIF(Data!$A:$A,'41'!$A$2,Data!IP:IP),0)</f>
        <v>0</v>
      </c>
      <c r="F37" s="22" t="str">
        <f t="shared" si="3"/>
        <v/>
      </c>
    </row>
    <row r="38" spans="1:6" ht="14.25" customHeight="1" x14ac:dyDescent="0.2">
      <c r="A38" s="20">
        <v>3</v>
      </c>
      <c r="B38" s="202" t="s">
        <v>2</v>
      </c>
      <c r="C38" s="203"/>
      <c r="D38" s="15">
        <f>IF(F3="1",SUMIF(Data!A:A,'41'!$A$2,Data!CW:CW),0)</f>
        <v>316544</v>
      </c>
      <c r="E38" s="18">
        <f>IF(F3="1",SUMIF(Data!$A:$A,'41'!$A$2,Data!IQ:IQ),0)</f>
        <v>335739</v>
      </c>
      <c r="F38" s="22">
        <f t="shared" si="3"/>
        <v>1.0606392792155277</v>
      </c>
    </row>
    <row r="39" spans="1:6" ht="14.25" customHeight="1" x14ac:dyDescent="0.2">
      <c r="A39" s="20">
        <v>4</v>
      </c>
      <c r="B39" s="202" t="s">
        <v>3</v>
      </c>
      <c r="C39" s="203"/>
      <c r="D39" s="15">
        <f>IF(F3="1",SUMIF(Data!A:A,'41'!$A$2,Data!CX:CX),0)</f>
        <v>255742</v>
      </c>
      <c r="E39" s="18">
        <f>IF(F3="1",SUMIF(Data!$A:$A,'41'!$A$2,Data!IR:IR),0)</f>
        <v>102252</v>
      </c>
      <c r="F39" s="22">
        <f t="shared" si="3"/>
        <v>0.39982482345488812</v>
      </c>
    </row>
    <row r="40" spans="1:6" x14ac:dyDescent="0.2">
      <c r="A40" s="20">
        <v>5</v>
      </c>
      <c r="B40" s="202" t="s">
        <v>4</v>
      </c>
      <c r="C40" s="203"/>
      <c r="D40" s="15">
        <f>IF(F3="1",SUMIF(Data!A:A,'41'!$A$2,Data!CY:CY),0)</f>
        <v>0</v>
      </c>
      <c r="E40" s="18">
        <f>IF(F3="1",SUMIF(Data!$A:$A,'41'!$A$2,Data!IS:IS),0)</f>
        <v>0</v>
      </c>
      <c r="F40" s="22" t="str">
        <f t="shared" si="3"/>
        <v/>
      </c>
    </row>
    <row r="41" spans="1:6" x14ac:dyDescent="0.2">
      <c r="A41" s="20">
        <v>6</v>
      </c>
      <c r="B41" s="202" t="s">
        <v>5</v>
      </c>
      <c r="C41" s="203"/>
      <c r="D41" s="15">
        <f>IF(F3="1",SUMIF(Data!A:A,'41'!$A$2,Data!CZ:CZ),0)</f>
        <v>1008</v>
      </c>
      <c r="E41" s="18">
        <f>IF(F3="1",SUMIF(Data!$A:$A,'41'!$A$2,Data!IT:IT),0)</f>
        <v>2417</v>
      </c>
      <c r="F41" s="22">
        <f t="shared" si="3"/>
        <v>2.3978174603174605</v>
      </c>
    </row>
    <row r="42" spans="1:6" x14ac:dyDescent="0.2">
      <c r="A42" s="20">
        <v>7</v>
      </c>
      <c r="B42" s="202" t="s">
        <v>6</v>
      </c>
      <c r="C42" s="203"/>
      <c r="D42" s="15">
        <f>IF(F3="1",SUMIF(Data!A:A,'41'!$A$2,Data!DA:DA),0)</f>
        <v>96576</v>
      </c>
      <c r="E42" s="18">
        <f>IF(F3="1",SUMIF(Data!$A:$A,'41'!$A$2,Data!IU:IU),0)</f>
        <v>104143</v>
      </c>
      <c r="F42" s="22">
        <f t="shared" si="3"/>
        <v>1.0783527998674618</v>
      </c>
    </row>
    <row r="43" spans="1:6" x14ac:dyDescent="0.2">
      <c r="A43" s="20">
        <v>8</v>
      </c>
      <c r="B43" s="202" t="s">
        <v>7</v>
      </c>
      <c r="C43" s="203"/>
      <c r="D43" s="15">
        <f>IF(F3="1",SUMIF(Data!A:A,'41'!$A$2,Data!DB:DB),0)</f>
        <v>0</v>
      </c>
      <c r="E43" s="18">
        <f>IF(F3="1",SUMIF(Data!$A:$A,'41'!$A$2,Data!IV:IV),0)</f>
        <v>0</v>
      </c>
      <c r="F43" s="22" t="str">
        <f t="shared" si="3"/>
        <v/>
      </c>
    </row>
    <row r="44" spans="1:6" x14ac:dyDescent="0.2">
      <c r="A44" s="20">
        <v>9</v>
      </c>
      <c r="B44" s="202" t="s">
        <v>8</v>
      </c>
      <c r="C44" s="203"/>
      <c r="D44" s="15">
        <f>IF(F3="1",SUMIF(Data!A:A,'41'!$A$2,Data!DC:DC),0)</f>
        <v>42984</v>
      </c>
      <c r="E44" s="18">
        <f>IF(F3="1",SUMIF(Data!$A:$A,'41'!$A$2,Data!IW:IW),0)</f>
        <v>42899</v>
      </c>
      <c r="F44" s="22">
        <f t="shared" si="3"/>
        <v>0.99802252000744462</v>
      </c>
    </row>
    <row r="45" spans="1:6" x14ac:dyDescent="0.2">
      <c r="A45" s="20">
        <v>10</v>
      </c>
      <c r="B45" s="202" t="s">
        <v>9</v>
      </c>
      <c r="C45" s="203"/>
      <c r="D45" s="15">
        <f>IF(F3="1",SUMIF(Data!A:A,'41'!$A$2,Data!DD:DD),0)</f>
        <v>0</v>
      </c>
      <c r="E45" s="18">
        <f>IF(F3="1",SUMIF(Data!$A:$A,'41'!$A$2,Data!IX:IX),0)</f>
        <v>0</v>
      </c>
      <c r="F45" s="22" t="str">
        <f t="shared" si="3"/>
        <v/>
      </c>
    </row>
    <row r="46" spans="1:6" x14ac:dyDescent="0.2">
      <c r="A46" s="20">
        <v>11</v>
      </c>
      <c r="B46" s="202" t="s">
        <v>10</v>
      </c>
      <c r="C46" s="203"/>
      <c r="D46" s="15">
        <f>IF(F3="1",SUMIF(Data!A:A,'41'!$A$2,Data!DE:DE),0)</f>
        <v>43499</v>
      </c>
      <c r="E46" s="18">
        <f>IF(F3="1",SUMIF(Data!$A:$A,'41'!$A$2,Data!IY:IY),0)</f>
        <v>501502</v>
      </c>
      <c r="F46" s="22">
        <f t="shared" si="3"/>
        <v>11.529046644750453</v>
      </c>
    </row>
    <row r="47" spans="1:6" ht="14.25" customHeight="1" x14ac:dyDescent="0.2">
      <c r="A47" s="20">
        <v>12</v>
      </c>
      <c r="B47" s="202" t="s">
        <v>11</v>
      </c>
      <c r="C47" s="203"/>
      <c r="D47" s="15">
        <f>IF(F3="1",SUMIF(Data!A:A,'41'!$A$2,Data!DF:DF),0)</f>
        <v>289920</v>
      </c>
      <c r="E47" s="18">
        <f>IF(F3="1",SUMIF(Data!$A:$A,'41'!$A$2,Data!IZ:IZ),0)</f>
        <v>147577</v>
      </c>
      <c r="F47" s="22">
        <f t="shared" si="3"/>
        <v>0.50902662803532006</v>
      </c>
    </row>
    <row r="48" spans="1:6" x14ac:dyDescent="0.2">
      <c r="A48" s="20">
        <v>13</v>
      </c>
      <c r="B48" s="202" t="s">
        <v>12</v>
      </c>
      <c r="C48" s="203"/>
      <c r="D48" s="15">
        <f>IF(F3="1",SUMIF(Data!A:A,'41'!$A$2,Data!DG:DG),0)</f>
        <v>30916</v>
      </c>
      <c r="E48" s="18">
        <f>IF(F3="1",SUMIF(Data!$A:$A,'41'!$A$2,Data!JA:JA),0)</f>
        <v>16439</v>
      </c>
      <c r="F48" s="22">
        <f t="shared" si="3"/>
        <v>0.53173114245051101</v>
      </c>
    </row>
    <row r="49" spans="1:6" ht="14.25" customHeight="1" x14ac:dyDescent="0.2">
      <c r="A49" s="20">
        <v>14</v>
      </c>
      <c r="B49" s="202" t="s">
        <v>449</v>
      </c>
      <c r="C49" s="203"/>
      <c r="D49" s="15">
        <f>IF(F3="1",SUMIF(Data!A:A,'41'!$A$2,Data!DH:DH),0)</f>
        <v>120290</v>
      </c>
      <c r="E49" s="18">
        <f>IF(F3="1",SUMIF(Data!$A:$A,'41'!$A$2,Data!JB:JB),0)</f>
        <v>168313</v>
      </c>
      <c r="F49" s="22">
        <f t="shared" si="3"/>
        <v>1.3992268684013633</v>
      </c>
    </row>
    <row r="50" spans="1:6" x14ac:dyDescent="0.2">
      <c r="A50" s="20">
        <v>15</v>
      </c>
      <c r="B50" s="202" t="s">
        <v>13</v>
      </c>
      <c r="C50" s="203"/>
      <c r="D50" s="15">
        <f>IF(F3="1",SUMIF(Data!A:A,'41'!$A$2,Data!DI:DI),0)</f>
        <v>18293</v>
      </c>
      <c r="E50" s="18">
        <f>IF(F3="1",SUMIF(Data!$A:$A,'41'!$A$2,Data!JC:JC),0)</f>
        <v>107715</v>
      </c>
      <c r="F50" s="22">
        <f t="shared" si="3"/>
        <v>5.888317935822446</v>
      </c>
    </row>
    <row r="51" spans="1:6" x14ac:dyDescent="0.2">
      <c r="A51" s="20">
        <v>16</v>
      </c>
      <c r="B51" s="202" t="s">
        <v>14</v>
      </c>
      <c r="C51" s="203"/>
      <c r="D51" s="15">
        <f>IF(F3="1",SUMIF(Data!A:A,'41'!$A$2,Data!DJ:DJ),0)</f>
        <v>172981</v>
      </c>
      <c r="E51" s="18">
        <f>IF(F3="1",SUMIF(Data!$A:$A,'41'!$A$2,Data!JD:JD),0)</f>
        <v>296565</v>
      </c>
      <c r="F51" s="22">
        <f t="shared" si="3"/>
        <v>1.7144368456651309</v>
      </c>
    </row>
    <row r="52" spans="1:6" x14ac:dyDescent="0.2">
      <c r="A52" s="20">
        <v>17</v>
      </c>
      <c r="B52" s="202" t="s">
        <v>15</v>
      </c>
      <c r="C52" s="203"/>
      <c r="D52" s="15">
        <f>IF(F3="1",SUMIF(Data!A:A,'41'!$A$2,Data!DK:DK),0)</f>
        <v>40224</v>
      </c>
      <c r="E52" s="18">
        <f>IF(F3="1",SUMIF(Data!$A:$A,'41'!$A$2,Data!JE:JE),0)</f>
        <v>58468</v>
      </c>
      <c r="F52" s="22">
        <f t="shared" si="3"/>
        <v>1.4535600636435959</v>
      </c>
    </row>
    <row r="53" spans="1:6" x14ac:dyDescent="0.2">
      <c r="A53" s="20">
        <v>18</v>
      </c>
      <c r="B53" s="202" t="s">
        <v>16</v>
      </c>
      <c r="C53" s="203"/>
      <c r="D53" s="15">
        <f>IF(F3="1",SUMIF(Data!A:A,'41'!$A$2,Data!DL:DL),0)</f>
        <v>119888</v>
      </c>
      <c r="E53" s="18">
        <f>IF(F3="1",SUMIF(Data!$A:$A,'41'!$A$2,Data!JF:JF),0)</f>
        <v>149497</v>
      </c>
      <c r="F53" s="22">
        <f t="shared" si="3"/>
        <v>1.2469721740290938</v>
      </c>
    </row>
    <row r="54" spans="1:6" x14ac:dyDescent="0.2">
      <c r="A54" s="20">
        <v>19</v>
      </c>
      <c r="B54" s="202" t="s">
        <v>17</v>
      </c>
      <c r="C54" s="203"/>
      <c r="D54" s="15">
        <f>IF(F3="1",SUMIF(Data!A:A,'41'!$A$2,Data!DM:DM),0)</f>
        <v>91248</v>
      </c>
      <c r="E54" s="18">
        <f>IF(F3="1",SUMIF(Data!$A:$A,'41'!$A$2,Data!JG:JG),0)</f>
        <v>61470</v>
      </c>
      <c r="F54" s="22">
        <f t="shared" si="3"/>
        <v>0.67365860073645445</v>
      </c>
    </row>
    <row r="55" spans="1:6" x14ac:dyDescent="0.2">
      <c r="A55" s="20">
        <v>20</v>
      </c>
      <c r="B55" s="202" t="s">
        <v>18</v>
      </c>
      <c r="C55" s="203"/>
      <c r="D55" s="15">
        <f>IF(F3="1",SUMIF(Data!A:A,'41'!$A$2,Data!DN:DN),0)</f>
        <v>0</v>
      </c>
      <c r="E55" s="18">
        <f>IF(F3="1",SUMIF(Data!$A:$A,'41'!$A$2,Data!JH:JH),0)</f>
        <v>0</v>
      </c>
      <c r="F55" s="22" t="str">
        <f t="shared" si="3"/>
        <v/>
      </c>
    </row>
    <row r="56" spans="1:6" ht="14.25" customHeight="1" x14ac:dyDescent="0.2">
      <c r="A56" s="20">
        <v>21</v>
      </c>
      <c r="B56" s="202" t="s">
        <v>446</v>
      </c>
      <c r="C56" s="203"/>
      <c r="D56" s="15">
        <f>IF(F3="1",SUMIF(Data!A:A,'41'!$A$2,Data!DO:DO),0)</f>
        <v>98</v>
      </c>
      <c r="E56" s="18">
        <f>IF(F3="1",SUMIF(Data!$A:$A,'41'!$A$2,Data!JI:JI),0)</f>
        <v>280</v>
      </c>
      <c r="F56" s="22">
        <f t="shared" si="3"/>
        <v>2.8571428571428572</v>
      </c>
    </row>
    <row r="57" spans="1:6" x14ac:dyDescent="0.2">
      <c r="A57" s="20">
        <v>22</v>
      </c>
      <c r="B57" s="202" t="s">
        <v>19</v>
      </c>
      <c r="C57" s="203"/>
      <c r="D57" s="15">
        <f>IF(F3="1",SUMIF(Data!A:A,'41'!$A$2,Data!DP:DP),0)</f>
        <v>11360</v>
      </c>
      <c r="E57" s="18">
        <f>IF(F3="1",SUMIF(Data!$A:$A,'41'!$A$2,Data!JJ:JJ),0)</f>
        <v>19426</v>
      </c>
      <c r="F57" s="22">
        <f t="shared" si="3"/>
        <v>1.7100352112676056</v>
      </c>
    </row>
    <row r="58" spans="1:6" x14ac:dyDescent="0.2">
      <c r="A58" s="20">
        <v>23</v>
      </c>
      <c r="B58" s="202" t="s">
        <v>20</v>
      </c>
      <c r="C58" s="203"/>
      <c r="D58" s="15">
        <f>IF(F3="1",SUMIF(Data!A:A,'41'!$A$2,Data!DQ:DQ),0)</f>
        <v>65398</v>
      </c>
      <c r="E58" s="18">
        <f>IF(F3="1",SUMIF(Data!$A:$A,'41'!$A$2,Data!JK:JK),0)</f>
        <v>28756</v>
      </c>
      <c r="F58" s="22">
        <f t="shared" si="3"/>
        <v>0.43970763631915349</v>
      </c>
    </row>
    <row r="59" spans="1:6" x14ac:dyDescent="0.2">
      <c r="A59" s="20">
        <v>24</v>
      </c>
      <c r="B59" s="202" t="s">
        <v>21</v>
      </c>
      <c r="C59" s="203"/>
      <c r="D59" s="15">
        <f>IF(F3="1",SUMIF(Data!A:A,'41'!$A$2,Data!DR:DR),0)</f>
        <v>78336</v>
      </c>
      <c r="E59" s="18">
        <f>IF(F3="1",SUMIF(Data!$A:$A,'41'!$A$2,Data!JL:JL),0)</f>
        <v>109061</v>
      </c>
      <c r="F59" s="22">
        <f t="shared" si="3"/>
        <v>1.3922206903594772</v>
      </c>
    </row>
    <row r="60" spans="1:6" x14ac:dyDescent="0.2">
      <c r="A60" s="20">
        <v>25</v>
      </c>
      <c r="B60" s="202" t="s">
        <v>22</v>
      </c>
      <c r="C60" s="203"/>
      <c r="D60" s="15">
        <f>IF(F3="1",SUMIF(Data!A:A,'41'!$A$2,Data!DS:DS),0)</f>
        <v>358528</v>
      </c>
      <c r="E60" s="18">
        <f>IF(F3="1",SUMIF(Data!$A:$A,'41'!$A$2,Data!JM:JM),0)</f>
        <v>234109</v>
      </c>
      <c r="F60" s="22">
        <f t="shared" si="3"/>
        <v>0.65297271063905749</v>
      </c>
    </row>
    <row r="61" spans="1:6" x14ac:dyDescent="0.2">
      <c r="A61" s="20">
        <v>26</v>
      </c>
      <c r="B61" s="202" t="s">
        <v>23</v>
      </c>
      <c r="C61" s="203"/>
      <c r="D61" s="15">
        <f>IF(F3="1",SUMIF(Data!A:A,'41'!$A$2,Data!DT:DT),0)</f>
        <v>161488</v>
      </c>
      <c r="E61" s="18">
        <f>IF(F3="1",SUMIF(Data!$A:$A,'41'!$A$2,Data!JN:JN),0)</f>
        <v>284471</v>
      </c>
      <c r="F61" s="22">
        <f t="shared" si="3"/>
        <v>1.7615612305558308</v>
      </c>
    </row>
    <row r="62" spans="1:6" x14ac:dyDescent="0.2">
      <c r="A62" s="20">
        <v>28</v>
      </c>
      <c r="B62" s="202" t="s">
        <v>24</v>
      </c>
      <c r="C62" s="203"/>
      <c r="D62" s="15">
        <f>IF(F3="1",SUMIF(Data!A:A,'41'!$A$2,Data!DV:DV),0)</f>
        <v>147216</v>
      </c>
      <c r="E62" s="18">
        <f>IF(F3="1",SUMIF(Data!$A:$A,'41'!$A$2,Data!JP:JP),0)</f>
        <v>63739</v>
      </c>
      <c r="F62" s="22">
        <f t="shared" si="3"/>
        <v>0.43296244973372461</v>
      </c>
    </row>
    <row r="63" spans="1:6" ht="15.75" customHeight="1" thickBot="1" x14ac:dyDescent="0.25">
      <c r="A63" s="23">
        <v>29</v>
      </c>
      <c r="B63" s="206" t="s">
        <v>25</v>
      </c>
      <c r="C63" s="207"/>
      <c r="D63" s="24">
        <f>IF(F3="1",SUMIF(Data!A:A,'41'!$A$2,Data!DW:DW),0)</f>
        <v>103056</v>
      </c>
      <c r="E63" s="25">
        <f>IF(F3="1",SUMIF(Data!$A:$A,'41'!$A$2,Data!JQ:JQ),0)</f>
        <v>45284</v>
      </c>
      <c r="F63" s="26">
        <f t="shared" si="3"/>
        <v>0.43941158205247632</v>
      </c>
    </row>
    <row r="64" spans="1:6" x14ac:dyDescent="0.2">
      <c r="B64" s="31" t="s">
        <v>35</v>
      </c>
      <c r="C64" s="31"/>
      <c r="D64" s="60">
        <f>SUM(D36:D63)</f>
        <v>2578009</v>
      </c>
      <c r="E64" s="32">
        <f>SUM(E36:E63)</f>
        <v>2895591</v>
      </c>
      <c r="F64" s="33">
        <f t="shared" si="3"/>
        <v>1.1231888639644005</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12416</v>
      </c>
      <c r="E67" s="16">
        <f>IF(F3="1",SUMIF(Data!A:A,'41'!$A$2,Data!DY:DY),0)</f>
        <v>43097</v>
      </c>
      <c r="F67" s="21">
        <f>IFERROR(E67/D67,"")</f>
        <v>3.4710856958762886</v>
      </c>
    </row>
    <row r="68" spans="1:6" x14ac:dyDescent="0.2">
      <c r="A68" s="20">
        <v>2</v>
      </c>
      <c r="B68" s="202" t="s">
        <v>1</v>
      </c>
      <c r="C68" s="203"/>
      <c r="D68" s="15">
        <f t="shared" ref="D68:D94" si="4">D37</f>
        <v>0</v>
      </c>
      <c r="E68" s="18">
        <f>IF(F3="1",SUMIF(Data!A:A,'41'!$A$2,Data!DZ:DZ),0)</f>
        <v>0</v>
      </c>
      <c r="F68" s="22" t="str">
        <f t="shared" ref="F68:F95" si="5">IFERROR(E68/D68,"")</f>
        <v/>
      </c>
    </row>
    <row r="69" spans="1:6" ht="14.25" customHeight="1" x14ac:dyDescent="0.2">
      <c r="A69" s="20">
        <v>3</v>
      </c>
      <c r="B69" s="202" t="s">
        <v>2</v>
      </c>
      <c r="C69" s="203"/>
      <c r="D69" s="15">
        <f t="shared" si="4"/>
        <v>316544</v>
      </c>
      <c r="E69" s="18">
        <f>IF(F3="1",SUMIF(Data!A:A,'41'!$A$2,Data!EA:EA),0)</f>
        <v>983765</v>
      </c>
      <c r="F69" s="22">
        <f t="shared" si="5"/>
        <v>3.1078301910634858</v>
      </c>
    </row>
    <row r="70" spans="1:6" ht="14.25" customHeight="1" x14ac:dyDescent="0.2">
      <c r="A70" s="20">
        <v>4</v>
      </c>
      <c r="B70" s="202" t="s">
        <v>3</v>
      </c>
      <c r="C70" s="203"/>
      <c r="D70" s="15">
        <f t="shared" si="4"/>
        <v>255742</v>
      </c>
      <c r="E70" s="18">
        <f>IF(F3="1",SUMIF(Data!A:A,'41'!$A$2,Data!EB:EB),0)</f>
        <v>433370</v>
      </c>
      <c r="F70" s="22">
        <f t="shared" si="5"/>
        <v>1.6945593606056104</v>
      </c>
    </row>
    <row r="71" spans="1:6" x14ac:dyDescent="0.2">
      <c r="A71" s="20">
        <v>5</v>
      </c>
      <c r="B71" s="202" t="s">
        <v>4</v>
      </c>
      <c r="C71" s="203"/>
      <c r="D71" s="15">
        <f t="shared" si="4"/>
        <v>0</v>
      </c>
      <c r="E71" s="18">
        <f>IF(F3="1",SUMIF(Data!A:A,'41'!$A$2,Data!EC:EC),0)</f>
        <v>0</v>
      </c>
      <c r="F71" s="22" t="str">
        <f t="shared" si="5"/>
        <v/>
      </c>
    </row>
    <row r="72" spans="1:6" x14ac:dyDescent="0.2">
      <c r="A72" s="20">
        <v>6</v>
      </c>
      <c r="B72" s="202" t="s">
        <v>5</v>
      </c>
      <c r="C72" s="203"/>
      <c r="D72" s="15">
        <f t="shared" si="4"/>
        <v>1008</v>
      </c>
      <c r="E72" s="18">
        <f>IF(F3="1",SUMIF(Data!A:A,'41'!$A$2,Data!ED:ED),0)</f>
        <v>5490</v>
      </c>
      <c r="F72" s="22">
        <f t="shared" si="5"/>
        <v>5.4464285714285712</v>
      </c>
    </row>
    <row r="73" spans="1:6" x14ac:dyDescent="0.2">
      <c r="A73" s="20">
        <v>7</v>
      </c>
      <c r="B73" s="202" t="s">
        <v>6</v>
      </c>
      <c r="C73" s="203"/>
      <c r="D73" s="15">
        <f t="shared" si="4"/>
        <v>96576</v>
      </c>
      <c r="E73" s="18">
        <f>IF(F3="1",SUMIF(Data!A:A,'41'!$A$2,Data!EE:EE),0)</f>
        <v>363229</v>
      </c>
      <c r="F73" s="22">
        <f t="shared" si="5"/>
        <v>3.7610690026507623</v>
      </c>
    </row>
    <row r="74" spans="1:6" x14ac:dyDescent="0.2">
      <c r="A74" s="20">
        <v>8</v>
      </c>
      <c r="B74" s="202" t="s">
        <v>7</v>
      </c>
      <c r="C74" s="203"/>
      <c r="D74" s="15">
        <f t="shared" si="4"/>
        <v>0</v>
      </c>
      <c r="E74" s="18">
        <f>IF(F3="1",SUMIF(Data!A:A,'41'!$A$2,Data!EF:EF),0)</f>
        <v>0</v>
      </c>
      <c r="F74" s="22" t="str">
        <f t="shared" si="5"/>
        <v/>
      </c>
    </row>
    <row r="75" spans="1:6" x14ac:dyDescent="0.2">
      <c r="A75" s="20">
        <v>9</v>
      </c>
      <c r="B75" s="202" t="s">
        <v>8</v>
      </c>
      <c r="C75" s="203"/>
      <c r="D75" s="15">
        <f t="shared" si="4"/>
        <v>42984</v>
      </c>
      <c r="E75" s="18">
        <f>IF(F3="1",SUMIF(Data!A:A,'41'!$A$2,Data!EG:EG),0)</f>
        <v>138788</v>
      </c>
      <c r="F75" s="22">
        <f t="shared" si="5"/>
        <v>3.2288293318444072</v>
      </c>
    </row>
    <row r="76" spans="1:6" x14ac:dyDescent="0.2">
      <c r="A76" s="20">
        <v>10</v>
      </c>
      <c r="B76" s="202" t="s">
        <v>9</v>
      </c>
      <c r="C76" s="203"/>
      <c r="D76" s="15">
        <f t="shared" si="4"/>
        <v>0</v>
      </c>
      <c r="E76" s="18">
        <f>IF(F3="1",SUMIF(Data!A:A,'41'!$A$2,Data!EH:EH),0)</f>
        <v>0</v>
      </c>
      <c r="F76" s="22" t="str">
        <f t="shared" si="5"/>
        <v/>
      </c>
    </row>
    <row r="77" spans="1:6" x14ac:dyDescent="0.2">
      <c r="A77" s="20">
        <v>11</v>
      </c>
      <c r="B77" s="202" t="s">
        <v>10</v>
      </c>
      <c r="C77" s="203"/>
      <c r="D77" s="15">
        <f t="shared" si="4"/>
        <v>43499</v>
      </c>
      <c r="E77" s="18">
        <f>IF(F3="1",SUMIF(Data!A:A,'41'!$A$2,Data!EI:EI),0)</f>
        <v>107232</v>
      </c>
      <c r="F77" s="22">
        <f t="shared" si="5"/>
        <v>2.4651601186234164</v>
      </c>
    </row>
    <row r="78" spans="1:6" ht="14.25" customHeight="1" x14ac:dyDescent="0.2">
      <c r="A78" s="20">
        <v>12</v>
      </c>
      <c r="B78" s="202" t="s">
        <v>11</v>
      </c>
      <c r="C78" s="203"/>
      <c r="D78" s="15">
        <f t="shared" si="4"/>
        <v>289920</v>
      </c>
      <c r="E78" s="18">
        <f>IF(F3="1",SUMIF(Data!A:A,'41'!$A$2,Data!EJ:EJ),0)</f>
        <v>933438</v>
      </c>
      <c r="F78" s="22">
        <f t="shared" si="5"/>
        <v>3.2196399006622518</v>
      </c>
    </row>
    <row r="79" spans="1:6" x14ac:dyDescent="0.2">
      <c r="A79" s="20">
        <v>13</v>
      </c>
      <c r="B79" s="202" t="s">
        <v>12</v>
      </c>
      <c r="C79" s="203"/>
      <c r="D79" s="15">
        <f t="shared" si="4"/>
        <v>30916</v>
      </c>
      <c r="E79" s="18">
        <f>IF(F3="1",SUMIF(Data!A:A,'41'!$A$2,Data!EK:EK),0)</f>
        <v>102532</v>
      </c>
      <c r="F79" s="22">
        <f t="shared" si="5"/>
        <v>3.3164704360201838</v>
      </c>
    </row>
    <row r="80" spans="1:6" ht="14.25" customHeight="1" x14ac:dyDescent="0.2">
      <c r="A80" s="20">
        <v>14</v>
      </c>
      <c r="B80" s="202" t="s">
        <v>449</v>
      </c>
      <c r="C80" s="203"/>
      <c r="D80" s="15">
        <f t="shared" si="4"/>
        <v>120290</v>
      </c>
      <c r="E80" s="18">
        <f>IF(F3="1",SUMIF(Data!A:A,'41'!$A$2,Data!EL:EL),0)</f>
        <v>663741</v>
      </c>
      <c r="F80" s="22">
        <f t="shared" si="5"/>
        <v>5.5178402194696154</v>
      </c>
    </row>
    <row r="81" spans="1:6" x14ac:dyDescent="0.2">
      <c r="A81" s="20">
        <v>15</v>
      </c>
      <c r="B81" s="202" t="s">
        <v>13</v>
      </c>
      <c r="C81" s="203"/>
      <c r="D81" s="15">
        <f t="shared" si="4"/>
        <v>18293</v>
      </c>
      <c r="E81" s="18">
        <f>IF(F3="1",SUMIF(Data!A:A,'41'!$A$2,Data!EM:EM),0)</f>
        <v>256475</v>
      </c>
      <c r="F81" s="22">
        <f t="shared" si="5"/>
        <v>14.02039031323457</v>
      </c>
    </row>
    <row r="82" spans="1:6" x14ac:dyDescent="0.2">
      <c r="A82" s="20">
        <v>16</v>
      </c>
      <c r="B82" s="202" t="s">
        <v>14</v>
      </c>
      <c r="C82" s="203"/>
      <c r="D82" s="15">
        <f t="shared" si="4"/>
        <v>172981</v>
      </c>
      <c r="E82" s="18">
        <f>IF(F3="1",SUMIF(Data!A:A,'41'!$A$2,Data!EN:EN),0)</f>
        <v>586356</v>
      </c>
      <c r="F82" s="22">
        <f t="shared" si="5"/>
        <v>3.3897133211161918</v>
      </c>
    </row>
    <row r="83" spans="1:6" x14ac:dyDescent="0.2">
      <c r="A83" s="20">
        <v>17</v>
      </c>
      <c r="B83" s="202" t="s">
        <v>15</v>
      </c>
      <c r="C83" s="203"/>
      <c r="D83" s="15">
        <f t="shared" si="4"/>
        <v>40224</v>
      </c>
      <c r="E83" s="18">
        <f>IF(F3="1",SUMIF(Data!A:A,'41'!$A$2,Data!EO:EO),0)</f>
        <v>198400</v>
      </c>
      <c r="F83" s="22">
        <f t="shared" si="5"/>
        <v>4.9323786793953861</v>
      </c>
    </row>
    <row r="84" spans="1:6" x14ac:dyDescent="0.2">
      <c r="A84" s="20">
        <v>18</v>
      </c>
      <c r="B84" s="202" t="s">
        <v>16</v>
      </c>
      <c r="C84" s="203"/>
      <c r="D84" s="15">
        <f t="shared" si="4"/>
        <v>119888</v>
      </c>
      <c r="E84" s="18">
        <f>IF(F3="1",SUMIF(Data!A:A,'41'!$A$2,Data!EP:EP),0)</f>
        <v>598555</v>
      </c>
      <c r="F84" s="22">
        <f t="shared" si="5"/>
        <v>4.9926181102362204</v>
      </c>
    </row>
    <row r="85" spans="1:6" x14ac:dyDescent="0.2">
      <c r="A85" s="20">
        <v>19</v>
      </c>
      <c r="B85" s="202" t="s">
        <v>17</v>
      </c>
      <c r="C85" s="203"/>
      <c r="D85" s="15">
        <f t="shared" si="4"/>
        <v>91248</v>
      </c>
      <c r="E85" s="18">
        <f>IF(F3="1",SUMIF(Data!A:A,'41'!$A$2,Data!EQ:EQ),0)</f>
        <v>373247</v>
      </c>
      <c r="F85" s="22">
        <f t="shared" si="5"/>
        <v>4.0904677362791517</v>
      </c>
    </row>
    <row r="86" spans="1:6" x14ac:dyDescent="0.2">
      <c r="A86" s="20">
        <v>20</v>
      </c>
      <c r="B86" s="202" t="s">
        <v>18</v>
      </c>
      <c r="C86" s="203"/>
      <c r="D86" s="15">
        <f t="shared" si="4"/>
        <v>0</v>
      </c>
      <c r="E86" s="18">
        <f>IF(F3="1",SUMIF(Data!A:A,'41'!$A$2,Data!ER:ER),0)</f>
        <v>0</v>
      </c>
      <c r="F86" s="22" t="str">
        <f t="shared" si="5"/>
        <v/>
      </c>
    </row>
    <row r="87" spans="1:6" ht="14.25" customHeight="1" x14ac:dyDescent="0.2">
      <c r="A87" s="20">
        <v>21</v>
      </c>
      <c r="B87" s="202" t="s">
        <v>446</v>
      </c>
      <c r="C87" s="203"/>
      <c r="D87" s="15">
        <f t="shared" si="4"/>
        <v>98</v>
      </c>
      <c r="E87" s="18">
        <f>IF(F3="1",SUMIF(Data!A:A,'41'!$A$2,Data!ES:ES),0)</f>
        <v>215</v>
      </c>
      <c r="F87" s="22">
        <f t="shared" si="5"/>
        <v>2.193877551020408</v>
      </c>
    </row>
    <row r="88" spans="1:6" x14ac:dyDescent="0.2">
      <c r="A88" s="20">
        <v>22</v>
      </c>
      <c r="B88" s="202" t="s">
        <v>19</v>
      </c>
      <c r="C88" s="203"/>
      <c r="D88" s="15">
        <f t="shared" si="4"/>
        <v>11360</v>
      </c>
      <c r="E88" s="18">
        <f>IF(F3="1",SUMIF(Data!A:A,'41'!$A$2,Data!ET:ET),0)</f>
        <v>39572</v>
      </c>
      <c r="F88" s="22">
        <f t="shared" si="5"/>
        <v>3.4834507042253522</v>
      </c>
    </row>
    <row r="89" spans="1:6" x14ac:dyDescent="0.2">
      <c r="A89" s="20">
        <v>23</v>
      </c>
      <c r="B89" s="202" t="s">
        <v>20</v>
      </c>
      <c r="C89" s="203"/>
      <c r="D89" s="15">
        <f t="shared" si="4"/>
        <v>65398</v>
      </c>
      <c r="E89" s="18">
        <f>IF(F3="1",SUMIF(Data!A:A,'41'!$A$2,Data!EU:EU),0)</f>
        <v>185314</v>
      </c>
      <c r="F89" s="22">
        <f t="shared" si="5"/>
        <v>2.8336340560873423</v>
      </c>
    </row>
    <row r="90" spans="1:6" x14ac:dyDescent="0.2">
      <c r="A90" s="20">
        <v>24</v>
      </c>
      <c r="B90" s="202" t="s">
        <v>21</v>
      </c>
      <c r="C90" s="203"/>
      <c r="D90" s="15">
        <f t="shared" si="4"/>
        <v>78336</v>
      </c>
      <c r="E90" s="18">
        <f>IF(F3="1",SUMIF(Data!A:A,'41'!$A$2,Data!EV:EV),0)</f>
        <v>199521</v>
      </c>
      <c r="F90" s="22">
        <f t="shared" si="5"/>
        <v>2.5469898897058822</v>
      </c>
    </row>
    <row r="91" spans="1:6" x14ac:dyDescent="0.2">
      <c r="A91" s="20">
        <v>25</v>
      </c>
      <c r="B91" s="202" t="s">
        <v>22</v>
      </c>
      <c r="C91" s="203"/>
      <c r="D91" s="15">
        <f t="shared" si="4"/>
        <v>358528</v>
      </c>
      <c r="E91" s="18">
        <f>IF(F3="1",SUMIF(Data!A:A,'41'!$A$2,Data!EW:EW),0)</f>
        <v>951853</v>
      </c>
      <c r="F91" s="22">
        <f t="shared" si="5"/>
        <v>2.6548916681542307</v>
      </c>
    </row>
    <row r="92" spans="1:6" x14ac:dyDescent="0.2">
      <c r="A92" s="20">
        <v>26</v>
      </c>
      <c r="B92" s="202" t="s">
        <v>23</v>
      </c>
      <c r="C92" s="203"/>
      <c r="D92" s="15">
        <f t="shared" si="4"/>
        <v>161488</v>
      </c>
      <c r="E92" s="18">
        <f>IF(F3="1",SUMIF(Data!A:A,'41'!$A$2,Data!EX:EX),0)</f>
        <v>728987</v>
      </c>
      <c r="F92" s="22">
        <f t="shared" si="5"/>
        <v>4.5141868126424258</v>
      </c>
    </row>
    <row r="93" spans="1:6" x14ac:dyDescent="0.2">
      <c r="A93" s="20">
        <v>28</v>
      </c>
      <c r="B93" s="202" t="s">
        <v>24</v>
      </c>
      <c r="C93" s="203"/>
      <c r="D93" s="15">
        <f t="shared" si="4"/>
        <v>147216</v>
      </c>
      <c r="E93" s="18">
        <f>IF(F3="1",SUMIF(Data!A:A,'41'!$A$2,Data!EZ:EZ),0)</f>
        <v>435366</v>
      </c>
      <c r="F93" s="22">
        <f t="shared" si="5"/>
        <v>2.9573280078252364</v>
      </c>
    </row>
    <row r="94" spans="1:6" ht="15.75" customHeight="1" thickBot="1" x14ac:dyDescent="0.25">
      <c r="A94" s="23">
        <v>29</v>
      </c>
      <c r="B94" s="206" t="s">
        <v>25</v>
      </c>
      <c r="C94" s="207"/>
      <c r="D94" s="24">
        <f t="shared" si="4"/>
        <v>103056</v>
      </c>
      <c r="E94" s="25">
        <f>IF(F3="1",SUMIF(Data!A:A,'41'!$A$2,Data!FA:FA),0)</f>
        <v>294324</v>
      </c>
      <c r="F94" s="26">
        <f t="shared" si="5"/>
        <v>2.8559618071727995</v>
      </c>
    </row>
    <row r="95" spans="1:6" x14ac:dyDescent="0.2">
      <c r="B95" s="31" t="s">
        <v>35</v>
      </c>
      <c r="C95" s="31"/>
      <c r="D95" s="60">
        <f>SUM(D67:D94)</f>
        <v>2578009</v>
      </c>
      <c r="E95" s="32">
        <f>SUM(E67:E94)</f>
        <v>8622867</v>
      </c>
      <c r="F95" s="33">
        <f t="shared" si="5"/>
        <v>3.3447776947248826</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IF(F3="1",SUMIF(Data!A:A,'41'!$A$2,Data!AH:AH),0)</f>
        <v>4224941</v>
      </c>
      <c r="F98" s="21">
        <f t="shared" ref="F98:F105" si="6">IFERROR(E98/$D$95,0)</f>
        <v>1.6388387317499666</v>
      </c>
    </row>
    <row r="99" spans="2:6" x14ac:dyDescent="0.2">
      <c r="B99" s="212" t="s">
        <v>31</v>
      </c>
      <c r="C99" s="213"/>
      <c r="D99" s="37"/>
      <c r="E99" s="18">
        <f>IF(F3="1",SUMIF(Data!A:A,'41'!$A$2,Data!AI:AI),0)</f>
        <v>1408778</v>
      </c>
      <c r="F99" s="22">
        <f t="shared" si="6"/>
        <v>0.54645969040449427</v>
      </c>
    </row>
    <row r="100" spans="2:6" x14ac:dyDescent="0.2">
      <c r="B100" s="212" t="s">
        <v>32</v>
      </c>
      <c r="C100" s="213"/>
      <c r="D100" s="37"/>
      <c r="E100" s="18">
        <f>IF(F3="1",SUMIF(Data!A:A,'41'!$A$2,Data!AJ:AJ),0)</f>
        <v>1962903</v>
      </c>
      <c r="F100" s="22">
        <f t="shared" si="6"/>
        <v>0.76140269487034373</v>
      </c>
    </row>
    <row r="101" spans="2:6" x14ac:dyDescent="0.2">
      <c r="B101" s="212" t="s">
        <v>28</v>
      </c>
      <c r="C101" s="213"/>
      <c r="D101" s="37"/>
      <c r="E101" s="18">
        <f>IF(F3="1",SUMIF(Data!A:A,'41'!$A$2,Data!AK:AK),0)</f>
        <v>0</v>
      </c>
      <c r="F101" s="22">
        <f t="shared" si="6"/>
        <v>0</v>
      </c>
    </row>
    <row r="102" spans="2:6" x14ac:dyDescent="0.2">
      <c r="B102" s="212" t="s">
        <v>33</v>
      </c>
      <c r="C102" s="213"/>
      <c r="D102" s="37"/>
      <c r="E102" s="18">
        <f>IF(F3="1",SUMIF(Data!A:A,'41'!$A$2,Data!AL:AL),0)</f>
        <v>0</v>
      </c>
      <c r="F102" s="22">
        <f t="shared" si="6"/>
        <v>0</v>
      </c>
    </row>
    <row r="103" spans="2:6" x14ac:dyDescent="0.2">
      <c r="B103" s="214" t="s">
        <v>34</v>
      </c>
      <c r="C103" s="215"/>
      <c r="D103" s="37"/>
      <c r="E103" s="18">
        <f>IF(F3="1",SUMIF(Data!A:A,'41'!$A$2,Data!AM:AM),0)</f>
        <v>306554</v>
      </c>
      <c r="F103" s="22">
        <f t="shared" si="6"/>
        <v>0.11891114422021025</v>
      </c>
    </row>
    <row r="104" spans="2:6" ht="15.75" customHeight="1" thickBot="1" x14ac:dyDescent="0.25">
      <c r="B104" s="208" t="s">
        <v>29</v>
      </c>
      <c r="C104" s="209"/>
      <c r="D104" s="38"/>
      <c r="E104" s="25">
        <f>IF(F3="1",SUMIF(Data!A:A,'41'!$A$2,Data!Q:Q),0)</f>
        <v>1134916</v>
      </c>
      <c r="F104" s="26">
        <f t="shared" si="6"/>
        <v>0.44022965009043802</v>
      </c>
    </row>
    <row r="105" spans="2:6" x14ac:dyDescent="0.2">
      <c r="B105" s="31" t="s">
        <v>35</v>
      </c>
      <c r="C105" s="31"/>
      <c r="D105" s="35">
        <f>D95</f>
        <v>2578009</v>
      </c>
      <c r="E105" s="32">
        <f>SUM(E98:E104)</f>
        <v>9038092</v>
      </c>
      <c r="F105" s="33">
        <f t="shared" si="6"/>
        <v>3.5058419113354531</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8946620</v>
      </c>
      <c r="D109" s="192">
        <f>IF(F3="1",SUMIF(Data!$A:$A,$A$2,Data!HJ:HJ),0)</f>
        <v>1233828</v>
      </c>
      <c r="E109" s="192">
        <f>IF(F3="1",SUMIF(Data!$A:$A,$A$2,Data!IN:IN),0)</f>
        <v>1338012</v>
      </c>
      <c r="F109" s="48">
        <f>SUM(C109:E109)</f>
        <v>11518460</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232104</v>
      </c>
      <c r="D111" s="52"/>
      <c r="E111" s="193">
        <f>IF(F3="1",SUMIF(Data!A:A,$A$2,Data!AX:AX)-SUMIF(Data!A:A,$A$2,Data!AW:AW),0)</f>
        <v>56355</v>
      </c>
      <c r="F111" s="49">
        <f t="shared" si="7"/>
        <v>288459</v>
      </c>
    </row>
    <row r="112" spans="2:6" x14ac:dyDescent="0.2">
      <c r="B112" s="43" t="s">
        <v>32</v>
      </c>
      <c r="C112" s="193">
        <f>IF(F3="1",SUMIF(Data!A:A,$A$2,Data!V:V),0)</f>
        <v>1399439</v>
      </c>
      <c r="D112" s="52"/>
      <c r="E112" s="193">
        <f>IF(F3="1",SUMIF(Data!A:A,$A$2,Data!AC:AC),0)</f>
        <v>563464</v>
      </c>
      <c r="F112" s="49">
        <f t="shared" si="7"/>
        <v>1962903</v>
      </c>
    </row>
    <row r="113" spans="1:6" x14ac:dyDescent="0.2">
      <c r="B113" s="43" t="s">
        <v>31</v>
      </c>
      <c r="C113" s="193">
        <f>IF(F3="1",SUMIF(Data!A:A,$A$2,Data!U:U),0)</f>
        <v>1183432</v>
      </c>
      <c r="D113" s="52"/>
      <c r="E113" s="193">
        <f>IF(F3="1",SUMIF(Data!A:A,$A$2,Data!AB:AB),0)</f>
        <v>225346</v>
      </c>
      <c r="F113" s="49">
        <f t="shared" si="7"/>
        <v>1408778</v>
      </c>
    </row>
    <row r="114" spans="1:6" x14ac:dyDescent="0.2">
      <c r="B114" s="43" t="s">
        <v>1002</v>
      </c>
      <c r="C114" s="193">
        <f>IF(F3="1",SUMIF(Data!A:A,$A$2,Data!T:T),0)</f>
        <v>2638682</v>
      </c>
      <c r="D114" s="52"/>
      <c r="E114" s="193">
        <f>IF(F3="1",SUMIF(Data!A:A,$A$2,Data!AA:AA),0)</f>
        <v>1586259</v>
      </c>
      <c r="F114" s="49">
        <f t="shared" si="7"/>
        <v>4224941</v>
      </c>
    </row>
    <row r="115" spans="1:6" x14ac:dyDescent="0.2">
      <c r="B115" s="43" t="s">
        <v>916</v>
      </c>
      <c r="C115" s="193">
        <f>IF(F3="1",SUMIF(Data!A:A,$A$2,Data!BI:BI),0)</f>
        <v>523238</v>
      </c>
      <c r="D115" s="193">
        <f>IF(F3="1",SUMIF(Data!A:A,$A$2,Data!BL:BL),0)</f>
        <v>207005</v>
      </c>
      <c r="E115" s="193">
        <f>IF(F3="1",SUMIF(Data!A:A,$A$2,Data!BU:BU)-SUMIF(Data!A:A,$A$2,Data!BT:BT),0)</f>
        <v>2485168</v>
      </c>
      <c r="F115" s="49">
        <f t="shared" si="7"/>
        <v>3215411</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1134916</v>
      </c>
      <c r="E117" s="53"/>
      <c r="F117" s="50">
        <f>SUM(C117:E117)</f>
        <v>1134916</v>
      </c>
    </row>
    <row r="118" spans="1:6" x14ac:dyDescent="0.2">
      <c r="B118" s="14" t="s">
        <v>35</v>
      </c>
      <c r="C118" s="178">
        <f>SUM(C109:C117)</f>
        <v>14923515</v>
      </c>
      <c r="D118" s="194">
        <f>SUM(D109:D117)</f>
        <v>2575749</v>
      </c>
      <c r="E118" s="178">
        <f>SUM(E109:E117)</f>
        <v>6254604</v>
      </c>
      <c r="F118" s="178">
        <f>SUM(F109:F117)</f>
        <v>23753868</v>
      </c>
    </row>
    <row r="119" spans="1:6" x14ac:dyDescent="0.2">
      <c r="C119" s="177"/>
      <c r="D119" s="177"/>
      <c r="E119" s="177"/>
    </row>
    <row r="120" spans="1:6" ht="15" thickBot="1" x14ac:dyDescent="0.25">
      <c r="B120" s="188" t="s">
        <v>921</v>
      </c>
      <c r="C120" s="53"/>
      <c r="D120" s="53"/>
      <c r="E120" s="195">
        <f>IF(F3="1",SUMIF(Data!A:A,$A$2,Data!AF:AF)+SUMIF(Data!A:A,$A$2,Data!AW:AW)+SUMIF(Data!A:A,$A$2,Data!BT:BT),0)</f>
        <v>412854</v>
      </c>
      <c r="F120" s="181">
        <f>SUM(C120:E120)</f>
        <v>412854</v>
      </c>
    </row>
    <row r="121" spans="1:6" s="177" customFormat="1" x14ac:dyDescent="0.2">
      <c r="B121" s="14" t="s">
        <v>35</v>
      </c>
      <c r="C121" s="178">
        <f>SUM(C120:C120)</f>
        <v>0</v>
      </c>
      <c r="D121" s="178">
        <f>SUM(D120:D120)</f>
        <v>0</v>
      </c>
      <c r="E121" s="178">
        <f>SUM(E120:E120)</f>
        <v>412854</v>
      </c>
      <c r="F121" s="178">
        <f>SUM(F120:F120)</f>
        <v>412854</v>
      </c>
    </row>
    <row r="122" spans="1:6" s="177" customFormat="1" ht="15" thickBot="1" x14ac:dyDescent="0.25">
      <c r="B122" s="14" t="s">
        <v>1396</v>
      </c>
      <c r="C122" s="178"/>
      <c r="D122" s="178"/>
      <c r="E122" s="178"/>
      <c r="F122" s="190">
        <f>F118+F121</f>
        <v>24166722</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570312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7" x14ac:dyDescent="0.2">
      <c r="A1" s="39" t="str">
        <f>Summary!A1</f>
        <v>Community and Technical Colleges, Report of Fundable Operating Expenses, Fiscal Year (FY) 2012</v>
      </c>
      <c r="B1" s="39"/>
      <c r="C1" s="39"/>
      <c r="D1" s="39"/>
      <c r="E1" s="39"/>
      <c r="F1" s="39"/>
    </row>
    <row r="2" spans="1:7" x14ac:dyDescent="0.2">
      <c r="A2" s="6" t="s">
        <v>400</v>
      </c>
      <c r="B2" s="59" t="str">
        <f>VLOOKUP(A2,Data!A:G,7,0)</f>
        <v>Texarkana College</v>
      </c>
      <c r="C2" s="59"/>
    </row>
    <row r="3" spans="1:7" ht="15" thickBot="1" x14ac:dyDescent="0.25">
      <c r="A3" s="4"/>
      <c r="F3" s="57" t="str">
        <f>IFERROR(VLOOKUP(A2,Data!A:C,3,0),"0")</f>
        <v>1</v>
      </c>
    </row>
    <row r="4" spans="1:7" ht="29.25" customHeight="1" x14ac:dyDescent="0.2">
      <c r="A4" s="27" t="s">
        <v>26</v>
      </c>
      <c r="B4" s="204" t="s">
        <v>450</v>
      </c>
      <c r="C4" s="205"/>
      <c r="D4" s="29" t="s">
        <v>27</v>
      </c>
      <c r="E4" s="29" t="s">
        <v>447</v>
      </c>
      <c r="F4" s="30" t="s">
        <v>448</v>
      </c>
    </row>
    <row r="5" spans="1:7" x14ac:dyDescent="0.2">
      <c r="A5" s="20">
        <v>1</v>
      </c>
      <c r="B5" s="202" t="s">
        <v>0</v>
      </c>
      <c r="C5" s="203"/>
      <c r="D5" s="15">
        <f>D36</f>
        <v>880</v>
      </c>
      <c r="E5" s="16">
        <f>E36+E67+IFERROR($E$105/$D$105*D5,0)</f>
        <v>6569.165681462825</v>
      </c>
      <c r="F5" s="21">
        <f>IFERROR(E5/D5,"")</f>
        <v>7.4649610016623011</v>
      </c>
      <c r="G5" s="177"/>
    </row>
    <row r="6" spans="1:7" x14ac:dyDescent="0.2">
      <c r="A6" s="20">
        <v>2</v>
      </c>
      <c r="B6" s="202" t="s">
        <v>1</v>
      </c>
      <c r="C6" s="203"/>
      <c r="D6" s="15">
        <f t="shared" ref="D6:D32" si="0">D37</f>
        <v>93681</v>
      </c>
      <c r="E6" s="18">
        <f t="shared" ref="E6:E32" si="1">E37+E68+IFERROR($E$105/$D$105*D6,0)</f>
        <v>600418.54341490776</v>
      </c>
      <c r="F6" s="22">
        <f t="shared" ref="F6:F33" si="2">IFERROR(E6/D6,"")</f>
        <v>6.4091816207652323</v>
      </c>
      <c r="G6" s="177"/>
    </row>
    <row r="7" spans="1:7" ht="14.25" customHeight="1" x14ac:dyDescent="0.2">
      <c r="A7" s="20">
        <v>3</v>
      </c>
      <c r="B7" s="202" t="s">
        <v>2</v>
      </c>
      <c r="C7" s="203"/>
      <c r="D7" s="15">
        <f t="shared" si="0"/>
        <v>237464</v>
      </c>
      <c r="E7" s="18">
        <f t="shared" si="1"/>
        <v>1967135.3538441912</v>
      </c>
      <c r="F7" s="22">
        <f t="shared" si="2"/>
        <v>8.2839308435981511</v>
      </c>
      <c r="G7" s="177"/>
    </row>
    <row r="8" spans="1:7" ht="14.25" customHeight="1" x14ac:dyDescent="0.2">
      <c r="A8" s="20">
        <v>4</v>
      </c>
      <c r="B8" s="202" t="s">
        <v>3</v>
      </c>
      <c r="C8" s="203"/>
      <c r="D8" s="15">
        <f t="shared" si="0"/>
        <v>187428</v>
      </c>
      <c r="E8" s="18">
        <f t="shared" si="1"/>
        <v>1250179.8742559254</v>
      </c>
      <c r="F8" s="22">
        <f t="shared" si="2"/>
        <v>6.6701873479732239</v>
      </c>
      <c r="G8" s="177"/>
    </row>
    <row r="9" spans="1:7" x14ac:dyDescent="0.2">
      <c r="A9" s="20">
        <v>5</v>
      </c>
      <c r="B9" s="202" t="s">
        <v>4</v>
      </c>
      <c r="C9" s="203"/>
      <c r="D9" s="15">
        <f t="shared" si="0"/>
        <v>0</v>
      </c>
      <c r="E9" s="18">
        <f t="shared" si="1"/>
        <v>0</v>
      </c>
      <c r="F9" s="22" t="str">
        <f t="shared" si="2"/>
        <v/>
      </c>
      <c r="G9" s="177"/>
    </row>
    <row r="10" spans="1:7" x14ac:dyDescent="0.2">
      <c r="A10" s="20">
        <v>6</v>
      </c>
      <c r="B10" s="202" t="s">
        <v>5</v>
      </c>
      <c r="C10" s="203"/>
      <c r="D10" s="15">
        <f t="shared" si="0"/>
        <v>8416</v>
      </c>
      <c r="E10" s="18">
        <f t="shared" si="1"/>
        <v>102453.34815362628</v>
      </c>
      <c r="F10" s="22">
        <f t="shared" si="2"/>
        <v>12.173639276809206</v>
      </c>
      <c r="G10" s="177"/>
    </row>
    <row r="11" spans="1:7" x14ac:dyDescent="0.2">
      <c r="A11" s="20">
        <v>7</v>
      </c>
      <c r="B11" s="202" t="s">
        <v>6</v>
      </c>
      <c r="C11" s="203"/>
      <c r="D11" s="15">
        <f t="shared" si="0"/>
        <v>69829</v>
      </c>
      <c r="E11" s="18">
        <f t="shared" si="1"/>
        <v>296875.54814871319</v>
      </c>
      <c r="F11" s="22">
        <f t="shared" si="2"/>
        <v>4.2514649808634406</v>
      </c>
      <c r="G11" s="177"/>
    </row>
    <row r="12" spans="1:7" x14ac:dyDescent="0.2">
      <c r="A12" s="20">
        <v>8</v>
      </c>
      <c r="B12" s="202" t="s">
        <v>7</v>
      </c>
      <c r="C12" s="203"/>
      <c r="D12" s="15">
        <f t="shared" si="0"/>
        <v>25496</v>
      </c>
      <c r="E12" s="18">
        <f t="shared" si="1"/>
        <v>214032.9729711093</v>
      </c>
      <c r="F12" s="22">
        <f t="shared" si="2"/>
        <v>8.3947667465919871</v>
      </c>
      <c r="G12" s="177"/>
    </row>
    <row r="13" spans="1:7" x14ac:dyDescent="0.2">
      <c r="A13" s="20">
        <v>9</v>
      </c>
      <c r="B13" s="202" t="s">
        <v>8</v>
      </c>
      <c r="C13" s="203"/>
      <c r="D13" s="15">
        <f t="shared" si="0"/>
        <v>201090</v>
      </c>
      <c r="E13" s="18">
        <f t="shared" si="1"/>
        <v>1369972.8714606357</v>
      </c>
      <c r="F13" s="22">
        <f t="shared" si="2"/>
        <v>6.8127349518157825</v>
      </c>
      <c r="G13" s="177"/>
    </row>
    <row r="14" spans="1:7" x14ac:dyDescent="0.2">
      <c r="A14" s="20">
        <v>10</v>
      </c>
      <c r="B14" s="202" t="s">
        <v>9</v>
      </c>
      <c r="C14" s="203"/>
      <c r="D14" s="15">
        <f t="shared" si="0"/>
        <v>0</v>
      </c>
      <c r="E14" s="18">
        <f t="shared" si="1"/>
        <v>0</v>
      </c>
      <c r="F14" s="22" t="str">
        <f t="shared" si="2"/>
        <v/>
      </c>
      <c r="G14" s="177"/>
    </row>
    <row r="15" spans="1:7" x14ac:dyDescent="0.2">
      <c r="A15" s="20">
        <v>11</v>
      </c>
      <c r="B15" s="202" t="s">
        <v>10</v>
      </c>
      <c r="C15" s="203"/>
      <c r="D15" s="15">
        <f t="shared" si="0"/>
        <v>176622</v>
      </c>
      <c r="E15" s="18">
        <f t="shared" si="1"/>
        <v>1018930.8602174171</v>
      </c>
      <c r="F15" s="22">
        <f t="shared" si="2"/>
        <v>5.7689917463136933</v>
      </c>
      <c r="G15" s="177"/>
    </row>
    <row r="16" spans="1:7" ht="14.25" customHeight="1" x14ac:dyDescent="0.2">
      <c r="A16" s="20">
        <v>12</v>
      </c>
      <c r="B16" s="202" t="s">
        <v>11</v>
      </c>
      <c r="C16" s="203"/>
      <c r="D16" s="15">
        <f t="shared" si="0"/>
        <v>160928</v>
      </c>
      <c r="E16" s="18">
        <f t="shared" si="1"/>
        <v>869757.77134823811</v>
      </c>
      <c r="F16" s="22">
        <f t="shared" si="2"/>
        <v>5.4046391637765838</v>
      </c>
      <c r="G16" s="177"/>
    </row>
    <row r="17" spans="1:7" x14ac:dyDescent="0.2">
      <c r="A17" s="20">
        <v>13</v>
      </c>
      <c r="B17" s="202" t="s">
        <v>12</v>
      </c>
      <c r="C17" s="203"/>
      <c r="D17" s="15">
        <f t="shared" si="0"/>
        <v>24488</v>
      </c>
      <c r="E17" s="18">
        <f t="shared" si="1"/>
        <v>178355.03773597916</v>
      </c>
      <c r="F17" s="22">
        <f t="shared" si="2"/>
        <v>7.2833648209726869</v>
      </c>
      <c r="G17" s="177"/>
    </row>
    <row r="18" spans="1:7" ht="14.25" customHeight="1" x14ac:dyDescent="0.2">
      <c r="A18" s="20">
        <v>14</v>
      </c>
      <c r="B18" s="202" t="s">
        <v>449</v>
      </c>
      <c r="C18" s="203"/>
      <c r="D18" s="15">
        <f t="shared" si="0"/>
        <v>121701</v>
      </c>
      <c r="E18" s="18">
        <f t="shared" si="1"/>
        <v>1791513.6597723947</v>
      </c>
      <c r="F18" s="22">
        <f t="shared" si="2"/>
        <v>14.720615769569639</v>
      </c>
      <c r="G18" s="177"/>
    </row>
    <row r="19" spans="1:7" x14ac:dyDescent="0.2">
      <c r="A19" s="20">
        <v>15</v>
      </c>
      <c r="B19" s="202" t="s">
        <v>13</v>
      </c>
      <c r="C19" s="203"/>
      <c r="D19" s="15">
        <f t="shared" si="0"/>
        <v>1071</v>
      </c>
      <c r="E19" s="18">
        <f t="shared" si="1"/>
        <v>10613.368687325779</v>
      </c>
      <c r="F19" s="22">
        <f t="shared" si="2"/>
        <v>9.9097746847112784</v>
      </c>
      <c r="G19" s="177"/>
    </row>
    <row r="20" spans="1:7" x14ac:dyDescent="0.2">
      <c r="A20" s="20">
        <v>16</v>
      </c>
      <c r="B20" s="202" t="s">
        <v>14</v>
      </c>
      <c r="C20" s="203"/>
      <c r="D20" s="15">
        <f t="shared" si="0"/>
        <v>61228</v>
      </c>
      <c r="E20" s="18">
        <f t="shared" si="1"/>
        <v>523591.7049370521</v>
      </c>
      <c r="F20" s="22">
        <f t="shared" si="2"/>
        <v>8.5515075608716948</v>
      </c>
      <c r="G20" s="177"/>
    </row>
    <row r="21" spans="1:7" x14ac:dyDescent="0.2">
      <c r="A21" s="20">
        <v>17</v>
      </c>
      <c r="B21" s="202" t="s">
        <v>15</v>
      </c>
      <c r="C21" s="203"/>
      <c r="D21" s="15">
        <f t="shared" si="0"/>
        <v>0</v>
      </c>
      <c r="E21" s="18">
        <f t="shared" si="1"/>
        <v>0</v>
      </c>
      <c r="F21" s="22" t="str">
        <f t="shared" si="2"/>
        <v/>
      </c>
      <c r="G21" s="177"/>
    </row>
    <row r="22" spans="1:7" x14ac:dyDescent="0.2">
      <c r="A22" s="20">
        <v>18</v>
      </c>
      <c r="B22" s="202" t="s">
        <v>16</v>
      </c>
      <c r="C22" s="203"/>
      <c r="D22" s="15">
        <f t="shared" si="0"/>
        <v>140600</v>
      </c>
      <c r="E22" s="18">
        <f t="shared" si="1"/>
        <v>1275264.2441064469</v>
      </c>
      <c r="F22" s="22">
        <f t="shared" si="2"/>
        <v>9.0701582084384551</v>
      </c>
      <c r="G22" s="177"/>
    </row>
    <row r="23" spans="1:7" x14ac:dyDescent="0.2">
      <c r="A23" s="20">
        <v>19</v>
      </c>
      <c r="B23" s="202" t="s">
        <v>17</v>
      </c>
      <c r="C23" s="203"/>
      <c r="D23" s="15">
        <f t="shared" si="0"/>
        <v>85904</v>
      </c>
      <c r="E23" s="18">
        <f t="shared" si="1"/>
        <v>580209.59170498012</v>
      </c>
      <c r="F23" s="22">
        <f t="shared" si="2"/>
        <v>6.7541626898046667</v>
      </c>
      <c r="G23" s="177"/>
    </row>
    <row r="24" spans="1:7" x14ac:dyDescent="0.2">
      <c r="A24" s="20">
        <v>20</v>
      </c>
      <c r="B24" s="202" t="s">
        <v>18</v>
      </c>
      <c r="C24" s="203"/>
      <c r="D24" s="15">
        <f t="shared" si="0"/>
        <v>90960</v>
      </c>
      <c r="E24" s="18">
        <f t="shared" si="1"/>
        <v>721467.48907483928</v>
      </c>
      <c r="F24" s="22">
        <f t="shared" si="2"/>
        <v>7.931700627471848</v>
      </c>
      <c r="G24" s="177"/>
    </row>
    <row r="25" spans="1:7" ht="14.25" customHeight="1" x14ac:dyDescent="0.2">
      <c r="A25" s="20">
        <v>21</v>
      </c>
      <c r="B25" s="202" t="s">
        <v>446</v>
      </c>
      <c r="C25" s="203"/>
      <c r="D25" s="15">
        <f t="shared" si="0"/>
        <v>30288</v>
      </c>
      <c r="E25" s="18">
        <f t="shared" si="1"/>
        <v>569370.72063652962</v>
      </c>
      <c r="F25" s="22">
        <f t="shared" si="2"/>
        <v>18.798557865706869</v>
      </c>
      <c r="G25" s="177"/>
    </row>
    <row r="26" spans="1:7" x14ac:dyDescent="0.2">
      <c r="A26" s="20">
        <v>22</v>
      </c>
      <c r="B26" s="202" t="s">
        <v>19</v>
      </c>
      <c r="C26" s="203"/>
      <c r="D26" s="15">
        <f t="shared" si="0"/>
        <v>14234</v>
      </c>
      <c r="E26" s="18">
        <f t="shared" si="1"/>
        <v>78892.154897661196</v>
      </c>
      <c r="F26" s="22">
        <f t="shared" si="2"/>
        <v>5.5425147462175914</v>
      </c>
      <c r="G26" s="177"/>
    </row>
    <row r="27" spans="1:7" x14ac:dyDescent="0.2">
      <c r="A27" s="20">
        <v>23</v>
      </c>
      <c r="B27" s="202" t="s">
        <v>20</v>
      </c>
      <c r="C27" s="203"/>
      <c r="D27" s="15">
        <f t="shared" si="0"/>
        <v>16648</v>
      </c>
      <c r="E27" s="18">
        <f t="shared" si="1"/>
        <v>77369.652573855798</v>
      </c>
      <c r="F27" s="22">
        <f t="shared" si="2"/>
        <v>4.6473842247630825</v>
      </c>
      <c r="G27" s="177"/>
    </row>
    <row r="28" spans="1:7" x14ac:dyDescent="0.2">
      <c r="A28" s="20">
        <v>24</v>
      </c>
      <c r="B28" s="202" t="s">
        <v>21</v>
      </c>
      <c r="C28" s="203"/>
      <c r="D28" s="15">
        <f t="shared" si="0"/>
        <v>25048</v>
      </c>
      <c r="E28" s="18">
        <f t="shared" si="1"/>
        <v>161018.77953327369</v>
      </c>
      <c r="F28" s="22">
        <f t="shared" si="2"/>
        <v>6.4284086367483901</v>
      </c>
      <c r="G28" s="177"/>
    </row>
    <row r="29" spans="1:7" x14ac:dyDescent="0.2">
      <c r="A29" s="20">
        <v>25</v>
      </c>
      <c r="B29" s="202" t="s">
        <v>22</v>
      </c>
      <c r="C29" s="203"/>
      <c r="D29" s="15">
        <f t="shared" si="0"/>
        <v>274080</v>
      </c>
      <c r="E29" s="18">
        <f t="shared" si="1"/>
        <v>1976168.0567901488</v>
      </c>
      <c r="F29" s="22">
        <f t="shared" si="2"/>
        <v>7.210187013974565</v>
      </c>
      <c r="G29" s="177"/>
    </row>
    <row r="30" spans="1:7" x14ac:dyDescent="0.2">
      <c r="A30" s="20">
        <v>26</v>
      </c>
      <c r="B30" s="202" t="s">
        <v>23</v>
      </c>
      <c r="C30" s="203"/>
      <c r="D30" s="15">
        <f t="shared" si="0"/>
        <v>77944</v>
      </c>
      <c r="E30" s="18">
        <f t="shared" si="1"/>
        <v>804573.04758629366</v>
      </c>
      <c r="F30" s="22">
        <f t="shared" si="2"/>
        <v>10.322450061406826</v>
      </c>
      <c r="G30" s="177"/>
    </row>
    <row r="31" spans="1:7" x14ac:dyDescent="0.2">
      <c r="A31" s="20">
        <v>28</v>
      </c>
      <c r="B31" s="202" t="s">
        <v>24</v>
      </c>
      <c r="C31" s="203"/>
      <c r="D31" s="15">
        <f t="shared" si="0"/>
        <v>87744</v>
      </c>
      <c r="E31" s="18">
        <f t="shared" si="1"/>
        <v>504184.02903894783</v>
      </c>
      <c r="F31" s="22">
        <f t="shared" si="2"/>
        <v>5.7460798349624795</v>
      </c>
      <c r="G31" s="177"/>
    </row>
    <row r="32" spans="1:7" ht="15.75" customHeight="1" thickBot="1" x14ac:dyDescent="0.25">
      <c r="A32" s="23">
        <v>29</v>
      </c>
      <c r="B32" s="206" t="s">
        <v>25</v>
      </c>
      <c r="C32" s="207"/>
      <c r="D32" s="24">
        <f t="shared" si="0"/>
        <v>106560</v>
      </c>
      <c r="E32" s="25">
        <f t="shared" si="1"/>
        <v>594456.15342804394</v>
      </c>
      <c r="F32" s="26">
        <f t="shared" si="2"/>
        <v>5.5786050434313434</v>
      </c>
      <c r="G32" s="177"/>
    </row>
    <row r="33" spans="1:7" x14ac:dyDescent="0.2">
      <c r="B33" s="31" t="s">
        <v>35</v>
      </c>
      <c r="C33" s="31"/>
      <c r="D33" s="60">
        <f>SUM(D5:D32)</f>
        <v>2320332</v>
      </c>
      <c r="E33" s="32">
        <f>SUM(E5:E32)</f>
        <v>17543374</v>
      </c>
      <c r="F33" s="33">
        <f t="shared" si="2"/>
        <v>7.5607171732321063</v>
      </c>
      <c r="G33" s="177"/>
    </row>
    <row r="34" spans="1:7" ht="15" thickBot="1" x14ac:dyDescent="0.25"/>
    <row r="35" spans="1:7" ht="29.25" customHeight="1" x14ac:dyDescent="0.2">
      <c r="A35" s="27" t="s">
        <v>26</v>
      </c>
      <c r="B35" s="204" t="s">
        <v>451</v>
      </c>
      <c r="C35" s="205"/>
      <c r="D35" s="29" t="s">
        <v>27</v>
      </c>
      <c r="E35" s="29" t="s">
        <v>447</v>
      </c>
      <c r="F35" s="30" t="s">
        <v>448</v>
      </c>
    </row>
    <row r="36" spans="1:7" x14ac:dyDescent="0.2">
      <c r="A36" s="20">
        <v>1</v>
      </c>
      <c r="B36" s="202" t="s">
        <v>0</v>
      </c>
      <c r="C36" s="203"/>
      <c r="D36" s="15">
        <f>IF(F3="1",SUMIF(Data!A:A,'42'!$A$2,Data!CU:CU),0)</f>
        <v>880</v>
      </c>
      <c r="E36" s="16">
        <f>IF(F3="1",SUMIF(Data!$A:$A,'42'!$A$2,Data!IO:IO),0)</f>
        <v>1156</v>
      </c>
      <c r="F36" s="21">
        <f t="shared" ref="F36:F64" si="3">IFERROR(E36/D36,"")</f>
        <v>1.3136363636363637</v>
      </c>
    </row>
    <row r="37" spans="1:7" x14ac:dyDescent="0.2">
      <c r="A37" s="20">
        <v>2</v>
      </c>
      <c r="B37" s="202" t="s">
        <v>1</v>
      </c>
      <c r="C37" s="203"/>
      <c r="D37" s="15">
        <f>IF(F3="1",SUMIF(Data!A:A,'42'!$A$2,Data!CV:CV),0)</f>
        <v>93681</v>
      </c>
      <c r="E37" s="18">
        <f>IF(F3="1",SUMIF(Data!$A:$A,'42'!$A$2,Data!IP:IP),0)</f>
        <v>85556</v>
      </c>
      <c r="F37" s="22">
        <f t="shared" si="3"/>
        <v>0.91326949968510152</v>
      </c>
    </row>
    <row r="38" spans="1:7" ht="14.25" customHeight="1" x14ac:dyDescent="0.2">
      <c r="A38" s="20">
        <v>3</v>
      </c>
      <c r="B38" s="202" t="s">
        <v>2</v>
      </c>
      <c r="C38" s="203"/>
      <c r="D38" s="15">
        <f>IF(F3="1",SUMIF(Data!A:A,'42'!$A$2,Data!CW:CW),0)</f>
        <v>237464</v>
      </c>
      <c r="E38" s="18">
        <f>IF(F3="1",SUMIF(Data!$A:$A,'42'!$A$2,Data!IQ:IQ),0)</f>
        <v>253922</v>
      </c>
      <c r="F38" s="22">
        <f t="shared" si="3"/>
        <v>1.0693073476400634</v>
      </c>
    </row>
    <row r="39" spans="1:7" ht="14.25" customHeight="1" x14ac:dyDescent="0.2">
      <c r="A39" s="20">
        <v>4</v>
      </c>
      <c r="B39" s="202" t="s">
        <v>3</v>
      </c>
      <c r="C39" s="203"/>
      <c r="D39" s="15">
        <f>IF(F3="1",SUMIF(Data!A:A,'42'!$A$2,Data!CX:CX),0)</f>
        <v>187428</v>
      </c>
      <c r="E39" s="18">
        <f>IF(F3="1",SUMIF(Data!$A:$A,'42'!$A$2,Data!IR:IR),0)</f>
        <v>93996</v>
      </c>
      <c r="F39" s="22">
        <f t="shared" si="3"/>
        <v>0.50150457775785906</v>
      </c>
    </row>
    <row r="40" spans="1:7" x14ac:dyDescent="0.2">
      <c r="A40" s="20">
        <v>5</v>
      </c>
      <c r="B40" s="202" t="s">
        <v>4</v>
      </c>
      <c r="C40" s="203"/>
      <c r="D40" s="15">
        <f>IF(F3="1",SUMIF(Data!A:A,'42'!$A$2,Data!CY:CY),0)</f>
        <v>0</v>
      </c>
      <c r="E40" s="18">
        <f>IF(F3="1",SUMIF(Data!$A:$A,'42'!$A$2,Data!IS:IS),0)</f>
        <v>0</v>
      </c>
      <c r="F40" s="22" t="str">
        <f t="shared" si="3"/>
        <v/>
      </c>
    </row>
    <row r="41" spans="1:7" x14ac:dyDescent="0.2">
      <c r="A41" s="20">
        <v>6</v>
      </c>
      <c r="B41" s="202" t="s">
        <v>5</v>
      </c>
      <c r="C41" s="203"/>
      <c r="D41" s="15">
        <f>IF(F3="1",SUMIF(Data!A:A,'42'!$A$2,Data!CZ:CZ),0)</f>
        <v>8416</v>
      </c>
      <c r="E41" s="18">
        <f>IF(F3="1",SUMIF(Data!$A:$A,'42'!$A$2,Data!IT:IT),0)</f>
        <v>14395</v>
      </c>
      <c r="F41" s="22">
        <f t="shared" si="3"/>
        <v>1.7104325095057034</v>
      </c>
    </row>
    <row r="42" spans="1:7" x14ac:dyDescent="0.2">
      <c r="A42" s="20">
        <v>7</v>
      </c>
      <c r="B42" s="202" t="s">
        <v>6</v>
      </c>
      <c r="C42" s="203"/>
      <c r="D42" s="15">
        <f>IF(F3="1",SUMIF(Data!A:A,'42'!$A$2,Data!DA:DA),0)</f>
        <v>69829</v>
      </c>
      <c r="E42" s="18">
        <f>IF(F3="1",SUMIF(Data!$A:$A,'42'!$A$2,Data!IU:IU),0)</f>
        <v>9018</v>
      </c>
      <c r="F42" s="22">
        <f t="shared" si="3"/>
        <v>0.12914405189820849</v>
      </c>
    </row>
    <row r="43" spans="1:7" x14ac:dyDescent="0.2">
      <c r="A43" s="20">
        <v>8</v>
      </c>
      <c r="B43" s="202" t="s">
        <v>7</v>
      </c>
      <c r="C43" s="203"/>
      <c r="D43" s="15">
        <f>IF(F3="1",SUMIF(Data!A:A,'42'!$A$2,Data!DB:DB),0)</f>
        <v>25496</v>
      </c>
      <c r="E43" s="18">
        <f>IF(F3="1",SUMIF(Data!$A:$A,'42'!$A$2,Data!IV:IV),0)</f>
        <v>34106</v>
      </c>
      <c r="F43" s="22">
        <f t="shared" si="3"/>
        <v>1.337700031377471</v>
      </c>
    </row>
    <row r="44" spans="1:7" x14ac:dyDescent="0.2">
      <c r="A44" s="20">
        <v>9</v>
      </c>
      <c r="B44" s="202" t="s">
        <v>8</v>
      </c>
      <c r="C44" s="203"/>
      <c r="D44" s="15">
        <f>IF(F3="1",SUMIF(Data!A:A,'42'!$A$2,Data!DC:DC),0)</f>
        <v>201090</v>
      </c>
      <c r="E44" s="18">
        <f>IF(F3="1",SUMIF(Data!$A:$A,'42'!$A$2,Data!IW:IW),0)</f>
        <v>274003</v>
      </c>
      <c r="F44" s="22">
        <f t="shared" si="3"/>
        <v>1.3625888905465215</v>
      </c>
    </row>
    <row r="45" spans="1:7" x14ac:dyDescent="0.2">
      <c r="A45" s="20">
        <v>10</v>
      </c>
      <c r="B45" s="202" t="s">
        <v>9</v>
      </c>
      <c r="C45" s="203"/>
      <c r="D45" s="15">
        <f>IF(F3="1",SUMIF(Data!A:A,'42'!$A$2,Data!DD:DD),0)</f>
        <v>0</v>
      </c>
      <c r="E45" s="18">
        <f>IF(F3="1",SUMIF(Data!$A:$A,'42'!$A$2,Data!IX:IX),0)</f>
        <v>0</v>
      </c>
      <c r="F45" s="22" t="str">
        <f t="shared" si="3"/>
        <v/>
      </c>
    </row>
    <row r="46" spans="1:7" x14ac:dyDescent="0.2">
      <c r="A46" s="20">
        <v>11</v>
      </c>
      <c r="B46" s="202" t="s">
        <v>10</v>
      </c>
      <c r="C46" s="203"/>
      <c r="D46" s="15">
        <f>IF(F3="1",SUMIF(Data!A:A,'42'!$A$2,Data!DE:DE),0)</f>
        <v>176622</v>
      </c>
      <c r="E46" s="18">
        <f>IF(F3="1",SUMIF(Data!$A:$A,'42'!$A$2,Data!IY:IY),0)</f>
        <v>146187</v>
      </c>
      <c r="F46" s="22">
        <f t="shared" si="3"/>
        <v>0.82768284811631621</v>
      </c>
    </row>
    <row r="47" spans="1:7" ht="14.25" customHeight="1" x14ac:dyDescent="0.2">
      <c r="A47" s="20">
        <v>12</v>
      </c>
      <c r="B47" s="202" t="s">
        <v>11</v>
      </c>
      <c r="C47" s="203"/>
      <c r="D47" s="15">
        <f>IF(F3="1",SUMIF(Data!A:A,'42'!$A$2,Data!DF:DF),0)</f>
        <v>160928</v>
      </c>
      <c r="E47" s="18">
        <f>IF(F3="1",SUMIF(Data!$A:$A,'42'!$A$2,Data!IZ:IZ),0)</f>
        <v>116689</v>
      </c>
      <c r="F47" s="22">
        <f t="shared" si="3"/>
        <v>0.72510066613640878</v>
      </c>
    </row>
    <row r="48" spans="1:7" x14ac:dyDescent="0.2">
      <c r="A48" s="20">
        <v>13</v>
      </c>
      <c r="B48" s="202" t="s">
        <v>12</v>
      </c>
      <c r="C48" s="203"/>
      <c r="D48" s="15">
        <f>IF(F3="1",SUMIF(Data!A:A,'42'!$A$2,Data!DG:DG),0)</f>
        <v>24488</v>
      </c>
      <c r="E48" s="18">
        <f>IF(F3="1",SUMIF(Data!$A:$A,'42'!$A$2,Data!JA:JA),0)</f>
        <v>12791</v>
      </c>
      <c r="F48" s="22">
        <f t="shared" si="3"/>
        <v>0.52233747141457043</v>
      </c>
    </row>
    <row r="49" spans="1:6" ht="14.25" customHeight="1" x14ac:dyDescent="0.2">
      <c r="A49" s="20">
        <v>14</v>
      </c>
      <c r="B49" s="202" t="s">
        <v>449</v>
      </c>
      <c r="C49" s="203"/>
      <c r="D49" s="15">
        <f>IF(F3="1",SUMIF(Data!A:A,'42'!$A$2,Data!DH:DH),0)</f>
        <v>121701</v>
      </c>
      <c r="E49" s="18">
        <f>IF(F3="1",SUMIF(Data!$A:$A,'42'!$A$2,Data!JB:JB),0)</f>
        <v>364092</v>
      </c>
      <c r="F49" s="22">
        <f t="shared" si="3"/>
        <v>2.9916927551951091</v>
      </c>
    </row>
    <row r="50" spans="1:6" x14ac:dyDescent="0.2">
      <c r="A50" s="20">
        <v>15</v>
      </c>
      <c r="B50" s="202" t="s">
        <v>13</v>
      </c>
      <c r="C50" s="203"/>
      <c r="D50" s="15">
        <f>IF(F3="1",SUMIF(Data!A:A,'42'!$A$2,Data!DI:DI),0)</f>
        <v>1071</v>
      </c>
      <c r="E50" s="18">
        <f>IF(F3="1",SUMIF(Data!$A:$A,'42'!$A$2,Data!JC:JC),0)</f>
        <v>6917</v>
      </c>
      <c r="F50" s="22">
        <f t="shared" si="3"/>
        <v>6.458450046685341</v>
      </c>
    </row>
    <row r="51" spans="1:6" x14ac:dyDescent="0.2">
      <c r="A51" s="20">
        <v>16</v>
      </c>
      <c r="B51" s="202" t="s">
        <v>14</v>
      </c>
      <c r="C51" s="203"/>
      <c r="D51" s="15">
        <f>IF(F3="1",SUMIF(Data!A:A,'42'!$A$2,Data!DJ:DJ),0)</f>
        <v>61228</v>
      </c>
      <c r="E51" s="18">
        <f>IF(F3="1",SUMIF(Data!$A:$A,'42'!$A$2,Data!JD:JD),0)</f>
        <v>134919</v>
      </c>
      <c r="F51" s="22">
        <f t="shared" si="3"/>
        <v>2.2035506630953159</v>
      </c>
    </row>
    <row r="52" spans="1:6" x14ac:dyDescent="0.2">
      <c r="A52" s="20">
        <v>17</v>
      </c>
      <c r="B52" s="202" t="s">
        <v>15</v>
      </c>
      <c r="C52" s="203"/>
      <c r="D52" s="15">
        <f>IF(F3="1",SUMIF(Data!A:A,'42'!$A$2,Data!DK:DK),0)</f>
        <v>0</v>
      </c>
      <c r="E52" s="18">
        <f>IF(F3="1",SUMIF(Data!$A:$A,'42'!$A$2,Data!JE:JE),0)</f>
        <v>0</v>
      </c>
      <c r="F52" s="22" t="str">
        <f t="shared" si="3"/>
        <v/>
      </c>
    </row>
    <row r="53" spans="1:6" x14ac:dyDescent="0.2">
      <c r="A53" s="20">
        <v>18</v>
      </c>
      <c r="B53" s="202" t="s">
        <v>16</v>
      </c>
      <c r="C53" s="203"/>
      <c r="D53" s="15">
        <f>IF(F3="1",SUMIF(Data!A:A,'42'!$A$2,Data!DL:DL),0)</f>
        <v>140600</v>
      </c>
      <c r="E53" s="18">
        <f>IF(F3="1",SUMIF(Data!$A:$A,'42'!$A$2,Data!JF:JF),0)</f>
        <v>353223</v>
      </c>
      <c r="F53" s="22">
        <f t="shared" si="3"/>
        <v>2.5122546230440967</v>
      </c>
    </row>
    <row r="54" spans="1:6" x14ac:dyDescent="0.2">
      <c r="A54" s="20">
        <v>19</v>
      </c>
      <c r="B54" s="202" t="s">
        <v>17</v>
      </c>
      <c r="C54" s="203"/>
      <c r="D54" s="15">
        <f>IF(F3="1",SUMIF(Data!A:A,'42'!$A$2,Data!DM:DM),0)</f>
        <v>85904</v>
      </c>
      <c r="E54" s="18">
        <f>IF(F3="1",SUMIF(Data!$A:$A,'42'!$A$2,Data!JG:JG),0)</f>
        <v>53882</v>
      </c>
      <c r="F54" s="22">
        <f t="shared" si="3"/>
        <v>0.62723505308251071</v>
      </c>
    </row>
    <row r="55" spans="1:6" x14ac:dyDescent="0.2">
      <c r="A55" s="20">
        <v>20</v>
      </c>
      <c r="B55" s="202" t="s">
        <v>18</v>
      </c>
      <c r="C55" s="203"/>
      <c r="D55" s="15">
        <f>IF(F3="1",SUMIF(Data!A:A,'42'!$A$2,Data!DN:DN),0)</f>
        <v>90960</v>
      </c>
      <c r="E55" s="18">
        <f>IF(F3="1",SUMIF(Data!$A:$A,'42'!$A$2,Data!JH:JH),0)</f>
        <v>186866</v>
      </c>
      <c r="F55" s="22">
        <f t="shared" si="3"/>
        <v>2.0543755496921725</v>
      </c>
    </row>
    <row r="56" spans="1:6" ht="14.25" customHeight="1" x14ac:dyDescent="0.2">
      <c r="A56" s="20">
        <v>21</v>
      </c>
      <c r="B56" s="202" t="s">
        <v>446</v>
      </c>
      <c r="C56" s="203"/>
      <c r="D56" s="15">
        <f>IF(F3="1",SUMIF(Data!A:A,'42'!$A$2,Data!DO:DO),0)</f>
        <v>30288</v>
      </c>
      <c r="E56" s="18">
        <f>IF(F3="1",SUMIF(Data!$A:$A,'42'!$A$2,Data!JI:JI),0)</f>
        <v>329669</v>
      </c>
      <c r="F56" s="22">
        <f t="shared" si="3"/>
        <v>10.884475699947174</v>
      </c>
    </row>
    <row r="57" spans="1:6" x14ac:dyDescent="0.2">
      <c r="A57" s="20">
        <v>22</v>
      </c>
      <c r="B57" s="202" t="s">
        <v>19</v>
      </c>
      <c r="C57" s="203"/>
      <c r="D57" s="15">
        <f>IF(F3="1",SUMIF(Data!A:A,'42'!$A$2,Data!DP:DP),0)</f>
        <v>14234</v>
      </c>
      <c r="E57" s="18">
        <f>IF(F3="1",SUMIF(Data!$A:$A,'42'!$A$2,Data!JJ:JJ),0)</f>
        <v>12824</v>
      </c>
      <c r="F57" s="22">
        <f t="shared" si="3"/>
        <v>0.90094140789658561</v>
      </c>
    </row>
    <row r="58" spans="1:6" x14ac:dyDescent="0.2">
      <c r="A58" s="20">
        <v>23</v>
      </c>
      <c r="B58" s="202" t="s">
        <v>20</v>
      </c>
      <c r="C58" s="203"/>
      <c r="D58" s="15">
        <f>IF(F3="1",SUMIF(Data!A:A,'42'!$A$2,Data!DQ:DQ),0)</f>
        <v>16648</v>
      </c>
      <c r="E58" s="18">
        <f>IF(F3="1",SUMIF(Data!$A:$A,'42'!$A$2,Data!JK:JK),0)</f>
        <v>7072</v>
      </c>
      <c r="F58" s="22">
        <f t="shared" si="3"/>
        <v>0.42479577126381546</v>
      </c>
    </row>
    <row r="59" spans="1:6" x14ac:dyDescent="0.2">
      <c r="A59" s="20">
        <v>24</v>
      </c>
      <c r="B59" s="202" t="s">
        <v>21</v>
      </c>
      <c r="C59" s="203"/>
      <c r="D59" s="15">
        <f>IF(F3="1",SUMIF(Data!A:A,'42'!$A$2,Data!DR:DR),0)</f>
        <v>25048</v>
      </c>
      <c r="E59" s="18">
        <f>IF(F3="1",SUMIF(Data!$A:$A,'42'!$A$2,Data!JL:JL),0)</f>
        <v>11060</v>
      </c>
      <c r="F59" s="22">
        <f t="shared" si="3"/>
        <v>0.44155221973810282</v>
      </c>
    </row>
    <row r="60" spans="1:6" x14ac:dyDescent="0.2">
      <c r="A60" s="20">
        <v>25</v>
      </c>
      <c r="B60" s="202" t="s">
        <v>22</v>
      </c>
      <c r="C60" s="203"/>
      <c r="D60" s="15">
        <f>IF(F3="1",SUMIF(Data!A:A,'42'!$A$2,Data!DS:DS),0)</f>
        <v>274080</v>
      </c>
      <c r="E60" s="18">
        <f>IF(F3="1",SUMIF(Data!$A:$A,'42'!$A$2,Data!JM:JM),0)</f>
        <v>153089</v>
      </c>
      <c r="F60" s="22">
        <f t="shared" si="3"/>
        <v>0.55855589608873324</v>
      </c>
    </row>
    <row r="61" spans="1:6" x14ac:dyDescent="0.2">
      <c r="A61" s="20">
        <v>26</v>
      </c>
      <c r="B61" s="202" t="s">
        <v>23</v>
      </c>
      <c r="C61" s="203"/>
      <c r="D61" s="15">
        <f>IF(F3="1",SUMIF(Data!A:A,'42'!$A$2,Data!DT:DT),0)</f>
        <v>77944</v>
      </c>
      <c r="E61" s="18">
        <f>IF(F3="1",SUMIF(Data!$A:$A,'42'!$A$2,Data!JN:JN),0)</f>
        <v>76045</v>
      </c>
      <c r="F61" s="22">
        <f t="shared" si="3"/>
        <v>0.97563635430565532</v>
      </c>
    </row>
    <row r="62" spans="1:6" x14ac:dyDescent="0.2">
      <c r="A62" s="20">
        <v>28</v>
      </c>
      <c r="B62" s="202" t="s">
        <v>24</v>
      </c>
      <c r="C62" s="203"/>
      <c r="D62" s="15">
        <f>IF(F3="1",SUMIF(Data!A:A,'42'!$A$2,Data!DV:DV),0)</f>
        <v>87744</v>
      </c>
      <c r="E62" s="18">
        <f>IF(F3="1",SUMIF(Data!$A:$A,'42'!$A$2,Data!JP:JP),0)</f>
        <v>19332</v>
      </c>
      <c r="F62" s="22">
        <f t="shared" si="3"/>
        <v>0.22032275711159738</v>
      </c>
    </row>
    <row r="63" spans="1:6" ht="15.75" customHeight="1" thickBot="1" x14ac:dyDescent="0.25">
      <c r="A63" s="23">
        <v>29</v>
      </c>
      <c r="B63" s="206" t="s">
        <v>25</v>
      </c>
      <c r="C63" s="207"/>
      <c r="D63" s="24">
        <f>IF(F3="1",SUMIF(Data!A:A,'42'!$A$2,Data!DW:DW),0)</f>
        <v>106560</v>
      </c>
      <c r="E63" s="25">
        <f>IF(F3="1",SUMIF(Data!$A:$A,'42'!$A$2,Data!JQ:JQ),0)</f>
        <v>24640</v>
      </c>
      <c r="F63" s="26">
        <f t="shared" si="3"/>
        <v>0.23123123123123124</v>
      </c>
    </row>
    <row r="64" spans="1:6" x14ac:dyDescent="0.2">
      <c r="B64" s="31" t="s">
        <v>35</v>
      </c>
      <c r="C64" s="31"/>
      <c r="D64" s="60">
        <f>SUM(D36:D63)</f>
        <v>2320332</v>
      </c>
      <c r="E64" s="32">
        <f>SUM(E36:E63)</f>
        <v>2775449</v>
      </c>
      <c r="F64" s="33">
        <f t="shared" si="3"/>
        <v>1.1961430519425669</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880</v>
      </c>
      <c r="E67" s="16">
        <f>IF(F3="1",SUMIF(Data!A:A,'42'!$A$2,Data!DY:DY),0)</f>
        <v>2376</v>
      </c>
      <c r="F67" s="21">
        <f>IFERROR(E67/D67,"")</f>
        <v>2.7</v>
      </c>
    </row>
    <row r="68" spans="1:6" x14ac:dyDescent="0.2">
      <c r="A68" s="20">
        <v>2</v>
      </c>
      <c r="B68" s="202" t="s">
        <v>1</v>
      </c>
      <c r="C68" s="203"/>
      <c r="D68" s="15">
        <f t="shared" ref="D68:D94" si="4">D37</f>
        <v>93681</v>
      </c>
      <c r="E68" s="18">
        <f>IF(F3="1",SUMIF(Data!A:A,'42'!$A$2,Data!DZ:DZ),0)</f>
        <v>191539</v>
      </c>
      <c r="F68" s="22">
        <f t="shared" ref="F68:F95" si="5">IFERROR(E68/D68,"")</f>
        <v>2.0445874830541944</v>
      </c>
    </row>
    <row r="69" spans="1:6" ht="14.25" customHeight="1" x14ac:dyDescent="0.2">
      <c r="A69" s="20">
        <v>3</v>
      </c>
      <c r="B69" s="202" t="s">
        <v>2</v>
      </c>
      <c r="C69" s="203"/>
      <c r="D69" s="15">
        <f t="shared" si="4"/>
        <v>237464</v>
      </c>
      <c r="E69" s="18">
        <f>IF(F3="1",SUMIF(Data!A:A,'42'!$A$2,Data!EA:EA),0)</f>
        <v>893648</v>
      </c>
      <c r="F69" s="22">
        <f t="shared" si="5"/>
        <v>3.7632988579321496</v>
      </c>
    </row>
    <row r="70" spans="1:6" ht="14.25" customHeight="1" x14ac:dyDescent="0.2">
      <c r="A70" s="20">
        <v>4</v>
      </c>
      <c r="B70" s="202" t="s">
        <v>3</v>
      </c>
      <c r="C70" s="203"/>
      <c r="D70" s="15">
        <f t="shared" si="4"/>
        <v>187428</v>
      </c>
      <c r="E70" s="18">
        <f>IF(F3="1",SUMIF(Data!A:A,'42'!$A$2,Data!EB:EB),0)</f>
        <v>509309</v>
      </c>
      <c r="F70" s="22">
        <f t="shared" si="5"/>
        <v>2.7173581321894273</v>
      </c>
    </row>
    <row r="71" spans="1:6" x14ac:dyDescent="0.2">
      <c r="A71" s="20">
        <v>5</v>
      </c>
      <c r="B71" s="202" t="s">
        <v>4</v>
      </c>
      <c r="C71" s="203"/>
      <c r="D71" s="15">
        <f t="shared" si="4"/>
        <v>0</v>
      </c>
      <c r="E71" s="18">
        <f>IF(F3="1",SUMIF(Data!A:A,'42'!$A$2,Data!EC:EC),0)</f>
        <v>0</v>
      </c>
      <c r="F71" s="22" t="str">
        <f t="shared" si="5"/>
        <v/>
      </c>
    </row>
    <row r="72" spans="1:6" x14ac:dyDescent="0.2">
      <c r="A72" s="20">
        <v>6</v>
      </c>
      <c r="B72" s="202" t="s">
        <v>5</v>
      </c>
      <c r="C72" s="203"/>
      <c r="D72" s="15">
        <f t="shared" si="4"/>
        <v>8416</v>
      </c>
      <c r="E72" s="18">
        <f>IF(F3="1",SUMIF(Data!A:A,'42'!$A$2,Data!ED:ED),0)</f>
        <v>59012</v>
      </c>
      <c r="F72" s="22">
        <f t="shared" si="5"/>
        <v>7.0118821292775664</v>
      </c>
    </row>
    <row r="73" spans="1:6" x14ac:dyDescent="0.2">
      <c r="A73" s="20">
        <v>7</v>
      </c>
      <c r="B73" s="202" t="s">
        <v>6</v>
      </c>
      <c r="C73" s="203"/>
      <c r="D73" s="15">
        <f t="shared" si="4"/>
        <v>69829</v>
      </c>
      <c r="E73" s="18">
        <f>IF(F3="1",SUMIF(Data!A:A,'42'!$A$2,Data!EE:EE),0)</f>
        <v>46855</v>
      </c>
      <c r="F73" s="22">
        <f t="shared" si="5"/>
        <v>0.67099629093929458</v>
      </c>
    </row>
    <row r="74" spans="1:6" x14ac:dyDescent="0.2">
      <c r="A74" s="20">
        <v>8</v>
      </c>
      <c r="B74" s="202" t="s">
        <v>7</v>
      </c>
      <c r="C74" s="203"/>
      <c r="D74" s="15">
        <f t="shared" si="4"/>
        <v>25496</v>
      </c>
      <c r="E74" s="18">
        <f>IF(F3="1",SUMIF(Data!A:A,'42'!$A$2,Data!EF:EF),0)</f>
        <v>91932</v>
      </c>
      <c r="F74" s="22">
        <f t="shared" si="5"/>
        <v>3.6057420771885784</v>
      </c>
    </row>
    <row r="75" spans="1:6" x14ac:dyDescent="0.2">
      <c r="A75" s="20">
        <v>9</v>
      </c>
      <c r="B75" s="202" t="s">
        <v>8</v>
      </c>
      <c r="C75" s="203"/>
      <c r="D75" s="15">
        <f t="shared" si="4"/>
        <v>201090</v>
      </c>
      <c r="E75" s="18">
        <f>IF(F3="1",SUMIF(Data!A:A,'42'!$A$2,Data!EG:EG),0)</f>
        <v>401943</v>
      </c>
      <c r="F75" s="22">
        <f t="shared" si="5"/>
        <v>1.9988214232433239</v>
      </c>
    </row>
    <row r="76" spans="1:6" x14ac:dyDescent="0.2">
      <c r="A76" s="20">
        <v>10</v>
      </c>
      <c r="B76" s="202" t="s">
        <v>9</v>
      </c>
      <c r="C76" s="203"/>
      <c r="D76" s="15">
        <f t="shared" si="4"/>
        <v>0</v>
      </c>
      <c r="E76" s="18">
        <f>IF(F3="1",SUMIF(Data!A:A,'42'!$A$2,Data!EH:EH),0)</f>
        <v>0</v>
      </c>
      <c r="F76" s="22" t="str">
        <f t="shared" si="5"/>
        <v/>
      </c>
    </row>
    <row r="77" spans="1:6" x14ac:dyDescent="0.2">
      <c r="A77" s="20">
        <v>11</v>
      </c>
      <c r="B77" s="202" t="s">
        <v>10</v>
      </c>
      <c r="C77" s="203"/>
      <c r="D77" s="15">
        <f t="shared" si="4"/>
        <v>176622</v>
      </c>
      <c r="E77" s="18">
        <f>IF(F3="1",SUMIF(Data!A:A,'42'!$A$2,Data!EI:EI),0)</f>
        <v>263164</v>
      </c>
      <c r="F77" s="22">
        <f t="shared" si="5"/>
        <v>1.4899842601714395</v>
      </c>
    </row>
    <row r="78" spans="1:6" ht="14.25" customHeight="1" x14ac:dyDescent="0.2">
      <c r="A78" s="20">
        <v>12</v>
      </c>
      <c r="B78" s="202" t="s">
        <v>11</v>
      </c>
      <c r="C78" s="203"/>
      <c r="D78" s="15">
        <f t="shared" si="4"/>
        <v>160928</v>
      </c>
      <c r="E78" s="18">
        <f>IF(F3="1",SUMIF(Data!A:A,'42'!$A$2,Data!EJ:EJ),0)</f>
        <v>197654</v>
      </c>
      <c r="F78" s="22">
        <f t="shared" si="5"/>
        <v>1.2282138596142373</v>
      </c>
    </row>
    <row r="79" spans="1:6" x14ac:dyDescent="0.2">
      <c r="A79" s="20">
        <v>13</v>
      </c>
      <c r="B79" s="202" t="s">
        <v>12</v>
      </c>
      <c r="C79" s="203"/>
      <c r="D79" s="15">
        <f t="shared" si="4"/>
        <v>24488</v>
      </c>
      <c r="E79" s="18">
        <f>IF(F3="1",SUMIF(Data!A:A,'42'!$A$2,Data!EK:EK),0)</f>
        <v>81048</v>
      </c>
      <c r="F79" s="22">
        <f t="shared" si="5"/>
        <v>3.3097027115321791</v>
      </c>
    </row>
    <row r="80" spans="1:6" ht="14.25" customHeight="1" x14ac:dyDescent="0.2">
      <c r="A80" s="20">
        <v>14</v>
      </c>
      <c r="B80" s="202" t="s">
        <v>449</v>
      </c>
      <c r="C80" s="203"/>
      <c r="D80" s="15">
        <f t="shared" si="4"/>
        <v>121701</v>
      </c>
      <c r="E80" s="18">
        <f>IF(F3="1",SUMIF(Data!A:A,'42'!$A$2,Data!EL:EL),0)</f>
        <v>1007392</v>
      </c>
      <c r="F80" s="22">
        <f t="shared" si="5"/>
        <v>8.2775983763485925</v>
      </c>
    </row>
    <row r="81" spans="1:6" x14ac:dyDescent="0.2">
      <c r="A81" s="20">
        <v>15</v>
      </c>
      <c r="B81" s="202" t="s">
        <v>13</v>
      </c>
      <c r="C81" s="203"/>
      <c r="D81" s="15">
        <f t="shared" si="4"/>
        <v>1071</v>
      </c>
      <c r="E81" s="18">
        <f>IF(F3="1",SUMIF(Data!A:A,'42'!$A$2,Data!EM:EM),0)</f>
        <v>0</v>
      </c>
      <c r="F81" s="22">
        <f t="shared" si="5"/>
        <v>0</v>
      </c>
    </row>
    <row r="82" spans="1:6" x14ac:dyDescent="0.2">
      <c r="A82" s="20">
        <v>16</v>
      </c>
      <c r="B82" s="202" t="s">
        <v>14</v>
      </c>
      <c r="C82" s="203"/>
      <c r="D82" s="15">
        <f t="shared" si="4"/>
        <v>61228</v>
      </c>
      <c r="E82" s="18">
        <f>IF(F3="1",SUMIF(Data!A:A,'42'!$A$2,Data!EN:EN),0)</f>
        <v>177355</v>
      </c>
      <c r="F82" s="22">
        <f t="shared" si="5"/>
        <v>2.896632259750441</v>
      </c>
    </row>
    <row r="83" spans="1:6" x14ac:dyDescent="0.2">
      <c r="A83" s="20">
        <v>17</v>
      </c>
      <c r="B83" s="202" t="s">
        <v>15</v>
      </c>
      <c r="C83" s="203"/>
      <c r="D83" s="15">
        <f t="shared" si="4"/>
        <v>0</v>
      </c>
      <c r="E83" s="18">
        <f>IF(F3="1",SUMIF(Data!A:A,'42'!$A$2,Data!EO:EO),0)</f>
        <v>0</v>
      </c>
      <c r="F83" s="22" t="str">
        <f t="shared" si="5"/>
        <v/>
      </c>
    </row>
    <row r="84" spans="1:6" x14ac:dyDescent="0.2">
      <c r="A84" s="20">
        <v>18</v>
      </c>
      <c r="B84" s="202" t="s">
        <v>16</v>
      </c>
      <c r="C84" s="203"/>
      <c r="D84" s="15">
        <f t="shared" si="4"/>
        <v>140600</v>
      </c>
      <c r="E84" s="18">
        <f>IF(F3="1",SUMIF(Data!A:A,'42'!$A$2,Data!EP:EP),0)</f>
        <v>436785</v>
      </c>
      <c r="F84" s="22">
        <f t="shared" si="5"/>
        <v>3.1065789473684209</v>
      </c>
    </row>
    <row r="85" spans="1:6" x14ac:dyDescent="0.2">
      <c r="A85" s="20">
        <v>19</v>
      </c>
      <c r="B85" s="202" t="s">
        <v>17</v>
      </c>
      <c r="C85" s="203"/>
      <c r="D85" s="15">
        <f t="shared" si="4"/>
        <v>85904</v>
      </c>
      <c r="E85" s="18">
        <f>IF(F3="1",SUMIF(Data!A:A,'42'!$A$2,Data!EQ:EQ),0)</f>
        <v>229845</v>
      </c>
      <c r="F85" s="22">
        <f t="shared" si="5"/>
        <v>2.6756029986962191</v>
      </c>
    </row>
    <row r="86" spans="1:6" x14ac:dyDescent="0.2">
      <c r="A86" s="20">
        <v>20</v>
      </c>
      <c r="B86" s="202" t="s">
        <v>18</v>
      </c>
      <c r="C86" s="203"/>
      <c r="D86" s="15">
        <f t="shared" si="4"/>
        <v>90960</v>
      </c>
      <c r="E86" s="18">
        <f>IF(F3="1",SUMIF(Data!A:A,'42'!$A$2,Data!ER:ER),0)</f>
        <v>220669</v>
      </c>
      <c r="F86" s="22">
        <f t="shared" si="5"/>
        <v>2.426000439753738</v>
      </c>
    </row>
    <row r="87" spans="1:6" ht="14.25" customHeight="1" x14ac:dyDescent="0.2">
      <c r="A87" s="20">
        <v>21</v>
      </c>
      <c r="B87" s="202" t="s">
        <v>446</v>
      </c>
      <c r="C87" s="203"/>
      <c r="D87" s="15">
        <f t="shared" si="4"/>
        <v>30288</v>
      </c>
      <c r="E87" s="18">
        <f>IF(F3="1",SUMIF(Data!A:A,'42'!$A$2,Data!ES:ES),0)</f>
        <v>135168</v>
      </c>
      <c r="F87" s="22">
        <f t="shared" si="5"/>
        <v>4.4627575277337561</v>
      </c>
    </row>
    <row r="88" spans="1:6" x14ac:dyDescent="0.2">
      <c r="A88" s="20">
        <v>22</v>
      </c>
      <c r="B88" s="202" t="s">
        <v>19</v>
      </c>
      <c r="C88" s="203"/>
      <c r="D88" s="15">
        <f t="shared" si="4"/>
        <v>14234</v>
      </c>
      <c r="E88" s="18">
        <f>IF(F3="1",SUMIF(Data!A:A,'42'!$A$2,Data!ET:ET),0)</f>
        <v>16942</v>
      </c>
      <c r="F88" s="22">
        <f t="shared" si="5"/>
        <v>1.1902487002950681</v>
      </c>
    </row>
    <row r="89" spans="1:6" x14ac:dyDescent="0.2">
      <c r="A89" s="20">
        <v>23</v>
      </c>
      <c r="B89" s="202" t="s">
        <v>20</v>
      </c>
      <c r="C89" s="203"/>
      <c r="D89" s="15">
        <f t="shared" si="4"/>
        <v>16648</v>
      </c>
      <c r="E89" s="18">
        <f>IF(F3="1",SUMIF(Data!A:A,'42'!$A$2,Data!EU:EU),0)</f>
        <v>12840</v>
      </c>
      <c r="F89" s="22">
        <f t="shared" si="5"/>
        <v>0.77126381547333012</v>
      </c>
    </row>
    <row r="90" spans="1:6" x14ac:dyDescent="0.2">
      <c r="A90" s="20">
        <v>24</v>
      </c>
      <c r="B90" s="202" t="s">
        <v>21</v>
      </c>
      <c r="C90" s="203"/>
      <c r="D90" s="15">
        <f t="shared" si="4"/>
        <v>25048</v>
      </c>
      <c r="E90" s="18">
        <f>IF(F3="1",SUMIF(Data!A:A,'42'!$A$2,Data!EV:EV),0)</f>
        <v>63510</v>
      </c>
      <c r="F90" s="22">
        <f t="shared" si="5"/>
        <v>2.5355317789843501</v>
      </c>
    </row>
    <row r="91" spans="1:6" x14ac:dyDescent="0.2">
      <c r="A91" s="20">
        <v>25</v>
      </c>
      <c r="B91" s="202" t="s">
        <v>22</v>
      </c>
      <c r="C91" s="203"/>
      <c r="D91" s="15">
        <f t="shared" si="4"/>
        <v>274080</v>
      </c>
      <c r="E91" s="18">
        <f>IF(F3="1",SUMIF(Data!A:A,'42'!$A$2,Data!EW:EW),0)</f>
        <v>877140</v>
      </c>
      <c r="F91" s="22">
        <f t="shared" si="5"/>
        <v>3.2003064798598948</v>
      </c>
    </row>
    <row r="92" spans="1:6" x14ac:dyDescent="0.2">
      <c r="A92" s="20">
        <v>26</v>
      </c>
      <c r="B92" s="202" t="s">
        <v>23</v>
      </c>
      <c r="C92" s="203"/>
      <c r="D92" s="15">
        <f t="shared" si="4"/>
        <v>77944</v>
      </c>
      <c r="E92" s="18">
        <f>IF(F3="1",SUMIF(Data!A:A,'42'!$A$2,Data!EX:EX),0)</f>
        <v>459518</v>
      </c>
      <c r="F92" s="22">
        <f t="shared" si="5"/>
        <v>5.8954890690752331</v>
      </c>
    </row>
    <row r="93" spans="1:6" x14ac:dyDescent="0.2">
      <c r="A93" s="20">
        <v>28</v>
      </c>
      <c r="B93" s="202" t="s">
        <v>24</v>
      </c>
      <c r="C93" s="203"/>
      <c r="D93" s="15">
        <f t="shared" si="4"/>
        <v>87744</v>
      </c>
      <c r="E93" s="18">
        <f>IF(F3="1",SUMIF(Data!A:A,'42'!$A$2,Data!EZ:EZ),0)</f>
        <v>182019</v>
      </c>
      <c r="F93" s="22">
        <f t="shared" si="5"/>
        <v>2.0744324398249452</v>
      </c>
    </row>
    <row r="94" spans="1:6" ht="15.75" customHeight="1" thickBot="1" x14ac:dyDescent="0.25">
      <c r="A94" s="23">
        <v>29</v>
      </c>
      <c r="B94" s="206" t="s">
        <v>25</v>
      </c>
      <c r="C94" s="207"/>
      <c r="D94" s="24">
        <f t="shared" si="4"/>
        <v>106560</v>
      </c>
      <c r="E94" s="25">
        <f>IF(F3="1",SUMIF(Data!A:A,'42'!$A$2,Data!FA:FA),0)</f>
        <v>202043</v>
      </c>
      <c r="F94" s="26">
        <f t="shared" si="5"/>
        <v>1.8960491741741741</v>
      </c>
    </row>
    <row r="95" spans="1:6" x14ac:dyDescent="0.2">
      <c r="B95" s="31" t="s">
        <v>35</v>
      </c>
      <c r="C95" s="31"/>
      <c r="D95" s="60">
        <f>SUM(D67:D94)</f>
        <v>2320332</v>
      </c>
      <c r="E95" s="32">
        <f>SUM(E67:E94)</f>
        <v>6759706</v>
      </c>
      <c r="F95" s="33">
        <f t="shared" si="5"/>
        <v>2.913249483263602</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IF(F3="1",SUMIF(Data!A:A,'42'!$A$2,Data!AH:AH),0)</f>
        <v>3698286</v>
      </c>
      <c r="F98" s="21">
        <f t="shared" ref="F98:F105" si="6">IFERROR(E98/$D$95,0)</f>
        <v>1.5938607061403283</v>
      </c>
    </row>
    <row r="99" spans="2:6" x14ac:dyDescent="0.2">
      <c r="B99" s="212" t="s">
        <v>31</v>
      </c>
      <c r="C99" s="213"/>
      <c r="D99" s="37"/>
      <c r="E99" s="18">
        <f>IF(F3="1",SUMIF(Data!A:A,'42'!$A$2,Data!AI:AI),0)</f>
        <v>1559383</v>
      </c>
      <c r="F99" s="22">
        <f t="shared" si="6"/>
        <v>0.67205167191591553</v>
      </c>
    </row>
    <row r="100" spans="2:6" x14ac:dyDescent="0.2">
      <c r="B100" s="212" t="s">
        <v>32</v>
      </c>
      <c r="C100" s="213"/>
      <c r="D100" s="37"/>
      <c r="E100" s="18">
        <f>IF(F3="1",SUMIF(Data!A:A,'42'!$A$2,Data!AJ:AJ),0)</f>
        <v>1452596</v>
      </c>
      <c r="F100" s="22">
        <f t="shared" si="6"/>
        <v>0.62602937855444829</v>
      </c>
    </row>
    <row r="101" spans="2:6" x14ac:dyDescent="0.2">
      <c r="B101" s="212" t="s">
        <v>28</v>
      </c>
      <c r="C101" s="213"/>
      <c r="D101" s="37"/>
      <c r="E101" s="18">
        <f>IF(F3="1",SUMIF(Data!A:A,'42'!$A$2,Data!AK:AK),0)</f>
        <v>0</v>
      </c>
      <c r="F101" s="22">
        <f t="shared" si="6"/>
        <v>0</v>
      </c>
    </row>
    <row r="102" spans="2:6" x14ac:dyDescent="0.2">
      <c r="B102" s="212" t="s">
        <v>33</v>
      </c>
      <c r="C102" s="213"/>
      <c r="D102" s="37"/>
      <c r="E102" s="18">
        <f>IF(F3="1",SUMIF(Data!A:A,'42'!$A$2,Data!AL:AL),0)</f>
        <v>0</v>
      </c>
      <c r="F102" s="22">
        <f t="shared" si="6"/>
        <v>0</v>
      </c>
    </row>
    <row r="103" spans="2:6" x14ac:dyDescent="0.2">
      <c r="B103" s="214" t="s">
        <v>34</v>
      </c>
      <c r="C103" s="215"/>
      <c r="D103" s="37"/>
      <c r="E103" s="18">
        <f>IF(F3="1",SUMIF(Data!A:A,'42'!$A$2,Data!AM:AM),0)</f>
        <v>570406</v>
      </c>
      <c r="F103" s="22">
        <f t="shared" si="6"/>
        <v>0.2458294761266922</v>
      </c>
    </row>
    <row r="104" spans="2:6" ht="15.75" customHeight="1" thickBot="1" x14ac:dyDescent="0.25">
      <c r="B104" s="208" t="s">
        <v>29</v>
      </c>
      <c r="C104" s="209"/>
      <c r="D104" s="38"/>
      <c r="E104" s="25">
        <f>IF(F3="1",SUMIF(Data!A:A,'42'!$A$2,Data!Q:Q),0)</f>
        <v>727548</v>
      </c>
      <c r="F104" s="26">
        <f t="shared" si="6"/>
        <v>0.31355340528855352</v>
      </c>
    </row>
    <row r="105" spans="2:6" x14ac:dyDescent="0.2">
      <c r="B105" s="31" t="s">
        <v>35</v>
      </c>
      <c r="C105" s="31"/>
      <c r="D105" s="35">
        <f>D95</f>
        <v>2320332</v>
      </c>
      <c r="E105" s="32">
        <f>SUM(E98:E104)</f>
        <v>8008219</v>
      </c>
      <c r="F105" s="33">
        <f t="shared" si="6"/>
        <v>3.4513246380259375</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7806409</v>
      </c>
      <c r="D109" s="192">
        <f>IF(F3="1",SUMIF(Data!$A:$A,$A$2,Data!HJ:HJ),0)</f>
        <v>818121</v>
      </c>
      <c r="E109" s="192">
        <f>IF(F3="1",SUMIF(Data!$A:$A,$A$2,Data!IN:IN),0)</f>
        <v>910626</v>
      </c>
      <c r="F109" s="48">
        <f>SUM(C109:E109)</f>
        <v>9535156</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0</v>
      </c>
      <c r="D111" s="52"/>
      <c r="E111" s="193">
        <f>IF(F3="1",SUMIF(Data!A:A,$A$2,Data!AX:AX)-SUMIF(Data!A:A,$A$2,Data!AW:AW),0)</f>
        <v>0</v>
      </c>
      <c r="F111" s="49">
        <f t="shared" si="7"/>
        <v>0</v>
      </c>
    </row>
    <row r="112" spans="2:6" x14ac:dyDescent="0.2">
      <c r="B112" s="43" t="s">
        <v>32</v>
      </c>
      <c r="C112" s="193">
        <f>IF(F3="1",SUMIF(Data!A:A,$A$2,Data!V:V),0)</f>
        <v>900540</v>
      </c>
      <c r="D112" s="52"/>
      <c r="E112" s="193">
        <f>IF(F3="1",SUMIF(Data!A:A,$A$2,Data!AC:AC),0)</f>
        <v>552056</v>
      </c>
      <c r="F112" s="49">
        <f t="shared" si="7"/>
        <v>1452596</v>
      </c>
    </row>
    <row r="113" spans="1:6" x14ac:dyDescent="0.2">
      <c r="B113" s="43" t="s">
        <v>31</v>
      </c>
      <c r="C113" s="193">
        <f>IF(F3="1",SUMIF(Data!A:A,$A$2,Data!U:U),0)</f>
        <v>1237050</v>
      </c>
      <c r="D113" s="52"/>
      <c r="E113" s="193">
        <f>IF(F3="1",SUMIF(Data!A:A,$A$2,Data!AB:AB),0)</f>
        <v>322333</v>
      </c>
      <c r="F113" s="49">
        <f t="shared" si="7"/>
        <v>1559383</v>
      </c>
    </row>
    <row r="114" spans="1:6" x14ac:dyDescent="0.2">
      <c r="B114" s="43" t="s">
        <v>1002</v>
      </c>
      <c r="C114" s="193">
        <f>IF(F3="1",SUMIF(Data!A:A,$A$2,Data!T:T),0)</f>
        <v>1611157</v>
      </c>
      <c r="D114" s="52"/>
      <c r="E114" s="193">
        <f>IF(F3="1",SUMIF(Data!A:A,$A$2,Data!AA:AA),0)</f>
        <v>2087129</v>
      </c>
      <c r="F114" s="49">
        <f t="shared" si="7"/>
        <v>3698286</v>
      </c>
    </row>
    <row r="115" spans="1:6" x14ac:dyDescent="0.2">
      <c r="B115" s="43" t="s">
        <v>916</v>
      </c>
      <c r="C115" s="193">
        <f>IF(F3="1",SUMIF(Data!A:A,$A$2,Data!BI:BI),0)</f>
        <v>663273</v>
      </c>
      <c r="D115" s="193">
        <f>IF(F3="1",SUMIF(Data!A:A,$A$2,Data!BL:BL),0)</f>
        <v>195347</v>
      </c>
      <c r="E115" s="193">
        <f>IF(F3="1",SUMIF(Data!A:A,$A$2,Data!BU:BU)-SUMIF(Data!A:A,$A$2,Data!BT:BT),0)</f>
        <v>1329572</v>
      </c>
      <c r="F115" s="49">
        <f t="shared" si="7"/>
        <v>2188192</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727548</v>
      </c>
      <c r="E117" s="53"/>
      <c r="F117" s="50">
        <f>SUM(C117:E117)</f>
        <v>727548</v>
      </c>
    </row>
    <row r="118" spans="1:6" x14ac:dyDescent="0.2">
      <c r="B118" s="14" t="s">
        <v>35</v>
      </c>
      <c r="C118" s="178">
        <f>SUM(C109:C117)</f>
        <v>12218429</v>
      </c>
      <c r="D118" s="194">
        <f>SUM(D109:D117)</f>
        <v>1741016</v>
      </c>
      <c r="E118" s="178">
        <f>SUM(E109:E117)</f>
        <v>5201716</v>
      </c>
      <c r="F118" s="178">
        <f>SUM(F109:F117)</f>
        <v>19161161</v>
      </c>
    </row>
    <row r="119" spans="1:6" x14ac:dyDescent="0.2">
      <c r="C119" s="177"/>
      <c r="D119" s="177"/>
      <c r="E119" s="177"/>
    </row>
    <row r="120" spans="1:6" ht="15" thickBot="1" x14ac:dyDescent="0.25">
      <c r="B120" s="188" t="s">
        <v>921</v>
      </c>
      <c r="C120" s="53"/>
      <c r="D120" s="53"/>
      <c r="E120" s="195">
        <f>IF(F3="1",SUMIF(Data!A:A,$A$2,Data!AF:AF)+SUMIF(Data!A:A,$A$2,Data!AW:AW)+SUMIF(Data!A:A,$A$2,Data!BT:BT),0)</f>
        <v>570406</v>
      </c>
      <c r="F120" s="181">
        <f>SUM(C120:E120)</f>
        <v>570406</v>
      </c>
    </row>
    <row r="121" spans="1:6" s="177" customFormat="1" x14ac:dyDescent="0.2">
      <c r="B121" s="14" t="s">
        <v>35</v>
      </c>
      <c r="C121" s="178">
        <f>SUM(C120:C120)</f>
        <v>0</v>
      </c>
      <c r="D121" s="178">
        <f>SUM(D120:D120)</f>
        <v>0</v>
      </c>
      <c r="E121" s="178">
        <f>SUM(E120:E120)</f>
        <v>570406</v>
      </c>
      <c r="F121" s="178">
        <f>SUM(F120:F120)</f>
        <v>570406</v>
      </c>
    </row>
    <row r="122" spans="1:6" s="177" customFormat="1" ht="15" thickBot="1" x14ac:dyDescent="0.25">
      <c r="B122" s="14" t="s">
        <v>1396</v>
      </c>
      <c r="C122" s="178"/>
      <c r="D122" s="178"/>
      <c r="E122" s="178"/>
      <c r="F122" s="190">
        <f>F118+F121</f>
        <v>19731567</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403</v>
      </c>
      <c r="B2" s="59" t="str">
        <f>VLOOKUP(A2,Data!A:G,7,0)</f>
        <v>Texas Southmost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19632</v>
      </c>
      <c r="E5" s="16">
        <f>E36+E67+IFERROR($E$105/$D$105*D5,0)</f>
        <v>247419.63359831434</v>
      </c>
      <c r="F5" s="21">
        <f>IFERROR(E5/D5,"")</f>
        <v>12.602874572041276</v>
      </c>
    </row>
    <row r="6" spans="1:6" x14ac:dyDescent="0.2">
      <c r="A6" s="20">
        <v>2</v>
      </c>
      <c r="B6" s="202" t="s">
        <v>1</v>
      </c>
      <c r="C6" s="203"/>
      <c r="D6" s="15">
        <f t="shared" ref="D6:D32" si="0">D37</f>
        <v>13448</v>
      </c>
      <c r="E6" s="18">
        <f t="shared" ref="E6:E32" si="1">E37+E68+IFERROR($E$105/$D$105*D6,0)</f>
        <v>125415.57378922837</v>
      </c>
      <c r="F6" s="22">
        <f t="shared" ref="F6:F33" si="2">IFERROR(E6/D6,"")</f>
        <v>9.3259647374500574</v>
      </c>
    </row>
    <row r="7" spans="1:6" ht="14.25" customHeight="1" x14ac:dyDescent="0.2">
      <c r="A7" s="20">
        <v>3</v>
      </c>
      <c r="B7" s="202" t="s">
        <v>2</v>
      </c>
      <c r="C7" s="203"/>
      <c r="D7" s="15">
        <f t="shared" si="0"/>
        <v>469328</v>
      </c>
      <c r="E7" s="18">
        <f t="shared" si="1"/>
        <v>5297698.3955495954</v>
      </c>
      <c r="F7" s="22">
        <f t="shared" si="2"/>
        <v>11.287837920493972</v>
      </c>
    </row>
    <row r="8" spans="1:6" ht="14.25" customHeight="1" x14ac:dyDescent="0.2">
      <c r="A8" s="20">
        <v>4</v>
      </c>
      <c r="B8" s="202" t="s">
        <v>3</v>
      </c>
      <c r="C8" s="203"/>
      <c r="D8" s="15">
        <f t="shared" si="0"/>
        <v>144128</v>
      </c>
      <c r="E8" s="18">
        <f t="shared" si="1"/>
        <v>2792335.5284870542</v>
      </c>
      <c r="F8" s="22">
        <f t="shared" si="2"/>
        <v>19.373997616611998</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14825</v>
      </c>
      <c r="E10" s="18">
        <f t="shared" si="1"/>
        <v>126282.50285732528</v>
      </c>
      <c r="F10" s="22">
        <f t="shared" si="2"/>
        <v>8.5182126716576914</v>
      </c>
    </row>
    <row r="11" spans="1:6" x14ac:dyDescent="0.2">
      <c r="A11" s="20">
        <v>7</v>
      </c>
      <c r="B11" s="202" t="s">
        <v>6</v>
      </c>
      <c r="C11" s="203"/>
      <c r="D11" s="15">
        <f t="shared" si="0"/>
        <v>85069</v>
      </c>
      <c r="E11" s="18">
        <f t="shared" si="1"/>
        <v>1099151.6498866647</v>
      </c>
      <c r="F11" s="22">
        <f t="shared" si="2"/>
        <v>12.920707306852846</v>
      </c>
    </row>
    <row r="12" spans="1:6" x14ac:dyDescent="0.2">
      <c r="A12" s="20">
        <v>8</v>
      </c>
      <c r="B12" s="202" t="s">
        <v>7</v>
      </c>
      <c r="C12" s="203"/>
      <c r="D12" s="15">
        <f t="shared" si="0"/>
        <v>6192</v>
      </c>
      <c r="E12" s="18">
        <f t="shared" si="1"/>
        <v>85223.537247390093</v>
      </c>
      <c r="F12" s="22">
        <f t="shared" si="2"/>
        <v>13.763491157524239</v>
      </c>
    </row>
    <row r="13" spans="1:6" x14ac:dyDescent="0.2">
      <c r="A13" s="20">
        <v>9</v>
      </c>
      <c r="B13" s="202" t="s">
        <v>8</v>
      </c>
      <c r="C13" s="203"/>
      <c r="D13" s="15">
        <f t="shared" si="0"/>
        <v>75504</v>
      </c>
      <c r="E13" s="18">
        <f t="shared" si="1"/>
        <v>2156054.0627142992</v>
      </c>
      <c r="F13" s="22">
        <f t="shared" si="2"/>
        <v>28.555494579284531</v>
      </c>
    </row>
    <row r="14" spans="1:6" x14ac:dyDescent="0.2">
      <c r="A14" s="20">
        <v>10</v>
      </c>
      <c r="B14" s="202" t="s">
        <v>9</v>
      </c>
      <c r="C14" s="203"/>
      <c r="D14" s="15">
        <f t="shared" si="0"/>
        <v>7616</v>
      </c>
      <c r="E14" s="18">
        <f t="shared" si="1"/>
        <v>778610.52126552374</v>
      </c>
      <c r="F14" s="22">
        <f t="shared" si="2"/>
        <v>102.23352432583032</v>
      </c>
    </row>
    <row r="15" spans="1:6" x14ac:dyDescent="0.2">
      <c r="A15" s="20">
        <v>11</v>
      </c>
      <c r="B15" s="202" t="s">
        <v>10</v>
      </c>
      <c r="C15" s="203"/>
      <c r="D15" s="15">
        <f t="shared" si="0"/>
        <v>94622</v>
      </c>
      <c r="E15" s="18">
        <f t="shared" si="1"/>
        <v>1334472.5209015738</v>
      </c>
      <c r="F15" s="22">
        <f t="shared" si="2"/>
        <v>14.103195038168437</v>
      </c>
    </row>
    <row r="16" spans="1:6" ht="14.25" customHeight="1" x14ac:dyDescent="0.2">
      <c r="A16" s="20">
        <v>12</v>
      </c>
      <c r="B16" s="202" t="s">
        <v>11</v>
      </c>
      <c r="C16" s="203"/>
      <c r="D16" s="15">
        <f t="shared" si="0"/>
        <v>292197</v>
      </c>
      <c r="E16" s="18">
        <f t="shared" si="1"/>
        <v>3147102.0050186766</v>
      </c>
      <c r="F16" s="22">
        <f t="shared" si="2"/>
        <v>10.770480206910669</v>
      </c>
    </row>
    <row r="17" spans="1:6" x14ac:dyDescent="0.2">
      <c r="A17" s="20">
        <v>13</v>
      </c>
      <c r="B17" s="202" t="s">
        <v>12</v>
      </c>
      <c r="C17" s="203"/>
      <c r="D17" s="15">
        <f t="shared" si="0"/>
        <v>234096</v>
      </c>
      <c r="E17" s="18">
        <f t="shared" si="1"/>
        <v>2541531.7996552056</v>
      </c>
      <c r="F17" s="22">
        <f t="shared" si="2"/>
        <v>10.856792938175815</v>
      </c>
    </row>
    <row r="18" spans="1:6" ht="14.25" customHeight="1" x14ac:dyDescent="0.2">
      <c r="A18" s="20">
        <v>14</v>
      </c>
      <c r="B18" s="202" t="s">
        <v>449</v>
      </c>
      <c r="C18" s="203"/>
      <c r="D18" s="15">
        <f t="shared" si="0"/>
        <v>153328</v>
      </c>
      <c r="E18" s="18">
        <f t="shared" si="1"/>
        <v>2800172.5825367942</v>
      </c>
      <c r="F18" s="22">
        <f t="shared" si="2"/>
        <v>18.262630325425196</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171781</v>
      </c>
      <c r="E20" s="18">
        <f t="shared" si="1"/>
        <v>3068382.6036650385</v>
      </c>
      <c r="F20" s="22">
        <f t="shared" si="2"/>
        <v>17.862176862778995</v>
      </c>
    </row>
    <row r="21" spans="1:6" x14ac:dyDescent="0.2">
      <c r="A21" s="20">
        <v>17</v>
      </c>
      <c r="B21" s="202" t="s">
        <v>15</v>
      </c>
      <c r="C21" s="203"/>
      <c r="D21" s="15">
        <f t="shared" si="0"/>
        <v>30608</v>
      </c>
      <c r="E21" s="18">
        <f t="shared" si="1"/>
        <v>630375.67895156913</v>
      </c>
      <c r="F21" s="22">
        <f t="shared" si="2"/>
        <v>20.595128036839032</v>
      </c>
    </row>
    <row r="22" spans="1:6" x14ac:dyDescent="0.2">
      <c r="A22" s="20">
        <v>18</v>
      </c>
      <c r="B22" s="202" t="s">
        <v>16</v>
      </c>
      <c r="C22" s="203"/>
      <c r="D22" s="15">
        <f t="shared" si="0"/>
        <v>71680</v>
      </c>
      <c r="E22" s="18">
        <f t="shared" si="1"/>
        <v>1264664.8472049292</v>
      </c>
      <c r="F22" s="22">
        <f t="shared" si="2"/>
        <v>17.643203783550909</v>
      </c>
    </row>
    <row r="23" spans="1:6" x14ac:dyDescent="0.2">
      <c r="A23" s="20">
        <v>19</v>
      </c>
      <c r="B23" s="202" t="s">
        <v>17</v>
      </c>
      <c r="C23" s="203"/>
      <c r="D23" s="15">
        <f t="shared" si="0"/>
        <v>235511</v>
      </c>
      <c r="E23" s="18">
        <f t="shared" si="1"/>
        <v>2337867.4965552469</v>
      </c>
      <c r="F23" s="22">
        <f t="shared" si="2"/>
        <v>9.9267868445858021</v>
      </c>
    </row>
    <row r="24" spans="1:6" x14ac:dyDescent="0.2">
      <c r="A24" s="20">
        <v>20</v>
      </c>
      <c r="B24" s="202" t="s">
        <v>18</v>
      </c>
      <c r="C24" s="203"/>
      <c r="D24" s="15">
        <f t="shared" si="0"/>
        <v>76080</v>
      </c>
      <c r="E24" s="18">
        <f t="shared" si="1"/>
        <v>1043838.4382721961</v>
      </c>
      <c r="F24" s="22">
        <f t="shared" si="2"/>
        <v>13.720273899476815</v>
      </c>
    </row>
    <row r="25" spans="1:6" ht="14.25" customHeight="1" x14ac:dyDescent="0.2">
      <c r="A25" s="20">
        <v>21</v>
      </c>
      <c r="B25" s="202" t="s">
        <v>446</v>
      </c>
      <c r="C25" s="203"/>
      <c r="D25" s="15">
        <f t="shared" si="0"/>
        <v>0</v>
      </c>
      <c r="E25" s="18">
        <f t="shared" si="1"/>
        <v>0</v>
      </c>
      <c r="F25" s="22" t="str">
        <f t="shared" si="2"/>
        <v/>
      </c>
    </row>
    <row r="26" spans="1:6" x14ac:dyDescent="0.2">
      <c r="A26" s="20">
        <v>22</v>
      </c>
      <c r="B26" s="202" t="s">
        <v>19</v>
      </c>
      <c r="C26" s="203"/>
      <c r="D26" s="15">
        <f t="shared" si="0"/>
        <v>5968</v>
      </c>
      <c r="E26" s="18">
        <f t="shared" si="1"/>
        <v>80285.168974874687</v>
      </c>
      <c r="F26" s="22">
        <f t="shared" si="2"/>
        <v>13.452608742438787</v>
      </c>
    </row>
    <row r="27" spans="1:6" x14ac:dyDescent="0.2">
      <c r="A27" s="20">
        <v>23</v>
      </c>
      <c r="B27" s="202" t="s">
        <v>20</v>
      </c>
      <c r="C27" s="203"/>
      <c r="D27" s="15">
        <f t="shared" si="0"/>
        <v>84368</v>
      </c>
      <c r="E27" s="18">
        <f t="shared" si="1"/>
        <v>985784.06435526605</v>
      </c>
      <c r="F27" s="22">
        <f t="shared" si="2"/>
        <v>11.684336055794448</v>
      </c>
    </row>
    <row r="28" spans="1:6" x14ac:dyDescent="0.2">
      <c r="A28" s="20">
        <v>24</v>
      </c>
      <c r="B28" s="202" t="s">
        <v>21</v>
      </c>
      <c r="C28" s="203"/>
      <c r="D28" s="15">
        <f t="shared" si="0"/>
        <v>117188</v>
      </c>
      <c r="E28" s="18">
        <f t="shared" si="1"/>
        <v>1258855.7549979249</v>
      </c>
      <c r="F28" s="22">
        <f t="shared" si="2"/>
        <v>10.742189942638538</v>
      </c>
    </row>
    <row r="29" spans="1:6" x14ac:dyDescent="0.2">
      <c r="A29" s="20">
        <v>25</v>
      </c>
      <c r="B29" s="202" t="s">
        <v>22</v>
      </c>
      <c r="C29" s="203"/>
      <c r="D29" s="15">
        <f t="shared" si="0"/>
        <v>588432</v>
      </c>
      <c r="E29" s="18">
        <f t="shared" si="1"/>
        <v>6281932.4970213585</v>
      </c>
      <c r="F29" s="22">
        <f t="shared" si="2"/>
        <v>10.675715285744756</v>
      </c>
    </row>
    <row r="30" spans="1:6" x14ac:dyDescent="0.2">
      <c r="A30" s="20">
        <v>26</v>
      </c>
      <c r="B30" s="202" t="s">
        <v>23</v>
      </c>
      <c r="C30" s="203"/>
      <c r="D30" s="15">
        <f t="shared" si="0"/>
        <v>239216</v>
      </c>
      <c r="E30" s="18">
        <f t="shared" si="1"/>
        <v>3521509.3601698428</v>
      </c>
      <c r="F30" s="22">
        <f t="shared" si="2"/>
        <v>14.721044412455031</v>
      </c>
    </row>
    <row r="31" spans="1:6" x14ac:dyDescent="0.2">
      <c r="A31" s="20">
        <v>28</v>
      </c>
      <c r="B31" s="202" t="s">
        <v>24</v>
      </c>
      <c r="C31" s="203"/>
      <c r="D31" s="15">
        <f t="shared" si="0"/>
        <v>216912</v>
      </c>
      <c r="E31" s="18">
        <f t="shared" si="1"/>
        <v>2145542.2621779526</v>
      </c>
      <c r="F31" s="22">
        <f t="shared" si="2"/>
        <v>9.8913027503224935</v>
      </c>
    </row>
    <row r="32" spans="1:6" ht="15.75" customHeight="1" thickBot="1" x14ac:dyDescent="0.25">
      <c r="A32" s="23">
        <v>29</v>
      </c>
      <c r="B32" s="206" t="s">
        <v>25</v>
      </c>
      <c r="C32" s="207"/>
      <c r="D32" s="24">
        <f t="shared" si="0"/>
        <v>154416</v>
      </c>
      <c r="E32" s="25">
        <f t="shared" si="1"/>
        <v>1491350.5141461545</v>
      </c>
      <c r="F32" s="26">
        <f t="shared" si="2"/>
        <v>9.6580050910925976</v>
      </c>
    </row>
    <row r="33" spans="1:6" x14ac:dyDescent="0.2">
      <c r="B33" s="31" t="s">
        <v>35</v>
      </c>
      <c r="C33" s="31"/>
      <c r="D33" s="60">
        <f>SUM(D5:D32)</f>
        <v>3602145</v>
      </c>
      <c r="E33" s="32">
        <f>SUM(E5:E32)</f>
        <v>46641859</v>
      </c>
      <c r="F33" s="33">
        <f t="shared" si="2"/>
        <v>12.94835688180237</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IF(F3="1",SUMIF(Data!A:A,'43'!$A$2,Data!CU:CU),0)</f>
        <v>19632</v>
      </c>
      <c r="E36" s="16">
        <f>IF(F3="1",SUMIF(Data!$A:$A,'43'!$A$2,Data!IO:IO),0)</f>
        <v>82860</v>
      </c>
      <c r="F36" s="21">
        <f t="shared" ref="F36:F64" si="3">IFERROR(E36/D36,"")</f>
        <v>4.2206601466992666</v>
      </c>
    </row>
    <row r="37" spans="1:6" x14ac:dyDescent="0.2">
      <c r="A37" s="20">
        <v>2</v>
      </c>
      <c r="B37" s="202" t="s">
        <v>1</v>
      </c>
      <c r="C37" s="203"/>
      <c r="D37" s="15">
        <f>IF(F3="1",SUMIF(Data!A:A,'43'!$A$2,Data!CV:CV),0)</f>
        <v>13448</v>
      </c>
      <c r="E37" s="18">
        <f>IF(F3="1",SUMIF(Data!$A:$A,'43'!$A$2,Data!IP:IP),0)</f>
        <v>7890</v>
      </c>
      <c r="F37" s="22">
        <f t="shared" si="3"/>
        <v>0.58670434265318261</v>
      </c>
    </row>
    <row r="38" spans="1:6" ht="14.25" customHeight="1" x14ac:dyDescent="0.2">
      <c r="A38" s="20">
        <v>3</v>
      </c>
      <c r="B38" s="202" t="s">
        <v>2</v>
      </c>
      <c r="C38" s="203"/>
      <c r="D38" s="15">
        <f>IF(F3="1",SUMIF(Data!A:A,'43'!$A$2,Data!CW:CW),0)</f>
        <v>469328</v>
      </c>
      <c r="E38" s="18">
        <f>IF(F3="1",SUMIF(Data!$A:$A,'43'!$A$2,Data!IQ:IQ),0)</f>
        <v>925319</v>
      </c>
      <c r="F38" s="22">
        <f t="shared" si="3"/>
        <v>1.9715827736678826</v>
      </c>
    </row>
    <row r="39" spans="1:6" ht="14.25" customHeight="1" x14ac:dyDescent="0.2">
      <c r="A39" s="20">
        <v>4</v>
      </c>
      <c r="B39" s="202" t="s">
        <v>3</v>
      </c>
      <c r="C39" s="203"/>
      <c r="D39" s="15">
        <f>IF(F3="1",SUMIF(Data!A:A,'43'!$A$2,Data!CX:CX),0)</f>
        <v>144128</v>
      </c>
      <c r="E39" s="18">
        <f>IF(F3="1",SUMIF(Data!$A:$A,'43'!$A$2,Data!IR:IR),0)</f>
        <v>474455</v>
      </c>
      <c r="F39" s="22">
        <f t="shared" si="3"/>
        <v>3.291900255328597</v>
      </c>
    </row>
    <row r="40" spans="1:6" x14ac:dyDescent="0.2">
      <c r="A40" s="20">
        <v>5</v>
      </c>
      <c r="B40" s="202" t="s">
        <v>4</v>
      </c>
      <c r="C40" s="203"/>
      <c r="D40" s="15">
        <f>IF(F3="1",SUMIF(Data!A:A,'43'!$A$2,Data!CY:CY),0)</f>
        <v>0</v>
      </c>
      <c r="E40" s="18">
        <f>IF(F3="1",SUMIF(Data!$A:$A,'43'!$A$2,Data!IS:IS),0)</f>
        <v>0</v>
      </c>
      <c r="F40" s="22" t="str">
        <f t="shared" si="3"/>
        <v/>
      </c>
    </row>
    <row r="41" spans="1:6" x14ac:dyDescent="0.2">
      <c r="A41" s="20">
        <v>6</v>
      </c>
      <c r="B41" s="202" t="s">
        <v>5</v>
      </c>
      <c r="C41" s="203"/>
      <c r="D41" s="15">
        <f>IF(F3="1",SUMIF(Data!A:A,'43'!$A$2,Data!CZ:CZ),0)</f>
        <v>14825</v>
      </c>
      <c r="E41" s="18">
        <f>IF(F3="1",SUMIF(Data!$A:$A,'43'!$A$2,Data!IT:IT),0)</f>
        <v>5365</v>
      </c>
      <c r="F41" s="22">
        <f t="shared" si="3"/>
        <v>0.36188870151770658</v>
      </c>
    </row>
    <row r="42" spans="1:6" x14ac:dyDescent="0.2">
      <c r="A42" s="20">
        <v>7</v>
      </c>
      <c r="B42" s="202" t="s">
        <v>6</v>
      </c>
      <c r="C42" s="203"/>
      <c r="D42" s="15">
        <f>IF(F3="1",SUMIF(Data!A:A,'43'!$A$2,Data!DA:DA),0)</f>
        <v>85069</v>
      </c>
      <c r="E42" s="18">
        <f>IF(F3="1",SUMIF(Data!$A:$A,'43'!$A$2,Data!IU:IU),0)</f>
        <v>216633</v>
      </c>
      <c r="F42" s="22">
        <f t="shared" si="3"/>
        <v>2.5465563248656973</v>
      </c>
    </row>
    <row r="43" spans="1:6" x14ac:dyDescent="0.2">
      <c r="A43" s="20">
        <v>8</v>
      </c>
      <c r="B43" s="202" t="s">
        <v>7</v>
      </c>
      <c r="C43" s="203"/>
      <c r="D43" s="15">
        <f>IF(F3="1",SUMIF(Data!A:A,'43'!$A$2,Data!DB:DB),0)</f>
        <v>6192</v>
      </c>
      <c r="E43" s="18">
        <f>IF(F3="1",SUMIF(Data!$A:$A,'43'!$A$2,Data!IV:IV),0)</f>
        <v>13746</v>
      </c>
      <c r="F43" s="22">
        <f t="shared" si="3"/>
        <v>2.2199612403100777</v>
      </c>
    </row>
    <row r="44" spans="1:6" x14ac:dyDescent="0.2">
      <c r="A44" s="20">
        <v>9</v>
      </c>
      <c r="B44" s="202" t="s">
        <v>8</v>
      </c>
      <c r="C44" s="203"/>
      <c r="D44" s="15">
        <f>IF(F3="1",SUMIF(Data!A:A,'43'!$A$2,Data!DC:DC),0)</f>
        <v>75504</v>
      </c>
      <c r="E44" s="18">
        <f>IF(F3="1",SUMIF(Data!$A:$A,'43'!$A$2,Data!IW:IW),0)</f>
        <v>425007</v>
      </c>
      <c r="F44" s="22">
        <f t="shared" si="3"/>
        <v>5.6289335664335667</v>
      </c>
    </row>
    <row r="45" spans="1:6" x14ac:dyDescent="0.2">
      <c r="A45" s="20">
        <v>10</v>
      </c>
      <c r="B45" s="202" t="s">
        <v>9</v>
      </c>
      <c r="C45" s="203"/>
      <c r="D45" s="15">
        <f>IF(F3="1",SUMIF(Data!A:A,'43'!$A$2,Data!DD:DD),0)</f>
        <v>7616</v>
      </c>
      <c r="E45" s="18">
        <f>IF(F3="1",SUMIF(Data!$A:$A,'43'!$A$2,Data!IX:IX),0)</f>
        <v>178455</v>
      </c>
      <c r="F45" s="22">
        <f t="shared" si="3"/>
        <v>23.431591386554622</v>
      </c>
    </row>
    <row r="46" spans="1:6" x14ac:dyDescent="0.2">
      <c r="A46" s="20">
        <v>11</v>
      </c>
      <c r="B46" s="202" t="s">
        <v>10</v>
      </c>
      <c r="C46" s="203"/>
      <c r="D46" s="15">
        <f>IF(F3="1",SUMIF(Data!A:A,'43'!$A$2,Data!DE:DE),0)</f>
        <v>94622</v>
      </c>
      <c r="E46" s="18">
        <f>IF(F3="1",SUMIF(Data!$A:$A,'43'!$A$2,Data!IY:IY),0)</f>
        <v>208329</v>
      </c>
      <c r="F46" s="22">
        <f t="shared" si="3"/>
        <v>2.2016972797023948</v>
      </c>
    </row>
    <row r="47" spans="1:6" ht="14.25" customHeight="1" x14ac:dyDescent="0.2">
      <c r="A47" s="20">
        <v>12</v>
      </c>
      <c r="B47" s="202" t="s">
        <v>11</v>
      </c>
      <c r="C47" s="203"/>
      <c r="D47" s="15">
        <f>IF(F3="1",SUMIF(Data!A:A,'43'!$A$2,Data!DF:DF),0)</f>
        <v>292197</v>
      </c>
      <c r="E47" s="18">
        <f>IF(F3="1",SUMIF(Data!$A:$A,'43'!$A$2,Data!IZ:IZ),0)</f>
        <v>287119</v>
      </c>
      <c r="F47" s="22">
        <f t="shared" si="3"/>
        <v>0.98262131370274164</v>
      </c>
    </row>
    <row r="48" spans="1:6" x14ac:dyDescent="0.2">
      <c r="A48" s="20">
        <v>13</v>
      </c>
      <c r="B48" s="202" t="s">
        <v>12</v>
      </c>
      <c r="C48" s="203"/>
      <c r="D48" s="15">
        <f>IF(F3="1",SUMIF(Data!A:A,'43'!$A$2,Data!DG:DG),0)</f>
        <v>234096</v>
      </c>
      <c r="E48" s="18">
        <f>IF(F3="1",SUMIF(Data!$A:$A,'43'!$A$2,Data!JA:JA),0)</f>
        <v>248148</v>
      </c>
      <c r="F48" s="22">
        <f t="shared" si="3"/>
        <v>1.0600266557309821</v>
      </c>
    </row>
    <row r="49" spans="1:6" ht="14.25" customHeight="1" x14ac:dyDescent="0.2">
      <c r="A49" s="20">
        <v>14</v>
      </c>
      <c r="B49" s="202" t="s">
        <v>449</v>
      </c>
      <c r="C49" s="203"/>
      <c r="D49" s="15">
        <f>IF(F3="1",SUMIF(Data!A:A,'43'!$A$2,Data!DH:DH),0)</f>
        <v>153328</v>
      </c>
      <c r="E49" s="18">
        <f>IF(F3="1",SUMIF(Data!$A:$A,'43'!$A$2,Data!JB:JB),0)</f>
        <v>501809</v>
      </c>
      <c r="F49" s="22">
        <f t="shared" si="3"/>
        <v>3.2727812271731191</v>
      </c>
    </row>
    <row r="50" spans="1:6" x14ac:dyDescent="0.2">
      <c r="A50" s="20">
        <v>15</v>
      </c>
      <c r="B50" s="202" t="s">
        <v>13</v>
      </c>
      <c r="C50" s="203"/>
      <c r="D50" s="15">
        <f>IF(F3="1",SUMIF(Data!A:A,'43'!$A$2,Data!DI:DI),0)</f>
        <v>0</v>
      </c>
      <c r="E50" s="18">
        <f>IF(F3="1",SUMIF(Data!$A:$A,'43'!$A$2,Data!JC:JC),0)</f>
        <v>0</v>
      </c>
      <c r="F50" s="22" t="str">
        <f t="shared" si="3"/>
        <v/>
      </c>
    </row>
    <row r="51" spans="1:6" x14ac:dyDescent="0.2">
      <c r="A51" s="20">
        <v>16</v>
      </c>
      <c r="B51" s="202" t="s">
        <v>14</v>
      </c>
      <c r="C51" s="203"/>
      <c r="D51" s="15">
        <f>IF(F3="1",SUMIF(Data!A:A,'43'!$A$2,Data!DJ:DJ),0)</f>
        <v>171781</v>
      </c>
      <c r="E51" s="18">
        <f>IF(F3="1",SUMIF(Data!$A:$A,'43'!$A$2,Data!JD:JD),0)</f>
        <v>612700</v>
      </c>
      <c r="F51" s="22">
        <f t="shared" si="3"/>
        <v>3.5667506883764792</v>
      </c>
    </row>
    <row r="52" spans="1:6" x14ac:dyDescent="0.2">
      <c r="A52" s="20">
        <v>17</v>
      </c>
      <c r="B52" s="202" t="s">
        <v>15</v>
      </c>
      <c r="C52" s="203"/>
      <c r="D52" s="15">
        <f>IF(F3="1",SUMIF(Data!A:A,'43'!$A$2,Data!DK:DK),0)</f>
        <v>30608</v>
      </c>
      <c r="E52" s="18">
        <f>IF(F3="1",SUMIF(Data!$A:$A,'43'!$A$2,Data!JE:JE),0)</f>
        <v>136315</v>
      </c>
      <c r="F52" s="22">
        <f t="shared" si="3"/>
        <v>4.4535742289597495</v>
      </c>
    </row>
    <row r="53" spans="1:6" x14ac:dyDescent="0.2">
      <c r="A53" s="20">
        <v>18</v>
      </c>
      <c r="B53" s="202" t="s">
        <v>16</v>
      </c>
      <c r="C53" s="203"/>
      <c r="D53" s="15">
        <f>IF(F3="1",SUMIF(Data!A:A,'43'!$A$2,Data!DL:DL),0)</f>
        <v>71680</v>
      </c>
      <c r="E53" s="18">
        <f>IF(F3="1",SUMIF(Data!$A:$A,'43'!$A$2,Data!JF:JF),0)</f>
        <v>212893</v>
      </c>
      <c r="F53" s="22">
        <f t="shared" si="3"/>
        <v>2.9700474330357145</v>
      </c>
    </row>
    <row r="54" spans="1:6" x14ac:dyDescent="0.2">
      <c r="A54" s="20">
        <v>19</v>
      </c>
      <c r="B54" s="202" t="s">
        <v>17</v>
      </c>
      <c r="C54" s="203"/>
      <c r="D54" s="15">
        <f>IF(F3="1",SUMIF(Data!A:A,'43'!$A$2,Data!DM:DM),0)</f>
        <v>235511</v>
      </c>
      <c r="E54" s="18">
        <f>IF(F3="1",SUMIF(Data!$A:$A,'43'!$A$2,Data!JG:JG),0)</f>
        <v>354443</v>
      </c>
      <c r="F54" s="22">
        <f t="shared" si="3"/>
        <v>1.5049955203790906</v>
      </c>
    </row>
    <row r="55" spans="1:6" x14ac:dyDescent="0.2">
      <c r="A55" s="20">
        <v>20</v>
      </c>
      <c r="B55" s="202" t="s">
        <v>18</v>
      </c>
      <c r="C55" s="203"/>
      <c r="D55" s="15">
        <f>IF(F3="1",SUMIF(Data!A:A,'43'!$A$2,Data!DN:DN),0)</f>
        <v>76080</v>
      </c>
      <c r="E55" s="18">
        <f>IF(F3="1",SUMIF(Data!$A:$A,'43'!$A$2,Data!JH:JH),0)</f>
        <v>167846</v>
      </c>
      <c r="F55" s="22">
        <f t="shared" si="3"/>
        <v>2.2061777076761304</v>
      </c>
    </row>
    <row r="56" spans="1:6" ht="14.25" customHeight="1" x14ac:dyDescent="0.2">
      <c r="A56" s="20">
        <v>21</v>
      </c>
      <c r="B56" s="202" t="s">
        <v>446</v>
      </c>
      <c r="C56" s="203"/>
      <c r="D56" s="15">
        <f>IF(F3="1",SUMIF(Data!A:A,'43'!$A$2,Data!DO:DO),0)</f>
        <v>0</v>
      </c>
      <c r="E56" s="18">
        <f>IF(F3="1",SUMIF(Data!$A:$A,'43'!$A$2,Data!JI:JI),0)</f>
        <v>0</v>
      </c>
      <c r="F56" s="22" t="str">
        <f t="shared" si="3"/>
        <v/>
      </c>
    </row>
    <row r="57" spans="1:6" x14ac:dyDescent="0.2">
      <c r="A57" s="20">
        <v>22</v>
      </c>
      <c r="B57" s="202" t="s">
        <v>19</v>
      </c>
      <c r="C57" s="203"/>
      <c r="D57" s="15">
        <f>IF(F3="1",SUMIF(Data!A:A,'43'!$A$2,Data!DP:DP),0)</f>
        <v>5968</v>
      </c>
      <c r="E57" s="18">
        <f>IF(F3="1",SUMIF(Data!$A:$A,'43'!$A$2,Data!JJ:JJ),0)</f>
        <v>14109</v>
      </c>
      <c r="F57" s="22">
        <f t="shared" si="3"/>
        <v>2.3641085790884717</v>
      </c>
    </row>
    <row r="58" spans="1:6" x14ac:dyDescent="0.2">
      <c r="A58" s="20">
        <v>23</v>
      </c>
      <c r="B58" s="202" t="s">
        <v>20</v>
      </c>
      <c r="C58" s="203"/>
      <c r="D58" s="15">
        <f>IF(F3="1",SUMIF(Data!A:A,'43'!$A$2,Data!DQ:DQ),0)</f>
        <v>84368</v>
      </c>
      <c r="E58" s="18">
        <f>IF(F3="1",SUMIF(Data!$A:$A,'43'!$A$2,Data!JK:JK),0)</f>
        <v>144462</v>
      </c>
      <c r="F58" s="22">
        <f t="shared" si="3"/>
        <v>1.7122842783993932</v>
      </c>
    </row>
    <row r="59" spans="1:6" x14ac:dyDescent="0.2">
      <c r="A59" s="20">
        <v>24</v>
      </c>
      <c r="B59" s="202" t="s">
        <v>21</v>
      </c>
      <c r="C59" s="203"/>
      <c r="D59" s="15">
        <f>IF(F3="1",SUMIF(Data!A:A,'43'!$A$2,Data!DR:DR),0)</f>
        <v>117188</v>
      </c>
      <c r="E59" s="18">
        <f>IF(F3="1",SUMIF(Data!$A:$A,'43'!$A$2,Data!JL:JL),0)</f>
        <v>124987</v>
      </c>
      <c r="F59" s="22">
        <f t="shared" si="3"/>
        <v>1.0665511827149539</v>
      </c>
    </row>
    <row r="60" spans="1:6" x14ac:dyDescent="0.2">
      <c r="A60" s="20">
        <v>25</v>
      </c>
      <c r="B60" s="202" t="s">
        <v>22</v>
      </c>
      <c r="C60" s="203"/>
      <c r="D60" s="15">
        <f>IF(F3="1",SUMIF(Data!A:A,'43'!$A$2,Data!DS:DS),0)</f>
        <v>588432</v>
      </c>
      <c r="E60" s="18">
        <f>IF(F3="1",SUMIF(Data!$A:$A,'43'!$A$2,Data!JM:JM),0)</f>
        <v>522880</v>
      </c>
      <c r="F60" s="22">
        <f t="shared" si="3"/>
        <v>0.88859885254370941</v>
      </c>
    </row>
    <row r="61" spans="1:6" x14ac:dyDescent="0.2">
      <c r="A61" s="20">
        <v>26</v>
      </c>
      <c r="B61" s="202" t="s">
        <v>23</v>
      </c>
      <c r="C61" s="203"/>
      <c r="D61" s="15">
        <f>IF(F3="1",SUMIF(Data!A:A,'43'!$A$2,Data!DT:DT),0)</f>
        <v>239216</v>
      </c>
      <c r="E61" s="18">
        <f>IF(F3="1",SUMIF(Data!$A:$A,'43'!$A$2,Data!JN:JN),0)</f>
        <v>671270</v>
      </c>
      <c r="F61" s="22">
        <f t="shared" si="3"/>
        <v>2.8061250083606448</v>
      </c>
    </row>
    <row r="62" spans="1:6" x14ac:dyDescent="0.2">
      <c r="A62" s="20">
        <v>28</v>
      </c>
      <c r="B62" s="202" t="s">
        <v>24</v>
      </c>
      <c r="C62" s="203"/>
      <c r="D62" s="15">
        <f>IF(F3="1",SUMIF(Data!A:A,'43'!$A$2,Data!DV:DV),0)</f>
        <v>216912</v>
      </c>
      <c r="E62" s="18">
        <f>IF(F3="1",SUMIF(Data!$A:$A,'43'!$A$2,Data!JP:JP),0)</f>
        <v>323820</v>
      </c>
      <c r="F62" s="22">
        <f t="shared" si="3"/>
        <v>1.4928634653684443</v>
      </c>
    </row>
    <row r="63" spans="1:6" ht="15.75" customHeight="1" thickBot="1" x14ac:dyDescent="0.25">
      <c r="A63" s="23">
        <v>29</v>
      </c>
      <c r="B63" s="206" t="s">
        <v>25</v>
      </c>
      <c r="C63" s="207"/>
      <c r="D63" s="24">
        <f>IF(F3="1",SUMIF(Data!A:A,'43'!$A$2,Data!DW:DW),0)</f>
        <v>154416</v>
      </c>
      <c r="E63" s="25">
        <f>IF(F3="1",SUMIF(Data!$A:$A,'43'!$A$2,Data!JQ:JQ),0)</f>
        <v>117159</v>
      </c>
      <c r="F63" s="26">
        <f t="shared" si="3"/>
        <v>0.7587231893068076</v>
      </c>
    </row>
    <row r="64" spans="1:6" x14ac:dyDescent="0.2">
      <c r="B64" s="31" t="s">
        <v>35</v>
      </c>
      <c r="C64" s="31"/>
      <c r="D64" s="60">
        <f>SUM(D36:D63)</f>
        <v>3602145</v>
      </c>
      <c r="E64" s="32">
        <f>SUM(E36:E63)</f>
        <v>6978019</v>
      </c>
      <c r="F64" s="33">
        <f t="shared" si="3"/>
        <v>1.9371843720894077</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19632</v>
      </c>
      <c r="E67" s="16">
        <f>IF(F3="1",SUMIF(Data!A:A,'43'!$A$2,Data!DY:DY),0)</f>
        <v>30872</v>
      </c>
      <c r="F67" s="21">
        <f>IFERROR(E67/D67,"")</f>
        <v>1.5725346373268134</v>
      </c>
    </row>
    <row r="68" spans="1:6" x14ac:dyDescent="0.2">
      <c r="A68" s="20">
        <v>2</v>
      </c>
      <c r="B68" s="202" t="s">
        <v>1</v>
      </c>
      <c r="C68" s="203"/>
      <c r="D68" s="15">
        <f t="shared" ref="D68:D94" si="4">D37</f>
        <v>13448</v>
      </c>
      <c r="E68" s="18">
        <f>IF(F3="1",SUMIF(Data!A:A,'43'!$A$2,Data!DZ:DZ),0)</f>
        <v>25949</v>
      </c>
      <c r="F68" s="22">
        <f t="shared" ref="F68:F95" si="5">IFERROR(E68/D68,"")</f>
        <v>1.9295806067816776</v>
      </c>
    </row>
    <row r="69" spans="1:6" ht="14.25" customHeight="1" x14ac:dyDescent="0.2">
      <c r="A69" s="20">
        <v>3</v>
      </c>
      <c r="B69" s="202" t="s">
        <v>2</v>
      </c>
      <c r="C69" s="203"/>
      <c r="D69" s="15">
        <f t="shared" si="4"/>
        <v>469328</v>
      </c>
      <c r="E69" s="18">
        <f>IF(F3="1",SUMIF(Data!A:A,'43'!$A$2,Data!EA:EA),0)</f>
        <v>1176406</v>
      </c>
      <c r="F69" s="22">
        <f t="shared" si="5"/>
        <v>2.5065753588108954</v>
      </c>
    </row>
    <row r="70" spans="1:6" ht="14.25" customHeight="1" x14ac:dyDescent="0.2">
      <c r="A70" s="20">
        <v>4</v>
      </c>
      <c r="B70" s="202" t="s">
        <v>3</v>
      </c>
      <c r="C70" s="203"/>
      <c r="D70" s="15">
        <f t="shared" si="4"/>
        <v>144128</v>
      </c>
      <c r="E70" s="18">
        <f>IF(F3="1",SUMIF(Data!A:A,'43'!$A$2,Data!EB:EB),0)</f>
        <v>1336415</v>
      </c>
      <c r="F70" s="22">
        <f t="shared" si="5"/>
        <v>9.2724175732682053</v>
      </c>
    </row>
    <row r="71" spans="1:6" x14ac:dyDescent="0.2">
      <c r="A71" s="20">
        <v>5</v>
      </c>
      <c r="B71" s="202" t="s">
        <v>4</v>
      </c>
      <c r="C71" s="203"/>
      <c r="D71" s="15">
        <f t="shared" si="4"/>
        <v>0</v>
      </c>
      <c r="E71" s="18">
        <f>IF(F3="1",SUMIF(Data!A:A,'43'!$A$2,Data!EC:EC),0)</f>
        <v>0</v>
      </c>
      <c r="F71" s="22" t="str">
        <f t="shared" si="5"/>
        <v/>
      </c>
    </row>
    <row r="72" spans="1:6" x14ac:dyDescent="0.2">
      <c r="A72" s="20">
        <v>6</v>
      </c>
      <c r="B72" s="202" t="s">
        <v>5</v>
      </c>
      <c r="C72" s="203"/>
      <c r="D72" s="15">
        <f t="shared" si="4"/>
        <v>14825</v>
      </c>
      <c r="E72" s="18">
        <f>IF(F3="1",SUMIF(Data!A:A,'43'!$A$2,Data!ED:ED),0)</f>
        <v>19964</v>
      </c>
      <c r="F72" s="22">
        <f t="shared" si="5"/>
        <v>1.3466441821247892</v>
      </c>
    </row>
    <row r="73" spans="1:6" x14ac:dyDescent="0.2">
      <c r="A73" s="20">
        <v>7</v>
      </c>
      <c r="B73" s="202" t="s">
        <v>6</v>
      </c>
      <c r="C73" s="203"/>
      <c r="D73" s="15">
        <f t="shared" si="4"/>
        <v>85069</v>
      </c>
      <c r="E73" s="18">
        <f>IF(F3="1",SUMIF(Data!A:A,'43'!$A$2,Data!EE:EE),0)</f>
        <v>303226</v>
      </c>
      <c r="F73" s="22">
        <f t="shared" si="5"/>
        <v>3.564471193971952</v>
      </c>
    </row>
    <row r="74" spans="1:6" x14ac:dyDescent="0.2">
      <c r="A74" s="20">
        <v>8</v>
      </c>
      <c r="B74" s="202" t="s">
        <v>7</v>
      </c>
      <c r="C74" s="203"/>
      <c r="D74" s="15">
        <f t="shared" si="4"/>
        <v>6192</v>
      </c>
      <c r="E74" s="18">
        <f>IF(F3="1",SUMIF(Data!A:A,'43'!$A$2,Data!EF:EF),0)</f>
        <v>29312</v>
      </c>
      <c r="F74" s="22">
        <f t="shared" si="5"/>
        <v>4.7338501291989665</v>
      </c>
    </row>
    <row r="75" spans="1:6" x14ac:dyDescent="0.2">
      <c r="A75" s="20">
        <v>9</v>
      </c>
      <c r="B75" s="202" t="s">
        <v>8</v>
      </c>
      <c r="C75" s="203"/>
      <c r="D75" s="15">
        <f t="shared" si="4"/>
        <v>75504</v>
      </c>
      <c r="E75" s="18">
        <f>IF(F3="1",SUMIF(Data!A:A,'43'!$A$2,Data!EG:EG),0)</f>
        <v>1216889</v>
      </c>
      <c r="F75" s="22">
        <f t="shared" si="5"/>
        <v>16.116881224835769</v>
      </c>
    </row>
    <row r="76" spans="1:6" x14ac:dyDescent="0.2">
      <c r="A76" s="20">
        <v>10</v>
      </c>
      <c r="B76" s="202" t="s">
        <v>9</v>
      </c>
      <c r="C76" s="203"/>
      <c r="D76" s="15">
        <f t="shared" si="4"/>
        <v>7616</v>
      </c>
      <c r="E76" s="18">
        <f>IF(F3="1",SUMIF(Data!A:A,'43'!$A$2,Data!EH:EH),0)</f>
        <v>548293</v>
      </c>
      <c r="F76" s="22">
        <f t="shared" si="5"/>
        <v>71.992253151260499</v>
      </c>
    </row>
    <row r="77" spans="1:6" x14ac:dyDescent="0.2">
      <c r="A77" s="20">
        <v>11</v>
      </c>
      <c r="B77" s="202" t="s">
        <v>10</v>
      </c>
      <c r="C77" s="203"/>
      <c r="D77" s="15">
        <f t="shared" si="4"/>
        <v>94622</v>
      </c>
      <c r="E77" s="18">
        <f>IF(F3="1",SUMIF(Data!A:A,'43'!$A$2,Data!EI:EI),0)</f>
        <v>481798</v>
      </c>
      <c r="F77" s="22">
        <f t="shared" si="5"/>
        <v>5.0918179704508466</v>
      </c>
    </row>
    <row r="78" spans="1:6" ht="14.25" customHeight="1" x14ac:dyDescent="0.2">
      <c r="A78" s="20">
        <v>12</v>
      </c>
      <c r="B78" s="202" t="s">
        <v>11</v>
      </c>
      <c r="C78" s="203"/>
      <c r="D78" s="15">
        <f t="shared" si="4"/>
        <v>292197</v>
      </c>
      <c r="E78" s="18">
        <f>IF(F3="1",SUMIF(Data!A:A,'43'!$A$2,Data!EJ:EJ),0)</f>
        <v>870215</v>
      </c>
      <c r="F78" s="22">
        <f t="shared" si="5"/>
        <v>2.9781791051927295</v>
      </c>
    </row>
    <row r="79" spans="1:6" x14ac:dyDescent="0.2">
      <c r="A79" s="20">
        <v>13</v>
      </c>
      <c r="B79" s="202" t="s">
        <v>12</v>
      </c>
      <c r="C79" s="203"/>
      <c r="D79" s="15">
        <f t="shared" si="4"/>
        <v>234096</v>
      </c>
      <c r="E79" s="18">
        <f>IF(F3="1",SUMIF(Data!A:A,'43'!$A$2,Data!EK:EK),0)</f>
        <v>699265</v>
      </c>
      <c r="F79" s="22">
        <f t="shared" si="5"/>
        <v>2.9870864944296356</v>
      </c>
    </row>
    <row r="80" spans="1:6" ht="14.25" customHeight="1" x14ac:dyDescent="0.2">
      <c r="A80" s="20">
        <v>14</v>
      </c>
      <c r="B80" s="202" t="s">
        <v>449</v>
      </c>
      <c r="C80" s="203"/>
      <c r="D80" s="15">
        <f t="shared" si="4"/>
        <v>153328</v>
      </c>
      <c r="E80" s="18">
        <f>IF(F3="1",SUMIF(Data!A:A,'43'!$A$2,Data!EL:EL),0)</f>
        <v>1254249</v>
      </c>
      <c r="F80" s="22">
        <f t="shared" si="5"/>
        <v>8.1801693102368773</v>
      </c>
    </row>
    <row r="81" spans="1:6" x14ac:dyDescent="0.2">
      <c r="A81" s="20">
        <v>15</v>
      </c>
      <c r="B81" s="202" t="s">
        <v>13</v>
      </c>
      <c r="C81" s="203"/>
      <c r="D81" s="15">
        <f t="shared" si="4"/>
        <v>0</v>
      </c>
      <c r="E81" s="18">
        <f>IF(F3="1",SUMIF(Data!A:A,'43'!$A$2,Data!EM:EM),0)</f>
        <v>0</v>
      </c>
      <c r="F81" s="22" t="str">
        <f t="shared" si="5"/>
        <v/>
      </c>
    </row>
    <row r="82" spans="1:6" x14ac:dyDescent="0.2">
      <c r="A82" s="20">
        <v>16</v>
      </c>
      <c r="B82" s="202" t="s">
        <v>14</v>
      </c>
      <c r="C82" s="203"/>
      <c r="D82" s="15">
        <f t="shared" si="4"/>
        <v>171781</v>
      </c>
      <c r="E82" s="18">
        <f>IF(F3="1",SUMIF(Data!A:A,'43'!$A$2,Data!EN:EN),0)</f>
        <v>1285909</v>
      </c>
      <c r="F82" s="22">
        <f t="shared" si="5"/>
        <v>7.4857463863873184</v>
      </c>
    </row>
    <row r="83" spans="1:6" x14ac:dyDescent="0.2">
      <c r="A83" s="20">
        <v>17</v>
      </c>
      <c r="B83" s="202" t="s">
        <v>15</v>
      </c>
      <c r="C83" s="203"/>
      <c r="D83" s="15">
        <f t="shared" si="4"/>
        <v>30608</v>
      </c>
      <c r="E83" s="18">
        <f>IF(F3="1",SUMIF(Data!A:A,'43'!$A$2,Data!EO:EO),0)</f>
        <v>285630</v>
      </c>
      <c r="F83" s="22">
        <f t="shared" si="5"/>
        <v>9.3318740198640882</v>
      </c>
    </row>
    <row r="84" spans="1:6" x14ac:dyDescent="0.2">
      <c r="A84" s="20">
        <v>18</v>
      </c>
      <c r="B84" s="202" t="s">
        <v>16</v>
      </c>
      <c r="C84" s="203"/>
      <c r="D84" s="15">
        <f t="shared" si="4"/>
        <v>71680</v>
      </c>
      <c r="E84" s="18">
        <f>IF(F3="1",SUMIF(Data!A:A,'43'!$A$2,Data!EP:EP),0)</f>
        <v>563654</v>
      </c>
      <c r="F84" s="22">
        <f t="shared" si="5"/>
        <v>7.8634765624999998</v>
      </c>
    </row>
    <row r="85" spans="1:6" x14ac:dyDescent="0.2">
      <c r="A85" s="20">
        <v>19</v>
      </c>
      <c r="B85" s="202" t="s">
        <v>17</v>
      </c>
      <c r="C85" s="203"/>
      <c r="D85" s="15">
        <f t="shared" si="4"/>
        <v>235511</v>
      </c>
      <c r="E85" s="18">
        <f>IF(F3="1",SUMIF(Data!A:A,'43'!$A$2,Data!EQ:EQ),0)</f>
        <v>379670</v>
      </c>
      <c r="F85" s="22">
        <f t="shared" si="5"/>
        <v>1.6121115361915155</v>
      </c>
    </row>
    <row r="86" spans="1:6" x14ac:dyDescent="0.2">
      <c r="A86" s="20">
        <v>20</v>
      </c>
      <c r="B86" s="202" t="s">
        <v>18</v>
      </c>
      <c r="C86" s="203"/>
      <c r="D86" s="15">
        <f t="shared" si="4"/>
        <v>76080</v>
      </c>
      <c r="E86" s="18">
        <f>IF(F3="1",SUMIF(Data!A:A,'43'!$A$2,Data!ER:ER),0)</f>
        <v>357912</v>
      </c>
      <c r="F86" s="22">
        <f t="shared" si="5"/>
        <v>4.7044164037854888</v>
      </c>
    </row>
    <row r="87" spans="1:6" ht="14.25" customHeight="1" x14ac:dyDescent="0.2">
      <c r="A87" s="20">
        <v>21</v>
      </c>
      <c r="B87" s="202" t="s">
        <v>446</v>
      </c>
      <c r="C87" s="203"/>
      <c r="D87" s="15">
        <f t="shared" si="4"/>
        <v>0</v>
      </c>
      <c r="E87" s="18">
        <f>IF(F3="1",SUMIF(Data!A:A,'43'!$A$2,Data!ES:ES),0)</f>
        <v>0</v>
      </c>
      <c r="F87" s="22" t="str">
        <f t="shared" si="5"/>
        <v/>
      </c>
    </row>
    <row r="88" spans="1:6" x14ac:dyDescent="0.2">
      <c r="A88" s="20">
        <v>22</v>
      </c>
      <c r="B88" s="202" t="s">
        <v>19</v>
      </c>
      <c r="C88" s="203"/>
      <c r="D88" s="15">
        <f t="shared" si="4"/>
        <v>5968</v>
      </c>
      <c r="E88" s="18">
        <f>IF(F3="1",SUMIF(Data!A:A,'43'!$A$2,Data!ET:ET),0)</f>
        <v>25536</v>
      </c>
      <c r="F88" s="22">
        <f t="shared" si="5"/>
        <v>4.2788203753351208</v>
      </c>
    </row>
    <row r="89" spans="1:6" x14ac:dyDescent="0.2">
      <c r="A89" s="20">
        <v>23</v>
      </c>
      <c r="B89" s="202" t="s">
        <v>20</v>
      </c>
      <c r="C89" s="203"/>
      <c r="D89" s="15">
        <f t="shared" si="4"/>
        <v>84368</v>
      </c>
      <c r="E89" s="18">
        <f>IF(F3="1",SUMIF(Data!A:A,'43'!$A$2,Data!EU:EU),0)</f>
        <v>266803</v>
      </c>
      <c r="F89" s="22">
        <f t="shared" si="5"/>
        <v>3.1623719893798596</v>
      </c>
    </row>
    <row r="90" spans="1:6" x14ac:dyDescent="0.2">
      <c r="A90" s="20">
        <v>24</v>
      </c>
      <c r="B90" s="202" t="s">
        <v>21</v>
      </c>
      <c r="C90" s="203"/>
      <c r="D90" s="15">
        <f t="shared" si="4"/>
        <v>117188</v>
      </c>
      <c r="E90" s="18">
        <f>IF(F3="1",SUMIF(Data!A:A,'43'!$A$2,Data!EV:EV),0)</f>
        <v>335856</v>
      </c>
      <c r="F90" s="22">
        <f t="shared" si="5"/>
        <v>2.8659589719083867</v>
      </c>
    </row>
    <row r="91" spans="1:6" x14ac:dyDescent="0.2">
      <c r="A91" s="20">
        <v>25</v>
      </c>
      <c r="B91" s="202" t="s">
        <v>22</v>
      </c>
      <c r="C91" s="203"/>
      <c r="D91" s="15">
        <f t="shared" si="4"/>
        <v>588432</v>
      </c>
      <c r="E91" s="18">
        <f>IF(F3="1",SUMIF(Data!A:A,'43'!$A$2,Data!EW:EW),0)</f>
        <v>1752019</v>
      </c>
      <c r="F91" s="22">
        <f t="shared" si="5"/>
        <v>2.9774366451858501</v>
      </c>
    </row>
    <row r="92" spans="1:6" x14ac:dyDescent="0.2">
      <c r="A92" s="20">
        <v>26</v>
      </c>
      <c r="B92" s="202" t="s">
        <v>23</v>
      </c>
      <c r="C92" s="203"/>
      <c r="D92" s="15">
        <f t="shared" si="4"/>
        <v>239216</v>
      </c>
      <c r="E92" s="18">
        <f>IF(F3="1",SUMIF(Data!A:A,'43'!$A$2,Data!EX:EX),0)</f>
        <v>1221255</v>
      </c>
      <c r="F92" s="22">
        <f t="shared" si="5"/>
        <v>5.1052396160791922</v>
      </c>
    </row>
    <row r="93" spans="1:6" x14ac:dyDescent="0.2">
      <c r="A93" s="20">
        <v>28</v>
      </c>
      <c r="B93" s="202" t="s">
        <v>24</v>
      </c>
      <c r="C93" s="203"/>
      <c r="D93" s="15">
        <f t="shared" si="4"/>
        <v>216912</v>
      </c>
      <c r="E93" s="18">
        <f>IF(F3="1",SUMIF(Data!A:A,'43'!$A$2,Data!EZ:EZ),0)</f>
        <v>344621</v>
      </c>
      <c r="F93" s="22">
        <f t="shared" si="5"/>
        <v>1.5887594969388508</v>
      </c>
    </row>
    <row r="94" spans="1:6" ht="15.75" customHeight="1" thickBot="1" x14ac:dyDescent="0.25">
      <c r="A94" s="23">
        <v>29</v>
      </c>
      <c r="B94" s="206" t="s">
        <v>25</v>
      </c>
      <c r="C94" s="207"/>
      <c r="D94" s="24">
        <f t="shared" si="4"/>
        <v>154416</v>
      </c>
      <c r="E94" s="25">
        <f>IF(F3="1",SUMIF(Data!A:A,'43'!$A$2,Data!FA:FA),0)</f>
        <v>322668</v>
      </c>
      <c r="F94" s="26">
        <f t="shared" si="5"/>
        <v>2.0896021137705936</v>
      </c>
    </row>
    <row r="95" spans="1:6" x14ac:dyDescent="0.2">
      <c r="B95" s="31" t="s">
        <v>35</v>
      </c>
      <c r="C95" s="31"/>
      <c r="D95" s="60">
        <f>SUM(D67:D94)</f>
        <v>3602145</v>
      </c>
      <c r="E95" s="32">
        <f>SUM(E67:E94)</f>
        <v>15134386</v>
      </c>
      <c r="F95" s="33">
        <f t="shared" si="5"/>
        <v>4.2014927216977664</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IF(F3="1",SUMIF(Data!A:A,'43'!$A$2,Data!AH:AH),0)</f>
        <v>7385576</v>
      </c>
      <c r="F98" s="21">
        <f t="shared" ref="F98:F105" si="6">IFERROR(E98/$D$95,0)</f>
        <v>2.0503272355776905</v>
      </c>
    </row>
    <row r="99" spans="2:6" x14ac:dyDescent="0.2">
      <c r="B99" s="212" t="s">
        <v>31</v>
      </c>
      <c r="C99" s="213"/>
      <c r="D99" s="37"/>
      <c r="E99" s="18">
        <f>IF(F3="1",SUMIF(Data!A:A,'43'!$A$2,Data!AI:AI),0)</f>
        <v>7392066</v>
      </c>
      <c r="F99" s="22">
        <f t="shared" si="6"/>
        <v>2.0521289398400122</v>
      </c>
    </row>
    <row r="100" spans="2:6" x14ac:dyDescent="0.2">
      <c r="B100" s="212" t="s">
        <v>32</v>
      </c>
      <c r="C100" s="213"/>
      <c r="D100" s="37"/>
      <c r="E100" s="18">
        <f>IF(F3="1",SUMIF(Data!A:A,'43'!$A$2,Data!AJ:AJ),0)</f>
        <v>5032570</v>
      </c>
      <c r="F100" s="22">
        <f t="shared" si="6"/>
        <v>1.3971036701742989</v>
      </c>
    </row>
    <row r="101" spans="2:6" x14ac:dyDescent="0.2">
      <c r="B101" s="212" t="s">
        <v>28</v>
      </c>
      <c r="C101" s="213"/>
      <c r="D101" s="37"/>
      <c r="E101" s="18">
        <f>IF(F3="1",SUMIF(Data!A:A,'43'!$A$2,Data!AK:AK),0)</f>
        <v>0</v>
      </c>
      <c r="F101" s="22">
        <f t="shared" si="6"/>
        <v>0</v>
      </c>
    </row>
    <row r="102" spans="2:6" x14ac:dyDescent="0.2">
      <c r="B102" s="212" t="s">
        <v>33</v>
      </c>
      <c r="C102" s="213"/>
      <c r="D102" s="37"/>
      <c r="E102" s="18">
        <f>IF(F3="1",SUMIF(Data!A:A,'43'!$A$2,Data!AL:AL),0)</f>
        <v>2359959</v>
      </c>
      <c r="F102" s="22">
        <f t="shared" si="6"/>
        <v>0.65515380419166913</v>
      </c>
    </row>
    <row r="103" spans="2:6" x14ac:dyDescent="0.2">
      <c r="B103" s="214" t="s">
        <v>34</v>
      </c>
      <c r="C103" s="215"/>
      <c r="D103" s="37"/>
      <c r="E103" s="18">
        <f>IF(F3="1",SUMIF(Data!A:A,'43'!$A$2,Data!AM:AM),0)</f>
        <v>0</v>
      </c>
      <c r="F103" s="22">
        <f t="shared" si="6"/>
        <v>0</v>
      </c>
    </row>
    <row r="104" spans="2:6" ht="15.75" customHeight="1" thickBot="1" x14ac:dyDescent="0.25">
      <c r="B104" s="208" t="s">
        <v>29</v>
      </c>
      <c r="C104" s="209"/>
      <c r="D104" s="38"/>
      <c r="E104" s="25">
        <f>IF(F3="1",SUMIF(Data!A:A,'43'!$A$2,Data!Q:Q),0)</f>
        <v>2359283</v>
      </c>
      <c r="F104" s="26">
        <f t="shared" si="6"/>
        <v>0.65496613823152594</v>
      </c>
    </row>
    <row r="105" spans="2:6" x14ac:dyDescent="0.2">
      <c r="B105" s="31" t="s">
        <v>35</v>
      </c>
      <c r="C105" s="31"/>
      <c r="D105" s="35">
        <f>D95</f>
        <v>3602145</v>
      </c>
      <c r="E105" s="32">
        <f>SUM(E98:E104)</f>
        <v>24529454</v>
      </c>
      <c r="F105" s="33">
        <f t="shared" si="6"/>
        <v>6.8096797880151962</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18298620</v>
      </c>
      <c r="D109" s="192">
        <f>IF(F3="1",SUMIF(Data!$A:$A,$A$2,Data!HJ:HJ),0)</f>
        <v>3056132</v>
      </c>
      <c r="E109" s="192">
        <f>IF(F3="1",SUMIF(Data!$A:$A,$A$2,Data!IN:IN),0)</f>
        <v>757652</v>
      </c>
      <c r="F109" s="48">
        <f>SUM(C109:E109)</f>
        <v>22112404</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322504</v>
      </c>
      <c r="D111" s="52"/>
      <c r="E111" s="193">
        <f>IF(F3="1",SUMIF(Data!A:A,$A$2,Data!AX:AX)-SUMIF(Data!A:A,$A$2,Data!AW:AW),0)</f>
        <v>127896</v>
      </c>
      <c r="F111" s="49">
        <f t="shared" si="7"/>
        <v>450400</v>
      </c>
    </row>
    <row r="112" spans="2:6" x14ac:dyDescent="0.2">
      <c r="B112" s="43" t="s">
        <v>32</v>
      </c>
      <c r="C112" s="193">
        <f>IF(F3="1",SUMIF(Data!A:A,$A$2,Data!V:V),0)</f>
        <v>3340611</v>
      </c>
      <c r="D112" s="52"/>
      <c r="E112" s="193">
        <f>IF(F3="1",SUMIF(Data!A:A,$A$2,Data!AC:AC),0)</f>
        <v>1691959</v>
      </c>
      <c r="F112" s="49">
        <f t="shared" si="7"/>
        <v>5032570</v>
      </c>
    </row>
    <row r="113" spans="1:6" x14ac:dyDescent="0.2">
      <c r="B113" s="43" t="s">
        <v>31</v>
      </c>
      <c r="C113" s="193">
        <f>IF(F3="1",SUMIF(Data!A:A,$A$2,Data!U:U),0)</f>
        <v>5509257</v>
      </c>
      <c r="D113" s="52"/>
      <c r="E113" s="193">
        <f>IF(F3="1",SUMIF(Data!A:A,$A$2,Data!AB:AB),0)</f>
        <v>1882809</v>
      </c>
      <c r="F113" s="49">
        <f t="shared" si="7"/>
        <v>7392066</v>
      </c>
    </row>
    <row r="114" spans="1:6" x14ac:dyDescent="0.2">
      <c r="B114" s="43" t="s">
        <v>1002</v>
      </c>
      <c r="C114" s="193">
        <f>IF(F3="1",SUMIF(Data!A:A,$A$2,Data!T:T),0)</f>
        <v>2772370</v>
      </c>
      <c r="D114" s="52"/>
      <c r="E114" s="193">
        <f>IF(F3="1",SUMIF(Data!A:A,$A$2,Data!AA:AA),0)</f>
        <v>4613206</v>
      </c>
      <c r="F114" s="49">
        <f t="shared" si="7"/>
        <v>7385576</v>
      </c>
    </row>
    <row r="115" spans="1:6" x14ac:dyDescent="0.2">
      <c r="B115" s="43" t="s">
        <v>916</v>
      </c>
      <c r="C115" s="193">
        <f>IF(F3="1",SUMIF(Data!A:A,$A$2,Data!BI:BI),0)</f>
        <v>1502272</v>
      </c>
      <c r="D115" s="193">
        <f>IF(F3="1",SUMIF(Data!A:A,$A$2,Data!BL:BL),0)</f>
        <v>404478</v>
      </c>
      <c r="E115" s="193">
        <f>IF(F3="1",SUMIF(Data!A:A,$A$2,Data!BU:BU)-SUMIF(Data!A:A,$A$2,Data!BT:BT),0)</f>
        <v>3187908</v>
      </c>
      <c r="F115" s="49">
        <f t="shared" si="7"/>
        <v>5094658</v>
      </c>
    </row>
    <row r="116" spans="1:6" x14ac:dyDescent="0.2">
      <c r="B116" s="43" t="s">
        <v>33</v>
      </c>
      <c r="C116" s="193">
        <f>IF(F3="1",SUMIF(Data!A:A,$A$2,Data!X:X),0)</f>
        <v>11126</v>
      </c>
      <c r="D116" s="51"/>
      <c r="E116" s="193">
        <f>E102-C116</f>
        <v>2348833</v>
      </c>
      <c r="F116" s="49">
        <f t="shared" si="7"/>
        <v>2359959</v>
      </c>
    </row>
    <row r="117" spans="1:6" ht="15" thickBot="1" x14ac:dyDescent="0.25">
      <c r="B117" s="44" t="s">
        <v>920</v>
      </c>
      <c r="C117" s="53"/>
      <c r="D117" s="53">
        <f>IF(F3="1",SUMIF(Data!A:A,$A$2,Data!Q:Q),0)</f>
        <v>2359283</v>
      </c>
      <c r="E117" s="53"/>
      <c r="F117" s="50">
        <f>SUM(C117:E117)</f>
        <v>2359283</v>
      </c>
    </row>
    <row r="118" spans="1:6" x14ac:dyDescent="0.2">
      <c r="B118" s="14" t="s">
        <v>35</v>
      </c>
      <c r="C118" s="178">
        <f>SUM(C109:C117)</f>
        <v>31756760</v>
      </c>
      <c r="D118" s="194">
        <f>SUM(D109:D117)</f>
        <v>5819893</v>
      </c>
      <c r="E118" s="178">
        <f>SUM(E109:E117)</f>
        <v>14610263</v>
      </c>
      <c r="F118" s="178">
        <f>SUM(F109:F117)</f>
        <v>52186916</v>
      </c>
    </row>
    <row r="119" spans="1:6" x14ac:dyDescent="0.2">
      <c r="C119" s="177"/>
      <c r="D119" s="177"/>
      <c r="E119" s="177"/>
    </row>
    <row r="120" spans="1:6" ht="15" thickBot="1" x14ac:dyDescent="0.25">
      <c r="B120" s="188" t="s">
        <v>921</v>
      </c>
      <c r="C120" s="53"/>
      <c r="D120" s="53"/>
      <c r="E120" s="195">
        <f>IF(F3="1",SUMIF(Data!A:A,$A$2,Data!AF:AF)+SUMIF(Data!A:A,$A$2,Data!AW:AW)+SUMIF(Data!A:A,$A$2,Data!BT:BT),0)</f>
        <v>250355</v>
      </c>
      <c r="F120" s="181">
        <f>SUM(C120:E120)</f>
        <v>250355</v>
      </c>
    </row>
    <row r="121" spans="1:6" s="177" customFormat="1" x14ac:dyDescent="0.2">
      <c r="B121" s="14" t="s">
        <v>35</v>
      </c>
      <c r="C121" s="178">
        <f>SUM(C120:C120)</f>
        <v>0</v>
      </c>
      <c r="D121" s="178">
        <f>SUM(D120:D120)</f>
        <v>0</v>
      </c>
      <c r="E121" s="178">
        <f>SUM(E120:E120)</f>
        <v>250355</v>
      </c>
      <c r="F121" s="178">
        <f>SUM(F120:F120)</f>
        <v>250355</v>
      </c>
    </row>
    <row r="122" spans="1:6" s="177" customFormat="1" ht="15" thickBot="1" x14ac:dyDescent="0.25">
      <c r="B122" s="14" t="s">
        <v>1396</v>
      </c>
      <c r="C122" s="178"/>
      <c r="D122" s="178"/>
      <c r="E122" s="178"/>
      <c r="F122" s="190">
        <f>F118+F121</f>
        <v>52437271</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370</v>
      </c>
      <c r="B2" s="59" t="str">
        <f>VLOOKUP(A2,Data!A:G,7,0)</f>
        <v>Trinity Valley Community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60832</v>
      </c>
      <c r="E5" s="16">
        <f>E36+E67+IFERROR($E$105/$D$105*D5,0)</f>
        <v>475345.25559578429</v>
      </c>
      <c r="F5" s="21">
        <f>IFERROR(E5/D5,"")</f>
        <v>7.814065879730804</v>
      </c>
    </row>
    <row r="6" spans="1:6" x14ac:dyDescent="0.2">
      <c r="A6" s="20">
        <v>2</v>
      </c>
      <c r="B6" s="202" t="s">
        <v>1</v>
      </c>
      <c r="C6" s="203"/>
      <c r="D6" s="15">
        <f t="shared" ref="D6:D32" si="0">D37</f>
        <v>134272</v>
      </c>
      <c r="E6" s="18">
        <f t="shared" ref="E6:E32" si="1">E37+E68+IFERROR($E$105/$D$105*D6,0)</f>
        <v>705369.7950972704</v>
      </c>
      <c r="F6" s="22">
        <f t="shared" ref="F6:F33" si="2">IFERROR(E6/D6,"")</f>
        <v>5.2532902995209012</v>
      </c>
    </row>
    <row r="7" spans="1:6" ht="14.25" customHeight="1" x14ac:dyDescent="0.2">
      <c r="A7" s="20">
        <v>3</v>
      </c>
      <c r="B7" s="202" t="s">
        <v>2</v>
      </c>
      <c r="C7" s="203"/>
      <c r="D7" s="15">
        <f t="shared" si="0"/>
        <v>415848</v>
      </c>
      <c r="E7" s="18">
        <f t="shared" si="1"/>
        <v>2627668.3202425651</v>
      </c>
      <c r="F7" s="22">
        <f t="shared" si="2"/>
        <v>6.3188191845158928</v>
      </c>
    </row>
    <row r="8" spans="1:6" ht="14.25" customHeight="1" x14ac:dyDescent="0.2">
      <c r="A8" s="20">
        <v>4</v>
      </c>
      <c r="B8" s="202" t="s">
        <v>3</v>
      </c>
      <c r="C8" s="203"/>
      <c r="D8" s="15">
        <f t="shared" si="0"/>
        <v>379268</v>
      </c>
      <c r="E8" s="18">
        <f t="shared" si="1"/>
        <v>2675100.3597991504</v>
      </c>
      <c r="F8" s="22">
        <f t="shared" si="2"/>
        <v>7.053324719721016</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11008</v>
      </c>
      <c r="E10" s="18">
        <f t="shared" si="1"/>
        <v>116666.03467908985</v>
      </c>
      <c r="F10" s="22">
        <f t="shared" si="2"/>
        <v>10.598295301516156</v>
      </c>
    </row>
    <row r="11" spans="1:6" x14ac:dyDescent="0.2">
      <c r="A11" s="20">
        <v>7</v>
      </c>
      <c r="B11" s="202" t="s">
        <v>6</v>
      </c>
      <c r="C11" s="203"/>
      <c r="D11" s="15">
        <f t="shared" si="0"/>
        <v>143647</v>
      </c>
      <c r="E11" s="18">
        <f t="shared" si="1"/>
        <v>583532.86478444957</v>
      </c>
      <c r="F11" s="22">
        <f t="shared" si="2"/>
        <v>4.062269763966178</v>
      </c>
    </row>
    <row r="12" spans="1:6" x14ac:dyDescent="0.2">
      <c r="A12" s="20">
        <v>8</v>
      </c>
      <c r="B12" s="202" t="s">
        <v>7</v>
      </c>
      <c r="C12" s="203"/>
      <c r="D12" s="15">
        <f t="shared" si="0"/>
        <v>112524</v>
      </c>
      <c r="E12" s="18">
        <f t="shared" si="1"/>
        <v>639781.17498454824</v>
      </c>
      <c r="F12" s="22">
        <f t="shared" si="2"/>
        <v>5.6857308217317923</v>
      </c>
    </row>
    <row r="13" spans="1:6" x14ac:dyDescent="0.2">
      <c r="A13" s="20">
        <v>9</v>
      </c>
      <c r="B13" s="202" t="s">
        <v>8</v>
      </c>
      <c r="C13" s="203"/>
      <c r="D13" s="15">
        <f t="shared" si="0"/>
        <v>181488</v>
      </c>
      <c r="E13" s="18">
        <f t="shared" si="1"/>
        <v>1133168.5397745874</v>
      </c>
      <c r="F13" s="22">
        <f t="shared" si="2"/>
        <v>6.2437656471755014</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141280</v>
      </c>
      <c r="E15" s="18">
        <f t="shared" si="1"/>
        <v>816560.70670983056</v>
      </c>
      <c r="F15" s="22">
        <f t="shared" si="2"/>
        <v>5.7797332015135234</v>
      </c>
    </row>
    <row r="16" spans="1:6" ht="14.25" customHeight="1" x14ac:dyDescent="0.2">
      <c r="A16" s="20">
        <v>12</v>
      </c>
      <c r="B16" s="202" t="s">
        <v>11</v>
      </c>
      <c r="C16" s="203"/>
      <c r="D16" s="15">
        <f t="shared" si="0"/>
        <v>349872</v>
      </c>
      <c r="E16" s="18">
        <f t="shared" si="1"/>
        <v>2174738.1283832234</v>
      </c>
      <c r="F16" s="22">
        <f t="shared" si="2"/>
        <v>6.2158107204441153</v>
      </c>
    </row>
    <row r="17" spans="1:6" x14ac:dyDescent="0.2">
      <c r="A17" s="20">
        <v>13</v>
      </c>
      <c r="B17" s="202" t="s">
        <v>12</v>
      </c>
      <c r="C17" s="203"/>
      <c r="D17" s="15">
        <f t="shared" si="0"/>
        <v>44044</v>
      </c>
      <c r="E17" s="18">
        <f t="shared" si="1"/>
        <v>246264.30808555899</v>
      </c>
      <c r="F17" s="22">
        <f t="shared" si="2"/>
        <v>5.5913247680855278</v>
      </c>
    </row>
    <row r="18" spans="1:6" ht="14.25" customHeight="1" x14ac:dyDescent="0.2">
      <c r="A18" s="20">
        <v>14</v>
      </c>
      <c r="B18" s="202" t="s">
        <v>449</v>
      </c>
      <c r="C18" s="203"/>
      <c r="D18" s="15">
        <f t="shared" si="0"/>
        <v>224364</v>
      </c>
      <c r="E18" s="18">
        <f t="shared" si="1"/>
        <v>1835482.6959247198</v>
      </c>
      <c r="F18" s="22">
        <f t="shared" si="2"/>
        <v>8.1808253370626289</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144722</v>
      </c>
      <c r="E20" s="18">
        <f t="shared" si="1"/>
        <v>866578.45410857932</v>
      </c>
      <c r="F20" s="22">
        <f t="shared" si="2"/>
        <v>5.9878833495154797</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79232</v>
      </c>
      <c r="E22" s="18">
        <f t="shared" si="1"/>
        <v>574869.6217018211</v>
      </c>
      <c r="F22" s="22">
        <f t="shared" si="2"/>
        <v>7.2555232949038411</v>
      </c>
    </row>
    <row r="23" spans="1:6" x14ac:dyDescent="0.2">
      <c r="A23" s="20">
        <v>19</v>
      </c>
      <c r="B23" s="202" t="s">
        <v>17</v>
      </c>
      <c r="C23" s="203"/>
      <c r="D23" s="15">
        <f t="shared" si="0"/>
        <v>159373</v>
      </c>
      <c r="E23" s="18">
        <f t="shared" si="1"/>
        <v>1036358.3231205111</v>
      </c>
      <c r="F23" s="22">
        <f t="shared" si="2"/>
        <v>6.5027220615820189</v>
      </c>
    </row>
    <row r="24" spans="1:6" x14ac:dyDescent="0.2">
      <c r="A24" s="20">
        <v>20</v>
      </c>
      <c r="B24" s="202" t="s">
        <v>18</v>
      </c>
      <c r="C24" s="203"/>
      <c r="D24" s="15">
        <f t="shared" si="0"/>
        <v>85280</v>
      </c>
      <c r="E24" s="18">
        <f t="shared" si="1"/>
        <v>522499.98377841408</v>
      </c>
      <c r="F24" s="22">
        <f t="shared" si="2"/>
        <v>6.1268759823922849</v>
      </c>
    </row>
    <row r="25" spans="1:6" ht="14.25" customHeight="1" x14ac:dyDescent="0.2">
      <c r="A25" s="20">
        <v>21</v>
      </c>
      <c r="B25" s="202" t="s">
        <v>446</v>
      </c>
      <c r="C25" s="203"/>
      <c r="D25" s="15">
        <f t="shared" si="0"/>
        <v>0</v>
      </c>
      <c r="E25" s="18">
        <f t="shared" si="1"/>
        <v>0</v>
      </c>
      <c r="F25" s="22" t="str">
        <f t="shared" si="2"/>
        <v/>
      </c>
    </row>
    <row r="26" spans="1:6" x14ac:dyDescent="0.2">
      <c r="A26" s="20">
        <v>22</v>
      </c>
      <c r="B26" s="202" t="s">
        <v>19</v>
      </c>
      <c r="C26" s="203"/>
      <c r="D26" s="15">
        <f t="shared" si="0"/>
        <v>3992</v>
      </c>
      <c r="E26" s="18">
        <f t="shared" si="1"/>
        <v>17734.676820396686</v>
      </c>
      <c r="F26" s="22">
        <f t="shared" si="2"/>
        <v>4.4425543137266246</v>
      </c>
    </row>
    <row r="27" spans="1:6" x14ac:dyDescent="0.2">
      <c r="A27" s="20">
        <v>23</v>
      </c>
      <c r="B27" s="202" t="s">
        <v>20</v>
      </c>
      <c r="C27" s="203"/>
      <c r="D27" s="15">
        <f t="shared" si="0"/>
        <v>66352</v>
      </c>
      <c r="E27" s="18">
        <f t="shared" si="1"/>
        <v>516430.16542759538</v>
      </c>
      <c r="F27" s="22">
        <f t="shared" si="2"/>
        <v>7.7831891341270101</v>
      </c>
    </row>
    <row r="28" spans="1:6" x14ac:dyDescent="0.2">
      <c r="A28" s="20">
        <v>24</v>
      </c>
      <c r="B28" s="202" t="s">
        <v>21</v>
      </c>
      <c r="C28" s="203"/>
      <c r="D28" s="15">
        <f t="shared" si="0"/>
        <v>58344</v>
      </c>
      <c r="E28" s="18">
        <f t="shared" si="1"/>
        <v>380597.47304840281</v>
      </c>
      <c r="F28" s="22">
        <f t="shared" si="2"/>
        <v>6.5233352709516454</v>
      </c>
    </row>
    <row r="29" spans="1:6" x14ac:dyDescent="0.2">
      <c r="A29" s="20">
        <v>25</v>
      </c>
      <c r="B29" s="202" t="s">
        <v>22</v>
      </c>
      <c r="C29" s="203"/>
      <c r="D29" s="15">
        <f t="shared" si="0"/>
        <v>561648</v>
      </c>
      <c r="E29" s="18">
        <f t="shared" si="1"/>
        <v>3326470.1560175745</v>
      </c>
      <c r="F29" s="22">
        <f t="shared" si="2"/>
        <v>5.9226956314588044</v>
      </c>
    </row>
    <row r="30" spans="1:6" x14ac:dyDescent="0.2">
      <c r="A30" s="20">
        <v>26</v>
      </c>
      <c r="B30" s="202" t="s">
        <v>23</v>
      </c>
      <c r="C30" s="203"/>
      <c r="D30" s="15">
        <f t="shared" si="0"/>
        <v>166608</v>
      </c>
      <c r="E30" s="18">
        <f t="shared" si="1"/>
        <v>1413219.5219670967</v>
      </c>
      <c r="F30" s="22">
        <f t="shared" si="2"/>
        <v>8.4823029024242338</v>
      </c>
    </row>
    <row r="31" spans="1:6" x14ac:dyDescent="0.2">
      <c r="A31" s="20">
        <v>28</v>
      </c>
      <c r="B31" s="202" t="s">
        <v>24</v>
      </c>
      <c r="C31" s="203"/>
      <c r="D31" s="15">
        <f t="shared" si="0"/>
        <v>151664</v>
      </c>
      <c r="E31" s="18">
        <f t="shared" si="1"/>
        <v>1021337.9341905417</v>
      </c>
      <c r="F31" s="22">
        <f t="shared" si="2"/>
        <v>6.7342146731626604</v>
      </c>
    </row>
    <row r="32" spans="1:6" ht="15.75" customHeight="1" thickBot="1" x14ac:dyDescent="0.25">
      <c r="A32" s="23">
        <v>29</v>
      </c>
      <c r="B32" s="206" t="s">
        <v>25</v>
      </c>
      <c r="C32" s="207"/>
      <c r="D32" s="24">
        <f t="shared" si="0"/>
        <v>81184</v>
      </c>
      <c r="E32" s="25">
        <f t="shared" si="1"/>
        <v>621728.50575828762</v>
      </c>
      <c r="F32" s="26">
        <f t="shared" si="2"/>
        <v>7.6582640145630618</v>
      </c>
    </row>
    <row r="33" spans="1:6" x14ac:dyDescent="0.2">
      <c r="B33" s="31" t="s">
        <v>35</v>
      </c>
      <c r="C33" s="31"/>
      <c r="D33" s="60">
        <f>SUM(D5:D32)</f>
        <v>3756846</v>
      </c>
      <c r="E33" s="32">
        <f>SUM(E5:E32)</f>
        <v>24327503.000000004</v>
      </c>
      <c r="F33" s="33">
        <f t="shared" si="2"/>
        <v>6.4755124378268381</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IF(F3="1",SUMIF(Data!A:A,'44'!$A$2,Data!CU:CU),0)</f>
        <v>60832</v>
      </c>
      <c r="E36" s="16">
        <f>IF(F3="1",SUMIF(Data!$A:$A,'44'!$A$2,Data!IO:IO),0)</f>
        <v>69931</v>
      </c>
      <c r="F36" s="21">
        <f t="shared" ref="F36:F64" si="3">IFERROR(E36/D36,"")</f>
        <v>1.1495758811152026</v>
      </c>
    </row>
    <row r="37" spans="1:6" x14ac:dyDescent="0.2">
      <c r="A37" s="20">
        <v>2</v>
      </c>
      <c r="B37" s="202" t="s">
        <v>1</v>
      </c>
      <c r="C37" s="203"/>
      <c r="D37" s="15">
        <f>IF(F3="1",SUMIF(Data!A:A,'44'!$A$2,Data!CV:CV),0)</f>
        <v>134272</v>
      </c>
      <c r="E37" s="18">
        <f>IF(F3="1",SUMIF(Data!$A:$A,'44'!$A$2,Data!IP:IP),0)</f>
        <v>95168</v>
      </c>
      <c r="F37" s="22">
        <f t="shared" si="3"/>
        <v>0.7087702573879886</v>
      </c>
    </row>
    <row r="38" spans="1:6" ht="14.25" customHeight="1" x14ac:dyDescent="0.2">
      <c r="A38" s="20">
        <v>3</v>
      </c>
      <c r="B38" s="202" t="s">
        <v>2</v>
      </c>
      <c r="C38" s="203"/>
      <c r="D38" s="15">
        <f>IF(F3="1",SUMIF(Data!A:A,'44'!$A$2,Data!CW:CW),0)</f>
        <v>415848</v>
      </c>
      <c r="E38" s="18">
        <f>IF(F3="1",SUMIF(Data!$A:$A,'44'!$A$2,Data!IQ:IQ),0)</f>
        <v>295676</v>
      </c>
      <c r="F38" s="22">
        <f t="shared" si="3"/>
        <v>0.71101941093861221</v>
      </c>
    </row>
    <row r="39" spans="1:6" ht="14.25" customHeight="1" x14ac:dyDescent="0.2">
      <c r="A39" s="20">
        <v>4</v>
      </c>
      <c r="B39" s="202" t="s">
        <v>3</v>
      </c>
      <c r="C39" s="203"/>
      <c r="D39" s="15">
        <f>IF(F3="1",SUMIF(Data!A:A,'44'!$A$2,Data!CX:CX),0)</f>
        <v>379268</v>
      </c>
      <c r="E39" s="18">
        <f>IF(F3="1",SUMIF(Data!$A:$A,'44'!$A$2,Data!IR:IR),0)</f>
        <v>378346</v>
      </c>
      <c r="F39" s="22">
        <f t="shared" si="3"/>
        <v>0.99756900133942228</v>
      </c>
    </row>
    <row r="40" spans="1:6" x14ac:dyDescent="0.2">
      <c r="A40" s="20">
        <v>5</v>
      </c>
      <c r="B40" s="202" t="s">
        <v>4</v>
      </c>
      <c r="C40" s="203"/>
      <c r="D40" s="15">
        <f>IF(F3="1",SUMIF(Data!A:A,'44'!$A$2,Data!CY:CY),0)</f>
        <v>0</v>
      </c>
      <c r="E40" s="18">
        <f>IF(F3="1",SUMIF(Data!$A:$A,'44'!$A$2,Data!IS:IS),0)</f>
        <v>0</v>
      </c>
      <c r="F40" s="22" t="str">
        <f t="shared" si="3"/>
        <v/>
      </c>
    </row>
    <row r="41" spans="1:6" x14ac:dyDescent="0.2">
      <c r="A41" s="20">
        <v>6</v>
      </c>
      <c r="B41" s="202" t="s">
        <v>5</v>
      </c>
      <c r="C41" s="203"/>
      <c r="D41" s="15">
        <f>IF(F3="1",SUMIF(Data!A:A,'44'!$A$2,Data!CZ:CZ),0)</f>
        <v>11008</v>
      </c>
      <c r="E41" s="18">
        <f>IF(F3="1",SUMIF(Data!$A:$A,'44'!$A$2,Data!IT:IT),0)</f>
        <v>21145</v>
      </c>
      <c r="F41" s="22">
        <f t="shared" si="3"/>
        <v>1.9208757267441861</v>
      </c>
    </row>
    <row r="42" spans="1:6" x14ac:dyDescent="0.2">
      <c r="A42" s="20">
        <v>7</v>
      </c>
      <c r="B42" s="202" t="s">
        <v>6</v>
      </c>
      <c r="C42" s="203"/>
      <c r="D42" s="15">
        <f>IF(F3="1",SUMIF(Data!A:A,'44'!$A$2,Data!DA:DA),0)</f>
        <v>143647</v>
      </c>
      <c r="E42" s="18">
        <f>IF(F3="1",SUMIF(Data!$A:$A,'44'!$A$2,Data!IU:IU),0)</f>
        <v>28208</v>
      </c>
      <c r="F42" s="22">
        <f t="shared" si="3"/>
        <v>0.19637026878389385</v>
      </c>
    </row>
    <row r="43" spans="1:6" x14ac:dyDescent="0.2">
      <c r="A43" s="20">
        <v>8</v>
      </c>
      <c r="B43" s="202" t="s">
        <v>7</v>
      </c>
      <c r="C43" s="203"/>
      <c r="D43" s="15">
        <f>IF(F3="1",SUMIF(Data!A:A,'44'!$A$2,Data!DB:DB),0)</f>
        <v>112524</v>
      </c>
      <c r="E43" s="18">
        <f>IF(F3="1",SUMIF(Data!$A:$A,'44'!$A$2,Data!IV:IV),0)</f>
        <v>58364</v>
      </c>
      <c r="F43" s="22">
        <f t="shared" si="3"/>
        <v>0.51868045927979811</v>
      </c>
    </row>
    <row r="44" spans="1:6" x14ac:dyDescent="0.2">
      <c r="A44" s="20">
        <v>9</v>
      </c>
      <c r="B44" s="202" t="s">
        <v>8</v>
      </c>
      <c r="C44" s="203"/>
      <c r="D44" s="15">
        <f>IF(F3="1",SUMIF(Data!A:A,'44'!$A$2,Data!DC:DC),0)</f>
        <v>181488</v>
      </c>
      <c r="E44" s="18">
        <f>IF(F3="1",SUMIF(Data!$A:$A,'44'!$A$2,Data!IW:IW),0)</f>
        <v>170399</v>
      </c>
      <c r="F44" s="22">
        <f t="shared" si="3"/>
        <v>0.93889954156748656</v>
      </c>
    </row>
    <row r="45" spans="1:6" x14ac:dyDescent="0.2">
      <c r="A45" s="20">
        <v>10</v>
      </c>
      <c r="B45" s="202" t="s">
        <v>9</v>
      </c>
      <c r="C45" s="203"/>
      <c r="D45" s="15">
        <f>IF(F3="1",SUMIF(Data!A:A,'44'!$A$2,Data!DD:DD),0)</f>
        <v>0</v>
      </c>
      <c r="E45" s="18">
        <f>IF(F3="1",SUMIF(Data!$A:$A,'44'!$A$2,Data!IX:IX),0)</f>
        <v>0</v>
      </c>
      <c r="F45" s="22" t="str">
        <f t="shared" si="3"/>
        <v/>
      </c>
    </row>
    <row r="46" spans="1:6" x14ac:dyDescent="0.2">
      <c r="A46" s="20">
        <v>11</v>
      </c>
      <c r="B46" s="202" t="s">
        <v>10</v>
      </c>
      <c r="C46" s="203"/>
      <c r="D46" s="15">
        <f>IF(F3="1",SUMIF(Data!A:A,'44'!$A$2,Data!DE:DE),0)</f>
        <v>141280</v>
      </c>
      <c r="E46" s="18">
        <f>IF(F3="1",SUMIF(Data!$A:$A,'44'!$A$2,Data!IY:IY),0)</f>
        <v>92930</v>
      </c>
      <c r="F46" s="22">
        <f t="shared" si="3"/>
        <v>0.65777180067950169</v>
      </c>
    </row>
    <row r="47" spans="1:6" ht="14.25" customHeight="1" x14ac:dyDescent="0.2">
      <c r="A47" s="20">
        <v>12</v>
      </c>
      <c r="B47" s="202" t="s">
        <v>11</v>
      </c>
      <c r="C47" s="203"/>
      <c r="D47" s="15">
        <f>IF(F3="1",SUMIF(Data!A:A,'44'!$A$2,Data!DF:DF),0)</f>
        <v>349872</v>
      </c>
      <c r="E47" s="18">
        <f>IF(F3="1",SUMIF(Data!$A:$A,'44'!$A$2,Data!IZ:IZ),0)</f>
        <v>199048</v>
      </c>
      <c r="F47" s="22">
        <f t="shared" si="3"/>
        <v>0.56891663236840906</v>
      </c>
    </row>
    <row r="48" spans="1:6" x14ac:dyDescent="0.2">
      <c r="A48" s="20">
        <v>13</v>
      </c>
      <c r="B48" s="202" t="s">
        <v>12</v>
      </c>
      <c r="C48" s="203"/>
      <c r="D48" s="15">
        <f>IF(F3="1",SUMIF(Data!A:A,'44'!$A$2,Data!DG:DG),0)</f>
        <v>44044</v>
      </c>
      <c r="E48" s="18">
        <f>IF(F3="1",SUMIF(Data!$A:$A,'44'!$A$2,Data!JA:JA),0)</f>
        <v>19149</v>
      </c>
      <c r="F48" s="22">
        <f t="shared" si="3"/>
        <v>0.4347697756788666</v>
      </c>
    </row>
    <row r="49" spans="1:6" ht="14.25" customHeight="1" x14ac:dyDescent="0.2">
      <c r="A49" s="20">
        <v>14</v>
      </c>
      <c r="B49" s="202" t="s">
        <v>449</v>
      </c>
      <c r="C49" s="203"/>
      <c r="D49" s="15">
        <f>IF(F3="1",SUMIF(Data!A:A,'44'!$A$2,Data!DH:DH),0)</f>
        <v>224364</v>
      </c>
      <c r="E49" s="18">
        <f>IF(F3="1",SUMIF(Data!$A:$A,'44'!$A$2,Data!JB:JB),0)</f>
        <v>256665</v>
      </c>
      <c r="F49" s="22">
        <f t="shared" si="3"/>
        <v>1.1439669465689684</v>
      </c>
    </row>
    <row r="50" spans="1:6" x14ac:dyDescent="0.2">
      <c r="A50" s="20">
        <v>15</v>
      </c>
      <c r="B50" s="202" t="s">
        <v>13</v>
      </c>
      <c r="C50" s="203"/>
      <c r="D50" s="15">
        <f>IF(F3="1",SUMIF(Data!A:A,'44'!$A$2,Data!DI:DI),0)</f>
        <v>0</v>
      </c>
      <c r="E50" s="18">
        <f>IF(F3="1",SUMIF(Data!$A:$A,'44'!$A$2,Data!JC:JC),0)</f>
        <v>0</v>
      </c>
      <c r="F50" s="22" t="str">
        <f t="shared" si="3"/>
        <v/>
      </c>
    </row>
    <row r="51" spans="1:6" x14ac:dyDescent="0.2">
      <c r="A51" s="20">
        <v>16</v>
      </c>
      <c r="B51" s="202" t="s">
        <v>14</v>
      </c>
      <c r="C51" s="203"/>
      <c r="D51" s="15">
        <f>IF(F3="1",SUMIF(Data!A:A,'44'!$A$2,Data!DJ:DJ),0)</f>
        <v>144722</v>
      </c>
      <c r="E51" s="18">
        <f>IF(F3="1",SUMIF(Data!$A:$A,'44'!$A$2,Data!JD:JD),0)</f>
        <v>132120</v>
      </c>
      <c r="F51" s="22">
        <f t="shared" si="3"/>
        <v>0.91292270698304334</v>
      </c>
    </row>
    <row r="52" spans="1:6" x14ac:dyDescent="0.2">
      <c r="A52" s="20">
        <v>17</v>
      </c>
      <c r="B52" s="202" t="s">
        <v>15</v>
      </c>
      <c r="C52" s="203"/>
      <c r="D52" s="15">
        <f>IF(F3="1",SUMIF(Data!A:A,'44'!$A$2,Data!DK:DK),0)</f>
        <v>0</v>
      </c>
      <c r="E52" s="18">
        <f>IF(F3="1",SUMIF(Data!$A:$A,'44'!$A$2,Data!JE:JE),0)</f>
        <v>0</v>
      </c>
      <c r="F52" s="22" t="str">
        <f t="shared" si="3"/>
        <v/>
      </c>
    </row>
    <row r="53" spans="1:6" x14ac:dyDescent="0.2">
      <c r="A53" s="20">
        <v>18</v>
      </c>
      <c r="B53" s="202" t="s">
        <v>16</v>
      </c>
      <c r="C53" s="203"/>
      <c r="D53" s="15">
        <f>IF(F3="1",SUMIF(Data!A:A,'44'!$A$2,Data!DL:DL),0)</f>
        <v>79232</v>
      </c>
      <c r="E53" s="18">
        <f>IF(F3="1",SUMIF(Data!$A:$A,'44'!$A$2,Data!JF:JF),0)</f>
        <v>89752</v>
      </c>
      <c r="F53" s="22">
        <f t="shared" si="3"/>
        <v>1.1327746365105007</v>
      </c>
    </row>
    <row r="54" spans="1:6" x14ac:dyDescent="0.2">
      <c r="A54" s="20">
        <v>19</v>
      </c>
      <c r="B54" s="202" t="s">
        <v>17</v>
      </c>
      <c r="C54" s="203"/>
      <c r="D54" s="15">
        <f>IF(F3="1",SUMIF(Data!A:A,'44'!$A$2,Data!DM:DM),0)</f>
        <v>159373</v>
      </c>
      <c r="E54" s="18">
        <f>IF(F3="1",SUMIF(Data!$A:$A,'44'!$A$2,Data!JG:JG),0)</f>
        <v>112501</v>
      </c>
      <c r="F54" s="22">
        <f t="shared" si="3"/>
        <v>0.70589748577237044</v>
      </c>
    </row>
    <row r="55" spans="1:6" x14ac:dyDescent="0.2">
      <c r="A55" s="20">
        <v>20</v>
      </c>
      <c r="B55" s="202" t="s">
        <v>18</v>
      </c>
      <c r="C55" s="203"/>
      <c r="D55" s="15">
        <f>IF(F3="1",SUMIF(Data!A:A,'44'!$A$2,Data!DN:DN),0)</f>
        <v>85280</v>
      </c>
      <c r="E55" s="18">
        <f>IF(F3="1",SUMIF(Data!$A:$A,'44'!$A$2,Data!JH:JH),0)</f>
        <v>68686</v>
      </c>
      <c r="F55" s="22">
        <f t="shared" si="3"/>
        <v>0.80541744840525331</v>
      </c>
    </row>
    <row r="56" spans="1:6" ht="14.25" customHeight="1" x14ac:dyDescent="0.2">
      <c r="A56" s="20">
        <v>21</v>
      </c>
      <c r="B56" s="202" t="s">
        <v>446</v>
      </c>
      <c r="C56" s="203"/>
      <c r="D56" s="15">
        <f>IF(F3="1",SUMIF(Data!A:A,'44'!$A$2,Data!DO:DO),0)</f>
        <v>0</v>
      </c>
      <c r="E56" s="18">
        <f>IF(F3="1",SUMIF(Data!$A:$A,'44'!$A$2,Data!JI:JI),0)</f>
        <v>0</v>
      </c>
      <c r="F56" s="22" t="str">
        <f t="shared" si="3"/>
        <v/>
      </c>
    </row>
    <row r="57" spans="1:6" x14ac:dyDescent="0.2">
      <c r="A57" s="20">
        <v>22</v>
      </c>
      <c r="B57" s="202" t="s">
        <v>19</v>
      </c>
      <c r="C57" s="203"/>
      <c r="D57" s="15">
        <f>IF(F3="1",SUMIF(Data!A:A,'44'!$A$2,Data!DP:DP),0)</f>
        <v>3992</v>
      </c>
      <c r="E57" s="18">
        <f>IF(F3="1",SUMIF(Data!$A:$A,'44'!$A$2,Data!JJ:JJ),0)</f>
        <v>926</v>
      </c>
      <c r="F57" s="22">
        <f t="shared" si="3"/>
        <v>0.23196392785571143</v>
      </c>
    </row>
    <row r="58" spans="1:6" x14ac:dyDescent="0.2">
      <c r="A58" s="20">
        <v>23</v>
      </c>
      <c r="B58" s="202" t="s">
        <v>20</v>
      </c>
      <c r="C58" s="203"/>
      <c r="D58" s="15">
        <f>IF(F3="1",SUMIF(Data!A:A,'44'!$A$2,Data!DQ:DQ),0)</f>
        <v>66352</v>
      </c>
      <c r="E58" s="18">
        <f>IF(F3="1",SUMIF(Data!$A:$A,'44'!$A$2,Data!JK:JK),0)</f>
        <v>58532</v>
      </c>
      <c r="F58" s="22">
        <f t="shared" si="3"/>
        <v>0.88214371835061489</v>
      </c>
    </row>
    <row r="59" spans="1:6" x14ac:dyDescent="0.2">
      <c r="A59" s="20">
        <v>24</v>
      </c>
      <c r="B59" s="202" t="s">
        <v>21</v>
      </c>
      <c r="C59" s="203"/>
      <c r="D59" s="15">
        <f>IF(F3="1",SUMIF(Data!A:A,'44'!$A$2,Data!DR:DR),0)</f>
        <v>58344</v>
      </c>
      <c r="E59" s="18">
        <f>IF(F3="1",SUMIF(Data!$A:$A,'44'!$A$2,Data!JL:JL),0)</f>
        <v>36222</v>
      </c>
      <c r="F59" s="22">
        <f t="shared" si="3"/>
        <v>0.62083504730563555</v>
      </c>
    </row>
    <row r="60" spans="1:6" x14ac:dyDescent="0.2">
      <c r="A60" s="20">
        <v>25</v>
      </c>
      <c r="B60" s="202" t="s">
        <v>22</v>
      </c>
      <c r="C60" s="203"/>
      <c r="D60" s="15">
        <f>IF(F3="1",SUMIF(Data!A:A,'44'!$A$2,Data!DS:DS),0)</f>
        <v>561648</v>
      </c>
      <c r="E60" s="18">
        <f>IF(F3="1",SUMIF(Data!$A:$A,'44'!$A$2,Data!JM:JM),0)</f>
        <v>292949</v>
      </c>
      <c r="F60" s="22">
        <f t="shared" si="3"/>
        <v>0.52158825456513691</v>
      </c>
    </row>
    <row r="61" spans="1:6" x14ac:dyDescent="0.2">
      <c r="A61" s="20">
        <v>26</v>
      </c>
      <c r="B61" s="202" t="s">
        <v>23</v>
      </c>
      <c r="C61" s="203"/>
      <c r="D61" s="15">
        <f>IF(F3="1",SUMIF(Data!A:A,'44'!$A$2,Data!DT:DT),0)</f>
        <v>166608</v>
      </c>
      <c r="E61" s="18">
        <f>IF(F3="1",SUMIF(Data!$A:$A,'44'!$A$2,Data!JN:JN),0)</f>
        <v>235875</v>
      </c>
      <c r="F61" s="22">
        <f t="shared" si="3"/>
        <v>1.4157483434168827</v>
      </c>
    </row>
    <row r="62" spans="1:6" x14ac:dyDescent="0.2">
      <c r="A62" s="20">
        <v>28</v>
      </c>
      <c r="B62" s="202" t="s">
        <v>24</v>
      </c>
      <c r="C62" s="203"/>
      <c r="D62" s="15">
        <f>IF(F3="1",SUMIF(Data!A:A,'44'!$A$2,Data!DV:DV),0)</f>
        <v>151664</v>
      </c>
      <c r="E62" s="18">
        <f>IF(F3="1",SUMIF(Data!$A:$A,'44'!$A$2,Data!JP:JP),0)</f>
        <v>116516</v>
      </c>
      <c r="F62" s="22">
        <f t="shared" si="3"/>
        <v>0.76825087034497308</v>
      </c>
    </row>
    <row r="63" spans="1:6" ht="15.75" customHeight="1" thickBot="1" x14ac:dyDescent="0.25">
      <c r="A63" s="23">
        <v>29</v>
      </c>
      <c r="B63" s="206" t="s">
        <v>25</v>
      </c>
      <c r="C63" s="207"/>
      <c r="D63" s="24">
        <f>IF(F3="1",SUMIF(Data!A:A,'44'!$A$2,Data!DW:DW),0)</f>
        <v>81184</v>
      </c>
      <c r="E63" s="25">
        <f>IF(F3="1",SUMIF(Data!$A:$A,'44'!$A$2,Data!JQ:JQ),0)</f>
        <v>112352</v>
      </c>
      <c r="F63" s="26">
        <f t="shared" si="3"/>
        <v>1.3839180134016555</v>
      </c>
    </row>
    <row r="64" spans="1:6" x14ac:dyDescent="0.2">
      <c r="B64" s="31" t="s">
        <v>35</v>
      </c>
      <c r="C64" s="31"/>
      <c r="D64" s="60">
        <f>SUM(D36:D63)</f>
        <v>3756846</v>
      </c>
      <c r="E64" s="32">
        <f>SUM(E36:E63)</f>
        <v>2941460</v>
      </c>
      <c r="F64" s="33">
        <f t="shared" si="3"/>
        <v>0.78295996162738635</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60832</v>
      </c>
      <c r="E67" s="16">
        <f>IF(F3="1",SUMIF(Data!A:A,'44'!$A$2,Data!DY:DY),0)</f>
        <v>227129</v>
      </c>
      <c r="F67" s="21">
        <f>IFERROR(E67/D67,"")</f>
        <v>3.7337092319831666</v>
      </c>
    </row>
    <row r="68" spans="1:6" x14ac:dyDescent="0.2">
      <c r="A68" s="20">
        <v>2</v>
      </c>
      <c r="B68" s="202" t="s">
        <v>1</v>
      </c>
      <c r="C68" s="203"/>
      <c r="D68" s="15">
        <f t="shared" ref="D68:D94" si="4">D37</f>
        <v>134272</v>
      </c>
      <c r="E68" s="18">
        <f>IF(F3="1",SUMIF(Data!A:A,'44'!$A$2,Data!DZ:DZ),0)</f>
        <v>216680</v>
      </c>
      <c r="F68" s="22">
        <f t="shared" ref="F68:F95" si="5">IFERROR(E68/D68,"")</f>
        <v>1.6137392755004767</v>
      </c>
    </row>
    <row r="69" spans="1:6" ht="14.25" customHeight="1" x14ac:dyDescent="0.2">
      <c r="A69" s="20">
        <v>3</v>
      </c>
      <c r="B69" s="202" t="s">
        <v>2</v>
      </c>
      <c r="C69" s="203"/>
      <c r="D69" s="15">
        <f t="shared" si="4"/>
        <v>415848</v>
      </c>
      <c r="E69" s="18">
        <f>IF(F3="1",SUMIF(Data!A:A,'44'!$A$2,Data!EA:EA),0)</f>
        <v>1113233</v>
      </c>
      <c r="F69" s="22">
        <f t="shared" si="5"/>
        <v>2.6770190069448452</v>
      </c>
    </row>
    <row r="70" spans="1:6" ht="14.25" customHeight="1" x14ac:dyDescent="0.2">
      <c r="A70" s="20">
        <v>4</v>
      </c>
      <c r="B70" s="202" t="s">
        <v>3</v>
      </c>
      <c r="C70" s="203"/>
      <c r="D70" s="15">
        <f t="shared" si="4"/>
        <v>379268</v>
      </c>
      <c r="E70" s="18">
        <f>IF(F3="1",SUMIF(Data!A:A,'44'!$A$2,Data!EB:EB),0)</f>
        <v>1185203</v>
      </c>
      <c r="F70" s="22">
        <f t="shared" si="5"/>
        <v>3.124974951749159</v>
      </c>
    </row>
    <row r="71" spans="1:6" x14ac:dyDescent="0.2">
      <c r="A71" s="20">
        <v>5</v>
      </c>
      <c r="B71" s="202" t="s">
        <v>4</v>
      </c>
      <c r="C71" s="203"/>
      <c r="D71" s="15">
        <f t="shared" si="4"/>
        <v>0</v>
      </c>
      <c r="E71" s="18">
        <f>IF(F3="1",SUMIF(Data!A:A,'44'!$A$2,Data!EC:EC),0)</f>
        <v>0</v>
      </c>
      <c r="F71" s="22" t="str">
        <f t="shared" si="5"/>
        <v/>
      </c>
    </row>
    <row r="72" spans="1:6" x14ac:dyDescent="0.2">
      <c r="A72" s="20">
        <v>6</v>
      </c>
      <c r="B72" s="202" t="s">
        <v>5</v>
      </c>
      <c r="C72" s="203"/>
      <c r="D72" s="15">
        <f t="shared" si="4"/>
        <v>11008</v>
      </c>
      <c r="E72" s="18">
        <f>IF(F3="1",SUMIF(Data!A:A,'44'!$A$2,Data!ED:ED),0)</f>
        <v>63259</v>
      </c>
      <c r="F72" s="22">
        <f t="shared" si="5"/>
        <v>5.7466388081395348</v>
      </c>
    </row>
    <row r="73" spans="1:6" x14ac:dyDescent="0.2">
      <c r="A73" s="20">
        <v>7</v>
      </c>
      <c r="B73" s="202" t="s">
        <v>6</v>
      </c>
      <c r="C73" s="203"/>
      <c r="D73" s="15">
        <f t="shared" si="4"/>
        <v>143647</v>
      </c>
      <c r="E73" s="18">
        <f>IF(F3="1",SUMIF(Data!A:A,'44'!$A$2,Data!EE:EE),0)</f>
        <v>134327</v>
      </c>
      <c r="F73" s="22">
        <f t="shared" si="5"/>
        <v>0.9351187285498479</v>
      </c>
    </row>
    <row r="74" spans="1:6" x14ac:dyDescent="0.2">
      <c r="A74" s="20">
        <v>8</v>
      </c>
      <c r="B74" s="202" t="s">
        <v>7</v>
      </c>
      <c r="C74" s="203"/>
      <c r="D74" s="15">
        <f t="shared" si="4"/>
        <v>112524</v>
      </c>
      <c r="E74" s="18">
        <f>IF(F3="1",SUMIF(Data!A:A,'44'!$A$2,Data!EF:EF),0)</f>
        <v>251634</v>
      </c>
      <c r="F74" s="22">
        <f t="shared" si="5"/>
        <v>2.2362695958195586</v>
      </c>
    </row>
    <row r="75" spans="1:6" x14ac:dyDescent="0.2">
      <c r="A75" s="20">
        <v>9</v>
      </c>
      <c r="B75" s="202" t="s">
        <v>8</v>
      </c>
      <c r="C75" s="203"/>
      <c r="D75" s="15">
        <f t="shared" si="4"/>
        <v>181488</v>
      </c>
      <c r="E75" s="18">
        <f>IF(F3="1",SUMIF(Data!A:A,'44'!$A$2,Data!EG:EG),0)</f>
        <v>430868</v>
      </c>
      <c r="F75" s="22">
        <f t="shared" si="5"/>
        <v>2.3740853389755796</v>
      </c>
    </row>
    <row r="76" spans="1:6" x14ac:dyDescent="0.2">
      <c r="A76" s="20">
        <v>10</v>
      </c>
      <c r="B76" s="202" t="s">
        <v>9</v>
      </c>
      <c r="C76" s="203"/>
      <c r="D76" s="15">
        <f t="shared" si="4"/>
        <v>0</v>
      </c>
      <c r="E76" s="18">
        <f>IF(F3="1",SUMIF(Data!A:A,'44'!$A$2,Data!EH:EH),0)</f>
        <v>0</v>
      </c>
      <c r="F76" s="22" t="str">
        <f t="shared" si="5"/>
        <v/>
      </c>
    </row>
    <row r="77" spans="1:6" x14ac:dyDescent="0.2">
      <c r="A77" s="20">
        <v>11</v>
      </c>
      <c r="B77" s="202" t="s">
        <v>10</v>
      </c>
      <c r="C77" s="203"/>
      <c r="D77" s="15">
        <f t="shared" si="4"/>
        <v>141280</v>
      </c>
      <c r="E77" s="18">
        <f>IF(F3="1",SUMIF(Data!A:A,'44'!$A$2,Data!EI:EI),0)</f>
        <v>309570</v>
      </c>
      <c r="F77" s="22">
        <f t="shared" si="5"/>
        <v>2.1911806342015856</v>
      </c>
    </row>
    <row r="78" spans="1:6" ht="14.25" customHeight="1" x14ac:dyDescent="0.2">
      <c r="A78" s="20">
        <v>12</v>
      </c>
      <c r="B78" s="202" t="s">
        <v>11</v>
      </c>
      <c r="C78" s="203"/>
      <c r="D78" s="15">
        <f t="shared" si="4"/>
        <v>349872</v>
      </c>
      <c r="E78" s="18">
        <f>IF(F3="1",SUMIF(Data!A:A,'44'!$A$2,Data!EJ:EJ),0)</f>
        <v>950292</v>
      </c>
      <c r="F78" s="22">
        <f t="shared" si="5"/>
        <v>2.7161133214432707</v>
      </c>
    </row>
    <row r="79" spans="1:6" x14ac:dyDescent="0.2">
      <c r="A79" s="20">
        <v>13</v>
      </c>
      <c r="B79" s="202" t="s">
        <v>12</v>
      </c>
      <c r="C79" s="203"/>
      <c r="D79" s="15">
        <f t="shared" si="4"/>
        <v>44044</v>
      </c>
      <c r="E79" s="18">
        <f>IF(F3="1",SUMIF(Data!A:A,'44'!$A$2,Data!EK:EK),0)</f>
        <v>98032</v>
      </c>
      <c r="F79" s="22">
        <f t="shared" si="5"/>
        <v>2.2257742257742259</v>
      </c>
    </row>
    <row r="80" spans="1:6" ht="14.25" customHeight="1" x14ac:dyDescent="0.2">
      <c r="A80" s="20">
        <v>14</v>
      </c>
      <c r="B80" s="202" t="s">
        <v>449</v>
      </c>
      <c r="C80" s="203"/>
      <c r="D80" s="15">
        <f t="shared" si="4"/>
        <v>224364</v>
      </c>
      <c r="E80" s="18">
        <f>IF(F3="1",SUMIF(Data!A:A,'44'!$A$2,Data!EL:EL),0)</f>
        <v>921256</v>
      </c>
      <c r="F80" s="22">
        <f t="shared" si="5"/>
        <v>4.1060776238612258</v>
      </c>
    </row>
    <row r="81" spans="1:6" x14ac:dyDescent="0.2">
      <c r="A81" s="20">
        <v>15</v>
      </c>
      <c r="B81" s="202" t="s">
        <v>13</v>
      </c>
      <c r="C81" s="203"/>
      <c r="D81" s="15">
        <f t="shared" si="4"/>
        <v>0</v>
      </c>
      <c r="E81" s="18">
        <f>IF(F3="1",SUMIF(Data!A:A,'44'!$A$2,Data!EM:EM),0)</f>
        <v>0</v>
      </c>
      <c r="F81" s="22" t="str">
        <f t="shared" si="5"/>
        <v/>
      </c>
    </row>
    <row r="82" spans="1:6" x14ac:dyDescent="0.2">
      <c r="A82" s="20">
        <v>16</v>
      </c>
      <c r="B82" s="202" t="s">
        <v>14</v>
      </c>
      <c r="C82" s="203"/>
      <c r="D82" s="15">
        <f t="shared" si="4"/>
        <v>144722</v>
      </c>
      <c r="E82" s="18">
        <f>IF(F3="1",SUMIF(Data!A:A,'44'!$A$2,Data!EN:EN),0)</f>
        <v>310310</v>
      </c>
      <c r="F82" s="22">
        <f t="shared" si="5"/>
        <v>2.1441798759000013</v>
      </c>
    </row>
    <row r="83" spans="1:6" x14ac:dyDescent="0.2">
      <c r="A83" s="20">
        <v>17</v>
      </c>
      <c r="B83" s="202" t="s">
        <v>15</v>
      </c>
      <c r="C83" s="203"/>
      <c r="D83" s="15">
        <f t="shared" si="4"/>
        <v>0</v>
      </c>
      <c r="E83" s="18">
        <f>IF(F3="1",SUMIF(Data!A:A,'44'!$A$2,Data!EO:EO),0)</f>
        <v>0</v>
      </c>
      <c r="F83" s="22" t="str">
        <f t="shared" si="5"/>
        <v/>
      </c>
    </row>
    <row r="84" spans="1:6" x14ac:dyDescent="0.2">
      <c r="A84" s="20">
        <v>18</v>
      </c>
      <c r="B84" s="202" t="s">
        <v>16</v>
      </c>
      <c r="C84" s="203"/>
      <c r="D84" s="15">
        <f t="shared" si="4"/>
        <v>79232</v>
      </c>
      <c r="E84" s="18">
        <f>IF(F3="1",SUMIF(Data!A:A,'44'!$A$2,Data!EP:EP),0)</f>
        <v>252906</v>
      </c>
      <c r="F84" s="22">
        <f t="shared" si="5"/>
        <v>3.1919678917609047</v>
      </c>
    </row>
    <row r="85" spans="1:6" x14ac:dyDescent="0.2">
      <c r="A85" s="20">
        <v>19</v>
      </c>
      <c r="B85" s="202" t="s">
        <v>17</v>
      </c>
      <c r="C85" s="203"/>
      <c r="D85" s="15">
        <f t="shared" si="4"/>
        <v>159373</v>
      </c>
      <c r="E85" s="18">
        <f>IF(F3="1",SUMIF(Data!A:A,'44'!$A$2,Data!EQ:EQ),0)</f>
        <v>456770</v>
      </c>
      <c r="F85" s="22">
        <f t="shared" si="5"/>
        <v>2.8660438091772131</v>
      </c>
    </row>
    <row r="86" spans="1:6" x14ac:dyDescent="0.2">
      <c r="A86" s="20">
        <v>20</v>
      </c>
      <c r="B86" s="202" t="s">
        <v>18</v>
      </c>
      <c r="C86" s="203"/>
      <c r="D86" s="15">
        <f t="shared" si="4"/>
        <v>85280</v>
      </c>
      <c r="E86" s="18">
        <f>IF(F3="1",SUMIF(Data!A:A,'44'!$A$2,Data!ER:ER),0)</f>
        <v>203877</v>
      </c>
      <c r="F86" s="22">
        <f t="shared" si="5"/>
        <v>2.3906777673545965</v>
      </c>
    </row>
    <row r="87" spans="1:6" ht="14.25" customHeight="1" x14ac:dyDescent="0.2">
      <c r="A87" s="20">
        <v>21</v>
      </c>
      <c r="B87" s="202" t="s">
        <v>446</v>
      </c>
      <c r="C87" s="203"/>
      <c r="D87" s="15">
        <f t="shared" si="4"/>
        <v>0</v>
      </c>
      <c r="E87" s="18">
        <f>IF(F3="1",SUMIF(Data!A:A,'44'!$A$2,Data!ES:ES),0)</f>
        <v>0</v>
      </c>
      <c r="F87" s="22" t="str">
        <f t="shared" si="5"/>
        <v/>
      </c>
    </row>
    <row r="88" spans="1:6" x14ac:dyDescent="0.2">
      <c r="A88" s="20">
        <v>22</v>
      </c>
      <c r="B88" s="202" t="s">
        <v>19</v>
      </c>
      <c r="C88" s="203"/>
      <c r="D88" s="15">
        <f t="shared" si="4"/>
        <v>3992</v>
      </c>
      <c r="E88" s="18">
        <f>IF(F3="1",SUMIF(Data!A:A,'44'!$A$2,Data!ET:ET),0)</f>
        <v>5109</v>
      </c>
      <c r="F88" s="22">
        <f t="shared" si="5"/>
        <v>1.2798096192384769</v>
      </c>
    </row>
    <row r="89" spans="1:6" x14ac:dyDescent="0.2">
      <c r="A89" s="20">
        <v>23</v>
      </c>
      <c r="B89" s="202" t="s">
        <v>20</v>
      </c>
      <c r="C89" s="203"/>
      <c r="D89" s="15">
        <f t="shared" si="4"/>
        <v>66352</v>
      </c>
      <c r="E89" s="18">
        <f>IF(F3="1",SUMIF(Data!A:A,'44'!$A$2,Data!EU:EU),0)</f>
        <v>263435</v>
      </c>
      <c r="F89" s="22">
        <f t="shared" si="5"/>
        <v>3.9702646491439593</v>
      </c>
    </row>
    <row r="90" spans="1:6" x14ac:dyDescent="0.2">
      <c r="A90" s="20">
        <v>24</v>
      </c>
      <c r="B90" s="202" t="s">
        <v>21</v>
      </c>
      <c r="C90" s="203"/>
      <c r="D90" s="15">
        <f t="shared" si="4"/>
        <v>58344</v>
      </c>
      <c r="E90" s="18">
        <f>IF(F3="1",SUMIF(Data!A:A,'44'!$A$2,Data!EV:EV),0)</f>
        <v>173382</v>
      </c>
      <c r="F90" s="22">
        <f t="shared" si="5"/>
        <v>2.9717194570135748</v>
      </c>
    </row>
    <row r="91" spans="1:6" x14ac:dyDescent="0.2">
      <c r="A91" s="20">
        <v>25</v>
      </c>
      <c r="B91" s="202" t="s">
        <v>22</v>
      </c>
      <c r="C91" s="203"/>
      <c r="D91" s="15">
        <f t="shared" si="4"/>
        <v>561648</v>
      </c>
      <c r="E91" s="18">
        <f>IF(F3="1",SUMIF(Data!A:A,'44'!$A$2,Data!EW:EW),0)</f>
        <v>1387454</v>
      </c>
      <c r="F91" s="22">
        <f t="shared" si="5"/>
        <v>2.4703266102612313</v>
      </c>
    </row>
    <row r="92" spans="1:6" x14ac:dyDescent="0.2">
      <c r="A92" s="20">
        <v>26</v>
      </c>
      <c r="B92" s="202" t="s">
        <v>23</v>
      </c>
      <c r="C92" s="203"/>
      <c r="D92" s="15">
        <f t="shared" si="4"/>
        <v>166608</v>
      </c>
      <c r="E92" s="18">
        <f>IF(F3="1",SUMIF(Data!A:A,'44'!$A$2,Data!EX:EX),0)</f>
        <v>689053</v>
      </c>
      <c r="F92" s="22">
        <f t="shared" si="5"/>
        <v>4.1357737923749163</v>
      </c>
    </row>
    <row r="93" spans="1:6" x14ac:dyDescent="0.2">
      <c r="A93" s="20">
        <v>28</v>
      </c>
      <c r="B93" s="202" t="s">
        <v>24</v>
      </c>
      <c r="C93" s="203"/>
      <c r="D93" s="15">
        <f t="shared" si="4"/>
        <v>151664</v>
      </c>
      <c r="E93" s="18">
        <f>IF(F3="1",SUMIF(Data!A:A,'44'!$A$2,Data!EZ:EZ),0)</f>
        <v>460328</v>
      </c>
      <c r="F93" s="22">
        <f t="shared" si="5"/>
        <v>3.0351830361852516</v>
      </c>
    </row>
    <row r="94" spans="1:6" ht="15.75" customHeight="1" thickBot="1" x14ac:dyDescent="0.25">
      <c r="A94" s="23">
        <v>29</v>
      </c>
      <c r="B94" s="206" t="s">
        <v>25</v>
      </c>
      <c r="C94" s="207"/>
      <c r="D94" s="24">
        <f t="shared" si="4"/>
        <v>81184</v>
      </c>
      <c r="E94" s="25">
        <f>IF(F3="1",SUMIF(Data!A:A,'44'!$A$2,Data!FA:FA),0)</f>
        <v>271444</v>
      </c>
      <c r="F94" s="26">
        <f t="shared" si="5"/>
        <v>3.3435652345289713</v>
      </c>
    </row>
    <row r="95" spans="1:6" x14ac:dyDescent="0.2">
      <c r="B95" s="31" t="s">
        <v>35</v>
      </c>
      <c r="C95" s="31"/>
      <c r="D95" s="60">
        <f>SUM(D67:D94)</f>
        <v>3756846</v>
      </c>
      <c r="E95" s="32">
        <f>SUM(E67:E94)</f>
        <v>10375551</v>
      </c>
      <c r="F95" s="33">
        <f t="shared" si="5"/>
        <v>2.7617717095670145</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IF(F3="1",SUMIF(Data!A:A,'44'!$A$2,Data!AH:AH),0)</f>
        <v>2961984</v>
      </c>
      <c r="F98" s="21">
        <f t="shared" ref="F98:F105" si="6">IFERROR(E98/$D$95,0)</f>
        <v>0.78842305487102748</v>
      </c>
    </row>
    <row r="99" spans="2:6" x14ac:dyDescent="0.2">
      <c r="B99" s="212" t="s">
        <v>31</v>
      </c>
      <c r="C99" s="213"/>
      <c r="D99" s="37"/>
      <c r="E99" s="18">
        <f>IF(F3="1",SUMIF(Data!A:A,'44'!$A$2,Data!AI:AI),0)</f>
        <v>2188561</v>
      </c>
      <c r="F99" s="22">
        <f t="shared" si="6"/>
        <v>0.58255275835102105</v>
      </c>
    </row>
    <row r="100" spans="2:6" x14ac:dyDescent="0.2">
      <c r="B100" s="212" t="s">
        <v>32</v>
      </c>
      <c r="C100" s="213"/>
      <c r="D100" s="37"/>
      <c r="E100" s="18">
        <f>IF(F3="1",SUMIF(Data!A:A,'44'!$A$2,Data!AJ:AJ),0)</f>
        <v>3727734</v>
      </c>
      <c r="F100" s="22">
        <f t="shared" si="6"/>
        <v>0.99225094667175606</v>
      </c>
    </row>
    <row r="101" spans="2:6" x14ac:dyDescent="0.2">
      <c r="B101" s="212" t="s">
        <v>28</v>
      </c>
      <c r="C101" s="213"/>
      <c r="D101" s="37"/>
      <c r="E101" s="18">
        <f>IF(F3="1",SUMIF(Data!A:A,'44'!$A$2,Data!AK:AK),0)</f>
        <v>0</v>
      </c>
      <c r="F101" s="22">
        <f t="shared" si="6"/>
        <v>0</v>
      </c>
    </row>
    <row r="102" spans="2:6" x14ac:dyDescent="0.2">
      <c r="B102" s="212" t="s">
        <v>33</v>
      </c>
      <c r="C102" s="213"/>
      <c r="D102" s="37"/>
      <c r="E102" s="18">
        <f>IF(F3="1",SUMIF(Data!A:A,'44'!$A$2,Data!AL:AL),0)</f>
        <v>1316</v>
      </c>
      <c r="F102" s="22">
        <f t="shared" si="6"/>
        <v>3.5029383690468016E-4</v>
      </c>
    </row>
    <row r="103" spans="2:6" x14ac:dyDescent="0.2">
      <c r="B103" s="214" t="s">
        <v>34</v>
      </c>
      <c r="C103" s="215"/>
      <c r="D103" s="37"/>
      <c r="E103" s="18">
        <f>IF(F3="1",SUMIF(Data!A:A,'44'!$A$2,Data!AM:AM),0)</f>
        <v>615508</v>
      </c>
      <c r="F103" s="22">
        <f t="shared" si="6"/>
        <v>0.16383636699508045</v>
      </c>
    </row>
    <row r="104" spans="2:6" ht="15.75" customHeight="1" thickBot="1" x14ac:dyDescent="0.25">
      <c r="B104" s="208" t="s">
        <v>29</v>
      </c>
      <c r="C104" s="209"/>
      <c r="D104" s="38"/>
      <c r="E104" s="25">
        <f>IF(F3="1",SUMIF(Data!A:A,'44'!$A$2,Data!Q:Q),0)</f>
        <v>1515389</v>
      </c>
      <c r="F104" s="26">
        <f t="shared" si="6"/>
        <v>0.40336734590664614</v>
      </c>
    </row>
    <row r="105" spans="2:6" x14ac:dyDescent="0.2">
      <c r="B105" s="31" t="s">
        <v>35</v>
      </c>
      <c r="C105" s="31"/>
      <c r="D105" s="35">
        <f>D95</f>
        <v>3756846</v>
      </c>
      <c r="E105" s="32">
        <f>SUM(E98:E104)</f>
        <v>11010492</v>
      </c>
      <c r="F105" s="33">
        <f t="shared" si="6"/>
        <v>2.9307807666324357</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6">
        <f>E95+IF(F3="1",SUMIF(Data!$A:$A,$A$2,Data!GF:GF),0)</f>
        <v>10522611</v>
      </c>
      <c r="D109" s="192">
        <f>IF(F3="1",SUMIF(Data!$A:$A,$A$2,Data!HJ:HJ),0)</f>
        <v>1907517</v>
      </c>
      <c r="E109" s="196">
        <f>IF(F3="1",SUMIF(Data!$A:$A,$A$2,Data!IN:IN),0)</f>
        <v>886883</v>
      </c>
      <c r="F109" s="179">
        <f>SUM(C109:E109)</f>
        <v>13317011</v>
      </c>
    </row>
    <row r="110" spans="2:6" x14ac:dyDescent="0.2">
      <c r="B110" s="43" t="s">
        <v>28</v>
      </c>
      <c r="C110" s="197">
        <f>IF(F3="1",SUMIF(Data!A:A,$A$2,Data!W:W),0)</f>
        <v>0</v>
      </c>
      <c r="D110" s="52"/>
      <c r="E110" s="193">
        <f>IF(F3="1",SUMIF(Data!A:A,$A$2,Data!AD:AD),0)</f>
        <v>0</v>
      </c>
      <c r="F110" s="180">
        <f t="shared" ref="F110:F116" si="7">SUM(C110:E110)</f>
        <v>0</v>
      </c>
    </row>
    <row r="111" spans="2:6" x14ac:dyDescent="0.2">
      <c r="B111" s="43" t="s">
        <v>915</v>
      </c>
      <c r="C111" s="197">
        <f>IF(F3="1",SUMIF(Data!A:A,$A$2,Data!AS:AS),0)</f>
        <v>249895</v>
      </c>
      <c r="D111" s="52"/>
      <c r="E111" s="197">
        <f>IF(F3="1",SUMIF(Data!A:A,$A$2,Data!AX:AX)-SUMIF(Data!A:A,$A$2,Data!AW:AW),0)</f>
        <v>54576</v>
      </c>
      <c r="F111" s="180">
        <f t="shared" si="7"/>
        <v>304471</v>
      </c>
    </row>
    <row r="112" spans="2:6" x14ac:dyDescent="0.2">
      <c r="B112" s="43" t="s">
        <v>32</v>
      </c>
      <c r="C112" s="193">
        <f>IF(F3="1",SUMIF(Data!A:A,$A$2,Data!V:V),0)</f>
        <v>2353010</v>
      </c>
      <c r="D112" s="52"/>
      <c r="E112" s="193">
        <f>IF(F3="1",SUMIF(Data!A:A,$A$2,Data!AC:AC),0)</f>
        <v>1374724</v>
      </c>
      <c r="F112" s="180">
        <f t="shared" si="7"/>
        <v>3727734</v>
      </c>
    </row>
    <row r="113" spans="1:6" x14ac:dyDescent="0.2">
      <c r="B113" s="43" t="s">
        <v>31</v>
      </c>
      <c r="C113" s="193">
        <f>IF(F3="1",SUMIF(Data!A:A,$A$2,Data!U:U),0)</f>
        <v>1772960</v>
      </c>
      <c r="D113" s="52"/>
      <c r="E113" s="193">
        <f>IF(F3="1",SUMIF(Data!A:A,$A$2,Data!AB:AB),0)</f>
        <v>415601</v>
      </c>
      <c r="F113" s="180">
        <f t="shared" si="7"/>
        <v>2188561</v>
      </c>
    </row>
    <row r="114" spans="1:6" x14ac:dyDescent="0.2">
      <c r="B114" s="43" t="s">
        <v>1002</v>
      </c>
      <c r="C114" s="193">
        <f>IF(F3="1",SUMIF(Data!A:A,$A$2,Data!T:T),0)</f>
        <v>2263601</v>
      </c>
      <c r="D114" s="52"/>
      <c r="E114" s="193">
        <f>IF(F3="1",SUMIF(Data!A:A,$A$2,Data!AA:AA),0)</f>
        <v>698383</v>
      </c>
      <c r="F114" s="180">
        <f t="shared" si="7"/>
        <v>2961984</v>
      </c>
    </row>
    <row r="115" spans="1:6" x14ac:dyDescent="0.2">
      <c r="B115" s="43" t="s">
        <v>916</v>
      </c>
      <c r="C115" s="193">
        <f>IF(F3="1",SUMIF(Data!A:A,$A$2,Data!BI:BI),0)</f>
        <v>828333</v>
      </c>
      <c r="D115" s="193">
        <f>IF(F3="1",SUMIF(Data!A:A,$A$2,Data!BL:BL),0)</f>
        <v>414634</v>
      </c>
      <c r="E115" s="193">
        <f>IF(F3="1",SUMIF(Data!A:A,$A$2,Data!BU:BU)-SUMIF(Data!A:A,$A$2,Data!BT:BT),0)</f>
        <v>1545610</v>
      </c>
      <c r="F115" s="180">
        <f t="shared" si="7"/>
        <v>2788577</v>
      </c>
    </row>
    <row r="116" spans="1:6" x14ac:dyDescent="0.2">
      <c r="B116" s="43" t="s">
        <v>33</v>
      </c>
      <c r="C116" s="193">
        <f>IF(F3="1",SUMIF(Data!A:A,$A$2,Data!X:X),0)</f>
        <v>0</v>
      </c>
      <c r="D116" s="51"/>
      <c r="E116" s="193">
        <f>E102-C116</f>
        <v>1316</v>
      </c>
      <c r="F116" s="180">
        <f t="shared" si="7"/>
        <v>1316</v>
      </c>
    </row>
    <row r="117" spans="1:6" ht="15" thickBot="1" x14ac:dyDescent="0.25">
      <c r="B117" s="44" t="s">
        <v>920</v>
      </c>
      <c r="C117" s="53"/>
      <c r="D117" s="53">
        <f>IF(F3="1",SUMIF(Data!A:A,$A$2,Data!Q:Q),0)</f>
        <v>1515389</v>
      </c>
      <c r="E117" s="53"/>
      <c r="F117" s="181">
        <f>SUM(C117:E117)</f>
        <v>1515389</v>
      </c>
    </row>
    <row r="118" spans="1:6" x14ac:dyDescent="0.2">
      <c r="B118" s="14" t="s">
        <v>35</v>
      </c>
      <c r="C118" s="178">
        <f>SUM(C109:C117)</f>
        <v>17990410</v>
      </c>
      <c r="D118" s="194">
        <f>SUM(D109:D117)</f>
        <v>3837540</v>
      </c>
      <c r="E118" s="178">
        <f>SUM(E109:E117)</f>
        <v>4977093</v>
      </c>
      <c r="F118" s="178">
        <f>SUM(F109:F117)</f>
        <v>26805043</v>
      </c>
    </row>
    <row r="119" spans="1:6" x14ac:dyDescent="0.2">
      <c r="C119" s="177"/>
      <c r="D119" s="177"/>
      <c r="E119" s="177"/>
    </row>
    <row r="120" spans="1:6" ht="15" thickBot="1" x14ac:dyDescent="0.25">
      <c r="B120" s="188" t="s">
        <v>921</v>
      </c>
      <c r="C120" s="53"/>
      <c r="D120" s="53"/>
      <c r="E120" s="195">
        <f>IF(F3="1",SUMIF(Data!A:A,$A$2,Data!AF:AF)+SUMIF(Data!A:A,$A$2,Data!AW:AW)+SUMIF(Data!A:A,$A$2,Data!BT:BT),0)</f>
        <v>625939</v>
      </c>
      <c r="F120" s="181">
        <f>SUM(C120:E120)</f>
        <v>625939</v>
      </c>
    </row>
    <row r="121" spans="1:6" s="177" customFormat="1" x14ac:dyDescent="0.2">
      <c r="B121" s="14" t="s">
        <v>35</v>
      </c>
      <c r="C121" s="178">
        <f>SUM(C120:C120)</f>
        <v>0</v>
      </c>
      <c r="D121" s="178">
        <f>SUM(D120:D120)</f>
        <v>0</v>
      </c>
      <c r="E121" s="178">
        <f>SUM(E120:E120)</f>
        <v>625939</v>
      </c>
      <c r="F121" s="178">
        <f>SUM(F120:F120)</f>
        <v>625939</v>
      </c>
    </row>
    <row r="122" spans="1:6" s="177" customFormat="1" ht="15" thickBot="1" x14ac:dyDescent="0.25">
      <c r="B122" s="14" t="s">
        <v>1396</v>
      </c>
      <c r="C122" s="178"/>
      <c r="D122" s="178"/>
      <c r="E122" s="178"/>
      <c r="F122" s="190">
        <f>F118+F121</f>
        <v>27430982</v>
      </c>
    </row>
    <row r="123" spans="1:6" ht="15" thickTop="1" x14ac:dyDescent="0.2">
      <c r="F123" s="183"/>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405</v>
      </c>
      <c r="B2" s="59" t="str">
        <f>VLOOKUP(A2,Data!A:G,7,0)</f>
        <v>Tyler Junior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37040</v>
      </c>
      <c r="E5" s="16">
        <f>E36+E67+IFERROR($E$105/$D$105*D5,0)</f>
        <v>232778.08650373257</v>
      </c>
      <c r="F5" s="21">
        <f>IFERROR(E5/D5,"")</f>
        <v>6.2845055751547667</v>
      </c>
    </row>
    <row r="6" spans="1:6" x14ac:dyDescent="0.2">
      <c r="A6" s="20">
        <v>2</v>
      </c>
      <c r="B6" s="202" t="s">
        <v>1</v>
      </c>
      <c r="C6" s="203"/>
      <c r="D6" s="15">
        <f t="shared" ref="D6:D32" si="0">D37</f>
        <v>49911</v>
      </c>
      <c r="E6" s="18">
        <f t="shared" ref="E6:E32" si="1">E37+E68+IFERROR($E$105/$D$105*D6,0)</f>
        <v>469788.16407904419</v>
      </c>
      <c r="F6" s="22">
        <f t="shared" ref="F6:F33" si="2">IFERROR(E6/D6,"")</f>
        <v>9.4125175628427442</v>
      </c>
    </row>
    <row r="7" spans="1:6" ht="14.25" customHeight="1" x14ac:dyDescent="0.2">
      <c r="A7" s="20">
        <v>3</v>
      </c>
      <c r="B7" s="202" t="s">
        <v>2</v>
      </c>
      <c r="C7" s="203"/>
      <c r="D7" s="15">
        <f t="shared" si="0"/>
        <v>787644</v>
      </c>
      <c r="E7" s="18">
        <f t="shared" si="1"/>
        <v>6071544.2174445447</v>
      </c>
      <c r="F7" s="22">
        <f t="shared" si="2"/>
        <v>7.7084878669101071</v>
      </c>
    </row>
    <row r="8" spans="1:6" ht="14.25" customHeight="1" x14ac:dyDescent="0.2">
      <c r="A8" s="20">
        <v>4</v>
      </c>
      <c r="B8" s="202" t="s">
        <v>3</v>
      </c>
      <c r="C8" s="203"/>
      <c r="D8" s="15">
        <f t="shared" si="0"/>
        <v>427289</v>
      </c>
      <c r="E8" s="18">
        <f t="shared" si="1"/>
        <v>2947225.1253264956</v>
      </c>
      <c r="F8" s="22">
        <f t="shared" si="2"/>
        <v>6.897498239660969</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67928</v>
      </c>
      <c r="E10" s="18">
        <f t="shared" si="1"/>
        <v>958752.95777606766</v>
      </c>
      <c r="F10" s="22">
        <f t="shared" si="2"/>
        <v>14.114252705453829</v>
      </c>
    </row>
    <row r="11" spans="1:6" x14ac:dyDescent="0.2">
      <c r="A11" s="20">
        <v>7</v>
      </c>
      <c r="B11" s="202" t="s">
        <v>6</v>
      </c>
      <c r="C11" s="203"/>
      <c r="D11" s="15">
        <f t="shared" si="0"/>
        <v>218109</v>
      </c>
      <c r="E11" s="18">
        <f t="shared" si="1"/>
        <v>2134121.2329169172</v>
      </c>
      <c r="F11" s="22">
        <f t="shared" si="2"/>
        <v>9.7846546126795193</v>
      </c>
    </row>
    <row r="12" spans="1:6" x14ac:dyDescent="0.2">
      <c r="A12" s="20">
        <v>8</v>
      </c>
      <c r="B12" s="202" t="s">
        <v>7</v>
      </c>
      <c r="C12" s="203"/>
      <c r="D12" s="15">
        <f t="shared" si="0"/>
        <v>13832</v>
      </c>
      <c r="E12" s="18">
        <f t="shared" si="1"/>
        <v>99082.922152257801</v>
      </c>
      <c r="F12" s="22">
        <f t="shared" si="2"/>
        <v>7.1633113181215879</v>
      </c>
    </row>
    <row r="13" spans="1:6" x14ac:dyDescent="0.2">
      <c r="A13" s="20">
        <v>9</v>
      </c>
      <c r="B13" s="202" t="s">
        <v>8</v>
      </c>
      <c r="C13" s="203"/>
      <c r="D13" s="15">
        <f t="shared" si="0"/>
        <v>92983</v>
      </c>
      <c r="E13" s="18">
        <f t="shared" si="1"/>
        <v>748759.7203935358</v>
      </c>
      <c r="F13" s="22">
        <f t="shared" si="2"/>
        <v>8.0526517792879968</v>
      </c>
    </row>
    <row r="14" spans="1:6" x14ac:dyDescent="0.2">
      <c r="A14" s="20">
        <v>10</v>
      </c>
      <c r="B14" s="202" t="s">
        <v>9</v>
      </c>
      <c r="C14" s="203"/>
      <c r="D14" s="15">
        <f t="shared" si="0"/>
        <v>6528</v>
      </c>
      <c r="E14" s="18">
        <f t="shared" si="1"/>
        <v>43252.550882731273</v>
      </c>
      <c r="F14" s="22">
        <f t="shared" si="2"/>
        <v>6.625697132771335</v>
      </c>
    </row>
    <row r="15" spans="1:6" x14ac:dyDescent="0.2">
      <c r="A15" s="20">
        <v>11</v>
      </c>
      <c r="B15" s="202" t="s">
        <v>10</v>
      </c>
      <c r="C15" s="203"/>
      <c r="D15" s="15">
        <f t="shared" si="0"/>
        <v>168626</v>
      </c>
      <c r="E15" s="18">
        <f t="shared" si="1"/>
        <v>1415436.2275048168</v>
      </c>
      <c r="F15" s="22">
        <f t="shared" si="2"/>
        <v>8.3939382272295902</v>
      </c>
    </row>
    <row r="16" spans="1:6" ht="14.25" customHeight="1" x14ac:dyDescent="0.2">
      <c r="A16" s="20">
        <v>12</v>
      </c>
      <c r="B16" s="202" t="s">
        <v>11</v>
      </c>
      <c r="C16" s="203"/>
      <c r="D16" s="15">
        <f t="shared" si="0"/>
        <v>492600</v>
      </c>
      <c r="E16" s="18">
        <f t="shared" si="1"/>
        <v>4065218.9517208063</v>
      </c>
      <c r="F16" s="22">
        <f t="shared" si="2"/>
        <v>8.2525760286658674</v>
      </c>
    </row>
    <row r="17" spans="1:6" x14ac:dyDescent="0.2">
      <c r="A17" s="20">
        <v>13</v>
      </c>
      <c r="B17" s="202" t="s">
        <v>12</v>
      </c>
      <c r="C17" s="203"/>
      <c r="D17" s="15">
        <f t="shared" si="0"/>
        <v>117708</v>
      </c>
      <c r="E17" s="18">
        <f t="shared" si="1"/>
        <v>812623.68310424825</v>
      </c>
      <c r="F17" s="22">
        <f t="shared" si="2"/>
        <v>6.9037251767445564</v>
      </c>
    </row>
    <row r="18" spans="1:6" ht="14.25" customHeight="1" x14ac:dyDescent="0.2">
      <c r="A18" s="20">
        <v>14</v>
      </c>
      <c r="B18" s="202" t="s">
        <v>449</v>
      </c>
      <c r="C18" s="203"/>
      <c r="D18" s="15">
        <f t="shared" si="0"/>
        <v>235922</v>
      </c>
      <c r="E18" s="18">
        <f t="shared" si="1"/>
        <v>2536756.2593988553</v>
      </c>
      <c r="F18" s="22">
        <f t="shared" si="2"/>
        <v>10.752521000156218</v>
      </c>
    </row>
    <row r="19" spans="1:6" x14ac:dyDescent="0.2">
      <c r="A19" s="20">
        <v>15</v>
      </c>
      <c r="B19" s="202" t="s">
        <v>13</v>
      </c>
      <c r="C19" s="203"/>
      <c r="D19" s="15">
        <f t="shared" si="0"/>
        <v>35824</v>
      </c>
      <c r="E19" s="18">
        <f t="shared" si="1"/>
        <v>614400.53290792974</v>
      </c>
      <c r="F19" s="22">
        <f t="shared" si="2"/>
        <v>17.150528497876557</v>
      </c>
    </row>
    <row r="20" spans="1:6" x14ac:dyDescent="0.2">
      <c r="A20" s="20">
        <v>16</v>
      </c>
      <c r="B20" s="202" t="s">
        <v>14</v>
      </c>
      <c r="C20" s="203"/>
      <c r="D20" s="15">
        <f t="shared" si="0"/>
        <v>348194</v>
      </c>
      <c r="E20" s="18">
        <f t="shared" si="1"/>
        <v>3283649.674948182</v>
      </c>
      <c r="F20" s="22">
        <f t="shared" si="2"/>
        <v>9.4305176853942978</v>
      </c>
    </row>
    <row r="21" spans="1:6" x14ac:dyDescent="0.2">
      <c r="A21" s="20">
        <v>17</v>
      </c>
      <c r="B21" s="202" t="s">
        <v>15</v>
      </c>
      <c r="C21" s="203"/>
      <c r="D21" s="15">
        <f t="shared" si="0"/>
        <v>44880</v>
      </c>
      <c r="E21" s="18">
        <f t="shared" si="1"/>
        <v>495543.78731877753</v>
      </c>
      <c r="F21" s="22">
        <f t="shared" si="2"/>
        <v>11.041528237940677</v>
      </c>
    </row>
    <row r="22" spans="1:6" x14ac:dyDescent="0.2">
      <c r="A22" s="20">
        <v>18</v>
      </c>
      <c r="B22" s="202" t="s">
        <v>16</v>
      </c>
      <c r="C22" s="203"/>
      <c r="D22" s="15">
        <f t="shared" si="0"/>
        <v>267488</v>
      </c>
      <c r="E22" s="18">
        <f t="shared" si="1"/>
        <v>2126505.5922977976</v>
      </c>
      <c r="F22" s="22">
        <f t="shared" si="2"/>
        <v>7.949910247554274</v>
      </c>
    </row>
    <row r="23" spans="1:6" x14ac:dyDescent="0.2">
      <c r="A23" s="20">
        <v>19</v>
      </c>
      <c r="B23" s="202" t="s">
        <v>17</v>
      </c>
      <c r="C23" s="203"/>
      <c r="D23" s="15">
        <f t="shared" si="0"/>
        <v>286277</v>
      </c>
      <c r="E23" s="18">
        <f t="shared" si="1"/>
        <v>2285190.6815342614</v>
      </c>
      <c r="F23" s="22">
        <f t="shared" si="2"/>
        <v>7.9824459580555249</v>
      </c>
    </row>
    <row r="24" spans="1:6" x14ac:dyDescent="0.2">
      <c r="A24" s="20">
        <v>20</v>
      </c>
      <c r="B24" s="202" t="s">
        <v>18</v>
      </c>
      <c r="C24" s="203"/>
      <c r="D24" s="15">
        <f t="shared" si="0"/>
        <v>84534</v>
      </c>
      <c r="E24" s="18">
        <f t="shared" si="1"/>
        <v>755642.36156875081</v>
      </c>
      <c r="F24" s="22">
        <f t="shared" si="2"/>
        <v>8.9389164308887636</v>
      </c>
    </row>
    <row r="25" spans="1:6" ht="14.25" customHeight="1" x14ac:dyDescent="0.2">
      <c r="A25" s="20">
        <v>21</v>
      </c>
      <c r="B25" s="202" t="s">
        <v>446</v>
      </c>
      <c r="C25" s="203"/>
      <c r="D25" s="15">
        <f t="shared" si="0"/>
        <v>17748</v>
      </c>
      <c r="E25" s="18">
        <f t="shared" si="1"/>
        <v>117354.74771242564</v>
      </c>
      <c r="F25" s="22">
        <f t="shared" si="2"/>
        <v>6.6122801280384067</v>
      </c>
    </row>
    <row r="26" spans="1:6" x14ac:dyDescent="0.2">
      <c r="A26" s="20">
        <v>22</v>
      </c>
      <c r="B26" s="202" t="s">
        <v>19</v>
      </c>
      <c r="C26" s="203"/>
      <c r="D26" s="15">
        <f t="shared" si="0"/>
        <v>15000</v>
      </c>
      <c r="E26" s="18">
        <f t="shared" si="1"/>
        <v>99342.177579805313</v>
      </c>
      <c r="F26" s="22">
        <f t="shared" si="2"/>
        <v>6.6228118386536874</v>
      </c>
    </row>
    <row r="27" spans="1:6" x14ac:dyDescent="0.2">
      <c r="A27" s="20">
        <v>23</v>
      </c>
      <c r="B27" s="202" t="s">
        <v>20</v>
      </c>
      <c r="C27" s="203"/>
      <c r="D27" s="15">
        <f t="shared" si="0"/>
        <v>108160</v>
      </c>
      <c r="E27" s="18">
        <f t="shared" si="1"/>
        <v>1518014.8724687828</v>
      </c>
      <c r="F27" s="22">
        <f t="shared" si="2"/>
        <v>14.034900817943628</v>
      </c>
    </row>
    <row r="28" spans="1:6" x14ac:dyDescent="0.2">
      <c r="A28" s="20">
        <v>24</v>
      </c>
      <c r="B28" s="202" t="s">
        <v>21</v>
      </c>
      <c r="C28" s="203"/>
      <c r="D28" s="15">
        <f t="shared" si="0"/>
        <v>91731</v>
      </c>
      <c r="E28" s="18">
        <f t="shared" si="1"/>
        <v>793022.44317154144</v>
      </c>
      <c r="F28" s="22">
        <f t="shared" si="2"/>
        <v>8.6450866465158072</v>
      </c>
    </row>
    <row r="29" spans="1:6" x14ac:dyDescent="0.2">
      <c r="A29" s="20">
        <v>25</v>
      </c>
      <c r="B29" s="202" t="s">
        <v>22</v>
      </c>
      <c r="C29" s="203"/>
      <c r="D29" s="15">
        <f t="shared" si="0"/>
        <v>751040</v>
      </c>
      <c r="E29" s="18">
        <f t="shared" si="1"/>
        <v>5774329.3393024653</v>
      </c>
      <c r="F29" s="22">
        <f t="shared" si="2"/>
        <v>7.6884444760631458</v>
      </c>
    </row>
    <row r="30" spans="1:6" x14ac:dyDescent="0.2">
      <c r="A30" s="20">
        <v>26</v>
      </c>
      <c r="B30" s="202" t="s">
        <v>23</v>
      </c>
      <c r="C30" s="203"/>
      <c r="D30" s="15">
        <f t="shared" si="0"/>
        <v>400092</v>
      </c>
      <c r="E30" s="18">
        <f t="shared" si="1"/>
        <v>4040937.8069506311</v>
      </c>
      <c r="F30" s="22">
        <f t="shared" si="2"/>
        <v>10.10002151242872</v>
      </c>
    </row>
    <row r="31" spans="1:6" x14ac:dyDescent="0.2">
      <c r="A31" s="20">
        <v>28</v>
      </c>
      <c r="B31" s="202" t="s">
        <v>24</v>
      </c>
      <c r="C31" s="203"/>
      <c r="D31" s="15">
        <f t="shared" si="0"/>
        <v>195648</v>
      </c>
      <c r="E31" s="18">
        <f t="shared" si="1"/>
        <v>1695790.3338089166</v>
      </c>
      <c r="F31" s="22">
        <f t="shared" si="2"/>
        <v>8.6675577251437108</v>
      </c>
    </row>
    <row r="32" spans="1:6" ht="15.75" customHeight="1" thickBot="1" x14ac:dyDescent="0.25">
      <c r="A32" s="23">
        <v>29</v>
      </c>
      <c r="B32" s="206" t="s">
        <v>25</v>
      </c>
      <c r="C32" s="207"/>
      <c r="D32" s="24">
        <f t="shared" si="0"/>
        <v>334128</v>
      </c>
      <c r="E32" s="25">
        <f t="shared" si="1"/>
        <v>2191874.5492256791</v>
      </c>
      <c r="F32" s="26">
        <f t="shared" si="2"/>
        <v>6.5599846442850618</v>
      </c>
    </row>
    <row r="33" spans="1:6" x14ac:dyDescent="0.2">
      <c r="B33" s="31" t="s">
        <v>35</v>
      </c>
      <c r="C33" s="31"/>
      <c r="D33" s="60">
        <f>SUM(D5:D32)</f>
        <v>5696864</v>
      </c>
      <c r="E33" s="32">
        <f>SUM(E5:E32)</f>
        <v>48326938.999999993</v>
      </c>
      <c r="F33" s="33">
        <f t="shared" si="2"/>
        <v>8.4830775317788856</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IF(F3="1",SUMIF(Data!A:A,'45'!$A$2,Data!CU:CU),0)</f>
        <v>37040</v>
      </c>
      <c r="E36" s="16">
        <f>IF(F3="1",SUMIF(Data!$A:$A,'45'!$A$2,Data!IO:IO),0)</f>
        <v>37189</v>
      </c>
      <c r="F36" s="21">
        <f t="shared" ref="F36:F64" si="3">IFERROR(E36/D36,"")</f>
        <v>1.0040226781857451</v>
      </c>
    </row>
    <row r="37" spans="1:6" x14ac:dyDescent="0.2">
      <c r="A37" s="20">
        <v>2</v>
      </c>
      <c r="B37" s="202" t="s">
        <v>1</v>
      </c>
      <c r="C37" s="203"/>
      <c r="D37" s="15">
        <f>IF(F3="1",SUMIF(Data!A:A,'45'!$A$2,Data!CV:CV),0)</f>
        <v>49911</v>
      </c>
      <c r="E37" s="18">
        <f>IF(F3="1",SUMIF(Data!$A:$A,'45'!$A$2,Data!IP:IP),0)</f>
        <v>85290</v>
      </c>
      <c r="F37" s="22">
        <f t="shared" si="3"/>
        <v>1.7088417382941636</v>
      </c>
    </row>
    <row r="38" spans="1:6" ht="14.25" customHeight="1" x14ac:dyDescent="0.2">
      <c r="A38" s="20">
        <v>3</v>
      </c>
      <c r="B38" s="202" t="s">
        <v>2</v>
      </c>
      <c r="C38" s="203"/>
      <c r="D38" s="15">
        <f>IF(F3="1",SUMIF(Data!A:A,'45'!$A$2,Data!CW:CW),0)</f>
        <v>787644</v>
      </c>
      <c r="E38" s="18">
        <f>IF(F3="1",SUMIF(Data!$A:$A,'45'!$A$2,Data!IQ:IQ),0)</f>
        <v>1288003</v>
      </c>
      <c r="F38" s="22">
        <f t="shared" si="3"/>
        <v>1.6352603460446598</v>
      </c>
    </row>
    <row r="39" spans="1:6" ht="14.25" customHeight="1" x14ac:dyDescent="0.2">
      <c r="A39" s="20">
        <v>4</v>
      </c>
      <c r="B39" s="202" t="s">
        <v>3</v>
      </c>
      <c r="C39" s="203"/>
      <c r="D39" s="15">
        <f>IF(F3="1",SUMIF(Data!A:A,'45'!$A$2,Data!CX:CX),0)</f>
        <v>427289</v>
      </c>
      <c r="E39" s="18">
        <f>IF(F3="1",SUMIF(Data!$A:$A,'45'!$A$2,Data!IR:IR),0)</f>
        <v>410409</v>
      </c>
      <c r="F39" s="22">
        <f t="shared" si="3"/>
        <v>0.96049512156877426</v>
      </c>
    </row>
    <row r="40" spans="1:6" x14ac:dyDescent="0.2">
      <c r="A40" s="20">
        <v>5</v>
      </c>
      <c r="B40" s="202" t="s">
        <v>4</v>
      </c>
      <c r="C40" s="203"/>
      <c r="D40" s="15">
        <f>IF(F3="1",SUMIF(Data!A:A,'45'!$A$2,Data!CY:CY),0)</f>
        <v>0</v>
      </c>
      <c r="E40" s="18">
        <f>IF(F3="1",SUMIF(Data!$A:$A,'45'!$A$2,Data!IS:IS),0)</f>
        <v>0</v>
      </c>
      <c r="F40" s="22" t="str">
        <f t="shared" si="3"/>
        <v/>
      </c>
    </row>
    <row r="41" spans="1:6" x14ac:dyDescent="0.2">
      <c r="A41" s="20">
        <v>6</v>
      </c>
      <c r="B41" s="202" t="s">
        <v>5</v>
      </c>
      <c r="C41" s="203"/>
      <c r="D41" s="15">
        <f>IF(F3="1",SUMIF(Data!A:A,'45'!$A$2,Data!CZ:CZ),0)</f>
        <v>67928</v>
      </c>
      <c r="E41" s="18">
        <f>IF(F3="1",SUMIF(Data!$A:$A,'45'!$A$2,Data!IT:IT),0)</f>
        <v>114590</v>
      </c>
      <c r="F41" s="22">
        <f t="shared" si="3"/>
        <v>1.6869332234130257</v>
      </c>
    </row>
    <row r="42" spans="1:6" x14ac:dyDescent="0.2">
      <c r="A42" s="20">
        <v>7</v>
      </c>
      <c r="B42" s="202" t="s">
        <v>6</v>
      </c>
      <c r="C42" s="203"/>
      <c r="D42" s="15">
        <f>IF(F3="1",SUMIF(Data!A:A,'45'!$A$2,Data!DA:DA),0)</f>
        <v>218109</v>
      </c>
      <c r="E42" s="18">
        <f>IF(F3="1",SUMIF(Data!$A:$A,'45'!$A$2,Data!IU:IU),0)</f>
        <v>299111</v>
      </c>
      <c r="F42" s="22">
        <f t="shared" si="3"/>
        <v>1.3713831157815588</v>
      </c>
    </row>
    <row r="43" spans="1:6" x14ac:dyDescent="0.2">
      <c r="A43" s="20">
        <v>8</v>
      </c>
      <c r="B43" s="202" t="s">
        <v>7</v>
      </c>
      <c r="C43" s="203"/>
      <c r="D43" s="15">
        <f>IF(F3="1",SUMIF(Data!A:A,'45'!$A$2,Data!DB:DB),0)</f>
        <v>13832</v>
      </c>
      <c r="E43" s="18">
        <f>IF(F3="1",SUMIF(Data!$A:$A,'45'!$A$2,Data!IV:IV),0)</f>
        <v>40533</v>
      </c>
      <c r="F43" s="22">
        <f t="shared" si="3"/>
        <v>2.9303788316946213</v>
      </c>
    </row>
    <row r="44" spans="1:6" x14ac:dyDescent="0.2">
      <c r="A44" s="20">
        <v>9</v>
      </c>
      <c r="B44" s="202" t="s">
        <v>8</v>
      </c>
      <c r="C44" s="203"/>
      <c r="D44" s="15">
        <f>IF(F3="1",SUMIF(Data!A:A,'45'!$A$2,Data!DC:DC),0)</f>
        <v>92983</v>
      </c>
      <c r="E44" s="18">
        <f>IF(F3="1",SUMIF(Data!$A:$A,'45'!$A$2,Data!IW:IW),0)</f>
        <v>306595</v>
      </c>
      <c r="F44" s="22">
        <f t="shared" si="3"/>
        <v>3.2973231666003464</v>
      </c>
    </row>
    <row r="45" spans="1:6" x14ac:dyDescent="0.2">
      <c r="A45" s="20">
        <v>10</v>
      </c>
      <c r="B45" s="202" t="s">
        <v>9</v>
      </c>
      <c r="C45" s="203"/>
      <c r="D45" s="15">
        <f>IF(F3="1",SUMIF(Data!A:A,'45'!$A$2,Data!DD:DD),0)</f>
        <v>6528</v>
      </c>
      <c r="E45" s="18">
        <f>IF(F3="1",SUMIF(Data!$A:$A,'45'!$A$2,Data!IX:IX),0)</f>
        <v>15970</v>
      </c>
      <c r="F45" s="22">
        <f t="shared" si="3"/>
        <v>2.4463848039215685</v>
      </c>
    </row>
    <row r="46" spans="1:6" x14ac:dyDescent="0.2">
      <c r="A46" s="20">
        <v>11</v>
      </c>
      <c r="B46" s="202" t="s">
        <v>10</v>
      </c>
      <c r="C46" s="203"/>
      <c r="D46" s="15">
        <f>IF(F3="1",SUMIF(Data!A:A,'45'!$A$2,Data!DE:DE),0)</f>
        <v>168626</v>
      </c>
      <c r="E46" s="18">
        <f>IF(F3="1",SUMIF(Data!$A:$A,'45'!$A$2,Data!IY:IY),0)</f>
        <v>281742</v>
      </c>
      <c r="F46" s="22">
        <f t="shared" si="3"/>
        <v>1.6708099581321978</v>
      </c>
    </row>
    <row r="47" spans="1:6" ht="14.25" customHeight="1" x14ac:dyDescent="0.2">
      <c r="A47" s="20">
        <v>12</v>
      </c>
      <c r="B47" s="202" t="s">
        <v>11</v>
      </c>
      <c r="C47" s="203"/>
      <c r="D47" s="15">
        <f>IF(F3="1",SUMIF(Data!A:A,'45'!$A$2,Data!DF:DF),0)</f>
        <v>492600</v>
      </c>
      <c r="E47" s="18">
        <f>IF(F3="1",SUMIF(Data!$A:$A,'45'!$A$2,Data!IZ:IZ),0)</f>
        <v>563075</v>
      </c>
      <c r="F47" s="22">
        <f t="shared" si="3"/>
        <v>1.1430673974827446</v>
      </c>
    </row>
    <row r="48" spans="1:6" x14ac:dyDescent="0.2">
      <c r="A48" s="20">
        <v>13</v>
      </c>
      <c r="B48" s="202" t="s">
        <v>12</v>
      </c>
      <c r="C48" s="203"/>
      <c r="D48" s="15">
        <f>IF(F3="1",SUMIF(Data!A:A,'45'!$A$2,Data!DG:DG),0)</f>
        <v>117708</v>
      </c>
      <c r="E48" s="18">
        <f>IF(F3="1",SUMIF(Data!$A:$A,'45'!$A$2,Data!JA:JA),0)</f>
        <v>123330</v>
      </c>
      <c r="F48" s="22">
        <f t="shared" si="3"/>
        <v>1.0477622591497604</v>
      </c>
    </row>
    <row r="49" spans="1:6" ht="14.25" customHeight="1" x14ac:dyDescent="0.2">
      <c r="A49" s="20">
        <v>14</v>
      </c>
      <c r="B49" s="202" t="s">
        <v>449</v>
      </c>
      <c r="C49" s="203"/>
      <c r="D49" s="15">
        <f>IF(F3="1",SUMIF(Data!A:A,'45'!$A$2,Data!DH:DH),0)</f>
        <v>235922</v>
      </c>
      <c r="E49" s="18">
        <f>IF(F3="1",SUMIF(Data!$A:$A,'45'!$A$2,Data!JB:JB),0)</f>
        <v>507063</v>
      </c>
      <c r="F49" s="22">
        <f t="shared" si="3"/>
        <v>2.1492823899424387</v>
      </c>
    </row>
    <row r="50" spans="1:6" x14ac:dyDescent="0.2">
      <c r="A50" s="20">
        <v>15</v>
      </c>
      <c r="B50" s="202" t="s">
        <v>13</v>
      </c>
      <c r="C50" s="203"/>
      <c r="D50" s="15">
        <f>IF(F3="1",SUMIF(Data!A:A,'45'!$A$2,Data!DI:DI),0)</f>
        <v>35824</v>
      </c>
      <c r="E50" s="18">
        <f>IF(F3="1",SUMIF(Data!$A:$A,'45'!$A$2,Data!JC:JC),0)</f>
        <v>126764</v>
      </c>
      <c r="F50" s="22">
        <f t="shared" si="3"/>
        <v>3.5385216614560071</v>
      </c>
    </row>
    <row r="51" spans="1:6" x14ac:dyDescent="0.2">
      <c r="A51" s="20">
        <v>16</v>
      </c>
      <c r="B51" s="202" t="s">
        <v>14</v>
      </c>
      <c r="C51" s="203"/>
      <c r="D51" s="15">
        <f>IF(F3="1",SUMIF(Data!A:A,'45'!$A$2,Data!DJ:DJ),0)</f>
        <v>348194</v>
      </c>
      <c r="E51" s="18">
        <f>IF(F3="1",SUMIF(Data!$A:$A,'45'!$A$2,Data!JD:JD),0)</f>
        <v>571539</v>
      </c>
      <c r="F51" s="22">
        <f t="shared" si="3"/>
        <v>1.6414383935392338</v>
      </c>
    </row>
    <row r="52" spans="1:6" x14ac:dyDescent="0.2">
      <c r="A52" s="20">
        <v>17</v>
      </c>
      <c r="B52" s="202" t="s">
        <v>15</v>
      </c>
      <c r="C52" s="203"/>
      <c r="D52" s="15">
        <f>IF(F3="1",SUMIF(Data!A:A,'45'!$A$2,Data!DK:DK),0)</f>
        <v>44880</v>
      </c>
      <c r="E52" s="18">
        <f>IF(F3="1",SUMIF(Data!$A:$A,'45'!$A$2,Data!JE:JE),0)</f>
        <v>75059</v>
      </c>
      <c r="F52" s="22">
        <f t="shared" si="3"/>
        <v>1.6724376114081996</v>
      </c>
    </row>
    <row r="53" spans="1:6" x14ac:dyDescent="0.2">
      <c r="A53" s="20">
        <v>18</v>
      </c>
      <c r="B53" s="202" t="s">
        <v>16</v>
      </c>
      <c r="C53" s="203"/>
      <c r="D53" s="15">
        <f>IF(F3="1",SUMIF(Data!A:A,'45'!$A$2,Data!DL:DL),0)</f>
        <v>267488</v>
      </c>
      <c r="E53" s="18">
        <f>IF(F3="1",SUMIF(Data!$A:$A,'45'!$A$2,Data!JF:JF),0)</f>
        <v>418734</v>
      </c>
      <c r="F53" s="22">
        <f t="shared" si="3"/>
        <v>1.5654309726043785</v>
      </c>
    </row>
    <row r="54" spans="1:6" x14ac:dyDescent="0.2">
      <c r="A54" s="20">
        <v>19</v>
      </c>
      <c r="B54" s="202" t="s">
        <v>17</v>
      </c>
      <c r="C54" s="203"/>
      <c r="D54" s="15">
        <f>IF(F3="1",SUMIF(Data!A:A,'45'!$A$2,Data!DM:DM),0)</f>
        <v>286277</v>
      </c>
      <c r="E54" s="18">
        <f>IF(F3="1",SUMIF(Data!$A:$A,'45'!$A$2,Data!JG:JG),0)</f>
        <v>266672</v>
      </c>
      <c r="F54" s="22">
        <f t="shared" si="3"/>
        <v>0.93151737652693023</v>
      </c>
    </row>
    <row r="55" spans="1:6" x14ac:dyDescent="0.2">
      <c r="A55" s="20">
        <v>20</v>
      </c>
      <c r="B55" s="202" t="s">
        <v>18</v>
      </c>
      <c r="C55" s="203"/>
      <c r="D55" s="15">
        <f>IF(F3="1",SUMIF(Data!A:A,'45'!$A$2,Data!DN:DN),0)</f>
        <v>84534</v>
      </c>
      <c r="E55" s="18">
        <f>IF(F3="1",SUMIF(Data!$A:$A,'45'!$A$2,Data!JH:JH),0)</f>
        <v>107641</v>
      </c>
      <c r="F55" s="22">
        <f t="shared" si="3"/>
        <v>1.2733456360754252</v>
      </c>
    </row>
    <row r="56" spans="1:6" ht="14.25" customHeight="1" x14ac:dyDescent="0.2">
      <c r="A56" s="20">
        <v>21</v>
      </c>
      <c r="B56" s="202" t="s">
        <v>446</v>
      </c>
      <c r="C56" s="203"/>
      <c r="D56" s="15">
        <f>IF(F3="1",SUMIF(Data!A:A,'45'!$A$2,Data!DO:DO),0)</f>
        <v>17748</v>
      </c>
      <c r="E56" s="18">
        <f>IF(F3="1",SUMIF(Data!$A:$A,'45'!$A$2,Data!JI:JI),0)</f>
        <v>43201</v>
      </c>
      <c r="F56" s="22">
        <f t="shared" si="3"/>
        <v>2.4341334234843361</v>
      </c>
    </row>
    <row r="57" spans="1:6" x14ac:dyDescent="0.2">
      <c r="A57" s="20">
        <v>22</v>
      </c>
      <c r="B57" s="202" t="s">
        <v>19</v>
      </c>
      <c r="C57" s="203"/>
      <c r="D57" s="15">
        <f>IF(F3="1",SUMIF(Data!A:A,'45'!$A$2,Data!DP:DP),0)</f>
        <v>15000</v>
      </c>
      <c r="E57" s="18">
        <f>IF(F3="1",SUMIF(Data!$A:$A,'45'!$A$2,Data!JJ:JJ),0)</f>
        <v>36653</v>
      </c>
      <c r="F57" s="22">
        <f t="shared" si="3"/>
        <v>2.4435333333333333</v>
      </c>
    </row>
    <row r="58" spans="1:6" x14ac:dyDescent="0.2">
      <c r="A58" s="20">
        <v>23</v>
      </c>
      <c r="B58" s="202" t="s">
        <v>20</v>
      </c>
      <c r="C58" s="203"/>
      <c r="D58" s="15">
        <f>IF(F3="1",SUMIF(Data!A:A,'45'!$A$2,Data!DQ:DQ),0)</f>
        <v>108160</v>
      </c>
      <c r="E58" s="18">
        <f>IF(F3="1",SUMIF(Data!$A:$A,'45'!$A$2,Data!JK:JK),0)</f>
        <v>304295</v>
      </c>
      <c r="F58" s="22">
        <f t="shared" si="3"/>
        <v>2.8133783284023668</v>
      </c>
    </row>
    <row r="59" spans="1:6" x14ac:dyDescent="0.2">
      <c r="A59" s="20">
        <v>24</v>
      </c>
      <c r="B59" s="202" t="s">
        <v>21</v>
      </c>
      <c r="C59" s="203"/>
      <c r="D59" s="15">
        <f>IF(F3="1",SUMIF(Data!A:A,'45'!$A$2,Data!DR:DR),0)</f>
        <v>91731</v>
      </c>
      <c r="E59" s="18">
        <f>IF(F3="1",SUMIF(Data!$A:$A,'45'!$A$2,Data!JL:JL),0)</f>
        <v>152338</v>
      </c>
      <c r="F59" s="22">
        <f t="shared" si="3"/>
        <v>1.6607035789427784</v>
      </c>
    </row>
    <row r="60" spans="1:6" x14ac:dyDescent="0.2">
      <c r="A60" s="20">
        <v>25</v>
      </c>
      <c r="B60" s="202" t="s">
        <v>22</v>
      </c>
      <c r="C60" s="203"/>
      <c r="D60" s="15">
        <f>IF(F3="1",SUMIF(Data!A:A,'45'!$A$2,Data!DS:DS),0)</f>
        <v>751040</v>
      </c>
      <c r="E60" s="18">
        <f>IF(F3="1",SUMIF(Data!$A:$A,'45'!$A$2,Data!JM:JM),0)</f>
        <v>693195</v>
      </c>
      <c r="F60" s="22">
        <f t="shared" si="3"/>
        <v>0.92298013421389002</v>
      </c>
    </row>
    <row r="61" spans="1:6" x14ac:dyDescent="0.2">
      <c r="A61" s="20">
        <v>26</v>
      </c>
      <c r="B61" s="202" t="s">
        <v>23</v>
      </c>
      <c r="C61" s="203"/>
      <c r="D61" s="15">
        <f>IF(F3="1",SUMIF(Data!A:A,'45'!$A$2,Data!DT:DT),0)</f>
        <v>400092</v>
      </c>
      <c r="E61" s="18">
        <f>IF(F3="1",SUMIF(Data!$A:$A,'45'!$A$2,Data!JN:JN),0)</f>
        <v>800532</v>
      </c>
      <c r="F61" s="22">
        <f t="shared" si="3"/>
        <v>2.0008697999460123</v>
      </c>
    </row>
    <row r="62" spans="1:6" x14ac:dyDescent="0.2">
      <c r="A62" s="20">
        <v>28</v>
      </c>
      <c r="B62" s="202" t="s">
        <v>24</v>
      </c>
      <c r="C62" s="203"/>
      <c r="D62" s="15">
        <f>IF(F3="1",SUMIF(Data!A:A,'45'!$A$2,Data!DV:DV),0)</f>
        <v>195648</v>
      </c>
      <c r="E62" s="18">
        <f>IF(F3="1",SUMIF(Data!$A:$A,'45'!$A$2,Data!JP:JP),0)</f>
        <v>229730</v>
      </c>
      <c r="F62" s="22">
        <f t="shared" si="3"/>
        <v>1.1742006051684659</v>
      </c>
    </row>
    <row r="63" spans="1:6" ht="15.75" customHeight="1" thickBot="1" x14ac:dyDescent="0.25">
      <c r="A63" s="23">
        <v>29</v>
      </c>
      <c r="B63" s="206" t="s">
        <v>25</v>
      </c>
      <c r="C63" s="207"/>
      <c r="D63" s="24">
        <f>IF(F3="1",SUMIF(Data!A:A,'45'!$A$2,Data!DW:DW),0)</f>
        <v>334128</v>
      </c>
      <c r="E63" s="25">
        <f>IF(F3="1",SUMIF(Data!$A:$A,'45'!$A$2,Data!JQ:JQ),0)</f>
        <v>293193</v>
      </c>
      <c r="F63" s="26">
        <f t="shared" si="3"/>
        <v>0.87748707082315758</v>
      </c>
    </row>
    <row r="64" spans="1:6" x14ac:dyDescent="0.2">
      <c r="B64" s="31" t="s">
        <v>35</v>
      </c>
      <c r="C64" s="31"/>
      <c r="D64" s="60">
        <f>SUM(D36:D63)</f>
        <v>5696864</v>
      </c>
      <c r="E64" s="32">
        <f>SUM(E36:E63)</f>
        <v>8192446</v>
      </c>
      <c r="F64" s="33">
        <f t="shared" si="3"/>
        <v>1.4380624146899066</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37040</v>
      </c>
      <c r="E67" s="16">
        <f>IF(F3="1",SUMIF(Data!A:A,'45'!$A$2,Data!DY:DY),0)</f>
        <v>51829</v>
      </c>
      <c r="F67" s="21">
        <f>IFERROR(E67/D67,"")</f>
        <v>1.3992710583153347</v>
      </c>
    </row>
    <row r="68" spans="1:6" x14ac:dyDescent="0.2">
      <c r="A68" s="20">
        <v>2</v>
      </c>
      <c r="B68" s="202" t="s">
        <v>1</v>
      </c>
      <c r="C68" s="203"/>
      <c r="D68" s="15">
        <f t="shared" ref="D68:D94" si="4">D37</f>
        <v>49911</v>
      </c>
      <c r="E68" s="18">
        <f>IF(F3="1",SUMIF(Data!A:A,'45'!$A$2,Data!DZ:DZ),0)</f>
        <v>190783</v>
      </c>
      <c r="F68" s="22">
        <f t="shared" ref="F68:F95" si="5">IFERROR(E68/D68,"")</f>
        <v>3.8224639858948928</v>
      </c>
    </row>
    <row r="69" spans="1:6" ht="14.25" customHeight="1" x14ac:dyDescent="0.2">
      <c r="A69" s="20">
        <v>3</v>
      </c>
      <c r="B69" s="202" t="s">
        <v>2</v>
      </c>
      <c r="C69" s="203"/>
      <c r="D69" s="15">
        <f t="shared" si="4"/>
        <v>787644</v>
      </c>
      <c r="E69" s="18">
        <f>IF(F3="1",SUMIF(Data!A:A,'45'!$A$2,Data!EA:EA),0)</f>
        <v>1726528</v>
      </c>
      <c r="F69" s="22">
        <f t="shared" si="5"/>
        <v>2.1920156822117605</v>
      </c>
    </row>
    <row r="70" spans="1:6" ht="14.25" customHeight="1" x14ac:dyDescent="0.2">
      <c r="A70" s="20">
        <v>4</v>
      </c>
      <c r="B70" s="202" t="s">
        <v>3</v>
      </c>
      <c r="C70" s="203"/>
      <c r="D70" s="15">
        <f t="shared" si="4"/>
        <v>427289</v>
      </c>
      <c r="E70" s="18">
        <f>IF(F3="1",SUMIF(Data!A:A,'45'!$A$2,Data!EB:EB),0)</f>
        <v>878417</v>
      </c>
      <c r="F70" s="22">
        <f t="shared" si="5"/>
        <v>2.0557912794385067</v>
      </c>
    </row>
    <row r="71" spans="1:6" x14ac:dyDescent="0.2">
      <c r="A71" s="20">
        <v>5</v>
      </c>
      <c r="B71" s="202" t="s">
        <v>4</v>
      </c>
      <c r="C71" s="203"/>
      <c r="D71" s="15">
        <f t="shared" si="4"/>
        <v>0</v>
      </c>
      <c r="E71" s="18">
        <f>IF(F3="1",SUMIF(Data!A:A,'45'!$A$2,Data!EC:EC),0)</f>
        <v>0</v>
      </c>
      <c r="F71" s="22" t="str">
        <f t="shared" si="5"/>
        <v/>
      </c>
    </row>
    <row r="72" spans="1:6" x14ac:dyDescent="0.2">
      <c r="A72" s="20">
        <v>6</v>
      </c>
      <c r="B72" s="202" t="s">
        <v>5</v>
      </c>
      <c r="C72" s="203"/>
      <c r="D72" s="15">
        <f t="shared" si="4"/>
        <v>67928</v>
      </c>
      <c r="E72" s="18">
        <f>IF(F3="1",SUMIF(Data!A:A,'45'!$A$2,Data!ED:ED),0)</f>
        <v>580520</v>
      </c>
      <c r="F72" s="22">
        <f t="shared" si="5"/>
        <v>8.5461076433871153</v>
      </c>
    </row>
    <row r="73" spans="1:6" x14ac:dyDescent="0.2">
      <c r="A73" s="20">
        <v>7</v>
      </c>
      <c r="B73" s="202" t="s">
        <v>6</v>
      </c>
      <c r="C73" s="203"/>
      <c r="D73" s="15">
        <f t="shared" si="4"/>
        <v>218109</v>
      </c>
      <c r="E73" s="18">
        <f>IF(F3="1",SUMIF(Data!A:A,'45'!$A$2,Data!EE:EE),0)</f>
        <v>988483</v>
      </c>
      <c r="F73" s="22">
        <f t="shared" si="5"/>
        <v>4.5320596582442727</v>
      </c>
    </row>
    <row r="74" spans="1:6" x14ac:dyDescent="0.2">
      <c r="A74" s="20">
        <v>8</v>
      </c>
      <c r="B74" s="202" t="s">
        <v>7</v>
      </c>
      <c r="C74" s="203"/>
      <c r="D74" s="15">
        <f t="shared" si="4"/>
        <v>13832</v>
      </c>
      <c r="E74" s="18">
        <f>IF(F3="1",SUMIF(Data!A:A,'45'!$A$2,Data!EF:EF),0)</f>
        <v>4865</v>
      </c>
      <c r="F74" s="22">
        <f t="shared" si="5"/>
        <v>0.35172064777327933</v>
      </c>
    </row>
    <row r="75" spans="1:6" x14ac:dyDescent="0.2">
      <c r="A75" s="20">
        <v>9</v>
      </c>
      <c r="B75" s="202" t="s">
        <v>8</v>
      </c>
      <c r="C75" s="203"/>
      <c r="D75" s="15">
        <f t="shared" si="4"/>
        <v>92983</v>
      </c>
      <c r="E75" s="18">
        <f>IF(F3="1",SUMIF(Data!A:A,'45'!$A$2,Data!EG:EG),0)</f>
        <v>81278</v>
      </c>
      <c r="F75" s="22">
        <f t="shared" si="5"/>
        <v>0.87411677403396315</v>
      </c>
    </row>
    <row r="76" spans="1:6" x14ac:dyDescent="0.2">
      <c r="A76" s="20">
        <v>10</v>
      </c>
      <c r="B76" s="202" t="s">
        <v>9</v>
      </c>
      <c r="C76" s="203"/>
      <c r="D76" s="15">
        <f t="shared" si="4"/>
        <v>6528</v>
      </c>
      <c r="E76" s="18">
        <f>IF(F3="1",SUMIF(Data!A:A,'45'!$A$2,Data!EH:EH),0)</f>
        <v>1946</v>
      </c>
      <c r="F76" s="22">
        <f t="shared" si="5"/>
        <v>0.29810049019607843</v>
      </c>
    </row>
    <row r="77" spans="1:6" x14ac:dyDescent="0.2">
      <c r="A77" s="20">
        <v>11</v>
      </c>
      <c r="B77" s="202" t="s">
        <v>10</v>
      </c>
      <c r="C77" s="203"/>
      <c r="D77" s="15">
        <f t="shared" si="4"/>
        <v>168626</v>
      </c>
      <c r="E77" s="18">
        <f>IF(F3="1",SUMIF(Data!A:A,'45'!$A$2,Data!EI:EI),0)</f>
        <v>479221</v>
      </c>
      <c r="F77" s="22">
        <f t="shared" si="5"/>
        <v>2.8419164304437037</v>
      </c>
    </row>
    <row r="78" spans="1:6" ht="14.25" customHeight="1" x14ac:dyDescent="0.2">
      <c r="A78" s="20">
        <v>12</v>
      </c>
      <c r="B78" s="202" t="s">
        <v>11</v>
      </c>
      <c r="C78" s="203"/>
      <c r="D78" s="15">
        <f t="shared" si="4"/>
        <v>492600</v>
      </c>
      <c r="E78" s="18">
        <f>IF(F3="1",SUMIF(Data!A:A,'45'!$A$2,Data!EJ:EJ),0)</f>
        <v>1590259</v>
      </c>
      <c r="F78" s="22">
        <f t="shared" si="5"/>
        <v>3.2282967925294357</v>
      </c>
    </row>
    <row r="79" spans="1:6" x14ac:dyDescent="0.2">
      <c r="A79" s="20">
        <v>13</v>
      </c>
      <c r="B79" s="202" t="s">
        <v>12</v>
      </c>
      <c r="C79" s="203"/>
      <c r="D79" s="15">
        <f t="shared" si="4"/>
        <v>117708</v>
      </c>
      <c r="E79" s="18">
        <f>IF(F3="1",SUMIF(Data!A:A,'45'!$A$2,Data!EK:EK),0)</f>
        <v>232444</v>
      </c>
      <c r="F79" s="22">
        <f t="shared" si="5"/>
        <v>1.9747510789411085</v>
      </c>
    </row>
    <row r="80" spans="1:6" ht="14.25" customHeight="1" x14ac:dyDescent="0.2">
      <c r="A80" s="20">
        <v>14</v>
      </c>
      <c r="B80" s="202" t="s">
        <v>449</v>
      </c>
      <c r="C80" s="203"/>
      <c r="D80" s="15">
        <f t="shared" si="4"/>
        <v>235922</v>
      </c>
      <c r="E80" s="18">
        <f>IF(F3="1",SUMIF(Data!A:A,'45'!$A$2,Data!EL:EL),0)</f>
        <v>1114030</v>
      </c>
      <c r="F80" s="22">
        <f t="shared" si="5"/>
        <v>4.7220267715600919</v>
      </c>
    </row>
    <row r="81" spans="1:6" x14ac:dyDescent="0.2">
      <c r="A81" s="20">
        <v>15</v>
      </c>
      <c r="B81" s="202" t="s">
        <v>13</v>
      </c>
      <c r="C81" s="203"/>
      <c r="D81" s="15">
        <f t="shared" si="4"/>
        <v>35824</v>
      </c>
      <c r="E81" s="18">
        <f>IF(F3="1",SUMIF(Data!A:A,'45'!$A$2,Data!EM:EM),0)</f>
        <v>348596</v>
      </c>
      <c r="F81" s="22">
        <f t="shared" si="5"/>
        <v>9.7307949977668606</v>
      </c>
    </row>
    <row r="82" spans="1:6" x14ac:dyDescent="0.2">
      <c r="A82" s="20">
        <v>16</v>
      </c>
      <c r="B82" s="202" t="s">
        <v>14</v>
      </c>
      <c r="C82" s="203"/>
      <c r="D82" s="15">
        <f t="shared" si="4"/>
        <v>348194</v>
      </c>
      <c r="E82" s="18">
        <f>IF(F3="1",SUMIF(Data!A:A,'45'!$A$2,Data!EN:EN),0)</f>
        <v>1360696</v>
      </c>
      <c r="F82" s="22">
        <f t="shared" si="5"/>
        <v>3.9078674532013764</v>
      </c>
    </row>
    <row r="83" spans="1:6" x14ac:dyDescent="0.2">
      <c r="A83" s="20">
        <v>17</v>
      </c>
      <c r="B83" s="202" t="s">
        <v>15</v>
      </c>
      <c r="C83" s="203"/>
      <c r="D83" s="15">
        <f t="shared" si="4"/>
        <v>44880</v>
      </c>
      <c r="E83" s="18">
        <f>IF(F3="1",SUMIF(Data!A:A,'45'!$A$2,Data!EO:EO),0)</f>
        <v>246296</v>
      </c>
      <c r="F83" s="22">
        <f t="shared" si="5"/>
        <v>5.4878787878787882</v>
      </c>
    </row>
    <row r="84" spans="1:6" x14ac:dyDescent="0.2">
      <c r="A84" s="20">
        <v>18</v>
      </c>
      <c r="B84" s="202" t="s">
        <v>16</v>
      </c>
      <c r="C84" s="203"/>
      <c r="D84" s="15">
        <f t="shared" si="4"/>
        <v>267488</v>
      </c>
      <c r="E84" s="18">
        <f>IF(F3="1",SUMIF(Data!A:A,'45'!$A$2,Data!EP:EP),0)</f>
        <v>669594</v>
      </c>
      <c r="F84" s="22">
        <f t="shared" si="5"/>
        <v>2.5032674362962077</v>
      </c>
    </row>
    <row r="85" spans="1:6" x14ac:dyDescent="0.2">
      <c r="A85" s="20">
        <v>19</v>
      </c>
      <c r="B85" s="202" t="s">
        <v>17</v>
      </c>
      <c r="C85" s="203"/>
      <c r="D85" s="15">
        <f t="shared" si="4"/>
        <v>286277</v>
      </c>
      <c r="E85" s="18">
        <f>IF(F3="1",SUMIF(Data!A:A,'45'!$A$2,Data!EQ:EQ),0)</f>
        <v>907417</v>
      </c>
      <c r="F85" s="22">
        <f t="shared" si="5"/>
        <v>3.169716742874908</v>
      </c>
    </row>
    <row r="86" spans="1:6" x14ac:dyDescent="0.2">
      <c r="A86" s="20">
        <v>20</v>
      </c>
      <c r="B86" s="202" t="s">
        <v>18</v>
      </c>
      <c r="C86" s="203"/>
      <c r="D86" s="15">
        <f t="shared" si="4"/>
        <v>84534</v>
      </c>
      <c r="E86" s="18">
        <f>IF(F3="1",SUMIF(Data!A:A,'45'!$A$2,Data!ER:ER),0)</f>
        <v>319907</v>
      </c>
      <c r="F86" s="22">
        <f t="shared" si="5"/>
        <v>3.7843589561596516</v>
      </c>
    </row>
    <row r="87" spans="1:6" ht="14.25" customHeight="1" x14ac:dyDescent="0.2">
      <c r="A87" s="20">
        <v>21</v>
      </c>
      <c r="B87" s="202" t="s">
        <v>446</v>
      </c>
      <c r="C87" s="203"/>
      <c r="D87" s="15">
        <f t="shared" si="4"/>
        <v>17748</v>
      </c>
      <c r="E87" s="18">
        <f>IF(F3="1",SUMIF(Data!A:A,'45'!$A$2,Data!ES:ES),0)</f>
        <v>5270</v>
      </c>
      <c r="F87" s="22">
        <f t="shared" si="5"/>
        <v>0.29693486590038315</v>
      </c>
    </row>
    <row r="88" spans="1:6" x14ac:dyDescent="0.2">
      <c r="A88" s="20">
        <v>22</v>
      </c>
      <c r="B88" s="202" t="s">
        <v>19</v>
      </c>
      <c r="C88" s="203"/>
      <c r="D88" s="15">
        <f t="shared" si="4"/>
        <v>15000</v>
      </c>
      <c r="E88" s="18">
        <f>IF(F3="1",SUMIF(Data!A:A,'45'!$A$2,Data!ET:ET),0)</f>
        <v>4471</v>
      </c>
      <c r="F88" s="22">
        <f t="shared" si="5"/>
        <v>0.29806666666666665</v>
      </c>
    </row>
    <row r="89" spans="1:6" x14ac:dyDescent="0.2">
      <c r="A89" s="20">
        <v>23</v>
      </c>
      <c r="B89" s="202" t="s">
        <v>20</v>
      </c>
      <c r="C89" s="203"/>
      <c r="D89" s="15">
        <f t="shared" si="4"/>
        <v>108160</v>
      </c>
      <c r="E89" s="18">
        <f>IF(F3="1",SUMIF(Data!A:A,'45'!$A$2,Data!EU:EU),0)</f>
        <v>793928</v>
      </c>
      <c r="F89" s="22">
        <f t="shared" si="5"/>
        <v>7.3403106508875737</v>
      </c>
    </row>
    <row r="90" spans="1:6" x14ac:dyDescent="0.2">
      <c r="A90" s="20">
        <v>24</v>
      </c>
      <c r="B90" s="202" t="s">
        <v>21</v>
      </c>
      <c r="C90" s="203"/>
      <c r="D90" s="15">
        <f t="shared" si="4"/>
        <v>91731</v>
      </c>
      <c r="E90" s="18">
        <f>IF(F3="1",SUMIF(Data!A:A,'45'!$A$2,Data!EV:EV),0)</f>
        <v>284657</v>
      </c>
      <c r="F90" s="22">
        <f t="shared" si="5"/>
        <v>3.1031712289193401</v>
      </c>
    </row>
    <row r="91" spans="1:6" x14ac:dyDescent="0.2">
      <c r="A91" s="20">
        <v>25</v>
      </c>
      <c r="B91" s="202" t="s">
        <v>22</v>
      </c>
      <c r="C91" s="203"/>
      <c r="D91" s="15">
        <f t="shared" si="4"/>
        <v>751040</v>
      </c>
      <c r="E91" s="18">
        <f>IF(F3="1",SUMIF(Data!A:A,'45'!$A$2,Data!EW:EW),0)</f>
        <v>2166189</v>
      </c>
      <c r="F91" s="22">
        <f t="shared" si="5"/>
        <v>2.8842525031955688</v>
      </c>
    </row>
    <row r="92" spans="1:6" x14ac:dyDescent="0.2">
      <c r="A92" s="20">
        <v>26</v>
      </c>
      <c r="B92" s="202" t="s">
        <v>23</v>
      </c>
      <c r="C92" s="203"/>
      <c r="D92" s="15">
        <f t="shared" si="4"/>
        <v>400092</v>
      </c>
      <c r="E92" s="18">
        <f>IF(F3="1",SUMIF(Data!A:A,'45'!$A$2,Data!EX:EX),0)</f>
        <v>1687564</v>
      </c>
      <c r="F92" s="22">
        <f t="shared" si="5"/>
        <v>4.2179398738290192</v>
      </c>
    </row>
    <row r="93" spans="1:6" x14ac:dyDescent="0.2">
      <c r="A93" s="20">
        <v>28</v>
      </c>
      <c r="B93" s="202" t="s">
        <v>24</v>
      </c>
      <c r="C93" s="203"/>
      <c r="D93" s="15">
        <f t="shared" si="4"/>
        <v>195648</v>
      </c>
      <c r="E93" s="18">
        <f>IF(F3="1",SUMIF(Data!A:A,'45'!$A$2,Data!EZ:EZ),0)</f>
        <v>706709</v>
      </c>
      <c r="F93" s="22">
        <f t="shared" si="5"/>
        <v>3.6121452813215571</v>
      </c>
    </row>
    <row r="94" spans="1:6" ht="15.75" customHeight="1" thickBot="1" x14ac:dyDescent="0.25">
      <c r="A94" s="23">
        <v>29</v>
      </c>
      <c r="B94" s="206" t="s">
        <v>25</v>
      </c>
      <c r="C94" s="207"/>
      <c r="D94" s="24">
        <f t="shared" si="4"/>
        <v>334128</v>
      </c>
      <c r="E94" s="25">
        <f>IF(F3="1",SUMIF(Data!A:A,'45'!$A$2,Data!FA:FA),0)</f>
        <v>601860</v>
      </c>
      <c r="F94" s="26">
        <f t="shared" si="5"/>
        <v>1.8012857348082172</v>
      </c>
    </row>
    <row r="95" spans="1:6" x14ac:dyDescent="0.2">
      <c r="B95" s="31" t="s">
        <v>35</v>
      </c>
      <c r="C95" s="31"/>
      <c r="D95" s="60">
        <f>SUM(D67:D94)</f>
        <v>5696864</v>
      </c>
      <c r="E95" s="32">
        <f>SUM(E67:E94)</f>
        <v>18023757</v>
      </c>
      <c r="F95" s="33">
        <f t="shared" si="5"/>
        <v>3.1638032784352936</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IF(F3="1",SUMIF(Data!A:A,'45'!$A$2,Data!AH:AH),0)</f>
        <v>7322161</v>
      </c>
      <c r="F98" s="21">
        <f t="shared" ref="F98:F105" si="6">IFERROR(E98/$D$95,0)</f>
        <v>1.2852967878467874</v>
      </c>
    </row>
    <row r="99" spans="2:6" x14ac:dyDescent="0.2">
      <c r="B99" s="212" t="s">
        <v>31</v>
      </c>
      <c r="C99" s="213"/>
      <c r="D99" s="37"/>
      <c r="E99" s="18">
        <f>IF(F3="1",SUMIF(Data!A:A,'45'!$A$2,Data!AI:AI),0)</f>
        <v>6515232</v>
      </c>
      <c r="F99" s="22">
        <f t="shared" si="6"/>
        <v>1.1436523673375387</v>
      </c>
    </row>
    <row r="100" spans="2:6" x14ac:dyDescent="0.2">
      <c r="B100" s="212" t="s">
        <v>32</v>
      </c>
      <c r="C100" s="213"/>
      <c r="D100" s="37"/>
      <c r="E100" s="18">
        <f>IF(F3="1",SUMIF(Data!A:A,'45'!$A$2,Data!AJ:AJ),0)</f>
        <v>2168575</v>
      </c>
      <c r="F100" s="22">
        <f t="shared" si="6"/>
        <v>0.38066118482028005</v>
      </c>
    </row>
    <row r="101" spans="2:6" x14ac:dyDescent="0.2">
      <c r="B101" s="212" t="s">
        <v>28</v>
      </c>
      <c r="C101" s="213"/>
      <c r="D101" s="37"/>
      <c r="E101" s="18">
        <f>IF(F3="1",SUMIF(Data!A:A,'45'!$A$2,Data!AK:AK),0)</f>
        <v>0</v>
      </c>
      <c r="F101" s="22">
        <f t="shared" si="6"/>
        <v>0</v>
      </c>
    </row>
    <row r="102" spans="2:6" x14ac:dyDescent="0.2">
      <c r="B102" s="212" t="s">
        <v>33</v>
      </c>
      <c r="C102" s="213"/>
      <c r="D102" s="37"/>
      <c r="E102" s="18">
        <f>IF(F3="1",SUMIF(Data!A:A,'45'!$A$2,Data!AL:AL),0)</f>
        <v>1338049</v>
      </c>
      <c r="F102" s="22">
        <f t="shared" si="6"/>
        <v>0.23487466086604841</v>
      </c>
    </row>
    <row r="103" spans="2:6" x14ac:dyDescent="0.2">
      <c r="B103" s="214" t="s">
        <v>34</v>
      </c>
      <c r="C103" s="215"/>
      <c r="D103" s="37"/>
      <c r="E103" s="18">
        <f>IF(F3="1",SUMIF(Data!A:A,'45'!$A$2,Data!AM:AM),0)</f>
        <v>989628</v>
      </c>
      <c r="F103" s="22">
        <f t="shared" si="6"/>
        <v>0.17371452083110989</v>
      </c>
    </row>
    <row r="104" spans="2:6" ht="15.75" customHeight="1" thickBot="1" x14ac:dyDescent="0.25">
      <c r="B104" s="208" t="s">
        <v>29</v>
      </c>
      <c r="C104" s="209"/>
      <c r="D104" s="38"/>
      <c r="E104" s="25">
        <f>IF(F3="1",SUMIF(Data!A:A,'45'!$A$2,Data!Q:Q),0)</f>
        <v>3777091</v>
      </c>
      <c r="F104" s="26">
        <f t="shared" si="6"/>
        <v>0.66301231695192298</v>
      </c>
    </row>
    <row r="105" spans="2:6" x14ac:dyDescent="0.2">
      <c r="B105" s="31" t="s">
        <v>35</v>
      </c>
      <c r="C105" s="31"/>
      <c r="D105" s="35">
        <f>D95</f>
        <v>5696864</v>
      </c>
      <c r="E105" s="32">
        <f>SUM(E98:E104)</f>
        <v>22110736</v>
      </c>
      <c r="F105" s="33">
        <f t="shared" si="6"/>
        <v>3.8812118386536874</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20233351</v>
      </c>
      <c r="D109" s="192">
        <f>IF(F3="1",SUMIF(Data!$A:$A,$A$2,Data!HJ:HJ),0)</f>
        <v>851035</v>
      </c>
      <c r="E109" s="192">
        <f>IF(F3="1",SUMIF(Data!$A:$A,$A$2,Data!IN:IN),0)</f>
        <v>5131817</v>
      </c>
      <c r="F109" s="48">
        <f>SUM(C109:E109)</f>
        <v>26216203</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45003</v>
      </c>
      <c r="D111" s="52"/>
      <c r="E111" s="193">
        <f>IF(F3="1",SUMIF(Data!A:A,$A$2,Data!AX:AX)-SUMIF(Data!A:A,$A$2,Data!AW:AW),0)</f>
        <v>29543</v>
      </c>
      <c r="F111" s="49">
        <f t="shared" si="7"/>
        <v>74546</v>
      </c>
    </row>
    <row r="112" spans="2:6" x14ac:dyDescent="0.2">
      <c r="B112" s="43" t="s">
        <v>32</v>
      </c>
      <c r="C112" s="193">
        <f>IF(F3="1",SUMIF(Data!A:A,$A$2,Data!V:V),0)</f>
        <v>2168575</v>
      </c>
      <c r="D112" s="52"/>
      <c r="E112" s="193">
        <f>IF(F3="1",SUMIF(Data!A:A,$A$2,Data!AC:AC),0)</f>
        <v>0</v>
      </c>
      <c r="F112" s="49">
        <f t="shared" si="7"/>
        <v>2168575</v>
      </c>
    </row>
    <row r="113" spans="1:6" x14ac:dyDescent="0.2">
      <c r="B113" s="43" t="s">
        <v>31</v>
      </c>
      <c r="C113" s="193">
        <f>IF(F3="1",SUMIF(Data!A:A,$A$2,Data!U:U),0)</f>
        <v>3527921</v>
      </c>
      <c r="D113" s="52"/>
      <c r="E113" s="193">
        <f>IF(F3="1",SUMIF(Data!A:A,$A$2,Data!AB:AB),0)</f>
        <v>2987311</v>
      </c>
      <c r="F113" s="49">
        <f t="shared" si="7"/>
        <v>6515232</v>
      </c>
    </row>
    <row r="114" spans="1:6" x14ac:dyDescent="0.2">
      <c r="B114" s="43" t="s">
        <v>1002</v>
      </c>
      <c r="C114" s="193">
        <f>IF(F3="1",SUMIF(Data!A:A,$A$2,Data!T:T),0)</f>
        <v>4929877</v>
      </c>
      <c r="D114" s="52"/>
      <c r="E114" s="193">
        <f>IF(F3="1",SUMIF(Data!A:A,$A$2,Data!AA:AA),0)</f>
        <v>2392284</v>
      </c>
      <c r="F114" s="49">
        <f t="shared" si="7"/>
        <v>7322161</v>
      </c>
    </row>
    <row r="115" spans="1:6" x14ac:dyDescent="0.2">
      <c r="B115" s="43" t="s">
        <v>916</v>
      </c>
      <c r="C115" s="193">
        <f>IF(F3="1",SUMIF(Data!A:A,$A$2,Data!BI:BI),0)</f>
        <v>968348</v>
      </c>
      <c r="D115" s="193">
        <f>IF(F3="1",SUMIF(Data!A:A,$A$2,Data!BL:BL),0)</f>
        <v>313041</v>
      </c>
      <c r="E115" s="193">
        <f>IF(F3="1",SUMIF(Data!A:A,$A$2,Data!BU:BU)-SUMIF(Data!A:A,$A$2,Data!BT:BT),0)</f>
        <v>4934049</v>
      </c>
      <c r="F115" s="49">
        <f t="shared" si="7"/>
        <v>6215438</v>
      </c>
    </row>
    <row r="116" spans="1:6" x14ac:dyDescent="0.2">
      <c r="B116" s="43" t="s">
        <v>33</v>
      </c>
      <c r="C116" s="193">
        <f>IF(F3="1",SUMIF(Data!A:A,$A$2,Data!X:X),0)</f>
        <v>0</v>
      </c>
      <c r="D116" s="51"/>
      <c r="E116" s="193">
        <f>E102-C116</f>
        <v>1338049</v>
      </c>
      <c r="F116" s="49">
        <f t="shared" si="7"/>
        <v>1338049</v>
      </c>
    </row>
    <row r="117" spans="1:6" ht="15" thickBot="1" x14ac:dyDescent="0.25">
      <c r="B117" s="44" t="s">
        <v>920</v>
      </c>
      <c r="C117" s="53"/>
      <c r="D117" s="53">
        <f>IF(F3="1",SUMIF(Data!A:A,$A$2,Data!Q:Q),0)</f>
        <v>3777091</v>
      </c>
      <c r="E117" s="53"/>
      <c r="F117" s="50">
        <f>SUM(C117:E117)</f>
        <v>3777091</v>
      </c>
    </row>
    <row r="118" spans="1:6" x14ac:dyDescent="0.2">
      <c r="B118" s="14" t="s">
        <v>35</v>
      </c>
      <c r="C118" s="178">
        <f>SUM(C109:C117)</f>
        <v>31873075</v>
      </c>
      <c r="D118" s="194">
        <f>SUM(D109:D117)</f>
        <v>4941167</v>
      </c>
      <c r="E118" s="178">
        <f>SUM(E109:E117)</f>
        <v>16813053</v>
      </c>
      <c r="F118" s="178">
        <f>SUM(F109:F117)</f>
        <v>53627295</v>
      </c>
    </row>
    <row r="119" spans="1:6" x14ac:dyDescent="0.2">
      <c r="C119" s="177"/>
      <c r="D119" s="177"/>
      <c r="E119" s="177"/>
    </row>
    <row r="120" spans="1:6" ht="15" thickBot="1" x14ac:dyDescent="0.25">
      <c r="B120" s="188" t="s">
        <v>921</v>
      </c>
      <c r="C120" s="53"/>
      <c r="D120" s="53"/>
      <c r="E120" s="195">
        <f>IF(F3="1",SUMIF(Data!A:A,$A$2,Data!AF:AF)+SUMIF(Data!A:A,$A$2,Data!AW:AW)+SUMIF(Data!A:A,$A$2,Data!BT:BT),0)</f>
        <v>1114498</v>
      </c>
      <c r="F120" s="181">
        <f>SUM(C120:E120)</f>
        <v>1114498</v>
      </c>
    </row>
    <row r="121" spans="1:6" s="177" customFormat="1" x14ac:dyDescent="0.2">
      <c r="B121" s="14" t="s">
        <v>35</v>
      </c>
      <c r="C121" s="178">
        <f>SUM(C120:C120)</f>
        <v>0</v>
      </c>
      <c r="D121" s="178">
        <f>SUM(D120:D120)</f>
        <v>0</v>
      </c>
      <c r="E121" s="178">
        <f>SUM(E120:E120)</f>
        <v>1114498</v>
      </c>
      <c r="F121" s="178">
        <f>SUM(F120:F120)</f>
        <v>1114498</v>
      </c>
    </row>
    <row r="122" spans="1:6" s="177" customFormat="1" ht="15" thickBot="1" x14ac:dyDescent="0.25">
      <c r="B122" s="14" t="s">
        <v>1396</v>
      </c>
      <c r="C122" s="178"/>
      <c r="D122" s="178"/>
      <c r="E122" s="178"/>
      <c r="F122" s="190">
        <f>F118+F121</f>
        <v>54741793</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426</v>
      </c>
      <c r="B2" s="59" t="str">
        <f>VLOOKUP(A2,Data!A:G,7,0)</f>
        <v>Vernon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9952</v>
      </c>
      <c r="E5" s="16">
        <f>E36+E67+IFERROR($E$105/$D$105*D5,0)</f>
        <v>96300.967696330059</v>
      </c>
      <c r="F5" s="21">
        <f>IFERROR(E5/D5,"")</f>
        <v>9.6765441817051911</v>
      </c>
    </row>
    <row r="6" spans="1:6" x14ac:dyDescent="0.2">
      <c r="A6" s="20">
        <v>2</v>
      </c>
      <c r="B6" s="202" t="s">
        <v>1</v>
      </c>
      <c r="C6" s="203"/>
      <c r="D6" s="15">
        <f t="shared" ref="D6:D32" si="0">D37</f>
        <v>34816</v>
      </c>
      <c r="E6" s="18">
        <f t="shared" ref="E6:E32" si="1">E37+E68+IFERROR($E$105/$D$105*D6,0)</f>
        <v>308621.93200516753</v>
      </c>
      <c r="F6" s="22">
        <f t="shared" ref="F6:F33" si="2">IFERROR(E6/D6,"")</f>
        <v>8.8643707492293071</v>
      </c>
    </row>
    <row r="7" spans="1:6" ht="14.25" customHeight="1" x14ac:dyDescent="0.2">
      <c r="A7" s="20">
        <v>3</v>
      </c>
      <c r="B7" s="202" t="s">
        <v>2</v>
      </c>
      <c r="C7" s="203"/>
      <c r="D7" s="15">
        <f t="shared" si="0"/>
        <v>126816</v>
      </c>
      <c r="E7" s="18">
        <f t="shared" si="1"/>
        <v>887700.79093426373</v>
      </c>
      <c r="F7" s="22">
        <f t="shared" si="2"/>
        <v>6.9999116115810605</v>
      </c>
    </row>
    <row r="8" spans="1:6" ht="14.25" customHeight="1" x14ac:dyDescent="0.2">
      <c r="A8" s="20">
        <v>4</v>
      </c>
      <c r="B8" s="202" t="s">
        <v>3</v>
      </c>
      <c r="C8" s="203"/>
      <c r="D8" s="15">
        <f t="shared" si="0"/>
        <v>42894</v>
      </c>
      <c r="E8" s="18">
        <f t="shared" si="1"/>
        <v>320015.92829244188</v>
      </c>
      <c r="F8" s="22">
        <f t="shared" si="2"/>
        <v>7.4606221917387483</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0</v>
      </c>
      <c r="E10" s="18">
        <f t="shared" si="1"/>
        <v>0</v>
      </c>
      <c r="F10" s="22" t="str">
        <f t="shared" si="2"/>
        <v/>
      </c>
    </row>
    <row r="11" spans="1:6" x14ac:dyDescent="0.2">
      <c r="A11" s="20">
        <v>7</v>
      </c>
      <c r="B11" s="202" t="s">
        <v>6</v>
      </c>
      <c r="C11" s="203"/>
      <c r="D11" s="15">
        <f t="shared" si="0"/>
        <v>73576</v>
      </c>
      <c r="E11" s="18">
        <f t="shared" si="1"/>
        <v>550681.7547452955</v>
      </c>
      <c r="F11" s="22">
        <f t="shared" si="2"/>
        <v>7.4845296665392995</v>
      </c>
    </row>
    <row r="12" spans="1:6" x14ac:dyDescent="0.2">
      <c r="A12" s="20">
        <v>8</v>
      </c>
      <c r="B12" s="202" t="s">
        <v>7</v>
      </c>
      <c r="C12" s="203"/>
      <c r="D12" s="15">
        <f t="shared" si="0"/>
        <v>4752</v>
      </c>
      <c r="E12" s="18">
        <f t="shared" si="1"/>
        <v>31406.614800337662</v>
      </c>
      <c r="F12" s="22">
        <f t="shared" si="2"/>
        <v>6.6091361111821678</v>
      </c>
    </row>
    <row r="13" spans="1:6" x14ac:dyDescent="0.2">
      <c r="A13" s="20">
        <v>9</v>
      </c>
      <c r="B13" s="202" t="s">
        <v>8</v>
      </c>
      <c r="C13" s="203"/>
      <c r="D13" s="15">
        <f t="shared" si="0"/>
        <v>78621</v>
      </c>
      <c r="E13" s="18">
        <f t="shared" si="1"/>
        <v>646102.16923765722</v>
      </c>
      <c r="F13" s="22">
        <f t="shared" si="2"/>
        <v>8.2179337484597905</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25859</v>
      </c>
      <c r="E15" s="18">
        <f t="shared" si="1"/>
        <v>170903.53664182062</v>
      </c>
      <c r="F15" s="22">
        <f t="shared" si="2"/>
        <v>6.6090543579342054</v>
      </c>
    </row>
    <row r="16" spans="1:6" ht="14.25" customHeight="1" x14ac:dyDescent="0.2">
      <c r="A16" s="20">
        <v>12</v>
      </c>
      <c r="B16" s="202" t="s">
        <v>11</v>
      </c>
      <c r="C16" s="203"/>
      <c r="D16" s="15">
        <f t="shared" si="0"/>
        <v>157776</v>
      </c>
      <c r="E16" s="18">
        <f t="shared" si="1"/>
        <v>1245910.584330403</v>
      </c>
      <c r="F16" s="22">
        <f t="shared" si="2"/>
        <v>7.8967053565206555</v>
      </c>
    </row>
    <row r="17" spans="1:6" x14ac:dyDescent="0.2">
      <c r="A17" s="20">
        <v>13</v>
      </c>
      <c r="B17" s="202" t="s">
        <v>12</v>
      </c>
      <c r="C17" s="203"/>
      <c r="D17" s="15">
        <f t="shared" si="0"/>
        <v>19828</v>
      </c>
      <c r="E17" s="18">
        <f t="shared" si="1"/>
        <v>146673.64946571868</v>
      </c>
      <c r="F17" s="22">
        <f t="shared" si="2"/>
        <v>7.3972992468084868</v>
      </c>
    </row>
    <row r="18" spans="1:6" ht="14.25" customHeight="1" x14ac:dyDescent="0.2">
      <c r="A18" s="20">
        <v>14</v>
      </c>
      <c r="B18" s="202" t="s">
        <v>449</v>
      </c>
      <c r="C18" s="203"/>
      <c r="D18" s="15">
        <f t="shared" si="0"/>
        <v>149135</v>
      </c>
      <c r="E18" s="18">
        <f t="shared" si="1"/>
        <v>1205782.7988738124</v>
      </c>
      <c r="F18" s="22">
        <f t="shared" si="2"/>
        <v>8.0851765103685409</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128895</v>
      </c>
      <c r="E20" s="18">
        <f t="shared" si="1"/>
        <v>952894.80990941147</v>
      </c>
      <c r="F20" s="22">
        <f t="shared" si="2"/>
        <v>7.3927988665922761</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238608</v>
      </c>
      <c r="E22" s="18">
        <f t="shared" si="1"/>
        <v>1892284.9007321063</v>
      </c>
      <c r="F22" s="22">
        <f t="shared" si="2"/>
        <v>7.9305174207575027</v>
      </c>
    </row>
    <row r="23" spans="1:6" x14ac:dyDescent="0.2">
      <c r="A23" s="20">
        <v>19</v>
      </c>
      <c r="B23" s="202" t="s">
        <v>17</v>
      </c>
      <c r="C23" s="203"/>
      <c r="D23" s="15">
        <f t="shared" si="0"/>
        <v>54288</v>
      </c>
      <c r="E23" s="18">
        <f t="shared" si="1"/>
        <v>504992.0842341606</v>
      </c>
      <c r="F23" s="22">
        <f t="shared" si="2"/>
        <v>9.3020940950884281</v>
      </c>
    </row>
    <row r="24" spans="1:6" x14ac:dyDescent="0.2">
      <c r="A24" s="20">
        <v>20</v>
      </c>
      <c r="B24" s="202" t="s">
        <v>18</v>
      </c>
      <c r="C24" s="203"/>
      <c r="D24" s="15">
        <f t="shared" si="0"/>
        <v>10112</v>
      </c>
      <c r="E24" s="18">
        <f t="shared" si="1"/>
        <v>93287.517016206752</v>
      </c>
      <c r="F24" s="22">
        <f t="shared" si="2"/>
        <v>9.2254269201153836</v>
      </c>
    </row>
    <row r="25" spans="1:6" ht="14.25" customHeight="1" x14ac:dyDescent="0.2">
      <c r="A25" s="20">
        <v>21</v>
      </c>
      <c r="B25" s="202" t="s">
        <v>446</v>
      </c>
      <c r="C25" s="203"/>
      <c r="D25" s="15">
        <f t="shared" si="0"/>
        <v>0</v>
      </c>
      <c r="E25" s="18">
        <f t="shared" si="1"/>
        <v>0</v>
      </c>
      <c r="F25" s="22" t="str">
        <f t="shared" si="2"/>
        <v/>
      </c>
    </row>
    <row r="26" spans="1:6" x14ac:dyDescent="0.2">
      <c r="A26" s="20">
        <v>22</v>
      </c>
      <c r="B26" s="202" t="s">
        <v>19</v>
      </c>
      <c r="C26" s="203"/>
      <c r="D26" s="15">
        <f t="shared" si="0"/>
        <v>3680</v>
      </c>
      <c r="E26" s="18">
        <f t="shared" si="1"/>
        <v>117364.63435716384</v>
      </c>
      <c r="F26" s="22">
        <f t="shared" si="2"/>
        <v>31.892563684011915</v>
      </c>
    </row>
    <row r="27" spans="1:6" x14ac:dyDescent="0.2">
      <c r="A27" s="20">
        <v>23</v>
      </c>
      <c r="B27" s="202" t="s">
        <v>20</v>
      </c>
      <c r="C27" s="203"/>
      <c r="D27" s="15">
        <f t="shared" si="0"/>
        <v>29160</v>
      </c>
      <c r="E27" s="18">
        <f t="shared" si="1"/>
        <v>217516.86354752659</v>
      </c>
      <c r="F27" s="22">
        <f t="shared" si="2"/>
        <v>7.4594260475832161</v>
      </c>
    </row>
    <row r="28" spans="1:6" x14ac:dyDescent="0.2">
      <c r="A28" s="20">
        <v>24</v>
      </c>
      <c r="B28" s="202" t="s">
        <v>21</v>
      </c>
      <c r="C28" s="203"/>
      <c r="D28" s="15">
        <f t="shared" si="0"/>
        <v>106761</v>
      </c>
      <c r="E28" s="18">
        <f t="shared" si="1"/>
        <v>842991.40587096999</v>
      </c>
      <c r="F28" s="22">
        <f t="shared" si="2"/>
        <v>7.8960613507832447</v>
      </c>
    </row>
    <row r="29" spans="1:6" x14ac:dyDescent="0.2">
      <c r="A29" s="20">
        <v>25</v>
      </c>
      <c r="B29" s="202" t="s">
        <v>22</v>
      </c>
      <c r="C29" s="203"/>
      <c r="D29" s="15">
        <f t="shared" si="0"/>
        <v>236688</v>
      </c>
      <c r="E29" s="18">
        <f t="shared" si="1"/>
        <v>1769018.308893586</v>
      </c>
      <c r="F29" s="22">
        <f t="shared" si="2"/>
        <v>7.4740515315249869</v>
      </c>
    </row>
    <row r="30" spans="1:6" x14ac:dyDescent="0.2">
      <c r="A30" s="20">
        <v>26</v>
      </c>
      <c r="B30" s="202" t="s">
        <v>23</v>
      </c>
      <c r="C30" s="203"/>
      <c r="D30" s="15">
        <f t="shared" si="0"/>
        <v>41488</v>
      </c>
      <c r="E30" s="18">
        <f t="shared" si="1"/>
        <v>296752.13864402543</v>
      </c>
      <c r="F30" s="22">
        <f t="shared" si="2"/>
        <v>7.1527222002512882</v>
      </c>
    </row>
    <row r="31" spans="1:6" x14ac:dyDescent="0.2">
      <c r="A31" s="20">
        <v>28</v>
      </c>
      <c r="B31" s="202" t="s">
        <v>24</v>
      </c>
      <c r="C31" s="203"/>
      <c r="D31" s="15">
        <f t="shared" si="0"/>
        <v>55776</v>
      </c>
      <c r="E31" s="18">
        <f t="shared" si="1"/>
        <v>391910.89290901378</v>
      </c>
      <c r="F31" s="22">
        <f t="shared" si="2"/>
        <v>7.0265148613922435</v>
      </c>
    </row>
    <row r="32" spans="1:6" ht="15.75" customHeight="1" thickBot="1" x14ac:dyDescent="0.25">
      <c r="A32" s="23">
        <v>29</v>
      </c>
      <c r="B32" s="206" t="s">
        <v>25</v>
      </c>
      <c r="C32" s="207"/>
      <c r="D32" s="24">
        <f t="shared" si="0"/>
        <v>27792</v>
      </c>
      <c r="E32" s="25">
        <f t="shared" si="1"/>
        <v>209068.71686258088</v>
      </c>
      <c r="F32" s="26">
        <f t="shared" si="2"/>
        <v>7.5226222244739809</v>
      </c>
    </row>
    <row r="33" spans="1:6" x14ac:dyDescent="0.2">
      <c r="B33" s="31" t="s">
        <v>35</v>
      </c>
      <c r="C33" s="31"/>
      <c r="D33" s="60">
        <f>SUM(D5:D32)</f>
        <v>1657273</v>
      </c>
      <c r="E33" s="32">
        <f>SUM(E5:E32)</f>
        <v>12898183</v>
      </c>
      <c r="F33" s="33">
        <f t="shared" si="2"/>
        <v>7.7827750768883579</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IF(F3="1",SUMIF(Data!A:A,'46'!$A$2,Data!CU:CU),0)</f>
        <v>9952</v>
      </c>
      <c r="E36" s="16">
        <f>IF(F3="1",SUMIF(Data!$A:$A,'46'!$A$2,Data!IO:IO),0)</f>
        <v>9746</v>
      </c>
      <c r="F36" s="21">
        <f t="shared" ref="F36:F64" si="3">IFERROR(E36/D36,"")</f>
        <v>0.97930064308681675</v>
      </c>
    </row>
    <row r="37" spans="1:6" x14ac:dyDescent="0.2">
      <c r="A37" s="20">
        <v>2</v>
      </c>
      <c r="B37" s="202" t="s">
        <v>1</v>
      </c>
      <c r="C37" s="203"/>
      <c r="D37" s="15">
        <f>IF(F3="1",SUMIF(Data!A:A,'46'!$A$2,Data!CV:CV),0)</f>
        <v>34816</v>
      </c>
      <c r="E37" s="18">
        <f>IF(F3="1",SUMIF(Data!$A:$A,'46'!$A$2,Data!IP:IP),0)</f>
        <v>84007</v>
      </c>
      <c r="F37" s="22">
        <f t="shared" si="3"/>
        <v>2.4128848805147061</v>
      </c>
    </row>
    <row r="38" spans="1:6" ht="14.25" customHeight="1" x14ac:dyDescent="0.2">
      <c r="A38" s="20">
        <v>3</v>
      </c>
      <c r="B38" s="202" t="s">
        <v>2</v>
      </c>
      <c r="C38" s="203"/>
      <c r="D38" s="15">
        <f>IF(F3="1",SUMIF(Data!A:A,'46'!$A$2,Data!CW:CW),0)</f>
        <v>126816</v>
      </c>
      <c r="E38" s="18">
        <f>IF(F3="1",SUMIF(Data!$A:$A,'46'!$A$2,Data!IQ:IQ),0)</f>
        <v>176890</v>
      </c>
      <c r="F38" s="22">
        <f t="shared" si="3"/>
        <v>1.3948555387332828</v>
      </c>
    </row>
    <row r="39" spans="1:6" ht="14.25" customHeight="1" x14ac:dyDescent="0.2">
      <c r="A39" s="20">
        <v>4</v>
      </c>
      <c r="B39" s="202" t="s">
        <v>3</v>
      </c>
      <c r="C39" s="203"/>
      <c r="D39" s="15">
        <f>IF(F3="1",SUMIF(Data!A:A,'46'!$A$2,Data!CX:CX),0)</f>
        <v>42894</v>
      </c>
      <c r="E39" s="18">
        <f>IF(F3="1",SUMIF(Data!$A:$A,'46'!$A$2,Data!IR:IR),0)</f>
        <v>53069</v>
      </c>
      <c r="F39" s="22">
        <f t="shared" si="3"/>
        <v>1.2372126637758194</v>
      </c>
    </row>
    <row r="40" spans="1:6" x14ac:dyDescent="0.2">
      <c r="A40" s="20">
        <v>5</v>
      </c>
      <c r="B40" s="202" t="s">
        <v>4</v>
      </c>
      <c r="C40" s="203"/>
      <c r="D40" s="15">
        <f>IF(F3="1",SUMIF(Data!A:A,'46'!$A$2,Data!CY:CY),0)</f>
        <v>0</v>
      </c>
      <c r="E40" s="18">
        <f>IF(F3="1",SUMIF(Data!$A:$A,'46'!$A$2,Data!IS:IS),0)</f>
        <v>0</v>
      </c>
      <c r="F40" s="22" t="str">
        <f t="shared" si="3"/>
        <v/>
      </c>
    </row>
    <row r="41" spans="1:6" x14ac:dyDescent="0.2">
      <c r="A41" s="20">
        <v>6</v>
      </c>
      <c r="B41" s="202" t="s">
        <v>5</v>
      </c>
      <c r="C41" s="203"/>
      <c r="D41" s="15">
        <f>IF(F3="1",SUMIF(Data!A:A,'46'!$A$2,Data!CZ:CZ),0)</f>
        <v>0</v>
      </c>
      <c r="E41" s="18">
        <f>IF(F3="1",SUMIF(Data!$A:$A,'46'!$A$2,Data!IT:IT),0)</f>
        <v>0</v>
      </c>
      <c r="F41" s="22" t="str">
        <f t="shared" si="3"/>
        <v/>
      </c>
    </row>
    <row r="42" spans="1:6" x14ac:dyDescent="0.2">
      <c r="A42" s="20">
        <v>7</v>
      </c>
      <c r="B42" s="202" t="s">
        <v>6</v>
      </c>
      <c r="C42" s="203"/>
      <c r="D42" s="15">
        <f>IF(F3="1",SUMIF(Data!A:A,'46'!$A$2,Data!DA:DA),0)</f>
        <v>73576</v>
      </c>
      <c r="E42" s="18">
        <f>IF(F3="1",SUMIF(Data!$A:$A,'46'!$A$2,Data!IU:IU),0)</f>
        <v>104569</v>
      </c>
      <c r="F42" s="22">
        <f t="shared" si="3"/>
        <v>1.4212379036642384</v>
      </c>
    </row>
    <row r="43" spans="1:6" x14ac:dyDescent="0.2">
      <c r="A43" s="20">
        <v>8</v>
      </c>
      <c r="B43" s="202" t="s">
        <v>7</v>
      </c>
      <c r="C43" s="203"/>
      <c r="D43" s="15">
        <f>IF(F3="1",SUMIF(Data!A:A,'46'!$A$2,Data!DB:DB),0)</f>
        <v>4752</v>
      </c>
      <c r="E43" s="18">
        <f>IF(F3="1",SUMIF(Data!$A:$A,'46'!$A$2,Data!IV:IV),0)</f>
        <v>5261</v>
      </c>
      <c r="F43" s="22">
        <f t="shared" si="3"/>
        <v>1.1071127946127945</v>
      </c>
    </row>
    <row r="44" spans="1:6" x14ac:dyDescent="0.2">
      <c r="A44" s="20">
        <v>9</v>
      </c>
      <c r="B44" s="202" t="s">
        <v>8</v>
      </c>
      <c r="C44" s="203"/>
      <c r="D44" s="15">
        <f>IF(F3="1",SUMIF(Data!A:A,'46'!$A$2,Data!DC:DC),0)</f>
        <v>78621</v>
      </c>
      <c r="E44" s="18">
        <f>IF(F3="1",SUMIF(Data!$A:$A,'46'!$A$2,Data!IW:IW),0)</f>
        <v>95554</v>
      </c>
      <c r="F44" s="22">
        <f t="shared" si="3"/>
        <v>1.2153750270284021</v>
      </c>
    </row>
    <row r="45" spans="1:6" x14ac:dyDescent="0.2">
      <c r="A45" s="20">
        <v>10</v>
      </c>
      <c r="B45" s="202" t="s">
        <v>9</v>
      </c>
      <c r="C45" s="203"/>
      <c r="D45" s="15">
        <f>IF(F3="1",SUMIF(Data!A:A,'46'!$A$2,Data!DD:DD),0)</f>
        <v>0</v>
      </c>
      <c r="E45" s="18">
        <f>IF(F3="1",SUMIF(Data!$A:$A,'46'!$A$2,Data!IX:IX),0)</f>
        <v>0</v>
      </c>
      <c r="F45" s="22" t="str">
        <f t="shared" si="3"/>
        <v/>
      </c>
    </row>
    <row r="46" spans="1:6" x14ac:dyDescent="0.2">
      <c r="A46" s="20">
        <v>11</v>
      </c>
      <c r="B46" s="202" t="s">
        <v>10</v>
      </c>
      <c r="C46" s="203"/>
      <c r="D46" s="15">
        <f>IF(F3="1",SUMIF(Data!A:A,'46'!$A$2,Data!DE:DE),0)</f>
        <v>25859</v>
      </c>
      <c r="E46" s="18">
        <f>IF(F3="1",SUMIF(Data!$A:$A,'46'!$A$2,Data!IY:IY),0)</f>
        <v>28628</v>
      </c>
      <c r="F46" s="22">
        <f t="shared" si="3"/>
        <v>1.1070807069105535</v>
      </c>
    </row>
    <row r="47" spans="1:6" ht="14.25" customHeight="1" x14ac:dyDescent="0.2">
      <c r="A47" s="20">
        <v>12</v>
      </c>
      <c r="B47" s="202" t="s">
        <v>11</v>
      </c>
      <c r="C47" s="203"/>
      <c r="D47" s="15">
        <f>IF(F3="1",SUMIF(Data!A:A,'46'!$A$2,Data!DF:DF),0)</f>
        <v>157776</v>
      </c>
      <c r="E47" s="18">
        <f>IF(F3="1",SUMIF(Data!$A:$A,'46'!$A$2,Data!IZ:IZ),0)</f>
        <v>218706</v>
      </c>
      <c r="F47" s="22">
        <f t="shared" si="3"/>
        <v>1.3861804076665654</v>
      </c>
    </row>
    <row r="48" spans="1:6" x14ac:dyDescent="0.2">
      <c r="A48" s="20">
        <v>13</v>
      </c>
      <c r="B48" s="202" t="s">
        <v>12</v>
      </c>
      <c r="C48" s="203"/>
      <c r="D48" s="15">
        <f>IF(F3="1",SUMIF(Data!A:A,'46'!$A$2,Data!DG:DG),0)</f>
        <v>19828</v>
      </c>
      <c r="E48" s="18">
        <f>IF(F3="1",SUMIF(Data!$A:$A,'46'!$A$2,Data!JA:JA),0)</f>
        <v>19690</v>
      </c>
      <c r="F48" s="22">
        <f t="shared" si="3"/>
        <v>0.99304014524914264</v>
      </c>
    </row>
    <row r="49" spans="1:6" ht="14.25" customHeight="1" x14ac:dyDescent="0.2">
      <c r="A49" s="20">
        <v>14</v>
      </c>
      <c r="B49" s="202" t="s">
        <v>449</v>
      </c>
      <c r="C49" s="203"/>
      <c r="D49" s="15">
        <f>IF(F3="1",SUMIF(Data!A:A,'46'!$A$2,Data!DH:DH),0)</f>
        <v>149135</v>
      </c>
      <c r="E49" s="18">
        <f>IF(F3="1",SUMIF(Data!$A:$A,'46'!$A$2,Data!JB:JB),0)</f>
        <v>200097</v>
      </c>
      <c r="F49" s="22">
        <f t="shared" si="3"/>
        <v>1.3417172360612868</v>
      </c>
    </row>
    <row r="50" spans="1:6" x14ac:dyDescent="0.2">
      <c r="A50" s="20">
        <v>15</v>
      </c>
      <c r="B50" s="202" t="s">
        <v>13</v>
      </c>
      <c r="C50" s="203"/>
      <c r="D50" s="15">
        <f>IF(F3="1",SUMIF(Data!A:A,'46'!$A$2,Data!DI:DI),0)</f>
        <v>0</v>
      </c>
      <c r="E50" s="18">
        <f>IF(F3="1",SUMIF(Data!$A:$A,'46'!$A$2,Data!JC:JC),0)</f>
        <v>0</v>
      </c>
      <c r="F50" s="22" t="str">
        <f t="shared" si="3"/>
        <v/>
      </c>
    </row>
    <row r="51" spans="1:6" x14ac:dyDescent="0.2">
      <c r="A51" s="20">
        <v>16</v>
      </c>
      <c r="B51" s="202" t="s">
        <v>14</v>
      </c>
      <c r="C51" s="203"/>
      <c r="D51" s="15">
        <f>IF(F3="1",SUMIF(Data!A:A,'46'!$A$2,Data!DJ:DJ),0)</f>
        <v>128895</v>
      </c>
      <c r="E51" s="18">
        <f>IF(F3="1",SUMIF(Data!$A:$A,'46'!$A$2,Data!JD:JD),0)</f>
        <v>156281</v>
      </c>
      <c r="F51" s="22">
        <f t="shared" si="3"/>
        <v>1.2124675123162263</v>
      </c>
    </row>
    <row r="52" spans="1:6" x14ac:dyDescent="0.2">
      <c r="A52" s="20">
        <v>17</v>
      </c>
      <c r="B52" s="202" t="s">
        <v>15</v>
      </c>
      <c r="C52" s="203"/>
      <c r="D52" s="15">
        <f>IF(F3="1",SUMIF(Data!A:A,'46'!$A$2,Data!DK:DK),0)</f>
        <v>0</v>
      </c>
      <c r="E52" s="18">
        <f>IF(F3="1",SUMIF(Data!$A:$A,'46'!$A$2,Data!JE:JE),0)</f>
        <v>0</v>
      </c>
      <c r="F52" s="22" t="str">
        <f t="shared" si="3"/>
        <v/>
      </c>
    </row>
    <row r="53" spans="1:6" x14ac:dyDescent="0.2">
      <c r="A53" s="20">
        <v>18</v>
      </c>
      <c r="B53" s="202" t="s">
        <v>16</v>
      </c>
      <c r="C53" s="203"/>
      <c r="D53" s="15">
        <f>IF(F3="1",SUMIF(Data!A:A,'46'!$A$2,Data!DL:DL),0)</f>
        <v>238608</v>
      </c>
      <c r="E53" s="18">
        <f>IF(F3="1",SUMIF(Data!$A:$A,'46'!$A$2,Data!JF:JF),0)</f>
        <v>300893</v>
      </c>
      <c r="F53" s="22">
        <f t="shared" si="3"/>
        <v>1.2610348353785288</v>
      </c>
    </row>
    <row r="54" spans="1:6" x14ac:dyDescent="0.2">
      <c r="A54" s="20">
        <v>19</v>
      </c>
      <c r="B54" s="202" t="s">
        <v>17</v>
      </c>
      <c r="C54" s="203"/>
      <c r="D54" s="15">
        <f>IF(F3="1",SUMIF(Data!A:A,'46'!$A$2,Data!DM:DM),0)</f>
        <v>54288</v>
      </c>
      <c r="E54" s="18">
        <f>IF(F3="1",SUMIF(Data!$A:$A,'46'!$A$2,Data!JG:JG),0)</f>
        <v>84891</v>
      </c>
      <c r="F54" s="22">
        <f t="shared" si="3"/>
        <v>1.5637157382847038</v>
      </c>
    </row>
    <row r="55" spans="1:6" x14ac:dyDescent="0.2">
      <c r="A55" s="20">
        <v>20</v>
      </c>
      <c r="B55" s="202" t="s">
        <v>18</v>
      </c>
      <c r="C55" s="203"/>
      <c r="D55" s="15">
        <f>IF(F3="1",SUMIF(Data!A:A,'46'!$A$2,Data!DN:DN),0)</f>
        <v>10112</v>
      </c>
      <c r="E55" s="18">
        <f>IF(F3="1",SUMIF(Data!$A:$A,'46'!$A$2,Data!JH:JH),0)</f>
        <v>14200</v>
      </c>
      <c r="F55" s="22">
        <f t="shared" si="3"/>
        <v>1.4042721518987342</v>
      </c>
    </row>
    <row r="56" spans="1:6" ht="14.25" customHeight="1" x14ac:dyDescent="0.2">
      <c r="A56" s="20">
        <v>21</v>
      </c>
      <c r="B56" s="202" t="s">
        <v>446</v>
      </c>
      <c r="C56" s="203"/>
      <c r="D56" s="15">
        <f>IF(F3="1",SUMIF(Data!A:A,'46'!$A$2,Data!DO:DO),0)</f>
        <v>0</v>
      </c>
      <c r="E56" s="18">
        <f>IF(F3="1",SUMIF(Data!$A:$A,'46'!$A$2,Data!JI:JI),0)</f>
        <v>0</v>
      </c>
      <c r="F56" s="22" t="str">
        <f t="shared" si="3"/>
        <v/>
      </c>
    </row>
    <row r="57" spans="1:6" x14ac:dyDescent="0.2">
      <c r="A57" s="20">
        <v>22</v>
      </c>
      <c r="B57" s="202" t="s">
        <v>19</v>
      </c>
      <c r="C57" s="203"/>
      <c r="D57" s="15">
        <f>IF(F3="1",SUMIF(Data!A:A,'46'!$A$2,Data!DP:DP),0)</f>
        <v>3680</v>
      </c>
      <c r="E57" s="18">
        <f>IF(F3="1",SUMIF(Data!$A:$A,'46'!$A$2,Data!JJ:JJ),0)</f>
        <v>42453</v>
      </c>
      <c r="F57" s="22">
        <f t="shared" si="3"/>
        <v>11.536141304347826</v>
      </c>
    </row>
    <row r="58" spans="1:6" x14ac:dyDescent="0.2">
      <c r="A58" s="20">
        <v>23</v>
      </c>
      <c r="B58" s="202" t="s">
        <v>20</v>
      </c>
      <c r="C58" s="203"/>
      <c r="D58" s="15">
        <f>IF(F3="1",SUMIF(Data!A:A,'46'!$A$2,Data!DQ:DQ),0)</f>
        <v>29160</v>
      </c>
      <c r="E58" s="18">
        <f>IF(F3="1",SUMIF(Data!$A:$A,'46'!$A$2,Data!JK:JK),0)</f>
        <v>22133</v>
      </c>
      <c r="F58" s="22">
        <f t="shared" si="3"/>
        <v>0.75901920438957471</v>
      </c>
    </row>
    <row r="59" spans="1:6" x14ac:dyDescent="0.2">
      <c r="A59" s="20">
        <v>24</v>
      </c>
      <c r="B59" s="202" t="s">
        <v>21</v>
      </c>
      <c r="C59" s="203"/>
      <c r="D59" s="15">
        <f>IF(F3="1",SUMIF(Data!A:A,'46'!$A$2,Data!DR:DR),0)</f>
        <v>106761</v>
      </c>
      <c r="E59" s="18">
        <f>IF(F3="1",SUMIF(Data!$A:$A,'46'!$A$2,Data!JL:JL),0)</f>
        <v>182027</v>
      </c>
      <c r="F59" s="22">
        <f t="shared" si="3"/>
        <v>1.7049952698082633</v>
      </c>
    </row>
    <row r="60" spans="1:6" x14ac:dyDescent="0.2">
      <c r="A60" s="20">
        <v>25</v>
      </c>
      <c r="B60" s="202" t="s">
        <v>22</v>
      </c>
      <c r="C60" s="203"/>
      <c r="D60" s="15">
        <f>IF(F3="1",SUMIF(Data!A:A,'46'!$A$2,Data!DS:DS),0)</f>
        <v>236688</v>
      </c>
      <c r="E60" s="18">
        <f>IF(F3="1",SUMIF(Data!$A:$A,'46'!$A$2,Data!JM:JM),0)</f>
        <v>316222</v>
      </c>
      <c r="F60" s="22">
        <f t="shared" si="3"/>
        <v>1.336028865003718</v>
      </c>
    </row>
    <row r="61" spans="1:6" x14ac:dyDescent="0.2">
      <c r="A61" s="20">
        <v>26</v>
      </c>
      <c r="B61" s="202" t="s">
        <v>23</v>
      </c>
      <c r="C61" s="203"/>
      <c r="D61" s="15">
        <f>IF(F3="1",SUMIF(Data!A:A,'46'!$A$2,Data!DT:DT),0)</f>
        <v>41488</v>
      </c>
      <c r="E61" s="18">
        <f>IF(F3="1",SUMIF(Data!$A:$A,'46'!$A$2,Data!JN:JN),0)</f>
        <v>80482</v>
      </c>
      <c r="F61" s="22">
        <f t="shared" si="3"/>
        <v>1.9398862321635171</v>
      </c>
    </row>
    <row r="62" spans="1:6" x14ac:dyDescent="0.2">
      <c r="A62" s="20">
        <v>28</v>
      </c>
      <c r="B62" s="202" t="s">
        <v>24</v>
      </c>
      <c r="C62" s="203"/>
      <c r="D62" s="15">
        <f>IF(F3="1",SUMIF(Data!A:A,'46'!$A$2,Data!DV:DV),0)</f>
        <v>55776</v>
      </c>
      <c r="E62" s="18">
        <f>IF(F3="1",SUMIF(Data!$A:$A,'46'!$A$2,Data!JP:JP),0)</f>
        <v>85037</v>
      </c>
      <c r="F62" s="22">
        <f t="shared" si="3"/>
        <v>1.5246163224325875</v>
      </c>
    </row>
    <row r="63" spans="1:6" ht="15.75" customHeight="1" thickBot="1" x14ac:dyDescent="0.25">
      <c r="A63" s="23">
        <v>29</v>
      </c>
      <c r="B63" s="206" t="s">
        <v>25</v>
      </c>
      <c r="C63" s="207"/>
      <c r="D63" s="24">
        <f>IF(F3="1",SUMIF(Data!A:A,'46'!$A$2,Data!DW:DW),0)</f>
        <v>27792</v>
      </c>
      <c r="E63" s="25">
        <f>IF(F3="1",SUMIF(Data!$A:$A,'46'!$A$2,Data!JQ:JQ),0)</f>
        <v>55188</v>
      </c>
      <c r="F63" s="26">
        <f t="shared" si="3"/>
        <v>1.9857512953367875</v>
      </c>
    </row>
    <row r="64" spans="1:6" x14ac:dyDescent="0.2">
      <c r="B64" s="31" t="s">
        <v>35</v>
      </c>
      <c r="C64" s="31"/>
      <c r="D64" s="60">
        <f>SUM(D36:D63)</f>
        <v>1657273</v>
      </c>
      <c r="E64" s="32">
        <f>SUM(E36:E63)</f>
        <v>2336024</v>
      </c>
      <c r="F64" s="33">
        <f t="shared" si="3"/>
        <v>1.4095589561888717</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9952</v>
      </c>
      <c r="E67" s="16">
        <f>IF(F3="1",SUMIF(Data!A:A,'46'!$A$2,Data!DY:DY),0)</f>
        <v>45531</v>
      </c>
      <c r="F67" s="21">
        <f>IFERROR(E67/D67,"")</f>
        <v>4.5750602893890679</v>
      </c>
    </row>
    <row r="68" spans="1:6" x14ac:dyDescent="0.2">
      <c r="A68" s="20">
        <v>2</v>
      </c>
      <c r="B68" s="202" t="s">
        <v>1</v>
      </c>
      <c r="C68" s="203"/>
      <c r="D68" s="15">
        <f t="shared" ref="D68:D94" si="4">D37</f>
        <v>34816</v>
      </c>
      <c r="E68" s="18">
        <f>IF(F3="1",SUMIF(Data!A:A,'46'!$A$2,Data!DZ:DZ),0)</f>
        <v>81097</v>
      </c>
      <c r="F68" s="22">
        <f t="shared" ref="F68:F95" si="5">IFERROR(E68/D68,"")</f>
        <v>2.3293026194852939</v>
      </c>
    </row>
    <row r="69" spans="1:6" ht="14.25" customHeight="1" x14ac:dyDescent="0.2">
      <c r="A69" s="20">
        <v>3</v>
      </c>
      <c r="B69" s="202" t="s">
        <v>2</v>
      </c>
      <c r="C69" s="203"/>
      <c r="D69" s="15">
        <f t="shared" si="4"/>
        <v>126816</v>
      </c>
      <c r="E69" s="18">
        <f>IF(F3="1",SUMIF(Data!A:A,'46'!$A$2,Data!EA:EA),0)</f>
        <v>188052</v>
      </c>
      <c r="F69" s="22">
        <f t="shared" si="5"/>
        <v>1.4828728236184709</v>
      </c>
    </row>
    <row r="70" spans="1:6" ht="14.25" customHeight="1" x14ac:dyDescent="0.2">
      <c r="A70" s="20">
        <v>4</v>
      </c>
      <c r="B70" s="202" t="s">
        <v>3</v>
      </c>
      <c r="C70" s="203"/>
      <c r="D70" s="15">
        <f t="shared" si="4"/>
        <v>42894</v>
      </c>
      <c r="E70" s="18">
        <f>IF(F3="1",SUMIF(Data!A:A,'46'!$A$2,Data!EB:EB),0)</f>
        <v>90130</v>
      </c>
      <c r="F70" s="22">
        <f t="shared" si="5"/>
        <v>2.1012262787336224</v>
      </c>
    </row>
    <row r="71" spans="1:6" x14ac:dyDescent="0.2">
      <c r="A71" s="20">
        <v>5</v>
      </c>
      <c r="B71" s="202" t="s">
        <v>4</v>
      </c>
      <c r="C71" s="203"/>
      <c r="D71" s="15">
        <f t="shared" si="4"/>
        <v>0</v>
      </c>
      <c r="E71" s="18">
        <f>IF(F3="1",SUMIF(Data!A:A,'46'!$A$2,Data!EC:EC),0)</f>
        <v>0</v>
      </c>
      <c r="F71" s="22" t="str">
        <f t="shared" si="5"/>
        <v/>
      </c>
    </row>
    <row r="72" spans="1:6" x14ac:dyDescent="0.2">
      <c r="A72" s="20">
        <v>6</v>
      </c>
      <c r="B72" s="202" t="s">
        <v>5</v>
      </c>
      <c r="C72" s="203"/>
      <c r="D72" s="15">
        <f t="shared" si="4"/>
        <v>0</v>
      </c>
      <c r="E72" s="18">
        <f>IF(F3="1",SUMIF(Data!A:A,'46'!$A$2,Data!ED:ED),0)</f>
        <v>0</v>
      </c>
      <c r="F72" s="22" t="str">
        <f t="shared" si="5"/>
        <v/>
      </c>
    </row>
    <row r="73" spans="1:6" x14ac:dyDescent="0.2">
      <c r="A73" s="20">
        <v>7</v>
      </c>
      <c r="B73" s="202" t="s">
        <v>6</v>
      </c>
      <c r="C73" s="203"/>
      <c r="D73" s="15">
        <f t="shared" si="4"/>
        <v>73576</v>
      </c>
      <c r="E73" s="18">
        <f>IF(F3="1",SUMIF(Data!A:A,'46'!$A$2,Data!EE:EE),0)</f>
        <v>142819</v>
      </c>
      <c r="F73" s="22">
        <f t="shared" si="5"/>
        <v>1.941108513645754</v>
      </c>
    </row>
    <row r="74" spans="1:6" x14ac:dyDescent="0.2">
      <c r="A74" s="20">
        <v>8</v>
      </c>
      <c r="B74" s="202" t="s">
        <v>7</v>
      </c>
      <c r="C74" s="203"/>
      <c r="D74" s="15">
        <f t="shared" si="4"/>
        <v>4752</v>
      </c>
      <c r="E74" s="18">
        <f>IF(F3="1",SUMIF(Data!A:A,'46'!$A$2,Data!EF:EF),0)</f>
        <v>6557</v>
      </c>
      <c r="F74" s="22">
        <f t="shared" si="5"/>
        <v>1.3798400673400673</v>
      </c>
    </row>
    <row r="75" spans="1:6" x14ac:dyDescent="0.2">
      <c r="A75" s="20">
        <v>9</v>
      </c>
      <c r="B75" s="202" t="s">
        <v>8</v>
      </c>
      <c r="C75" s="203"/>
      <c r="D75" s="15">
        <f t="shared" si="4"/>
        <v>78621</v>
      </c>
      <c r="E75" s="18">
        <f>IF(F3="1",SUMIF(Data!A:A,'46'!$A$2,Data!EG:EG),0)</f>
        <v>226458</v>
      </c>
      <c r="F75" s="22">
        <f t="shared" si="5"/>
        <v>2.8803754722020836</v>
      </c>
    </row>
    <row r="76" spans="1:6" x14ac:dyDescent="0.2">
      <c r="A76" s="20">
        <v>10</v>
      </c>
      <c r="B76" s="202" t="s">
        <v>9</v>
      </c>
      <c r="C76" s="203"/>
      <c r="D76" s="15">
        <f t="shared" si="4"/>
        <v>0</v>
      </c>
      <c r="E76" s="18">
        <f>IF(F3="1",SUMIF(Data!A:A,'46'!$A$2,Data!EH:EH),0)</f>
        <v>0</v>
      </c>
      <c r="F76" s="22" t="str">
        <f t="shared" si="5"/>
        <v/>
      </c>
    </row>
    <row r="77" spans="1:6" x14ac:dyDescent="0.2">
      <c r="A77" s="20">
        <v>11</v>
      </c>
      <c r="B77" s="202" t="s">
        <v>10</v>
      </c>
      <c r="C77" s="203"/>
      <c r="D77" s="15">
        <f t="shared" si="4"/>
        <v>25859</v>
      </c>
      <c r="E77" s="18">
        <f>IF(F3="1",SUMIF(Data!A:A,'46'!$A$2,Data!EI:EI),0)</f>
        <v>35680</v>
      </c>
      <c r="F77" s="22">
        <f t="shared" si="5"/>
        <v>1.3797904017943463</v>
      </c>
    </row>
    <row r="78" spans="1:6" ht="14.25" customHeight="1" x14ac:dyDescent="0.2">
      <c r="A78" s="20">
        <v>12</v>
      </c>
      <c r="B78" s="202" t="s">
        <v>11</v>
      </c>
      <c r="C78" s="203"/>
      <c r="D78" s="15">
        <f t="shared" si="4"/>
        <v>157776</v>
      </c>
      <c r="E78" s="18">
        <f>IF(F3="1",SUMIF(Data!A:A,'46'!$A$2,Data!EJ:EJ),0)</f>
        <v>376823</v>
      </c>
      <c r="F78" s="22">
        <f t="shared" si="5"/>
        <v>2.3883416996247844</v>
      </c>
    </row>
    <row r="79" spans="1:6" x14ac:dyDescent="0.2">
      <c r="A79" s="20">
        <v>13</v>
      </c>
      <c r="B79" s="202" t="s">
        <v>12</v>
      </c>
      <c r="C79" s="203"/>
      <c r="D79" s="15">
        <f t="shared" si="4"/>
        <v>19828</v>
      </c>
      <c r="E79" s="18">
        <f>IF(F3="1",SUMIF(Data!A:A,'46'!$A$2,Data!EK:EK),0)</f>
        <v>45249</v>
      </c>
      <c r="F79" s="22">
        <f t="shared" si="5"/>
        <v>2.2820758523300384</v>
      </c>
    </row>
    <row r="80" spans="1:6" ht="14.25" customHeight="1" x14ac:dyDescent="0.2">
      <c r="A80" s="20">
        <v>14</v>
      </c>
      <c r="B80" s="202" t="s">
        <v>449</v>
      </c>
      <c r="C80" s="203"/>
      <c r="D80" s="15">
        <f t="shared" si="4"/>
        <v>149135</v>
      </c>
      <c r="E80" s="18">
        <f>IF(F3="1",SUMIF(Data!A:A,'46'!$A$2,Data!EL:EL),0)</f>
        <v>390924</v>
      </c>
      <c r="F80" s="22">
        <f t="shared" si="5"/>
        <v>2.6212760250779494</v>
      </c>
    </row>
    <row r="81" spans="1:6" x14ac:dyDescent="0.2">
      <c r="A81" s="20">
        <v>15</v>
      </c>
      <c r="B81" s="202" t="s">
        <v>13</v>
      </c>
      <c r="C81" s="203"/>
      <c r="D81" s="15">
        <f t="shared" si="4"/>
        <v>0</v>
      </c>
      <c r="E81" s="18">
        <f>IF(F3="1",SUMIF(Data!A:A,'46'!$A$2,Data!EM:EM),0)</f>
        <v>0</v>
      </c>
      <c r="F81" s="22" t="str">
        <f t="shared" si="5"/>
        <v/>
      </c>
    </row>
    <row r="82" spans="1:6" x14ac:dyDescent="0.2">
      <c r="A82" s="20">
        <v>16</v>
      </c>
      <c r="B82" s="202" t="s">
        <v>14</v>
      </c>
      <c r="C82" s="203"/>
      <c r="D82" s="15">
        <f t="shared" si="4"/>
        <v>128895</v>
      </c>
      <c r="E82" s="18">
        <f>IF(F3="1",SUMIF(Data!A:A,'46'!$A$2,Data!EN:EN),0)</f>
        <v>265285</v>
      </c>
      <c r="F82" s="22">
        <f t="shared" si="5"/>
        <v>2.0581481050467434</v>
      </c>
    </row>
    <row r="83" spans="1:6" x14ac:dyDescent="0.2">
      <c r="A83" s="20">
        <v>17</v>
      </c>
      <c r="B83" s="202" t="s">
        <v>15</v>
      </c>
      <c r="C83" s="203"/>
      <c r="D83" s="15">
        <f t="shared" si="4"/>
        <v>0</v>
      </c>
      <c r="E83" s="18">
        <f>IF(F3="1",SUMIF(Data!A:A,'46'!$A$2,Data!EO:EO),0)</f>
        <v>0</v>
      </c>
      <c r="F83" s="22" t="str">
        <f t="shared" si="5"/>
        <v/>
      </c>
    </row>
    <row r="84" spans="1:6" x14ac:dyDescent="0.2">
      <c r="A84" s="20">
        <v>18</v>
      </c>
      <c r="B84" s="202" t="s">
        <v>16</v>
      </c>
      <c r="C84" s="203"/>
      <c r="D84" s="15">
        <f t="shared" si="4"/>
        <v>238608</v>
      </c>
      <c r="E84" s="18">
        <f>IF(F3="1",SUMIF(Data!A:A,'46'!$A$2,Data!EP:EP),0)</f>
        <v>607806</v>
      </c>
      <c r="F84" s="22">
        <f t="shared" si="5"/>
        <v>2.5472993361496679</v>
      </c>
    </row>
    <row r="85" spans="1:6" x14ac:dyDescent="0.2">
      <c r="A85" s="20">
        <v>19</v>
      </c>
      <c r="B85" s="202" t="s">
        <v>17</v>
      </c>
      <c r="C85" s="203"/>
      <c r="D85" s="15">
        <f t="shared" si="4"/>
        <v>54288</v>
      </c>
      <c r="E85" s="18">
        <f>IF(F3="1",SUMIF(Data!A:A,'46'!$A$2,Data!EQ:EQ),0)</f>
        <v>196316</v>
      </c>
      <c r="F85" s="22">
        <f t="shared" si="5"/>
        <v>3.6161951075744181</v>
      </c>
    </row>
    <row r="86" spans="1:6" x14ac:dyDescent="0.2">
      <c r="A86" s="20">
        <v>20</v>
      </c>
      <c r="B86" s="202" t="s">
        <v>18</v>
      </c>
      <c r="C86" s="203"/>
      <c r="D86" s="15">
        <f t="shared" si="4"/>
        <v>10112</v>
      </c>
      <c r="E86" s="18">
        <f>IF(F3="1",SUMIF(Data!A:A,'46'!$A$2,Data!ER:ER),0)</f>
        <v>37404</v>
      </c>
      <c r="F86" s="22">
        <f t="shared" si="5"/>
        <v>3.6989715189873418</v>
      </c>
    </row>
    <row r="87" spans="1:6" ht="14.25" customHeight="1" x14ac:dyDescent="0.2">
      <c r="A87" s="20">
        <v>21</v>
      </c>
      <c r="B87" s="202" t="s">
        <v>446</v>
      </c>
      <c r="C87" s="203"/>
      <c r="D87" s="15">
        <f t="shared" si="4"/>
        <v>0</v>
      </c>
      <c r="E87" s="18">
        <f>IF(F3="1",SUMIF(Data!A:A,'46'!$A$2,Data!ES:ES),0)</f>
        <v>0</v>
      </c>
      <c r="F87" s="22" t="str">
        <f t="shared" si="5"/>
        <v/>
      </c>
    </row>
    <row r="88" spans="1:6" x14ac:dyDescent="0.2">
      <c r="A88" s="20">
        <v>22</v>
      </c>
      <c r="B88" s="202" t="s">
        <v>19</v>
      </c>
      <c r="C88" s="203"/>
      <c r="D88" s="15">
        <f t="shared" si="4"/>
        <v>3680</v>
      </c>
      <c r="E88" s="18">
        <f>IF(F3="1",SUMIF(Data!A:A,'46'!$A$2,Data!ET:ET),0)</f>
        <v>59742</v>
      </c>
      <c r="F88" s="22">
        <f t="shared" si="5"/>
        <v>16.234239130434784</v>
      </c>
    </row>
    <row r="89" spans="1:6" x14ac:dyDescent="0.2">
      <c r="A89" s="20">
        <v>23</v>
      </c>
      <c r="B89" s="202" t="s">
        <v>20</v>
      </c>
      <c r="C89" s="203"/>
      <c r="D89" s="15">
        <f t="shared" si="4"/>
        <v>29160</v>
      </c>
      <c r="E89" s="18">
        <f>IF(F3="1",SUMIF(Data!A:A,'46'!$A$2,Data!EU:EU),0)</f>
        <v>75181</v>
      </c>
      <c r="F89" s="22">
        <f t="shared" si="5"/>
        <v>2.5782235939643345</v>
      </c>
    </row>
    <row r="90" spans="1:6" x14ac:dyDescent="0.2">
      <c r="A90" s="20">
        <v>24</v>
      </c>
      <c r="B90" s="202" t="s">
        <v>21</v>
      </c>
      <c r="C90" s="203"/>
      <c r="D90" s="15">
        <f t="shared" si="4"/>
        <v>106761</v>
      </c>
      <c r="E90" s="18">
        <f>IF(F3="1",SUMIF(Data!A:A,'46'!$A$2,Data!EV:EV),0)</f>
        <v>220876</v>
      </c>
      <c r="F90" s="22">
        <f t="shared" si="5"/>
        <v>2.0688828317456749</v>
      </c>
    </row>
    <row r="91" spans="1:6" x14ac:dyDescent="0.2">
      <c r="A91" s="20">
        <v>25</v>
      </c>
      <c r="B91" s="202" t="s">
        <v>22</v>
      </c>
      <c r="C91" s="203"/>
      <c r="D91" s="15">
        <f t="shared" si="4"/>
        <v>236688</v>
      </c>
      <c r="E91" s="18">
        <f>IF(F3="1",SUMIF(Data!A:A,'46'!$A$2,Data!EW:EW),0)</f>
        <v>477125</v>
      </c>
      <c r="F91" s="22">
        <f t="shared" si="5"/>
        <v>2.0158394172919625</v>
      </c>
    </row>
    <row r="92" spans="1:6" x14ac:dyDescent="0.2">
      <c r="A92" s="20">
        <v>26</v>
      </c>
      <c r="B92" s="202" t="s">
        <v>23</v>
      </c>
      <c r="C92" s="203"/>
      <c r="D92" s="15">
        <f t="shared" si="4"/>
        <v>41488</v>
      </c>
      <c r="E92" s="18">
        <f>IF(F3="1",SUMIF(Data!A:A,'46'!$A$2,Data!EX:EX),0)</f>
        <v>45249</v>
      </c>
      <c r="F92" s="22">
        <f t="shared" si="5"/>
        <v>1.0906527188584652</v>
      </c>
    </row>
    <row r="93" spans="1:6" x14ac:dyDescent="0.2">
      <c r="A93" s="20">
        <v>28</v>
      </c>
      <c r="B93" s="202" t="s">
        <v>24</v>
      </c>
      <c r="C93" s="203"/>
      <c r="D93" s="15">
        <f t="shared" si="4"/>
        <v>55776</v>
      </c>
      <c r="E93" s="18">
        <f>IF(F3="1",SUMIF(Data!A:A,'46'!$A$2,Data!EZ:EZ),0)</f>
        <v>76955</v>
      </c>
      <c r="F93" s="22">
        <f t="shared" si="5"/>
        <v>1.37971528973035</v>
      </c>
    </row>
    <row r="94" spans="1:6" ht="15.75" customHeight="1" thickBot="1" x14ac:dyDescent="0.25">
      <c r="A94" s="23">
        <v>29</v>
      </c>
      <c r="B94" s="206" t="s">
        <v>25</v>
      </c>
      <c r="C94" s="207"/>
      <c r="D94" s="24">
        <f t="shared" si="4"/>
        <v>27792</v>
      </c>
      <c r="E94" s="25">
        <f>IF(F3="1",SUMIF(Data!A:A,'46'!$A$2,Data!FA:FA),0)</f>
        <v>39317</v>
      </c>
      <c r="F94" s="26">
        <f t="shared" si="5"/>
        <v>1.4146876799078871</v>
      </c>
    </row>
    <row r="95" spans="1:6" x14ac:dyDescent="0.2">
      <c r="B95" s="31" t="s">
        <v>35</v>
      </c>
      <c r="C95" s="31"/>
      <c r="D95" s="60">
        <f>SUM(D67:D94)</f>
        <v>1657273</v>
      </c>
      <c r="E95" s="32">
        <f>SUM(E67:E94)</f>
        <v>3730576</v>
      </c>
      <c r="F95" s="33">
        <f t="shared" si="5"/>
        <v>2.2510328714701804</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IF(F3="1",SUMIF(Data!A:A,'46'!$A$2,Data!AH:AH),0)</f>
        <v>2522305</v>
      </c>
      <c r="F98" s="21">
        <f t="shared" ref="F98:F105" si="6">IFERROR(E98/$D$95,0)</f>
        <v>1.5219610770223131</v>
      </c>
    </row>
    <row r="99" spans="2:6" x14ac:dyDescent="0.2">
      <c r="B99" s="212" t="s">
        <v>31</v>
      </c>
      <c r="C99" s="213"/>
      <c r="D99" s="37"/>
      <c r="E99" s="18">
        <f>IF(F3="1",SUMIF(Data!A:A,'46'!$A$2,Data!AI:AI),0)</f>
        <v>1333750</v>
      </c>
      <c r="F99" s="22">
        <f t="shared" si="6"/>
        <v>0.80478593448393843</v>
      </c>
    </row>
    <row r="100" spans="2:6" x14ac:dyDescent="0.2">
      <c r="B100" s="212" t="s">
        <v>32</v>
      </c>
      <c r="C100" s="213"/>
      <c r="D100" s="37"/>
      <c r="E100" s="18">
        <f>IF(F3="1",SUMIF(Data!A:A,'46'!$A$2,Data!AJ:AJ),0)</f>
        <v>2284864</v>
      </c>
      <c r="F100" s="22">
        <f t="shared" si="6"/>
        <v>1.3786889667544213</v>
      </c>
    </row>
    <row r="101" spans="2:6" x14ac:dyDescent="0.2">
      <c r="B101" s="212" t="s">
        <v>28</v>
      </c>
      <c r="C101" s="213"/>
      <c r="D101" s="37"/>
      <c r="E101" s="18">
        <f>IF(F3="1",SUMIF(Data!A:A,'46'!$A$2,Data!AK:AK),0)</f>
        <v>0</v>
      </c>
      <c r="F101" s="22">
        <f t="shared" si="6"/>
        <v>0</v>
      </c>
    </row>
    <row r="102" spans="2:6" x14ac:dyDescent="0.2">
      <c r="B102" s="212" t="s">
        <v>33</v>
      </c>
      <c r="C102" s="213"/>
      <c r="D102" s="37"/>
      <c r="E102" s="18">
        <f>IF(F3="1",SUMIF(Data!A:A,'46'!$A$2,Data!AL:AL),0)</f>
        <v>0</v>
      </c>
      <c r="F102" s="22">
        <f t="shared" si="6"/>
        <v>0</v>
      </c>
    </row>
    <row r="103" spans="2:6" x14ac:dyDescent="0.2">
      <c r="B103" s="214" t="s">
        <v>34</v>
      </c>
      <c r="C103" s="215"/>
      <c r="D103" s="37"/>
      <c r="E103" s="18">
        <f>IF(F3="1",SUMIF(Data!A:A,'46'!$A$2,Data!AM:AM),0)</f>
        <v>80645</v>
      </c>
      <c r="F103" s="22">
        <f t="shared" si="6"/>
        <v>4.8661264619649265E-2</v>
      </c>
    </row>
    <row r="104" spans="2:6" ht="15.75" customHeight="1" thickBot="1" x14ac:dyDescent="0.25">
      <c r="B104" s="208" t="s">
        <v>29</v>
      </c>
      <c r="C104" s="209"/>
      <c r="D104" s="38"/>
      <c r="E104" s="25">
        <f>IF(F3="1",SUMIF(Data!A:A,'46'!$A$2,Data!Q:Q),0)</f>
        <v>610019</v>
      </c>
      <c r="F104" s="26">
        <f t="shared" si="6"/>
        <v>0.36808600634898414</v>
      </c>
    </row>
    <row r="105" spans="2:6" x14ac:dyDescent="0.2">
      <c r="B105" s="31" t="s">
        <v>35</v>
      </c>
      <c r="C105" s="31"/>
      <c r="D105" s="35">
        <f>D95</f>
        <v>1657273</v>
      </c>
      <c r="E105" s="32">
        <f>SUM(E98:E104)</f>
        <v>6831583</v>
      </c>
      <c r="F105" s="33">
        <f t="shared" si="6"/>
        <v>4.1221832492293062</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4956092</v>
      </c>
      <c r="D109" s="192">
        <f>IF(F3="1",SUMIF(Data!$A:$A,$A$2,Data!HJ:HJ),0)</f>
        <v>758018</v>
      </c>
      <c r="E109" s="192">
        <f>IF(F3="1",SUMIF(Data!$A:$A,$A$2,Data!IN:IN),0)</f>
        <v>352489</v>
      </c>
      <c r="F109" s="48">
        <f>SUM(C109:E109)</f>
        <v>6066599</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92304</v>
      </c>
      <c r="D111" s="52"/>
      <c r="E111" s="193">
        <f>IF(F3="1",SUMIF(Data!A:A,$A$2,Data!AX:AX)-SUMIF(Data!A:A,$A$2,Data!AW:AW),0)</f>
        <v>51234</v>
      </c>
      <c r="F111" s="49">
        <f t="shared" si="7"/>
        <v>143538</v>
      </c>
    </row>
    <row r="112" spans="2:6" x14ac:dyDescent="0.2">
      <c r="B112" s="43" t="s">
        <v>32</v>
      </c>
      <c r="C112" s="193">
        <f>IF(F3="1",SUMIF(Data!A:A,$A$2,Data!V:V),0)</f>
        <v>1496791</v>
      </c>
      <c r="D112" s="52"/>
      <c r="E112" s="193">
        <f>IF(F3="1",SUMIF(Data!A:A,$A$2,Data!AC:AC),0)</f>
        <v>788073</v>
      </c>
      <c r="F112" s="49">
        <f t="shared" si="7"/>
        <v>2284864</v>
      </c>
    </row>
    <row r="113" spans="1:6" x14ac:dyDescent="0.2">
      <c r="B113" s="43" t="s">
        <v>31</v>
      </c>
      <c r="C113" s="193">
        <f>IF(F3="1",SUMIF(Data!A:A,$A$2,Data!U:U),0)</f>
        <v>1161171</v>
      </c>
      <c r="D113" s="52"/>
      <c r="E113" s="193">
        <f>IF(F3="1",SUMIF(Data!A:A,$A$2,Data!AB:AB),0)</f>
        <v>172579</v>
      </c>
      <c r="F113" s="49">
        <f t="shared" si="7"/>
        <v>1333750</v>
      </c>
    </row>
    <row r="114" spans="1:6" x14ac:dyDescent="0.2">
      <c r="B114" s="43" t="s">
        <v>1002</v>
      </c>
      <c r="C114" s="193">
        <f>IF(F3="1",SUMIF(Data!A:A,$A$2,Data!T:T),0)</f>
        <v>1148224</v>
      </c>
      <c r="D114" s="52"/>
      <c r="E114" s="193">
        <f>IF(F3="1",SUMIF(Data!A:A,$A$2,Data!AA:AA),0)</f>
        <v>1374081</v>
      </c>
      <c r="F114" s="49">
        <f t="shared" si="7"/>
        <v>2522305</v>
      </c>
    </row>
    <row r="115" spans="1:6" x14ac:dyDescent="0.2">
      <c r="B115" s="43" t="s">
        <v>916</v>
      </c>
      <c r="C115" s="193">
        <f>IF(F3="1",SUMIF(Data!A:A,$A$2,Data!BI:BI),0)</f>
        <v>733790</v>
      </c>
      <c r="D115" s="193">
        <f>IF(F3="1",SUMIF(Data!A:A,$A$2,Data!BL:BL),0)</f>
        <v>109546</v>
      </c>
      <c r="E115" s="193">
        <f>IF(F3="1",SUMIF(Data!A:A,$A$2,Data!BU:BU)-SUMIF(Data!A:A,$A$2,Data!BT:BT),0)</f>
        <v>1415366</v>
      </c>
      <c r="F115" s="49">
        <f t="shared" si="7"/>
        <v>2258702</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610019</v>
      </c>
      <c r="E117" s="53"/>
      <c r="F117" s="50">
        <f>SUM(C117:E117)</f>
        <v>610019</v>
      </c>
    </row>
    <row r="118" spans="1:6" x14ac:dyDescent="0.2">
      <c r="B118" s="14" t="s">
        <v>35</v>
      </c>
      <c r="C118" s="178">
        <f>SUM(C109:C117)</f>
        <v>9588372</v>
      </c>
      <c r="D118" s="194">
        <f>SUM(D109:D117)</f>
        <v>1477583</v>
      </c>
      <c r="E118" s="178">
        <f>SUM(E109:E117)</f>
        <v>4153822</v>
      </c>
      <c r="F118" s="178">
        <f>SUM(F109:F117)</f>
        <v>15219777</v>
      </c>
    </row>
    <row r="119" spans="1:6" x14ac:dyDescent="0.2">
      <c r="C119" s="177"/>
      <c r="D119" s="177"/>
      <c r="E119" s="177"/>
    </row>
    <row r="120" spans="1:6" ht="15" thickBot="1" x14ac:dyDescent="0.25">
      <c r="B120" s="188" t="s">
        <v>921</v>
      </c>
      <c r="C120" s="53"/>
      <c r="D120" s="53"/>
      <c r="E120" s="195">
        <f>IF(F3="1",SUMIF(Data!A:A,$A$2,Data!AF:AF)+SUMIF(Data!A:A,$A$2,Data!AW:AW)+SUMIF(Data!A:A,$A$2,Data!BT:BT),0)</f>
        <v>623367</v>
      </c>
      <c r="F120" s="181">
        <f>SUM(C120:E120)</f>
        <v>623367</v>
      </c>
    </row>
    <row r="121" spans="1:6" s="177" customFormat="1" x14ac:dyDescent="0.2">
      <c r="B121" s="14" t="s">
        <v>35</v>
      </c>
      <c r="C121" s="178">
        <f>SUM(C120:C120)</f>
        <v>0</v>
      </c>
      <c r="D121" s="178">
        <f>SUM(D120:D120)</f>
        <v>0</v>
      </c>
      <c r="E121" s="178">
        <f>SUM(E120:E120)</f>
        <v>623367</v>
      </c>
      <c r="F121" s="178">
        <f>SUM(F120:F120)</f>
        <v>623367</v>
      </c>
    </row>
    <row r="122" spans="1:6" s="177" customFormat="1" ht="15" thickBot="1" x14ac:dyDescent="0.25">
      <c r="B122" s="14" t="s">
        <v>1396</v>
      </c>
      <c r="C122" s="178"/>
      <c r="D122" s="178"/>
      <c r="E122" s="178"/>
      <c r="F122" s="190">
        <f>F118+F121</f>
        <v>15843144</v>
      </c>
    </row>
    <row r="123" spans="1:6" ht="15" thickTop="1" x14ac:dyDescent="0.2">
      <c r="D123" s="74"/>
    </row>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0" width="9.140625" style="11"/>
    <col min="21" max="21" width="17.85546875" style="11" bestFit="1" customWidth="1"/>
    <col min="22" max="24" width="9.140625" style="11"/>
    <col min="25" max="25" width="17.85546875" style="11" bestFit="1" customWidth="1"/>
    <col min="26"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407</v>
      </c>
      <c r="B2" s="59" t="str">
        <f>VLOOKUP(A2,Data!A:G,7,0)</f>
        <v>Victoria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10944</v>
      </c>
      <c r="E5" s="16">
        <f>E36+E67+IFERROR($E$105/$D$105*D5,0)</f>
        <v>97464.933023710968</v>
      </c>
      <c r="F5" s="21">
        <f>IFERROR(E5/D5,"")</f>
        <v>8.90578700874552</v>
      </c>
    </row>
    <row r="6" spans="1:6" x14ac:dyDescent="0.2">
      <c r="A6" s="20">
        <v>2</v>
      </c>
      <c r="B6" s="202" t="s">
        <v>1</v>
      </c>
      <c r="C6" s="203"/>
      <c r="D6" s="15">
        <f t="shared" ref="D6:D32" si="0">D37</f>
        <v>25205</v>
      </c>
      <c r="E6" s="18">
        <f t="shared" ref="E6:E32" si="1">E37+E68+IFERROR($E$105/$D$105*D6,0)</f>
        <v>252938.91985221443</v>
      </c>
      <c r="F6" s="22">
        <f t="shared" ref="F6:F33" si="2">IFERROR(E6/D6,"")</f>
        <v>10.03526759977046</v>
      </c>
    </row>
    <row r="7" spans="1:6" ht="14.25" customHeight="1" x14ac:dyDescent="0.2">
      <c r="A7" s="20">
        <v>3</v>
      </c>
      <c r="B7" s="202" t="s">
        <v>2</v>
      </c>
      <c r="C7" s="203"/>
      <c r="D7" s="15">
        <f t="shared" si="0"/>
        <v>246840</v>
      </c>
      <c r="E7" s="18">
        <f t="shared" si="1"/>
        <v>2323346.1450633053</v>
      </c>
      <c r="F7" s="22">
        <f t="shared" si="2"/>
        <v>9.4123567698237931</v>
      </c>
    </row>
    <row r="8" spans="1:6" ht="14.25" customHeight="1" x14ac:dyDescent="0.2">
      <c r="A8" s="20">
        <v>4</v>
      </c>
      <c r="B8" s="202" t="s">
        <v>3</v>
      </c>
      <c r="C8" s="203"/>
      <c r="D8" s="15">
        <f t="shared" si="0"/>
        <v>112794</v>
      </c>
      <c r="E8" s="18">
        <f t="shared" si="1"/>
        <v>906875.74008374033</v>
      </c>
      <c r="F8" s="22">
        <f t="shared" si="2"/>
        <v>8.0401062120657159</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1182</v>
      </c>
      <c r="E10" s="18">
        <f t="shared" si="1"/>
        <v>14997.779498723168</v>
      </c>
      <c r="F10" s="22">
        <f t="shared" si="2"/>
        <v>12.688476733268331</v>
      </c>
    </row>
    <row r="11" spans="1:6" x14ac:dyDescent="0.2">
      <c r="A11" s="20">
        <v>7</v>
      </c>
      <c r="B11" s="202" t="s">
        <v>6</v>
      </c>
      <c r="C11" s="203"/>
      <c r="D11" s="15">
        <f t="shared" si="0"/>
        <v>56944</v>
      </c>
      <c r="E11" s="18">
        <f t="shared" si="1"/>
        <v>864536.25530904578</v>
      </c>
      <c r="F11" s="22">
        <f t="shared" si="2"/>
        <v>15.182218588596617</v>
      </c>
    </row>
    <row r="12" spans="1:6" x14ac:dyDescent="0.2">
      <c r="A12" s="20">
        <v>8</v>
      </c>
      <c r="B12" s="202" t="s">
        <v>7</v>
      </c>
      <c r="C12" s="203"/>
      <c r="D12" s="15">
        <f t="shared" si="0"/>
        <v>5146</v>
      </c>
      <c r="E12" s="18">
        <f t="shared" si="1"/>
        <v>317144.41057565942</v>
      </c>
      <c r="F12" s="22">
        <f t="shared" si="2"/>
        <v>61.62930636915263</v>
      </c>
    </row>
    <row r="13" spans="1:6" x14ac:dyDescent="0.2">
      <c r="A13" s="20">
        <v>9</v>
      </c>
      <c r="B13" s="202" t="s">
        <v>8</v>
      </c>
      <c r="C13" s="203"/>
      <c r="D13" s="15">
        <f t="shared" si="0"/>
        <v>9200</v>
      </c>
      <c r="E13" s="18">
        <f t="shared" si="1"/>
        <v>75012.66445706696</v>
      </c>
      <c r="F13" s="22">
        <f t="shared" si="2"/>
        <v>8.1535504844637998</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82566</v>
      </c>
      <c r="E15" s="18">
        <f t="shared" si="1"/>
        <v>658658.1608219773</v>
      </c>
      <c r="F15" s="22">
        <f t="shared" si="2"/>
        <v>7.9773533999706574</v>
      </c>
    </row>
    <row r="16" spans="1:6" ht="14.25" customHeight="1" x14ac:dyDescent="0.2">
      <c r="A16" s="20">
        <v>12</v>
      </c>
      <c r="B16" s="202" t="s">
        <v>11</v>
      </c>
      <c r="C16" s="203"/>
      <c r="D16" s="15">
        <f t="shared" si="0"/>
        <v>184792</v>
      </c>
      <c r="E16" s="18">
        <f t="shared" si="1"/>
        <v>1858233.3698206868</v>
      </c>
      <c r="F16" s="22">
        <f t="shared" si="2"/>
        <v>10.055810694297842</v>
      </c>
    </row>
    <row r="17" spans="1:6" x14ac:dyDescent="0.2">
      <c r="A17" s="20">
        <v>13</v>
      </c>
      <c r="B17" s="202" t="s">
        <v>12</v>
      </c>
      <c r="C17" s="203"/>
      <c r="D17" s="15">
        <f t="shared" si="0"/>
        <v>16616</v>
      </c>
      <c r="E17" s="18">
        <f t="shared" si="1"/>
        <v>122255.78354550268</v>
      </c>
      <c r="F17" s="22">
        <f t="shared" si="2"/>
        <v>7.3577144647028572</v>
      </c>
    </row>
    <row r="18" spans="1:6" ht="14.25" customHeight="1" x14ac:dyDescent="0.2">
      <c r="A18" s="20">
        <v>14</v>
      </c>
      <c r="B18" s="202" t="s">
        <v>449</v>
      </c>
      <c r="C18" s="203"/>
      <c r="D18" s="15">
        <f t="shared" si="0"/>
        <v>143544</v>
      </c>
      <c r="E18" s="18">
        <f t="shared" si="1"/>
        <v>1973411.531611437</v>
      </c>
      <c r="F18" s="22">
        <f t="shared" si="2"/>
        <v>13.747781388364801</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117669</v>
      </c>
      <c r="E20" s="18">
        <f t="shared" si="1"/>
        <v>1296127.975325936</v>
      </c>
      <c r="F20" s="22">
        <f t="shared" si="2"/>
        <v>11.015033486525219</v>
      </c>
    </row>
    <row r="21" spans="1:6" x14ac:dyDescent="0.2">
      <c r="A21" s="20">
        <v>17</v>
      </c>
      <c r="B21" s="202" t="s">
        <v>15</v>
      </c>
      <c r="C21" s="203"/>
      <c r="D21" s="15">
        <f t="shared" si="0"/>
        <v>29632</v>
      </c>
      <c r="E21" s="18">
        <f t="shared" si="1"/>
        <v>481655.65491215303</v>
      </c>
      <c r="F21" s="22">
        <f t="shared" si="2"/>
        <v>16.254577987046201</v>
      </c>
    </row>
    <row r="22" spans="1:6" x14ac:dyDescent="0.2">
      <c r="A22" s="20">
        <v>18</v>
      </c>
      <c r="B22" s="202" t="s">
        <v>16</v>
      </c>
      <c r="C22" s="203"/>
      <c r="D22" s="15">
        <f t="shared" si="0"/>
        <v>187888</v>
      </c>
      <c r="E22" s="18">
        <f t="shared" si="1"/>
        <v>2224751.5942944996</v>
      </c>
      <c r="F22" s="22">
        <f t="shared" si="2"/>
        <v>11.840839193000615</v>
      </c>
    </row>
    <row r="23" spans="1:6" x14ac:dyDescent="0.2">
      <c r="A23" s="20">
        <v>19</v>
      </c>
      <c r="B23" s="202" t="s">
        <v>17</v>
      </c>
      <c r="C23" s="203"/>
      <c r="D23" s="15">
        <f t="shared" si="0"/>
        <v>73360</v>
      </c>
      <c r="E23" s="18">
        <f t="shared" si="1"/>
        <v>850710.65484461223</v>
      </c>
      <c r="F23" s="22">
        <f t="shared" si="2"/>
        <v>11.596382972254801</v>
      </c>
    </row>
    <row r="24" spans="1:6" x14ac:dyDescent="0.2">
      <c r="A24" s="20">
        <v>20</v>
      </c>
      <c r="B24" s="202" t="s">
        <v>18</v>
      </c>
      <c r="C24" s="203"/>
      <c r="D24" s="15">
        <f t="shared" si="0"/>
        <v>0</v>
      </c>
      <c r="E24" s="18">
        <f t="shared" si="1"/>
        <v>0</v>
      </c>
      <c r="F24" s="22" t="str">
        <f t="shared" si="2"/>
        <v/>
      </c>
    </row>
    <row r="25" spans="1:6" ht="14.25" customHeight="1" x14ac:dyDescent="0.2">
      <c r="A25" s="20">
        <v>21</v>
      </c>
      <c r="B25" s="202" t="s">
        <v>446</v>
      </c>
      <c r="C25" s="203"/>
      <c r="D25" s="15">
        <f t="shared" si="0"/>
        <v>144</v>
      </c>
      <c r="E25" s="18">
        <f t="shared" si="1"/>
        <v>2306.1964871540913</v>
      </c>
      <c r="F25" s="22">
        <f t="shared" si="2"/>
        <v>16.015253383014525</v>
      </c>
    </row>
    <row r="26" spans="1:6" x14ac:dyDescent="0.2">
      <c r="A26" s="20">
        <v>22</v>
      </c>
      <c r="B26" s="202" t="s">
        <v>19</v>
      </c>
      <c r="C26" s="203"/>
      <c r="D26" s="15">
        <f t="shared" si="0"/>
        <v>1632</v>
      </c>
      <c r="E26" s="18">
        <f t="shared" si="1"/>
        <v>9933.8935210797044</v>
      </c>
      <c r="F26" s="22">
        <f t="shared" si="2"/>
        <v>6.0869445594851133</v>
      </c>
    </row>
    <row r="27" spans="1:6" x14ac:dyDescent="0.2">
      <c r="A27" s="20">
        <v>23</v>
      </c>
      <c r="B27" s="202" t="s">
        <v>20</v>
      </c>
      <c r="C27" s="203"/>
      <c r="D27" s="15">
        <f t="shared" si="0"/>
        <v>69504</v>
      </c>
      <c r="E27" s="18">
        <f t="shared" si="1"/>
        <v>654886.17113304161</v>
      </c>
      <c r="F27" s="22">
        <f t="shared" si="2"/>
        <v>9.4222803167161828</v>
      </c>
    </row>
    <row r="28" spans="1:6" x14ac:dyDescent="0.2">
      <c r="A28" s="20">
        <v>24</v>
      </c>
      <c r="B28" s="202" t="s">
        <v>21</v>
      </c>
      <c r="C28" s="203"/>
      <c r="D28" s="15">
        <f t="shared" si="0"/>
        <v>43293</v>
      </c>
      <c r="E28" s="18">
        <f t="shared" si="1"/>
        <v>599463.48971084785</v>
      </c>
      <c r="F28" s="22">
        <f t="shared" si="2"/>
        <v>13.846660885382114</v>
      </c>
    </row>
    <row r="29" spans="1:6" x14ac:dyDescent="0.2">
      <c r="A29" s="20">
        <v>25</v>
      </c>
      <c r="B29" s="202" t="s">
        <v>22</v>
      </c>
      <c r="C29" s="203"/>
      <c r="D29" s="15">
        <f t="shared" si="0"/>
        <v>327360</v>
      </c>
      <c r="E29" s="18">
        <f t="shared" si="1"/>
        <v>2723961.3474636348</v>
      </c>
      <c r="F29" s="22">
        <f t="shared" si="2"/>
        <v>8.3209962960155028</v>
      </c>
    </row>
    <row r="30" spans="1:6" x14ac:dyDescent="0.2">
      <c r="A30" s="20">
        <v>26</v>
      </c>
      <c r="B30" s="202" t="s">
        <v>23</v>
      </c>
      <c r="C30" s="203"/>
      <c r="D30" s="15">
        <f t="shared" si="0"/>
        <v>58384</v>
      </c>
      <c r="E30" s="18">
        <f t="shared" si="1"/>
        <v>762820.22018058668</v>
      </c>
      <c r="F30" s="22">
        <f t="shared" si="2"/>
        <v>13.065569679716818</v>
      </c>
    </row>
    <row r="31" spans="1:6" x14ac:dyDescent="0.2">
      <c r="A31" s="20">
        <v>28</v>
      </c>
      <c r="B31" s="202" t="s">
        <v>24</v>
      </c>
      <c r="C31" s="203"/>
      <c r="D31" s="15">
        <f t="shared" si="0"/>
        <v>84528</v>
      </c>
      <c r="E31" s="18">
        <f t="shared" si="1"/>
        <v>747291.33795945183</v>
      </c>
      <c r="F31" s="22">
        <f t="shared" si="2"/>
        <v>8.8407549919488435</v>
      </c>
    </row>
    <row r="32" spans="1:6" ht="15.75" customHeight="1" thickBot="1" x14ac:dyDescent="0.25">
      <c r="A32" s="23">
        <v>29</v>
      </c>
      <c r="B32" s="206" t="s">
        <v>25</v>
      </c>
      <c r="C32" s="207"/>
      <c r="D32" s="24">
        <f t="shared" si="0"/>
        <v>50400</v>
      </c>
      <c r="E32" s="25">
        <f t="shared" si="1"/>
        <v>444298.77050393203</v>
      </c>
      <c r="F32" s="26">
        <f t="shared" si="2"/>
        <v>8.8154517957129368</v>
      </c>
    </row>
    <row r="33" spans="1:6" x14ac:dyDescent="0.2">
      <c r="B33" s="31" t="s">
        <v>35</v>
      </c>
      <c r="C33" s="31"/>
      <c r="D33" s="60">
        <f>SUM(D5:D32)</f>
        <v>1939567</v>
      </c>
      <c r="E33" s="32">
        <f>SUM(E5:E32)</f>
        <v>20263082.999999996</v>
      </c>
      <c r="F33" s="33">
        <f t="shared" si="2"/>
        <v>10.447219920734884</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IF(F3="1",SUMIF(Data!A:A,'47'!$A$2,Data!CU:CU),0)</f>
        <v>10944</v>
      </c>
      <c r="E36" s="16">
        <f>IF(F3="1",SUMIF(Data!$A:$A,'47'!$A$2,Data!IO:IO),0)</f>
        <v>5581</v>
      </c>
      <c r="F36" s="21">
        <f t="shared" ref="F36:F64" si="3">IFERROR(E36/D36,"")</f>
        <v>0.50995979532163738</v>
      </c>
    </row>
    <row r="37" spans="1:6" x14ac:dyDescent="0.2">
      <c r="A37" s="20">
        <v>2</v>
      </c>
      <c r="B37" s="202" t="s">
        <v>1</v>
      </c>
      <c r="C37" s="203"/>
      <c r="D37" s="15">
        <f>IF(F3="1",SUMIF(Data!A:A,'47'!$A$2,Data!CV:CV),0)</f>
        <v>25205</v>
      </c>
      <c r="E37" s="18">
        <f>IF(F3="1",SUMIF(Data!$A:$A,'47'!$A$2,Data!IP:IP),0)</f>
        <v>41523</v>
      </c>
      <c r="F37" s="22">
        <f t="shared" si="3"/>
        <v>1.6474112279309661</v>
      </c>
    </row>
    <row r="38" spans="1:6" ht="14.25" customHeight="1" x14ac:dyDescent="0.2">
      <c r="A38" s="20">
        <v>3</v>
      </c>
      <c r="B38" s="202" t="s">
        <v>2</v>
      </c>
      <c r="C38" s="203"/>
      <c r="D38" s="15">
        <f>IF(F3="1",SUMIF(Data!A:A,'47'!$A$2,Data!CW:CW),0)</f>
        <v>246840</v>
      </c>
      <c r="E38" s="18">
        <f>IF(F3="1",SUMIF(Data!$A:$A,'47'!$A$2,Data!IQ:IQ),0)</f>
        <v>261057</v>
      </c>
      <c r="F38" s="22">
        <f t="shared" si="3"/>
        <v>1.0575960136120564</v>
      </c>
    </row>
    <row r="39" spans="1:6" ht="14.25" customHeight="1" x14ac:dyDescent="0.2">
      <c r="A39" s="20">
        <v>4</v>
      </c>
      <c r="B39" s="202" t="s">
        <v>3</v>
      </c>
      <c r="C39" s="203"/>
      <c r="D39" s="15">
        <f>IF(F3="1",SUMIF(Data!A:A,'47'!$A$2,Data!CX:CX),0)</f>
        <v>112794</v>
      </c>
      <c r="E39" s="18">
        <f>IF(F3="1",SUMIF(Data!$A:$A,'47'!$A$2,Data!IR:IR),0)</f>
        <v>101801</v>
      </c>
      <c r="F39" s="22">
        <f t="shared" si="3"/>
        <v>0.90253914215295139</v>
      </c>
    </row>
    <row r="40" spans="1:6" x14ac:dyDescent="0.2">
      <c r="A40" s="20">
        <v>5</v>
      </c>
      <c r="B40" s="202" t="s">
        <v>4</v>
      </c>
      <c r="C40" s="203"/>
      <c r="D40" s="15">
        <f>IF(F3="1",SUMIF(Data!A:A,'47'!$A$2,Data!CY:CY),0)</f>
        <v>0</v>
      </c>
      <c r="E40" s="18">
        <f>IF(F3="1",SUMIF(Data!$A:$A,'47'!$A$2,Data!IS:IS),0)</f>
        <v>0</v>
      </c>
      <c r="F40" s="22" t="str">
        <f t="shared" si="3"/>
        <v/>
      </c>
    </row>
    <row r="41" spans="1:6" x14ac:dyDescent="0.2">
      <c r="A41" s="20">
        <v>6</v>
      </c>
      <c r="B41" s="202" t="s">
        <v>5</v>
      </c>
      <c r="C41" s="203"/>
      <c r="D41" s="15">
        <f>IF(F3="1",SUMIF(Data!A:A,'47'!$A$2,Data!CZ:CZ),0)</f>
        <v>1182</v>
      </c>
      <c r="E41" s="18">
        <f>IF(F3="1",SUMIF(Data!$A:$A,'47'!$A$2,Data!IT:IT),0)</f>
        <v>1236</v>
      </c>
      <c r="F41" s="22">
        <f t="shared" si="3"/>
        <v>1.0456852791878173</v>
      </c>
    </row>
    <row r="42" spans="1:6" x14ac:dyDescent="0.2">
      <c r="A42" s="20">
        <v>7</v>
      </c>
      <c r="B42" s="202" t="s">
        <v>6</v>
      </c>
      <c r="C42" s="203"/>
      <c r="D42" s="15">
        <f>IF(F3="1",SUMIF(Data!A:A,'47'!$A$2,Data!DA:DA),0)</f>
        <v>56944</v>
      </c>
      <c r="E42" s="18">
        <f>IF(F3="1",SUMIF(Data!$A:$A,'47'!$A$2,Data!IU:IU),0)</f>
        <v>201560</v>
      </c>
      <c r="F42" s="22">
        <f t="shared" si="3"/>
        <v>3.539617870188255</v>
      </c>
    </row>
    <row r="43" spans="1:6" x14ac:dyDescent="0.2">
      <c r="A43" s="20">
        <v>8</v>
      </c>
      <c r="B43" s="202" t="s">
        <v>7</v>
      </c>
      <c r="C43" s="203"/>
      <c r="D43" s="15">
        <f>IF(F3="1",SUMIF(Data!A:A,'47'!$A$2,Data!DB:DB),0)</f>
        <v>5146</v>
      </c>
      <c r="E43" s="18">
        <f>IF(F3="1",SUMIF(Data!$A:$A,'47'!$A$2,Data!IV:IV),0)</f>
        <v>155943</v>
      </c>
      <c r="F43" s="22">
        <f t="shared" si="3"/>
        <v>30.30373105324524</v>
      </c>
    </row>
    <row r="44" spans="1:6" x14ac:dyDescent="0.2">
      <c r="A44" s="20">
        <v>9</v>
      </c>
      <c r="B44" s="202" t="s">
        <v>8</v>
      </c>
      <c r="C44" s="203"/>
      <c r="D44" s="15">
        <f>IF(F3="1",SUMIF(Data!A:A,'47'!$A$2,Data!DC:DC),0)</f>
        <v>9200</v>
      </c>
      <c r="E44" s="18">
        <f>IF(F3="1",SUMIF(Data!$A:$A,'47'!$A$2,Data!IW:IW),0)</f>
        <v>3711</v>
      </c>
      <c r="F44" s="22">
        <f t="shared" si="3"/>
        <v>0.40336956521739131</v>
      </c>
    </row>
    <row r="45" spans="1:6" x14ac:dyDescent="0.2">
      <c r="A45" s="20">
        <v>10</v>
      </c>
      <c r="B45" s="202" t="s">
        <v>9</v>
      </c>
      <c r="C45" s="203"/>
      <c r="D45" s="15">
        <f>IF(F3="1",SUMIF(Data!A:A,'47'!$A$2,Data!DD:DD),0)</f>
        <v>0</v>
      </c>
      <c r="E45" s="18">
        <f>IF(F3="1",SUMIF(Data!$A:$A,'47'!$A$2,Data!IX:IX),0)</f>
        <v>0</v>
      </c>
      <c r="F45" s="22" t="str">
        <f t="shared" si="3"/>
        <v/>
      </c>
    </row>
    <row r="46" spans="1:6" x14ac:dyDescent="0.2">
      <c r="A46" s="20">
        <v>11</v>
      </c>
      <c r="B46" s="202" t="s">
        <v>10</v>
      </c>
      <c r="C46" s="203"/>
      <c r="D46" s="15">
        <f>IF(F3="1",SUMIF(Data!A:A,'47'!$A$2,Data!DE:DE),0)</f>
        <v>82566</v>
      </c>
      <c r="E46" s="18">
        <f>IF(F3="1",SUMIF(Data!$A:$A,'47'!$A$2,Data!IY:IY),0)</f>
        <v>48892</v>
      </c>
      <c r="F46" s="22">
        <f t="shared" si="3"/>
        <v>0.59215657776808861</v>
      </c>
    </row>
    <row r="47" spans="1:6" ht="14.25" customHeight="1" x14ac:dyDescent="0.2">
      <c r="A47" s="20">
        <v>12</v>
      </c>
      <c r="B47" s="202" t="s">
        <v>11</v>
      </c>
      <c r="C47" s="203"/>
      <c r="D47" s="15">
        <f>IF(F3="1",SUMIF(Data!A:A,'47'!$A$2,Data!DF:DF),0)</f>
        <v>184792</v>
      </c>
      <c r="E47" s="18">
        <f>IF(F3="1",SUMIF(Data!$A:$A,'47'!$A$2,Data!IZ:IZ),0)</f>
        <v>223048</v>
      </c>
      <c r="F47" s="22">
        <f t="shared" si="3"/>
        <v>1.2070219490021212</v>
      </c>
    </row>
    <row r="48" spans="1:6" x14ac:dyDescent="0.2">
      <c r="A48" s="20">
        <v>13</v>
      </c>
      <c r="B48" s="202" t="s">
        <v>12</v>
      </c>
      <c r="C48" s="203"/>
      <c r="D48" s="15">
        <f>IF(F3="1",SUMIF(Data!A:A,'47'!$A$2,Data!DG:DG),0)</f>
        <v>16616</v>
      </c>
      <c r="E48" s="18">
        <f>IF(F3="1",SUMIF(Data!$A:$A,'47'!$A$2,Data!JA:JA),0)</f>
        <v>4829</v>
      </c>
      <c r="F48" s="22">
        <f t="shared" si="3"/>
        <v>0.29062349542609534</v>
      </c>
    </row>
    <row r="49" spans="1:6" ht="14.25" customHeight="1" x14ac:dyDescent="0.2">
      <c r="A49" s="20">
        <v>14</v>
      </c>
      <c r="B49" s="202" t="s">
        <v>449</v>
      </c>
      <c r="C49" s="203"/>
      <c r="D49" s="15">
        <f>IF(F3="1",SUMIF(Data!A:A,'47'!$A$2,Data!DH:DH),0)</f>
        <v>143544</v>
      </c>
      <c r="E49" s="18">
        <f>IF(F3="1",SUMIF(Data!$A:$A,'47'!$A$2,Data!JB:JB),0)</f>
        <v>333952</v>
      </c>
      <c r="F49" s="22">
        <f t="shared" si="3"/>
        <v>2.3264782923702838</v>
      </c>
    </row>
    <row r="50" spans="1:6" x14ac:dyDescent="0.2">
      <c r="A50" s="20">
        <v>15</v>
      </c>
      <c r="B50" s="202" t="s">
        <v>13</v>
      </c>
      <c r="C50" s="203"/>
      <c r="D50" s="15">
        <f>IF(F3="1",SUMIF(Data!A:A,'47'!$A$2,Data!DI:DI),0)</f>
        <v>0</v>
      </c>
      <c r="E50" s="18">
        <f>IF(F3="1",SUMIF(Data!$A:$A,'47'!$A$2,Data!JC:JC),0)</f>
        <v>0</v>
      </c>
      <c r="F50" s="22" t="str">
        <f t="shared" si="3"/>
        <v/>
      </c>
    </row>
    <row r="51" spans="1:6" x14ac:dyDescent="0.2">
      <c r="A51" s="20">
        <v>16</v>
      </c>
      <c r="B51" s="202" t="s">
        <v>14</v>
      </c>
      <c r="C51" s="203"/>
      <c r="D51" s="15">
        <f>IF(F3="1",SUMIF(Data!A:A,'47'!$A$2,Data!DJ:DJ),0)</f>
        <v>117669</v>
      </c>
      <c r="E51" s="18">
        <f>IF(F3="1",SUMIF(Data!$A:$A,'47'!$A$2,Data!JD:JD),0)</f>
        <v>218424</v>
      </c>
      <c r="F51" s="22">
        <f t="shared" si="3"/>
        <v>1.8562578079188232</v>
      </c>
    </row>
    <row r="52" spans="1:6" x14ac:dyDescent="0.2">
      <c r="A52" s="20">
        <v>17</v>
      </c>
      <c r="B52" s="202" t="s">
        <v>15</v>
      </c>
      <c r="C52" s="203"/>
      <c r="D52" s="15">
        <f>IF(F3="1",SUMIF(Data!A:A,'47'!$A$2,Data!DK:DK),0)</f>
        <v>29632</v>
      </c>
      <c r="E52" s="18">
        <f>IF(F3="1",SUMIF(Data!$A:$A,'47'!$A$2,Data!JE:JE),0)</f>
        <v>90233</v>
      </c>
      <c r="F52" s="22">
        <f t="shared" si="3"/>
        <v>3.0451201403887689</v>
      </c>
    </row>
    <row r="53" spans="1:6" x14ac:dyDescent="0.2">
      <c r="A53" s="20">
        <v>18</v>
      </c>
      <c r="B53" s="202" t="s">
        <v>16</v>
      </c>
      <c r="C53" s="203"/>
      <c r="D53" s="15">
        <f>IF(F3="1",SUMIF(Data!A:A,'47'!$A$2,Data!DL:DL),0)</f>
        <v>187888</v>
      </c>
      <c r="E53" s="18">
        <f>IF(F3="1",SUMIF(Data!$A:$A,'47'!$A$2,Data!JF:JF),0)</f>
        <v>422861</v>
      </c>
      <c r="F53" s="22">
        <f t="shared" si="3"/>
        <v>2.2506014221238186</v>
      </c>
    </row>
    <row r="54" spans="1:6" x14ac:dyDescent="0.2">
      <c r="A54" s="20">
        <v>19</v>
      </c>
      <c r="B54" s="202" t="s">
        <v>17</v>
      </c>
      <c r="C54" s="203"/>
      <c r="D54" s="15">
        <f>IF(F3="1",SUMIF(Data!A:A,'47'!$A$2,Data!DM:DM),0)</f>
        <v>73360</v>
      </c>
      <c r="E54" s="18">
        <f>IF(F3="1",SUMIF(Data!$A:$A,'47'!$A$2,Data!JG:JG),0)</f>
        <v>115341</v>
      </c>
      <c r="F54" s="22">
        <f t="shared" si="3"/>
        <v>1.5722600872410033</v>
      </c>
    </row>
    <row r="55" spans="1:6" x14ac:dyDescent="0.2">
      <c r="A55" s="20">
        <v>20</v>
      </c>
      <c r="B55" s="202" t="s">
        <v>18</v>
      </c>
      <c r="C55" s="203"/>
      <c r="D55" s="15">
        <f>IF(F3="1",SUMIF(Data!A:A,'47'!$A$2,Data!DN:DN),0)</f>
        <v>0</v>
      </c>
      <c r="E55" s="18">
        <f>IF(F3="1",SUMIF(Data!$A:$A,'47'!$A$2,Data!JH:JH),0)</f>
        <v>0</v>
      </c>
      <c r="F55" s="22" t="str">
        <f t="shared" si="3"/>
        <v/>
      </c>
    </row>
    <row r="56" spans="1:6" ht="14.25" customHeight="1" x14ac:dyDescent="0.2">
      <c r="A56" s="20">
        <v>21</v>
      </c>
      <c r="B56" s="202" t="s">
        <v>446</v>
      </c>
      <c r="C56" s="203"/>
      <c r="D56" s="15">
        <f>IF(F3="1",SUMIF(Data!A:A,'47'!$A$2,Data!DO:DO),0)</f>
        <v>144</v>
      </c>
      <c r="E56" s="18">
        <f>IF(F3="1",SUMIF(Data!$A:$A,'47'!$A$2,Data!JI:JI),0)</f>
        <v>472</v>
      </c>
      <c r="F56" s="22">
        <f t="shared" si="3"/>
        <v>3.2777777777777777</v>
      </c>
    </row>
    <row r="57" spans="1:6" x14ac:dyDescent="0.2">
      <c r="A57" s="20">
        <v>22</v>
      </c>
      <c r="B57" s="202" t="s">
        <v>19</v>
      </c>
      <c r="C57" s="203"/>
      <c r="D57" s="15">
        <f>IF(F3="1",SUMIF(Data!A:A,'47'!$A$2,Data!DP:DP),0)</f>
        <v>1632</v>
      </c>
      <c r="E57" s="18">
        <f>IF(F3="1",SUMIF(Data!$A:$A,'47'!$A$2,Data!JJ:JJ),0)</f>
        <v>180</v>
      </c>
      <c r="F57" s="22">
        <f t="shared" si="3"/>
        <v>0.11029411764705882</v>
      </c>
    </row>
    <row r="58" spans="1:6" x14ac:dyDescent="0.2">
      <c r="A58" s="20">
        <v>23</v>
      </c>
      <c r="B58" s="202" t="s">
        <v>20</v>
      </c>
      <c r="C58" s="203"/>
      <c r="D58" s="15">
        <f>IF(F3="1",SUMIF(Data!A:A,'47'!$A$2,Data!DQ:DQ),0)</f>
        <v>69504</v>
      </c>
      <c r="E58" s="18">
        <f>IF(F3="1",SUMIF(Data!$A:$A,'47'!$A$2,Data!JK:JK),0)</f>
        <v>56596</v>
      </c>
      <c r="F58" s="22">
        <f t="shared" si="3"/>
        <v>0.81428406998158376</v>
      </c>
    </row>
    <row r="59" spans="1:6" x14ac:dyDescent="0.2">
      <c r="A59" s="20">
        <v>24</v>
      </c>
      <c r="B59" s="202" t="s">
        <v>21</v>
      </c>
      <c r="C59" s="203"/>
      <c r="D59" s="15">
        <f>IF(F3="1",SUMIF(Data!A:A,'47'!$A$2,Data!DR:DR),0)</f>
        <v>43293</v>
      </c>
      <c r="E59" s="18">
        <f>IF(F3="1",SUMIF(Data!$A:$A,'47'!$A$2,Data!JL:JL),0)</f>
        <v>189293</v>
      </c>
      <c r="F59" s="22">
        <f t="shared" si="3"/>
        <v>4.3723696671517338</v>
      </c>
    </row>
    <row r="60" spans="1:6" x14ac:dyDescent="0.2">
      <c r="A60" s="20">
        <v>25</v>
      </c>
      <c r="B60" s="202" t="s">
        <v>22</v>
      </c>
      <c r="C60" s="203"/>
      <c r="D60" s="15">
        <f>IF(F3="1",SUMIF(Data!A:A,'47'!$A$2,Data!DS:DS),0)</f>
        <v>327360</v>
      </c>
      <c r="E60" s="18">
        <f>IF(F3="1",SUMIF(Data!$A:$A,'47'!$A$2,Data!JM:JM),0)</f>
        <v>175199</v>
      </c>
      <c r="F60" s="22">
        <f t="shared" si="3"/>
        <v>0.53518756109481913</v>
      </c>
    </row>
    <row r="61" spans="1:6" x14ac:dyDescent="0.2">
      <c r="A61" s="20">
        <v>26</v>
      </c>
      <c r="B61" s="202" t="s">
        <v>23</v>
      </c>
      <c r="C61" s="203"/>
      <c r="D61" s="15">
        <f>IF(F3="1",SUMIF(Data!A:A,'47'!$A$2,Data!DT:DT),0)</f>
        <v>58384</v>
      </c>
      <c r="E61" s="18">
        <f>IF(F3="1",SUMIF(Data!$A:$A,'47'!$A$2,Data!JN:JN),0)</f>
        <v>136280</v>
      </c>
      <c r="F61" s="22">
        <f t="shared" si="3"/>
        <v>2.3342011510002743</v>
      </c>
    </row>
    <row r="62" spans="1:6" x14ac:dyDescent="0.2">
      <c r="A62" s="20">
        <v>28</v>
      </c>
      <c r="B62" s="202" t="s">
        <v>24</v>
      </c>
      <c r="C62" s="203"/>
      <c r="D62" s="15">
        <f>IF(F3="1",SUMIF(Data!A:A,'47'!$A$2,Data!DV:DV),0)</f>
        <v>84528</v>
      </c>
      <c r="E62" s="18">
        <f>IF(F3="1",SUMIF(Data!$A:$A,'47'!$A$2,Data!JP:JP),0)</f>
        <v>50719</v>
      </c>
      <c r="F62" s="22">
        <f t="shared" si="3"/>
        <v>0.60002602687866746</v>
      </c>
    </row>
    <row r="63" spans="1:6" ht="15.75" customHeight="1" thickBot="1" x14ac:dyDescent="0.25">
      <c r="A63" s="23">
        <v>29</v>
      </c>
      <c r="B63" s="206" t="s">
        <v>25</v>
      </c>
      <c r="C63" s="207"/>
      <c r="D63" s="24">
        <f>IF(F3="1",SUMIF(Data!A:A,'47'!$A$2,Data!DW:DW),0)</f>
        <v>50400</v>
      </c>
      <c r="E63" s="25">
        <f>IF(F3="1",SUMIF(Data!$A:$A,'47'!$A$2,Data!JQ:JQ),0)</f>
        <v>28441</v>
      </c>
      <c r="F63" s="26">
        <f t="shared" si="3"/>
        <v>0.5643055555555555</v>
      </c>
    </row>
    <row r="64" spans="1:6" x14ac:dyDescent="0.2">
      <c r="B64" s="31" t="s">
        <v>35</v>
      </c>
      <c r="C64" s="31"/>
      <c r="D64" s="60">
        <f>SUM(D36:D63)</f>
        <v>1939567</v>
      </c>
      <c r="E64" s="32">
        <f>SUM(E36:E63)</f>
        <v>2867172</v>
      </c>
      <c r="F64" s="33">
        <f t="shared" si="3"/>
        <v>1.4782536514593205</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10944</v>
      </c>
      <c r="E67" s="16">
        <f>IF(F3="1",SUMIF(Data!A:A,'47'!$A$2,Data!DY:DY),0)</f>
        <v>33805</v>
      </c>
      <c r="F67" s="21">
        <f>IFERROR(E67/D67,"")</f>
        <v>3.0889071637426899</v>
      </c>
    </row>
    <row r="68" spans="1:6" x14ac:dyDescent="0.2">
      <c r="A68" s="20">
        <v>2</v>
      </c>
      <c r="B68" s="202" t="s">
        <v>1</v>
      </c>
      <c r="C68" s="203"/>
      <c r="D68" s="15">
        <f t="shared" ref="D68:D94" si="4">D37</f>
        <v>25205</v>
      </c>
      <c r="E68" s="18">
        <f>IF(F3="1",SUMIF(Data!A:A,'47'!$A$2,Data!DZ:DZ),0)</f>
        <v>77655</v>
      </c>
      <c r="F68" s="22">
        <f t="shared" ref="F68:F95" si="5">IFERROR(E68/D68,"")</f>
        <v>3.0809363221583017</v>
      </c>
    </row>
    <row r="69" spans="1:6" ht="14.25" customHeight="1" x14ac:dyDescent="0.2">
      <c r="A69" s="20">
        <v>3</v>
      </c>
      <c r="B69" s="202" t="s">
        <v>2</v>
      </c>
      <c r="C69" s="203"/>
      <c r="D69" s="15">
        <f t="shared" si="4"/>
        <v>246840</v>
      </c>
      <c r="E69" s="18">
        <f>IF(F3="1",SUMIF(Data!A:A,'47'!$A$2,Data!EA:EA),0)</f>
        <v>752329</v>
      </c>
      <c r="F69" s="22">
        <f t="shared" si="5"/>
        <v>3.047840706530546</v>
      </c>
    </row>
    <row r="70" spans="1:6" ht="14.25" customHeight="1" x14ac:dyDescent="0.2">
      <c r="A70" s="20">
        <v>4</v>
      </c>
      <c r="B70" s="202" t="s">
        <v>3</v>
      </c>
      <c r="C70" s="203"/>
      <c r="D70" s="15">
        <f t="shared" si="4"/>
        <v>112794</v>
      </c>
      <c r="E70" s="18">
        <f>IF(F3="1",SUMIF(Data!A:A,'47'!$A$2,Data!EB:EB),0)</f>
        <v>206486</v>
      </c>
      <c r="F70" s="22">
        <f t="shared" si="5"/>
        <v>1.8306470202315726</v>
      </c>
    </row>
    <row r="71" spans="1:6" x14ac:dyDescent="0.2">
      <c r="A71" s="20">
        <v>5</v>
      </c>
      <c r="B71" s="202" t="s">
        <v>4</v>
      </c>
      <c r="C71" s="203"/>
      <c r="D71" s="15">
        <f t="shared" si="4"/>
        <v>0</v>
      </c>
      <c r="E71" s="18">
        <f>IF(F3="1",SUMIF(Data!A:A,'47'!$A$2,Data!EC:EC),0)</f>
        <v>0</v>
      </c>
      <c r="F71" s="22" t="str">
        <f t="shared" si="5"/>
        <v/>
      </c>
    </row>
    <row r="72" spans="1:6" x14ac:dyDescent="0.2">
      <c r="A72" s="20">
        <v>6</v>
      </c>
      <c r="B72" s="202" t="s">
        <v>5</v>
      </c>
      <c r="C72" s="203"/>
      <c r="D72" s="15">
        <f t="shared" si="4"/>
        <v>1182</v>
      </c>
      <c r="E72" s="18">
        <f>IF(F3="1",SUMIF(Data!A:A,'47'!$A$2,Data!ED:ED),0)</f>
        <v>7489</v>
      </c>
      <c r="F72" s="22">
        <f t="shared" si="5"/>
        <v>6.3358714043993229</v>
      </c>
    </row>
    <row r="73" spans="1:6" x14ac:dyDescent="0.2">
      <c r="A73" s="20">
        <v>7</v>
      </c>
      <c r="B73" s="202" t="s">
        <v>6</v>
      </c>
      <c r="C73" s="203"/>
      <c r="D73" s="15">
        <f t="shared" si="4"/>
        <v>56944</v>
      </c>
      <c r="E73" s="18">
        <f>IF(F3="1",SUMIF(Data!A:A,'47'!$A$2,Data!EE:EE),0)</f>
        <v>360779</v>
      </c>
      <c r="F73" s="22">
        <f t="shared" si="5"/>
        <v>6.3356806687271705</v>
      </c>
    </row>
    <row r="74" spans="1:6" x14ac:dyDescent="0.2">
      <c r="A74" s="20">
        <v>8</v>
      </c>
      <c r="B74" s="202" t="s">
        <v>7</v>
      </c>
      <c r="C74" s="203"/>
      <c r="D74" s="15">
        <f t="shared" si="4"/>
        <v>5146</v>
      </c>
      <c r="E74" s="18">
        <f>IF(F3="1",SUMIF(Data!A:A,'47'!$A$2,Data!EF:EF),0)</f>
        <v>133892</v>
      </c>
      <c r="F74" s="22">
        <f t="shared" si="5"/>
        <v>26.018655266226194</v>
      </c>
    </row>
    <row r="75" spans="1:6" x14ac:dyDescent="0.2">
      <c r="A75" s="20">
        <v>9</v>
      </c>
      <c r="B75" s="202" t="s">
        <v>8</v>
      </c>
      <c r="C75" s="203"/>
      <c r="D75" s="15">
        <f t="shared" si="4"/>
        <v>9200</v>
      </c>
      <c r="E75" s="18">
        <f>IF(F3="1",SUMIF(Data!A:A,'47'!$A$2,Data!EG:EG),0)</f>
        <v>22478</v>
      </c>
      <c r="F75" s="22">
        <f t="shared" si="5"/>
        <v>2.4432608695652176</v>
      </c>
    </row>
    <row r="76" spans="1:6" x14ac:dyDescent="0.2">
      <c r="A76" s="20">
        <v>10</v>
      </c>
      <c r="B76" s="202" t="s">
        <v>9</v>
      </c>
      <c r="C76" s="203"/>
      <c r="D76" s="15">
        <f t="shared" si="4"/>
        <v>0</v>
      </c>
      <c r="E76" s="18">
        <f>IF(F3="1",SUMIF(Data!A:A,'47'!$A$2,Data!EH:EH),0)</f>
        <v>0</v>
      </c>
      <c r="F76" s="22" t="str">
        <f t="shared" si="5"/>
        <v/>
      </c>
    </row>
    <row r="77" spans="1:6" x14ac:dyDescent="0.2">
      <c r="A77" s="20">
        <v>11</v>
      </c>
      <c r="B77" s="202" t="s">
        <v>10</v>
      </c>
      <c r="C77" s="203"/>
      <c r="D77" s="15">
        <f t="shared" si="4"/>
        <v>82566</v>
      </c>
      <c r="E77" s="18">
        <f>IF(F3="1",SUMIF(Data!A:A,'47'!$A$2,Data!EI:EI),0)</f>
        <v>171595</v>
      </c>
      <c r="F77" s="22">
        <f t="shared" si="5"/>
        <v>2.0782767725213769</v>
      </c>
    </row>
    <row r="78" spans="1:6" ht="14.25" customHeight="1" x14ac:dyDescent="0.2">
      <c r="A78" s="20">
        <v>12</v>
      </c>
      <c r="B78" s="202" t="s">
        <v>11</v>
      </c>
      <c r="C78" s="203"/>
      <c r="D78" s="15">
        <f t="shared" si="4"/>
        <v>184792</v>
      </c>
      <c r="E78" s="18">
        <f>IF(F3="1",SUMIF(Data!A:A,'47'!$A$2,Data!EJ:EJ),0)</f>
        <v>654509</v>
      </c>
      <c r="F78" s="22">
        <f t="shared" si="5"/>
        <v>3.5418686956145287</v>
      </c>
    </row>
    <row r="79" spans="1:6" x14ac:dyDescent="0.2">
      <c r="A79" s="20">
        <v>13</v>
      </c>
      <c r="B79" s="202" t="s">
        <v>12</v>
      </c>
      <c r="C79" s="203"/>
      <c r="D79" s="15">
        <f t="shared" si="4"/>
        <v>16616</v>
      </c>
      <c r="E79" s="18">
        <f>IF(F3="1",SUMIF(Data!A:A,'47'!$A$2,Data!EK:EK),0)</f>
        <v>29247</v>
      </c>
      <c r="F79" s="22">
        <f t="shared" si="5"/>
        <v>1.7601709195955706</v>
      </c>
    </row>
    <row r="80" spans="1:6" ht="14.25" customHeight="1" x14ac:dyDescent="0.2">
      <c r="A80" s="20">
        <v>14</v>
      </c>
      <c r="B80" s="202" t="s">
        <v>449</v>
      </c>
      <c r="C80" s="203"/>
      <c r="D80" s="15">
        <f t="shared" si="4"/>
        <v>143544</v>
      </c>
      <c r="E80" s="18">
        <f>IF(F3="1",SUMIF(Data!A:A,'47'!$A$2,Data!EL:EL),0)</f>
        <v>877683</v>
      </c>
      <c r="F80" s="22">
        <f t="shared" si="5"/>
        <v>6.1143830463133257</v>
      </c>
    </row>
    <row r="81" spans="1:6" x14ac:dyDescent="0.2">
      <c r="A81" s="20">
        <v>15</v>
      </c>
      <c r="B81" s="202" t="s">
        <v>13</v>
      </c>
      <c r="C81" s="203"/>
      <c r="D81" s="15">
        <f t="shared" si="4"/>
        <v>0</v>
      </c>
      <c r="E81" s="18">
        <f>IF(F3="1",SUMIF(Data!A:A,'47'!$A$2,Data!EM:EM),0)</f>
        <v>0</v>
      </c>
      <c r="F81" s="22" t="str">
        <f t="shared" si="5"/>
        <v/>
      </c>
    </row>
    <row r="82" spans="1:6" x14ac:dyDescent="0.2">
      <c r="A82" s="20">
        <v>16</v>
      </c>
      <c r="B82" s="202" t="s">
        <v>14</v>
      </c>
      <c r="C82" s="203"/>
      <c r="D82" s="15">
        <f t="shared" si="4"/>
        <v>117669</v>
      </c>
      <c r="E82" s="18">
        <f>IF(F3="1",SUMIF(Data!A:A,'47'!$A$2,Data!EN:EN),0)</f>
        <v>453244</v>
      </c>
      <c r="F82" s="22">
        <f t="shared" si="5"/>
        <v>3.8518556289252053</v>
      </c>
    </row>
    <row r="83" spans="1:6" x14ac:dyDescent="0.2">
      <c r="A83" s="20">
        <v>17</v>
      </c>
      <c r="B83" s="202" t="s">
        <v>15</v>
      </c>
      <c r="C83" s="203"/>
      <c r="D83" s="15">
        <f t="shared" si="4"/>
        <v>29632</v>
      </c>
      <c r="E83" s="18">
        <f>IF(F3="1",SUMIF(Data!A:A,'47'!$A$2,Data!EO:EO),0)</f>
        <v>234168</v>
      </c>
      <c r="F83" s="22">
        <f t="shared" si="5"/>
        <v>7.902537796976242</v>
      </c>
    </row>
    <row r="84" spans="1:6" x14ac:dyDescent="0.2">
      <c r="A84" s="20">
        <v>18</v>
      </c>
      <c r="B84" s="202" t="s">
        <v>16</v>
      </c>
      <c r="C84" s="203"/>
      <c r="D84" s="15">
        <f t="shared" si="4"/>
        <v>187888</v>
      </c>
      <c r="E84" s="18">
        <f>IF(F3="1",SUMIF(Data!A:A,'47'!$A$2,Data!EP:EP),0)</f>
        <v>804784</v>
      </c>
      <c r="F84" s="22">
        <f t="shared" si="5"/>
        <v>4.2833177211956057</v>
      </c>
    </row>
    <row r="85" spans="1:6" x14ac:dyDescent="0.2">
      <c r="A85" s="20">
        <v>19</v>
      </c>
      <c r="B85" s="202" t="s">
        <v>17</v>
      </c>
      <c r="C85" s="203"/>
      <c r="D85" s="15">
        <f t="shared" si="4"/>
        <v>73360</v>
      </c>
      <c r="E85" s="18">
        <f>IF(F3="1",SUMIF(Data!A:A,'47'!$A$2,Data!EQ:EQ),0)</f>
        <v>346054</v>
      </c>
      <c r="F85" s="22">
        <f t="shared" si="5"/>
        <v>4.7172028353326061</v>
      </c>
    </row>
    <row r="86" spans="1:6" x14ac:dyDescent="0.2">
      <c r="A86" s="20">
        <v>20</v>
      </c>
      <c r="B86" s="202" t="s">
        <v>18</v>
      </c>
      <c r="C86" s="203"/>
      <c r="D86" s="15">
        <f t="shared" si="4"/>
        <v>0</v>
      </c>
      <c r="E86" s="18">
        <f>IF(F3="1",SUMIF(Data!A:A,'47'!$A$2,Data!ER:ER),0)</f>
        <v>0</v>
      </c>
      <c r="F86" s="22" t="str">
        <f t="shared" si="5"/>
        <v/>
      </c>
    </row>
    <row r="87" spans="1:6" ht="14.25" customHeight="1" x14ac:dyDescent="0.2">
      <c r="A87" s="20">
        <v>21</v>
      </c>
      <c r="B87" s="202" t="s">
        <v>446</v>
      </c>
      <c r="C87" s="203"/>
      <c r="D87" s="15">
        <f t="shared" si="4"/>
        <v>144</v>
      </c>
      <c r="E87" s="18">
        <f>IF(F3="1",SUMIF(Data!A:A,'47'!$A$2,Data!ES:ES),0)</f>
        <v>1070</v>
      </c>
      <c r="F87" s="22">
        <f t="shared" si="5"/>
        <v>7.4305555555555554</v>
      </c>
    </row>
    <row r="88" spans="1:6" x14ac:dyDescent="0.2">
      <c r="A88" s="20">
        <v>22</v>
      </c>
      <c r="B88" s="202" t="s">
        <v>19</v>
      </c>
      <c r="C88" s="203"/>
      <c r="D88" s="15">
        <f t="shared" si="4"/>
        <v>1632</v>
      </c>
      <c r="E88" s="18">
        <f>IF(F3="1",SUMIF(Data!A:A,'47'!$A$2,Data!ET:ET),0)</f>
        <v>1093</v>
      </c>
      <c r="F88" s="22">
        <f t="shared" si="5"/>
        <v>0.6697303921568627</v>
      </c>
    </row>
    <row r="89" spans="1:6" x14ac:dyDescent="0.2">
      <c r="A89" s="20">
        <v>23</v>
      </c>
      <c r="B89" s="202" t="s">
        <v>20</v>
      </c>
      <c r="C89" s="203"/>
      <c r="D89" s="15">
        <f t="shared" si="4"/>
        <v>69504</v>
      </c>
      <c r="E89" s="18">
        <f>IF(F3="1",SUMIF(Data!A:A,'47'!$A$2,Data!EU:EU),0)</f>
        <v>229438</v>
      </c>
      <c r="F89" s="22">
        <f t="shared" si="5"/>
        <v>3.301076197053407</v>
      </c>
    </row>
    <row r="90" spans="1:6" x14ac:dyDescent="0.2">
      <c r="A90" s="20">
        <v>24</v>
      </c>
      <c r="B90" s="202" t="s">
        <v>21</v>
      </c>
      <c r="C90" s="203"/>
      <c r="D90" s="15">
        <f t="shared" si="4"/>
        <v>43293</v>
      </c>
      <c r="E90" s="18">
        <f>IF(F3="1",SUMIF(Data!A:A,'47'!$A$2,Data!EV:EV),0)</f>
        <v>180418</v>
      </c>
      <c r="F90" s="22">
        <f t="shared" si="5"/>
        <v>4.1673711685491881</v>
      </c>
    </row>
    <row r="91" spans="1:6" x14ac:dyDescent="0.2">
      <c r="A91" s="20">
        <v>25</v>
      </c>
      <c r="B91" s="202" t="s">
        <v>22</v>
      </c>
      <c r="C91" s="203"/>
      <c r="D91" s="15">
        <f t="shared" si="4"/>
        <v>327360</v>
      </c>
      <c r="E91" s="18">
        <f>IF(F3="1",SUMIF(Data!A:A,'47'!$A$2,Data!EW:EW),0)</f>
        <v>811489</v>
      </c>
      <c r="F91" s="22">
        <f t="shared" si="5"/>
        <v>2.4788886852394918</v>
      </c>
    </row>
    <row r="92" spans="1:6" x14ac:dyDescent="0.2">
      <c r="A92" s="20">
        <v>26</v>
      </c>
      <c r="B92" s="202" t="s">
        <v>23</v>
      </c>
      <c r="C92" s="203"/>
      <c r="D92" s="15">
        <f t="shared" si="4"/>
        <v>58384</v>
      </c>
      <c r="E92" s="18">
        <f>IF(F3="1",SUMIF(Data!A:A,'47'!$A$2,Data!EX:EX),0)</f>
        <v>316701</v>
      </c>
      <c r="F92" s="22">
        <f t="shared" si="5"/>
        <v>5.4244484790353518</v>
      </c>
    </row>
    <row r="93" spans="1:6" x14ac:dyDescent="0.2">
      <c r="A93" s="20">
        <v>28</v>
      </c>
      <c r="B93" s="202" t="s">
        <v>24</v>
      </c>
      <c r="C93" s="203"/>
      <c r="D93" s="15">
        <f t="shared" si="4"/>
        <v>84528</v>
      </c>
      <c r="E93" s="18">
        <f>IF(F3="1",SUMIF(Data!A:A,'47'!$A$2,Data!EZ:EZ),0)</f>
        <v>247989</v>
      </c>
      <c r="F93" s="22">
        <f t="shared" si="5"/>
        <v>2.9338089153889837</v>
      </c>
    </row>
    <row r="94" spans="1:6" ht="15.75" customHeight="1" thickBot="1" x14ac:dyDescent="0.25">
      <c r="A94" s="23">
        <v>29</v>
      </c>
      <c r="B94" s="206" t="s">
        <v>25</v>
      </c>
      <c r="C94" s="207"/>
      <c r="D94" s="24">
        <f t="shared" si="4"/>
        <v>50400</v>
      </c>
      <c r="E94" s="25">
        <f>IF(F3="1",SUMIF(Data!A:A,'47'!$A$2,Data!FA:FA),0)</f>
        <v>148389</v>
      </c>
      <c r="F94" s="26">
        <f t="shared" si="5"/>
        <v>2.9442261904761904</v>
      </c>
    </row>
    <row r="95" spans="1:6" x14ac:dyDescent="0.2">
      <c r="B95" s="31" t="s">
        <v>35</v>
      </c>
      <c r="C95" s="31"/>
      <c r="D95" s="60">
        <f>SUM(D67:D94)</f>
        <v>1939567</v>
      </c>
      <c r="E95" s="32">
        <f>SUM(E67:E94)</f>
        <v>7102784</v>
      </c>
      <c r="F95" s="33">
        <f t="shared" si="5"/>
        <v>3.6620462195943735</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IF(F3="1",SUMIF(Data!A:A,'47'!$A$2,Data!AH:AH),0)</f>
        <v>4341509</v>
      </c>
      <c r="F98" s="21">
        <f t="shared" ref="F98:F105" si="6">IFERROR(E98/$D$95,0)</f>
        <v>2.2383908367176799</v>
      </c>
    </row>
    <row r="99" spans="2:6" x14ac:dyDescent="0.2">
      <c r="B99" s="212" t="s">
        <v>31</v>
      </c>
      <c r="C99" s="213"/>
      <c r="D99" s="37"/>
      <c r="E99" s="18">
        <f>IF(F3="1",SUMIF(Data!A:A,'47'!$A$2,Data!AI:AI),0)</f>
        <v>1583885</v>
      </c>
      <c r="F99" s="22">
        <f t="shared" si="6"/>
        <v>0.81661783274308131</v>
      </c>
    </row>
    <row r="100" spans="2:6" x14ac:dyDescent="0.2">
      <c r="B100" s="212" t="s">
        <v>32</v>
      </c>
      <c r="C100" s="213"/>
      <c r="D100" s="37"/>
      <c r="E100" s="18">
        <f>IF(F3="1",SUMIF(Data!A:A,'47'!$A$2,Data!AJ:AJ),0)</f>
        <v>2088532</v>
      </c>
      <c r="F100" s="22">
        <f t="shared" si="6"/>
        <v>1.0768032246372514</v>
      </c>
    </row>
    <row r="101" spans="2:6" x14ac:dyDescent="0.2">
      <c r="B101" s="212" t="s">
        <v>28</v>
      </c>
      <c r="C101" s="213"/>
      <c r="D101" s="37"/>
      <c r="E101" s="18">
        <f>IF(F3="1",SUMIF(Data!A:A,'47'!$A$2,Data!AK:AK),0)</f>
        <v>0</v>
      </c>
      <c r="F101" s="22">
        <f t="shared" si="6"/>
        <v>0</v>
      </c>
    </row>
    <row r="102" spans="2:6" x14ac:dyDescent="0.2">
      <c r="B102" s="212" t="s">
        <v>33</v>
      </c>
      <c r="C102" s="213"/>
      <c r="D102" s="37"/>
      <c r="E102" s="18">
        <f>IF(F3="1",SUMIF(Data!A:A,'47'!$A$2,Data!AL:AL),0)</f>
        <v>477202</v>
      </c>
      <c r="F102" s="22">
        <f t="shared" si="6"/>
        <v>0.24603532644141707</v>
      </c>
    </row>
    <row r="103" spans="2:6" x14ac:dyDescent="0.2">
      <c r="B103" s="214" t="s">
        <v>34</v>
      </c>
      <c r="C103" s="215"/>
      <c r="D103" s="37"/>
      <c r="E103" s="18">
        <f>IF(F3="1",SUMIF(Data!A:A,'47'!$A$2,Data!AM:AM),0)</f>
        <v>705864</v>
      </c>
      <c r="F103" s="22">
        <f t="shared" si="6"/>
        <v>0.36392865005436781</v>
      </c>
    </row>
    <row r="104" spans="2:6" ht="15.75" customHeight="1" thickBot="1" x14ac:dyDescent="0.25">
      <c r="B104" s="208" t="s">
        <v>29</v>
      </c>
      <c r="C104" s="209"/>
      <c r="D104" s="38"/>
      <c r="E104" s="25">
        <f>IF(F3="1",SUMIF(Data!A:A,'47'!$A$2,Data!Q:Q),0)</f>
        <v>1096135</v>
      </c>
      <c r="F104" s="26">
        <f t="shared" si="6"/>
        <v>0.56514417908739423</v>
      </c>
    </row>
    <row r="105" spans="2:6" x14ac:dyDescent="0.2">
      <c r="B105" s="31" t="s">
        <v>35</v>
      </c>
      <c r="C105" s="31"/>
      <c r="D105" s="35">
        <f>D95</f>
        <v>1939567</v>
      </c>
      <c r="E105" s="32">
        <f>SUM(E98:E104)</f>
        <v>10293127</v>
      </c>
      <c r="F105" s="33">
        <f t="shared" si="6"/>
        <v>5.3069200496811915</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7623974</v>
      </c>
      <c r="D109" s="192">
        <f>IF(F3="1",SUMIF(Data!$A:$A,$A$2,Data!HJ:HJ),0)</f>
        <v>1258744</v>
      </c>
      <c r="E109" s="192">
        <f>IF(F3="1",SUMIF(Data!$A:$A,$A$2,Data!IN:IN),0)</f>
        <v>1087237</v>
      </c>
      <c r="F109" s="48">
        <f>SUM(C109:E109)</f>
        <v>9969955</v>
      </c>
    </row>
    <row r="110" spans="2:6" x14ac:dyDescent="0.2">
      <c r="B110" s="43" t="s">
        <v>28</v>
      </c>
      <c r="C110" s="193">
        <f>IF(F3="1",SUMIF(Data!A:A,$A$2,Data!W:W),0)</f>
        <v>0</v>
      </c>
      <c r="D110" s="51"/>
      <c r="E110" s="193">
        <f>IF(F3="1",SUMIF(Data!A:A,$A$2,Data!AD:AD),0)</f>
        <v>0</v>
      </c>
      <c r="F110" s="49">
        <f t="shared" ref="F110:F116" si="7">SUM(C110:E110)</f>
        <v>0</v>
      </c>
    </row>
    <row r="111" spans="2:6" x14ac:dyDescent="0.2">
      <c r="B111" s="43" t="s">
        <v>915</v>
      </c>
      <c r="C111" s="193">
        <f>IF(F3="1",SUMIF(Data!A:A,$A$2,Data!AS:AS),0)</f>
        <v>33004</v>
      </c>
      <c r="D111" s="51"/>
      <c r="E111" s="193">
        <f>IF(F3="1",SUMIF(Data!A:A,$A$2,Data!AX:AX)-SUMIF(Data!A:A,$A$2,Data!AW:AW),0)</f>
        <v>402674</v>
      </c>
      <c r="F111" s="49">
        <f t="shared" si="7"/>
        <v>435678</v>
      </c>
    </row>
    <row r="112" spans="2:6" x14ac:dyDescent="0.2">
      <c r="B112" s="43" t="s">
        <v>32</v>
      </c>
      <c r="C112" s="193">
        <f>IF(F3="1",SUMIF(Data!A:A,$A$2,Data!V:V),0)</f>
        <v>1496720</v>
      </c>
      <c r="D112" s="52"/>
      <c r="E112" s="193">
        <f>IF(F3="1",SUMIF(Data!A:A,$A$2,Data!AC:AC),0)</f>
        <v>591812</v>
      </c>
      <c r="F112" s="49">
        <f t="shared" si="7"/>
        <v>2088532</v>
      </c>
    </row>
    <row r="113" spans="1:6" x14ac:dyDescent="0.2">
      <c r="B113" s="43" t="s">
        <v>31</v>
      </c>
      <c r="C113" s="193">
        <f>IF(F3="1",SUMIF(Data!A:A,$A$2,Data!U:U),0)</f>
        <v>1262186</v>
      </c>
      <c r="D113" s="52"/>
      <c r="E113" s="193">
        <f>IF(F3="1",SUMIF(Data!A:A,$A$2,Data!AB:AB),0)</f>
        <v>321699</v>
      </c>
      <c r="F113" s="49">
        <f t="shared" si="7"/>
        <v>1583885</v>
      </c>
    </row>
    <row r="114" spans="1:6" x14ac:dyDescent="0.2">
      <c r="B114" s="43" t="s">
        <v>1002</v>
      </c>
      <c r="C114" s="193">
        <f>IF(F3="1",SUMIF(Data!A:A,$A$2,Data!T:T),0)</f>
        <v>2333534</v>
      </c>
      <c r="D114" s="52"/>
      <c r="E114" s="193">
        <f>IF(F3="1",SUMIF(Data!A:A,$A$2,Data!AA:AA),0)</f>
        <v>2007975</v>
      </c>
      <c r="F114" s="49">
        <f t="shared" si="7"/>
        <v>4341509</v>
      </c>
    </row>
    <row r="115" spans="1:6" x14ac:dyDescent="0.2">
      <c r="B115" s="43" t="s">
        <v>916</v>
      </c>
      <c r="C115" s="193">
        <f>IF(F3="1",SUMIF(Data!A:A,$A$2,Data!BI:BI),0)</f>
        <v>948962</v>
      </c>
      <c r="D115" s="193">
        <f>IF(F3="1",SUMIF(Data!A:A,$A$2,Data!BL:BL),0)</f>
        <v>371540</v>
      </c>
      <c r="E115" s="193">
        <f>IF(F3="1",SUMIF(Data!A:A,$A$2,Data!BU:BU)-SUMIF(Data!A:A,$A$2,Data!BT:BT),0)</f>
        <v>2614046</v>
      </c>
      <c r="F115" s="49">
        <f t="shared" si="7"/>
        <v>3934548</v>
      </c>
    </row>
    <row r="116" spans="1:6" x14ac:dyDescent="0.2">
      <c r="B116" s="43" t="s">
        <v>33</v>
      </c>
      <c r="C116" s="193">
        <f>IF(F3="1",SUMIF(Data!A:A,$A$2,Data!X:X),0)</f>
        <v>162168</v>
      </c>
      <c r="D116" s="51"/>
      <c r="E116" s="193">
        <f>E102-C116</f>
        <v>315034</v>
      </c>
      <c r="F116" s="49">
        <f t="shared" si="7"/>
        <v>477202</v>
      </c>
    </row>
    <row r="117" spans="1:6" ht="15" thickBot="1" x14ac:dyDescent="0.25">
      <c r="B117" s="44" t="s">
        <v>920</v>
      </c>
      <c r="C117" s="53"/>
      <c r="D117" s="53">
        <f>IF(F3="1",SUMIF(Data!A:A,$A$2,Data!Q:Q),0)</f>
        <v>1096135</v>
      </c>
      <c r="E117" s="53"/>
      <c r="F117" s="50">
        <f>SUM(C117:E117)</f>
        <v>1096135</v>
      </c>
    </row>
    <row r="118" spans="1:6" x14ac:dyDescent="0.2">
      <c r="B118" s="14" t="s">
        <v>35</v>
      </c>
      <c r="C118" s="178">
        <f>SUM(C109:C117)</f>
        <v>13860548</v>
      </c>
      <c r="D118" s="194">
        <f>SUM(D109:D117)</f>
        <v>2726419</v>
      </c>
      <c r="E118" s="178">
        <f>SUM(E109:E117)</f>
        <v>7340477</v>
      </c>
      <c r="F118" s="178">
        <f>SUM(F109:F117)</f>
        <v>23927444</v>
      </c>
    </row>
    <row r="119" spans="1:6" x14ac:dyDescent="0.2">
      <c r="C119" s="177"/>
      <c r="D119" s="177"/>
      <c r="E119" s="177"/>
    </row>
    <row r="120" spans="1:6" ht="15" thickBot="1" x14ac:dyDescent="0.25">
      <c r="B120" s="188" t="s">
        <v>921</v>
      </c>
      <c r="C120" s="53"/>
      <c r="D120" s="53"/>
      <c r="E120" s="195">
        <f>IF(F3="1",SUMIF(Data!A:A,$A$2,Data!AF:AF)+SUMIF(Data!A:A,$A$2,Data!AW:AW)+SUMIF(Data!A:A,$A$2,Data!BT:BT),0)</f>
        <v>715578</v>
      </c>
      <c r="F120" s="181">
        <f>SUM(C120:E120)</f>
        <v>715578</v>
      </c>
    </row>
    <row r="121" spans="1:6" s="177" customFormat="1" x14ac:dyDescent="0.2">
      <c r="B121" s="14" t="s">
        <v>35</v>
      </c>
      <c r="C121" s="178">
        <f>SUM(C120:C120)</f>
        <v>0</v>
      </c>
      <c r="D121" s="178">
        <f>SUM(D120:D120)</f>
        <v>0</v>
      </c>
      <c r="E121" s="178">
        <f>SUM(E120:E120)</f>
        <v>715578</v>
      </c>
      <c r="F121" s="178">
        <f>SUM(F120:F120)</f>
        <v>715578</v>
      </c>
    </row>
    <row r="122" spans="1:6" s="177" customFormat="1" ht="15" thickBot="1" x14ac:dyDescent="0.25">
      <c r="B122" s="14" t="s">
        <v>1396</v>
      </c>
      <c r="C122" s="178"/>
      <c r="D122" s="178"/>
      <c r="E122" s="178"/>
      <c r="F122" s="190">
        <f>F118+F121</f>
        <v>24643022</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408</v>
      </c>
      <c r="B2" s="59" t="str">
        <f>VLOOKUP(A2,Data!A:G,7,0)</f>
        <v>Weatherford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31072</v>
      </c>
      <c r="E5" s="16">
        <f>E36+E67+IFERROR($E$105/$D$105*D5,0)</f>
        <v>350685.46049001405</v>
      </c>
      <c r="F5" s="21">
        <f>IFERROR(E5/D5,"")</f>
        <v>11.286221050785725</v>
      </c>
    </row>
    <row r="6" spans="1:6" x14ac:dyDescent="0.2">
      <c r="A6" s="20">
        <v>2</v>
      </c>
      <c r="B6" s="202" t="s">
        <v>1</v>
      </c>
      <c r="C6" s="203"/>
      <c r="D6" s="15">
        <f t="shared" ref="D6:D32" si="0">D37</f>
        <v>22592</v>
      </c>
      <c r="E6" s="18">
        <f t="shared" ref="E6:E32" si="1">E37+E68+IFERROR($E$105/$D$105*D6,0)</f>
        <v>259546.56447574656</v>
      </c>
      <c r="F6" s="22">
        <f t="shared" ref="F6:F33" si="2">IFERROR(E6/D6,"")</f>
        <v>11.488427960151672</v>
      </c>
    </row>
    <row r="7" spans="1:6" ht="14.25" customHeight="1" x14ac:dyDescent="0.2">
      <c r="A7" s="20">
        <v>3</v>
      </c>
      <c r="B7" s="202" t="s">
        <v>2</v>
      </c>
      <c r="C7" s="203"/>
      <c r="D7" s="15">
        <f t="shared" si="0"/>
        <v>280032</v>
      </c>
      <c r="E7" s="18">
        <f t="shared" si="1"/>
        <v>2259596.9925315273</v>
      </c>
      <c r="F7" s="22">
        <f t="shared" si="2"/>
        <v>8.0690670799463184</v>
      </c>
    </row>
    <row r="8" spans="1:6" ht="14.25" customHeight="1" x14ac:dyDescent="0.2">
      <c r="A8" s="20">
        <v>4</v>
      </c>
      <c r="B8" s="202" t="s">
        <v>3</v>
      </c>
      <c r="C8" s="203"/>
      <c r="D8" s="15">
        <f t="shared" si="0"/>
        <v>194786</v>
      </c>
      <c r="E8" s="18">
        <f t="shared" si="1"/>
        <v>1605280.2244145172</v>
      </c>
      <c r="F8" s="22">
        <f t="shared" si="2"/>
        <v>8.2412505232127415</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16416</v>
      </c>
      <c r="E10" s="18">
        <f t="shared" si="1"/>
        <v>169514.75718988385</v>
      </c>
      <c r="F10" s="22">
        <f t="shared" si="2"/>
        <v>10.326191349286297</v>
      </c>
    </row>
    <row r="11" spans="1:6" x14ac:dyDescent="0.2">
      <c r="A11" s="20">
        <v>7</v>
      </c>
      <c r="B11" s="202" t="s">
        <v>6</v>
      </c>
      <c r="C11" s="203"/>
      <c r="D11" s="15">
        <f t="shared" si="0"/>
        <v>27830</v>
      </c>
      <c r="E11" s="18">
        <f t="shared" si="1"/>
        <v>221944.91463172925</v>
      </c>
      <c r="F11" s="22">
        <f t="shared" si="2"/>
        <v>7.9750238818443853</v>
      </c>
    </row>
    <row r="12" spans="1:6" x14ac:dyDescent="0.2">
      <c r="A12" s="20">
        <v>8</v>
      </c>
      <c r="B12" s="202" t="s">
        <v>7</v>
      </c>
      <c r="C12" s="203"/>
      <c r="D12" s="15">
        <f t="shared" si="0"/>
        <v>1872</v>
      </c>
      <c r="E12" s="18">
        <f t="shared" si="1"/>
        <v>22781.884591828857</v>
      </c>
      <c r="F12" s="22">
        <f t="shared" si="2"/>
        <v>12.169810145207723</v>
      </c>
    </row>
    <row r="13" spans="1:6" x14ac:dyDescent="0.2">
      <c r="A13" s="20">
        <v>9</v>
      </c>
      <c r="B13" s="202" t="s">
        <v>8</v>
      </c>
      <c r="C13" s="203"/>
      <c r="D13" s="15">
        <f t="shared" si="0"/>
        <v>84711</v>
      </c>
      <c r="E13" s="18">
        <f t="shared" si="1"/>
        <v>945764.05003120424</v>
      </c>
      <c r="F13" s="22">
        <f t="shared" si="2"/>
        <v>11.164595507445364</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3704</v>
      </c>
      <c r="E15" s="18">
        <f t="shared" si="1"/>
        <v>50396.472504345133</v>
      </c>
      <c r="F15" s="22">
        <f t="shared" si="2"/>
        <v>13.605959099445231</v>
      </c>
    </row>
    <row r="16" spans="1:6" ht="14.25" customHeight="1" x14ac:dyDescent="0.2">
      <c r="A16" s="20">
        <v>12</v>
      </c>
      <c r="B16" s="202" t="s">
        <v>11</v>
      </c>
      <c r="C16" s="203"/>
      <c r="D16" s="15">
        <f t="shared" si="0"/>
        <v>276144</v>
      </c>
      <c r="E16" s="18">
        <f t="shared" si="1"/>
        <v>2486539.1553023439</v>
      </c>
      <c r="F16" s="22">
        <f t="shared" si="2"/>
        <v>9.0045018370934873</v>
      </c>
    </row>
    <row r="17" spans="1:6" x14ac:dyDescent="0.2">
      <c r="A17" s="20">
        <v>13</v>
      </c>
      <c r="B17" s="202" t="s">
        <v>12</v>
      </c>
      <c r="C17" s="203"/>
      <c r="D17" s="15">
        <f t="shared" si="0"/>
        <v>14736</v>
      </c>
      <c r="E17" s="18">
        <f t="shared" si="1"/>
        <v>135057.29665875537</v>
      </c>
      <c r="F17" s="22">
        <f t="shared" si="2"/>
        <v>9.1651259947580996</v>
      </c>
    </row>
    <row r="18" spans="1:6" ht="14.25" customHeight="1" x14ac:dyDescent="0.2">
      <c r="A18" s="20">
        <v>14</v>
      </c>
      <c r="B18" s="202" t="s">
        <v>449</v>
      </c>
      <c r="C18" s="203"/>
      <c r="D18" s="15">
        <f t="shared" si="0"/>
        <v>137806</v>
      </c>
      <c r="E18" s="18">
        <f t="shared" si="1"/>
        <v>2064972.6047337435</v>
      </c>
      <c r="F18" s="22">
        <f t="shared" si="2"/>
        <v>14.98463495590717</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211729</v>
      </c>
      <c r="E20" s="18">
        <f t="shared" si="1"/>
        <v>2053747.6403543442</v>
      </c>
      <c r="F20" s="22">
        <f t="shared" si="2"/>
        <v>9.6998882550540753</v>
      </c>
    </row>
    <row r="21" spans="1:6" x14ac:dyDescent="0.2">
      <c r="A21" s="20">
        <v>17</v>
      </c>
      <c r="B21" s="202" t="s">
        <v>15</v>
      </c>
      <c r="C21" s="203"/>
      <c r="D21" s="15">
        <f t="shared" si="0"/>
        <v>50592</v>
      </c>
      <c r="E21" s="18">
        <f t="shared" si="1"/>
        <v>583301.23999455431</v>
      </c>
      <c r="F21" s="22">
        <f t="shared" si="2"/>
        <v>11.529515338285783</v>
      </c>
    </row>
    <row r="22" spans="1:6" x14ac:dyDescent="0.2">
      <c r="A22" s="20">
        <v>18</v>
      </c>
      <c r="B22" s="202" t="s">
        <v>16</v>
      </c>
      <c r="C22" s="203"/>
      <c r="D22" s="15">
        <f t="shared" si="0"/>
        <v>102230</v>
      </c>
      <c r="E22" s="18">
        <f t="shared" si="1"/>
        <v>1138903.7381531326</v>
      </c>
      <c r="F22" s="22">
        <f t="shared" si="2"/>
        <v>11.140601957870807</v>
      </c>
    </row>
    <row r="23" spans="1:6" x14ac:dyDescent="0.2">
      <c r="A23" s="20">
        <v>19</v>
      </c>
      <c r="B23" s="202" t="s">
        <v>17</v>
      </c>
      <c r="C23" s="203"/>
      <c r="D23" s="15">
        <f t="shared" si="0"/>
        <v>98496</v>
      </c>
      <c r="E23" s="18">
        <f t="shared" si="1"/>
        <v>1118720.5431393031</v>
      </c>
      <c r="F23" s="22">
        <f t="shared" si="2"/>
        <v>11.358030205686557</v>
      </c>
    </row>
    <row r="24" spans="1:6" x14ac:dyDescent="0.2">
      <c r="A24" s="20">
        <v>20</v>
      </c>
      <c r="B24" s="202" t="s">
        <v>18</v>
      </c>
      <c r="C24" s="203"/>
      <c r="D24" s="15">
        <f t="shared" si="0"/>
        <v>14240</v>
      </c>
      <c r="E24" s="18">
        <f t="shared" si="1"/>
        <v>162078.61783527935</v>
      </c>
      <c r="F24" s="22">
        <f t="shared" si="2"/>
        <v>11.381925409780854</v>
      </c>
    </row>
    <row r="25" spans="1:6" ht="14.25" customHeight="1" x14ac:dyDescent="0.2">
      <c r="A25" s="20">
        <v>21</v>
      </c>
      <c r="B25" s="202" t="s">
        <v>446</v>
      </c>
      <c r="C25" s="203"/>
      <c r="D25" s="15">
        <f t="shared" si="0"/>
        <v>33880</v>
      </c>
      <c r="E25" s="18">
        <f t="shared" si="1"/>
        <v>631359.28737775737</v>
      </c>
      <c r="F25" s="22">
        <f t="shared" si="2"/>
        <v>18.635161965104999</v>
      </c>
    </row>
    <row r="26" spans="1:6" x14ac:dyDescent="0.2">
      <c r="A26" s="20">
        <v>22</v>
      </c>
      <c r="B26" s="202" t="s">
        <v>19</v>
      </c>
      <c r="C26" s="203"/>
      <c r="D26" s="15">
        <f t="shared" si="0"/>
        <v>3648</v>
      </c>
      <c r="E26" s="18">
        <f t="shared" si="1"/>
        <v>30078.05715330752</v>
      </c>
      <c r="F26" s="22">
        <f t="shared" si="2"/>
        <v>8.245081456498772</v>
      </c>
    </row>
    <row r="27" spans="1:6" x14ac:dyDescent="0.2">
      <c r="A27" s="20">
        <v>23</v>
      </c>
      <c r="B27" s="202" t="s">
        <v>20</v>
      </c>
      <c r="C27" s="203"/>
      <c r="D27" s="15">
        <f t="shared" si="0"/>
        <v>107312</v>
      </c>
      <c r="E27" s="18">
        <f t="shared" si="1"/>
        <v>782638.93125979626</v>
      </c>
      <c r="F27" s="22">
        <f t="shared" si="2"/>
        <v>7.2931166249794641</v>
      </c>
    </row>
    <row r="28" spans="1:6" x14ac:dyDescent="0.2">
      <c r="A28" s="20">
        <v>24</v>
      </c>
      <c r="B28" s="202" t="s">
        <v>21</v>
      </c>
      <c r="C28" s="203"/>
      <c r="D28" s="15">
        <f t="shared" si="0"/>
        <v>110927</v>
      </c>
      <c r="E28" s="18">
        <f t="shared" si="1"/>
        <v>1036022.4936526709</v>
      </c>
      <c r="F28" s="22">
        <f t="shared" si="2"/>
        <v>9.3396782898002364</v>
      </c>
    </row>
    <row r="29" spans="1:6" x14ac:dyDescent="0.2">
      <c r="A29" s="20">
        <v>25</v>
      </c>
      <c r="B29" s="202" t="s">
        <v>22</v>
      </c>
      <c r="C29" s="203"/>
      <c r="D29" s="15">
        <f t="shared" si="0"/>
        <v>448688</v>
      </c>
      <c r="E29" s="18">
        <f t="shared" si="1"/>
        <v>3456309.9111850997</v>
      </c>
      <c r="F29" s="22">
        <f t="shared" si="2"/>
        <v>7.703147646438282</v>
      </c>
    </row>
    <row r="30" spans="1:6" x14ac:dyDescent="0.2">
      <c r="A30" s="20">
        <v>26</v>
      </c>
      <c r="B30" s="202" t="s">
        <v>23</v>
      </c>
      <c r="C30" s="203"/>
      <c r="D30" s="15">
        <f t="shared" si="0"/>
        <v>108960</v>
      </c>
      <c r="E30" s="18">
        <f t="shared" si="1"/>
        <v>1176337.1544474745</v>
      </c>
      <c r="F30" s="22">
        <f t="shared" si="2"/>
        <v>10.796045837440111</v>
      </c>
    </row>
    <row r="31" spans="1:6" x14ac:dyDescent="0.2">
      <c r="A31" s="20">
        <v>28</v>
      </c>
      <c r="B31" s="202" t="s">
        <v>24</v>
      </c>
      <c r="C31" s="203"/>
      <c r="D31" s="15">
        <f t="shared" si="0"/>
        <v>162304</v>
      </c>
      <c r="E31" s="18">
        <f t="shared" si="1"/>
        <v>1266135.8059787345</v>
      </c>
      <c r="F31" s="22">
        <f t="shared" si="2"/>
        <v>7.8010141831300182</v>
      </c>
    </row>
    <row r="32" spans="1:6" ht="15.75" customHeight="1" thickBot="1" x14ac:dyDescent="0.25">
      <c r="A32" s="23">
        <v>29</v>
      </c>
      <c r="B32" s="206" t="s">
        <v>25</v>
      </c>
      <c r="C32" s="207"/>
      <c r="D32" s="24">
        <f t="shared" si="0"/>
        <v>33464</v>
      </c>
      <c r="E32" s="25">
        <f t="shared" si="1"/>
        <v>367757.20191290649</v>
      </c>
      <c r="F32" s="26">
        <f t="shared" si="2"/>
        <v>10.989636681595341</v>
      </c>
    </row>
    <row r="33" spans="1:6" x14ac:dyDescent="0.2">
      <c r="B33" s="31" t="s">
        <v>35</v>
      </c>
      <c r="C33" s="31"/>
      <c r="D33" s="60">
        <f>SUM(D5:D32)</f>
        <v>2578171</v>
      </c>
      <c r="E33" s="32">
        <f>SUM(E5:E32)</f>
        <v>24375471</v>
      </c>
      <c r="F33" s="33">
        <f t="shared" si="2"/>
        <v>9.454559453193756</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IF(F3="1",SUMIF(Data!A:A,'48'!$A$2,Data!CU:CU),0)</f>
        <v>31072</v>
      </c>
      <c r="E36" s="16">
        <f>IF(F3="1",SUMIF(Data!$A:$A,'48'!$A$2,Data!IO:IO),0)</f>
        <v>105192</v>
      </c>
      <c r="F36" s="21">
        <f t="shared" ref="F36:F64" si="3">IFERROR(E36/D36,"")</f>
        <v>3.385427394438723</v>
      </c>
    </row>
    <row r="37" spans="1:6" x14ac:dyDescent="0.2">
      <c r="A37" s="20">
        <v>2</v>
      </c>
      <c r="B37" s="202" t="s">
        <v>1</v>
      </c>
      <c r="C37" s="203"/>
      <c r="D37" s="15">
        <f>IF(F3="1",SUMIF(Data!A:A,'48'!$A$2,Data!CV:CV),0)</f>
        <v>22592</v>
      </c>
      <c r="E37" s="18">
        <f>IF(F3="1",SUMIF(Data!$A:$A,'48'!$A$2,Data!IP:IP),0)</f>
        <v>126752</v>
      </c>
      <c r="F37" s="22">
        <f t="shared" si="3"/>
        <v>5.6104815864022664</v>
      </c>
    </row>
    <row r="38" spans="1:6" ht="14.25" customHeight="1" x14ac:dyDescent="0.2">
      <c r="A38" s="20">
        <v>3</v>
      </c>
      <c r="B38" s="202" t="s">
        <v>2</v>
      </c>
      <c r="C38" s="203"/>
      <c r="D38" s="15">
        <f>IF(F3="1",SUMIF(Data!A:A,'48'!$A$2,Data!CW:CW),0)</f>
        <v>280032</v>
      </c>
      <c r="E38" s="18">
        <f>IF(F3="1",SUMIF(Data!$A:$A,'48'!$A$2,Data!IQ:IQ),0)</f>
        <v>363194</v>
      </c>
      <c r="F38" s="22">
        <f t="shared" si="3"/>
        <v>1.2969732030625072</v>
      </c>
    </row>
    <row r="39" spans="1:6" ht="14.25" customHeight="1" x14ac:dyDescent="0.2">
      <c r="A39" s="20">
        <v>4</v>
      </c>
      <c r="B39" s="202" t="s">
        <v>3</v>
      </c>
      <c r="C39" s="203"/>
      <c r="D39" s="15">
        <f>IF(F3="1",SUMIF(Data!A:A,'48'!$A$2,Data!CX:CX),0)</f>
        <v>194786</v>
      </c>
      <c r="E39" s="18">
        <f>IF(F3="1",SUMIF(Data!$A:$A,'48'!$A$2,Data!IR:IR),0)</f>
        <v>158428</v>
      </c>
      <c r="F39" s="22">
        <f t="shared" si="3"/>
        <v>0.8133438748164652</v>
      </c>
    </row>
    <row r="40" spans="1:6" x14ac:dyDescent="0.2">
      <c r="A40" s="20">
        <v>5</v>
      </c>
      <c r="B40" s="202" t="s">
        <v>4</v>
      </c>
      <c r="C40" s="203"/>
      <c r="D40" s="15">
        <f>IF(F3="1",SUMIF(Data!A:A,'48'!$A$2,Data!CY:CY),0)</f>
        <v>0</v>
      </c>
      <c r="E40" s="18">
        <f>IF(F3="1",SUMIF(Data!$A:$A,'48'!$A$2,Data!IS:IS),0)</f>
        <v>0</v>
      </c>
      <c r="F40" s="22" t="str">
        <f t="shared" si="3"/>
        <v/>
      </c>
    </row>
    <row r="41" spans="1:6" x14ac:dyDescent="0.2">
      <c r="A41" s="20">
        <v>6</v>
      </c>
      <c r="B41" s="202" t="s">
        <v>5</v>
      </c>
      <c r="C41" s="203"/>
      <c r="D41" s="15">
        <f>IF(F3="1",SUMIF(Data!A:A,'48'!$A$2,Data!CZ:CZ),0)</f>
        <v>16416</v>
      </c>
      <c r="E41" s="18">
        <f>IF(F3="1",SUMIF(Data!$A:$A,'48'!$A$2,Data!IT:IT),0)</f>
        <v>29642</v>
      </c>
      <c r="F41" s="22">
        <f t="shared" si="3"/>
        <v>1.80567738791423</v>
      </c>
    </row>
    <row r="42" spans="1:6" x14ac:dyDescent="0.2">
      <c r="A42" s="20">
        <v>7</v>
      </c>
      <c r="B42" s="202" t="s">
        <v>6</v>
      </c>
      <c r="C42" s="203"/>
      <c r="D42" s="15">
        <f>IF(F3="1",SUMIF(Data!A:A,'48'!$A$2,Data!DA:DA),0)</f>
        <v>27830</v>
      </c>
      <c r="E42" s="18">
        <f>IF(F3="1",SUMIF(Data!$A:$A,'48'!$A$2,Data!IU:IU),0)</f>
        <v>34566</v>
      </c>
      <c r="F42" s="22">
        <f t="shared" si="3"/>
        <v>1.2420409629895797</v>
      </c>
    </row>
    <row r="43" spans="1:6" x14ac:dyDescent="0.2">
      <c r="A43" s="20">
        <v>8</v>
      </c>
      <c r="B43" s="202" t="s">
        <v>7</v>
      </c>
      <c r="C43" s="203"/>
      <c r="D43" s="15">
        <f>IF(F3="1",SUMIF(Data!A:A,'48'!$A$2,Data!DB:DB),0)</f>
        <v>1872</v>
      </c>
      <c r="E43" s="18">
        <f>IF(F3="1",SUMIF(Data!$A:$A,'48'!$A$2,Data!IV:IV),0)</f>
        <v>11397</v>
      </c>
      <c r="F43" s="22">
        <f t="shared" si="3"/>
        <v>6.0881410256410255</v>
      </c>
    </row>
    <row r="44" spans="1:6" x14ac:dyDescent="0.2">
      <c r="A44" s="20">
        <v>9</v>
      </c>
      <c r="B44" s="202" t="s">
        <v>8</v>
      </c>
      <c r="C44" s="203"/>
      <c r="D44" s="15">
        <f>IF(F3="1",SUMIF(Data!A:A,'48'!$A$2,Data!DC:DC),0)</f>
        <v>84711</v>
      </c>
      <c r="E44" s="18">
        <f>IF(F3="1",SUMIF(Data!$A:$A,'48'!$A$2,Data!IW:IW),0)</f>
        <v>312629</v>
      </c>
      <c r="F44" s="22">
        <f t="shared" si="3"/>
        <v>3.690536057890947</v>
      </c>
    </row>
    <row r="45" spans="1:6" x14ac:dyDescent="0.2">
      <c r="A45" s="20">
        <v>10</v>
      </c>
      <c r="B45" s="202" t="s">
        <v>9</v>
      </c>
      <c r="C45" s="203"/>
      <c r="D45" s="15">
        <f>IF(F3="1",SUMIF(Data!A:A,'48'!$A$2,Data!DD:DD),0)</f>
        <v>0</v>
      </c>
      <c r="E45" s="18">
        <f>IF(F3="1",SUMIF(Data!$A:$A,'48'!$A$2,Data!IX:IX),0)</f>
        <v>0</v>
      </c>
      <c r="F45" s="22" t="str">
        <f t="shared" si="3"/>
        <v/>
      </c>
    </row>
    <row r="46" spans="1:6" x14ac:dyDescent="0.2">
      <c r="A46" s="20">
        <v>11</v>
      </c>
      <c r="B46" s="202" t="s">
        <v>10</v>
      </c>
      <c r="C46" s="203"/>
      <c r="D46" s="15">
        <f>IF(F3="1",SUMIF(Data!A:A,'48'!$A$2,Data!DE:DE),0)</f>
        <v>3704</v>
      </c>
      <c r="E46" s="18">
        <f>IF(F3="1",SUMIF(Data!$A:$A,'48'!$A$2,Data!IY:IY),0)</f>
        <v>26642</v>
      </c>
      <c r="F46" s="22">
        <f t="shared" si="3"/>
        <v>7.1927645788336934</v>
      </c>
    </row>
    <row r="47" spans="1:6" ht="14.25" customHeight="1" x14ac:dyDescent="0.2">
      <c r="A47" s="20">
        <v>12</v>
      </c>
      <c r="B47" s="202" t="s">
        <v>11</v>
      </c>
      <c r="C47" s="203"/>
      <c r="D47" s="15">
        <f>IF(F3="1",SUMIF(Data!A:A,'48'!$A$2,Data!DF:DF),0)</f>
        <v>276144</v>
      </c>
      <c r="E47" s="18">
        <f>IF(F3="1",SUMIF(Data!$A:$A,'48'!$A$2,Data!IZ:IZ),0)</f>
        <v>313932</v>
      </c>
      <c r="F47" s="22">
        <f t="shared" si="3"/>
        <v>1.1368416478359118</v>
      </c>
    </row>
    <row r="48" spans="1:6" x14ac:dyDescent="0.2">
      <c r="A48" s="20">
        <v>13</v>
      </c>
      <c r="B48" s="202" t="s">
        <v>12</v>
      </c>
      <c r="C48" s="203"/>
      <c r="D48" s="15">
        <f>IF(F3="1",SUMIF(Data!A:A,'48'!$A$2,Data!DG:DG),0)</f>
        <v>14736</v>
      </c>
      <c r="E48" s="18">
        <f>IF(F3="1",SUMIF(Data!$A:$A,'48'!$A$2,Data!JA:JA),0)</f>
        <v>18114</v>
      </c>
      <c r="F48" s="22">
        <f t="shared" si="3"/>
        <v>1.2292345276872965</v>
      </c>
    </row>
    <row r="49" spans="1:6" ht="14.25" customHeight="1" x14ac:dyDescent="0.2">
      <c r="A49" s="20">
        <v>14</v>
      </c>
      <c r="B49" s="202" t="s">
        <v>449</v>
      </c>
      <c r="C49" s="203"/>
      <c r="D49" s="15">
        <f>IF(F3="1",SUMIF(Data!A:A,'48'!$A$2,Data!DH:DH),0)</f>
        <v>137806</v>
      </c>
      <c r="E49" s="18">
        <f>IF(F3="1",SUMIF(Data!$A:$A,'48'!$A$2,Data!JB:JB),0)</f>
        <v>599748</v>
      </c>
      <c r="F49" s="22">
        <f t="shared" si="3"/>
        <v>4.3521181951438983</v>
      </c>
    </row>
    <row r="50" spans="1:6" x14ac:dyDescent="0.2">
      <c r="A50" s="20">
        <v>15</v>
      </c>
      <c r="B50" s="202" t="s">
        <v>13</v>
      </c>
      <c r="C50" s="203"/>
      <c r="D50" s="15">
        <f>IF(F3="1",SUMIF(Data!A:A,'48'!$A$2,Data!DI:DI),0)</f>
        <v>0</v>
      </c>
      <c r="E50" s="18">
        <f>IF(F3="1",SUMIF(Data!$A:$A,'48'!$A$2,Data!JC:JC),0)</f>
        <v>0</v>
      </c>
      <c r="F50" s="22" t="str">
        <f t="shared" si="3"/>
        <v/>
      </c>
    </row>
    <row r="51" spans="1:6" x14ac:dyDescent="0.2">
      <c r="A51" s="20">
        <v>16</v>
      </c>
      <c r="B51" s="202" t="s">
        <v>14</v>
      </c>
      <c r="C51" s="203"/>
      <c r="D51" s="15">
        <f>IF(F3="1",SUMIF(Data!A:A,'48'!$A$2,Data!DJ:DJ),0)</f>
        <v>211729</v>
      </c>
      <c r="E51" s="18">
        <f>IF(F3="1",SUMIF(Data!$A:$A,'48'!$A$2,Data!JD:JD),0)</f>
        <v>337683</v>
      </c>
      <c r="F51" s="22">
        <f t="shared" si="3"/>
        <v>1.5948830816751602</v>
      </c>
    </row>
    <row r="52" spans="1:6" x14ac:dyDescent="0.2">
      <c r="A52" s="20">
        <v>17</v>
      </c>
      <c r="B52" s="202" t="s">
        <v>15</v>
      </c>
      <c r="C52" s="203"/>
      <c r="D52" s="15">
        <f>IF(F3="1",SUMIF(Data!A:A,'48'!$A$2,Data!DK:DK),0)</f>
        <v>50592</v>
      </c>
      <c r="E52" s="18">
        <f>IF(F3="1",SUMIF(Data!$A:$A,'48'!$A$2,Data!JE:JE),0)</f>
        <v>57932</v>
      </c>
      <c r="F52" s="22">
        <f t="shared" si="3"/>
        <v>1.1450822264389626</v>
      </c>
    </row>
    <row r="53" spans="1:6" x14ac:dyDescent="0.2">
      <c r="A53" s="20">
        <v>18</v>
      </c>
      <c r="B53" s="202" t="s">
        <v>16</v>
      </c>
      <c r="C53" s="203"/>
      <c r="D53" s="15">
        <f>IF(F3="1",SUMIF(Data!A:A,'48'!$A$2,Data!DL:DL),0)</f>
        <v>102230</v>
      </c>
      <c r="E53" s="18">
        <f>IF(F3="1",SUMIF(Data!$A:$A,'48'!$A$2,Data!JF:JF),0)</f>
        <v>140017</v>
      </c>
      <c r="F53" s="22">
        <f t="shared" si="3"/>
        <v>1.36962731096547</v>
      </c>
    </row>
    <row r="54" spans="1:6" x14ac:dyDescent="0.2">
      <c r="A54" s="20">
        <v>19</v>
      </c>
      <c r="B54" s="202" t="s">
        <v>17</v>
      </c>
      <c r="C54" s="203"/>
      <c r="D54" s="15">
        <f>IF(F3="1",SUMIF(Data!A:A,'48'!$A$2,Data!DM:DM),0)</f>
        <v>98496</v>
      </c>
      <c r="E54" s="18">
        <f>IF(F3="1",SUMIF(Data!$A:$A,'48'!$A$2,Data!JG:JG),0)</f>
        <v>275017</v>
      </c>
      <c r="F54" s="22">
        <f t="shared" si="3"/>
        <v>2.7921641487979207</v>
      </c>
    </row>
    <row r="55" spans="1:6" x14ac:dyDescent="0.2">
      <c r="A55" s="20">
        <v>20</v>
      </c>
      <c r="B55" s="202" t="s">
        <v>18</v>
      </c>
      <c r="C55" s="203"/>
      <c r="D55" s="15">
        <f>IF(F3="1",SUMIF(Data!A:A,'48'!$A$2,Data!DN:DN),0)</f>
        <v>14240</v>
      </c>
      <c r="E55" s="18">
        <f>IF(F3="1",SUMIF(Data!$A:$A,'48'!$A$2,Data!JH:JH),0)</f>
        <v>79119</v>
      </c>
      <c r="F55" s="22">
        <f t="shared" si="3"/>
        <v>5.5561095505617981</v>
      </c>
    </row>
    <row r="56" spans="1:6" ht="14.25" customHeight="1" x14ac:dyDescent="0.2">
      <c r="A56" s="20">
        <v>21</v>
      </c>
      <c r="B56" s="202" t="s">
        <v>446</v>
      </c>
      <c r="C56" s="203"/>
      <c r="D56" s="15">
        <f>IF(F3="1",SUMIF(Data!A:A,'48'!$A$2,Data!DO:DO),0)</f>
        <v>33880</v>
      </c>
      <c r="E56" s="18">
        <f>IF(F3="1",SUMIF(Data!$A:$A,'48'!$A$2,Data!JI:JI),0)</f>
        <v>189705</v>
      </c>
      <c r="F56" s="22">
        <f t="shared" si="3"/>
        <v>5.5993211334120421</v>
      </c>
    </row>
    <row r="57" spans="1:6" x14ac:dyDescent="0.2">
      <c r="A57" s="20">
        <v>22</v>
      </c>
      <c r="B57" s="202" t="s">
        <v>19</v>
      </c>
      <c r="C57" s="203"/>
      <c r="D57" s="15">
        <f>IF(F3="1",SUMIF(Data!A:A,'48'!$A$2,Data!DP:DP),0)</f>
        <v>3648</v>
      </c>
      <c r="E57" s="18">
        <f>IF(F3="1",SUMIF(Data!$A:$A,'48'!$A$2,Data!JJ:JJ),0)</f>
        <v>5115</v>
      </c>
      <c r="F57" s="22">
        <f t="shared" si="3"/>
        <v>1.4021381578947369</v>
      </c>
    </row>
    <row r="58" spans="1:6" x14ac:dyDescent="0.2">
      <c r="A58" s="20">
        <v>23</v>
      </c>
      <c r="B58" s="202" t="s">
        <v>20</v>
      </c>
      <c r="C58" s="203"/>
      <c r="D58" s="15">
        <f>IF(F3="1",SUMIF(Data!A:A,'48'!$A$2,Data!DQ:DQ),0)</f>
        <v>107312</v>
      </c>
      <c r="E58" s="18">
        <f>IF(F3="1",SUMIF(Data!$A:$A,'48'!$A$2,Data!JK:JK),0)</f>
        <v>69214</v>
      </c>
      <c r="F58" s="22">
        <f t="shared" si="3"/>
        <v>0.64497912628596987</v>
      </c>
    </row>
    <row r="59" spans="1:6" x14ac:dyDescent="0.2">
      <c r="A59" s="20">
        <v>24</v>
      </c>
      <c r="B59" s="202" t="s">
        <v>21</v>
      </c>
      <c r="C59" s="203"/>
      <c r="D59" s="15">
        <f>IF(F3="1",SUMIF(Data!A:A,'48'!$A$2,Data!DR:DR),0)</f>
        <v>110927</v>
      </c>
      <c r="E59" s="18">
        <f>IF(F3="1",SUMIF(Data!$A:$A,'48'!$A$2,Data!JL:JL),0)</f>
        <v>129555</v>
      </c>
      <c r="F59" s="22">
        <f t="shared" si="3"/>
        <v>1.1679302604415516</v>
      </c>
    </row>
    <row r="60" spans="1:6" x14ac:dyDescent="0.2">
      <c r="A60" s="20">
        <v>25</v>
      </c>
      <c r="B60" s="202" t="s">
        <v>22</v>
      </c>
      <c r="C60" s="203"/>
      <c r="D60" s="15">
        <f>IF(F3="1",SUMIF(Data!A:A,'48'!$A$2,Data!DS:DS),0)</f>
        <v>448688</v>
      </c>
      <c r="E60" s="18">
        <f>IF(F3="1",SUMIF(Data!$A:$A,'48'!$A$2,Data!JM:JM),0)</f>
        <v>279537</v>
      </c>
      <c r="F60" s="22">
        <f t="shared" si="3"/>
        <v>0.62300975287950644</v>
      </c>
    </row>
    <row r="61" spans="1:6" x14ac:dyDescent="0.2">
      <c r="A61" s="20">
        <v>26</v>
      </c>
      <c r="B61" s="202" t="s">
        <v>23</v>
      </c>
      <c r="C61" s="203"/>
      <c r="D61" s="15">
        <f>IF(F3="1",SUMIF(Data!A:A,'48'!$A$2,Data!DT:DT),0)</f>
        <v>108960</v>
      </c>
      <c r="E61" s="18">
        <f>IF(F3="1",SUMIF(Data!$A:$A,'48'!$A$2,Data!JN:JN),0)</f>
        <v>300798</v>
      </c>
      <c r="F61" s="22">
        <f t="shared" si="3"/>
        <v>2.7606277533039649</v>
      </c>
    </row>
    <row r="62" spans="1:6" x14ac:dyDescent="0.2">
      <c r="A62" s="20">
        <v>28</v>
      </c>
      <c r="B62" s="202" t="s">
        <v>24</v>
      </c>
      <c r="C62" s="203"/>
      <c r="D62" s="15">
        <f>IF(F3="1",SUMIF(Data!A:A,'48'!$A$2,Data!DV:DV),0)</f>
        <v>162304</v>
      </c>
      <c r="E62" s="18">
        <f>IF(F3="1",SUMIF(Data!$A:$A,'48'!$A$2,Data!JP:JP),0)</f>
        <v>116185</v>
      </c>
      <c r="F62" s="22">
        <f t="shared" si="3"/>
        <v>0.71584803824921139</v>
      </c>
    </row>
    <row r="63" spans="1:6" ht="15.75" customHeight="1" thickBot="1" x14ac:dyDescent="0.25">
      <c r="A63" s="23">
        <v>29</v>
      </c>
      <c r="B63" s="206" t="s">
        <v>25</v>
      </c>
      <c r="C63" s="207"/>
      <c r="D63" s="24">
        <f>IF(F3="1",SUMIF(Data!A:A,'48'!$A$2,Data!DW:DW),0)</f>
        <v>33464</v>
      </c>
      <c r="E63" s="25">
        <f>IF(F3="1",SUMIF(Data!$A:$A,'48'!$A$2,Data!JQ:JQ),0)</f>
        <v>138786</v>
      </c>
      <c r="F63" s="26">
        <f t="shared" si="3"/>
        <v>4.1473224958163994</v>
      </c>
    </row>
    <row r="64" spans="1:6" x14ac:dyDescent="0.2">
      <c r="B64" s="31" t="s">
        <v>35</v>
      </c>
      <c r="C64" s="31"/>
      <c r="D64" s="60">
        <f>SUM(D36:D63)</f>
        <v>2578171</v>
      </c>
      <c r="E64" s="32">
        <f>SUM(E36:E63)</f>
        <v>4218899</v>
      </c>
      <c r="F64" s="33">
        <f t="shared" si="3"/>
        <v>1.6363922330985803</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31072</v>
      </c>
      <c r="E67" s="16">
        <f>IF(F3="1",SUMIF(Data!A:A,'48'!$A$2,Data!DY:DY),0)</f>
        <v>113207</v>
      </c>
      <c r="F67" s="21">
        <f>IFERROR(E67/D67,"")</f>
        <v>3.6433766735324409</v>
      </c>
    </row>
    <row r="68" spans="1:6" x14ac:dyDescent="0.2">
      <c r="A68" s="20">
        <v>2</v>
      </c>
      <c r="B68" s="202" t="s">
        <v>1</v>
      </c>
      <c r="C68" s="203"/>
      <c r="D68" s="15">
        <f t="shared" ref="D68:D94" si="4">D37</f>
        <v>22592</v>
      </c>
      <c r="E68" s="18">
        <f>IF(F3="1",SUMIF(Data!A:A,'48'!$A$2,Data!DZ:DZ),0)</f>
        <v>36611</v>
      </c>
      <c r="F68" s="22">
        <f t="shared" ref="F68:F95" si="5">IFERROR(E68/D68,"")</f>
        <v>1.6205293909348442</v>
      </c>
    </row>
    <row r="69" spans="1:6" ht="14.25" customHeight="1" x14ac:dyDescent="0.2">
      <c r="A69" s="20">
        <v>3</v>
      </c>
      <c r="B69" s="202" t="s">
        <v>2</v>
      </c>
      <c r="C69" s="203"/>
      <c r="D69" s="15">
        <f t="shared" si="4"/>
        <v>280032</v>
      </c>
      <c r="E69" s="18">
        <f>IF(F3="1",SUMIF(Data!A:A,'48'!$A$2,Data!EA:EA),0)</f>
        <v>704190</v>
      </c>
      <c r="F69" s="22">
        <f t="shared" si="5"/>
        <v>2.5146768940692494</v>
      </c>
    </row>
    <row r="70" spans="1:6" ht="14.25" customHeight="1" x14ac:dyDescent="0.2">
      <c r="A70" s="20">
        <v>4</v>
      </c>
      <c r="B70" s="202" t="s">
        <v>3</v>
      </c>
      <c r="C70" s="203"/>
      <c r="D70" s="15">
        <f t="shared" si="4"/>
        <v>194786</v>
      </c>
      <c r="E70" s="18">
        <f>IF(F3="1",SUMIF(Data!A:A,'48'!$A$2,Data!EB:EB),0)</f>
        <v>617567</v>
      </c>
      <c r="F70" s="22">
        <f t="shared" si="5"/>
        <v>3.1704896655817154</v>
      </c>
    </row>
    <row r="71" spans="1:6" x14ac:dyDescent="0.2">
      <c r="A71" s="20">
        <v>5</v>
      </c>
      <c r="B71" s="202" t="s">
        <v>4</v>
      </c>
      <c r="C71" s="203"/>
      <c r="D71" s="15">
        <f t="shared" si="4"/>
        <v>0</v>
      </c>
      <c r="E71" s="18">
        <f>IF(F3="1",SUMIF(Data!A:A,'48'!$A$2,Data!EC:EC),0)</f>
        <v>0</v>
      </c>
      <c r="F71" s="22" t="str">
        <f t="shared" si="5"/>
        <v/>
      </c>
    </row>
    <row r="72" spans="1:6" x14ac:dyDescent="0.2">
      <c r="A72" s="20">
        <v>6</v>
      </c>
      <c r="B72" s="202" t="s">
        <v>5</v>
      </c>
      <c r="C72" s="203"/>
      <c r="D72" s="15">
        <f t="shared" si="4"/>
        <v>16416</v>
      </c>
      <c r="E72" s="18">
        <f>IF(F3="1",SUMIF(Data!A:A,'48'!$A$2,Data!ED:ED),0)</f>
        <v>69983</v>
      </c>
      <c r="F72" s="22">
        <f t="shared" si="5"/>
        <v>4.2630969785575052</v>
      </c>
    </row>
    <row r="73" spans="1:6" x14ac:dyDescent="0.2">
      <c r="A73" s="20">
        <v>7</v>
      </c>
      <c r="B73" s="202" t="s">
        <v>6</v>
      </c>
      <c r="C73" s="203"/>
      <c r="D73" s="15">
        <f t="shared" si="4"/>
        <v>27830</v>
      </c>
      <c r="E73" s="18">
        <f>IF(F3="1",SUMIF(Data!A:A,'48'!$A$2,Data!EE:EE),0)</f>
        <v>68895</v>
      </c>
      <c r="F73" s="22">
        <f t="shared" si="5"/>
        <v>2.4755659360402444</v>
      </c>
    </row>
    <row r="74" spans="1:6" x14ac:dyDescent="0.2">
      <c r="A74" s="20">
        <v>8</v>
      </c>
      <c r="B74" s="202" t="s">
        <v>7</v>
      </c>
      <c r="C74" s="203"/>
      <c r="D74" s="15">
        <f t="shared" si="4"/>
        <v>1872</v>
      </c>
      <c r="E74" s="18">
        <f>IF(F3="1",SUMIF(Data!A:A,'48'!$A$2,Data!EF:EF),0)</f>
        <v>3415</v>
      </c>
      <c r="F74" s="22">
        <f t="shared" si="5"/>
        <v>1.8242521367521367</v>
      </c>
    </row>
    <row r="75" spans="1:6" x14ac:dyDescent="0.2">
      <c r="A75" s="20">
        <v>9</v>
      </c>
      <c r="B75" s="202" t="s">
        <v>8</v>
      </c>
      <c r="C75" s="203"/>
      <c r="D75" s="15">
        <f t="shared" si="4"/>
        <v>84711</v>
      </c>
      <c r="E75" s="18">
        <f>IF(F3="1",SUMIF(Data!A:A,'48'!$A$2,Data!EG:EG),0)</f>
        <v>272485</v>
      </c>
      <c r="F75" s="22">
        <f t="shared" si="5"/>
        <v>3.2166424667398568</v>
      </c>
    </row>
    <row r="76" spans="1:6" x14ac:dyDescent="0.2">
      <c r="A76" s="20">
        <v>10</v>
      </c>
      <c r="B76" s="202" t="s">
        <v>9</v>
      </c>
      <c r="C76" s="203"/>
      <c r="D76" s="15">
        <f t="shared" si="4"/>
        <v>0</v>
      </c>
      <c r="E76" s="18">
        <f>IF(F3="1",SUMIF(Data!A:A,'48'!$A$2,Data!EH:EH),0)</f>
        <v>0</v>
      </c>
      <c r="F76" s="22" t="str">
        <f t="shared" si="5"/>
        <v/>
      </c>
    </row>
    <row r="77" spans="1:6" x14ac:dyDescent="0.2">
      <c r="A77" s="20">
        <v>11</v>
      </c>
      <c r="B77" s="202" t="s">
        <v>10</v>
      </c>
      <c r="C77" s="203"/>
      <c r="D77" s="15">
        <f t="shared" si="4"/>
        <v>3704</v>
      </c>
      <c r="E77" s="18">
        <f>IF(F3="1",SUMIF(Data!A:A,'48'!$A$2,Data!EI:EI),0)</f>
        <v>7985</v>
      </c>
      <c r="F77" s="22">
        <f t="shared" si="5"/>
        <v>2.1557775377969763</v>
      </c>
    </row>
    <row r="78" spans="1:6" ht="14.25" customHeight="1" x14ac:dyDescent="0.2">
      <c r="A78" s="20">
        <v>12</v>
      </c>
      <c r="B78" s="202" t="s">
        <v>11</v>
      </c>
      <c r="C78" s="203"/>
      <c r="D78" s="15">
        <f t="shared" si="4"/>
        <v>276144</v>
      </c>
      <c r="E78" s="18">
        <f>IF(F3="1",SUMIF(Data!A:A,'48'!$A$2,Data!EJ:EJ),0)</f>
        <v>996947</v>
      </c>
      <c r="F78" s="22">
        <f t="shared" si="5"/>
        <v>3.6102432064430152</v>
      </c>
    </row>
    <row r="79" spans="1:6" x14ac:dyDescent="0.2">
      <c r="A79" s="20">
        <v>13</v>
      </c>
      <c r="B79" s="202" t="s">
        <v>12</v>
      </c>
      <c r="C79" s="203"/>
      <c r="D79" s="15">
        <f t="shared" si="4"/>
        <v>14736</v>
      </c>
      <c r="E79" s="18">
        <f>IF(F3="1",SUMIF(Data!A:A,'48'!$A$2,Data!EK:EK),0)</f>
        <v>54206</v>
      </c>
      <c r="F79" s="22">
        <f t="shared" si="5"/>
        <v>3.6784744842562431</v>
      </c>
    </row>
    <row r="80" spans="1:6" ht="14.25" customHeight="1" x14ac:dyDescent="0.2">
      <c r="A80" s="20">
        <v>14</v>
      </c>
      <c r="B80" s="202" t="s">
        <v>449</v>
      </c>
      <c r="C80" s="203"/>
      <c r="D80" s="15">
        <f t="shared" si="4"/>
        <v>137806</v>
      </c>
      <c r="E80" s="18">
        <f>IF(F3="1",SUMIF(Data!A:A,'48'!$A$2,Data!EL:EL),0)</f>
        <v>878527</v>
      </c>
      <c r="F80" s="22">
        <f t="shared" si="5"/>
        <v>6.3750997779487104</v>
      </c>
    </row>
    <row r="81" spans="1:6" x14ac:dyDescent="0.2">
      <c r="A81" s="20">
        <v>15</v>
      </c>
      <c r="B81" s="202" t="s">
        <v>13</v>
      </c>
      <c r="C81" s="203"/>
      <c r="D81" s="15">
        <f t="shared" si="4"/>
        <v>0</v>
      </c>
      <c r="E81" s="18">
        <f>IF(F3="1",SUMIF(Data!A:A,'48'!$A$2,Data!EM:EM),0)</f>
        <v>0</v>
      </c>
      <c r="F81" s="22" t="str">
        <f t="shared" si="5"/>
        <v/>
      </c>
    </row>
    <row r="82" spans="1:6" x14ac:dyDescent="0.2">
      <c r="A82" s="20">
        <v>16</v>
      </c>
      <c r="B82" s="202" t="s">
        <v>14</v>
      </c>
      <c r="C82" s="203"/>
      <c r="D82" s="15">
        <f t="shared" si="4"/>
        <v>211729</v>
      </c>
      <c r="E82" s="18">
        <f>IF(F3="1",SUMIF(Data!A:A,'48'!$A$2,Data!EN:EN),0)</f>
        <v>814646</v>
      </c>
      <c r="F82" s="22">
        <f t="shared" si="5"/>
        <v>3.8475881905643536</v>
      </c>
    </row>
    <row r="83" spans="1:6" x14ac:dyDescent="0.2">
      <c r="A83" s="20">
        <v>17</v>
      </c>
      <c r="B83" s="202" t="s">
        <v>15</v>
      </c>
      <c r="C83" s="203"/>
      <c r="D83" s="15">
        <f t="shared" si="4"/>
        <v>50592</v>
      </c>
      <c r="E83" s="18">
        <f>IF(F3="1",SUMIF(Data!A:A,'48'!$A$2,Data!EO:EO),0)</f>
        <v>309978</v>
      </c>
      <c r="F83" s="22">
        <f t="shared" si="5"/>
        <v>6.127016129032258</v>
      </c>
    </row>
    <row r="84" spans="1:6" x14ac:dyDescent="0.2">
      <c r="A84" s="20">
        <v>18</v>
      </c>
      <c r="B84" s="202" t="s">
        <v>16</v>
      </c>
      <c r="C84" s="203"/>
      <c r="D84" s="15">
        <f t="shared" si="4"/>
        <v>102230</v>
      </c>
      <c r="E84" s="18">
        <f>IF(F3="1",SUMIF(Data!A:A,'48'!$A$2,Data!EP:EP),0)</f>
        <v>563651</v>
      </c>
      <c r="F84" s="22">
        <f t="shared" si="5"/>
        <v>5.5135576640907757</v>
      </c>
    </row>
    <row r="85" spans="1:6" x14ac:dyDescent="0.2">
      <c r="A85" s="20">
        <v>19</v>
      </c>
      <c r="B85" s="202" t="s">
        <v>17</v>
      </c>
      <c r="C85" s="203"/>
      <c r="D85" s="15">
        <f t="shared" si="4"/>
        <v>98496</v>
      </c>
      <c r="E85" s="18">
        <f>IF(F3="1",SUMIF(Data!A:A,'48'!$A$2,Data!EQ:EQ),0)</f>
        <v>424365</v>
      </c>
      <c r="F85" s="22">
        <f t="shared" si="5"/>
        <v>4.3084490740740744</v>
      </c>
    </row>
    <row r="86" spans="1:6" x14ac:dyDescent="0.2">
      <c r="A86" s="20">
        <v>20</v>
      </c>
      <c r="B86" s="202" t="s">
        <v>18</v>
      </c>
      <c r="C86" s="203"/>
      <c r="D86" s="15">
        <f t="shared" si="4"/>
        <v>14240</v>
      </c>
      <c r="E86" s="18">
        <f>IF(F3="1",SUMIF(Data!A:A,'48'!$A$2,Data!ER:ER),0)</f>
        <v>22334</v>
      </c>
      <c r="F86" s="22">
        <f t="shared" si="5"/>
        <v>1.5683988764044945</v>
      </c>
    </row>
    <row r="87" spans="1:6" ht="14.25" customHeight="1" x14ac:dyDescent="0.2">
      <c r="A87" s="20">
        <v>21</v>
      </c>
      <c r="B87" s="202" t="s">
        <v>446</v>
      </c>
      <c r="C87" s="203"/>
      <c r="D87" s="15">
        <f t="shared" si="4"/>
        <v>33880</v>
      </c>
      <c r="E87" s="18">
        <f>IF(F3="1",SUMIF(Data!A:A,'48'!$A$2,Data!ES:ES),0)</f>
        <v>297413</v>
      </c>
      <c r="F87" s="22">
        <f t="shared" si="5"/>
        <v>8.7784238488783952</v>
      </c>
    </row>
    <row r="88" spans="1:6" x14ac:dyDescent="0.2">
      <c r="A88" s="20">
        <v>22</v>
      </c>
      <c r="B88" s="202" t="s">
        <v>19</v>
      </c>
      <c r="C88" s="203"/>
      <c r="D88" s="15">
        <f t="shared" si="4"/>
        <v>3648</v>
      </c>
      <c r="E88" s="18">
        <f>IF(F3="1",SUMIF(Data!A:A,'48'!$A$2,Data!ET:ET),0)</f>
        <v>9432</v>
      </c>
      <c r="F88" s="22">
        <f t="shared" si="5"/>
        <v>2.5855263157894739</v>
      </c>
    </row>
    <row r="89" spans="1:6" x14ac:dyDescent="0.2">
      <c r="A89" s="20">
        <v>23</v>
      </c>
      <c r="B89" s="202" t="s">
        <v>20</v>
      </c>
      <c r="C89" s="203"/>
      <c r="D89" s="15">
        <f t="shared" si="4"/>
        <v>107312</v>
      </c>
      <c r="E89" s="18">
        <f>IF(F3="1",SUMIF(Data!A:A,'48'!$A$2,Data!EU:EU),0)</f>
        <v>256553</v>
      </c>
      <c r="F89" s="22">
        <f t="shared" si="5"/>
        <v>2.3907205158789324</v>
      </c>
    </row>
    <row r="90" spans="1:6" x14ac:dyDescent="0.2">
      <c r="A90" s="20">
        <v>24</v>
      </c>
      <c r="B90" s="202" t="s">
        <v>21</v>
      </c>
      <c r="C90" s="203"/>
      <c r="D90" s="15">
        <f t="shared" si="4"/>
        <v>110927</v>
      </c>
      <c r="E90" s="18">
        <f>IF(F3="1",SUMIF(Data!A:A,'48'!$A$2,Data!EV:EV),0)</f>
        <v>434205</v>
      </c>
      <c r="F90" s="22">
        <f t="shared" si="5"/>
        <v>3.9143310465441234</v>
      </c>
    </row>
    <row r="91" spans="1:6" x14ac:dyDescent="0.2">
      <c r="A91" s="20">
        <v>25</v>
      </c>
      <c r="B91" s="202" t="s">
        <v>22</v>
      </c>
      <c r="C91" s="203"/>
      <c r="D91" s="15">
        <f t="shared" si="4"/>
        <v>448688</v>
      </c>
      <c r="E91" s="18">
        <f>IF(F3="1",SUMIF(Data!A:A,'48'!$A$2,Data!EW:EW),0)</f>
        <v>1266521</v>
      </c>
      <c r="F91" s="22">
        <f t="shared" si="5"/>
        <v>2.8227209107442142</v>
      </c>
    </row>
    <row r="92" spans="1:6" x14ac:dyDescent="0.2">
      <c r="A92" s="20">
        <v>26</v>
      </c>
      <c r="B92" s="202" t="s">
        <v>23</v>
      </c>
      <c r="C92" s="203"/>
      <c r="D92" s="15">
        <f t="shared" si="4"/>
        <v>108960</v>
      </c>
      <c r="E92" s="18">
        <f>IF(F3="1",SUMIF(Data!A:A,'48'!$A$2,Data!EX:EX),0)</f>
        <v>411651</v>
      </c>
      <c r="F92" s="22">
        <f t="shared" si="5"/>
        <v>3.778001101321586</v>
      </c>
    </row>
    <row r="93" spans="1:6" x14ac:dyDescent="0.2">
      <c r="A93" s="20">
        <v>28</v>
      </c>
      <c r="B93" s="202" t="s">
        <v>24</v>
      </c>
      <c r="C93" s="203"/>
      <c r="D93" s="15">
        <f t="shared" si="4"/>
        <v>162304</v>
      </c>
      <c r="E93" s="18">
        <f>IF(F3="1",SUMIF(Data!A:A,'48'!$A$2,Data!EZ:EZ),0)</f>
        <v>458955</v>
      </c>
      <c r="F93" s="22">
        <f t="shared" si="5"/>
        <v>2.827749162066246</v>
      </c>
    </row>
    <row r="94" spans="1:6" ht="15.75" customHeight="1" thickBot="1" x14ac:dyDescent="0.25">
      <c r="A94" s="23">
        <v>29</v>
      </c>
      <c r="B94" s="206" t="s">
        <v>25</v>
      </c>
      <c r="C94" s="207"/>
      <c r="D94" s="24">
        <f t="shared" si="4"/>
        <v>33464</v>
      </c>
      <c r="E94" s="25">
        <f>IF(F3="1",SUMIF(Data!A:A,'48'!$A$2,Data!FA:FA),0)</f>
        <v>86501</v>
      </c>
      <c r="F94" s="26">
        <f t="shared" si="5"/>
        <v>2.5848972029643797</v>
      </c>
    </row>
    <row r="95" spans="1:6" x14ac:dyDescent="0.2">
      <c r="B95" s="31" t="s">
        <v>35</v>
      </c>
      <c r="C95" s="31"/>
      <c r="D95" s="60">
        <f>SUM(D67:D94)</f>
        <v>2578171</v>
      </c>
      <c r="E95" s="32">
        <f>SUM(E67:E94)</f>
        <v>9180223</v>
      </c>
      <c r="F95" s="33">
        <f t="shared" si="5"/>
        <v>3.5607502372806148</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IF(F3="1",SUMIF(Data!A:A,'48'!$A$2,Data!AH:AH),0)</f>
        <v>6170608</v>
      </c>
      <c r="F98" s="21">
        <f t="shared" ref="F98:F105" si="6">IFERROR(E98/$D$95,0)</f>
        <v>2.393405247363344</v>
      </c>
    </row>
    <row r="99" spans="2:6" x14ac:dyDescent="0.2">
      <c r="B99" s="212" t="s">
        <v>31</v>
      </c>
      <c r="C99" s="213"/>
      <c r="D99" s="37"/>
      <c r="E99" s="18">
        <f>IF(F3="1",SUMIF(Data!A:A,'48'!$A$2,Data!AI:AI),0)</f>
        <v>1835553</v>
      </c>
      <c r="F99" s="22">
        <f t="shared" si="6"/>
        <v>0.71195936964615614</v>
      </c>
    </row>
    <row r="100" spans="2:6" x14ac:dyDescent="0.2">
      <c r="B100" s="212" t="s">
        <v>32</v>
      </c>
      <c r="C100" s="213"/>
      <c r="D100" s="37"/>
      <c r="E100" s="18">
        <f>IF(F3="1",SUMIF(Data!A:A,'48'!$A$2,Data!AJ:AJ),0)</f>
        <v>1605548</v>
      </c>
      <c r="F100" s="22">
        <f t="shared" si="6"/>
        <v>0.62274690080681228</v>
      </c>
    </row>
    <row r="101" spans="2:6" x14ac:dyDescent="0.2">
      <c r="B101" s="212" t="s">
        <v>28</v>
      </c>
      <c r="C101" s="213"/>
      <c r="D101" s="37"/>
      <c r="E101" s="18">
        <f>IF(F3="1",SUMIF(Data!A:A,'48'!$A$2,Data!AK:AK),0)</f>
        <v>0</v>
      </c>
      <c r="F101" s="22">
        <f t="shared" si="6"/>
        <v>0</v>
      </c>
    </row>
    <row r="102" spans="2:6" x14ac:dyDescent="0.2">
      <c r="B102" s="212" t="s">
        <v>33</v>
      </c>
      <c r="C102" s="213"/>
      <c r="D102" s="37"/>
      <c r="E102" s="18">
        <f>IF(F3="1",SUMIF(Data!A:A,'48'!$A$2,Data!AL:AL),0)</f>
        <v>0</v>
      </c>
      <c r="F102" s="22">
        <f t="shared" si="6"/>
        <v>0</v>
      </c>
    </row>
    <row r="103" spans="2:6" x14ac:dyDescent="0.2">
      <c r="B103" s="214" t="s">
        <v>34</v>
      </c>
      <c r="C103" s="215"/>
      <c r="D103" s="37"/>
      <c r="E103" s="18">
        <f>IF(F3="1",SUMIF(Data!A:A,'48'!$A$2,Data!AM:AM),0)</f>
        <v>590721</v>
      </c>
      <c r="F103" s="22">
        <f t="shared" si="6"/>
        <v>0.22912405732591051</v>
      </c>
    </row>
    <row r="104" spans="2:6" ht="15.75" customHeight="1" thickBot="1" x14ac:dyDescent="0.25">
      <c r="B104" s="208" t="s">
        <v>29</v>
      </c>
      <c r="C104" s="209"/>
      <c r="D104" s="38"/>
      <c r="E104" s="25">
        <f>IF(F3="1",SUMIF(Data!A:A,'48'!$A$2,Data!Q:Q),0)</f>
        <v>773919</v>
      </c>
      <c r="F104" s="26">
        <f t="shared" si="6"/>
        <v>0.30018140767233825</v>
      </c>
    </row>
    <row r="105" spans="2:6" x14ac:dyDescent="0.2">
      <c r="B105" s="31" t="s">
        <v>35</v>
      </c>
      <c r="C105" s="31"/>
      <c r="D105" s="35">
        <f>D95</f>
        <v>2578171</v>
      </c>
      <c r="E105" s="32">
        <f>SUM(E98:E104)</f>
        <v>10976349</v>
      </c>
      <c r="F105" s="33">
        <f t="shared" si="6"/>
        <v>4.2574169828145614</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10399396</v>
      </c>
      <c r="D109" s="192">
        <f>IF(F3="1",SUMIF(Data!$A:$A,$A$2,Data!HJ:HJ),0)</f>
        <v>1111958</v>
      </c>
      <c r="E109" s="192">
        <f>IF(F3="1",SUMIF(Data!$A:$A,$A$2,Data!IN:IN),0)</f>
        <v>1887767</v>
      </c>
      <c r="F109" s="48">
        <f>SUM(C109:E109)</f>
        <v>13399121</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11609</v>
      </c>
      <c r="D111" s="52"/>
      <c r="E111" s="193">
        <f>IF(F3="1",SUMIF(Data!A:A,$A$2,Data!AX:AX)-SUMIF(Data!A:A,$A$2,Data!AW:AW),0)</f>
        <v>25231</v>
      </c>
      <c r="F111" s="49">
        <f t="shared" si="7"/>
        <v>36840</v>
      </c>
    </row>
    <row r="112" spans="2:6" x14ac:dyDescent="0.2">
      <c r="B112" s="43" t="s">
        <v>32</v>
      </c>
      <c r="C112" s="193">
        <f>IF(F3="1",SUMIF(Data!A:A,$A$2,Data!V:V),0)</f>
        <v>1192020</v>
      </c>
      <c r="D112" s="52"/>
      <c r="E112" s="193">
        <f>IF(F3="1",SUMIF(Data!A:A,$A$2,Data!AC:AC),0)</f>
        <v>413528</v>
      </c>
      <c r="F112" s="49">
        <f t="shared" si="7"/>
        <v>1605548</v>
      </c>
    </row>
    <row r="113" spans="1:6" x14ac:dyDescent="0.2">
      <c r="B113" s="43" t="s">
        <v>31</v>
      </c>
      <c r="C113" s="193">
        <f>IF(F3="1",SUMIF(Data!A:A,$A$2,Data!U:U),0)</f>
        <v>1597862</v>
      </c>
      <c r="D113" s="52"/>
      <c r="E113" s="193">
        <f>IF(F3="1",SUMIF(Data!A:A,$A$2,Data!AB:AB),0)</f>
        <v>237691</v>
      </c>
      <c r="F113" s="49">
        <f t="shared" si="7"/>
        <v>1835553</v>
      </c>
    </row>
    <row r="114" spans="1:6" x14ac:dyDescent="0.2">
      <c r="B114" s="43" t="s">
        <v>1002</v>
      </c>
      <c r="C114" s="193">
        <f>IF(F3="1",SUMIF(Data!A:A,$A$2,Data!T:T),0)</f>
        <v>3549714</v>
      </c>
      <c r="D114" s="52"/>
      <c r="E114" s="193">
        <f>IF(F3="1",SUMIF(Data!A:A,$A$2,Data!AA:AA),0)</f>
        <v>2620894</v>
      </c>
      <c r="F114" s="49">
        <f t="shared" si="7"/>
        <v>6170608</v>
      </c>
    </row>
    <row r="115" spans="1:6" x14ac:dyDescent="0.2">
      <c r="B115" s="43" t="s">
        <v>916</v>
      </c>
      <c r="C115" s="193">
        <f>IF(F3="1",SUMIF(Data!A:A,$A$2,Data!BI:BI),0)</f>
        <v>29507</v>
      </c>
      <c r="D115" s="193">
        <f>IF(F3="1",SUMIF(Data!A:A,$A$2,Data!BL:BL),0)</f>
        <v>9216</v>
      </c>
      <c r="E115" s="193">
        <f>IF(F3="1",SUMIF(Data!A:A,$A$2,Data!BU:BU)-SUMIF(Data!A:A,$A$2,Data!BT:BT),0)</f>
        <v>3540872</v>
      </c>
      <c r="F115" s="49">
        <f t="shared" si="7"/>
        <v>3579595</v>
      </c>
    </row>
    <row r="116" spans="1:6" x14ac:dyDescent="0.2">
      <c r="B116" s="43" t="s">
        <v>33</v>
      </c>
      <c r="C116" s="193">
        <f>IF(F3="1",SUMIF(Data!A:A,$A$2,Data!X:X),0)</f>
        <v>0</v>
      </c>
      <c r="D116" s="51"/>
      <c r="E116" s="193">
        <f>E102-C116</f>
        <v>0</v>
      </c>
      <c r="F116" s="49">
        <f t="shared" si="7"/>
        <v>0</v>
      </c>
    </row>
    <row r="117" spans="1:6" ht="15" thickBot="1" x14ac:dyDescent="0.25">
      <c r="B117" s="44" t="s">
        <v>920</v>
      </c>
      <c r="C117" s="53"/>
      <c r="D117" s="53">
        <f>IF(F3="1",SUMIF(Data!A:A,$A$2,Data!Q:Q),0)</f>
        <v>773919</v>
      </c>
      <c r="E117" s="53"/>
      <c r="F117" s="50">
        <f>SUM(C117:E117)</f>
        <v>773919</v>
      </c>
    </row>
    <row r="118" spans="1:6" x14ac:dyDescent="0.2">
      <c r="B118" s="14" t="s">
        <v>35</v>
      </c>
      <c r="C118" s="178">
        <f>SUM(C109:C117)</f>
        <v>16780108</v>
      </c>
      <c r="D118" s="194">
        <f>SUM(D109:D117)</f>
        <v>1895093</v>
      </c>
      <c r="E118" s="178">
        <f>SUM(E109:E117)</f>
        <v>8725983</v>
      </c>
      <c r="F118" s="178">
        <f>SUM(F109:F117)</f>
        <v>27401184</v>
      </c>
    </row>
    <row r="119" spans="1:6" x14ac:dyDescent="0.2">
      <c r="C119" s="177"/>
      <c r="D119" s="177"/>
      <c r="E119" s="177"/>
    </row>
    <row r="120" spans="1:6" ht="15" thickBot="1" x14ac:dyDescent="0.25">
      <c r="B120" s="188" t="s">
        <v>921</v>
      </c>
      <c r="C120" s="53"/>
      <c r="D120" s="53"/>
      <c r="E120" s="195">
        <f>IF(F3="1",SUMIF(Data!A:A,$A$2,Data!AF:AF)+SUMIF(Data!A:A,$A$2,Data!AW:AW)+SUMIF(Data!A:A,$A$2,Data!BT:BT),0)</f>
        <v>1453818</v>
      </c>
      <c r="F120" s="181">
        <f>SUM(C120:E120)</f>
        <v>1453818</v>
      </c>
    </row>
    <row r="121" spans="1:6" s="177" customFormat="1" x14ac:dyDescent="0.2">
      <c r="B121" s="14" t="s">
        <v>35</v>
      </c>
      <c r="C121" s="178">
        <f>SUM(C120:C120)</f>
        <v>0</v>
      </c>
      <c r="D121" s="178">
        <f>SUM(D120:D120)</f>
        <v>0</v>
      </c>
      <c r="E121" s="178">
        <f>SUM(E120:E120)</f>
        <v>1453818</v>
      </c>
      <c r="F121" s="178">
        <f>SUM(F120:F120)</f>
        <v>1453818</v>
      </c>
    </row>
    <row r="122" spans="1:6" s="177" customFormat="1" ht="15" thickBot="1" x14ac:dyDescent="0.25">
      <c r="B122" s="14" t="s">
        <v>1396</v>
      </c>
      <c r="C122" s="178"/>
      <c r="D122" s="178"/>
      <c r="E122" s="178"/>
      <c r="F122" s="190">
        <f>F118+F121</f>
        <v>28855002</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421</v>
      </c>
      <c r="B2" s="59" t="str">
        <f>VLOOKUP(A2,Data!A:G,7,0)</f>
        <v>Western Texas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64736</v>
      </c>
      <c r="E5" s="16">
        <f>E36+E67+IFERROR($E$105/$D$105*D5,0)</f>
        <v>492843.84250126162</v>
      </c>
      <c r="F5" s="21">
        <f>IFERROR(E5/D5,"")</f>
        <v>7.6131339981040167</v>
      </c>
    </row>
    <row r="6" spans="1:6" x14ac:dyDescent="0.2">
      <c r="A6" s="20">
        <v>2</v>
      </c>
      <c r="B6" s="202" t="s">
        <v>1</v>
      </c>
      <c r="C6" s="203"/>
      <c r="D6" s="15">
        <f t="shared" ref="D6:D32" si="0">D37</f>
        <v>31088</v>
      </c>
      <c r="E6" s="18">
        <f t="shared" ref="E6:E32" si="1">E37+E68+IFERROR($E$105/$D$105*D6,0)</f>
        <v>256134.85392485204</v>
      </c>
      <c r="F6" s="22">
        <f t="shared" ref="F6:F33" si="2">IFERROR(E6/D6,"")</f>
        <v>8.2390264386532444</v>
      </c>
    </row>
    <row r="7" spans="1:6" ht="14.25" customHeight="1" x14ac:dyDescent="0.2">
      <c r="A7" s="20">
        <v>3</v>
      </c>
      <c r="B7" s="202" t="s">
        <v>2</v>
      </c>
      <c r="C7" s="203"/>
      <c r="D7" s="15">
        <f t="shared" si="0"/>
        <v>165712</v>
      </c>
      <c r="E7" s="18">
        <f t="shared" si="1"/>
        <v>910416.8724136349</v>
      </c>
      <c r="F7" s="22">
        <f t="shared" si="2"/>
        <v>5.4939706986436398</v>
      </c>
    </row>
    <row r="8" spans="1:6" ht="14.25" customHeight="1" x14ac:dyDescent="0.2">
      <c r="A8" s="20">
        <v>4</v>
      </c>
      <c r="B8" s="202" t="s">
        <v>3</v>
      </c>
      <c r="C8" s="203"/>
      <c r="D8" s="15">
        <f t="shared" si="0"/>
        <v>74670</v>
      </c>
      <c r="E8" s="18">
        <f t="shared" si="1"/>
        <v>573548.9548561729</v>
      </c>
      <c r="F8" s="22">
        <f t="shared" si="2"/>
        <v>7.6811163098456259</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6608</v>
      </c>
      <c r="E10" s="18">
        <f t="shared" si="1"/>
        <v>36214.753819332938</v>
      </c>
      <c r="F10" s="22">
        <f t="shared" si="2"/>
        <v>5.4804409532888831</v>
      </c>
    </row>
    <row r="11" spans="1:6" x14ac:dyDescent="0.2">
      <c r="A11" s="20">
        <v>7</v>
      </c>
      <c r="B11" s="202" t="s">
        <v>6</v>
      </c>
      <c r="C11" s="203"/>
      <c r="D11" s="15">
        <f t="shared" si="0"/>
        <v>43048</v>
      </c>
      <c r="E11" s="18">
        <f t="shared" si="1"/>
        <v>252348.59237509751</v>
      </c>
      <c r="F11" s="22">
        <f t="shared" si="2"/>
        <v>5.8620282562511035</v>
      </c>
    </row>
    <row r="12" spans="1:6" x14ac:dyDescent="0.2">
      <c r="A12" s="20">
        <v>8</v>
      </c>
      <c r="B12" s="202" t="s">
        <v>7</v>
      </c>
      <c r="C12" s="203"/>
      <c r="D12" s="15">
        <f t="shared" si="0"/>
        <v>21200</v>
      </c>
      <c r="E12" s="18">
        <f t="shared" si="1"/>
        <v>127672.021333211</v>
      </c>
      <c r="F12" s="22">
        <f t="shared" si="2"/>
        <v>6.0222651572269337</v>
      </c>
    </row>
    <row r="13" spans="1:6" x14ac:dyDescent="0.2">
      <c r="A13" s="20">
        <v>9</v>
      </c>
      <c r="B13" s="202" t="s">
        <v>8</v>
      </c>
      <c r="C13" s="203"/>
      <c r="D13" s="15">
        <f t="shared" si="0"/>
        <v>30222</v>
      </c>
      <c r="E13" s="18">
        <f t="shared" si="1"/>
        <v>234838.80446850485</v>
      </c>
      <c r="F13" s="22">
        <f t="shared" si="2"/>
        <v>7.7704587541693089</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858</v>
      </c>
      <c r="E15" s="18">
        <f t="shared" si="1"/>
        <v>3138.7834105610864</v>
      </c>
      <c r="F15" s="22">
        <f t="shared" si="2"/>
        <v>3.6582557232646695</v>
      </c>
    </row>
    <row r="16" spans="1:6" ht="14.25" customHeight="1" x14ac:dyDescent="0.2">
      <c r="A16" s="20">
        <v>12</v>
      </c>
      <c r="B16" s="202" t="s">
        <v>11</v>
      </c>
      <c r="C16" s="203"/>
      <c r="D16" s="15">
        <f t="shared" si="0"/>
        <v>150528</v>
      </c>
      <c r="E16" s="18">
        <f t="shared" si="1"/>
        <v>906047.91751158412</v>
      </c>
      <c r="F16" s="22">
        <f t="shared" si="2"/>
        <v>6.0191321050673903</v>
      </c>
    </row>
    <row r="17" spans="1:6" x14ac:dyDescent="0.2">
      <c r="A17" s="20">
        <v>13</v>
      </c>
      <c r="B17" s="202" t="s">
        <v>12</v>
      </c>
      <c r="C17" s="203"/>
      <c r="D17" s="15">
        <f t="shared" si="0"/>
        <v>34320</v>
      </c>
      <c r="E17" s="18">
        <f t="shared" si="1"/>
        <v>162519.33642244345</v>
      </c>
      <c r="F17" s="22">
        <f t="shared" si="2"/>
        <v>4.7354119004208464</v>
      </c>
    </row>
    <row r="18" spans="1:6" ht="14.25" customHeight="1" x14ac:dyDescent="0.2">
      <c r="A18" s="20">
        <v>14</v>
      </c>
      <c r="B18" s="202" t="s">
        <v>449</v>
      </c>
      <c r="C18" s="203"/>
      <c r="D18" s="15">
        <f t="shared" si="0"/>
        <v>0</v>
      </c>
      <c r="E18" s="18">
        <f t="shared" si="1"/>
        <v>0</v>
      </c>
      <c r="F18" s="22" t="str">
        <f t="shared" si="2"/>
        <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10820</v>
      </c>
      <c r="E20" s="18">
        <f t="shared" si="1"/>
        <v>72809.326925723726</v>
      </c>
      <c r="F20" s="22">
        <f t="shared" si="2"/>
        <v>6.7291429691057045</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25632</v>
      </c>
      <c r="E22" s="18">
        <f t="shared" si="1"/>
        <v>234976.41069872002</v>
      </c>
      <c r="F22" s="22">
        <f t="shared" si="2"/>
        <v>9.1673069092821482</v>
      </c>
    </row>
    <row r="23" spans="1:6" x14ac:dyDescent="0.2">
      <c r="A23" s="20">
        <v>19</v>
      </c>
      <c r="B23" s="202" t="s">
        <v>17</v>
      </c>
      <c r="C23" s="203"/>
      <c r="D23" s="15">
        <f t="shared" si="0"/>
        <v>151520</v>
      </c>
      <c r="E23" s="18">
        <f t="shared" si="1"/>
        <v>853400.90718906268</v>
      </c>
      <c r="F23" s="22">
        <f t="shared" si="2"/>
        <v>5.6322657549436554</v>
      </c>
    </row>
    <row r="24" spans="1:6" x14ac:dyDescent="0.2">
      <c r="A24" s="20">
        <v>20</v>
      </c>
      <c r="B24" s="202" t="s">
        <v>18</v>
      </c>
      <c r="C24" s="203"/>
      <c r="D24" s="15">
        <f t="shared" si="0"/>
        <v>0</v>
      </c>
      <c r="E24" s="18">
        <f t="shared" si="1"/>
        <v>0</v>
      </c>
      <c r="F24" s="22" t="str">
        <f t="shared" si="2"/>
        <v/>
      </c>
    </row>
    <row r="25" spans="1:6" ht="14.25" customHeight="1" x14ac:dyDescent="0.2">
      <c r="A25" s="20">
        <v>21</v>
      </c>
      <c r="B25" s="202" t="s">
        <v>446</v>
      </c>
      <c r="C25" s="203"/>
      <c r="D25" s="15">
        <f t="shared" si="0"/>
        <v>1352</v>
      </c>
      <c r="E25" s="18">
        <f t="shared" si="1"/>
        <v>4945.9617378538333</v>
      </c>
      <c r="F25" s="22">
        <f t="shared" si="2"/>
        <v>3.6582557232646695</v>
      </c>
    </row>
    <row r="26" spans="1:6" x14ac:dyDescent="0.2">
      <c r="A26" s="20">
        <v>22</v>
      </c>
      <c r="B26" s="202" t="s">
        <v>19</v>
      </c>
      <c r="C26" s="203"/>
      <c r="D26" s="15">
        <f t="shared" si="0"/>
        <v>17184</v>
      </c>
      <c r="E26" s="18">
        <f t="shared" si="1"/>
        <v>111015.46634858008</v>
      </c>
      <c r="F26" s="22">
        <f t="shared" si="2"/>
        <v>6.4603972502665323</v>
      </c>
    </row>
    <row r="27" spans="1:6" x14ac:dyDescent="0.2">
      <c r="A27" s="20">
        <v>23</v>
      </c>
      <c r="B27" s="202" t="s">
        <v>20</v>
      </c>
      <c r="C27" s="203"/>
      <c r="D27" s="15">
        <f t="shared" si="0"/>
        <v>33024</v>
      </c>
      <c r="E27" s="18">
        <f t="shared" si="1"/>
        <v>339838.23700509244</v>
      </c>
      <c r="F27" s="22">
        <f t="shared" si="2"/>
        <v>10.290644289156143</v>
      </c>
    </row>
    <row r="28" spans="1:6" x14ac:dyDescent="0.2">
      <c r="A28" s="20">
        <v>24</v>
      </c>
      <c r="B28" s="202" t="s">
        <v>21</v>
      </c>
      <c r="C28" s="203"/>
      <c r="D28" s="15">
        <f t="shared" si="0"/>
        <v>91438</v>
      </c>
      <c r="E28" s="18">
        <f t="shared" si="1"/>
        <v>444061.58682387485</v>
      </c>
      <c r="F28" s="22">
        <f t="shared" si="2"/>
        <v>4.856422787286192</v>
      </c>
    </row>
    <row r="29" spans="1:6" x14ac:dyDescent="0.2">
      <c r="A29" s="20">
        <v>25</v>
      </c>
      <c r="B29" s="202" t="s">
        <v>22</v>
      </c>
      <c r="C29" s="203"/>
      <c r="D29" s="15">
        <f t="shared" si="0"/>
        <v>171216</v>
      </c>
      <c r="E29" s="18">
        <f t="shared" si="1"/>
        <v>1114154.9119144836</v>
      </c>
      <c r="F29" s="22">
        <f t="shared" si="2"/>
        <v>6.5073060456644454</v>
      </c>
    </row>
    <row r="30" spans="1:6" x14ac:dyDescent="0.2">
      <c r="A30" s="20">
        <v>26</v>
      </c>
      <c r="B30" s="202" t="s">
        <v>23</v>
      </c>
      <c r="C30" s="203"/>
      <c r="D30" s="15">
        <f t="shared" si="0"/>
        <v>40272</v>
      </c>
      <c r="E30" s="18">
        <f t="shared" si="1"/>
        <v>343256.27448731475</v>
      </c>
      <c r="F30" s="22">
        <f t="shared" si="2"/>
        <v>8.5234474197287131</v>
      </c>
    </row>
    <row r="31" spans="1:6" x14ac:dyDescent="0.2">
      <c r="A31" s="20">
        <v>28</v>
      </c>
      <c r="B31" s="202" t="s">
        <v>24</v>
      </c>
      <c r="C31" s="203"/>
      <c r="D31" s="15">
        <f t="shared" si="0"/>
        <v>28928</v>
      </c>
      <c r="E31" s="18">
        <f t="shared" si="1"/>
        <v>202160.02156260036</v>
      </c>
      <c r="F31" s="22">
        <f t="shared" si="2"/>
        <v>6.9883857011407757</v>
      </c>
    </row>
    <row r="32" spans="1:6" ht="15.75" customHeight="1" thickBot="1" x14ac:dyDescent="0.25">
      <c r="A32" s="23">
        <v>29</v>
      </c>
      <c r="B32" s="206" t="s">
        <v>25</v>
      </c>
      <c r="C32" s="207"/>
      <c r="D32" s="24">
        <f t="shared" si="0"/>
        <v>26256</v>
      </c>
      <c r="E32" s="25">
        <f t="shared" si="1"/>
        <v>144731.16227003717</v>
      </c>
      <c r="F32" s="26">
        <f t="shared" si="2"/>
        <v>5.5123081303335297</v>
      </c>
    </row>
    <row r="33" spans="1:6" x14ac:dyDescent="0.2">
      <c r="B33" s="31" t="s">
        <v>35</v>
      </c>
      <c r="C33" s="31"/>
      <c r="D33" s="60">
        <f>SUM(D5:D32)</f>
        <v>1220632</v>
      </c>
      <c r="E33" s="32">
        <f>SUM(E5:E32)</f>
        <v>7821075.0000000009</v>
      </c>
      <c r="F33" s="33">
        <f t="shared" si="2"/>
        <v>6.4073979708872129</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IF(F3="1",SUMIF(Data!A:A,$A$2,Data!CU:CU),0)</f>
        <v>64736</v>
      </c>
      <c r="E36" s="16">
        <f>IF(F3="1",SUMIF(Data!$A:$A,$A$2,Data!IO:IO),0)</f>
        <v>37949</v>
      </c>
      <c r="F36" s="21">
        <f t="shared" ref="F36:F64" si="3">IFERROR(E36/D36,"")</f>
        <v>0.58621169055857636</v>
      </c>
    </row>
    <row r="37" spans="1:6" x14ac:dyDescent="0.2">
      <c r="A37" s="20">
        <v>2</v>
      </c>
      <c r="B37" s="202" t="s">
        <v>1</v>
      </c>
      <c r="C37" s="203"/>
      <c r="D37" s="15">
        <f>IF(F3="1",SUMIF(Data!A:A,$A$2,Data!CV:CV),0)</f>
        <v>31088</v>
      </c>
      <c r="E37" s="18">
        <f>IF(F3="1",SUMIF(Data!$A:$A,$A$2,Data!IP:IP),0)</f>
        <v>38434</v>
      </c>
      <c r="F37" s="22">
        <f t="shared" si="3"/>
        <v>1.2362969634585692</v>
      </c>
    </row>
    <row r="38" spans="1:6" ht="14.25" customHeight="1" x14ac:dyDescent="0.2">
      <c r="A38" s="20">
        <v>3</v>
      </c>
      <c r="B38" s="202" t="s">
        <v>2</v>
      </c>
      <c r="C38" s="203"/>
      <c r="D38" s="15">
        <f>IF(F3="1",SUMIF(Data!A:A,$A$2,Data!CW:CW),0)</f>
        <v>165712</v>
      </c>
      <c r="E38" s="18">
        <f>IF(F3="1",SUMIF(Data!$A:$A,$A$2,Data!IQ:IQ),0)</f>
        <v>39734</v>
      </c>
      <c r="F38" s="22">
        <f t="shared" si="3"/>
        <v>0.23977744520614078</v>
      </c>
    </row>
    <row r="39" spans="1:6" ht="14.25" customHeight="1" x14ac:dyDescent="0.2">
      <c r="A39" s="20">
        <v>4</v>
      </c>
      <c r="B39" s="202" t="s">
        <v>3</v>
      </c>
      <c r="C39" s="203"/>
      <c r="D39" s="15">
        <f>IF(F3="1",SUMIF(Data!A:A,$A$2,Data!CX:CX),0)</f>
        <v>74670</v>
      </c>
      <c r="E39" s="18">
        <f>IF(F3="1",SUMIF(Data!$A:$A,$A$2,Data!IR:IR),0)</f>
        <v>99615</v>
      </c>
      <c r="F39" s="22">
        <f t="shared" si="3"/>
        <v>1.334069907593411</v>
      </c>
    </row>
    <row r="40" spans="1:6" x14ac:dyDescent="0.2">
      <c r="A40" s="20">
        <v>5</v>
      </c>
      <c r="B40" s="202" t="s">
        <v>4</v>
      </c>
      <c r="C40" s="203"/>
      <c r="D40" s="15">
        <f>IF(F3="1",SUMIF(Data!A:A,$A$2,Data!CY:CY),0)</f>
        <v>0</v>
      </c>
      <c r="E40" s="18">
        <f>IF(F3="1",SUMIF(Data!$A:$A,$A$2,Data!IS:IS),0)</f>
        <v>0</v>
      </c>
      <c r="F40" s="22" t="str">
        <f t="shared" si="3"/>
        <v/>
      </c>
    </row>
    <row r="41" spans="1:6" x14ac:dyDescent="0.2">
      <c r="A41" s="20">
        <v>6</v>
      </c>
      <c r="B41" s="202" t="s">
        <v>5</v>
      </c>
      <c r="C41" s="203"/>
      <c r="D41" s="15">
        <f>IF(F3="1",SUMIF(Data!A:A,$A$2,Data!CZ:CZ),0)</f>
        <v>6608</v>
      </c>
      <c r="E41" s="18">
        <f>IF(F3="1",SUMIF(Data!$A:$A,$A$2,Data!IT:IT),0)</f>
        <v>3456</v>
      </c>
      <c r="F41" s="22">
        <f t="shared" si="3"/>
        <v>0.52300242130750607</v>
      </c>
    </row>
    <row r="42" spans="1:6" x14ac:dyDescent="0.2">
      <c r="A42" s="20">
        <v>7</v>
      </c>
      <c r="B42" s="202" t="s">
        <v>6</v>
      </c>
      <c r="C42" s="203"/>
      <c r="D42" s="15">
        <f>IF(F3="1",SUMIF(Data!A:A,$A$2,Data!DA:DA),0)</f>
        <v>43048</v>
      </c>
      <c r="E42" s="18">
        <f>IF(F3="1",SUMIF(Data!$A:$A,$A$2,Data!IU:IU),0)</f>
        <v>15924</v>
      </c>
      <c r="F42" s="22">
        <f t="shared" si="3"/>
        <v>0.36991265564021558</v>
      </c>
    </row>
    <row r="43" spans="1:6" x14ac:dyDescent="0.2">
      <c r="A43" s="20">
        <v>8</v>
      </c>
      <c r="B43" s="202" t="s">
        <v>7</v>
      </c>
      <c r="C43" s="203"/>
      <c r="D43" s="15">
        <f>IF(F3="1",SUMIF(Data!A:A,$A$2,Data!DB:DB),0)</f>
        <v>21200</v>
      </c>
      <c r="E43" s="18">
        <f>IF(F3="1",SUMIF(Data!$A:$A,$A$2,Data!IV:IV),0)</f>
        <v>4389</v>
      </c>
      <c r="F43" s="22">
        <f t="shared" si="3"/>
        <v>0.20702830188679244</v>
      </c>
    </row>
    <row r="44" spans="1:6" x14ac:dyDescent="0.2">
      <c r="A44" s="20">
        <v>9</v>
      </c>
      <c r="B44" s="202" t="s">
        <v>8</v>
      </c>
      <c r="C44" s="203"/>
      <c r="D44" s="15">
        <f>IF(F3="1",SUMIF(Data!A:A,$A$2,Data!DC:DC),0)</f>
        <v>30222</v>
      </c>
      <c r="E44" s="18">
        <f>IF(F3="1",SUMIF(Data!$A:$A,$A$2,Data!IW:IW),0)</f>
        <v>24028</v>
      </c>
      <c r="F44" s="22">
        <f t="shared" si="3"/>
        <v>0.79504996360267355</v>
      </c>
    </row>
    <row r="45" spans="1:6" x14ac:dyDescent="0.2">
      <c r="A45" s="20">
        <v>10</v>
      </c>
      <c r="B45" s="202" t="s">
        <v>9</v>
      </c>
      <c r="C45" s="203"/>
      <c r="D45" s="15">
        <f>IF(F3="1",SUMIF(Data!A:A,$A$2,Data!DD:DD),0)</f>
        <v>0</v>
      </c>
      <c r="E45" s="18">
        <f>IF(F3="1",SUMIF(Data!$A:$A,$A$2,Data!IX:IX),0)</f>
        <v>0</v>
      </c>
      <c r="F45" s="22" t="str">
        <f t="shared" si="3"/>
        <v/>
      </c>
    </row>
    <row r="46" spans="1:6" x14ac:dyDescent="0.2">
      <c r="A46" s="20">
        <v>11</v>
      </c>
      <c r="B46" s="202" t="s">
        <v>10</v>
      </c>
      <c r="C46" s="203"/>
      <c r="D46" s="15">
        <f>IF(F3="1",SUMIF(Data!A:A,$A$2,Data!DE:DE),0)</f>
        <v>858</v>
      </c>
      <c r="E46" s="18">
        <f>IF(F3="1",SUMIF(Data!$A:$A,$A$2,Data!IY:IY),0)</f>
        <v>0</v>
      </c>
      <c r="F46" s="22">
        <f t="shared" si="3"/>
        <v>0</v>
      </c>
    </row>
    <row r="47" spans="1:6" ht="14.25" customHeight="1" x14ac:dyDescent="0.2">
      <c r="A47" s="20">
        <v>12</v>
      </c>
      <c r="B47" s="202" t="s">
        <v>11</v>
      </c>
      <c r="C47" s="203"/>
      <c r="D47" s="15">
        <f>IF(F3="1",SUMIF(Data!A:A,$A$2,Data!DF:DF),0)</f>
        <v>150528</v>
      </c>
      <c r="E47" s="18">
        <f>IF(F3="1",SUMIF(Data!$A:$A,$A$2,Data!IZ:IZ),0)</f>
        <v>29924</v>
      </c>
      <c r="F47" s="22">
        <f t="shared" si="3"/>
        <v>0.1987935799319728</v>
      </c>
    </row>
    <row r="48" spans="1:6" x14ac:dyDescent="0.2">
      <c r="A48" s="20">
        <v>13</v>
      </c>
      <c r="B48" s="202" t="s">
        <v>12</v>
      </c>
      <c r="C48" s="203"/>
      <c r="D48" s="15">
        <f>IF(F3="1",SUMIF(Data!A:A,$A$2,Data!DG:DG),0)</f>
        <v>34320</v>
      </c>
      <c r="E48" s="18">
        <f>IF(F3="1",SUMIF(Data!$A:$A,$A$2,Data!JA:JA),0)</f>
        <v>2766</v>
      </c>
      <c r="F48" s="22">
        <f t="shared" si="3"/>
        <v>8.0594405594405588E-2</v>
      </c>
    </row>
    <row r="49" spans="1:6" ht="14.25" customHeight="1" x14ac:dyDescent="0.2">
      <c r="A49" s="20">
        <v>14</v>
      </c>
      <c r="B49" s="202" t="s">
        <v>449</v>
      </c>
      <c r="C49" s="203"/>
      <c r="D49" s="15">
        <f>IF(F3="1",SUMIF(Data!A:A,$A$2,Data!DH:DH),0)</f>
        <v>0</v>
      </c>
      <c r="E49" s="18">
        <f>IF(F3="1",SUMIF(Data!$A:$A,$A$2,Data!JB:JB),0)</f>
        <v>0</v>
      </c>
      <c r="F49" s="22" t="str">
        <f t="shared" si="3"/>
        <v/>
      </c>
    </row>
    <row r="50" spans="1:6" x14ac:dyDescent="0.2">
      <c r="A50" s="20">
        <v>15</v>
      </c>
      <c r="B50" s="202" t="s">
        <v>13</v>
      </c>
      <c r="C50" s="203"/>
      <c r="D50" s="15">
        <f>IF(F3="1",SUMIF(Data!A:A,$A$2,Data!DI:DI),0)</f>
        <v>0</v>
      </c>
      <c r="E50" s="18">
        <f>IF(F3="1",SUMIF(Data!$A:$A,$A$2,Data!JC:JC),0)</f>
        <v>0</v>
      </c>
      <c r="F50" s="22" t="str">
        <f t="shared" si="3"/>
        <v/>
      </c>
    </row>
    <row r="51" spans="1:6" x14ac:dyDescent="0.2">
      <c r="A51" s="20">
        <v>16</v>
      </c>
      <c r="B51" s="202" t="s">
        <v>14</v>
      </c>
      <c r="C51" s="203"/>
      <c r="D51" s="15">
        <f>IF(F3="1",SUMIF(Data!A:A,$A$2,Data!DJ:DJ),0)</f>
        <v>10820</v>
      </c>
      <c r="E51" s="18">
        <f>IF(F3="1",SUMIF(Data!$A:$A,$A$2,Data!JD:JD),0)</f>
        <v>19696</v>
      </c>
      <c r="F51" s="22">
        <f t="shared" si="3"/>
        <v>1.8203327171903882</v>
      </c>
    </row>
    <row r="52" spans="1:6" x14ac:dyDescent="0.2">
      <c r="A52" s="20">
        <v>17</v>
      </c>
      <c r="B52" s="202" t="s">
        <v>15</v>
      </c>
      <c r="C52" s="203"/>
      <c r="D52" s="15">
        <f>IF(F3="1",SUMIF(Data!A:A,$A$2,Data!DK:DK),0)</f>
        <v>0</v>
      </c>
      <c r="E52" s="18">
        <f>IF(F3="1",SUMIF(Data!$A:$A,$A$2,Data!JE:JE),0)</f>
        <v>0</v>
      </c>
      <c r="F52" s="22" t="str">
        <f t="shared" si="3"/>
        <v/>
      </c>
    </row>
    <row r="53" spans="1:6" x14ac:dyDescent="0.2">
      <c r="A53" s="20">
        <v>18</v>
      </c>
      <c r="B53" s="202" t="s">
        <v>16</v>
      </c>
      <c r="C53" s="203"/>
      <c r="D53" s="15">
        <f>IF(F3="1",SUMIF(Data!A:A,$A$2,Data!DL:DL),0)</f>
        <v>25632</v>
      </c>
      <c r="E53" s="18">
        <f>IF(F3="1",SUMIF(Data!$A:$A,$A$2,Data!JF:JF),0)</f>
        <v>11629</v>
      </c>
      <c r="F53" s="22">
        <f t="shared" si="3"/>
        <v>0.45369069912609239</v>
      </c>
    </row>
    <row r="54" spans="1:6" x14ac:dyDescent="0.2">
      <c r="A54" s="20">
        <v>19</v>
      </c>
      <c r="B54" s="202" t="s">
        <v>17</v>
      </c>
      <c r="C54" s="203"/>
      <c r="D54" s="15">
        <f>IF(F3="1",SUMIF(Data!A:A,$A$2,Data!DM:DM),0)</f>
        <v>151520</v>
      </c>
      <c r="E54" s="18">
        <f>IF(F3="1",SUMIF(Data!$A:$A,$A$2,Data!JG:JG),0)</f>
        <v>28095</v>
      </c>
      <c r="F54" s="22">
        <f t="shared" si="3"/>
        <v>0.18542106652587118</v>
      </c>
    </row>
    <row r="55" spans="1:6" x14ac:dyDescent="0.2">
      <c r="A55" s="20">
        <v>20</v>
      </c>
      <c r="B55" s="202" t="s">
        <v>18</v>
      </c>
      <c r="C55" s="203"/>
      <c r="D55" s="15">
        <f>IF(F3="1",SUMIF(Data!A:A,$A$2,Data!DN:DN),0)</f>
        <v>0</v>
      </c>
      <c r="E55" s="18">
        <f>IF(F3="1",SUMIF(Data!$A:$A,$A$2,Data!JH:JH),0)</f>
        <v>0</v>
      </c>
      <c r="F55" s="22" t="str">
        <f t="shared" si="3"/>
        <v/>
      </c>
    </row>
    <row r="56" spans="1:6" ht="14.25" customHeight="1" x14ac:dyDescent="0.2">
      <c r="A56" s="20">
        <v>21</v>
      </c>
      <c r="B56" s="202" t="s">
        <v>446</v>
      </c>
      <c r="C56" s="203"/>
      <c r="D56" s="15">
        <f>IF(F3="1",SUMIF(Data!A:A,$A$2,Data!DO:DO),0)</f>
        <v>1352</v>
      </c>
      <c r="E56" s="18">
        <f>IF(F3="1",SUMIF(Data!$A:$A,$A$2,Data!JI:JI),0)</f>
        <v>0</v>
      </c>
      <c r="F56" s="22">
        <f t="shared" si="3"/>
        <v>0</v>
      </c>
    </row>
    <row r="57" spans="1:6" x14ac:dyDescent="0.2">
      <c r="A57" s="20">
        <v>22</v>
      </c>
      <c r="B57" s="202" t="s">
        <v>19</v>
      </c>
      <c r="C57" s="203"/>
      <c r="D57" s="15">
        <f>IF(F3="1",SUMIF(Data!A:A,$A$2,Data!DP:DP),0)</f>
        <v>17184</v>
      </c>
      <c r="E57" s="18">
        <f>IF(F3="1",SUMIF(Data!$A:$A,$A$2,Data!JJ:JJ),0)</f>
        <v>4217</v>
      </c>
      <c r="F57" s="22">
        <f t="shared" si="3"/>
        <v>0.24540270018621974</v>
      </c>
    </row>
    <row r="58" spans="1:6" x14ac:dyDescent="0.2">
      <c r="A58" s="20">
        <v>23</v>
      </c>
      <c r="B58" s="202" t="s">
        <v>20</v>
      </c>
      <c r="C58" s="203"/>
      <c r="D58" s="15">
        <f>IF(F3="1",SUMIF(Data!A:A,$A$2,Data!DQ:DQ),0)</f>
        <v>33024</v>
      </c>
      <c r="E58" s="18">
        <f>IF(F3="1",SUMIF(Data!$A:$A,$A$2,Data!JK:JK),0)</f>
        <v>19232</v>
      </c>
      <c r="F58" s="22">
        <f t="shared" si="3"/>
        <v>0.58236434108527135</v>
      </c>
    </row>
    <row r="59" spans="1:6" x14ac:dyDescent="0.2">
      <c r="A59" s="20">
        <v>24</v>
      </c>
      <c r="B59" s="202" t="s">
        <v>21</v>
      </c>
      <c r="C59" s="203"/>
      <c r="D59" s="15">
        <f>IF(F3="1",SUMIF(Data!A:A,$A$2,Data!DR:DR),0)</f>
        <v>91438</v>
      </c>
      <c r="E59" s="18">
        <f>IF(F3="1",SUMIF(Data!$A:$A,$A$2,Data!JL:JL),0)</f>
        <v>55992</v>
      </c>
      <c r="F59" s="22">
        <f t="shared" si="3"/>
        <v>0.6123493514731293</v>
      </c>
    </row>
    <row r="60" spans="1:6" x14ac:dyDescent="0.2">
      <c r="A60" s="20">
        <v>25</v>
      </c>
      <c r="B60" s="202" t="s">
        <v>22</v>
      </c>
      <c r="C60" s="203"/>
      <c r="D60" s="15">
        <f>IF(F3="1",SUMIF(Data!A:A,$A$2,Data!DS:DS),0)</f>
        <v>171216</v>
      </c>
      <c r="E60" s="18">
        <f>IF(F3="1",SUMIF(Data!$A:$A,$A$2,Data!JM:JM),0)</f>
        <v>40557</v>
      </c>
      <c r="F60" s="22">
        <f t="shared" si="3"/>
        <v>0.23687622652088589</v>
      </c>
    </row>
    <row r="61" spans="1:6" x14ac:dyDescent="0.2">
      <c r="A61" s="20">
        <v>26</v>
      </c>
      <c r="B61" s="202" t="s">
        <v>23</v>
      </c>
      <c r="C61" s="203"/>
      <c r="D61" s="15">
        <f>IF(F3="1",SUMIF(Data!A:A,$A$2,Data!DT:DT),0)</f>
        <v>40272</v>
      </c>
      <c r="E61" s="18">
        <f>IF(F3="1",SUMIF(Data!$A:$A,$A$2,Data!JN:JN),0)</f>
        <v>31111</v>
      </c>
      <c r="F61" s="22">
        <f t="shared" si="3"/>
        <v>0.77252185141040919</v>
      </c>
    </row>
    <row r="62" spans="1:6" x14ac:dyDescent="0.2">
      <c r="A62" s="20">
        <v>28</v>
      </c>
      <c r="B62" s="202" t="s">
        <v>24</v>
      </c>
      <c r="C62" s="203"/>
      <c r="D62" s="15">
        <f>IF(F3="1",SUMIF(Data!A:A,$A$2,Data!DV:DV),0)</f>
        <v>28928</v>
      </c>
      <c r="E62" s="18">
        <f>IF(F3="1",SUMIF(Data!$A:$A,$A$2,Data!JP:JP),0)</f>
        <v>8684</v>
      </c>
      <c r="F62" s="22">
        <f t="shared" si="3"/>
        <v>0.30019358407079644</v>
      </c>
    </row>
    <row r="63" spans="1:6" ht="15.75" customHeight="1" thickBot="1" x14ac:dyDescent="0.25">
      <c r="A63" s="23">
        <v>29</v>
      </c>
      <c r="B63" s="206" t="s">
        <v>25</v>
      </c>
      <c r="C63" s="207"/>
      <c r="D63" s="24">
        <f>IF(F3="1",SUMIF(Data!A:A,$A$2,Data!DW:DW),0)</f>
        <v>26256</v>
      </c>
      <c r="E63" s="25">
        <f>IF(F3="1",SUMIF(Data!$A:$A,$A$2,Data!JQ:JQ),0)</f>
        <v>5312</v>
      </c>
      <c r="F63" s="26">
        <f t="shared" si="3"/>
        <v>0.20231566118220598</v>
      </c>
    </row>
    <row r="64" spans="1:6" x14ac:dyDescent="0.2">
      <c r="B64" s="31" t="s">
        <v>35</v>
      </c>
      <c r="C64" s="31"/>
      <c r="D64" s="60">
        <f>SUM(D36:D63)</f>
        <v>1220632</v>
      </c>
      <c r="E64" s="32">
        <f>SUM(E36:E63)</f>
        <v>520744</v>
      </c>
      <c r="F64" s="33">
        <f t="shared" si="3"/>
        <v>0.4266183419736661</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64736</v>
      </c>
      <c r="E67" s="16">
        <f>IF(F3="1",SUMIF(Data!A:A,$A$2,Data!DY:DY),0)</f>
        <v>218074</v>
      </c>
      <c r="F67" s="21">
        <f>IFERROR(E67/D67,"")</f>
        <v>3.368666584280771</v>
      </c>
    </row>
    <row r="68" spans="1:6" x14ac:dyDescent="0.2">
      <c r="A68" s="20">
        <v>2</v>
      </c>
      <c r="B68" s="202" t="s">
        <v>1</v>
      </c>
      <c r="C68" s="203"/>
      <c r="D68" s="15">
        <f t="shared" ref="D68:D94" si="4">D37</f>
        <v>31088</v>
      </c>
      <c r="E68" s="18">
        <f>IF(F3="1",SUMIF(Data!A:A,$A$2,Data!DZ:DZ),0)</f>
        <v>103973</v>
      </c>
      <c r="F68" s="22">
        <f t="shared" ref="F68:F95" si="5">IFERROR(E68/D68,"")</f>
        <v>3.3444737519300052</v>
      </c>
    </row>
    <row r="69" spans="1:6" ht="14.25" customHeight="1" x14ac:dyDescent="0.2">
      <c r="A69" s="20">
        <v>3</v>
      </c>
      <c r="B69" s="202" t="s">
        <v>2</v>
      </c>
      <c r="C69" s="203"/>
      <c r="D69" s="15">
        <f t="shared" si="4"/>
        <v>165712</v>
      </c>
      <c r="E69" s="18">
        <f>IF(F3="1",SUMIF(Data!A:A,$A$2,Data!EA:EA),0)</f>
        <v>264466</v>
      </c>
      <c r="F69" s="22">
        <f t="shared" si="5"/>
        <v>1.59593753017283</v>
      </c>
    </row>
    <row r="70" spans="1:6" ht="14.25" customHeight="1" x14ac:dyDescent="0.2">
      <c r="A70" s="20">
        <v>4</v>
      </c>
      <c r="B70" s="202" t="s">
        <v>3</v>
      </c>
      <c r="C70" s="203"/>
      <c r="D70" s="15">
        <f t="shared" si="4"/>
        <v>74670</v>
      </c>
      <c r="E70" s="18">
        <f>IF(F3="1",SUMIF(Data!A:A,$A$2,Data!EB:EB),0)</f>
        <v>200772</v>
      </c>
      <c r="F70" s="22">
        <f t="shared" si="5"/>
        <v>2.6887906789875453</v>
      </c>
    </row>
    <row r="71" spans="1:6" x14ac:dyDescent="0.2">
      <c r="A71" s="20">
        <v>5</v>
      </c>
      <c r="B71" s="202" t="s">
        <v>4</v>
      </c>
      <c r="C71" s="203"/>
      <c r="D71" s="15">
        <f t="shared" si="4"/>
        <v>0</v>
      </c>
      <c r="E71" s="18">
        <f>IF(F3="1",SUMIF(Data!A:A,$A$2,Data!EC:EC),0)</f>
        <v>0</v>
      </c>
      <c r="F71" s="22" t="str">
        <f t="shared" si="5"/>
        <v/>
      </c>
    </row>
    <row r="72" spans="1:6" x14ac:dyDescent="0.2">
      <c r="A72" s="20">
        <v>6</v>
      </c>
      <c r="B72" s="202" t="s">
        <v>5</v>
      </c>
      <c r="C72" s="203"/>
      <c r="D72" s="15">
        <f t="shared" si="4"/>
        <v>6608</v>
      </c>
      <c r="E72" s="18">
        <f>IF(F3="1",SUMIF(Data!A:A,$A$2,Data!ED:ED),0)</f>
        <v>8585</v>
      </c>
      <c r="F72" s="22">
        <f t="shared" si="5"/>
        <v>1.299182808716707</v>
      </c>
    </row>
    <row r="73" spans="1:6" x14ac:dyDescent="0.2">
      <c r="A73" s="20">
        <v>7</v>
      </c>
      <c r="B73" s="202" t="s">
        <v>6</v>
      </c>
      <c r="C73" s="203"/>
      <c r="D73" s="15">
        <f t="shared" si="4"/>
        <v>43048</v>
      </c>
      <c r="E73" s="18">
        <f>IF(F3="1",SUMIF(Data!A:A,$A$2,Data!EE:EE),0)</f>
        <v>78944</v>
      </c>
      <c r="F73" s="22">
        <f t="shared" si="5"/>
        <v>1.8338598773462182</v>
      </c>
    </row>
    <row r="74" spans="1:6" x14ac:dyDescent="0.2">
      <c r="A74" s="20">
        <v>8</v>
      </c>
      <c r="B74" s="202" t="s">
        <v>7</v>
      </c>
      <c r="C74" s="203"/>
      <c r="D74" s="15">
        <f t="shared" si="4"/>
        <v>21200</v>
      </c>
      <c r="E74" s="18">
        <f>IF(F3="1",SUMIF(Data!A:A,$A$2,Data!EF:EF),0)</f>
        <v>45728</v>
      </c>
      <c r="F74" s="22">
        <f t="shared" si="5"/>
        <v>2.1569811320754715</v>
      </c>
    </row>
    <row r="75" spans="1:6" x14ac:dyDescent="0.2">
      <c r="A75" s="20">
        <v>9</v>
      </c>
      <c r="B75" s="202" t="s">
        <v>8</v>
      </c>
      <c r="C75" s="203"/>
      <c r="D75" s="15">
        <f t="shared" si="4"/>
        <v>30222</v>
      </c>
      <c r="E75" s="18">
        <f>IF(F3="1",SUMIF(Data!A:A,$A$2,Data!EG:EG),0)</f>
        <v>100251</v>
      </c>
      <c r="F75" s="22">
        <f t="shared" si="5"/>
        <v>3.3171530673019656</v>
      </c>
    </row>
    <row r="76" spans="1:6" x14ac:dyDescent="0.2">
      <c r="A76" s="20">
        <v>10</v>
      </c>
      <c r="B76" s="202" t="s">
        <v>9</v>
      </c>
      <c r="C76" s="203"/>
      <c r="D76" s="15">
        <f t="shared" si="4"/>
        <v>0</v>
      </c>
      <c r="E76" s="18">
        <f>IF(F3="1",SUMIF(Data!A:A,$A$2,Data!EH:EH),0)</f>
        <v>0</v>
      </c>
      <c r="F76" s="22" t="str">
        <f t="shared" si="5"/>
        <v/>
      </c>
    </row>
    <row r="77" spans="1:6" x14ac:dyDescent="0.2">
      <c r="A77" s="20">
        <v>11</v>
      </c>
      <c r="B77" s="202" t="s">
        <v>10</v>
      </c>
      <c r="C77" s="203"/>
      <c r="D77" s="15">
        <f t="shared" si="4"/>
        <v>858</v>
      </c>
      <c r="E77" s="18">
        <f>IF(F3="1",SUMIF(Data!A:A,$A$2,Data!EI:EI),0)</f>
        <v>0</v>
      </c>
      <c r="F77" s="22">
        <f t="shared" si="5"/>
        <v>0</v>
      </c>
    </row>
    <row r="78" spans="1:6" ht="14.25" customHeight="1" x14ac:dyDescent="0.2">
      <c r="A78" s="20">
        <v>12</v>
      </c>
      <c r="B78" s="202" t="s">
        <v>11</v>
      </c>
      <c r="C78" s="203"/>
      <c r="D78" s="15">
        <f t="shared" si="4"/>
        <v>150528</v>
      </c>
      <c r="E78" s="18">
        <f>IF(F3="1",SUMIF(Data!A:A,$A$2,Data!EJ:EJ),0)</f>
        <v>325454</v>
      </c>
      <c r="F78" s="22">
        <f t="shared" si="5"/>
        <v>2.1620828018707483</v>
      </c>
    </row>
    <row r="79" spans="1:6" x14ac:dyDescent="0.2">
      <c r="A79" s="20">
        <v>13</v>
      </c>
      <c r="B79" s="202" t="s">
        <v>12</v>
      </c>
      <c r="C79" s="203"/>
      <c r="D79" s="15">
        <f t="shared" si="4"/>
        <v>34320</v>
      </c>
      <c r="E79" s="18">
        <f>IF(F3="1",SUMIF(Data!A:A,$A$2,Data!EK:EK),0)</f>
        <v>34202</v>
      </c>
      <c r="F79" s="22">
        <f t="shared" si="5"/>
        <v>0.99656177156177161</v>
      </c>
    </row>
    <row r="80" spans="1:6" ht="14.25" customHeight="1" x14ac:dyDescent="0.2">
      <c r="A80" s="20">
        <v>14</v>
      </c>
      <c r="B80" s="202" t="s">
        <v>449</v>
      </c>
      <c r="C80" s="203"/>
      <c r="D80" s="15">
        <f t="shared" si="4"/>
        <v>0</v>
      </c>
      <c r="E80" s="18">
        <f>IF(F3="1",SUMIF(Data!A:A,$A$2,Data!EL:EL),0)</f>
        <v>0</v>
      </c>
      <c r="F80" s="22" t="str">
        <f t="shared" si="5"/>
        <v/>
      </c>
    </row>
    <row r="81" spans="1:6" x14ac:dyDescent="0.2">
      <c r="A81" s="20">
        <v>15</v>
      </c>
      <c r="B81" s="202" t="s">
        <v>13</v>
      </c>
      <c r="C81" s="203"/>
      <c r="D81" s="15">
        <f t="shared" si="4"/>
        <v>0</v>
      </c>
      <c r="E81" s="18">
        <f>IF(F3="1",SUMIF(Data!A:A,$A$2,Data!EM:EM),0)</f>
        <v>0</v>
      </c>
      <c r="F81" s="22" t="str">
        <f t="shared" si="5"/>
        <v/>
      </c>
    </row>
    <row r="82" spans="1:6" x14ac:dyDescent="0.2">
      <c r="A82" s="20">
        <v>16</v>
      </c>
      <c r="B82" s="202" t="s">
        <v>14</v>
      </c>
      <c r="C82" s="203"/>
      <c r="D82" s="15">
        <f t="shared" si="4"/>
        <v>10820</v>
      </c>
      <c r="E82" s="18">
        <f>IF(F3="1",SUMIF(Data!A:A,$A$2,Data!EN:EN),0)</f>
        <v>13531</v>
      </c>
      <c r="F82" s="22">
        <f t="shared" si="5"/>
        <v>1.250554528650647</v>
      </c>
    </row>
    <row r="83" spans="1:6" x14ac:dyDescent="0.2">
      <c r="A83" s="20">
        <v>17</v>
      </c>
      <c r="B83" s="202" t="s">
        <v>15</v>
      </c>
      <c r="C83" s="203"/>
      <c r="D83" s="15">
        <f t="shared" si="4"/>
        <v>0</v>
      </c>
      <c r="E83" s="18">
        <f>IF(F3="1",SUMIF(Data!A:A,$A$2,Data!EO:EO),0)</f>
        <v>0</v>
      </c>
      <c r="F83" s="22" t="str">
        <f t="shared" si="5"/>
        <v/>
      </c>
    </row>
    <row r="84" spans="1:6" x14ac:dyDescent="0.2">
      <c r="A84" s="20">
        <v>18</v>
      </c>
      <c r="B84" s="202" t="s">
        <v>16</v>
      </c>
      <c r="C84" s="203"/>
      <c r="D84" s="15">
        <f t="shared" si="4"/>
        <v>25632</v>
      </c>
      <c r="E84" s="18">
        <f>IF(F3="1",SUMIF(Data!A:A,$A$2,Data!EP:EP),0)</f>
        <v>129579</v>
      </c>
      <c r="F84" s="22">
        <f t="shared" si="5"/>
        <v>5.0553604868913862</v>
      </c>
    </row>
    <row r="85" spans="1:6" x14ac:dyDescent="0.2">
      <c r="A85" s="20">
        <v>19</v>
      </c>
      <c r="B85" s="202" t="s">
        <v>17</v>
      </c>
      <c r="C85" s="203"/>
      <c r="D85" s="15">
        <f t="shared" si="4"/>
        <v>151520</v>
      </c>
      <c r="E85" s="18">
        <f>IF(F3="1",SUMIF(Data!A:A,$A$2,Data!EQ:EQ),0)</f>
        <v>271007</v>
      </c>
      <c r="F85" s="22">
        <f t="shared" si="5"/>
        <v>1.7885889651531151</v>
      </c>
    </row>
    <row r="86" spans="1:6" x14ac:dyDescent="0.2">
      <c r="A86" s="20">
        <v>20</v>
      </c>
      <c r="B86" s="202" t="s">
        <v>18</v>
      </c>
      <c r="C86" s="203"/>
      <c r="D86" s="15">
        <f t="shared" si="4"/>
        <v>0</v>
      </c>
      <c r="E86" s="18">
        <f>IF(F3="1",SUMIF(Data!A:A,$A$2,Data!ER:ER),0)</f>
        <v>0</v>
      </c>
      <c r="F86" s="22" t="str">
        <f t="shared" si="5"/>
        <v/>
      </c>
    </row>
    <row r="87" spans="1:6" ht="14.25" customHeight="1" x14ac:dyDescent="0.2">
      <c r="A87" s="20">
        <v>21</v>
      </c>
      <c r="B87" s="202" t="s">
        <v>446</v>
      </c>
      <c r="C87" s="203"/>
      <c r="D87" s="15">
        <f t="shared" si="4"/>
        <v>1352</v>
      </c>
      <c r="E87" s="18">
        <f>IF(F3="1",SUMIF(Data!A:A,$A$2,Data!ES:ES),0)</f>
        <v>0</v>
      </c>
      <c r="F87" s="22">
        <f t="shared" si="5"/>
        <v>0</v>
      </c>
    </row>
    <row r="88" spans="1:6" x14ac:dyDescent="0.2">
      <c r="A88" s="20">
        <v>22</v>
      </c>
      <c r="B88" s="202" t="s">
        <v>19</v>
      </c>
      <c r="C88" s="203"/>
      <c r="D88" s="15">
        <f t="shared" si="4"/>
        <v>17184</v>
      </c>
      <c r="E88" s="18">
        <f>IF(F3="1",SUMIF(Data!A:A,$A$2,Data!ET:ET),0)</f>
        <v>43935</v>
      </c>
      <c r="F88" s="22">
        <f t="shared" si="5"/>
        <v>2.5567388268156424</v>
      </c>
    </row>
    <row r="89" spans="1:6" x14ac:dyDescent="0.2">
      <c r="A89" s="20">
        <v>23</v>
      </c>
      <c r="B89" s="202" t="s">
        <v>20</v>
      </c>
      <c r="C89" s="203"/>
      <c r="D89" s="15">
        <f t="shared" si="4"/>
        <v>33024</v>
      </c>
      <c r="E89" s="18">
        <f>IF(F3="1",SUMIF(Data!A:A,$A$2,Data!EU:EU),0)</f>
        <v>199796</v>
      </c>
      <c r="F89" s="22">
        <f t="shared" si="5"/>
        <v>6.0500242248062017</v>
      </c>
    </row>
    <row r="90" spans="1:6" x14ac:dyDescent="0.2">
      <c r="A90" s="20">
        <v>24</v>
      </c>
      <c r="B90" s="202" t="s">
        <v>21</v>
      </c>
      <c r="C90" s="203"/>
      <c r="D90" s="15">
        <f t="shared" si="4"/>
        <v>91438</v>
      </c>
      <c r="E90" s="18">
        <f>IF(F3="1",SUMIF(Data!A:A,$A$2,Data!EV:EV),0)</f>
        <v>53566</v>
      </c>
      <c r="F90" s="22">
        <f t="shared" si="5"/>
        <v>0.58581771254839343</v>
      </c>
    </row>
    <row r="91" spans="1:6" x14ac:dyDescent="0.2">
      <c r="A91" s="20">
        <v>25</v>
      </c>
      <c r="B91" s="202" t="s">
        <v>22</v>
      </c>
      <c r="C91" s="203"/>
      <c r="D91" s="15">
        <f t="shared" si="4"/>
        <v>171216</v>
      </c>
      <c r="E91" s="18">
        <f>IF(F3="1",SUMIF(Data!A:A,$A$2,Data!EW:EW),0)</f>
        <v>447246</v>
      </c>
      <c r="F91" s="22">
        <f t="shared" si="5"/>
        <v>2.6121740958788897</v>
      </c>
    </row>
    <row r="92" spans="1:6" x14ac:dyDescent="0.2">
      <c r="A92" s="20">
        <v>26</v>
      </c>
      <c r="B92" s="202" t="s">
        <v>23</v>
      </c>
      <c r="C92" s="203"/>
      <c r="D92" s="15">
        <f t="shared" si="4"/>
        <v>40272</v>
      </c>
      <c r="E92" s="18">
        <f>IF(F3="1",SUMIF(Data!A:A,$A$2,Data!EX:EX),0)</f>
        <v>164820</v>
      </c>
      <c r="F92" s="22">
        <f t="shared" si="5"/>
        <v>4.092669845053635</v>
      </c>
    </row>
    <row r="93" spans="1:6" x14ac:dyDescent="0.2">
      <c r="A93" s="20">
        <v>28</v>
      </c>
      <c r="B93" s="202" t="s">
        <v>24</v>
      </c>
      <c r="C93" s="203"/>
      <c r="D93" s="15">
        <f t="shared" si="4"/>
        <v>28928</v>
      </c>
      <c r="E93" s="18">
        <f>IF(F3="1",SUMIF(Data!A:A,$A$2,Data!EZ:EZ),0)</f>
        <v>87650</v>
      </c>
      <c r="F93" s="22">
        <f t="shared" si="5"/>
        <v>3.0299363938053099</v>
      </c>
    </row>
    <row r="94" spans="1:6" ht="15.75" customHeight="1" thickBot="1" x14ac:dyDescent="0.25">
      <c r="A94" s="23">
        <v>29</v>
      </c>
      <c r="B94" s="206" t="s">
        <v>25</v>
      </c>
      <c r="C94" s="207"/>
      <c r="D94" s="24">
        <f t="shared" si="4"/>
        <v>26256</v>
      </c>
      <c r="E94" s="25">
        <f>IF(F3="1",SUMIF(Data!A:A,$A$2,Data!FA:FA),0)</f>
        <v>43368</v>
      </c>
      <c r="F94" s="26">
        <f t="shared" si="5"/>
        <v>1.6517367458866545</v>
      </c>
    </row>
    <row r="95" spans="1:6" x14ac:dyDescent="0.2">
      <c r="B95" s="31" t="s">
        <v>35</v>
      </c>
      <c r="C95" s="31"/>
      <c r="D95" s="60">
        <f>SUM(D67:D94)</f>
        <v>1220632</v>
      </c>
      <c r="E95" s="32">
        <f>SUM(E67:E94)</f>
        <v>2834947</v>
      </c>
      <c r="F95" s="33">
        <f t="shared" si="5"/>
        <v>2.3225239056488771</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IF(F3="1",SUMIF(Data!A:A,$A$2,Data!AH:AH),0)</f>
        <v>2553769</v>
      </c>
      <c r="F98" s="21">
        <f t="shared" ref="F98:F105" si="6">IFERROR(E98/$D$95,0)</f>
        <v>2.0921694663092563</v>
      </c>
    </row>
    <row r="99" spans="2:6" x14ac:dyDescent="0.2">
      <c r="B99" s="212" t="s">
        <v>31</v>
      </c>
      <c r="C99" s="213"/>
      <c r="D99" s="37"/>
      <c r="E99" s="18">
        <f>IF(F3="1",SUMIF(Data!A:A,$A$2,Data!AI:AI),0)</f>
        <v>574097</v>
      </c>
      <c r="F99" s="22">
        <f t="shared" si="6"/>
        <v>0.47032766632367495</v>
      </c>
    </row>
    <row r="100" spans="2:6" x14ac:dyDescent="0.2">
      <c r="B100" s="212" t="s">
        <v>32</v>
      </c>
      <c r="C100" s="213"/>
      <c r="D100" s="37"/>
      <c r="E100" s="18">
        <f>IF(F3="1",SUMIF(Data!A:A,$A$2,Data!AJ:AJ),0)</f>
        <v>575718</v>
      </c>
      <c r="F100" s="22">
        <f t="shared" si="6"/>
        <v>0.47165566690042537</v>
      </c>
    </row>
    <row r="101" spans="2:6" x14ac:dyDescent="0.2">
      <c r="B101" s="212" t="s">
        <v>28</v>
      </c>
      <c r="C101" s="213"/>
      <c r="D101" s="37"/>
      <c r="E101" s="18">
        <f>IF(F3="1",SUMIF(Data!A:A,$A$2,Data!AK:AK),0)</f>
        <v>0</v>
      </c>
      <c r="F101" s="22">
        <f t="shared" si="6"/>
        <v>0</v>
      </c>
    </row>
    <row r="102" spans="2:6" x14ac:dyDescent="0.2">
      <c r="B102" s="212" t="s">
        <v>33</v>
      </c>
      <c r="C102" s="213"/>
      <c r="D102" s="37"/>
      <c r="E102" s="18">
        <f>IF(F3="1",SUMIF(Data!A:A,$A$2,Data!AL:AL),0)</f>
        <v>380988</v>
      </c>
      <c r="F102" s="22">
        <f t="shared" si="6"/>
        <v>0.312123555666245</v>
      </c>
    </row>
    <row r="103" spans="2:6" x14ac:dyDescent="0.2">
      <c r="B103" s="214" t="s">
        <v>34</v>
      </c>
      <c r="C103" s="215"/>
      <c r="D103" s="37"/>
      <c r="E103" s="18">
        <f>IF(F3="1",SUMIF(Data!A:A,$A$2,Data!AM:AM),0)</f>
        <v>23823</v>
      </c>
      <c r="F103" s="22">
        <f t="shared" si="6"/>
        <v>1.9516938766147372E-2</v>
      </c>
    </row>
    <row r="104" spans="2:6" ht="15.75" customHeight="1" thickBot="1" x14ac:dyDescent="0.25">
      <c r="B104" s="208" t="s">
        <v>29</v>
      </c>
      <c r="C104" s="209"/>
      <c r="D104" s="38"/>
      <c r="E104" s="25">
        <f>IF(F3="1",SUMIF(Data!A:A,$A$2,Data!Q:Q),0)</f>
        <v>356989</v>
      </c>
      <c r="F104" s="26">
        <f t="shared" si="6"/>
        <v>0.29246242929892058</v>
      </c>
    </row>
    <row r="105" spans="2:6" x14ac:dyDescent="0.2">
      <c r="B105" s="31" t="s">
        <v>35</v>
      </c>
      <c r="C105" s="31"/>
      <c r="D105" s="35">
        <f>D95</f>
        <v>1220632</v>
      </c>
      <c r="E105" s="32">
        <f>SUM(E98:E104)</f>
        <v>4465384</v>
      </c>
      <c r="F105" s="33">
        <f t="shared" si="6"/>
        <v>3.6582557232646695</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2878189</v>
      </c>
      <c r="D109" s="192">
        <f>IF(F3="1",SUMIF(Data!$A:$A,$A$2,Data!HJ:HJ),0)</f>
        <v>232775</v>
      </c>
      <c r="E109" s="192">
        <f>IF(F3="1",SUMIF(Data!$A:$A,$A$2,Data!IN:IN),0)</f>
        <v>244727</v>
      </c>
      <c r="F109" s="48">
        <f>SUM(C109:E109)</f>
        <v>3355691</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0</v>
      </c>
      <c r="D111" s="52"/>
      <c r="E111" s="193">
        <f>IF(F3="1",SUMIF(Data!A:A,$A$2,Data!AX:AX)-SUMIF(Data!A:A,$A$2,Data!AW:AW),0)</f>
        <v>16926</v>
      </c>
      <c r="F111" s="49">
        <f t="shared" si="7"/>
        <v>16926</v>
      </c>
    </row>
    <row r="112" spans="2:6" x14ac:dyDescent="0.2">
      <c r="B112" s="43" t="s">
        <v>32</v>
      </c>
      <c r="C112" s="193">
        <f>IF(F3="1",SUMIF(Data!A:A,$A$2,Data!V:V),0)</f>
        <v>457367</v>
      </c>
      <c r="D112" s="52"/>
      <c r="E112" s="193">
        <f>IF(F3="1",SUMIF(Data!A:A,$A$2,Data!AC:AC),0)</f>
        <v>118351</v>
      </c>
      <c r="F112" s="49">
        <f t="shared" si="7"/>
        <v>575718</v>
      </c>
    </row>
    <row r="113" spans="1:6" x14ac:dyDescent="0.2">
      <c r="B113" s="43" t="s">
        <v>31</v>
      </c>
      <c r="C113" s="193">
        <f>IF(F3="1",SUMIF(Data!A:A,$A$2,Data!U:U),0)</f>
        <v>525891</v>
      </c>
      <c r="D113" s="52"/>
      <c r="E113" s="193">
        <f>IF(F3="1",SUMIF(Data!A:A,$A$2,Data!AB:AB),0)</f>
        <v>48206</v>
      </c>
      <c r="F113" s="49">
        <f t="shared" si="7"/>
        <v>574097</v>
      </c>
    </row>
    <row r="114" spans="1:6" x14ac:dyDescent="0.2">
      <c r="B114" s="43" t="s">
        <v>1002</v>
      </c>
      <c r="C114" s="193">
        <f>IF(F3="1",SUMIF(Data!A:A,$A$2,Data!T:T),0)</f>
        <v>1226524</v>
      </c>
      <c r="D114" s="52"/>
      <c r="E114" s="193">
        <f>IF(F3="1",SUMIF(Data!A:A,$A$2,Data!AA:AA),0)</f>
        <v>1327245</v>
      </c>
      <c r="F114" s="49">
        <f t="shared" si="7"/>
        <v>2553769</v>
      </c>
    </row>
    <row r="115" spans="1:6" x14ac:dyDescent="0.2">
      <c r="B115" s="43" t="s">
        <v>916</v>
      </c>
      <c r="C115" s="193">
        <f>IF(F3="1",SUMIF(Data!A:A,$A$2,Data!BI:BI),0)</f>
        <v>124914</v>
      </c>
      <c r="D115" s="193">
        <f>IF(F3="1",SUMIF(Data!A:A,$A$2,Data!BL:BL),0)</f>
        <v>31840</v>
      </c>
      <c r="E115" s="193">
        <f>IF(F3="1",SUMIF(Data!A:A,$A$2,Data!BU:BU)-SUMIF(Data!A:A,$A$2,Data!BT:BT),0)</f>
        <v>2692656</v>
      </c>
      <c r="F115" s="49">
        <f t="shared" si="7"/>
        <v>2849410</v>
      </c>
    </row>
    <row r="116" spans="1:6" x14ac:dyDescent="0.2">
      <c r="B116" s="43" t="s">
        <v>33</v>
      </c>
      <c r="C116" s="193">
        <f>IF(F3="1",SUMIF(Data!A:A,$A$2,Data!X:X),0)</f>
        <v>0</v>
      </c>
      <c r="D116" s="51"/>
      <c r="E116" s="193">
        <f>E102-C116</f>
        <v>380988</v>
      </c>
      <c r="F116" s="49">
        <f t="shared" si="7"/>
        <v>380988</v>
      </c>
    </row>
    <row r="117" spans="1:6" ht="15" thickBot="1" x14ac:dyDescent="0.25">
      <c r="B117" s="44" t="s">
        <v>920</v>
      </c>
      <c r="C117" s="53"/>
      <c r="D117" s="53">
        <f>IF(F3="1",SUMIF(Data!A:A,$A$2,Data!Q:Q),0)</f>
        <v>356989</v>
      </c>
      <c r="E117" s="53"/>
      <c r="F117" s="50">
        <f>SUM(C117:E117)</f>
        <v>356989</v>
      </c>
    </row>
    <row r="118" spans="1:6" x14ac:dyDescent="0.2">
      <c r="B118" s="14" t="s">
        <v>35</v>
      </c>
      <c r="C118" s="178">
        <f>SUM(C109:C117)</f>
        <v>5212885</v>
      </c>
      <c r="D118" s="194">
        <f>SUM(D109:D117)</f>
        <v>621604</v>
      </c>
      <c r="E118" s="178">
        <f>SUM(E109:E117)</f>
        <v>4829099</v>
      </c>
      <c r="F118" s="178">
        <f>SUM(F109:F117)</f>
        <v>10663588</v>
      </c>
    </row>
    <row r="120" spans="1:6" ht="15" thickBot="1" x14ac:dyDescent="0.25">
      <c r="B120" s="188" t="s">
        <v>921</v>
      </c>
      <c r="C120" s="53"/>
      <c r="D120" s="53"/>
      <c r="E120" s="195">
        <f>IF(F3="1",SUMIF(Data!A:A,$A$2,Data!AF:AF)+SUMIF(Data!A:A,$A$2,Data!AW:AW)+SUMIF(Data!A:A,$A$2,Data!BT:BT),0)</f>
        <v>323335</v>
      </c>
      <c r="F120" s="181">
        <f>SUM(C120:E120)</f>
        <v>323335</v>
      </c>
    </row>
    <row r="121" spans="1:6" s="177" customFormat="1" x14ac:dyDescent="0.2">
      <c r="B121" s="14" t="s">
        <v>35</v>
      </c>
      <c r="C121" s="178">
        <f>SUM(C120:C120)</f>
        <v>0</v>
      </c>
      <c r="D121" s="178">
        <f>SUM(D120:D120)</f>
        <v>0</v>
      </c>
      <c r="E121" s="178">
        <f>SUM(E120:E120)</f>
        <v>323335</v>
      </c>
      <c r="F121" s="178">
        <f>SUM(F120:F120)</f>
        <v>323335</v>
      </c>
    </row>
    <row r="122" spans="1:6" s="177" customFormat="1" ht="15" thickBot="1" x14ac:dyDescent="0.25">
      <c r="B122" s="14" t="s">
        <v>1396</v>
      </c>
      <c r="C122" s="178"/>
      <c r="D122" s="178"/>
      <c r="E122" s="178"/>
      <c r="F122" s="190">
        <f>F118+F121</f>
        <v>10986923</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410</v>
      </c>
      <c r="B2" s="59" t="str">
        <f>VLOOKUP(A2,Data!A:G,7,0)</f>
        <v>Wharton County Junior College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4400</v>
      </c>
      <c r="E5" s="16">
        <f>E36+E67+IFERROR($E$105/$D$105*D5,0)</f>
        <v>50538.166631313688</v>
      </c>
      <c r="F5" s="21">
        <f>IFERROR(E5/D5,"")</f>
        <v>11.485946961662203</v>
      </c>
    </row>
    <row r="6" spans="1:6" x14ac:dyDescent="0.2">
      <c r="A6" s="20">
        <v>2</v>
      </c>
      <c r="B6" s="202" t="s">
        <v>1</v>
      </c>
      <c r="C6" s="203"/>
      <c r="D6" s="15">
        <f t="shared" ref="D6:D32" si="0">D37</f>
        <v>63840</v>
      </c>
      <c r="E6" s="18">
        <f t="shared" ref="E6:E32" si="1">E37+E68+IFERROR($E$105/$D$105*D6,0)</f>
        <v>477345.69039615133</v>
      </c>
      <c r="F6" s="22">
        <f t="shared" ref="F6:F33" si="2">IFERROR(E6/D6,"")</f>
        <v>7.4772194610925959</v>
      </c>
    </row>
    <row r="7" spans="1:6" ht="14.25" customHeight="1" x14ac:dyDescent="0.2">
      <c r="A7" s="20">
        <v>3</v>
      </c>
      <c r="B7" s="202" t="s">
        <v>2</v>
      </c>
      <c r="C7" s="203"/>
      <c r="D7" s="15">
        <f t="shared" si="0"/>
        <v>478512</v>
      </c>
      <c r="E7" s="18">
        <f t="shared" si="1"/>
        <v>3815591.9034279943</v>
      </c>
      <c r="F7" s="22">
        <f t="shared" si="2"/>
        <v>7.973868792063719</v>
      </c>
    </row>
    <row r="8" spans="1:6" ht="14.25" customHeight="1" x14ac:dyDescent="0.2">
      <c r="A8" s="20">
        <v>4</v>
      </c>
      <c r="B8" s="202" t="s">
        <v>3</v>
      </c>
      <c r="C8" s="203"/>
      <c r="D8" s="15">
        <f t="shared" si="0"/>
        <v>144803</v>
      </c>
      <c r="E8" s="18">
        <f t="shared" si="1"/>
        <v>895531.88948048092</v>
      </c>
      <c r="F8" s="22">
        <f t="shared" si="2"/>
        <v>6.1844843648300172</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168</v>
      </c>
      <c r="E10" s="18">
        <f t="shared" si="1"/>
        <v>1665.4518168319773</v>
      </c>
      <c r="F10" s="22">
        <f t="shared" si="2"/>
        <v>9.9134036716189122</v>
      </c>
    </row>
    <row r="11" spans="1:6" x14ac:dyDescent="0.2">
      <c r="A11" s="20">
        <v>7</v>
      </c>
      <c r="B11" s="202" t="s">
        <v>6</v>
      </c>
      <c r="C11" s="203"/>
      <c r="D11" s="15">
        <f t="shared" si="0"/>
        <v>86020</v>
      </c>
      <c r="E11" s="18">
        <f t="shared" si="1"/>
        <v>1011848.5076421825</v>
      </c>
      <c r="F11" s="22">
        <f t="shared" si="2"/>
        <v>11.762944752873548</v>
      </c>
    </row>
    <row r="12" spans="1:6" x14ac:dyDescent="0.2">
      <c r="A12" s="20">
        <v>8</v>
      </c>
      <c r="B12" s="202" t="s">
        <v>7</v>
      </c>
      <c r="C12" s="203"/>
      <c r="D12" s="15">
        <f t="shared" si="0"/>
        <v>16608</v>
      </c>
      <c r="E12" s="18">
        <f t="shared" si="1"/>
        <v>238186.66532110402</v>
      </c>
      <c r="F12" s="22">
        <f t="shared" si="2"/>
        <v>14.341682642166669</v>
      </c>
    </row>
    <row r="13" spans="1:6" x14ac:dyDescent="0.2">
      <c r="A13" s="20">
        <v>9</v>
      </c>
      <c r="B13" s="202" t="s">
        <v>8</v>
      </c>
      <c r="C13" s="203"/>
      <c r="D13" s="15">
        <f t="shared" si="0"/>
        <v>128425</v>
      </c>
      <c r="E13" s="18">
        <f t="shared" si="1"/>
        <v>1073152.4260514681</v>
      </c>
      <c r="F13" s="22">
        <f t="shared" si="2"/>
        <v>8.3562579408329221</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90784</v>
      </c>
      <c r="E15" s="18">
        <f t="shared" si="1"/>
        <v>772857.81987663219</v>
      </c>
      <c r="F15" s="22">
        <f t="shared" si="2"/>
        <v>8.5131501131987157</v>
      </c>
    </row>
    <row r="16" spans="1:6" ht="14.25" customHeight="1" x14ac:dyDescent="0.2">
      <c r="A16" s="20">
        <v>12</v>
      </c>
      <c r="B16" s="202" t="s">
        <v>11</v>
      </c>
      <c r="C16" s="203"/>
      <c r="D16" s="15">
        <f t="shared" si="0"/>
        <v>431252</v>
      </c>
      <c r="E16" s="18">
        <f t="shared" si="1"/>
        <v>3333376.6363834748</v>
      </c>
      <c r="F16" s="22">
        <f t="shared" si="2"/>
        <v>7.7295331647933798</v>
      </c>
    </row>
    <row r="17" spans="1:6" x14ac:dyDescent="0.2">
      <c r="A17" s="20">
        <v>13</v>
      </c>
      <c r="B17" s="202" t="s">
        <v>12</v>
      </c>
      <c r="C17" s="203"/>
      <c r="D17" s="15">
        <f t="shared" si="0"/>
        <v>15032</v>
      </c>
      <c r="E17" s="18">
        <f t="shared" si="1"/>
        <v>141277.76018225169</v>
      </c>
      <c r="F17" s="22">
        <f t="shared" si="2"/>
        <v>9.3984672819486228</v>
      </c>
    </row>
    <row r="18" spans="1:6" ht="14.25" customHeight="1" x14ac:dyDescent="0.2">
      <c r="A18" s="20">
        <v>14</v>
      </c>
      <c r="B18" s="202" t="s">
        <v>449</v>
      </c>
      <c r="C18" s="203"/>
      <c r="D18" s="15">
        <f t="shared" si="0"/>
        <v>80368</v>
      </c>
      <c r="E18" s="18">
        <f t="shared" si="1"/>
        <v>1404773.8072330495</v>
      </c>
      <c r="F18" s="22">
        <f t="shared" si="2"/>
        <v>17.479267957807206</v>
      </c>
    </row>
    <row r="19" spans="1:6" x14ac:dyDescent="0.2">
      <c r="A19" s="20">
        <v>15</v>
      </c>
      <c r="B19" s="202" t="s">
        <v>13</v>
      </c>
      <c r="C19" s="203"/>
      <c r="D19" s="15">
        <f t="shared" si="0"/>
        <v>30384</v>
      </c>
      <c r="E19" s="18">
        <f t="shared" si="1"/>
        <v>646472.7143013262</v>
      </c>
      <c r="F19" s="22">
        <f t="shared" si="2"/>
        <v>21.276748101017844</v>
      </c>
    </row>
    <row r="20" spans="1:6" x14ac:dyDescent="0.2">
      <c r="A20" s="20">
        <v>16</v>
      </c>
      <c r="B20" s="202" t="s">
        <v>14</v>
      </c>
      <c r="C20" s="203"/>
      <c r="D20" s="15">
        <f t="shared" si="0"/>
        <v>149245</v>
      </c>
      <c r="E20" s="18">
        <f t="shared" si="1"/>
        <v>1527044.9190660026</v>
      </c>
      <c r="F20" s="22">
        <f t="shared" si="2"/>
        <v>10.231799518014022</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44672</v>
      </c>
      <c r="E22" s="18">
        <f t="shared" si="1"/>
        <v>502202.47358046478</v>
      </c>
      <c r="F22" s="22">
        <f t="shared" si="2"/>
        <v>11.241996632800518</v>
      </c>
    </row>
    <row r="23" spans="1:6" x14ac:dyDescent="0.2">
      <c r="A23" s="20">
        <v>19</v>
      </c>
      <c r="B23" s="202" t="s">
        <v>17</v>
      </c>
      <c r="C23" s="203"/>
      <c r="D23" s="15">
        <f t="shared" si="0"/>
        <v>205864</v>
      </c>
      <c r="E23" s="18">
        <f t="shared" si="1"/>
        <v>1684499.3144065365</v>
      </c>
      <c r="F23" s="22">
        <f t="shared" si="2"/>
        <v>8.1825832316798301</v>
      </c>
    </row>
    <row r="24" spans="1:6" x14ac:dyDescent="0.2">
      <c r="A24" s="20">
        <v>20</v>
      </c>
      <c r="B24" s="202" t="s">
        <v>18</v>
      </c>
      <c r="C24" s="203"/>
      <c r="D24" s="15">
        <f t="shared" si="0"/>
        <v>26400</v>
      </c>
      <c r="E24" s="18">
        <f t="shared" si="1"/>
        <v>229488.99978788215</v>
      </c>
      <c r="F24" s="22">
        <f t="shared" si="2"/>
        <v>8.6927651434803845</v>
      </c>
    </row>
    <row r="25" spans="1:6" ht="14.25" customHeight="1" x14ac:dyDescent="0.2">
      <c r="A25" s="20">
        <v>21</v>
      </c>
      <c r="B25" s="202" t="s">
        <v>446</v>
      </c>
      <c r="C25" s="203"/>
      <c r="D25" s="15">
        <f t="shared" si="0"/>
        <v>0</v>
      </c>
      <c r="E25" s="18">
        <f t="shared" si="1"/>
        <v>0</v>
      </c>
      <c r="F25" s="22" t="str">
        <f t="shared" si="2"/>
        <v/>
      </c>
    </row>
    <row r="26" spans="1:6" x14ac:dyDescent="0.2">
      <c r="A26" s="20">
        <v>22</v>
      </c>
      <c r="B26" s="202" t="s">
        <v>19</v>
      </c>
      <c r="C26" s="203"/>
      <c r="D26" s="15">
        <f t="shared" si="0"/>
        <v>4464</v>
      </c>
      <c r="E26" s="18">
        <f t="shared" si="1"/>
        <v>55252.005418678251</v>
      </c>
      <c r="F26" s="22">
        <f t="shared" si="2"/>
        <v>12.37724135723079</v>
      </c>
    </row>
    <row r="27" spans="1:6" x14ac:dyDescent="0.2">
      <c r="A27" s="20">
        <v>23</v>
      </c>
      <c r="B27" s="202" t="s">
        <v>20</v>
      </c>
      <c r="C27" s="203"/>
      <c r="D27" s="15">
        <f t="shared" si="0"/>
        <v>45984</v>
      </c>
      <c r="E27" s="18">
        <f t="shared" si="1"/>
        <v>437215.66872143833</v>
      </c>
      <c r="F27" s="22">
        <f t="shared" si="2"/>
        <v>9.5079955793632198</v>
      </c>
    </row>
    <row r="28" spans="1:6" x14ac:dyDescent="0.2">
      <c r="A28" s="20">
        <v>24</v>
      </c>
      <c r="B28" s="202" t="s">
        <v>21</v>
      </c>
      <c r="C28" s="203"/>
      <c r="D28" s="15">
        <f t="shared" si="0"/>
        <v>91224</v>
      </c>
      <c r="E28" s="18">
        <f t="shared" si="1"/>
        <v>1059208.3365397635</v>
      </c>
      <c r="F28" s="22">
        <f t="shared" si="2"/>
        <v>11.611070952159119</v>
      </c>
    </row>
    <row r="29" spans="1:6" x14ac:dyDescent="0.2">
      <c r="A29" s="20">
        <v>25</v>
      </c>
      <c r="B29" s="202" t="s">
        <v>22</v>
      </c>
      <c r="C29" s="203"/>
      <c r="D29" s="15">
        <f t="shared" si="0"/>
        <v>587290</v>
      </c>
      <c r="E29" s="18">
        <f t="shared" si="1"/>
        <v>4309886.866114594</v>
      </c>
      <c r="F29" s="22">
        <f t="shared" si="2"/>
        <v>7.3386008038866555</v>
      </c>
    </row>
    <row r="30" spans="1:6" x14ac:dyDescent="0.2">
      <c r="A30" s="20">
        <v>26</v>
      </c>
      <c r="B30" s="202" t="s">
        <v>23</v>
      </c>
      <c r="C30" s="203"/>
      <c r="D30" s="15">
        <f t="shared" si="0"/>
        <v>104016</v>
      </c>
      <c r="E30" s="18">
        <f t="shared" si="1"/>
        <v>1000634.7391642556</v>
      </c>
      <c r="F30" s="22">
        <f t="shared" si="2"/>
        <v>9.6200078753677847</v>
      </c>
    </row>
    <row r="31" spans="1:6" x14ac:dyDescent="0.2">
      <c r="A31" s="20">
        <v>28</v>
      </c>
      <c r="B31" s="202" t="s">
        <v>24</v>
      </c>
      <c r="C31" s="203"/>
      <c r="D31" s="15">
        <f t="shared" si="0"/>
        <v>51360</v>
      </c>
      <c r="E31" s="18">
        <f t="shared" si="1"/>
        <v>264703.1268600616</v>
      </c>
      <c r="F31" s="22">
        <f t="shared" si="2"/>
        <v>5.1538770806086758</v>
      </c>
    </row>
    <row r="32" spans="1:6" ht="15.75" customHeight="1" thickBot="1" x14ac:dyDescent="0.25">
      <c r="A32" s="23">
        <v>29</v>
      </c>
      <c r="B32" s="206" t="s">
        <v>25</v>
      </c>
      <c r="C32" s="207"/>
      <c r="D32" s="24">
        <f t="shared" si="0"/>
        <v>65360</v>
      </c>
      <c r="E32" s="25">
        <f t="shared" si="1"/>
        <v>614668.11159605975</v>
      </c>
      <c r="F32" s="26">
        <f t="shared" si="2"/>
        <v>9.4043468726447337</v>
      </c>
    </row>
    <row r="33" spans="1:6" x14ac:dyDescent="0.2">
      <c r="B33" s="31" t="s">
        <v>35</v>
      </c>
      <c r="C33" s="31"/>
      <c r="D33" s="60">
        <f>SUM(D5:D32)</f>
        <v>2946475</v>
      </c>
      <c r="E33" s="32">
        <f>SUM(E5:E32)</f>
        <v>25547423.999999989</v>
      </c>
      <c r="F33" s="33">
        <f t="shared" si="2"/>
        <v>8.6705042465997462</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IF(F3="1",SUMIF(Data!A:A,'50'!$A$2,Data!CU:CU),0)</f>
        <v>4400</v>
      </c>
      <c r="E36" s="16">
        <f>IF(F3="1",SUMIF(Data!$A:$A,'50'!$A$2,Data!IO:IO),0)</f>
        <v>7400</v>
      </c>
      <c r="F36" s="21">
        <f t="shared" ref="F36:F64" si="3">IFERROR(E36/D36,"")</f>
        <v>1.6818181818181819</v>
      </c>
    </row>
    <row r="37" spans="1:6" x14ac:dyDescent="0.2">
      <c r="A37" s="20">
        <v>2</v>
      </c>
      <c r="B37" s="202" t="s">
        <v>1</v>
      </c>
      <c r="C37" s="203"/>
      <c r="D37" s="15">
        <f>IF(F3="1",SUMIF(Data!A:A,'50'!$A$2,Data!CV:CV),0)</f>
        <v>63840</v>
      </c>
      <c r="E37" s="18">
        <f>IF(F3="1",SUMIF(Data!$A:$A,'50'!$A$2,Data!IP:IP),0)</f>
        <v>74684</v>
      </c>
      <c r="F37" s="22">
        <f t="shared" si="3"/>
        <v>1.1698621553884712</v>
      </c>
    </row>
    <row r="38" spans="1:6" ht="14.25" customHeight="1" x14ac:dyDescent="0.2">
      <c r="A38" s="20">
        <v>3</v>
      </c>
      <c r="B38" s="202" t="s">
        <v>2</v>
      </c>
      <c r="C38" s="203"/>
      <c r="D38" s="15">
        <f>IF(F3="1",SUMIF(Data!A:A,'50'!$A$2,Data!CW:CW),0)</f>
        <v>478512</v>
      </c>
      <c r="E38" s="18">
        <f>IF(F3="1",SUMIF(Data!$A:$A,'50'!$A$2,Data!IQ:IQ),0)</f>
        <v>368853</v>
      </c>
      <c r="F38" s="22">
        <f t="shared" si="3"/>
        <v>0.77083333333333337</v>
      </c>
    </row>
    <row r="39" spans="1:6" ht="14.25" customHeight="1" x14ac:dyDescent="0.2">
      <c r="A39" s="20">
        <v>4</v>
      </c>
      <c r="B39" s="202" t="s">
        <v>3</v>
      </c>
      <c r="C39" s="203"/>
      <c r="D39" s="15">
        <f>IF(F3="1",SUMIF(Data!A:A,'50'!$A$2,Data!CX:CX),0)</f>
        <v>144803</v>
      </c>
      <c r="E39" s="18">
        <f>IF(F3="1",SUMIF(Data!$A:$A,'50'!$A$2,Data!IR:IR),0)</f>
        <v>62539</v>
      </c>
      <c r="F39" s="22">
        <f t="shared" si="3"/>
        <v>0.4318902232688549</v>
      </c>
    </row>
    <row r="40" spans="1:6" x14ac:dyDescent="0.2">
      <c r="A40" s="20">
        <v>5</v>
      </c>
      <c r="B40" s="202" t="s">
        <v>4</v>
      </c>
      <c r="C40" s="203"/>
      <c r="D40" s="15">
        <f>IF(F3="1",SUMIF(Data!A:A,'50'!$A$2,Data!CY:CY),0)</f>
        <v>0</v>
      </c>
      <c r="E40" s="18">
        <f>IF(F3="1",SUMIF(Data!$A:$A,'50'!$A$2,Data!IS:IS),0)</f>
        <v>0</v>
      </c>
      <c r="F40" s="22" t="str">
        <f t="shared" si="3"/>
        <v/>
      </c>
    </row>
    <row r="41" spans="1:6" x14ac:dyDescent="0.2">
      <c r="A41" s="20">
        <v>6</v>
      </c>
      <c r="B41" s="202" t="s">
        <v>5</v>
      </c>
      <c r="C41" s="203"/>
      <c r="D41" s="15">
        <f>IF(F3="1",SUMIF(Data!A:A,'50'!$A$2,Data!CZ:CZ),0)</f>
        <v>168</v>
      </c>
      <c r="E41" s="18">
        <f>IF(F3="1",SUMIF(Data!$A:$A,'50'!$A$2,Data!IT:IT),0)</f>
        <v>718</v>
      </c>
      <c r="F41" s="22">
        <f t="shared" si="3"/>
        <v>4.2738095238095237</v>
      </c>
    </row>
    <row r="42" spans="1:6" x14ac:dyDescent="0.2">
      <c r="A42" s="20">
        <v>7</v>
      </c>
      <c r="B42" s="202" t="s">
        <v>6</v>
      </c>
      <c r="C42" s="203"/>
      <c r="D42" s="15">
        <f>IF(F3="1",SUMIF(Data!A:A,'50'!$A$2,Data!DA:DA),0)</f>
        <v>86020</v>
      </c>
      <c r="E42" s="18">
        <f>IF(F3="1",SUMIF(Data!$A:$A,'50'!$A$2,Data!IU:IU),0)</f>
        <v>165149</v>
      </c>
      <c r="F42" s="22">
        <f t="shared" si="3"/>
        <v>1.9198907230876541</v>
      </c>
    </row>
    <row r="43" spans="1:6" x14ac:dyDescent="0.2">
      <c r="A43" s="20">
        <v>8</v>
      </c>
      <c r="B43" s="202" t="s">
        <v>7</v>
      </c>
      <c r="C43" s="203"/>
      <c r="D43" s="15">
        <f>IF(F3="1",SUMIF(Data!A:A,'50'!$A$2,Data!DB:DB),0)</f>
        <v>16608</v>
      </c>
      <c r="E43" s="18">
        <f>IF(F3="1",SUMIF(Data!$A:$A,'50'!$A$2,Data!IV:IV),0)</f>
        <v>44935</v>
      </c>
      <c r="F43" s="22">
        <f t="shared" si="3"/>
        <v>2.7056237957610789</v>
      </c>
    </row>
    <row r="44" spans="1:6" x14ac:dyDescent="0.2">
      <c r="A44" s="20">
        <v>9</v>
      </c>
      <c r="B44" s="202" t="s">
        <v>8</v>
      </c>
      <c r="C44" s="203"/>
      <c r="D44" s="15">
        <f>IF(F3="1",SUMIF(Data!A:A,'50'!$A$2,Data!DC:DC),0)</f>
        <v>128425</v>
      </c>
      <c r="E44" s="18">
        <f>IF(F3="1",SUMIF(Data!$A:$A,'50'!$A$2,Data!IW:IW),0)</f>
        <v>131697</v>
      </c>
      <c r="F44" s="22">
        <f t="shared" si="3"/>
        <v>1.0254779053922523</v>
      </c>
    </row>
    <row r="45" spans="1:6" x14ac:dyDescent="0.2">
      <c r="A45" s="20">
        <v>10</v>
      </c>
      <c r="B45" s="202" t="s">
        <v>9</v>
      </c>
      <c r="C45" s="203"/>
      <c r="D45" s="15">
        <f>IF(F3="1",SUMIF(Data!A:A,'50'!$A$2,Data!DD:DD),0)</f>
        <v>0</v>
      </c>
      <c r="E45" s="18">
        <f>IF(F3="1",SUMIF(Data!$A:$A,'50'!$A$2,Data!IX:IX),0)</f>
        <v>0</v>
      </c>
      <c r="F45" s="22" t="str">
        <f t="shared" si="3"/>
        <v/>
      </c>
    </row>
    <row r="46" spans="1:6" x14ac:dyDescent="0.2">
      <c r="A46" s="20">
        <v>11</v>
      </c>
      <c r="B46" s="202" t="s">
        <v>10</v>
      </c>
      <c r="C46" s="203"/>
      <c r="D46" s="15">
        <f>IF(F3="1",SUMIF(Data!A:A,'50'!$A$2,Data!DE:DE),0)</f>
        <v>90784</v>
      </c>
      <c r="E46" s="18">
        <f>IF(F3="1",SUMIF(Data!$A:$A,'50'!$A$2,Data!IY:IY),0)</f>
        <v>105197</v>
      </c>
      <c r="F46" s="22">
        <f t="shared" si="3"/>
        <v>1.1587614557631301</v>
      </c>
    </row>
    <row r="47" spans="1:6" ht="14.25" customHeight="1" x14ac:dyDescent="0.2">
      <c r="A47" s="20">
        <v>12</v>
      </c>
      <c r="B47" s="202" t="s">
        <v>11</v>
      </c>
      <c r="C47" s="203"/>
      <c r="D47" s="15">
        <f>IF(F3="1",SUMIF(Data!A:A,'50'!$A$2,Data!DF:DF),0)</f>
        <v>431252</v>
      </c>
      <c r="E47" s="18">
        <f>IF(F3="1",SUMIF(Data!$A:$A,'50'!$A$2,Data!IZ:IZ),0)</f>
        <v>251923</v>
      </c>
      <c r="F47" s="22">
        <f t="shared" si="3"/>
        <v>0.58416656618404084</v>
      </c>
    </row>
    <row r="48" spans="1:6" x14ac:dyDescent="0.2">
      <c r="A48" s="20">
        <v>13</v>
      </c>
      <c r="B48" s="202" t="s">
        <v>12</v>
      </c>
      <c r="C48" s="203"/>
      <c r="D48" s="15">
        <f>IF(F3="1",SUMIF(Data!A:A,'50'!$A$2,Data!DG:DG),0)</f>
        <v>15032</v>
      </c>
      <c r="E48" s="18">
        <f>IF(F3="1",SUMIF(Data!$A:$A,'50'!$A$2,Data!JA:JA),0)</f>
        <v>12684</v>
      </c>
      <c r="F48" s="22">
        <f t="shared" si="3"/>
        <v>0.84379989356040452</v>
      </c>
    </row>
    <row r="49" spans="1:6" ht="14.25" customHeight="1" x14ac:dyDescent="0.2">
      <c r="A49" s="20">
        <v>14</v>
      </c>
      <c r="B49" s="202" t="s">
        <v>449</v>
      </c>
      <c r="C49" s="203"/>
      <c r="D49" s="15">
        <f>IF(F3="1",SUMIF(Data!A:A,'50'!$A$2,Data!DH:DH),0)</f>
        <v>80368</v>
      </c>
      <c r="E49" s="18">
        <f>IF(F3="1",SUMIF(Data!$A:$A,'50'!$A$2,Data!JB:JB),0)</f>
        <v>292211</v>
      </c>
      <c r="F49" s="22">
        <f t="shared" si="3"/>
        <v>3.6359123034043401</v>
      </c>
    </row>
    <row r="50" spans="1:6" x14ac:dyDescent="0.2">
      <c r="A50" s="20">
        <v>15</v>
      </c>
      <c r="B50" s="202" t="s">
        <v>13</v>
      </c>
      <c r="C50" s="203"/>
      <c r="D50" s="15">
        <f>IF(F3="1",SUMIF(Data!A:A,'50'!$A$2,Data!DI:DI),0)</f>
        <v>30384</v>
      </c>
      <c r="E50" s="18">
        <f>IF(F3="1",SUMIF(Data!$A:$A,'50'!$A$2,Data!JC:JC),0)</f>
        <v>140407</v>
      </c>
      <c r="F50" s="22">
        <f t="shared" si="3"/>
        <v>4.6210834649815693</v>
      </c>
    </row>
    <row r="51" spans="1:6" x14ac:dyDescent="0.2">
      <c r="A51" s="20">
        <v>16</v>
      </c>
      <c r="B51" s="202" t="s">
        <v>14</v>
      </c>
      <c r="C51" s="203"/>
      <c r="D51" s="15">
        <f>IF(F3="1",SUMIF(Data!A:A,'50'!$A$2,Data!DJ:DJ),0)</f>
        <v>149245</v>
      </c>
      <c r="E51" s="18">
        <f>IF(F3="1",SUMIF(Data!$A:$A,'50'!$A$2,Data!JD:JD),0)</f>
        <v>271419</v>
      </c>
      <c r="F51" s="22">
        <f t="shared" si="3"/>
        <v>1.8186136889008007</v>
      </c>
    </row>
    <row r="52" spans="1:6" x14ac:dyDescent="0.2">
      <c r="A52" s="20">
        <v>17</v>
      </c>
      <c r="B52" s="202" t="s">
        <v>15</v>
      </c>
      <c r="C52" s="203"/>
      <c r="D52" s="15">
        <f>IF(F3="1",SUMIF(Data!A:A,'50'!$A$2,Data!DK:DK),0)</f>
        <v>0</v>
      </c>
      <c r="E52" s="18">
        <f>IF(F3="1",SUMIF(Data!$A:$A,'50'!$A$2,Data!JE:JE),0)</f>
        <v>0</v>
      </c>
      <c r="F52" s="22" t="str">
        <f t="shared" si="3"/>
        <v/>
      </c>
    </row>
    <row r="53" spans="1:6" x14ac:dyDescent="0.2">
      <c r="A53" s="20">
        <v>18</v>
      </c>
      <c r="B53" s="202" t="s">
        <v>16</v>
      </c>
      <c r="C53" s="203"/>
      <c r="D53" s="15">
        <f>IF(F3="1",SUMIF(Data!A:A,'50'!$A$2,Data!DL:DL),0)</f>
        <v>44672</v>
      </c>
      <c r="E53" s="18">
        <f>IF(F3="1",SUMIF(Data!$A:$A,'50'!$A$2,Data!JF:JF),0)</f>
        <v>65304</v>
      </c>
      <c r="F53" s="22">
        <f t="shared" si="3"/>
        <v>1.4618553008595989</v>
      </c>
    </row>
    <row r="54" spans="1:6" x14ac:dyDescent="0.2">
      <c r="A54" s="20">
        <v>19</v>
      </c>
      <c r="B54" s="202" t="s">
        <v>17</v>
      </c>
      <c r="C54" s="203"/>
      <c r="D54" s="15">
        <f>IF(F3="1",SUMIF(Data!A:A,'50'!$A$2,Data!DM:DM),0)</f>
        <v>205864</v>
      </c>
      <c r="E54" s="18">
        <f>IF(F3="1",SUMIF(Data!$A:$A,'50'!$A$2,Data!JG:JG),0)</f>
        <v>138105</v>
      </c>
      <c r="F54" s="22">
        <f t="shared" si="3"/>
        <v>0.67085551626316398</v>
      </c>
    </row>
    <row r="55" spans="1:6" x14ac:dyDescent="0.2">
      <c r="A55" s="20">
        <v>20</v>
      </c>
      <c r="B55" s="202" t="s">
        <v>18</v>
      </c>
      <c r="C55" s="203"/>
      <c r="D55" s="15">
        <f>IF(F3="1",SUMIF(Data!A:A,'50'!$A$2,Data!DN:DN),0)</f>
        <v>26400</v>
      </c>
      <c r="E55" s="18">
        <f>IF(F3="1",SUMIF(Data!$A:$A,'50'!$A$2,Data!JH:JH),0)</f>
        <v>31009</v>
      </c>
      <c r="F55" s="22">
        <f t="shared" si="3"/>
        <v>1.1745833333333333</v>
      </c>
    </row>
    <row r="56" spans="1:6" ht="14.25" customHeight="1" x14ac:dyDescent="0.2">
      <c r="A56" s="20">
        <v>21</v>
      </c>
      <c r="B56" s="202" t="s">
        <v>446</v>
      </c>
      <c r="C56" s="203"/>
      <c r="D56" s="15">
        <f>IF(F3="1",SUMIF(Data!A:A,'50'!$A$2,Data!DO:DO),0)</f>
        <v>0</v>
      </c>
      <c r="E56" s="18">
        <f>IF(F3="1",SUMIF(Data!$A:$A,'50'!$A$2,Data!JI:JI),0)</f>
        <v>0</v>
      </c>
      <c r="F56" s="22" t="str">
        <f t="shared" si="3"/>
        <v/>
      </c>
    </row>
    <row r="57" spans="1:6" x14ac:dyDescent="0.2">
      <c r="A57" s="20">
        <v>22</v>
      </c>
      <c r="B57" s="202" t="s">
        <v>19</v>
      </c>
      <c r="C57" s="203"/>
      <c r="D57" s="15">
        <f>IF(F3="1",SUMIF(Data!A:A,'50'!$A$2,Data!DP:DP),0)</f>
        <v>4464</v>
      </c>
      <c r="E57" s="18">
        <f>IF(F3="1",SUMIF(Data!$A:$A,'50'!$A$2,Data!JJ:JJ),0)</f>
        <v>9379</v>
      </c>
      <c r="F57" s="22">
        <f t="shared" si="3"/>
        <v>2.1010304659498207</v>
      </c>
    </row>
    <row r="58" spans="1:6" x14ac:dyDescent="0.2">
      <c r="A58" s="20">
        <v>23</v>
      </c>
      <c r="B58" s="202" t="s">
        <v>20</v>
      </c>
      <c r="C58" s="203"/>
      <c r="D58" s="15">
        <f>IF(F3="1",SUMIF(Data!A:A,'50'!$A$2,Data!DQ:DQ),0)</f>
        <v>45984</v>
      </c>
      <c r="E58" s="18">
        <f>IF(F3="1",SUMIF(Data!$A:$A,'50'!$A$2,Data!JK:JK),0)</f>
        <v>43891</v>
      </c>
      <c r="F58" s="22">
        <f t="shared" si="3"/>
        <v>0.95448416840640227</v>
      </c>
    </row>
    <row r="59" spans="1:6" x14ac:dyDescent="0.2">
      <c r="A59" s="20">
        <v>24</v>
      </c>
      <c r="B59" s="202" t="s">
        <v>21</v>
      </c>
      <c r="C59" s="203"/>
      <c r="D59" s="15">
        <f>IF(F3="1",SUMIF(Data!A:A,'50'!$A$2,Data!DR:DR),0)</f>
        <v>91224</v>
      </c>
      <c r="E59" s="18">
        <f>IF(F3="1",SUMIF(Data!$A:$A,'50'!$A$2,Data!JL:JL),0)</f>
        <v>194282</v>
      </c>
      <c r="F59" s="22">
        <f t="shared" si="3"/>
        <v>2.1297246338682805</v>
      </c>
    </row>
    <row r="60" spans="1:6" x14ac:dyDescent="0.2">
      <c r="A60" s="20">
        <v>25</v>
      </c>
      <c r="B60" s="202" t="s">
        <v>22</v>
      </c>
      <c r="C60" s="203"/>
      <c r="D60" s="15">
        <f>IF(F3="1",SUMIF(Data!A:A,'50'!$A$2,Data!DS:DS),0)</f>
        <v>587290</v>
      </c>
      <c r="E60" s="18">
        <f>IF(F3="1",SUMIF(Data!$A:$A,'50'!$A$2,Data!JM:JM),0)</f>
        <v>316808</v>
      </c>
      <c r="F60" s="22">
        <f t="shared" si="3"/>
        <v>0.53944048085273033</v>
      </c>
    </row>
    <row r="61" spans="1:6" x14ac:dyDescent="0.2">
      <c r="A61" s="20">
        <v>26</v>
      </c>
      <c r="B61" s="202" t="s">
        <v>23</v>
      </c>
      <c r="C61" s="203"/>
      <c r="D61" s="15">
        <f>IF(F3="1",SUMIF(Data!A:A,'50'!$A$2,Data!DT:DT),0)</f>
        <v>104016</v>
      </c>
      <c r="E61" s="18">
        <f>IF(F3="1",SUMIF(Data!$A:$A,'50'!$A$2,Data!JN:JN),0)</f>
        <v>132267</v>
      </c>
      <c r="F61" s="22">
        <f t="shared" si="3"/>
        <v>1.2716024457775728</v>
      </c>
    </row>
    <row r="62" spans="1:6" x14ac:dyDescent="0.2">
      <c r="A62" s="20">
        <v>28</v>
      </c>
      <c r="B62" s="202" t="s">
        <v>24</v>
      </c>
      <c r="C62" s="203"/>
      <c r="D62" s="15">
        <f>IF(F3="1",SUMIF(Data!A:A,'50'!$A$2,Data!DV:DV),0)</f>
        <v>51360</v>
      </c>
      <c r="E62" s="18">
        <f>IF(F3="1",SUMIF(Data!$A:$A,'50'!$A$2,Data!JP:JP),0)</f>
        <v>9435</v>
      </c>
      <c r="F62" s="22">
        <f t="shared" si="3"/>
        <v>0.18370327102803738</v>
      </c>
    </row>
    <row r="63" spans="1:6" ht="15.75" customHeight="1" thickBot="1" x14ac:dyDescent="0.25">
      <c r="A63" s="23">
        <v>29</v>
      </c>
      <c r="B63" s="206" t="s">
        <v>25</v>
      </c>
      <c r="C63" s="207"/>
      <c r="D63" s="24">
        <f>IF(F3="1",SUMIF(Data!A:A,'50'!$A$2,Data!DW:DW),0)</f>
        <v>65360</v>
      </c>
      <c r="E63" s="25">
        <f>IF(F3="1",SUMIF(Data!$A:$A,'50'!$A$2,Data!JQ:JQ),0)</f>
        <v>56376</v>
      </c>
      <c r="F63" s="26">
        <f t="shared" si="3"/>
        <v>0.86254589963280293</v>
      </c>
    </row>
    <row r="64" spans="1:6" x14ac:dyDescent="0.2">
      <c r="B64" s="31" t="s">
        <v>35</v>
      </c>
      <c r="C64" s="31"/>
      <c r="D64" s="60">
        <f>SUM(D36:D63)</f>
        <v>2946475</v>
      </c>
      <c r="E64" s="32">
        <f>SUM(E36:E63)</f>
        <v>2926672</v>
      </c>
      <c r="F64" s="33">
        <f t="shared" si="3"/>
        <v>0.99327908772346618</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4400</v>
      </c>
      <c r="E67" s="16">
        <f>IF(F3="1",SUMIF(Data!A:A,'50'!$A$2,Data!DY:DY),0)</f>
        <v>25343</v>
      </c>
      <c r="F67" s="21">
        <f>IFERROR(E67/D67,"")</f>
        <v>5.7597727272727273</v>
      </c>
    </row>
    <row r="68" spans="1:6" x14ac:dyDescent="0.2">
      <c r="A68" s="20">
        <v>2</v>
      </c>
      <c r="B68" s="202" t="s">
        <v>1</v>
      </c>
      <c r="C68" s="203"/>
      <c r="D68" s="15">
        <f t="shared" ref="D68:D94" si="4">D37</f>
        <v>63840</v>
      </c>
      <c r="E68" s="18">
        <f>IF(F3="1",SUMIF(Data!A:A,'50'!$A$2,Data!DZ:DZ),0)</f>
        <v>144470</v>
      </c>
      <c r="F68" s="22">
        <f t="shared" ref="F68:F95" si="5">IFERROR(E68/D68,"")</f>
        <v>2.2630012531328321</v>
      </c>
    </row>
    <row r="69" spans="1:6" ht="14.25" customHeight="1" x14ac:dyDescent="0.2">
      <c r="A69" s="20">
        <v>3</v>
      </c>
      <c r="B69" s="202" t="s">
        <v>2</v>
      </c>
      <c r="C69" s="203"/>
      <c r="D69" s="15">
        <f t="shared" si="4"/>
        <v>478512</v>
      </c>
      <c r="E69" s="18">
        <f>IF(F3="1",SUMIF(Data!A:A,'50'!$A$2,Data!EA:EA),0)</f>
        <v>1511466</v>
      </c>
      <c r="F69" s="22">
        <f t="shared" si="5"/>
        <v>3.1586794061590933</v>
      </c>
    </row>
    <row r="70" spans="1:6" ht="14.25" customHeight="1" x14ac:dyDescent="0.2">
      <c r="A70" s="20">
        <v>4</v>
      </c>
      <c r="B70" s="202" t="s">
        <v>3</v>
      </c>
      <c r="C70" s="203"/>
      <c r="D70" s="15">
        <f t="shared" si="4"/>
        <v>144803</v>
      </c>
      <c r="E70" s="18">
        <f>IF(F3="1",SUMIF(Data!A:A,'50'!$A$2,Data!EB:EB),0)</f>
        <v>247358</v>
      </c>
      <c r="F70" s="22">
        <f t="shared" si="5"/>
        <v>1.708238088989869</v>
      </c>
    </row>
    <row r="71" spans="1:6" x14ac:dyDescent="0.2">
      <c r="A71" s="20">
        <v>5</v>
      </c>
      <c r="B71" s="202" t="s">
        <v>4</v>
      </c>
      <c r="C71" s="203"/>
      <c r="D71" s="15">
        <f t="shared" si="4"/>
        <v>0</v>
      </c>
      <c r="E71" s="18">
        <f>IF(F3="1",SUMIF(Data!A:A,'50'!$A$2,Data!EC:EC),0)</f>
        <v>0</v>
      </c>
      <c r="F71" s="22" t="str">
        <f t="shared" si="5"/>
        <v/>
      </c>
    </row>
    <row r="72" spans="1:6" x14ac:dyDescent="0.2">
      <c r="A72" s="20">
        <v>6</v>
      </c>
      <c r="B72" s="202" t="s">
        <v>5</v>
      </c>
      <c r="C72" s="203"/>
      <c r="D72" s="15">
        <f t="shared" si="4"/>
        <v>168</v>
      </c>
      <c r="E72" s="18">
        <f>IF(F3="1",SUMIF(Data!A:A,'50'!$A$2,Data!ED:ED),0)</f>
        <v>268</v>
      </c>
      <c r="F72" s="22">
        <f t="shared" si="5"/>
        <v>1.5952380952380953</v>
      </c>
    </row>
    <row r="73" spans="1:6" x14ac:dyDescent="0.2">
      <c r="A73" s="20">
        <v>7</v>
      </c>
      <c r="B73" s="202" t="s">
        <v>6</v>
      </c>
      <c r="C73" s="203"/>
      <c r="D73" s="15">
        <f t="shared" si="4"/>
        <v>86020</v>
      </c>
      <c r="E73" s="18">
        <f>IF(F3="1",SUMIF(Data!A:A,'50'!$A$2,Data!EE:EE),0)</f>
        <v>498804</v>
      </c>
      <c r="F73" s="22">
        <f t="shared" si="5"/>
        <v>5.7986979772146015</v>
      </c>
    </row>
    <row r="74" spans="1:6" x14ac:dyDescent="0.2">
      <c r="A74" s="20">
        <v>8</v>
      </c>
      <c r="B74" s="202" t="s">
        <v>7</v>
      </c>
      <c r="C74" s="203"/>
      <c r="D74" s="15">
        <f t="shared" si="4"/>
        <v>16608</v>
      </c>
      <c r="E74" s="18">
        <f>IF(F3="1",SUMIF(Data!A:A,'50'!$A$2,Data!EF:EF),0)</f>
        <v>126083</v>
      </c>
      <c r="F74" s="22">
        <f t="shared" si="5"/>
        <v>7.5917027938342967</v>
      </c>
    </row>
    <row r="75" spans="1:6" x14ac:dyDescent="0.2">
      <c r="A75" s="20">
        <v>9</v>
      </c>
      <c r="B75" s="202" t="s">
        <v>8</v>
      </c>
      <c r="C75" s="203"/>
      <c r="D75" s="15">
        <f t="shared" si="4"/>
        <v>128425</v>
      </c>
      <c r="E75" s="18">
        <f>IF(F3="1",SUMIF(Data!A:A,'50'!$A$2,Data!EG:EG),0)</f>
        <v>422059</v>
      </c>
      <c r="F75" s="22">
        <f t="shared" si="5"/>
        <v>3.2864239828693789</v>
      </c>
    </row>
    <row r="76" spans="1:6" x14ac:dyDescent="0.2">
      <c r="A76" s="20">
        <v>10</v>
      </c>
      <c r="B76" s="202" t="s">
        <v>9</v>
      </c>
      <c r="C76" s="203"/>
      <c r="D76" s="15">
        <f t="shared" si="4"/>
        <v>0</v>
      </c>
      <c r="E76" s="18">
        <f>IF(F3="1",SUMIF(Data!A:A,'50'!$A$2,Data!EH:EH),0)</f>
        <v>0</v>
      </c>
      <c r="F76" s="22" t="str">
        <f t="shared" si="5"/>
        <v/>
      </c>
    </row>
    <row r="77" spans="1:6" x14ac:dyDescent="0.2">
      <c r="A77" s="20">
        <v>11</v>
      </c>
      <c r="B77" s="202" t="s">
        <v>10</v>
      </c>
      <c r="C77" s="203"/>
      <c r="D77" s="15">
        <f t="shared" si="4"/>
        <v>90784</v>
      </c>
      <c r="E77" s="18">
        <f>IF(F3="1",SUMIF(Data!A:A,'50'!$A$2,Data!EI:EI),0)</f>
        <v>300498</v>
      </c>
      <c r="F77" s="22">
        <f t="shared" si="5"/>
        <v>3.3100326048642934</v>
      </c>
    </row>
    <row r="78" spans="1:6" ht="14.25" customHeight="1" x14ac:dyDescent="0.2">
      <c r="A78" s="20">
        <v>12</v>
      </c>
      <c r="B78" s="202" t="s">
        <v>11</v>
      </c>
      <c r="C78" s="203"/>
      <c r="D78" s="15">
        <f t="shared" si="4"/>
        <v>431252</v>
      </c>
      <c r="E78" s="18">
        <f>IF(F3="1",SUMIF(Data!A:A,'50'!$A$2,Data!EJ:EJ),0)</f>
        <v>1337317</v>
      </c>
      <c r="F78" s="22">
        <f t="shared" si="5"/>
        <v>3.1010105460380473</v>
      </c>
    </row>
    <row r="79" spans="1:6" x14ac:dyDescent="0.2">
      <c r="A79" s="20">
        <v>13</v>
      </c>
      <c r="B79" s="202" t="s">
        <v>12</v>
      </c>
      <c r="C79" s="203"/>
      <c r="D79" s="15">
        <f t="shared" si="4"/>
        <v>15032</v>
      </c>
      <c r="E79" s="18">
        <f>IF(F3="1",SUMIF(Data!A:A,'50'!$A$2,Data!EK:EK),0)</f>
        <v>67799</v>
      </c>
      <c r="F79" s="22">
        <f t="shared" si="5"/>
        <v>4.5103113358169242</v>
      </c>
    </row>
    <row r="80" spans="1:6" ht="14.25" customHeight="1" x14ac:dyDescent="0.2">
      <c r="A80" s="20">
        <v>14</v>
      </c>
      <c r="B80" s="202" t="s">
        <v>449</v>
      </c>
      <c r="C80" s="203"/>
      <c r="D80" s="15">
        <f t="shared" si="4"/>
        <v>80368</v>
      </c>
      <c r="E80" s="18">
        <f>IF(F3="1",SUMIF(Data!A:A,'50'!$A$2,Data!EL:EL),0)</f>
        <v>787526</v>
      </c>
      <c r="F80" s="22">
        <f t="shared" si="5"/>
        <v>9.798999601831575</v>
      </c>
    </row>
    <row r="81" spans="1:6" x14ac:dyDescent="0.2">
      <c r="A81" s="20">
        <v>15</v>
      </c>
      <c r="B81" s="202" t="s">
        <v>13</v>
      </c>
      <c r="C81" s="203"/>
      <c r="D81" s="15">
        <f t="shared" si="4"/>
        <v>30384</v>
      </c>
      <c r="E81" s="18">
        <f>IF(F3="1",SUMIF(Data!A:A,'50'!$A$2,Data!EM:EM),0)</f>
        <v>383182</v>
      </c>
      <c r="F81" s="22">
        <f t="shared" si="5"/>
        <v>12.611308583464982</v>
      </c>
    </row>
    <row r="82" spans="1:6" x14ac:dyDescent="0.2">
      <c r="A82" s="20">
        <v>16</v>
      </c>
      <c r="B82" s="202" t="s">
        <v>14</v>
      </c>
      <c r="C82" s="203"/>
      <c r="D82" s="15">
        <f t="shared" si="4"/>
        <v>149245</v>
      </c>
      <c r="E82" s="18">
        <f>IF(F3="1",SUMIF(Data!A:A,'50'!$A$2,Data!EN:EN),0)</f>
        <v>652026</v>
      </c>
      <c r="F82" s="22">
        <f t="shared" si="5"/>
        <v>4.3688297765419275</v>
      </c>
    </row>
    <row r="83" spans="1:6" x14ac:dyDescent="0.2">
      <c r="A83" s="20">
        <v>17</v>
      </c>
      <c r="B83" s="202" t="s">
        <v>15</v>
      </c>
      <c r="C83" s="203"/>
      <c r="D83" s="15">
        <f t="shared" si="4"/>
        <v>0</v>
      </c>
      <c r="E83" s="18">
        <f>IF(F3="1",SUMIF(Data!A:A,'50'!$A$2,Data!EO:EO),0)</f>
        <v>0</v>
      </c>
      <c r="F83" s="22" t="str">
        <f t="shared" si="5"/>
        <v/>
      </c>
    </row>
    <row r="84" spans="1:6" x14ac:dyDescent="0.2">
      <c r="A84" s="20">
        <v>18</v>
      </c>
      <c r="B84" s="202" t="s">
        <v>16</v>
      </c>
      <c r="C84" s="203"/>
      <c r="D84" s="15">
        <f t="shared" si="4"/>
        <v>44672</v>
      </c>
      <c r="E84" s="18">
        <f>IF(F3="1",SUMIF(Data!A:A,'50'!$A$2,Data!EP:EP),0)</f>
        <v>256229</v>
      </c>
      <c r="F84" s="22">
        <f t="shared" si="5"/>
        <v>5.7357852793696278</v>
      </c>
    </row>
    <row r="85" spans="1:6" x14ac:dyDescent="0.2">
      <c r="A85" s="20">
        <v>19</v>
      </c>
      <c r="B85" s="202" t="s">
        <v>17</v>
      </c>
      <c r="C85" s="203"/>
      <c r="D85" s="15">
        <f t="shared" si="4"/>
        <v>205864</v>
      </c>
      <c r="E85" s="18">
        <f>IF(F3="1",SUMIF(Data!A:A,'50'!$A$2,Data!EQ:EQ),0)</f>
        <v>713807</v>
      </c>
      <c r="F85" s="22">
        <f t="shared" si="5"/>
        <v>3.4673716628453737</v>
      </c>
    </row>
    <row r="86" spans="1:6" x14ac:dyDescent="0.2">
      <c r="A86" s="20">
        <v>20</v>
      </c>
      <c r="B86" s="202" t="s">
        <v>18</v>
      </c>
      <c r="C86" s="203"/>
      <c r="D86" s="15">
        <f t="shared" si="4"/>
        <v>26400</v>
      </c>
      <c r="E86" s="18">
        <f>IF(F3="1",SUMIF(Data!A:A,'50'!$A$2,Data!ER:ER),0)</f>
        <v>91709</v>
      </c>
      <c r="F86" s="22">
        <f t="shared" si="5"/>
        <v>3.4738257575757574</v>
      </c>
    </row>
    <row r="87" spans="1:6" ht="14.25" customHeight="1" x14ac:dyDescent="0.2">
      <c r="A87" s="20">
        <v>21</v>
      </c>
      <c r="B87" s="202" t="s">
        <v>446</v>
      </c>
      <c r="C87" s="203"/>
      <c r="D87" s="15">
        <f t="shared" si="4"/>
        <v>0</v>
      </c>
      <c r="E87" s="18">
        <f>IF(F3="1",SUMIF(Data!A:A,'50'!$A$2,Data!ES:ES),0)</f>
        <v>0</v>
      </c>
      <c r="F87" s="22" t="str">
        <f t="shared" si="5"/>
        <v/>
      </c>
    </row>
    <row r="88" spans="1:6" x14ac:dyDescent="0.2">
      <c r="A88" s="20">
        <v>22</v>
      </c>
      <c r="B88" s="202" t="s">
        <v>19</v>
      </c>
      <c r="C88" s="203"/>
      <c r="D88" s="15">
        <f t="shared" si="4"/>
        <v>4464</v>
      </c>
      <c r="E88" s="18">
        <f>IF(F3="1",SUMIF(Data!A:A,'50'!$A$2,Data!ET:ET),0)</f>
        <v>27819</v>
      </c>
      <c r="F88" s="22">
        <f t="shared" si="5"/>
        <v>6.231854838709677</v>
      </c>
    </row>
    <row r="89" spans="1:6" x14ac:dyDescent="0.2">
      <c r="A89" s="20">
        <v>23</v>
      </c>
      <c r="B89" s="202" t="s">
        <v>20</v>
      </c>
      <c r="C89" s="203"/>
      <c r="D89" s="15">
        <f t="shared" si="4"/>
        <v>45984</v>
      </c>
      <c r="E89" s="18">
        <f>IF(F3="1",SUMIF(Data!A:A,'50'!$A$2,Data!EU:EU),0)</f>
        <v>207349</v>
      </c>
      <c r="F89" s="22">
        <f t="shared" si="5"/>
        <v>4.5091553583855255</v>
      </c>
    </row>
    <row r="90" spans="1:6" x14ac:dyDescent="0.2">
      <c r="A90" s="20">
        <v>24</v>
      </c>
      <c r="B90" s="202" t="s">
        <v>21</v>
      </c>
      <c r="C90" s="203"/>
      <c r="D90" s="15">
        <f t="shared" si="4"/>
        <v>91224</v>
      </c>
      <c r="E90" s="18">
        <f>IF(F3="1",SUMIF(Data!A:A,'50'!$A$2,Data!EV:EV),0)</f>
        <v>495984</v>
      </c>
      <c r="F90" s="22">
        <f t="shared" si="5"/>
        <v>5.4369902657195475</v>
      </c>
    </row>
    <row r="91" spans="1:6" x14ac:dyDescent="0.2">
      <c r="A91" s="20">
        <v>25</v>
      </c>
      <c r="B91" s="202" t="s">
        <v>22</v>
      </c>
      <c r="C91" s="203"/>
      <c r="D91" s="15">
        <f t="shared" si="4"/>
        <v>587290</v>
      </c>
      <c r="E91" s="18">
        <f>IF(F3="1",SUMIF(Data!A:A,'50'!$A$2,Data!EW:EW),0)</f>
        <v>1617869</v>
      </c>
      <c r="F91" s="22">
        <f t="shared" si="5"/>
        <v>2.7548042704626337</v>
      </c>
    </row>
    <row r="92" spans="1:6" x14ac:dyDescent="0.2">
      <c r="A92" s="20">
        <v>26</v>
      </c>
      <c r="B92" s="202" t="s">
        <v>23</v>
      </c>
      <c r="C92" s="203"/>
      <c r="D92" s="15">
        <f t="shared" si="4"/>
        <v>104016</v>
      </c>
      <c r="E92" s="18">
        <f>IF(F3="1",SUMIF(Data!A:A,'50'!$A$2,Data!EX:EX),0)</f>
        <v>447690</v>
      </c>
      <c r="F92" s="22">
        <f t="shared" si="5"/>
        <v>4.3040493770189201</v>
      </c>
    </row>
    <row r="93" spans="1:6" x14ac:dyDescent="0.2">
      <c r="A93" s="20">
        <v>28</v>
      </c>
      <c r="B93" s="202" t="s">
        <v>24</v>
      </c>
      <c r="C93" s="203"/>
      <c r="D93" s="15">
        <f t="shared" si="4"/>
        <v>51360</v>
      </c>
      <c r="E93" s="18">
        <f>IF(F3="1",SUMIF(Data!A:A,'50'!$A$2,Data!EZ:EZ),0)</f>
        <v>47550</v>
      </c>
      <c r="F93" s="22">
        <f t="shared" si="5"/>
        <v>0.92581775700934577</v>
      </c>
    </row>
    <row r="94" spans="1:6" ht="15.75" customHeight="1" thickBot="1" x14ac:dyDescent="0.25">
      <c r="A94" s="23">
        <v>29</v>
      </c>
      <c r="B94" s="206" t="s">
        <v>25</v>
      </c>
      <c r="C94" s="207"/>
      <c r="D94" s="24">
        <f t="shared" si="4"/>
        <v>65360</v>
      </c>
      <c r="E94" s="25">
        <f>IF(F3="1",SUMIF(Data!A:A,'50'!$A$2,Data!FA:FA),0)</f>
        <v>293953</v>
      </c>
      <c r="F94" s="26">
        <f t="shared" si="5"/>
        <v>4.4974449204406364</v>
      </c>
    </row>
    <row r="95" spans="1:6" x14ac:dyDescent="0.2">
      <c r="B95" s="31" t="s">
        <v>35</v>
      </c>
      <c r="C95" s="31"/>
      <c r="D95" s="60">
        <f>SUM(D67:D94)</f>
        <v>2946475</v>
      </c>
      <c r="E95" s="32">
        <f>SUM(E67:E94)</f>
        <v>10704158</v>
      </c>
      <c r="F95" s="33">
        <f t="shared" si="5"/>
        <v>3.6328691063049914</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IF(F3="1",SUMIF(Data!A:A,'50'!$A$2,Data!AH:AH),0)</f>
        <v>5503907</v>
      </c>
      <c r="F98" s="21">
        <f t="shared" ref="F98:F105" si="6">IFERROR(E98/$D$95,0)</f>
        <v>1.8679632442155456</v>
      </c>
    </row>
    <row r="99" spans="2:6" x14ac:dyDescent="0.2">
      <c r="B99" s="212" t="s">
        <v>31</v>
      </c>
      <c r="C99" s="213"/>
      <c r="D99" s="37"/>
      <c r="E99" s="18">
        <f>IF(F3="1",SUMIF(Data!A:A,'50'!$A$2,Data!AI:AI),0)</f>
        <v>1814681</v>
      </c>
      <c r="F99" s="22">
        <f t="shared" si="6"/>
        <v>0.61588202852561114</v>
      </c>
    </row>
    <row r="100" spans="2:6" x14ac:dyDescent="0.2">
      <c r="B100" s="212" t="s">
        <v>32</v>
      </c>
      <c r="C100" s="213"/>
      <c r="D100" s="37"/>
      <c r="E100" s="18">
        <f>IF(F3="1",SUMIF(Data!A:A,'50'!$A$2,Data!AJ:AJ),0)</f>
        <v>2113436</v>
      </c>
      <c r="F100" s="22">
        <f t="shared" si="6"/>
        <v>0.71727606716500225</v>
      </c>
    </row>
    <row r="101" spans="2:6" x14ac:dyDescent="0.2">
      <c r="B101" s="212" t="s">
        <v>28</v>
      </c>
      <c r="C101" s="213"/>
      <c r="D101" s="37"/>
      <c r="E101" s="18">
        <f>IF(F3="1",SUMIF(Data!A:A,'50'!$A$2,Data!AK:AK),0)</f>
        <v>0</v>
      </c>
      <c r="F101" s="22">
        <f t="shared" si="6"/>
        <v>0</v>
      </c>
    </row>
    <row r="102" spans="2:6" x14ac:dyDescent="0.2">
      <c r="B102" s="212" t="s">
        <v>33</v>
      </c>
      <c r="C102" s="213"/>
      <c r="D102" s="37"/>
      <c r="E102" s="18">
        <f>IF(F3="1",SUMIF(Data!A:A,'50'!$A$2,Data!AL:AL),0)</f>
        <v>717518</v>
      </c>
      <c r="F102" s="22">
        <f t="shared" si="6"/>
        <v>0.2435174233618137</v>
      </c>
    </row>
    <row r="103" spans="2:6" x14ac:dyDescent="0.2">
      <c r="B103" s="214" t="s">
        <v>34</v>
      </c>
      <c r="C103" s="215"/>
      <c r="D103" s="37"/>
      <c r="E103" s="18">
        <f>IF(F3="1",SUMIF(Data!A:A,'50'!$A$2,Data!AM:AM),0)</f>
        <v>680919</v>
      </c>
      <c r="F103" s="22">
        <f t="shared" si="6"/>
        <v>0.23109614030324371</v>
      </c>
    </row>
    <row r="104" spans="2:6" ht="15.75" customHeight="1" thickBot="1" x14ac:dyDescent="0.25">
      <c r="B104" s="208" t="s">
        <v>29</v>
      </c>
      <c r="C104" s="209"/>
      <c r="D104" s="38"/>
      <c r="E104" s="25">
        <f>IF(F3="1",SUMIF(Data!A:A,'50'!$A$2,Data!Q:Q),0)</f>
        <v>1086133</v>
      </c>
      <c r="F104" s="26">
        <f t="shared" si="6"/>
        <v>0.36862114900007636</v>
      </c>
    </row>
    <row r="105" spans="2:6" x14ac:dyDescent="0.2">
      <c r="B105" s="31" t="s">
        <v>35</v>
      </c>
      <c r="C105" s="31"/>
      <c r="D105" s="35">
        <f>D95</f>
        <v>2946475</v>
      </c>
      <c r="E105" s="32">
        <f>SUM(E98:E104)</f>
        <v>11916594</v>
      </c>
      <c r="F105" s="33">
        <f t="shared" si="6"/>
        <v>4.0443560525712927</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10732592</v>
      </c>
      <c r="D109" s="192">
        <f>IF(F3="1",SUMIF(Data!$A:$A,$A$2,Data!HJ:HJ),0)</f>
        <v>1924382</v>
      </c>
      <c r="E109" s="192">
        <f>IF(F3="1",SUMIF(Data!$A:$A,$A$2,Data!IN:IN),0)</f>
        <v>973856</v>
      </c>
      <c r="F109" s="48">
        <f>SUM(C109:E109)</f>
        <v>13630830</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417488</v>
      </c>
      <c r="D111" s="52"/>
      <c r="E111" s="193">
        <f>IF(F3="1",SUMIF(Data!A:A,$A$2,Data!AX:AX)-SUMIF(Data!A:A,$A$2,Data!AW:AW),0)</f>
        <v>213946</v>
      </c>
      <c r="F111" s="49">
        <f t="shared" si="7"/>
        <v>631434</v>
      </c>
    </row>
    <row r="112" spans="2:6" x14ac:dyDescent="0.2">
      <c r="B112" s="43" t="s">
        <v>32</v>
      </c>
      <c r="C112" s="193">
        <f>IF(F3="1",SUMIF(Data!A:A,$A$2,Data!V:V),0)</f>
        <v>1523213</v>
      </c>
      <c r="D112" s="52"/>
      <c r="E112" s="193">
        <f>IF(F3="1",SUMIF(Data!A:A,$A$2,Data!AC:AC),0)</f>
        <v>590223</v>
      </c>
      <c r="F112" s="49">
        <f t="shared" si="7"/>
        <v>2113436</v>
      </c>
    </row>
    <row r="113" spans="1:6" x14ac:dyDescent="0.2">
      <c r="B113" s="43" t="s">
        <v>31</v>
      </c>
      <c r="C113" s="193">
        <f>IF(F3="1",SUMIF(Data!A:A,$A$2,Data!U:U),0)</f>
        <v>1611179</v>
      </c>
      <c r="D113" s="52"/>
      <c r="E113" s="193">
        <f>IF(F3="1",SUMIF(Data!A:A,$A$2,Data!AB:AB),0)</f>
        <v>203502</v>
      </c>
      <c r="F113" s="49">
        <f t="shared" si="7"/>
        <v>1814681</v>
      </c>
    </row>
    <row r="114" spans="1:6" x14ac:dyDescent="0.2">
      <c r="B114" s="43" t="s">
        <v>1002</v>
      </c>
      <c r="C114" s="193">
        <f>IF(F3="1",SUMIF(Data!A:A,$A$2,Data!T:T),0)</f>
        <v>2906815</v>
      </c>
      <c r="D114" s="52"/>
      <c r="E114" s="193">
        <f>IF(F3="1",SUMIF(Data!A:A,$A$2,Data!AA:AA),0)</f>
        <v>2597092</v>
      </c>
      <c r="F114" s="49">
        <f t="shared" si="7"/>
        <v>5503907</v>
      </c>
    </row>
    <row r="115" spans="1:6" x14ac:dyDescent="0.2">
      <c r="B115" s="43" t="s">
        <v>916</v>
      </c>
      <c r="C115" s="193">
        <f>IF(F3="1",SUMIF(Data!A:A,$A$2,Data!BI:BI),0)</f>
        <v>1024855</v>
      </c>
      <c r="D115" s="193">
        <f>IF(F3="1",SUMIF(Data!A:A,$A$2,Data!BL:BL),0)</f>
        <v>181102</v>
      </c>
      <c r="E115" s="193">
        <f>IF(F3="1",SUMIF(Data!A:A,$A$2,Data!BU:BU)-SUMIF(Data!A:A,$A$2,Data!BT:BT),0)</f>
        <v>3628102</v>
      </c>
      <c r="F115" s="49">
        <f t="shared" si="7"/>
        <v>4834059</v>
      </c>
    </row>
    <row r="116" spans="1:6" x14ac:dyDescent="0.2">
      <c r="B116" s="43" t="s">
        <v>33</v>
      </c>
      <c r="C116" s="193">
        <f>IF(F3="1",SUMIF(Data!A:A,$A$2,Data!X:X),0)</f>
        <v>0</v>
      </c>
      <c r="D116" s="51"/>
      <c r="E116" s="193">
        <f>E102-C116</f>
        <v>717518</v>
      </c>
      <c r="F116" s="49">
        <f t="shared" si="7"/>
        <v>717518</v>
      </c>
    </row>
    <row r="117" spans="1:6" ht="15" thickBot="1" x14ac:dyDescent="0.25">
      <c r="B117" s="44" t="s">
        <v>920</v>
      </c>
      <c r="C117" s="53"/>
      <c r="D117" s="53">
        <f>IF(F3="1",SUMIF(Data!A:A,$A$2,Data!Q:Q),0)</f>
        <v>1086133</v>
      </c>
      <c r="E117" s="53"/>
      <c r="F117" s="50">
        <f>SUM(C117:E117)</f>
        <v>1086133</v>
      </c>
    </row>
    <row r="118" spans="1:6" x14ac:dyDescent="0.2">
      <c r="B118" s="14" t="s">
        <v>35</v>
      </c>
      <c r="C118" s="178">
        <f>SUM(C109:C117)</f>
        <v>18216142</v>
      </c>
      <c r="D118" s="194">
        <f>SUM(D109:D117)</f>
        <v>3191617</v>
      </c>
      <c r="E118" s="178">
        <f>SUM(E109:E117)</f>
        <v>8924239</v>
      </c>
      <c r="F118" s="178">
        <f>SUM(F109:F117)</f>
        <v>30331998</v>
      </c>
    </row>
    <row r="119" spans="1:6" x14ac:dyDescent="0.2">
      <c r="C119" s="177"/>
      <c r="D119" s="177"/>
      <c r="E119" s="177"/>
    </row>
    <row r="120" spans="1:6" ht="15" thickBot="1" x14ac:dyDescent="0.25">
      <c r="B120" s="188" t="s">
        <v>921</v>
      </c>
      <c r="C120" s="53"/>
      <c r="D120" s="53"/>
      <c r="E120" s="195">
        <f>IF(F3="1",SUMIF(Data!A:A,$A$2,Data!AF:AF)+SUMIF(Data!A:A,$A$2,Data!AW:AW)+SUMIF(Data!A:A,$A$2,Data!BT:BT),0)</f>
        <v>680919</v>
      </c>
      <c r="F120" s="181">
        <f>SUM(C120:E120)</f>
        <v>680919</v>
      </c>
    </row>
    <row r="121" spans="1:6" s="177" customFormat="1" x14ac:dyDescent="0.2">
      <c r="B121" s="14" t="s">
        <v>35</v>
      </c>
      <c r="C121" s="178">
        <f>SUM(C120:C120)</f>
        <v>0</v>
      </c>
      <c r="D121" s="178">
        <f>SUM(D120:D120)</f>
        <v>0</v>
      </c>
      <c r="E121" s="178">
        <f>SUM(E120:E120)</f>
        <v>680919</v>
      </c>
      <c r="F121" s="178">
        <f>SUM(F120:F120)</f>
        <v>680919</v>
      </c>
    </row>
    <row r="122" spans="1:6" s="177" customFormat="1" ht="15" thickBot="1" x14ac:dyDescent="0.25">
      <c r="B122" s="14" t="s">
        <v>1396</v>
      </c>
      <c r="C122" s="178"/>
      <c r="D122" s="178"/>
      <c r="E122" s="178"/>
      <c r="F122" s="190">
        <f>F118+F121</f>
        <v>31012917</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420</v>
      </c>
      <c r="B2" s="59" t="str">
        <f>VLOOKUP(A2,Data!A:G,7,0)</f>
        <v>Texas State Technical College-Harlingen</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28592</v>
      </c>
      <c r="E5" s="16">
        <f>E36+E67+IFERROR($E$105/$D$105*D5,0)</f>
        <v>317897.80020307138</v>
      </c>
      <c r="F5" s="21">
        <f>IFERROR(E5/D5,"")</f>
        <v>11.11841774633014</v>
      </c>
    </row>
    <row r="6" spans="1:6" x14ac:dyDescent="0.2">
      <c r="A6" s="20">
        <v>2</v>
      </c>
      <c r="B6" s="202" t="s">
        <v>1</v>
      </c>
      <c r="C6" s="203"/>
      <c r="D6" s="15">
        <f t="shared" ref="D6:D32" si="0">D37</f>
        <v>100064</v>
      </c>
      <c r="E6" s="18">
        <f t="shared" ref="E6:E32" si="1">E37+E68+IFERROR($E$105/$D$105*D6,0)</f>
        <v>1072664.9700447726</v>
      </c>
      <c r="F6" s="22">
        <f t="shared" ref="F6:F33" si="2">IFERROR(E6/D6,"")</f>
        <v>10.719789035465029</v>
      </c>
    </row>
    <row r="7" spans="1:6" ht="14.25" customHeight="1" x14ac:dyDescent="0.2">
      <c r="A7" s="20">
        <v>3</v>
      </c>
      <c r="B7" s="202" t="s">
        <v>2</v>
      </c>
      <c r="C7" s="203"/>
      <c r="D7" s="15">
        <f t="shared" si="0"/>
        <v>331432</v>
      </c>
      <c r="E7" s="18">
        <f t="shared" si="1"/>
        <v>2438665.1607758938</v>
      </c>
      <c r="F7" s="22">
        <f t="shared" si="2"/>
        <v>7.3579653164929573</v>
      </c>
    </row>
    <row r="8" spans="1:6" ht="14.25" customHeight="1" x14ac:dyDescent="0.2">
      <c r="A8" s="20">
        <v>4</v>
      </c>
      <c r="B8" s="202" t="s">
        <v>3</v>
      </c>
      <c r="C8" s="203"/>
      <c r="D8" s="15">
        <f t="shared" si="0"/>
        <v>247931</v>
      </c>
      <c r="E8" s="18">
        <f t="shared" si="1"/>
        <v>1551920.7933039903</v>
      </c>
      <c r="F8" s="22">
        <f t="shared" si="2"/>
        <v>6.2594866850211961</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43008</v>
      </c>
      <c r="E10" s="18">
        <f t="shared" si="1"/>
        <v>631375.66029426735</v>
      </c>
      <c r="F10" s="22">
        <f t="shared" si="2"/>
        <v>14.68042364895525</v>
      </c>
    </row>
    <row r="11" spans="1:6" x14ac:dyDescent="0.2">
      <c r="A11" s="20">
        <v>7</v>
      </c>
      <c r="B11" s="202" t="s">
        <v>6</v>
      </c>
      <c r="C11" s="203"/>
      <c r="D11" s="15">
        <f t="shared" si="0"/>
        <v>97096</v>
      </c>
      <c r="E11" s="18">
        <f t="shared" si="1"/>
        <v>1288605.2929671733</v>
      </c>
      <c r="F11" s="22">
        <f t="shared" si="2"/>
        <v>13.271456012267995</v>
      </c>
    </row>
    <row r="12" spans="1:6" x14ac:dyDescent="0.2">
      <c r="A12" s="20">
        <v>8</v>
      </c>
      <c r="B12" s="202" t="s">
        <v>7</v>
      </c>
      <c r="C12" s="203"/>
      <c r="D12" s="15">
        <f t="shared" si="0"/>
        <v>7600</v>
      </c>
      <c r="E12" s="18">
        <f t="shared" si="1"/>
        <v>207080.13267848847</v>
      </c>
      <c r="F12" s="22">
        <f t="shared" si="2"/>
        <v>27.247385878748485</v>
      </c>
    </row>
    <row r="13" spans="1:6" x14ac:dyDescent="0.2">
      <c r="A13" s="20">
        <v>9</v>
      </c>
      <c r="B13" s="202" t="s">
        <v>8</v>
      </c>
      <c r="C13" s="203"/>
      <c r="D13" s="15">
        <f t="shared" si="0"/>
        <v>163680</v>
      </c>
      <c r="E13" s="18">
        <f t="shared" si="1"/>
        <v>1449246.4258967098</v>
      </c>
      <c r="F13" s="22">
        <f t="shared" si="2"/>
        <v>8.8541448307472486</v>
      </c>
    </row>
    <row r="14" spans="1:6" x14ac:dyDescent="0.2">
      <c r="A14" s="20">
        <v>10</v>
      </c>
      <c r="B14" s="202" t="s">
        <v>9</v>
      </c>
      <c r="C14" s="203"/>
      <c r="D14" s="15">
        <f t="shared" si="0"/>
        <v>816</v>
      </c>
      <c r="E14" s="18">
        <f t="shared" si="1"/>
        <v>31648.727929690343</v>
      </c>
      <c r="F14" s="22">
        <f t="shared" si="2"/>
        <v>38.785205796189146</v>
      </c>
    </row>
    <row r="15" spans="1:6" x14ac:dyDescent="0.2">
      <c r="A15" s="20">
        <v>11</v>
      </c>
      <c r="B15" s="202" t="s">
        <v>10</v>
      </c>
      <c r="C15" s="203"/>
      <c r="D15" s="15">
        <f t="shared" si="0"/>
        <v>223260</v>
      </c>
      <c r="E15" s="18">
        <f t="shared" si="1"/>
        <v>1702716.0607630708</v>
      </c>
      <c r="F15" s="22">
        <f t="shared" si="2"/>
        <v>7.6266060233049844</v>
      </c>
    </row>
    <row r="16" spans="1:6" ht="14.25" customHeight="1" x14ac:dyDescent="0.2">
      <c r="A16" s="20">
        <v>12</v>
      </c>
      <c r="B16" s="202" t="s">
        <v>11</v>
      </c>
      <c r="C16" s="203"/>
      <c r="D16" s="15">
        <f t="shared" si="0"/>
        <v>262872</v>
      </c>
      <c r="E16" s="18">
        <f t="shared" si="1"/>
        <v>2316976.3533499502</v>
      </c>
      <c r="F16" s="22">
        <f t="shared" si="2"/>
        <v>8.814085765505455</v>
      </c>
    </row>
    <row r="17" spans="1:6" x14ac:dyDescent="0.2">
      <c r="A17" s="20">
        <v>13</v>
      </c>
      <c r="B17" s="202" t="s">
        <v>12</v>
      </c>
      <c r="C17" s="203"/>
      <c r="D17" s="15">
        <f t="shared" si="0"/>
        <v>67256</v>
      </c>
      <c r="E17" s="18">
        <f t="shared" si="1"/>
        <v>463383.90887163434</v>
      </c>
      <c r="F17" s="22">
        <f t="shared" si="2"/>
        <v>6.8898523384030321</v>
      </c>
    </row>
    <row r="18" spans="1:6" ht="14.25" customHeight="1" x14ac:dyDescent="0.2">
      <c r="A18" s="20">
        <v>14</v>
      </c>
      <c r="B18" s="202" t="s">
        <v>449</v>
      </c>
      <c r="C18" s="203"/>
      <c r="D18" s="15">
        <f t="shared" si="0"/>
        <v>53188</v>
      </c>
      <c r="E18" s="18">
        <f t="shared" si="1"/>
        <v>501698.4327504533</v>
      </c>
      <c r="F18" s="22">
        <f t="shared" si="2"/>
        <v>9.4325493109433207</v>
      </c>
    </row>
    <row r="19" spans="1:6" x14ac:dyDescent="0.2">
      <c r="A19" s="20">
        <v>15</v>
      </c>
      <c r="B19" s="202" t="s">
        <v>13</v>
      </c>
      <c r="C19" s="203"/>
      <c r="D19" s="15">
        <f t="shared" si="0"/>
        <v>48660</v>
      </c>
      <c r="E19" s="18">
        <f t="shared" si="1"/>
        <v>661598.27580726962</v>
      </c>
      <c r="F19" s="22">
        <f t="shared" si="2"/>
        <v>13.5963476327018</v>
      </c>
    </row>
    <row r="20" spans="1:6" x14ac:dyDescent="0.2">
      <c r="A20" s="20">
        <v>16</v>
      </c>
      <c r="B20" s="202" t="s">
        <v>14</v>
      </c>
      <c r="C20" s="203"/>
      <c r="D20" s="15">
        <f t="shared" si="0"/>
        <v>138862</v>
      </c>
      <c r="E20" s="18">
        <f t="shared" si="1"/>
        <v>2133161.617368456</v>
      </c>
      <c r="F20" s="22">
        <f t="shared" si="2"/>
        <v>15.361737677467241</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33168</v>
      </c>
      <c r="E22" s="18">
        <f t="shared" si="1"/>
        <v>356162.94114211918</v>
      </c>
      <c r="F22" s="22">
        <f t="shared" si="2"/>
        <v>10.738149455563169</v>
      </c>
    </row>
    <row r="23" spans="1:6" x14ac:dyDescent="0.2">
      <c r="A23" s="20">
        <v>19</v>
      </c>
      <c r="B23" s="202" t="s">
        <v>17</v>
      </c>
      <c r="C23" s="203"/>
      <c r="D23" s="15">
        <f t="shared" si="0"/>
        <v>124864</v>
      </c>
      <c r="E23" s="18">
        <f t="shared" si="1"/>
        <v>1056152.0345745769</v>
      </c>
      <c r="F23" s="22">
        <f t="shared" si="2"/>
        <v>8.4584190365083369</v>
      </c>
    </row>
    <row r="24" spans="1:6" x14ac:dyDescent="0.2">
      <c r="A24" s="20">
        <v>20</v>
      </c>
      <c r="B24" s="202" t="s">
        <v>18</v>
      </c>
      <c r="C24" s="203"/>
      <c r="D24" s="15">
        <f t="shared" si="0"/>
        <v>153472</v>
      </c>
      <c r="E24" s="18">
        <f t="shared" si="1"/>
        <v>1187158.496109603</v>
      </c>
      <c r="F24" s="22">
        <f t="shared" si="2"/>
        <v>7.735342577861779</v>
      </c>
    </row>
    <row r="25" spans="1:6" ht="14.25" customHeight="1" x14ac:dyDescent="0.2">
      <c r="A25" s="20">
        <v>21</v>
      </c>
      <c r="B25" s="202" t="s">
        <v>446</v>
      </c>
      <c r="C25" s="203"/>
      <c r="D25" s="15">
        <f t="shared" si="0"/>
        <v>44096</v>
      </c>
      <c r="E25" s="18">
        <f t="shared" si="1"/>
        <v>389823.63086718787</v>
      </c>
      <c r="F25" s="22">
        <f t="shared" si="2"/>
        <v>8.8403399597965322</v>
      </c>
    </row>
    <row r="26" spans="1:6" x14ac:dyDescent="0.2">
      <c r="A26" s="20">
        <v>22</v>
      </c>
      <c r="B26" s="202" t="s">
        <v>19</v>
      </c>
      <c r="C26" s="203"/>
      <c r="D26" s="15">
        <f t="shared" si="0"/>
        <v>63136</v>
      </c>
      <c r="E26" s="18">
        <f t="shared" si="1"/>
        <v>460981.61589329585</v>
      </c>
      <c r="F26" s="22">
        <f t="shared" si="2"/>
        <v>7.3014067393134798</v>
      </c>
    </row>
    <row r="27" spans="1:6" x14ac:dyDescent="0.2">
      <c r="A27" s="20">
        <v>23</v>
      </c>
      <c r="B27" s="202" t="s">
        <v>20</v>
      </c>
      <c r="C27" s="203"/>
      <c r="D27" s="15">
        <f t="shared" si="0"/>
        <v>3312</v>
      </c>
      <c r="E27" s="18">
        <f t="shared" si="1"/>
        <v>28329.895714625505</v>
      </c>
      <c r="F27" s="22">
        <f t="shared" si="2"/>
        <v>8.5537124742226762</v>
      </c>
    </row>
    <row r="28" spans="1:6" x14ac:dyDescent="0.2">
      <c r="A28" s="20">
        <v>24</v>
      </c>
      <c r="B28" s="202" t="s">
        <v>21</v>
      </c>
      <c r="C28" s="203"/>
      <c r="D28" s="15">
        <f t="shared" si="0"/>
        <v>79312</v>
      </c>
      <c r="E28" s="18">
        <f t="shared" si="1"/>
        <v>590216.22249951027</v>
      </c>
      <c r="F28" s="22">
        <f t="shared" si="2"/>
        <v>7.4417014133991106</v>
      </c>
    </row>
    <row r="29" spans="1:6" x14ac:dyDescent="0.2">
      <c r="A29" s="20">
        <v>25</v>
      </c>
      <c r="B29" s="202" t="s">
        <v>22</v>
      </c>
      <c r="C29" s="203"/>
      <c r="D29" s="15">
        <f t="shared" si="0"/>
        <v>305134</v>
      </c>
      <c r="E29" s="18">
        <f t="shared" si="1"/>
        <v>1740195.1790418292</v>
      </c>
      <c r="F29" s="22">
        <f t="shared" si="2"/>
        <v>5.7030523607393118</v>
      </c>
    </row>
    <row r="30" spans="1:6" x14ac:dyDescent="0.2">
      <c r="A30" s="20">
        <v>26</v>
      </c>
      <c r="B30" s="202" t="s">
        <v>23</v>
      </c>
      <c r="C30" s="203"/>
      <c r="D30" s="15">
        <f t="shared" si="0"/>
        <v>125136</v>
      </c>
      <c r="E30" s="18">
        <f t="shared" si="1"/>
        <v>731812.27721780702</v>
      </c>
      <c r="F30" s="22">
        <f t="shared" si="2"/>
        <v>5.8481354463767978</v>
      </c>
    </row>
    <row r="31" spans="1:6" x14ac:dyDescent="0.2">
      <c r="A31" s="20">
        <v>28</v>
      </c>
      <c r="B31" s="202" t="s">
        <v>24</v>
      </c>
      <c r="C31" s="203"/>
      <c r="D31" s="15">
        <f t="shared" si="0"/>
        <v>109696</v>
      </c>
      <c r="E31" s="18">
        <f t="shared" si="1"/>
        <v>881551.0918815094</v>
      </c>
      <c r="F31" s="22">
        <f t="shared" si="2"/>
        <v>8.0363102745907735</v>
      </c>
    </row>
    <row r="32" spans="1:6" ht="15.75" customHeight="1" thickBot="1" x14ac:dyDescent="0.25">
      <c r="A32" s="23">
        <v>29</v>
      </c>
      <c r="B32" s="206" t="s">
        <v>25</v>
      </c>
      <c r="C32" s="207"/>
      <c r="D32" s="24">
        <f t="shared" si="0"/>
        <v>99968</v>
      </c>
      <c r="E32" s="25">
        <f t="shared" si="1"/>
        <v>885122.00205304427</v>
      </c>
      <c r="F32" s="26">
        <f t="shared" si="2"/>
        <v>8.8540533175920721</v>
      </c>
    </row>
    <row r="33" spans="1:6" x14ac:dyDescent="0.2">
      <c r="B33" s="31" t="s">
        <v>35</v>
      </c>
      <c r="C33" s="31"/>
      <c r="D33" s="60">
        <f>SUM(D5:D32)</f>
        <v>2955611</v>
      </c>
      <c r="E33" s="32">
        <f>SUM(E5:E32)</f>
        <v>25076144.999999993</v>
      </c>
      <c r="F33" s="33">
        <f t="shared" si="2"/>
        <v>8.484250802964258</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IF(F3="1",SUMIF(Data!A:A,'51'!$A$2,Data!CU:CU),0)</f>
        <v>28592</v>
      </c>
      <c r="E36" s="16">
        <f>IF(F3="1",SUMIF(Data!$A:$A,'51'!$A$2,Data!IO:IO),0)</f>
        <v>115580</v>
      </c>
      <c r="F36" s="21">
        <f t="shared" ref="F36:F64" si="3">IFERROR(E36/D36,"")</f>
        <v>4.0423894795747062</v>
      </c>
    </row>
    <row r="37" spans="1:6" x14ac:dyDescent="0.2">
      <c r="A37" s="20">
        <v>2</v>
      </c>
      <c r="B37" s="202" t="s">
        <v>1</v>
      </c>
      <c r="C37" s="203"/>
      <c r="D37" s="15">
        <f>IF(F3="1",SUMIF(Data!A:A,'51'!$A$2,Data!CV:CV),0)</f>
        <v>100064</v>
      </c>
      <c r="E37" s="18">
        <f>IF(F3="1",SUMIF(Data!$A:$A,'51'!$A$2,Data!IP:IP),0)</f>
        <v>300881</v>
      </c>
      <c r="F37" s="22">
        <f t="shared" si="3"/>
        <v>3.0068855932203391</v>
      </c>
    </row>
    <row r="38" spans="1:6" ht="14.25" customHeight="1" x14ac:dyDescent="0.2">
      <c r="A38" s="20">
        <v>3</v>
      </c>
      <c r="B38" s="202" t="s">
        <v>2</v>
      </c>
      <c r="C38" s="203"/>
      <c r="D38" s="15">
        <f>IF(F3="1",SUMIF(Data!A:A,'51'!$A$2,Data!CW:CW),0)</f>
        <v>331432</v>
      </c>
      <c r="E38" s="18">
        <f>IF(F3="1",SUMIF(Data!$A:$A,'51'!$A$2,Data!IQ:IQ),0)</f>
        <v>452412</v>
      </c>
      <c r="F38" s="22">
        <f t="shared" si="3"/>
        <v>1.365022085978421</v>
      </c>
    </row>
    <row r="39" spans="1:6" ht="14.25" customHeight="1" x14ac:dyDescent="0.2">
      <c r="A39" s="20">
        <v>4</v>
      </c>
      <c r="B39" s="202" t="s">
        <v>3</v>
      </c>
      <c r="C39" s="203"/>
      <c r="D39" s="15">
        <f>IF(F3="1",SUMIF(Data!A:A,'51'!$A$2,Data!CX:CX),0)</f>
        <v>247931</v>
      </c>
      <c r="E39" s="18">
        <f>IF(F3="1",SUMIF(Data!$A:$A,'51'!$A$2,Data!IR:IR),0)</f>
        <v>222669</v>
      </c>
      <c r="F39" s="22">
        <f t="shared" si="3"/>
        <v>0.8981087479984351</v>
      </c>
    </row>
    <row r="40" spans="1:6" x14ac:dyDescent="0.2">
      <c r="A40" s="20">
        <v>5</v>
      </c>
      <c r="B40" s="202" t="s">
        <v>4</v>
      </c>
      <c r="C40" s="203"/>
      <c r="D40" s="15">
        <f>IF(F3="1",SUMIF(Data!A:A,'51'!$A$2,Data!CY:CY),0)</f>
        <v>0</v>
      </c>
      <c r="E40" s="18">
        <f>IF(F3="1",SUMIF(Data!$A:$A,'51'!$A$2,Data!IS:IS),0)</f>
        <v>0</v>
      </c>
      <c r="F40" s="22" t="str">
        <f t="shared" si="3"/>
        <v/>
      </c>
    </row>
    <row r="41" spans="1:6" x14ac:dyDescent="0.2">
      <c r="A41" s="20">
        <v>6</v>
      </c>
      <c r="B41" s="202" t="s">
        <v>5</v>
      </c>
      <c r="C41" s="203"/>
      <c r="D41" s="15">
        <f>IF(F3="1",SUMIF(Data!A:A,'51'!$A$2,Data!CZ:CZ),0)</f>
        <v>43008</v>
      </c>
      <c r="E41" s="18">
        <f>IF(F3="1",SUMIF(Data!$A:$A,'51'!$A$2,Data!IT:IT),0)</f>
        <v>117652</v>
      </c>
      <c r="F41" s="22">
        <f t="shared" si="3"/>
        <v>2.7355840773809526</v>
      </c>
    </row>
    <row r="42" spans="1:6" x14ac:dyDescent="0.2">
      <c r="A42" s="20">
        <v>7</v>
      </c>
      <c r="B42" s="202" t="s">
        <v>6</v>
      </c>
      <c r="C42" s="203"/>
      <c r="D42" s="15">
        <f>IF(F3="1",SUMIF(Data!A:A,'51'!$A$2,Data!DA:DA),0)</f>
        <v>97096</v>
      </c>
      <c r="E42" s="18">
        <f>IF(F3="1",SUMIF(Data!$A:$A,'51'!$A$2,Data!IU:IU),0)</f>
        <v>330963</v>
      </c>
      <c r="F42" s="22">
        <f t="shared" si="3"/>
        <v>3.4086162148801185</v>
      </c>
    </row>
    <row r="43" spans="1:6" x14ac:dyDescent="0.2">
      <c r="A43" s="20">
        <v>8</v>
      </c>
      <c r="B43" s="202" t="s">
        <v>7</v>
      </c>
      <c r="C43" s="203"/>
      <c r="D43" s="15">
        <f>IF(F3="1",SUMIF(Data!A:A,'51'!$A$2,Data!DB:DB),0)</f>
        <v>7600</v>
      </c>
      <c r="E43" s="18">
        <f>IF(F3="1",SUMIF(Data!$A:$A,'51'!$A$2,Data!IV:IV),0)</f>
        <v>92472</v>
      </c>
      <c r="F43" s="22">
        <f t="shared" si="3"/>
        <v>12.167368421052631</v>
      </c>
    </row>
    <row r="44" spans="1:6" x14ac:dyDescent="0.2">
      <c r="A44" s="20">
        <v>9</v>
      </c>
      <c r="B44" s="202" t="s">
        <v>8</v>
      </c>
      <c r="C44" s="203"/>
      <c r="D44" s="15">
        <f>IF(F3="1",SUMIF(Data!A:A,'51'!$A$2,Data!DC:DC),0)</f>
        <v>163680</v>
      </c>
      <c r="E44" s="18">
        <f>IF(F3="1",SUMIF(Data!$A:$A,'51'!$A$2,Data!IW:IW),0)</f>
        <v>403679</v>
      </c>
      <c r="F44" s="22">
        <f t="shared" si="3"/>
        <v>2.466269550342131</v>
      </c>
    </row>
    <row r="45" spans="1:6" x14ac:dyDescent="0.2">
      <c r="A45" s="20">
        <v>10</v>
      </c>
      <c r="B45" s="202" t="s">
        <v>9</v>
      </c>
      <c r="C45" s="203"/>
      <c r="D45" s="15">
        <f>IF(F3="1",SUMIF(Data!A:A,'51'!$A$2,Data!DD:DD),0)</f>
        <v>816</v>
      </c>
      <c r="E45" s="18">
        <f>IF(F3="1",SUMIF(Data!$A:$A,'51'!$A$2,Data!IX:IX),0)</f>
        <v>15575</v>
      </c>
      <c r="F45" s="22">
        <f t="shared" si="3"/>
        <v>19.087009803921568</v>
      </c>
    </row>
    <row r="46" spans="1:6" x14ac:dyDescent="0.2">
      <c r="A46" s="20">
        <v>11</v>
      </c>
      <c r="B46" s="202" t="s">
        <v>10</v>
      </c>
      <c r="C46" s="203"/>
      <c r="D46" s="15">
        <f>IF(F3="1",SUMIF(Data!A:A,'51'!$A$2,Data!DE:DE),0)</f>
        <v>223260</v>
      </c>
      <c r="E46" s="18">
        <f>IF(F3="1",SUMIF(Data!$A:$A,'51'!$A$2,Data!IY:IY),0)</f>
        <v>397778</v>
      </c>
      <c r="F46" s="22">
        <f t="shared" si="3"/>
        <v>1.7816805518229866</v>
      </c>
    </row>
    <row r="47" spans="1:6" ht="14.25" customHeight="1" x14ac:dyDescent="0.2">
      <c r="A47" s="20">
        <v>12</v>
      </c>
      <c r="B47" s="202" t="s">
        <v>11</v>
      </c>
      <c r="C47" s="203"/>
      <c r="D47" s="15">
        <f>IF(F3="1",SUMIF(Data!A:A,'51'!$A$2,Data!DF:DF),0)</f>
        <v>262872</v>
      </c>
      <c r="E47" s="18">
        <f>IF(F3="1",SUMIF(Data!$A:$A,'51'!$A$2,Data!IZ:IZ),0)</f>
        <v>445868</v>
      </c>
      <c r="F47" s="22">
        <f t="shared" si="3"/>
        <v>1.696141087677653</v>
      </c>
    </row>
    <row r="48" spans="1:6" x14ac:dyDescent="0.2">
      <c r="A48" s="20">
        <v>13</v>
      </c>
      <c r="B48" s="202" t="s">
        <v>12</v>
      </c>
      <c r="C48" s="203"/>
      <c r="D48" s="15">
        <f>IF(F3="1",SUMIF(Data!A:A,'51'!$A$2,Data!DG:DG),0)</f>
        <v>67256</v>
      </c>
      <c r="E48" s="18">
        <f>IF(F3="1",SUMIF(Data!$A:$A,'51'!$A$2,Data!JA:JA),0)</f>
        <v>60125</v>
      </c>
      <c r="F48" s="22">
        <f t="shared" si="3"/>
        <v>0.89397228500059478</v>
      </c>
    </row>
    <row r="49" spans="1:6" ht="14.25" customHeight="1" x14ac:dyDescent="0.2">
      <c r="A49" s="20">
        <v>14</v>
      </c>
      <c r="B49" s="202" t="s">
        <v>449</v>
      </c>
      <c r="C49" s="203"/>
      <c r="D49" s="15">
        <f>IF(F3="1",SUMIF(Data!A:A,'51'!$A$2,Data!DH:DH),0)</f>
        <v>53188</v>
      </c>
      <c r="E49" s="18">
        <f>IF(F3="1",SUMIF(Data!$A:$A,'51'!$A$2,Data!JB:JB),0)</f>
        <v>108626</v>
      </c>
      <c r="F49" s="22">
        <f t="shared" si="3"/>
        <v>2.0423027750620442</v>
      </c>
    </row>
    <row r="50" spans="1:6" x14ac:dyDescent="0.2">
      <c r="A50" s="20">
        <v>15</v>
      </c>
      <c r="B50" s="202" t="s">
        <v>13</v>
      </c>
      <c r="C50" s="203"/>
      <c r="D50" s="15">
        <f>IF(F3="1",SUMIF(Data!A:A,'51'!$A$2,Data!DI:DI),0)</f>
        <v>48660</v>
      </c>
      <c r="E50" s="18">
        <f>IF(F3="1",SUMIF(Data!$A:$A,'51'!$A$2,Data!JC:JC),0)</f>
        <v>159100</v>
      </c>
      <c r="F50" s="22">
        <f t="shared" si="3"/>
        <v>3.2696259761611182</v>
      </c>
    </row>
    <row r="51" spans="1:6" x14ac:dyDescent="0.2">
      <c r="A51" s="20">
        <v>16</v>
      </c>
      <c r="B51" s="202" t="s">
        <v>14</v>
      </c>
      <c r="C51" s="203"/>
      <c r="D51" s="15">
        <f>IF(F3="1",SUMIF(Data!A:A,'51'!$A$2,Data!DJ:DJ),0)</f>
        <v>138862</v>
      </c>
      <c r="E51" s="18">
        <f>IF(F3="1",SUMIF(Data!$A:$A,'51'!$A$2,Data!JD:JD),0)</f>
        <v>614999</v>
      </c>
      <c r="F51" s="22">
        <f t="shared" si="3"/>
        <v>4.4288502254036377</v>
      </c>
    </row>
    <row r="52" spans="1:6" x14ac:dyDescent="0.2">
      <c r="A52" s="20">
        <v>17</v>
      </c>
      <c r="B52" s="202" t="s">
        <v>15</v>
      </c>
      <c r="C52" s="203"/>
      <c r="D52" s="15">
        <f>IF(F3="1",SUMIF(Data!A:A,'51'!$A$2,Data!DK:DK),0)</f>
        <v>0</v>
      </c>
      <c r="E52" s="18">
        <f>IF(F3="1",SUMIF(Data!$A:$A,'51'!$A$2,Data!JE:JE),0)</f>
        <v>0</v>
      </c>
      <c r="F52" s="22" t="str">
        <f t="shared" si="3"/>
        <v/>
      </c>
    </row>
    <row r="53" spans="1:6" x14ac:dyDescent="0.2">
      <c r="A53" s="20">
        <v>18</v>
      </c>
      <c r="B53" s="202" t="s">
        <v>16</v>
      </c>
      <c r="C53" s="203"/>
      <c r="D53" s="15">
        <f>IF(F3="1",SUMIF(Data!A:A,'51'!$A$2,Data!DL:DL),0)</f>
        <v>33168</v>
      </c>
      <c r="E53" s="18">
        <f>IF(F3="1",SUMIF(Data!$A:$A,'51'!$A$2,Data!JF:JF),0)</f>
        <v>62452</v>
      </c>
      <c r="F53" s="22">
        <f t="shared" si="3"/>
        <v>1.882899179932465</v>
      </c>
    </row>
    <row r="54" spans="1:6" x14ac:dyDescent="0.2">
      <c r="A54" s="20">
        <v>19</v>
      </c>
      <c r="B54" s="202" t="s">
        <v>17</v>
      </c>
      <c r="C54" s="203"/>
      <c r="D54" s="15">
        <f>IF(F3="1",SUMIF(Data!A:A,'51'!$A$2,Data!DM:DM),0)</f>
        <v>124864</v>
      </c>
      <c r="E54" s="18">
        <f>IF(F3="1",SUMIF(Data!$A:$A,'51'!$A$2,Data!JG:JG),0)</f>
        <v>184328</v>
      </c>
      <c r="F54" s="22">
        <f t="shared" si="3"/>
        <v>1.4762301383905689</v>
      </c>
    </row>
    <row r="55" spans="1:6" x14ac:dyDescent="0.2">
      <c r="A55" s="20">
        <v>20</v>
      </c>
      <c r="B55" s="202" t="s">
        <v>18</v>
      </c>
      <c r="C55" s="203"/>
      <c r="D55" s="15">
        <f>IF(F3="1",SUMIF(Data!A:A,'51'!$A$2,Data!DN:DN),0)</f>
        <v>153472</v>
      </c>
      <c r="E55" s="18">
        <f>IF(F3="1",SUMIF(Data!$A:$A,'51'!$A$2,Data!JH:JH),0)</f>
        <v>272296</v>
      </c>
      <c r="F55" s="22">
        <f t="shared" si="3"/>
        <v>1.7742389491242703</v>
      </c>
    </row>
    <row r="56" spans="1:6" ht="14.25" customHeight="1" x14ac:dyDescent="0.2">
      <c r="A56" s="20">
        <v>21</v>
      </c>
      <c r="B56" s="202" t="s">
        <v>446</v>
      </c>
      <c r="C56" s="203"/>
      <c r="D56" s="15">
        <f>IF(F3="1",SUMIF(Data!A:A,'51'!$A$2,Data!DO:DO),0)</f>
        <v>44096</v>
      </c>
      <c r="E56" s="18">
        <f>IF(F3="1",SUMIF(Data!$A:$A,'51'!$A$2,Data!JI:JI),0)</f>
        <v>117624</v>
      </c>
      <c r="F56" s="22">
        <f t="shared" si="3"/>
        <v>2.6674528301886791</v>
      </c>
    </row>
    <row r="57" spans="1:6" x14ac:dyDescent="0.2">
      <c r="A57" s="20">
        <v>22</v>
      </c>
      <c r="B57" s="202" t="s">
        <v>19</v>
      </c>
      <c r="C57" s="203"/>
      <c r="D57" s="15">
        <f>IF(F3="1",SUMIF(Data!A:A,'51'!$A$2,Data!DP:DP),0)</f>
        <v>63136</v>
      </c>
      <c r="E57" s="18">
        <f>IF(F3="1",SUMIF(Data!$A:$A,'51'!$A$2,Data!JJ:JJ),0)</f>
        <v>93108</v>
      </c>
      <c r="F57" s="22">
        <f t="shared" si="3"/>
        <v>1.4747212366953877</v>
      </c>
    </row>
    <row r="58" spans="1:6" x14ac:dyDescent="0.2">
      <c r="A58" s="20">
        <v>23</v>
      </c>
      <c r="B58" s="202" t="s">
        <v>20</v>
      </c>
      <c r="C58" s="203"/>
      <c r="D58" s="15">
        <f>IF(F3="1",SUMIF(Data!A:A,'51'!$A$2,Data!DQ:DQ),0)</f>
        <v>3312</v>
      </c>
      <c r="E58" s="18">
        <f>IF(F3="1",SUMIF(Data!$A:$A,'51'!$A$2,Data!JK:JK),0)</f>
        <v>14818</v>
      </c>
      <c r="F58" s="22">
        <f t="shared" si="3"/>
        <v>4.4740338164251208</v>
      </c>
    </row>
    <row r="59" spans="1:6" x14ac:dyDescent="0.2">
      <c r="A59" s="20">
        <v>24</v>
      </c>
      <c r="B59" s="202" t="s">
        <v>21</v>
      </c>
      <c r="C59" s="203"/>
      <c r="D59" s="15">
        <f>IF(F3="1",SUMIF(Data!A:A,'51'!$A$2,Data!DR:DR),0)</f>
        <v>79312</v>
      </c>
      <c r="E59" s="18">
        <f>IF(F3="1",SUMIF(Data!$A:$A,'51'!$A$2,Data!JL:JL),0)</f>
        <v>187467</v>
      </c>
      <c r="F59" s="22">
        <f t="shared" si="3"/>
        <v>2.3636650191648174</v>
      </c>
    </row>
    <row r="60" spans="1:6" x14ac:dyDescent="0.2">
      <c r="A60" s="20">
        <v>25</v>
      </c>
      <c r="B60" s="202" t="s">
        <v>22</v>
      </c>
      <c r="C60" s="203"/>
      <c r="D60" s="15">
        <f>IF(F3="1",SUMIF(Data!A:A,'51'!$A$2,Data!DS:DS),0)</f>
        <v>305134</v>
      </c>
      <c r="E60" s="18">
        <f>IF(F3="1",SUMIF(Data!$A:$A,'51'!$A$2,Data!JM:JM),0)</f>
        <v>253361</v>
      </c>
      <c r="F60" s="22">
        <f t="shared" si="3"/>
        <v>0.83032700387370795</v>
      </c>
    </row>
    <row r="61" spans="1:6" x14ac:dyDescent="0.2">
      <c r="A61" s="20">
        <v>26</v>
      </c>
      <c r="B61" s="202" t="s">
        <v>23</v>
      </c>
      <c r="C61" s="203"/>
      <c r="D61" s="15">
        <f>IF(F3="1",SUMIF(Data!A:A,'51'!$A$2,Data!DT:DT),0)</f>
        <v>125136</v>
      </c>
      <c r="E61" s="18">
        <f>IF(F3="1",SUMIF(Data!$A:$A,'51'!$A$2,Data!JN:JN),0)</f>
        <v>118120</v>
      </c>
      <c r="F61" s="22">
        <f t="shared" si="3"/>
        <v>0.94393300089502619</v>
      </c>
    </row>
    <row r="62" spans="1:6" x14ac:dyDescent="0.2">
      <c r="A62" s="20">
        <v>28</v>
      </c>
      <c r="B62" s="202" t="s">
        <v>24</v>
      </c>
      <c r="C62" s="203"/>
      <c r="D62" s="15">
        <f>IF(F3="1",SUMIF(Data!A:A,'51'!$A$2,Data!DV:DV),0)</f>
        <v>109696</v>
      </c>
      <c r="E62" s="18">
        <f>IF(F3="1",SUMIF(Data!$A:$A,'51'!$A$2,Data!JP:JP),0)</f>
        <v>151892</v>
      </c>
      <c r="F62" s="22">
        <f t="shared" si="3"/>
        <v>1.3846630688448074</v>
      </c>
    </row>
    <row r="63" spans="1:6" ht="15.75" customHeight="1" thickBot="1" x14ac:dyDescent="0.25">
      <c r="A63" s="23">
        <v>29</v>
      </c>
      <c r="B63" s="206" t="s">
        <v>25</v>
      </c>
      <c r="C63" s="207"/>
      <c r="D63" s="24">
        <f>IF(F3="1",SUMIF(Data!A:A,'51'!$A$2,Data!DW:DW),0)</f>
        <v>99968</v>
      </c>
      <c r="E63" s="25">
        <f>IF(F3="1",SUMIF(Data!$A:$A,'51'!$A$2,Data!JQ:JQ),0)</f>
        <v>212497</v>
      </c>
      <c r="F63" s="26">
        <f t="shared" si="3"/>
        <v>2.1256502080665811</v>
      </c>
    </row>
    <row r="64" spans="1:6" x14ac:dyDescent="0.2">
      <c r="B64" s="31" t="s">
        <v>35</v>
      </c>
      <c r="C64" s="31"/>
      <c r="D64" s="60">
        <f>SUM(D36:D63)</f>
        <v>2955611</v>
      </c>
      <c r="E64" s="32">
        <f>SUM(E36:E63)</f>
        <v>5506342</v>
      </c>
      <c r="F64" s="33">
        <f t="shared" si="3"/>
        <v>1.8630130961077083</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28592</v>
      </c>
      <c r="E67" s="16">
        <f>IF(F3="1",SUMIF(Data!A:A,'51'!$A$2,Data!DY:DY),0)</f>
        <v>86768</v>
      </c>
      <c r="F67" s="21">
        <f>IFERROR(E67/D67,"")</f>
        <v>3.0346950195858979</v>
      </c>
    </row>
    <row r="68" spans="1:6" x14ac:dyDescent="0.2">
      <c r="A68" s="20">
        <v>2</v>
      </c>
      <c r="B68" s="202" t="s">
        <v>1</v>
      </c>
      <c r="C68" s="203"/>
      <c r="D68" s="15">
        <f t="shared" ref="D68:D94" si="4">D37</f>
        <v>100064</v>
      </c>
      <c r="E68" s="18">
        <f>IF(F3="1",SUMIF(Data!A:A,'51'!$A$2,Data!DZ:DZ),0)</f>
        <v>367392</v>
      </c>
      <c r="F68" s="22">
        <f t="shared" ref="F68:F95" si="5">IFERROR(E68/D68,"")</f>
        <v>3.671570195075152</v>
      </c>
    </row>
    <row r="69" spans="1:6" ht="14.25" customHeight="1" x14ac:dyDescent="0.2">
      <c r="A69" s="20">
        <v>3</v>
      </c>
      <c r="B69" s="202" t="s">
        <v>2</v>
      </c>
      <c r="C69" s="203"/>
      <c r="D69" s="15">
        <f t="shared" si="4"/>
        <v>331432</v>
      </c>
      <c r="E69" s="18">
        <f>IF(F3="1",SUMIF(Data!A:A,'51'!$A$2,Data!EA:EA),0)</f>
        <v>646826</v>
      </c>
      <c r="F69" s="22">
        <f t="shared" si="5"/>
        <v>1.9516099833449998</v>
      </c>
    </row>
    <row r="70" spans="1:6" ht="14.25" customHeight="1" x14ac:dyDescent="0.2">
      <c r="A70" s="20">
        <v>4</v>
      </c>
      <c r="B70" s="202" t="s">
        <v>3</v>
      </c>
      <c r="C70" s="203"/>
      <c r="D70" s="15">
        <f t="shared" si="4"/>
        <v>247931</v>
      </c>
      <c r="E70" s="18">
        <f>IF(F3="1",SUMIF(Data!A:A,'51'!$A$2,Data!EB:EB),0)</f>
        <v>327280</v>
      </c>
      <c r="F70" s="22">
        <f t="shared" si="5"/>
        <v>1.3200446898532252</v>
      </c>
    </row>
    <row r="71" spans="1:6" x14ac:dyDescent="0.2">
      <c r="A71" s="20">
        <v>5</v>
      </c>
      <c r="B71" s="202" t="s">
        <v>4</v>
      </c>
      <c r="C71" s="203"/>
      <c r="D71" s="15">
        <f t="shared" si="4"/>
        <v>0</v>
      </c>
      <c r="E71" s="18">
        <f>IF(F3="1",SUMIF(Data!A:A,'51'!$A$2,Data!EC:EC),0)</f>
        <v>0</v>
      </c>
      <c r="F71" s="22" t="str">
        <f t="shared" si="5"/>
        <v/>
      </c>
    </row>
    <row r="72" spans="1:6" x14ac:dyDescent="0.2">
      <c r="A72" s="20">
        <v>6</v>
      </c>
      <c r="B72" s="202" t="s">
        <v>5</v>
      </c>
      <c r="C72" s="203"/>
      <c r="D72" s="15">
        <f t="shared" si="4"/>
        <v>43008</v>
      </c>
      <c r="E72" s="18">
        <f>IF(F3="1",SUMIF(Data!A:A,'51'!$A$2,Data!ED:ED),0)</f>
        <v>339914</v>
      </c>
      <c r="F72" s="22">
        <f t="shared" si="5"/>
        <v>7.9035063244047619</v>
      </c>
    </row>
    <row r="73" spans="1:6" x14ac:dyDescent="0.2">
      <c r="A73" s="20">
        <v>7</v>
      </c>
      <c r="B73" s="202" t="s">
        <v>6</v>
      </c>
      <c r="C73" s="203"/>
      <c r="D73" s="15">
        <f t="shared" si="4"/>
        <v>97096</v>
      </c>
      <c r="E73" s="18">
        <f>IF(F3="1",SUMIF(Data!A:A,'51'!$A$2,Data!EE:EE),0)</f>
        <v>565245</v>
      </c>
      <c r="F73" s="22">
        <f t="shared" si="5"/>
        <v>5.8215065502183405</v>
      </c>
    </row>
    <row r="74" spans="1:6" x14ac:dyDescent="0.2">
      <c r="A74" s="20">
        <v>8</v>
      </c>
      <c r="B74" s="202" t="s">
        <v>7</v>
      </c>
      <c r="C74" s="203"/>
      <c r="D74" s="15">
        <f t="shared" si="4"/>
        <v>7600</v>
      </c>
      <c r="E74" s="18">
        <f>IF(F3="1",SUMIF(Data!A:A,'51'!$A$2,Data!EF:EF),0)</f>
        <v>83894</v>
      </c>
      <c r="F74" s="22">
        <f t="shared" si="5"/>
        <v>11.038684210526316</v>
      </c>
    </row>
    <row r="75" spans="1:6" x14ac:dyDescent="0.2">
      <c r="A75" s="20">
        <v>9</v>
      </c>
      <c r="B75" s="202" t="s">
        <v>8</v>
      </c>
      <c r="C75" s="203"/>
      <c r="D75" s="15">
        <f t="shared" si="4"/>
        <v>163680</v>
      </c>
      <c r="E75" s="18">
        <f>IF(F3="1",SUMIF(Data!A:A,'51'!$A$2,Data!EG:EG),0)</f>
        <v>384082</v>
      </c>
      <c r="F75" s="22">
        <f t="shared" si="5"/>
        <v>2.3465420332355817</v>
      </c>
    </row>
    <row r="76" spans="1:6" x14ac:dyDescent="0.2">
      <c r="A76" s="20">
        <v>10</v>
      </c>
      <c r="B76" s="202" t="s">
        <v>9</v>
      </c>
      <c r="C76" s="203"/>
      <c r="D76" s="15">
        <f t="shared" si="4"/>
        <v>816</v>
      </c>
      <c r="E76" s="18">
        <f>IF(F3="1",SUMIF(Data!A:A,'51'!$A$2,Data!EH:EH),0)</f>
        <v>12776</v>
      </c>
      <c r="F76" s="22">
        <f t="shared" si="5"/>
        <v>15.656862745098039</v>
      </c>
    </row>
    <row r="77" spans="1:6" x14ac:dyDescent="0.2">
      <c r="A77" s="20">
        <v>11</v>
      </c>
      <c r="B77" s="202" t="s">
        <v>10</v>
      </c>
      <c r="C77" s="203"/>
      <c r="D77" s="15">
        <f t="shared" si="4"/>
        <v>223260</v>
      </c>
      <c r="E77" s="18">
        <f>IF(F3="1",SUMIF(Data!A:A,'51'!$A$2,Data!EI:EI),0)</f>
        <v>402670</v>
      </c>
      <c r="F77" s="22">
        <f t="shared" si="5"/>
        <v>1.8035922243124609</v>
      </c>
    </row>
    <row r="78" spans="1:6" ht="14.25" customHeight="1" x14ac:dyDescent="0.2">
      <c r="A78" s="20">
        <v>12</v>
      </c>
      <c r="B78" s="202" t="s">
        <v>11</v>
      </c>
      <c r="C78" s="203"/>
      <c r="D78" s="15">
        <f t="shared" si="4"/>
        <v>262872</v>
      </c>
      <c r="E78" s="18">
        <f>IF(F3="1",SUMIF(Data!A:A,'51'!$A$2,Data!EJ:EJ),0)</f>
        <v>808755</v>
      </c>
      <c r="F78" s="22">
        <f t="shared" si="5"/>
        <v>3.076611430658267</v>
      </c>
    </row>
    <row r="79" spans="1:6" x14ac:dyDescent="0.2">
      <c r="A79" s="20">
        <v>13</v>
      </c>
      <c r="B79" s="202" t="s">
        <v>12</v>
      </c>
      <c r="C79" s="203"/>
      <c r="D79" s="15">
        <f t="shared" si="4"/>
        <v>67256</v>
      </c>
      <c r="E79" s="18">
        <f>IF(F3="1",SUMIF(Data!A:A,'51'!$A$2,Data!EK:EK),0)</f>
        <v>131455</v>
      </c>
      <c r="F79" s="22">
        <f t="shared" si="5"/>
        <v>1.9545468062329012</v>
      </c>
    </row>
    <row r="80" spans="1:6" ht="14.25" customHeight="1" x14ac:dyDescent="0.2">
      <c r="A80" s="20">
        <v>14</v>
      </c>
      <c r="B80" s="202" t="s">
        <v>449</v>
      </c>
      <c r="C80" s="203"/>
      <c r="D80" s="15">
        <f t="shared" si="4"/>
        <v>53188</v>
      </c>
      <c r="E80" s="18">
        <f>IF(F3="1",SUMIF(Data!A:A,'51'!$A$2,Data!EL:EL),0)</f>
        <v>178122</v>
      </c>
      <c r="F80" s="22">
        <f t="shared" si="5"/>
        <v>3.3489132887117394</v>
      </c>
    </row>
    <row r="81" spans="1:6" x14ac:dyDescent="0.2">
      <c r="A81" s="20">
        <v>15</v>
      </c>
      <c r="B81" s="202" t="s">
        <v>13</v>
      </c>
      <c r="C81" s="203"/>
      <c r="D81" s="15">
        <f t="shared" si="4"/>
        <v>48660</v>
      </c>
      <c r="E81" s="18">
        <f>IF(F3="1",SUMIF(Data!A:A,'51'!$A$2,Data!EM:EM),0)</f>
        <v>305847</v>
      </c>
      <c r="F81" s="22">
        <f t="shared" si="5"/>
        <v>6.285388409371147</v>
      </c>
    </row>
    <row r="82" spans="1:6" x14ac:dyDescent="0.2">
      <c r="A82" s="20">
        <v>16</v>
      </c>
      <c r="B82" s="202" t="s">
        <v>14</v>
      </c>
      <c r="C82" s="203"/>
      <c r="D82" s="15">
        <f t="shared" si="4"/>
        <v>138862</v>
      </c>
      <c r="E82" s="18">
        <f>IF(F3="1",SUMIF(Data!A:A,'51'!$A$2,Data!EN:EN),0)</f>
        <v>956975</v>
      </c>
      <c r="F82" s="22">
        <f t="shared" si="5"/>
        <v>6.8915542048940672</v>
      </c>
    </row>
    <row r="83" spans="1:6" x14ac:dyDescent="0.2">
      <c r="A83" s="20">
        <v>17</v>
      </c>
      <c r="B83" s="202" t="s">
        <v>15</v>
      </c>
      <c r="C83" s="203"/>
      <c r="D83" s="15">
        <f t="shared" si="4"/>
        <v>0</v>
      </c>
      <c r="E83" s="18">
        <f>IF(F3="1",SUMIF(Data!A:A,'51'!$A$2,Data!EO:EO),0)</f>
        <v>0</v>
      </c>
      <c r="F83" s="22" t="str">
        <f t="shared" si="5"/>
        <v/>
      </c>
    </row>
    <row r="84" spans="1:6" x14ac:dyDescent="0.2">
      <c r="A84" s="20">
        <v>18</v>
      </c>
      <c r="B84" s="202" t="s">
        <v>16</v>
      </c>
      <c r="C84" s="203"/>
      <c r="D84" s="15">
        <f t="shared" si="4"/>
        <v>33168</v>
      </c>
      <c r="E84" s="18">
        <f>IF(F3="1",SUMIF(Data!A:A,'51'!$A$2,Data!EP:EP),0)</f>
        <v>159668</v>
      </c>
      <c r="F84" s="22">
        <f t="shared" si="5"/>
        <v>4.8139170284611676</v>
      </c>
    </row>
    <row r="85" spans="1:6" x14ac:dyDescent="0.2">
      <c r="A85" s="20">
        <v>19</v>
      </c>
      <c r="B85" s="202" t="s">
        <v>17</v>
      </c>
      <c r="C85" s="203"/>
      <c r="D85" s="15">
        <f t="shared" si="4"/>
        <v>124864</v>
      </c>
      <c r="E85" s="18">
        <f>IF(F3="1",SUMIF(Data!A:A,'51'!$A$2,Data!EQ:EQ),0)</f>
        <v>367207</v>
      </c>
      <c r="F85" s="22">
        <f t="shared" si="5"/>
        <v>2.9408556509482318</v>
      </c>
    </row>
    <row r="86" spans="1:6" x14ac:dyDescent="0.2">
      <c r="A86" s="20">
        <v>20</v>
      </c>
      <c r="B86" s="202" t="s">
        <v>18</v>
      </c>
      <c r="C86" s="203"/>
      <c r="D86" s="15">
        <f t="shared" si="4"/>
        <v>153472</v>
      </c>
      <c r="E86" s="18">
        <f>IF(F3="1",SUMIF(Data!A:A,'51'!$A$2,Data!ER:ER),0)</f>
        <v>294631</v>
      </c>
      <c r="F86" s="22">
        <f t="shared" si="5"/>
        <v>1.9197703815679734</v>
      </c>
    </row>
    <row r="87" spans="1:6" ht="14.25" customHeight="1" x14ac:dyDescent="0.2">
      <c r="A87" s="20">
        <v>21</v>
      </c>
      <c r="B87" s="202" t="s">
        <v>446</v>
      </c>
      <c r="C87" s="203"/>
      <c r="D87" s="15">
        <f t="shared" si="4"/>
        <v>44096</v>
      </c>
      <c r="E87" s="18">
        <f>IF(F3="1",SUMIF(Data!A:A,'51'!$A$2,Data!ES:ES),0)</f>
        <v>93993</v>
      </c>
      <c r="F87" s="22">
        <f t="shared" si="5"/>
        <v>2.1315538824383164</v>
      </c>
    </row>
    <row r="88" spans="1:6" x14ac:dyDescent="0.2">
      <c r="A88" s="20">
        <v>22</v>
      </c>
      <c r="B88" s="202" t="s">
        <v>19</v>
      </c>
      <c r="C88" s="203"/>
      <c r="D88" s="15">
        <f t="shared" si="4"/>
        <v>63136</v>
      </c>
      <c r="E88" s="18">
        <f>IF(F3="1",SUMIF(Data!A:A,'51'!$A$2,Data!ET:ET),0)</f>
        <v>112720</v>
      </c>
      <c r="F88" s="22">
        <f t="shared" si="5"/>
        <v>1.7853522554485555</v>
      </c>
    </row>
    <row r="89" spans="1:6" x14ac:dyDescent="0.2">
      <c r="A89" s="20">
        <v>23</v>
      </c>
      <c r="B89" s="202" t="s">
        <v>20</v>
      </c>
      <c r="C89" s="203"/>
      <c r="D89" s="15">
        <f t="shared" si="4"/>
        <v>3312</v>
      </c>
      <c r="E89" s="18">
        <f>IF(F3="1",SUMIF(Data!A:A,'51'!$A$2,Data!EU:EU),0)</f>
        <v>127</v>
      </c>
      <c r="F89" s="22">
        <f t="shared" si="5"/>
        <v>3.834541062801932E-2</v>
      </c>
    </row>
    <row r="90" spans="1:6" x14ac:dyDescent="0.2">
      <c r="A90" s="20">
        <v>24</v>
      </c>
      <c r="B90" s="202" t="s">
        <v>21</v>
      </c>
      <c r="C90" s="203"/>
      <c r="D90" s="15">
        <f t="shared" si="4"/>
        <v>79312</v>
      </c>
      <c r="E90" s="18">
        <f>IF(F3="1",SUMIF(Data!A:A,'51'!$A$2,Data!EV:EV),0)</f>
        <v>82223</v>
      </c>
      <c r="F90" s="22">
        <f t="shared" si="5"/>
        <v>1.036703147064757</v>
      </c>
    </row>
    <row r="91" spans="1:6" x14ac:dyDescent="0.2">
      <c r="A91" s="20">
        <v>25</v>
      </c>
      <c r="B91" s="202" t="s">
        <v>22</v>
      </c>
      <c r="C91" s="203"/>
      <c r="D91" s="15">
        <f t="shared" si="4"/>
        <v>305134</v>
      </c>
      <c r="E91" s="18">
        <f>IF(F3="1",SUMIF(Data!A:A,'51'!$A$2,Data!EW:EW),0)</f>
        <v>253686</v>
      </c>
      <c r="F91" s="22">
        <f t="shared" si="5"/>
        <v>0.83139210969606792</v>
      </c>
    </row>
    <row r="92" spans="1:6" x14ac:dyDescent="0.2">
      <c r="A92" s="20">
        <v>26</v>
      </c>
      <c r="B92" s="202" t="s">
        <v>23</v>
      </c>
      <c r="C92" s="203"/>
      <c r="D92" s="15">
        <f t="shared" si="4"/>
        <v>125136</v>
      </c>
      <c r="E92" s="18">
        <f>IF(F3="1",SUMIF(Data!A:A,'51'!$A$2,Data!EX:EX),0)</f>
        <v>107976</v>
      </c>
      <c r="F92" s="22">
        <f t="shared" si="5"/>
        <v>0.8628691983122363</v>
      </c>
    </row>
    <row r="93" spans="1:6" x14ac:dyDescent="0.2">
      <c r="A93" s="20">
        <v>28</v>
      </c>
      <c r="B93" s="202" t="s">
        <v>24</v>
      </c>
      <c r="C93" s="203"/>
      <c r="D93" s="15">
        <f t="shared" si="4"/>
        <v>109696</v>
      </c>
      <c r="E93" s="18">
        <f>IF(F3="1",SUMIF(Data!A:A,'51'!$A$2,Data!EZ:EZ),0)</f>
        <v>286341</v>
      </c>
      <c r="F93" s="22">
        <f t="shared" si="5"/>
        <v>2.6103139585764294</v>
      </c>
    </row>
    <row r="94" spans="1:6" ht="15.75" customHeight="1" thickBot="1" x14ac:dyDescent="0.25">
      <c r="A94" s="23">
        <v>29</v>
      </c>
      <c r="B94" s="206" t="s">
        <v>25</v>
      </c>
      <c r="C94" s="207"/>
      <c r="D94" s="24">
        <f t="shared" si="4"/>
        <v>99968</v>
      </c>
      <c r="E94" s="25">
        <f>IF(F3="1",SUMIF(Data!A:A,'51'!$A$2,Data!FA:FA),0)</f>
        <v>268621</v>
      </c>
      <c r="F94" s="26">
        <f t="shared" si="5"/>
        <v>2.6870698623559539</v>
      </c>
    </row>
    <row r="95" spans="1:6" x14ac:dyDescent="0.2">
      <c r="B95" s="31" t="s">
        <v>35</v>
      </c>
      <c r="C95" s="31"/>
      <c r="D95" s="60">
        <f>SUM(D67:D94)</f>
        <v>2955611</v>
      </c>
      <c r="E95" s="32">
        <f>SUM(E67:E94)</f>
        <v>7625194</v>
      </c>
      <c r="F95" s="33">
        <f t="shared" si="5"/>
        <v>2.5799044596870155</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IF(F3="1",SUMIF(Data!A:A,'51'!$A$2,Data!AH:AH),0)</f>
        <v>3111579</v>
      </c>
      <c r="F98" s="21">
        <f t="shared" ref="F98:F105" si="6">IFERROR(E98/$D$95,0)</f>
        <v>1.0527701378835037</v>
      </c>
    </row>
    <row r="99" spans="2:6" x14ac:dyDescent="0.2">
      <c r="B99" s="212" t="s">
        <v>31</v>
      </c>
      <c r="C99" s="213"/>
      <c r="D99" s="37"/>
      <c r="E99" s="18">
        <f>IF(F3="1",SUMIF(Data!A:A,'51'!$A$2,Data!AI:AI),0)</f>
        <v>3461408</v>
      </c>
      <c r="F99" s="22">
        <f t="shared" si="6"/>
        <v>1.1711311129915269</v>
      </c>
    </row>
    <row r="100" spans="2:6" x14ac:dyDescent="0.2">
      <c r="B100" s="212" t="s">
        <v>32</v>
      </c>
      <c r="C100" s="213"/>
      <c r="D100" s="37"/>
      <c r="E100" s="18">
        <f>IF(F3="1",SUMIF(Data!A:A,'51'!$A$2,Data!AJ:AJ),0)</f>
        <v>1935837</v>
      </c>
      <c r="F100" s="22">
        <f t="shared" si="6"/>
        <v>0.65497015676284864</v>
      </c>
    </row>
    <row r="101" spans="2:6" x14ac:dyDescent="0.2">
      <c r="B101" s="212" t="s">
        <v>28</v>
      </c>
      <c r="C101" s="213"/>
      <c r="D101" s="37"/>
      <c r="E101" s="18">
        <f>IF(F3="1",SUMIF(Data!A:A,'51'!$A$2,Data!AK:AK),0)</f>
        <v>209563</v>
      </c>
      <c r="F101" s="22">
        <f t="shared" si="6"/>
        <v>7.0903444330123286E-2</v>
      </c>
    </row>
    <row r="102" spans="2:6" x14ac:dyDescent="0.2">
      <c r="B102" s="212" t="s">
        <v>33</v>
      </c>
      <c r="C102" s="213"/>
      <c r="D102" s="37"/>
      <c r="E102" s="18">
        <f>IF(F3="1",SUMIF(Data!A:A,'51'!$A$2,Data!AL:AL),0)</f>
        <v>1619898</v>
      </c>
      <c r="F102" s="22">
        <f t="shared" si="6"/>
        <v>0.54807550790682535</v>
      </c>
    </row>
    <row r="103" spans="2:6" x14ac:dyDescent="0.2">
      <c r="B103" s="214" t="s">
        <v>34</v>
      </c>
      <c r="C103" s="215"/>
      <c r="D103" s="37"/>
      <c r="E103" s="18">
        <f>IF(F3="1",SUMIF(Data!A:A,'51'!$A$2,Data!AM:AM),0)</f>
        <v>1298953</v>
      </c>
      <c r="F103" s="22">
        <f t="shared" si="6"/>
        <v>0.43948713142561724</v>
      </c>
    </row>
    <row r="104" spans="2:6" ht="15.75" customHeight="1" thickBot="1" x14ac:dyDescent="0.25">
      <c r="B104" s="208" t="s">
        <v>29</v>
      </c>
      <c r="C104" s="209"/>
      <c r="D104" s="38"/>
      <c r="E104" s="25">
        <f>IF(F3="1",SUMIF(Data!A:A,'51'!$A$2,Data!Q:Q),0)</f>
        <v>307371</v>
      </c>
      <c r="F104" s="26">
        <f t="shared" si="6"/>
        <v>0.10399575586909103</v>
      </c>
    </row>
    <row r="105" spans="2:6" x14ac:dyDescent="0.2">
      <c r="B105" s="31" t="s">
        <v>35</v>
      </c>
      <c r="C105" s="31"/>
      <c r="D105" s="35">
        <f>D95</f>
        <v>2955611</v>
      </c>
      <c r="E105" s="32">
        <f>SUM(E98:E104)</f>
        <v>11944609</v>
      </c>
      <c r="F105" s="33">
        <f t="shared" si="6"/>
        <v>4.0413332471695362</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10352574</v>
      </c>
      <c r="D109" s="192">
        <f>IF(F3="1",SUMIF(Data!$A:$A,$A$2,Data!HJ:HJ),0)</f>
        <v>1322650</v>
      </c>
      <c r="E109" s="192">
        <f>IF(F3="1",SUMIF(Data!$A:$A,$A$2,Data!IN:IN),0)</f>
        <v>1456311</v>
      </c>
      <c r="F109" s="48">
        <f>SUM(C109:E109)</f>
        <v>13131535</v>
      </c>
    </row>
    <row r="110" spans="2:6" x14ac:dyDescent="0.2">
      <c r="B110" s="43" t="s">
        <v>28</v>
      </c>
      <c r="C110" s="193">
        <f>IF(F3="1",SUMIF(Data!A:A,$A$2,Data!W:W),0)</f>
        <v>164812</v>
      </c>
      <c r="D110" s="52"/>
      <c r="E110" s="193">
        <f>IF(F3="1",SUMIF(Data!A:A,$A$2,Data!AD:AD),0)</f>
        <v>44751</v>
      </c>
      <c r="F110" s="49">
        <f t="shared" ref="F110:F116" si="7">SUM(C110:E110)</f>
        <v>209563</v>
      </c>
    </row>
    <row r="111" spans="2:6" x14ac:dyDescent="0.2">
      <c r="B111" s="43" t="s">
        <v>915</v>
      </c>
      <c r="C111" s="193">
        <f>IF(F3="1",SUMIF(Data!A:A,$A$2,Data!AS:AS),0)</f>
        <v>590631</v>
      </c>
      <c r="D111" s="52"/>
      <c r="E111" s="193">
        <f>IF(F3="1",SUMIF(Data!A:A,$A$2,Data!AX:AX)-SUMIF(Data!A:A,$A$2,Data!AW:AW),0)</f>
        <v>794899</v>
      </c>
      <c r="F111" s="49">
        <f t="shared" si="7"/>
        <v>1385530</v>
      </c>
    </row>
    <row r="112" spans="2:6" x14ac:dyDescent="0.2">
      <c r="B112" s="43" t="s">
        <v>32</v>
      </c>
      <c r="C112" s="193">
        <f>IF(F3="1",SUMIF(Data!A:A,$A$2,Data!V:V),0)</f>
        <v>1520884</v>
      </c>
      <c r="D112" s="52"/>
      <c r="E112" s="193">
        <f>IF(F3="1",SUMIF(Data!A:A,$A$2,Data!AC:AC),0)</f>
        <v>414953</v>
      </c>
      <c r="F112" s="49">
        <f t="shared" si="7"/>
        <v>1935837</v>
      </c>
    </row>
    <row r="113" spans="1:6" x14ac:dyDescent="0.2">
      <c r="B113" s="43" t="s">
        <v>31</v>
      </c>
      <c r="C113" s="193">
        <f>IF(F3="1",SUMIF(Data!A:A,$A$2,Data!U:U),0)</f>
        <v>2323030</v>
      </c>
      <c r="D113" s="52"/>
      <c r="E113" s="193">
        <f>IF(F3="1",SUMIF(Data!A:A,$A$2,Data!AB:AB),0)</f>
        <v>1138378</v>
      </c>
      <c r="F113" s="49">
        <f t="shared" si="7"/>
        <v>3461408</v>
      </c>
    </row>
    <row r="114" spans="1:6" x14ac:dyDescent="0.2">
      <c r="B114" s="43" t="s">
        <v>1002</v>
      </c>
      <c r="C114" s="193">
        <f>IF(F3="1",SUMIF(Data!A:A,$A$2,Data!T:T),0)</f>
        <v>2129518</v>
      </c>
      <c r="D114" s="52"/>
      <c r="E114" s="193">
        <f>IF(F3="1",SUMIF(Data!A:A,$A$2,Data!AA:AA),0)</f>
        <v>982061</v>
      </c>
      <c r="F114" s="49">
        <f t="shared" si="7"/>
        <v>3111579</v>
      </c>
    </row>
    <row r="115" spans="1:6" x14ac:dyDescent="0.2">
      <c r="B115" s="43" t="s">
        <v>916</v>
      </c>
      <c r="C115" s="193">
        <f>IF(F3="1",SUMIF(Data!A:A,$A$2,Data!BI:BI),0)</f>
        <v>1258839</v>
      </c>
      <c r="D115" s="193">
        <f>IF(F3="1",SUMIF(Data!A:A,$A$2,Data!BL:BL),0)</f>
        <v>559958</v>
      </c>
      <c r="E115" s="193">
        <f>IF(F3="1",SUMIF(Data!A:A,$A$2,Data!BU:BU)-SUMIF(Data!A:A,$A$2,Data!BT:BT),0)</f>
        <v>2206624</v>
      </c>
      <c r="F115" s="49">
        <f t="shared" si="7"/>
        <v>4025421</v>
      </c>
    </row>
    <row r="116" spans="1:6" x14ac:dyDescent="0.2">
      <c r="B116" s="43" t="s">
        <v>33</v>
      </c>
      <c r="C116" s="193">
        <f>IF(F3="1",SUMIF(Data!A:A,$A$2,Data!X:X),0)</f>
        <v>0</v>
      </c>
      <c r="D116" s="51"/>
      <c r="E116" s="193">
        <f>E102-C116</f>
        <v>1619898</v>
      </c>
      <c r="F116" s="49">
        <f t="shared" si="7"/>
        <v>1619898</v>
      </c>
    </row>
    <row r="117" spans="1:6" ht="15" thickBot="1" x14ac:dyDescent="0.25">
      <c r="B117" s="44" t="s">
        <v>920</v>
      </c>
      <c r="C117" s="53"/>
      <c r="D117" s="53">
        <f>IF(F3="1",SUMIF(Data!A:A,$A$2,Data!Q:Q),0)</f>
        <v>307371</v>
      </c>
      <c r="E117" s="53"/>
      <c r="F117" s="50">
        <f>SUM(C117:E117)</f>
        <v>307371</v>
      </c>
    </row>
    <row r="118" spans="1:6" x14ac:dyDescent="0.2">
      <c r="B118" s="14" t="s">
        <v>35</v>
      </c>
      <c r="C118" s="178">
        <f>SUM(C109:C117)</f>
        <v>18340288</v>
      </c>
      <c r="D118" s="194">
        <f>SUM(D109:D117)</f>
        <v>2189979</v>
      </c>
      <c r="E118" s="178">
        <f>SUM(E109:E117)</f>
        <v>8657875</v>
      </c>
      <c r="F118" s="178">
        <f>SUM(F109:F117)</f>
        <v>29188142</v>
      </c>
    </row>
    <row r="119" spans="1:6" x14ac:dyDescent="0.2">
      <c r="C119" s="177"/>
      <c r="D119" s="177"/>
      <c r="E119" s="177"/>
    </row>
    <row r="120" spans="1:6" ht="15" thickBot="1" x14ac:dyDescent="0.25">
      <c r="B120" s="188" t="s">
        <v>921</v>
      </c>
      <c r="C120" s="53"/>
      <c r="D120" s="53"/>
      <c r="E120" s="195">
        <f>IF(F3="1",SUMIF(Data!A:A,$A$2,Data!AF:AF)+SUMIF(Data!A:A,$A$2,Data!AW:AW)+SUMIF(Data!A:A,$A$2,Data!BT:BT),0)</f>
        <v>1353569</v>
      </c>
      <c r="F120" s="181">
        <f>SUM(C120:E120)</f>
        <v>1353569</v>
      </c>
    </row>
    <row r="121" spans="1:6" s="177" customFormat="1" x14ac:dyDescent="0.2">
      <c r="B121" s="14" t="s">
        <v>35</v>
      </c>
      <c r="C121" s="178">
        <f>SUM(C120:C120)</f>
        <v>0</v>
      </c>
      <c r="D121" s="178">
        <f>SUM(D120:D120)</f>
        <v>0</v>
      </c>
      <c r="E121" s="178">
        <f>SUM(E120:E120)</f>
        <v>1353569</v>
      </c>
      <c r="F121" s="178">
        <f>SUM(F120:F120)</f>
        <v>1353569</v>
      </c>
    </row>
    <row r="122" spans="1:6" s="177" customFormat="1" ht="15" thickBot="1" x14ac:dyDescent="0.25">
      <c r="B122" s="14" t="s">
        <v>1396</v>
      </c>
      <c r="C122" s="178"/>
      <c r="D122" s="178"/>
      <c r="E122" s="178"/>
      <c r="F122" s="190">
        <f>F118+F121</f>
        <v>30541711</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425</v>
      </c>
      <c r="B2" s="59" t="str">
        <f>VLOOKUP(A2,Data!A:G,7,0)</f>
        <v>Texas State Technical College-West Texas</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7248</v>
      </c>
      <c r="E5" s="16">
        <f>E36+E67+IFERROR($E$105/$D$105*D5,0)</f>
        <v>133163.08154008118</v>
      </c>
      <c r="F5" s="21">
        <f>IFERROR(E5/D5,"")</f>
        <v>18.37238983720767</v>
      </c>
    </row>
    <row r="6" spans="1:6" x14ac:dyDescent="0.2">
      <c r="A6" s="20">
        <v>2</v>
      </c>
      <c r="B6" s="202" t="s">
        <v>1</v>
      </c>
      <c r="C6" s="203"/>
      <c r="D6" s="15">
        <f t="shared" ref="D6:D32" si="0">D37</f>
        <v>27752</v>
      </c>
      <c r="E6" s="18">
        <f t="shared" ref="E6:E32" si="1">E37+E68+IFERROR($E$105/$D$105*D6,0)</f>
        <v>509887.53406461538</v>
      </c>
      <c r="F6" s="22">
        <f t="shared" ref="F6:F33" si="2">IFERROR(E6/D6,"")</f>
        <v>18.373001371598999</v>
      </c>
    </row>
    <row r="7" spans="1:6" ht="14.25" customHeight="1" x14ac:dyDescent="0.2">
      <c r="A7" s="20">
        <v>3</v>
      </c>
      <c r="B7" s="202" t="s">
        <v>2</v>
      </c>
      <c r="C7" s="203"/>
      <c r="D7" s="15">
        <f t="shared" si="0"/>
        <v>0</v>
      </c>
      <c r="E7" s="18">
        <f t="shared" si="1"/>
        <v>0</v>
      </c>
      <c r="F7" s="22" t="str">
        <f t="shared" si="2"/>
        <v/>
      </c>
    </row>
    <row r="8" spans="1:6" ht="14.25" customHeight="1" x14ac:dyDescent="0.2">
      <c r="A8" s="20">
        <v>4</v>
      </c>
      <c r="B8" s="202" t="s">
        <v>3</v>
      </c>
      <c r="C8" s="203"/>
      <c r="D8" s="15">
        <f t="shared" si="0"/>
        <v>142208</v>
      </c>
      <c r="E8" s="18">
        <f t="shared" si="1"/>
        <v>1892762.6793117912</v>
      </c>
      <c r="F8" s="22">
        <f t="shared" si="2"/>
        <v>13.309818570768108</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10368</v>
      </c>
      <c r="E10" s="18">
        <f t="shared" si="1"/>
        <v>190491.23584541411</v>
      </c>
      <c r="F10" s="22">
        <f t="shared" si="2"/>
        <v>18.37299728447281</v>
      </c>
    </row>
    <row r="11" spans="1:6" x14ac:dyDescent="0.2">
      <c r="A11" s="20">
        <v>7</v>
      </c>
      <c r="B11" s="202" t="s">
        <v>6</v>
      </c>
      <c r="C11" s="203"/>
      <c r="D11" s="15">
        <f t="shared" si="0"/>
        <v>70928</v>
      </c>
      <c r="E11" s="18">
        <f t="shared" si="1"/>
        <v>944039.30787456909</v>
      </c>
      <c r="F11" s="22">
        <f t="shared" si="2"/>
        <v>13.309825567823273</v>
      </c>
    </row>
    <row r="12" spans="1:6" x14ac:dyDescent="0.2">
      <c r="A12" s="20">
        <v>8</v>
      </c>
      <c r="B12" s="202" t="s">
        <v>7</v>
      </c>
      <c r="C12" s="203"/>
      <c r="D12" s="15">
        <f t="shared" si="0"/>
        <v>3552</v>
      </c>
      <c r="E12" s="18">
        <f t="shared" si="1"/>
        <v>65259.914132225204</v>
      </c>
      <c r="F12" s="22">
        <f t="shared" si="2"/>
        <v>18.372723573261599</v>
      </c>
    </row>
    <row r="13" spans="1:6" x14ac:dyDescent="0.2">
      <c r="A13" s="20">
        <v>9</v>
      </c>
      <c r="B13" s="202" t="s">
        <v>8</v>
      </c>
      <c r="C13" s="203"/>
      <c r="D13" s="15">
        <f t="shared" si="0"/>
        <v>25152</v>
      </c>
      <c r="E13" s="18">
        <f t="shared" si="1"/>
        <v>462116.90547683794</v>
      </c>
      <c r="F13" s="22">
        <f t="shared" si="2"/>
        <v>18.372968570166904</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105536</v>
      </c>
      <c r="E15" s="18">
        <f t="shared" si="1"/>
        <v>2281625.511784493</v>
      </c>
      <c r="F15" s="22">
        <f t="shared" si="2"/>
        <v>21.619404864543785</v>
      </c>
    </row>
    <row r="16" spans="1:6" ht="14.25" customHeight="1" x14ac:dyDescent="0.2">
      <c r="A16" s="20">
        <v>12</v>
      </c>
      <c r="B16" s="202" t="s">
        <v>11</v>
      </c>
      <c r="C16" s="203"/>
      <c r="D16" s="15">
        <f t="shared" si="0"/>
        <v>1216</v>
      </c>
      <c r="E16" s="18">
        <f t="shared" si="1"/>
        <v>162786.58321643746</v>
      </c>
      <c r="F16" s="22">
        <f t="shared" si="2"/>
        <v>133.87054540825449</v>
      </c>
    </row>
    <row r="17" spans="1:6" x14ac:dyDescent="0.2">
      <c r="A17" s="20">
        <v>13</v>
      </c>
      <c r="B17" s="202" t="s">
        <v>12</v>
      </c>
      <c r="C17" s="203"/>
      <c r="D17" s="15">
        <f t="shared" si="0"/>
        <v>336</v>
      </c>
      <c r="E17" s="18">
        <f t="shared" si="1"/>
        <v>44979.924309805087</v>
      </c>
      <c r="F17" s="22">
        <f t="shared" si="2"/>
        <v>133.86882235061037</v>
      </c>
    </row>
    <row r="18" spans="1:6" ht="14.25" customHeight="1" x14ac:dyDescent="0.2">
      <c r="A18" s="20">
        <v>14</v>
      </c>
      <c r="B18" s="202" t="s">
        <v>449</v>
      </c>
      <c r="C18" s="203"/>
      <c r="D18" s="15">
        <f t="shared" si="0"/>
        <v>33184</v>
      </c>
      <c r="E18" s="18">
        <f t="shared" si="1"/>
        <v>573951.81040646438</v>
      </c>
      <c r="F18" s="22">
        <f t="shared" si="2"/>
        <v>17.296040573965296</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97502</v>
      </c>
      <c r="E20" s="18">
        <f t="shared" si="1"/>
        <v>1686396.0894482606</v>
      </c>
      <c r="F20" s="22">
        <f t="shared" si="2"/>
        <v>17.29601535812866</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39216</v>
      </c>
      <c r="E22" s="18">
        <f t="shared" si="1"/>
        <v>678280.30873010796</v>
      </c>
      <c r="F22" s="22">
        <f t="shared" si="2"/>
        <v>17.296009504541718</v>
      </c>
    </row>
    <row r="23" spans="1:6" x14ac:dyDescent="0.2">
      <c r="A23" s="20">
        <v>19</v>
      </c>
      <c r="B23" s="202" t="s">
        <v>17</v>
      </c>
      <c r="C23" s="203"/>
      <c r="D23" s="15">
        <f t="shared" si="0"/>
        <v>3168</v>
      </c>
      <c r="E23" s="18">
        <f t="shared" si="1"/>
        <v>424104.57206387655</v>
      </c>
      <c r="F23" s="22">
        <f t="shared" si="2"/>
        <v>133.87139269693074</v>
      </c>
    </row>
    <row r="24" spans="1:6" x14ac:dyDescent="0.2">
      <c r="A24" s="20">
        <v>20</v>
      </c>
      <c r="B24" s="202" t="s">
        <v>18</v>
      </c>
      <c r="C24" s="203"/>
      <c r="D24" s="15">
        <f t="shared" si="0"/>
        <v>37664</v>
      </c>
      <c r="E24" s="18">
        <f t="shared" si="1"/>
        <v>559888.80120386544</v>
      </c>
      <c r="F24" s="22">
        <f t="shared" si="2"/>
        <v>14.865356871385552</v>
      </c>
    </row>
    <row r="25" spans="1:6" ht="14.25" customHeight="1" x14ac:dyDescent="0.2">
      <c r="A25" s="20">
        <v>21</v>
      </c>
      <c r="B25" s="202" t="s">
        <v>446</v>
      </c>
      <c r="C25" s="203"/>
      <c r="D25" s="15">
        <f t="shared" si="0"/>
        <v>60272</v>
      </c>
      <c r="E25" s="18">
        <f t="shared" si="1"/>
        <v>895966.56547789345</v>
      </c>
      <c r="F25" s="22">
        <f t="shared" si="2"/>
        <v>14.865386339890719</v>
      </c>
    </row>
    <row r="26" spans="1:6" x14ac:dyDescent="0.2">
      <c r="A26" s="20">
        <v>22</v>
      </c>
      <c r="B26" s="202" t="s">
        <v>19</v>
      </c>
      <c r="C26" s="203"/>
      <c r="D26" s="15">
        <f t="shared" si="0"/>
        <v>9192</v>
      </c>
      <c r="E26" s="18">
        <f t="shared" si="1"/>
        <v>168886.00076109631</v>
      </c>
      <c r="F26" s="22">
        <f t="shared" si="2"/>
        <v>18.373150648509171</v>
      </c>
    </row>
    <row r="27" spans="1:6" x14ac:dyDescent="0.2">
      <c r="A27" s="20">
        <v>23</v>
      </c>
      <c r="B27" s="202" t="s">
        <v>20</v>
      </c>
      <c r="C27" s="203"/>
      <c r="D27" s="15">
        <f t="shared" si="0"/>
        <v>384</v>
      </c>
      <c r="E27" s="18">
        <f t="shared" si="1"/>
        <v>4155.3420683486711</v>
      </c>
      <c r="F27" s="22">
        <f t="shared" si="2"/>
        <v>10.82120330299133</v>
      </c>
    </row>
    <row r="28" spans="1:6" x14ac:dyDescent="0.2">
      <c r="A28" s="20">
        <v>24</v>
      </c>
      <c r="B28" s="202" t="s">
        <v>21</v>
      </c>
      <c r="C28" s="203"/>
      <c r="D28" s="15">
        <f t="shared" si="0"/>
        <v>5184</v>
      </c>
      <c r="E28" s="18">
        <f t="shared" si="1"/>
        <v>68997.117922707053</v>
      </c>
      <c r="F28" s="22">
        <f t="shared" si="2"/>
        <v>13.309629228917256</v>
      </c>
    </row>
    <row r="29" spans="1:6" x14ac:dyDescent="0.2">
      <c r="A29" s="20">
        <v>25</v>
      </c>
      <c r="B29" s="202" t="s">
        <v>22</v>
      </c>
      <c r="C29" s="203"/>
      <c r="D29" s="15">
        <f t="shared" si="0"/>
        <v>1936</v>
      </c>
      <c r="E29" s="18">
        <f t="shared" si="1"/>
        <v>259173.84959459121</v>
      </c>
      <c r="F29" s="22">
        <f t="shared" si="2"/>
        <v>133.87079007985082</v>
      </c>
    </row>
    <row r="30" spans="1:6" x14ac:dyDescent="0.2">
      <c r="A30" s="20">
        <v>26</v>
      </c>
      <c r="B30" s="202" t="s">
        <v>23</v>
      </c>
      <c r="C30" s="203"/>
      <c r="D30" s="15">
        <f t="shared" si="0"/>
        <v>26480</v>
      </c>
      <c r="E30" s="18">
        <f t="shared" si="1"/>
        <v>352443.46346321044</v>
      </c>
      <c r="F30" s="22">
        <f t="shared" si="2"/>
        <v>13.309798469154472</v>
      </c>
    </row>
    <row r="31" spans="1:6" x14ac:dyDescent="0.2">
      <c r="A31" s="20">
        <v>28</v>
      </c>
      <c r="B31" s="202" t="s">
        <v>24</v>
      </c>
      <c r="C31" s="203"/>
      <c r="D31" s="15">
        <f t="shared" si="0"/>
        <v>9552</v>
      </c>
      <c r="E31" s="18">
        <f t="shared" si="1"/>
        <v>103393.13395017319</v>
      </c>
      <c r="F31" s="22">
        <f t="shared" si="2"/>
        <v>10.824239316391665</v>
      </c>
    </row>
    <row r="32" spans="1:6" ht="15.75" customHeight="1" thickBot="1" x14ac:dyDescent="0.25">
      <c r="A32" s="23">
        <v>29</v>
      </c>
      <c r="B32" s="206" t="s">
        <v>25</v>
      </c>
      <c r="C32" s="207"/>
      <c r="D32" s="24">
        <f t="shared" si="0"/>
        <v>1984</v>
      </c>
      <c r="E32" s="25">
        <f t="shared" si="1"/>
        <v>21473.267353134801</v>
      </c>
      <c r="F32" s="26">
        <f t="shared" si="2"/>
        <v>10.823219432023588</v>
      </c>
    </row>
    <row r="33" spans="1:6" x14ac:dyDescent="0.2">
      <c r="B33" s="31" t="s">
        <v>35</v>
      </c>
      <c r="C33" s="31"/>
      <c r="D33" s="60">
        <f>SUM(D5:D32)</f>
        <v>720014</v>
      </c>
      <c r="E33" s="32">
        <f>SUM(E5:E32)</f>
        <v>12484222.999999996</v>
      </c>
      <c r="F33" s="33">
        <f t="shared" si="2"/>
        <v>17.338861466582589</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IF(F3="1",SUMIF(Data!A:A,'52'!$A$2,Data!CU:CU),0)</f>
        <v>7248</v>
      </c>
      <c r="E36" s="16">
        <f>IF(F3="1",SUMIF(Data!$A:$A,'52'!$A$2,Data!IO:IO),0)</f>
        <v>22874</v>
      </c>
      <c r="F36" s="21">
        <f t="shared" ref="F36:F64" si="3">IFERROR(E36/D36,"")</f>
        <v>3.1559050772626933</v>
      </c>
    </row>
    <row r="37" spans="1:6" x14ac:dyDescent="0.2">
      <c r="A37" s="20">
        <v>2</v>
      </c>
      <c r="B37" s="202" t="s">
        <v>1</v>
      </c>
      <c r="C37" s="203"/>
      <c r="D37" s="15">
        <f>IF(F3="1",SUMIF(Data!A:A,'52'!$A$2,Data!CV:CV),0)</f>
        <v>27752</v>
      </c>
      <c r="E37" s="18">
        <f>IF(F3="1",SUMIF(Data!$A:$A,'52'!$A$2,Data!IP:IP),0)</f>
        <v>87598</v>
      </c>
      <c r="F37" s="22">
        <f t="shared" si="3"/>
        <v>3.1564571922744307</v>
      </c>
    </row>
    <row r="38" spans="1:6" ht="14.25" customHeight="1" x14ac:dyDescent="0.2">
      <c r="A38" s="20">
        <v>3</v>
      </c>
      <c r="B38" s="202" t="s">
        <v>2</v>
      </c>
      <c r="C38" s="203"/>
      <c r="D38" s="15">
        <f>IF(F3="1",SUMIF(Data!A:A,'52'!$A$2,Data!CW:CW),0)</f>
        <v>0</v>
      </c>
      <c r="E38" s="18">
        <f>IF(F3="1",SUMIF(Data!$A:$A,'52'!$A$2,Data!IQ:IQ),0)</f>
        <v>0</v>
      </c>
      <c r="F38" s="22" t="str">
        <f t="shared" si="3"/>
        <v/>
      </c>
    </row>
    <row r="39" spans="1:6" ht="14.25" customHeight="1" x14ac:dyDescent="0.2">
      <c r="A39" s="20">
        <v>4</v>
      </c>
      <c r="B39" s="202" t="s">
        <v>3</v>
      </c>
      <c r="C39" s="203"/>
      <c r="D39" s="15">
        <f>IF(F3="1",SUMIF(Data!A:A,'52'!$A$2,Data!CX:CX),0)</f>
        <v>142208</v>
      </c>
      <c r="E39" s="18">
        <f>IF(F3="1",SUMIF(Data!$A:$A,'52'!$A$2,Data!IR:IR),0)</f>
        <v>187005</v>
      </c>
      <c r="F39" s="22">
        <f t="shared" si="3"/>
        <v>1.3150104072907292</v>
      </c>
    </row>
    <row r="40" spans="1:6" x14ac:dyDescent="0.2">
      <c r="A40" s="20">
        <v>5</v>
      </c>
      <c r="B40" s="202" t="s">
        <v>4</v>
      </c>
      <c r="C40" s="203"/>
      <c r="D40" s="15">
        <f>IF(F3="1",SUMIF(Data!A:A,'52'!$A$2,Data!CY:CY),0)</f>
        <v>0</v>
      </c>
      <c r="E40" s="18">
        <f>IF(F3="1",SUMIF(Data!$A:$A,'52'!$A$2,Data!IS:IS),0)</f>
        <v>0</v>
      </c>
      <c r="F40" s="22" t="str">
        <f t="shared" si="3"/>
        <v/>
      </c>
    </row>
    <row r="41" spans="1:6" x14ac:dyDescent="0.2">
      <c r="A41" s="20">
        <v>6</v>
      </c>
      <c r="B41" s="202" t="s">
        <v>5</v>
      </c>
      <c r="C41" s="203"/>
      <c r="D41" s="15">
        <f>IF(F3="1",SUMIF(Data!A:A,'52'!$A$2,Data!CZ:CZ),0)</f>
        <v>10368</v>
      </c>
      <c r="E41" s="18">
        <f>IF(F3="1",SUMIF(Data!$A:$A,'52'!$A$2,Data!IT:IT),0)</f>
        <v>32726</v>
      </c>
      <c r="F41" s="22">
        <f t="shared" si="3"/>
        <v>3.1564429012345681</v>
      </c>
    </row>
    <row r="42" spans="1:6" x14ac:dyDescent="0.2">
      <c r="A42" s="20">
        <v>7</v>
      </c>
      <c r="B42" s="202" t="s">
        <v>6</v>
      </c>
      <c r="C42" s="203"/>
      <c r="D42" s="15">
        <f>IF(F3="1",SUMIF(Data!A:A,'52'!$A$2,Data!DA:DA),0)</f>
        <v>70928</v>
      </c>
      <c r="E42" s="18">
        <f>IF(F3="1",SUMIF(Data!$A:$A,'52'!$A$2,Data!IU:IU),0)</f>
        <v>93271</v>
      </c>
      <c r="F42" s="22">
        <f t="shared" si="3"/>
        <v>1.3150095871870064</v>
      </c>
    </row>
    <row r="43" spans="1:6" x14ac:dyDescent="0.2">
      <c r="A43" s="20">
        <v>8</v>
      </c>
      <c r="B43" s="202" t="s">
        <v>7</v>
      </c>
      <c r="C43" s="203"/>
      <c r="D43" s="15">
        <f>IF(F3="1",SUMIF(Data!A:A,'52'!$A$2,Data!DB:DB),0)</f>
        <v>3552</v>
      </c>
      <c r="E43" s="18">
        <f>IF(F3="1",SUMIF(Data!$A:$A,'52'!$A$2,Data!IV:IV),0)</f>
        <v>11211</v>
      </c>
      <c r="F43" s="22">
        <f t="shared" si="3"/>
        <v>3.15625</v>
      </c>
    </row>
    <row r="44" spans="1:6" x14ac:dyDescent="0.2">
      <c r="A44" s="20">
        <v>9</v>
      </c>
      <c r="B44" s="202" t="s">
        <v>8</v>
      </c>
      <c r="C44" s="203"/>
      <c r="D44" s="15">
        <f>IF(F3="1",SUMIF(Data!A:A,'52'!$A$2,Data!DC:DC),0)</f>
        <v>25152</v>
      </c>
      <c r="E44" s="18">
        <f>IF(F3="1",SUMIF(Data!$A:$A,'52'!$A$2,Data!IW:IW),0)</f>
        <v>79390</v>
      </c>
      <c r="F44" s="22">
        <f t="shared" si="3"/>
        <v>3.1564090330788805</v>
      </c>
    </row>
    <row r="45" spans="1:6" x14ac:dyDescent="0.2">
      <c r="A45" s="20">
        <v>10</v>
      </c>
      <c r="B45" s="202" t="s">
        <v>9</v>
      </c>
      <c r="C45" s="203"/>
      <c r="D45" s="15">
        <f>IF(F3="1",SUMIF(Data!A:A,'52'!$A$2,Data!DD:DD),0)</f>
        <v>0</v>
      </c>
      <c r="E45" s="18">
        <f>IF(F3="1",SUMIF(Data!$A:$A,'52'!$A$2,Data!IX:IX),0)</f>
        <v>0</v>
      </c>
      <c r="F45" s="22" t="str">
        <f t="shared" si="3"/>
        <v/>
      </c>
    </row>
    <row r="46" spans="1:6" x14ac:dyDescent="0.2">
      <c r="A46" s="20">
        <v>11</v>
      </c>
      <c r="B46" s="202" t="s">
        <v>10</v>
      </c>
      <c r="C46" s="203"/>
      <c r="D46" s="15">
        <f>IF(F3="1",SUMIF(Data!A:A,'52'!$A$2,Data!DE:DE),0)</f>
        <v>105536</v>
      </c>
      <c r="E46" s="18">
        <f>IF(F3="1",SUMIF(Data!$A:$A,'52'!$A$2,Data!IY:IY),0)</f>
        <v>587150</v>
      </c>
      <c r="F46" s="22">
        <f t="shared" si="3"/>
        <v>5.5635043966040021</v>
      </c>
    </row>
    <row r="47" spans="1:6" ht="14.25" customHeight="1" x14ac:dyDescent="0.2">
      <c r="A47" s="20">
        <v>12</v>
      </c>
      <c r="B47" s="202" t="s">
        <v>11</v>
      </c>
      <c r="C47" s="203"/>
      <c r="D47" s="15">
        <f>IF(F3="1",SUMIF(Data!A:A,'52'!$A$2,Data!DF:DF),0)</f>
        <v>1216</v>
      </c>
      <c r="E47" s="18">
        <f>IF(F3="1",SUMIF(Data!$A:$A,'52'!$A$2,Data!IZ:IZ),0)</f>
        <v>27450</v>
      </c>
      <c r="F47" s="22">
        <f t="shared" si="3"/>
        <v>22.574013157894736</v>
      </c>
    </row>
    <row r="48" spans="1:6" x14ac:dyDescent="0.2">
      <c r="A48" s="20">
        <v>13</v>
      </c>
      <c r="B48" s="202" t="s">
        <v>12</v>
      </c>
      <c r="C48" s="203"/>
      <c r="D48" s="15">
        <f>IF(F3="1",SUMIF(Data!A:A,'52'!$A$2,Data!DG:DG),0)</f>
        <v>336</v>
      </c>
      <c r="E48" s="18">
        <f>IF(F3="1",SUMIF(Data!$A:$A,'52'!$A$2,Data!JA:JA),0)</f>
        <v>7585</v>
      </c>
      <c r="F48" s="22">
        <f t="shared" si="3"/>
        <v>22.574404761904763</v>
      </c>
    </row>
    <row r="49" spans="1:6" ht="14.25" customHeight="1" x14ac:dyDescent="0.2">
      <c r="A49" s="20">
        <v>14</v>
      </c>
      <c r="B49" s="202" t="s">
        <v>449</v>
      </c>
      <c r="C49" s="203"/>
      <c r="D49" s="15">
        <f>IF(F3="1",SUMIF(Data!A:A,'52'!$A$2,Data!DH:DH),0)</f>
        <v>33184</v>
      </c>
      <c r="E49" s="18">
        <f>IF(F3="1",SUMIF(Data!$A:$A,'52'!$A$2,Data!JB:JB),0)</f>
        <v>73744</v>
      </c>
      <c r="F49" s="22">
        <f t="shared" si="3"/>
        <v>2.2222757955641272</v>
      </c>
    </row>
    <row r="50" spans="1:6" x14ac:dyDescent="0.2">
      <c r="A50" s="20">
        <v>15</v>
      </c>
      <c r="B50" s="202" t="s">
        <v>13</v>
      </c>
      <c r="C50" s="203"/>
      <c r="D50" s="15">
        <f>IF(F3="1",SUMIF(Data!A:A,'52'!$A$2,Data!DI:DI),0)</f>
        <v>0</v>
      </c>
      <c r="E50" s="18">
        <f>IF(F3="1",SUMIF(Data!$A:$A,'52'!$A$2,Data!JC:JC),0)</f>
        <v>0</v>
      </c>
      <c r="F50" s="22" t="str">
        <f t="shared" si="3"/>
        <v/>
      </c>
    </row>
    <row r="51" spans="1:6" x14ac:dyDescent="0.2">
      <c r="A51" s="20">
        <v>16</v>
      </c>
      <c r="B51" s="202" t="s">
        <v>14</v>
      </c>
      <c r="C51" s="203"/>
      <c r="D51" s="15">
        <f>IF(F3="1",SUMIF(Data!A:A,'52'!$A$2,Data!DJ:DJ),0)</f>
        <v>97502</v>
      </c>
      <c r="E51" s="18">
        <f>IF(F3="1",SUMIF(Data!$A:$A,'52'!$A$2,Data!JD:JD),0)</f>
        <v>216675</v>
      </c>
      <c r="F51" s="22">
        <f t="shared" si="3"/>
        <v>2.2222621074439499</v>
      </c>
    </row>
    <row r="52" spans="1:6" x14ac:dyDescent="0.2">
      <c r="A52" s="20">
        <v>17</v>
      </c>
      <c r="B52" s="202" t="s">
        <v>15</v>
      </c>
      <c r="C52" s="203"/>
      <c r="D52" s="15">
        <f>IF(F3="1",SUMIF(Data!A:A,'52'!$A$2,Data!DK:DK),0)</f>
        <v>0</v>
      </c>
      <c r="E52" s="18">
        <f>IF(F3="1",SUMIF(Data!$A:$A,'52'!$A$2,Data!JE:JE),0)</f>
        <v>0</v>
      </c>
      <c r="F52" s="22" t="str">
        <f t="shared" si="3"/>
        <v/>
      </c>
    </row>
    <row r="53" spans="1:6" x14ac:dyDescent="0.2">
      <c r="A53" s="20">
        <v>18</v>
      </c>
      <c r="B53" s="202" t="s">
        <v>16</v>
      </c>
      <c r="C53" s="203"/>
      <c r="D53" s="15">
        <f>IF(F3="1",SUMIF(Data!A:A,'52'!$A$2,Data!DL:DL),0)</f>
        <v>39216</v>
      </c>
      <c r="E53" s="18">
        <f>IF(F3="1",SUMIF(Data!$A:$A,'52'!$A$2,Data!JF:JF),0)</f>
        <v>87148</v>
      </c>
      <c r="F53" s="22">
        <f t="shared" si="3"/>
        <v>2.2222562219502242</v>
      </c>
    </row>
    <row r="54" spans="1:6" x14ac:dyDescent="0.2">
      <c r="A54" s="20">
        <v>19</v>
      </c>
      <c r="B54" s="202" t="s">
        <v>17</v>
      </c>
      <c r="C54" s="203"/>
      <c r="D54" s="15">
        <f>IF(F3="1",SUMIF(Data!A:A,'52'!$A$2,Data!DM:DM),0)</f>
        <v>3168</v>
      </c>
      <c r="E54" s="18">
        <f>IF(F3="1",SUMIF(Data!$A:$A,'52'!$A$2,Data!JG:JG),0)</f>
        <v>71515</v>
      </c>
      <c r="F54" s="22">
        <f t="shared" si="3"/>
        <v>22.574179292929294</v>
      </c>
    </row>
    <row r="55" spans="1:6" x14ac:dyDescent="0.2">
      <c r="A55" s="20">
        <v>20</v>
      </c>
      <c r="B55" s="202" t="s">
        <v>18</v>
      </c>
      <c r="C55" s="203"/>
      <c r="D55" s="15">
        <f>IF(F3="1",SUMIF(Data!A:A,'52'!$A$2,Data!DN:DN),0)</f>
        <v>37664</v>
      </c>
      <c r="E55" s="18">
        <f>IF(F3="1",SUMIF(Data!$A:$A,'52'!$A$2,Data!JH:JH),0)</f>
        <v>78156</v>
      </c>
      <c r="F55" s="22">
        <f t="shared" si="3"/>
        <v>2.0750849617672049</v>
      </c>
    </row>
    <row r="56" spans="1:6" ht="14.25" customHeight="1" x14ac:dyDescent="0.2">
      <c r="A56" s="20">
        <v>21</v>
      </c>
      <c r="B56" s="202" t="s">
        <v>446</v>
      </c>
      <c r="C56" s="203"/>
      <c r="D56" s="15">
        <f>IF(F3="1",SUMIF(Data!A:A,'52'!$A$2,Data!DO:DO),0)</f>
        <v>60272</v>
      </c>
      <c r="E56" s="18">
        <f>IF(F3="1",SUMIF(Data!$A:$A,'52'!$A$2,Data!JI:JI),0)</f>
        <v>125070</v>
      </c>
      <c r="F56" s="22">
        <f t="shared" si="3"/>
        <v>2.0750929121316699</v>
      </c>
    </row>
    <row r="57" spans="1:6" x14ac:dyDescent="0.2">
      <c r="A57" s="20">
        <v>22</v>
      </c>
      <c r="B57" s="202" t="s">
        <v>19</v>
      </c>
      <c r="C57" s="203"/>
      <c r="D57" s="15">
        <f>IF(F3="1",SUMIF(Data!A:A,'52'!$A$2,Data!DP:DP),0)</f>
        <v>9192</v>
      </c>
      <c r="E57" s="18">
        <f>IF(F3="1",SUMIF(Data!$A:$A,'52'!$A$2,Data!JJ:JJ),0)</f>
        <v>29014</v>
      </c>
      <c r="F57" s="22">
        <f t="shared" si="3"/>
        <v>3.1564403829416885</v>
      </c>
    </row>
    <row r="58" spans="1:6" x14ac:dyDescent="0.2">
      <c r="A58" s="20">
        <v>23</v>
      </c>
      <c r="B58" s="202" t="s">
        <v>20</v>
      </c>
      <c r="C58" s="203"/>
      <c r="D58" s="15">
        <f>IF(F3="1",SUMIF(Data!A:A,'52'!$A$2,Data!DQ:DQ),0)</f>
        <v>384</v>
      </c>
      <c r="E58" s="18">
        <f>IF(F3="1",SUMIF(Data!$A:$A,'52'!$A$2,Data!JK:JK),0)</f>
        <v>408</v>
      </c>
      <c r="F58" s="22">
        <f t="shared" si="3"/>
        <v>1.0625</v>
      </c>
    </row>
    <row r="59" spans="1:6" x14ac:dyDescent="0.2">
      <c r="A59" s="20">
        <v>24</v>
      </c>
      <c r="B59" s="202" t="s">
        <v>21</v>
      </c>
      <c r="C59" s="203"/>
      <c r="D59" s="15">
        <f>IF(F3="1",SUMIF(Data!A:A,'52'!$A$2,Data!DR:DR),0)</f>
        <v>5184</v>
      </c>
      <c r="E59" s="18">
        <f>IF(F3="1",SUMIF(Data!$A:$A,'52'!$A$2,Data!JL:JL),0)</f>
        <v>6816</v>
      </c>
      <c r="F59" s="22">
        <f t="shared" si="3"/>
        <v>1.3148148148148149</v>
      </c>
    </row>
    <row r="60" spans="1:6" x14ac:dyDescent="0.2">
      <c r="A60" s="20">
        <v>25</v>
      </c>
      <c r="B60" s="202" t="s">
        <v>22</v>
      </c>
      <c r="C60" s="203"/>
      <c r="D60" s="15">
        <f>IF(F3="1",SUMIF(Data!A:A,'52'!$A$2,Data!DS:DS),0)</f>
        <v>1936</v>
      </c>
      <c r="E60" s="18">
        <f>IF(F3="1",SUMIF(Data!$A:$A,'52'!$A$2,Data!JM:JM),0)</f>
        <v>43703</v>
      </c>
      <c r="F60" s="22">
        <f t="shared" si="3"/>
        <v>22.573863636363637</v>
      </c>
    </row>
    <row r="61" spans="1:6" x14ac:dyDescent="0.2">
      <c r="A61" s="20">
        <v>26</v>
      </c>
      <c r="B61" s="202" t="s">
        <v>23</v>
      </c>
      <c r="C61" s="203"/>
      <c r="D61" s="15">
        <f>IF(F3="1",SUMIF(Data!A:A,'52'!$A$2,Data!DT:DT),0)</f>
        <v>26480</v>
      </c>
      <c r="E61" s="18">
        <f>IF(F3="1",SUMIF(Data!$A:$A,'52'!$A$2,Data!JN:JN),0)</f>
        <v>34821</v>
      </c>
      <c r="F61" s="22">
        <f t="shared" si="3"/>
        <v>1.3149924471299093</v>
      </c>
    </row>
    <row r="62" spans="1:6" x14ac:dyDescent="0.2">
      <c r="A62" s="20">
        <v>28</v>
      </c>
      <c r="B62" s="202" t="s">
        <v>24</v>
      </c>
      <c r="C62" s="203"/>
      <c r="D62" s="15">
        <f>IF(F3="1",SUMIF(Data!A:A,'52'!$A$2,Data!DV:DV),0)</f>
        <v>9552</v>
      </c>
      <c r="E62" s="18">
        <f>IF(F3="1",SUMIF(Data!$A:$A,'52'!$A$2,Data!JP:JP),0)</f>
        <v>10137</v>
      </c>
      <c r="F62" s="22">
        <f t="shared" si="3"/>
        <v>1.0612437185929648</v>
      </c>
    </row>
    <row r="63" spans="1:6" ht="15.75" customHeight="1" thickBot="1" x14ac:dyDescent="0.25">
      <c r="A63" s="23">
        <v>29</v>
      </c>
      <c r="B63" s="206" t="s">
        <v>25</v>
      </c>
      <c r="C63" s="207"/>
      <c r="D63" s="24">
        <f>IF(F3="1",SUMIF(Data!A:A,'52'!$A$2,Data!DW:DW),0)</f>
        <v>1984</v>
      </c>
      <c r="E63" s="25">
        <f>IF(F3="1",SUMIF(Data!$A:$A,'52'!$A$2,Data!JQ:JQ),0)</f>
        <v>2104</v>
      </c>
      <c r="F63" s="26">
        <f t="shared" si="3"/>
        <v>1.060483870967742</v>
      </c>
    </row>
    <row r="64" spans="1:6" x14ac:dyDescent="0.2">
      <c r="B64" s="31" t="s">
        <v>35</v>
      </c>
      <c r="C64" s="31"/>
      <c r="D64" s="60">
        <f>SUM(D36:D63)</f>
        <v>720014</v>
      </c>
      <c r="E64" s="32">
        <f>SUM(E36:E63)</f>
        <v>1915571</v>
      </c>
      <c r="F64" s="33">
        <f t="shared" si="3"/>
        <v>2.6604635465421507</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7248</v>
      </c>
      <c r="E67" s="16">
        <f>IF(F3="1",SUMIF(Data!A:A,'52'!$A$2,Data!DY:DY),0)</f>
        <v>39558</v>
      </c>
      <c r="F67" s="21">
        <f>IFERROR(E67/D67,"")</f>
        <v>5.4577814569536427</v>
      </c>
    </row>
    <row r="68" spans="1:6" x14ac:dyDescent="0.2">
      <c r="A68" s="20">
        <v>2</v>
      </c>
      <c r="B68" s="202" t="s">
        <v>1</v>
      </c>
      <c r="C68" s="203"/>
      <c r="D68" s="15">
        <f t="shared" ref="D68:D94" si="4">D37</f>
        <v>27752</v>
      </c>
      <c r="E68" s="18">
        <f>IF(F3="1",SUMIF(Data!A:A,'52'!$A$2,Data!DZ:DZ),0)</f>
        <v>151466</v>
      </c>
      <c r="F68" s="22">
        <f t="shared" ref="F68:F95" si="5">IFERROR(E68/D68,"")</f>
        <v>5.4578408763332371</v>
      </c>
    </row>
    <row r="69" spans="1:6" ht="14.25" customHeight="1" x14ac:dyDescent="0.2">
      <c r="A69" s="20">
        <v>3</v>
      </c>
      <c r="B69" s="202" t="s">
        <v>2</v>
      </c>
      <c r="C69" s="203"/>
      <c r="D69" s="15">
        <f t="shared" si="4"/>
        <v>0</v>
      </c>
      <c r="E69" s="18">
        <f>IF(F3="1",SUMIF(Data!A:A,'52'!$A$2,Data!EA:EA),0)</f>
        <v>0</v>
      </c>
      <c r="F69" s="22" t="str">
        <f t="shared" si="5"/>
        <v/>
      </c>
    </row>
    <row r="70" spans="1:6" ht="14.25" customHeight="1" x14ac:dyDescent="0.2">
      <c r="A70" s="20">
        <v>4</v>
      </c>
      <c r="B70" s="202" t="s">
        <v>3</v>
      </c>
      <c r="C70" s="203"/>
      <c r="D70" s="15">
        <f t="shared" si="4"/>
        <v>142208</v>
      </c>
      <c r="E70" s="18">
        <f>IF(F3="1",SUMIF(Data!A:A,'52'!$A$2,Data!EB:EB),0)</f>
        <v>317992</v>
      </c>
      <c r="F70" s="22">
        <f t="shared" si="5"/>
        <v>2.2361048604860487</v>
      </c>
    </row>
    <row r="71" spans="1:6" x14ac:dyDescent="0.2">
      <c r="A71" s="20">
        <v>5</v>
      </c>
      <c r="B71" s="202" t="s">
        <v>4</v>
      </c>
      <c r="C71" s="203"/>
      <c r="D71" s="15">
        <f t="shared" si="4"/>
        <v>0</v>
      </c>
      <c r="E71" s="18">
        <f>IF(F3="1",SUMIF(Data!A:A,'52'!$A$2,Data!EC:EC),0)</f>
        <v>0</v>
      </c>
      <c r="F71" s="22" t="str">
        <f t="shared" si="5"/>
        <v/>
      </c>
    </row>
    <row r="72" spans="1:6" x14ac:dyDescent="0.2">
      <c r="A72" s="20">
        <v>6</v>
      </c>
      <c r="B72" s="202" t="s">
        <v>5</v>
      </c>
      <c r="C72" s="203"/>
      <c r="D72" s="15">
        <f t="shared" si="4"/>
        <v>10368</v>
      </c>
      <c r="E72" s="18">
        <f>IF(F3="1",SUMIF(Data!A:A,'52'!$A$2,Data!ED:ED),0)</f>
        <v>56587</v>
      </c>
      <c r="F72" s="22">
        <f t="shared" si="5"/>
        <v>5.4578510802469138</v>
      </c>
    </row>
    <row r="73" spans="1:6" x14ac:dyDescent="0.2">
      <c r="A73" s="20">
        <v>7</v>
      </c>
      <c r="B73" s="202" t="s">
        <v>6</v>
      </c>
      <c r="C73" s="203"/>
      <c r="D73" s="15">
        <f t="shared" si="4"/>
        <v>70928</v>
      </c>
      <c r="E73" s="18">
        <f>IF(F3="1",SUMIF(Data!A:A,'52'!$A$2,Data!EE:EE),0)</f>
        <v>158603</v>
      </c>
      <c r="F73" s="22">
        <f t="shared" si="5"/>
        <v>2.2361126776449356</v>
      </c>
    </row>
    <row r="74" spans="1:6" x14ac:dyDescent="0.2">
      <c r="A74" s="20">
        <v>8</v>
      </c>
      <c r="B74" s="202" t="s">
        <v>7</v>
      </c>
      <c r="C74" s="203"/>
      <c r="D74" s="15">
        <f t="shared" si="4"/>
        <v>3552</v>
      </c>
      <c r="E74" s="18">
        <f>IF(F3="1",SUMIF(Data!A:A,'52'!$A$2,Data!EF:EF),0)</f>
        <v>19386</v>
      </c>
      <c r="F74" s="22">
        <f t="shared" si="5"/>
        <v>5.4577702702702702</v>
      </c>
    </row>
    <row r="75" spans="1:6" x14ac:dyDescent="0.2">
      <c r="A75" s="20">
        <v>9</v>
      </c>
      <c r="B75" s="202" t="s">
        <v>8</v>
      </c>
      <c r="C75" s="203"/>
      <c r="D75" s="15">
        <f t="shared" si="4"/>
        <v>25152</v>
      </c>
      <c r="E75" s="18">
        <f>IF(F3="1",SUMIF(Data!A:A,'52'!$A$2,Data!EG:EG),0)</f>
        <v>137276</v>
      </c>
      <c r="F75" s="22">
        <f t="shared" si="5"/>
        <v>5.4578562340966918</v>
      </c>
    </row>
    <row r="76" spans="1:6" x14ac:dyDescent="0.2">
      <c r="A76" s="20">
        <v>10</v>
      </c>
      <c r="B76" s="202" t="s">
        <v>9</v>
      </c>
      <c r="C76" s="203"/>
      <c r="D76" s="15">
        <f t="shared" si="4"/>
        <v>0</v>
      </c>
      <c r="E76" s="18">
        <f>IF(F3="1",SUMIF(Data!A:A,'52'!$A$2,Data!EH:EH),0)</f>
        <v>0</v>
      </c>
      <c r="F76" s="22" t="str">
        <f t="shared" si="5"/>
        <v/>
      </c>
    </row>
    <row r="77" spans="1:6" x14ac:dyDescent="0.2">
      <c r="A77" s="20">
        <v>11</v>
      </c>
      <c r="B77" s="202" t="s">
        <v>10</v>
      </c>
      <c r="C77" s="203"/>
      <c r="D77" s="15">
        <f t="shared" si="4"/>
        <v>105536</v>
      </c>
      <c r="E77" s="18">
        <f>IF(F3="1",SUMIF(Data!A:A,'52'!$A$2,Data!EI:EI),0)</f>
        <v>664581</v>
      </c>
      <c r="F77" s="22">
        <f t="shared" si="5"/>
        <v>6.2971971649484537</v>
      </c>
    </row>
    <row r="78" spans="1:6" ht="14.25" customHeight="1" x14ac:dyDescent="0.2">
      <c r="A78" s="20">
        <v>12</v>
      </c>
      <c r="B78" s="202" t="s">
        <v>11</v>
      </c>
      <c r="C78" s="203"/>
      <c r="D78" s="15">
        <f t="shared" si="4"/>
        <v>1216</v>
      </c>
      <c r="E78" s="18">
        <f>IF(F3="1",SUMIF(Data!A:A,'52'!$A$2,Data!EJ:EJ),0)</f>
        <v>123470</v>
      </c>
      <c r="F78" s="22">
        <f t="shared" si="5"/>
        <v>101.53782894736842</v>
      </c>
    </row>
    <row r="79" spans="1:6" x14ac:dyDescent="0.2">
      <c r="A79" s="20">
        <v>13</v>
      </c>
      <c r="B79" s="202" t="s">
        <v>12</v>
      </c>
      <c r="C79" s="203"/>
      <c r="D79" s="15">
        <f t="shared" si="4"/>
        <v>336</v>
      </c>
      <c r="E79" s="18">
        <f>IF(F3="1",SUMIF(Data!A:A,'52'!$A$2,Data!EK:EK),0)</f>
        <v>34116</v>
      </c>
      <c r="F79" s="22">
        <f t="shared" si="5"/>
        <v>101.53571428571429</v>
      </c>
    </row>
    <row r="80" spans="1:6" ht="14.25" customHeight="1" x14ac:dyDescent="0.2">
      <c r="A80" s="20">
        <v>14</v>
      </c>
      <c r="B80" s="202" t="s">
        <v>449</v>
      </c>
      <c r="C80" s="203"/>
      <c r="D80" s="15">
        <f t="shared" si="4"/>
        <v>33184</v>
      </c>
      <c r="E80" s="18">
        <f>IF(F3="1",SUMIF(Data!A:A,'52'!$A$2,Data!EL:EL),0)</f>
        <v>176375</v>
      </c>
      <c r="F80" s="22">
        <f t="shared" si="5"/>
        <v>5.315061475409836</v>
      </c>
    </row>
    <row r="81" spans="1:6" x14ac:dyDescent="0.2">
      <c r="A81" s="20">
        <v>15</v>
      </c>
      <c r="B81" s="202" t="s">
        <v>13</v>
      </c>
      <c r="C81" s="203"/>
      <c r="D81" s="15">
        <f t="shared" si="4"/>
        <v>0</v>
      </c>
      <c r="E81" s="18">
        <f>IF(F3="1",SUMIF(Data!A:A,'52'!$A$2,Data!EM:EM),0)</f>
        <v>0</v>
      </c>
      <c r="F81" s="22" t="str">
        <f t="shared" si="5"/>
        <v/>
      </c>
    </row>
    <row r="82" spans="1:6" x14ac:dyDescent="0.2">
      <c r="A82" s="20">
        <v>16</v>
      </c>
      <c r="B82" s="202" t="s">
        <v>14</v>
      </c>
      <c r="C82" s="203"/>
      <c r="D82" s="15">
        <f t="shared" si="4"/>
        <v>97502</v>
      </c>
      <c r="E82" s="18">
        <f>IF(F3="1",SUMIF(Data!A:A,'52'!$A$2,Data!EN:EN),0)</f>
        <v>518228</v>
      </c>
      <c r="F82" s="22">
        <f t="shared" si="5"/>
        <v>5.3150499476933808</v>
      </c>
    </row>
    <row r="83" spans="1:6" x14ac:dyDescent="0.2">
      <c r="A83" s="20">
        <v>17</v>
      </c>
      <c r="B83" s="202" t="s">
        <v>15</v>
      </c>
      <c r="C83" s="203"/>
      <c r="D83" s="15">
        <f t="shared" si="4"/>
        <v>0</v>
      </c>
      <c r="E83" s="18">
        <f>IF(F3="1",SUMIF(Data!A:A,'52'!$A$2,Data!EO:EO),0)</f>
        <v>0</v>
      </c>
      <c r="F83" s="22" t="str">
        <f t="shared" si="5"/>
        <v/>
      </c>
    </row>
    <row r="84" spans="1:6" x14ac:dyDescent="0.2">
      <c r="A84" s="20">
        <v>18</v>
      </c>
      <c r="B84" s="202" t="s">
        <v>16</v>
      </c>
      <c r="C84" s="203"/>
      <c r="D84" s="15">
        <f t="shared" si="4"/>
        <v>39216</v>
      </c>
      <c r="E84" s="18">
        <f>IF(F3="1",SUMIF(Data!A:A,'52'!$A$2,Data!EP:EP),0)</f>
        <v>208435</v>
      </c>
      <c r="F84" s="22">
        <f t="shared" si="5"/>
        <v>5.3150499796001629</v>
      </c>
    </row>
    <row r="85" spans="1:6" x14ac:dyDescent="0.2">
      <c r="A85" s="20">
        <v>19</v>
      </c>
      <c r="B85" s="202" t="s">
        <v>17</v>
      </c>
      <c r="C85" s="203"/>
      <c r="D85" s="15">
        <f t="shared" si="4"/>
        <v>3168</v>
      </c>
      <c r="E85" s="18">
        <f>IF(F3="1",SUMIF(Data!A:A,'52'!$A$2,Data!EQ:EQ),0)</f>
        <v>321674</v>
      </c>
      <c r="F85" s="22">
        <f t="shared" si="5"/>
        <v>101.5385101010101</v>
      </c>
    </row>
    <row r="86" spans="1:6" x14ac:dyDescent="0.2">
      <c r="A86" s="20">
        <v>20</v>
      </c>
      <c r="B86" s="202" t="s">
        <v>18</v>
      </c>
      <c r="C86" s="203"/>
      <c r="D86" s="15">
        <f t="shared" si="4"/>
        <v>37664</v>
      </c>
      <c r="E86" s="18">
        <f>IF(F3="1",SUMIF(Data!A:A,'52'!$A$2,Data!ER:ER),0)</f>
        <v>114181</v>
      </c>
      <c r="F86" s="22">
        <f t="shared" si="5"/>
        <v>3.031568606627018</v>
      </c>
    </row>
    <row r="87" spans="1:6" ht="14.25" customHeight="1" x14ac:dyDescent="0.2">
      <c r="A87" s="20">
        <v>21</v>
      </c>
      <c r="B87" s="202" t="s">
        <v>446</v>
      </c>
      <c r="C87" s="203"/>
      <c r="D87" s="15">
        <f t="shared" si="4"/>
        <v>60272</v>
      </c>
      <c r="E87" s="18">
        <f>IF(F3="1",SUMIF(Data!A:A,'52'!$A$2,Data!ES:ES),0)</f>
        <v>182720</v>
      </c>
      <c r="F87" s="22">
        <f t="shared" si="5"/>
        <v>3.0315901247677197</v>
      </c>
    </row>
    <row r="88" spans="1:6" x14ac:dyDescent="0.2">
      <c r="A88" s="20">
        <v>22</v>
      </c>
      <c r="B88" s="202" t="s">
        <v>19</v>
      </c>
      <c r="C88" s="203"/>
      <c r="D88" s="15">
        <f t="shared" si="4"/>
        <v>9192</v>
      </c>
      <c r="E88" s="18">
        <f>IF(F3="1",SUMIF(Data!A:A,'52'!$A$2,Data!ET:ET),0)</f>
        <v>50170</v>
      </c>
      <c r="F88" s="22">
        <f t="shared" si="5"/>
        <v>5.4580069625761531</v>
      </c>
    </row>
    <row r="89" spans="1:6" x14ac:dyDescent="0.2">
      <c r="A89" s="20">
        <v>23</v>
      </c>
      <c r="B89" s="202" t="s">
        <v>20</v>
      </c>
      <c r="C89" s="203"/>
      <c r="D89" s="15">
        <f t="shared" si="4"/>
        <v>384</v>
      </c>
      <c r="E89" s="18">
        <f>IF(F3="1",SUMIF(Data!A:A,'52'!$A$2,Data!EU:EU),0)</f>
        <v>0</v>
      </c>
      <c r="F89" s="22">
        <f t="shared" si="5"/>
        <v>0</v>
      </c>
    </row>
    <row r="90" spans="1:6" x14ac:dyDescent="0.2">
      <c r="A90" s="20">
        <v>24</v>
      </c>
      <c r="B90" s="202" t="s">
        <v>21</v>
      </c>
      <c r="C90" s="203"/>
      <c r="D90" s="15">
        <f t="shared" si="4"/>
        <v>5184</v>
      </c>
      <c r="E90" s="18">
        <f>IF(F3="1",SUMIF(Data!A:A,'52'!$A$2,Data!EV:EV),0)</f>
        <v>11592</v>
      </c>
      <c r="F90" s="22">
        <f t="shared" si="5"/>
        <v>2.2361111111111112</v>
      </c>
    </row>
    <row r="91" spans="1:6" x14ac:dyDescent="0.2">
      <c r="A91" s="20">
        <v>25</v>
      </c>
      <c r="B91" s="202" t="s">
        <v>22</v>
      </c>
      <c r="C91" s="203"/>
      <c r="D91" s="15">
        <f t="shared" si="4"/>
        <v>1936</v>
      </c>
      <c r="E91" s="18">
        <f>IF(F3="1",SUMIF(Data!A:A,'52'!$A$2,Data!EW:EW),0)</f>
        <v>196578</v>
      </c>
      <c r="F91" s="22">
        <f t="shared" si="5"/>
        <v>101.53822314049587</v>
      </c>
    </row>
    <row r="92" spans="1:6" x14ac:dyDescent="0.2">
      <c r="A92" s="20">
        <v>26</v>
      </c>
      <c r="B92" s="202" t="s">
        <v>23</v>
      </c>
      <c r="C92" s="203"/>
      <c r="D92" s="15">
        <f t="shared" si="4"/>
        <v>26480</v>
      </c>
      <c r="E92" s="18">
        <f>IF(F3="1",SUMIF(Data!A:A,'52'!$A$2,Data!EX:EX),0)</f>
        <v>59212</v>
      </c>
      <c r="F92" s="22">
        <f t="shared" si="5"/>
        <v>2.2361027190332328</v>
      </c>
    </row>
    <row r="93" spans="1:6" x14ac:dyDescent="0.2">
      <c r="A93" s="20">
        <v>28</v>
      </c>
      <c r="B93" s="202" t="s">
        <v>24</v>
      </c>
      <c r="C93" s="203"/>
      <c r="D93" s="15">
        <f t="shared" si="4"/>
        <v>9552</v>
      </c>
      <c r="E93" s="18">
        <f>IF(F3="1",SUMIF(Data!A:A,'52'!$A$2,Data!EZ:EZ),0)</f>
        <v>41</v>
      </c>
      <c r="F93" s="22">
        <f t="shared" si="5"/>
        <v>4.292294807370184E-3</v>
      </c>
    </row>
    <row r="94" spans="1:6" ht="15.75" customHeight="1" thickBot="1" x14ac:dyDescent="0.25">
      <c r="A94" s="23">
        <v>29</v>
      </c>
      <c r="B94" s="206" t="s">
        <v>25</v>
      </c>
      <c r="C94" s="207"/>
      <c r="D94" s="24">
        <f t="shared" si="4"/>
        <v>1984</v>
      </c>
      <c r="E94" s="25">
        <f>IF(F3="1",SUMIF(Data!A:A,'52'!$A$2,Data!FA:FA),0)</f>
        <v>8</v>
      </c>
      <c r="F94" s="26">
        <f t="shared" si="5"/>
        <v>4.0322580645161289E-3</v>
      </c>
    </row>
    <row r="95" spans="1:6" x14ac:dyDescent="0.2">
      <c r="B95" s="31" t="s">
        <v>35</v>
      </c>
      <c r="C95" s="31"/>
      <c r="D95" s="60">
        <f>SUM(D67:D94)</f>
        <v>720014</v>
      </c>
      <c r="E95" s="32">
        <f>SUM(E67:E94)</f>
        <v>3542249</v>
      </c>
      <c r="F95" s="33">
        <f t="shared" si="5"/>
        <v>4.9196946170491129</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IF(F3="1",SUMIF(Data!A:A,'52'!$A$2,Data!AH:AH),0)</f>
        <v>1706717</v>
      </c>
      <c r="F98" s="21">
        <f t="shared" ref="F98:F105" si="6">IFERROR(E98/$D$95,0)</f>
        <v>2.3703941867797016</v>
      </c>
    </row>
    <row r="99" spans="2:6" x14ac:dyDescent="0.2">
      <c r="B99" s="212" t="s">
        <v>31</v>
      </c>
      <c r="C99" s="213"/>
      <c r="D99" s="37"/>
      <c r="E99" s="18">
        <f>IF(F3="1",SUMIF(Data!A:A,'52'!$A$2,Data!AI:AI),0)</f>
        <v>2422869</v>
      </c>
      <c r="F99" s="22">
        <f t="shared" si="6"/>
        <v>3.365030402186624</v>
      </c>
    </row>
    <row r="100" spans="2:6" x14ac:dyDescent="0.2">
      <c r="B100" s="212" t="s">
        <v>32</v>
      </c>
      <c r="C100" s="213"/>
      <c r="D100" s="37"/>
      <c r="E100" s="18">
        <f>IF(F3="1",SUMIF(Data!A:A,'52'!$A$2,Data!AJ:AJ),0)</f>
        <v>1365115</v>
      </c>
      <c r="F100" s="22">
        <f t="shared" si="6"/>
        <v>1.8959561897407551</v>
      </c>
    </row>
    <row r="101" spans="2:6" x14ac:dyDescent="0.2">
      <c r="B101" s="212" t="s">
        <v>28</v>
      </c>
      <c r="C101" s="213"/>
      <c r="D101" s="37"/>
      <c r="E101" s="18">
        <f>IF(F3="1",SUMIF(Data!A:A,'52'!$A$2,Data!AK:AK),0)</f>
        <v>0</v>
      </c>
      <c r="F101" s="22">
        <f t="shared" si="6"/>
        <v>0</v>
      </c>
    </row>
    <row r="102" spans="2:6" x14ac:dyDescent="0.2">
      <c r="B102" s="212" t="s">
        <v>33</v>
      </c>
      <c r="C102" s="213"/>
      <c r="D102" s="37"/>
      <c r="E102" s="18">
        <f>IF(F3="1",SUMIF(Data!A:A,'52'!$A$2,Data!AL:AL),0)</f>
        <v>689093</v>
      </c>
      <c r="F102" s="22">
        <f t="shared" si="6"/>
        <v>0.95705500170830016</v>
      </c>
    </row>
    <row r="103" spans="2:6" x14ac:dyDescent="0.2">
      <c r="B103" s="214" t="s">
        <v>34</v>
      </c>
      <c r="C103" s="215"/>
      <c r="D103" s="37"/>
      <c r="E103" s="18">
        <f>IF(F3="1",SUMIF(Data!A:A,'52'!$A$2,Data!AM:AM),0)</f>
        <v>724398</v>
      </c>
      <c r="F103" s="22">
        <f t="shared" si="6"/>
        <v>1.0060887704961292</v>
      </c>
    </row>
    <row r="104" spans="2:6" ht="15.75" customHeight="1" thickBot="1" x14ac:dyDescent="0.25">
      <c r="B104" s="208" t="s">
        <v>29</v>
      </c>
      <c r="C104" s="209"/>
      <c r="D104" s="38"/>
      <c r="E104" s="25">
        <f>IF(F3="1",SUMIF(Data!A:A,'52'!$A$2,Data!Q:Q),0)</f>
        <v>118211</v>
      </c>
      <c r="F104" s="26">
        <f t="shared" si="6"/>
        <v>0.16417875207982066</v>
      </c>
    </row>
    <row r="105" spans="2:6" x14ac:dyDescent="0.2">
      <c r="B105" s="31" t="s">
        <v>35</v>
      </c>
      <c r="C105" s="31"/>
      <c r="D105" s="35">
        <f>D95</f>
        <v>720014</v>
      </c>
      <c r="E105" s="32">
        <f>SUM(E98:E104)</f>
        <v>7026403</v>
      </c>
      <c r="F105" s="33">
        <f t="shared" si="6"/>
        <v>9.7587033029913304</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4391631</v>
      </c>
      <c r="D109" s="192">
        <f>IF(F3="1",SUMIF(Data!$A:$A,$A$2,Data!HJ:HJ),0)</f>
        <v>250680</v>
      </c>
      <c r="E109" s="192">
        <f>IF(F3="1",SUMIF(Data!$A:$A,$A$2,Data!IN:IN),0)</f>
        <v>815508</v>
      </c>
      <c r="F109" s="48">
        <f>SUM(C109:E109)</f>
        <v>5457819</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311776</v>
      </c>
      <c r="D111" s="52"/>
      <c r="E111" s="193">
        <f>IF(F3="1",SUMIF(Data!A:A,$A$2,Data!AX:AX)-SUMIF(Data!A:A,$A$2,Data!AW:AW),0)</f>
        <v>194099</v>
      </c>
      <c r="F111" s="49">
        <f t="shared" si="7"/>
        <v>505875</v>
      </c>
    </row>
    <row r="112" spans="2:6" x14ac:dyDescent="0.2">
      <c r="B112" s="43" t="s">
        <v>32</v>
      </c>
      <c r="C112" s="193">
        <f>IF(F3="1",SUMIF(Data!A:A,$A$2,Data!V:V),0)</f>
        <v>1047537</v>
      </c>
      <c r="D112" s="52"/>
      <c r="E112" s="193">
        <f>IF(F3="1",SUMIF(Data!A:A,$A$2,Data!AC:AC),0)</f>
        <v>317578</v>
      </c>
      <c r="F112" s="49">
        <f t="shared" si="7"/>
        <v>1365115</v>
      </c>
    </row>
    <row r="113" spans="1:6" x14ac:dyDescent="0.2">
      <c r="B113" s="43" t="s">
        <v>31</v>
      </c>
      <c r="C113" s="193">
        <f>IF(F3="1",SUMIF(Data!A:A,$A$2,Data!U:U),0)</f>
        <v>1946185</v>
      </c>
      <c r="D113" s="52"/>
      <c r="E113" s="193">
        <f>IF(F3="1",SUMIF(Data!A:A,$A$2,Data!AB:AB),0)</f>
        <v>476684</v>
      </c>
      <c r="F113" s="49">
        <f t="shared" si="7"/>
        <v>2422869</v>
      </c>
    </row>
    <row r="114" spans="1:6" x14ac:dyDescent="0.2">
      <c r="B114" s="43" t="s">
        <v>1002</v>
      </c>
      <c r="C114" s="193">
        <f>IF(F3="1",SUMIF(Data!A:A,$A$2,Data!T:T),0)</f>
        <v>1208276</v>
      </c>
      <c r="D114" s="52"/>
      <c r="E114" s="193">
        <f>IF(F3="1",SUMIF(Data!A:A,$A$2,Data!AA:AA),0)</f>
        <v>498441</v>
      </c>
      <c r="F114" s="49">
        <f t="shared" si="7"/>
        <v>1706717</v>
      </c>
    </row>
    <row r="115" spans="1:6" x14ac:dyDescent="0.2">
      <c r="B115" s="43" t="s">
        <v>916</v>
      </c>
      <c r="C115" s="193">
        <f>IF(F3="1",SUMIF(Data!A:A,$A$2,Data!BI:BI),0)</f>
        <v>1164488</v>
      </c>
      <c r="D115" s="193">
        <f>IF(F3="1",SUMIF(Data!A:A,$A$2,Data!BL:BL),0)</f>
        <v>24318</v>
      </c>
      <c r="E115" s="193">
        <f>IF(F3="1",SUMIF(Data!A:A,$A$2,Data!BU:BU)-SUMIF(Data!A:A,$A$2,Data!BT:BT),0)</f>
        <v>1335401</v>
      </c>
      <c r="F115" s="49">
        <f t="shared" si="7"/>
        <v>2524207</v>
      </c>
    </row>
    <row r="116" spans="1:6" x14ac:dyDescent="0.2">
      <c r="B116" s="43" t="s">
        <v>33</v>
      </c>
      <c r="C116" s="193">
        <f>IF(F3="1",SUMIF(Data!A:A,$A$2,Data!X:X),0)</f>
        <v>0</v>
      </c>
      <c r="D116" s="51"/>
      <c r="E116" s="193">
        <f>E102-C116</f>
        <v>689093</v>
      </c>
      <c r="F116" s="49">
        <f t="shared" si="7"/>
        <v>689093</v>
      </c>
    </row>
    <row r="117" spans="1:6" ht="15" thickBot="1" x14ac:dyDescent="0.25">
      <c r="B117" s="44" t="s">
        <v>920</v>
      </c>
      <c r="C117" s="53"/>
      <c r="D117" s="53">
        <f>IF(F3="1",SUMIF(Data!A:A,$A$2,Data!Q:Q),0)</f>
        <v>118211</v>
      </c>
      <c r="E117" s="53"/>
      <c r="F117" s="50">
        <f>SUM(C117:E117)</f>
        <v>118211</v>
      </c>
    </row>
    <row r="118" spans="1:6" x14ac:dyDescent="0.2">
      <c r="B118" s="14" t="s">
        <v>35</v>
      </c>
      <c r="C118" s="178">
        <f>SUM(C109:C117)</f>
        <v>10069893</v>
      </c>
      <c r="D118" s="194">
        <f>SUM(D109:D117)</f>
        <v>393209</v>
      </c>
      <c r="E118" s="178">
        <f>SUM(E109:E117)</f>
        <v>4326804</v>
      </c>
      <c r="F118" s="178">
        <f>SUM(F109:F117)</f>
        <v>14789906</v>
      </c>
    </row>
    <row r="119" spans="1:6" x14ac:dyDescent="0.2">
      <c r="C119" s="177"/>
      <c r="D119" s="177"/>
      <c r="E119" s="177"/>
    </row>
    <row r="120" spans="1:6" ht="15" thickBot="1" x14ac:dyDescent="0.25">
      <c r="B120" s="188" t="s">
        <v>921</v>
      </c>
      <c r="C120" s="53"/>
      <c r="D120" s="53"/>
      <c r="E120" s="195">
        <f>IF(F3="1",SUMIF(Data!A:A,$A$2,Data!AF:AF)+SUMIF(Data!A:A,$A$2,Data!AW:AW)+SUMIF(Data!A:A,$A$2,Data!BT:BT),0)</f>
        <v>789670</v>
      </c>
      <c r="F120" s="181">
        <f>SUM(C120:E120)</f>
        <v>789670</v>
      </c>
    </row>
    <row r="121" spans="1:6" s="177" customFormat="1" x14ac:dyDescent="0.2">
      <c r="B121" s="14" t="s">
        <v>35</v>
      </c>
      <c r="C121" s="178">
        <f>SUM(C120:C120)</f>
        <v>0</v>
      </c>
      <c r="D121" s="178">
        <f>SUM(D120:D120)</f>
        <v>0</v>
      </c>
      <c r="E121" s="178">
        <f>SUM(E120:E120)</f>
        <v>789670</v>
      </c>
      <c r="F121" s="178">
        <f>SUM(F120:F120)</f>
        <v>789670</v>
      </c>
    </row>
    <row r="122" spans="1:6" s="177" customFormat="1" ht="15" thickBot="1" x14ac:dyDescent="0.25">
      <c r="B122" s="14" t="s">
        <v>1396</v>
      </c>
      <c r="C122" s="178"/>
      <c r="D122" s="178"/>
      <c r="E122" s="178"/>
      <c r="F122" s="190">
        <f>F118+F121</f>
        <v>15579576</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442</v>
      </c>
      <c r="B2" s="59" t="str">
        <f>VLOOKUP(A2,Data!A:G,7,0)</f>
        <v>Texas State Technical Collage-Marshall</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0</v>
      </c>
      <c r="E5" s="16">
        <f>E36+E67+IFERROR($E$105/$D$105*D5,0)</f>
        <v>0</v>
      </c>
      <c r="F5" s="21" t="str">
        <f>IFERROR(E5/D5,"")</f>
        <v/>
      </c>
    </row>
    <row r="6" spans="1:6" x14ac:dyDescent="0.2">
      <c r="A6" s="20">
        <v>2</v>
      </c>
      <c r="B6" s="202" t="s">
        <v>1</v>
      </c>
      <c r="C6" s="203"/>
      <c r="D6" s="15">
        <f t="shared" ref="D6:D32" si="0">D37</f>
        <v>47977</v>
      </c>
      <c r="E6" s="18">
        <f t="shared" ref="E6:E32" si="1">E37+E68+IFERROR($E$105/$D$105*D6,0)</f>
        <v>650940.09198592254</v>
      </c>
      <c r="F6" s="22">
        <f t="shared" ref="F6:F33" si="2">IFERROR(E6/D6,"")</f>
        <v>13.567753131415524</v>
      </c>
    </row>
    <row r="7" spans="1:6" ht="14.25" customHeight="1" x14ac:dyDescent="0.2">
      <c r="A7" s="20">
        <v>3</v>
      </c>
      <c r="B7" s="202" t="s">
        <v>2</v>
      </c>
      <c r="C7" s="203"/>
      <c r="D7" s="15">
        <f t="shared" si="0"/>
        <v>23854</v>
      </c>
      <c r="E7" s="18">
        <f t="shared" si="1"/>
        <v>199877.07743777634</v>
      </c>
      <c r="F7" s="22">
        <f t="shared" si="2"/>
        <v>8.3791849349281602</v>
      </c>
    </row>
    <row r="8" spans="1:6" ht="14.25" customHeight="1" x14ac:dyDescent="0.2">
      <c r="A8" s="20">
        <v>4</v>
      </c>
      <c r="B8" s="202" t="s">
        <v>3</v>
      </c>
      <c r="C8" s="203"/>
      <c r="D8" s="15">
        <f t="shared" si="0"/>
        <v>56986</v>
      </c>
      <c r="E8" s="18">
        <f t="shared" si="1"/>
        <v>491912.37238488824</v>
      </c>
      <c r="F8" s="22">
        <f t="shared" si="2"/>
        <v>8.632161800878956</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4650</v>
      </c>
      <c r="E10" s="18">
        <f t="shared" si="1"/>
        <v>44029.805067731199</v>
      </c>
      <c r="F10" s="22">
        <f t="shared" si="2"/>
        <v>9.468775283383053</v>
      </c>
    </row>
    <row r="11" spans="1:6" x14ac:dyDescent="0.2">
      <c r="A11" s="20">
        <v>7</v>
      </c>
      <c r="B11" s="202" t="s">
        <v>6</v>
      </c>
      <c r="C11" s="203"/>
      <c r="D11" s="15">
        <f t="shared" si="0"/>
        <v>46670</v>
      </c>
      <c r="E11" s="18">
        <f t="shared" si="1"/>
        <v>402861.72097011079</v>
      </c>
      <c r="F11" s="22">
        <f t="shared" si="2"/>
        <v>8.6321345826036175</v>
      </c>
    </row>
    <row r="12" spans="1:6" x14ac:dyDescent="0.2">
      <c r="A12" s="20">
        <v>8</v>
      </c>
      <c r="B12" s="202" t="s">
        <v>7</v>
      </c>
      <c r="C12" s="203"/>
      <c r="D12" s="15">
        <f t="shared" si="0"/>
        <v>52493</v>
      </c>
      <c r="E12" s="18">
        <f t="shared" si="1"/>
        <v>497055.05105815351</v>
      </c>
      <c r="F12" s="22">
        <f t="shared" si="2"/>
        <v>9.4689777886223592</v>
      </c>
    </row>
    <row r="13" spans="1:6" x14ac:dyDescent="0.2">
      <c r="A13" s="20">
        <v>9</v>
      </c>
      <c r="B13" s="202" t="s">
        <v>8</v>
      </c>
      <c r="C13" s="203"/>
      <c r="D13" s="15">
        <f t="shared" si="0"/>
        <v>0</v>
      </c>
      <c r="E13" s="18">
        <f t="shared" si="1"/>
        <v>0</v>
      </c>
      <c r="F13" s="22" t="str">
        <f t="shared" si="2"/>
        <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108361</v>
      </c>
      <c r="E15" s="18">
        <f t="shared" si="1"/>
        <v>1259606.3799880473</v>
      </c>
      <c r="F15" s="22">
        <f t="shared" si="2"/>
        <v>11.624167181809391</v>
      </c>
    </row>
    <row r="16" spans="1:6" ht="14.25" customHeight="1" x14ac:dyDescent="0.2">
      <c r="A16" s="20">
        <v>12</v>
      </c>
      <c r="B16" s="202" t="s">
        <v>11</v>
      </c>
      <c r="C16" s="203"/>
      <c r="D16" s="15">
        <f t="shared" si="0"/>
        <v>34251</v>
      </c>
      <c r="E16" s="18">
        <f t="shared" si="1"/>
        <v>286123.58352147555</v>
      </c>
      <c r="F16" s="22">
        <f t="shared" si="2"/>
        <v>8.3537293369967465</v>
      </c>
    </row>
    <row r="17" spans="1:6" x14ac:dyDescent="0.2">
      <c r="A17" s="20">
        <v>13</v>
      </c>
      <c r="B17" s="202" t="s">
        <v>12</v>
      </c>
      <c r="C17" s="203"/>
      <c r="D17" s="15">
        <f t="shared" si="0"/>
        <v>0</v>
      </c>
      <c r="E17" s="18">
        <f t="shared" si="1"/>
        <v>0</v>
      </c>
      <c r="F17" s="22" t="str">
        <f t="shared" si="2"/>
        <v/>
      </c>
    </row>
    <row r="18" spans="1:6" ht="14.25" customHeight="1" x14ac:dyDescent="0.2">
      <c r="A18" s="20">
        <v>14</v>
      </c>
      <c r="B18" s="202" t="s">
        <v>449</v>
      </c>
      <c r="C18" s="203"/>
      <c r="D18" s="15">
        <f t="shared" si="0"/>
        <v>0</v>
      </c>
      <c r="E18" s="18">
        <f t="shared" si="1"/>
        <v>0</v>
      </c>
      <c r="F18" s="22" t="str">
        <f t="shared" si="2"/>
        <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4186</v>
      </c>
      <c r="E20" s="18">
        <f t="shared" si="1"/>
        <v>39638.069680327484</v>
      </c>
      <c r="F20" s="22">
        <f t="shared" si="2"/>
        <v>9.4691996369630882</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0</v>
      </c>
      <c r="E22" s="18">
        <f t="shared" si="1"/>
        <v>0</v>
      </c>
      <c r="F22" s="22" t="str">
        <f t="shared" si="2"/>
        <v/>
      </c>
    </row>
    <row r="23" spans="1:6" x14ac:dyDescent="0.2">
      <c r="A23" s="20">
        <v>19</v>
      </c>
      <c r="B23" s="202" t="s">
        <v>17</v>
      </c>
      <c r="C23" s="203"/>
      <c r="D23" s="15">
        <f t="shared" si="0"/>
        <v>21909</v>
      </c>
      <c r="E23" s="18">
        <f t="shared" si="1"/>
        <v>188042.3202642845</v>
      </c>
      <c r="F23" s="22">
        <f t="shared" si="2"/>
        <v>8.5828801070009817</v>
      </c>
    </row>
    <row r="24" spans="1:6" x14ac:dyDescent="0.2">
      <c r="A24" s="20">
        <v>20</v>
      </c>
      <c r="B24" s="202" t="s">
        <v>18</v>
      </c>
      <c r="C24" s="203"/>
      <c r="D24" s="15">
        <f t="shared" si="0"/>
        <v>1968</v>
      </c>
      <c r="E24" s="18">
        <f t="shared" si="1"/>
        <v>23760.394918988175</v>
      </c>
      <c r="F24" s="22">
        <f t="shared" si="2"/>
        <v>12.073371401924886</v>
      </c>
    </row>
    <row r="25" spans="1:6" ht="14.25" customHeight="1" x14ac:dyDescent="0.2">
      <c r="A25" s="20">
        <v>21</v>
      </c>
      <c r="B25" s="202" t="s">
        <v>446</v>
      </c>
      <c r="C25" s="203"/>
      <c r="D25" s="15">
        <f t="shared" si="0"/>
        <v>50524</v>
      </c>
      <c r="E25" s="18">
        <f t="shared" si="1"/>
        <v>609976.41101979592</v>
      </c>
      <c r="F25" s="22">
        <f t="shared" si="2"/>
        <v>12.07300314741105</v>
      </c>
    </row>
    <row r="26" spans="1:6" x14ac:dyDescent="0.2">
      <c r="A26" s="20">
        <v>22</v>
      </c>
      <c r="B26" s="202" t="s">
        <v>19</v>
      </c>
      <c r="C26" s="203"/>
      <c r="D26" s="15">
        <f t="shared" si="0"/>
        <v>11118</v>
      </c>
      <c r="E26" s="18">
        <f t="shared" si="1"/>
        <v>105276.23714903989</v>
      </c>
      <c r="F26" s="22">
        <f t="shared" si="2"/>
        <v>9.4689905692606491</v>
      </c>
    </row>
    <row r="27" spans="1:6" x14ac:dyDescent="0.2">
      <c r="A27" s="20">
        <v>23</v>
      </c>
      <c r="B27" s="202" t="s">
        <v>20</v>
      </c>
      <c r="C27" s="203"/>
      <c r="D27" s="15">
        <f t="shared" si="0"/>
        <v>0</v>
      </c>
      <c r="E27" s="18">
        <f t="shared" si="1"/>
        <v>0</v>
      </c>
      <c r="F27" s="22" t="str">
        <f t="shared" si="2"/>
        <v/>
      </c>
    </row>
    <row r="28" spans="1:6" x14ac:dyDescent="0.2">
      <c r="A28" s="20">
        <v>24</v>
      </c>
      <c r="B28" s="202" t="s">
        <v>21</v>
      </c>
      <c r="C28" s="203"/>
      <c r="D28" s="15">
        <f t="shared" si="0"/>
        <v>0</v>
      </c>
      <c r="E28" s="18">
        <f t="shared" si="1"/>
        <v>0</v>
      </c>
      <c r="F28" s="22" t="str">
        <f t="shared" si="2"/>
        <v/>
      </c>
    </row>
    <row r="29" spans="1:6" x14ac:dyDescent="0.2">
      <c r="A29" s="20">
        <v>25</v>
      </c>
      <c r="B29" s="202" t="s">
        <v>22</v>
      </c>
      <c r="C29" s="203"/>
      <c r="D29" s="15">
        <f t="shared" si="0"/>
        <v>14235</v>
      </c>
      <c r="E29" s="18">
        <f t="shared" si="1"/>
        <v>113938.2742234739</v>
      </c>
      <c r="F29" s="22">
        <f t="shared" si="2"/>
        <v>8.0040937283789173</v>
      </c>
    </row>
    <row r="30" spans="1:6" x14ac:dyDescent="0.2">
      <c r="A30" s="20">
        <v>26</v>
      </c>
      <c r="B30" s="202" t="s">
        <v>23</v>
      </c>
      <c r="C30" s="203"/>
      <c r="D30" s="15">
        <f t="shared" si="0"/>
        <v>3744</v>
      </c>
      <c r="E30" s="18">
        <f t="shared" si="1"/>
        <v>32317.72691905067</v>
      </c>
      <c r="F30" s="22">
        <f t="shared" si="2"/>
        <v>8.6318715061566955</v>
      </c>
    </row>
    <row r="31" spans="1:6" x14ac:dyDescent="0.2">
      <c r="A31" s="20">
        <v>28</v>
      </c>
      <c r="B31" s="202" t="s">
        <v>24</v>
      </c>
      <c r="C31" s="203"/>
      <c r="D31" s="15">
        <f t="shared" si="0"/>
        <v>12580</v>
      </c>
      <c r="E31" s="18">
        <f t="shared" si="1"/>
        <v>186288.60166710935</v>
      </c>
      <c r="F31" s="22">
        <f t="shared" si="2"/>
        <v>14.808314917894226</v>
      </c>
    </row>
    <row r="32" spans="1:6" ht="15.75" customHeight="1" thickBot="1" x14ac:dyDescent="0.25">
      <c r="A32" s="23">
        <v>29</v>
      </c>
      <c r="B32" s="206" t="s">
        <v>25</v>
      </c>
      <c r="C32" s="207"/>
      <c r="D32" s="24">
        <f t="shared" si="0"/>
        <v>16518</v>
      </c>
      <c r="E32" s="25">
        <f t="shared" si="1"/>
        <v>241535.88174382452</v>
      </c>
      <c r="F32" s="26">
        <f t="shared" si="2"/>
        <v>14.622586375095322</v>
      </c>
    </row>
    <row r="33" spans="1:6" x14ac:dyDescent="0.2">
      <c r="B33" s="31" t="s">
        <v>35</v>
      </c>
      <c r="C33" s="31"/>
      <c r="D33" s="60">
        <f>SUM(D5:D32)</f>
        <v>512024</v>
      </c>
      <c r="E33" s="32">
        <f>SUM(E5:E32)</f>
        <v>5373179.9999999991</v>
      </c>
      <c r="F33" s="33">
        <f t="shared" si="2"/>
        <v>10.494000281236815</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IF(F3="1",SUMIF(Data!A:A,'53'!$A$2,Data!CU:CU),0)</f>
        <v>0</v>
      </c>
      <c r="E36" s="16">
        <f>IF(F3="1",SUMIF(Data!$A:$A,'53'!$A$2,Data!IO:IO),0)</f>
        <v>0</v>
      </c>
      <c r="F36" s="21" t="str">
        <f t="shared" ref="F36:F64" si="3">IFERROR(E36/D36,"")</f>
        <v/>
      </c>
    </row>
    <row r="37" spans="1:6" x14ac:dyDescent="0.2">
      <c r="A37" s="20">
        <v>2</v>
      </c>
      <c r="B37" s="202" t="s">
        <v>1</v>
      </c>
      <c r="C37" s="203"/>
      <c r="D37" s="15">
        <f>IF(F3="1",SUMIF(Data!A:A,'53'!$A$2,Data!CV:CV),0)</f>
        <v>47977</v>
      </c>
      <c r="E37" s="18">
        <f>IF(F3="1",SUMIF(Data!$A:$A,'53'!$A$2,Data!IP:IP),0)</f>
        <v>45403</v>
      </c>
      <c r="F37" s="22">
        <f t="shared" si="3"/>
        <v>0.94634929236926024</v>
      </c>
    </row>
    <row r="38" spans="1:6" ht="14.25" customHeight="1" x14ac:dyDescent="0.2">
      <c r="A38" s="20">
        <v>3</v>
      </c>
      <c r="B38" s="202" t="s">
        <v>2</v>
      </c>
      <c r="C38" s="203"/>
      <c r="D38" s="15">
        <f>IF(F3="1",SUMIF(Data!A:A,'53'!$A$2,Data!CW:CW),0)</f>
        <v>23854</v>
      </c>
      <c r="E38" s="18">
        <f>IF(F3="1",SUMIF(Data!$A:$A,'53'!$A$2,Data!IQ:IQ),0)</f>
        <v>7813</v>
      </c>
      <c r="F38" s="22">
        <f t="shared" si="3"/>
        <v>0.3275341661775803</v>
      </c>
    </row>
    <row r="39" spans="1:6" ht="14.25" customHeight="1" x14ac:dyDescent="0.2">
      <c r="A39" s="20">
        <v>4</v>
      </c>
      <c r="B39" s="202" t="s">
        <v>3</v>
      </c>
      <c r="C39" s="203"/>
      <c r="D39" s="15">
        <f>IF(F3="1",SUMIF(Data!A:A,'53'!$A$2,Data!CX:CX),0)</f>
        <v>56986</v>
      </c>
      <c r="E39" s="18">
        <f>IF(F3="1",SUMIF(Data!$A:$A,'53'!$A$2,Data!IR:IR),0)</f>
        <v>37207</v>
      </c>
      <c r="F39" s="22">
        <f t="shared" si="3"/>
        <v>0.65291475099147156</v>
      </c>
    </row>
    <row r="40" spans="1:6" x14ac:dyDescent="0.2">
      <c r="A40" s="20">
        <v>5</v>
      </c>
      <c r="B40" s="202" t="s">
        <v>4</v>
      </c>
      <c r="C40" s="203"/>
      <c r="D40" s="15">
        <f>IF(F3="1",SUMIF(Data!A:A,'53'!$A$2,Data!CY:CY),0)</f>
        <v>0</v>
      </c>
      <c r="E40" s="18">
        <f>IF(F3="1",SUMIF(Data!$A:$A,'53'!$A$2,Data!IS:IS),0)</f>
        <v>0</v>
      </c>
      <c r="F40" s="22" t="str">
        <f t="shared" si="3"/>
        <v/>
      </c>
    </row>
    <row r="41" spans="1:6" x14ac:dyDescent="0.2">
      <c r="A41" s="20">
        <v>6</v>
      </c>
      <c r="B41" s="202" t="s">
        <v>5</v>
      </c>
      <c r="C41" s="203"/>
      <c r="D41" s="15">
        <f>IF(F3="1",SUMIF(Data!A:A,'53'!$A$2,Data!CZ:CZ),0)</f>
        <v>4650</v>
      </c>
      <c r="E41" s="18">
        <f>IF(F3="1",SUMIF(Data!$A:$A,'53'!$A$2,Data!IT:IT),0)</f>
        <v>1848</v>
      </c>
      <c r="F41" s="22">
        <f t="shared" si="3"/>
        <v>0.39741935483870966</v>
      </c>
    </row>
    <row r="42" spans="1:6" x14ac:dyDescent="0.2">
      <c r="A42" s="20">
        <v>7</v>
      </c>
      <c r="B42" s="202" t="s">
        <v>6</v>
      </c>
      <c r="C42" s="203"/>
      <c r="D42" s="15">
        <f>IF(F3="1",SUMIF(Data!A:A,'53'!$A$2,Data!DA:DA),0)</f>
        <v>46670</v>
      </c>
      <c r="E42" s="18">
        <f>IF(F3="1",SUMIF(Data!$A:$A,'53'!$A$2,Data!IU:IU),0)</f>
        <v>30470</v>
      </c>
      <c r="F42" s="22">
        <f t="shared" si="3"/>
        <v>0.6528819370044997</v>
      </c>
    </row>
    <row r="43" spans="1:6" x14ac:dyDescent="0.2">
      <c r="A43" s="20">
        <v>8</v>
      </c>
      <c r="B43" s="202" t="s">
        <v>7</v>
      </c>
      <c r="C43" s="203"/>
      <c r="D43" s="15">
        <f>IF(F3="1",SUMIF(Data!A:A,'53'!$A$2,Data!DB:DB),0)</f>
        <v>52493</v>
      </c>
      <c r="E43" s="18">
        <f>IF(F3="1",SUMIF(Data!$A:$A,'53'!$A$2,Data!IV:IV),0)</f>
        <v>20871</v>
      </c>
      <c r="F43" s="22">
        <f t="shared" si="3"/>
        <v>0.39759586992551388</v>
      </c>
    </row>
    <row r="44" spans="1:6" x14ac:dyDescent="0.2">
      <c r="A44" s="20">
        <v>9</v>
      </c>
      <c r="B44" s="202" t="s">
        <v>8</v>
      </c>
      <c r="C44" s="203"/>
      <c r="D44" s="15">
        <f>IF(F3="1",SUMIF(Data!A:A,'53'!$A$2,Data!DC:DC),0)</f>
        <v>0</v>
      </c>
      <c r="E44" s="18">
        <f>IF(F3="1",SUMIF(Data!$A:$A,'53'!$A$2,Data!IW:IW),0)</f>
        <v>0</v>
      </c>
      <c r="F44" s="22" t="str">
        <f t="shared" si="3"/>
        <v/>
      </c>
    </row>
    <row r="45" spans="1:6" x14ac:dyDescent="0.2">
      <c r="A45" s="20">
        <v>10</v>
      </c>
      <c r="B45" s="202" t="s">
        <v>9</v>
      </c>
      <c r="C45" s="203"/>
      <c r="D45" s="15">
        <f>IF(F3="1",SUMIF(Data!A:A,'53'!$A$2,Data!DD:DD),0)</f>
        <v>0</v>
      </c>
      <c r="E45" s="18">
        <f>IF(F3="1",SUMIF(Data!$A:$A,'53'!$A$2,Data!IX:IX),0)</f>
        <v>0</v>
      </c>
      <c r="F45" s="22" t="str">
        <f t="shared" si="3"/>
        <v/>
      </c>
    </row>
    <row r="46" spans="1:6" x14ac:dyDescent="0.2">
      <c r="A46" s="20">
        <v>11</v>
      </c>
      <c r="B46" s="202" t="s">
        <v>10</v>
      </c>
      <c r="C46" s="203"/>
      <c r="D46" s="15">
        <f>IF(F3="1",SUMIF(Data!A:A,'53'!$A$2,Data!DE:DE),0)</f>
        <v>108361</v>
      </c>
      <c r="E46" s="18">
        <f>IF(F3="1",SUMIF(Data!$A:$A,'53'!$A$2,Data!IY:IY),0)</f>
        <v>87140</v>
      </c>
      <c r="F46" s="22">
        <f t="shared" si="3"/>
        <v>0.80416385969121729</v>
      </c>
    </row>
    <row r="47" spans="1:6" ht="14.25" customHeight="1" x14ac:dyDescent="0.2">
      <c r="A47" s="20">
        <v>12</v>
      </c>
      <c r="B47" s="202" t="s">
        <v>11</v>
      </c>
      <c r="C47" s="203"/>
      <c r="D47" s="15">
        <f>IF(F3="1",SUMIF(Data!A:A,'53'!$A$2,Data!DF:DF),0)</f>
        <v>34251</v>
      </c>
      <c r="E47" s="18">
        <f>IF(F3="1",SUMIF(Data!$A:$A,'53'!$A$2,Data!IZ:IZ),0)</f>
        <v>10347</v>
      </c>
      <c r="F47" s="22">
        <f t="shared" si="3"/>
        <v>0.30209336953665589</v>
      </c>
    </row>
    <row r="48" spans="1:6" x14ac:dyDescent="0.2">
      <c r="A48" s="20">
        <v>13</v>
      </c>
      <c r="B48" s="202" t="s">
        <v>12</v>
      </c>
      <c r="C48" s="203"/>
      <c r="D48" s="15">
        <f>IF(F3="1",SUMIF(Data!A:A,'53'!$A$2,Data!DG:DG),0)</f>
        <v>0</v>
      </c>
      <c r="E48" s="18">
        <f>IF(F3="1",SUMIF(Data!$A:$A,'53'!$A$2,Data!JA:JA),0)</f>
        <v>0</v>
      </c>
      <c r="F48" s="22" t="str">
        <f t="shared" si="3"/>
        <v/>
      </c>
    </row>
    <row r="49" spans="1:6" ht="14.25" customHeight="1" x14ac:dyDescent="0.2">
      <c r="A49" s="20">
        <v>14</v>
      </c>
      <c r="B49" s="202" t="s">
        <v>449</v>
      </c>
      <c r="C49" s="203"/>
      <c r="D49" s="15">
        <f>IF(F3="1",SUMIF(Data!A:A,'53'!$A$2,Data!DH:DH),0)</f>
        <v>0</v>
      </c>
      <c r="E49" s="18">
        <f>IF(F3="1",SUMIF(Data!$A:$A,'53'!$A$2,Data!JB:JB),0)</f>
        <v>0</v>
      </c>
      <c r="F49" s="22" t="str">
        <f t="shared" si="3"/>
        <v/>
      </c>
    </row>
    <row r="50" spans="1:6" x14ac:dyDescent="0.2">
      <c r="A50" s="20">
        <v>15</v>
      </c>
      <c r="B50" s="202" t="s">
        <v>13</v>
      </c>
      <c r="C50" s="203"/>
      <c r="D50" s="15">
        <f>IF(F3="1",SUMIF(Data!A:A,'53'!$A$2,Data!DI:DI),0)</f>
        <v>0</v>
      </c>
      <c r="E50" s="18">
        <f>IF(F3="1",SUMIF(Data!$A:$A,'53'!$A$2,Data!JC:JC),0)</f>
        <v>0</v>
      </c>
      <c r="F50" s="22" t="str">
        <f t="shared" si="3"/>
        <v/>
      </c>
    </row>
    <row r="51" spans="1:6" x14ac:dyDescent="0.2">
      <c r="A51" s="20">
        <v>16</v>
      </c>
      <c r="B51" s="202" t="s">
        <v>14</v>
      </c>
      <c r="C51" s="203"/>
      <c r="D51" s="15">
        <f>IF(F3="1",SUMIF(Data!A:A,'53'!$A$2,Data!DJ:DJ),0)</f>
        <v>4186</v>
      </c>
      <c r="E51" s="18">
        <f>IF(F3="1",SUMIF(Data!$A:$A,'53'!$A$2,Data!JD:JD),0)</f>
        <v>1665</v>
      </c>
      <c r="F51" s="22">
        <f t="shared" si="3"/>
        <v>0.39775441949354995</v>
      </c>
    </row>
    <row r="52" spans="1:6" x14ac:dyDescent="0.2">
      <c r="A52" s="20">
        <v>17</v>
      </c>
      <c r="B52" s="202" t="s">
        <v>15</v>
      </c>
      <c r="C52" s="203"/>
      <c r="D52" s="15">
        <f>IF(F3="1",SUMIF(Data!A:A,'53'!$A$2,Data!DK:DK),0)</f>
        <v>0</v>
      </c>
      <c r="E52" s="18">
        <f>IF(F3="1",SUMIF(Data!$A:$A,'53'!$A$2,Data!JE:JE),0)</f>
        <v>0</v>
      </c>
      <c r="F52" s="22" t="str">
        <f t="shared" si="3"/>
        <v/>
      </c>
    </row>
    <row r="53" spans="1:6" x14ac:dyDescent="0.2">
      <c r="A53" s="20">
        <v>18</v>
      </c>
      <c r="B53" s="202" t="s">
        <v>16</v>
      </c>
      <c r="C53" s="203"/>
      <c r="D53" s="15">
        <f>IF(F3="1",SUMIF(Data!A:A,'53'!$A$2,Data!DL:DL),0)</f>
        <v>0</v>
      </c>
      <c r="E53" s="18">
        <f>IF(F3="1",SUMIF(Data!$A:$A,'53'!$A$2,Data!JF:JF),0)</f>
        <v>0</v>
      </c>
      <c r="F53" s="22" t="str">
        <f t="shared" si="3"/>
        <v/>
      </c>
    </row>
    <row r="54" spans="1:6" x14ac:dyDescent="0.2">
      <c r="A54" s="20">
        <v>19</v>
      </c>
      <c r="B54" s="202" t="s">
        <v>17</v>
      </c>
      <c r="C54" s="203"/>
      <c r="D54" s="15">
        <f>IF(F3="1",SUMIF(Data!A:A,'53'!$A$2,Data!DM:DM),0)</f>
        <v>21909</v>
      </c>
      <c r="E54" s="18">
        <f>IF(F3="1",SUMIF(Data!$A:$A,'53'!$A$2,Data!JG:JG),0)</f>
        <v>11639</v>
      </c>
      <c r="F54" s="22">
        <f t="shared" si="3"/>
        <v>0.53124286822766897</v>
      </c>
    </row>
    <row r="55" spans="1:6" x14ac:dyDescent="0.2">
      <c r="A55" s="20">
        <v>20</v>
      </c>
      <c r="B55" s="202" t="s">
        <v>18</v>
      </c>
      <c r="C55" s="203"/>
      <c r="D55" s="15">
        <f>IF(F3="1",SUMIF(Data!A:A,'53'!$A$2,Data!DN:DN),0)</f>
        <v>1968</v>
      </c>
      <c r="E55" s="18">
        <f>IF(F3="1",SUMIF(Data!$A:$A,'53'!$A$2,Data!JH:JH),0)</f>
        <v>3150</v>
      </c>
      <c r="F55" s="22">
        <f t="shared" si="3"/>
        <v>1.600609756097561</v>
      </c>
    </row>
    <row r="56" spans="1:6" ht="14.25" customHeight="1" x14ac:dyDescent="0.2">
      <c r="A56" s="20">
        <v>21</v>
      </c>
      <c r="B56" s="202" t="s">
        <v>446</v>
      </c>
      <c r="C56" s="203"/>
      <c r="D56" s="15">
        <f>IF(F3="1",SUMIF(Data!A:A,'53'!$A$2,Data!DO:DO),0)</f>
        <v>50524</v>
      </c>
      <c r="E56" s="18">
        <f>IF(F3="1",SUMIF(Data!$A:$A,'53'!$A$2,Data!JI:JI),0)</f>
        <v>80861</v>
      </c>
      <c r="F56" s="22">
        <f t="shared" si="3"/>
        <v>1.6004473121684744</v>
      </c>
    </row>
    <row r="57" spans="1:6" x14ac:dyDescent="0.2">
      <c r="A57" s="20">
        <v>22</v>
      </c>
      <c r="B57" s="202" t="s">
        <v>19</v>
      </c>
      <c r="C57" s="203"/>
      <c r="D57" s="15">
        <f>IF(F3="1",SUMIF(Data!A:A,'53'!$A$2,Data!DP:DP),0)</f>
        <v>11118</v>
      </c>
      <c r="E57" s="18">
        <f>IF(F3="1",SUMIF(Data!$A:$A,'53'!$A$2,Data!JJ:JJ),0)</f>
        <v>4420</v>
      </c>
      <c r="F57" s="22">
        <f t="shared" si="3"/>
        <v>0.39755351681957185</v>
      </c>
    </row>
    <row r="58" spans="1:6" x14ac:dyDescent="0.2">
      <c r="A58" s="20">
        <v>23</v>
      </c>
      <c r="B58" s="202" t="s">
        <v>20</v>
      </c>
      <c r="C58" s="203"/>
      <c r="D58" s="15">
        <f>IF(F3="1",SUMIF(Data!A:A,'53'!$A$2,Data!DQ:DQ),0)</f>
        <v>0</v>
      </c>
      <c r="E58" s="18">
        <f>IF(F3="1",SUMIF(Data!$A:$A,'53'!$A$2,Data!JK:JK),0)</f>
        <v>0</v>
      </c>
      <c r="F58" s="22" t="str">
        <f t="shared" si="3"/>
        <v/>
      </c>
    </row>
    <row r="59" spans="1:6" x14ac:dyDescent="0.2">
      <c r="A59" s="20">
        <v>24</v>
      </c>
      <c r="B59" s="202" t="s">
        <v>21</v>
      </c>
      <c r="C59" s="203"/>
      <c r="D59" s="15">
        <f>IF(F3="1",SUMIF(Data!A:A,'53'!$A$2,Data!DR:DR),0)</f>
        <v>0</v>
      </c>
      <c r="E59" s="18">
        <f>IF(F3="1",SUMIF(Data!$A:$A,'53'!$A$2,Data!JL:JL),0)</f>
        <v>0</v>
      </c>
      <c r="F59" s="22" t="str">
        <f t="shared" si="3"/>
        <v/>
      </c>
    </row>
    <row r="60" spans="1:6" x14ac:dyDescent="0.2">
      <c r="A60" s="20">
        <v>25</v>
      </c>
      <c r="B60" s="202" t="s">
        <v>22</v>
      </c>
      <c r="C60" s="203"/>
      <c r="D60" s="15">
        <f>IF(F3="1",SUMIF(Data!A:A,'53'!$A$2,Data!DS:DS),0)</f>
        <v>14235</v>
      </c>
      <c r="E60" s="18">
        <f>IF(F3="1",SUMIF(Data!$A:$A,'53'!$A$2,Data!JM:JM),0)</f>
        <v>3473</v>
      </c>
      <c r="F60" s="22">
        <f t="shared" si="3"/>
        <v>0.24397611520899193</v>
      </c>
    </row>
    <row r="61" spans="1:6" x14ac:dyDescent="0.2">
      <c r="A61" s="20">
        <v>26</v>
      </c>
      <c r="B61" s="202" t="s">
        <v>23</v>
      </c>
      <c r="C61" s="203"/>
      <c r="D61" s="15">
        <f>IF(F3="1",SUMIF(Data!A:A,'53'!$A$2,Data!DT:DT),0)</f>
        <v>3744</v>
      </c>
      <c r="E61" s="18">
        <f>IF(F3="1",SUMIF(Data!$A:$A,'53'!$A$2,Data!JN:JN),0)</f>
        <v>2444</v>
      </c>
      <c r="F61" s="22">
        <f t="shared" si="3"/>
        <v>0.65277777777777779</v>
      </c>
    </row>
    <row r="62" spans="1:6" x14ac:dyDescent="0.2">
      <c r="A62" s="20">
        <v>28</v>
      </c>
      <c r="B62" s="202" t="s">
        <v>24</v>
      </c>
      <c r="C62" s="203"/>
      <c r="D62" s="15">
        <f>IF(F3="1",SUMIF(Data!A:A,'53'!$A$2,Data!DV:DV),0)</f>
        <v>12580</v>
      </c>
      <c r="E62" s="18">
        <f>IF(F3="1",SUMIF(Data!$A:$A,'53'!$A$2,Data!JP:JP),0)</f>
        <v>14986</v>
      </c>
      <c r="F62" s="22">
        <f t="shared" si="3"/>
        <v>1.1912559618441971</v>
      </c>
    </row>
    <row r="63" spans="1:6" ht="15.75" customHeight="1" thickBot="1" x14ac:dyDescent="0.25">
      <c r="A63" s="23">
        <v>29</v>
      </c>
      <c r="B63" s="206" t="s">
        <v>25</v>
      </c>
      <c r="C63" s="207"/>
      <c r="D63" s="24">
        <f>IF(F3="1",SUMIF(Data!A:A,'53'!$A$2,Data!DW:DW),0)</f>
        <v>16518</v>
      </c>
      <c r="E63" s="25">
        <f>IF(F3="1",SUMIF(Data!$A:$A,'53'!$A$2,Data!JQ:JQ),0)</f>
        <v>17959</v>
      </c>
      <c r="F63" s="26">
        <f t="shared" si="3"/>
        <v>1.087238164426686</v>
      </c>
    </row>
    <row r="64" spans="1:6" x14ac:dyDescent="0.2">
      <c r="B64" s="31" t="s">
        <v>35</v>
      </c>
      <c r="C64" s="31"/>
      <c r="D64" s="60">
        <f>SUM(D36:D63)</f>
        <v>512024</v>
      </c>
      <c r="E64" s="32">
        <f>SUM(E36:E63)</f>
        <v>381696</v>
      </c>
      <c r="F64" s="33">
        <f t="shared" si="3"/>
        <v>0.74546505632548477</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0</v>
      </c>
      <c r="E67" s="16">
        <f>IF(F3="1",SUMIF(Data!A:A,'53'!$A$2,Data!DY:DY),0)</f>
        <v>0</v>
      </c>
      <c r="F67" s="21" t="str">
        <f>IFERROR(E67/D67,"")</f>
        <v/>
      </c>
    </row>
    <row r="68" spans="1:6" x14ac:dyDescent="0.2">
      <c r="A68" s="20">
        <v>2</v>
      </c>
      <c r="B68" s="202" t="s">
        <v>1</v>
      </c>
      <c r="C68" s="203"/>
      <c r="D68" s="15">
        <f t="shared" ref="D68:D94" si="4">D37</f>
        <v>47977</v>
      </c>
      <c r="E68" s="18">
        <f>IF(F3="1",SUMIF(Data!A:A,'53'!$A$2,Data!DZ:DZ),0)</f>
        <v>305915</v>
      </c>
      <c r="F68" s="22">
        <f t="shared" ref="F68:F95" si="5">IFERROR(E68/D68,"")</f>
        <v>6.3762844696417034</v>
      </c>
    </row>
    <row r="69" spans="1:6" ht="14.25" customHeight="1" x14ac:dyDescent="0.2">
      <c r="A69" s="20">
        <v>3</v>
      </c>
      <c r="B69" s="202" t="s">
        <v>2</v>
      </c>
      <c r="C69" s="203"/>
      <c r="D69" s="15">
        <f t="shared" si="4"/>
        <v>23854</v>
      </c>
      <c r="E69" s="18">
        <f>IF(F3="1",SUMIF(Data!A:A,'53'!$A$2,Data!EA:EA),0)</f>
        <v>43093</v>
      </c>
      <c r="F69" s="22">
        <f t="shared" si="5"/>
        <v>1.8065313993460217</v>
      </c>
    </row>
    <row r="70" spans="1:6" ht="14.25" customHeight="1" x14ac:dyDescent="0.2">
      <c r="A70" s="20">
        <v>4</v>
      </c>
      <c r="B70" s="202" t="s">
        <v>3</v>
      </c>
      <c r="C70" s="203"/>
      <c r="D70" s="15">
        <f t="shared" si="4"/>
        <v>56986</v>
      </c>
      <c r="E70" s="18">
        <f>IF(F3="1",SUMIF(Data!A:A,'53'!$A$2,Data!EB:EB),0)</f>
        <v>98821</v>
      </c>
      <c r="F70" s="22">
        <f t="shared" si="5"/>
        <v>1.7341276804829255</v>
      </c>
    </row>
    <row r="71" spans="1:6" x14ac:dyDescent="0.2">
      <c r="A71" s="20">
        <v>5</v>
      </c>
      <c r="B71" s="202" t="s">
        <v>4</v>
      </c>
      <c r="C71" s="203"/>
      <c r="D71" s="15">
        <f t="shared" si="4"/>
        <v>0</v>
      </c>
      <c r="E71" s="18">
        <f>IF(F3="1",SUMIF(Data!A:A,'53'!$A$2,Data!EC:EC),0)</f>
        <v>0</v>
      </c>
      <c r="F71" s="22" t="str">
        <f t="shared" si="5"/>
        <v/>
      </c>
    </row>
    <row r="72" spans="1:6" x14ac:dyDescent="0.2">
      <c r="A72" s="20">
        <v>6</v>
      </c>
      <c r="B72" s="202" t="s">
        <v>5</v>
      </c>
      <c r="C72" s="203"/>
      <c r="D72" s="15">
        <f t="shared" si="4"/>
        <v>4650</v>
      </c>
      <c r="E72" s="18">
        <f>IF(F3="1",SUMIF(Data!A:A,'53'!$A$2,Data!ED:ED),0)</f>
        <v>13142</v>
      </c>
      <c r="F72" s="22">
        <f t="shared" si="5"/>
        <v>2.8262365591397849</v>
      </c>
    </row>
    <row r="73" spans="1:6" x14ac:dyDescent="0.2">
      <c r="A73" s="20">
        <v>7</v>
      </c>
      <c r="B73" s="202" t="s">
        <v>6</v>
      </c>
      <c r="C73" s="203"/>
      <c r="D73" s="15">
        <f t="shared" si="4"/>
        <v>46670</v>
      </c>
      <c r="E73" s="18">
        <f>IF(F3="1",SUMIF(Data!A:A,'53'!$A$2,Data!EE:EE),0)</f>
        <v>80932</v>
      </c>
      <c r="F73" s="22">
        <f t="shared" si="5"/>
        <v>1.7341332761945576</v>
      </c>
    </row>
    <row r="74" spans="1:6" x14ac:dyDescent="0.2">
      <c r="A74" s="20">
        <v>8</v>
      </c>
      <c r="B74" s="202" t="s">
        <v>7</v>
      </c>
      <c r="C74" s="203"/>
      <c r="D74" s="15">
        <f t="shared" si="4"/>
        <v>52493</v>
      </c>
      <c r="E74" s="18">
        <f>IF(F3="1",SUMIF(Data!A:A,'53'!$A$2,Data!EF:EF),0)</f>
        <v>148359</v>
      </c>
      <c r="F74" s="22">
        <f t="shared" si="5"/>
        <v>2.8262625492922866</v>
      </c>
    </row>
    <row r="75" spans="1:6" x14ac:dyDescent="0.2">
      <c r="A75" s="20">
        <v>9</v>
      </c>
      <c r="B75" s="202" t="s">
        <v>8</v>
      </c>
      <c r="C75" s="203"/>
      <c r="D75" s="15">
        <f t="shared" si="4"/>
        <v>0</v>
      </c>
      <c r="E75" s="18">
        <f>IF(F3="1",SUMIF(Data!A:A,'53'!$A$2,Data!EG:EG),0)</f>
        <v>0</v>
      </c>
      <c r="F75" s="22" t="str">
        <f t="shared" si="5"/>
        <v/>
      </c>
    </row>
    <row r="76" spans="1:6" x14ac:dyDescent="0.2">
      <c r="A76" s="20">
        <v>10</v>
      </c>
      <c r="B76" s="202" t="s">
        <v>9</v>
      </c>
      <c r="C76" s="203"/>
      <c r="D76" s="15">
        <f t="shared" si="4"/>
        <v>0</v>
      </c>
      <c r="E76" s="18">
        <f>IF(F3="1",SUMIF(Data!A:A,'53'!$A$2,Data!EH:EH),0)</f>
        <v>0</v>
      </c>
      <c r="F76" s="22" t="str">
        <f t="shared" si="5"/>
        <v/>
      </c>
    </row>
    <row r="77" spans="1:6" x14ac:dyDescent="0.2">
      <c r="A77" s="20">
        <v>11</v>
      </c>
      <c r="B77" s="202" t="s">
        <v>10</v>
      </c>
      <c r="C77" s="203"/>
      <c r="D77" s="15">
        <f t="shared" si="4"/>
        <v>108361</v>
      </c>
      <c r="E77" s="18">
        <f>IF(F3="1",SUMIF(Data!A:A,'53'!$A$2,Data!EI:EI),0)</f>
        <v>495739</v>
      </c>
      <c r="F77" s="22">
        <f t="shared" si="5"/>
        <v>4.5748839527136145</v>
      </c>
    </row>
    <row r="78" spans="1:6" ht="14.25" customHeight="1" x14ac:dyDescent="0.2">
      <c r="A78" s="20">
        <v>12</v>
      </c>
      <c r="B78" s="202" t="s">
        <v>11</v>
      </c>
      <c r="C78" s="203"/>
      <c r="D78" s="15">
        <f t="shared" si="4"/>
        <v>34251</v>
      </c>
      <c r="E78" s="18">
        <f>IF(F3="1",SUMIF(Data!A:A,'53'!$A$2,Data!EJ:EJ),0)</f>
        <v>61875</v>
      </c>
      <c r="F78" s="22">
        <f t="shared" si="5"/>
        <v>1.8065165980555313</v>
      </c>
    </row>
    <row r="79" spans="1:6" x14ac:dyDescent="0.2">
      <c r="A79" s="20">
        <v>13</v>
      </c>
      <c r="B79" s="202" t="s">
        <v>12</v>
      </c>
      <c r="C79" s="203"/>
      <c r="D79" s="15">
        <f t="shared" si="4"/>
        <v>0</v>
      </c>
      <c r="E79" s="18">
        <f>IF(F3="1",SUMIF(Data!A:A,'53'!$A$2,Data!EK:EK),0)</f>
        <v>0</v>
      </c>
      <c r="F79" s="22" t="str">
        <f t="shared" si="5"/>
        <v/>
      </c>
    </row>
    <row r="80" spans="1:6" ht="14.25" customHeight="1" x14ac:dyDescent="0.2">
      <c r="A80" s="20">
        <v>14</v>
      </c>
      <c r="B80" s="202" t="s">
        <v>449</v>
      </c>
      <c r="C80" s="203"/>
      <c r="D80" s="15">
        <f t="shared" si="4"/>
        <v>0</v>
      </c>
      <c r="E80" s="18">
        <f>IF(F3="1",SUMIF(Data!A:A,'53'!$A$2,Data!EL:EL),0)</f>
        <v>0</v>
      </c>
      <c r="F80" s="22" t="str">
        <f t="shared" si="5"/>
        <v/>
      </c>
    </row>
    <row r="81" spans="1:6" x14ac:dyDescent="0.2">
      <c r="A81" s="20">
        <v>15</v>
      </c>
      <c r="B81" s="202" t="s">
        <v>13</v>
      </c>
      <c r="C81" s="203"/>
      <c r="D81" s="15">
        <f t="shared" si="4"/>
        <v>0</v>
      </c>
      <c r="E81" s="18">
        <f>IF(F3="1",SUMIF(Data!A:A,'53'!$A$2,Data!EM:EM),0)</f>
        <v>0</v>
      </c>
      <c r="F81" s="22" t="str">
        <f t="shared" si="5"/>
        <v/>
      </c>
    </row>
    <row r="82" spans="1:6" x14ac:dyDescent="0.2">
      <c r="A82" s="20">
        <v>16</v>
      </c>
      <c r="B82" s="202" t="s">
        <v>14</v>
      </c>
      <c r="C82" s="203"/>
      <c r="D82" s="15">
        <f t="shared" si="4"/>
        <v>4186</v>
      </c>
      <c r="E82" s="18">
        <f>IF(F3="1",SUMIF(Data!A:A,'53'!$A$2,Data!EN:EN),0)</f>
        <v>11831</v>
      </c>
      <c r="F82" s="22">
        <f t="shared" si="5"/>
        <v>2.8263258480649784</v>
      </c>
    </row>
    <row r="83" spans="1:6" x14ac:dyDescent="0.2">
      <c r="A83" s="20">
        <v>17</v>
      </c>
      <c r="B83" s="202" t="s">
        <v>15</v>
      </c>
      <c r="C83" s="203"/>
      <c r="D83" s="15">
        <f t="shared" si="4"/>
        <v>0</v>
      </c>
      <c r="E83" s="18">
        <f>IF(F3="1",SUMIF(Data!A:A,'53'!$A$2,Data!EO:EO),0)</f>
        <v>0</v>
      </c>
      <c r="F83" s="22" t="str">
        <f t="shared" si="5"/>
        <v/>
      </c>
    </row>
    <row r="84" spans="1:6" x14ac:dyDescent="0.2">
      <c r="A84" s="20">
        <v>18</v>
      </c>
      <c r="B84" s="202" t="s">
        <v>16</v>
      </c>
      <c r="C84" s="203"/>
      <c r="D84" s="15">
        <f t="shared" si="4"/>
        <v>0</v>
      </c>
      <c r="E84" s="18">
        <f>IF(F3="1",SUMIF(Data!A:A,'53'!$A$2,Data!EP:EP),0)</f>
        <v>0</v>
      </c>
      <c r="F84" s="22" t="str">
        <f t="shared" si="5"/>
        <v/>
      </c>
    </row>
    <row r="85" spans="1:6" x14ac:dyDescent="0.2">
      <c r="A85" s="20">
        <v>19</v>
      </c>
      <c r="B85" s="202" t="s">
        <v>17</v>
      </c>
      <c r="C85" s="203"/>
      <c r="D85" s="15">
        <f t="shared" si="4"/>
        <v>21909</v>
      </c>
      <c r="E85" s="18">
        <f>IF(F3="1",SUMIF(Data!A:A,'53'!$A$2,Data!EQ:EQ),0)</f>
        <v>39579</v>
      </c>
      <c r="F85" s="22">
        <f t="shared" si="5"/>
        <v>1.8065178693687525</v>
      </c>
    </row>
    <row r="86" spans="1:6" x14ac:dyDescent="0.2">
      <c r="A86" s="20">
        <v>20</v>
      </c>
      <c r="B86" s="202" t="s">
        <v>18</v>
      </c>
      <c r="C86" s="203"/>
      <c r="D86" s="15">
        <f t="shared" si="4"/>
        <v>1968</v>
      </c>
      <c r="E86" s="18">
        <f>IF(F3="1",SUMIF(Data!A:A,'53'!$A$2,Data!ER:ER),0)</f>
        <v>8320</v>
      </c>
      <c r="F86" s="22">
        <f t="shared" si="5"/>
        <v>4.2276422764227641</v>
      </c>
    </row>
    <row r="87" spans="1:6" ht="14.25" customHeight="1" x14ac:dyDescent="0.2">
      <c r="A87" s="20">
        <v>21</v>
      </c>
      <c r="B87" s="202" t="s">
        <v>446</v>
      </c>
      <c r="C87" s="203"/>
      <c r="D87" s="15">
        <f t="shared" si="4"/>
        <v>50524</v>
      </c>
      <c r="E87" s="18">
        <f>IF(F3="1",SUMIF(Data!A:A,'53'!$A$2,Data!ES:ES),0)</f>
        <v>213587</v>
      </c>
      <c r="F87" s="22">
        <f t="shared" si="5"/>
        <v>4.2274364658380179</v>
      </c>
    </row>
    <row r="88" spans="1:6" x14ac:dyDescent="0.2">
      <c r="A88" s="20">
        <v>22</v>
      </c>
      <c r="B88" s="202" t="s">
        <v>19</v>
      </c>
      <c r="C88" s="203"/>
      <c r="D88" s="15">
        <f t="shared" si="4"/>
        <v>11118</v>
      </c>
      <c r="E88" s="18">
        <f>IF(F3="1",SUMIF(Data!A:A,'53'!$A$2,Data!ET:ET),0)</f>
        <v>31423</v>
      </c>
      <c r="F88" s="22">
        <f t="shared" si="5"/>
        <v>2.8263176830365175</v>
      </c>
    </row>
    <row r="89" spans="1:6" x14ac:dyDescent="0.2">
      <c r="A89" s="20">
        <v>23</v>
      </c>
      <c r="B89" s="202" t="s">
        <v>20</v>
      </c>
      <c r="C89" s="203"/>
      <c r="D89" s="15">
        <f t="shared" si="4"/>
        <v>0</v>
      </c>
      <c r="E89" s="18">
        <f>IF(F3="1",SUMIF(Data!A:A,'53'!$A$2,Data!EU:EU),0)</f>
        <v>0</v>
      </c>
      <c r="F89" s="22" t="str">
        <f t="shared" si="5"/>
        <v/>
      </c>
    </row>
    <row r="90" spans="1:6" x14ac:dyDescent="0.2">
      <c r="A90" s="20">
        <v>24</v>
      </c>
      <c r="B90" s="202" t="s">
        <v>21</v>
      </c>
      <c r="C90" s="203"/>
      <c r="D90" s="15">
        <f t="shared" si="4"/>
        <v>0</v>
      </c>
      <c r="E90" s="18">
        <f>IF(F3="1",SUMIF(Data!A:A,'53'!$A$2,Data!EV:EV),0)</f>
        <v>0</v>
      </c>
      <c r="F90" s="22" t="str">
        <f t="shared" si="5"/>
        <v/>
      </c>
    </row>
    <row r="91" spans="1:6" x14ac:dyDescent="0.2">
      <c r="A91" s="20">
        <v>25</v>
      </c>
      <c r="B91" s="202" t="s">
        <v>22</v>
      </c>
      <c r="C91" s="203"/>
      <c r="D91" s="15">
        <f t="shared" si="4"/>
        <v>14235</v>
      </c>
      <c r="E91" s="18">
        <f>IF(F3="1",SUMIF(Data!A:A,'53'!$A$2,Data!EW:EW),0)</f>
        <v>21566</v>
      </c>
      <c r="F91" s="22">
        <f t="shared" si="5"/>
        <v>1.5149982437653671</v>
      </c>
    </row>
    <row r="92" spans="1:6" x14ac:dyDescent="0.2">
      <c r="A92" s="20">
        <v>26</v>
      </c>
      <c r="B92" s="202" t="s">
        <v>23</v>
      </c>
      <c r="C92" s="203"/>
      <c r="D92" s="15">
        <f t="shared" si="4"/>
        <v>3744</v>
      </c>
      <c r="E92" s="18">
        <f>IF(F3="1",SUMIF(Data!A:A,'53'!$A$2,Data!EX:EX),0)</f>
        <v>6492</v>
      </c>
      <c r="F92" s="22">
        <f t="shared" si="5"/>
        <v>1.733974358974359</v>
      </c>
    </row>
    <row r="93" spans="1:6" x14ac:dyDescent="0.2">
      <c r="A93" s="20">
        <v>28</v>
      </c>
      <c r="B93" s="202" t="s">
        <v>24</v>
      </c>
      <c r="C93" s="203"/>
      <c r="D93" s="15">
        <f t="shared" si="4"/>
        <v>12580</v>
      </c>
      <c r="E93" s="18">
        <f>IF(F3="1",SUMIF(Data!A:A,'53'!$A$2,Data!EZ:EZ),0)</f>
        <v>92739</v>
      </c>
      <c r="F93" s="22">
        <f t="shared" si="5"/>
        <v>7.3719395866454693</v>
      </c>
    </row>
    <row r="94" spans="1:6" ht="15.75" customHeight="1" thickBot="1" x14ac:dyDescent="0.25">
      <c r="A94" s="23">
        <v>29</v>
      </c>
      <c r="B94" s="206" t="s">
        <v>25</v>
      </c>
      <c r="C94" s="207"/>
      <c r="D94" s="24">
        <f t="shared" si="4"/>
        <v>16518</v>
      </c>
      <c r="E94" s="25">
        <f>IF(F3="1",SUMIF(Data!A:A,'53'!$A$2,Data!FA:FA),0)</f>
        <v>120420</v>
      </c>
      <c r="F94" s="26">
        <f t="shared" si="5"/>
        <v>7.2902288412640752</v>
      </c>
    </row>
    <row r="95" spans="1:6" x14ac:dyDescent="0.2">
      <c r="B95" s="31" t="s">
        <v>35</v>
      </c>
      <c r="C95" s="31"/>
      <c r="D95" s="60">
        <f>SUM(D67:D94)</f>
        <v>512024</v>
      </c>
      <c r="E95" s="32">
        <f>SUM(E67:E94)</f>
        <v>1793833</v>
      </c>
      <c r="F95" s="33">
        <f t="shared" si="5"/>
        <v>3.5034158555067729</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IF(F3="1",SUMIF(Data!A:A,'53'!$A$2,Data!AH:AH),0)</f>
        <v>921719</v>
      </c>
      <c r="F98" s="21">
        <f t="shared" ref="F98:F105" si="6">IFERROR(E98/$D$95,0)</f>
        <v>1.800148039935628</v>
      </c>
    </row>
    <row r="99" spans="2:6" x14ac:dyDescent="0.2">
      <c r="B99" s="212" t="s">
        <v>31</v>
      </c>
      <c r="C99" s="213"/>
      <c r="D99" s="37"/>
      <c r="E99" s="18">
        <f>IF(F3="1",SUMIF(Data!A:A,'53'!$A$2,Data!AI:AI),0)</f>
        <v>999045</v>
      </c>
      <c r="F99" s="22">
        <f t="shared" si="6"/>
        <v>1.9511683046107213</v>
      </c>
    </row>
    <row r="100" spans="2:6" x14ac:dyDescent="0.2">
      <c r="B100" s="212" t="s">
        <v>32</v>
      </c>
      <c r="C100" s="213"/>
      <c r="D100" s="37"/>
      <c r="E100" s="18">
        <f>IF(F3="1",SUMIF(Data!A:A,'53'!$A$2,Data!AJ:AJ),0)</f>
        <v>527167</v>
      </c>
      <c r="F100" s="22">
        <f t="shared" si="6"/>
        <v>1.0295747855569271</v>
      </c>
    </row>
    <row r="101" spans="2:6" x14ac:dyDescent="0.2">
      <c r="B101" s="212" t="s">
        <v>28</v>
      </c>
      <c r="C101" s="213"/>
      <c r="D101" s="37"/>
      <c r="E101" s="18">
        <f>IF(F3="1",SUMIF(Data!A:A,'53'!$A$2,Data!AK:AK),0)</f>
        <v>208313</v>
      </c>
      <c r="F101" s="22">
        <f t="shared" si="6"/>
        <v>0.40684225739418467</v>
      </c>
    </row>
    <row r="102" spans="2:6" x14ac:dyDescent="0.2">
      <c r="B102" s="212" t="s">
        <v>33</v>
      </c>
      <c r="C102" s="213"/>
      <c r="D102" s="37"/>
      <c r="E102" s="18">
        <f>IF(F3="1",SUMIF(Data!A:A,'53'!$A$2,Data!AL:AL),0)</f>
        <v>390348</v>
      </c>
      <c r="F102" s="22">
        <f t="shared" si="6"/>
        <v>0.76236270174835552</v>
      </c>
    </row>
    <row r="103" spans="2:6" x14ac:dyDescent="0.2">
      <c r="B103" s="214" t="s">
        <v>34</v>
      </c>
      <c r="C103" s="215"/>
      <c r="D103" s="37"/>
      <c r="E103" s="18">
        <f>IF(F3="1",SUMIF(Data!A:A,'53'!$A$2,Data!AM:AM),0)</f>
        <v>62718</v>
      </c>
      <c r="F103" s="22">
        <f t="shared" si="6"/>
        <v>0.12249035201474931</v>
      </c>
    </row>
    <row r="104" spans="2:6" ht="15.75" customHeight="1" thickBot="1" x14ac:dyDescent="0.25">
      <c r="B104" s="208" t="s">
        <v>29</v>
      </c>
      <c r="C104" s="209"/>
      <c r="D104" s="38"/>
      <c r="E104" s="25">
        <f>IF(F3="1",SUMIF(Data!A:A,'53'!$A$2,Data!Q:Q),0)</f>
        <v>88341</v>
      </c>
      <c r="F104" s="26">
        <f t="shared" si="6"/>
        <v>0.17253292814399326</v>
      </c>
    </row>
    <row r="105" spans="2:6" x14ac:dyDescent="0.2">
      <c r="B105" s="31" t="s">
        <v>35</v>
      </c>
      <c r="C105" s="31"/>
      <c r="D105" s="35">
        <f>D95</f>
        <v>512024</v>
      </c>
      <c r="E105" s="32">
        <f>SUM(E98:E104)</f>
        <v>3197651</v>
      </c>
      <c r="F105" s="33">
        <f t="shared" si="6"/>
        <v>6.2451193694045593</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1820847</v>
      </c>
      <c r="D109" s="192">
        <f>IF(F3="1",SUMIF(Data!$A:$A,$A$2,Data!HJ:HJ),0)</f>
        <v>86454</v>
      </c>
      <c r="E109" s="192">
        <f>IF(F3="1",SUMIF(Data!$A:$A,$A$2,Data!IN:IN),0)</f>
        <v>268227</v>
      </c>
      <c r="F109" s="48">
        <f>SUM(C109:E109)</f>
        <v>2175528</v>
      </c>
    </row>
    <row r="110" spans="2:6" x14ac:dyDescent="0.2">
      <c r="B110" s="43" t="s">
        <v>28</v>
      </c>
      <c r="C110" s="193">
        <f>IF(F3="1",SUMIF(Data!A:A,$A$2,Data!W:W),0)</f>
        <v>190047</v>
      </c>
      <c r="D110" s="52"/>
      <c r="E110" s="193">
        <f>IF(F3="1",SUMIF(Data!A:A,$A$2,Data!AD:AD),0)</f>
        <v>18266</v>
      </c>
      <c r="F110" s="49">
        <f t="shared" ref="F110:F116" si="7">SUM(C110:E110)</f>
        <v>208313</v>
      </c>
    </row>
    <row r="111" spans="2:6" x14ac:dyDescent="0.2">
      <c r="B111" s="43" t="s">
        <v>915</v>
      </c>
      <c r="C111" s="193">
        <f>IF(F3="1",SUMIF(Data!A:A,$A$2,Data!AS:AS),0)</f>
        <v>99818</v>
      </c>
      <c r="D111" s="52"/>
      <c r="E111" s="193">
        <f>IF(F3="1",SUMIF(Data!A:A,$A$2,Data!AX:AX)-SUMIF(Data!A:A,$A$2,Data!AW:AW),0)</f>
        <v>371926</v>
      </c>
      <c r="F111" s="49">
        <f t="shared" si="7"/>
        <v>471744</v>
      </c>
    </row>
    <row r="112" spans="2:6" x14ac:dyDescent="0.2">
      <c r="B112" s="43" t="s">
        <v>32</v>
      </c>
      <c r="C112" s="193">
        <f>IF(F3="1",SUMIF(Data!A:A,$A$2,Data!V:V),0)</f>
        <v>469232</v>
      </c>
      <c r="D112" s="52"/>
      <c r="E112" s="193">
        <f>IF(F3="1",SUMIF(Data!A:A,$A$2,Data!AC:AC),0)</f>
        <v>57935</v>
      </c>
      <c r="F112" s="49">
        <f t="shared" si="7"/>
        <v>527167</v>
      </c>
    </row>
    <row r="113" spans="1:6" x14ac:dyDescent="0.2">
      <c r="B113" s="43" t="s">
        <v>31</v>
      </c>
      <c r="C113" s="193">
        <f>IF(F3="1",SUMIF(Data!A:A,$A$2,Data!U:U),0)</f>
        <v>640287</v>
      </c>
      <c r="D113" s="52"/>
      <c r="E113" s="193">
        <f>IF(F3="1",SUMIF(Data!A:A,$A$2,Data!AB:AB),0)</f>
        <v>358758</v>
      </c>
      <c r="F113" s="49">
        <f t="shared" si="7"/>
        <v>999045</v>
      </c>
    </row>
    <row r="114" spans="1:6" x14ac:dyDescent="0.2">
      <c r="B114" s="43" t="s">
        <v>1002</v>
      </c>
      <c r="C114" s="193">
        <f>IF(F3="1",SUMIF(Data!A:A,$A$2,Data!T:T),0)</f>
        <v>759915</v>
      </c>
      <c r="D114" s="52"/>
      <c r="E114" s="193">
        <f>IF(F3="1",SUMIF(Data!A:A,$A$2,Data!AA:AA),0)</f>
        <v>161804</v>
      </c>
      <c r="F114" s="49">
        <f t="shared" si="7"/>
        <v>921719</v>
      </c>
    </row>
    <row r="115" spans="1:6" x14ac:dyDescent="0.2">
      <c r="B115" s="43" t="s">
        <v>916</v>
      </c>
      <c r="C115" s="193">
        <f>IF(F3="1",SUMIF(Data!A:A,$A$2,Data!BI:BI),0)</f>
        <v>406151</v>
      </c>
      <c r="D115" s="193">
        <f>IF(F3="1",SUMIF(Data!A:A,$A$2,Data!BL:BL),0)</f>
        <v>21971</v>
      </c>
      <c r="E115" s="193">
        <f>IF(F3="1",SUMIF(Data!A:A,$A$2,Data!BU:BU)-SUMIF(Data!A:A,$A$2,Data!BT:BT),0)</f>
        <v>461393</v>
      </c>
      <c r="F115" s="49">
        <f t="shared" si="7"/>
        <v>889515</v>
      </c>
    </row>
    <row r="116" spans="1:6" x14ac:dyDescent="0.2">
      <c r="B116" s="43" t="s">
        <v>33</v>
      </c>
      <c r="C116" s="193">
        <f>IF(F3="1",SUMIF(Data!A:A,$A$2,Data!X:X),0)</f>
        <v>0</v>
      </c>
      <c r="D116" s="51"/>
      <c r="E116" s="193">
        <f>E102-C116</f>
        <v>390348</v>
      </c>
      <c r="F116" s="49">
        <f t="shared" si="7"/>
        <v>390348</v>
      </c>
    </row>
    <row r="117" spans="1:6" ht="15" thickBot="1" x14ac:dyDescent="0.25">
      <c r="B117" s="44" t="s">
        <v>920</v>
      </c>
      <c r="C117" s="53"/>
      <c r="D117" s="53">
        <f>IF(F3="1",SUMIF(Data!A:A,$A$2,Data!Q:Q),0)</f>
        <v>88341</v>
      </c>
      <c r="E117" s="53"/>
      <c r="F117" s="50">
        <f>SUM(C117:E117)</f>
        <v>88341</v>
      </c>
    </row>
    <row r="118" spans="1:6" x14ac:dyDescent="0.2">
      <c r="B118" s="14" t="s">
        <v>35</v>
      </c>
      <c r="C118" s="178">
        <f>SUM(C109:C117)</f>
        <v>4386297</v>
      </c>
      <c r="D118" s="194">
        <f>SUM(D109:D117)</f>
        <v>196766</v>
      </c>
      <c r="E118" s="178">
        <f>SUM(E109:E117)</f>
        <v>2088657</v>
      </c>
      <c r="F118" s="178">
        <f>SUM(F109:F117)</f>
        <v>6671720</v>
      </c>
    </row>
    <row r="119" spans="1:6" x14ac:dyDescent="0.2">
      <c r="C119" s="177"/>
      <c r="D119" s="177"/>
      <c r="E119" s="177"/>
    </row>
    <row r="120" spans="1:6" ht="15" thickBot="1" x14ac:dyDescent="0.25">
      <c r="B120" s="188" t="s">
        <v>921</v>
      </c>
      <c r="C120" s="53"/>
      <c r="D120" s="53"/>
      <c r="E120" s="195">
        <f>IF(F3="1",SUMIF(Data!A:A,$A$2,Data!AF:AF)+SUMIF(Data!A:A,$A$2,Data!AW:AW)+SUMIF(Data!A:A,$A$2,Data!BT:BT),0)</f>
        <v>80674</v>
      </c>
      <c r="F120" s="181">
        <f>SUM(C120:E120)</f>
        <v>80674</v>
      </c>
    </row>
    <row r="121" spans="1:6" s="177" customFormat="1" x14ac:dyDescent="0.2">
      <c r="B121" s="14" t="s">
        <v>35</v>
      </c>
      <c r="C121" s="178">
        <f>SUM(C120:C120)</f>
        <v>0</v>
      </c>
      <c r="D121" s="178">
        <f>SUM(D120:D120)</f>
        <v>0</v>
      </c>
      <c r="E121" s="178">
        <f>SUM(E120:E120)</f>
        <v>80674</v>
      </c>
      <c r="F121" s="178">
        <f>SUM(F120:F120)</f>
        <v>80674</v>
      </c>
    </row>
    <row r="122" spans="1:6" s="177" customFormat="1" ht="15" thickBot="1" x14ac:dyDescent="0.25">
      <c r="B122" s="14" t="s">
        <v>1396</v>
      </c>
      <c r="C122" s="178"/>
      <c r="D122" s="178"/>
      <c r="E122" s="178"/>
      <c r="F122" s="190">
        <f>F118+F121</f>
        <v>6752394</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402</v>
      </c>
      <c r="B2" s="59" t="str">
        <f>VLOOKUP(A2,Data!A:G,7,0)</f>
        <v>Texas State Technical College-Waco</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43328</v>
      </c>
      <c r="E5" s="16">
        <f>E36+E67+IFERROR($E$105/$D$105*D5,0)</f>
        <v>587073.50664204126</v>
      </c>
      <c r="F5" s="21">
        <f>IFERROR(E5/D5,"")</f>
        <v>13.549517786236182</v>
      </c>
    </row>
    <row r="6" spans="1:6" x14ac:dyDescent="0.2">
      <c r="A6" s="20">
        <v>2</v>
      </c>
      <c r="B6" s="202" t="s">
        <v>1</v>
      </c>
      <c r="C6" s="203"/>
      <c r="D6" s="15">
        <f t="shared" ref="D6:D32" si="0">D37</f>
        <v>326288</v>
      </c>
      <c r="E6" s="18">
        <f t="shared" ref="E6:E32" si="1">E37+E68+IFERROR($E$105/$D$105*D6,0)</f>
        <v>3126590.8895683698</v>
      </c>
      <c r="F6" s="22">
        <f t="shared" ref="F6:F33" si="2">IFERROR(E6/D6,"")</f>
        <v>9.5823042513618937</v>
      </c>
    </row>
    <row r="7" spans="1:6" ht="14.25" customHeight="1" x14ac:dyDescent="0.2">
      <c r="A7" s="20">
        <v>3</v>
      </c>
      <c r="B7" s="202" t="s">
        <v>2</v>
      </c>
      <c r="C7" s="203"/>
      <c r="D7" s="15">
        <f t="shared" si="0"/>
        <v>108304</v>
      </c>
      <c r="E7" s="18">
        <f t="shared" si="1"/>
        <v>1153988.6390177167</v>
      </c>
      <c r="F7" s="22">
        <f t="shared" si="2"/>
        <v>10.655087891654203</v>
      </c>
    </row>
    <row r="8" spans="1:6" ht="14.25" customHeight="1" x14ac:dyDescent="0.2">
      <c r="A8" s="20">
        <v>4</v>
      </c>
      <c r="B8" s="202" t="s">
        <v>3</v>
      </c>
      <c r="C8" s="203"/>
      <c r="D8" s="15">
        <f t="shared" si="0"/>
        <v>147280</v>
      </c>
      <c r="E8" s="18">
        <f t="shared" si="1"/>
        <v>1096666.4418906902</v>
      </c>
      <c r="F8" s="22">
        <f t="shared" si="2"/>
        <v>7.4461328210937685</v>
      </c>
    </row>
    <row r="9" spans="1:6" x14ac:dyDescent="0.2">
      <c r="A9" s="20">
        <v>5</v>
      </c>
      <c r="B9" s="202" t="s">
        <v>4</v>
      </c>
      <c r="C9" s="203"/>
      <c r="D9" s="15">
        <f t="shared" si="0"/>
        <v>90336</v>
      </c>
      <c r="E9" s="18">
        <f t="shared" si="1"/>
        <v>2521839.3583829263</v>
      </c>
      <c r="F9" s="22">
        <f t="shared" si="2"/>
        <v>27.916216772747589</v>
      </c>
    </row>
    <row r="10" spans="1:6" x14ac:dyDescent="0.2">
      <c r="A10" s="20">
        <v>6</v>
      </c>
      <c r="B10" s="202" t="s">
        <v>5</v>
      </c>
      <c r="C10" s="203"/>
      <c r="D10" s="15">
        <f t="shared" si="0"/>
        <v>123248</v>
      </c>
      <c r="E10" s="18">
        <f t="shared" si="1"/>
        <v>980457.80563650047</v>
      </c>
      <c r="F10" s="22">
        <f t="shared" si="2"/>
        <v>7.9551619956226505</v>
      </c>
    </row>
    <row r="11" spans="1:6" x14ac:dyDescent="0.2">
      <c r="A11" s="20">
        <v>7</v>
      </c>
      <c r="B11" s="202" t="s">
        <v>6</v>
      </c>
      <c r="C11" s="203"/>
      <c r="D11" s="15">
        <f t="shared" si="0"/>
        <v>375376</v>
      </c>
      <c r="E11" s="18">
        <f t="shared" si="1"/>
        <v>3243868.3276694715</v>
      </c>
      <c r="F11" s="22">
        <f t="shared" si="2"/>
        <v>8.6416508452044649</v>
      </c>
    </row>
    <row r="12" spans="1:6" x14ac:dyDescent="0.2">
      <c r="A12" s="20">
        <v>8</v>
      </c>
      <c r="B12" s="202" t="s">
        <v>7</v>
      </c>
      <c r="C12" s="203"/>
      <c r="D12" s="15">
        <f t="shared" si="0"/>
        <v>195118</v>
      </c>
      <c r="E12" s="18">
        <f t="shared" si="1"/>
        <v>1656816.1622272385</v>
      </c>
      <c r="F12" s="22">
        <f t="shared" si="2"/>
        <v>8.4913547813489192</v>
      </c>
    </row>
    <row r="13" spans="1:6" x14ac:dyDescent="0.2">
      <c r="A13" s="20">
        <v>9</v>
      </c>
      <c r="B13" s="202" t="s">
        <v>8</v>
      </c>
      <c r="C13" s="203"/>
      <c r="D13" s="15">
        <f t="shared" si="0"/>
        <v>64536</v>
      </c>
      <c r="E13" s="18">
        <f t="shared" si="1"/>
        <v>1059006.6237225528</v>
      </c>
      <c r="F13" s="22">
        <f t="shared" si="2"/>
        <v>16.40954852675333</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696236</v>
      </c>
      <c r="E15" s="18">
        <f t="shared" si="1"/>
        <v>8581035.4332170468</v>
      </c>
      <c r="F15" s="22">
        <f t="shared" si="2"/>
        <v>12.324894767316035</v>
      </c>
    </row>
    <row r="16" spans="1:6" ht="14.25" customHeight="1" x14ac:dyDescent="0.2">
      <c r="A16" s="20">
        <v>12</v>
      </c>
      <c r="B16" s="202" t="s">
        <v>11</v>
      </c>
      <c r="C16" s="203"/>
      <c r="D16" s="15">
        <f t="shared" si="0"/>
        <v>125280</v>
      </c>
      <c r="E16" s="18">
        <f t="shared" si="1"/>
        <v>1005033.0092345579</v>
      </c>
      <c r="F16" s="22">
        <f t="shared" si="2"/>
        <v>8.0222941350140307</v>
      </c>
    </row>
    <row r="17" spans="1:6" x14ac:dyDescent="0.2">
      <c r="A17" s="20">
        <v>13</v>
      </c>
      <c r="B17" s="202" t="s">
        <v>12</v>
      </c>
      <c r="C17" s="203"/>
      <c r="D17" s="15">
        <f t="shared" si="0"/>
        <v>9840</v>
      </c>
      <c r="E17" s="18">
        <f t="shared" si="1"/>
        <v>121009.46624256106</v>
      </c>
      <c r="F17" s="22">
        <f t="shared" si="2"/>
        <v>12.297709984000107</v>
      </c>
    </row>
    <row r="18" spans="1:6" ht="14.25" customHeight="1" x14ac:dyDescent="0.2">
      <c r="A18" s="20">
        <v>14</v>
      </c>
      <c r="B18" s="202" t="s">
        <v>449</v>
      </c>
      <c r="C18" s="203"/>
      <c r="D18" s="15">
        <f t="shared" si="0"/>
        <v>144416</v>
      </c>
      <c r="E18" s="18">
        <f t="shared" si="1"/>
        <v>1256699.6037485464</v>
      </c>
      <c r="F18" s="22">
        <f t="shared" si="2"/>
        <v>8.7019416390742474</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49408</v>
      </c>
      <c r="E20" s="18">
        <f t="shared" si="1"/>
        <v>407132.9898488269</v>
      </c>
      <c r="F20" s="22">
        <f t="shared" si="2"/>
        <v>8.2402240497252848</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0</v>
      </c>
      <c r="E22" s="18">
        <f t="shared" si="1"/>
        <v>0</v>
      </c>
      <c r="F22" s="22" t="str">
        <f t="shared" si="2"/>
        <v/>
      </c>
    </row>
    <row r="23" spans="1:6" x14ac:dyDescent="0.2">
      <c r="A23" s="20">
        <v>19</v>
      </c>
      <c r="B23" s="202" t="s">
        <v>17</v>
      </c>
      <c r="C23" s="203"/>
      <c r="D23" s="15">
        <f t="shared" si="0"/>
        <v>69120</v>
      </c>
      <c r="E23" s="18">
        <f t="shared" si="1"/>
        <v>667431.17750872159</v>
      </c>
      <c r="F23" s="22">
        <f t="shared" si="2"/>
        <v>9.6561223597905315</v>
      </c>
    </row>
    <row r="24" spans="1:6" x14ac:dyDescent="0.2">
      <c r="A24" s="20">
        <v>20</v>
      </c>
      <c r="B24" s="202" t="s">
        <v>18</v>
      </c>
      <c r="C24" s="203"/>
      <c r="D24" s="15">
        <f t="shared" si="0"/>
        <v>320095</v>
      </c>
      <c r="E24" s="18">
        <f t="shared" si="1"/>
        <v>3419905.6302756686</v>
      </c>
      <c r="F24" s="22">
        <f t="shared" si="2"/>
        <v>10.684033272233769</v>
      </c>
    </row>
    <row r="25" spans="1:6" ht="14.25" customHeight="1" x14ac:dyDescent="0.2">
      <c r="A25" s="20">
        <v>21</v>
      </c>
      <c r="B25" s="202" t="s">
        <v>446</v>
      </c>
      <c r="C25" s="203"/>
      <c r="D25" s="15">
        <f t="shared" si="0"/>
        <v>305648</v>
      </c>
      <c r="E25" s="18">
        <f t="shared" si="1"/>
        <v>3120060.3018400716</v>
      </c>
      <c r="F25" s="22">
        <f t="shared" si="2"/>
        <v>10.208018052923858</v>
      </c>
    </row>
    <row r="26" spans="1:6" x14ac:dyDescent="0.2">
      <c r="A26" s="20">
        <v>22</v>
      </c>
      <c r="B26" s="202" t="s">
        <v>19</v>
      </c>
      <c r="C26" s="203"/>
      <c r="D26" s="15">
        <f t="shared" si="0"/>
        <v>251280</v>
      </c>
      <c r="E26" s="18">
        <f t="shared" si="1"/>
        <v>1922208.7599014982</v>
      </c>
      <c r="F26" s="22">
        <f t="shared" si="2"/>
        <v>7.6496687356793149</v>
      </c>
    </row>
    <row r="27" spans="1:6" x14ac:dyDescent="0.2">
      <c r="A27" s="20">
        <v>23</v>
      </c>
      <c r="B27" s="202" t="s">
        <v>20</v>
      </c>
      <c r="C27" s="203"/>
      <c r="D27" s="15">
        <f t="shared" si="0"/>
        <v>0</v>
      </c>
      <c r="E27" s="18">
        <f t="shared" si="1"/>
        <v>0</v>
      </c>
      <c r="F27" s="22" t="str">
        <f t="shared" si="2"/>
        <v/>
      </c>
    </row>
    <row r="28" spans="1:6" x14ac:dyDescent="0.2">
      <c r="A28" s="20">
        <v>24</v>
      </c>
      <c r="B28" s="202" t="s">
        <v>21</v>
      </c>
      <c r="C28" s="203"/>
      <c r="D28" s="15">
        <f t="shared" si="0"/>
        <v>13152</v>
      </c>
      <c r="E28" s="18">
        <f t="shared" si="1"/>
        <v>177966.87683152064</v>
      </c>
      <c r="F28" s="22">
        <f t="shared" si="2"/>
        <v>13.53154477125309</v>
      </c>
    </row>
    <row r="29" spans="1:6" x14ac:dyDescent="0.2">
      <c r="A29" s="20">
        <v>25</v>
      </c>
      <c r="B29" s="202" t="s">
        <v>22</v>
      </c>
      <c r="C29" s="203"/>
      <c r="D29" s="15">
        <f t="shared" si="0"/>
        <v>83184</v>
      </c>
      <c r="E29" s="18">
        <f t="shared" si="1"/>
        <v>942997.32682126004</v>
      </c>
      <c r="F29" s="22">
        <f t="shared" si="2"/>
        <v>11.336282540167099</v>
      </c>
    </row>
    <row r="30" spans="1:6" x14ac:dyDescent="0.2">
      <c r="A30" s="20">
        <v>26</v>
      </c>
      <c r="B30" s="202" t="s">
        <v>23</v>
      </c>
      <c r="C30" s="203"/>
      <c r="D30" s="15">
        <f t="shared" si="0"/>
        <v>105360</v>
      </c>
      <c r="E30" s="18">
        <f t="shared" si="1"/>
        <v>1360349.1629386416</v>
      </c>
      <c r="F30" s="22">
        <f t="shared" si="2"/>
        <v>12.911438524474578</v>
      </c>
    </row>
    <row r="31" spans="1:6" x14ac:dyDescent="0.2">
      <c r="A31" s="20">
        <v>28</v>
      </c>
      <c r="B31" s="202" t="s">
        <v>24</v>
      </c>
      <c r="C31" s="203"/>
      <c r="D31" s="15">
        <f t="shared" si="0"/>
        <v>144704</v>
      </c>
      <c r="E31" s="18">
        <f t="shared" si="1"/>
        <v>1390731.9003214994</v>
      </c>
      <c r="F31" s="22">
        <f t="shared" si="2"/>
        <v>9.6108739241589696</v>
      </c>
    </row>
    <row r="32" spans="1:6" ht="15.75" customHeight="1" thickBot="1" x14ac:dyDescent="0.25">
      <c r="A32" s="23">
        <v>29</v>
      </c>
      <c r="B32" s="206" t="s">
        <v>25</v>
      </c>
      <c r="C32" s="207"/>
      <c r="D32" s="24">
        <f t="shared" si="0"/>
        <v>228688</v>
      </c>
      <c r="E32" s="25">
        <f t="shared" si="1"/>
        <v>1836941.6065120734</v>
      </c>
      <c r="F32" s="26">
        <f t="shared" si="2"/>
        <v>8.0325229417900079</v>
      </c>
    </row>
    <row r="33" spans="1:6" x14ac:dyDescent="0.2">
      <c r="B33" s="31" t="s">
        <v>35</v>
      </c>
      <c r="C33" s="31"/>
      <c r="D33" s="60">
        <f>SUM(D5:D32)</f>
        <v>4020225</v>
      </c>
      <c r="E33" s="32">
        <f>SUM(E5:E32)</f>
        <v>41635811.000000015</v>
      </c>
      <c r="F33" s="33">
        <f t="shared" si="2"/>
        <v>10.35658725568843</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IF(F3="1",SUMIF(Data!A:A,'54'!$A$2,Data!CU:CU),0)</f>
        <v>43328</v>
      </c>
      <c r="E36" s="16">
        <f>IF(F3="1",SUMIF(Data!$A:$A,'54'!$A$2,Data!IO:IO),0)</f>
        <v>154095</v>
      </c>
      <c r="F36" s="21">
        <f t="shared" ref="F36:F64" si="3">IFERROR(E36/D36,"")</f>
        <v>3.5564761816838995</v>
      </c>
    </row>
    <row r="37" spans="1:6" x14ac:dyDescent="0.2">
      <c r="A37" s="20">
        <v>2</v>
      </c>
      <c r="B37" s="202" t="s">
        <v>1</v>
      </c>
      <c r="C37" s="203"/>
      <c r="D37" s="15">
        <f>IF(F3="1",SUMIF(Data!A:A,'54'!$A$2,Data!CV:CV),0)</f>
        <v>326288</v>
      </c>
      <c r="E37" s="18">
        <f>IF(F3="1",SUMIF(Data!$A:$A,'54'!$A$2,Data!IP:IP),0)</f>
        <v>634048</v>
      </c>
      <c r="F37" s="22">
        <f t="shared" si="3"/>
        <v>1.9432158093463443</v>
      </c>
    </row>
    <row r="38" spans="1:6" ht="14.25" customHeight="1" x14ac:dyDescent="0.2">
      <c r="A38" s="20">
        <v>3</v>
      </c>
      <c r="B38" s="202" t="s">
        <v>2</v>
      </c>
      <c r="C38" s="203"/>
      <c r="D38" s="15">
        <f>IF(F3="1",SUMIF(Data!A:A,'54'!$A$2,Data!CW:CW),0)</f>
        <v>108304</v>
      </c>
      <c r="E38" s="18">
        <f>IF(F3="1",SUMIF(Data!$A:$A,'54'!$A$2,Data!IQ:IQ),0)</f>
        <v>163099</v>
      </c>
      <c r="F38" s="22">
        <f t="shared" si="3"/>
        <v>1.5059369921701877</v>
      </c>
    </row>
    <row r="39" spans="1:6" ht="14.25" customHeight="1" x14ac:dyDescent="0.2">
      <c r="A39" s="20">
        <v>4</v>
      </c>
      <c r="B39" s="202" t="s">
        <v>3</v>
      </c>
      <c r="C39" s="203"/>
      <c r="D39" s="15">
        <f>IF(F3="1",SUMIF(Data!A:A,'54'!$A$2,Data!CX:CX),0)</f>
        <v>147280</v>
      </c>
      <c r="E39" s="18">
        <f>IF(F3="1",SUMIF(Data!$A:$A,'54'!$A$2,Data!IR:IR),0)</f>
        <v>159840</v>
      </c>
      <c r="F39" s="22">
        <f t="shared" si="3"/>
        <v>1.0852797392721347</v>
      </c>
    </row>
    <row r="40" spans="1:6" x14ac:dyDescent="0.2">
      <c r="A40" s="20">
        <v>5</v>
      </c>
      <c r="B40" s="202" t="s">
        <v>4</v>
      </c>
      <c r="C40" s="203"/>
      <c r="D40" s="15">
        <f>IF(F3="1",SUMIF(Data!A:A,'54'!$A$2,Data!CY:CY),0)</f>
        <v>90336</v>
      </c>
      <c r="E40" s="18">
        <f>IF(F3="1",SUMIF(Data!$A:$A,'54'!$A$2,Data!IS:IS),0)</f>
        <v>1220137</v>
      </c>
      <c r="F40" s="22">
        <f t="shared" si="3"/>
        <v>13.506652940134609</v>
      </c>
    </row>
    <row r="41" spans="1:6" x14ac:dyDescent="0.2">
      <c r="A41" s="20">
        <v>6</v>
      </c>
      <c r="B41" s="202" t="s">
        <v>5</v>
      </c>
      <c r="C41" s="203"/>
      <c r="D41" s="15">
        <f>IF(F3="1",SUMIF(Data!A:A,'54'!$A$2,Data!CZ:CZ),0)</f>
        <v>123248</v>
      </c>
      <c r="E41" s="18">
        <f>IF(F3="1",SUMIF(Data!$A:$A,'54'!$A$2,Data!IT:IT),0)</f>
        <v>171186</v>
      </c>
      <c r="F41" s="22">
        <f t="shared" si="3"/>
        <v>1.388955601713618</v>
      </c>
    </row>
    <row r="42" spans="1:6" x14ac:dyDescent="0.2">
      <c r="A42" s="20">
        <v>7</v>
      </c>
      <c r="B42" s="202" t="s">
        <v>6</v>
      </c>
      <c r="C42" s="203"/>
      <c r="D42" s="15">
        <f>IF(F3="1",SUMIF(Data!A:A,'54'!$A$2,Data!DA:DA),0)</f>
        <v>375376</v>
      </c>
      <c r="E42" s="18">
        <f>IF(F3="1",SUMIF(Data!$A:$A,'54'!$A$2,Data!IU:IU),0)</f>
        <v>608515</v>
      </c>
      <c r="F42" s="22">
        <f t="shared" si="3"/>
        <v>1.6210812625207791</v>
      </c>
    </row>
    <row r="43" spans="1:6" x14ac:dyDescent="0.2">
      <c r="A43" s="20">
        <v>8</v>
      </c>
      <c r="B43" s="202" t="s">
        <v>7</v>
      </c>
      <c r="C43" s="203"/>
      <c r="D43" s="15">
        <f>IF(F3="1",SUMIF(Data!A:A,'54'!$A$2,Data!DB:DB),0)</f>
        <v>195118</v>
      </c>
      <c r="E43" s="18">
        <f>IF(F3="1",SUMIF(Data!$A:$A,'54'!$A$2,Data!IV:IV),0)</f>
        <v>303867</v>
      </c>
      <c r="F43" s="22">
        <f t="shared" si="3"/>
        <v>1.5573499113357046</v>
      </c>
    </row>
    <row r="44" spans="1:6" x14ac:dyDescent="0.2">
      <c r="A44" s="20">
        <v>9</v>
      </c>
      <c r="B44" s="202" t="s">
        <v>8</v>
      </c>
      <c r="C44" s="203"/>
      <c r="D44" s="15">
        <f>IF(F3="1",SUMIF(Data!A:A,'54'!$A$2,Data!DC:DC),0)</f>
        <v>64536</v>
      </c>
      <c r="E44" s="18">
        <f>IF(F3="1",SUMIF(Data!$A:$A,'54'!$A$2,Data!IW:IW),0)</f>
        <v>396241</v>
      </c>
      <c r="F44" s="22">
        <f t="shared" si="3"/>
        <v>6.1398444279162021</v>
      </c>
    </row>
    <row r="45" spans="1:6" x14ac:dyDescent="0.2">
      <c r="A45" s="20">
        <v>10</v>
      </c>
      <c r="B45" s="202" t="s">
        <v>9</v>
      </c>
      <c r="C45" s="203"/>
      <c r="D45" s="15">
        <f>IF(F3="1",SUMIF(Data!A:A,'54'!$A$2,Data!DD:DD),0)</f>
        <v>0</v>
      </c>
      <c r="E45" s="18">
        <f>IF(F3="1",SUMIF(Data!$A:$A,'54'!$A$2,Data!IX:IX),0)</f>
        <v>0</v>
      </c>
      <c r="F45" s="22" t="str">
        <f t="shared" si="3"/>
        <v/>
      </c>
    </row>
    <row r="46" spans="1:6" x14ac:dyDescent="0.2">
      <c r="A46" s="20">
        <v>11</v>
      </c>
      <c r="B46" s="202" t="s">
        <v>10</v>
      </c>
      <c r="C46" s="203"/>
      <c r="D46" s="15">
        <f>IF(F3="1",SUMIF(Data!A:A,'54'!$A$2,Data!DE:DE),0)</f>
        <v>696236</v>
      </c>
      <c r="E46" s="18">
        <f>IF(F3="1",SUMIF(Data!$A:$A,'54'!$A$2,Data!IY:IY),0)</f>
        <v>1854310</v>
      </c>
      <c r="F46" s="22">
        <f t="shared" si="3"/>
        <v>2.6633354207481372</v>
      </c>
    </row>
    <row r="47" spans="1:6" ht="14.25" customHeight="1" x14ac:dyDescent="0.2">
      <c r="A47" s="20">
        <v>12</v>
      </c>
      <c r="B47" s="202" t="s">
        <v>11</v>
      </c>
      <c r="C47" s="203"/>
      <c r="D47" s="15">
        <f>IF(F3="1",SUMIF(Data!A:A,'54'!$A$2,Data!DF:DF),0)</f>
        <v>125280</v>
      </c>
      <c r="E47" s="18">
        <f>IF(F3="1",SUMIF(Data!$A:$A,'54'!$A$2,Data!IZ:IZ),0)</f>
        <v>157801</v>
      </c>
      <c r="F47" s="22">
        <f t="shared" si="3"/>
        <v>1.2595865261813537</v>
      </c>
    </row>
    <row r="48" spans="1:6" x14ac:dyDescent="0.2">
      <c r="A48" s="20">
        <v>13</v>
      </c>
      <c r="B48" s="202" t="s">
        <v>12</v>
      </c>
      <c r="C48" s="203"/>
      <c r="D48" s="15">
        <f>IF(F3="1",SUMIF(Data!A:A,'54'!$A$2,Data!DG:DG),0)</f>
        <v>9840</v>
      </c>
      <c r="E48" s="18">
        <f>IF(F3="1",SUMIF(Data!$A:$A,'54'!$A$2,Data!JA:JA),0)</f>
        <v>55218</v>
      </c>
      <c r="F48" s="22">
        <f t="shared" si="3"/>
        <v>5.6115853658536583</v>
      </c>
    </row>
    <row r="49" spans="1:6" ht="14.25" customHeight="1" x14ac:dyDescent="0.2">
      <c r="A49" s="20">
        <v>14</v>
      </c>
      <c r="B49" s="202" t="s">
        <v>449</v>
      </c>
      <c r="C49" s="203"/>
      <c r="D49" s="15">
        <f>IF(F3="1",SUMIF(Data!A:A,'54'!$A$2,Data!DH:DH),0)</f>
        <v>144416</v>
      </c>
      <c r="E49" s="18">
        <f>IF(F3="1",SUMIF(Data!$A:$A,'54'!$A$2,Data!JB:JB),0)</f>
        <v>299101</v>
      </c>
      <c r="F49" s="22">
        <f t="shared" si="3"/>
        <v>2.0711070795479727</v>
      </c>
    </row>
    <row r="50" spans="1:6" x14ac:dyDescent="0.2">
      <c r="A50" s="20">
        <v>15</v>
      </c>
      <c r="B50" s="202" t="s">
        <v>13</v>
      </c>
      <c r="C50" s="203"/>
      <c r="D50" s="15">
        <f>IF(F3="1",SUMIF(Data!A:A,'54'!$A$2,Data!DI:DI),0)</f>
        <v>0</v>
      </c>
      <c r="E50" s="18">
        <f>IF(F3="1",SUMIF(Data!$A:$A,'54'!$A$2,Data!JC:JC),0)</f>
        <v>0</v>
      </c>
      <c r="F50" s="22" t="str">
        <f t="shared" si="3"/>
        <v/>
      </c>
    </row>
    <row r="51" spans="1:6" x14ac:dyDescent="0.2">
      <c r="A51" s="20">
        <v>16</v>
      </c>
      <c r="B51" s="202" t="s">
        <v>14</v>
      </c>
      <c r="C51" s="203"/>
      <c r="D51" s="15">
        <f>IF(F3="1",SUMIF(Data!A:A,'54'!$A$2,Data!DJ:DJ),0)</f>
        <v>49408</v>
      </c>
      <c r="E51" s="18">
        <f>IF(F3="1",SUMIF(Data!$A:$A,'54'!$A$2,Data!JD:JD),0)</f>
        <v>81681</v>
      </c>
      <c r="F51" s="22">
        <f t="shared" si="3"/>
        <v>1.6531938147668395</v>
      </c>
    </row>
    <row r="52" spans="1:6" x14ac:dyDescent="0.2">
      <c r="A52" s="20">
        <v>17</v>
      </c>
      <c r="B52" s="202" t="s">
        <v>15</v>
      </c>
      <c r="C52" s="203"/>
      <c r="D52" s="15">
        <f>IF(F3="1",SUMIF(Data!A:A,'54'!$A$2,Data!DK:DK),0)</f>
        <v>0</v>
      </c>
      <c r="E52" s="18">
        <f>IF(F3="1",SUMIF(Data!$A:$A,'54'!$A$2,Data!JE:JE),0)</f>
        <v>0</v>
      </c>
      <c r="F52" s="22" t="str">
        <f t="shared" si="3"/>
        <v/>
      </c>
    </row>
    <row r="53" spans="1:6" x14ac:dyDescent="0.2">
      <c r="A53" s="20">
        <v>18</v>
      </c>
      <c r="B53" s="202" t="s">
        <v>16</v>
      </c>
      <c r="C53" s="203"/>
      <c r="D53" s="15">
        <f>IF(F3="1",SUMIF(Data!A:A,'54'!$A$2,Data!DL:DL),0)</f>
        <v>0</v>
      </c>
      <c r="E53" s="18">
        <f>IF(F3="1",SUMIF(Data!$A:$A,'54'!$A$2,Data!JF:JF),0)</f>
        <v>0</v>
      </c>
      <c r="F53" s="22" t="str">
        <f t="shared" si="3"/>
        <v/>
      </c>
    </row>
    <row r="54" spans="1:6" x14ac:dyDescent="0.2">
      <c r="A54" s="20">
        <v>19</v>
      </c>
      <c r="B54" s="202" t="s">
        <v>17</v>
      </c>
      <c r="C54" s="203"/>
      <c r="D54" s="15">
        <f>IF(F3="1",SUMIF(Data!A:A,'54'!$A$2,Data!DM:DM),0)</f>
        <v>69120</v>
      </c>
      <c r="E54" s="18">
        <f>IF(F3="1",SUMIF(Data!$A:$A,'54'!$A$2,Data!JG:JG),0)</f>
        <v>98612</v>
      </c>
      <c r="F54" s="22">
        <f t="shared" si="3"/>
        <v>1.4266782407407408</v>
      </c>
    </row>
    <row r="55" spans="1:6" x14ac:dyDescent="0.2">
      <c r="A55" s="20">
        <v>20</v>
      </c>
      <c r="B55" s="202" t="s">
        <v>18</v>
      </c>
      <c r="C55" s="203"/>
      <c r="D55" s="15">
        <f>IF(F3="1",SUMIF(Data!A:A,'54'!$A$2,Data!DN:DN),0)</f>
        <v>320095</v>
      </c>
      <c r="E55" s="18">
        <f>IF(F3="1",SUMIF(Data!$A:$A,'54'!$A$2,Data!JH:JH),0)</f>
        <v>620381</v>
      </c>
      <c r="F55" s="22">
        <f t="shared" si="3"/>
        <v>1.9381152470360361</v>
      </c>
    </row>
    <row r="56" spans="1:6" ht="14.25" customHeight="1" x14ac:dyDescent="0.2">
      <c r="A56" s="20">
        <v>21</v>
      </c>
      <c r="B56" s="202" t="s">
        <v>446</v>
      </c>
      <c r="C56" s="203"/>
      <c r="D56" s="15">
        <f>IF(F3="1",SUMIF(Data!A:A,'54'!$A$2,Data!DO:DO),0)</f>
        <v>305648</v>
      </c>
      <c r="E56" s="18">
        <f>IF(F3="1",SUMIF(Data!$A:$A,'54'!$A$2,Data!JI:JI),0)</f>
        <v>821217</v>
      </c>
      <c r="F56" s="22">
        <f t="shared" si="3"/>
        <v>2.6868063916662304</v>
      </c>
    </row>
    <row r="57" spans="1:6" x14ac:dyDescent="0.2">
      <c r="A57" s="20">
        <v>22</v>
      </c>
      <c r="B57" s="202" t="s">
        <v>19</v>
      </c>
      <c r="C57" s="203"/>
      <c r="D57" s="15">
        <f>IF(F3="1",SUMIF(Data!A:A,'54'!$A$2,Data!DP:DP),0)</f>
        <v>251280</v>
      </c>
      <c r="E57" s="18">
        <f>IF(F3="1",SUMIF(Data!$A:$A,'54'!$A$2,Data!JJ:JJ),0)</f>
        <v>449435</v>
      </c>
      <c r="F57" s="22">
        <f t="shared" si="3"/>
        <v>1.7885824578159821</v>
      </c>
    </row>
    <row r="58" spans="1:6" x14ac:dyDescent="0.2">
      <c r="A58" s="20">
        <v>23</v>
      </c>
      <c r="B58" s="202" t="s">
        <v>20</v>
      </c>
      <c r="C58" s="203"/>
      <c r="D58" s="15">
        <f>IF(F3="1",SUMIF(Data!A:A,'54'!$A$2,Data!DQ:DQ),0)</f>
        <v>0</v>
      </c>
      <c r="E58" s="18">
        <f>IF(F3="1",SUMIF(Data!$A:$A,'54'!$A$2,Data!JK:JK),0)</f>
        <v>0</v>
      </c>
      <c r="F58" s="22" t="str">
        <f t="shared" si="3"/>
        <v/>
      </c>
    </row>
    <row r="59" spans="1:6" x14ac:dyDescent="0.2">
      <c r="A59" s="20">
        <v>24</v>
      </c>
      <c r="B59" s="202" t="s">
        <v>21</v>
      </c>
      <c r="C59" s="203"/>
      <c r="D59" s="15">
        <f>IF(F3="1",SUMIF(Data!A:A,'54'!$A$2,Data!DR:DR),0)</f>
        <v>13152</v>
      </c>
      <c r="E59" s="18">
        <f>IF(F3="1",SUMIF(Data!$A:$A,'54'!$A$2,Data!JL:JL),0)</f>
        <v>113177</v>
      </c>
      <c r="F59" s="22">
        <f t="shared" si="3"/>
        <v>8.6053071776155718</v>
      </c>
    </row>
    <row r="60" spans="1:6" x14ac:dyDescent="0.2">
      <c r="A60" s="20">
        <v>25</v>
      </c>
      <c r="B60" s="202" t="s">
        <v>22</v>
      </c>
      <c r="C60" s="203"/>
      <c r="D60" s="15">
        <f>IF(F3="1",SUMIF(Data!A:A,'54'!$A$2,Data!DS:DS),0)</f>
        <v>83184</v>
      </c>
      <c r="E60" s="18">
        <f>IF(F3="1",SUMIF(Data!$A:$A,'54'!$A$2,Data!JM:JM),0)</f>
        <v>172589</v>
      </c>
      <c r="F60" s="22">
        <f t="shared" si="3"/>
        <v>2.0747860165416427</v>
      </c>
    </row>
    <row r="61" spans="1:6" x14ac:dyDescent="0.2">
      <c r="A61" s="20">
        <v>26</v>
      </c>
      <c r="B61" s="202" t="s">
        <v>23</v>
      </c>
      <c r="C61" s="203"/>
      <c r="D61" s="15">
        <f>IF(F3="1",SUMIF(Data!A:A,'54'!$A$2,Data!DT:DT),0)</f>
        <v>105360</v>
      </c>
      <c r="E61" s="18">
        <f>IF(F3="1",SUMIF(Data!$A:$A,'54'!$A$2,Data!JN:JN),0)</f>
        <v>202703</v>
      </c>
      <c r="F61" s="22">
        <f t="shared" si="3"/>
        <v>1.9239085041761579</v>
      </c>
    </row>
    <row r="62" spans="1:6" x14ac:dyDescent="0.2">
      <c r="A62" s="20">
        <v>28</v>
      </c>
      <c r="B62" s="202" t="s">
        <v>24</v>
      </c>
      <c r="C62" s="203"/>
      <c r="D62" s="15">
        <f>IF(F3="1",SUMIF(Data!A:A,'54'!$A$2,Data!DV:DV),0)</f>
        <v>144704</v>
      </c>
      <c r="E62" s="18">
        <f>IF(F3="1",SUMIF(Data!$A:$A,'54'!$A$2,Data!JP:JP),0)</f>
        <v>192710</v>
      </c>
      <c r="F62" s="22">
        <f t="shared" si="3"/>
        <v>1.3317530959752322</v>
      </c>
    </row>
    <row r="63" spans="1:6" ht="15.75" customHeight="1" thickBot="1" x14ac:dyDescent="0.25">
      <c r="A63" s="23">
        <v>29</v>
      </c>
      <c r="B63" s="206" t="s">
        <v>25</v>
      </c>
      <c r="C63" s="207"/>
      <c r="D63" s="24">
        <f>IF(F3="1",SUMIF(Data!A:A,'54'!$A$2,Data!DW:DW),0)</f>
        <v>228688</v>
      </c>
      <c r="E63" s="25">
        <f>IF(F3="1",SUMIF(Data!$A:$A,'54'!$A$2,Data!JQ:JQ),0)</f>
        <v>250927</v>
      </c>
      <c r="F63" s="26">
        <f t="shared" si="3"/>
        <v>1.0972460295249422</v>
      </c>
    </row>
    <row r="64" spans="1:6" x14ac:dyDescent="0.2">
      <c r="B64" s="31" t="s">
        <v>35</v>
      </c>
      <c r="C64" s="31"/>
      <c r="D64" s="60">
        <f>SUM(D36:D63)</f>
        <v>4020225</v>
      </c>
      <c r="E64" s="32">
        <f>SUM(E36:E63)</f>
        <v>9180890</v>
      </c>
      <c r="F64" s="33">
        <f t="shared" si="3"/>
        <v>2.2836756649192522</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43328</v>
      </c>
      <c r="E67" s="16">
        <f>IF(F3="1",SUMIF(Data!A:A,'54'!$A$2,Data!DY:DY),0)</f>
        <v>221409</v>
      </c>
      <c r="F67" s="21">
        <f>IFERROR(E67/D67,"")</f>
        <v>5.1100673929098965</v>
      </c>
    </row>
    <row r="68" spans="1:6" x14ac:dyDescent="0.2">
      <c r="A68" s="20">
        <v>2</v>
      </c>
      <c r="B68" s="202" t="s">
        <v>1</v>
      </c>
      <c r="C68" s="203"/>
      <c r="D68" s="15">
        <f t="shared" ref="D68:D94" si="4">D37</f>
        <v>326288</v>
      </c>
      <c r="E68" s="18">
        <f>IF(F3="1",SUMIF(Data!A:A,'54'!$A$2,Data!DZ:DZ),0)</f>
        <v>899287</v>
      </c>
      <c r="F68" s="22">
        <f t="shared" ref="F68:F95" si="5">IFERROR(E68/D68,"")</f>
        <v>2.7561142303731674</v>
      </c>
    </row>
    <row r="69" spans="1:6" ht="14.25" customHeight="1" x14ac:dyDescent="0.2">
      <c r="A69" s="20">
        <v>3</v>
      </c>
      <c r="B69" s="202" t="s">
        <v>2</v>
      </c>
      <c r="C69" s="203"/>
      <c r="D69" s="15">
        <f t="shared" si="4"/>
        <v>108304</v>
      </c>
      <c r="E69" s="18">
        <f>IF(F3="1",SUMIF(Data!A:A,'54'!$A$2,Data!EA:EA),0)</f>
        <v>462044</v>
      </c>
      <c r="F69" s="22">
        <f t="shared" si="5"/>
        <v>4.2661766878416314</v>
      </c>
    </row>
    <row r="70" spans="1:6" ht="14.25" customHeight="1" x14ac:dyDescent="0.2">
      <c r="A70" s="20">
        <v>4</v>
      </c>
      <c r="B70" s="202" t="s">
        <v>3</v>
      </c>
      <c r="C70" s="203"/>
      <c r="D70" s="15">
        <f t="shared" si="4"/>
        <v>147280</v>
      </c>
      <c r="E70" s="18">
        <f>IF(F3="1",SUMIF(Data!A:A,'54'!$A$2,Data!EB:EB),0)</f>
        <v>217662</v>
      </c>
      <c r="F70" s="22">
        <f t="shared" si="5"/>
        <v>1.4778788701792505</v>
      </c>
    </row>
    <row r="71" spans="1:6" x14ac:dyDescent="0.2">
      <c r="A71" s="20">
        <v>5</v>
      </c>
      <c r="B71" s="202" t="s">
        <v>4</v>
      </c>
      <c r="C71" s="203"/>
      <c r="D71" s="15">
        <f t="shared" si="4"/>
        <v>90336</v>
      </c>
      <c r="E71" s="18">
        <f>IF(F3="1",SUMIF(Data!A:A,'54'!$A$2,Data!EC:EC),0)</f>
        <v>860594</v>
      </c>
      <c r="F71" s="22">
        <f t="shared" si="5"/>
        <v>9.5265896209705989</v>
      </c>
    </row>
    <row r="72" spans="1:6" x14ac:dyDescent="0.2">
      <c r="A72" s="20">
        <v>6</v>
      </c>
      <c r="B72" s="202" t="s">
        <v>5</v>
      </c>
      <c r="C72" s="203"/>
      <c r="D72" s="15">
        <f t="shared" si="4"/>
        <v>123248</v>
      </c>
      <c r="E72" s="18">
        <f>IF(F3="1",SUMIF(Data!A:A,'54'!$A$2,Data!ED:ED),0)</f>
        <v>207455</v>
      </c>
      <c r="F72" s="22">
        <f t="shared" si="5"/>
        <v>1.6832321822666494</v>
      </c>
    </row>
    <row r="73" spans="1:6" x14ac:dyDescent="0.2">
      <c r="A73" s="20">
        <v>7</v>
      </c>
      <c r="B73" s="202" t="s">
        <v>6</v>
      </c>
      <c r="C73" s="203"/>
      <c r="D73" s="15">
        <f t="shared" si="4"/>
        <v>375376</v>
      </c>
      <c r="E73" s="18">
        <f>IF(F3="1",SUMIF(Data!A:A,'54'!$A$2,Data!EE:EE),0)</f>
        <v>802402</v>
      </c>
      <c r="F73" s="22">
        <f t="shared" si="5"/>
        <v>2.1375953710413027</v>
      </c>
    </row>
    <row r="74" spans="1:6" x14ac:dyDescent="0.2">
      <c r="A74" s="20">
        <v>8</v>
      </c>
      <c r="B74" s="202" t="s">
        <v>7</v>
      </c>
      <c r="C74" s="203"/>
      <c r="D74" s="15">
        <f t="shared" si="4"/>
        <v>195118</v>
      </c>
      <c r="E74" s="18">
        <f>IF(F3="1",SUMIF(Data!A:A,'54'!$A$2,Data!EF:EF),0)</f>
        <v>400193</v>
      </c>
      <c r="F74" s="22">
        <f t="shared" si="5"/>
        <v>2.051030658370832</v>
      </c>
    </row>
    <row r="75" spans="1:6" x14ac:dyDescent="0.2">
      <c r="A75" s="20">
        <v>9</v>
      </c>
      <c r="B75" s="202" t="s">
        <v>8</v>
      </c>
      <c r="C75" s="203"/>
      <c r="D75" s="15">
        <f t="shared" si="4"/>
        <v>64536</v>
      </c>
      <c r="E75" s="18">
        <f>IF(F3="1",SUMIF(Data!A:A,'54'!$A$2,Data!EG:EG),0)</f>
        <v>347638</v>
      </c>
      <c r="F75" s="22">
        <f t="shared" si="5"/>
        <v>5.3867298871947442</v>
      </c>
    </row>
    <row r="76" spans="1:6" x14ac:dyDescent="0.2">
      <c r="A76" s="20">
        <v>10</v>
      </c>
      <c r="B76" s="202" t="s">
        <v>9</v>
      </c>
      <c r="C76" s="203"/>
      <c r="D76" s="15">
        <f t="shared" si="4"/>
        <v>0</v>
      </c>
      <c r="E76" s="18">
        <f>IF(F3="1",SUMIF(Data!A:A,'54'!$A$2,Data!EH:EH),0)</f>
        <v>0</v>
      </c>
      <c r="F76" s="22" t="str">
        <f t="shared" si="5"/>
        <v/>
      </c>
    </row>
    <row r="77" spans="1:6" x14ac:dyDescent="0.2">
      <c r="A77" s="20">
        <v>11</v>
      </c>
      <c r="B77" s="202" t="s">
        <v>10</v>
      </c>
      <c r="C77" s="203"/>
      <c r="D77" s="15">
        <f t="shared" si="4"/>
        <v>696236</v>
      </c>
      <c r="E77" s="18">
        <f>IF(F3="1",SUMIF(Data!A:A,'54'!$A$2,Data!EI:EI),0)</f>
        <v>3327023</v>
      </c>
      <c r="F77" s="22">
        <f t="shared" si="5"/>
        <v>4.778585134925514</v>
      </c>
    </row>
    <row r="78" spans="1:6" ht="14.25" customHeight="1" x14ac:dyDescent="0.2">
      <c r="A78" s="20">
        <v>12</v>
      </c>
      <c r="B78" s="202" t="s">
        <v>11</v>
      </c>
      <c r="C78" s="203"/>
      <c r="D78" s="15">
        <f t="shared" si="4"/>
        <v>125280</v>
      </c>
      <c r="E78" s="18">
        <f>IF(F3="1",SUMIF(Data!A:A,'54'!$A$2,Data!EJ:EJ),0)</f>
        <v>235493</v>
      </c>
      <c r="F78" s="22">
        <f t="shared" si="5"/>
        <v>1.8797333971902936</v>
      </c>
    </row>
    <row r="79" spans="1:6" x14ac:dyDescent="0.2">
      <c r="A79" s="20">
        <v>13</v>
      </c>
      <c r="B79" s="202" t="s">
        <v>12</v>
      </c>
      <c r="C79" s="203"/>
      <c r="D79" s="15">
        <f t="shared" si="4"/>
        <v>9840</v>
      </c>
      <c r="E79" s="18">
        <f>IF(F3="1",SUMIF(Data!A:A,'54'!$A$2,Data!EK:EK),0)</f>
        <v>17743</v>
      </c>
      <c r="F79" s="22">
        <f t="shared" si="5"/>
        <v>1.8031504065040651</v>
      </c>
    </row>
    <row r="80" spans="1:6" ht="14.25" customHeight="1" x14ac:dyDescent="0.2">
      <c r="A80" s="20">
        <v>14</v>
      </c>
      <c r="B80" s="202" t="s">
        <v>449</v>
      </c>
      <c r="C80" s="203"/>
      <c r="D80" s="15">
        <f t="shared" si="4"/>
        <v>144416</v>
      </c>
      <c r="E80" s="18">
        <f>IF(F3="1",SUMIF(Data!A:A,'54'!$A$2,Data!EL:EL),0)</f>
        <v>252419</v>
      </c>
      <c r="F80" s="22">
        <f t="shared" si="5"/>
        <v>1.747860347883891</v>
      </c>
    </row>
    <row r="81" spans="1:6" x14ac:dyDescent="0.2">
      <c r="A81" s="20">
        <v>15</v>
      </c>
      <c r="B81" s="202" t="s">
        <v>13</v>
      </c>
      <c r="C81" s="203"/>
      <c r="D81" s="15">
        <f t="shared" si="4"/>
        <v>0</v>
      </c>
      <c r="E81" s="18">
        <f>IF(F3="1",SUMIF(Data!A:A,'54'!$A$2,Data!EM:EM),0)</f>
        <v>0</v>
      </c>
      <c r="F81" s="22" t="str">
        <f t="shared" si="5"/>
        <v/>
      </c>
    </row>
    <row r="82" spans="1:6" x14ac:dyDescent="0.2">
      <c r="A82" s="20">
        <v>16</v>
      </c>
      <c r="B82" s="202" t="s">
        <v>14</v>
      </c>
      <c r="C82" s="203"/>
      <c r="D82" s="15">
        <f t="shared" si="4"/>
        <v>49408</v>
      </c>
      <c r="E82" s="18">
        <f>IF(F3="1",SUMIF(Data!A:A,'54'!$A$2,Data!EN:EN),0)</f>
        <v>84194</v>
      </c>
      <c r="F82" s="22">
        <f t="shared" si="5"/>
        <v>1.7040560233160622</v>
      </c>
    </row>
    <row r="83" spans="1:6" x14ac:dyDescent="0.2">
      <c r="A83" s="20">
        <v>17</v>
      </c>
      <c r="B83" s="202" t="s">
        <v>15</v>
      </c>
      <c r="C83" s="203"/>
      <c r="D83" s="15">
        <f t="shared" si="4"/>
        <v>0</v>
      </c>
      <c r="E83" s="18">
        <f>IF(F3="1",SUMIF(Data!A:A,'54'!$A$2,Data!EO:EO),0)</f>
        <v>0</v>
      </c>
      <c r="F83" s="22" t="str">
        <f t="shared" si="5"/>
        <v/>
      </c>
    </row>
    <row r="84" spans="1:6" x14ac:dyDescent="0.2">
      <c r="A84" s="20">
        <v>18</v>
      </c>
      <c r="B84" s="202" t="s">
        <v>16</v>
      </c>
      <c r="C84" s="203"/>
      <c r="D84" s="15">
        <f t="shared" si="4"/>
        <v>0</v>
      </c>
      <c r="E84" s="18">
        <f>IF(F3="1",SUMIF(Data!A:A,'54'!$A$2,Data!EP:EP),0)</f>
        <v>0</v>
      </c>
      <c r="F84" s="22" t="str">
        <f t="shared" si="5"/>
        <v/>
      </c>
    </row>
    <row r="85" spans="1:6" x14ac:dyDescent="0.2">
      <c r="A85" s="20">
        <v>19</v>
      </c>
      <c r="B85" s="202" t="s">
        <v>17</v>
      </c>
      <c r="C85" s="203"/>
      <c r="D85" s="15">
        <f t="shared" si="4"/>
        <v>69120</v>
      </c>
      <c r="E85" s="18">
        <f>IF(F3="1",SUMIF(Data!A:A,'54'!$A$2,Data!EQ:EQ),0)</f>
        <v>231308</v>
      </c>
      <c r="F85" s="22">
        <f t="shared" si="5"/>
        <v>3.3464699074074074</v>
      </c>
    </row>
    <row r="86" spans="1:6" x14ac:dyDescent="0.2">
      <c r="A86" s="20">
        <v>20</v>
      </c>
      <c r="B86" s="202" t="s">
        <v>18</v>
      </c>
      <c r="C86" s="203"/>
      <c r="D86" s="15">
        <f t="shared" si="4"/>
        <v>320095</v>
      </c>
      <c r="E86" s="18">
        <f>IF(F3="1",SUMIF(Data!A:A,'54'!$A$2,Data!ER:ER),0)</f>
        <v>1236509</v>
      </c>
      <c r="F86" s="22">
        <f t="shared" si="5"/>
        <v>3.8629438135553507</v>
      </c>
    </row>
    <row r="87" spans="1:6" ht="14.25" customHeight="1" x14ac:dyDescent="0.2">
      <c r="A87" s="20">
        <v>21</v>
      </c>
      <c r="B87" s="202" t="s">
        <v>446</v>
      </c>
      <c r="C87" s="203"/>
      <c r="D87" s="15">
        <f t="shared" si="4"/>
        <v>305648</v>
      </c>
      <c r="E87" s="18">
        <f>IF(F3="1",SUMIF(Data!A:A,'54'!$A$2,Data!ES:ES),0)</f>
        <v>806372</v>
      </c>
      <c r="F87" s="22">
        <f t="shared" si="5"/>
        <v>2.6382374496152439</v>
      </c>
    </row>
    <row r="88" spans="1:6" x14ac:dyDescent="0.2">
      <c r="A88" s="20">
        <v>22</v>
      </c>
      <c r="B88" s="202" t="s">
        <v>19</v>
      </c>
      <c r="C88" s="203"/>
      <c r="D88" s="15">
        <f t="shared" si="4"/>
        <v>251280</v>
      </c>
      <c r="E88" s="18">
        <f>IF(F3="1",SUMIF(Data!A:A,'54'!$A$2,Data!ET:ET),0)</f>
        <v>245780</v>
      </c>
      <c r="F88" s="22">
        <f t="shared" si="5"/>
        <v>0.97811206622094871</v>
      </c>
    </row>
    <row r="89" spans="1:6" x14ac:dyDescent="0.2">
      <c r="A89" s="20">
        <v>23</v>
      </c>
      <c r="B89" s="202" t="s">
        <v>20</v>
      </c>
      <c r="C89" s="203"/>
      <c r="D89" s="15">
        <f t="shared" si="4"/>
        <v>0</v>
      </c>
      <c r="E89" s="18">
        <f>IF(F3="1",SUMIF(Data!A:A,'54'!$A$2,Data!EU:EU),0)</f>
        <v>0</v>
      </c>
      <c r="F89" s="22" t="str">
        <f t="shared" si="5"/>
        <v/>
      </c>
    </row>
    <row r="90" spans="1:6" x14ac:dyDescent="0.2">
      <c r="A90" s="20">
        <v>24</v>
      </c>
      <c r="B90" s="202" t="s">
        <v>21</v>
      </c>
      <c r="C90" s="203"/>
      <c r="D90" s="15">
        <f t="shared" si="4"/>
        <v>13152</v>
      </c>
      <c r="E90" s="18">
        <f>IF(F3="1",SUMIF(Data!A:A,'54'!$A$2,Data!EV:EV),0)</f>
        <v>569</v>
      </c>
      <c r="F90" s="22">
        <f t="shared" si="5"/>
        <v>4.3263381995133819E-2</v>
      </c>
    </row>
    <row r="91" spans="1:6" x14ac:dyDescent="0.2">
      <c r="A91" s="20">
        <v>25</v>
      </c>
      <c r="B91" s="202" t="s">
        <v>22</v>
      </c>
      <c r="C91" s="203"/>
      <c r="D91" s="15">
        <f t="shared" si="4"/>
        <v>83184</v>
      </c>
      <c r="E91" s="18">
        <f>IF(F3="1",SUMIF(Data!A:A,'54'!$A$2,Data!EW:EW),0)</f>
        <v>364223</v>
      </c>
      <c r="F91" s="22">
        <f t="shared" si="5"/>
        <v>4.3785223119830734</v>
      </c>
    </row>
    <row r="92" spans="1:6" x14ac:dyDescent="0.2">
      <c r="A92" s="20">
        <v>26</v>
      </c>
      <c r="B92" s="202" t="s">
        <v>23</v>
      </c>
      <c r="C92" s="203"/>
      <c r="D92" s="15">
        <f t="shared" si="4"/>
        <v>105360</v>
      </c>
      <c r="E92" s="18">
        <f>IF(F3="1",SUMIF(Data!A:A,'54'!$A$2,Data!EX:EX),0)</f>
        <v>643176</v>
      </c>
      <c r="F92" s="22">
        <f t="shared" si="5"/>
        <v>6.1045558086560368</v>
      </c>
    </row>
    <row r="93" spans="1:6" x14ac:dyDescent="0.2">
      <c r="A93" s="20">
        <v>28</v>
      </c>
      <c r="B93" s="202" t="s">
        <v>24</v>
      </c>
      <c r="C93" s="203"/>
      <c r="D93" s="15">
        <f t="shared" si="4"/>
        <v>144704</v>
      </c>
      <c r="E93" s="18">
        <f>IF(F3="1",SUMIF(Data!A:A,'54'!$A$2,Data!EZ:EZ),0)</f>
        <v>491436</v>
      </c>
      <c r="F93" s="22">
        <f t="shared" si="5"/>
        <v>3.3961466165413534</v>
      </c>
    </row>
    <row r="94" spans="1:6" ht="15.75" customHeight="1" thickBot="1" x14ac:dyDescent="0.25">
      <c r="A94" s="23">
        <v>29</v>
      </c>
      <c r="B94" s="206" t="s">
        <v>25</v>
      </c>
      <c r="C94" s="207"/>
      <c r="D94" s="24">
        <f t="shared" si="4"/>
        <v>228688</v>
      </c>
      <c r="E94" s="25">
        <f>IF(F3="1",SUMIF(Data!A:A,'54'!$A$2,Data!FA:FA),0)</f>
        <v>469337</v>
      </c>
      <c r="F94" s="26">
        <f t="shared" si="5"/>
        <v>2.0523027006226826</v>
      </c>
    </row>
    <row r="95" spans="1:6" x14ac:dyDescent="0.2">
      <c r="B95" s="31" t="s">
        <v>35</v>
      </c>
      <c r="C95" s="31"/>
      <c r="D95" s="60">
        <f>SUM(D67:D94)</f>
        <v>4020225</v>
      </c>
      <c r="E95" s="32">
        <f>SUM(E67:E94)</f>
        <v>12824266</v>
      </c>
      <c r="F95" s="33">
        <f t="shared" si="5"/>
        <v>3.18993737912679</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IF(F3="1",SUMIF(Data!A:A,'54'!$A$2,Data!AH:AH),0)</f>
        <v>4907899</v>
      </c>
      <c r="F98" s="21">
        <f t="shared" ref="F98:F105" si="6">IFERROR(E98/$D$95,0)</f>
        <v>1.220802069535909</v>
      </c>
    </row>
    <row r="99" spans="2:6" x14ac:dyDescent="0.2">
      <c r="B99" s="212" t="s">
        <v>31</v>
      </c>
      <c r="C99" s="213"/>
      <c r="D99" s="37"/>
      <c r="E99" s="18">
        <f>IF(F3="1",SUMIF(Data!A:A,'54'!$A$2,Data!AI:AI),0)</f>
        <v>5527265</v>
      </c>
      <c r="F99" s="22">
        <f t="shared" si="6"/>
        <v>1.3748645909122001</v>
      </c>
    </row>
    <row r="100" spans="2:6" x14ac:dyDescent="0.2">
      <c r="B100" s="212" t="s">
        <v>32</v>
      </c>
      <c r="C100" s="213"/>
      <c r="D100" s="37"/>
      <c r="E100" s="18">
        <f>IF(F3="1",SUMIF(Data!A:A,'54'!$A$2,Data!AJ:AJ),0)</f>
        <v>4714480</v>
      </c>
      <c r="F100" s="22">
        <f t="shared" si="6"/>
        <v>1.1726905832385004</v>
      </c>
    </row>
    <row r="101" spans="2:6" x14ac:dyDescent="0.2">
      <c r="B101" s="212" t="s">
        <v>28</v>
      </c>
      <c r="C101" s="213"/>
      <c r="D101" s="37"/>
      <c r="E101" s="18">
        <f>IF(F3="1",SUMIF(Data!A:A,'54'!$A$2,Data!AK:AK),0)</f>
        <v>0</v>
      </c>
      <c r="F101" s="22">
        <f t="shared" si="6"/>
        <v>0</v>
      </c>
    </row>
    <row r="102" spans="2:6" x14ac:dyDescent="0.2">
      <c r="B102" s="212" t="s">
        <v>33</v>
      </c>
      <c r="C102" s="213"/>
      <c r="D102" s="37"/>
      <c r="E102" s="18">
        <f>IF(F3="1",SUMIF(Data!A:A,'54'!$A$2,Data!AL:AL),0)</f>
        <v>3003104</v>
      </c>
      <c r="F102" s="22">
        <f t="shared" si="6"/>
        <v>0.74699898637514073</v>
      </c>
    </row>
    <row r="103" spans="2:6" x14ac:dyDescent="0.2">
      <c r="B103" s="214" t="s">
        <v>34</v>
      </c>
      <c r="C103" s="215"/>
      <c r="D103" s="37"/>
      <c r="E103" s="18">
        <f>IF(F3="1",SUMIF(Data!A:A,'54'!$A$2,Data!AM:AM),0)</f>
        <v>1114112</v>
      </c>
      <c r="F103" s="22">
        <f t="shared" si="6"/>
        <v>0.27712677773010219</v>
      </c>
    </row>
    <row r="104" spans="2:6" ht="15.75" customHeight="1" thickBot="1" x14ac:dyDescent="0.25">
      <c r="B104" s="208" t="s">
        <v>29</v>
      </c>
      <c r="C104" s="209"/>
      <c r="D104" s="38"/>
      <c r="E104" s="25">
        <f>IF(F3="1",SUMIF(Data!A:A,'54'!$A$2,Data!Q:Q),0)</f>
        <v>363795</v>
      </c>
      <c r="F104" s="26">
        <f t="shared" si="6"/>
        <v>9.0491203850530749E-2</v>
      </c>
    </row>
    <row r="105" spans="2:6" x14ac:dyDescent="0.2">
      <c r="B105" s="31" t="s">
        <v>35</v>
      </c>
      <c r="C105" s="31"/>
      <c r="D105" s="35">
        <f>D95</f>
        <v>4020225</v>
      </c>
      <c r="E105" s="32">
        <f>SUM(E98:E104)</f>
        <v>19630655</v>
      </c>
      <c r="F105" s="33">
        <f t="shared" si="6"/>
        <v>4.8829742116423835</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16362242</v>
      </c>
      <c r="D109" s="192">
        <f>IF(F3="1",SUMIF(Data!$A:$A,$A$2,Data!HJ:HJ),0)</f>
        <v>363795</v>
      </c>
      <c r="E109" s="192">
        <f>IF(F3="1",SUMIF(Data!$A:$A,$A$2,Data!IN:IN),0)</f>
        <v>5279119</v>
      </c>
      <c r="F109" s="48">
        <f>SUM(C109:E109)</f>
        <v>22005156</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0</v>
      </c>
      <c r="D111" s="52"/>
      <c r="E111" s="193">
        <f>IF(F3="1",SUMIF(Data!A:A,$A$2,Data!AX:AX)-SUMIF(Data!A:A,$A$2,Data!AW:AW),0)</f>
        <v>2840</v>
      </c>
      <c r="F111" s="49">
        <f t="shared" si="7"/>
        <v>2840</v>
      </c>
    </row>
    <row r="112" spans="2:6" x14ac:dyDescent="0.2">
      <c r="B112" s="43" t="s">
        <v>32</v>
      </c>
      <c r="C112" s="193">
        <f>IF(F3="1",SUMIF(Data!A:A,$A$2,Data!V:V),0)</f>
        <v>3645502</v>
      </c>
      <c r="D112" s="52"/>
      <c r="E112" s="193">
        <f>IF(F3="1",SUMIF(Data!A:A,$A$2,Data!AC:AC),0)</f>
        <v>1068978</v>
      </c>
      <c r="F112" s="49">
        <f t="shared" si="7"/>
        <v>4714480</v>
      </c>
    </row>
    <row r="113" spans="1:6" x14ac:dyDescent="0.2">
      <c r="B113" s="43" t="s">
        <v>31</v>
      </c>
      <c r="C113" s="193">
        <f>IF(F3="1",SUMIF(Data!A:A,$A$2,Data!U:U),0)</f>
        <v>3908010</v>
      </c>
      <c r="D113" s="52"/>
      <c r="E113" s="193">
        <f>IF(F3="1",SUMIF(Data!A:A,$A$2,Data!AB:AB),0)</f>
        <v>1619255</v>
      </c>
      <c r="F113" s="49">
        <f t="shared" si="7"/>
        <v>5527265</v>
      </c>
    </row>
    <row r="114" spans="1:6" x14ac:dyDescent="0.2">
      <c r="B114" s="43" t="s">
        <v>1002</v>
      </c>
      <c r="C114" s="193">
        <f>IF(F3="1",SUMIF(Data!A:A,$A$2,Data!T:T),0)</f>
        <v>4112390</v>
      </c>
      <c r="D114" s="52"/>
      <c r="E114" s="193">
        <f>IF(F3="1",SUMIF(Data!A:A,$A$2,Data!AA:AA),0)</f>
        <v>795509</v>
      </c>
      <c r="F114" s="49">
        <f t="shared" si="7"/>
        <v>4907899</v>
      </c>
    </row>
    <row r="115" spans="1:6" x14ac:dyDescent="0.2">
      <c r="B115" s="43" t="s">
        <v>916</v>
      </c>
      <c r="C115" s="193">
        <f>IF(F3="1",SUMIF(Data!A:A,$A$2,Data!BI:BI),0)</f>
        <v>1473953</v>
      </c>
      <c r="D115" s="193">
        <f>IF(F3="1",SUMIF(Data!A:A,$A$2,Data!BL:BL),0)</f>
        <v>714641</v>
      </c>
      <c r="E115" s="193">
        <f>IF(F3="1",SUMIF(Data!A:A,$A$2,Data!BU:BU)-SUMIF(Data!A:A,$A$2,Data!BT:BT),0)</f>
        <v>2641355</v>
      </c>
      <c r="F115" s="49">
        <f t="shared" si="7"/>
        <v>4829949</v>
      </c>
    </row>
    <row r="116" spans="1:6" x14ac:dyDescent="0.2">
      <c r="B116" s="43" t="s">
        <v>33</v>
      </c>
      <c r="C116" s="193">
        <f>IF(F3="1",SUMIF(Data!A:A,$A$2,Data!X:X),0)</f>
        <v>9370</v>
      </c>
      <c r="D116" s="51"/>
      <c r="E116" s="193">
        <f>E102-C116</f>
        <v>2993734</v>
      </c>
      <c r="F116" s="49">
        <f t="shared" si="7"/>
        <v>3003104</v>
      </c>
    </row>
    <row r="117" spans="1:6" ht="15" thickBot="1" x14ac:dyDescent="0.25">
      <c r="B117" s="44" t="s">
        <v>920</v>
      </c>
      <c r="C117" s="53"/>
      <c r="D117" s="53">
        <f>IF(F3="1",SUMIF(Data!A:A,$A$2,Data!Q:Q),0)</f>
        <v>363795</v>
      </c>
      <c r="E117" s="53"/>
      <c r="F117" s="50">
        <f>SUM(C117:E117)</f>
        <v>363795</v>
      </c>
    </row>
    <row r="118" spans="1:6" x14ac:dyDescent="0.2">
      <c r="B118" s="14" t="s">
        <v>35</v>
      </c>
      <c r="C118" s="178">
        <f>SUM(C109:C117)</f>
        <v>29511467</v>
      </c>
      <c r="D118" s="194">
        <f>SUM(D109:D117)</f>
        <v>1442231</v>
      </c>
      <c r="E118" s="178">
        <f>SUM(E109:E117)</f>
        <v>14400790</v>
      </c>
      <c r="F118" s="178">
        <f>SUM(F109:F117)</f>
        <v>45354488</v>
      </c>
    </row>
    <row r="119" spans="1:6" x14ac:dyDescent="0.2">
      <c r="C119" s="177"/>
      <c r="D119" s="177"/>
      <c r="E119" s="177"/>
    </row>
    <row r="120" spans="1:6" ht="15" thickBot="1" x14ac:dyDescent="0.25">
      <c r="B120" s="188" t="s">
        <v>921</v>
      </c>
      <c r="C120" s="53"/>
      <c r="D120" s="53"/>
      <c r="E120" s="195">
        <f>IF(F3="1",SUMIF(Data!A:A,$A$2,Data!AF:AF)+SUMIF(Data!A:A,$A$2,Data!AW:AW)+SUMIF(Data!A:A,$A$2,Data!BT:BT),0)</f>
        <v>1234809</v>
      </c>
      <c r="F120" s="181">
        <f>SUM(C120:E120)</f>
        <v>1234809</v>
      </c>
    </row>
    <row r="121" spans="1:6" s="177" customFormat="1" x14ac:dyDescent="0.2">
      <c r="B121" s="14" t="s">
        <v>35</v>
      </c>
      <c r="C121" s="178">
        <f>SUM(C120:C120)</f>
        <v>0</v>
      </c>
      <c r="D121" s="178">
        <f>SUM(D120:D120)</f>
        <v>0</v>
      </c>
      <c r="E121" s="178">
        <f>SUM(E120:E120)</f>
        <v>1234809</v>
      </c>
      <c r="F121" s="178">
        <f>SUM(F120:F120)</f>
        <v>1234809</v>
      </c>
    </row>
    <row r="122" spans="1:6" s="177" customFormat="1" ht="15" thickBot="1" x14ac:dyDescent="0.25">
      <c r="B122" s="14" t="s">
        <v>1396</v>
      </c>
      <c r="C122" s="178"/>
      <c r="D122" s="178"/>
      <c r="E122" s="178"/>
      <c r="F122" s="190">
        <f>F118+F121</f>
        <v>46589297</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443</v>
      </c>
      <c r="B2" s="59" t="str">
        <f>VLOOKUP(A2,Data!A:G,7,0)</f>
        <v>Lamar Institute of Technology</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0</v>
      </c>
      <c r="E5" s="16">
        <f>E36+E67+IFERROR($E$105/$D$105*D5,0)</f>
        <v>0</v>
      </c>
      <c r="F5" s="21" t="str">
        <f>IFERROR(E5/D5,"")</f>
        <v/>
      </c>
    </row>
    <row r="6" spans="1:6" x14ac:dyDescent="0.2">
      <c r="A6" s="20">
        <v>2</v>
      </c>
      <c r="B6" s="202" t="s">
        <v>1</v>
      </c>
      <c r="C6" s="203"/>
      <c r="D6" s="15">
        <f t="shared" ref="D6:D32" si="0">D37</f>
        <v>72848</v>
      </c>
      <c r="E6" s="18">
        <f t="shared" ref="E6:E32" si="1">E37+E68+IFERROR($E$105/$D$105*D6,0)</f>
        <v>1052755.1578069627</v>
      </c>
      <c r="F6" s="22">
        <f t="shared" ref="F6:F33" si="2">IFERROR(E6/D6,"")</f>
        <v>14.45139410563039</v>
      </c>
    </row>
    <row r="7" spans="1:6" ht="14.25" customHeight="1" x14ac:dyDescent="0.2">
      <c r="A7" s="20">
        <v>3</v>
      </c>
      <c r="B7" s="202" t="s">
        <v>2</v>
      </c>
      <c r="C7" s="203"/>
      <c r="D7" s="15">
        <f t="shared" si="0"/>
        <v>177776</v>
      </c>
      <c r="E7" s="18">
        <f t="shared" si="1"/>
        <v>2569111.7288366267</v>
      </c>
      <c r="F7" s="22">
        <f t="shared" si="2"/>
        <v>14.451397988685912</v>
      </c>
    </row>
    <row r="8" spans="1:6" ht="14.25" customHeight="1" x14ac:dyDescent="0.2">
      <c r="A8" s="20">
        <v>4</v>
      </c>
      <c r="B8" s="202" t="s">
        <v>3</v>
      </c>
      <c r="C8" s="203"/>
      <c r="D8" s="15">
        <f t="shared" si="0"/>
        <v>115168</v>
      </c>
      <c r="E8" s="18">
        <f t="shared" si="1"/>
        <v>1664339.1567965117</v>
      </c>
      <c r="F8" s="22">
        <f t="shared" si="2"/>
        <v>14.451402792412056</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0</v>
      </c>
      <c r="E10" s="18">
        <f t="shared" si="1"/>
        <v>0</v>
      </c>
      <c r="F10" s="22" t="str">
        <f t="shared" si="2"/>
        <v/>
      </c>
    </row>
    <row r="11" spans="1:6" x14ac:dyDescent="0.2">
      <c r="A11" s="20">
        <v>7</v>
      </c>
      <c r="B11" s="202" t="s">
        <v>6</v>
      </c>
      <c r="C11" s="203"/>
      <c r="D11" s="15">
        <f t="shared" si="0"/>
        <v>69762</v>
      </c>
      <c r="E11" s="18">
        <f t="shared" si="1"/>
        <v>1008159.5488541804</v>
      </c>
      <c r="F11" s="22">
        <f t="shared" si="2"/>
        <v>14.451414077207941</v>
      </c>
    </row>
    <row r="12" spans="1:6" x14ac:dyDescent="0.2">
      <c r="A12" s="20">
        <v>8</v>
      </c>
      <c r="B12" s="202" t="s">
        <v>7</v>
      </c>
      <c r="C12" s="203"/>
      <c r="D12" s="15">
        <f t="shared" si="0"/>
        <v>18256</v>
      </c>
      <c r="E12" s="18">
        <f t="shared" si="1"/>
        <v>263824.32243745762</v>
      </c>
      <c r="F12" s="22">
        <f t="shared" si="2"/>
        <v>14.45137611949264</v>
      </c>
    </row>
    <row r="13" spans="1:6" x14ac:dyDescent="0.2">
      <c r="A13" s="20">
        <v>9</v>
      </c>
      <c r="B13" s="202" t="s">
        <v>8</v>
      </c>
      <c r="C13" s="203"/>
      <c r="D13" s="15">
        <f t="shared" si="0"/>
        <v>28136</v>
      </c>
      <c r="E13" s="18">
        <f t="shared" si="1"/>
        <v>406604.91104843921</v>
      </c>
      <c r="F13" s="22">
        <f t="shared" si="2"/>
        <v>14.451411396376145</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224338</v>
      </c>
      <c r="E15" s="18">
        <f t="shared" si="1"/>
        <v>3241997.7943127938</v>
      </c>
      <c r="F15" s="22">
        <f t="shared" si="2"/>
        <v>14.451398311087706</v>
      </c>
    </row>
    <row r="16" spans="1:6" ht="14.25" customHeight="1" x14ac:dyDescent="0.2">
      <c r="A16" s="20">
        <v>12</v>
      </c>
      <c r="B16" s="202" t="s">
        <v>11</v>
      </c>
      <c r="C16" s="203"/>
      <c r="D16" s="15">
        <f t="shared" si="0"/>
        <v>64464</v>
      </c>
      <c r="E16" s="18">
        <f t="shared" si="1"/>
        <v>931595.69071035646</v>
      </c>
      <c r="F16" s="22">
        <f t="shared" si="2"/>
        <v>14.451409945246285</v>
      </c>
    </row>
    <row r="17" spans="1:6" x14ac:dyDescent="0.2">
      <c r="A17" s="20">
        <v>13</v>
      </c>
      <c r="B17" s="202" t="s">
        <v>12</v>
      </c>
      <c r="C17" s="203"/>
      <c r="D17" s="15">
        <f t="shared" si="0"/>
        <v>0</v>
      </c>
      <c r="E17" s="18">
        <f t="shared" si="1"/>
        <v>0</v>
      </c>
      <c r="F17" s="22" t="str">
        <f t="shared" si="2"/>
        <v/>
      </c>
    </row>
    <row r="18" spans="1:6" ht="14.25" customHeight="1" x14ac:dyDescent="0.2">
      <c r="A18" s="20">
        <v>14</v>
      </c>
      <c r="B18" s="202" t="s">
        <v>449</v>
      </c>
      <c r="C18" s="203"/>
      <c r="D18" s="15">
        <f t="shared" si="0"/>
        <v>9240</v>
      </c>
      <c r="E18" s="18">
        <f t="shared" si="1"/>
        <v>133530.9270005537</v>
      </c>
      <c r="F18" s="22">
        <f t="shared" si="2"/>
        <v>14.45139902603395</v>
      </c>
    </row>
    <row r="19" spans="1:6" x14ac:dyDescent="0.2">
      <c r="A19" s="20">
        <v>15</v>
      </c>
      <c r="B19" s="202" t="s">
        <v>13</v>
      </c>
      <c r="C19" s="203"/>
      <c r="D19" s="15">
        <f t="shared" si="0"/>
        <v>37360</v>
      </c>
      <c r="E19" s="18">
        <f t="shared" si="1"/>
        <v>539903.37150873221</v>
      </c>
      <c r="F19" s="22">
        <f t="shared" si="2"/>
        <v>14.451375040383624</v>
      </c>
    </row>
    <row r="20" spans="1:6" x14ac:dyDescent="0.2">
      <c r="A20" s="20">
        <v>16</v>
      </c>
      <c r="B20" s="202" t="s">
        <v>14</v>
      </c>
      <c r="C20" s="203"/>
      <c r="D20" s="15">
        <f t="shared" si="0"/>
        <v>157710</v>
      </c>
      <c r="E20" s="18">
        <f t="shared" si="1"/>
        <v>2279130.2540321779</v>
      </c>
      <c r="F20" s="22">
        <f t="shared" si="2"/>
        <v>14.451399746573951</v>
      </c>
    </row>
    <row r="21" spans="1:6" x14ac:dyDescent="0.2">
      <c r="A21" s="20">
        <v>17</v>
      </c>
      <c r="B21" s="202" t="s">
        <v>15</v>
      </c>
      <c r="C21" s="203"/>
      <c r="D21" s="15">
        <f t="shared" si="0"/>
        <v>34936</v>
      </c>
      <c r="E21" s="18">
        <f t="shared" si="1"/>
        <v>504873.19065923634</v>
      </c>
      <c r="F21" s="22">
        <f t="shared" si="2"/>
        <v>14.451373673552677</v>
      </c>
    </row>
    <row r="22" spans="1:6" x14ac:dyDescent="0.2">
      <c r="A22" s="20">
        <v>18</v>
      </c>
      <c r="B22" s="202" t="s">
        <v>16</v>
      </c>
      <c r="C22" s="203"/>
      <c r="D22" s="15">
        <f t="shared" si="0"/>
        <v>0</v>
      </c>
      <c r="E22" s="18">
        <f t="shared" si="1"/>
        <v>0</v>
      </c>
      <c r="F22" s="22" t="str">
        <f t="shared" si="2"/>
        <v/>
      </c>
    </row>
    <row r="23" spans="1:6" x14ac:dyDescent="0.2">
      <c r="A23" s="20">
        <v>19</v>
      </c>
      <c r="B23" s="202" t="s">
        <v>17</v>
      </c>
      <c r="C23" s="203"/>
      <c r="D23" s="15">
        <f t="shared" si="0"/>
        <v>41336</v>
      </c>
      <c r="E23" s="18">
        <f t="shared" si="1"/>
        <v>597363.80676351604</v>
      </c>
      <c r="F23" s="22">
        <f t="shared" si="2"/>
        <v>14.451417814097059</v>
      </c>
    </row>
    <row r="24" spans="1:6" x14ac:dyDescent="0.2">
      <c r="A24" s="20">
        <v>20</v>
      </c>
      <c r="B24" s="202" t="s">
        <v>18</v>
      </c>
      <c r="C24" s="203"/>
      <c r="D24" s="15">
        <f t="shared" si="0"/>
        <v>1296</v>
      </c>
      <c r="E24" s="18">
        <f t="shared" si="1"/>
        <v>18728.789761116619</v>
      </c>
      <c r="F24" s="22">
        <f t="shared" si="2"/>
        <v>14.451226667528255</v>
      </c>
    </row>
    <row r="25" spans="1:6" ht="14.25" customHeight="1" x14ac:dyDescent="0.2">
      <c r="A25" s="20">
        <v>21</v>
      </c>
      <c r="B25" s="202" t="s">
        <v>446</v>
      </c>
      <c r="C25" s="203"/>
      <c r="D25" s="15">
        <f t="shared" si="0"/>
        <v>38056</v>
      </c>
      <c r="E25" s="18">
        <f t="shared" si="1"/>
        <v>549962.16601007269</v>
      </c>
      <c r="F25" s="22">
        <f t="shared" si="2"/>
        <v>14.451391791309456</v>
      </c>
    </row>
    <row r="26" spans="1:6" x14ac:dyDescent="0.2">
      <c r="A26" s="20">
        <v>22</v>
      </c>
      <c r="B26" s="202" t="s">
        <v>19</v>
      </c>
      <c r="C26" s="203"/>
      <c r="D26" s="15">
        <f t="shared" si="0"/>
        <v>20288</v>
      </c>
      <c r="E26" s="18">
        <f t="shared" si="1"/>
        <v>293189.57305056637</v>
      </c>
      <c r="F26" s="22">
        <f t="shared" si="2"/>
        <v>14.45137879783943</v>
      </c>
    </row>
    <row r="27" spans="1:6" x14ac:dyDescent="0.2">
      <c r="A27" s="20">
        <v>23</v>
      </c>
      <c r="B27" s="202" t="s">
        <v>20</v>
      </c>
      <c r="C27" s="203"/>
      <c r="D27" s="15">
        <f t="shared" si="0"/>
        <v>0</v>
      </c>
      <c r="E27" s="18">
        <f t="shared" si="1"/>
        <v>0</v>
      </c>
      <c r="F27" s="22" t="str">
        <f t="shared" si="2"/>
        <v/>
      </c>
    </row>
    <row r="28" spans="1:6" x14ac:dyDescent="0.2">
      <c r="A28" s="20">
        <v>24</v>
      </c>
      <c r="B28" s="202" t="s">
        <v>21</v>
      </c>
      <c r="C28" s="203"/>
      <c r="D28" s="15">
        <f t="shared" si="0"/>
        <v>160472</v>
      </c>
      <c r="E28" s="18">
        <f t="shared" si="1"/>
        <v>2319046.6655446813</v>
      </c>
      <c r="F28" s="22">
        <f t="shared" si="2"/>
        <v>14.451410000153803</v>
      </c>
    </row>
    <row r="29" spans="1:6" x14ac:dyDescent="0.2">
      <c r="A29" s="20">
        <v>25</v>
      </c>
      <c r="B29" s="202" t="s">
        <v>22</v>
      </c>
      <c r="C29" s="203"/>
      <c r="D29" s="15">
        <f t="shared" si="0"/>
        <v>48624</v>
      </c>
      <c r="E29" s="18">
        <f t="shared" si="1"/>
        <v>702684.81585226441</v>
      </c>
      <c r="F29" s="22">
        <f t="shared" si="2"/>
        <v>14.451398812361475</v>
      </c>
    </row>
    <row r="30" spans="1:6" x14ac:dyDescent="0.2">
      <c r="A30" s="20">
        <v>26</v>
      </c>
      <c r="B30" s="202" t="s">
        <v>23</v>
      </c>
      <c r="C30" s="203"/>
      <c r="D30" s="15">
        <f t="shared" si="0"/>
        <v>43104</v>
      </c>
      <c r="E30" s="18">
        <f t="shared" si="1"/>
        <v>622912.85946232313</v>
      </c>
      <c r="F30" s="22">
        <f t="shared" si="2"/>
        <v>14.451393361690867</v>
      </c>
    </row>
    <row r="31" spans="1:6" x14ac:dyDescent="0.2">
      <c r="A31" s="20">
        <v>28</v>
      </c>
      <c r="B31" s="202" t="s">
        <v>24</v>
      </c>
      <c r="C31" s="203"/>
      <c r="D31" s="15">
        <f t="shared" si="0"/>
        <v>67872</v>
      </c>
      <c r="E31" s="18">
        <f t="shared" si="1"/>
        <v>980846.06378588523</v>
      </c>
      <c r="F31" s="22">
        <f t="shared" si="2"/>
        <v>14.451409473507267</v>
      </c>
    </row>
    <row r="32" spans="1:6" ht="15.75" customHeight="1" thickBot="1" x14ac:dyDescent="0.25">
      <c r="A32" s="23">
        <v>29</v>
      </c>
      <c r="B32" s="206" t="s">
        <v>25</v>
      </c>
      <c r="C32" s="207"/>
      <c r="D32" s="24">
        <f t="shared" si="0"/>
        <v>75216</v>
      </c>
      <c r="E32" s="25">
        <f t="shared" si="1"/>
        <v>1086977.2057655463</v>
      </c>
      <c r="F32" s="26">
        <f t="shared" si="2"/>
        <v>14.451409351275609</v>
      </c>
    </row>
    <row r="33" spans="1:6" x14ac:dyDescent="0.2">
      <c r="B33" s="31" t="s">
        <v>35</v>
      </c>
      <c r="C33" s="31"/>
      <c r="D33" s="60">
        <f>SUM(D5:D32)</f>
        <v>1506258</v>
      </c>
      <c r="E33" s="32">
        <f>SUM(E5:E32)</f>
        <v>21767538.000000004</v>
      </c>
      <c r="F33" s="33">
        <f t="shared" si="2"/>
        <v>14.45140075604578</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IF(F3="1",SUMIF(Data!A:A,'55'!$A$2,Data!CU:CU),0)</f>
        <v>0</v>
      </c>
      <c r="E36" s="16">
        <f>IF(F3="1",SUMIF(Data!$A:$A,'55'!$A$2,Data!IO:IO),0)</f>
        <v>0</v>
      </c>
      <c r="F36" s="21" t="str">
        <f t="shared" ref="F36:F64" si="3">IFERROR(E36/D36,"")</f>
        <v/>
      </c>
    </row>
    <row r="37" spans="1:6" x14ac:dyDescent="0.2">
      <c r="A37" s="20">
        <v>2</v>
      </c>
      <c r="B37" s="202" t="s">
        <v>1</v>
      </c>
      <c r="C37" s="203"/>
      <c r="D37" s="15">
        <f>IF(F3="1",SUMIF(Data!A:A,'55'!$A$2,Data!CV:CV),0)</f>
        <v>72848</v>
      </c>
      <c r="E37" s="18">
        <f>IF(F3="1",SUMIF(Data!$A:$A,'55'!$A$2,Data!IP:IP),0)</f>
        <v>283400</v>
      </c>
      <c r="F37" s="22">
        <f t="shared" si="3"/>
        <v>3.8902921150889522</v>
      </c>
    </row>
    <row r="38" spans="1:6" ht="14.25" customHeight="1" x14ac:dyDescent="0.2">
      <c r="A38" s="20">
        <v>3</v>
      </c>
      <c r="B38" s="202" t="s">
        <v>2</v>
      </c>
      <c r="C38" s="203"/>
      <c r="D38" s="15">
        <f>IF(F3="1",SUMIF(Data!A:A,'55'!$A$2,Data!CW:CW),0)</f>
        <v>177776</v>
      </c>
      <c r="E38" s="18">
        <f>IF(F3="1",SUMIF(Data!$A:$A,'55'!$A$2,Data!IQ:IQ),0)</f>
        <v>691602</v>
      </c>
      <c r="F38" s="22">
        <f t="shared" si="3"/>
        <v>3.89030015300153</v>
      </c>
    </row>
    <row r="39" spans="1:6" ht="14.25" customHeight="1" x14ac:dyDescent="0.2">
      <c r="A39" s="20">
        <v>4</v>
      </c>
      <c r="B39" s="202" t="s">
        <v>3</v>
      </c>
      <c r="C39" s="203"/>
      <c r="D39" s="15">
        <f>IF(F3="1",SUMIF(Data!A:A,'55'!$A$2,Data!CX:CX),0)</f>
        <v>115168</v>
      </c>
      <c r="E39" s="18">
        <f>IF(F3="1",SUMIF(Data!$A:$A,'55'!$A$2,Data!IR:IR),0)</f>
        <v>448039</v>
      </c>
      <c r="F39" s="22">
        <f t="shared" si="3"/>
        <v>3.8903080716865794</v>
      </c>
    </row>
    <row r="40" spans="1:6" x14ac:dyDescent="0.2">
      <c r="A40" s="20">
        <v>5</v>
      </c>
      <c r="B40" s="202" t="s">
        <v>4</v>
      </c>
      <c r="C40" s="203"/>
      <c r="D40" s="15">
        <f>IF(F3="1",SUMIF(Data!A:A,'55'!$A$2,Data!CY:CY),0)</f>
        <v>0</v>
      </c>
      <c r="E40" s="18">
        <f>IF(F3="1",SUMIF(Data!$A:$A,'55'!$A$2,Data!IS:IS),0)</f>
        <v>0</v>
      </c>
      <c r="F40" s="22" t="str">
        <f t="shared" si="3"/>
        <v/>
      </c>
    </row>
    <row r="41" spans="1:6" x14ac:dyDescent="0.2">
      <c r="A41" s="20">
        <v>6</v>
      </c>
      <c r="B41" s="202" t="s">
        <v>5</v>
      </c>
      <c r="C41" s="203"/>
      <c r="D41" s="15">
        <f>IF(F3="1",SUMIF(Data!A:A,'55'!$A$2,Data!CZ:CZ),0)</f>
        <v>0</v>
      </c>
      <c r="E41" s="18">
        <f>IF(F3="1",SUMIF(Data!$A:$A,'55'!$A$2,Data!IT:IT),0)</f>
        <v>0</v>
      </c>
      <c r="F41" s="22" t="str">
        <f t="shared" si="3"/>
        <v/>
      </c>
    </row>
    <row r="42" spans="1:6" x14ac:dyDescent="0.2">
      <c r="A42" s="20">
        <v>7</v>
      </c>
      <c r="B42" s="202" t="s">
        <v>6</v>
      </c>
      <c r="C42" s="203"/>
      <c r="D42" s="15">
        <f>IF(F3="1",SUMIF(Data!A:A,'55'!$A$2,Data!DA:DA),0)</f>
        <v>69762</v>
      </c>
      <c r="E42" s="18">
        <f>IF(F3="1",SUMIF(Data!$A:$A,'55'!$A$2,Data!IU:IU),0)</f>
        <v>271396</v>
      </c>
      <c r="F42" s="22">
        <f t="shared" si="3"/>
        <v>3.8903127777299962</v>
      </c>
    </row>
    <row r="43" spans="1:6" x14ac:dyDescent="0.2">
      <c r="A43" s="20">
        <v>8</v>
      </c>
      <c r="B43" s="202" t="s">
        <v>7</v>
      </c>
      <c r="C43" s="203"/>
      <c r="D43" s="15">
        <f>IF(F3="1",SUMIF(Data!A:A,'55'!$A$2,Data!DB:DB),0)</f>
        <v>18256</v>
      </c>
      <c r="E43" s="18">
        <f>IF(F3="1",SUMIF(Data!$A:$A,'55'!$A$2,Data!IV:IV),0)</f>
        <v>71021</v>
      </c>
      <c r="F43" s="22">
        <f t="shared" si="3"/>
        <v>3.8902826468010518</v>
      </c>
    </row>
    <row r="44" spans="1:6" x14ac:dyDescent="0.2">
      <c r="A44" s="20">
        <v>9</v>
      </c>
      <c r="B44" s="202" t="s">
        <v>8</v>
      </c>
      <c r="C44" s="203"/>
      <c r="D44" s="15">
        <f>IF(F3="1",SUMIF(Data!A:A,'55'!$A$2,Data!DC:DC),0)</f>
        <v>28136</v>
      </c>
      <c r="E44" s="18">
        <f>IF(F3="1",SUMIF(Data!$A:$A,'55'!$A$2,Data!IW:IW),0)</f>
        <v>109458</v>
      </c>
      <c r="F44" s="22">
        <f t="shared" si="3"/>
        <v>3.8903184532271822</v>
      </c>
    </row>
    <row r="45" spans="1:6" x14ac:dyDescent="0.2">
      <c r="A45" s="20">
        <v>10</v>
      </c>
      <c r="B45" s="202" t="s">
        <v>9</v>
      </c>
      <c r="C45" s="203"/>
      <c r="D45" s="15">
        <f>IF(F3="1",SUMIF(Data!A:A,'55'!$A$2,Data!DD:DD),0)</f>
        <v>0</v>
      </c>
      <c r="E45" s="18">
        <f>IF(F3="1",SUMIF(Data!$A:$A,'55'!$A$2,Data!IX:IX),0)</f>
        <v>0</v>
      </c>
      <c r="F45" s="22" t="str">
        <f t="shared" si="3"/>
        <v/>
      </c>
    </row>
    <row r="46" spans="1:6" x14ac:dyDescent="0.2">
      <c r="A46" s="20">
        <v>11</v>
      </c>
      <c r="B46" s="202" t="s">
        <v>10</v>
      </c>
      <c r="C46" s="203"/>
      <c r="D46" s="15">
        <f>IF(F3="1",SUMIF(Data!A:A,'55'!$A$2,Data!DE:DE),0)</f>
        <v>224338</v>
      </c>
      <c r="E46" s="18">
        <f>IF(F3="1",SUMIF(Data!$A:$A,'55'!$A$2,Data!IY:IY),0)</f>
        <v>872742</v>
      </c>
      <c r="F46" s="22">
        <f t="shared" si="3"/>
        <v>3.8902994588522675</v>
      </c>
    </row>
    <row r="47" spans="1:6" ht="14.25" customHeight="1" x14ac:dyDescent="0.2">
      <c r="A47" s="20">
        <v>12</v>
      </c>
      <c r="B47" s="202" t="s">
        <v>11</v>
      </c>
      <c r="C47" s="203"/>
      <c r="D47" s="15">
        <f>IF(F3="1",SUMIF(Data!A:A,'55'!$A$2,Data!DF:DF),0)</f>
        <v>64464</v>
      </c>
      <c r="E47" s="18">
        <f>IF(F3="1",SUMIF(Data!$A:$A,'55'!$A$2,Data!IZ:IZ),0)</f>
        <v>250785</v>
      </c>
      <c r="F47" s="22">
        <f t="shared" si="3"/>
        <v>3.8903108711839165</v>
      </c>
    </row>
    <row r="48" spans="1:6" x14ac:dyDescent="0.2">
      <c r="A48" s="20">
        <v>13</v>
      </c>
      <c r="B48" s="202" t="s">
        <v>12</v>
      </c>
      <c r="C48" s="203"/>
      <c r="D48" s="15">
        <f>IF(F3="1",SUMIF(Data!A:A,'55'!$A$2,Data!DG:DG),0)</f>
        <v>0</v>
      </c>
      <c r="E48" s="18">
        <f>IF(F3="1",SUMIF(Data!$A:$A,'55'!$A$2,Data!JA:JA),0)</f>
        <v>0</v>
      </c>
      <c r="F48" s="22" t="str">
        <f t="shared" si="3"/>
        <v/>
      </c>
    </row>
    <row r="49" spans="1:6" ht="14.25" customHeight="1" x14ac:dyDescent="0.2">
      <c r="A49" s="20">
        <v>14</v>
      </c>
      <c r="B49" s="202" t="s">
        <v>449</v>
      </c>
      <c r="C49" s="203"/>
      <c r="D49" s="15">
        <f>IF(F3="1",SUMIF(Data!A:A,'55'!$A$2,Data!DH:DH),0)</f>
        <v>9240</v>
      </c>
      <c r="E49" s="18">
        <f>IF(F3="1",SUMIF(Data!$A:$A,'55'!$A$2,Data!JB:JB),0)</f>
        <v>35946</v>
      </c>
      <c r="F49" s="22">
        <f t="shared" si="3"/>
        <v>3.8902597402597401</v>
      </c>
    </row>
    <row r="50" spans="1:6" x14ac:dyDescent="0.2">
      <c r="A50" s="20">
        <v>15</v>
      </c>
      <c r="B50" s="202" t="s">
        <v>13</v>
      </c>
      <c r="C50" s="203"/>
      <c r="D50" s="15">
        <f>IF(F3="1",SUMIF(Data!A:A,'55'!$A$2,Data!DI:DI),0)</f>
        <v>37360</v>
      </c>
      <c r="E50" s="18">
        <f>IF(F3="1",SUMIF(Data!$A:$A,'55'!$A$2,Data!JC:JC),0)</f>
        <v>145341</v>
      </c>
      <c r="F50" s="22">
        <f t="shared" si="3"/>
        <v>3.8902837259100642</v>
      </c>
    </row>
    <row r="51" spans="1:6" x14ac:dyDescent="0.2">
      <c r="A51" s="20">
        <v>16</v>
      </c>
      <c r="B51" s="202" t="s">
        <v>14</v>
      </c>
      <c r="C51" s="203"/>
      <c r="D51" s="15">
        <f>IF(F3="1",SUMIF(Data!A:A,'55'!$A$2,Data!DJ:DJ),0)</f>
        <v>157710</v>
      </c>
      <c r="E51" s="18">
        <f>IF(F3="1",SUMIF(Data!$A:$A,'55'!$A$2,Data!JD:JD),0)</f>
        <v>613540</v>
      </c>
      <c r="F51" s="22">
        <f t="shared" si="3"/>
        <v>3.8903049901718343</v>
      </c>
    </row>
    <row r="52" spans="1:6" x14ac:dyDescent="0.2">
      <c r="A52" s="20">
        <v>17</v>
      </c>
      <c r="B52" s="202" t="s">
        <v>15</v>
      </c>
      <c r="C52" s="203"/>
      <c r="D52" s="15">
        <f>IF(F3="1",SUMIF(Data!A:A,'55'!$A$2,Data!DK:DK),0)</f>
        <v>34936</v>
      </c>
      <c r="E52" s="18">
        <f>IF(F3="1",SUMIF(Data!$A:$A,'55'!$A$2,Data!JE:JE),0)</f>
        <v>135911</v>
      </c>
      <c r="F52" s="22">
        <f t="shared" si="3"/>
        <v>3.8902850927410122</v>
      </c>
    </row>
    <row r="53" spans="1:6" x14ac:dyDescent="0.2">
      <c r="A53" s="20">
        <v>18</v>
      </c>
      <c r="B53" s="202" t="s">
        <v>16</v>
      </c>
      <c r="C53" s="203"/>
      <c r="D53" s="15">
        <f>IF(F3="1",SUMIF(Data!A:A,'55'!$A$2,Data!DL:DL),0)</f>
        <v>0</v>
      </c>
      <c r="E53" s="18">
        <f>IF(F3="1",SUMIF(Data!$A:$A,'55'!$A$2,Data!JF:JF),0)</f>
        <v>0</v>
      </c>
      <c r="F53" s="22" t="str">
        <f t="shared" si="3"/>
        <v/>
      </c>
    </row>
    <row r="54" spans="1:6" x14ac:dyDescent="0.2">
      <c r="A54" s="20">
        <v>19</v>
      </c>
      <c r="B54" s="202" t="s">
        <v>17</v>
      </c>
      <c r="C54" s="203"/>
      <c r="D54" s="15">
        <f>IF(F3="1",SUMIF(Data!A:A,'55'!$A$2,Data!DM:DM),0)</f>
        <v>41336</v>
      </c>
      <c r="E54" s="18">
        <f>IF(F3="1",SUMIF(Data!$A:$A,'55'!$A$2,Data!JG:JG),0)</f>
        <v>160810</v>
      </c>
      <c r="F54" s="22">
        <f t="shared" si="3"/>
        <v>3.8903135281594734</v>
      </c>
    </row>
    <row r="55" spans="1:6" x14ac:dyDescent="0.2">
      <c r="A55" s="20">
        <v>20</v>
      </c>
      <c r="B55" s="202" t="s">
        <v>18</v>
      </c>
      <c r="C55" s="203"/>
      <c r="D55" s="15">
        <f>IF(F3="1",SUMIF(Data!A:A,'55'!$A$2,Data!DN:DN),0)</f>
        <v>1296</v>
      </c>
      <c r="E55" s="18">
        <f>IF(F3="1",SUMIF(Data!$A:$A,'55'!$A$2,Data!JH:JH),0)</f>
        <v>5042</v>
      </c>
      <c r="F55" s="22">
        <f t="shared" si="3"/>
        <v>3.8904320987654319</v>
      </c>
    </row>
    <row r="56" spans="1:6" ht="14.25" customHeight="1" x14ac:dyDescent="0.2">
      <c r="A56" s="20">
        <v>21</v>
      </c>
      <c r="B56" s="202" t="s">
        <v>446</v>
      </c>
      <c r="C56" s="203"/>
      <c r="D56" s="15">
        <f>IF(F3="1",SUMIF(Data!A:A,'55'!$A$2,Data!DO:DO),0)</f>
        <v>38056</v>
      </c>
      <c r="E56" s="18">
        <f>IF(F3="1",SUMIF(Data!$A:$A,'55'!$A$2,Data!JI:JI),0)</f>
        <v>148049</v>
      </c>
      <c r="F56" s="22">
        <f t="shared" si="3"/>
        <v>3.8902932520496112</v>
      </c>
    </row>
    <row r="57" spans="1:6" x14ac:dyDescent="0.2">
      <c r="A57" s="20">
        <v>22</v>
      </c>
      <c r="B57" s="202" t="s">
        <v>19</v>
      </c>
      <c r="C57" s="203"/>
      <c r="D57" s="15">
        <f>IF(F3="1",SUMIF(Data!A:A,'55'!$A$2,Data!DP:DP),0)</f>
        <v>20288</v>
      </c>
      <c r="E57" s="18">
        <f>IF(F3="1",SUMIF(Data!$A:$A,'55'!$A$2,Data!JJ:JJ),0)</f>
        <v>78926</v>
      </c>
      <c r="F57" s="22">
        <f t="shared" si="3"/>
        <v>3.8902799684542586</v>
      </c>
    </row>
    <row r="58" spans="1:6" x14ac:dyDescent="0.2">
      <c r="A58" s="20">
        <v>23</v>
      </c>
      <c r="B58" s="202" t="s">
        <v>20</v>
      </c>
      <c r="C58" s="203"/>
      <c r="D58" s="15">
        <f>IF(F3="1",SUMIF(Data!A:A,'55'!$A$2,Data!DQ:DQ),0)</f>
        <v>0</v>
      </c>
      <c r="E58" s="18">
        <f>IF(F3="1",SUMIF(Data!$A:$A,'55'!$A$2,Data!JK:JK),0)</f>
        <v>0</v>
      </c>
      <c r="F58" s="22" t="str">
        <f t="shared" si="3"/>
        <v/>
      </c>
    </row>
    <row r="59" spans="1:6" x14ac:dyDescent="0.2">
      <c r="A59" s="20">
        <v>24</v>
      </c>
      <c r="B59" s="202" t="s">
        <v>21</v>
      </c>
      <c r="C59" s="203"/>
      <c r="D59" s="15">
        <f>IF(F3="1",SUMIF(Data!A:A,'55'!$A$2,Data!DR:DR),0)</f>
        <v>160472</v>
      </c>
      <c r="E59" s="18">
        <f>IF(F3="1",SUMIF(Data!$A:$A,'55'!$A$2,Data!JL:JL),0)</f>
        <v>624286</v>
      </c>
      <c r="F59" s="22">
        <f t="shared" si="3"/>
        <v>3.8903110823071936</v>
      </c>
    </row>
    <row r="60" spans="1:6" x14ac:dyDescent="0.2">
      <c r="A60" s="20">
        <v>25</v>
      </c>
      <c r="B60" s="202" t="s">
        <v>22</v>
      </c>
      <c r="C60" s="203"/>
      <c r="D60" s="15">
        <f>IF(F3="1",SUMIF(Data!A:A,'55'!$A$2,Data!DS:DS),0)</f>
        <v>48624</v>
      </c>
      <c r="E60" s="18">
        <f>IF(F3="1",SUMIF(Data!$A:$A,'55'!$A$2,Data!JM:JM),0)</f>
        <v>189162</v>
      </c>
      <c r="F60" s="22">
        <f t="shared" si="3"/>
        <v>3.8903010858835145</v>
      </c>
    </row>
    <row r="61" spans="1:6" x14ac:dyDescent="0.2">
      <c r="A61" s="20">
        <v>26</v>
      </c>
      <c r="B61" s="202" t="s">
        <v>23</v>
      </c>
      <c r="C61" s="203"/>
      <c r="D61" s="15">
        <f>IF(F3="1",SUMIF(Data!A:A,'55'!$A$2,Data!DT:DT),0)</f>
        <v>43104</v>
      </c>
      <c r="E61" s="18">
        <f>IF(F3="1",SUMIF(Data!$A:$A,'55'!$A$2,Data!JN:JN),0)</f>
        <v>167687</v>
      </c>
      <c r="F61" s="22">
        <f t="shared" si="3"/>
        <v>3.8902886043058649</v>
      </c>
    </row>
    <row r="62" spans="1:6" x14ac:dyDescent="0.2">
      <c r="A62" s="20">
        <v>28</v>
      </c>
      <c r="B62" s="202" t="s">
        <v>24</v>
      </c>
      <c r="C62" s="203"/>
      <c r="D62" s="15">
        <f>IF(F3="1",SUMIF(Data!A:A,'55'!$A$2,Data!DV:DV),0)</f>
        <v>67872</v>
      </c>
      <c r="E62" s="18">
        <f>IF(F3="1",SUMIF(Data!$A:$A,'55'!$A$2,Data!JP:JP),0)</f>
        <v>264043</v>
      </c>
      <c r="F62" s="22">
        <f t="shared" si="3"/>
        <v>3.8903082272512965</v>
      </c>
    </row>
    <row r="63" spans="1:6" ht="15.75" customHeight="1" thickBot="1" x14ac:dyDescent="0.25">
      <c r="A63" s="23">
        <v>29</v>
      </c>
      <c r="B63" s="206" t="s">
        <v>25</v>
      </c>
      <c r="C63" s="207"/>
      <c r="D63" s="24">
        <f>IF(F3="1",SUMIF(Data!A:A,'55'!$A$2,Data!DW:DW),0)</f>
        <v>75216</v>
      </c>
      <c r="E63" s="25">
        <f>IF(F3="1",SUMIF(Data!$A:$A,'55'!$A$2,Data!JQ:JQ),0)</f>
        <v>292614</v>
      </c>
      <c r="F63" s="26">
        <f t="shared" si="3"/>
        <v>3.8903158902361201</v>
      </c>
    </row>
    <row r="64" spans="1:6" x14ac:dyDescent="0.2">
      <c r="B64" s="31" t="s">
        <v>35</v>
      </c>
      <c r="C64" s="31"/>
      <c r="D64" s="60">
        <f>SUM(D36:D63)</f>
        <v>1506258</v>
      </c>
      <c r="E64" s="32">
        <f>SUM(E36:E63)</f>
        <v>5859800</v>
      </c>
      <c r="F64" s="33">
        <f t="shared" si="3"/>
        <v>3.8903029892621319</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0</v>
      </c>
      <c r="E67" s="16">
        <f>IF(F3="1",SUMIF(Data!A:A,'55'!$A$2,Data!DY:DY),0)</f>
        <v>0</v>
      </c>
      <c r="F67" s="21" t="str">
        <f>IFERROR(E67/D67,"")</f>
        <v/>
      </c>
    </row>
    <row r="68" spans="1:6" x14ac:dyDescent="0.2">
      <c r="A68" s="20">
        <v>2</v>
      </c>
      <c r="B68" s="202" t="s">
        <v>1</v>
      </c>
      <c r="C68" s="203"/>
      <c r="D68" s="15">
        <f t="shared" ref="D68:D94" si="4">D37</f>
        <v>72848</v>
      </c>
      <c r="E68" s="18">
        <f>IF(F3="1",SUMIF(Data!A:A,'55'!$A$2,Data!DZ:DZ),0)</f>
        <v>280060</v>
      </c>
      <c r="F68" s="22">
        <f t="shared" ref="F68:F95" si="5">IFERROR(E68/D68,"")</f>
        <v>3.8444432242477489</v>
      </c>
    </row>
    <row r="69" spans="1:6" ht="14.25" customHeight="1" x14ac:dyDescent="0.2">
      <c r="A69" s="20">
        <v>3</v>
      </c>
      <c r="B69" s="202" t="s">
        <v>2</v>
      </c>
      <c r="C69" s="203"/>
      <c r="D69" s="15">
        <f t="shared" si="4"/>
        <v>177776</v>
      </c>
      <c r="E69" s="18">
        <f>IF(F3="1",SUMIF(Data!A:A,'55'!$A$2,Data!EA:EA),0)</f>
        <v>683449</v>
      </c>
      <c r="F69" s="22">
        <f t="shared" si="5"/>
        <v>3.844439069390694</v>
      </c>
    </row>
    <row r="70" spans="1:6" ht="14.25" customHeight="1" x14ac:dyDescent="0.2">
      <c r="A70" s="20">
        <v>4</v>
      </c>
      <c r="B70" s="202" t="s">
        <v>3</v>
      </c>
      <c r="C70" s="203"/>
      <c r="D70" s="15">
        <f t="shared" si="4"/>
        <v>115168</v>
      </c>
      <c r="E70" s="18">
        <f>IF(F3="1",SUMIF(Data!A:A,'55'!$A$2,Data!EB:EB),0)</f>
        <v>442756</v>
      </c>
      <c r="F70" s="22">
        <f t="shared" si="5"/>
        <v>3.8444359544317868</v>
      </c>
    </row>
    <row r="71" spans="1:6" x14ac:dyDescent="0.2">
      <c r="A71" s="20">
        <v>5</v>
      </c>
      <c r="B71" s="202" t="s">
        <v>4</v>
      </c>
      <c r="C71" s="203"/>
      <c r="D71" s="15">
        <f t="shared" si="4"/>
        <v>0</v>
      </c>
      <c r="E71" s="18">
        <f>IF(F3="1",SUMIF(Data!A:A,'55'!$A$2,Data!EC:EC),0)</f>
        <v>0</v>
      </c>
      <c r="F71" s="22" t="str">
        <f t="shared" si="5"/>
        <v/>
      </c>
    </row>
    <row r="72" spans="1:6" x14ac:dyDescent="0.2">
      <c r="A72" s="20">
        <v>6</v>
      </c>
      <c r="B72" s="202" t="s">
        <v>5</v>
      </c>
      <c r="C72" s="203"/>
      <c r="D72" s="15">
        <f t="shared" si="4"/>
        <v>0</v>
      </c>
      <c r="E72" s="18">
        <f>IF(F3="1",SUMIF(Data!A:A,'55'!$A$2,Data!ED:ED),0)</f>
        <v>0</v>
      </c>
      <c r="F72" s="22" t="str">
        <f t="shared" si="5"/>
        <v/>
      </c>
    </row>
    <row r="73" spans="1:6" x14ac:dyDescent="0.2">
      <c r="A73" s="20">
        <v>7</v>
      </c>
      <c r="B73" s="202" t="s">
        <v>6</v>
      </c>
      <c r="C73" s="203"/>
      <c r="D73" s="15">
        <f t="shared" si="4"/>
        <v>69762</v>
      </c>
      <c r="E73" s="18">
        <f>IF(F3="1",SUMIF(Data!A:A,'55'!$A$2,Data!EE:EE),0)</f>
        <v>268196</v>
      </c>
      <c r="F73" s="22">
        <f t="shared" si="5"/>
        <v>3.8444425331842549</v>
      </c>
    </row>
    <row r="74" spans="1:6" x14ac:dyDescent="0.2">
      <c r="A74" s="20">
        <v>8</v>
      </c>
      <c r="B74" s="202" t="s">
        <v>7</v>
      </c>
      <c r="C74" s="203"/>
      <c r="D74" s="15">
        <f t="shared" si="4"/>
        <v>18256</v>
      </c>
      <c r="E74" s="18">
        <f>IF(F3="1",SUMIF(Data!A:A,'55'!$A$2,Data!EF:EF),0)</f>
        <v>70184</v>
      </c>
      <c r="F74" s="22">
        <f t="shared" si="5"/>
        <v>3.8444347063978968</v>
      </c>
    </row>
    <row r="75" spans="1:6" x14ac:dyDescent="0.2">
      <c r="A75" s="20">
        <v>9</v>
      </c>
      <c r="B75" s="202" t="s">
        <v>8</v>
      </c>
      <c r="C75" s="203"/>
      <c r="D75" s="15">
        <f t="shared" si="4"/>
        <v>28136</v>
      </c>
      <c r="E75" s="18">
        <f>IF(F3="1",SUMIF(Data!A:A,'55'!$A$2,Data!EG:EG),0)</f>
        <v>108167</v>
      </c>
      <c r="F75" s="22">
        <f t="shared" si="5"/>
        <v>3.8444341768552746</v>
      </c>
    </row>
    <row r="76" spans="1:6" x14ac:dyDescent="0.2">
      <c r="A76" s="20">
        <v>10</v>
      </c>
      <c r="B76" s="202" t="s">
        <v>9</v>
      </c>
      <c r="C76" s="203"/>
      <c r="D76" s="15">
        <f t="shared" si="4"/>
        <v>0</v>
      </c>
      <c r="E76" s="18">
        <f>IF(F3="1",SUMIF(Data!A:A,'55'!$A$2,Data!EH:EH),0)</f>
        <v>0</v>
      </c>
      <c r="F76" s="22" t="str">
        <f t="shared" si="5"/>
        <v/>
      </c>
    </row>
    <row r="77" spans="1:6" x14ac:dyDescent="0.2">
      <c r="A77" s="20">
        <v>11</v>
      </c>
      <c r="B77" s="202" t="s">
        <v>10</v>
      </c>
      <c r="C77" s="203"/>
      <c r="D77" s="15">
        <f t="shared" si="4"/>
        <v>224338</v>
      </c>
      <c r="E77" s="18">
        <f>IF(F3="1",SUMIF(Data!A:A,'55'!$A$2,Data!EI:EI),0)</f>
        <v>862454</v>
      </c>
      <c r="F77" s="22">
        <f t="shared" si="5"/>
        <v>3.8444400859417485</v>
      </c>
    </row>
    <row r="78" spans="1:6" ht="14.25" customHeight="1" x14ac:dyDescent="0.2">
      <c r="A78" s="20">
        <v>12</v>
      </c>
      <c r="B78" s="202" t="s">
        <v>11</v>
      </c>
      <c r="C78" s="203"/>
      <c r="D78" s="15">
        <f t="shared" si="4"/>
        <v>64464</v>
      </c>
      <c r="E78" s="18">
        <f>IF(F3="1",SUMIF(Data!A:A,'55'!$A$2,Data!EJ:EJ),0)</f>
        <v>247828</v>
      </c>
      <c r="F78" s="22">
        <f t="shared" si="5"/>
        <v>3.8444403077686773</v>
      </c>
    </row>
    <row r="79" spans="1:6" x14ac:dyDescent="0.2">
      <c r="A79" s="20">
        <v>13</v>
      </c>
      <c r="B79" s="202" t="s">
        <v>12</v>
      </c>
      <c r="C79" s="203"/>
      <c r="D79" s="15">
        <f t="shared" si="4"/>
        <v>0</v>
      </c>
      <c r="E79" s="18">
        <f>IF(F3="1",SUMIF(Data!A:A,'55'!$A$2,Data!EK:EK),0)</f>
        <v>0</v>
      </c>
      <c r="F79" s="22" t="str">
        <f t="shared" si="5"/>
        <v/>
      </c>
    </row>
    <row r="80" spans="1:6" ht="14.25" customHeight="1" x14ac:dyDescent="0.2">
      <c r="A80" s="20">
        <v>14</v>
      </c>
      <c r="B80" s="202" t="s">
        <v>449</v>
      </c>
      <c r="C80" s="203"/>
      <c r="D80" s="15">
        <f t="shared" si="4"/>
        <v>9240</v>
      </c>
      <c r="E80" s="18">
        <f>IF(F3="1",SUMIF(Data!A:A,'55'!$A$2,Data!EL:EL),0)</f>
        <v>35523</v>
      </c>
      <c r="F80" s="22">
        <f t="shared" si="5"/>
        <v>3.8444805194805194</v>
      </c>
    </row>
    <row r="81" spans="1:6" x14ac:dyDescent="0.2">
      <c r="A81" s="20">
        <v>15</v>
      </c>
      <c r="B81" s="202" t="s">
        <v>13</v>
      </c>
      <c r="C81" s="203"/>
      <c r="D81" s="15">
        <f t="shared" si="4"/>
        <v>37360</v>
      </c>
      <c r="E81" s="18">
        <f>IF(F3="1",SUMIF(Data!A:A,'55'!$A$2,Data!EM:EM),0)</f>
        <v>143628</v>
      </c>
      <c r="F81" s="22">
        <f t="shared" si="5"/>
        <v>3.8444325481798716</v>
      </c>
    </row>
    <row r="82" spans="1:6" x14ac:dyDescent="0.2">
      <c r="A82" s="20">
        <v>16</v>
      </c>
      <c r="B82" s="202" t="s">
        <v>14</v>
      </c>
      <c r="C82" s="203"/>
      <c r="D82" s="15">
        <f t="shared" si="4"/>
        <v>157710</v>
      </c>
      <c r="E82" s="18">
        <f>IF(F3="1",SUMIF(Data!A:A,'55'!$A$2,Data!EN:EN),0)</f>
        <v>606306</v>
      </c>
      <c r="F82" s="22">
        <f t="shared" si="5"/>
        <v>3.8444359901084271</v>
      </c>
    </row>
    <row r="83" spans="1:6" x14ac:dyDescent="0.2">
      <c r="A83" s="20">
        <v>17</v>
      </c>
      <c r="B83" s="202" t="s">
        <v>15</v>
      </c>
      <c r="C83" s="203"/>
      <c r="D83" s="15">
        <f t="shared" si="4"/>
        <v>34936</v>
      </c>
      <c r="E83" s="18">
        <f>IF(F3="1",SUMIF(Data!A:A,'55'!$A$2,Data!EO:EO),0)</f>
        <v>134309</v>
      </c>
      <c r="F83" s="22">
        <f t="shared" si="5"/>
        <v>3.8444298145179756</v>
      </c>
    </row>
    <row r="84" spans="1:6" x14ac:dyDescent="0.2">
      <c r="A84" s="20">
        <v>18</v>
      </c>
      <c r="B84" s="202" t="s">
        <v>16</v>
      </c>
      <c r="C84" s="203"/>
      <c r="D84" s="15">
        <f t="shared" si="4"/>
        <v>0</v>
      </c>
      <c r="E84" s="18">
        <f>IF(F3="1",SUMIF(Data!A:A,'55'!$A$2,Data!EP:EP),0)</f>
        <v>0</v>
      </c>
      <c r="F84" s="22" t="str">
        <f t="shared" si="5"/>
        <v/>
      </c>
    </row>
    <row r="85" spans="1:6" x14ac:dyDescent="0.2">
      <c r="A85" s="20">
        <v>19</v>
      </c>
      <c r="B85" s="202" t="s">
        <v>17</v>
      </c>
      <c r="C85" s="203"/>
      <c r="D85" s="15">
        <f t="shared" si="4"/>
        <v>41336</v>
      </c>
      <c r="E85" s="18">
        <f>IF(F3="1",SUMIF(Data!A:A,'55'!$A$2,Data!EQ:EQ),0)</f>
        <v>158914</v>
      </c>
      <c r="F85" s="22">
        <f t="shared" si="5"/>
        <v>3.844445519643894</v>
      </c>
    </row>
    <row r="86" spans="1:6" x14ac:dyDescent="0.2">
      <c r="A86" s="20">
        <v>20</v>
      </c>
      <c r="B86" s="202" t="s">
        <v>18</v>
      </c>
      <c r="C86" s="203"/>
      <c r="D86" s="15">
        <f t="shared" si="4"/>
        <v>1296</v>
      </c>
      <c r="E86" s="18">
        <f>IF(F3="1",SUMIF(Data!A:A,'55'!$A$2,Data!ER:ER),0)</f>
        <v>4982</v>
      </c>
      <c r="F86" s="22">
        <f t="shared" si="5"/>
        <v>3.8441358024691357</v>
      </c>
    </row>
    <row r="87" spans="1:6" ht="14.25" customHeight="1" x14ac:dyDescent="0.2">
      <c r="A87" s="20">
        <v>21</v>
      </c>
      <c r="B87" s="202" t="s">
        <v>446</v>
      </c>
      <c r="C87" s="203"/>
      <c r="D87" s="15">
        <f t="shared" si="4"/>
        <v>38056</v>
      </c>
      <c r="E87" s="18">
        <f>IF(F3="1",SUMIF(Data!A:A,'55'!$A$2,Data!ES:ES),0)</f>
        <v>146304</v>
      </c>
      <c r="F87" s="22">
        <f t="shared" si="5"/>
        <v>3.844439772966155</v>
      </c>
    </row>
    <row r="88" spans="1:6" x14ac:dyDescent="0.2">
      <c r="A88" s="20">
        <v>22</v>
      </c>
      <c r="B88" s="202" t="s">
        <v>19</v>
      </c>
      <c r="C88" s="203"/>
      <c r="D88" s="15">
        <f t="shared" si="4"/>
        <v>20288</v>
      </c>
      <c r="E88" s="18">
        <f>IF(F3="1",SUMIF(Data!A:A,'55'!$A$2,Data!ET:ET),0)</f>
        <v>77996</v>
      </c>
      <c r="F88" s="22">
        <f t="shared" si="5"/>
        <v>3.8444400630914828</v>
      </c>
    </row>
    <row r="89" spans="1:6" x14ac:dyDescent="0.2">
      <c r="A89" s="20">
        <v>23</v>
      </c>
      <c r="B89" s="202" t="s">
        <v>20</v>
      </c>
      <c r="C89" s="203"/>
      <c r="D89" s="15">
        <f t="shared" si="4"/>
        <v>0</v>
      </c>
      <c r="E89" s="18">
        <f>IF(F3="1",SUMIF(Data!A:A,'55'!$A$2,Data!EU:EU),0)</f>
        <v>0</v>
      </c>
      <c r="F89" s="22" t="str">
        <f t="shared" si="5"/>
        <v/>
      </c>
    </row>
    <row r="90" spans="1:6" x14ac:dyDescent="0.2">
      <c r="A90" s="20">
        <v>24</v>
      </c>
      <c r="B90" s="202" t="s">
        <v>21</v>
      </c>
      <c r="C90" s="203"/>
      <c r="D90" s="15">
        <f t="shared" si="4"/>
        <v>160472</v>
      </c>
      <c r="E90" s="18">
        <f>IF(F3="1",SUMIF(Data!A:A,'55'!$A$2,Data!EV:EV),0)</f>
        <v>616925</v>
      </c>
      <c r="F90" s="22">
        <f t="shared" si="5"/>
        <v>3.8444401515529187</v>
      </c>
    </row>
    <row r="91" spans="1:6" x14ac:dyDescent="0.2">
      <c r="A91" s="20">
        <v>25</v>
      </c>
      <c r="B91" s="202" t="s">
        <v>22</v>
      </c>
      <c r="C91" s="203"/>
      <c r="D91" s="15">
        <f t="shared" si="4"/>
        <v>48624</v>
      </c>
      <c r="E91" s="18">
        <f>IF(F3="1",SUMIF(Data!A:A,'55'!$A$2,Data!EW:EW),0)</f>
        <v>186932</v>
      </c>
      <c r="F91" s="22">
        <f t="shared" si="5"/>
        <v>3.844438960184271</v>
      </c>
    </row>
    <row r="92" spans="1:6" x14ac:dyDescent="0.2">
      <c r="A92" s="20">
        <v>26</v>
      </c>
      <c r="B92" s="202" t="s">
        <v>23</v>
      </c>
      <c r="C92" s="203"/>
      <c r="D92" s="15">
        <f t="shared" si="4"/>
        <v>43104</v>
      </c>
      <c r="E92" s="18">
        <f>IF(F3="1",SUMIF(Data!A:A,'55'!$A$2,Data!EX:EX),0)</f>
        <v>165711</v>
      </c>
      <c r="F92" s="22">
        <f t="shared" si="5"/>
        <v>3.8444459910913142</v>
      </c>
    </row>
    <row r="93" spans="1:6" x14ac:dyDescent="0.2">
      <c r="A93" s="20">
        <v>28</v>
      </c>
      <c r="B93" s="202" t="s">
        <v>24</v>
      </c>
      <c r="C93" s="203"/>
      <c r="D93" s="15">
        <f t="shared" si="4"/>
        <v>67872</v>
      </c>
      <c r="E93" s="18">
        <f>IF(F3="1",SUMIF(Data!A:A,'55'!$A$2,Data!EZ:EZ),0)</f>
        <v>260930</v>
      </c>
      <c r="F93" s="22">
        <f t="shared" si="5"/>
        <v>3.8444424799622818</v>
      </c>
    </row>
    <row r="94" spans="1:6" ht="15.75" customHeight="1" thickBot="1" x14ac:dyDescent="0.25">
      <c r="A94" s="23">
        <v>29</v>
      </c>
      <c r="B94" s="206" t="s">
        <v>25</v>
      </c>
      <c r="C94" s="207"/>
      <c r="D94" s="24">
        <f t="shared" si="4"/>
        <v>75216</v>
      </c>
      <c r="E94" s="25">
        <f>IF(F3="1",SUMIF(Data!A:A,'55'!$A$2,Data!FA:FA),0)</f>
        <v>289163</v>
      </c>
      <c r="F94" s="26">
        <f t="shared" si="5"/>
        <v>3.8444346947457988</v>
      </c>
    </row>
    <row r="95" spans="1:6" x14ac:dyDescent="0.2">
      <c r="B95" s="31" t="s">
        <v>35</v>
      </c>
      <c r="C95" s="31"/>
      <c r="D95" s="60">
        <f>SUM(D67:D94)</f>
        <v>1506258</v>
      </c>
      <c r="E95" s="32">
        <f>SUM(E67:E94)</f>
        <v>5790717</v>
      </c>
      <c r="F95" s="33">
        <f t="shared" si="5"/>
        <v>3.844439000489956</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IF(F3="1",SUMIF(Data!A:A,'55'!$A$2,Data!AH:AH),0)</f>
        <v>3416614</v>
      </c>
      <c r="F98" s="21">
        <f t="shared" ref="F98:F105" si="6">IFERROR(E98/$D$95,0)</f>
        <v>2.2682794049890522</v>
      </c>
    </row>
    <row r="99" spans="2:6" x14ac:dyDescent="0.2">
      <c r="B99" s="212" t="s">
        <v>31</v>
      </c>
      <c r="C99" s="213"/>
      <c r="D99" s="37"/>
      <c r="E99" s="18">
        <f>IF(F3="1",SUMIF(Data!A:A,'55'!$A$2,Data!AI:AI),0)</f>
        <v>1606155</v>
      </c>
      <c r="F99" s="22">
        <f t="shared" si="6"/>
        <v>1.0663213075050888</v>
      </c>
    </row>
    <row r="100" spans="2:6" x14ac:dyDescent="0.2">
      <c r="B100" s="212" t="s">
        <v>32</v>
      </c>
      <c r="C100" s="213"/>
      <c r="D100" s="37"/>
      <c r="E100" s="18">
        <f>IF(F3="1",SUMIF(Data!A:A,'55'!$A$2,Data!AJ:AJ),0)</f>
        <v>355616</v>
      </c>
      <c r="F100" s="22">
        <f t="shared" si="6"/>
        <v>0.23609235602400119</v>
      </c>
    </row>
    <row r="101" spans="2:6" x14ac:dyDescent="0.2">
      <c r="B101" s="212" t="s">
        <v>28</v>
      </c>
      <c r="C101" s="213"/>
      <c r="D101" s="37"/>
      <c r="E101" s="18">
        <f>IF(F3="1",SUMIF(Data!A:A,'55'!$A$2,Data!AK:AK),0)</f>
        <v>0</v>
      </c>
      <c r="F101" s="22">
        <f t="shared" si="6"/>
        <v>0</v>
      </c>
    </row>
    <row r="102" spans="2:6" x14ac:dyDescent="0.2">
      <c r="B102" s="212" t="s">
        <v>33</v>
      </c>
      <c r="C102" s="213"/>
      <c r="D102" s="37"/>
      <c r="E102" s="18">
        <f>IF(F3="1",SUMIF(Data!A:A,'55'!$A$2,Data!AL:AL),0)</f>
        <v>3049654</v>
      </c>
      <c r="F102" s="22">
        <f t="shared" si="6"/>
        <v>2.0246558026579775</v>
      </c>
    </row>
    <row r="103" spans="2:6" x14ac:dyDescent="0.2">
      <c r="B103" s="214" t="s">
        <v>34</v>
      </c>
      <c r="C103" s="215"/>
      <c r="D103" s="37"/>
      <c r="E103" s="18">
        <f>IF(F3="1",SUMIF(Data!A:A,'55'!$A$2,Data!AM:AM),0)</f>
        <v>970122</v>
      </c>
      <c r="F103" s="22">
        <f t="shared" si="6"/>
        <v>0.64406097760144676</v>
      </c>
    </row>
    <row r="104" spans="2:6" ht="15.75" customHeight="1" thickBot="1" x14ac:dyDescent="0.25">
      <c r="B104" s="208" t="s">
        <v>29</v>
      </c>
      <c r="C104" s="209"/>
      <c r="D104" s="38"/>
      <c r="E104" s="25">
        <f>IF(F3="1",SUMIF(Data!A:A,'55'!$A$2,Data!Q:Q),0)</f>
        <v>718860</v>
      </c>
      <c r="F104" s="26">
        <f t="shared" si="6"/>
        <v>0.47724891751612275</v>
      </c>
    </row>
    <row r="105" spans="2:6" x14ac:dyDescent="0.2">
      <c r="B105" s="31" t="s">
        <v>35</v>
      </c>
      <c r="C105" s="31"/>
      <c r="D105" s="35">
        <f>D95</f>
        <v>1506258</v>
      </c>
      <c r="E105" s="32">
        <f>SUM(E98:E104)</f>
        <v>10117021</v>
      </c>
      <c r="F105" s="33">
        <f t="shared" si="6"/>
        <v>6.7166587662936896</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7118667</v>
      </c>
      <c r="D109" s="192">
        <f>IF(F3="1",SUMIF(Data!$A:$A,$A$2,Data!HJ:HJ),0)</f>
        <v>1807004</v>
      </c>
      <c r="E109" s="192">
        <f>IF(F3="1",SUMIF(Data!$A:$A,$A$2,Data!IN:IN),0)</f>
        <v>2724848</v>
      </c>
      <c r="F109" s="48">
        <f>SUM(C109:E109)</f>
        <v>11650519</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185072</v>
      </c>
      <c r="D111" s="52"/>
      <c r="E111" s="193">
        <f>IF(F3="1",SUMIF(Data!A:A,$A$2,Data!AX:AX)-SUMIF(Data!A:A,$A$2,Data!AW:AW),0)</f>
        <v>307258</v>
      </c>
      <c r="F111" s="49">
        <f t="shared" si="7"/>
        <v>492330</v>
      </c>
    </row>
    <row r="112" spans="2:6" x14ac:dyDescent="0.2">
      <c r="B112" s="43" t="s">
        <v>32</v>
      </c>
      <c r="C112" s="193">
        <f>IF(F3="1",SUMIF(Data!A:A,$A$2,Data!V:V),0)</f>
        <v>282693</v>
      </c>
      <c r="D112" s="52"/>
      <c r="E112" s="193">
        <f>IF(F3="1",SUMIF(Data!A:A,$A$2,Data!AC:AC),0)</f>
        <v>72923</v>
      </c>
      <c r="F112" s="49">
        <f t="shared" si="7"/>
        <v>355616</v>
      </c>
    </row>
    <row r="113" spans="1:6" x14ac:dyDescent="0.2">
      <c r="B113" s="43" t="s">
        <v>31</v>
      </c>
      <c r="C113" s="193">
        <f>IF(F3="1",SUMIF(Data!A:A,$A$2,Data!U:U),0)</f>
        <v>608614</v>
      </c>
      <c r="D113" s="52"/>
      <c r="E113" s="193">
        <f>IF(F3="1",SUMIF(Data!A:A,$A$2,Data!AB:AB),0)</f>
        <v>997541</v>
      </c>
      <c r="F113" s="49">
        <f t="shared" si="7"/>
        <v>1606155</v>
      </c>
    </row>
    <row r="114" spans="1:6" x14ac:dyDescent="0.2">
      <c r="B114" s="43" t="s">
        <v>1002</v>
      </c>
      <c r="C114" s="193">
        <f>IF(F3="1",SUMIF(Data!A:A,$A$2,Data!T:T),0)</f>
        <v>1701260</v>
      </c>
      <c r="D114" s="52"/>
      <c r="E114" s="193">
        <f>IF(F3="1",SUMIF(Data!A:A,$A$2,Data!AA:AA),0)</f>
        <v>1715354</v>
      </c>
      <c r="F114" s="49">
        <f t="shared" si="7"/>
        <v>3416614</v>
      </c>
    </row>
    <row r="115" spans="1:6" x14ac:dyDescent="0.2">
      <c r="B115" s="43" t="s">
        <v>916</v>
      </c>
      <c r="C115" s="193">
        <f>IF(F3="1",SUMIF(Data!A:A,$A$2,Data!BI:BI),0)</f>
        <v>403696</v>
      </c>
      <c r="D115" s="193">
        <f>IF(F3="1",SUMIF(Data!A:A,$A$2,Data!BL:BL),0)</f>
        <v>119422</v>
      </c>
      <c r="E115" s="193">
        <f>IF(F3="1",SUMIF(Data!A:A,$A$2,Data!BU:BU)-SUMIF(Data!A:A,$A$2,Data!BT:BT),0)</f>
        <v>934543</v>
      </c>
      <c r="F115" s="49">
        <f t="shared" si="7"/>
        <v>1457661</v>
      </c>
    </row>
    <row r="116" spans="1:6" x14ac:dyDescent="0.2">
      <c r="B116" s="43" t="s">
        <v>33</v>
      </c>
      <c r="C116" s="193">
        <f>IF(F3="1",SUMIF(Data!A:A,$A$2,Data!X:X),0)</f>
        <v>62849</v>
      </c>
      <c r="D116" s="51"/>
      <c r="E116" s="193">
        <f>E102-C116</f>
        <v>2986805</v>
      </c>
      <c r="F116" s="49">
        <f t="shared" si="7"/>
        <v>3049654</v>
      </c>
    </row>
    <row r="117" spans="1:6" ht="15" thickBot="1" x14ac:dyDescent="0.25">
      <c r="B117" s="44" t="s">
        <v>920</v>
      </c>
      <c r="C117" s="53"/>
      <c r="D117" s="53">
        <f>IF(F3="1",SUMIF(Data!A:A,$A$2,Data!Q:Q),0)</f>
        <v>718860</v>
      </c>
      <c r="E117" s="53"/>
      <c r="F117" s="50">
        <f>SUM(C117:E117)</f>
        <v>718860</v>
      </c>
    </row>
    <row r="118" spans="1:6" x14ac:dyDescent="0.2">
      <c r="B118" s="14" t="s">
        <v>35</v>
      </c>
      <c r="C118" s="178">
        <f>SUM(C109:C117)</f>
        <v>10362851</v>
      </c>
      <c r="D118" s="194">
        <f>SUM(D109:D117)</f>
        <v>2645286</v>
      </c>
      <c r="E118" s="178">
        <f>SUM(E109:E117)</f>
        <v>9739272</v>
      </c>
      <c r="F118" s="178">
        <f>SUM(F109:F117)</f>
        <v>22747409</v>
      </c>
    </row>
    <row r="119" spans="1:6" x14ac:dyDescent="0.2">
      <c r="C119" s="177"/>
      <c r="D119" s="177"/>
      <c r="E119" s="177"/>
    </row>
    <row r="120" spans="1:6" ht="15" thickBot="1" x14ac:dyDescent="0.25">
      <c r="B120" s="188" t="s">
        <v>921</v>
      </c>
      <c r="C120" s="53"/>
      <c r="D120" s="53"/>
      <c r="E120" s="195">
        <f>IF(F3="1",SUMIF(Data!A:A,$A$2,Data!AF:AF)+SUMIF(Data!A:A,$A$2,Data!AW:AW)+SUMIF(Data!A:A,$A$2,Data!BT:BT),0)</f>
        <v>970122</v>
      </c>
      <c r="F120" s="181">
        <f>SUM(C120:E120)</f>
        <v>970122</v>
      </c>
    </row>
    <row r="121" spans="1:6" s="177" customFormat="1" x14ac:dyDescent="0.2">
      <c r="B121" s="14" t="s">
        <v>35</v>
      </c>
      <c r="C121" s="178">
        <f>SUM(C120:C120)</f>
        <v>0</v>
      </c>
      <c r="D121" s="178">
        <f>SUM(D120:D120)</f>
        <v>0</v>
      </c>
      <c r="E121" s="178">
        <f>SUM(E120:E120)</f>
        <v>970122</v>
      </c>
      <c r="F121" s="178">
        <f>SUM(F120:F120)</f>
        <v>970122</v>
      </c>
    </row>
    <row r="122" spans="1:6" s="177" customFormat="1" ht="15" thickBot="1" x14ac:dyDescent="0.25">
      <c r="B122" s="14" t="s">
        <v>1396</v>
      </c>
      <c r="C122" s="178"/>
      <c r="D122" s="178"/>
      <c r="E122" s="178"/>
      <c r="F122" s="190">
        <f>F118+F121</f>
        <v>23717531</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1"/>
    <col min="22" max="22" width="17.85546875" style="11" bestFit="1" customWidth="1"/>
    <col min="23" max="25" width="9.140625" style="11"/>
    <col min="26" max="26" width="17.85546875" style="11" bestFit="1" customWidth="1"/>
    <col min="27" max="16384" width="9.140625" style="11"/>
  </cols>
  <sheetData>
    <row r="1" spans="1:6" x14ac:dyDescent="0.2">
      <c r="A1" s="39" t="str">
        <f>Summary!A1</f>
        <v>Community and Technical Colleges, Report of Fundable Operating Expenses, Fiscal Year (FY) 2012</v>
      </c>
      <c r="B1" s="39"/>
      <c r="C1" s="39"/>
      <c r="D1" s="39"/>
      <c r="E1" s="39"/>
      <c r="F1" s="39"/>
    </row>
    <row r="2" spans="1:6" x14ac:dyDescent="0.2">
      <c r="A2" s="6" t="s">
        <v>437</v>
      </c>
      <c r="B2" s="59" t="str">
        <f>VLOOKUP(A2,Data!A:G,7,0)</f>
        <v>Lamar State College-Orange</v>
      </c>
      <c r="C2" s="59"/>
    </row>
    <row r="3" spans="1:6" ht="15" thickBot="1" x14ac:dyDescent="0.25">
      <c r="A3" s="4"/>
      <c r="F3" s="57" t="str">
        <f>IFERROR(VLOOKUP(A2,Data!A:C,3,0),"0")</f>
        <v>1</v>
      </c>
    </row>
    <row r="4" spans="1:6" ht="29.25" customHeight="1" x14ac:dyDescent="0.2">
      <c r="A4" s="27" t="s">
        <v>26</v>
      </c>
      <c r="B4" s="204" t="s">
        <v>450</v>
      </c>
      <c r="C4" s="205"/>
      <c r="D4" s="29" t="s">
        <v>27</v>
      </c>
      <c r="E4" s="29" t="s">
        <v>447</v>
      </c>
      <c r="F4" s="30" t="s">
        <v>448</v>
      </c>
    </row>
    <row r="5" spans="1:6" x14ac:dyDescent="0.2">
      <c r="A5" s="20">
        <v>1</v>
      </c>
      <c r="B5" s="202" t="s">
        <v>0</v>
      </c>
      <c r="C5" s="203"/>
      <c r="D5" s="15">
        <f>D36</f>
        <v>1040</v>
      </c>
      <c r="E5" s="16">
        <f>E36+E67+IFERROR($E$105/$D$105*D5,0)</f>
        <v>11585.060745403391</v>
      </c>
      <c r="F5" s="21">
        <f>IFERROR(E5/D5,"")</f>
        <v>11.139481485964799</v>
      </c>
    </row>
    <row r="6" spans="1:6" x14ac:dyDescent="0.2">
      <c r="A6" s="20">
        <v>2</v>
      </c>
      <c r="B6" s="202" t="s">
        <v>1</v>
      </c>
      <c r="C6" s="203"/>
      <c r="D6" s="15">
        <f t="shared" ref="D6:D32" si="0">D37</f>
        <v>1232</v>
      </c>
      <c r="E6" s="18">
        <f t="shared" ref="E6:E32" si="1">E37+E68+IFERROR($E$105/$D$105*D6,0)</f>
        <v>7535.4104214778636</v>
      </c>
      <c r="F6" s="22">
        <f t="shared" ref="F6:F33" si="2">IFERROR(E6/D6,"")</f>
        <v>6.116404562887876</v>
      </c>
    </row>
    <row r="7" spans="1:6" ht="14.25" customHeight="1" x14ac:dyDescent="0.2">
      <c r="A7" s="20">
        <v>3</v>
      </c>
      <c r="B7" s="202" t="s">
        <v>2</v>
      </c>
      <c r="C7" s="203"/>
      <c r="D7" s="15">
        <f t="shared" si="0"/>
        <v>169392</v>
      </c>
      <c r="E7" s="18">
        <f t="shared" si="1"/>
        <v>1867325.0017167032</v>
      </c>
      <c r="F7" s="22">
        <f t="shared" si="2"/>
        <v>11.023690621261354</v>
      </c>
    </row>
    <row r="8" spans="1:6" ht="14.25" customHeight="1" x14ac:dyDescent="0.2">
      <c r="A8" s="20">
        <v>4</v>
      </c>
      <c r="B8" s="202" t="s">
        <v>3</v>
      </c>
      <c r="C8" s="203"/>
      <c r="D8" s="15">
        <f t="shared" si="0"/>
        <v>58800</v>
      </c>
      <c r="E8" s="18">
        <f t="shared" si="1"/>
        <v>651842.58829780715</v>
      </c>
      <c r="F8" s="22">
        <f t="shared" si="2"/>
        <v>11.085758304384475</v>
      </c>
    </row>
    <row r="9" spans="1:6" x14ac:dyDescent="0.2">
      <c r="A9" s="20">
        <v>5</v>
      </c>
      <c r="B9" s="202" t="s">
        <v>4</v>
      </c>
      <c r="C9" s="203"/>
      <c r="D9" s="15">
        <f t="shared" si="0"/>
        <v>0</v>
      </c>
      <c r="E9" s="18">
        <f t="shared" si="1"/>
        <v>0</v>
      </c>
      <c r="F9" s="22" t="str">
        <f t="shared" si="2"/>
        <v/>
      </c>
    </row>
    <row r="10" spans="1:6" x14ac:dyDescent="0.2">
      <c r="A10" s="20">
        <v>6</v>
      </c>
      <c r="B10" s="202" t="s">
        <v>5</v>
      </c>
      <c r="C10" s="203"/>
      <c r="D10" s="15">
        <f t="shared" si="0"/>
        <v>96</v>
      </c>
      <c r="E10" s="18">
        <f t="shared" si="1"/>
        <v>587.1748380372361</v>
      </c>
      <c r="F10" s="22">
        <f t="shared" si="2"/>
        <v>6.116404562887876</v>
      </c>
    </row>
    <row r="11" spans="1:6" x14ac:dyDescent="0.2">
      <c r="A11" s="20">
        <v>7</v>
      </c>
      <c r="B11" s="202" t="s">
        <v>6</v>
      </c>
      <c r="C11" s="203"/>
      <c r="D11" s="15">
        <f t="shared" si="0"/>
        <v>37376</v>
      </c>
      <c r="E11" s="18">
        <f t="shared" si="1"/>
        <v>411159.73694249726</v>
      </c>
      <c r="F11" s="22">
        <f t="shared" si="2"/>
        <v>11.000635085148151</v>
      </c>
    </row>
    <row r="12" spans="1:6" x14ac:dyDescent="0.2">
      <c r="A12" s="20">
        <v>8</v>
      </c>
      <c r="B12" s="202" t="s">
        <v>7</v>
      </c>
      <c r="C12" s="203"/>
      <c r="D12" s="15">
        <f t="shared" si="0"/>
        <v>512</v>
      </c>
      <c r="E12" s="18">
        <f t="shared" si="1"/>
        <v>5703.5991361985925</v>
      </c>
      <c r="F12" s="22">
        <f t="shared" si="2"/>
        <v>11.139842062887876</v>
      </c>
    </row>
    <row r="13" spans="1:6" x14ac:dyDescent="0.2">
      <c r="A13" s="20">
        <v>9</v>
      </c>
      <c r="B13" s="202" t="s">
        <v>8</v>
      </c>
      <c r="C13" s="203"/>
      <c r="D13" s="15">
        <f t="shared" si="0"/>
        <v>27856</v>
      </c>
      <c r="E13" s="18">
        <f t="shared" si="1"/>
        <v>300520.56550380471</v>
      </c>
      <c r="F13" s="22">
        <f t="shared" si="2"/>
        <v>10.788360335432392</v>
      </c>
    </row>
    <row r="14" spans="1:6" x14ac:dyDescent="0.2">
      <c r="A14" s="20">
        <v>10</v>
      </c>
      <c r="B14" s="202" t="s">
        <v>9</v>
      </c>
      <c r="C14" s="203"/>
      <c r="D14" s="15">
        <f t="shared" si="0"/>
        <v>0</v>
      </c>
      <c r="E14" s="18">
        <f t="shared" si="1"/>
        <v>0</v>
      </c>
      <c r="F14" s="22" t="str">
        <f t="shared" si="2"/>
        <v/>
      </c>
    </row>
    <row r="15" spans="1:6" x14ac:dyDescent="0.2">
      <c r="A15" s="20">
        <v>11</v>
      </c>
      <c r="B15" s="202" t="s">
        <v>10</v>
      </c>
      <c r="C15" s="203"/>
      <c r="D15" s="15">
        <f t="shared" si="0"/>
        <v>12536</v>
      </c>
      <c r="E15" s="18">
        <f t="shared" si="1"/>
        <v>130855.24760036242</v>
      </c>
      <c r="F15" s="22">
        <f t="shared" si="2"/>
        <v>10.438357338892981</v>
      </c>
    </row>
    <row r="16" spans="1:6" ht="14.25" customHeight="1" x14ac:dyDescent="0.2">
      <c r="A16" s="20">
        <v>12</v>
      </c>
      <c r="B16" s="202" t="s">
        <v>11</v>
      </c>
      <c r="C16" s="203"/>
      <c r="D16" s="15">
        <f t="shared" si="0"/>
        <v>103488</v>
      </c>
      <c r="E16" s="18">
        <f t="shared" si="1"/>
        <v>1167693.4754041405</v>
      </c>
      <c r="F16" s="22">
        <f t="shared" si="2"/>
        <v>11.28337078119338</v>
      </c>
    </row>
    <row r="17" spans="1:6" x14ac:dyDescent="0.2">
      <c r="A17" s="20">
        <v>13</v>
      </c>
      <c r="B17" s="202" t="s">
        <v>12</v>
      </c>
      <c r="C17" s="203"/>
      <c r="D17" s="15">
        <f t="shared" si="0"/>
        <v>7248</v>
      </c>
      <c r="E17" s="18">
        <f t="shared" si="1"/>
        <v>79539.700271811336</v>
      </c>
      <c r="F17" s="22">
        <f t="shared" si="2"/>
        <v>10.974020456927613</v>
      </c>
    </row>
    <row r="18" spans="1:6" ht="14.25" customHeight="1" x14ac:dyDescent="0.2">
      <c r="A18" s="20">
        <v>14</v>
      </c>
      <c r="B18" s="202" t="s">
        <v>449</v>
      </c>
      <c r="C18" s="203"/>
      <c r="D18" s="15">
        <f t="shared" si="0"/>
        <v>134556</v>
      </c>
      <c r="E18" s="18">
        <f t="shared" si="1"/>
        <v>1493002.9323639411</v>
      </c>
      <c r="F18" s="22">
        <f t="shared" si="2"/>
        <v>11.095773747465302</v>
      </c>
    </row>
    <row r="19" spans="1:6" x14ac:dyDescent="0.2">
      <c r="A19" s="20">
        <v>15</v>
      </c>
      <c r="B19" s="202" t="s">
        <v>13</v>
      </c>
      <c r="C19" s="203"/>
      <c r="D19" s="15">
        <f t="shared" si="0"/>
        <v>0</v>
      </c>
      <c r="E19" s="18">
        <f t="shared" si="1"/>
        <v>0</v>
      </c>
      <c r="F19" s="22" t="str">
        <f t="shared" si="2"/>
        <v/>
      </c>
    </row>
    <row r="20" spans="1:6" x14ac:dyDescent="0.2">
      <c r="A20" s="20">
        <v>16</v>
      </c>
      <c r="B20" s="202" t="s">
        <v>14</v>
      </c>
      <c r="C20" s="203"/>
      <c r="D20" s="15">
        <f t="shared" si="0"/>
        <v>25056</v>
      </c>
      <c r="E20" s="18">
        <f t="shared" si="1"/>
        <v>276883.63272771862</v>
      </c>
      <c r="F20" s="22">
        <f t="shared" si="2"/>
        <v>11.050591983066676</v>
      </c>
    </row>
    <row r="21" spans="1:6" x14ac:dyDescent="0.2">
      <c r="A21" s="20">
        <v>17</v>
      </c>
      <c r="B21" s="202" t="s">
        <v>15</v>
      </c>
      <c r="C21" s="203"/>
      <c r="D21" s="15">
        <f t="shared" si="0"/>
        <v>0</v>
      </c>
      <c r="E21" s="18">
        <f t="shared" si="1"/>
        <v>0</v>
      </c>
      <c r="F21" s="22" t="str">
        <f t="shared" si="2"/>
        <v/>
      </c>
    </row>
    <row r="22" spans="1:6" x14ac:dyDescent="0.2">
      <c r="A22" s="20">
        <v>18</v>
      </c>
      <c r="B22" s="202" t="s">
        <v>16</v>
      </c>
      <c r="C22" s="203"/>
      <c r="D22" s="15">
        <f t="shared" si="0"/>
        <v>285792</v>
      </c>
      <c r="E22" s="18">
        <f t="shared" si="1"/>
        <v>3182721.4928368516</v>
      </c>
      <c r="F22" s="22">
        <f t="shared" si="2"/>
        <v>11.136496097990328</v>
      </c>
    </row>
    <row r="23" spans="1:6" x14ac:dyDescent="0.2">
      <c r="A23" s="20">
        <v>19</v>
      </c>
      <c r="B23" s="202" t="s">
        <v>17</v>
      </c>
      <c r="C23" s="203"/>
      <c r="D23" s="15">
        <f t="shared" si="0"/>
        <v>27856</v>
      </c>
      <c r="E23" s="18">
        <f t="shared" si="1"/>
        <v>309363.56550380471</v>
      </c>
      <c r="F23" s="22">
        <f t="shared" si="2"/>
        <v>11.105814384829291</v>
      </c>
    </row>
    <row r="24" spans="1:6" x14ac:dyDescent="0.2">
      <c r="A24" s="20">
        <v>20</v>
      </c>
      <c r="B24" s="202" t="s">
        <v>18</v>
      </c>
      <c r="C24" s="203"/>
      <c r="D24" s="15">
        <f t="shared" si="0"/>
        <v>0</v>
      </c>
      <c r="E24" s="18">
        <f t="shared" si="1"/>
        <v>0</v>
      </c>
      <c r="F24" s="22" t="str">
        <f t="shared" si="2"/>
        <v/>
      </c>
    </row>
    <row r="25" spans="1:6" ht="14.25" customHeight="1" x14ac:dyDescent="0.2">
      <c r="A25" s="20">
        <v>21</v>
      </c>
      <c r="B25" s="202" t="s">
        <v>446</v>
      </c>
      <c r="C25" s="203"/>
      <c r="D25" s="15">
        <f t="shared" si="0"/>
        <v>1504</v>
      </c>
      <c r="E25" s="18">
        <f t="shared" si="1"/>
        <v>9199.0724625833664</v>
      </c>
      <c r="F25" s="22">
        <f t="shared" si="2"/>
        <v>6.1164045628878769</v>
      </c>
    </row>
    <row r="26" spans="1:6" x14ac:dyDescent="0.2">
      <c r="A26" s="20">
        <v>22</v>
      </c>
      <c r="B26" s="202" t="s">
        <v>19</v>
      </c>
      <c r="C26" s="203"/>
      <c r="D26" s="15">
        <f t="shared" si="0"/>
        <v>1040</v>
      </c>
      <c r="E26" s="18">
        <f t="shared" si="1"/>
        <v>11186.060745403391</v>
      </c>
      <c r="F26" s="22">
        <f t="shared" si="2"/>
        <v>10.755827639810953</v>
      </c>
    </row>
    <row r="27" spans="1:6" x14ac:dyDescent="0.2">
      <c r="A27" s="20">
        <v>23</v>
      </c>
      <c r="B27" s="202" t="s">
        <v>20</v>
      </c>
      <c r="C27" s="203"/>
      <c r="D27" s="15">
        <f t="shared" si="0"/>
        <v>13008</v>
      </c>
      <c r="E27" s="18">
        <f t="shared" si="1"/>
        <v>144913.19055404549</v>
      </c>
      <c r="F27" s="22">
        <f t="shared" si="2"/>
        <v>11.140312926971516</v>
      </c>
    </row>
    <row r="28" spans="1:6" x14ac:dyDescent="0.2">
      <c r="A28" s="20">
        <v>24</v>
      </c>
      <c r="B28" s="202" t="s">
        <v>21</v>
      </c>
      <c r="C28" s="203"/>
      <c r="D28" s="15">
        <f t="shared" si="0"/>
        <v>19968</v>
      </c>
      <c r="E28" s="18">
        <f t="shared" si="1"/>
        <v>212323.36631174511</v>
      </c>
      <c r="F28" s="22">
        <f t="shared" si="2"/>
        <v>10.633181405836593</v>
      </c>
    </row>
    <row r="29" spans="1:6" x14ac:dyDescent="0.2">
      <c r="A29" s="20">
        <v>25</v>
      </c>
      <c r="B29" s="202" t="s">
        <v>22</v>
      </c>
      <c r="C29" s="203"/>
      <c r="D29" s="15">
        <f t="shared" si="0"/>
        <v>160656</v>
      </c>
      <c r="E29" s="18">
        <f t="shared" si="1"/>
        <v>1778202.0914553148</v>
      </c>
      <c r="F29" s="22">
        <f t="shared" si="2"/>
        <v>11.068382702515404</v>
      </c>
    </row>
    <row r="30" spans="1:6" x14ac:dyDescent="0.2">
      <c r="A30" s="20">
        <v>26</v>
      </c>
      <c r="B30" s="202" t="s">
        <v>23</v>
      </c>
      <c r="C30" s="203"/>
      <c r="D30" s="15">
        <f t="shared" si="0"/>
        <v>25172</v>
      </c>
      <c r="E30" s="18">
        <f t="shared" si="1"/>
        <v>274057.13565701363</v>
      </c>
      <c r="F30" s="22">
        <f t="shared" si="2"/>
        <v>10.887380250159447</v>
      </c>
    </row>
    <row r="31" spans="1:6" x14ac:dyDescent="0.2">
      <c r="A31" s="20">
        <v>28</v>
      </c>
      <c r="B31" s="202" t="s">
        <v>24</v>
      </c>
      <c r="C31" s="203"/>
      <c r="D31" s="15">
        <f t="shared" si="0"/>
        <v>43152</v>
      </c>
      <c r="E31" s="18">
        <f t="shared" si="1"/>
        <v>480731.08969773765</v>
      </c>
      <c r="F31" s="22">
        <f t="shared" si="2"/>
        <v>11.140412720099594</v>
      </c>
    </row>
    <row r="32" spans="1:6" ht="15.75" customHeight="1" thickBot="1" x14ac:dyDescent="0.25">
      <c r="A32" s="23">
        <v>29</v>
      </c>
      <c r="B32" s="206" t="s">
        <v>25</v>
      </c>
      <c r="C32" s="207"/>
      <c r="D32" s="24">
        <f t="shared" si="0"/>
        <v>17008</v>
      </c>
      <c r="E32" s="25">
        <f t="shared" si="1"/>
        <v>166003.80880559701</v>
      </c>
      <c r="F32" s="26">
        <f t="shared" si="2"/>
        <v>9.7603368300562678</v>
      </c>
    </row>
    <row r="33" spans="1:6" x14ac:dyDescent="0.2">
      <c r="B33" s="31" t="s">
        <v>35</v>
      </c>
      <c r="C33" s="31"/>
      <c r="D33" s="60">
        <f>SUM(D5:D32)</f>
        <v>1174344</v>
      </c>
      <c r="E33" s="32">
        <f>SUM(E5:E32)</f>
        <v>12972935</v>
      </c>
      <c r="F33" s="33">
        <f t="shared" si="2"/>
        <v>11.046963240753987</v>
      </c>
    </row>
    <row r="34" spans="1:6" ht="15" thickBot="1" x14ac:dyDescent="0.25"/>
    <row r="35" spans="1:6" ht="29.25" customHeight="1" x14ac:dyDescent="0.2">
      <c r="A35" s="27" t="s">
        <v>26</v>
      </c>
      <c r="B35" s="204" t="s">
        <v>451</v>
      </c>
      <c r="C35" s="205"/>
      <c r="D35" s="29" t="s">
        <v>27</v>
      </c>
      <c r="E35" s="29" t="s">
        <v>447</v>
      </c>
      <c r="F35" s="30" t="s">
        <v>448</v>
      </c>
    </row>
    <row r="36" spans="1:6" x14ac:dyDescent="0.2">
      <c r="A36" s="20">
        <v>1</v>
      </c>
      <c r="B36" s="202" t="s">
        <v>0</v>
      </c>
      <c r="C36" s="203"/>
      <c r="D36" s="15">
        <f>IF(F3="1",SUMIF(Data!A:A,'56'!$A$2,Data!CU:CU),0)</f>
        <v>1040</v>
      </c>
      <c r="E36" s="16">
        <f>IF(F3="1",SUMIF(Data!$A:$A,'56'!$A$2,Data!IO:IO),0)</f>
        <v>1995</v>
      </c>
      <c r="F36" s="21">
        <f t="shared" ref="F36:F64" si="3">IFERROR(E36/D36,"")</f>
        <v>1.9182692307692308</v>
      </c>
    </row>
    <row r="37" spans="1:6" x14ac:dyDescent="0.2">
      <c r="A37" s="20">
        <v>2</v>
      </c>
      <c r="B37" s="202" t="s">
        <v>1</v>
      </c>
      <c r="C37" s="203"/>
      <c r="D37" s="15">
        <f>IF(F3="1",SUMIF(Data!A:A,'56'!$A$2,Data!CV:CV),0)</f>
        <v>1232</v>
      </c>
      <c r="E37" s="18">
        <f>IF(F3="1",SUMIF(Data!$A:$A,'56'!$A$2,Data!IP:IP),0)</f>
        <v>0</v>
      </c>
      <c r="F37" s="22">
        <f t="shared" si="3"/>
        <v>0</v>
      </c>
    </row>
    <row r="38" spans="1:6" ht="14.25" customHeight="1" x14ac:dyDescent="0.2">
      <c r="A38" s="20">
        <v>3</v>
      </c>
      <c r="B38" s="202" t="s">
        <v>2</v>
      </c>
      <c r="C38" s="203"/>
      <c r="D38" s="15">
        <f>IF(F3="1",SUMIF(Data!A:A,'56'!$A$2,Data!CW:CW),0)</f>
        <v>169392</v>
      </c>
      <c r="E38" s="18">
        <f>IF(F3="1",SUMIF(Data!$A:$A,'56'!$A$2,Data!IQ:IQ),0)</f>
        <v>317468</v>
      </c>
      <c r="F38" s="22">
        <f t="shared" si="3"/>
        <v>1.8741617077547936</v>
      </c>
    </row>
    <row r="39" spans="1:6" ht="14.25" customHeight="1" x14ac:dyDescent="0.2">
      <c r="A39" s="20">
        <v>4</v>
      </c>
      <c r="B39" s="202" t="s">
        <v>3</v>
      </c>
      <c r="C39" s="203"/>
      <c r="D39" s="15">
        <f>IF(F3="1",SUMIF(Data!A:A,'56'!$A$2,Data!CX:CX),0)</f>
        <v>58800</v>
      </c>
      <c r="E39" s="18">
        <f>IF(F3="1",SUMIF(Data!$A:$A,'56'!$A$2,Data!IR:IR),0)</f>
        <v>111595</v>
      </c>
      <c r="F39" s="22">
        <f t="shared" si="3"/>
        <v>1.8978741496598639</v>
      </c>
    </row>
    <row r="40" spans="1:6" x14ac:dyDescent="0.2">
      <c r="A40" s="20">
        <v>5</v>
      </c>
      <c r="B40" s="202" t="s">
        <v>4</v>
      </c>
      <c r="C40" s="203"/>
      <c r="D40" s="15">
        <f>IF(F3="1",SUMIF(Data!A:A,'56'!$A$2,Data!CY:CY),0)</f>
        <v>0</v>
      </c>
      <c r="E40" s="18">
        <f>IF(F3="1",SUMIF(Data!$A:$A,'56'!$A$2,Data!IS:IS),0)</f>
        <v>0</v>
      </c>
      <c r="F40" s="22" t="str">
        <f t="shared" si="3"/>
        <v/>
      </c>
    </row>
    <row r="41" spans="1:6" x14ac:dyDescent="0.2">
      <c r="A41" s="20">
        <v>6</v>
      </c>
      <c r="B41" s="202" t="s">
        <v>5</v>
      </c>
      <c r="C41" s="203"/>
      <c r="D41" s="15">
        <f>IF(F3="1",SUMIF(Data!A:A,'56'!$A$2,Data!CZ:CZ),0)</f>
        <v>96</v>
      </c>
      <c r="E41" s="18">
        <f>IF(F3="1",SUMIF(Data!$A:$A,'56'!$A$2,Data!IT:IT),0)</f>
        <v>0</v>
      </c>
      <c r="F41" s="22">
        <f t="shared" si="3"/>
        <v>0</v>
      </c>
    </row>
    <row r="42" spans="1:6" x14ac:dyDescent="0.2">
      <c r="A42" s="20">
        <v>7</v>
      </c>
      <c r="B42" s="202" t="s">
        <v>6</v>
      </c>
      <c r="C42" s="203"/>
      <c r="D42" s="15">
        <f>IF(F3="1",SUMIF(Data!A:A,'56'!$A$2,Data!DA:DA),0)</f>
        <v>37376</v>
      </c>
      <c r="E42" s="18">
        <f>IF(F3="1",SUMIF(Data!$A:$A,'56'!$A$2,Data!IU:IU),0)</f>
        <v>69720</v>
      </c>
      <c r="F42" s="22">
        <f t="shared" si="3"/>
        <v>1.8653681506849316</v>
      </c>
    </row>
    <row r="43" spans="1:6" x14ac:dyDescent="0.2">
      <c r="A43" s="20">
        <v>8</v>
      </c>
      <c r="B43" s="202" t="s">
        <v>7</v>
      </c>
      <c r="C43" s="203"/>
      <c r="D43" s="15">
        <f>IF(F3="1",SUMIF(Data!A:A,'56'!$A$2,Data!DB:DB),0)</f>
        <v>512</v>
      </c>
      <c r="E43" s="18">
        <f>IF(F3="1",SUMIF(Data!$A:$A,'56'!$A$2,Data!IV:IV),0)</f>
        <v>982</v>
      </c>
      <c r="F43" s="22">
        <f t="shared" si="3"/>
        <v>1.91796875</v>
      </c>
    </row>
    <row r="44" spans="1:6" x14ac:dyDescent="0.2">
      <c r="A44" s="20">
        <v>9</v>
      </c>
      <c r="B44" s="202" t="s">
        <v>8</v>
      </c>
      <c r="C44" s="203"/>
      <c r="D44" s="15">
        <f>IF(F3="1",SUMIF(Data!A:A,'56'!$A$2,Data!DC:DC),0)</f>
        <v>27856</v>
      </c>
      <c r="E44" s="18">
        <f>IF(F3="1",SUMIF(Data!$A:$A,'56'!$A$2,Data!IW:IW),0)</f>
        <v>49703</v>
      </c>
      <c r="F44" s="22">
        <f t="shared" si="3"/>
        <v>1.7842834577828834</v>
      </c>
    </row>
    <row r="45" spans="1:6" x14ac:dyDescent="0.2">
      <c r="A45" s="20">
        <v>10</v>
      </c>
      <c r="B45" s="202" t="s">
        <v>9</v>
      </c>
      <c r="C45" s="203"/>
      <c r="D45" s="15">
        <f>IF(F3="1",SUMIF(Data!A:A,'56'!$A$2,Data!DD:DD),0)</f>
        <v>0</v>
      </c>
      <c r="E45" s="18">
        <f>IF(F3="1",SUMIF(Data!$A:$A,'56'!$A$2,Data!IX:IX),0)</f>
        <v>0</v>
      </c>
      <c r="F45" s="22" t="str">
        <f t="shared" si="3"/>
        <v/>
      </c>
    </row>
    <row r="46" spans="1:6" x14ac:dyDescent="0.2">
      <c r="A46" s="20">
        <v>11</v>
      </c>
      <c r="B46" s="202" t="s">
        <v>10</v>
      </c>
      <c r="C46" s="203"/>
      <c r="D46" s="15">
        <f>IF(F3="1",SUMIF(Data!A:A,'56'!$A$2,Data!DE:DE),0)</f>
        <v>12536</v>
      </c>
      <c r="E46" s="18">
        <f>IF(F3="1",SUMIF(Data!$A:$A,'56'!$A$2,Data!IY:IY),0)</f>
        <v>20693</v>
      </c>
      <c r="F46" s="22">
        <f t="shared" si="3"/>
        <v>1.6506860242501595</v>
      </c>
    </row>
    <row r="47" spans="1:6" ht="14.25" customHeight="1" x14ac:dyDescent="0.2">
      <c r="A47" s="20">
        <v>12</v>
      </c>
      <c r="B47" s="202" t="s">
        <v>11</v>
      </c>
      <c r="C47" s="203"/>
      <c r="D47" s="15">
        <f>IF(F3="1",SUMIF(Data!A:A,'56'!$A$2,Data!DF:DF),0)</f>
        <v>103488</v>
      </c>
      <c r="E47" s="18">
        <f>IF(F3="1",SUMIF(Data!$A:$A,'56'!$A$2,Data!IZ:IZ),0)</f>
        <v>204217</v>
      </c>
      <c r="F47" s="22">
        <f t="shared" si="3"/>
        <v>1.9733399041434756</v>
      </c>
    </row>
    <row r="48" spans="1:6" x14ac:dyDescent="0.2">
      <c r="A48" s="20">
        <v>13</v>
      </c>
      <c r="B48" s="202" t="s">
        <v>12</v>
      </c>
      <c r="C48" s="203"/>
      <c r="D48" s="15">
        <f>IF(F3="1",SUMIF(Data!A:A,'56'!$A$2,Data!DG:DG),0)</f>
        <v>7248</v>
      </c>
      <c r="E48" s="18">
        <f>IF(F3="1",SUMIF(Data!$A:$A,'56'!$A$2,Data!JA:JA),0)</f>
        <v>13446</v>
      </c>
      <c r="F48" s="22">
        <f t="shared" si="3"/>
        <v>1.8551324503311257</v>
      </c>
    </row>
    <row r="49" spans="1:6" ht="14.25" customHeight="1" x14ac:dyDescent="0.2">
      <c r="A49" s="20">
        <v>14</v>
      </c>
      <c r="B49" s="202" t="s">
        <v>449</v>
      </c>
      <c r="C49" s="203"/>
      <c r="D49" s="15">
        <f>IF(F3="1",SUMIF(Data!A:A,'56'!$A$2,Data!DH:DH),0)</f>
        <v>134556</v>
      </c>
      <c r="E49" s="18">
        <f>IF(F3="1",SUMIF(Data!$A:$A,'56'!$A$2,Data!JB:JB),0)</f>
        <v>255883</v>
      </c>
      <c r="F49" s="22">
        <f t="shared" si="3"/>
        <v>1.9016840571955171</v>
      </c>
    </row>
    <row r="50" spans="1:6" x14ac:dyDescent="0.2">
      <c r="A50" s="20">
        <v>15</v>
      </c>
      <c r="B50" s="202" t="s">
        <v>13</v>
      </c>
      <c r="C50" s="203"/>
      <c r="D50" s="15">
        <f>IF(F3="1",SUMIF(Data!A:A,'56'!$A$2,Data!DI:DI),0)</f>
        <v>0</v>
      </c>
      <c r="E50" s="18">
        <f>IF(F3="1",SUMIF(Data!$A:$A,'56'!$A$2,Data!JC:JC),0)</f>
        <v>0</v>
      </c>
      <c r="F50" s="22" t="str">
        <f t="shared" si="3"/>
        <v/>
      </c>
    </row>
    <row r="51" spans="1:6" x14ac:dyDescent="0.2">
      <c r="A51" s="20">
        <v>16</v>
      </c>
      <c r="B51" s="202" t="s">
        <v>14</v>
      </c>
      <c r="C51" s="203"/>
      <c r="D51" s="15">
        <f>IF(F3="1",SUMIF(Data!A:A,'56'!$A$2,Data!DJ:DJ),0)</f>
        <v>25056</v>
      </c>
      <c r="E51" s="18">
        <f>IF(F3="1",SUMIF(Data!$A:$A,'56'!$A$2,Data!JD:JD),0)</f>
        <v>47216</v>
      </c>
      <c r="F51" s="22">
        <f t="shared" si="3"/>
        <v>1.884418901660281</v>
      </c>
    </row>
    <row r="52" spans="1:6" x14ac:dyDescent="0.2">
      <c r="A52" s="20">
        <v>17</v>
      </c>
      <c r="B52" s="202" t="s">
        <v>15</v>
      </c>
      <c r="C52" s="203"/>
      <c r="D52" s="15">
        <f>IF(F3="1",SUMIF(Data!A:A,'56'!$A$2,Data!DK:DK),0)</f>
        <v>0</v>
      </c>
      <c r="E52" s="18">
        <f>IF(F3="1",SUMIF(Data!$A:$A,'56'!$A$2,Data!JE:JE),0)</f>
        <v>0</v>
      </c>
      <c r="F52" s="22" t="str">
        <f t="shared" si="3"/>
        <v/>
      </c>
    </row>
    <row r="53" spans="1:6" x14ac:dyDescent="0.2">
      <c r="A53" s="20">
        <v>18</v>
      </c>
      <c r="B53" s="202" t="s">
        <v>16</v>
      </c>
      <c r="C53" s="203"/>
      <c r="D53" s="15">
        <f>IF(F3="1",SUMIF(Data!A:A,'56'!$A$2,Data!DL:DL),0)</f>
        <v>285792</v>
      </c>
      <c r="E53" s="18">
        <f>IF(F3="1",SUMIF(Data!$A:$A,'56'!$A$2,Data!JF:JF),0)</f>
        <v>547933</v>
      </c>
      <c r="F53" s="22">
        <f t="shared" si="3"/>
        <v>1.9172440096293808</v>
      </c>
    </row>
    <row r="54" spans="1:6" x14ac:dyDescent="0.2">
      <c r="A54" s="20">
        <v>19</v>
      </c>
      <c r="B54" s="202" t="s">
        <v>17</v>
      </c>
      <c r="C54" s="203"/>
      <c r="D54" s="15">
        <f>IF(F3="1",SUMIF(Data!A:A,'56'!$A$2,Data!DM:DM),0)</f>
        <v>27856</v>
      </c>
      <c r="E54" s="18">
        <f>IF(F3="1",SUMIF(Data!$A:$A,'56'!$A$2,Data!JG:JG),0)</f>
        <v>53081</v>
      </c>
      <c r="F54" s="22">
        <f t="shared" si="3"/>
        <v>1.905549971280873</v>
      </c>
    </row>
    <row r="55" spans="1:6" x14ac:dyDescent="0.2">
      <c r="A55" s="20">
        <v>20</v>
      </c>
      <c r="B55" s="202" t="s">
        <v>18</v>
      </c>
      <c r="C55" s="203"/>
      <c r="D55" s="15">
        <f>IF(F3="1",SUMIF(Data!A:A,'56'!$A$2,Data!DN:DN),0)</f>
        <v>0</v>
      </c>
      <c r="E55" s="18">
        <f>IF(F3="1",SUMIF(Data!$A:$A,'56'!$A$2,Data!JH:JH),0)</f>
        <v>0</v>
      </c>
      <c r="F55" s="22" t="str">
        <f t="shared" si="3"/>
        <v/>
      </c>
    </row>
    <row r="56" spans="1:6" ht="14.25" customHeight="1" x14ac:dyDescent="0.2">
      <c r="A56" s="20">
        <v>21</v>
      </c>
      <c r="B56" s="202" t="s">
        <v>446</v>
      </c>
      <c r="C56" s="203"/>
      <c r="D56" s="15">
        <f>IF(F3="1",SUMIF(Data!A:A,'56'!$A$2,Data!DO:DO),0)</f>
        <v>1504</v>
      </c>
      <c r="E56" s="18">
        <f>IF(F3="1",SUMIF(Data!$A:$A,'56'!$A$2,Data!JI:JI),0)</f>
        <v>0</v>
      </c>
      <c r="F56" s="22">
        <f t="shared" si="3"/>
        <v>0</v>
      </c>
    </row>
    <row r="57" spans="1:6" x14ac:dyDescent="0.2">
      <c r="A57" s="20">
        <v>22</v>
      </c>
      <c r="B57" s="202" t="s">
        <v>19</v>
      </c>
      <c r="C57" s="203"/>
      <c r="D57" s="15">
        <f>IF(F3="1",SUMIF(Data!A:A,'56'!$A$2,Data!DP:DP),0)</f>
        <v>1040</v>
      </c>
      <c r="E57" s="18">
        <f>IF(F3="1",SUMIF(Data!$A:$A,'56'!$A$2,Data!JJ:JJ),0)</f>
        <v>1843</v>
      </c>
      <c r="F57" s="22">
        <f t="shared" si="3"/>
        <v>1.7721153846153845</v>
      </c>
    </row>
    <row r="58" spans="1:6" x14ac:dyDescent="0.2">
      <c r="A58" s="20">
        <v>23</v>
      </c>
      <c r="B58" s="202" t="s">
        <v>20</v>
      </c>
      <c r="C58" s="203"/>
      <c r="D58" s="15">
        <f>IF(F3="1",SUMIF(Data!A:A,'56'!$A$2,Data!DQ:DQ),0)</f>
        <v>13008</v>
      </c>
      <c r="E58" s="18">
        <f>IF(F3="1",SUMIF(Data!$A:$A,'56'!$A$2,Data!JK:JK),0)</f>
        <v>24958</v>
      </c>
      <c r="F58" s="22">
        <f t="shared" si="3"/>
        <v>1.9186654366543665</v>
      </c>
    </row>
    <row r="59" spans="1:6" x14ac:dyDescent="0.2">
      <c r="A59" s="20">
        <v>24</v>
      </c>
      <c r="B59" s="202" t="s">
        <v>21</v>
      </c>
      <c r="C59" s="203"/>
      <c r="D59" s="15">
        <f>IF(F3="1",SUMIF(Data!A:A,'56'!$A$2,Data!DR:DR),0)</f>
        <v>19968</v>
      </c>
      <c r="E59" s="18">
        <f>IF(F3="1",SUMIF(Data!$A:$A,'56'!$A$2,Data!JL:JL),0)</f>
        <v>34445</v>
      </c>
      <c r="F59" s="22">
        <f t="shared" si="3"/>
        <v>1.725010016025641</v>
      </c>
    </row>
    <row r="60" spans="1:6" x14ac:dyDescent="0.2">
      <c r="A60" s="20">
        <v>25</v>
      </c>
      <c r="B60" s="202" t="s">
        <v>22</v>
      </c>
      <c r="C60" s="203"/>
      <c r="D60" s="15">
        <f>IF(F3="1",SUMIF(Data!A:A,'56'!$A$2,Data!DS:DS),0)</f>
        <v>160656</v>
      </c>
      <c r="E60" s="18">
        <f>IF(F3="1",SUMIF(Data!$A:$A,'56'!$A$2,Data!JM:JM),0)</f>
        <v>303838</v>
      </c>
      <c r="F60" s="22">
        <f t="shared" si="3"/>
        <v>1.8912334428841748</v>
      </c>
    </row>
    <row r="61" spans="1:6" x14ac:dyDescent="0.2">
      <c r="A61" s="20">
        <v>26</v>
      </c>
      <c r="B61" s="202" t="s">
        <v>23</v>
      </c>
      <c r="C61" s="203"/>
      <c r="D61" s="15">
        <f>IF(F3="1",SUMIF(Data!A:A,'56'!$A$2,Data!DT:DT),0)</f>
        <v>25172</v>
      </c>
      <c r="E61" s="18">
        <f>IF(F3="1",SUMIF(Data!$A:$A,'56'!$A$2,Data!JN:JN),0)</f>
        <v>45866</v>
      </c>
      <c r="F61" s="22">
        <f t="shared" si="3"/>
        <v>1.8221039249960274</v>
      </c>
    </row>
    <row r="62" spans="1:6" x14ac:dyDescent="0.2">
      <c r="A62" s="20">
        <v>28</v>
      </c>
      <c r="B62" s="202" t="s">
        <v>24</v>
      </c>
      <c r="C62" s="203"/>
      <c r="D62" s="15">
        <f>IF(F3="1",SUMIF(Data!A:A,'56'!$A$2,Data!DV:DV),0)</f>
        <v>43152</v>
      </c>
      <c r="E62" s="18">
        <f>IF(F3="1",SUMIF(Data!$A:$A,'56'!$A$2,Data!JP:JP),0)</f>
        <v>82797</v>
      </c>
      <c r="F62" s="22">
        <f t="shared" si="3"/>
        <v>1.9187291434927698</v>
      </c>
    </row>
    <row r="63" spans="1:6" ht="15.75" customHeight="1" thickBot="1" x14ac:dyDescent="0.25">
      <c r="A63" s="23">
        <v>29</v>
      </c>
      <c r="B63" s="206" t="s">
        <v>25</v>
      </c>
      <c r="C63" s="207"/>
      <c r="D63" s="24">
        <f>IF(F3="1",SUMIF(Data!A:A,'56'!$A$2,Data!DW:DW),0)</f>
        <v>17008</v>
      </c>
      <c r="E63" s="25">
        <f>IF(F3="1",SUMIF(Data!$A:$A,'56'!$A$2,Data!JQ:JQ),0)</f>
        <v>23669</v>
      </c>
      <c r="F63" s="26">
        <f t="shared" si="3"/>
        <v>1.3916392285983066</v>
      </c>
    </row>
    <row r="64" spans="1:6" x14ac:dyDescent="0.2">
      <c r="B64" s="31" t="s">
        <v>35</v>
      </c>
      <c r="C64" s="31"/>
      <c r="D64" s="60">
        <f>SUM(D36:D63)</f>
        <v>1174344</v>
      </c>
      <c r="E64" s="32">
        <f>SUM(E36:E63)</f>
        <v>2211348</v>
      </c>
      <c r="F64" s="33">
        <f t="shared" si="3"/>
        <v>1.8830496004577875</v>
      </c>
    </row>
    <row r="65" spans="1:6" ht="15" thickBot="1" x14ac:dyDescent="0.25"/>
    <row r="66" spans="1:6" ht="29.25" customHeight="1" x14ac:dyDescent="0.2">
      <c r="A66" s="27" t="s">
        <v>26</v>
      </c>
      <c r="B66" s="204" t="s">
        <v>452</v>
      </c>
      <c r="C66" s="205"/>
      <c r="D66" s="29" t="s">
        <v>27</v>
      </c>
      <c r="E66" s="29" t="s">
        <v>447</v>
      </c>
      <c r="F66" s="30" t="s">
        <v>448</v>
      </c>
    </row>
    <row r="67" spans="1:6" x14ac:dyDescent="0.2">
      <c r="A67" s="20">
        <v>1</v>
      </c>
      <c r="B67" s="202" t="s">
        <v>0</v>
      </c>
      <c r="C67" s="203"/>
      <c r="D67" s="15">
        <f>D36</f>
        <v>1040</v>
      </c>
      <c r="E67" s="16">
        <f>IF(F3="1",SUMIF(Data!A:A,'56'!$A$2,Data!DY:DY),0)</f>
        <v>3229</v>
      </c>
      <c r="F67" s="21">
        <f>IFERROR(E67/D67,"")</f>
        <v>3.1048076923076922</v>
      </c>
    </row>
    <row r="68" spans="1:6" x14ac:dyDescent="0.2">
      <c r="A68" s="20">
        <v>2</v>
      </c>
      <c r="B68" s="202" t="s">
        <v>1</v>
      </c>
      <c r="C68" s="203"/>
      <c r="D68" s="15">
        <f t="shared" ref="D68:D94" si="4">D37</f>
        <v>1232</v>
      </c>
      <c r="E68" s="18">
        <f>IF(F3="1",SUMIF(Data!A:A,'56'!$A$2,Data!DZ:DZ),0)</f>
        <v>0</v>
      </c>
      <c r="F68" s="22">
        <f t="shared" ref="F68:F95" si="5">IFERROR(E68/D68,"")</f>
        <v>0</v>
      </c>
    </row>
    <row r="69" spans="1:6" ht="14.25" customHeight="1" x14ac:dyDescent="0.2">
      <c r="A69" s="20">
        <v>3</v>
      </c>
      <c r="B69" s="202" t="s">
        <v>2</v>
      </c>
      <c r="C69" s="203"/>
      <c r="D69" s="15">
        <f t="shared" si="4"/>
        <v>169392</v>
      </c>
      <c r="E69" s="18">
        <f>IF(F3="1",SUMIF(Data!A:A,'56'!$A$2,Data!EA:EA),0)</f>
        <v>513787</v>
      </c>
      <c r="F69" s="22">
        <f t="shared" si="5"/>
        <v>3.0331243506186834</v>
      </c>
    </row>
    <row r="70" spans="1:6" ht="14.25" customHeight="1" x14ac:dyDescent="0.2">
      <c r="A70" s="20">
        <v>4</v>
      </c>
      <c r="B70" s="202" t="s">
        <v>3</v>
      </c>
      <c r="C70" s="203"/>
      <c r="D70" s="15">
        <f t="shared" si="4"/>
        <v>58800</v>
      </c>
      <c r="E70" s="18">
        <f>IF(F3="1",SUMIF(Data!A:A,'56'!$A$2,Data!EB:EB),0)</f>
        <v>180603</v>
      </c>
      <c r="F70" s="22">
        <f t="shared" si="5"/>
        <v>3.0714795918367348</v>
      </c>
    </row>
    <row r="71" spans="1:6" x14ac:dyDescent="0.2">
      <c r="A71" s="20">
        <v>5</v>
      </c>
      <c r="B71" s="202" t="s">
        <v>4</v>
      </c>
      <c r="C71" s="203"/>
      <c r="D71" s="15">
        <f t="shared" si="4"/>
        <v>0</v>
      </c>
      <c r="E71" s="18">
        <f>IF(F3="1",SUMIF(Data!A:A,'56'!$A$2,Data!EC:EC),0)</f>
        <v>0</v>
      </c>
      <c r="F71" s="22" t="str">
        <f t="shared" si="5"/>
        <v/>
      </c>
    </row>
    <row r="72" spans="1:6" x14ac:dyDescent="0.2">
      <c r="A72" s="20">
        <v>6</v>
      </c>
      <c r="B72" s="202" t="s">
        <v>5</v>
      </c>
      <c r="C72" s="203"/>
      <c r="D72" s="15">
        <f t="shared" si="4"/>
        <v>96</v>
      </c>
      <c r="E72" s="18">
        <f>IF(F3="1",SUMIF(Data!A:A,'56'!$A$2,Data!ED:ED),0)</f>
        <v>0</v>
      </c>
      <c r="F72" s="22">
        <f t="shared" si="5"/>
        <v>0</v>
      </c>
    </row>
    <row r="73" spans="1:6" x14ac:dyDescent="0.2">
      <c r="A73" s="20">
        <v>7</v>
      </c>
      <c r="B73" s="202" t="s">
        <v>6</v>
      </c>
      <c r="C73" s="203"/>
      <c r="D73" s="15">
        <f t="shared" si="4"/>
        <v>37376</v>
      </c>
      <c r="E73" s="18">
        <f>IF(F3="1",SUMIF(Data!A:A,'56'!$A$2,Data!EE:EE),0)</f>
        <v>112833</v>
      </c>
      <c r="F73" s="22">
        <f t="shared" si="5"/>
        <v>3.0188623715753424</v>
      </c>
    </row>
    <row r="74" spans="1:6" x14ac:dyDescent="0.2">
      <c r="A74" s="20">
        <v>8</v>
      </c>
      <c r="B74" s="202" t="s">
        <v>7</v>
      </c>
      <c r="C74" s="203"/>
      <c r="D74" s="15">
        <f t="shared" si="4"/>
        <v>512</v>
      </c>
      <c r="E74" s="18">
        <f>IF(F3="1",SUMIF(Data!A:A,'56'!$A$2,Data!EF:EF),0)</f>
        <v>1590</v>
      </c>
      <c r="F74" s="22">
        <f t="shared" si="5"/>
        <v>3.10546875</v>
      </c>
    </row>
    <row r="75" spans="1:6" x14ac:dyDescent="0.2">
      <c r="A75" s="20">
        <v>9</v>
      </c>
      <c r="B75" s="202" t="s">
        <v>8</v>
      </c>
      <c r="C75" s="203"/>
      <c r="D75" s="15">
        <f t="shared" si="4"/>
        <v>27856</v>
      </c>
      <c r="E75" s="18">
        <f>IF(F3="1",SUMIF(Data!A:A,'56'!$A$2,Data!EG:EG),0)</f>
        <v>80439</v>
      </c>
      <c r="F75" s="22">
        <f t="shared" si="5"/>
        <v>2.8876723147616312</v>
      </c>
    </row>
    <row r="76" spans="1:6" x14ac:dyDescent="0.2">
      <c r="A76" s="20">
        <v>10</v>
      </c>
      <c r="B76" s="202" t="s">
        <v>9</v>
      </c>
      <c r="C76" s="203"/>
      <c r="D76" s="15">
        <f t="shared" si="4"/>
        <v>0</v>
      </c>
      <c r="E76" s="18">
        <f>IF(F3="1",SUMIF(Data!A:A,'56'!$A$2,Data!EH:EH),0)</f>
        <v>0</v>
      </c>
      <c r="F76" s="22" t="str">
        <f t="shared" si="5"/>
        <v/>
      </c>
    </row>
    <row r="77" spans="1:6" x14ac:dyDescent="0.2">
      <c r="A77" s="20">
        <v>11</v>
      </c>
      <c r="B77" s="202" t="s">
        <v>10</v>
      </c>
      <c r="C77" s="203"/>
      <c r="D77" s="15">
        <f t="shared" si="4"/>
        <v>12536</v>
      </c>
      <c r="E77" s="18">
        <f>IF(F3="1",SUMIF(Data!A:A,'56'!$A$2,Data!EI:EI),0)</f>
        <v>33487</v>
      </c>
      <c r="F77" s="22">
        <f t="shared" si="5"/>
        <v>2.6712667517549455</v>
      </c>
    </row>
    <row r="78" spans="1:6" ht="14.25" customHeight="1" x14ac:dyDescent="0.2">
      <c r="A78" s="20">
        <v>12</v>
      </c>
      <c r="B78" s="202" t="s">
        <v>11</v>
      </c>
      <c r="C78" s="203"/>
      <c r="D78" s="15">
        <f t="shared" si="4"/>
        <v>103488</v>
      </c>
      <c r="E78" s="18">
        <f>IF(F3="1",SUMIF(Data!A:A,'56'!$A$2,Data!EJ:EJ),0)</f>
        <v>330502</v>
      </c>
      <c r="F78" s="22">
        <f t="shared" si="5"/>
        <v>3.1936263141620285</v>
      </c>
    </row>
    <row r="79" spans="1:6" x14ac:dyDescent="0.2">
      <c r="A79" s="20">
        <v>13</v>
      </c>
      <c r="B79" s="202" t="s">
        <v>12</v>
      </c>
      <c r="C79" s="203"/>
      <c r="D79" s="15">
        <f t="shared" si="4"/>
        <v>7248</v>
      </c>
      <c r="E79" s="18">
        <f>IF(F3="1",SUMIF(Data!A:A,'56'!$A$2,Data!EK:EK),0)</f>
        <v>21762</v>
      </c>
      <c r="F79" s="22">
        <f t="shared" si="5"/>
        <v>3.0024834437086092</v>
      </c>
    </row>
    <row r="80" spans="1:6" ht="14.25" customHeight="1" x14ac:dyDescent="0.2">
      <c r="A80" s="20">
        <v>14</v>
      </c>
      <c r="B80" s="202" t="s">
        <v>449</v>
      </c>
      <c r="C80" s="203"/>
      <c r="D80" s="15">
        <f t="shared" si="4"/>
        <v>134556</v>
      </c>
      <c r="E80" s="18">
        <f>IF(F3="1",SUMIF(Data!A:A,'56'!$A$2,Data!EL:EL),0)</f>
        <v>414121</v>
      </c>
      <c r="F80" s="22">
        <f t="shared" si="5"/>
        <v>3.0776851273819079</v>
      </c>
    </row>
    <row r="81" spans="1:6" x14ac:dyDescent="0.2">
      <c r="A81" s="20">
        <v>15</v>
      </c>
      <c r="B81" s="202" t="s">
        <v>13</v>
      </c>
      <c r="C81" s="203"/>
      <c r="D81" s="15">
        <f t="shared" si="4"/>
        <v>0</v>
      </c>
      <c r="E81" s="18">
        <f>IF(F3="1",SUMIF(Data!A:A,'56'!$A$2,Data!EM:EM),0)</f>
        <v>0</v>
      </c>
      <c r="F81" s="22" t="str">
        <f t="shared" si="5"/>
        <v/>
      </c>
    </row>
    <row r="82" spans="1:6" x14ac:dyDescent="0.2">
      <c r="A82" s="20">
        <v>16</v>
      </c>
      <c r="B82" s="202" t="s">
        <v>14</v>
      </c>
      <c r="C82" s="203"/>
      <c r="D82" s="15">
        <f t="shared" si="4"/>
        <v>25056</v>
      </c>
      <c r="E82" s="18">
        <f>IF(F3="1",SUMIF(Data!A:A,'56'!$A$2,Data!EN:EN),0)</f>
        <v>76415</v>
      </c>
      <c r="F82" s="22">
        <f t="shared" si="5"/>
        <v>3.0497685185185186</v>
      </c>
    </row>
    <row r="83" spans="1:6" x14ac:dyDescent="0.2">
      <c r="A83" s="20">
        <v>17</v>
      </c>
      <c r="B83" s="202" t="s">
        <v>15</v>
      </c>
      <c r="C83" s="203"/>
      <c r="D83" s="15">
        <f t="shared" si="4"/>
        <v>0</v>
      </c>
      <c r="E83" s="18">
        <f>IF(F3="1",SUMIF(Data!A:A,'56'!$A$2,Data!EO:EO),0)</f>
        <v>0</v>
      </c>
      <c r="F83" s="22" t="str">
        <f t="shared" si="5"/>
        <v/>
      </c>
    </row>
    <row r="84" spans="1:6" x14ac:dyDescent="0.2">
      <c r="A84" s="20">
        <v>18</v>
      </c>
      <c r="B84" s="202" t="s">
        <v>16</v>
      </c>
      <c r="C84" s="203"/>
      <c r="D84" s="15">
        <f t="shared" si="4"/>
        <v>285792</v>
      </c>
      <c r="E84" s="18">
        <f>IF(F3="1",SUMIF(Data!A:A,'56'!$A$2,Data!EP:EP),0)</f>
        <v>886769</v>
      </c>
      <c r="F84" s="22">
        <f t="shared" si="5"/>
        <v>3.1028475254730714</v>
      </c>
    </row>
    <row r="85" spans="1:6" x14ac:dyDescent="0.2">
      <c r="A85" s="20">
        <v>19</v>
      </c>
      <c r="B85" s="202" t="s">
        <v>17</v>
      </c>
      <c r="C85" s="203"/>
      <c r="D85" s="15">
        <f t="shared" si="4"/>
        <v>27856</v>
      </c>
      <c r="E85" s="18">
        <f>IF(F3="1",SUMIF(Data!A:A,'56'!$A$2,Data!EQ:EQ),0)</f>
        <v>85904</v>
      </c>
      <c r="F85" s="22">
        <f t="shared" si="5"/>
        <v>3.0838598506605401</v>
      </c>
    </row>
    <row r="86" spans="1:6" x14ac:dyDescent="0.2">
      <c r="A86" s="20">
        <v>20</v>
      </c>
      <c r="B86" s="202" t="s">
        <v>18</v>
      </c>
      <c r="C86" s="203"/>
      <c r="D86" s="15">
        <f t="shared" si="4"/>
        <v>0</v>
      </c>
      <c r="E86" s="18">
        <f>IF(F3="1",SUMIF(Data!A:A,'56'!$A$2,Data!ER:ER),0)</f>
        <v>0</v>
      </c>
      <c r="F86" s="22" t="str">
        <f t="shared" si="5"/>
        <v/>
      </c>
    </row>
    <row r="87" spans="1:6" ht="14.25" customHeight="1" x14ac:dyDescent="0.2">
      <c r="A87" s="20">
        <v>21</v>
      </c>
      <c r="B87" s="202" t="s">
        <v>446</v>
      </c>
      <c r="C87" s="203"/>
      <c r="D87" s="15">
        <f t="shared" si="4"/>
        <v>1504</v>
      </c>
      <c r="E87" s="18">
        <f>IF(F3="1",SUMIF(Data!A:A,'56'!$A$2,Data!ES:ES),0)</f>
        <v>0</v>
      </c>
      <c r="F87" s="22">
        <f t="shared" si="5"/>
        <v>0</v>
      </c>
    </row>
    <row r="88" spans="1:6" x14ac:dyDescent="0.2">
      <c r="A88" s="20">
        <v>22</v>
      </c>
      <c r="B88" s="202" t="s">
        <v>19</v>
      </c>
      <c r="C88" s="203"/>
      <c r="D88" s="15">
        <f t="shared" si="4"/>
        <v>1040</v>
      </c>
      <c r="E88" s="18">
        <f>IF(F3="1",SUMIF(Data!A:A,'56'!$A$2,Data!ET:ET),0)</f>
        <v>2982</v>
      </c>
      <c r="F88" s="22">
        <f t="shared" si="5"/>
        <v>2.8673076923076923</v>
      </c>
    </row>
    <row r="89" spans="1:6" x14ac:dyDescent="0.2">
      <c r="A89" s="20">
        <v>23</v>
      </c>
      <c r="B89" s="202" t="s">
        <v>20</v>
      </c>
      <c r="C89" s="203"/>
      <c r="D89" s="15">
        <f t="shared" si="4"/>
        <v>13008</v>
      </c>
      <c r="E89" s="18">
        <f>IF(F3="1",SUMIF(Data!A:A,'56'!$A$2,Data!EU:EU),0)</f>
        <v>40393</v>
      </c>
      <c r="F89" s="22">
        <f t="shared" si="5"/>
        <v>3.1052429274292743</v>
      </c>
    </row>
    <row r="90" spans="1:6" x14ac:dyDescent="0.2">
      <c r="A90" s="20">
        <v>24</v>
      </c>
      <c r="B90" s="202" t="s">
        <v>21</v>
      </c>
      <c r="C90" s="203"/>
      <c r="D90" s="15">
        <f t="shared" si="4"/>
        <v>19968</v>
      </c>
      <c r="E90" s="18">
        <f>IF(F3="1",SUMIF(Data!A:A,'56'!$A$2,Data!EV:EV),0)</f>
        <v>55746</v>
      </c>
      <c r="F90" s="22">
        <f t="shared" si="5"/>
        <v>2.7917668269230771</v>
      </c>
    </row>
    <row r="91" spans="1:6" x14ac:dyDescent="0.2">
      <c r="A91" s="20">
        <v>25</v>
      </c>
      <c r="B91" s="202" t="s">
        <v>22</v>
      </c>
      <c r="C91" s="203"/>
      <c r="D91" s="15">
        <f t="shared" si="4"/>
        <v>160656</v>
      </c>
      <c r="E91" s="18">
        <f>IF(F3="1",SUMIF(Data!A:A,'56'!$A$2,Data!EW:EW),0)</f>
        <v>491727</v>
      </c>
      <c r="F91" s="22">
        <f t="shared" si="5"/>
        <v>3.0607446967433525</v>
      </c>
    </row>
    <row r="92" spans="1:6" x14ac:dyDescent="0.2">
      <c r="A92" s="20">
        <v>26</v>
      </c>
      <c r="B92" s="202" t="s">
        <v>23</v>
      </c>
      <c r="C92" s="203"/>
      <c r="D92" s="15">
        <f t="shared" si="4"/>
        <v>25172</v>
      </c>
      <c r="E92" s="18">
        <f>IF(F3="1",SUMIF(Data!A:A,'56'!$A$2,Data!EX:EX),0)</f>
        <v>74229</v>
      </c>
      <c r="F92" s="22">
        <f t="shared" si="5"/>
        <v>2.948871762275544</v>
      </c>
    </row>
    <row r="93" spans="1:6" x14ac:dyDescent="0.2">
      <c r="A93" s="20">
        <v>28</v>
      </c>
      <c r="B93" s="202" t="s">
        <v>24</v>
      </c>
      <c r="C93" s="203"/>
      <c r="D93" s="15">
        <f t="shared" si="4"/>
        <v>43152</v>
      </c>
      <c r="E93" s="18">
        <f>IF(F3="1",SUMIF(Data!A:A,'56'!$A$2,Data!EZ:EZ),0)</f>
        <v>133999</v>
      </c>
      <c r="F93" s="22">
        <f t="shared" si="5"/>
        <v>3.1052790137189468</v>
      </c>
    </row>
    <row r="94" spans="1:6" ht="15.75" customHeight="1" thickBot="1" x14ac:dyDescent="0.25">
      <c r="A94" s="23">
        <v>29</v>
      </c>
      <c r="B94" s="206" t="s">
        <v>25</v>
      </c>
      <c r="C94" s="207"/>
      <c r="D94" s="24">
        <f t="shared" si="4"/>
        <v>17008</v>
      </c>
      <c r="E94" s="25">
        <f>IF(F3="1",SUMIF(Data!A:A,'56'!$A$2,Data!FA:FA),0)</f>
        <v>38307</v>
      </c>
      <c r="F94" s="26">
        <f t="shared" si="5"/>
        <v>2.2522930385700848</v>
      </c>
    </row>
    <row r="95" spans="1:6" x14ac:dyDescent="0.2">
      <c r="B95" s="31" t="s">
        <v>35</v>
      </c>
      <c r="C95" s="31"/>
      <c r="D95" s="60">
        <f>SUM(D67:D94)</f>
        <v>1174344</v>
      </c>
      <c r="E95" s="32">
        <f>SUM(E67:E94)</f>
        <v>3578824</v>
      </c>
      <c r="F95" s="33">
        <f t="shared" si="5"/>
        <v>3.0475090774083231</v>
      </c>
    </row>
    <row r="96" spans="1:6" ht="15" thickBot="1" x14ac:dyDescent="0.25"/>
    <row r="97" spans="2:6" ht="29.25" customHeight="1" x14ac:dyDescent="0.2">
      <c r="B97" s="210" t="s">
        <v>453</v>
      </c>
      <c r="C97" s="211"/>
      <c r="D97" s="29" t="s">
        <v>27</v>
      </c>
      <c r="E97" s="34" t="s">
        <v>447</v>
      </c>
      <c r="F97" s="30" t="s">
        <v>448</v>
      </c>
    </row>
    <row r="98" spans="2:6" x14ac:dyDescent="0.2">
      <c r="B98" s="212" t="s">
        <v>30</v>
      </c>
      <c r="C98" s="213"/>
      <c r="D98" s="36"/>
      <c r="E98" s="16">
        <f>IF(F3="1",SUMIF(Data!A:A,'56'!$A$2,Data!AH:AH),0)</f>
        <v>2204396</v>
      </c>
      <c r="F98" s="21">
        <f t="shared" ref="F98:F105" si="6">IFERROR(E98/$D$95,0)</f>
        <v>1.8771296996450784</v>
      </c>
    </row>
    <row r="99" spans="2:6" x14ac:dyDescent="0.2">
      <c r="B99" s="212" t="s">
        <v>31</v>
      </c>
      <c r="C99" s="213"/>
      <c r="D99" s="37"/>
      <c r="E99" s="18">
        <f>IF(F3="1",SUMIF(Data!A:A,'56'!$A$2,Data!AI:AI),0)</f>
        <v>1220262</v>
      </c>
      <c r="F99" s="22">
        <f t="shared" si="6"/>
        <v>1.0391009789295129</v>
      </c>
    </row>
    <row r="100" spans="2:6" x14ac:dyDescent="0.2">
      <c r="B100" s="212" t="s">
        <v>32</v>
      </c>
      <c r="C100" s="213"/>
      <c r="D100" s="37"/>
      <c r="E100" s="18">
        <f>IF(F3="1",SUMIF(Data!A:A,'56'!$A$2,Data!AJ:AJ),0)</f>
        <v>2143090</v>
      </c>
      <c r="F100" s="22">
        <f t="shared" si="6"/>
        <v>1.8249252348545231</v>
      </c>
    </row>
    <row r="101" spans="2:6" x14ac:dyDescent="0.2">
      <c r="B101" s="212" t="s">
        <v>28</v>
      </c>
      <c r="C101" s="213"/>
      <c r="D101" s="37"/>
      <c r="E101" s="18">
        <f>IF(F3="1",SUMIF(Data!A:A,'56'!$A$2,Data!AK:AK),0)</f>
        <v>0</v>
      </c>
      <c r="F101" s="22">
        <f t="shared" si="6"/>
        <v>0</v>
      </c>
    </row>
    <row r="102" spans="2:6" x14ac:dyDescent="0.2">
      <c r="B102" s="212" t="s">
        <v>33</v>
      </c>
      <c r="C102" s="213"/>
      <c r="D102" s="37"/>
      <c r="E102" s="18">
        <f>IF(F3="1",SUMIF(Data!A:A,'56'!$A$2,Data!AL:AL),0)</f>
        <v>446882</v>
      </c>
      <c r="F102" s="22">
        <f t="shared" si="6"/>
        <v>0.38053755969290087</v>
      </c>
    </row>
    <row r="103" spans="2:6" x14ac:dyDescent="0.2">
      <c r="B103" s="214" t="s">
        <v>34</v>
      </c>
      <c r="C103" s="215"/>
      <c r="D103" s="37"/>
      <c r="E103" s="18">
        <f>IF(F3="1",SUMIF(Data!A:A,'56'!$A$2,Data!AM:AM),0)</f>
        <v>0</v>
      </c>
      <c r="F103" s="22">
        <f t="shared" si="6"/>
        <v>0</v>
      </c>
    </row>
    <row r="104" spans="2:6" ht="15.75" customHeight="1" thickBot="1" x14ac:dyDescent="0.25">
      <c r="B104" s="208" t="s">
        <v>29</v>
      </c>
      <c r="C104" s="209"/>
      <c r="D104" s="38"/>
      <c r="E104" s="25">
        <f>IF(F3="1",SUMIF(Data!A:A,'56'!$A$2,Data!Q:Q),0)</f>
        <v>1168133</v>
      </c>
      <c r="F104" s="26">
        <f t="shared" si="6"/>
        <v>0.99471108976586076</v>
      </c>
    </row>
    <row r="105" spans="2:6" x14ac:dyDescent="0.2">
      <c r="B105" s="31" t="s">
        <v>35</v>
      </c>
      <c r="C105" s="31"/>
      <c r="D105" s="35">
        <f>D95</f>
        <v>1174344</v>
      </c>
      <c r="E105" s="32">
        <f>SUM(E98:E104)</f>
        <v>7182763</v>
      </c>
      <c r="F105" s="33">
        <f t="shared" si="6"/>
        <v>6.116404562887876</v>
      </c>
    </row>
    <row r="107" spans="2:6" ht="15" thickBot="1" x14ac:dyDescent="0.25">
      <c r="B107" s="59" t="s">
        <v>919</v>
      </c>
    </row>
    <row r="108" spans="2:6" ht="28.5" x14ac:dyDescent="0.2">
      <c r="B108" s="46" t="s">
        <v>913</v>
      </c>
      <c r="C108" s="28" t="s">
        <v>917</v>
      </c>
      <c r="D108" s="28" t="s">
        <v>29</v>
      </c>
      <c r="E108" s="28" t="s">
        <v>918</v>
      </c>
      <c r="F108" s="47" t="s">
        <v>35</v>
      </c>
    </row>
    <row r="109" spans="2:6" x14ac:dyDescent="0.2">
      <c r="B109" s="43" t="s">
        <v>914</v>
      </c>
      <c r="C109" s="192">
        <f>E95+IF(F3="1",SUMIF(Data!$A:$A,$A$2,Data!GF:GF),0)</f>
        <v>3913506</v>
      </c>
      <c r="D109" s="192">
        <f>IF(F3="1",SUMIF(Data!$A:$A,$A$2,Data!HJ:HJ),0)</f>
        <v>1078921</v>
      </c>
      <c r="E109" s="192">
        <f>IF(F3="1",SUMIF(Data!$A:$A,$A$2,Data!IN:IN),0)</f>
        <v>797747</v>
      </c>
      <c r="F109" s="48">
        <f>SUM(C109:E109)</f>
        <v>5790174</v>
      </c>
    </row>
    <row r="110" spans="2:6" x14ac:dyDescent="0.2">
      <c r="B110" s="43" t="s">
        <v>28</v>
      </c>
      <c r="C110" s="193">
        <f>IF(F3="1",SUMIF(Data!A:A,$A$2,Data!W:W),0)</f>
        <v>0</v>
      </c>
      <c r="D110" s="52"/>
      <c r="E110" s="193">
        <f>IF(F3="1",SUMIF(Data!A:A,$A$2,Data!AD:AD),0)</f>
        <v>0</v>
      </c>
      <c r="F110" s="49">
        <f t="shared" ref="F110:F116" si="7">SUM(C110:E110)</f>
        <v>0</v>
      </c>
    </row>
    <row r="111" spans="2:6" x14ac:dyDescent="0.2">
      <c r="B111" s="43" t="s">
        <v>915</v>
      </c>
      <c r="C111" s="193">
        <f>IF(F3="1",SUMIF(Data!A:A,$A$2,Data!AS:AS),0)</f>
        <v>594642</v>
      </c>
      <c r="D111" s="52"/>
      <c r="E111" s="193">
        <f>IF(F3="1",SUMIF(Data!A:A,$A$2,Data!AX:AX)-SUMIF(Data!A:A,$A$2,Data!AW:AW),0)</f>
        <v>602886</v>
      </c>
      <c r="F111" s="49">
        <f t="shared" si="7"/>
        <v>1197528</v>
      </c>
    </row>
    <row r="112" spans="2:6" x14ac:dyDescent="0.2">
      <c r="B112" s="43" t="s">
        <v>32</v>
      </c>
      <c r="C112" s="193">
        <f>IF(F3="1",SUMIF(Data!A:A,$A$2,Data!V:V),0)</f>
        <v>1045229</v>
      </c>
      <c r="D112" s="52"/>
      <c r="E112" s="193">
        <f>IF(F3="1",SUMIF(Data!A:A,$A$2,Data!AC:AC),0)</f>
        <v>1097861</v>
      </c>
      <c r="F112" s="49">
        <f t="shared" si="7"/>
        <v>2143090</v>
      </c>
    </row>
    <row r="113" spans="1:6" x14ac:dyDescent="0.2">
      <c r="B113" s="43" t="s">
        <v>31</v>
      </c>
      <c r="C113" s="193">
        <f>IF(F3="1",SUMIF(Data!A:A,$A$2,Data!U:U),0)</f>
        <v>906768</v>
      </c>
      <c r="D113" s="52"/>
      <c r="E113" s="193">
        <f>IF(F3="1",SUMIF(Data!A:A,$A$2,Data!AB:AB),0)</f>
        <v>313494</v>
      </c>
      <c r="F113" s="49">
        <f t="shared" si="7"/>
        <v>1220262</v>
      </c>
    </row>
    <row r="114" spans="1:6" x14ac:dyDescent="0.2">
      <c r="B114" s="43" t="s">
        <v>1002</v>
      </c>
      <c r="C114" s="193">
        <f>IF(F3="1",SUMIF(Data!A:A,$A$2,Data!T:T),0)</f>
        <v>1457049</v>
      </c>
      <c r="D114" s="52"/>
      <c r="E114" s="193">
        <f>IF(F3="1",SUMIF(Data!A:A,$A$2,Data!AA:AA),0)</f>
        <v>747347</v>
      </c>
      <c r="F114" s="49">
        <f t="shared" si="7"/>
        <v>2204396</v>
      </c>
    </row>
    <row r="115" spans="1:6" x14ac:dyDescent="0.2">
      <c r="B115" s="43" t="s">
        <v>916</v>
      </c>
      <c r="C115" s="193">
        <f>IF(F3="1",SUMIF(Data!A:A,$A$2,Data!BI:BI),0)</f>
        <v>181663</v>
      </c>
      <c r="D115" s="193">
        <f>IF(F3="1",SUMIF(Data!A:A,$A$2,Data!BL:BL),0)</f>
        <v>65897</v>
      </c>
      <c r="E115" s="193">
        <f>IF(F3="1",SUMIF(Data!A:A,$A$2,Data!BU:BU)-SUMIF(Data!A:A,$A$2,Data!BT:BT),0)</f>
        <v>775225</v>
      </c>
      <c r="F115" s="49">
        <f t="shared" si="7"/>
        <v>1022785</v>
      </c>
    </row>
    <row r="116" spans="1:6" x14ac:dyDescent="0.2">
      <c r="B116" s="43" t="s">
        <v>33</v>
      </c>
      <c r="C116" s="193">
        <f>IF(F3="1",SUMIF(Data!A:A,$A$2,Data!X:X),0)</f>
        <v>9643</v>
      </c>
      <c r="D116" s="51"/>
      <c r="E116" s="193">
        <f>E102-C116</f>
        <v>437239</v>
      </c>
      <c r="F116" s="49">
        <f t="shared" si="7"/>
        <v>446882</v>
      </c>
    </row>
    <row r="117" spans="1:6" ht="15" thickBot="1" x14ac:dyDescent="0.25">
      <c r="B117" s="44" t="s">
        <v>920</v>
      </c>
      <c r="C117" s="53"/>
      <c r="D117" s="53">
        <f>IF(F3="1",SUMIF(Data!A:A,$A$2,Data!Q:Q),0)</f>
        <v>1168133</v>
      </c>
      <c r="E117" s="53"/>
      <c r="F117" s="50">
        <f>SUM(C117:E117)</f>
        <v>1168133</v>
      </c>
    </row>
    <row r="118" spans="1:6" x14ac:dyDescent="0.2">
      <c r="B118" s="14" t="s">
        <v>35</v>
      </c>
      <c r="C118" s="178">
        <f>SUM(C109:C117)</f>
        <v>8108500</v>
      </c>
      <c r="D118" s="194">
        <f>SUM(D109:D117)</f>
        <v>2312951</v>
      </c>
      <c r="E118" s="178">
        <f>SUM(E109:E117)</f>
        <v>4771799</v>
      </c>
      <c r="F118" s="178">
        <f>SUM(F109:F117)</f>
        <v>15193250</v>
      </c>
    </row>
    <row r="119" spans="1:6" x14ac:dyDescent="0.2">
      <c r="C119" s="177"/>
      <c r="D119" s="177"/>
      <c r="E119" s="177"/>
    </row>
    <row r="120" spans="1:6" ht="15" thickBot="1" x14ac:dyDescent="0.25">
      <c r="B120" s="188" t="s">
        <v>921</v>
      </c>
      <c r="C120" s="53"/>
      <c r="D120" s="53"/>
      <c r="E120" s="195">
        <f>IF(F3="1",SUMIF(Data!A:A,$A$2,Data!AF:AF)+SUMIF(Data!A:A,$A$2,Data!AW:AW)+SUMIF(Data!A:A,$A$2,Data!BT:BT),0)</f>
        <v>1622710</v>
      </c>
      <c r="F120" s="181">
        <f>SUM(C120:E120)</f>
        <v>1622710</v>
      </c>
    </row>
    <row r="121" spans="1:6" s="177" customFormat="1" x14ac:dyDescent="0.2">
      <c r="B121" s="14" t="s">
        <v>35</v>
      </c>
      <c r="C121" s="178">
        <f>SUM(C120:C120)</f>
        <v>0</v>
      </c>
      <c r="D121" s="178">
        <f>SUM(D120:D120)</f>
        <v>0</v>
      </c>
      <c r="E121" s="178">
        <f>SUM(E120:E120)</f>
        <v>1622710</v>
      </c>
      <c r="F121" s="178">
        <f>SUM(F120:F120)</f>
        <v>1622710</v>
      </c>
    </row>
    <row r="122" spans="1:6" s="177" customFormat="1" ht="15" thickBot="1" x14ac:dyDescent="0.25">
      <c r="B122" s="14" t="s">
        <v>1396</v>
      </c>
      <c r="C122" s="178"/>
      <c r="D122" s="178"/>
      <c r="E122" s="178"/>
      <c r="F122" s="190">
        <f>F118+F121</f>
        <v>16815960</v>
      </c>
    </row>
    <row r="123" spans="1:6" ht="15" thickTop="1" x14ac:dyDescent="0.2"/>
    <row r="124" spans="1:6" s="62" customFormat="1" ht="101.25" customHeight="1" x14ac:dyDescent="0.2">
      <c r="A124" s="201" t="s">
        <v>922</v>
      </c>
      <c r="B124" s="201"/>
      <c r="C124" s="201"/>
      <c r="D124" s="201"/>
      <c r="E124" s="201"/>
      <c r="F124" s="201"/>
    </row>
  </sheetData>
  <mergeCells count="96">
    <mergeCell ref="B97:C97"/>
    <mergeCell ref="B87:C87"/>
    <mergeCell ref="B88:C88"/>
    <mergeCell ref="B89:C89"/>
    <mergeCell ref="B90:C90"/>
    <mergeCell ref="B82:C82"/>
    <mergeCell ref="B83:C83"/>
    <mergeCell ref="A124:F124"/>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70" zoomScaleNormal="70" workbookViewId="0"/>
  </sheetViews>
  <sheetFormatPr defaultRowHeight="14.25" x14ac:dyDescent="0.2"/>
  <cols>
    <col min="1" max="1" width="9.42578125" style="1" customWidth="1"/>
    <col min="2" max="2" width="46.5703125" style="58" customWidth="1"/>
    <col min="3" max="3" width="18.28515625" style="58" customWidth="1"/>
    <col min="4" max="4" width="18.7109375" style="58" bestFit="1" customWidth="1"/>
    <col min="5" max="5" width="18.42578125" style="58" customWidth="1"/>
    <col min="6" max="6" width="17.28515625" style="58" customWidth="1"/>
    <col min="7" max="7" width="2.85546875" style="58" customWidth="1"/>
    <col min="8" max="21" width="9.140625" style="1"/>
    <col min="22" max="22" width="17.85546875" style="1" bestFit="1" customWidth="1"/>
    <col min="23" max="25" width="9.140625" style="1"/>
    <col min="26" max="26" width="17.85546875" style="1" bestFit="1" customWidth="1"/>
    <col min="27" max="16384" width="9.140625" style="1"/>
  </cols>
  <sheetData>
    <row r="1" spans="1:7" s="7" customFormat="1" x14ac:dyDescent="0.2">
      <c r="A1" s="39" t="str">
        <f>Summary!A1</f>
        <v>Community and Technical Colleges, Report of Fundable Operating Expenses, Fiscal Year (FY) 2012</v>
      </c>
      <c r="B1" s="39"/>
      <c r="C1" s="39"/>
      <c r="D1" s="39"/>
      <c r="E1" s="39"/>
      <c r="F1" s="39"/>
      <c r="G1" s="58"/>
    </row>
    <row r="2" spans="1:7" s="7" customFormat="1" x14ac:dyDescent="0.2">
      <c r="A2" s="6" t="s">
        <v>436</v>
      </c>
      <c r="B2" s="59" t="str">
        <f>VLOOKUP(A2,Data!A:G,7,0)</f>
        <v>Lamar State College-Port Arthur</v>
      </c>
      <c r="C2" s="59"/>
      <c r="D2" s="58"/>
      <c r="E2" s="58"/>
      <c r="F2" s="58"/>
      <c r="G2" s="58"/>
    </row>
    <row r="3" spans="1:7" s="7" customFormat="1" ht="15" thickBot="1" x14ac:dyDescent="0.25">
      <c r="A3" s="4"/>
      <c r="B3" s="58"/>
      <c r="C3" s="58"/>
      <c r="D3" s="58"/>
      <c r="E3" s="58"/>
      <c r="F3" s="57" t="str">
        <f>IFERROR(VLOOKUP(A2,Data!A:C,3,0),"0")</f>
        <v>1</v>
      </c>
      <c r="G3" s="58"/>
    </row>
    <row r="4" spans="1:7" s="7" customFormat="1" ht="29.25" customHeight="1" x14ac:dyDescent="0.2">
      <c r="A4" s="27" t="s">
        <v>26</v>
      </c>
      <c r="B4" s="204" t="s">
        <v>450</v>
      </c>
      <c r="C4" s="205"/>
      <c r="D4" s="29" t="s">
        <v>27</v>
      </c>
      <c r="E4" s="29" t="s">
        <v>447</v>
      </c>
      <c r="F4" s="30" t="s">
        <v>448</v>
      </c>
      <c r="G4" s="58"/>
    </row>
    <row r="5" spans="1:7" s="7" customFormat="1" x14ac:dyDescent="0.2">
      <c r="A5" s="20">
        <v>1</v>
      </c>
      <c r="B5" s="202" t="s">
        <v>0</v>
      </c>
      <c r="C5" s="203"/>
      <c r="D5" s="15">
        <f>D36</f>
        <v>0</v>
      </c>
      <c r="E5" s="16">
        <f>E36+E67+IFERROR($E$105/$D$105*D5,0)</f>
        <v>0</v>
      </c>
      <c r="F5" s="21" t="str">
        <f>IFERROR(E5/D5,"")</f>
        <v/>
      </c>
      <c r="G5" s="58"/>
    </row>
    <row r="6" spans="1:7" s="7" customFormat="1" x14ac:dyDescent="0.2">
      <c r="A6" s="20">
        <v>2</v>
      </c>
      <c r="B6" s="202" t="s">
        <v>1</v>
      </c>
      <c r="C6" s="203"/>
      <c r="D6" s="15">
        <f t="shared" ref="D6:D32" si="0">D37</f>
        <v>11232</v>
      </c>
      <c r="E6" s="18">
        <f t="shared" ref="E6:E32" si="1">E37+E68+IFERROR($E$105/$D$105*D6,0)</f>
        <v>101450.30148647371</v>
      </c>
      <c r="F6" s="22">
        <f t="shared" ref="F6:F33" si="2">IFERROR(E6/D6,"")</f>
        <v>9.0322561864737985</v>
      </c>
      <c r="G6" s="58"/>
    </row>
    <row r="7" spans="1:7" s="8" customFormat="1" ht="14.25" customHeight="1" x14ac:dyDescent="0.2">
      <c r="A7" s="20">
        <v>3</v>
      </c>
      <c r="B7" s="202" t="s">
        <v>2</v>
      </c>
      <c r="C7" s="203"/>
      <c r="D7" s="15">
        <f t="shared" si="0"/>
        <v>115120</v>
      </c>
      <c r="E7" s="18">
        <f t="shared" si="1"/>
        <v>1039780.2609617925</v>
      </c>
      <c r="F7" s="22">
        <f t="shared" si="2"/>
        <v>9.0321426421281501</v>
      </c>
      <c r="G7" s="58"/>
    </row>
    <row r="8" spans="1:7" s="11" customFormat="1" ht="14.25" customHeight="1" x14ac:dyDescent="0.2">
      <c r="A8" s="20">
        <v>4</v>
      </c>
      <c r="B8" s="202" t="s">
        <v>3</v>
      </c>
      <c r="C8" s="203"/>
      <c r="D8" s="15">
        <f t="shared" si="0"/>
        <v>99872</v>
      </c>
      <c r="E8" s="18">
        <f t="shared" si="1"/>
        <v>902057.66364468506</v>
      </c>
      <c r="F8" s="22">
        <f t="shared" si="2"/>
        <v>9.0321377727960304</v>
      </c>
      <c r="G8" s="58"/>
    </row>
    <row r="9" spans="1:7" s="11" customFormat="1" x14ac:dyDescent="0.2">
      <c r="A9" s="20">
        <v>5</v>
      </c>
      <c r="B9" s="202" t="s">
        <v>4</v>
      </c>
      <c r="C9" s="203"/>
      <c r="D9" s="15">
        <f t="shared" si="0"/>
        <v>0</v>
      </c>
      <c r="E9" s="18">
        <f t="shared" si="1"/>
        <v>0</v>
      </c>
      <c r="F9" s="22" t="str">
        <f t="shared" si="2"/>
        <v/>
      </c>
      <c r="G9" s="58"/>
    </row>
    <row r="10" spans="1:7" s="11" customFormat="1" x14ac:dyDescent="0.2">
      <c r="A10" s="20">
        <v>6</v>
      </c>
      <c r="B10" s="202" t="s">
        <v>5</v>
      </c>
      <c r="C10" s="203"/>
      <c r="D10" s="15">
        <f t="shared" si="0"/>
        <v>30112</v>
      </c>
      <c r="E10" s="18">
        <f t="shared" si="1"/>
        <v>271977.38945519022</v>
      </c>
      <c r="F10" s="22">
        <f t="shared" si="2"/>
        <v>9.0321927954035015</v>
      </c>
      <c r="G10" s="58"/>
    </row>
    <row r="11" spans="1:7" s="11" customFormat="1" x14ac:dyDescent="0.2">
      <c r="A11" s="20">
        <v>7</v>
      </c>
      <c r="B11" s="202" t="s">
        <v>6</v>
      </c>
      <c r="C11" s="203"/>
      <c r="D11" s="15">
        <f t="shared" si="0"/>
        <v>164560</v>
      </c>
      <c r="E11" s="18">
        <f t="shared" si="1"/>
        <v>1486330.1777612283</v>
      </c>
      <c r="F11" s="22">
        <f t="shared" si="2"/>
        <v>9.0321474098275907</v>
      </c>
      <c r="G11" s="58"/>
    </row>
    <row r="12" spans="1:7" s="11" customFormat="1" x14ac:dyDescent="0.2">
      <c r="A12" s="20">
        <v>8</v>
      </c>
      <c r="B12" s="202" t="s">
        <v>7</v>
      </c>
      <c r="C12" s="203"/>
      <c r="D12" s="15">
        <f t="shared" si="0"/>
        <v>43680</v>
      </c>
      <c r="E12" s="18">
        <f t="shared" si="1"/>
        <v>394523.83911406447</v>
      </c>
      <c r="F12" s="22">
        <f t="shared" si="2"/>
        <v>9.0321391738567876</v>
      </c>
      <c r="G12" s="58"/>
    </row>
    <row r="13" spans="1:7" s="11" customFormat="1" x14ac:dyDescent="0.2">
      <c r="A13" s="20">
        <v>9</v>
      </c>
      <c r="B13" s="202" t="s">
        <v>8</v>
      </c>
      <c r="C13" s="203"/>
      <c r="D13" s="15">
        <f t="shared" si="0"/>
        <v>140384</v>
      </c>
      <c r="E13" s="18">
        <f t="shared" si="1"/>
        <v>1267969.1100317955</v>
      </c>
      <c r="F13" s="22">
        <f t="shared" si="2"/>
        <v>9.0321483219725565</v>
      </c>
      <c r="G13" s="58"/>
    </row>
    <row r="14" spans="1:7" s="11" customFormat="1" x14ac:dyDescent="0.2">
      <c r="A14" s="20">
        <v>10</v>
      </c>
      <c r="B14" s="202" t="s">
        <v>9</v>
      </c>
      <c r="C14" s="203"/>
      <c r="D14" s="15">
        <f t="shared" si="0"/>
        <v>0</v>
      </c>
      <c r="E14" s="18">
        <f t="shared" si="1"/>
        <v>0</v>
      </c>
      <c r="F14" s="22" t="str">
        <f t="shared" si="2"/>
        <v/>
      </c>
      <c r="G14" s="58"/>
    </row>
    <row r="15" spans="1:7" s="11" customFormat="1" x14ac:dyDescent="0.2">
      <c r="A15" s="20">
        <v>11</v>
      </c>
      <c r="B15" s="202" t="s">
        <v>10</v>
      </c>
      <c r="C15" s="203"/>
      <c r="D15" s="15">
        <f t="shared" si="0"/>
        <v>117360</v>
      </c>
      <c r="E15" s="18">
        <f t="shared" si="1"/>
        <v>1060012.4578394368</v>
      </c>
      <c r="F15" s="22">
        <f t="shared" si="2"/>
        <v>9.0321443237852499</v>
      </c>
      <c r="G15" s="58"/>
    </row>
    <row r="16" spans="1:7" s="11" customFormat="1" ht="14.25" customHeight="1" x14ac:dyDescent="0.2">
      <c r="A16" s="20">
        <v>12</v>
      </c>
      <c r="B16" s="202" t="s">
        <v>11</v>
      </c>
      <c r="C16" s="203"/>
      <c r="D16" s="15">
        <f t="shared" si="0"/>
        <v>87024</v>
      </c>
      <c r="E16" s="18">
        <f t="shared" si="1"/>
        <v>786013.84869648225</v>
      </c>
      <c r="F16" s="22">
        <f t="shared" si="2"/>
        <v>9.0321503113679249</v>
      </c>
      <c r="G16" s="58"/>
    </row>
    <row r="17" spans="1:7" s="11" customFormat="1" x14ac:dyDescent="0.2">
      <c r="A17" s="20">
        <v>13</v>
      </c>
      <c r="B17" s="202" t="s">
        <v>12</v>
      </c>
      <c r="C17" s="203"/>
      <c r="D17" s="15">
        <f t="shared" si="0"/>
        <v>5328</v>
      </c>
      <c r="E17" s="18">
        <f t="shared" si="1"/>
        <v>48123.296858968301</v>
      </c>
      <c r="F17" s="22">
        <f t="shared" si="2"/>
        <v>9.0321503113679249</v>
      </c>
      <c r="G17" s="58"/>
    </row>
    <row r="18" spans="1:7" s="11" customFormat="1" ht="14.25" customHeight="1" x14ac:dyDescent="0.2">
      <c r="A18" s="20">
        <v>14</v>
      </c>
      <c r="B18" s="202" t="s">
        <v>449</v>
      </c>
      <c r="C18" s="203"/>
      <c r="D18" s="15">
        <f t="shared" si="0"/>
        <v>345328</v>
      </c>
      <c r="E18" s="18">
        <f t="shared" si="1"/>
        <v>3119051.4657871258</v>
      </c>
      <c r="F18" s="22">
        <f t="shared" si="2"/>
        <v>9.0321418065929375</v>
      </c>
      <c r="G18" s="58"/>
    </row>
    <row r="19" spans="1:7" s="11" customFormat="1" x14ac:dyDescent="0.2">
      <c r="A19" s="20">
        <v>15</v>
      </c>
      <c r="B19" s="202" t="s">
        <v>13</v>
      </c>
      <c r="C19" s="203"/>
      <c r="D19" s="15">
        <f t="shared" si="0"/>
        <v>0</v>
      </c>
      <c r="E19" s="18">
        <f t="shared" si="1"/>
        <v>0</v>
      </c>
      <c r="F19" s="22" t="str">
        <f t="shared" si="2"/>
        <v/>
      </c>
      <c r="G19" s="58"/>
    </row>
    <row r="20" spans="1:7" s="11" customFormat="1" x14ac:dyDescent="0.2">
      <c r="A20" s="20">
        <v>16</v>
      </c>
      <c r="B20" s="202" t="s">
        <v>14</v>
      </c>
      <c r="C20" s="203"/>
      <c r="D20" s="15">
        <f t="shared" si="0"/>
        <v>54108</v>
      </c>
      <c r="E20" s="18">
        <f t="shared" si="1"/>
        <v>488712.04850695515</v>
      </c>
      <c r="F20" s="22">
        <f t="shared" si="2"/>
        <v>9.0321588028933828</v>
      </c>
      <c r="G20" s="58"/>
    </row>
    <row r="21" spans="1:7" s="11" customFormat="1" x14ac:dyDescent="0.2">
      <c r="A21" s="20">
        <v>17</v>
      </c>
      <c r="B21" s="202" t="s">
        <v>15</v>
      </c>
      <c r="C21" s="203"/>
      <c r="D21" s="15">
        <f t="shared" si="0"/>
        <v>0</v>
      </c>
      <c r="E21" s="18">
        <f t="shared" si="1"/>
        <v>0</v>
      </c>
      <c r="F21" s="22" t="str">
        <f t="shared" si="2"/>
        <v/>
      </c>
      <c r="G21" s="58"/>
    </row>
    <row r="22" spans="1:7" s="11" customFormat="1" x14ac:dyDescent="0.2">
      <c r="A22" s="20">
        <v>18</v>
      </c>
      <c r="B22" s="202" t="s">
        <v>16</v>
      </c>
      <c r="C22" s="203"/>
      <c r="D22" s="15">
        <f t="shared" si="0"/>
        <v>116176</v>
      </c>
      <c r="E22" s="18">
        <f t="shared" si="1"/>
        <v>1049318.7252041106</v>
      </c>
      <c r="F22" s="22">
        <f t="shared" si="2"/>
        <v>9.032147131973133</v>
      </c>
      <c r="G22" s="58"/>
    </row>
    <row r="23" spans="1:7" s="11" customFormat="1" x14ac:dyDescent="0.2">
      <c r="A23" s="20">
        <v>19</v>
      </c>
      <c r="B23" s="202" t="s">
        <v>17</v>
      </c>
      <c r="C23" s="203"/>
      <c r="D23" s="15">
        <f t="shared" si="0"/>
        <v>41232</v>
      </c>
      <c r="E23" s="18">
        <f t="shared" si="1"/>
        <v>372413.08109778172</v>
      </c>
      <c r="F23" s="22">
        <f t="shared" si="2"/>
        <v>9.0321372016342085</v>
      </c>
      <c r="G23" s="58"/>
    </row>
    <row r="24" spans="1:7" s="11" customFormat="1" x14ac:dyDescent="0.2">
      <c r="A24" s="20">
        <v>20</v>
      </c>
      <c r="B24" s="202" t="s">
        <v>18</v>
      </c>
      <c r="C24" s="203"/>
      <c r="D24" s="15">
        <f t="shared" si="0"/>
        <v>26176</v>
      </c>
      <c r="E24" s="18">
        <f t="shared" si="1"/>
        <v>236425.38637018661</v>
      </c>
      <c r="F24" s="22">
        <f t="shared" si="2"/>
        <v>9.0321434279563952</v>
      </c>
      <c r="G24" s="58"/>
    </row>
    <row r="25" spans="1:7" s="11" customFormat="1" ht="14.25" customHeight="1" x14ac:dyDescent="0.2">
      <c r="A25" s="20">
        <v>21</v>
      </c>
      <c r="B25" s="202" t="s">
        <v>446</v>
      </c>
      <c r="C25" s="203"/>
      <c r="D25" s="15">
        <f t="shared" si="0"/>
        <v>26304</v>
      </c>
      <c r="E25" s="18">
        <f t="shared" si="1"/>
        <v>237581.65476319485</v>
      </c>
      <c r="F25" s="22">
        <f t="shared" si="2"/>
        <v>9.0321492838805835</v>
      </c>
      <c r="G25" s="58"/>
    </row>
    <row r="26" spans="1:7" s="11" customFormat="1" x14ac:dyDescent="0.2">
      <c r="A26" s="20">
        <v>22</v>
      </c>
      <c r="B26" s="202" t="s">
        <v>19</v>
      </c>
      <c r="C26" s="203"/>
      <c r="D26" s="15">
        <f t="shared" si="0"/>
        <v>10224</v>
      </c>
      <c r="E26" s="18">
        <f t="shared" si="1"/>
        <v>92343.812891533773</v>
      </c>
      <c r="F26" s="22">
        <f t="shared" si="2"/>
        <v>9.0320630762454783</v>
      </c>
      <c r="G26" s="58"/>
    </row>
    <row r="27" spans="1:7" s="11" customFormat="1" x14ac:dyDescent="0.2">
      <c r="A27" s="20">
        <v>23</v>
      </c>
      <c r="B27" s="202" t="s">
        <v>20</v>
      </c>
      <c r="C27" s="203"/>
      <c r="D27" s="15">
        <f t="shared" si="0"/>
        <v>12576</v>
      </c>
      <c r="E27" s="18">
        <f t="shared" si="1"/>
        <v>113587.61961306032</v>
      </c>
      <c r="F27" s="22">
        <f t="shared" si="2"/>
        <v>9.0320944348807508</v>
      </c>
      <c r="G27" s="58"/>
    </row>
    <row r="28" spans="1:7" s="11" customFormat="1" x14ac:dyDescent="0.2">
      <c r="A28" s="20">
        <v>24</v>
      </c>
      <c r="B28" s="202" t="s">
        <v>21</v>
      </c>
      <c r="C28" s="203"/>
      <c r="D28" s="15">
        <f t="shared" si="0"/>
        <v>5616</v>
      </c>
      <c r="E28" s="18">
        <f t="shared" si="1"/>
        <v>50724.150743236853</v>
      </c>
      <c r="F28" s="22">
        <f t="shared" si="2"/>
        <v>9.0320781237957366</v>
      </c>
      <c r="G28" s="58"/>
    </row>
    <row r="29" spans="1:7" s="11" customFormat="1" x14ac:dyDescent="0.2">
      <c r="A29" s="20">
        <v>25</v>
      </c>
      <c r="B29" s="202" t="s">
        <v>22</v>
      </c>
      <c r="C29" s="203"/>
      <c r="D29" s="15">
        <f t="shared" si="0"/>
        <v>138080</v>
      </c>
      <c r="E29" s="18">
        <f t="shared" si="1"/>
        <v>1247159.2789576468</v>
      </c>
      <c r="F29" s="22">
        <f t="shared" si="2"/>
        <v>9.0321500503885197</v>
      </c>
      <c r="G29" s="58"/>
    </row>
    <row r="30" spans="1:7" s="11" customFormat="1" x14ac:dyDescent="0.2">
      <c r="A30" s="20">
        <v>26</v>
      </c>
      <c r="B30" s="202" t="s">
        <v>23</v>
      </c>
      <c r="C30" s="203"/>
      <c r="D30" s="15">
        <f t="shared" si="0"/>
        <v>61680</v>
      </c>
      <c r="E30" s="18">
        <f t="shared" si="1"/>
        <v>557103.70688084932</v>
      </c>
      <c r="F30" s="22">
        <f t="shared" si="2"/>
        <v>9.0321612659022268</v>
      </c>
      <c r="G30" s="58"/>
    </row>
    <row r="31" spans="1:7" s="11" customFormat="1" x14ac:dyDescent="0.2">
      <c r="A31" s="20">
        <v>28</v>
      </c>
      <c r="B31" s="202" t="s">
        <v>24</v>
      </c>
      <c r="C31" s="203"/>
      <c r="D31" s="15">
        <f t="shared" si="0"/>
        <v>53840</v>
      </c>
      <c r="E31" s="18">
        <f t="shared" si="1"/>
        <v>486289.0178090941</v>
      </c>
      <c r="F31" s="22">
        <f t="shared" si="2"/>
        <v>9.0321140009118519</v>
      </c>
      <c r="G31" s="58"/>
    </row>
    <row r="32" spans="1:7" s="11" customFormat="1" ht="15.75" customHeight="1" thickBot="1" x14ac:dyDescent="0.25">
      <c r="A32" s="23">
        <v>29</v>
      </c>
      <c r="B32" s="206" t="s">
        <v>25</v>
      </c>
      <c r="C32" s="207"/>
      <c r="D32" s="24">
        <f t="shared" si="0"/>
        <v>28832</v>
      </c>
      <c r="E32" s="25">
        <f t="shared" si="1"/>
        <v>260415.70552510774</v>
      </c>
      <c r="F32" s="26">
        <f t="shared" si="2"/>
        <v>9.0321762460151138</v>
      </c>
      <c r="G32" s="58"/>
    </row>
    <row r="33" spans="1:7" s="11" customFormat="1" x14ac:dyDescent="0.2">
      <c r="B33" s="31" t="s">
        <v>35</v>
      </c>
      <c r="C33" s="31"/>
      <c r="D33" s="60">
        <f>SUM(D5:D32)</f>
        <v>1734844</v>
      </c>
      <c r="E33" s="32">
        <f>SUM(E5:E32)</f>
        <v>15669364</v>
      </c>
      <c r="F33" s="33">
        <f t="shared" si="2"/>
        <v>9.0321458298267743</v>
      </c>
      <c r="G33" s="58"/>
    </row>
    <row r="34" spans="1:7" s="11" customFormat="1" ht="15" thickBot="1" x14ac:dyDescent="0.25">
      <c r="A34" s="1"/>
      <c r="B34" s="58"/>
      <c r="C34" s="58"/>
      <c r="D34" s="58"/>
      <c r="E34" s="58"/>
      <c r="F34" s="58"/>
      <c r="G34" s="58"/>
    </row>
    <row r="35" spans="1:7" s="11" customFormat="1" ht="29.25" customHeight="1" x14ac:dyDescent="0.2">
      <c r="A35" s="27" t="s">
        <v>26</v>
      </c>
      <c r="B35" s="204" t="s">
        <v>451</v>
      </c>
      <c r="C35" s="205"/>
      <c r="D35" s="29" t="s">
        <v>27</v>
      </c>
      <c r="E35" s="29" t="s">
        <v>447</v>
      </c>
      <c r="F35" s="30" t="s">
        <v>448</v>
      </c>
      <c r="G35" s="58"/>
    </row>
    <row r="36" spans="1:7" s="11" customFormat="1" x14ac:dyDescent="0.2">
      <c r="A36" s="20">
        <v>1</v>
      </c>
      <c r="B36" s="202" t="s">
        <v>0</v>
      </c>
      <c r="C36" s="203"/>
      <c r="D36" s="15">
        <f>IF(F3="1",SUMIF(Data!A:A,'57'!$A$2,Data!CU:CU),0)</f>
        <v>0</v>
      </c>
      <c r="E36" s="16">
        <f>IF(F3="1",SUMIF(Data!$A:$A,'57'!$A$2,Data!IO:IO),0)</f>
        <v>0</v>
      </c>
      <c r="F36" s="21" t="str">
        <f t="shared" ref="F36:F64" si="3">IFERROR(E36/D36,"")</f>
        <v/>
      </c>
      <c r="G36" s="58"/>
    </row>
    <row r="37" spans="1:7" s="11" customFormat="1" x14ac:dyDescent="0.2">
      <c r="A37" s="20">
        <v>2</v>
      </c>
      <c r="B37" s="202" t="s">
        <v>1</v>
      </c>
      <c r="C37" s="203"/>
      <c r="D37" s="15">
        <f>IF(F3="1",SUMIF(Data!A:A,'57'!$A$2,Data!CV:CV),0)</f>
        <v>11232</v>
      </c>
      <c r="E37" s="18">
        <f>IF(F3="1",SUMIF(Data!$A:$A,'57'!$A$2,Data!IP:IP),0)</f>
        <v>19720</v>
      </c>
      <c r="F37" s="22">
        <f t="shared" si="3"/>
        <v>1.7556980056980056</v>
      </c>
      <c r="G37" s="58"/>
    </row>
    <row r="38" spans="1:7" ht="14.25" customHeight="1" x14ac:dyDescent="0.2">
      <c r="A38" s="20">
        <v>3</v>
      </c>
      <c r="B38" s="202" t="s">
        <v>2</v>
      </c>
      <c r="C38" s="203"/>
      <c r="D38" s="15">
        <f>IF(F3="1",SUMIF(Data!A:A,'57'!$A$2,Data!CW:CW),0)</f>
        <v>115120</v>
      </c>
      <c r="E38" s="18">
        <f>IF(F3="1",SUMIF(Data!$A:$A,'57'!$A$2,Data!IQ:IQ),0)</f>
        <v>202106</v>
      </c>
      <c r="F38" s="22">
        <f t="shared" si="3"/>
        <v>1.7556115357887421</v>
      </c>
    </row>
    <row r="39" spans="1:7" s="11" customFormat="1" ht="14.25" customHeight="1" x14ac:dyDescent="0.2">
      <c r="A39" s="20">
        <v>4</v>
      </c>
      <c r="B39" s="202" t="s">
        <v>3</v>
      </c>
      <c r="C39" s="203"/>
      <c r="D39" s="15">
        <f>IF(F3="1",SUMIF(Data!A:A,'57'!$A$2,Data!CX:CX),0)</f>
        <v>99872</v>
      </c>
      <c r="E39" s="18">
        <f>IF(F3="1",SUMIF(Data!$A:$A,'57'!$A$2,Data!IR:IR),0)</f>
        <v>175336</v>
      </c>
      <c r="F39" s="22">
        <f t="shared" si="3"/>
        <v>1.7556071771867992</v>
      </c>
      <c r="G39" s="58"/>
    </row>
    <row r="40" spans="1:7" s="11" customFormat="1" x14ac:dyDescent="0.2">
      <c r="A40" s="20">
        <v>5</v>
      </c>
      <c r="B40" s="202" t="s">
        <v>4</v>
      </c>
      <c r="C40" s="203"/>
      <c r="D40" s="15">
        <f>IF(F3="1",SUMIF(Data!A:A,'57'!$A$2,Data!CY:CY),0)</f>
        <v>0</v>
      </c>
      <c r="E40" s="18">
        <f>IF(F3="1",SUMIF(Data!$A:$A,'57'!$A$2,Data!IS:IS),0)</f>
        <v>0</v>
      </c>
      <c r="F40" s="22" t="str">
        <f t="shared" si="3"/>
        <v/>
      </c>
      <c r="G40" s="58"/>
    </row>
    <row r="41" spans="1:7" s="11" customFormat="1" x14ac:dyDescent="0.2">
      <c r="A41" s="20">
        <v>6</v>
      </c>
      <c r="B41" s="202" t="s">
        <v>5</v>
      </c>
      <c r="C41" s="203"/>
      <c r="D41" s="15">
        <f>IF(F3="1",SUMIF(Data!A:A,'57'!$A$2,Data!CZ:CZ),0)</f>
        <v>30112</v>
      </c>
      <c r="E41" s="18">
        <f>IF(F3="1",SUMIF(Data!$A:$A,'57'!$A$2,Data!IT:IT),0)</f>
        <v>52866</v>
      </c>
      <c r="F41" s="22">
        <f t="shared" si="3"/>
        <v>1.7556455897980872</v>
      </c>
      <c r="G41" s="58"/>
    </row>
    <row r="42" spans="1:7" s="11" customFormat="1" x14ac:dyDescent="0.2">
      <c r="A42" s="20">
        <v>7</v>
      </c>
      <c r="B42" s="202" t="s">
        <v>6</v>
      </c>
      <c r="C42" s="203"/>
      <c r="D42" s="15">
        <f>IF(F3="1",SUMIF(Data!A:A,'57'!$A$2,Data!DA:DA),0)</f>
        <v>164560</v>
      </c>
      <c r="E42" s="18">
        <f>IF(F3="1",SUMIF(Data!$A:$A,'57'!$A$2,Data!IU:IU),0)</f>
        <v>288904</v>
      </c>
      <c r="F42" s="22">
        <f t="shared" si="3"/>
        <v>1.7556149732620321</v>
      </c>
      <c r="G42" s="58"/>
    </row>
    <row r="43" spans="1:7" s="11" customFormat="1" x14ac:dyDescent="0.2">
      <c r="A43" s="20">
        <v>8</v>
      </c>
      <c r="B43" s="202" t="s">
        <v>7</v>
      </c>
      <c r="C43" s="203"/>
      <c r="D43" s="15">
        <f>IF(F3="1",SUMIF(Data!A:A,'57'!$A$2,Data!DB:DB),0)</f>
        <v>43680</v>
      </c>
      <c r="E43" s="18">
        <f>IF(F3="1",SUMIF(Data!$A:$A,'57'!$A$2,Data!IV:IV),0)</f>
        <v>76685</v>
      </c>
      <c r="F43" s="22">
        <f t="shared" si="3"/>
        <v>1.7556089743589745</v>
      </c>
      <c r="G43" s="58"/>
    </row>
    <row r="44" spans="1:7" s="11" customFormat="1" x14ac:dyDescent="0.2">
      <c r="A44" s="20">
        <v>9</v>
      </c>
      <c r="B44" s="202" t="s">
        <v>8</v>
      </c>
      <c r="C44" s="203"/>
      <c r="D44" s="15">
        <f>IF(F3="1",SUMIF(Data!A:A,'57'!$A$2,Data!DC:DC),0)</f>
        <v>140384</v>
      </c>
      <c r="E44" s="18">
        <f>IF(F3="1",SUMIF(Data!$A:$A,'57'!$A$2,Data!IW:IW),0)</f>
        <v>246460</v>
      </c>
      <c r="F44" s="22">
        <f t="shared" si="3"/>
        <v>1.7556131752906314</v>
      </c>
      <c r="G44" s="58"/>
    </row>
    <row r="45" spans="1:7" s="11" customFormat="1" x14ac:dyDescent="0.2">
      <c r="A45" s="20">
        <v>10</v>
      </c>
      <c r="B45" s="202" t="s">
        <v>9</v>
      </c>
      <c r="C45" s="203"/>
      <c r="D45" s="15">
        <f>IF(F3="1",SUMIF(Data!A:A,'57'!$A$2,Data!DD:DD),0)</f>
        <v>0</v>
      </c>
      <c r="E45" s="18">
        <f>IF(F3="1",SUMIF(Data!$A:$A,'57'!$A$2,Data!IX:IX),0)</f>
        <v>0</v>
      </c>
      <c r="F45" s="22" t="str">
        <f t="shared" si="3"/>
        <v/>
      </c>
      <c r="G45" s="58"/>
    </row>
    <row r="46" spans="1:7" s="11" customFormat="1" x14ac:dyDescent="0.2">
      <c r="A46" s="20">
        <v>11</v>
      </c>
      <c r="B46" s="202" t="s">
        <v>10</v>
      </c>
      <c r="C46" s="203"/>
      <c r="D46" s="15">
        <f>IF(F3="1",SUMIF(Data!A:A,'57'!$A$2,Data!DE:DE),0)</f>
        <v>117360</v>
      </c>
      <c r="E46" s="18">
        <f>IF(F3="1",SUMIF(Data!$A:$A,'57'!$A$2,Data!IY:IY),0)</f>
        <v>206039</v>
      </c>
      <c r="F46" s="22">
        <f t="shared" si="3"/>
        <v>1.7556152010906612</v>
      </c>
      <c r="G46" s="58"/>
    </row>
    <row r="47" spans="1:7" s="11" customFormat="1" ht="14.25" customHeight="1" x14ac:dyDescent="0.2">
      <c r="A47" s="20">
        <v>12</v>
      </c>
      <c r="B47" s="202" t="s">
        <v>11</v>
      </c>
      <c r="C47" s="203"/>
      <c r="D47" s="15">
        <f>IF(F3="1",SUMIF(Data!A:A,'57'!$A$2,Data!DF:DF),0)</f>
        <v>87024</v>
      </c>
      <c r="E47" s="18">
        <f>IF(F3="1",SUMIF(Data!$A:$A,'57'!$A$2,Data!IZ:IZ),0)</f>
        <v>152781</v>
      </c>
      <c r="F47" s="22">
        <f t="shared" si="3"/>
        <v>1.755619139547711</v>
      </c>
      <c r="G47" s="58"/>
    </row>
    <row r="48" spans="1:7" s="11" customFormat="1" x14ac:dyDescent="0.2">
      <c r="A48" s="20">
        <v>13</v>
      </c>
      <c r="B48" s="202" t="s">
        <v>12</v>
      </c>
      <c r="C48" s="203"/>
      <c r="D48" s="15">
        <f>IF(F3="1",SUMIF(Data!A:A,'57'!$A$2,Data!DG:DG),0)</f>
        <v>5328</v>
      </c>
      <c r="E48" s="18">
        <f>IF(F3="1",SUMIF(Data!$A:$A,'57'!$A$2,Data!JA:JA),0)</f>
        <v>9354</v>
      </c>
      <c r="F48" s="22">
        <f t="shared" si="3"/>
        <v>1.7556306306306306</v>
      </c>
      <c r="G48" s="58"/>
    </row>
    <row r="49" spans="1:7" s="11" customFormat="1" ht="14.25" customHeight="1" x14ac:dyDescent="0.2">
      <c r="A49" s="20">
        <v>14</v>
      </c>
      <c r="B49" s="202" t="s">
        <v>449</v>
      </c>
      <c r="C49" s="203"/>
      <c r="D49" s="15">
        <f>IF(F3="1",SUMIF(Data!A:A,'57'!$A$2,Data!DH:DH),0)</f>
        <v>345328</v>
      </c>
      <c r="E49" s="18">
        <f>IF(F3="1",SUMIF(Data!$A:$A,'57'!$A$2,Data!JB:JB),0)</f>
        <v>606261</v>
      </c>
      <c r="F49" s="22">
        <f t="shared" si="3"/>
        <v>1.7556091599870269</v>
      </c>
      <c r="G49" s="58"/>
    </row>
    <row r="50" spans="1:7" s="11" customFormat="1" x14ac:dyDescent="0.2">
      <c r="A50" s="20">
        <v>15</v>
      </c>
      <c r="B50" s="202" t="s">
        <v>13</v>
      </c>
      <c r="C50" s="203"/>
      <c r="D50" s="15">
        <f>IF(F3="1",SUMIF(Data!A:A,'57'!$A$2,Data!DI:DI),0)</f>
        <v>0</v>
      </c>
      <c r="E50" s="18">
        <f>IF(F3="1",SUMIF(Data!$A:$A,'57'!$A$2,Data!JC:JC),0)</f>
        <v>0</v>
      </c>
      <c r="F50" s="22" t="str">
        <f t="shared" si="3"/>
        <v/>
      </c>
      <c r="G50" s="58"/>
    </row>
    <row r="51" spans="1:7" s="11" customFormat="1" x14ac:dyDescent="0.2">
      <c r="A51" s="20">
        <v>16</v>
      </c>
      <c r="B51" s="202" t="s">
        <v>14</v>
      </c>
      <c r="C51" s="203"/>
      <c r="D51" s="15">
        <f>IF(F3="1",SUMIF(Data!A:A,'57'!$A$2,Data!DJ:DJ),0)</f>
        <v>54108</v>
      </c>
      <c r="E51" s="18">
        <f>IF(F3="1",SUMIF(Data!$A:$A,'57'!$A$2,Data!JD:JD),0)</f>
        <v>94993</v>
      </c>
      <c r="F51" s="22">
        <f t="shared" si="3"/>
        <v>1.7556183928439417</v>
      </c>
      <c r="G51" s="58"/>
    </row>
    <row r="52" spans="1:7" s="11" customFormat="1" x14ac:dyDescent="0.2">
      <c r="A52" s="20">
        <v>17</v>
      </c>
      <c r="B52" s="202" t="s">
        <v>15</v>
      </c>
      <c r="C52" s="203"/>
      <c r="D52" s="15">
        <f>IF(F3="1",SUMIF(Data!A:A,'57'!$A$2,Data!DK:DK),0)</f>
        <v>0</v>
      </c>
      <c r="E52" s="18">
        <f>IF(F3="1",SUMIF(Data!$A:$A,'57'!$A$2,Data!JE:JE),0)</f>
        <v>0</v>
      </c>
      <c r="F52" s="22" t="str">
        <f t="shared" si="3"/>
        <v/>
      </c>
      <c r="G52" s="58"/>
    </row>
    <row r="53" spans="1:7" s="11" customFormat="1" x14ac:dyDescent="0.2">
      <c r="A53" s="20">
        <v>18</v>
      </c>
      <c r="B53" s="202" t="s">
        <v>16</v>
      </c>
      <c r="C53" s="203"/>
      <c r="D53" s="15">
        <f>IF(F3="1",SUMIF(Data!A:A,'57'!$A$2,Data!DL:DL),0)</f>
        <v>116176</v>
      </c>
      <c r="E53" s="18">
        <f>IF(F3="1",SUMIF(Data!$A:$A,'57'!$A$2,Data!JF:JF),0)</f>
        <v>203960</v>
      </c>
      <c r="F53" s="22">
        <f t="shared" si="3"/>
        <v>1.7556121746315934</v>
      </c>
      <c r="G53" s="58"/>
    </row>
    <row r="54" spans="1:7" s="11" customFormat="1" x14ac:dyDescent="0.2">
      <c r="A54" s="20">
        <v>19</v>
      </c>
      <c r="B54" s="202" t="s">
        <v>17</v>
      </c>
      <c r="C54" s="203"/>
      <c r="D54" s="15">
        <f>IF(F3="1",SUMIF(Data!A:A,'57'!$A$2,Data!DM:DM),0)</f>
        <v>41232</v>
      </c>
      <c r="E54" s="18">
        <f>IF(F3="1",SUMIF(Data!$A:$A,'57'!$A$2,Data!JG:JG),0)</f>
        <v>72387</v>
      </c>
      <c r="F54" s="22">
        <f t="shared" si="3"/>
        <v>1.7556024447031431</v>
      </c>
      <c r="G54" s="58"/>
    </row>
    <row r="55" spans="1:7" s="11" customFormat="1" x14ac:dyDescent="0.2">
      <c r="A55" s="20">
        <v>20</v>
      </c>
      <c r="B55" s="202" t="s">
        <v>18</v>
      </c>
      <c r="C55" s="203"/>
      <c r="D55" s="15">
        <f>IF(F3="1",SUMIF(Data!A:A,'57'!$A$2,Data!DN:DN),0)</f>
        <v>26176</v>
      </c>
      <c r="E55" s="18">
        <f>IF(F3="1",SUMIF(Data!$A:$A,'57'!$A$2,Data!JH:JH),0)</f>
        <v>45955</v>
      </c>
      <c r="F55" s="22">
        <f t="shared" si="3"/>
        <v>1.7556158312958434</v>
      </c>
      <c r="G55" s="58"/>
    </row>
    <row r="56" spans="1:7" s="11" customFormat="1" ht="14.25" customHeight="1" x14ac:dyDescent="0.2">
      <c r="A56" s="20">
        <v>21</v>
      </c>
      <c r="B56" s="202" t="s">
        <v>446</v>
      </c>
      <c r="C56" s="203"/>
      <c r="D56" s="15">
        <f>IF(F3="1",SUMIF(Data!A:A,'57'!$A$2,Data!DO:DO),0)</f>
        <v>26304</v>
      </c>
      <c r="E56" s="18">
        <f>IF(F3="1",SUMIF(Data!$A:$A,'57'!$A$2,Data!JI:JI),0)</f>
        <v>46180</v>
      </c>
      <c r="F56" s="22">
        <f t="shared" si="3"/>
        <v>1.7556265206812651</v>
      </c>
      <c r="G56" s="58"/>
    </row>
    <row r="57" spans="1:7" s="11" customFormat="1" x14ac:dyDescent="0.2">
      <c r="A57" s="20">
        <v>22</v>
      </c>
      <c r="B57" s="202" t="s">
        <v>19</v>
      </c>
      <c r="C57" s="203"/>
      <c r="D57" s="15">
        <f>IF(F3="1",SUMIF(Data!A:A,'57'!$A$2,Data!DP:DP),0)</f>
        <v>10224</v>
      </c>
      <c r="E57" s="18">
        <f>IF(F3="1",SUMIF(Data!$A:$A,'57'!$A$2,Data!JJ:JJ),0)</f>
        <v>17949</v>
      </c>
      <c r="F57" s="22">
        <f t="shared" si="3"/>
        <v>1.755575117370892</v>
      </c>
      <c r="G57" s="58"/>
    </row>
    <row r="58" spans="1:7" s="11" customFormat="1" x14ac:dyDescent="0.2">
      <c r="A58" s="20">
        <v>23</v>
      </c>
      <c r="B58" s="202" t="s">
        <v>20</v>
      </c>
      <c r="C58" s="203"/>
      <c r="D58" s="15">
        <f>IF(F3="1",SUMIF(Data!A:A,'57'!$A$2,Data!DQ:DQ),0)</f>
        <v>12576</v>
      </c>
      <c r="E58" s="18">
        <f>IF(F3="1",SUMIF(Data!$A:$A,'57'!$A$2,Data!JK:JK),0)</f>
        <v>22078</v>
      </c>
      <c r="F58" s="22">
        <f t="shared" si="3"/>
        <v>1.7555661577608141</v>
      </c>
      <c r="G58" s="58"/>
    </row>
    <row r="59" spans="1:7" s="11" customFormat="1" x14ac:dyDescent="0.2">
      <c r="A59" s="20">
        <v>24</v>
      </c>
      <c r="B59" s="202" t="s">
        <v>21</v>
      </c>
      <c r="C59" s="203"/>
      <c r="D59" s="15">
        <f>IF(F3="1",SUMIF(Data!A:A,'57'!$A$2,Data!DR:DR),0)</f>
        <v>5616</v>
      </c>
      <c r="E59" s="18">
        <f>IF(F3="1",SUMIF(Data!$A:$A,'57'!$A$2,Data!JL:JL),0)</f>
        <v>9859</v>
      </c>
      <c r="F59" s="22">
        <f t="shared" si="3"/>
        <v>1.7555199430199431</v>
      </c>
      <c r="G59" s="58"/>
    </row>
    <row r="60" spans="1:7" s="11" customFormat="1" x14ac:dyDescent="0.2">
      <c r="A60" s="20">
        <v>25</v>
      </c>
      <c r="B60" s="202" t="s">
        <v>22</v>
      </c>
      <c r="C60" s="203"/>
      <c r="D60" s="15">
        <f>IF(F3="1",SUMIF(Data!A:A,'57'!$A$2,Data!DS:DS),0)</f>
        <v>138080</v>
      </c>
      <c r="E60" s="18">
        <f>IF(F3="1",SUMIF(Data!$A:$A,'57'!$A$2,Data!JM:JM),0)</f>
        <v>242416</v>
      </c>
      <c r="F60" s="22">
        <f t="shared" si="3"/>
        <v>1.7556199304750868</v>
      </c>
      <c r="G60" s="58"/>
    </row>
    <row r="61" spans="1:7" s="11" customFormat="1" x14ac:dyDescent="0.2">
      <c r="A61" s="20">
        <v>26</v>
      </c>
      <c r="B61" s="202" t="s">
        <v>23</v>
      </c>
      <c r="C61" s="203"/>
      <c r="D61" s="15">
        <f>IF(F3="1",SUMIF(Data!A:A,'57'!$A$2,Data!DT:DT),0)</f>
        <v>61680</v>
      </c>
      <c r="E61" s="18">
        <f>IF(F3="1",SUMIF(Data!$A:$A,'57'!$A$2,Data!JN:JN),0)</f>
        <v>108287</v>
      </c>
      <c r="F61" s="22">
        <f t="shared" si="3"/>
        <v>1.7556258106355382</v>
      </c>
      <c r="G61" s="58"/>
    </row>
    <row r="62" spans="1:7" s="11" customFormat="1" x14ac:dyDescent="0.2">
      <c r="A62" s="20">
        <v>28</v>
      </c>
      <c r="B62" s="202" t="s">
        <v>24</v>
      </c>
      <c r="C62" s="203"/>
      <c r="D62" s="15">
        <f>IF(F3="1",SUMIF(Data!A:A,'57'!$A$2,Data!DV:DV),0)</f>
        <v>53840</v>
      </c>
      <c r="E62" s="18">
        <f>IF(F3="1",SUMIF(Data!$A:$A,'57'!$A$2,Data!JP:JP),0)</f>
        <v>94521</v>
      </c>
      <c r="F62" s="22">
        <f t="shared" si="3"/>
        <v>1.7555906389301634</v>
      </c>
      <c r="G62" s="58"/>
    </row>
    <row r="63" spans="1:7" s="11" customFormat="1" ht="15.75" customHeight="1" thickBot="1" x14ac:dyDescent="0.25">
      <c r="A63" s="23">
        <v>29</v>
      </c>
      <c r="B63" s="206" t="s">
        <v>25</v>
      </c>
      <c r="C63" s="207"/>
      <c r="D63" s="24">
        <f>IF(F3="1",SUMIF(Data!A:A,'57'!$A$2,Data!DW:DW),0)</f>
        <v>28832</v>
      </c>
      <c r="E63" s="25">
        <f>IF(F3="1",SUMIF(Data!$A:$A,'57'!$A$2,Data!JQ:JQ),0)</f>
        <v>50619</v>
      </c>
      <c r="F63" s="26">
        <f t="shared" si="3"/>
        <v>1.7556534406215316</v>
      </c>
      <c r="G63" s="58"/>
    </row>
    <row r="64" spans="1:7" s="11" customFormat="1" x14ac:dyDescent="0.2">
      <c r="B64" s="31" t="s">
        <v>35</v>
      </c>
      <c r="C64" s="31"/>
      <c r="D64" s="60">
        <f>SUM(D36:D63)</f>
        <v>1734844</v>
      </c>
      <c r="E64" s="32">
        <f>SUM(E36:E63)</f>
        <v>3045716</v>
      </c>
      <c r="F64" s="33">
        <f t="shared" si="3"/>
        <v>1.7556137612373217</v>
      </c>
      <c r="G64" s="58"/>
    </row>
    <row r="65" spans="1:7" s="11" customFormat="1" ht="15" thickBot="1" x14ac:dyDescent="0.25">
      <c r="B65" s="58"/>
      <c r="C65" s="58"/>
      <c r="D65" s="58"/>
      <c r="E65" s="58"/>
      <c r="F65" s="58"/>
      <c r="G65" s="58"/>
    </row>
    <row r="66" spans="1:7" s="11" customFormat="1" ht="29.25" customHeight="1" x14ac:dyDescent="0.2">
      <c r="A66" s="27" t="s">
        <v>26</v>
      </c>
      <c r="B66" s="204" t="s">
        <v>452</v>
      </c>
      <c r="C66" s="205"/>
      <c r="D66" s="29" t="s">
        <v>27</v>
      </c>
      <c r="E66" s="29" t="s">
        <v>447</v>
      </c>
      <c r="F66" s="30" t="s">
        <v>448</v>
      </c>
      <c r="G66" s="58"/>
    </row>
    <row r="67" spans="1:7" s="11" customFormat="1" x14ac:dyDescent="0.2">
      <c r="A67" s="20">
        <v>1</v>
      </c>
      <c r="B67" s="202" t="s">
        <v>0</v>
      </c>
      <c r="C67" s="203"/>
      <c r="D67" s="15">
        <f>D36</f>
        <v>0</v>
      </c>
      <c r="E67" s="16">
        <f>IF(F3="1",SUMIF(Data!A:A,'57'!$A$2,Data!DY:DY),0)</f>
        <v>0</v>
      </c>
      <c r="F67" s="21" t="str">
        <f>IFERROR(E67/D67,"")</f>
        <v/>
      </c>
      <c r="G67" s="58"/>
    </row>
    <row r="68" spans="1:7" s="11" customFormat="1" x14ac:dyDescent="0.2">
      <c r="A68" s="20">
        <v>2</v>
      </c>
      <c r="B68" s="202" t="s">
        <v>1</v>
      </c>
      <c r="C68" s="203"/>
      <c r="D68" s="15">
        <f t="shared" ref="D68:D94" si="4">D37</f>
        <v>11232</v>
      </c>
      <c r="E68" s="18">
        <f>IF(F3="1",SUMIF(Data!A:A,'57'!$A$2,Data!DZ:DZ),0)</f>
        <v>27916</v>
      </c>
      <c r="F68" s="22">
        <f t="shared" ref="F68:F95" si="5">IFERROR(E68/D68,"")</f>
        <v>2.4853988603988606</v>
      </c>
      <c r="G68" s="58"/>
    </row>
    <row r="69" spans="1:7" s="11" customFormat="1" ht="14.25" customHeight="1" x14ac:dyDescent="0.2">
      <c r="A69" s="20">
        <v>3</v>
      </c>
      <c r="B69" s="202" t="s">
        <v>2</v>
      </c>
      <c r="C69" s="203"/>
      <c r="D69" s="15">
        <f t="shared" si="4"/>
        <v>115120</v>
      </c>
      <c r="E69" s="18">
        <f>IF(F3="1",SUMIF(Data!A:A,'57'!$A$2,Data!EA:EA),0)</f>
        <v>286116</v>
      </c>
      <c r="F69" s="22">
        <f t="shared" si="5"/>
        <v>2.485371785962474</v>
      </c>
      <c r="G69" s="58"/>
    </row>
    <row r="70" spans="1:7" ht="14.25" customHeight="1" x14ac:dyDescent="0.2">
      <c r="A70" s="20">
        <v>4</v>
      </c>
      <c r="B70" s="202" t="s">
        <v>3</v>
      </c>
      <c r="C70" s="203"/>
      <c r="D70" s="15">
        <f t="shared" si="4"/>
        <v>99872</v>
      </c>
      <c r="E70" s="18">
        <f>IF(F3="1",SUMIF(Data!A:A,'57'!$A$2,Data!EB:EB),0)</f>
        <v>248219</v>
      </c>
      <c r="F70" s="22">
        <f t="shared" si="5"/>
        <v>2.4853712752322972</v>
      </c>
    </row>
    <row r="71" spans="1:7" x14ac:dyDescent="0.2">
      <c r="A71" s="20">
        <v>5</v>
      </c>
      <c r="B71" s="202" t="s">
        <v>4</v>
      </c>
      <c r="C71" s="203"/>
      <c r="D71" s="15">
        <f t="shared" si="4"/>
        <v>0</v>
      </c>
      <c r="E71" s="18">
        <f>IF(F3="1",SUMIF(Data!A:A,'57'!$A$2,Data!EC:EC),0)</f>
        <v>0</v>
      </c>
      <c r="F71" s="22" t="str">
        <f t="shared" si="5"/>
        <v/>
      </c>
    </row>
    <row r="72" spans="1:7" x14ac:dyDescent="0.2">
      <c r="A72" s="20">
        <v>6</v>
      </c>
      <c r="B72" s="202" t="s">
        <v>5</v>
      </c>
      <c r="C72" s="203"/>
      <c r="D72" s="15">
        <f t="shared" si="4"/>
        <v>30112</v>
      </c>
      <c r="E72" s="18">
        <f>IF(F3="1",SUMIF(Data!A:A,'57'!$A$2,Data!ED:ED),0)</f>
        <v>74840</v>
      </c>
      <c r="F72" s="22">
        <f t="shared" si="5"/>
        <v>2.4853878852284805</v>
      </c>
    </row>
    <row r="73" spans="1:7" x14ac:dyDescent="0.2">
      <c r="A73" s="20">
        <v>7</v>
      </c>
      <c r="B73" s="202" t="s">
        <v>6</v>
      </c>
      <c r="C73" s="203"/>
      <c r="D73" s="15">
        <f t="shared" si="4"/>
        <v>164560</v>
      </c>
      <c r="E73" s="18">
        <f>IF(F3="1",SUMIF(Data!A:A,'57'!$A$2,Data!EE:EE),0)</f>
        <v>408993</v>
      </c>
      <c r="F73" s="22">
        <f t="shared" si="5"/>
        <v>2.4853731161886241</v>
      </c>
    </row>
    <row r="74" spans="1:7" x14ac:dyDescent="0.2">
      <c r="A74" s="20">
        <v>8</v>
      </c>
      <c r="B74" s="202" t="s">
        <v>7</v>
      </c>
      <c r="C74" s="203"/>
      <c r="D74" s="15">
        <f t="shared" si="4"/>
        <v>43680</v>
      </c>
      <c r="E74" s="18">
        <f>IF(F3="1",SUMIF(Data!A:A,'57'!$A$2,Data!EF:EF),0)</f>
        <v>108561</v>
      </c>
      <c r="F74" s="22">
        <f t="shared" si="5"/>
        <v>2.4853708791208793</v>
      </c>
    </row>
    <row r="75" spans="1:7" x14ac:dyDescent="0.2">
      <c r="A75" s="20">
        <v>9</v>
      </c>
      <c r="B75" s="202" t="s">
        <v>8</v>
      </c>
      <c r="C75" s="203"/>
      <c r="D75" s="15">
        <f t="shared" si="4"/>
        <v>140384</v>
      </c>
      <c r="E75" s="18">
        <f>IF(F3="1",SUMIF(Data!A:A,'57'!$A$2,Data!EG:EG),0)</f>
        <v>348907</v>
      </c>
      <c r="F75" s="22">
        <f t="shared" si="5"/>
        <v>2.4853758263049919</v>
      </c>
    </row>
    <row r="76" spans="1:7" x14ac:dyDescent="0.2">
      <c r="A76" s="20">
        <v>10</v>
      </c>
      <c r="B76" s="202" t="s">
        <v>9</v>
      </c>
      <c r="C76" s="203"/>
      <c r="D76" s="15">
        <f t="shared" si="4"/>
        <v>0</v>
      </c>
      <c r="E76" s="18">
        <f>IF(F3="1",SUMIF(Data!A:A,'57'!$A$2,Data!EH:EH),0)</f>
        <v>0</v>
      </c>
      <c r="F76" s="22" t="str">
        <f t="shared" si="5"/>
        <v/>
      </c>
    </row>
    <row r="77" spans="1:7" x14ac:dyDescent="0.2">
      <c r="A77" s="20">
        <v>11</v>
      </c>
      <c r="B77" s="202" t="s">
        <v>10</v>
      </c>
      <c r="C77" s="203"/>
      <c r="D77" s="15">
        <f t="shared" si="4"/>
        <v>117360</v>
      </c>
      <c r="E77" s="18">
        <f>IF(F3="1",SUMIF(Data!A:A,'57'!$A$2,Data!EI:EI),0)</f>
        <v>291683</v>
      </c>
      <c r="F77" s="22">
        <f t="shared" si="5"/>
        <v>2.4853698023176549</v>
      </c>
    </row>
    <row r="78" spans="1:7" ht="14.25" customHeight="1" x14ac:dyDescent="0.2">
      <c r="A78" s="20">
        <v>12</v>
      </c>
      <c r="B78" s="202" t="s">
        <v>11</v>
      </c>
      <c r="C78" s="203"/>
      <c r="D78" s="15">
        <f t="shared" si="4"/>
        <v>87024</v>
      </c>
      <c r="E78" s="18">
        <f>IF(F3="1",SUMIF(Data!A:A,'57'!$A$2,Data!EJ:EJ),0)</f>
        <v>216287</v>
      </c>
      <c r="F78" s="22">
        <f t="shared" si="5"/>
        <v>2.4853718514432801</v>
      </c>
    </row>
    <row r="79" spans="1:7" x14ac:dyDescent="0.2">
      <c r="A79" s="20">
        <v>13</v>
      </c>
      <c r="B79" s="202" t="s">
        <v>12</v>
      </c>
      <c r="C79" s="203"/>
      <c r="D79" s="15">
        <f t="shared" si="4"/>
        <v>5328</v>
      </c>
      <c r="E79" s="18">
        <f>IF(F3="1",SUMIF(Data!A:A,'57'!$A$2,Data!EK:EK),0)</f>
        <v>13242</v>
      </c>
      <c r="F79" s="22">
        <f t="shared" si="5"/>
        <v>2.4853603603603602</v>
      </c>
    </row>
    <row r="80" spans="1:7" ht="14.25" customHeight="1" x14ac:dyDescent="0.2">
      <c r="A80" s="20">
        <v>14</v>
      </c>
      <c r="B80" s="202" t="s">
        <v>449</v>
      </c>
      <c r="C80" s="203"/>
      <c r="D80" s="15">
        <f t="shared" si="4"/>
        <v>345328</v>
      </c>
      <c r="E80" s="18">
        <f>IF(F3="1",SUMIF(Data!A:A,'57'!$A$2,Data!EL:EL),0)</f>
        <v>858269</v>
      </c>
      <c r="F80" s="22">
        <f t="shared" si="5"/>
        <v>2.4853733262289763</v>
      </c>
    </row>
    <row r="81" spans="1:6" x14ac:dyDescent="0.2">
      <c r="A81" s="20">
        <v>15</v>
      </c>
      <c r="B81" s="202" t="s">
        <v>13</v>
      </c>
      <c r="C81" s="203"/>
      <c r="D81" s="15">
        <f t="shared" si="4"/>
        <v>0</v>
      </c>
      <c r="E81" s="18">
        <f>IF(F3="1",SUMIF(Data!A:A,'57'!$A$2,Data!EM:EM),0)</f>
        <v>0</v>
      </c>
      <c r="F81" s="22" t="str">
        <f t="shared" si="5"/>
        <v/>
      </c>
    </row>
    <row r="82" spans="1:6" x14ac:dyDescent="0.2">
      <c r="A82" s="20">
        <v>16</v>
      </c>
      <c r="B82" s="202" t="s">
        <v>14</v>
      </c>
      <c r="C82" s="203"/>
      <c r="D82" s="15">
        <f t="shared" si="4"/>
        <v>54108</v>
      </c>
      <c r="E82" s="18">
        <f>IF(F3="1",SUMIF(Data!A:A,'57'!$A$2,Data!EN:EN),0)</f>
        <v>134479</v>
      </c>
      <c r="F82" s="22">
        <f t="shared" si="5"/>
        <v>2.485381089672507</v>
      </c>
    </row>
    <row r="83" spans="1:6" x14ac:dyDescent="0.2">
      <c r="A83" s="20">
        <v>17</v>
      </c>
      <c r="B83" s="202" t="s">
        <v>15</v>
      </c>
      <c r="C83" s="203"/>
      <c r="D83" s="15">
        <f t="shared" si="4"/>
        <v>0</v>
      </c>
      <c r="E83" s="18">
        <f>IF(F3="1",SUMIF(Data!A:A,'57'!$A$2,Data!EO:EO),0)</f>
        <v>0</v>
      </c>
      <c r="F83" s="22" t="str">
        <f t="shared" si="5"/>
        <v/>
      </c>
    </row>
    <row r="84" spans="1:6" x14ac:dyDescent="0.2">
      <c r="A84" s="20">
        <v>18</v>
      </c>
      <c r="B84" s="202" t="s">
        <v>16</v>
      </c>
      <c r="C84" s="203"/>
      <c r="D84" s="15">
        <f t="shared" si="4"/>
        <v>116176</v>
      </c>
      <c r="E84" s="18">
        <f>IF(F3="1",SUMIF(Data!A:A,'57'!$A$2,Data!EP:EP),0)</f>
        <v>288741</v>
      </c>
      <c r="F84" s="22">
        <f t="shared" si="5"/>
        <v>2.4853756369646054</v>
      </c>
    </row>
    <row r="85" spans="1:6" x14ac:dyDescent="0.2">
      <c r="A85" s="20">
        <v>19</v>
      </c>
      <c r="B85" s="202" t="s">
        <v>17</v>
      </c>
      <c r="C85" s="203"/>
      <c r="D85" s="15">
        <f t="shared" si="4"/>
        <v>41232</v>
      </c>
      <c r="E85" s="18">
        <f>IF(F3="1",SUMIF(Data!A:A,'57'!$A$2,Data!EQ:EQ),0)</f>
        <v>102477</v>
      </c>
      <c r="F85" s="22">
        <f t="shared" si="5"/>
        <v>2.4853754365541327</v>
      </c>
    </row>
    <row r="86" spans="1:6" x14ac:dyDescent="0.2">
      <c r="A86" s="20">
        <v>20</v>
      </c>
      <c r="B86" s="202" t="s">
        <v>18</v>
      </c>
      <c r="C86" s="203"/>
      <c r="D86" s="15">
        <f t="shared" si="4"/>
        <v>26176</v>
      </c>
      <c r="E86" s="18">
        <f>IF(F3="1",SUMIF(Data!A:A,'57'!$A$2,Data!ER:ER),0)</f>
        <v>65057</v>
      </c>
      <c r="F86" s="22">
        <f t="shared" si="5"/>
        <v>2.4853682762836184</v>
      </c>
    </row>
    <row r="87" spans="1:6" ht="14.25" customHeight="1" x14ac:dyDescent="0.2">
      <c r="A87" s="20">
        <v>21</v>
      </c>
      <c r="B87" s="202" t="s">
        <v>446</v>
      </c>
      <c r="C87" s="203"/>
      <c r="D87" s="15">
        <f t="shared" si="4"/>
        <v>26304</v>
      </c>
      <c r="E87" s="18">
        <f>IF(F3="1",SUMIF(Data!A:A,'57'!$A$2,Data!ES:ES),0)</f>
        <v>65375</v>
      </c>
      <c r="F87" s="22">
        <f t="shared" si="5"/>
        <v>2.4853634428223845</v>
      </c>
    </row>
    <row r="88" spans="1:6" x14ac:dyDescent="0.2">
      <c r="A88" s="20">
        <v>22</v>
      </c>
      <c r="B88" s="202" t="s">
        <v>19</v>
      </c>
      <c r="C88" s="203"/>
      <c r="D88" s="15">
        <f t="shared" si="4"/>
        <v>10224</v>
      </c>
      <c r="E88" s="18">
        <f>IF(F3="1",SUMIF(Data!A:A,'57'!$A$2,Data!ET:ET),0)</f>
        <v>25410</v>
      </c>
      <c r="F88" s="22">
        <f t="shared" si="5"/>
        <v>2.4853286384976525</v>
      </c>
    </row>
    <row r="89" spans="1:6" x14ac:dyDescent="0.2">
      <c r="A89" s="20">
        <v>23</v>
      </c>
      <c r="B89" s="202" t="s">
        <v>20</v>
      </c>
      <c r="C89" s="203"/>
      <c r="D89" s="15">
        <f t="shared" si="4"/>
        <v>12576</v>
      </c>
      <c r="E89" s="18">
        <f>IF(F3="1",SUMIF(Data!A:A,'57'!$A$2,Data!EU:EU),0)</f>
        <v>31256</v>
      </c>
      <c r="F89" s="22">
        <f t="shared" si="5"/>
        <v>2.4853689567430024</v>
      </c>
    </row>
    <row r="90" spans="1:6" x14ac:dyDescent="0.2">
      <c r="A90" s="20">
        <v>24</v>
      </c>
      <c r="B90" s="202" t="s">
        <v>21</v>
      </c>
      <c r="C90" s="203"/>
      <c r="D90" s="15">
        <f t="shared" si="4"/>
        <v>5616</v>
      </c>
      <c r="E90" s="18">
        <f>IF(F3="1",SUMIF(Data!A:A,'57'!$A$2,Data!EV:EV),0)</f>
        <v>13958</v>
      </c>
      <c r="F90" s="22">
        <f t="shared" si="5"/>
        <v>2.4853988603988606</v>
      </c>
    </row>
    <row r="91" spans="1:6" x14ac:dyDescent="0.2">
      <c r="A91" s="20">
        <v>25</v>
      </c>
      <c r="B91" s="202" t="s">
        <v>22</v>
      </c>
      <c r="C91" s="203"/>
      <c r="D91" s="15">
        <f t="shared" si="4"/>
        <v>138080</v>
      </c>
      <c r="E91" s="18">
        <f>IF(F3="1",SUMIF(Data!A:A,'57'!$A$2,Data!EW:EW),0)</f>
        <v>343180</v>
      </c>
      <c r="F91" s="22">
        <f t="shared" si="5"/>
        <v>2.4853707995365006</v>
      </c>
    </row>
    <row r="92" spans="1:6" x14ac:dyDescent="0.2">
      <c r="A92" s="20">
        <v>26</v>
      </c>
      <c r="B92" s="202" t="s">
        <v>23</v>
      </c>
      <c r="C92" s="203"/>
      <c r="D92" s="15">
        <f t="shared" si="4"/>
        <v>61680</v>
      </c>
      <c r="E92" s="18">
        <f>IF(F3="1",SUMIF(Data!A:A,'57'!$A$2,Data!EX:EX),0)</f>
        <v>153298</v>
      </c>
      <c r="F92" s="22">
        <f t="shared" si="5"/>
        <v>2.4853761348897536</v>
      </c>
    </row>
    <row r="93" spans="1:6" x14ac:dyDescent="0.2">
      <c r="A93" s="20">
        <v>28</v>
      </c>
      <c r="B93" s="202" t="s">
        <v>24</v>
      </c>
      <c r="C93" s="203"/>
      <c r="D93" s="15">
        <f t="shared" si="4"/>
        <v>53840</v>
      </c>
      <c r="E93" s="18">
        <f>IF(F3="1",SUMIF(Data!A:A,'57'!$A$2,Data!EZ:EZ),0)</f>
        <v>133812</v>
      </c>
      <c r="F93" s="22">
        <f t="shared" si="5"/>
        <v>2.4853640416047549</v>
      </c>
    </row>
    <row r="94" spans="1:6" ht="15.75" customHeight="1" thickBot="1" x14ac:dyDescent="0.25">
      <c r="A94" s="23">
        <v>29</v>
      </c>
      <c r="B94" s="206" t="s">
        <v>25</v>
      </c>
      <c r="C94" s="207"/>
      <c r="D94" s="24">
        <f t="shared" si="4"/>
        <v>28832</v>
      </c>
      <c r="E94" s="25">
        <f>IF(F3="1",SUMIF(Data!A:A,'57'!$A$2,Data!FA:FA),0)</f>
        <v>71658</v>
      </c>
      <c r="F94" s="26">
        <f t="shared" si="5"/>
        <v>2.4853634850166482</v>
      </c>
    </row>
    <row r="95" spans="1:6" x14ac:dyDescent="0.2">
      <c r="B95" s="31" t="s">
        <v>35</v>
      </c>
      <c r="C95" s="31"/>
      <c r="D95" s="60">
        <f>SUM(D67:D94)</f>
        <v>1734844</v>
      </c>
      <c r="E95" s="32">
        <f>SUM(E67:E94)</f>
        <v>4311734</v>
      </c>
      <c r="F95" s="33">
        <f t="shared" si="5"/>
        <v>2.4853727482125194</v>
      </c>
    </row>
    <row r="96" spans="1:6" ht="15" thickBot="1" x14ac:dyDescent="0.25"/>
    <row r="97" spans="2:7" ht="29.25" customHeight="1" x14ac:dyDescent="0.2">
      <c r="B97" s="210" t="s">
        <v>453</v>
      </c>
      <c r="C97" s="211"/>
      <c r="D97" s="29" t="s">
        <v>27</v>
      </c>
      <c r="E97" s="34" t="s">
        <v>447</v>
      </c>
      <c r="F97" s="30" t="s">
        <v>448</v>
      </c>
    </row>
    <row r="98" spans="2:7" x14ac:dyDescent="0.2">
      <c r="B98" s="212" t="s">
        <v>30</v>
      </c>
      <c r="C98" s="213"/>
      <c r="D98" s="36"/>
      <c r="E98" s="16">
        <f>IF(F3="1",SUMIF(Data!A:A,'57'!$A$2,Data!AH:AH),0)</f>
        <v>3901703</v>
      </c>
      <c r="F98" s="21">
        <f t="shared" ref="F98:F105" si="6">IFERROR(E98/$D$95,0)</f>
        <v>2.2490223904858304</v>
      </c>
    </row>
    <row r="99" spans="2:7" x14ac:dyDescent="0.2">
      <c r="B99" s="212" t="s">
        <v>31</v>
      </c>
      <c r="C99" s="213"/>
      <c r="D99" s="37"/>
      <c r="E99" s="18">
        <f>IF(F3="1",SUMIF(Data!A:A,'57'!$A$2,Data!AI:AI),0)</f>
        <v>837030</v>
      </c>
      <c r="F99" s="22">
        <f t="shared" si="6"/>
        <v>0.48248142196070654</v>
      </c>
    </row>
    <row r="100" spans="2:7" x14ac:dyDescent="0.2">
      <c r="B100" s="212" t="s">
        <v>32</v>
      </c>
      <c r="C100" s="213"/>
      <c r="D100" s="37"/>
      <c r="E100" s="18">
        <f>IF(F3="1",SUMIF(Data!A:A,'57'!$A$2,Data!AJ:AJ),0)</f>
        <v>1540133</v>
      </c>
      <c r="F100" s="22">
        <f t="shared" si="6"/>
        <v>0.88776454828215101</v>
      </c>
    </row>
    <row r="101" spans="2:7" x14ac:dyDescent="0.2">
      <c r="B101" s="212" t="s">
        <v>28</v>
      </c>
      <c r="C101" s="213"/>
      <c r="D101" s="37"/>
      <c r="E101" s="18">
        <f>IF(F3="1",SUMIF(Data!A:A,'57'!$A$2,Data!AK:AK),0)</f>
        <v>0</v>
      </c>
      <c r="F101" s="22">
        <f t="shared" si="6"/>
        <v>0</v>
      </c>
    </row>
    <row r="102" spans="2:7" x14ac:dyDescent="0.2">
      <c r="B102" s="212" t="s">
        <v>33</v>
      </c>
      <c r="C102" s="213"/>
      <c r="D102" s="37"/>
      <c r="E102" s="18">
        <f>IF(F3="1",SUMIF(Data!A:A,'57'!$A$2,Data!AL:AL),0)</f>
        <v>9141</v>
      </c>
      <c r="F102" s="22">
        <f t="shared" si="6"/>
        <v>5.2690616562641943E-3</v>
      </c>
    </row>
    <row r="103" spans="2:7" x14ac:dyDescent="0.2">
      <c r="B103" s="214" t="s">
        <v>34</v>
      </c>
      <c r="C103" s="215"/>
      <c r="D103" s="37"/>
      <c r="E103" s="18">
        <f>IF(F3="1",SUMIF(Data!A:A,'57'!$A$2,Data!AM:AM),0)</f>
        <v>1013295</v>
      </c>
      <c r="F103" s="22">
        <f t="shared" si="6"/>
        <v>0.58408421737055316</v>
      </c>
    </row>
    <row r="104" spans="2:7" ht="15.75" customHeight="1" thickBot="1" x14ac:dyDescent="0.25">
      <c r="B104" s="208" t="s">
        <v>29</v>
      </c>
      <c r="C104" s="209"/>
      <c r="D104" s="38"/>
      <c r="E104" s="25">
        <f>IF(F3="1",SUMIF(Data!A:A,'57'!$A$2,Data!Q:Q),0)</f>
        <v>1010612</v>
      </c>
      <c r="F104" s="26">
        <f t="shared" si="6"/>
        <v>0.58253768062142763</v>
      </c>
    </row>
    <row r="105" spans="2:7" x14ac:dyDescent="0.2">
      <c r="B105" s="31" t="s">
        <v>35</v>
      </c>
      <c r="C105" s="31"/>
      <c r="D105" s="35">
        <f>D95</f>
        <v>1734844</v>
      </c>
      <c r="E105" s="32">
        <f>SUM(E98:E104)</f>
        <v>8311914</v>
      </c>
      <c r="F105" s="33">
        <f t="shared" si="6"/>
        <v>4.7911593203769334</v>
      </c>
    </row>
    <row r="107" spans="2:7" ht="15" thickBot="1" x14ac:dyDescent="0.25">
      <c r="B107" s="59" t="s">
        <v>919</v>
      </c>
    </row>
    <row r="108" spans="2:7" ht="28.5" x14ac:dyDescent="0.2">
      <c r="B108" s="46" t="s">
        <v>913</v>
      </c>
      <c r="C108" s="28" t="s">
        <v>917</v>
      </c>
      <c r="D108" s="28" t="s">
        <v>29</v>
      </c>
      <c r="E108" s="28" t="s">
        <v>918</v>
      </c>
      <c r="F108" s="47" t="s">
        <v>35</v>
      </c>
    </row>
    <row r="109" spans="2:7" x14ac:dyDescent="0.2">
      <c r="B109" s="43" t="s">
        <v>914</v>
      </c>
      <c r="C109" s="192">
        <f>E95+IF(F3="1",SUMIF(Data!$A:$A,$A$2,Data!GF:GF),0)</f>
        <v>5577759</v>
      </c>
      <c r="D109" s="192">
        <f>IF(F3="1",SUMIF(Data!$A:$A,$A$2,Data!HJ:HJ),0)</f>
        <v>1485774</v>
      </c>
      <c r="E109" s="192">
        <f>IF(F3="1",SUMIF(Data!$A:$A,$A$2,Data!IN:IN),0)</f>
        <v>293917</v>
      </c>
      <c r="F109" s="48">
        <f>SUM(C109:E109)</f>
        <v>7357450</v>
      </c>
    </row>
    <row r="110" spans="2:7" s="11" customFormat="1" x14ac:dyDescent="0.2">
      <c r="B110" s="43" t="s">
        <v>28</v>
      </c>
      <c r="C110" s="193">
        <f>IF(F3="1",SUMIF(Data!A:A,$A$2,Data!W:W),0)</f>
        <v>0</v>
      </c>
      <c r="D110" s="52"/>
      <c r="E110" s="193">
        <f>IF(F3="1",SUMIF(Data!A:A,$A$2,Data!AD:AD),0)</f>
        <v>0</v>
      </c>
      <c r="F110" s="49">
        <f t="shared" ref="F110:F116" si="7">SUM(C110:E110)</f>
        <v>0</v>
      </c>
      <c r="G110" s="58"/>
    </row>
    <row r="111" spans="2:7" x14ac:dyDescent="0.2">
      <c r="B111" s="43" t="s">
        <v>915</v>
      </c>
      <c r="C111" s="193">
        <f>IF(F3="1",SUMIF(Data!A:A,$A$2,Data!AS:AS),0)</f>
        <v>342746</v>
      </c>
      <c r="D111" s="52"/>
      <c r="E111" s="193">
        <f>IF(F3="1",SUMIF(Data!A:A,$A$2,Data!AX:AX)-SUMIF(Data!A:A,$A$2,Data!AW:AW),0)</f>
        <v>132918</v>
      </c>
      <c r="F111" s="49">
        <f t="shared" si="7"/>
        <v>475664</v>
      </c>
    </row>
    <row r="112" spans="2:7" x14ac:dyDescent="0.2">
      <c r="B112" s="43" t="s">
        <v>32</v>
      </c>
      <c r="C112" s="193">
        <f>IF(F3="1",SUMIF(Data!A:A,$A$2,Data!V:V),0)</f>
        <v>640834</v>
      </c>
      <c r="D112" s="52"/>
      <c r="E112" s="193">
        <f>IF(F3="1",SUMIF(Data!A:A,$A$2,Data!AC:AC),0)</f>
        <v>899299</v>
      </c>
      <c r="F112" s="49">
        <f t="shared" si="7"/>
        <v>1540133</v>
      </c>
    </row>
    <row r="113" spans="1:7" x14ac:dyDescent="0.2">
      <c r="B113" s="43" t="s">
        <v>31</v>
      </c>
      <c r="C113" s="193">
        <f>IF(F3="1",SUMIF(Data!A:A,$A$2,Data!U:U),0)</f>
        <v>827737</v>
      </c>
      <c r="D113" s="52"/>
      <c r="E113" s="193">
        <f>IF(F3="1",SUMIF(Data!A:A,$A$2,Data!AB:AB),0)</f>
        <v>9293</v>
      </c>
      <c r="F113" s="49">
        <f t="shared" si="7"/>
        <v>837030</v>
      </c>
    </row>
    <row r="114" spans="1:7" x14ac:dyDescent="0.2">
      <c r="B114" s="43" t="s">
        <v>1002</v>
      </c>
      <c r="C114" s="193">
        <f>IF(F3="1",SUMIF(Data!A:A,$A$2,Data!T:T),0)</f>
        <v>1964314</v>
      </c>
      <c r="D114" s="52"/>
      <c r="E114" s="193">
        <f>IF(F3="1",SUMIF(Data!A:A,$A$2,Data!AA:AA),0)</f>
        <v>1937389</v>
      </c>
      <c r="F114" s="49">
        <f t="shared" si="7"/>
        <v>3901703</v>
      </c>
    </row>
    <row r="115" spans="1:7" x14ac:dyDescent="0.2">
      <c r="B115" s="43" t="s">
        <v>916</v>
      </c>
      <c r="C115" s="193">
        <f>IF(F3="1",SUMIF(Data!A:A,$A$2,Data!BI:BI),0)</f>
        <v>982027</v>
      </c>
      <c r="D115" s="193">
        <f>IF(F3="1",SUMIF(Data!A:A,$A$2,Data!BL:BL),0)</f>
        <v>287559</v>
      </c>
      <c r="E115" s="193">
        <f>IF(F3="1",SUMIF(Data!A:A,$A$2,Data!BU:BU)-SUMIF(Data!A:A,$A$2,Data!BT:BT),0)</f>
        <v>936272</v>
      </c>
      <c r="F115" s="49">
        <f t="shared" si="7"/>
        <v>2205858</v>
      </c>
    </row>
    <row r="116" spans="1:7" s="11" customFormat="1" x14ac:dyDescent="0.2">
      <c r="B116" s="43" t="s">
        <v>33</v>
      </c>
      <c r="C116" s="193">
        <f>IF(F3="1",SUMIF(Data!A:A,$A$2,Data!X:X),0)</f>
        <v>9141</v>
      </c>
      <c r="D116" s="51"/>
      <c r="E116" s="193">
        <f>E102-C116</f>
        <v>0</v>
      </c>
      <c r="F116" s="49">
        <f t="shared" si="7"/>
        <v>9141</v>
      </c>
      <c r="G116" s="58"/>
    </row>
    <row r="117" spans="1:7" s="11" customFormat="1" ht="15" thickBot="1" x14ac:dyDescent="0.25">
      <c r="B117" s="44" t="s">
        <v>920</v>
      </c>
      <c r="C117" s="53"/>
      <c r="D117" s="53">
        <f>IF(F3="1",SUMIF(Data!A:A,$A$2,Data!Q:Q),0)</f>
        <v>1010612</v>
      </c>
      <c r="E117" s="53"/>
      <c r="F117" s="50">
        <f>SUM(C117:E117)</f>
        <v>1010612</v>
      </c>
      <c r="G117" s="58"/>
    </row>
    <row r="118" spans="1:7" x14ac:dyDescent="0.2">
      <c r="B118" s="14" t="s">
        <v>35</v>
      </c>
      <c r="C118" s="178">
        <f>SUM(C109:C117)</f>
        <v>10344558</v>
      </c>
      <c r="D118" s="194">
        <f>SUM(D109:D117)</f>
        <v>2783945</v>
      </c>
      <c r="E118" s="178">
        <f>SUM(E109:E117)</f>
        <v>4209088</v>
      </c>
      <c r="F118" s="178">
        <f>SUM(F109:F117)</f>
        <v>17337591</v>
      </c>
    </row>
    <row r="119" spans="1:7" x14ac:dyDescent="0.2">
      <c r="C119" s="177"/>
      <c r="D119" s="177"/>
      <c r="E119" s="177"/>
    </row>
    <row r="120" spans="1:7" s="11" customFormat="1" ht="15" thickBot="1" x14ac:dyDescent="0.25">
      <c r="B120" s="188" t="s">
        <v>921</v>
      </c>
      <c r="C120" s="53"/>
      <c r="D120" s="53"/>
      <c r="E120" s="195">
        <f>IF(F3="1",SUMIF(Data!A:A,$A$2,Data!AF:AF)+SUMIF(Data!A:A,$A$2,Data!AW:AW)+SUMIF(Data!A:A,$A$2,Data!BT:BT),0)</f>
        <v>1432063</v>
      </c>
      <c r="F120" s="181">
        <f>SUM(C120:E120)</f>
        <v>1432063</v>
      </c>
      <c r="G120" s="58"/>
    </row>
    <row r="121" spans="1:7" s="177" customFormat="1" x14ac:dyDescent="0.2">
      <c r="B121" s="14" t="s">
        <v>35</v>
      </c>
      <c r="C121" s="178">
        <f>SUM(C120:C120)</f>
        <v>0</v>
      </c>
      <c r="D121" s="178">
        <f>SUM(D120:D120)</f>
        <v>0</v>
      </c>
      <c r="E121" s="178">
        <f>SUM(E120:E120)</f>
        <v>1432063</v>
      </c>
      <c r="F121" s="178">
        <f>SUM(F120:F120)</f>
        <v>1432063</v>
      </c>
    </row>
    <row r="122" spans="1:7" s="177" customFormat="1" ht="15" thickBot="1" x14ac:dyDescent="0.25">
      <c r="B122" s="14" t="s">
        <v>1396</v>
      </c>
      <c r="C122" s="178"/>
      <c r="D122" s="178"/>
      <c r="E122" s="178"/>
      <c r="F122" s="189">
        <f>F118+F121</f>
        <v>18769654</v>
      </c>
    </row>
    <row r="123" spans="1:7" ht="15" thickTop="1" x14ac:dyDescent="0.2"/>
    <row r="124" spans="1:7" s="62" customFormat="1" ht="101.25" customHeight="1" x14ac:dyDescent="0.2">
      <c r="A124" s="201" t="s">
        <v>922</v>
      </c>
      <c r="B124" s="201"/>
      <c r="C124" s="201"/>
      <c r="D124" s="201"/>
      <c r="E124" s="201"/>
      <c r="F124" s="201"/>
    </row>
  </sheetData>
  <mergeCells count="96">
    <mergeCell ref="B104:C104"/>
    <mergeCell ref="B63:C63"/>
    <mergeCell ref="A124:F124"/>
    <mergeCell ref="B100:C100"/>
    <mergeCell ref="B101:C101"/>
    <mergeCell ref="B72:C72"/>
    <mergeCell ref="B71:C71"/>
    <mergeCell ref="B70:C70"/>
    <mergeCell ref="B81:C81"/>
    <mergeCell ref="B80:C80"/>
    <mergeCell ref="B79:C79"/>
    <mergeCell ref="B78:C78"/>
    <mergeCell ref="B77:C77"/>
    <mergeCell ref="B76:C76"/>
    <mergeCell ref="B75:C75"/>
    <mergeCell ref="B74:C74"/>
    <mergeCell ref="B102:C102"/>
    <mergeCell ref="B103:C103"/>
    <mergeCell ref="B69:C69"/>
    <mergeCell ref="B68:C68"/>
    <mergeCell ref="B99:C99"/>
    <mergeCell ref="B83:C83"/>
    <mergeCell ref="B94:C94"/>
    <mergeCell ref="B97:C97"/>
    <mergeCell ref="B98:C98"/>
    <mergeCell ref="B93:C93"/>
    <mergeCell ref="B92:C92"/>
    <mergeCell ref="B91:C91"/>
    <mergeCell ref="B90:C90"/>
    <mergeCell ref="B89:C89"/>
    <mergeCell ref="B88:C88"/>
    <mergeCell ref="B87:C87"/>
    <mergeCell ref="B86:C86"/>
    <mergeCell ref="B85:C85"/>
    <mergeCell ref="B84:C84"/>
    <mergeCell ref="B49:C49"/>
    <mergeCell ref="B50:C50"/>
    <mergeCell ref="B51:C51"/>
    <mergeCell ref="B52:C52"/>
    <mergeCell ref="B53:C53"/>
    <mergeCell ref="B54:C54"/>
    <mergeCell ref="B82:C82"/>
    <mergeCell ref="B55:C55"/>
    <mergeCell ref="B56:C56"/>
    <mergeCell ref="B57:C57"/>
    <mergeCell ref="B58:C58"/>
    <mergeCell ref="B67:C67"/>
    <mergeCell ref="B59:C59"/>
    <mergeCell ref="B60:C60"/>
    <mergeCell ref="B61:C61"/>
    <mergeCell ref="B62:C62"/>
    <mergeCell ref="B66:C66"/>
    <mergeCell ref="B73:C73"/>
    <mergeCell ref="B48:C48"/>
    <mergeCell ref="B37:C37"/>
    <mergeCell ref="B38:C38"/>
    <mergeCell ref="B39:C39"/>
    <mergeCell ref="B40:C40"/>
    <mergeCell ref="B41:C41"/>
    <mergeCell ref="B42:C42"/>
    <mergeCell ref="B43:C43"/>
    <mergeCell ref="B44:C44"/>
    <mergeCell ref="B45:C45"/>
    <mergeCell ref="B46:C46"/>
    <mergeCell ref="B47:C47"/>
    <mergeCell ref="B36:C36"/>
    <mergeCell ref="B23:C23"/>
    <mergeCell ref="B24:C24"/>
    <mergeCell ref="B25:C25"/>
    <mergeCell ref="B26:C26"/>
    <mergeCell ref="B27:C27"/>
    <mergeCell ref="B28:C28"/>
    <mergeCell ref="B29:C29"/>
    <mergeCell ref="B30:C30"/>
    <mergeCell ref="B31:C31"/>
    <mergeCell ref="B32:C32"/>
    <mergeCell ref="B35:C35"/>
    <mergeCell ref="B22:C22"/>
    <mergeCell ref="B11:C11"/>
    <mergeCell ref="B12:C12"/>
    <mergeCell ref="B13:C13"/>
    <mergeCell ref="B14:C14"/>
    <mergeCell ref="B15:C15"/>
    <mergeCell ref="B16:C16"/>
    <mergeCell ref="B17:C17"/>
    <mergeCell ref="B18:C18"/>
    <mergeCell ref="B19:C19"/>
    <mergeCell ref="B20:C20"/>
    <mergeCell ref="B21:C21"/>
    <mergeCell ref="B10:C10"/>
    <mergeCell ref="B4:C4"/>
    <mergeCell ref="B5:C5"/>
    <mergeCell ref="B6:C6"/>
    <mergeCell ref="B7:C7"/>
    <mergeCell ref="B8:C8"/>
    <mergeCell ref="B9:C9"/>
  </mergeCells>
  <pageMargins left="0.25" right="0.25" top="0.75" bottom="0.75" header="0.3" footer="0.3"/>
  <pageSetup orientation="landscape" r:id="rId1"/>
  <rowBreaks count="2" manualBreakCount="2">
    <brk id="64" max="16383" man="1"/>
    <brk id="95" max="16383"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B97"/>
  <sheetViews>
    <sheetView showGridLines="0" zoomScale="70" zoomScaleNormal="70" workbookViewId="0">
      <pane xSplit="1" ySplit="4" topLeftCell="B5" activePane="bottomRight" state="frozen"/>
      <selection pane="topRight" activeCell="B1" sqref="B1"/>
      <selection pane="bottomLeft" activeCell="A2" sqref="A2"/>
      <selection pane="bottomRight" activeCell="B5" sqref="B5"/>
    </sheetView>
  </sheetViews>
  <sheetFormatPr defaultColWidth="27.7109375" defaultRowHeight="15" outlineLevelCol="1" x14ac:dyDescent="0.25"/>
  <cols>
    <col min="1" max="1" width="17.28515625" bestFit="1" customWidth="1"/>
    <col min="2" max="4" width="27.7109375" customWidth="1" outlineLevel="1"/>
    <col min="5" max="5" width="17.28515625" customWidth="1" outlineLevel="1"/>
    <col min="6" max="11" width="27.7109375" customWidth="1" outlineLevel="1"/>
    <col min="12" max="12" width="17.7109375" customWidth="1" outlineLevel="1" collapsed="1"/>
    <col min="13" max="13" width="16.85546875" customWidth="1" outlineLevel="1"/>
    <col min="14" max="14" width="16.85546875" customWidth="1" outlineLevel="1" collapsed="1"/>
    <col min="15" max="15" width="18.42578125" customWidth="1"/>
    <col min="16" max="16" width="15" hidden="1" customWidth="1"/>
    <col min="17" max="17" width="27.7109375" customWidth="1" outlineLevel="1"/>
    <col min="18" max="18" width="17.140625" customWidth="1" outlineLevel="1"/>
    <col min="19" max="19" width="18.28515625" customWidth="1"/>
    <col min="20" max="25" width="27.7109375" customWidth="1" outlineLevel="1"/>
    <col min="27" max="32" width="27.7109375" customWidth="1" outlineLevel="1"/>
    <col min="34" max="39" width="27.7109375" customWidth="1" outlineLevel="1"/>
    <col min="41" max="44" width="27.7109375" customWidth="1" outlineLevel="1"/>
    <col min="46" max="49" width="27.7109375" customWidth="1" outlineLevel="1"/>
    <col min="51" max="54" width="27.7109375" customWidth="1" outlineLevel="1"/>
    <col min="56" max="56" width="27.7109375" customWidth="1" outlineLevel="1"/>
    <col min="57" max="57" width="28.7109375" customWidth="1" outlineLevel="1"/>
    <col min="58" max="60" width="27.7109375" customWidth="1" outlineLevel="1"/>
    <col min="62" max="66" width="27.7109375" customWidth="1" outlineLevel="1"/>
    <col min="68" max="72" width="27.7109375" customWidth="1" outlineLevel="1"/>
    <col min="74" max="78" width="27.7109375" customWidth="1" outlineLevel="1"/>
    <col min="79" max="79" width="39.28515625" bestFit="1" customWidth="1"/>
    <col min="80" max="80" width="15.7109375" customWidth="1" outlineLevel="1"/>
    <col min="81" max="82" width="16" customWidth="1" outlineLevel="1"/>
    <col min="83" max="83" width="20.5703125" customWidth="1" outlineLevel="1"/>
    <col min="84" max="84" width="15.28515625" customWidth="1" outlineLevel="1"/>
    <col min="85" max="86" width="15.7109375" customWidth="1" outlineLevel="1"/>
    <col min="87" max="87" width="20.140625" customWidth="1" outlineLevel="1"/>
    <col min="88" max="88" width="16" customWidth="1" outlineLevel="1"/>
    <col min="89" max="90" width="16.42578125" customWidth="1" outlineLevel="1"/>
    <col min="91" max="91" width="21" customWidth="1" outlineLevel="1"/>
    <col min="92" max="92" width="13.42578125" customWidth="1" outlineLevel="1"/>
    <col min="93" max="94" width="13.85546875" customWidth="1" outlineLevel="1"/>
    <col min="95" max="95" width="18.140625" bestFit="1" customWidth="1"/>
    <col min="96" max="96" width="16.28515625" customWidth="1" outlineLevel="1"/>
    <col min="97" max="97" width="38.7109375" hidden="1" customWidth="1"/>
    <col min="98" max="98" width="20.7109375" hidden="1" customWidth="1"/>
    <col min="99" max="99" width="35.42578125" customWidth="1" outlineLevel="1"/>
    <col min="100" max="100" width="38.140625" customWidth="1" outlineLevel="1"/>
    <col min="101" max="101" width="37.28515625" customWidth="1" outlineLevel="1"/>
    <col min="102" max="102" width="39.28515625" customWidth="1" outlineLevel="1"/>
    <col min="103" max="104" width="35.42578125" customWidth="1" outlineLevel="1"/>
    <col min="105" max="105" width="37.28515625" customWidth="1" outlineLevel="1"/>
    <col min="106" max="106" width="36.7109375" customWidth="1" outlineLevel="1"/>
    <col min="107" max="107" width="39.140625" customWidth="1" outlineLevel="1"/>
    <col min="108" max="108" width="35.42578125" customWidth="1" outlineLevel="1"/>
    <col min="109" max="109" width="36.7109375" customWidth="1" outlineLevel="1"/>
    <col min="110" max="110" width="39.5703125" customWidth="1" outlineLevel="1"/>
    <col min="111" max="112" width="35.85546875" customWidth="1" outlineLevel="1"/>
    <col min="113" max="113" width="38.7109375" customWidth="1" outlineLevel="1"/>
    <col min="114" max="114" width="37.7109375" customWidth="1" outlineLevel="1"/>
    <col min="115" max="117" width="35.42578125" customWidth="1" outlineLevel="1"/>
    <col min="118" max="118" width="39.140625" customWidth="1" outlineLevel="1"/>
    <col min="119" max="119" width="39.5703125" customWidth="1" outlineLevel="1"/>
    <col min="120" max="120" width="38.85546875" customWidth="1" outlineLevel="1"/>
    <col min="121" max="123" width="35.42578125" customWidth="1" outlineLevel="1"/>
    <col min="124" max="124" width="36" customWidth="1" outlineLevel="1"/>
    <col min="125" max="125" width="16.28515625" customWidth="1" outlineLevel="1"/>
    <col min="126" max="127" width="35.42578125" customWidth="1" outlineLevel="1"/>
    <col min="128" max="128" width="35.42578125" bestFit="1" customWidth="1"/>
    <col min="129" max="157" width="27.7109375" customWidth="1" outlineLevel="1"/>
    <col min="159" max="187" width="27.7109375" customWidth="1" outlineLevel="1"/>
    <col min="189" max="217" width="27.7109375" customWidth="1" outlineLevel="1"/>
    <col min="219" max="247" width="27.7109375" customWidth="1" outlineLevel="1"/>
    <col min="249" max="277" width="27.7109375" customWidth="1" outlineLevel="1"/>
    <col min="279" max="307" width="27.7109375" customWidth="1" outlineLevel="1"/>
    <col min="310" max="314" width="0" hidden="1" customWidth="1"/>
  </cols>
  <sheetData>
    <row r="1" spans="1:314" s="41" customFormat="1" ht="120" x14ac:dyDescent="0.25">
      <c r="A1" s="41" t="s">
        <v>701</v>
      </c>
      <c r="B1" s="41" t="s">
        <v>891</v>
      </c>
      <c r="C1" s="41" t="str">
        <f>"Certification  Flags ("&amp;COUNTIF(Table_Broadway_AP_FRP_RFOE_CCSurvey[Approved],"1")&amp;")"</f>
        <v>Certification  Flags (57)</v>
      </c>
      <c r="D1" s="41" t="s">
        <v>892</v>
      </c>
      <c r="E1" s="41" t="s">
        <v>893</v>
      </c>
      <c r="F1" s="41" t="s">
        <v>894</v>
      </c>
      <c r="G1" s="41" t="s">
        <v>895</v>
      </c>
      <c r="H1" s="41" t="s">
        <v>896</v>
      </c>
      <c r="I1" s="41" t="s">
        <v>897</v>
      </c>
      <c r="J1" s="41" t="s">
        <v>898</v>
      </c>
      <c r="K1" s="41" t="s">
        <v>899</v>
      </c>
      <c r="L1" s="41" t="s">
        <v>454</v>
      </c>
      <c r="M1" s="41" t="s">
        <v>454</v>
      </c>
      <c r="N1" s="41" t="s">
        <v>454</v>
      </c>
      <c r="O1" s="41" t="s">
        <v>700</v>
      </c>
      <c r="P1" s="41" t="s">
        <v>454</v>
      </c>
      <c r="Q1" s="41" t="s">
        <v>889</v>
      </c>
      <c r="R1" s="41" t="s">
        <v>454</v>
      </c>
      <c r="S1" s="41" t="s">
        <v>454</v>
      </c>
      <c r="T1" s="41" t="s">
        <v>455</v>
      </c>
      <c r="U1" s="41" t="s">
        <v>456</v>
      </c>
      <c r="V1" s="41" t="s">
        <v>457</v>
      </c>
      <c r="W1" s="41" t="s">
        <v>463</v>
      </c>
      <c r="X1" s="41" t="s">
        <v>458</v>
      </c>
      <c r="Y1" s="41" t="s">
        <v>454</v>
      </c>
      <c r="Z1" s="41" t="s">
        <v>459</v>
      </c>
      <c r="AA1" s="41" t="s">
        <v>460</v>
      </c>
      <c r="AB1" s="41" t="s">
        <v>461</v>
      </c>
      <c r="AC1" s="41" t="s">
        <v>462</v>
      </c>
      <c r="AD1" s="41" t="s">
        <v>463</v>
      </c>
      <c r="AE1" s="41" t="s">
        <v>464</v>
      </c>
      <c r="AF1" s="41" t="s">
        <v>465</v>
      </c>
      <c r="AG1" s="41" t="s">
        <v>466</v>
      </c>
      <c r="AH1" s="41" t="s">
        <v>883</v>
      </c>
      <c r="AI1" s="41" t="s">
        <v>884</v>
      </c>
      <c r="AJ1" s="41" t="s">
        <v>885</v>
      </c>
      <c r="AK1" s="41" t="s">
        <v>886</v>
      </c>
      <c r="AL1" s="41" t="s">
        <v>887</v>
      </c>
      <c r="AM1" s="41" t="s">
        <v>888</v>
      </c>
      <c r="AN1" s="41" t="s">
        <v>890</v>
      </c>
      <c r="AO1" s="41" t="s">
        <v>468</v>
      </c>
      <c r="AP1" s="41" t="s">
        <v>467</v>
      </c>
      <c r="AQ1" s="41" t="s">
        <v>469</v>
      </c>
      <c r="AR1" s="41" t="s">
        <v>454</v>
      </c>
      <c r="AS1" s="41" t="s">
        <v>470</v>
      </c>
      <c r="AT1" s="41" t="s">
        <v>471</v>
      </c>
      <c r="AU1" s="41" t="s">
        <v>472</v>
      </c>
      <c r="AV1" s="41" t="s">
        <v>473</v>
      </c>
      <c r="AW1" s="41" t="s">
        <v>474</v>
      </c>
      <c r="AX1" s="41" t="s">
        <v>475</v>
      </c>
      <c r="AY1" s="41" t="s">
        <v>476</v>
      </c>
      <c r="AZ1" s="41" t="s">
        <v>477</v>
      </c>
      <c r="BA1" s="41" t="s">
        <v>478</v>
      </c>
      <c r="BB1" s="41" t="s">
        <v>479</v>
      </c>
      <c r="BC1" s="41" t="s">
        <v>480</v>
      </c>
      <c r="BD1" s="41" t="s">
        <v>481</v>
      </c>
      <c r="BE1" s="41" t="s">
        <v>482</v>
      </c>
      <c r="BF1" s="41" t="s">
        <v>454</v>
      </c>
      <c r="BG1" s="41" t="s">
        <v>454</v>
      </c>
      <c r="BH1" s="41" t="s">
        <v>454</v>
      </c>
      <c r="BI1" s="41" t="s">
        <v>483</v>
      </c>
      <c r="BJ1" s="41" t="s">
        <v>454</v>
      </c>
      <c r="BK1" s="41" t="s">
        <v>454</v>
      </c>
      <c r="BL1" s="41" t="s">
        <v>484</v>
      </c>
      <c r="BM1" s="41" t="s">
        <v>454</v>
      </c>
      <c r="BN1" s="41" t="s">
        <v>454</v>
      </c>
      <c r="BO1" s="41" t="s">
        <v>484</v>
      </c>
      <c r="BP1" s="41" t="s">
        <v>485</v>
      </c>
      <c r="BQ1" s="41" t="s">
        <v>486</v>
      </c>
      <c r="BR1" s="41" t="s">
        <v>454</v>
      </c>
      <c r="BS1" s="41" t="s">
        <v>454</v>
      </c>
      <c r="BT1" s="41" t="s">
        <v>487</v>
      </c>
      <c r="BU1" s="41" t="s">
        <v>488</v>
      </c>
      <c r="BV1" s="41" t="s">
        <v>489</v>
      </c>
      <c r="BW1" s="41" t="s">
        <v>490</v>
      </c>
      <c r="BX1" s="41" t="s">
        <v>491</v>
      </c>
      <c r="BY1" s="41" t="s">
        <v>454</v>
      </c>
      <c r="BZ1" s="41" t="s">
        <v>492</v>
      </c>
      <c r="CA1" s="41" t="s">
        <v>493</v>
      </c>
      <c r="CB1" s="41" t="s">
        <v>454</v>
      </c>
      <c r="CC1" s="41" t="s">
        <v>454</v>
      </c>
      <c r="CD1" s="41" t="s">
        <v>454</v>
      </c>
      <c r="CE1" s="41" t="s">
        <v>454</v>
      </c>
      <c r="CF1" s="41" t="s">
        <v>454</v>
      </c>
      <c r="CG1" s="41" t="s">
        <v>454</v>
      </c>
      <c r="CH1" s="41" t="s">
        <v>454</v>
      </c>
      <c r="CI1" s="41" t="s">
        <v>454</v>
      </c>
      <c r="CJ1" s="41" t="s">
        <v>454</v>
      </c>
      <c r="CK1" s="41" t="s">
        <v>454</v>
      </c>
      <c r="CL1" s="41" t="s">
        <v>454</v>
      </c>
      <c r="CM1" s="41" t="s">
        <v>454</v>
      </c>
      <c r="CN1" s="41" t="s">
        <v>454</v>
      </c>
      <c r="CO1" s="41" t="s">
        <v>454</v>
      </c>
      <c r="CP1" s="41" t="s">
        <v>454</v>
      </c>
      <c r="CQ1" s="41" t="s">
        <v>454</v>
      </c>
      <c r="CR1" s="41" t="s">
        <v>900</v>
      </c>
      <c r="CS1" s="41" t="s">
        <v>494</v>
      </c>
      <c r="CT1" s="41" t="s">
        <v>454</v>
      </c>
      <c r="CU1" s="41" t="s">
        <v>495</v>
      </c>
      <c r="CV1" s="41" t="s">
        <v>496</v>
      </c>
      <c r="CW1" s="41" t="s">
        <v>497</v>
      </c>
      <c r="CX1" s="41" t="s">
        <v>498</v>
      </c>
      <c r="CY1" s="41" t="s">
        <v>499</v>
      </c>
      <c r="CZ1" s="41" t="s">
        <v>500</v>
      </c>
      <c r="DA1" s="41" t="s">
        <v>501</v>
      </c>
      <c r="DB1" s="41" t="s">
        <v>502</v>
      </c>
      <c r="DC1" s="41" t="s">
        <v>503</v>
      </c>
      <c r="DD1" s="41" t="s">
        <v>504</v>
      </c>
      <c r="DE1" s="41" t="s">
        <v>505</v>
      </c>
      <c r="DF1" s="41" t="s">
        <v>506</v>
      </c>
      <c r="DG1" s="41" t="s">
        <v>507</v>
      </c>
      <c r="DH1" s="41" t="s">
        <v>508</v>
      </c>
      <c r="DI1" s="41" t="s">
        <v>509</v>
      </c>
      <c r="DJ1" s="41" t="s">
        <v>510</v>
      </c>
      <c r="DK1" s="41" t="s">
        <v>511</v>
      </c>
      <c r="DL1" s="41" t="s">
        <v>512</v>
      </c>
      <c r="DM1" s="41" t="s">
        <v>513</v>
      </c>
      <c r="DN1" s="41" t="s">
        <v>514</v>
      </c>
      <c r="DO1" s="41" t="s">
        <v>515</v>
      </c>
      <c r="DP1" s="41" t="s">
        <v>516</v>
      </c>
      <c r="DQ1" s="41" t="s">
        <v>517</v>
      </c>
      <c r="DR1" s="41" t="s">
        <v>518</v>
      </c>
      <c r="DS1" s="41" t="s">
        <v>519</v>
      </c>
      <c r="DT1" s="41" t="s">
        <v>520</v>
      </c>
      <c r="DU1" s="41" t="s">
        <v>454</v>
      </c>
      <c r="DV1" s="41" t="s">
        <v>521</v>
      </c>
      <c r="DW1" s="41" t="s">
        <v>522</v>
      </c>
      <c r="DX1" s="41" t="s">
        <v>523</v>
      </c>
      <c r="DY1" s="41" t="s">
        <v>524</v>
      </c>
      <c r="DZ1" s="41" t="s">
        <v>525</v>
      </c>
      <c r="EA1" s="41" t="s">
        <v>526</v>
      </c>
      <c r="EB1" s="41" t="s">
        <v>527</v>
      </c>
      <c r="EC1" s="41" t="s">
        <v>528</v>
      </c>
      <c r="ED1" s="41" t="s">
        <v>529</v>
      </c>
      <c r="EE1" s="41" t="s">
        <v>530</v>
      </c>
      <c r="EF1" s="41" t="s">
        <v>531</v>
      </c>
      <c r="EG1" s="41" t="s">
        <v>532</v>
      </c>
      <c r="EH1" s="41" t="s">
        <v>533</v>
      </c>
      <c r="EI1" s="41" t="s">
        <v>534</v>
      </c>
      <c r="EJ1" s="41" t="s">
        <v>535</v>
      </c>
      <c r="EK1" s="41" t="s">
        <v>536</v>
      </c>
      <c r="EL1" s="41" t="s">
        <v>537</v>
      </c>
      <c r="EM1" s="41" t="s">
        <v>538</v>
      </c>
      <c r="EN1" s="41" t="s">
        <v>539</v>
      </c>
      <c r="EO1" s="41" t="s">
        <v>540</v>
      </c>
      <c r="EP1" s="41" t="s">
        <v>541</v>
      </c>
      <c r="EQ1" s="41" t="s">
        <v>542</v>
      </c>
      <c r="ER1" s="41" t="s">
        <v>543</v>
      </c>
      <c r="ES1" s="41" t="s">
        <v>544</v>
      </c>
      <c r="ET1" s="41" t="s">
        <v>545</v>
      </c>
      <c r="EU1" s="41" t="s">
        <v>546</v>
      </c>
      <c r="EV1" s="41" t="s">
        <v>547</v>
      </c>
      <c r="EW1" s="41" t="s">
        <v>548</v>
      </c>
      <c r="EX1" s="41" t="s">
        <v>549</v>
      </c>
      <c r="EY1" s="41" t="s">
        <v>454</v>
      </c>
      <c r="EZ1" s="41" t="s">
        <v>550</v>
      </c>
      <c r="FA1" s="41" t="s">
        <v>551</v>
      </c>
      <c r="FB1" s="41" t="s">
        <v>552</v>
      </c>
      <c r="FC1" s="41" t="s">
        <v>553</v>
      </c>
      <c r="FD1" s="41" t="s">
        <v>554</v>
      </c>
      <c r="FE1" s="41" t="s">
        <v>555</v>
      </c>
      <c r="FF1" s="41" t="s">
        <v>556</v>
      </c>
      <c r="FG1" s="41" t="s">
        <v>557</v>
      </c>
      <c r="FH1" s="41" t="s">
        <v>558</v>
      </c>
      <c r="FI1" s="41" t="s">
        <v>559</v>
      </c>
      <c r="FJ1" s="41" t="s">
        <v>560</v>
      </c>
      <c r="FK1" s="41" t="s">
        <v>561</v>
      </c>
      <c r="FL1" s="41" t="s">
        <v>562</v>
      </c>
      <c r="FM1" s="41" t="s">
        <v>563</v>
      </c>
      <c r="FN1" s="41" t="s">
        <v>564</v>
      </c>
      <c r="FO1" s="41" t="s">
        <v>565</v>
      </c>
      <c r="FP1" s="41" t="s">
        <v>566</v>
      </c>
      <c r="FQ1" s="41" t="s">
        <v>567</v>
      </c>
      <c r="FR1" s="41" t="s">
        <v>568</v>
      </c>
      <c r="FS1" s="41" t="s">
        <v>569</v>
      </c>
      <c r="FT1" s="41" t="s">
        <v>570</v>
      </c>
      <c r="FU1" s="41" t="s">
        <v>571</v>
      </c>
      <c r="FV1" s="41" t="s">
        <v>572</v>
      </c>
      <c r="FW1" s="41" t="s">
        <v>573</v>
      </c>
      <c r="FX1" s="41" t="s">
        <v>574</v>
      </c>
      <c r="FY1" s="41" t="s">
        <v>575</v>
      </c>
      <c r="FZ1" s="41" t="s">
        <v>576</v>
      </c>
      <c r="GA1" s="41" t="s">
        <v>577</v>
      </c>
      <c r="GB1" s="41" t="s">
        <v>578</v>
      </c>
      <c r="GC1" s="41" t="s">
        <v>454</v>
      </c>
      <c r="GD1" s="41" t="s">
        <v>579</v>
      </c>
      <c r="GE1" s="41" t="s">
        <v>580</v>
      </c>
      <c r="GF1" s="41" t="s">
        <v>581</v>
      </c>
      <c r="GG1" s="41" t="s">
        <v>582</v>
      </c>
      <c r="GH1" s="41" t="s">
        <v>583</v>
      </c>
      <c r="GI1" s="41" t="s">
        <v>584</v>
      </c>
      <c r="GJ1" s="41" t="s">
        <v>585</v>
      </c>
      <c r="GK1" s="41" t="s">
        <v>586</v>
      </c>
      <c r="GL1" s="41" t="s">
        <v>587</v>
      </c>
      <c r="GM1" s="41" t="s">
        <v>588</v>
      </c>
      <c r="GN1" s="41" t="s">
        <v>589</v>
      </c>
      <c r="GO1" s="41" t="s">
        <v>590</v>
      </c>
      <c r="GP1" s="41" t="s">
        <v>591</v>
      </c>
      <c r="GQ1" s="41" t="s">
        <v>592</v>
      </c>
      <c r="GR1" s="41" t="s">
        <v>593</v>
      </c>
      <c r="GS1" s="41" t="s">
        <v>594</v>
      </c>
      <c r="GT1" s="41" t="s">
        <v>595</v>
      </c>
      <c r="GU1" s="41" t="s">
        <v>596</v>
      </c>
      <c r="GV1" s="41" t="s">
        <v>597</v>
      </c>
      <c r="GW1" s="41" t="s">
        <v>598</v>
      </c>
      <c r="GX1" s="41" t="s">
        <v>599</v>
      </c>
      <c r="GY1" s="41" t="s">
        <v>600</v>
      </c>
      <c r="GZ1" s="41" t="s">
        <v>601</v>
      </c>
      <c r="HA1" s="41" t="s">
        <v>602</v>
      </c>
      <c r="HB1" s="41" t="s">
        <v>603</v>
      </c>
      <c r="HC1" s="41" t="s">
        <v>604</v>
      </c>
      <c r="HD1" s="41" t="s">
        <v>605</v>
      </c>
      <c r="HE1" s="41" t="s">
        <v>606</v>
      </c>
      <c r="HF1" s="41" t="s">
        <v>607</v>
      </c>
      <c r="HG1" s="41" t="s">
        <v>454</v>
      </c>
      <c r="HH1" s="41" t="s">
        <v>608</v>
      </c>
      <c r="HI1" s="41" t="s">
        <v>609</v>
      </c>
      <c r="HJ1" s="41" t="s">
        <v>610</v>
      </c>
      <c r="HK1" s="41" t="s">
        <v>611</v>
      </c>
      <c r="HL1" s="41" t="s">
        <v>612</v>
      </c>
      <c r="HM1" s="41" t="s">
        <v>613</v>
      </c>
      <c r="HN1" s="41" t="s">
        <v>614</v>
      </c>
      <c r="HO1" s="41" t="s">
        <v>615</v>
      </c>
      <c r="HP1" s="41" t="s">
        <v>616</v>
      </c>
      <c r="HQ1" s="41" t="s">
        <v>617</v>
      </c>
      <c r="HR1" s="41" t="s">
        <v>618</v>
      </c>
      <c r="HS1" s="41" t="s">
        <v>619</v>
      </c>
      <c r="HT1" s="41" t="s">
        <v>620</v>
      </c>
      <c r="HU1" s="41" t="s">
        <v>621</v>
      </c>
      <c r="HV1" s="41" t="s">
        <v>622</v>
      </c>
      <c r="HW1" s="41" t="s">
        <v>623</v>
      </c>
      <c r="HX1" s="41" t="s">
        <v>624</v>
      </c>
      <c r="HY1" s="41" t="s">
        <v>625</v>
      </c>
      <c r="HZ1" s="41" t="s">
        <v>626</v>
      </c>
      <c r="IA1" s="41" t="s">
        <v>627</v>
      </c>
      <c r="IB1" s="41" t="s">
        <v>628</v>
      </c>
      <c r="IC1" s="41" t="s">
        <v>629</v>
      </c>
      <c r="ID1" s="41" t="s">
        <v>630</v>
      </c>
      <c r="IE1" s="41" t="s">
        <v>631</v>
      </c>
      <c r="IF1" s="41" t="s">
        <v>632</v>
      </c>
      <c r="IG1" s="41" t="s">
        <v>633</v>
      </c>
      <c r="IH1" s="41" t="s">
        <v>634</v>
      </c>
      <c r="II1" s="41" t="s">
        <v>635</v>
      </c>
      <c r="IJ1" s="41" t="s">
        <v>636</v>
      </c>
      <c r="IK1" s="41" t="s">
        <v>454</v>
      </c>
      <c r="IL1" s="41" t="s">
        <v>637</v>
      </c>
      <c r="IM1" s="41" t="s">
        <v>638</v>
      </c>
      <c r="IN1" s="41" t="s">
        <v>639</v>
      </c>
      <c r="IO1" s="41" t="s">
        <v>640</v>
      </c>
      <c r="IP1" s="41" t="s">
        <v>641</v>
      </c>
      <c r="IQ1" s="41" t="s">
        <v>642</v>
      </c>
      <c r="IR1" s="41" t="s">
        <v>643</v>
      </c>
      <c r="IS1" s="41" t="s">
        <v>644</v>
      </c>
      <c r="IT1" s="41" t="s">
        <v>645</v>
      </c>
      <c r="IU1" s="41" t="s">
        <v>646</v>
      </c>
      <c r="IV1" s="41" t="s">
        <v>647</v>
      </c>
      <c r="IW1" s="41" t="s">
        <v>648</v>
      </c>
      <c r="IX1" s="41" t="s">
        <v>649</v>
      </c>
      <c r="IY1" s="41" t="s">
        <v>650</v>
      </c>
      <c r="IZ1" s="41" t="s">
        <v>651</v>
      </c>
      <c r="JA1" s="41" t="s">
        <v>652</v>
      </c>
      <c r="JB1" s="41" t="s">
        <v>653</v>
      </c>
      <c r="JC1" s="41" t="s">
        <v>654</v>
      </c>
      <c r="JD1" s="41" t="s">
        <v>655</v>
      </c>
      <c r="JE1" s="41" t="s">
        <v>656</v>
      </c>
      <c r="JF1" s="41" t="s">
        <v>657</v>
      </c>
      <c r="JG1" s="41" t="s">
        <v>658</v>
      </c>
      <c r="JH1" s="41" t="s">
        <v>659</v>
      </c>
      <c r="JI1" s="41" t="s">
        <v>660</v>
      </c>
      <c r="JJ1" s="41" t="s">
        <v>661</v>
      </c>
      <c r="JK1" s="41" t="s">
        <v>662</v>
      </c>
      <c r="JL1" s="41" t="s">
        <v>663</v>
      </c>
      <c r="JM1" s="41" t="s">
        <v>664</v>
      </c>
      <c r="JN1" s="41" t="s">
        <v>665</v>
      </c>
      <c r="JO1" s="41" t="s">
        <v>454</v>
      </c>
      <c r="JP1" s="41" t="s">
        <v>666</v>
      </c>
      <c r="JQ1" s="41" t="s">
        <v>667</v>
      </c>
      <c r="JR1" s="41" t="s">
        <v>668</v>
      </c>
      <c r="JS1" s="41" t="s">
        <v>669</v>
      </c>
      <c r="JT1" s="41" t="s">
        <v>670</v>
      </c>
      <c r="JU1" s="41" t="s">
        <v>671</v>
      </c>
      <c r="JV1" s="41" t="s">
        <v>672</v>
      </c>
      <c r="JW1" s="41" t="s">
        <v>673</v>
      </c>
      <c r="JX1" s="41" t="s">
        <v>674</v>
      </c>
      <c r="JY1" s="41" t="s">
        <v>675</v>
      </c>
      <c r="JZ1" s="41" t="s">
        <v>676</v>
      </c>
      <c r="KA1" s="41" t="s">
        <v>677</v>
      </c>
      <c r="KB1" s="41" t="s">
        <v>678</v>
      </c>
      <c r="KC1" s="41" t="s">
        <v>679</v>
      </c>
      <c r="KD1" s="41" t="s">
        <v>680</v>
      </c>
      <c r="KE1" s="41" t="s">
        <v>681</v>
      </c>
      <c r="KF1" s="41" t="s">
        <v>682</v>
      </c>
      <c r="KG1" s="41" t="s">
        <v>683</v>
      </c>
      <c r="KH1" s="41" t="s">
        <v>684</v>
      </c>
      <c r="KI1" s="41" t="s">
        <v>685</v>
      </c>
      <c r="KJ1" s="41" t="s">
        <v>686</v>
      </c>
      <c r="KK1" s="41" t="s">
        <v>687</v>
      </c>
      <c r="KL1" s="41" t="s">
        <v>688</v>
      </c>
      <c r="KM1" s="41" t="s">
        <v>689</v>
      </c>
      <c r="KN1" s="41" t="s">
        <v>690</v>
      </c>
      <c r="KO1" s="41" t="s">
        <v>691</v>
      </c>
      <c r="KP1" s="41" t="s">
        <v>692</v>
      </c>
      <c r="KQ1" s="41" t="s">
        <v>693</v>
      </c>
      <c r="KR1" s="41" t="s">
        <v>694</v>
      </c>
      <c r="KS1" s="41" t="s">
        <v>454</v>
      </c>
      <c r="KT1" s="41" t="s">
        <v>695</v>
      </c>
      <c r="KU1" s="41" t="s">
        <v>696</v>
      </c>
      <c r="KV1" s="41" t="s">
        <v>697</v>
      </c>
      <c r="KW1" s="41" t="s">
        <v>882</v>
      </c>
      <c r="KX1" s="41" t="s">
        <v>881</v>
      </c>
      <c r="KY1" s="41" t="s">
        <v>1003</v>
      </c>
      <c r="KZ1" s="41" t="s">
        <v>880</v>
      </c>
      <c r="LA1" s="41" t="s">
        <v>699</v>
      </c>
      <c r="LB1" s="41" t="s">
        <v>698</v>
      </c>
    </row>
    <row r="2" spans="1:314" s="41" customFormat="1" x14ac:dyDescent="0.25">
      <c r="A2" s="41" t="s">
        <v>702</v>
      </c>
      <c r="B2" s="41" t="s">
        <v>901</v>
      </c>
      <c r="C2" s="41" t="s">
        <v>902</v>
      </c>
      <c r="D2" s="41" t="s">
        <v>902</v>
      </c>
      <c r="E2" s="41" t="s">
        <v>902</v>
      </c>
      <c r="F2" s="41" t="s">
        <v>903</v>
      </c>
      <c r="G2" s="41" t="s">
        <v>902</v>
      </c>
      <c r="H2" s="41" t="s">
        <v>904</v>
      </c>
      <c r="I2" s="41" t="s">
        <v>904</v>
      </c>
      <c r="J2" s="41" t="s">
        <v>904</v>
      </c>
      <c r="K2" s="41" t="s">
        <v>904</v>
      </c>
      <c r="L2" s="41" t="s">
        <v>454</v>
      </c>
      <c r="M2" s="41" t="s">
        <v>454</v>
      </c>
      <c r="N2" s="41" t="s">
        <v>454</v>
      </c>
      <c r="O2" s="41" t="s">
        <v>905</v>
      </c>
      <c r="P2" s="41" t="s">
        <v>454</v>
      </c>
      <c r="Q2" s="41" t="s">
        <v>906</v>
      </c>
      <c r="R2" s="41" t="s">
        <v>454</v>
      </c>
      <c r="S2" s="41" t="s">
        <v>906</v>
      </c>
      <c r="T2" s="41" t="s">
        <v>907</v>
      </c>
      <c r="U2" s="41" t="s">
        <v>907</v>
      </c>
      <c r="V2" s="41" t="s">
        <v>907</v>
      </c>
      <c r="W2" s="41" t="s">
        <v>907</v>
      </c>
      <c r="X2" s="41" t="s">
        <v>907</v>
      </c>
      <c r="Y2" s="41" t="s">
        <v>907</v>
      </c>
      <c r="Z2" s="41" t="s">
        <v>907</v>
      </c>
      <c r="AA2" s="41" t="s">
        <v>907</v>
      </c>
      <c r="AB2" s="41" t="s">
        <v>907</v>
      </c>
      <c r="AC2" s="41" t="s">
        <v>907</v>
      </c>
      <c r="AD2" s="41" t="s">
        <v>907</v>
      </c>
      <c r="AE2" s="41" t="s">
        <v>907</v>
      </c>
      <c r="AF2" s="41" t="s">
        <v>907</v>
      </c>
      <c r="AG2" s="41" t="s">
        <v>907</v>
      </c>
      <c r="AH2" s="41" t="s">
        <v>907</v>
      </c>
      <c r="AI2" s="41" t="s">
        <v>907</v>
      </c>
      <c r="AJ2" s="41" t="s">
        <v>907</v>
      </c>
      <c r="AK2" s="41" t="s">
        <v>907</v>
      </c>
      <c r="AL2" s="41" t="s">
        <v>907</v>
      </c>
      <c r="AM2" s="41" t="s">
        <v>907</v>
      </c>
      <c r="AN2" s="41" t="s">
        <v>907</v>
      </c>
      <c r="AO2" s="41" t="s">
        <v>908</v>
      </c>
      <c r="AP2" s="41" t="s">
        <v>908</v>
      </c>
      <c r="AQ2" s="41" t="s">
        <v>908</v>
      </c>
      <c r="AR2" s="41" t="s">
        <v>908</v>
      </c>
      <c r="AS2" s="41" t="s">
        <v>908</v>
      </c>
      <c r="AT2" s="41" t="s">
        <v>908</v>
      </c>
      <c r="AU2" s="41" t="s">
        <v>908</v>
      </c>
      <c r="AV2" s="41" t="s">
        <v>908</v>
      </c>
      <c r="AW2" s="41" t="s">
        <v>908</v>
      </c>
      <c r="AX2" s="41" t="s">
        <v>908</v>
      </c>
      <c r="AY2" s="41" t="s">
        <v>908</v>
      </c>
      <c r="AZ2" s="41" t="s">
        <v>908</v>
      </c>
      <c r="BA2" s="41" t="s">
        <v>908</v>
      </c>
      <c r="BB2" s="41" t="s">
        <v>908</v>
      </c>
      <c r="BC2" s="41" t="s">
        <v>908</v>
      </c>
      <c r="BD2" s="41" t="s">
        <v>909</v>
      </c>
      <c r="BE2" s="41" t="s">
        <v>909</v>
      </c>
      <c r="BF2" s="41" t="s">
        <v>909</v>
      </c>
      <c r="BG2" s="41" t="s">
        <v>909</v>
      </c>
      <c r="BH2" s="41" t="s">
        <v>909</v>
      </c>
      <c r="BI2" s="41" t="s">
        <v>909</v>
      </c>
      <c r="BJ2" s="41" t="s">
        <v>909</v>
      </c>
      <c r="BK2" s="41" t="s">
        <v>909</v>
      </c>
      <c r="BL2" s="41" t="s">
        <v>909</v>
      </c>
      <c r="BM2" s="41" t="s">
        <v>909</v>
      </c>
      <c r="BN2" s="41" t="s">
        <v>909</v>
      </c>
      <c r="BO2" s="41" t="s">
        <v>909</v>
      </c>
      <c r="BP2" s="41" t="s">
        <v>909</v>
      </c>
      <c r="BQ2" s="41" t="s">
        <v>909</v>
      </c>
      <c r="BR2" s="41" t="s">
        <v>909</v>
      </c>
      <c r="BS2" s="41" t="s">
        <v>909</v>
      </c>
      <c r="BT2" s="41" t="s">
        <v>909</v>
      </c>
      <c r="BU2" s="41" t="s">
        <v>909</v>
      </c>
      <c r="BV2" s="41" t="s">
        <v>909</v>
      </c>
      <c r="BW2" s="41" t="s">
        <v>909</v>
      </c>
      <c r="BX2" s="41" t="s">
        <v>909</v>
      </c>
      <c r="BY2" s="41" t="s">
        <v>909</v>
      </c>
      <c r="BZ2" s="41" t="s">
        <v>909</v>
      </c>
      <c r="CA2" s="41" t="s">
        <v>909</v>
      </c>
      <c r="CB2" s="41" t="s">
        <v>454</v>
      </c>
      <c r="CC2" s="41" t="s">
        <v>454</v>
      </c>
      <c r="CD2" s="41" t="s">
        <v>454</v>
      </c>
      <c r="CE2" s="41" t="s">
        <v>454</v>
      </c>
      <c r="CF2" s="41" t="s">
        <v>454</v>
      </c>
      <c r="CG2" s="41" t="s">
        <v>454</v>
      </c>
      <c r="CH2" s="41" t="s">
        <v>454</v>
      </c>
      <c r="CI2" s="41" t="s">
        <v>454</v>
      </c>
      <c r="CJ2" s="41" t="s">
        <v>454</v>
      </c>
      <c r="CK2" s="41" t="s">
        <v>454</v>
      </c>
      <c r="CL2" s="41" t="s">
        <v>454</v>
      </c>
      <c r="CM2" s="41" t="s">
        <v>454</v>
      </c>
      <c r="CN2" s="41" t="s">
        <v>454</v>
      </c>
      <c r="CO2" s="41" t="s">
        <v>454</v>
      </c>
      <c r="CP2" s="41" t="s">
        <v>454</v>
      </c>
      <c r="CQ2" s="41" t="s">
        <v>454</v>
      </c>
      <c r="CR2" s="41" t="s">
        <v>902</v>
      </c>
      <c r="CS2" s="41" t="s">
        <v>905</v>
      </c>
      <c r="CT2" s="41" t="s">
        <v>454</v>
      </c>
      <c r="CU2" s="41" t="s">
        <v>905</v>
      </c>
      <c r="CV2" s="41" t="s">
        <v>905</v>
      </c>
      <c r="CW2" s="41" t="s">
        <v>905</v>
      </c>
      <c r="CX2" s="41" t="s">
        <v>905</v>
      </c>
      <c r="CY2" s="41" t="s">
        <v>905</v>
      </c>
      <c r="CZ2" s="41" t="s">
        <v>905</v>
      </c>
      <c r="DA2" s="41" t="s">
        <v>905</v>
      </c>
      <c r="DB2" s="41" t="s">
        <v>905</v>
      </c>
      <c r="DC2" s="41" t="s">
        <v>905</v>
      </c>
      <c r="DD2" s="41" t="s">
        <v>905</v>
      </c>
      <c r="DE2" s="41" t="s">
        <v>905</v>
      </c>
      <c r="DF2" s="41" t="s">
        <v>905</v>
      </c>
      <c r="DG2" s="41" t="s">
        <v>905</v>
      </c>
      <c r="DH2" s="41" t="s">
        <v>905</v>
      </c>
      <c r="DI2" s="41" t="s">
        <v>905</v>
      </c>
      <c r="DJ2" s="41" t="s">
        <v>905</v>
      </c>
      <c r="DK2" s="41" t="s">
        <v>905</v>
      </c>
      <c r="DL2" s="41" t="s">
        <v>905</v>
      </c>
      <c r="DM2" s="41" t="s">
        <v>905</v>
      </c>
      <c r="DN2" s="41" t="s">
        <v>905</v>
      </c>
      <c r="DO2" s="41" t="s">
        <v>905</v>
      </c>
      <c r="DP2" s="41" t="s">
        <v>905</v>
      </c>
      <c r="DQ2" s="41" t="s">
        <v>905</v>
      </c>
      <c r="DR2" s="41" t="s">
        <v>905</v>
      </c>
      <c r="DS2" s="41" t="s">
        <v>905</v>
      </c>
      <c r="DT2" s="41" t="s">
        <v>905</v>
      </c>
      <c r="DU2" s="41" t="s">
        <v>905</v>
      </c>
      <c r="DV2" s="41" t="s">
        <v>905</v>
      </c>
      <c r="DW2" s="41" t="s">
        <v>905</v>
      </c>
      <c r="DX2" s="41" t="s">
        <v>905</v>
      </c>
      <c r="DY2" s="41" t="s">
        <v>905</v>
      </c>
      <c r="DZ2" s="41" t="s">
        <v>905</v>
      </c>
      <c r="EA2" s="41" t="s">
        <v>905</v>
      </c>
      <c r="EB2" s="41" t="s">
        <v>905</v>
      </c>
      <c r="EC2" s="41" t="s">
        <v>905</v>
      </c>
      <c r="ED2" s="41" t="s">
        <v>905</v>
      </c>
      <c r="EE2" s="41" t="s">
        <v>905</v>
      </c>
      <c r="EF2" s="41" t="s">
        <v>905</v>
      </c>
      <c r="EG2" s="41" t="s">
        <v>905</v>
      </c>
      <c r="EH2" s="41" t="s">
        <v>905</v>
      </c>
      <c r="EI2" s="41" t="s">
        <v>905</v>
      </c>
      <c r="EJ2" s="41" t="s">
        <v>905</v>
      </c>
      <c r="EK2" s="41" t="s">
        <v>905</v>
      </c>
      <c r="EL2" s="41" t="s">
        <v>905</v>
      </c>
      <c r="EM2" s="41" t="s">
        <v>905</v>
      </c>
      <c r="EN2" s="41" t="s">
        <v>905</v>
      </c>
      <c r="EO2" s="41" t="s">
        <v>905</v>
      </c>
      <c r="EP2" s="41" t="s">
        <v>905</v>
      </c>
      <c r="EQ2" s="41" t="s">
        <v>905</v>
      </c>
      <c r="ER2" s="41" t="s">
        <v>905</v>
      </c>
      <c r="ES2" s="41" t="s">
        <v>905</v>
      </c>
      <c r="ET2" s="41" t="s">
        <v>905</v>
      </c>
      <c r="EU2" s="41" t="s">
        <v>905</v>
      </c>
      <c r="EV2" s="41" t="s">
        <v>905</v>
      </c>
      <c r="EW2" s="41" t="s">
        <v>905</v>
      </c>
      <c r="EX2" s="41" t="s">
        <v>905</v>
      </c>
      <c r="EY2" s="41" t="s">
        <v>905</v>
      </c>
      <c r="EZ2" s="41" t="s">
        <v>905</v>
      </c>
      <c r="FA2" s="41" t="s">
        <v>905</v>
      </c>
      <c r="FB2" s="41" t="s">
        <v>905</v>
      </c>
      <c r="FC2" s="41" t="s">
        <v>905</v>
      </c>
      <c r="FD2" s="41" t="s">
        <v>905</v>
      </c>
      <c r="FE2" s="41" t="s">
        <v>905</v>
      </c>
      <c r="FF2" s="41" t="s">
        <v>905</v>
      </c>
      <c r="FG2" s="41" t="s">
        <v>905</v>
      </c>
      <c r="FH2" s="41" t="s">
        <v>905</v>
      </c>
      <c r="FI2" s="41" t="s">
        <v>905</v>
      </c>
      <c r="FJ2" s="41" t="s">
        <v>905</v>
      </c>
      <c r="FK2" s="41" t="s">
        <v>905</v>
      </c>
      <c r="FL2" s="41" t="s">
        <v>905</v>
      </c>
      <c r="FM2" s="41" t="s">
        <v>905</v>
      </c>
      <c r="FN2" s="41" t="s">
        <v>905</v>
      </c>
      <c r="FO2" s="41" t="s">
        <v>905</v>
      </c>
      <c r="FP2" s="41" t="s">
        <v>905</v>
      </c>
      <c r="FQ2" s="41" t="s">
        <v>905</v>
      </c>
      <c r="FR2" s="41" t="s">
        <v>905</v>
      </c>
      <c r="FS2" s="41" t="s">
        <v>905</v>
      </c>
      <c r="FT2" s="41" t="s">
        <v>905</v>
      </c>
      <c r="FU2" s="41" t="s">
        <v>905</v>
      </c>
      <c r="FV2" s="41" t="s">
        <v>905</v>
      </c>
      <c r="FW2" s="41" t="s">
        <v>905</v>
      </c>
      <c r="FX2" s="41" t="s">
        <v>905</v>
      </c>
      <c r="FY2" s="41" t="s">
        <v>905</v>
      </c>
      <c r="FZ2" s="41" t="s">
        <v>905</v>
      </c>
      <c r="GA2" s="41" t="s">
        <v>905</v>
      </c>
      <c r="GB2" s="41" t="s">
        <v>905</v>
      </c>
      <c r="GC2" s="41" t="s">
        <v>905</v>
      </c>
      <c r="GD2" s="41" t="s">
        <v>905</v>
      </c>
      <c r="GE2" s="41" t="s">
        <v>905</v>
      </c>
      <c r="GF2" s="41" t="s">
        <v>905</v>
      </c>
      <c r="GG2" s="41" t="s">
        <v>905</v>
      </c>
      <c r="GH2" s="41" t="s">
        <v>905</v>
      </c>
      <c r="GI2" s="41" t="s">
        <v>905</v>
      </c>
      <c r="GJ2" s="41" t="s">
        <v>905</v>
      </c>
      <c r="GK2" s="41" t="s">
        <v>905</v>
      </c>
      <c r="GL2" s="41" t="s">
        <v>905</v>
      </c>
      <c r="GM2" s="41" t="s">
        <v>905</v>
      </c>
      <c r="GN2" s="41" t="s">
        <v>905</v>
      </c>
      <c r="GO2" s="41" t="s">
        <v>905</v>
      </c>
      <c r="GP2" s="41" t="s">
        <v>905</v>
      </c>
      <c r="GQ2" s="41" t="s">
        <v>905</v>
      </c>
      <c r="GR2" s="41" t="s">
        <v>905</v>
      </c>
      <c r="GS2" s="41" t="s">
        <v>905</v>
      </c>
      <c r="GT2" s="41" t="s">
        <v>905</v>
      </c>
      <c r="GU2" s="41" t="s">
        <v>905</v>
      </c>
      <c r="GV2" s="41" t="s">
        <v>905</v>
      </c>
      <c r="GW2" s="41" t="s">
        <v>905</v>
      </c>
      <c r="GX2" s="41" t="s">
        <v>905</v>
      </c>
      <c r="GY2" s="41" t="s">
        <v>905</v>
      </c>
      <c r="GZ2" s="41" t="s">
        <v>905</v>
      </c>
      <c r="HA2" s="41" t="s">
        <v>905</v>
      </c>
      <c r="HB2" s="41" t="s">
        <v>905</v>
      </c>
      <c r="HC2" s="41" t="s">
        <v>905</v>
      </c>
      <c r="HD2" s="41" t="s">
        <v>905</v>
      </c>
      <c r="HE2" s="41" t="s">
        <v>905</v>
      </c>
      <c r="HF2" s="41" t="s">
        <v>905</v>
      </c>
      <c r="HG2" s="41" t="s">
        <v>905</v>
      </c>
      <c r="HH2" s="41" t="s">
        <v>905</v>
      </c>
      <c r="HI2" s="41" t="s">
        <v>905</v>
      </c>
      <c r="HJ2" s="41" t="s">
        <v>905</v>
      </c>
      <c r="HK2" s="41" t="s">
        <v>905</v>
      </c>
      <c r="HL2" s="41" t="s">
        <v>905</v>
      </c>
      <c r="HM2" s="41" t="s">
        <v>905</v>
      </c>
      <c r="HN2" s="41" t="s">
        <v>905</v>
      </c>
      <c r="HO2" s="41" t="s">
        <v>905</v>
      </c>
      <c r="HP2" s="41" t="s">
        <v>905</v>
      </c>
      <c r="HQ2" s="41" t="s">
        <v>905</v>
      </c>
      <c r="HR2" s="41" t="s">
        <v>905</v>
      </c>
      <c r="HS2" s="41" t="s">
        <v>905</v>
      </c>
      <c r="HT2" s="41" t="s">
        <v>905</v>
      </c>
      <c r="HU2" s="41" t="s">
        <v>905</v>
      </c>
      <c r="HV2" s="41" t="s">
        <v>905</v>
      </c>
      <c r="HW2" s="41" t="s">
        <v>905</v>
      </c>
      <c r="HX2" s="41" t="s">
        <v>905</v>
      </c>
      <c r="HY2" s="41" t="s">
        <v>905</v>
      </c>
      <c r="HZ2" s="41" t="s">
        <v>905</v>
      </c>
      <c r="IA2" s="41" t="s">
        <v>905</v>
      </c>
      <c r="IB2" s="41" t="s">
        <v>905</v>
      </c>
      <c r="IC2" s="41" t="s">
        <v>905</v>
      </c>
      <c r="ID2" s="41" t="s">
        <v>905</v>
      </c>
      <c r="IE2" s="41" t="s">
        <v>905</v>
      </c>
      <c r="IF2" s="41" t="s">
        <v>905</v>
      </c>
      <c r="IG2" s="41" t="s">
        <v>905</v>
      </c>
      <c r="IH2" s="41" t="s">
        <v>905</v>
      </c>
      <c r="II2" s="41" t="s">
        <v>905</v>
      </c>
      <c r="IJ2" s="41" t="s">
        <v>905</v>
      </c>
      <c r="IK2" s="41" t="s">
        <v>905</v>
      </c>
      <c r="IL2" s="41" t="s">
        <v>905</v>
      </c>
      <c r="IM2" s="41" t="s">
        <v>905</v>
      </c>
      <c r="IN2" s="41" t="s">
        <v>905</v>
      </c>
      <c r="IO2" s="41" t="s">
        <v>905</v>
      </c>
      <c r="IP2" s="41" t="s">
        <v>905</v>
      </c>
      <c r="IQ2" s="41" t="s">
        <v>905</v>
      </c>
      <c r="IR2" s="41" t="s">
        <v>905</v>
      </c>
      <c r="IS2" s="41" t="s">
        <v>905</v>
      </c>
      <c r="IT2" s="41" t="s">
        <v>905</v>
      </c>
      <c r="IU2" s="41" t="s">
        <v>905</v>
      </c>
      <c r="IV2" s="41" t="s">
        <v>905</v>
      </c>
      <c r="IW2" s="41" t="s">
        <v>905</v>
      </c>
      <c r="IX2" s="41" t="s">
        <v>905</v>
      </c>
      <c r="IY2" s="41" t="s">
        <v>905</v>
      </c>
      <c r="IZ2" s="41" t="s">
        <v>905</v>
      </c>
      <c r="JA2" s="41" t="s">
        <v>905</v>
      </c>
      <c r="JB2" s="41" t="s">
        <v>905</v>
      </c>
      <c r="JC2" s="41" t="s">
        <v>905</v>
      </c>
      <c r="JD2" s="41" t="s">
        <v>905</v>
      </c>
      <c r="JE2" s="41" t="s">
        <v>905</v>
      </c>
      <c r="JF2" s="41" t="s">
        <v>905</v>
      </c>
      <c r="JG2" s="41" t="s">
        <v>905</v>
      </c>
      <c r="JH2" s="41" t="s">
        <v>905</v>
      </c>
      <c r="JI2" s="41" t="s">
        <v>905</v>
      </c>
      <c r="JJ2" s="41" t="s">
        <v>905</v>
      </c>
      <c r="JK2" s="41" t="s">
        <v>905</v>
      </c>
      <c r="JL2" s="41" t="s">
        <v>905</v>
      </c>
      <c r="JM2" s="41" t="s">
        <v>905</v>
      </c>
      <c r="JN2" s="41" t="s">
        <v>905</v>
      </c>
      <c r="JO2" s="41" t="s">
        <v>905</v>
      </c>
      <c r="JP2" s="41" t="s">
        <v>905</v>
      </c>
      <c r="JQ2" s="41" t="s">
        <v>905</v>
      </c>
      <c r="JR2" s="41" t="s">
        <v>905</v>
      </c>
      <c r="JS2" s="41" t="s">
        <v>905</v>
      </c>
      <c r="JT2" s="41" t="s">
        <v>905</v>
      </c>
      <c r="JU2" s="41" t="s">
        <v>905</v>
      </c>
      <c r="JV2" s="41" t="s">
        <v>905</v>
      </c>
      <c r="JW2" s="41" t="s">
        <v>905</v>
      </c>
      <c r="JX2" s="41" t="s">
        <v>905</v>
      </c>
      <c r="JY2" s="41" t="s">
        <v>905</v>
      </c>
      <c r="JZ2" s="41" t="s">
        <v>905</v>
      </c>
      <c r="KA2" s="41" t="s">
        <v>905</v>
      </c>
      <c r="KB2" s="41" t="s">
        <v>905</v>
      </c>
      <c r="KC2" s="41" t="s">
        <v>905</v>
      </c>
      <c r="KD2" s="41" t="s">
        <v>905</v>
      </c>
      <c r="KE2" s="41" t="s">
        <v>905</v>
      </c>
      <c r="KF2" s="41" t="s">
        <v>905</v>
      </c>
      <c r="KG2" s="41" t="s">
        <v>905</v>
      </c>
      <c r="KH2" s="41" t="s">
        <v>905</v>
      </c>
      <c r="KI2" s="41" t="s">
        <v>905</v>
      </c>
      <c r="KJ2" s="41" t="s">
        <v>905</v>
      </c>
      <c r="KK2" s="41" t="s">
        <v>905</v>
      </c>
      <c r="KL2" s="41" t="s">
        <v>905</v>
      </c>
      <c r="KM2" s="41" t="s">
        <v>905</v>
      </c>
      <c r="KN2" s="41" t="s">
        <v>905</v>
      </c>
      <c r="KO2" s="41" t="s">
        <v>905</v>
      </c>
      <c r="KP2" s="41" t="s">
        <v>905</v>
      </c>
      <c r="KQ2" s="41" t="s">
        <v>905</v>
      </c>
      <c r="KR2" s="41" t="s">
        <v>905</v>
      </c>
      <c r="KS2" s="41" t="s">
        <v>905</v>
      </c>
      <c r="KT2" s="41" t="s">
        <v>905</v>
      </c>
      <c r="KU2" s="41" t="s">
        <v>905</v>
      </c>
      <c r="KV2" s="41" t="s">
        <v>905</v>
      </c>
      <c r="KW2" s="41" t="s">
        <v>905</v>
      </c>
      <c r="KX2" s="41" t="s">
        <v>910</v>
      </c>
      <c r="KY2" s="41" t="s">
        <v>911</v>
      </c>
      <c r="KZ2" s="41" t="s">
        <v>912</v>
      </c>
      <c r="LA2" s="41" t="s">
        <v>912</v>
      </c>
      <c r="LB2" s="41" t="s">
        <v>912</v>
      </c>
    </row>
    <row r="3" spans="1:314" s="41" customFormat="1" x14ac:dyDescent="0.25">
      <c r="A3" s="41" t="s">
        <v>703</v>
      </c>
      <c r="B3" s="41" t="s">
        <v>454</v>
      </c>
      <c r="C3" s="41" t="s">
        <v>454</v>
      </c>
      <c r="D3" s="41" t="s">
        <v>454</v>
      </c>
      <c r="E3" s="41" t="s">
        <v>454</v>
      </c>
      <c r="F3" s="41" t="s">
        <v>454</v>
      </c>
      <c r="G3" s="41" t="s">
        <v>454</v>
      </c>
      <c r="H3" s="41" t="s">
        <v>454</v>
      </c>
      <c r="I3" s="41" t="s">
        <v>454</v>
      </c>
      <c r="J3" s="41" t="s">
        <v>454</v>
      </c>
      <c r="K3" s="41" t="s">
        <v>454</v>
      </c>
      <c r="L3" s="41" t="s">
        <v>454</v>
      </c>
      <c r="M3" s="41" t="s">
        <v>454</v>
      </c>
      <c r="N3" s="41" t="s">
        <v>454</v>
      </c>
      <c r="O3" s="41" t="s">
        <v>454</v>
      </c>
      <c r="P3" s="41" t="s">
        <v>454</v>
      </c>
      <c r="Q3" s="41" t="s">
        <v>704</v>
      </c>
      <c r="R3" s="41" t="s">
        <v>454</v>
      </c>
      <c r="S3" s="41" t="s">
        <v>454</v>
      </c>
      <c r="T3" s="41" t="s">
        <v>454</v>
      </c>
      <c r="U3" s="41" t="s">
        <v>454</v>
      </c>
      <c r="V3" s="41" t="s">
        <v>454</v>
      </c>
      <c r="W3" s="41" t="s">
        <v>454</v>
      </c>
      <c r="X3" s="41" t="s">
        <v>454</v>
      </c>
      <c r="Y3" s="41" t="s">
        <v>454</v>
      </c>
      <c r="Z3" s="41" t="s">
        <v>454</v>
      </c>
      <c r="AA3" s="41" t="s">
        <v>454</v>
      </c>
      <c r="AB3" s="41" t="s">
        <v>454</v>
      </c>
      <c r="AC3" s="41" t="s">
        <v>454</v>
      </c>
      <c r="AD3" s="41" t="s">
        <v>454</v>
      </c>
      <c r="AE3" s="41" t="s">
        <v>454</v>
      </c>
      <c r="AF3" s="41" t="s">
        <v>454</v>
      </c>
      <c r="AG3" s="41" t="s">
        <v>454</v>
      </c>
      <c r="AH3" s="41" t="s">
        <v>705</v>
      </c>
      <c r="AI3" s="41" t="s">
        <v>706</v>
      </c>
      <c r="AJ3" s="41" t="s">
        <v>707</v>
      </c>
      <c r="AK3" s="41" t="s">
        <v>708</v>
      </c>
      <c r="AL3" s="41" t="s">
        <v>709</v>
      </c>
      <c r="AM3" s="41" t="s">
        <v>710</v>
      </c>
      <c r="AN3" s="41" t="s">
        <v>454</v>
      </c>
      <c r="AO3" s="41" t="s">
        <v>454</v>
      </c>
      <c r="AP3" s="41" t="s">
        <v>454</v>
      </c>
      <c r="AQ3" s="41" t="s">
        <v>454</v>
      </c>
      <c r="AR3" s="41" t="s">
        <v>454</v>
      </c>
      <c r="AS3" s="41" t="s">
        <v>454</v>
      </c>
      <c r="AT3" s="41" t="s">
        <v>454</v>
      </c>
      <c r="AU3" s="41" t="s">
        <v>454</v>
      </c>
      <c r="AV3" s="41" t="s">
        <v>454</v>
      </c>
      <c r="AW3" s="41" t="s">
        <v>454</v>
      </c>
      <c r="AX3" s="41" t="s">
        <v>454</v>
      </c>
      <c r="AY3" s="41" t="s">
        <v>454</v>
      </c>
      <c r="AZ3" s="41" t="s">
        <v>454</v>
      </c>
      <c r="BA3" s="41" t="s">
        <v>454</v>
      </c>
      <c r="BB3" s="41" t="s">
        <v>454</v>
      </c>
      <c r="BC3" s="41" t="s">
        <v>454</v>
      </c>
      <c r="BD3" s="41" t="s">
        <v>454</v>
      </c>
      <c r="BE3" s="41" t="s">
        <v>454</v>
      </c>
      <c r="BF3" s="41" t="s">
        <v>454</v>
      </c>
      <c r="BG3" s="41" t="s">
        <v>454</v>
      </c>
      <c r="BH3" s="41" t="s">
        <v>454</v>
      </c>
      <c r="BI3" s="41" t="s">
        <v>454</v>
      </c>
      <c r="BJ3" s="41" t="s">
        <v>454</v>
      </c>
      <c r="BK3" s="41" t="s">
        <v>454</v>
      </c>
      <c r="BL3" s="41" t="s">
        <v>454</v>
      </c>
      <c r="BM3" s="41" t="s">
        <v>454</v>
      </c>
      <c r="BN3" s="41" t="s">
        <v>454</v>
      </c>
      <c r="BO3" s="41" t="s">
        <v>454</v>
      </c>
      <c r="BP3" s="41" t="s">
        <v>454</v>
      </c>
      <c r="BQ3" s="41" t="s">
        <v>454</v>
      </c>
      <c r="BR3" s="41" t="s">
        <v>454</v>
      </c>
      <c r="BS3" s="41" t="s">
        <v>454</v>
      </c>
      <c r="BT3" s="41" t="s">
        <v>454</v>
      </c>
      <c r="BU3" s="41" t="s">
        <v>454</v>
      </c>
      <c r="BV3" s="41" t="s">
        <v>454</v>
      </c>
      <c r="BW3" s="41" t="s">
        <v>454</v>
      </c>
      <c r="BX3" s="41" t="s">
        <v>454</v>
      </c>
      <c r="BY3" s="41" t="s">
        <v>454</v>
      </c>
      <c r="BZ3" s="41" t="s">
        <v>454</v>
      </c>
      <c r="CA3" s="41" t="s">
        <v>454</v>
      </c>
      <c r="CB3" s="41" t="s">
        <v>454</v>
      </c>
      <c r="CC3" s="41" t="s">
        <v>454</v>
      </c>
      <c r="CD3" s="41" t="s">
        <v>454</v>
      </c>
      <c r="CE3" s="41" t="s">
        <v>454</v>
      </c>
      <c r="CF3" s="41" t="s">
        <v>454</v>
      </c>
      <c r="CG3" s="41" t="s">
        <v>454</v>
      </c>
      <c r="CH3" s="41" t="s">
        <v>454</v>
      </c>
      <c r="CI3" s="41" t="s">
        <v>454</v>
      </c>
      <c r="CJ3" s="41" t="s">
        <v>454</v>
      </c>
      <c r="CK3" s="41" t="s">
        <v>454</v>
      </c>
      <c r="CL3" s="41" t="s">
        <v>454</v>
      </c>
      <c r="CM3" s="41" t="s">
        <v>454</v>
      </c>
      <c r="CN3" s="41" t="s">
        <v>454</v>
      </c>
      <c r="CO3" s="41" t="s">
        <v>454</v>
      </c>
      <c r="CP3" s="41" t="s">
        <v>454</v>
      </c>
      <c r="CQ3" s="41" t="s">
        <v>454</v>
      </c>
      <c r="CR3" s="41" t="s">
        <v>454</v>
      </c>
      <c r="CS3" s="41" t="s">
        <v>454</v>
      </c>
      <c r="CT3" s="41" t="s">
        <v>454</v>
      </c>
      <c r="CU3" s="41" t="s">
        <v>711</v>
      </c>
      <c r="CV3" s="41" t="s">
        <v>712</v>
      </c>
      <c r="CW3" s="41" t="s">
        <v>713</v>
      </c>
      <c r="CX3" s="41" t="s">
        <v>714</v>
      </c>
      <c r="CY3" s="41" t="s">
        <v>715</v>
      </c>
      <c r="CZ3" s="41" t="s">
        <v>716</v>
      </c>
      <c r="DA3" s="41" t="s">
        <v>717</v>
      </c>
      <c r="DB3" s="41" t="s">
        <v>718</v>
      </c>
      <c r="DC3" s="41" t="s">
        <v>719</v>
      </c>
      <c r="DD3" s="41" t="s">
        <v>720</v>
      </c>
      <c r="DE3" s="41" t="s">
        <v>721</v>
      </c>
      <c r="DF3" s="41" t="s">
        <v>722</v>
      </c>
      <c r="DG3" s="41" t="s">
        <v>723</v>
      </c>
      <c r="DH3" s="41" t="s">
        <v>724</v>
      </c>
      <c r="DI3" s="41" t="s">
        <v>725</v>
      </c>
      <c r="DJ3" s="41" t="s">
        <v>726</v>
      </c>
      <c r="DK3" s="41" t="s">
        <v>727</v>
      </c>
      <c r="DL3" s="41" t="s">
        <v>728</v>
      </c>
      <c r="DM3" s="41" t="s">
        <v>729</v>
      </c>
      <c r="DN3" s="41" t="s">
        <v>730</v>
      </c>
      <c r="DO3" s="41" t="s">
        <v>731</v>
      </c>
      <c r="DP3" s="41" t="s">
        <v>732</v>
      </c>
      <c r="DQ3" s="41" t="s">
        <v>733</v>
      </c>
      <c r="DR3" s="41" t="s">
        <v>734</v>
      </c>
      <c r="DS3" s="41" t="s">
        <v>735</v>
      </c>
      <c r="DT3" s="41" t="s">
        <v>736</v>
      </c>
      <c r="DU3" s="41" t="s">
        <v>454</v>
      </c>
      <c r="DV3" s="41" t="s">
        <v>737</v>
      </c>
      <c r="DW3" s="41" t="s">
        <v>738</v>
      </c>
      <c r="DX3" s="41" t="s">
        <v>454</v>
      </c>
      <c r="DY3" s="41" t="s">
        <v>739</v>
      </c>
      <c r="DZ3" s="41" t="s">
        <v>740</v>
      </c>
      <c r="EA3" s="41" t="s">
        <v>741</v>
      </c>
      <c r="EB3" s="41" t="s">
        <v>742</v>
      </c>
      <c r="EC3" s="41" t="s">
        <v>743</v>
      </c>
      <c r="ED3" s="41" t="s">
        <v>744</v>
      </c>
      <c r="EE3" s="41" t="s">
        <v>745</v>
      </c>
      <c r="EF3" s="41" t="s">
        <v>746</v>
      </c>
      <c r="EG3" s="41" t="s">
        <v>747</v>
      </c>
      <c r="EH3" s="41" t="s">
        <v>748</v>
      </c>
      <c r="EI3" s="41" t="s">
        <v>749</v>
      </c>
      <c r="EJ3" s="41" t="s">
        <v>750</v>
      </c>
      <c r="EK3" s="41" t="s">
        <v>751</v>
      </c>
      <c r="EL3" s="41" t="s">
        <v>752</v>
      </c>
      <c r="EM3" s="41" t="s">
        <v>753</v>
      </c>
      <c r="EN3" s="41" t="s">
        <v>754</v>
      </c>
      <c r="EO3" s="41" t="s">
        <v>755</v>
      </c>
      <c r="EP3" s="41" t="s">
        <v>756</v>
      </c>
      <c r="EQ3" s="41" t="s">
        <v>757</v>
      </c>
      <c r="ER3" s="41" t="s">
        <v>758</v>
      </c>
      <c r="ES3" s="41" t="s">
        <v>759</v>
      </c>
      <c r="ET3" s="41" t="s">
        <v>760</v>
      </c>
      <c r="EU3" s="41" t="s">
        <v>761</v>
      </c>
      <c r="EV3" s="41" t="s">
        <v>762</v>
      </c>
      <c r="EW3" s="41" t="s">
        <v>763</v>
      </c>
      <c r="EX3" s="41" t="s">
        <v>764</v>
      </c>
      <c r="EY3" s="41" t="s">
        <v>454</v>
      </c>
      <c r="EZ3" s="41" t="s">
        <v>765</v>
      </c>
      <c r="FA3" s="41" t="s">
        <v>766</v>
      </c>
      <c r="FB3" s="41" t="s">
        <v>454</v>
      </c>
      <c r="FC3" s="41" t="s">
        <v>767</v>
      </c>
      <c r="FD3" s="41" t="s">
        <v>768</v>
      </c>
      <c r="FE3" s="41" t="s">
        <v>769</v>
      </c>
      <c r="FF3" s="41" t="s">
        <v>770</v>
      </c>
      <c r="FG3" s="41" t="s">
        <v>771</v>
      </c>
      <c r="FH3" s="41" t="s">
        <v>772</v>
      </c>
      <c r="FI3" s="41" t="s">
        <v>773</v>
      </c>
      <c r="FJ3" s="41" t="s">
        <v>774</v>
      </c>
      <c r="FK3" s="41" t="s">
        <v>775</v>
      </c>
      <c r="FL3" s="41" t="s">
        <v>776</v>
      </c>
      <c r="FM3" s="41" t="s">
        <v>777</v>
      </c>
      <c r="FN3" s="41" t="s">
        <v>778</v>
      </c>
      <c r="FO3" s="41" t="s">
        <v>779</v>
      </c>
      <c r="FP3" s="41" t="s">
        <v>780</v>
      </c>
      <c r="FQ3" s="41" t="s">
        <v>781</v>
      </c>
      <c r="FR3" s="41" t="s">
        <v>782</v>
      </c>
      <c r="FS3" s="41" t="s">
        <v>783</v>
      </c>
      <c r="FT3" s="41" t="s">
        <v>784</v>
      </c>
      <c r="FU3" s="41" t="s">
        <v>785</v>
      </c>
      <c r="FV3" s="41" t="s">
        <v>786</v>
      </c>
      <c r="FW3" s="41" t="s">
        <v>787</v>
      </c>
      <c r="FX3" s="41" t="s">
        <v>788</v>
      </c>
      <c r="FY3" s="41" t="s">
        <v>789</v>
      </c>
      <c r="FZ3" s="41" t="s">
        <v>790</v>
      </c>
      <c r="GA3" s="41" t="s">
        <v>791</v>
      </c>
      <c r="GB3" s="41" t="s">
        <v>792</v>
      </c>
      <c r="GC3" s="41" t="s">
        <v>454</v>
      </c>
      <c r="GD3" s="41" t="s">
        <v>793</v>
      </c>
      <c r="GE3" s="41" t="s">
        <v>794</v>
      </c>
      <c r="GF3" s="41" t="s">
        <v>454</v>
      </c>
      <c r="GG3" s="41" t="s">
        <v>795</v>
      </c>
      <c r="GH3" s="41" t="s">
        <v>796</v>
      </c>
      <c r="GI3" s="41" t="s">
        <v>797</v>
      </c>
      <c r="GJ3" s="41" t="s">
        <v>798</v>
      </c>
      <c r="GK3" s="41" t="s">
        <v>799</v>
      </c>
      <c r="GL3" s="41" t="s">
        <v>800</v>
      </c>
      <c r="GM3" s="41" t="s">
        <v>801</v>
      </c>
      <c r="GN3" s="41" t="s">
        <v>802</v>
      </c>
      <c r="GO3" s="41" t="s">
        <v>803</v>
      </c>
      <c r="GP3" s="41" t="s">
        <v>804</v>
      </c>
      <c r="GQ3" s="41" t="s">
        <v>805</v>
      </c>
      <c r="GR3" s="41" t="s">
        <v>806</v>
      </c>
      <c r="GS3" s="41" t="s">
        <v>807</v>
      </c>
      <c r="GT3" s="41" t="s">
        <v>808</v>
      </c>
      <c r="GU3" s="41" t="s">
        <v>809</v>
      </c>
      <c r="GV3" s="41" t="s">
        <v>810</v>
      </c>
      <c r="GW3" s="41" t="s">
        <v>811</v>
      </c>
      <c r="GX3" s="41" t="s">
        <v>812</v>
      </c>
      <c r="GY3" s="41" t="s">
        <v>813</v>
      </c>
      <c r="GZ3" s="41" t="s">
        <v>814</v>
      </c>
      <c r="HA3" s="41" t="s">
        <v>815</v>
      </c>
      <c r="HB3" s="41" t="s">
        <v>816</v>
      </c>
      <c r="HC3" s="41" t="s">
        <v>817</v>
      </c>
      <c r="HD3" s="41" t="s">
        <v>818</v>
      </c>
      <c r="HE3" s="41" t="s">
        <v>819</v>
      </c>
      <c r="HF3" s="41" t="s">
        <v>820</v>
      </c>
      <c r="HG3" s="41" t="s">
        <v>821</v>
      </c>
      <c r="HH3" s="41" t="s">
        <v>822</v>
      </c>
      <c r="HI3" s="41" t="s">
        <v>823</v>
      </c>
      <c r="HJ3" s="41" t="s">
        <v>454</v>
      </c>
      <c r="HK3" s="41" t="s">
        <v>824</v>
      </c>
      <c r="HL3" s="41" t="s">
        <v>825</v>
      </c>
      <c r="HM3" s="41" t="s">
        <v>826</v>
      </c>
      <c r="HN3" s="41" t="s">
        <v>827</v>
      </c>
      <c r="HO3" s="41" t="s">
        <v>828</v>
      </c>
      <c r="HP3" s="41" t="s">
        <v>829</v>
      </c>
      <c r="HQ3" s="41" t="s">
        <v>830</v>
      </c>
      <c r="HR3" s="41" t="s">
        <v>831</v>
      </c>
      <c r="HS3" s="41" t="s">
        <v>832</v>
      </c>
      <c r="HT3" s="41" t="s">
        <v>833</v>
      </c>
      <c r="HU3" s="41" t="s">
        <v>834</v>
      </c>
      <c r="HV3" s="41" t="s">
        <v>835</v>
      </c>
      <c r="HW3" s="41" t="s">
        <v>836</v>
      </c>
      <c r="HX3" s="41" t="s">
        <v>837</v>
      </c>
      <c r="HY3" s="41" t="s">
        <v>838</v>
      </c>
      <c r="HZ3" s="41" t="s">
        <v>839</v>
      </c>
      <c r="IA3" s="41" t="s">
        <v>840</v>
      </c>
      <c r="IB3" s="41" t="s">
        <v>841</v>
      </c>
      <c r="IC3" s="41" t="s">
        <v>842</v>
      </c>
      <c r="ID3" s="41" t="s">
        <v>843</v>
      </c>
      <c r="IE3" s="41" t="s">
        <v>844</v>
      </c>
      <c r="IF3" s="41" t="s">
        <v>845</v>
      </c>
      <c r="IG3" s="41" t="s">
        <v>846</v>
      </c>
      <c r="IH3" s="41" t="s">
        <v>847</v>
      </c>
      <c r="II3" s="41" t="s">
        <v>848</v>
      </c>
      <c r="IJ3" s="41" t="s">
        <v>849</v>
      </c>
      <c r="IK3" s="41" t="s">
        <v>454</v>
      </c>
      <c r="IL3" s="41" t="s">
        <v>850</v>
      </c>
      <c r="IM3" s="41" t="s">
        <v>851</v>
      </c>
      <c r="IN3" s="41" t="s">
        <v>454</v>
      </c>
      <c r="IO3" s="41" t="s">
        <v>852</v>
      </c>
      <c r="IP3" s="41" t="s">
        <v>853</v>
      </c>
      <c r="IQ3" s="41" t="s">
        <v>854</v>
      </c>
      <c r="IR3" s="41" t="s">
        <v>855</v>
      </c>
      <c r="IS3" s="41" t="s">
        <v>856</v>
      </c>
      <c r="IT3" s="41" t="s">
        <v>857</v>
      </c>
      <c r="IU3" s="41" t="s">
        <v>858</v>
      </c>
      <c r="IV3" s="41" t="s">
        <v>859</v>
      </c>
      <c r="IW3" s="41" t="s">
        <v>860</v>
      </c>
      <c r="IX3" s="41" t="s">
        <v>861</v>
      </c>
      <c r="IY3" s="41" t="s">
        <v>862</v>
      </c>
      <c r="IZ3" s="41" t="s">
        <v>863</v>
      </c>
      <c r="JA3" s="41" t="s">
        <v>864</v>
      </c>
      <c r="JB3" s="41" t="s">
        <v>865</v>
      </c>
      <c r="JC3" s="41" t="s">
        <v>866</v>
      </c>
      <c r="JD3" s="41" t="s">
        <v>867</v>
      </c>
      <c r="JE3" s="41" t="s">
        <v>868</v>
      </c>
      <c r="JF3" s="41" t="s">
        <v>869</v>
      </c>
      <c r="JG3" s="41" t="s">
        <v>870</v>
      </c>
      <c r="JH3" s="41" t="s">
        <v>871</v>
      </c>
      <c r="JI3" s="41" t="s">
        <v>872</v>
      </c>
      <c r="JJ3" s="41" t="s">
        <v>873</v>
      </c>
      <c r="JK3" s="41" t="s">
        <v>874</v>
      </c>
      <c r="JL3" s="41" t="s">
        <v>875</v>
      </c>
      <c r="JM3" s="41" t="s">
        <v>876</v>
      </c>
      <c r="JN3" s="41" t="s">
        <v>877</v>
      </c>
      <c r="JO3" s="41" t="s">
        <v>454</v>
      </c>
      <c r="JP3" s="41" t="s">
        <v>878</v>
      </c>
      <c r="JQ3" s="41" t="s">
        <v>879</v>
      </c>
      <c r="JR3" s="41" t="s">
        <v>454</v>
      </c>
      <c r="JS3" s="41" t="s">
        <v>454</v>
      </c>
      <c r="JT3" s="41" t="s">
        <v>454</v>
      </c>
      <c r="JU3" s="41" t="s">
        <v>454</v>
      </c>
      <c r="JV3" s="41" t="s">
        <v>454</v>
      </c>
      <c r="JW3" s="41" t="s">
        <v>454</v>
      </c>
      <c r="JX3" s="41" t="s">
        <v>454</v>
      </c>
      <c r="JY3" s="41" t="s">
        <v>454</v>
      </c>
      <c r="JZ3" s="41" t="s">
        <v>454</v>
      </c>
      <c r="KA3" s="41" t="s">
        <v>454</v>
      </c>
      <c r="KB3" s="41" t="s">
        <v>454</v>
      </c>
      <c r="KC3" s="41" t="s">
        <v>454</v>
      </c>
      <c r="KD3" s="41" t="s">
        <v>454</v>
      </c>
      <c r="KE3" s="41" t="s">
        <v>454</v>
      </c>
      <c r="KF3" s="41" t="s">
        <v>454</v>
      </c>
      <c r="KG3" s="41" t="s">
        <v>454</v>
      </c>
      <c r="KH3" s="41" t="s">
        <v>454</v>
      </c>
      <c r="KI3" s="41" t="s">
        <v>454</v>
      </c>
      <c r="KJ3" s="41" t="s">
        <v>454</v>
      </c>
      <c r="KK3" s="41" t="s">
        <v>454</v>
      </c>
      <c r="KL3" s="41" t="s">
        <v>454</v>
      </c>
      <c r="KM3" s="41" t="s">
        <v>454</v>
      </c>
      <c r="KN3" s="41" t="s">
        <v>454</v>
      </c>
      <c r="KO3" s="41" t="s">
        <v>454</v>
      </c>
      <c r="KP3" s="41" t="s">
        <v>454</v>
      </c>
      <c r="KQ3" s="41" t="s">
        <v>454</v>
      </c>
      <c r="KR3" s="41" t="s">
        <v>454</v>
      </c>
      <c r="KS3" s="41" t="s">
        <v>454</v>
      </c>
      <c r="KT3" s="41" t="s">
        <v>454</v>
      </c>
      <c r="KU3" s="41" t="s">
        <v>454</v>
      </c>
      <c r="KV3" s="41" t="s">
        <v>454</v>
      </c>
      <c r="KW3" s="41" t="s">
        <v>454</v>
      </c>
      <c r="KX3" s="41" t="s">
        <v>454</v>
      </c>
      <c r="KY3" s="41" t="s">
        <v>454</v>
      </c>
      <c r="KZ3" s="41" t="s">
        <v>454</v>
      </c>
      <c r="LA3" s="41" t="s">
        <v>454</v>
      </c>
      <c r="LB3" s="41" t="s">
        <v>454</v>
      </c>
    </row>
    <row r="4" spans="1:314" s="41" customFormat="1" x14ac:dyDescent="0.25">
      <c r="A4" s="41" t="s">
        <v>36</v>
      </c>
      <c r="B4" s="41" t="s">
        <v>37</v>
      </c>
      <c r="C4" s="41" t="s">
        <v>38</v>
      </c>
      <c r="D4" s="41" t="s">
        <v>39</v>
      </c>
      <c r="E4" s="41" t="s">
        <v>40</v>
      </c>
      <c r="F4" s="41" t="s">
        <v>41</v>
      </c>
      <c r="G4" s="41" t="s">
        <v>42</v>
      </c>
      <c r="H4" s="41" t="s">
        <v>43</v>
      </c>
      <c r="I4" s="41" t="s">
        <v>44</v>
      </c>
      <c r="J4" s="41" t="s">
        <v>45</v>
      </c>
      <c r="K4" s="41" t="s">
        <v>46</v>
      </c>
      <c r="L4" s="41" t="s">
        <v>47</v>
      </c>
      <c r="M4" s="41" t="s">
        <v>48</v>
      </c>
      <c r="N4" s="41" t="s">
        <v>49</v>
      </c>
      <c r="O4" s="41" t="s">
        <v>50</v>
      </c>
      <c r="P4" s="41" t="s">
        <v>51</v>
      </c>
      <c r="Q4" s="41" t="s">
        <v>52</v>
      </c>
      <c r="R4" s="41" t="s">
        <v>53</v>
      </c>
      <c r="S4" s="41" t="s">
        <v>54</v>
      </c>
      <c r="T4" s="41" t="s">
        <v>55</v>
      </c>
      <c r="U4" s="41" t="s">
        <v>56</v>
      </c>
      <c r="V4" s="41" t="s">
        <v>57</v>
      </c>
      <c r="W4" s="41" t="s">
        <v>58</v>
      </c>
      <c r="X4" s="41" t="s">
        <v>59</v>
      </c>
      <c r="Y4" s="41" t="s">
        <v>60</v>
      </c>
      <c r="Z4" s="41" t="s">
        <v>61</v>
      </c>
      <c r="AA4" s="41" t="s">
        <v>62</v>
      </c>
      <c r="AB4" s="41" t="s">
        <v>63</v>
      </c>
      <c r="AC4" s="41" t="s">
        <v>64</v>
      </c>
      <c r="AD4" s="41" t="s">
        <v>65</v>
      </c>
      <c r="AE4" s="41" t="s">
        <v>66</v>
      </c>
      <c r="AF4" s="41" t="s">
        <v>67</v>
      </c>
      <c r="AG4" s="41" t="s">
        <v>68</v>
      </c>
      <c r="AH4" s="41" t="s">
        <v>69</v>
      </c>
      <c r="AI4" s="41" t="s">
        <v>70</v>
      </c>
      <c r="AJ4" s="41" t="s">
        <v>71</v>
      </c>
      <c r="AK4" s="41" t="s">
        <v>72</v>
      </c>
      <c r="AL4" s="41" t="s">
        <v>73</v>
      </c>
      <c r="AM4" s="41" t="s">
        <v>74</v>
      </c>
      <c r="AN4" s="41" t="s">
        <v>75</v>
      </c>
      <c r="AO4" s="41" t="s">
        <v>76</v>
      </c>
      <c r="AP4" s="41" t="s">
        <v>77</v>
      </c>
      <c r="AQ4" s="41" t="s">
        <v>78</v>
      </c>
      <c r="AR4" s="41" t="s">
        <v>79</v>
      </c>
      <c r="AS4" s="41" t="s">
        <v>80</v>
      </c>
      <c r="AT4" s="41" t="s">
        <v>81</v>
      </c>
      <c r="AU4" s="41" t="s">
        <v>82</v>
      </c>
      <c r="AV4" s="41" t="s">
        <v>83</v>
      </c>
      <c r="AW4" s="41" t="s">
        <v>84</v>
      </c>
      <c r="AX4" s="41" t="s">
        <v>85</v>
      </c>
      <c r="AY4" s="41" t="s">
        <v>86</v>
      </c>
      <c r="AZ4" s="41" t="s">
        <v>87</v>
      </c>
      <c r="BA4" s="41" t="s">
        <v>88</v>
      </c>
      <c r="BB4" s="41" t="s">
        <v>89</v>
      </c>
      <c r="BC4" s="41" t="s">
        <v>90</v>
      </c>
      <c r="BD4" s="41" t="s">
        <v>91</v>
      </c>
      <c r="BE4" s="41" t="s">
        <v>92</v>
      </c>
      <c r="BF4" s="41" t="s">
        <v>93</v>
      </c>
      <c r="BG4" s="41" t="s">
        <v>94</v>
      </c>
      <c r="BH4" s="41" t="s">
        <v>95</v>
      </c>
      <c r="BI4" s="41" t="s">
        <v>96</v>
      </c>
      <c r="BJ4" s="41" t="s">
        <v>97</v>
      </c>
      <c r="BK4" s="41" t="s">
        <v>98</v>
      </c>
      <c r="BL4" s="41" t="s">
        <v>99</v>
      </c>
      <c r="BM4" s="41" t="s">
        <v>100</v>
      </c>
      <c r="BN4" s="41" t="s">
        <v>101</v>
      </c>
      <c r="BO4" s="41" t="s">
        <v>102</v>
      </c>
      <c r="BP4" s="41" t="s">
        <v>103</v>
      </c>
      <c r="BQ4" s="41" t="s">
        <v>104</v>
      </c>
      <c r="BR4" s="41" t="s">
        <v>105</v>
      </c>
      <c r="BS4" s="41" t="s">
        <v>106</v>
      </c>
      <c r="BT4" s="41" t="s">
        <v>107</v>
      </c>
      <c r="BU4" s="41" t="s">
        <v>108</v>
      </c>
      <c r="BV4" s="41" t="s">
        <v>109</v>
      </c>
      <c r="BW4" s="41" t="s">
        <v>110</v>
      </c>
      <c r="BX4" s="41" t="s">
        <v>111</v>
      </c>
      <c r="BY4" s="41" t="s">
        <v>112</v>
      </c>
      <c r="BZ4" s="41" t="s">
        <v>113</v>
      </c>
      <c r="CA4" s="41" t="s">
        <v>114</v>
      </c>
      <c r="CB4" s="41" t="s">
        <v>115</v>
      </c>
      <c r="CC4" s="41" t="s">
        <v>116</v>
      </c>
      <c r="CD4" s="41" t="s">
        <v>117</v>
      </c>
      <c r="CE4" s="41" t="s">
        <v>118</v>
      </c>
      <c r="CF4" s="41" t="s">
        <v>119</v>
      </c>
      <c r="CG4" s="41" t="s">
        <v>120</v>
      </c>
      <c r="CH4" s="41" t="s">
        <v>121</v>
      </c>
      <c r="CI4" s="41" t="s">
        <v>122</v>
      </c>
      <c r="CJ4" s="41" t="s">
        <v>123</v>
      </c>
      <c r="CK4" s="41" t="s">
        <v>124</v>
      </c>
      <c r="CL4" s="41" t="s">
        <v>125</v>
      </c>
      <c r="CM4" s="41" t="s">
        <v>126</v>
      </c>
      <c r="CN4" s="41" t="s">
        <v>127</v>
      </c>
      <c r="CO4" s="41" t="s">
        <v>128</v>
      </c>
      <c r="CP4" s="41" t="s">
        <v>129</v>
      </c>
      <c r="CQ4" s="41" t="s">
        <v>130</v>
      </c>
      <c r="CR4" s="41" t="s">
        <v>131</v>
      </c>
      <c r="CS4" s="41" t="s">
        <v>132</v>
      </c>
      <c r="CT4" s="41" t="s">
        <v>133</v>
      </c>
      <c r="CU4" s="41" t="s">
        <v>134</v>
      </c>
      <c r="CV4" s="41" t="s">
        <v>135</v>
      </c>
      <c r="CW4" s="41" t="s">
        <v>136</v>
      </c>
      <c r="CX4" s="41" t="s">
        <v>137</v>
      </c>
      <c r="CY4" s="41" t="s">
        <v>138</v>
      </c>
      <c r="CZ4" s="41" t="s">
        <v>139</v>
      </c>
      <c r="DA4" s="41" t="s">
        <v>140</v>
      </c>
      <c r="DB4" s="41" t="s">
        <v>141</v>
      </c>
      <c r="DC4" s="41" t="s">
        <v>142</v>
      </c>
      <c r="DD4" s="41" t="s">
        <v>143</v>
      </c>
      <c r="DE4" s="41" t="s">
        <v>144</v>
      </c>
      <c r="DF4" s="41" t="s">
        <v>145</v>
      </c>
      <c r="DG4" s="41" t="s">
        <v>146</v>
      </c>
      <c r="DH4" s="41" t="s">
        <v>147</v>
      </c>
      <c r="DI4" s="41" t="s">
        <v>148</v>
      </c>
      <c r="DJ4" s="41" t="s">
        <v>149</v>
      </c>
      <c r="DK4" s="41" t="s">
        <v>150</v>
      </c>
      <c r="DL4" s="41" t="s">
        <v>151</v>
      </c>
      <c r="DM4" s="41" t="s">
        <v>152</v>
      </c>
      <c r="DN4" s="41" t="s">
        <v>153</v>
      </c>
      <c r="DO4" s="41" t="s">
        <v>154</v>
      </c>
      <c r="DP4" s="41" t="s">
        <v>155</v>
      </c>
      <c r="DQ4" s="41" t="s">
        <v>156</v>
      </c>
      <c r="DR4" s="41" t="s">
        <v>157</v>
      </c>
      <c r="DS4" s="41" t="s">
        <v>158</v>
      </c>
      <c r="DT4" s="41" t="s">
        <v>159</v>
      </c>
      <c r="DU4" s="41" t="s">
        <v>160</v>
      </c>
      <c r="DV4" s="41" t="s">
        <v>161</v>
      </c>
      <c r="DW4" s="41" t="s">
        <v>162</v>
      </c>
      <c r="DX4" s="41" t="s">
        <v>163</v>
      </c>
      <c r="DY4" s="41" t="s">
        <v>164</v>
      </c>
      <c r="DZ4" s="41" t="s">
        <v>165</v>
      </c>
      <c r="EA4" s="41" t="s">
        <v>166</v>
      </c>
      <c r="EB4" s="41" t="s">
        <v>167</v>
      </c>
      <c r="EC4" s="41" t="s">
        <v>168</v>
      </c>
      <c r="ED4" s="41" t="s">
        <v>169</v>
      </c>
      <c r="EE4" s="41" t="s">
        <v>170</v>
      </c>
      <c r="EF4" s="41" t="s">
        <v>171</v>
      </c>
      <c r="EG4" s="41" t="s">
        <v>172</v>
      </c>
      <c r="EH4" s="41" t="s">
        <v>173</v>
      </c>
      <c r="EI4" s="41" t="s">
        <v>174</v>
      </c>
      <c r="EJ4" s="41" t="s">
        <v>175</v>
      </c>
      <c r="EK4" s="41" t="s">
        <v>176</v>
      </c>
      <c r="EL4" s="41" t="s">
        <v>177</v>
      </c>
      <c r="EM4" s="41" t="s">
        <v>178</v>
      </c>
      <c r="EN4" s="41" t="s">
        <v>179</v>
      </c>
      <c r="EO4" s="41" t="s">
        <v>180</v>
      </c>
      <c r="EP4" s="41" t="s">
        <v>181</v>
      </c>
      <c r="EQ4" s="41" t="s">
        <v>182</v>
      </c>
      <c r="ER4" s="41" t="s">
        <v>183</v>
      </c>
      <c r="ES4" s="41" t="s">
        <v>184</v>
      </c>
      <c r="ET4" s="41" t="s">
        <v>185</v>
      </c>
      <c r="EU4" s="41" t="s">
        <v>186</v>
      </c>
      <c r="EV4" s="41" t="s">
        <v>187</v>
      </c>
      <c r="EW4" s="41" t="s">
        <v>188</v>
      </c>
      <c r="EX4" s="41" t="s">
        <v>189</v>
      </c>
      <c r="EY4" s="41" t="s">
        <v>190</v>
      </c>
      <c r="EZ4" s="41" t="s">
        <v>191</v>
      </c>
      <c r="FA4" s="41" t="s">
        <v>192</v>
      </c>
      <c r="FB4" s="41" t="s">
        <v>193</v>
      </c>
      <c r="FC4" s="41" t="s">
        <v>194</v>
      </c>
      <c r="FD4" s="41" t="s">
        <v>195</v>
      </c>
      <c r="FE4" s="41" t="s">
        <v>196</v>
      </c>
      <c r="FF4" s="41" t="s">
        <v>197</v>
      </c>
      <c r="FG4" s="41" t="s">
        <v>198</v>
      </c>
      <c r="FH4" s="41" t="s">
        <v>199</v>
      </c>
      <c r="FI4" s="41" t="s">
        <v>200</v>
      </c>
      <c r="FJ4" s="41" t="s">
        <v>201</v>
      </c>
      <c r="FK4" s="41" t="s">
        <v>202</v>
      </c>
      <c r="FL4" s="41" t="s">
        <v>203</v>
      </c>
      <c r="FM4" s="41" t="s">
        <v>204</v>
      </c>
      <c r="FN4" s="41" t="s">
        <v>205</v>
      </c>
      <c r="FO4" s="41" t="s">
        <v>206</v>
      </c>
      <c r="FP4" s="41" t="s">
        <v>207</v>
      </c>
      <c r="FQ4" s="41" t="s">
        <v>208</v>
      </c>
      <c r="FR4" s="41" t="s">
        <v>209</v>
      </c>
      <c r="FS4" s="41" t="s">
        <v>210</v>
      </c>
      <c r="FT4" s="41" t="s">
        <v>211</v>
      </c>
      <c r="FU4" s="41" t="s">
        <v>212</v>
      </c>
      <c r="FV4" s="41" t="s">
        <v>213</v>
      </c>
      <c r="FW4" s="41" t="s">
        <v>214</v>
      </c>
      <c r="FX4" s="41" t="s">
        <v>215</v>
      </c>
      <c r="FY4" s="41" t="s">
        <v>216</v>
      </c>
      <c r="FZ4" s="41" t="s">
        <v>217</v>
      </c>
      <c r="GA4" s="41" t="s">
        <v>218</v>
      </c>
      <c r="GB4" s="41" t="s">
        <v>219</v>
      </c>
      <c r="GC4" s="41" t="s">
        <v>220</v>
      </c>
      <c r="GD4" s="41" t="s">
        <v>221</v>
      </c>
      <c r="GE4" s="41" t="s">
        <v>222</v>
      </c>
      <c r="GF4" s="41" t="s">
        <v>223</v>
      </c>
      <c r="GG4" s="41" t="s">
        <v>224</v>
      </c>
      <c r="GH4" s="41" t="s">
        <v>225</v>
      </c>
      <c r="GI4" s="41" t="s">
        <v>226</v>
      </c>
      <c r="GJ4" s="41" t="s">
        <v>227</v>
      </c>
      <c r="GK4" s="41" t="s">
        <v>228</v>
      </c>
      <c r="GL4" s="41" t="s">
        <v>229</v>
      </c>
      <c r="GM4" s="41" t="s">
        <v>230</v>
      </c>
      <c r="GN4" s="41" t="s">
        <v>231</v>
      </c>
      <c r="GO4" s="41" t="s">
        <v>232</v>
      </c>
      <c r="GP4" s="41" t="s">
        <v>233</v>
      </c>
      <c r="GQ4" s="41" t="s">
        <v>234</v>
      </c>
      <c r="GR4" s="41" t="s">
        <v>235</v>
      </c>
      <c r="GS4" s="41" t="s">
        <v>236</v>
      </c>
      <c r="GT4" s="41" t="s">
        <v>237</v>
      </c>
      <c r="GU4" s="41" t="s">
        <v>238</v>
      </c>
      <c r="GV4" s="41" t="s">
        <v>239</v>
      </c>
      <c r="GW4" s="41" t="s">
        <v>240</v>
      </c>
      <c r="GX4" s="41" t="s">
        <v>241</v>
      </c>
      <c r="GY4" s="41" t="s">
        <v>242</v>
      </c>
      <c r="GZ4" s="41" t="s">
        <v>243</v>
      </c>
      <c r="HA4" s="41" t="s">
        <v>244</v>
      </c>
      <c r="HB4" s="41" t="s">
        <v>245</v>
      </c>
      <c r="HC4" s="41" t="s">
        <v>246</v>
      </c>
      <c r="HD4" s="41" t="s">
        <v>247</v>
      </c>
      <c r="HE4" s="41" t="s">
        <v>248</v>
      </c>
      <c r="HF4" s="41" t="s">
        <v>249</v>
      </c>
      <c r="HG4" s="41" t="s">
        <v>250</v>
      </c>
      <c r="HH4" s="41" t="s">
        <v>251</v>
      </c>
      <c r="HI4" s="41" t="s">
        <v>252</v>
      </c>
      <c r="HJ4" s="41" t="s">
        <v>253</v>
      </c>
      <c r="HK4" s="41" t="s">
        <v>254</v>
      </c>
      <c r="HL4" s="41" t="s">
        <v>255</v>
      </c>
      <c r="HM4" s="41" t="s">
        <v>256</v>
      </c>
      <c r="HN4" s="41" t="s">
        <v>257</v>
      </c>
      <c r="HO4" s="41" t="s">
        <v>258</v>
      </c>
      <c r="HP4" s="41" t="s">
        <v>259</v>
      </c>
      <c r="HQ4" s="41" t="s">
        <v>260</v>
      </c>
      <c r="HR4" s="41" t="s">
        <v>261</v>
      </c>
      <c r="HS4" s="41" t="s">
        <v>262</v>
      </c>
      <c r="HT4" s="41" t="s">
        <v>263</v>
      </c>
      <c r="HU4" s="41" t="s">
        <v>264</v>
      </c>
      <c r="HV4" s="41" t="s">
        <v>265</v>
      </c>
      <c r="HW4" s="41" t="s">
        <v>266</v>
      </c>
      <c r="HX4" s="41" t="s">
        <v>267</v>
      </c>
      <c r="HY4" s="41" t="s">
        <v>268</v>
      </c>
      <c r="HZ4" s="41" t="s">
        <v>269</v>
      </c>
      <c r="IA4" s="41" t="s">
        <v>270</v>
      </c>
      <c r="IB4" s="41" t="s">
        <v>271</v>
      </c>
      <c r="IC4" s="41" t="s">
        <v>272</v>
      </c>
      <c r="ID4" s="41" t="s">
        <v>273</v>
      </c>
      <c r="IE4" s="41" t="s">
        <v>274</v>
      </c>
      <c r="IF4" s="41" t="s">
        <v>275</v>
      </c>
      <c r="IG4" s="41" t="s">
        <v>276</v>
      </c>
      <c r="IH4" s="41" t="s">
        <v>277</v>
      </c>
      <c r="II4" s="41" t="s">
        <v>278</v>
      </c>
      <c r="IJ4" s="41" t="s">
        <v>279</v>
      </c>
      <c r="IK4" s="41" t="s">
        <v>280</v>
      </c>
      <c r="IL4" s="41" t="s">
        <v>281</v>
      </c>
      <c r="IM4" s="41" t="s">
        <v>282</v>
      </c>
      <c r="IN4" s="41" t="s">
        <v>283</v>
      </c>
      <c r="IO4" s="41" t="s">
        <v>284</v>
      </c>
      <c r="IP4" s="41" t="s">
        <v>285</v>
      </c>
      <c r="IQ4" s="41" t="s">
        <v>286</v>
      </c>
      <c r="IR4" s="41" t="s">
        <v>287</v>
      </c>
      <c r="IS4" s="41" t="s">
        <v>288</v>
      </c>
      <c r="IT4" s="41" t="s">
        <v>289</v>
      </c>
      <c r="IU4" s="41" t="s">
        <v>290</v>
      </c>
      <c r="IV4" s="41" t="s">
        <v>291</v>
      </c>
      <c r="IW4" s="41" t="s">
        <v>292</v>
      </c>
      <c r="IX4" s="41" t="s">
        <v>293</v>
      </c>
      <c r="IY4" s="41" t="s">
        <v>294</v>
      </c>
      <c r="IZ4" s="41" t="s">
        <v>295</v>
      </c>
      <c r="JA4" s="41" t="s">
        <v>296</v>
      </c>
      <c r="JB4" s="41" t="s">
        <v>297</v>
      </c>
      <c r="JC4" s="41" t="s">
        <v>298</v>
      </c>
      <c r="JD4" s="41" t="s">
        <v>299</v>
      </c>
      <c r="JE4" s="41" t="s">
        <v>300</v>
      </c>
      <c r="JF4" s="41" t="s">
        <v>301</v>
      </c>
      <c r="JG4" s="41" t="s">
        <v>302</v>
      </c>
      <c r="JH4" s="41" t="s">
        <v>303</v>
      </c>
      <c r="JI4" s="41" t="s">
        <v>304</v>
      </c>
      <c r="JJ4" s="41" t="s">
        <v>305</v>
      </c>
      <c r="JK4" s="41" t="s">
        <v>306</v>
      </c>
      <c r="JL4" s="41" t="s">
        <v>307</v>
      </c>
      <c r="JM4" s="41" t="s">
        <v>308</v>
      </c>
      <c r="JN4" s="41" t="s">
        <v>309</v>
      </c>
      <c r="JO4" s="41" t="s">
        <v>310</v>
      </c>
      <c r="JP4" s="41" t="s">
        <v>311</v>
      </c>
      <c r="JQ4" s="41" t="s">
        <v>312</v>
      </c>
      <c r="JR4" s="41" t="s">
        <v>313</v>
      </c>
      <c r="JS4" s="41" t="s">
        <v>314</v>
      </c>
      <c r="JT4" s="41" t="s">
        <v>315</v>
      </c>
      <c r="JU4" s="41" t="s">
        <v>316</v>
      </c>
      <c r="JV4" s="41" t="s">
        <v>317</v>
      </c>
      <c r="JW4" s="41" t="s">
        <v>318</v>
      </c>
      <c r="JX4" s="41" t="s">
        <v>319</v>
      </c>
      <c r="JY4" s="41" t="s">
        <v>320</v>
      </c>
      <c r="JZ4" s="41" t="s">
        <v>321</v>
      </c>
      <c r="KA4" s="41" t="s">
        <v>322</v>
      </c>
      <c r="KB4" s="41" t="s">
        <v>323</v>
      </c>
      <c r="KC4" s="41" t="s">
        <v>324</v>
      </c>
      <c r="KD4" s="41" t="s">
        <v>325</v>
      </c>
      <c r="KE4" s="41" t="s">
        <v>326</v>
      </c>
      <c r="KF4" s="41" t="s">
        <v>327</v>
      </c>
      <c r="KG4" s="41" t="s">
        <v>328</v>
      </c>
      <c r="KH4" s="41" t="s">
        <v>329</v>
      </c>
      <c r="KI4" s="41" t="s">
        <v>330</v>
      </c>
      <c r="KJ4" s="41" t="s">
        <v>331</v>
      </c>
      <c r="KK4" s="41" t="s">
        <v>332</v>
      </c>
      <c r="KL4" s="41" t="s">
        <v>333</v>
      </c>
      <c r="KM4" s="41" t="s">
        <v>334</v>
      </c>
      <c r="KN4" s="41" t="s">
        <v>335</v>
      </c>
      <c r="KO4" s="41" t="s">
        <v>336</v>
      </c>
      <c r="KP4" s="41" t="s">
        <v>337</v>
      </c>
      <c r="KQ4" s="41" t="s">
        <v>338</v>
      </c>
      <c r="KR4" s="41" t="s">
        <v>339</v>
      </c>
      <c r="KS4" s="41" t="s">
        <v>340</v>
      </c>
      <c r="KT4" s="41" t="s">
        <v>341</v>
      </c>
      <c r="KU4" s="41" t="s">
        <v>342</v>
      </c>
      <c r="KV4" s="41" t="s">
        <v>343</v>
      </c>
      <c r="KW4" s="41" t="s">
        <v>344</v>
      </c>
      <c r="KX4" s="41" t="s">
        <v>345</v>
      </c>
      <c r="KY4" s="41" t="s">
        <v>346</v>
      </c>
      <c r="KZ4" s="41" t="s">
        <v>347</v>
      </c>
      <c r="LA4" s="41" t="s">
        <v>348</v>
      </c>
      <c r="LB4" s="41" t="s">
        <v>349</v>
      </c>
    </row>
    <row r="5" spans="1:314" x14ac:dyDescent="0.25">
      <c r="A5" s="71" t="s">
        <v>350</v>
      </c>
      <c r="B5" s="71" t="s">
        <v>1069</v>
      </c>
      <c r="C5" s="160" t="s">
        <v>1345</v>
      </c>
      <c r="D5" s="71" t="s">
        <v>1384</v>
      </c>
      <c r="E5" s="2">
        <v>41298.626493055555</v>
      </c>
      <c r="F5" s="71"/>
      <c r="G5" s="71" t="s">
        <v>351</v>
      </c>
      <c r="H5" s="71" t="s">
        <v>1373</v>
      </c>
      <c r="I5" s="71" t="s">
        <v>1348</v>
      </c>
      <c r="J5" s="71" t="s">
        <v>1349</v>
      </c>
      <c r="K5" s="71" t="s">
        <v>1374</v>
      </c>
      <c r="L5" s="71">
        <v>0</v>
      </c>
      <c r="M5" s="71">
        <v>0</v>
      </c>
      <c r="N5" s="71">
        <v>0</v>
      </c>
      <c r="O5" s="71">
        <v>27242646</v>
      </c>
      <c r="P5" s="71">
        <v>0</v>
      </c>
      <c r="Q5" s="71">
        <v>751678</v>
      </c>
      <c r="R5" s="71">
        <v>0</v>
      </c>
      <c r="S5" s="71">
        <v>751678</v>
      </c>
      <c r="T5" s="71">
        <v>2168054</v>
      </c>
      <c r="U5" s="71">
        <v>1785324</v>
      </c>
      <c r="V5" s="71">
        <v>1953516</v>
      </c>
      <c r="W5" s="71">
        <v>0</v>
      </c>
      <c r="X5" s="71">
        <v>0</v>
      </c>
      <c r="Y5" s="71">
        <v>0</v>
      </c>
      <c r="Z5" s="71">
        <v>5906894</v>
      </c>
      <c r="AA5" s="71">
        <v>1074288</v>
      </c>
      <c r="AB5" s="71">
        <v>272347</v>
      </c>
      <c r="AC5" s="71">
        <v>908967</v>
      </c>
      <c r="AD5" s="71">
        <v>0</v>
      </c>
      <c r="AE5" s="71">
        <v>0</v>
      </c>
      <c r="AF5" s="71">
        <v>382686</v>
      </c>
      <c r="AG5" s="71">
        <v>2638288</v>
      </c>
      <c r="AH5" s="71">
        <v>3242342</v>
      </c>
      <c r="AI5" s="71">
        <v>2057671</v>
      </c>
      <c r="AJ5" s="71">
        <v>2862483</v>
      </c>
      <c r="AK5" s="71">
        <v>0</v>
      </c>
      <c r="AL5" s="71">
        <v>0</v>
      </c>
      <c r="AM5" s="71">
        <v>382686</v>
      </c>
      <c r="AN5" s="71">
        <v>8545182</v>
      </c>
      <c r="AO5" s="71">
        <v>0</v>
      </c>
      <c r="AP5" s="71">
        <v>0</v>
      </c>
      <c r="AQ5" s="71">
        <v>77529</v>
      </c>
      <c r="AR5" s="71">
        <v>0</v>
      </c>
      <c r="AS5" s="71">
        <v>77529</v>
      </c>
      <c r="AT5" s="71">
        <v>0</v>
      </c>
      <c r="AU5" s="71">
        <v>0</v>
      </c>
      <c r="AV5" s="71">
        <v>60048</v>
      </c>
      <c r="AW5" s="71">
        <v>0</v>
      </c>
      <c r="AX5" s="71">
        <v>60048</v>
      </c>
      <c r="AY5" s="71">
        <v>0</v>
      </c>
      <c r="AZ5" s="71">
        <v>0</v>
      </c>
      <c r="BA5" s="71">
        <v>137577</v>
      </c>
      <c r="BB5" s="71">
        <v>0</v>
      </c>
      <c r="BC5" s="71">
        <v>137577</v>
      </c>
      <c r="BD5" s="71">
        <v>1391876</v>
      </c>
      <c r="BE5" s="71">
        <v>0</v>
      </c>
      <c r="BF5" s="71">
        <v>0</v>
      </c>
      <c r="BG5" s="71">
        <v>0</v>
      </c>
      <c r="BH5" s="71">
        <v>0</v>
      </c>
      <c r="BI5" s="71">
        <v>1391876</v>
      </c>
      <c r="BJ5" s="71">
        <v>0</v>
      </c>
      <c r="BK5" s="71">
        <v>0</v>
      </c>
      <c r="BL5" s="71">
        <v>379917</v>
      </c>
      <c r="BM5" s="71">
        <v>0</v>
      </c>
      <c r="BN5" s="71">
        <v>0</v>
      </c>
      <c r="BO5" s="71">
        <v>379917</v>
      </c>
      <c r="BP5" s="71">
        <v>2552476</v>
      </c>
      <c r="BQ5" s="71">
        <v>0</v>
      </c>
      <c r="BR5" s="71">
        <v>0</v>
      </c>
      <c r="BS5" s="71">
        <v>0</v>
      </c>
      <c r="BT5" s="71">
        <v>0</v>
      </c>
      <c r="BU5" s="71">
        <v>2552476</v>
      </c>
      <c r="BV5" s="71">
        <v>3944352</v>
      </c>
      <c r="BW5" s="71">
        <v>0</v>
      </c>
      <c r="BX5" s="71">
        <v>379917</v>
      </c>
      <c r="BY5" s="71">
        <v>0</v>
      </c>
      <c r="BZ5" s="71">
        <v>0</v>
      </c>
      <c r="CA5" s="71">
        <v>4324269</v>
      </c>
      <c r="CB5" s="71">
        <v>0</v>
      </c>
      <c r="CC5" s="71">
        <v>0</v>
      </c>
      <c r="CD5" s="71">
        <v>0</v>
      </c>
      <c r="CE5" s="71">
        <v>0</v>
      </c>
      <c r="CF5" s="71">
        <v>0</v>
      </c>
      <c r="CG5" s="71">
        <v>0</v>
      </c>
      <c r="CH5" s="71">
        <v>0</v>
      </c>
      <c r="CI5" s="71">
        <v>0</v>
      </c>
      <c r="CJ5" s="71">
        <v>0</v>
      </c>
      <c r="CK5" s="71">
        <v>0</v>
      </c>
      <c r="CL5" s="71">
        <v>0</v>
      </c>
      <c r="CM5" s="71">
        <v>0</v>
      </c>
      <c r="CN5" s="71">
        <v>0</v>
      </c>
      <c r="CO5" s="71">
        <v>0</v>
      </c>
      <c r="CP5" s="71">
        <v>0</v>
      </c>
      <c r="CQ5" s="71">
        <v>0</v>
      </c>
      <c r="CR5" s="71" t="s">
        <v>350</v>
      </c>
      <c r="CS5" s="71">
        <v>1385379</v>
      </c>
      <c r="CT5" s="71">
        <v>0</v>
      </c>
      <c r="CU5" s="71">
        <v>1152</v>
      </c>
      <c r="CV5" s="71">
        <v>19222</v>
      </c>
      <c r="CW5" s="71">
        <v>321216</v>
      </c>
      <c r="CX5" s="71">
        <v>273992</v>
      </c>
      <c r="CY5" s="71">
        <v>110</v>
      </c>
      <c r="CZ5" s="71">
        <v>29458</v>
      </c>
      <c r="DA5" s="71">
        <v>42449</v>
      </c>
      <c r="DB5" s="71">
        <v>2568</v>
      </c>
      <c r="DC5" s="71">
        <v>75680</v>
      </c>
      <c r="DD5" s="71">
        <v>0</v>
      </c>
      <c r="DE5" s="71">
        <v>69736</v>
      </c>
      <c r="DF5" s="71">
        <v>198288</v>
      </c>
      <c r="DG5" s="71">
        <v>59808</v>
      </c>
      <c r="DH5" s="71">
        <v>128678</v>
      </c>
      <c r="DI5" s="71">
        <v>0</v>
      </c>
      <c r="DJ5" s="71">
        <v>216218</v>
      </c>
      <c r="DK5" s="71">
        <v>31600</v>
      </c>
      <c r="DL5" s="71">
        <v>48016</v>
      </c>
      <c r="DM5" s="71">
        <v>96112</v>
      </c>
      <c r="DN5" s="71">
        <v>25888</v>
      </c>
      <c r="DO5" s="71">
        <v>0</v>
      </c>
      <c r="DP5" s="71">
        <v>8844</v>
      </c>
      <c r="DQ5" s="71">
        <v>48992</v>
      </c>
      <c r="DR5" s="71">
        <v>74024</v>
      </c>
      <c r="DS5" s="71">
        <v>346864</v>
      </c>
      <c r="DT5" s="71">
        <v>112512</v>
      </c>
      <c r="DU5" s="71">
        <v>0</v>
      </c>
      <c r="DV5" s="71">
        <v>105632</v>
      </c>
      <c r="DW5" s="71">
        <v>38736</v>
      </c>
      <c r="DX5" s="71">
        <v>2375795</v>
      </c>
      <c r="DY5" s="71">
        <v>6395</v>
      </c>
      <c r="DZ5" s="71">
        <v>91465</v>
      </c>
      <c r="EA5" s="71">
        <v>621907</v>
      </c>
      <c r="EB5" s="71">
        <v>1188792</v>
      </c>
      <c r="EC5" s="71">
        <v>0</v>
      </c>
      <c r="ED5" s="71">
        <v>192272</v>
      </c>
      <c r="EE5" s="71">
        <v>455277</v>
      </c>
      <c r="EF5" s="71">
        <v>1107</v>
      </c>
      <c r="EG5" s="71">
        <v>322238</v>
      </c>
      <c r="EH5" s="71">
        <v>0</v>
      </c>
      <c r="EI5" s="71">
        <v>457055</v>
      </c>
      <c r="EJ5" s="71">
        <v>692349</v>
      </c>
      <c r="EK5" s="71">
        <v>189762</v>
      </c>
      <c r="EL5" s="71">
        <v>892221</v>
      </c>
      <c r="EM5" s="71">
        <v>0</v>
      </c>
      <c r="EN5" s="71">
        <v>1144095</v>
      </c>
      <c r="EO5" s="71">
        <v>389224</v>
      </c>
      <c r="EP5" s="71">
        <v>351204</v>
      </c>
      <c r="EQ5" s="71">
        <v>401124</v>
      </c>
      <c r="ER5" s="71">
        <v>110433</v>
      </c>
      <c r="ES5" s="71">
        <v>0</v>
      </c>
      <c r="ET5" s="71">
        <v>1685</v>
      </c>
      <c r="EU5" s="71">
        <v>408086</v>
      </c>
      <c r="EV5" s="71">
        <v>324604</v>
      </c>
      <c r="EW5" s="71">
        <v>1244541</v>
      </c>
      <c r="EX5" s="71">
        <v>1022275</v>
      </c>
      <c r="EY5" s="71">
        <v>0</v>
      </c>
      <c r="EZ5" s="71">
        <v>420474</v>
      </c>
      <c r="FA5" s="71">
        <v>188713</v>
      </c>
      <c r="FB5" s="71">
        <v>11117298</v>
      </c>
      <c r="FC5" s="71">
        <v>0</v>
      </c>
      <c r="FD5" s="71">
        <v>0</v>
      </c>
      <c r="FE5" s="71">
        <v>406</v>
      </c>
      <c r="FF5" s="71">
        <v>3150</v>
      </c>
      <c r="FG5" s="71">
        <v>0</v>
      </c>
      <c r="FH5" s="71">
        <v>1088</v>
      </c>
      <c r="FI5" s="71">
        <v>3116</v>
      </c>
      <c r="FJ5" s="71">
        <v>0</v>
      </c>
      <c r="FK5" s="71">
        <v>0</v>
      </c>
      <c r="FL5" s="71">
        <v>0</v>
      </c>
      <c r="FM5" s="71">
        <v>4655</v>
      </c>
      <c r="FN5" s="71">
        <v>0</v>
      </c>
      <c r="FO5" s="71">
        <v>0</v>
      </c>
      <c r="FP5" s="71">
        <v>5427</v>
      </c>
      <c r="FQ5" s="71">
        <v>0</v>
      </c>
      <c r="FR5" s="71">
        <v>8292</v>
      </c>
      <c r="FS5" s="71">
        <v>0</v>
      </c>
      <c r="FT5" s="71">
        <v>0</v>
      </c>
      <c r="FU5" s="71">
        <v>0</v>
      </c>
      <c r="FV5" s="71">
        <v>0</v>
      </c>
      <c r="FW5" s="71">
        <v>0</v>
      </c>
      <c r="FX5" s="71">
        <v>0</v>
      </c>
      <c r="FY5" s="71">
        <v>5601</v>
      </c>
      <c r="FZ5" s="71">
        <v>0</v>
      </c>
      <c r="GA5" s="71">
        <v>0</v>
      </c>
      <c r="GB5" s="71">
        <v>15191</v>
      </c>
      <c r="GC5" s="71">
        <v>0</v>
      </c>
      <c r="GD5" s="71">
        <v>0</v>
      </c>
      <c r="GE5" s="71">
        <v>5885</v>
      </c>
      <c r="GF5" s="71">
        <v>52811</v>
      </c>
      <c r="GG5" s="71">
        <v>793</v>
      </c>
      <c r="GH5" s="71">
        <v>11344</v>
      </c>
      <c r="GI5" s="71">
        <v>77183</v>
      </c>
      <c r="GJ5" s="71">
        <v>147831</v>
      </c>
      <c r="GK5" s="71">
        <v>0</v>
      </c>
      <c r="GL5" s="71">
        <v>23982</v>
      </c>
      <c r="GM5" s="71">
        <v>56852</v>
      </c>
      <c r="GN5" s="71">
        <v>137</v>
      </c>
      <c r="GO5" s="71">
        <v>39966</v>
      </c>
      <c r="GP5" s="71">
        <v>0</v>
      </c>
      <c r="GQ5" s="71">
        <v>57264</v>
      </c>
      <c r="GR5" s="71">
        <v>85869</v>
      </c>
      <c r="GS5" s="71">
        <v>23535</v>
      </c>
      <c r="GT5" s="71">
        <v>111331</v>
      </c>
      <c r="GU5" s="71">
        <v>0</v>
      </c>
      <c r="GV5" s="71">
        <v>142925</v>
      </c>
      <c r="GW5" s="71">
        <v>48274</v>
      </c>
      <c r="GX5" s="71">
        <v>43558</v>
      </c>
      <c r="GY5" s="71">
        <v>49750</v>
      </c>
      <c r="GZ5" s="71">
        <v>13697</v>
      </c>
      <c r="HA5" s="71">
        <v>0</v>
      </c>
      <c r="HB5" s="71">
        <v>209</v>
      </c>
      <c r="HC5" s="71">
        <v>51308</v>
      </c>
      <c r="HD5" s="71">
        <v>40259</v>
      </c>
      <c r="HE5" s="71">
        <v>154355</v>
      </c>
      <c r="HF5" s="71">
        <v>128672</v>
      </c>
      <c r="HG5" s="71">
        <v>0</v>
      </c>
      <c r="HH5" s="71">
        <v>52150</v>
      </c>
      <c r="HI5" s="71">
        <v>24135</v>
      </c>
      <c r="HJ5" s="71">
        <v>1385379</v>
      </c>
      <c r="HK5" s="71">
        <v>220</v>
      </c>
      <c r="HL5" s="71">
        <v>34779</v>
      </c>
      <c r="HM5" s="71">
        <v>124483</v>
      </c>
      <c r="HN5" s="71">
        <v>74312</v>
      </c>
      <c r="HO5" s="71">
        <v>21</v>
      </c>
      <c r="HP5" s="71">
        <v>54188</v>
      </c>
      <c r="HQ5" s="71">
        <v>122772</v>
      </c>
      <c r="HR5" s="71">
        <v>490</v>
      </c>
      <c r="HS5" s="71">
        <v>34065</v>
      </c>
      <c r="HT5" s="71">
        <v>0</v>
      </c>
      <c r="HU5" s="71">
        <v>133410</v>
      </c>
      <c r="HV5" s="71">
        <v>43637</v>
      </c>
      <c r="HW5" s="71">
        <v>12760</v>
      </c>
      <c r="HX5" s="71">
        <v>57322</v>
      </c>
      <c r="HY5" s="71">
        <v>0</v>
      </c>
      <c r="HZ5" s="71">
        <v>186443</v>
      </c>
      <c r="IA5" s="71">
        <v>46939</v>
      </c>
      <c r="IB5" s="71">
        <v>22137</v>
      </c>
      <c r="IC5" s="71">
        <v>22181</v>
      </c>
      <c r="ID5" s="71">
        <v>53266</v>
      </c>
      <c r="IE5" s="71">
        <v>0</v>
      </c>
      <c r="IF5" s="71">
        <v>2088</v>
      </c>
      <c r="IG5" s="71">
        <v>24370</v>
      </c>
      <c r="IH5" s="71">
        <v>53071</v>
      </c>
      <c r="II5" s="71">
        <v>75709</v>
      </c>
      <c r="IJ5" s="71">
        <v>97174</v>
      </c>
      <c r="IK5" s="71">
        <v>0</v>
      </c>
      <c r="IL5" s="71">
        <v>20646</v>
      </c>
      <c r="IM5" s="71">
        <v>14655</v>
      </c>
      <c r="IN5" s="71">
        <v>1311138</v>
      </c>
      <c r="IO5" s="71">
        <v>1013</v>
      </c>
      <c r="IP5" s="71">
        <v>46123</v>
      </c>
      <c r="IQ5" s="71">
        <v>202072</v>
      </c>
      <c r="IR5" s="71">
        <v>225293</v>
      </c>
      <c r="IS5" s="71">
        <v>21</v>
      </c>
      <c r="IT5" s="71">
        <v>79258</v>
      </c>
      <c r="IU5" s="71">
        <v>182740</v>
      </c>
      <c r="IV5" s="71">
        <v>627</v>
      </c>
      <c r="IW5" s="71">
        <v>74031</v>
      </c>
      <c r="IX5" s="71">
        <v>0</v>
      </c>
      <c r="IY5" s="71">
        <v>195329</v>
      </c>
      <c r="IZ5" s="71">
        <v>129506</v>
      </c>
      <c r="JA5" s="71">
        <v>36295</v>
      </c>
      <c r="JB5" s="71">
        <v>174080</v>
      </c>
      <c r="JC5" s="71">
        <v>0</v>
      </c>
      <c r="JD5" s="71">
        <v>337660</v>
      </c>
      <c r="JE5" s="71">
        <v>95213</v>
      </c>
      <c r="JF5" s="71">
        <v>65695</v>
      </c>
      <c r="JG5" s="71">
        <v>71931</v>
      </c>
      <c r="JH5" s="71">
        <v>66963</v>
      </c>
      <c r="JI5" s="71">
        <v>0</v>
      </c>
      <c r="JJ5" s="71">
        <v>2297</v>
      </c>
      <c r="JK5" s="71">
        <v>81279</v>
      </c>
      <c r="JL5" s="71">
        <v>93330</v>
      </c>
      <c r="JM5" s="71">
        <v>230064</v>
      </c>
      <c r="JN5" s="71">
        <v>241037</v>
      </c>
      <c r="JO5" s="71">
        <v>0</v>
      </c>
      <c r="JP5" s="71">
        <v>72796</v>
      </c>
      <c r="JQ5" s="71">
        <v>44675</v>
      </c>
      <c r="JR5" s="71">
        <v>2749328</v>
      </c>
      <c r="JS5" s="71">
        <v>7408</v>
      </c>
      <c r="JT5" s="71">
        <v>137588</v>
      </c>
      <c r="JU5" s="71">
        <v>823979</v>
      </c>
      <c r="JV5" s="71">
        <v>1414085</v>
      </c>
      <c r="JW5" s="71">
        <v>21</v>
      </c>
      <c r="JX5" s="71">
        <v>271530</v>
      </c>
      <c r="JY5" s="71">
        <v>638017</v>
      </c>
      <c r="JZ5" s="71">
        <v>1734</v>
      </c>
      <c r="KA5" s="71">
        <v>396269</v>
      </c>
      <c r="KB5" s="71">
        <v>0</v>
      </c>
      <c r="KC5" s="71">
        <v>652384</v>
      </c>
      <c r="KD5" s="71">
        <v>821855</v>
      </c>
      <c r="KE5" s="71">
        <v>226057</v>
      </c>
      <c r="KF5" s="71">
        <v>1066301</v>
      </c>
      <c r="KG5" s="71">
        <v>0</v>
      </c>
      <c r="KH5" s="71">
        <v>1481755</v>
      </c>
      <c r="KI5" s="71">
        <v>484437</v>
      </c>
      <c r="KJ5" s="71">
        <v>416899</v>
      </c>
      <c r="KK5" s="71">
        <v>473055</v>
      </c>
      <c r="KL5" s="71">
        <v>177396</v>
      </c>
      <c r="KM5" s="71">
        <v>0</v>
      </c>
      <c r="KN5" s="71">
        <v>3982</v>
      </c>
      <c r="KO5" s="71">
        <v>489365</v>
      </c>
      <c r="KP5" s="71">
        <v>417934</v>
      </c>
      <c r="KQ5" s="71">
        <v>1474605</v>
      </c>
      <c r="KR5" s="71">
        <v>1263312</v>
      </c>
      <c r="KS5" s="71">
        <v>0</v>
      </c>
      <c r="KT5" s="71">
        <v>493270</v>
      </c>
      <c r="KU5" s="71">
        <v>233388</v>
      </c>
      <c r="KV5" s="71">
        <v>13866626</v>
      </c>
      <c r="KW5" s="71" t="s">
        <v>1070</v>
      </c>
      <c r="KX5" s="71">
        <v>23163486</v>
      </c>
      <c r="KY5" s="71">
        <v>4461846</v>
      </c>
      <c r="KZ5" s="71">
        <v>27625332</v>
      </c>
      <c r="LA5" s="71">
        <v>0</v>
      </c>
      <c r="LB5" s="71">
        <v>382686</v>
      </c>
    </row>
    <row r="6" spans="1:314" x14ac:dyDescent="0.25">
      <c r="A6" s="71" t="s">
        <v>352</v>
      </c>
      <c r="B6" s="71" t="s">
        <v>1071</v>
      </c>
      <c r="C6" s="160" t="s">
        <v>1345</v>
      </c>
      <c r="D6" s="71" t="s">
        <v>1375</v>
      </c>
      <c r="E6" s="2">
        <v>41296.66715277778</v>
      </c>
      <c r="F6" s="71"/>
      <c r="G6" s="71" t="s">
        <v>353</v>
      </c>
      <c r="H6" s="71" t="s">
        <v>1072</v>
      </c>
      <c r="I6" s="71" t="s">
        <v>1073</v>
      </c>
      <c r="J6" s="71" t="s">
        <v>1074</v>
      </c>
      <c r="K6" s="71" t="s">
        <v>1075</v>
      </c>
      <c r="L6" s="71">
        <v>0</v>
      </c>
      <c r="M6" s="71">
        <v>0</v>
      </c>
      <c r="N6" s="71">
        <v>0</v>
      </c>
      <c r="O6" s="71">
        <v>50994807</v>
      </c>
      <c r="P6" s="71">
        <v>0</v>
      </c>
      <c r="Q6" s="71">
        <v>2876948</v>
      </c>
      <c r="R6" s="71">
        <v>0</v>
      </c>
      <c r="S6" s="71">
        <v>2876948</v>
      </c>
      <c r="T6" s="71">
        <v>5200731</v>
      </c>
      <c r="U6" s="71">
        <v>2713972</v>
      </c>
      <c r="V6" s="71">
        <v>1815307</v>
      </c>
      <c r="W6" s="71">
        <v>0</v>
      </c>
      <c r="X6" s="71">
        <v>0</v>
      </c>
      <c r="Y6" s="71">
        <v>0</v>
      </c>
      <c r="Z6" s="71">
        <v>9730010</v>
      </c>
      <c r="AA6" s="71">
        <v>4599966</v>
      </c>
      <c r="AB6" s="71">
        <v>353077</v>
      </c>
      <c r="AC6" s="71">
        <v>284141</v>
      </c>
      <c r="AD6" s="71">
        <v>0</v>
      </c>
      <c r="AE6" s="71">
        <v>0</v>
      </c>
      <c r="AF6" s="71">
        <v>1682054</v>
      </c>
      <c r="AG6" s="71">
        <v>6919238</v>
      </c>
      <c r="AH6" s="71">
        <v>9800697</v>
      </c>
      <c r="AI6" s="71">
        <v>3067049</v>
      </c>
      <c r="AJ6" s="71">
        <v>2099448</v>
      </c>
      <c r="AK6" s="71">
        <v>0</v>
      </c>
      <c r="AL6" s="71">
        <v>0</v>
      </c>
      <c r="AM6" s="71">
        <v>1682054</v>
      </c>
      <c r="AN6" s="71">
        <v>16649248</v>
      </c>
      <c r="AO6" s="71">
        <v>936007</v>
      </c>
      <c r="AP6" s="71">
        <v>0</v>
      </c>
      <c r="AQ6" s="71">
        <v>712148</v>
      </c>
      <c r="AR6" s="71">
        <v>0</v>
      </c>
      <c r="AS6" s="71">
        <v>1648155</v>
      </c>
      <c r="AT6" s="71">
        <v>171010</v>
      </c>
      <c r="AU6" s="71">
        <v>0</v>
      </c>
      <c r="AV6" s="71">
        <v>121532</v>
      </c>
      <c r="AW6" s="71">
        <v>472449</v>
      </c>
      <c r="AX6" s="71">
        <v>764991</v>
      </c>
      <c r="AY6" s="71">
        <v>1107017</v>
      </c>
      <c r="AZ6" s="71">
        <v>0</v>
      </c>
      <c r="BA6" s="71">
        <v>833680</v>
      </c>
      <c r="BB6" s="71">
        <v>472449</v>
      </c>
      <c r="BC6" s="71">
        <v>2413146</v>
      </c>
      <c r="BD6" s="71">
        <v>2381391</v>
      </c>
      <c r="BE6" s="71">
        <v>0</v>
      </c>
      <c r="BF6" s="71">
        <v>0</v>
      </c>
      <c r="BG6" s="71">
        <v>0</v>
      </c>
      <c r="BH6" s="71">
        <v>0</v>
      </c>
      <c r="BI6" s="71">
        <v>2381391</v>
      </c>
      <c r="BJ6" s="71">
        <v>0</v>
      </c>
      <c r="BK6" s="71">
        <v>0</v>
      </c>
      <c r="BL6" s="71">
        <v>931303</v>
      </c>
      <c r="BM6" s="71">
        <v>0</v>
      </c>
      <c r="BN6" s="71">
        <v>0</v>
      </c>
      <c r="BO6" s="71">
        <v>931303</v>
      </c>
      <c r="BP6" s="71">
        <v>2515944</v>
      </c>
      <c r="BQ6" s="71">
        <v>1582600</v>
      </c>
      <c r="BR6" s="71">
        <v>0</v>
      </c>
      <c r="BS6" s="71">
        <v>0</v>
      </c>
      <c r="BT6" s="71">
        <v>109735</v>
      </c>
      <c r="BU6" s="71">
        <v>4208279</v>
      </c>
      <c r="BV6" s="71">
        <v>4897335</v>
      </c>
      <c r="BW6" s="71">
        <v>1582600</v>
      </c>
      <c r="BX6" s="71">
        <v>931303</v>
      </c>
      <c r="BY6" s="71">
        <v>0</v>
      </c>
      <c r="BZ6" s="71">
        <v>109735</v>
      </c>
      <c r="CA6" s="71">
        <v>7520973</v>
      </c>
      <c r="CB6" s="71">
        <v>0</v>
      </c>
      <c r="CC6" s="71">
        <v>0</v>
      </c>
      <c r="CD6" s="71">
        <v>0</v>
      </c>
      <c r="CE6" s="71">
        <v>0</v>
      </c>
      <c r="CF6" s="71">
        <v>0</v>
      </c>
      <c r="CG6" s="71">
        <v>0</v>
      </c>
      <c r="CH6" s="71">
        <v>0</v>
      </c>
      <c r="CI6" s="71">
        <v>0</v>
      </c>
      <c r="CJ6" s="71">
        <v>0</v>
      </c>
      <c r="CK6" s="71">
        <v>0</v>
      </c>
      <c r="CL6" s="71">
        <v>0</v>
      </c>
      <c r="CM6" s="71">
        <v>0</v>
      </c>
      <c r="CN6" s="71">
        <v>0</v>
      </c>
      <c r="CO6" s="71">
        <v>0</v>
      </c>
      <c r="CP6" s="71">
        <v>0</v>
      </c>
      <c r="CQ6" s="71">
        <v>0</v>
      </c>
      <c r="CR6" s="71" t="s">
        <v>352</v>
      </c>
      <c r="CS6" s="71">
        <v>3400276</v>
      </c>
      <c r="CT6" s="71">
        <v>0</v>
      </c>
      <c r="CU6" s="71">
        <v>13888</v>
      </c>
      <c r="CV6" s="71">
        <v>24352</v>
      </c>
      <c r="CW6" s="71">
        <v>542288</v>
      </c>
      <c r="CX6" s="71">
        <v>365677</v>
      </c>
      <c r="CY6" s="71">
        <v>576</v>
      </c>
      <c r="CZ6" s="71">
        <v>43271</v>
      </c>
      <c r="DA6" s="71">
        <v>43886</v>
      </c>
      <c r="DB6" s="71">
        <v>20286</v>
      </c>
      <c r="DC6" s="71">
        <v>167147</v>
      </c>
      <c r="DD6" s="71">
        <v>7344</v>
      </c>
      <c r="DE6" s="71">
        <v>153323</v>
      </c>
      <c r="DF6" s="71">
        <v>463340</v>
      </c>
      <c r="DG6" s="71">
        <v>43004</v>
      </c>
      <c r="DH6" s="71">
        <v>388148</v>
      </c>
      <c r="DI6" s="71">
        <v>54160</v>
      </c>
      <c r="DJ6" s="71">
        <v>367821</v>
      </c>
      <c r="DK6" s="71">
        <v>26000</v>
      </c>
      <c r="DL6" s="71">
        <v>114288</v>
      </c>
      <c r="DM6" s="71">
        <v>273442</v>
      </c>
      <c r="DN6" s="71">
        <v>50728</v>
      </c>
      <c r="DO6" s="71">
        <v>174197</v>
      </c>
      <c r="DP6" s="71">
        <v>12112</v>
      </c>
      <c r="DQ6" s="71">
        <v>82000</v>
      </c>
      <c r="DR6" s="71">
        <v>230946</v>
      </c>
      <c r="DS6" s="71">
        <v>612206</v>
      </c>
      <c r="DT6" s="71">
        <v>243408</v>
      </c>
      <c r="DU6" s="71">
        <v>0</v>
      </c>
      <c r="DV6" s="71">
        <v>320096</v>
      </c>
      <c r="DW6" s="71">
        <v>237968</v>
      </c>
      <c r="DX6" s="71">
        <v>5075902</v>
      </c>
      <c r="DY6" s="71">
        <v>42588</v>
      </c>
      <c r="DZ6" s="71">
        <v>88955</v>
      </c>
      <c r="EA6" s="71">
        <v>1632458</v>
      </c>
      <c r="EB6" s="71">
        <v>1163603</v>
      </c>
      <c r="EC6" s="71">
        <v>2104</v>
      </c>
      <c r="ED6" s="71">
        <v>128947</v>
      </c>
      <c r="EE6" s="71">
        <v>141736</v>
      </c>
      <c r="EF6" s="71">
        <v>74172</v>
      </c>
      <c r="EG6" s="71">
        <v>412805</v>
      </c>
      <c r="EH6" s="71">
        <v>22104</v>
      </c>
      <c r="EI6" s="71">
        <v>496653</v>
      </c>
      <c r="EJ6" s="71">
        <v>1413050</v>
      </c>
      <c r="EK6" s="71">
        <v>134995</v>
      </c>
      <c r="EL6" s="71">
        <v>1817975</v>
      </c>
      <c r="EM6" s="71">
        <v>175788</v>
      </c>
      <c r="EN6" s="71">
        <v>1160304</v>
      </c>
      <c r="EO6" s="71">
        <v>90912</v>
      </c>
      <c r="EP6" s="71">
        <v>582635</v>
      </c>
      <c r="EQ6" s="71">
        <v>820566</v>
      </c>
      <c r="ER6" s="71">
        <v>185303</v>
      </c>
      <c r="ES6" s="71">
        <v>637085</v>
      </c>
      <c r="ET6" s="71">
        <v>43085</v>
      </c>
      <c r="EU6" s="71">
        <v>156829</v>
      </c>
      <c r="EV6" s="71">
        <v>365757</v>
      </c>
      <c r="EW6" s="71">
        <v>1237256</v>
      </c>
      <c r="EX6" s="71">
        <v>759821</v>
      </c>
      <c r="EY6" s="71">
        <v>17863</v>
      </c>
      <c r="EZ6" s="71">
        <v>960569</v>
      </c>
      <c r="FA6" s="71">
        <v>725732</v>
      </c>
      <c r="FB6" s="71">
        <v>15491650</v>
      </c>
      <c r="FC6" s="71">
        <v>9076</v>
      </c>
      <c r="FD6" s="71">
        <v>15932</v>
      </c>
      <c r="FE6" s="71">
        <v>228678</v>
      </c>
      <c r="FF6" s="71">
        <v>186274</v>
      </c>
      <c r="FG6" s="71">
        <v>377</v>
      </c>
      <c r="FH6" s="71">
        <v>41311</v>
      </c>
      <c r="FI6" s="71">
        <v>18361</v>
      </c>
      <c r="FJ6" s="71">
        <v>13719</v>
      </c>
      <c r="FK6" s="71">
        <v>58104</v>
      </c>
      <c r="FL6" s="71">
        <v>3098</v>
      </c>
      <c r="FM6" s="71">
        <v>120725</v>
      </c>
      <c r="FN6" s="71">
        <v>403815</v>
      </c>
      <c r="FO6" s="71">
        <v>12876</v>
      </c>
      <c r="FP6" s="71">
        <v>181827</v>
      </c>
      <c r="FQ6" s="71">
        <v>29175</v>
      </c>
      <c r="FR6" s="71">
        <v>248249</v>
      </c>
      <c r="FS6" s="71">
        <v>8660</v>
      </c>
      <c r="FT6" s="71">
        <v>39308</v>
      </c>
      <c r="FU6" s="71">
        <v>167470</v>
      </c>
      <c r="FV6" s="71">
        <v>33188</v>
      </c>
      <c r="FW6" s="71">
        <v>118843</v>
      </c>
      <c r="FX6" s="71">
        <v>6949</v>
      </c>
      <c r="FY6" s="71">
        <v>12493</v>
      </c>
      <c r="FZ6" s="71">
        <v>457955</v>
      </c>
      <c r="GA6" s="71">
        <v>144155</v>
      </c>
      <c r="GB6" s="71">
        <v>70983</v>
      </c>
      <c r="GC6" s="71">
        <v>351194</v>
      </c>
      <c r="GD6" s="71">
        <v>196043</v>
      </c>
      <c r="GE6" s="71">
        <v>207397</v>
      </c>
      <c r="GF6" s="71">
        <v>3386235</v>
      </c>
      <c r="GG6" s="71">
        <v>9306</v>
      </c>
      <c r="GH6" s="71">
        <v>18892</v>
      </c>
      <c r="GI6" s="71">
        <v>335227</v>
      </c>
      <c r="GJ6" s="71">
        <v>243139</v>
      </c>
      <c r="GK6" s="71">
        <v>447</v>
      </c>
      <c r="GL6" s="71">
        <v>30667</v>
      </c>
      <c r="GM6" s="71">
        <v>28837</v>
      </c>
      <c r="GN6" s="71">
        <v>15831</v>
      </c>
      <c r="GO6" s="71">
        <v>84820</v>
      </c>
      <c r="GP6" s="71">
        <v>4539</v>
      </c>
      <c r="GQ6" s="71">
        <v>111202</v>
      </c>
      <c r="GR6" s="71">
        <v>327253</v>
      </c>
      <c r="GS6" s="71">
        <v>26634</v>
      </c>
      <c r="GT6" s="71">
        <v>360203</v>
      </c>
      <c r="GU6" s="71">
        <v>36918</v>
      </c>
      <c r="GV6" s="71">
        <v>253708</v>
      </c>
      <c r="GW6" s="71">
        <v>17935</v>
      </c>
      <c r="GX6" s="71">
        <v>112024</v>
      </c>
      <c r="GY6" s="71">
        <v>177965</v>
      </c>
      <c r="GZ6" s="71">
        <v>39354</v>
      </c>
      <c r="HA6" s="71">
        <v>136157</v>
      </c>
      <c r="HB6" s="71">
        <v>9012</v>
      </c>
      <c r="HC6" s="71">
        <v>30498</v>
      </c>
      <c r="HD6" s="71">
        <v>148367</v>
      </c>
      <c r="HE6" s="71">
        <v>248819</v>
      </c>
      <c r="HF6" s="71">
        <v>149644</v>
      </c>
      <c r="HG6" s="71">
        <v>66474</v>
      </c>
      <c r="HH6" s="71">
        <v>208328</v>
      </c>
      <c r="HI6" s="71">
        <v>168075</v>
      </c>
      <c r="HJ6" s="71">
        <v>3400276</v>
      </c>
      <c r="HK6" s="71">
        <v>6379</v>
      </c>
      <c r="HL6" s="71">
        <v>26283</v>
      </c>
      <c r="HM6" s="71">
        <v>105696</v>
      </c>
      <c r="HN6" s="71">
        <v>77074</v>
      </c>
      <c r="HO6" s="71">
        <v>622</v>
      </c>
      <c r="HP6" s="71">
        <v>19161</v>
      </c>
      <c r="HQ6" s="71">
        <v>8156</v>
      </c>
      <c r="HR6" s="71">
        <v>21971</v>
      </c>
      <c r="HS6" s="71">
        <v>43169</v>
      </c>
      <c r="HT6" s="71">
        <v>1431</v>
      </c>
      <c r="HU6" s="71">
        <v>92539</v>
      </c>
      <c r="HV6" s="71">
        <v>89628</v>
      </c>
      <c r="HW6" s="71">
        <v>6929</v>
      </c>
      <c r="HX6" s="71">
        <v>106072</v>
      </c>
      <c r="HY6" s="71">
        <v>15234</v>
      </c>
      <c r="HZ6" s="71">
        <v>112644</v>
      </c>
      <c r="IA6" s="71">
        <v>6564</v>
      </c>
      <c r="IB6" s="71">
        <v>29279</v>
      </c>
      <c r="IC6" s="71">
        <v>58488</v>
      </c>
      <c r="ID6" s="71">
        <v>54751</v>
      </c>
      <c r="IE6" s="71">
        <v>188840</v>
      </c>
      <c r="IF6" s="71">
        <v>10300</v>
      </c>
      <c r="IG6" s="71">
        <v>6130</v>
      </c>
      <c r="IH6" s="71">
        <v>149654</v>
      </c>
      <c r="II6" s="71">
        <v>53569</v>
      </c>
      <c r="IJ6" s="71">
        <v>37523</v>
      </c>
      <c r="IK6" s="71">
        <v>77984</v>
      </c>
      <c r="IL6" s="71">
        <v>68467</v>
      </c>
      <c r="IM6" s="71">
        <v>46032</v>
      </c>
      <c r="IN6" s="71">
        <v>1520569</v>
      </c>
      <c r="IO6" s="71">
        <v>24761</v>
      </c>
      <c r="IP6" s="71">
        <v>61107</v>
      </c>
      <c r="IQ6" s="71">
        <v>669601</v>
      </c>
      <c r="IR6" s="71">
        <v>506487</v>
      </c>
      <c r="IS6" s="71">
        <v>1446</v>
      </c>
      <c r="IT6" s="71">
        <v>91139</v>
      </c>
      <c r="IU6" s="71">
        <v>55354</v>
      </c>
      <c r="IV6" s="71">
        <v>51521</v>
      </c>
      <c r="IW6" s="71">
        <v>186093</v>
      </c>
      <c r="IX6" s="71">
        <v>9068</v>
      </c>
      <c r="IY6" s="71">
        <v>324466</v>
      </c>
      <c r="IZ6" s="71">
        <v>820696</v>
      </c>
      <c r="JA6" s="71">
        <v>46439</v>
      </c>
      <c r="JB6" s="71">
        <v>648102</v>
      </c>
      <c r="JC6" s="71">
        <v>81327</v>
      </c>
      <c r="JD6" s="71">
        <v>614601</v>
      </c>
      <c r="JE6" s="71">
        <v>33159</v>
      </c>
      <c r="JF6" s="71">
        <v>180611</v>
      </c>
      <c r="JG6" s="71">
        <v>403923</v>
      </c>
      <c r="JH6" s="71">
        <v>127293</v>
      </c>
      <c r="JI6" s="71">
        <v>443840</v>
      </c>
      <c r="JJ6" s="71">
        <v>26261</v>
      </c>
      <c r="JK6" s="71">
        <v>49121</v>
      </c>
      <c r="JL6" s="71">
        <v>755976</v>
      </c>
      <c r="JM6" s="71">
        <v>446543</v>
      </c>
      <c r="JN6" s="71">
        <v>258150</v>
      </c>
      <c r="JO6" s="71">
        <v>495652</v>
      </c>
      <c r="JP6" s="71">
        <v>472838</v>
      </c>
      <c r="JQ6" s="71">
        <v>421504</v>
      </c>
      <c r="JR6" s="71">
        <v>8307080</v>
      </c>
      <c r="JS6" s="71">
        <v>67349</v>
      </c>
      <c r="JT6" s="71">
        <v>150062</v>
      </c>
      <c r="JU6" s="71">
        <v>2302059</v>
      </c>
      <c r="JV6" s="71">
        <v>1670090</v>
      </c>
      <c r="JW6" s="71">
        <v>3550</v>
      </c>
      <c r="JX6" s="71">
        <v>220086</v>
      </c>
      <c r="JY6" s="71">
        <v>197090</v>
      </c>
      <c r="JZ6" s="71">
        <v>125693</v>
      </c>
      <c r="KA6" s="71">
        <v>598898</v>
      </c>
      <c r="KB6" s="71">
        <v>31172</v>
      </c>
      <c r="KC6" s="71">
        <v>821119</v>
      </c>
      <c r="KD6" s="71">
        <v>2233746</v>
      </c>
      <c r="KE6" s="71">
        <v>181434</v>
      </c>
      <c r="KF6" s="71">
        <v>2466077</v>
      </c>
      <c r="KG6" s="71">
        <v>257115</v>
      </c>
      <c r="KH6" s="71">
        <v>1774905</v>
      </c>
      <c r="KI6" s="71">
        <v>124071</v>
      </c>
      <c r="KJ6" s="71">
        <v>763246</v>
      </c>
      <c r="KK6" s="71">
        <v>1224489</v>
      </c>
      <c r="KL6" s="71">
        <v>312596</v>
      </c>
      <c r="KM6" s="71">
        <v>1080925</v>
      </c>
      <c r="KN6" s="71">
        <v>69346</v>
      </c>
      <c r="KO6" s="71">
        <v>205950</v>
      </c>
      <c r="KP6" s="71">
        <v>1121733</v>
      </c>
      <c r="KQ6" s="71">
        <v>1683799</v>
      </c>
      <c r="KR6" s="71">
        <v>1017971</v>
      </c>
      <c r="KS6" s="71">
        <v>513515</v>
      </c>
      <c r="KT6" s="71">
        <v>1433407</v>
      </c>
      <c r="KU6" s="71">
        <v>1147236</v>
      </c>
      <c r="KV6" s="71">
        <v>23798730</v>
      </c>
      <c r="KW6" s="71" t="s">
        <v>1376</v>
      </c>
      <c r="KX6" s="71">
        <v>43324926</v>
      </c>
      <c r="KY6" s="71">
        <v>9934119</v>
      </c>
      <c r="KZ6" s="71">
        <v>53259045</v>
      </c>
      <c r="LA6" s="71">
        <v>0</v>
      </c>
      <c r="LB6" s="71">
        <v>2264238</v>
      </c>
    </row>
    <row r="7" spans="1:314" x14ac:dyDescent="0.25">
      <c r="A7" s="71" t="s">
        <v>354</v>
      </c>
      <c r="B7" s="71" t="s">
        <v>1076</v>
      </c>
      <c r="C7" s="160" t="s">
        <v>1345</v>
      </c>
      <c r="D7" s="71" t="s">
        <v>1433</v>
      </c>
      <c r="E7" s="2">
        <v>41306.527754629627</v>
      </c>
      <c r="F7" s="71"/>
      <c r="G7" s="71" t="s">
        <v>355</v>
      </c>
      <c r="H7" s="71" t="s">
        <v>1077</v>
      </c>
      <c r="I7" s="71" t="s">
        <v>1078</v>
      </c>
      <c r="J7" s="71" t="s">
        <v>1079</v>
      </c>
      <c r="K7" s="71" t="s">
        <v>1080</v>
      </c>
      <c r="L7" s="71">
        <v>0</v>
      </c>
      <c r="M7" s="71">
        <v>0</v>
      </c>
      <c r="N7" s="71">
        <v>0</v>
      </c>
      <c r="O7" s="71">
        <v>18096355</v>
      </c>
      <c r="P7" s="71">
        <v>0</v>
      </c>
      <c r="Q7" s="71">
        <v>95362</v>
      </c>
      <c r="R7" s="71">
        <v>0</v>
      </c>
      <c r="S7" s="71">
        <v>95362</v>
      </c>
      <c r="T7" s="71">
        <v>2143466</v>
      </c>
      <c r="U7" s="71">
        <v>551594</v>
      </c>
      <c r="V7" s="71">
        <v>548266</v>
      </c>
      <c r="W7" s="71">
        <v>0</v>
      </c>
      <c r="X7" s="71">
        <v>0</v>
      </c>
      <c r="Y7" s="71">
        <v>0</v>
      </c>
      <c r="Z7" s="71">
        <v>3243326</v>
      </c>
      <c r="AA7" s="71">
        <v>2985160</v>
      </c>
      <c r="AB7" s="71">
        <v>220168</v>
      </c>
      <c r="AC7" s="71">
        <v>351923</v>
      </c>
      <c r="AD7" s="71">
        <v>0</v>
      </c>
      <c r="AE7" s="71">
        <v>202662</v>
      </c>
      <c r="AF7" s="71">
        <v>552156</v>
      </c>
      <c r="AG7" s="71">
        <v>4312069</v>
      </c>
      <c r="AH7" s="71">
        <v>5128626</v>
      </c>
      <c r="AI7" s="71">
        <v>771762</v>
      </c>
      <c r="AJ7" s="71">
        <v>900189</v>
      </c>
      <c r="AK7" s="71">
        <v>0</v>
      </c>
      <c r="AL7" s="71">
        <v>202662</v>
      </c>
      <c r="AM7" s="71">
        <v>552156</v>
      </c>
      <c r="AN7" s="71">
        <v>7555395</v>
      </c>
      <c r="AO7" s="71">
        <v>0</v>
      </c>
      <c r="AP7" s="71">
        <v>0</v>
      </c>
      <c r="AQ7" s="71">
        <v>0</v>
      </c>
      <c r="AR7" s="71">
        <v>0</v>
      </c>
      <c r="AS7" s="71">
        <v>0</v>
      </c>
      <c r="AT7" s="71">
        <v>0</v>
      </c>
      <c r="AU7" s="71">
        <v>0</v>
      </c>
      <c r="AV7" s="71">
        <v>22275</v>
      </c>
      <c r="AW7" s="71">
        <v>0</v>
      </c>
      <c r="AX7" s="71">
        <v>22275</v>
      </c>
      <c r="AY7" s="71">
        <v>0</v>
      </c>
      <c r="AZ7" s="71">
        <v>0</v>
      </c>
      <c r="BA7" s="71">
        <v>22275</v>
      </c>
      <c r="BB7" s="71">
        <v>0</v>
      </c>
      <c r="BC7" s="71">
        <v>22275</v>
      </c>
      <c r="BD7" s="71">
        <v>743698</v>
      </c>
      <c r="BE7" s="71">
        <v>0</v>
      </c>
      <c r="BF7" s="71">
        <v>0</v>
      </c>
      <c r="BG7" s="71">
        <v>0</v>
      </c>
      <c r="BH7" s="71">
        <v>0</v>
      </c>
      <c r="BI7" s="71">
        <v>743698</v>
      </c>
      <c r="BJ7" s="71">
        <v>0</v>
      </c>
      <c r="BK7" s="71">
        <v>0</v>
      </c>
      <c r="BL7" s="71">
        <v>202627</v>
      </c>
      <c r="BM7" s="71">
        <v>0</v>
      </c>
      <c r="BN7" s="71">
        <v>0</v>
      </c>
      <c r="BO7" s="71">
        <v>202627</v>
      </c>
      <c r="BP7" s="71">
        <v>1555165</v>
      </c>
      <c r="BQ7" s="71">
        <v>0</v>
      </c>
      <c r="BR7" s="71">
        <v>0</v>
      </c>
      <c r="BS7" s="71">
        <v>0</v>
      </c>
      <c r="BT7" s="71">
        <v>0</v>
      </c>
      <c r="BU7" s="71">
        <v>1555165</v>
      </c>
      <c r="BV7" s="71">
        <v>2298863</v>
      </c>
      <c r="BW7" s="71">
        <v>0</v>
      </c>
      <c r="BX7" s="71">
        <v>202627</v>
      </c>
      <c r="BY7" s="71">
        <v>0</v>
      </c>
      <c r="BZ7" s="71">
        <v>0</v>
      </c>
      <c r="CA7" s="71">
        <v>2501490</v>
      </c>
      <c r="CB7" s="71">
        <v>0</v>
      </c>
      <c r="CC7" s="71">
        <v>0</v>
      </c>
      <c r="CD7" s="71">
        <v>0</v>
      </c>
      <c r="CE7" s="71">
        <v>0</v>
      </c>
      <c r="CF7" s="71">
        <v>0</v>
      </c>
      <c r="CG7" s="71">
        <v>0</v>
      </c>
      <c r="CH7" s="71">
        <v>0</v>
      </c>
      <c r="CI7" s="71">
        <v>0</v>
      </c>
      <c r="CJ7" s="71">
        <v>0</v>
      </c>
      <c r="CK7" s="71">
        <v>0</v>
      </c>
      <c r="CL7" s="71">
        <v>0</v>
      </c>
      <c r="CM7" s="71">
        <v>0</v>
      </c>
      <c r="CN7" s="71">
        <v>0</v>
      </c>
      <c r="CO7" s="71">
        <v>0</v>
      </c>
      <c r="CP7" s="71">
        <v>0</v>
      </c>
      <c r="CQ7" s="71">
        <v>0</v>
      </c>
      <c r="CR7" s="71" t="s">
        <v>354</v>
      </c>
      <c r="CS7" s="71">
        <v>139113</v>
      </c>
      <c r="CT7" s="71">
        <v>0</v>
      </c>
      <c r="CU7" s="71">
        <v>7956</v>
      </c>
      <c r="CV7" s="71">
        <v>82863</v>
      </c>
      <c r="CW7" s="71">
        <v>165340</v>
      </c>
      <c r="CX7" s="71">
        <v>110573</v>
      </c>
      <c r="CY7" s="71">
        <v>0</v>
      </c>
      <c r="CZ7" s="71">
        <v>15291</v>
      </c>
      <c r="DA7" s="71">
        <v>76560</v>
      </c>
      <c r="DB7" s="71">
        <v>0</v>
      </c>
      <c r="DC7" s="71">
        <v>127508</v>
      </c>
      <c r="DD7" s="71">
        <v>0</v>
      </c>
      <c r="DE7" s="71">
        <v>28461</v>
      </c>
      <c r="DF7" s="71">
        <v>226616</v>
      </c>
      <c r="DG7" s="71">
        <v>26055</v>
      </c>
      <c r="DH7" s="71">
        <v>22019</v>
      </c>
      <c r="DI7" s="71">
        <v>39505</v>
      </c>
      <c r="DJ7" s="71">
        <v>66354</v>
      </c>
      <c r="DK7" s="71">
        <v>0</v>
      </c>
      <c r="DL7" s="71">
        <v>145953</v>
      </c>
      <c r="DM7" s="71">
        <v>89324</v>
      </c>
      <c r="DN7" s="71">
        <v>18579</v>
      </c>
      <c r="DO7" s="71">
        <v>10938</v>
      </c>
      <c r="DP7" s="71">
        <v>2300</v>
      </c>
      <c r="DQ7" s="71">
        <v>28420</v>
      </c>
      <c r="DR7" s="71">
        <v>39809</v>
      </c>
      <c r="DS7" s="71">
        <v>257159</v>
      </c>
      <c r="DT7" s="71">
        <v>41226</v>
      </c>
      <c r="DU7" s="71">
        <v>0</v>
      </c>
      <c r="DV7" s="71">
        <v>66844</v>
      </c>
      <c r="DW7" s="71">
        <v>72362</v>
      </c>
      <c r="DX7" s="71">
        <v>1768015</v>
      </c>
      <c r="DY7" s="71">
        <v>33493</v>
      </c>
      <c r="DZ7" s="71">
        <v>352387</v>
      </c>
      <c r="EA7" s="71">
        <v>544960</v>
      </c>
      <c r="EB7" s="71">
        <v>519771</v>
      </c>
      <c r="EC7" s="71">
        <v>0</v>
      </c>
      <c r="ED7" s="71">
        <v>166953</v>
      </c>
      <c r="EE7" s="71">
        <v>301072</v>
      </c>
      <c r="EF7" s="71">
        <v>0</v>
      </c>
      <c r="EG7" s="71">
        <v>545963</v>
      </c>
      <c r="EH7" s="71">
        <v>0</v>
      </c>
      <c r="EI7" s="71">
        <v>123717</v>
      </c>
      <c r="EJ7" s="71">
        <v>642692</v>
      </c>
      <c r="EK7" s="71">
        <v>70903</v>
      </c>
      <c r="EL7" s="71">
        <v>283320</v>
      </c>
      <c r="EM7" s="71">
        <v>347083</v>
      </c>
      <c r="EN7" s="71">
        <v>93449</v>
      </c>
      <c r="EO7" s="71">
        <v>0</v>
      </c>
      <c r="EP7" s="71">
        <v>552567</v>
      </c>
      <c r="EQ7" s="71">
        <v>341468</v>
      </c>
      <c r="ER7" s="71">
        <v>70091</v>
      </c>
      <c r="ES7" s="71">
        <v>52125</v>
      </c>
      <c r="ET7" s="71">
        <v>23693</v>
      </c>
      <c r="EU7" s="71">
        <v>157667</v>
      </c>
      <c r="EV7" s="71">
        <v>212723</v>
      </c>
      <c r="EW7" s="71">
        <v>749609</v>
      </c>
      <c r="EX7" s="71">
        <v>168717</v>
      </c>
      <c r="EY7" s="71">
        <v>0</v>
      </c>
      <c r="EZ7" s="71">
        <v>243417</v>
      </c>
      <c r="FA7" s="71">
        <v>244285</v>
      </c>
      <c r="FB7" s="71">
        <v>6842125</v>
      </c>
      <c r="FC7" s="71">
        <v>3429</v>
      </c>
      <c r="FD7" s="71">
        <v>11867</v>
      </c>
      <c r="FE7" s="71">
        <v>65159</v>
      </c>
      <c r="FF7" s="71">
        <v>0</v>
      </c>
      <c r="FG7" s="71">
        <v>0</v>
      </c>
      <c r="FH7" s="71">
        <v>0</v>
      </c>
      <c r="FI7" s="71">
        <v>84901</v>
      </c>
      <c r="FJ7" s="71">
        <v>0</v>
      </c>
      <c r="FK7" s="71">
        <v>109724</v>
      </c>
      <c r="FL7" s="71">
        <v>0</v>
      </c>
      <c r="FM7" s="71">
        <v>3649</v>
      </c>
      <c r="FN7" s="71">
        <v>0</v>
      </c>
      <c r="FO7" s="71">
        <v>0</v>
      </c>
      <c r="FP7" s="71">
        <v>115479</v>
      </c>
      <c r="FQ7" s="71">
        <v>148418</v>
      </c>
      <c r="FR7" s="71">
        <v>211726</v>
      </c>
      <c r="FS7" s="71">
        <v>0</v>
      </c>
      <c r="FT7" s="71">
        <v>213684</v>
      </c>
      <c r="FU7" s="71">
        <v>0</v>
      </c>
      <c r="FV7" s="71">
        <v>0</v>
      </c>
      <c r="FW7" s="71">
        <v>0</v>
      </c>
      <c r="FX7" s="71">
        <v>0</v>
      </c>
      <c r="FY7" s="71">
        <v>7323</v>
      </c>
      <c r="FZ7" s="71">
        <v>0</v>
      </c>
      <c r="GA7" s="71">
        <v>0</v>
      </c>
      <c r="GB7" s="71">
        <v>0</v>
      </c>
      <c r="GC7" s="71">
        <v>0</v>
      </c>
      <c r="GD7" s="71">
        <v>40</v>
      </c>
      <c r="GE7" s="71">
        <v>0</v>
      </c>
      <c r="GF7" s="71">
        <v>975399</v>
      </c>
      <c r="GG7" s="71">
        <v>657</v>
      </c>
      <c r="GH7" s="71">
        <v>6482</v>
      </c>
      <c r="GI7" s="71">
        <v>10857</v>
      </c>
      <c r="GJ7" s="71">
        <v>9249</v>
      </c>
      <c r="GK7" s="71">
        <v>0</v>
      </c>
      <c r="GL7" s="71">
        <v>2971</v>
      </c>
      <c r="GM7" s="71">
        <v>6868</v>
      </c>
      <c r="GN7" s="71">
        <v>0</v>
      </c>
      <c r="GO7" s="71">
        <v>11668</v>
      </c>
      <c r="GP7" s="71">
        <v>0</v>
      </c>
      <c r="GQ7" s="71">
        <v>2266</v>
      </c>
      <c r="GR7" s="71">
        <v>11437</v>
      </c>
      <c r="GS7" s="71">
        <v>1262</v>
      </c>
      <c r="GT7" s="71">
        <v>7097</v>
      </c>
      <c r="GU7" s="71">
        <v>8817</v>
      </c>
      <c r="GV7" s="71">
        <v>5431</v>
      </c>
      <c r="GW7" s="71">
        <v>0</v>
      </c>
      <c r="GX7" s="71">
        <v>13635</v>
      </c>
      <c r="GY7" s="71">
        <v>6076</v>
      </c>
      <c r="GZ7" s="71">
        <v>1247</v>
      </c>
      <c r="HA7" s="71">
        <v>928</v>
      </c>
      <c r="HB7" s="71">
        <v>422</v>
      </c>
      <c r="HC7" s="71">
        <v>2936</v>
      </c>
      <c r="HD7" s="71">
        <v>3785</v>
      </c>
      <c r="HE7" s="71">
        <v>13339</v>
      </c>
      <c r="HF7" s="71">
        <v>3002</v>
      </c>
      <c r="HG7" s="71">
        <v>0</v>
      </c>
      <c r="HH7" s="71">
        <v>4332</v>
      </c>
      <c r="HI7" s="71">
        <v>4347</v>
      </c>
      <c r="HJ7" s="71">
        <v>139113</v>
      </c>
      <c r="HK7" s="71">
        <v>1621</v>
      </c>
      <c r="HL7" s="71">
        <v>64904</v>
      </c>
      <c r="HM7" s="71">
        <v>18007</v>
      </c>
      <c r="HN7" s="71">
        <v>27530</v>
      </c>
      <c r="HO7" s="71">
        <v>0</v>
      </c>
      <c r="HP7" s="71">
        <v>0</v>
      </c>
      <c r="HQ7" s="71">
        <v>13283</v>
      </c>
      <c r="HR7" s="71">
        <v>0</v>
      </c>
      <c r="HS7" s="71">
        <v>30002</v>
      </c>
      <c r="HT7" s="71">
        <v>0</v>
      </c>
      <c r="HU7" s="71">
        <v>7434</v>
      </c>
      <c r="HV7" s="71">
        <v>5834</v>
      </c>
      <c r="HW7" s="71">
        <v>1537</v>
      </c>
      <c r="HX7" s="71">
        <v>141114</v>
      </c>
      <c r="HY7" s="71">
        <v>81224</v>
      </c>
      <c r="HZ7" s="71">
        <v>26362</v>
      </c>
      <c r="IA7" s="71">
        <v>0</v>
      </c>
      <c r="IB7" s="71">
        <v>30020</v>
      </c>
      <c r="IC7" s="71">
        <v>3572</v>
      </c>
      <c r="ID7" s="71">
        <v>10710</v>
      </c>
      <c r="IE7" s="71">
        <v>9532</v>
      </c>
      <c r="IF7" s="71">
        <v>0</v>
      </c>
      <c r="IG7" s="71">
        <v>4974</v>
      </c>
      <c r="IH7" s="71">
        <v>17341</v>
      </c>
      <c r="II7" s="71">
        <v>6216</v>
      </c>
      <c r="IJ7" s="71">
        <v>7672</v>
      </c>
      <c r="IK7" s="71">
        <v>0</v>
      </c>
      <c r="IL7" s="71">
        <v>376</v>
      </c>
      <c r="IM7" s="71">
        <v>8087</v>
      </c>
      <c r="IN7" s="71">
        <v>517352</v>
      </c>
      <c r="IO7" s="71">
        <v>5707</v>
      </c>
      <c r="IP7" s="71">
        <v>83253</v>
      </c>
      <c r="IQ7" s="71">
        <v>94023</v>
      </c>
      <c r="IR7" s="71">
        <v>36779</v>
      </c>
      <c r="IS7" s="71">
        <v>0</v>
      </c>
      <c r="IT7" s="71">
        <v>2971</v>
      </c>
      <c r="IU7" s="71">
        <v>105052</v>
      </c>
      <c r="IV7" s="71">
        <v>0</v>
      </c>
      <c r="IW7" s="71">
        <v>151394</v>
      </c>
      <c r="IX7" s="71">
        <v>0</v>
      </c>
      <c r="IY7" s="71">
        <v>13349</v>
      </c>
      <c r="IZ7" s="71">
        <v>17271</v>
      </c>
      <c r="JA7" s="71">
        <v>2799</v>
      </c>
      <c r="JB7" s="71">
        <v>263690</v>
      </c>
      <c r="JC7" s="71">
        <v>238459</v>
      </c>
      <c r="JD7" s="71">
        <v>243519</v>
      </c>
      <c r="JE7" s="71">
        <v>0</v>
      </c>
      <c r="JF7" s="71">
        <v>257339</v>
      </c>
      <c r="JG7" s="71">
        <v>9648</v>
      </c>
      <c r="JH7" s="71">
        <v>11957</v>
      </c>
      <c r="JI7" s="71">
        <v>10460</v>
      </c>
      <c r="JJ7" s="71">
        <v>422</v>
      </c>
      <c r="JK7" s="71">
        <v>15233</v>
      </c>
      <c r="JL7" s="71">
        <v>21126</v>
      </c>
      <c r="JM7" s="71">
        <v>19555</v>
      </c>
      <c r="JN7" s="71">
        <v>10674</v>
      </c>
      <c r="JO7" s="71">
        <v>0</v>
      </c>
      <c r="JP7" s="71">
        <v>4748</v>
      </c>
      <c r="JQ7" s="71">
        <v>12434</v>
      </c>
      <c r="JR7" s="71">
        <v>1631864</v>
      </c>
      <c r="JS7" s="71">
        <v>39200</v>
      </c>
      <c r="JT7" s="71">
        <v>435640</v>
      </c>
      <c r="JU7" s="71">
        <v>638983</v>
      </c>
      <c r="JV7" s="71">
        <v>556550</v>
      </c>
      <c r="JW7" s="71">
        <v>0</v>
      </c>
      <c r="JX7" s="71">
        <v>169924</v>
      </c>
      <c r="JY7" s="71">
        <v>406124</v>
      </c>
      <c r="JZ7" s="71">
        <v>0</v>
      </c>
      <c r="KA7" s="71">
        <v>697357</v>
      </c>
      <c r="KB7" s="71">
        <v>0</v>
      </c>
      <c r="KC7" s="71">
        <v>137066</v>
      </c>
      <c r="KD7" s="71">
        <v>659963</v>
      </c>
      <c r="KE7" s="71">
        <v>73702</v>
      </c>
      <c r="KF7" s="71">
        <v>547010</v>
      </c>
      <c r="KG7" s="71">
        <v>585542</v>
      </c>
      <c r="KH7" s="71">
        <v>336968</v>
      </c>
      <c r="KI7" s="71">
        <v>0</v>
      </c>
      <c r="KJ7" s="71">
        <v>809906</v>
      </c>
      <c r="KK7" s="71">
        <v>351116</v>
      </c>
      <c r="KL7" s="71">
        <v>82048</v>
      </c>
      <c r="KM7" s="71">
        <v>62585</v>
      </c>
      <c r="KN7" s="71">
        <v>24115</v>
      </c>
      <c r="KO7" s="71">
        <v>172900</v>
      </c>
      <c r="KP7" s="71">
        <v>233849</v>
      </c>
      <c r="KQ7" s="71">
        <v>769164</v>
      </c>
      <c r="KR7" s="71">
        <v>179391</v>
      </c>
      <c r="KS7" s="71">
        <v>0</v>
      </c>
      <c r="KT7" s="71">
        <v>248165</v>
      </c>
      <c r="KU7" s="71">
        <v>256719</v>
      </c>
      <c r="KV7" s="71">
        <v>8473989</v>
      </c>
      <c r="KW7" s="71" t="s">
        <v>1070</v>
      </c>
      <c r="KX7" s="71">
        <v>16124746</v>
      </c>
      <c r="KY7" s="71">
        <v>2523765</v>
      </c>
      <c r="KZ7" s="71">
        <v>18648511</v>
      </c>
      <c r="LA7" s="71">
        <v>0</v>
      </c>
      <c r="LB7" s="71">
        <v>552156</v>
      </c>
    </row>
    <row r="8" spans="1:314" x14ac:dyDescent="0.25">
      <c r="A8" s="71" t="s">
        <v>356</v>
      </c>
      <c r="B8" s="71" t="s">
        <v>1081</v>
      </c>
      <c r="C8" s="160" t="s">
        <v>1345</v>
      </c>
      <c r="D8" s="71" t="s">
        <v>1365</v>
      </c>
      <c r="E8" s="2">
        <v>41291.461134259262</v>
      </c>
      <c r="F8" s="71"/>
      <c r="G8" s="71" t="s">
        <v>357</v>
      </c>
      <c r="H8" s="71" t="s">
        <v>1082</v>
      </c>
      <c r="I8" s="71" t="s">
        <v>1083</v>
      </c>
      <c r="J8" s="71" t="s">
        <v>1084</v>
      </c>
      <c r="K8" s="71" t="s">
        <v>1085</v>
      </c>
      <c r="L8" s="71">
        <v>0</v>
      </c>
      <c r="M8" s="71">
        <v>0</v>
      </c>
      <c r="N8" s="71">
        <v>0</v>
      </c>
      <c r="O8" s="71">
        <v>58136735</v>
      </c>
      <c r="P8" s="71">
        <v>0</v>
      </c>
      <c r="Q8" s="71">
        <v>756330</v>
      </c>
      <c r="R8" s="71">
        <v>0</v>
      </c>
      <c r="S8" s="71">
        <v>756330</v>
      </c>
      <c r="T8" s="71">
        <v>3805500</v>
      </c>
      <c r="U8" s="71">
        <v>3553615</v>
      </c>
      <c r="V8" s="71">
        <v>2823353</v>
      </c>
      <c r="W8" s="71">
        <v>0</v>
      </c>
      <c r="X8" s="71">
        <v>0</v>
      </c>
      <c r="Y8" s="71">
        <v>0</v>
      </c>
      <c r="Z8" s="71">
        <v>10182468</v>
      </c>
      <c r="AA8" s="71">
        <v>2502921</v>
      </c>
      <c r="AB8" s="71">
        <v>729546</v>
      </c>
      <c r="AC8" s="71">
        <v>526177</v>
      </c>
      <c r="AD8" s="71">
        <v>0</v>
      </c>
      <c r="AE8" s="71">
        <v>559644</v>
      </c>
      <c r="AF8" s="71">
        <v>1008932</v>
      </c>
      <c r="AG8" s="71">
        <v>5327220</v>
      </c>
      <c r="AH8" s="71">
        <v>6308421</v>
      </c>
      <c r="AI8" s="71">
        <v>4283161</v>
      </c>
      <c r="AJ8" s="71">
        <v>3349530</v>
      </c>
      <c r="AK8" s="71">
        <v>0</v>
      </c>
      <c r="AL8" s="71">
        <v>559644</v>
      </c>
      <c r="AM8" s="71">
        <v>1008932</v>
      </c>
      <c r="AN8" s="71">
        <v>15509688</v>
      </c>
      <c r="AO8" s="71">
        <v>0</v>
      </c>
      <c r="AP8" s="71">
        <v>260251</v>
      </c>
      <c r="AQ8" s="71">
        <v>0</v>
      </c>
      <c r="AR8" s="71">
        <v>0</v>
      </c>
      <c r="AS8" s="71">
        <v>260251</v>
      </c>
      <c r="AT8" s="71">
        <v>0</v>
      </c>
      <c r="AU8" s="71">
        <v>117484</v>
      </c>
      <c r="AV8" s="71">
        <v>50000</v>
      </c>
      <c r="AW8" s="71">
        <v>0</v>
      </c>
      <c r="AX8" s="71">
        <v>167484</v>
      </c>
      <c r="AY8" s="71">
        <v>0</v>
      </c>
      <c r="AZ8" s="71">
        <v>377735</v>
      </c>
      <c r="BA8" s="71">
        <v>50000</v>
      </c>
      <c r="BB8" s="71">
        <v>0</v>
      </c>
      <c r="BC8" s="71">
        <v>427735</v>
      </c>
      <c r="BD8" s="71">
        <v>951790</v>
      </c>
      <c r="BE8" s="71">
        <v>0</v>
      </c>
      <c r="BF8" s="71">
        <v>0</v>
      </c>
      <c r="BG8" s="71">
        <v>0</v>
      </c>
      <c r="BH8" s="71">
        <v>0</v>
      </c>
      <c r="BI8" s="71">
        <v>951790</v>
      </c>
      <c r="BJ8" s="71">
        <v>0</v>
      </c>
      <c r="BK8" s="71">
        <v>0</v>
      </c>
      <c r="BL8" s="71">
        <v>365947</v>
      </c>
      <c r="BM8" s="71">
        <v>0</v>
      </c>
      <c r="BN8" s="71">
        <v>0</v>
      </c>
      <c r="BO8" s="71">
        <v>365947</v>
      </c>
      <c r="BP8" s="71">
        <v>6087148</v>
      </c>
      <c r="BQ8" s="71">
        <v>897202</v>
      </c>
      <c r="BR8" s="71">
        <v>0</v>
      </c>
      <c r="BS8" s="71">
        <v>0</v>
      </c>
      <c r="BT8" s="71">
        <v>374265</v>
      </c>
      <c r="BU8" s="71">
        <v>7358615</v>
      </c>
      <c r="BV8" s="71">
        <v>7038938</v>
      </c>
      <c r="BW8" s="71">
        <v>897202</v>
      </c>
      <c r="BX8" s="71">
        <v>365947</v>
      </c>
      <c r="BY8" s="71">
        <v>0</v>
      </c>
      <c r="BZ8" s="71">
        <v>374265</v>
      </c>
      <c r="CA8" s="71">
        <v>8676352</v>
      </c>
      <c r="CB8" s="71">
        <v>0</v>
      </c>
      <c r="CC8" s="71">
        <v>0</v>
      </c>
      <c r="CD8" s="71">
        <v>0</v>
      </c>
      <c r="CE8" s="71">
        <v>0</v>
      </c>
      <c r="CF8" s="71">
        <v>0</v>
      </c>
      <c r="CG8" s="71">
        <v>0</v>
      </c>
      <c r="CH8" s="71">
        <v>0</v>
      </c>
      <c r="CI8" s="71">
        <v>0</v>
      </c>
      <c r="CJ8" s="71">
        <v>0</v>
      </c>
      <c r="CK8" s="71">
        <v>0</v>
      </c>
      <c r="CL8" s="71">
        <v>0</v>
      </c>
      <c r="CM8" s="71">
        <v>0</v>
      </c>
      <c r="CN8" s="71">
        <v>0</v>
      </c>
      <c r="CO8" s="71">
        <v>0</v>
      </c>
      <c r="CP8" s="71">
        <v>0</v>
      </c>
      <c r="CQ8" s="71">
        <v>0</v>
      </c>
      <c r="CR8" s="71" t="s">
        <v>356</v>
      </c>
      <c r="CS8" s="71">
        <v>2403198</v>
      </c>
      <c r="CT8" s="71">
        <v>0</v>
      </c>
      <c r="CU8" s="71">
        <v>76304</v>
      </c>
      <c r="CV8" s="71">
        <v>54916</v>
      </c>
      <c r="CW8" s="71">
        <v>1555728</v>
      </c>
      <c r="CX8" s="71">
        <v>415706</v>
      </c>
      <c r="CY8" s="71">
        <v>0</v>
      </c>
      <c r="CZ8" s="71">
        <v>11280</v>
      </c>
      <c r="DA8" s="71">
        <v>129036</v>
      </c>
      <c r="DB8" s="71">
        <v>4036</v>
      </c>
      <c r="DC8" s="71">
        <v>111956</v>
      </c>
      <c r="DD8" s="71">
        <v>0</v>
      </c>
      <c r="DE8" s="71">
        <v>21126</v>
      </c>
      <c r="DF8" s="71">
        <v>850143</v>
      </c>
      <c r="DG8" s="71">
        <v>133584</v>
      </c>
      <c r="DH8" s="71">
        <v>131700</v>
      </c>
      <c r="DI8" s="71">
        <v>19504</v>
      </c>
      <c r="DJ8" s="71">
        <v>336183</v>
      </c>
      <c r="DK8" s="71">
        <v>0</v>
      </c>
      <c r="DL8" s="71">
        <v>67416</v>
      </c>
      <c r="DM8" s="71">
        <v>792472</v>
      </c>
      <c r="DN8" s="71">
        <v>54</v>
      </c>
      <c r="DO8" s="71">
        <v>7400</v>
      </c>
      <c r="DP8" s="71">
        <v>8400</v>
      </c>
      <c r="DQ8" s="71">
        <v>224576</v>
      </c>
      <c r="DR8" s="71">
        <v>146224</v>
      </c>
      <c r="DS8" s="71">
        <v>1858512</v>
      </c>
      <c r="DT8" s="71">
        <v>442272</v>
      </c>
      <c r="DU8" s="71">
        <v>0</v>
      </c>
      <c r="DV8" s="71">
        <v>194208</v>
      </c>
      <c r="DW8" s="71">
        <v>287360</v>
      </c>
      <c r="DX8" s="71">
        <v>7880096</v>
      </c>
      <c r="DY8" s="71">
        <v>374165</v>
      </c>
      <c r="DZ8" s="71">
        <v>81409</v>
      </c>
      <c r="EA8" s="71">
        <v>3538979</v>
      </c>
      <c r="EB8" s="71">
        <v>1582211</v>
      </c>
      <c r="EC8" s="71">
        <v>0</v>
      </c>
      <c r="ED8" s="71">
        <v>15400</v>
      </c>
      <c r="EE8" s="71">
        <v>324590</v>
      </c>
      <c r="EF8" s="71">
        <v>2255</v>
      </c>
      <c r="EG8" s="71">
        <v>131982</v>
      </c>
      <c r="EH8" s="71">
        <v>0</v>
      </c>
      <c r="EI8" s="71">
        <v>72920</v>
      </c>
      <c r="EJ8" s="71">
        <v>3059738</v>
      </c>
      <c r="EK8" s="71">
        <v>584590</v>
      </c>
      <c r="EL8" s="71">
        <v>1216479</v>
      </c>
      <c r="EM8" s="71">
        <v>309035</v>
      </c>
      <c r="EN8" s="71">
        <v>1149546</v>
      </c>
      <c r="EO8" s="71">
        <v>0</v>
      </c>
      <c r="EP8" s="71">
        <v>410507</v>
      </c>
      <c r="EQ8" s="71">
        <v>2728908</v>
      </c>
      <c r="ER8" s="71">
        <v>30</v>
      </c>
      <c r="ES8" s="71">
        <v>4135</v>
      </c>
      <c r="ET8" s="71">
        <v>4694</v>
      </c>
      <c r="EU8" s="71">
        <v>1062978</v>
      </c>
      <c r="EV8" s="71">
        <v>316302</v>
      </c>
      <c r="EW8" s="71">
        <v>4886789</v>
      </c>
      <c r="EX8" s="71">
        <v>1615602</v>
      </c>
      <c r="EY8" s="71">
        <v>0</v>
      </c>
      <c r="EZ8" s="71">
        <v>668763</v>
      </c>
      <c r="FA8" s="71">
        <v>1034233</v>
      </c>
      <c r="FB8" s="71">
        <v>25176240</v>
      </c>
      <c r="FC8" s="71">
        <v>6567</v>
      </c>
      <c r="FD8" s="71">
        <v>259656</v>
      </c>
      <c r="FE8" s="71">
        <v>154137</v>
      </c>
      <c r="FF8" s="71">
        <v>28714</v>
      </c>
      <c r="FG8" s="71">
        <v>0</v>
      </c>
      <c r="FH8" s="71">
        <v>0</v>
      </c>
      <c r="FI8" s="71">
        <v>83901</v>
      </c>
      <c r="FJ8" s="71">
        <v>18402</v>
      </c>
      <c r="FK8" s="71">
        <v>2894</v>
      </c>
      <c r="FL8" s="71">
        <v>0</v>
      </c>
      <c r="FM8" s="71">
        <v>500</v>
      </c>
      <c r="FN8" s="71">
        <v>432050</v>
      </c>
      <c r="FO8" s="71">
        <v>11567</v>
      </c>
      <c r="FP8" s="71">
        <v>230977</v>
      </c>
      <c r="FQ8" s="71">
        <v>84750</v>
      </c>
      <c r="FR8" s="71">
        <v>556676</v>
      </c>
      <c r="FS8" s="71">
        <v>0</v>
      </c>
      <c r="FT8" s="71">
        <v>76456</v>
      </c>
      <c r="FU8" s="71">
        <v>27221</v>
      </c>
      <c r="FV8" s="71">
        <v>246</v>
      </c>
      <c r="FW8" s="71">
        <v>33740</v>
      </c>
      <c r="FX8" s="71">
        <v>38299</v>
      </c>
      <c r="FY8" s="71">
        <v>26235</v>
      </c>
      <c r="FZ8" s="71">
        <v>13626</v>
      </c>
      <c r="GA8" s="71">
        <v>38897</v>
      </c>
      <c r="GB8" s="71">
        <v>62691</v>
      </c>
      <c r="GC8" s="71">
        <v>0</v>
      </c>
      <c r="GD8" s="71">
        <v>6671</v>
      </c>
      <c r="GE8" s="71">
        <v>146039</v>
      </c>
      <c r="GF8" s="71">
        <v>2340912</v>
      </c>
      <c r="GG8" s="71">
        <v>33251</v>
      </c>
      <c r="GH8" s="71">
        <v>29787</v>
      </c>
      <c r="GI8" s="71">
        <v>322537</v>
      </c>
      <c r="GJ8" s="71">
        <v>140689</v>
      </c>
      <c r="GK8" s="71">
        <v>0</v>
      </c>
      <c r="GL8" s="71">
        <v>1345</v>
      </c>
      <c r="GM8" s="71">
        <v>35675</v>
      </c>
      <c r="GN8" s="71">
        <v>1804</v>
      </c>
      <c r="GO8" s="71">
        <v>11779</v>
      </c>
      <c r="GP8" s="71">
        <v>0</v>
      </c>
      <c r="GQ8" s="71">
        <v>6412</v>
      </c>
      <c r="GR8" s="71">
        <v>304954</v>
      </c>
      <c r="GS8" s="71">
        <v>52065</v>
      </c>
      <c r="GT8" s="71">
        <v>126413</v>
      </c>
      <c r="GU8" s="71">
        <v>34391</v>
      </c>
      <c r="GV8" s="71">
        <v>149012</v>
      </c>
      <c r="GW8" s="71">
        <v>0</v>
      </c>
      <c r="GX8" s="71">
        <v>42529</v>
      </c>
      <c r="GY8" s="71">
        <v>240705</v>
      </c>
      <c r="GZ8" s="71">
        <v>24</v>
      </c>
      <c r="HA8" s="71">
        <v>3308</v>
      </c>
      <c r="HB8" s="71">
        <v>3755</v>
      </c>
      <c r="HC8" s="71">
        <v>95126</v>
      </c>
      <c r="HD8" s="71">
        <v>28814</v>
      </c>
      <c r="HE8" s="71">
        <v>430183</v>
      </c>
      <c r="HF8" s="71">
        <v>146573</v>
      </c>
      <c r="HG8" s="71">
        <v>0</v>
      </c>
      <c r="HH8" s="71">
        <v>58989</v>
      </c>
      <c r="HI8" s="71">
        <v>103079</v>
      </c>
      <c r="HJ8" s="71">
        <v>2403198</v>
      </c>
      <c r="HK8" s="71">
        <v>43656</v>
      </c>
      <c r="HL8" s="71">
        <v>94493</v>
      </c>
      <c r="HM8" s="71">
        <v>251236</v>
      </c>
      <c r="HN8" s="71">
        <v>222960</v>
      </c>
      <c r="HO8" s="71">
        <v>0</v>
      </c>
      <c r="HP8" s="71">
        <v>381</v>
      </c>
      <c r="HQ8" s="71">
        <v>1368983</v>
      </c>
      <c r="HR8" s="71">
        <v>5277</v>
      </c>
      <c r="HS8" s="71">
        <v>16434</v>
      </c>
      <c r="HT8" s="71">
        <v>0</v>
      </c>
      <c r="HU8" s="71">
        <v>34321</v>
      </c>
      <c r="HV8" s="71">
        <v>123187</v>
      </c>
      <c r="HW8" s="71">
        <v>13689</v>
      </c>
      <c r="HX8" s="71">
        <v>92257</v>
      </c>
      <c r="HY8" s="71">
        <v>40632</v>
      </c>
      <c r="HZ8" s="71">
        <v>457248</v>
      </c>
      <c r="IA8" s="71">
        <v>0</v>
      </c>
      <c r="IB8" s="71">
        <v>73825</v>
      </c>
      <c r="IC8" s="71">
        <v>68350</v>
      </c>
      <c r="ID8" s="71">
        <v>71</v>
      </c>
      <c r="IE8" s="71">
        <v>9676</v>
      </c>
      <c r="IF8" s="71">
        <v>10983</v>
      </c>
      <c r="IG8" s="71">
        <v>107011</v>
      </c>
      <c r="IH8" s="71">
        <v>783866</v>
      </c>
      <c r="II8" s="71">
        <v>100194</v>
      </c>
      <c r="IJ8" s="71">
        <v>252358</v>
      </c>
      <c r="IK8" s="71">
        <v>0</v>
      </c>
      <c r="IL8" s="71">
        <v>16750</v>
      </c>
      <c r="IM8" s="71">
        <v>41639</v>
      </c>
      <c r="IN8" s="71">
        <v>4229477</v>
      </c>
      <c r="IO8" s="71">
        <v>83474</v>
      </c>
      <c r="IP8" s="71">
        <v>383936</v>
      </c>
      <c r="IQ8" s="71">
        <v>727910</v>
      </c>
      <c r="IR8" s="71">
        <v>392363</v>
      </c>
      <c r="IS8" s="71">
        <v>0</v>
      </c>
      <c r="IT8" s="71">
        <v>1726</v>
      </c>
      <c r="IU8" s="71">
        <v>1488559</v>
      </c>
      <c r="IV8" s="71">
        <v>25483</v>
      </c>
      <c r="IW8" s="71">
        <v>31107</v>
      </c>
      <c r="IX8" s="71">
        <v>0</v>
      </c>
      <c r="IY8" s="71">
        <v>41233</v>
      </c>
      <c r="IZ8" s="71">
        <v>860191</v>
      </c>
      <c r="JA8" s="71">
        <v>77321</v>
      </c>
      <c r="JB8" s="71">
        <v>449647</v>
      </c>
      <c r="JC8" s="71">
        <v>159773</v>
      </c>
      <c r="JD8" s="71">
        <v>1162936</v>
      </c>
      <c r="JE8" s="71">
        <v>0</v>
      </c>
      <c r="JF8" s="71">
        <v>192810</v>
      </c>
      <c r="JG8" s="71">
        <v>336276</v>
      </c>
      <c r="JH8" s="71">
        <v>341</v>
      </c>
      <c r="JI8" s="71">
        <v>46724</v>
      </c>
      <c r="JJ8" s="71">
        <v>53037</v>
      </c>
      <c r="JK8" s="71">
        <v>228372</v>
      </c>
      <c r="JL8" s="71">
        <v>826306</v>
      </c>
      <c r="JM8" s="71">
        <v>569274</v>
      </c>
      <c r="JN8" s="71">
        <v>461622</v>
      </c>
      <c r="JO8" s="71">
        <v>0</v>
      </c>
      <c r="JP8" s="71">
        <v>82410</v>
      </c>
      <c r="JQ8" s="71">
        <v>290757</v>
      </c>
      <c r="JR8" s="71">
        <v>8973587</v>
      </c>
      <c r="JS8" s="71">
        <v>457639</v>
      </c>
      <c r="JT8" s="71">
        <v>465345</v>
      </c>
      <c r="JU8" s="71">
        <v>4266889</v>
      </c>
      <c r="JV8" s="71">
        <v>1974574</v>
      </c>
      <c r="JW8" s="71">
        <v>0</v>
      </c>
      <c r="JX8" s="71">
        <v>17126</v>
      </c>
      <c r="JY8" s="71">
        <v>1813149</v>
      </c>
      <c r="JZ8" s="71">
        <v>27738</v>
      </c>
      <c r="KA8" s="71">
        <v>163089</v>
      </c>
      <c r="KB8" s="71">
        <v>0</v>
      </c>
      <c r="KC8" s="71">
        <v>114153</v>
      </c>
      <c r="KD8" s="71">
        <v>3919929</v>
      </c>
      <c r="KE8" s="71">
        <v>661911</v>
      </c>
      <c r="KF8" s="71">
        <v>1666126</v>
      </c>
      <c r="KG8" s="71">
        <v>468808</v>
      </c>
      <c r="KH8" s="71">
        <v>2312482</v>
      </c>
      <c r="KI8" s="71">
        <v>0</v>
      </c>
      <c r="KJ8" s="71">
        <v>603317</v>
      </c>
      <c r="KK8" s="71">
        <v>3065184</v>
      </c>
      <c r="KL8" s="71">
        <v>371</v>
      </c>
      <c r="KM8" s="71">
        <v>50859</v>
      </c>
      <c r="KN8" s="71">
        <v>57731</v>
      </c>
      <c r="KO8" s="71">
        <v>1291350</v>
      </c>
      <c r="KP8" s="71">
        <v>1142608</v>
      </c>
      <c r="KQ8" s="71">
        <v>5456063</v>
      </c>
      <c r="KR8" s="71">
        <v>2077224</v>
      </c>
      <c r="KS8" s="71">
        <v>0</v>
      </c>
      <c r="KT8" s="71">
        <v>751173</v>
      </c>
      <c r="KU8" s="71">
        <v>1324990</v>
      </c>
      <c r="KV8" s="71">
        <v>34149827</v>
      </c>
      <c r="KW8" s="71" t="s">
        <v>1070</v>
      </c>
      <c r="KX8" s="71">
        <v>50415845</v>
      </c>
      <c r="KY8" s="71">
        <v>9104087</v>
      </c>
      <c r="KZ8" s="71">
        <v>59519932</v>
      </c>
      <c r="LA8" s="71">
        <v>0</v>
      </c>
      <c r="LB8" s="71">
        <v>1383197</v>
      </c>
    </row>
    <row r="9" spans="1:314" x14ac:dyDescent="0.25">
      <c r="A9" s="71" t="s">
        <v>358</v>
      </c>
      <c r="B9" s="71" t="s">
        <v>1086</v>
      </c>
      <c r="C9" s="160" t="s">
        <v>1345</v>
      </c>
      <c r="D9" s="71" t="s">
        <v>1419</v>
      </c>
      <c r="E9" s="2">
        <v>41305.612164351849</v>
      </c>
      <c r="F9" s="71"/>
      <c r="G9" s="71" t="s">
        <v>359</v>
      </c>
      <c r="H9" s="71" t="s">
        <v>1087</v>
      </c>
      <c r="I9" s="71" t="s">
        <v>1088</v>
      </c>
      <c r="J9" s="71" t="s">
        <v>1089</v>
      </c>
      <c r="K9" s="71" t="s">
        <v>1090</v>
      </c>
      <c r="L9" s="71">
        <v>0</v>
      </c>
      <c r="M9" s="71">
        <v>0</v>
      </c>
      <c r="N9" s="71">
        <v>0</v>
      </c>
      <c r="O9" s="71">
        <v>13054609</v>
      </c>
      <c r="P9" s="71">
        <v>0</v>
      </c>
      <c r="Q9" s="71">
        <v>895245</v>
      </c>
      <c r="R9" s="71">
        <v>0</v>
      </c>
      <c r="S9" s="71">
        <v>895245</v>
      </c>
      <c r="T9" s="71">
        <v>997886</v>
      </c>
      <c r="U9" s="71">
        <v>1045955</v>
      </c>
      <c r="V9" s="71">
        <v>629882</v>
      </c>
      <c r="W9" s="71">
        <v>0</v>
      </c>
      <c r="X9" s="71">
        <v>0</v>
      </c>
      <c r="Y9" s="71">
        <v>0</v>
      </c>
      <c r="Z9" s="71">
        <v>2673723</v>
      </c>
      <c r="AA9" s="71">
        <v>1198138</v>
      </c>
      <c r="AB9" s="71">
        <v>222900</v>
      </c>
      <c r="AC9" s="71">
        <v>183991</v>
      </c>
      <c r="AD9" s="71">
        <v>0</v>
      </c>
      <c r="AE9" s="71">
        <v>0</v>
      </c>
      <c r="AF9" s="71">
        <v>289116</v>
      </c>
      <c r="AG9" s="71">
        <v>1894145</v>
      </c>
      <c r="AH9" s="71">
        <v>2196024</v>
      </c>
      <c r="AI9" s="71">
        <v>1268855</v>
      </c>
      <c r="AJ9" s="71">
        <v>813873</v>
      </c>
      <c r="AK9" s="71">
        <v>0</v>
      </c>
      <c r="AL9" s="71">
        <v>0</v>
      </c>
      <c r="AM9" s="71">
        <v>289116</v>
      </c>
      <c r="AN9" s="71">
        <v>4567868</v>
      </c>
      <c r="AO9" s="71">
        <v>0</v>
      </c>
      <c r="AP9" s="71">
        <v>0</v>
      </c>
      <c r="AQ9" s="71">
        <v>0</v>
      </c>
      <c r="AR9" s="71">
        <v>0</v>
      </c>
      <c r="AS9" s="71">
        <v>0</v>
      </c>
      <c r="AT9" s="71">
        <v>0</v>
      </c>
      <c r="AU9" s="71">
        <v>0</v>
      </c>
      <c r="AV9" s="71">
        <v>500</v>
      </c>
      <c r="AW9" s="71">
        <v>0</v>
      </c>
      <c r="AX9" s="71">
        <v>500</v>
      </c>
      <c r="AY9" s="71">
        <v>0</v>
      </c>
      <c r="AZ9" s="71">
        <v>0</v>
      </c>
      <c r="BA9" s="71">
        <v>500</v>
      </c>
      <c r="BB9" s="71">
        <v>0</v>
      </c>
      <c r="BC9" s="71">
        <v>500</v>
      </c>
      <c r="BD9" s="71">
        <v>439798</v>
      </c>
      <c r="BE9" s="71">
        <v>0</v>
      </c>
      <c r="BF9" s="71">
        <v>0</v>
      </c>
      <c r="BG9" s="71">
        <v>0</v>
      </c>
      <c r="BH9" s="71">
        <v>0</v>
      </c>
      <c r="BI9" s="71">
        <v>439798</v>
      </c>
      <c r="BJ9" s="71">
        <v>0</v>
      </c>
      <c r="BK9" s="71">
        <v>0</v>
      </c>
      <c r="BL9" s="71">
        <v>31323</v>
      </c>
      <c r="BM9" s="71">
        <v>0</v>
      </c>
      <c r="BN9" s="71">
        <v>0</v>
      </c>
      <c r="BO9" s="71">
        <v>31323</v>
      </c>
      <c r="BP9" s="71">
        <v>1336504</v>
      </c>
      <c r="BQ9" s="71">
        <v>0</v>
      </c>
      <c r="BR9" s="71">
        <v>0</v>
      </c>
      <c r="BS9" s="71">
        <v>0</v>
      </c>
      <c r="BT9" s="71">
        <v>0</v>
      </c>
      <c r="BU9" s="71">
        <v>1336504</v>
      </c>
      <c r="BV9" s="71">
        <v>1776302</v>
      </c>
      <c r="BW9" s="71">
        <v>0</v>
      </c>
      <c r="BX9" s="71">
        <v>31323</v>
      </c>
      <c r="BY9" s="71">
        <v>0</v>
      </c>
      <c r="BZ9" s="71">
        <v>0</v>
      </c>
      <c r="CA9" s="71">
        <v>1807625</v>
      </c>
      <c r="CB9" s="71">
        <v>0</v>
      </c>
      <c r="CC9" s="71">
        <v>0</v>
      </c>
      <c r="CD9" s="71">
        <v>0</v>
      </c>
      <c r="CE9" s="71">
        <v>0</v>
      </c>
      <c r="CF9" s="71">
        <v>0</v>
      </c>
      <c r="CG9" s="71">
        <v>0</v>
      </c>
      <c r="CH9" s="71">
        <v>0</v>
      </c>
      <c r="CI9" s="71">
        <v>0</v>
      </c>
      <c r="CJ9" s="71">
        <v>0</v>
      </c>
      <c r="CK9" s="71">
        <v>0</v>
      </c>
      <c r="CL9" s="71">
        <v>0</v>
      </c>
      <c r="CM9" s="71">
        <v>0</v>
      </c>
      <c r="CN9" s="71">
        <v>0</v>
      </c>
      <c r="CO9" s="71">
        <v>0</v>
      </c>
      <c r="CP9" s="71">
        <v>0</v>
      </c>
      <c r="CQ9" s="71">
        <v>0</v>
      </c>
      <c r="CR9" s="71" t="s">
        <v>358</v>
      </c>
      <c r="CS9" s="71">
        <v>379056</v>
      </c>
      <c r="CT9" s="71">
        <v>0</v>
      </c>
      <c r="CU9" s="71">
        <v>5744</v>
      </c>
      <c r="CV9" s="71">
        <v>37280</v>
      </c>
      <c r="CW9" s="71">
        <v>272048</v>
      </c>
      <c r="CX9" s="71">
        <v>118973</v>
      </c>
      <c r="CY9" s="71">
        <v>0</v>
      </c>
      <c r="CZ9" s="71">
        <v>0</v>
      </c>
      <c r="DA9" s="71">
        <v>13968</v>
      </c>
      <c r="DB9" s="71">
        <v>2112</v>
      </c>
      <c r="DC9" s="71">
        <v>89987</v>
      </c>
      <c r="DD9" s="71">
        <v>0</v>
      </c>
      <c r="DE9" s="71">
        <v>11856</v>
      </c>
      <c r="DF9" s="71">
        <v>202128</v>
      </c>
      <c r="DG9" s="71">
        <v>21936</v>
      </c>
      <c r="DH9" s="71">
        <v>47888</v>
      </c>
      <c r="DI9" s="71">
        <v>0</v>
      </c>
      <c r="DJ9" s="71">
        <v>82160</v>
      </c>
      <c r="DK9" s="71">
        <v>26080</v>
      </c>
      <c r="DL9" s="71">
        <v>62320</v>
      </c>
      <c r="DM9" s="71">
        <v>123568</v>
      </c>
      <c r="DN9" s="71">
        <v>38880</v>
      </c>
      <c r="DO9" s="71">
        <v>0</v>
      </c>
      <c r="DP9" s="71">
        <v>2016</v>
      </c>
      <c r="DQ9" s="71">
        <v>66688</v>
      </c>
      <c r="DR9" s="71">
        <v>38752</v>
      </c>
      <c r="DS9" s="71">
        <v>355344</v>
      </c>
      <c r="DT9" s="71">
        <v>79648</v>
      </c>
      <c r="DU9" s="71">
        <v>0</v>
      </c>
      <c r="DV9" s="71">
        <v>77744</v>
      </c>
      <c r="DW9" s="71">
        <v>52184</v>
      </c>
      <c r="DX9" s="71">
        <v>1829304</v>
      </c>
      <c r="DY9" s="71">
        <v>46000</v>
      </c>
      <c r="DZ9" s="71">
        <v>141103</v>
      </c>
      <c r="EA9" s="71">
        <v>566626</v>
      </c>
      <c r="EB9" s="71">
        <v>228693</v>
      </c>
      <c r="EC9" s="71">
        <v>0</v>
      </c>
      <c r="ED9" s="71">
        <v>0</v>
      </c>
      <c r="EE9" s="71">
        <v>150674</v>
      </c>
      <c r="EF9" s="71">
        <v>7868</v>
      </c>
      <c r="EG9" s="71">
        <v>170397</v>
      </c>
      <c r="EH9" s="71">
        <v>0</v>
      </c>
      <c r="EI9" s="71">
        <v>25960</v>
      </c>
      <c r="EJ9" s="71">
        <v>545482</v>
      </c>
      <c r="EK9" s="71">
        <v>23417</v>
      </c>
      <c r="EL9" s="71">
        <v>180080</v>
      </c>
      <c r="EM9" s="71">
        <v>0</v>
      </c>
      <c r="EN9" s="71">
        <v>177211</v>
      </c>
      <c r="EO9" s="71">
        <v>136416</v>
      </c>
      <c r="EP9" s="71">
        <v>338565</v>
      </c>
      <c r="EQ9" s="71">
        <v>235664</v>
      </c>
      <c r="ER9" s="71">
        <v>115214</v>
      </c>
      <c r="ES9" s="71">
        <v>0</v>
      </c>
      <c r="ET9" s="71">
        <v>3933</v>
      </c>
      <c r="EU9" s="71">
        <v>588671</v>
      </c>
      <c r="EV9" s="71">
        <v>148606</v>
      </c>
      <c r="EW9" s="71">
        <v>674071</v>
      </c>
      <c r="EX9" s="71">
        <v>223389</v>
      </c>
      <c r="EY9" s="71">
        <v>0</v>
      </c>
      <c r="EZ9" s="71">
        <v>256615</v>
      </c>
      <c r="FA9" s="71">
        <v>173129</v>
      </c>
      <c r="FB9" s="71">
        <v>5157784</v>
      </c>
      <c r="FC9" s="71">
        <v>0</v>
      </c>
      <c r="FD9" s="71">
        <v>0</v>
      </c>
      <c r="FE9" s="71">
        <v>1376</v>
      </c>
      <c r="FF9" s="71">
        <v>0</v>
      </c>
      <c r="FG9" s="71">
        <v>0</v>
      </c>
      <c r="FH9" s="71">
        <v>0</v>
      </c>
      <c r="FI9" s="71">
        <v>0</v>
      </c>
      <c r="FJ9" s="71">
        <v>0</v>
      </c>
      <c r="FK9" s="71">
        <v>0</v>
      </c>
      <c r="FL9" s="71">
        <v>0</v>
      </c>
      <c r="FM9" s="71">
        <v>0</v>
      </c>
      <c r="FN9" s="71">
        <v>0</v>
      </c>
      <c r="FO9" s="71">
        <v>0</v>
      </c>
      <c r="FP9" s="71">
        <v>9059</v>
      </c>
      <c r="FQ9" s="71">
        <v>0</v>
      </c>
      <c r="FR9" s="71">
        <v>0</v>
      </c>
      <c r="FS9" s="71">
        <v>0</v>
      </c>
      <c r="FT9" s="71">
        <v>0</v>
      </c>
      <c r="FU9" s="71">
        <v>0</v>
      </c>
      <c r="FV9" s="71">
        <v>1834</v>
      </c>
      <c r="FW9" s="71">
        <v>0</v>
      </c>
      <c r="FX9" s="71">
        <v>0</v>
      </c>
      <c r="FY9" s="71">
        <v>0</v>
      </c>
      <c r="FZ9" s="71">
        <v>0</v>
      </c>
      <c r="GA9" s="71">
        <v>0</v>
      </c>
      <c r="GB9" s="71">
        <v>-175</v>
      </c>
      <c r="GC9" s="71">
        <v>0</v>
      </c>
      <c r="GD9" s="71">
        <v>0</v>
      </c>
      <c r="GE9" s="71">
        <v>0</v>
      </c>
      <c r="GF9" s="71">
        <v>12094</v>
      </c>
      <c r="GG9" s="71">
        <v>3373</v>
      </c>
      <c r="GH9" s="71">
        <v>10346</v>
      </c>
      <c r="GI9" s="71">
        <v>41646</v>
      </c>
      <c r="GJ9" s="71">
        <v>16768</v>
      </c>
      <c r="GK9" s="71">
        <v>0</v>
      </c>
      <c r="GL9" s="71">
        <v>0</v>
      </c>
      <c r="GM9" s="71">
        <v>11047</v>
      </c>
      <c r="GN9" s="71">
        <v>577</v>
      </c>
      <c r="GO9" s="71">
        <v>12494</v>
      </c>
      <c r="GP9" s="71">
        <v>0</v>
      </c>
      <c r="GQ9" s="71">
        <v>1903</v>
      </c>
      <c r="GR9" s="71">
        <v>39995</v>
      </c>
      <c r="GS9" s="71">
        <v>1717</v>
      </c>
      <c r="GT9" s="71">
        <v>13868</v>
      </c>
      <c r="GU9" s="71">
        <v>0</v>
      </c>
      <c r="GV9" s="71">
        <v>12993</v>
      </c>
      <c r="GW9" s="71">
        <v>10002</v>
      </c>
      <c r="GX9" s="71">
        <v>24824</v>
      </c>
      <c r="GY9" s="71">
        <v>17279</v>
      </c>
      <c r="GZ9" s="71">
        <v>8582</v>
      </c>
      <c r="HA9" s="71">
        <v>0</v>
      </c>
      <c r="HB9" s="71">
        <v>288</v>
      </c>
      <c r="HC9" s="71">
        <v>43161</v>
      </c>
      <c r="HD9" s="71">
        <v>10896</v>
      </c>
      <c r="HE9" s="71">
        <v>49423</v>
      </c>
      <c r="HF9" s="71">
        <v>16366</v>
      </c>
      <c r="HG9" s="71">
        <v>0</v>
      </c>
      <c r="HH9" s="71">
        <v>18815</v>
      </c>
      <c r="HI9" s="71">
        <v>12694</v>
      </c>
      <c r="HJ9" s="71">
        <v>379056</v>
      </c>
      <c r="HK9" s="71">
        <v>2096</v>
      </c>
      <c r="HL9" s="71">
        <v>80952</v>
      </c>
      <c r="HM9" s="71">
        <v>44025</v>
      </c>
      <c r="HN9" s="71">
        <v>5756</v>
      </c>
      <c r="HO9" s="71">
        <v>0</v>
      </c>
      <c r="HP9" s="71">
        <v>0</v>
      </c>
      <c r="HQ9" s="71">
        <v>3968</v>
      </c>
      <c r="HR9" s="71">
        <v>1445</v>
      </c>
      <c r="HS9" s="71">
        <v>8530</v>
      </c>
      <c r="HT9" s="71">
        <v>0</v>
      </c>
      <c r="HU9" s="71">
        <v>4767</v>
      </c>
      <c r="HV9" s="71">
        <v>23866</v>
      </c>
      <c r="HW9" s="71">
        <v>1462</v>
      </c>
      <c r="HX9" s="71">
        <v>59195</v>
      </c>
      <c r="HY9" s="71">
        <v>0</v>
      </c>
      <c r="HZ9" s="71">
        <v>11110</v>
      </c>
      <c r="IA9" s="71">
        <v>4717</v>
      </c>
      <c r="IB9" s="71">
        <v>50065</v>
      </c>
      <c r="IC9" s="71">
        <v>10571</v>
      </c>
      <c r="ID9" s="71">
        <v>16072</v>
      </c>
      <c r="IE9" s="71">
        <v>0</v>
      </c>
      <c r="IF9" s="71">
        <v>722</v>
      </c>
      <c r="IG9" s="71">
        <v>70019</v>
      </c>
      <c r="IH9" s="71">
        <v>19430</v>
      </c>
      <c r="II9" s="71">
        <v>30239</v>
      </c>
      <c r="IJ9" s="71">
        <v>52653</v>
      </c>
      <c r="IK9" s="71">
        <v>0</v>
      </c>
      <c r="IL9" s="71">
        <v>15723</v>
      </c>
      <c r="IM9" s="71">
        <v>6170</v>
      </c>
      <c r="IN9" s="71">
        <v>523553</v>
      </c>
      <c r="IO9" s="71">
        <v>5469</v>
      </c>
      <c r="IP9" s="71">
        <v>91298</v>
      </c>
      <c r="IQ9" s="71">
        <v>87047</v>
      </c>
      <c r="IR9" s="71">
        <v>22524</v>
      </c>
      <c r="IS9" s="71">
        <v>0</v>
      </c>
      <c r="IT9" s="71">
        <v>0</v>
      </c>
      <c r="IU9" s="71">
        <v>15015</v>
      </c>
      <c r="IV9" s="71">
        <v>2022</v>
      </c>
      <c r="IW9" s="71">
        <v>21024</v>
      </c>
      <c r="IX9" s="71">
        <v>0</v>
      </c>
      <c r="IY9" s="71">
        <v>6670</v>
      </c>
      <c r="IZ9" s="71">
        <v>63861</v>
      </c>
      <c r="JA9" s="71">
        <v>3179</v>
      </c>
      <c r="JB9" s="71">
        <v>82122</v>
      </c>
      <c r="JC9" s="71">
        <v>0</v>
      </c>
      <c r="JD9" s="71">
        <v>24103</v>
      </c>
      <c r="JE9" s="71">
        <v>14719</v>
      </c>
      <c r="JF9" s="71">
        <v>74889</v>
      </c>
      <c r="JG9" s="71">
        <v>27850</v>
      </c>
      <c r="JH9" s="71">
        <v>26488</v>
      </c>
      <c r="JI9" s="71">
        <v>0</v>
      </c>
      <c r="JJ9" s="71">
        <v>1010</v>
      </c>
      <c r="JK9" s="71">
        <v>113180</v>
      </c>
      <c r="JL9" s="71">
        <v>30326</v>
      </c>
      <c r="JM9" s="71">
        <v>79662</v>
      </c>
      <c r="JN9" s="71">
        <v>68844</v>
      </c>
      <c r="JO9" s="71">
        <v>0</v>
      </c>
      <c r="JP9" s="71">
        <v>34538</v>
      </c>
      <c r="JQ9" s="71">
        <v>18864</v>
      </c>
      <c r="JR9" s="71">
        <v>914703</v>
      </c>
      <c r="JS9" s="71">
        <v>51469</v>
      </c>
      <c r="JT9" s="71">
        <v>232401</v>
      </c>
      <c r="JU9" s="71">
        <v>653673</v>
      </c>
      <c r="JV9" s="71">
        <v>251217</v>
      </c>
      <c r="JW9" s="71">
        <v>0</v>
      </c>
      <c r="JX9" s="71">
        <v>0</v>
      </c>
      <c r="JY9" s="71">
        <v>165689</v>
      </c>
      <c r="JZ9" s="71">
        <v>9890</v>
      </c>
      <c r="KA9" s="71">
        <v>191421</v>
      </c>
      <c r="KB9" s="71">
        <v>0</v>
      </c>
      <c r="KC9" s="71">
        <v>32630</v>
      </c>
      <c r="KD9" s="71">
        <v>609343</v>
      </c>
      <c r="KE9" s="71">
        <v>26596</v>
      </c>
      <c r="KF9" s="71">
        <v>262202</v>
      </c>
      <c r="KG9" s="71">
        <v>0</v>
      </c>
      <c r="KH9" s="71">
        <v>201314</v>
      </c>
      <c r="KI9" s="71">
        <v>151135</v>
      </c>
      <c r="KJ9" s="71">
        <v>413454</v>
      </c>
      <c r="KK9" s="71">
        <v>263514</v>
      </c>
      <c r="KL9" s="71">
        <v>141702</v>
      </c>
      <c r="KM9" s="71">
        <v>0</v>
      </c>
      <c r="KN9" s="71">
        <v>4943</v>
      </c>
      <c r="KO9" s="71">
        <v>701851</v>
      </c>
      <c r="KP9" s="71">
        <v>178932</v>
      </c>
      <c r="KQ9" s="71">
        <v>753733</v>
      </c>
      <c r="KR9" s="71">
        <v>292233</v>
      </c>
      <c r="KS9" s="71">
        <v>0</v>
      </c>
      <c r="KT9" s="71">
        <v>291153</v>
      </c>
      <c r="KU9" s="71">
        <v>191993</v>
      </c>
      <c r="KV9" s="71">
        <v>6072487</v>
      </c>
      <c r="KW9" s="71" t="s">
        <v>1070</v>
      </c>
      <c r="KX9" s="71">
        <v>11535600</v>
      </c>
      <c r="KY9" s="71">
        <v>1808125</v>
      </c>
      <c r="KZ9" s="71">
        <v>13343725</v>
      </c>
      <c r="LA9" s="71">
        <v>0</v>
      </c>
      <c r="LB9" s="71">
        <v>289116</v>
      </c>
    </row>
    <row r="10" spans="1:314" x14ac:dyDescent="0.25">
      <c r="A10" s="71" t="s">
        <v>360</v>
      </c>
      <c r="B10" s="71" t="s">
        <v>1091</v>
      </c>
      <c r="C10" s="160" t="s">
        <v>1345</v>
      </c>
      <c r="D10" s="71" t="s">
        <v>1416</v>
      </c>
      <c r="E10" s="2">
        <v>41305.470543981479</v>
      </c>
      <c r="F10" s="71"/>
      <c r="G10" s="71" t="s">
        <v>361</v>
      </c>
      <c r="H10" s="71" t="s">
        <v>1092</v>
      </c>
      <c r="I10" s="71" t="s">
        <v>1078</v>
      </c>
      <c r="J10" s="71" t="s">
        <v>1093</v>
      </c>
      <c r="K10" s="71" t="s">
        <v>1094</v>
      </c>
      <c r="L10" s="71">
        <v>0</v>
      </c>
      <c r="M10" s="71">
        <v>0</v>
      </c>
      <c r="N10" s="71">
        <v>0</v>
      </c>
      <c r="O10" s="71">
        <v>5435990</v>
      </c>
      <c r="P10" s="71">
        <v>0</v>
      </c>
      <c r="Q10" s="71">
        <v>88507</v>
      </c>
      <c r="R10" s="71">
        <v>0</v>
      </c>
      <c r="S10" s="71">
        <v>88507</v>
      </c>
      <c r="T10" s="71">
        <v>468378</v>
      </c>
      <c r="U10" s="71">
        <v>306033</v>
      </c>
      <c r="V10" s="71">
        <v>304094</v>
      </c>
      <c r="W10" s="71">
        <v>0</v>
      </c>
      <c r="X10" s="71">
        <v>0</v>
      </c>
      <c r="Y10" s="71">
        <v>0</v>
      </c>
      <c r="Z10" s="71">
        <v>1078505</v>
      </c>
      <c r="AA10" s="71">
        <v>459170</v>
      </c>
      <c r="AB10" s="71">
        <v>93350</v>
      </c>
      <c r="AC10" s="71">
        <v>47274</v>
      </c>
      <c r="AD10" s="71">
        <v>0</v>
      </c>
      <c r="AE10" s="71">
        <v>0</v>
      </c>
      <c r="AF10" s="71">
        <v>477665</v>
      </c>
      <c r="AG10" s="71">
        <v>1077459</v>
      </c>
      <c r="AH10" s="71">
        <v>927548</v>
      </c>
      <c r="AI10" s="71">
        <v>399383</v>
      </c>
      <c r="AJ10" s="71">
        <v>351368</v>
      </c>
      <c r="AK10" s="71">
        <v>0</v>
      </c>
      <c r="AL10" s="71">
        <v>0</v>
      </c>
      <c r="AM10" s="71">
        <v>477665</v>
      </c>
      <c r="AN10" s="71">
        <v>2155964</v>
      </c>
      <c r="AO10" s="71">
        <v>0</v>
      </c>
      <c r="AP10" s="71">
        <v>0</v>
      </c>
      <c r="AQ10" s="71">
        <v>0</v>
      </c>
      <c r="AR10" s="71">
        <v>0</v>
      </c>
      <c r="AS10" s="71">
        <v>0</v>
      </c>
      <c r="AT10" s="71">
        <v>0</v>
      </c>
      <c r="AU10" s="71">
        <v>0</v>
      </c>
      <c r="AV10" s="71">
        <v>0</v>
      </c>
      <c r="AW10" s="71">
        <v>0</v>
      </c>
      <c r="AX10" s="71">
        <v>0</v>
      </c>
      <c r="AY10" s="71">
        <v>0</v>
      </c>
      <c r="AZ10" s="71">
        <v>0</v>
      </c>
      <c r="BA10" s="71">
        <v>0</v>
      </c>
      <c r="BB10" s="71">
        <v>0</v>
      </c>
      <c r="BC10" s="71">
        <v>0</v>
      </c>
      <c r="BD10" s="71">
        <v>281706</v>
      </c>
      <c r="BE10" s="71">
        <v>0</v>
      </c>
      <c r="BF10" s="71">
        <v>0</v>
      </c>
      <c r="BG10" s="71">
        <v>0</v>
      </c>
      <c r="BH10" s="71">
        <v>0</v>
      </c>
      <c r="BI10" s="71">
        <v>281706</v>
      </c>
      <c r="BJ10" s="71">
        <v>0</v>
      </c>
      <c r="BK10" s="71">
        <v>0</v>
      </c>
      <c r="BL10" s="71">
        <v>82306</v>
      </c>
      <c r="BM10" s="71">
        <v>0</v>
      </c>
      <c r="BN10" s="71">
        <v>0</v>
      </c>
      <c r="BO10" s="71">
        <v>82306</v>
      </c>
      <c r="BP10" s="71">
        <v>606303</v>
      </c>
      <c r="BQ10" s="71">
        <v>0</v>
      </c>
      <c r="BR10" s="71">
        <v>0</v>
      </c>
      <c r="BS10" s="71">
        <v>0</v>
      </c>
      <c r="BT10" s="71">
        <v>8432</v>
      </c>
      <c r="BU10" s="71">
        <v>614735</v>
      </c>
      <c r="BV10" s="71">
        <v>888009</v>
      </c>
      <c r="BW10" s="71">
        <v>0</v>
      </c>
      <c r="BX10" s="71">
        <v>82306</v>
      </c>
      <c r="BY10" s="71">
        <v>0</v>
      </c>
      <c r="BZ10" s="71">
        <v>8432</v>
      </c>
      <c r="CA10" s="71">
        <v>978747</v>
      </c>
      <c r="CB10" s="71">
        <v>0</v>
      </c>
      <c r="CC10" s="71">
        <v>0</v>
      </c>
      <c r="CD10" s="71">
        <v>0</v>
      </c>
      <c r="CE10" s="71">
        <v>0</v>
      </c>
      <c r="CF10" s="71">
        <v>0</v>
      </c>
      <c r="CG10" s="71">
        <v>0</v>
      </c>
      <c r="CH10" s="71">
        <v>0</v>
      </c>
      <c r="CI10" s="71">
        <v>0</v>
      </c>
      <c r="CJ10" s="71">
        <v>0</v>
      </c>
      <c r="CK10" s="71">
        <v>0</v>
      </c>
      <c r="CL10" s="71">
        <v>0</v>
      </c>
      <c r="CM10" s="71">
        <v>0</v>
      </c>
      <c r="CN10" s="71">
        <v>0</v>
      </c>
      <c r="CO10" s="71">
        <v>0</v>
      </c>
      <c r="CP10" s="71">
        <v>0</v>
      </c>
      <c r="CQ10" s="71">
        <v>0</v>
      </c>
      <c r="CR10" s="71" t="s">
        <v>360</v>
      </c>
      <c r="CS10" s="71">
        <v>194358</v>
      </c>
      <c r="CT10" s="71">
        <v>0</v>
      </c>
      <c r="CU10" s="71">
        <v>40736</v>
      </c>
      <c r="CV10" s="71">
        <v>19568</v>
      </c>
      <c r="CW10" s="71">
        <v>80720</v>
      </c>
      <c r="CX10" s="71">
        <v>24576</v>
      </c>
      <c r="CY10" s="71">
        <v>0</v>
      </c>
      <c r="CZ10" s="71">
        <v>0</v>
      </c>
      <c r="DA10" s="71">
        <v>7290</v>
      </c>
      <c r="DB10" s="71">
        <v>0</v>
      </c>
      <c r="DC10" s="71">
        <v>54592</v>
      </c>
      <c r="DD10" s="71">
        <v>0</v>
      </c>
      <c r="DE10" s="71">
        <v>19040</v>
      </c>
      <c r="DF10" s="71">
        <v>68448</v>
      </c>
      <c r="DG10" s="71">
        <v>14976</v>
      </c>
      <c r="DH10" s="71">
        <v>0</v>
      </c>
      <c r="DI10" s="71">
        <v>0</v>
      </c>
      <c r="DJ10" s="71">
        <v>18967</v>
      </c>
      <c r="DK10" s="71">
        <v>0</v>
      </c>
      <c r="DL10" s="71">
        <v>99712</v>
      </c>
      <c r="DM10" s="71">
        <v>33328</v>
      </c>
      <c r="DN10" s="71">
        <v>0</v>
      </c>
      <c r="DO10" s="71">
        <v>0</v>
      </c>
      <c r="DP10" s="71">
        <v>0</v>
      </c>
      <c r="DQ10" s="71">
        <v>45824</v>
      </c>
      <c r="DR10" s="71">
        <v>18020</v>
      </c>
      <c r="DS10" s="71">
        <v>113712</v>
      </c>
      <c r="DT10" s="71">
        <v>30432</v>
      </c>
      <c r="DU10" s="71">
        <v>0</v>
      </c>
      <c r="DV10" s="71">
        <v>22800</v>
      </c>
      <c r="DW10" s="71">
        <v>21728</v>
      </c>
      <c r="DX10" s="71">
        <v>734469</v>
      </c>
      <c r="DY10" s="71">
        <v>173596</v>
      </c>
      <c r="DZ10" s="71">
        <v>65422</v>
      </c>
      <c r="EA10" s="71">
        <v>193415</v>
      </c>
      <c r="EB10" s="71">
        <v>126511</v>
      </c>
      <c r="EC10" s="71">
        <v>0</v>
      </c>
      <c r="ED10" s="71">
        <v>0</v>
      </c>
      <c r="EE10" s="71">
        <v>44499</v>
      </c>
      <c r="EF10" s="71">
        <v>0</v>
      </c>
      <c r="EG10" s="71">
        <v>90912</v>
      </c>
      <c r="EH10" s="71">
        <v>0</v>
      </c>
      <c r="EI10" s="71">
        <v>50214</v>
      </c>
      <c r="EJ10" s="71">
        <v>164877</v>
      </c>
      <c r="EK10" s="71">
        <v>28145</v>
      </c>
      <c r="EL10" s="71">
        <v>37919</v>
      </c>
      <c r="EM10" s="71">
        <v>0</v>
      </c>
      <c r="EN10" s="71">
        <v>20453</v>
      </c>
      <c r="EO10" s="71">
        <v>0</v>
      </c>
      <c r="EP10" s="71">
        <v>317077</v>
      </c>
      <c r="EQ10" s="71">
        <v>136309</v>
      </c>
      <c r="ER10" s="71">
        <v>0</v>
      </c>
      <c r="ES10" s="71">
        <v>0</v>
      </c>
      <c r="ET10" s="71">
        <v>0</v>
      </c>
      <c r="EU10" s="71">
        <v>365743</v>
      </c>
      <c r="EV10" s="71">
        <v>52020</v>
      </c>
      <c r="EW10" s="71">
        <v>251825</v>
      </c>
      <c r="EX10" s="71">
        <v>62152</v>
      </c>
      <c r="EY10" s="71">
        <v>0</v>
      </c>
      <c r="EZ10" s="71">
        <v>64541</v>
      </c>
      <c r="FA10" s="71">
        <v>46014</v>
      </c>
      <c r="FB10" s="71">
        <v>2291644</v>
      </c>
      <c r="FC10" s="71">
        <v>0</v>
      </c>
      <c r="FD10" s="71">
        <v>0</v>
      </c>
      <c r="FE10" s="71">
        <v>0</v>
      </c>
      <c r="FF10" s="71">
        <v>0</v>
      </c>
      <c r="FG10" s="71">
        <v>0</v>
      </c>
      <c r="FH10" s="71">
        <v>0</v>
      </c>
      <c r="FI10" s="71">
        <v>0</v>
      </c>
      <c r="FJ10" s="71">
        <v>0</v>
      </c>
      <c r="FK10" s="71">
        <v>0</v>
      </c>
      <c r="FL10" s="71">
        <v>0</v>
      </c>
      <c r="FM10" s="71">
        <v>0</v>
      </c>
      <c r="FN10" s="71">
        <v>0</v>
      </c>
      <c r="FO10" s="71">
        <v>0</v>
      </c>
      <c r="FP10" s="71">
        <v>0</v>
      </c>
      <c r="FQ10" s="71">
        <v>0</v>
      </c>
      <c r="FR10" s="71">
        <v>0</v>
      </c>
      <c r="FS10" s="71">
        <v>0</v>
      </c>
      <c r="FT10" s="71">
        <v>0</v>
      </c>
      <c r="FU10" s="71">
        <v>0</v>
      </c>
      <c r="FV10" s="71">
        <v>0</v>
      </c>
      <c r="FW10" s="71">
        <v>0</v>
      </c>
      <c r="FX10" s="71">
        <v>0</v>
      </c>
      <c r="FY10" s="71">
        <v>0</v>
      </c>
      <c r="FZ10" s="71">
        <v>0</v>
      </c>
      <c r="GA10" s="71">
        <v>0</v>
      </c>
      <c r="GB10" s="71">
        <v>0</v>
      </c>
      <c r="GC10" s="71">
        <v>0</v>
      </c>
      <c r="GD10" s="71">
        <v>0</v>
      </c>
      <c r="GE10" s="71">
        <v>0</v>
      </c>
      <c r="GF10" s="71">
        <v>0</v>
      </c>
      <c r="GG10" s="71">
        <v>14723</v>
      </c>
      <c r="GH10" s="71">
        <v>5549</v>
      </c>
      <c r="GI10" s="71">
        <v>16404</v>
      </c>
      <c r="GJ10" s="71">
        <v>10730</v>
      </c>
      <c r="GK10" s="71">
        <v>0</v>
      </c>
      <c r="GL10" s="71">
        <v>0</v>
      </c>
      <c r="GM10" s="71">
        <v>3774</v>
      </c>
      <c r="GN10" s="71">
        <v>0</v>
      </c>
      <c r="GO10" s="71">
        <v>7710</v>
      </c>
      <c r="GP10" s="71">
        <v>0</v>
      </c>
      <c r="GQ10" s="71">
        <v>4259</v>
      </c>
      <c r="GR10" s="71">
        <v>13983</v>
      </c>
      <c r="GS10" s="71">
        <v>2387</v>
      </c>
      <c r="GT10" s="71">
        <v>3216</v>
      </c>
      <c r="GU10" s="71">
        <v>0</v>
      </c>
      <c r="GV10" s="71">
        <v>1735</v>
      </c>
      <c r="GW10" s="71">
        <v>0</v>
      </c>
      <c r="GX10" s="71">
        <v>26892</v>
      </c>
      <c r="GY10" s="71">
        <v>11561</v>
      </c>
      <c r="GZ10" s="71">
        <v>0</v>
      </c>
      <c r="HA10" s="71">
        <v>0</v>
      </c>
      <c r="HB10" s="71">
        <v>0</v>
      </c>
      <c r="HC10" s="71">
        <v>31019</v>
      </c>
      <c r="HD10" s="71">
        <v>4412</v>
      </c>
      <c r="HE10" s="71">
        <v>21358</v>
      </c>
      <c r="HF10" s="71">
        <v>5271</v>
      </c>
      <c r="HG10" s="71">
        <v>0</v>
      </c>
      <c r="HH10" s="71">
        <v>5474</v>
      </c>
      <c r="HI10" s="71">
        <v>3903</v>
      </c>
      <c r="HJ10" s="71">
        <v>194358</v>
      </c>
      <c r="HK10" s="71">
        <v>37259</v>
      </c>
      <c r="HL10" s="71">
        <v>10196</v>
      </c>
      <c r="HM10" s="71">
        <v>15269</v>
      </c>
      <c r="HN10" s="71">
        <v>1293</v>
      </c>
      <c r="HO10" s="71">
        <v>0</v>
      </c>
      <c r="HP10" s="71">
        <v>0</v>
      </c>
      <c r="HQ10" s="71">
        <v>1621</v>
      </c>
      <c r="HR10" s="71">
        <v>0</v>
      </c>
      <c r="HS10" s="71">
        <v>29816</v>
      </c>
      <c r="HT10" s="71">
        <v>0</v>
      </c>
      <c r="HU10" s="71">
        <v>9031</v>
      </c>
      <c r="HV10" s="71">
        <v>4550</v>
      </c>
      <c r="HW10" s="71">
        <v>389</v>
      </c>
      <c r="HX10" s="71">
        <v>761</v>
      </c>
      <c r="HY10" s="71">
        <v>0</v>
      </c>
      <c r="HZ10" s="71">
        <v>12120</v>
      </c>
      <c r="IA10" s="71">
        <v>0</v>
      </c>
      <c r="IB10" s="71">
        <v>76433</v>
      </c>
      <c r="IC10" s="71">
        <v>3540</v>
      </c>
      <c r="ID10" s="71">
        <v>0</v>
      </c>
      <c r="IE10" s="71">
        <v>0</v>
      </c>
      <c r="IF10" s="71">
        <v>0</v>
      </c>
      <c r="IG10" s="71">
        <v>1189</v>
      </c>
      <c r="IH10" s="71">
        <v>484</v>
      </c>
      <c r="II10" s="71">
        <v>4721</v>
      </c>
      <c r="IJ10" s="71">
        <v>1587</v>
      </c>
      <c r="IK10" s="71">
        <v>0</v>
      </c>
      <c r="IL10" s="71">
        <v>592</v>
      </c>
      <c r="IM10" s="71">
        <v>2016</v>
      </c>
      <c r="IN10" s="71">
        <v>212867</v>
      </c>
      <c r="IO10" s="71">
        <v>51982</v>
      </c>
      <c r="IP10" s="71">
        <v>15745</v>
      </c>
      <c r="IQ10" s="71">
        <v>31673</v>
      </c>
      <c r="IR10" s="71">
        <v>12023</v>
      </c>
      <c r="IS10" s="71">
        <v>0</v>
      </c>
      <c r="IT10" s="71">
        <v>0</v>
      </c>
      <c r="IU10" s="71">
        <v>5395</v>
      </c>
      <c r="IV10" s="71">
        <v>0</v>
      </c>
      <c r="IW10" s="71">
        <v>37526</v>
      </c>
      <c r="IX10" s="71">
        <v>0</v>
      </c>
      <c r="IY10" s="71">
        <v>13290</v>
      </c>
      <c r="IZ10" s="71">
        <v>18533</v>
      </c>
      <c r="JA10" s="71">
        <v>2776</v>
      </c>
      <c r="JB10" s="71">
        <v>3977</v>
      </c>
      <c r="JC10" s="71">
        <v>0</v>
      </c>
      <c r="JD10" s="71">
        <v>13855</v>
      </c>
      <c r="JE10" s="71">
        <v>0</v>
      </c>
      <c r="JF10" s="71">
        <v>103325</v>
      </c>
      <c r="JG10" s="71">
        <v>15101</v>
      </c>
      <c r="JH10" s="71">
        <v>0</v>
      </c>
      <c r="JI10" s="71">
        <v>0</v>
      </c>
      <c r="JJ10" s="71">
        <v>0</v>
      </c>
      <c r="JK10" s="71">
        <v>32208</v>
      </c>
      <c r="JL10" s="71">
        <v>4896</v>
      </c>
      <c r="JM10" s="71">
        <v>26079</v>
      </c>
      <c r="JN10" s="71">
        <v>6858</v>
      </c>
      <c r="JO10" s="71">
        <v>0</v>
      </c>
      <c r="JP10" s="71">
        <v>6066</v>
      </c>
      <c r="JQ10" s="71">
        <v>5919</v>
      </c>
      <c r="JR10" s="71">
        <v>407225</v>
      </c>
      <c r="JS10" s="71">
        <v>225578</v>
      </c>
      <c r="JT10" s="71">
        <v>81167</v>
      </c>
      <c r="JU10" s="71">
        <v>225088</v>
      </c>
      <c r="JV10" s="71">
        <v>138534</v>
      </c>
      <c r="JW10" s="71">
        <v>0</v>
      </c>
      <c r="JX10" s="71">
        <v>0</v>
      </c>
      <c r="JY10" s="71">
        <v>49894</v>
      </c>
      <c r="JZ10" s="71">
        <v>0</v>
      </c>
      <c r="KA10" s="71">
        <v>128438</v>
      </c>
      <c r="KB10" s="71">
        <v>0</v>
      </c>
      <c r="KC10" s="71">
        <v>63504</v>
      </c>
      <c r="KD10" s="71">
        <v>183410</v>
      </c>
      <c r="KE10" s="71">
        <v>30921</v>
      </c>
      <c r="KF10" s="71">
        <v>41896</v>
      </c>
      <c r="KG10" s="71">
        <v>0</v>
      </c>
      <c r="KH10" s="71">
        <v>34308</v>
      </c>
      <c r="KI10" s="71">
        <v>0</v>
      </c>
      <c r="KJ10" s="71">
        <v>420402</v>
      </c>
      <c r="KK10" s="71">
        <v>151410</v>
      </c>
      <c r="KL10" s="71">
        <v>0</v>
      </c>
      <c r="KM10" s="71">
        <v>0</v>
      </c>
      <c r="KN10" s="71">
        <v>0</v>
      </c>
      <c r="KO10" s="71">
        <v>397951</v>
      </c>
      <c r="KP10" s="71">
        <v>56916</v>
      </c>
      <c r="KQ10" s="71">
        <v>277904</v>
      </c>
      <c r="KR10" s="71">
        <v>69010</v>
      </c>
      <c r="KS10" s="71">
        <v>0</v>
      </c>
      <c r="KT10" s="71">
        <v>70607</v>
      </c>
      <c r="KU10" s="71">
        <v>51933</v>
      </c>
      <c r="KV10" s="71">
        <v>2698869</v>
      </c>
      <c r="KW10" s="71" t="s">
        <v>1070</v>
      </c>
      <c r="KX10" s="71">
        <v>4943340</v>
      </c>
      <c r="KY10" s="71">
        <v>978747</v>
      </c>
      <c r="KZ10" s="71">
        <v>5922087</v>
      </c>
      <c r="LA10" s="71">
        <v>0</v>
      </c>
      <c r="LB10" s="71">
        <v>486097</v>
      </c>
    </row>
    <row r="11" spans="1:314" x14ac:dyDescent="0.25">
      <c r="A11" s="71" t="s">
        <v>362</v>
      </c>
      <c r="B11" s="71" t="s">
        <v>1095</v>
      </c>
      <c r="C11" s="160" t="s">
        <v>1345</v>
      </c>
      <c r="D11" s="71" t="s">
        <v>1418</v>
      </c>
      <c r="E11" s="2">
        <v>41305.504131944443</v>
      </c>
      <c r="F11" s="71"/>
      <c r="G11" s="71" t="s">
        <v>363</v>
      </c>
      <c r="H11" s="71" t="s">
        <v>1096</v>
      </c>
      <c r="I11" s="71" t="s">
        <v>1097</v>
      </c>
      <c r="J11" s="71" t="s">
        <v>1098</v>
      </c>
      <c r="K11" s="71" t="s">
        <v>1099</v>
      </c>
      <c r="L11" s="71">
        <v>0</v>
      </c>
      <c r="M11" s="71">
        <v>0</v>
      </c>
      <c r="N11" s="71">
        <v>0</v>
      </c>
      <c r="O11" s="71">
        <v>26686865</v>
      </c>
      <c r="P11" s="71">
        <v>0</v>
      </c>
      <c r="Q11" s="71">
        <v>658006</v>
      </c>
      <c r="R11" s="71">
        <v>0</v>
      </c>
      <c r="S11" s="71">
        <v>658006</v>
      </c>
      <c r="T11" s="71">
        <v>1715598</v>
      </c>
      <c r="U11" s="71">
        <v>1437802</v>
      </c>
      <c r="V11" s="71">
        <v>1768316</v>
      </c>
      <c r="W11" s="71">
        <v>59317</v>
      </c>
      <c r="X11" s="71">
        <v>0</v>
      </c>
      <c r="Y11" s="71">
        <v>0</v>
      </c>
      <c r="Z11" s="71">
        <v>4981033</v>
      </c>
      <c r="AA11" s="71">
        <v>2426543</v>
      </c>
      <c r="AB11" s="71">
        <v>234436</v>
      </c>
      <c r="AC11" s="71">
        <v>377331</v>
      </c>
      <c r="AD11" s="71">
        <v>48386</v>
      </c>
      <c r="AE11" s="71">
        <v>0</v>
      </c>
      <c r="AF11" s="71">
        <v>407505</v>
      </c>
      <c r="AG11" s="71">
        <v>3494201</v>
      </c>
      <c r="AH11" s="71">
        <v>4142141</v>
      </c>
      <c r="AI11" s="71">
        <v>1672238</v>
      </c>
      <c r="AJ11" s="71">
        <v>2145647</v>
      </c>
      <c r="AK11" s="71">
        <v>107703</v>
      </c>
      <c r="AL11" s="71">
        <v>0</v>
      </c>
      <c r="AM11" s="71">
        <v>407505</v>
      </c>
      <c r="AN11" s="71">
        <v>8475234</v>
      </c>
      <c r="AO11" s="71">
        <v>0</v>
      </c>
      <c r="AP11" s="71">
        <v>0</v>
      </c>
      <c r="AQ11" s="71">
        <v>250947</v>
      </c>
      <c r="AR11" s="71">
        <v>0</v>
      </c>
      <c r="AS11" s="71">
        <v>250947</v>
      </c>
      <c r="AT11" s="71">
        <v>0</v>
      </c>
      <c r="AU11" s="71">
        <v>0</v>
      </c>
      <c r="AV11" s="71">
        <v>188277</v>
      </c>
      <c r="AW11" s="71">
        <v>0</v>
      </c>
      <c r="AX11" s="71">
        <v>188277</v>
      </c>
      <c r="AY11" s="71">
        <v>0</v>
      </c>
      <c r="AZ11" s="71">
        <v>0</v>
      </c>
      <c r="BA11" s="71">
        <v>439224</v>
      </c>
      <c r="BB11" s="71">
        <v>0</v>
      </c>
      <c r="BC11" s="71">
        <v>439224</v>
      </c>
      <c r="BD11" s="71">
        <v>444588</v>
      </c>
      <c r="BE11" s="71">
        <v>0</v>
      </c>
      <c r="BF11" s="71">
        <v>0</v>
      </c>
      <c r="BG11" s="71">
        <v>0</v>
      </c>
      <c r="BH11" s="71">
        <v>0</v>
      </c>
      <c r="BI11" s="71">
        <v>444588</v>
      </c>
      <c r="BJ11" s="71">
        <v>0</v>
      </c>
      <c r="BK11" s="71">
        <v>0</v>
      </c>
      <c r="BL11" s="71">
        <v>107675</v>
      </c>
      <c r="BM11" s="71">
        <v>0</v>
      </c>
      <c r="BN11" s="71">
        <v>0</v>
      </c>
      <c r="BO11" s="71">
        <v>107675</v>
      </c>
      <c r="BP11" s="71">
        <v>2168681</v>
      </c>
      <c r="BQ11" s="71">
        <v>641205</v>
      </c>
      <c r="BR11" s="71">
        <v>0</v>
      </c>
      <c r="BS11" s="71">
        <v>0</v>
      </c>
      <c r="BT11" s="71">
        <v>0</v>
      </c>
      <c r="BU11" s="71">
        <v>2809886</v>
      </c>
      <c r="BV11" s="71">
        <v>2613269</v>
      </c>
      <c r="BW11" s="71">
        <v>641205</v>
      </c>
      <c r="BX11" s="71">
        <v>107675</v>
      </c>
      <c r="BY11" s="71">
        <v>0</v>
      </c>
      <c r="BZ11" s="71">
        <v>0</v>
      </c>
      <c r="CA11" s="71">
        <v>3362149</v>
      </c>
      <c r="CB11" s="71">
        <v>0</v>
      </c>
      <c r="CC11" s="71">
        <v>0</v>
      </c>
      <c r="CD11" s="71">
        <v>0</v>
      </c>
      <c r="CE11" s="71">
        <v>0</v>
      </c>
      <c r="CF11" s="71">
        <v>0</v>
      </c>
      <c r="CG11" s="71">
        <v>0</v>
      </c>
      <c r="CH11" s="71">
        <v>0</v>
      </c>
      <c r="CI11" s="71">
        <v>0</v>
      </c>
      <c r="CJ11" s="71">
        <v>0</v>
      </c>
      <c r="CK11" s="71">
        <v>0</v>
      </c>
      <c r="CL11" s="71">
        <v>0</v>
      </c>
      <c r="CM11" s="71">
        <v>0</v>
      </c>
      <c r="CN11" s="71">
        <v>0</v>
      </c>
      <c r="CO11" s="71">
        <v>0</v>
      </c>
      <c r="CP11" s="71">
        <v>0</v>
      </c>
      <c r="CQ11" s="71">
        <v>0</v>
      </c>
      <c r="CR11" s="71" t="s">
        <v>362</v>
      </c>
      <c r="CS11" s="71">
        <v>1370228</v>
      </c>
      <c r="CT11" s="71">
        <v>0</v>
      </c>
      <c r="CU11" s="71">
        <v>89952</v>
      </c>
      <c r="CV11" s="71">
        <v>13537</v>
      </c>
      <c r="CW11" s="71">
        <v>354992</v>
      </c>
      <c r="CX11" s="71">
        <v>204355</v>
      </c>
      <c r="CY11" s="71">
        <v>0</v>
      </c>
      <c r="CZ11" s="71">
        <v>6592</v>
      </c>
      <c r="DA11" s="71">
        <v>40262</v>
      </c>
      <c r="DB11" s="71">
        <v>0</v>
      </c>
      <c r="DC11" s="71">
        <v>135040</v>
      </c>
      <c r="DD11" s="71">
        <v>0</v>
      </c>
      <c r="DE11" s="71">
        <v>40944</v>
      </c>
      <c r="DF11" s="71">
        <v>494608</v>
      </c>
      <c r="DG11" s="71">
        <v>80024</v>
      </c>
      <c r="DH11" s="71">
        <v>129043</v>
      </c>
      <c r="DI11" s="71">
        <v>0</v>
      </c>
      <c r="DJ11" s="71">
        <v>141708</v>
      </c>
      <c r="DK11" s="71">
        <v>0</v>
      </c>
      <c r="DL11" s="71">
        <v>234016</v>
      </c>
      <c r="DM11" s="71">
        <v>281856</v>
      </c>
      <c r="DN11" s="71">
        <v>0</v>
      </c>
      <c r="DO11" s="71">
        <v>56</v>
      </c>
      <c r="DP11" s="71">
        <v>4032</v>
      </c>
      <c r="DQ11" s="71">
        <v>103216</v>
      </c>
      <c r="DR11" s="71">
        <v>33456</v>
      </c>
      <c r="DS11" s="71">
        <v>882080</v>
      </c>
      <c r="DT11" s="71">
        <v>176732</v>
      </c>
      <c r="DU11" s="71">
        <v>0</v>
      </c>
      <c r="DV11" s="71">
        <v>181440</v>
      </c>
      <c r="DW11" s="71">
        <v>54912</v>
      </c>
      <c r="DX11" s="71">
        <v>3682853</v>
      </c>
      <c r="DY11" s="71">
        <v>238984</v>
      </c>
      <c r="DZ11" s="71">
        <v>121540</v>
      </c>
      <c r="EA11" s="71">
        <v>885128</v>
      </c>
      <c r="EB11" s="71">
        <v>348432</v>
      </c>
      <c r="EC11" s="71">
        <v>0</v>
      </c>
      <c r="ED11" s="71">
        <v>13572</v>
      </c>
      <c r="EE11" s="71">
        <v>369085</v>
      </c>
      <c r="EF11" s="71">
        <v>0</v>
      </c>
      <c r="EG11" s="71">
        <v>291243</v>
      </c>
      <c r="EH11" s="71">
        <v>0</v>
      </c>
      <c r="EI11" s="71">
        <v>68658</v>
      </c>
      <c r="EJ11" s="71">
        <v>1487396</v>
      </c>
      <c r="EK11" s="71">
        <v>138836</v>
      </c>
      <c r="EL11" s="71">
        <v>615029</v>
      </c>
      <c r="EM11" s="71">
        <v>0</v>
      </c>
      <c r="EN11" s="71">
        <v>505811</v>
      </c>
      <c r="EO11" s="71">
        <v>0</v>
      </c>
      <c r="EP11" s="71">
        <v>841770</v>
      </c>
      <c r="EQ11" s="71">
        <v>614630</v>
      </c>
      <c r="ER11" s="71">
        <v>0</v>
      </c>
      <c r="ES11" s="71">
        <v>188</v>
      </c>
      <c r="ET11" s="71">
        <v>15215</v>
      </c>
      <c r="EU11" s="71">
        <v>322337</v>
      </c>
      <c r="EV11" s="71">
        <v>117877</v>
      </c>
      <c r="EW11" s="71">
        <v>1984191</v>
      </c>
      <c r="EX11" s="71">
        <v>455027</v>
      </c>
      <c r="EY11" s="71">
        <v>0</v>
      </c>
      <c r="EZ11" s="71">
        <v>501702</v>
      </c>
      <c r="FA11" s="71">
        <v>183504</v>
      </c>
      <c r="FB11" s="71">
        <v>10120155</v>
      </c>
      <c r="FC11" s="71">
        <v>84601</v>
      </c>
      <c r="FD11" s="71">
        <v>8665</v>
      </c>
      <c r="FE11" s="71">
        <v>35823</v>
      </c>
      <c r="FF11" s="71">
        <v>20450</v>
      </c>
      <c r="FG11" s="71">
        <v>0</v>
      </c>
      <c r="FH11" s="71">
        <v>903</v>
      </c>
      <c r="FI11" s="71">
        <v>5969</v>
      </c>
      <c r="FJ11" s="71">
        <v>0</v>
      </c>
      <c r="FK11" s="71">
        <v>50811</v>
      </c>
      <c r="FL11" s="71">
        <v>0</v>
      </c>
      <c r="FM11" s="71">
        <v>7730</v>
      </c>
      <c r="FN11" s="71">
        <v>163342</v>
      </c>
      <c r="FO11" s="71">
        <v>5919</v>
      </c>
      <c r="FP11" s="71">
        <v>79233</v>
      </c>
      <c r="FQ11" s="71">
        <v>0</v>
      </c>
      <c r="FR11" s="71">
        <v>66487</v>
      </c>
      <c r="FS11" s="71">
        <v>0</v>
      </c>
      <c r="FT11" s="71">
        <v>56231</v>
      </c>
      <c r="FU11" s="71">
        <v>22286</v>
      </c>
      <c r="FV11" s="71">
        <v>0</v>
      </c>
      <c r="FW11" s="71">
        <v>36</v>
      </c>
      <c r="FX11" s="71">
        <v>321</v>
      </c>
      <c r="FY11" s="71">
        <v>42545</v>
      </c>
      <c r="FZ11" s="71">
        <v>2359</v>
      </c>
      <c r="GA11" s="71">
        <v>61052</v>
      </c>
      <c r="GB11" s="71">
        <v>43867</v>
      </c>
      <c r="GC11" s="71">
        <v>0</v>
      </c>
      <c r="GD11" s="71">
        <v>12730</v>
      </c>
      <c r="GE11" s="71">
        <v>3542</v>
      </c>
      <c r="GF11" s="71">
        <v>774902</v>
      </c>
      <c r="GG11" s="71">
        <v>40696</v>
      </c>
      <c r="GH11" s="71">
        <v>16375</v>
      </c>
      <c r="GI11" s="71">
        <v>115824</v>
      </c>
      <c r="GJ11" s="71">
        <v>46393</v>
      </c>
      <c r="GK11" s="71">
        <v>0</v>
      </c>
      <c r="GL11" s="71">
        <v>1820</v>
      </c>
      <c r="GM11" s="71">
        <v>47169</v>
      </c>
      <c r="GN11" s="71">
        <v>0</v>
      </c>
      <c r="GO11" s="71">
        <v>43019</v>
      </c>
      <c r="GP11" s="71">
        <v>0</v>
      </c>
      <c r="GQ11" s="71">
        <v>9607</v>
      </c>
      <c r="GR11" s="71">
        <v>207607</v>
      </c>
      <c r="GS11" s="71">
        <v>18205</v>
      </c>
      <c r="GT11" s="71">
        <v>87315</v>
      </c>
      <c r="GU11" s="71">
        <v>0</v>
      </c>
      <c r="GV11" s="71">
        <v>71976</v>
      </c>
      <c r="GW11" s="71">
        <v>0</v>
      </c>
      <c r="GX11" s="71">
        <v>112938</v>
      </c>
      <c r="GY11" s="71">
        <v>80102</v>
      </c>
      <c r="GZ11" s="71">
        <v>0</v>
      </c>
      <c r="HA11" s="71">
        <v>28</v>
      </c>
      <c r="HB11" s="71">
        <v>1954</v>
      </c>
      <c r="HC11" s="71">
        <v>45890</v>
      </c>
      <c r="HD11" s="71">
        <v>15122</v>
      </c>
      <c r="HE11" s="71">
        <v>257222</v>
      </c>
      <c r="HF11" s="71">
        <v>62744</v>
      </c>
      <c r="HG11" s="71">
        <v>0</v>
      </c>
      <c r="HH11" s="71">
        <v>64698</v>
      </c>
      <c r="HI11" s="71">
        <v>23524</v>
      </c>
      <c r="HJ11" s="71">
        <v>1370228</v>
      </c>
      <c r="HK11" s="71">
        <v>143962</v>
      </c>
      <c r="HL11" s="71">
        <v>54782</v>
      </c>
      <c r="HM11" s="71">
        <v>156804</v>
      </c>
      <c r="HN11" s="71">
        <v>92398</v>
      </c>
      <c r="HO11" s="71">
        <v>0</v>
      </c>
      <c r="HP11" s="71">
        <v>11892</v>
      </c>
      <c r="HQ11" s="71">
        <v>73048</v>
      </c>
      <c r="HR11" s="71">
        <v>0</v>
      </c>
      <c r="HS11" s="71">
        <v>70270</v>
      </c>
      <c r="HT11" s="71">
        <v>0</v>
      </c>
      <c r="HU11" s="71">
        <v>48476</v>
      </c>
      <c r="HV11" s="71">
        <v>224896</v>
      </c>
      <c r="HW11" s="71">
        <v>23629</v>
      </c>
      <c r="HX11" s="71">
        <v>146836</v>
      </c>
      <c r="HY11" s="71">
        <v>0</v>
      </c>
      <c r="HZ11" s="71">
        <v>205059</v>
      </c>
      <c r="IA11" s="71">
        <v>0</v>
      </c>
      <c r="IB11" s="71">
        <v>128337</v>
      </c>
      <c r="IC11" s="71">
        <v>74254</v>
      </c>
      <c r="ID11" s="71">
        <v>0</v>
      </c>
      <c r="IE11" s="71">
        <v>216</v>
      </c>
      <c r="IF11" s="71">
        <v>845</v>
      </c>
      <c r="IG11" s="71">
        <v>25276</v>
      </c>
      <c r="IH11" s="71">
        <v>12759</v>
      </c>
      <c r="II11" s="71">
        <v>224334</v>
      </c>
      <c r="IJ11" s="71">
        <v>108979</v>
      </c>
      <c r="IK11" s="71">
        <v>0</v>
      </c>
      <c r="IL11" s="71">
        <v>51361</v>
      </c>
      <c r="IM11" s="71">
        <v>16059</v>
      </c>
      <c r="IN11" s="71">
        <v>1894472</v>
      </c>
      <c r="IO11" s="71">
        <v>269259</v>
      </c>
      <c r="IP11" s="71">
        <v>79822</v>
      </c>
      <c r="IQ11" s="71">
        <v>308451</v>
      </c>
      <c r="IR11" s="71">
        <v>159241</v>
      </c>
      <c r="IS11" s="71">
        <v>0</v>
      </c>
      <c r="IT11" s="71">
        <v>14615</v>
      </c>
      <c r="IU11" s="71">
        <v>126186</v>
      </c>
      <c r="IV11" s="71">
        <v>0</v>
      </c>
      <c r="IW11" s="71">
        <v>164100</v>
      </c>
      <c r="IX11" s="71">
        <v>0</v>
      </c>
      <c r="IY11" s="71">
        <v>65813</v>
      </c>
      <c r="IZ11" s="71">
        <v>595845</v>
      </c>
      <c r="JA11" s="71">
        <v>47753</v>
      </c>
      <c r="JB11" s="71">
        <v>313384</v>
      </c>
      <c r="JC11" s="71">
        <v>0</v>
      </c>
      <c r="JD11" s="71">
        <v>343522</v>
      </c>
      <c r="JE11" s="71">
        <v>0</v>
      </c>
      <c r="JF11" s="71">
        <v>297506</v>
      </c>
      <c r="JG11" s="71">
        <v>176642</v>
      </c>
      <c r="JH11" s="71">
        <v>0</v>
      </c>
      <c r="JI11" s="71">
        <v>280</v>
      </c>
      <c r="JJ11" s="71">
        <v>3120</v>
      </c>
      <c r="JK11" s="71">
        <v>113711</v>
      </c>
      <c r="JL11" s="71">
        <v>30240</v>
      </c>
      <c r="JM11" s="71">
        <v>542608</v>
      </c>
      <c r="JN11" s="71">
        <v>215590</v>
      </c>
      <c r="JO11" s="71">
        <v>0</v>
      </c>
      <c r="JP11" s="71">
        <v>128789</v>
      </c>
      <c r="JQ11" s="71">
        <v>43125</v>
      </c>
      <c r="JR11" s="71">
        <v>4039602</v>
      </c>
      <c r="JS11" s="71">
        <v>508243</v>
      </c>
      <c r="JT11" s="71">
        <v>201362</v>
      </c>
      <c r="JU11" s="71">
        <v>1193579</v>
      </c>
      <c r="JV11" s="71">
        <v>507673</v>
      </c>
      <c r="JW11" s="71">
        <v>0</v>
      </c>
      <c r="JX11" s="71">
        <v>28187</v>
      </c>
      <c r="JY11" s="71">
        <v>495271</v>
      </c>
      <c r="JZ11" s="71">
        <v>0</v>
      </c>
      <c r="KA11" s="71">
        <v>455343</v>
      </c>
      <c r="KB11" s="71">
        <v>0</v>
      </c>
      <c r="KC11" s="71">
        <v>134471</v>
      </c>
      <c r="KD11" s="71">
        <v>2083241</v>
      </c>
      <c r="KE11" s="71">
        <v>186589</v>
      </c>
      <c r="KF11" s="71">
        <v>928413</v>
      </c>
      <c r="KG11" s="71">
        <v>0</v>
      </c>
      <c r="KH11" s="71">
        <v>849333</v>
      </c>
      <c r="KI11" s="71">
        <v>0</v>
      </c>
      <c r="KJ11" s="71">
        <v>1139276</v>
      </c>
      <c r="KK11" s="71">
        <v>791272</v>
      </c>
      <c r="KL11" s="71">
        <v>0</v>
      </c>
      <c r="KM11" s="71">
        <v>468</v>
      </c>
      <c r="KN11" s="71">
        <v>18335</v>
      </c>
      <c r="KO11" s="71">
        <v>436048</v>
      </c>
      <c r="KP11" s="71">
        <v>148117</v>
      </c>
      <c r="KQ11" s="71">
        <v>2526799</v>
      </c>
      <c r="KR11" s="71">
        <v>670617</v>
      </c>
      <c r="KS11" s="71">
        <v>0</v>
      </c>
      <c r="KT11" s="71">
        <v>630491</v>
      </c>
      <c r="KU11" s="71">
        <v>226629</v>
      </c>
      <c r="KV11" s="71">
        <v>14159757</v>
      </c>
      <c r="KW11" s="71" t="s">
        <v>1070</v>
      </c>
      <c r="KX11" s="71">
        <v>23292997</v>
      </c>
      <c r="KY11" s="71">
        <v>3801373</v>
      </c>
      <c r="KZ11" s="71">
        <v>27094370</v>
      </c>
      <c r="LA11" s="71">
        <v>0</v>
      </c>
      <c r="LB11" s="71">
        <v>407505</v>
      </c>
    </row>
    <row r="12" spans="1:314" x14ac:dyDescent="0.25">
      <c r="A12" s="71" t="s">
        <v>364</v>
      </c>
      <c r="B12" s="71" t="s">
        <v>1100</v>
      </c>
      <c r="C12" s="160" t="s">
        <v>1345</v>
      </c>
      <c r="D12" s="71" t="s">
        <v>1403</v>
      </c>
      <c r="E12" s="2">
        <v>41304.486493055556</v>
      </c>
      <c r="F12" s="71"/>
      <c r="G12" s="71" t="s">
        <v>365</v>
      </c>
      <c r="H12" s="71" t="s">
        <v>1101</v>
      </c>
      <c r="I12" s="71" t="s">
        <v>1102</v>
      </c>
      <c r="J12" s="71" t="s">
        <v>1103</v>
      </c>
      <c r="K12" s="71" t="s">
        <v>1104</v>
      </c>
      <c r="L12" s="71">
        <v>0</v>
      </c>
      <c r="M12" s="71">
        <v>0</v>
      </c>
      <c r="N12" s="71">
        <v>0</v>
      </c>
      <c r="O12" s="71">
        <v>63168397</v>
      </c>
      <c r="P12" s="71">
        <v>0</v>
      </c>
      <c r="Q12" s="71">
        <v>3581532</v>
      </c>
      <c r="R12" s="71">
        <v>0</v>
      </c>
      <c r="S12" s="71">
        <v>3581532</v>
      </c>
      <c r="T12" s="71">
        <v>6518948</v>
      </c>
      <c r="U12" s="71">
        <v>2667280</v>
      </c>
      <c r="V12" s="71">
        <v>2898870</v>
      </c>
      <c r="W12" s="71">
        <v>0</v>
      </c>
      <c r="X12" s="71">
        <v>0</v>
      </c>
      <c r="Y12" s="71">
        <v>0</v>
      </c>
      <c r="Z12" s="71">
        <v>12085098</v>
      </c>
      <c r="AA12" s="71">
        <v>6194172</v>
      </c>
      <c r="AB12" s="71">
        <v>887057</v>
      </c>
      <c r="AC12" s="71">
        <v>776605</v>
      </c>
      <c r="AD12" s="71">
        <v>0</v>
      </c>
      <c r="AE12" s="71">
        <v>0</v>
      </c>
      <c r="AF12" s="71">
        <v>0</v>
      </c>
      <c r="AG12" s="71">
        <v>7857834</v>
      </c>
      <c r="AH12" s="71">
        <v>12713120</v>
      </c>
      <c r="AI12" s="71">
        <v>3554337</v>
      </c>
      <c r="AJ12" s="71">
        <v>3675475</v>
      </c>
      <c r="AK12" s="71">
        <v>0</v>
      </c>
      <c r="AL12" s="71">
        <v>0</v>
      </c>
      <c r="AM12" s="71">
        <v>0</v>
      </c>
      <c r="AN12" s="71">
        <v>19942932</v>
      </c>
      <c r="AO12" s="71">
        <v>235875</v>
      </c>
      <c r="AP12" s="71">
        <v>0</v>
      </c>
      <c r="AQ12" s="71">
        <v>21013</v>
      </c>
      <c r="AR12" s="71">
        <v>0</v>
      </c>
      <c r="AS12" s="71">
        <v>256888</v>
      </c>
      <c r="AT12" s="71">
        <v>25241</v>
      </c>
      <c r="AU12" s="71">
        <v>0</v>
      </c>
      <c r="AV12" s="71">
        <v>1496</v>
      </c>
      <c r="AW12" s="71">
        <v>0</v>
      </c>
      <c r="AX12" s="71">
        <v>26737</v>
      </c>
      <c r="AY12" s="71">
        <v>261116</v>
      </c>
      <c r="AZ12" s="71">
        <v>0</v>
      </c>
      <c r="BA12" s="71">
        <v>22509</v>
      </c>
      <c r="BB12" s="71">
        <v>0</v>
      </c>
      <c r="BC12" s="71">
        <v>283625</v>
      </c>
      <c r="BD12" s="71">
        <v>726699</v>
      </c>
      <c r="BE12" s="71">
        <v>0</v>
      </c>
      <c r="BF12" s="71">
        <v>0</v>
      </c>
      <c r="BG12" s="71">
        <v>0</v>
      </c>
      <c r="BH12" s="71">
        <v>0</v>
      </c>
      <c r="BI12" s="71">
        <v>726699</v>
      </c>
      <c r="BJ12" s="71">
        <v>0</v>
      </c>
      <c r="BK12" s="71">
        <v>0</v>
      </c>
      <c r="BL12" s="71">
        <v>265907</v>
      </c>
      <c r="BM12" s="71">
        <v>0</v>
      </c>
      <c r="BN12" s="71">
        <v>0</v>
      </c>
      <c r="BO12" s="71">
        <v>265907</v>
      </c>
      <c r="BP12" s="71">
        <v>6646362</v>
      </c>
      <c r="BQ12" s="71">
        <v>0</v>
      </c>
      <c r="BR12" s="71">
        <v>0</v>
      </c>
      <c r="BS12" s="71">
        <v>0</v>
      </c>
      <c r="BT12" s="71">
        <v>2356798</v>
      </c>
      <c r="BU12" s="71">
        <v>9003160</v>
      </c>
      <c r="BV12" s="71">
        <v>7373061</v>
      </c>
      <c r="BW12" s="71">
        <v>0</v>
      </c>
      <c r="BX12" s="71">
        <v>265907</v>
      </c>
      <c r="BY12" s="71">
        <v>0</v>
      </c>
      <c r="BZ12" s="71">
        <v>2356798</v>
      </c>
      <c r="CA12" s="71">
        <v>9995766</v>
      </c>
      <c r="CB12" s="71">
        <v>0</v>
      </c>
      <c r="CC12" s="71">
        <v>0</v>
      </c>
      <c r="CD12" s="71">
        <v>0</v>
      </c>
      <c r="CE12" s="71">
        <v>0</v>
      </c>
      <c r="CF12" s="71">
        <v>0</v>
      </c>
      <c r="CG12" s="71">
        <v>0</v>
      </c>
      <c r="CH12" s="71">
        <v>0</v>
      </c>
      <c r="CI12" s="71">
        <v>0</v>
      </c>
      <c r="CJ12" s="71">
        <v>0</v>
      </c>
      <c r="CK12" s="71">
        <v>0</v>
      </c>
      <c r="CL12" s="71">
        <v>0</v>
      </c>
      <c r="CM12" s="71">
        <v>0</v>
      </c>
      <c r="CN12" s="71">
        <v>0</v>
      </c>
      <c r="CO12" s="71">
        <v>0</v>
      </c>
      <c r="CP12" s="71">
        <v>0</v>
      </c>
      <c r="CQ12" s="71">
        <v>0</v>
      </c>
      <c r="CR12" s="71" t="s">
        <v>364</v>
      </c>
      <c r="CS12" s="71">
        <v>6058267</v>
      </c>
      <c r="CT12" s="71">
        <v>0</v>
      </c>
      <c r="CU12" s="71">
        <v>272</v>
      </c>
      <c r="CV12" s="71">
        <v>213256</v>
      </c>
      <c r="CW12" s="71">
        <v>600416</v>
      </c>
      <c r="CX12" s="71">
        <v>324616</v>
      </c>
      <c r="CY12" s="71">
        <v>0</v>
      </c>
      <c r="CZ12" s="71">
        <v>39776</v>
      </c>
      <c r="DA12" s="71">
        <v>183097</v>
      </c>
      <c r="DB12" s="71">
        <v>61972</v>
      </c>
      <c r="DC12" s="71">
        <v>218070</v>
      </c>
      <c r="DD12" s="71">
        <v>4320</v>
      </c>
      <c r="DE12" s="71">
        <v>157796</v>
      </c>
      <c r="DF12" s="71">
        <v>567088</v>
      </c>
      <c r="DG12" s="71">
        <v>98456</v>
      </c>
      <c r="DH12" s="71">
        <v>279740</v>
      </c>
      <c r="DI12" s="71">
        <v>33456</v>
      </c>
      <c r="DJ12" s="71">
        <v>455919</v>
      </c>
      <c r="DK12" s="71">
        <v>20512</v>
      </c>
      <c r="DL12" s="71">
        <v>576</v>
      </c>
      <c r="DM12" s="71">
        <v>236424</v>
      </c>
      <c r="DN12" s="71">
        <v>83628</v>
      </c>
      <c r="DO12" s="71">
        <v>165512</v>
      </c>
      <c r="DP12" s="71">
        <v>31876</v>
      </c>
      <c r="DQ12" s="71">
        <v>118992</v>
      </c>
      <c r="DR12" s="71">
        <v>148840</v>
      </c>
      <c r="DS12" s="71">
        <v>638240</v>
      </c>
      <c r="DT12" s="71">
        <v>265836</v>
      </c>
      <c r="DU12" s="71">
        <v>0</v>
      </c>
      <c r="DV12" s="71">
        <v>229520</v>
      </c>
      <c r="DW12" s="71">
        <v>225824</v>
      </c>
      <c r="DX12" s="71">
        <v>5404030</v>
      </c>
      <c r="DY12" s="71">
        <v>93</v>
      </c>
      <c r="DZ12" s="71">
        <v>518281</v>
      </c>
      <c r="EA12" s="71">
        <v>1804721</v>
      </c>
      <c r="EB12" s="71">
        <v>1528740</v>
      </c>
      <c r="EC12" s="71">
        <v>0</v>
      </c>
      <c r="ED12" s="71">
        <v>171876</v>
      </c>
      <c r="EE12" s="71">
        <v>844611</v>
      </c>
      <c r="EF12" s="71">
        <v>23888</v>
      </c>
      <c r="EG12" s="71">
        <v>794617</v>
      </c>
      <c r="EH12" s="71">
        <v>7248</v>
      </c>
      <c r="EI12" s="71">
        <v>554742</v>
      </c>
      <c r="EJ12" s="71">
        <v>3496024</v>
      </c>
      <c r="EK12" s="71">
        <v>298272</v>
      </c>
      <c r="EL12" s="71">
        <v>2093152</v>
      </c>
      <c r="EM12" s="71">
        <v>382997</v>
      </c>
      <c r="EN12" s="71">
        <v>2272678</v>
      </c>
      <c r="EO12" s="71">
        <v>185718</v>
      </c>
      <c r="EP12" s="71">
        <v>4495</v>
      </c>
      <c r="EQ12" s="71">
        <v>1160556</v>
      </c>
      <c r="ER12" s="71">
        <v>481036</v>
      </c>
      <c r="ES12" s="71">
        <v>520403</v>
      </c>
      <c r="ET12" s="71">
        <v>141457</v>
      </c>
      <c r="EU12" s="71">
        <v>478923</v>
      </c>
      <c r="EV12" s="71">
        <v>850418</v>
      </c>
      <c r="EW12" s="71">
        <v>2143732</v>
      </c>
      <c r="EX12" s="71">
        <v>1067034</v>
      </c>
      <c r="EY12" s="71">
        <v>0</v>
      </c>
      <c r="EZ12" s="71">
        <v>1174673</v>
      </c>
      <c r="FA12" s="71">
        <v>1072585</v>
      </c>
      <c r="FB12" s="71">
        <v>24072970</v>
      </c>
      <c r="FC12" s="71">
        <v>58</v>
      </c>
      <c r="FD12" s="71">
        <v>15518</v>
      </c>
      <c r="FE12" s="71">
        <v>4899</v>
      </c>
      <c r="FF12" s="71">
        <v>38846</v>
      </c>
      <c r="FG12" s="71">
        <v>0</v>
      </c>
      <c r="FH12" s="71">
        <v>16800</v>
      </c>
      <c r="FI12" s="71">
        <v>682</v>
      </c>
      <c r="FJ12" s="71">
        <v>8142</v>
      </c>
      <c r="FK12" s="71">
        <v>10091</v>
      </c>
      <c r="FL12" s="71">
        <v>0</v>
      </c>
      <c r="FM12" s="71">
        <v>1835</v>
      </c>
      <c r="FN12" s="71">
        <v>61848</v>
      </c>
      <c r="FO12" s="71">
        <v>34408</v>
      </c>
      <c r="FP12" s="71">
        <v>6737</v>
      </c>
      <c r="FQ12" s="71">
        <v>0</v>
      </c>
      <c r="FR12" s="71">
        <v>43373</v>
      </c>
      <c r="FS12" s="71">
        <v>0</v>
      </c>
      <c r="FT12" s="71">
        <v>0</v>
      </c>
      <c r="FU12" s="71">
        <v>31310</v>
      </c>
      <c r="FV12" s="71">
        <v>45649</v>
      </c>
      <c r="FW12" s="71">
        <v>9191</v>
      </c>
      <c r="FX12" s="71">
        <v>0</v>
      </c>
      <c r="FY12" s="71">
        <v>3196</v>
      </c>
      <c r="FZ12" s="71">
        <v>816</v>
      </c>
      <c r="GA12" s="71">
        <v>599</v>
      </c>
      <c r="GB12" s="71">
        <v>19274</v>
      </c>
      <c r="GC12" s="71">
        <v>0</v>
      </c>
      <c r="GD12" s="71">
        <v>32390</v>
      </c>
      <c r="GE12" s="71">
        <v>52679</v>
      </c>
      <c r="GF12" s="71">
        <v>438341</v>
      </c>
      <c r="GG12" s="71">
        <v>37</v>
      </c>
      <c r="GH12" s="71">
        <v>131935</v>
      </c>
      <c r="GI12" s="71">
        <v>447269</v>
      </c>
      <c r="GJ12" s="71">
        <v>387448</v>
      </c>
      <c r="GK12" s="71">
        <v>0</v>
      </c>
      <c r="GL12" s="71">
        <v>46634</v>
      </c>
      <c r="GM12" s="71">
        <v>208924</v>
      </c>
      <c r="GN12" s="71">
        <v>7917</v>
      </c>
      <c r="GO12" s="71">
        <v>198893</v>
      </c>
      <c r="GP12" s="71">
        <v>1791</v>
      </c>
      <c r="GQ12" s="71">
        <v>137565</v>
      </c>
      <c r="GR12" s="71">
        <v>879371</v>
      </c>
      <c r="GS12" s="71">
        <v>82226</v>
      </c>
      <c r="GT12" s="71">
        <v>519013</v>
      </c>
      <c r="GU12" s="71">
        <v>94662</v>
      </c>
      <c r="GV12" s="71">
        <v>572440</v>
      </c>
      <c r="GW12" s="71">
        <v>45902</v>
      </c>
      <c r="GX12" s="71">
        <v>1111</v>
      </c>
      <c r="GY12" s="71">
        <v>294584</v>
      </c>
      <c r="GZ12" s="71">
        <v>130177</v>
      </c>
      <c r="HA12" s="71">
        <v>130896</v>
      </c>
      <c r="HB12" s="71">
        <v>34963</v>
      </c>
      <c r="HC12" s="71">
        <v>119162</v>
      </c>
      <c r="HD12" s="71">
        <v>210393</v>
      </c>
      <c r="HE12" s="71">
        <v>529997</v>
      </c>
      <c r="HF12" s="71">
        <v>268494</v>
      </c>
      <c r="HG12" s="71">
        <v>0</v>
      </c>
      <c r="HH12" s="71">
        <v>298340</v>
      </c>
      <c r="HI12" s="71">
        <v>278123</v>
      </c>
      <c r="HJ12" s="71">
        <v>6058267</v>
      </c>
      <c r="HK12" s="71">
        <v>70</v>
      </c>
      <c r="HL12" s="71">
        <v>113673</v>
      </c>
      <c r="HM12" s="71">
        <v>101031</v>
      </c>
      <c r="HN12" s="71">
        <v>33571</v>
      </c>
      <c r="HO12" s="71">
        <v>0</v>
      </c>
      <c r="HP12" s="71">
        <v>7840</v>
      </c>
      <c r="HQ12" s="71">
        <v>8778</v>
      </c>
      <c r="HR12" s="71">
        <v>9809</v>
      </c>
      <c r="HS12" s="71">
        <v>122433</v>
      </c>
      <c r="HT12" s="71">
        <v>0</v>
      </c>
      <c r="HU12" s="71">
        <v>32914</v>
      </c>
      <c r="HV12" s="71">
        <v>76495</v>
      </c>
      <c r="HW12" s="71">
        <v>11930</v>
      </c>
      <c r="HX12" s="71">
        <v>129897</v>
      </c>
      <c r="HY12" s="71">
        <v>26837</v>
      </c>
      <c r="HZ12" s="71">
        <v>154381</v>
      </c>
      <c r="IA12" s="71">
        <v>6762</v>
      </c>
      <c r="IB12" s="71">
        <v>255</v>
      </c>
      <c r="IC12" s="71">
        <v>10674</v>
      </c>
      <c r="ID12" s="71">
        <v>54813</v>
      </c>
      <c r="IE12" s="71">
        <v>65517</v>
      </c>
      <c r="IF12" s="71">
        <v>5253</v>
      </c>
      <c r="IG12" s="71">
        <v>18795</v>
      </c>
      <c r="IH12" s="71">
        <v>59963</v>
      </c>
      <c r="II12" s="71">
        <v>4897</v>
      </c>
      <c r="IJ12" s="71">
        <v>68745</v>
      </c>
      <c r="IK12" s="71">
        <v>0</v>
      </c>
      <c r="IL12" s="71">
        <v>8020</v>
      </c>
      <c r="IM12" s="71">
        <v>18409</v>
      </c>
      <c r="IN12" s="71">
        <v>1151762</v>
      </c>
      <c r="IO12" s="71">
        <v>165</v>
      </c>
      <c r="IP12" s="71">
        <v>261126</v>
      </c>
      <c r="IQ12" s="71">
        <v>553199</v>
      </c>
      <c r="IR12" s="71">
        <v>459865</v>
      </c>
      <c r="IS12" s="71">
        <v>0</v>
      </c>
      <c r="IT12" s="71">
        <v>71274</v>
      </c>
      <c r="IU12" s="71">
        <v>218384</v>
      </c>
      <c r="IV12" s="71">
        <v>25868</v>
      </c>
      <c r="IW12" s="71">
        <v>331417</v>
      </c>
      <c r="IX12" s="71">
        <v>1791</v>
      </c>
      <c r="IY12" s="71">
        <v>172314</v>
      </c>
      <c r="IZ12" s="71">
        <v>1017714</v>
      </c>
      <c r="JA12" s="71">
        <v>128564</v>
      </c>
      <c r="JB12" s="71">
        <v>655647</v>
      </c>
      <c r="JC12" s="71">
        <v>121499</v>
      </c>
      <c r="JD12" s="71">
        <v>770194</v>
      </c>
      <c r="JE12" s="71">
        <v>52664</v>
      </c>
      <c r="JF12" s="71">
        <v>1366</v>
      </c>
      <c r="JG12" s="71">
        <v>336568</v>
      </c>
      <c r="JH12" s="71">
        <v>230639</v>
      </c>
      <c r="JI12" s="71">
        <v>205604</v>
      </c>
      <c r="JJ12" s="71">
        <v>40216</v>
      </c>
      <c r="JK12" s="71">
        <v>141153</v>
      </c>
      <c r="JL12" s="71">
        <v>271172</v>
      </c>
      <c r="JM12" s="71">
        <v>535493</v>
      </c>
      <c r="JN12" s="71">
        <v>356513</v>
      </c>
      <c r="JO12" s="71">
        <v>0</v>
      </c>
      <c r="JP12" s="71">
        <v>338750</v>
      </c>
      <c r="JQ12" s="71">
        <v>349211</v>
      </c>
      <c r="JR12" s="71">
        <v>7648370</v>
      </c>
      <c r="JS12" s="71">
        <v>258</v>
      </c>
      <c r="JT12" s="71">
        <v>779407</v>
      </c>
      <c r="JU12" s="71">
        <v>2357920</v>
      </c>
      <c r="JV12" s="71">
        <v>1988605</v>
      </c>
      <c r="JW12" s="71">
        <v>0</v>
      </c>
      <c r="JX12" s="71">
        <v>243150</v>
      </c>
      <c r="JY12" s="71">
        <v>1062995</v>
      </c>
      <c r="JZ12" s="71">
        <v>49756</v>
      </c>
      <c r="KA12" s="71">
        <v>1126034</v>
      </c>
      <c r="KB12" s="71">
        <v>9039</v>
      </c>
      <c r="KC12" s="71">
        <v>727056</v>
      </c>
      <c r="KD12" s="71">
        <v>4513738</v>
      </c>
      <c r="KE12" s="71">
        <v>426836</v>
      </c>
      <c r="KF12" s="71">
        <v>2748799</v>
      </c>
      <c r="KG12" s="71">
        <v>504496</v>
      </c>
      <c r="KH12" s="71">
        <v>3042872</v>
      </c>
      <c r="KI12" s="71">
        <v>238382</v>
      </c>
      <c r="KJ12" s="71">
        <v>5861</v>
      </c>
      <c r="KK12" s="71">
        <v>1497124</v>
      </c>
      <c r="KL12" s="71">
        <v>711675</v>
      </c>
      <c r="KM12" s="71">
        <v>726007</v>
      </c>
      <c r="KN12" s="71">
        <v>181673</v>
      </c>
      <c r="KO12" s="71">
        <v>620076</v>
      </c>
      <c r="KP12" s="71">
        <v>1121590</v>
      </c>
      <c r="KQ12" s="71">
        <v>2679225</v>
      </c>
      <c r="KR12" s="71">
        <v>1423547</v>
      </c>
      <c r="KS12" s="71">
        <v>0</v>
      </c>
      <c r="KT12" s="71">
        <v>1513423</v>
      </c>
      <c r="KU12" s="71">
        <v>1421796</v>
      </c>
      <c r="KV12" s="71">
        <v>31721340</v>
      </c>
      <c r="KW12" s="71" t="s">
        <v>1070</v>
      </c>
      <c r="KX12" s="71">
        <v>55245804</v>
      </c>
      <c r="KY12" s="71">
        <v>10279391</v>
      </c>
      <c r="KZ12" s="71">
        <v>65525195</v>
      </c>
      <c r="LA12" s="71">
        <v>0</v>
      </c>
      <c r="LB12" s="71">
        <v>2356798</v>
      </c>
    </row>
    <row r="13" spans="1:314" x14ac:dyDescent="0.25">
      <c r="A13" s="71" t="s">
        <v>366</v>
      </c>
      <c r="B13" s="71" t="s">
        <v>1105</v>
      </c>
      <c r="C13" s="160" t="s">
        <v>1345</v>
      </c>
      <c r="D13" s="71" t="s">
        <v>1364</v>
      </c>
      <c r="E13" s="2">
        <v>41289.627002314817</v>
      </c>
      <c r="F13" s="71"/>
      <c r="G13" s="71" t="s">
        <v>367</v>
      </c>
      <c r="H13" s="71" t="s">
        <v>1106</v>
      </c>
      <c r="I13" s="71" t="s">
        <v>1083</v>
      </c>
      <c r="J13" s="71" t="s">
        <v>1107</v>
      </c>
      <c r="K13" s="71" t="s">
        <v>1108</v>
      </c>
      <c r="L13" s="71">
        <v>0</v>
      </c>
      <c r="M13" s="71">
        <v>0</v>
      </c>
      <c r="N13" s="71">
        <v>0</v>
      </c>
      <c r="O13" s="71">
        <v>6438269</v>
      </c>
      <c r="P13" s="71">
        <v>0</v>
      </c>
      <c r="Q13" s="71">
        <v>241710</v>
      </c>
      <c r="R13" s="71">
        <v>0</v>
      </c>
      <c r="S13" s="71">
        <v>241710</v>
      </c>
      <c r="T13" s="71">
        <v>658093</v>
      </c>
      <c r="U13" s="71">
        <v>276047</v>
      </c>
      <c r="V13" s="71">
        <v>47520</v>
      </c>
      <c r="W13" s="71">
        <v>0</v>
      </c>
      <c r="X13" s="71">
        <v>0</v>
      </c>
      <c r="Y13" s="71">
        <v>0</v>
      </c>
      <c r="Z13" s="71">
        <v>981660</v>
      </c>
      <c r="AA13" s="71">
        <v>632525</v>
      </c>
      <c r="AB13" s="71">
        <v>14460</v>
      </c>
      <c r="AC13" s="71">
        <v>84175</v>
      </c>
      <c r="AD13" s="71">
        <v>0</v>
      </c>
      <c r="AE13" s="71">
        <v>124205</v>
      </c>
      <c r="AF13" s="71">
        <v>217140</v>
      </c>
      <c r="AG13" s="71">
        <v>1072505</v>
      </c>
      <c r="AH13" s="71">
        <v>1290618</v>
      </c>
      <c r="AI13" s="71">
        <v>290507</v>
      </c>
      <c r="AJ13" s="71">
        <v>131695</v>
      </c>
      <c r="AK13" s="71">
        <v>0</v>
      </c>
      <c r="AL13" s="71">
        <v>124205</v>
      </c>
      <c r="AM13" s="71">
        <v>217140</v>
      </c>
      <c r="AN13" s="71">
        <v>2054165</v>
      </c>
      <c r="AO13" s="71">
        <v>0</v>
      </c>
      <c r="AP13" s="71">
        <v>0</v>
      </c>
      <c r="AQ13" s="71">
        <v>0</v>
      </c>
      <c r="AR13" s="71">
        <v>0</v>
      </c>
      <c r="AS13" s="71">
        <v>0</v>
      </c>
      <c r="AT13" s="71">
        <v>0</v>
      </c>
      <c r="AU13" s="71">
        <v>0</v>
      </c>
      <c r="AV13" s="71">
        <v>0</v>
      </c>
      <c r="AW13" s="71">
        <v>0</v>
      </c>
      <c r="AX13" s="71">
        <v>0</v>
      </c>
      <c r="AY13" s="71">
        <v>0</v>
      </c>
      <c r="AZ13" s="71">
        <v>0</v>
      </c>
      <c r="BA13" s="71">
        <v>0</v>
      </c>
      <c r="BB13" s="71">
        <v>0</v>
      </c>
      <c r="BC13" s="71">
        <v>0</v>
      </c>
      <c r="BD13" s="71">
        <v>294211</v>
      </c>
      <c r="BE13" s="71">
        <v>0</v>
      </c>
      <c r="BF13" s="71">
        <v>0</v>
      </c>
      <c r="BG13" s="71">
        <v>0</v>
      </c>
      <c r="BH13" s="71">
        <v>0</v>
      </c>
      <c r="BI13" s="71">
        <v>294211</v>
      </c>
      <c r="BJ13" s="71">
        <v>0</v>
      </c>
      <c r="BK13" s="71">
        <v>0</v>
      </c>
      <c r="BL13" s="71">
        <v>49670</v>
      </c>
      <c r="BM13" s="71">
        <v>0</v>
      </c>
      <c r="BN13" s="71">
        <v>0</v>
      </c>
      <c r="BO13" s="71">
        <v>49670</v>
      </c>
      <c r="BP13" s="71">
        <v>351199</v>
      </c>
      <c r="BQ13" s="71">
        <v>0</v>
      </c>
      <c r="BR13" s="71">
        <v>0</v>
      </c>
      <c r="BS13" s="71">
        <v>0</v>
      </c>
      <c r="BT13" s="71">
        <v>0</v>
      </c>
      <c r="BU13" s="71">
        <v>351199</v>
      </c>
      <c r="BV13" s="71">
        <v>645410</v>
      </c>
      <c r="BW13" s="71">
        <v>0</v>
      </c>
      <c r="BX13" s="71">
        <v>49670</v>
      </c>
      <c r="BY13" s="71">
        <v>0</v>
      </c>
      <c r="BZ13" s="71">
        <v>0</v>
      </c>
      <c r="CA13" s="71">
        <v>695080</v>
      </c>
      <c r="CB13" s="71">
        <v>0</v>
      </c>
      <c r="CC13" s="71">
        <v>0</v>
      </c>
      <c r="CD13" s="71">
        <v>0</v>
      </c>
      <c r="CE13" s="71">
        <v>0</v>
      </c>
      <c r="CF13" s="71">
        <v>0</v>
      </c>
      <c r="CG13" s="71">
        <v>0</v>
      </c>
      <c r="CH13" s="71">
        <v>0</v>
      </c>
      <c r="CI13" s="71">
        <v>0</v>
      </c>
      <c r="CJ13" s="71">
        <v>0</v>
      </c>
      <c r="CK13" s="71">
        <v>0</v>
      </c>
      <c r="CL13" s="71">
        <v>0</v>
      </c>
      <c r="CM13" s="71">
        <v>0</v>
      </c>
      <c r="CN13" s="71">
        <v>0</v>
      </c>
      <c r="CO13" s="71">
        <v>0</v>
      </c>
      <c r="CP13" s="71">
        <v>0</v>
      </c>
      <c r="CQ13" s="71">
        <v>0</v>
      </c>
      <c r="CR13" s="71" t="s">
        <v>366</v>
      </c>
      <c r="CS13" s="71">
        <v>397977</v>
      </c>
      <c r="CT13" s="71">
        <v>0</v>
      </c>
      <c r="CU13" s="71">
        <v>12608</v>
      </c>
      <c r="CV13" s="71">
        <v>64144</v>
      </c>
      <c r="CW13" s="71">
        <v>40240</v>
      </c>
      <c r="CX13" s="71">
        <v>15657</v>
      </c>
      <c r="CY13" s="71">
        <v>0</v>
      </c>
      <c r="CZ13" s="71">
        <v>0</v>
      </c>
      <c r="DA13" s="71">
        <v>1810</v>
      </c>
      <c r="DB13" s="71">
        <v>8057</v>
      </c>
      <c r="DC13" s="71">
        <v>53854</v>
      </c>
      <c r="DD13" s="71">
        <v>0</v>
      </c>
      <c r="DE13" s="71">
        <v>64484</v>
      </c>
      <c r="DF13" s="71">
        <v>48736</v>
      </c>
      <c r="DG13" s="71">
        <v>13044</v>
      </c>
      <c r="DH13" s="71">
        <v>960</v>
      </c>
      <c r="DI13" s="71">
        <v>0</v>
      </c>
      <c r="DJ13" s="71">
        <v>16898</v>
      </c>
      <c r="DK13" s="71">
        <v>0</v>
      </c>
      <c r="DL13" s="71">
        <v>50956</v>
      </c>
      <c r="DM13" s="71">
        <v>29056</v>
      </c>
      <c r="DN13" s="71">
        <v>0</v>
      </c>
      <c r="DO13" s="71">
        <v>5342</v>
      </c>
      <c r="DP13" s="71">
        <v>91</v>
      </c>
      <c r="DQ13" s="71">
        <v>12912</v>
      </c>
      <c r="DR13" s="71">
        <v>4729</v>
      </c>
      <c r="DS13" s="71">
        <v>77888</v>
      </c>
      <c r="DT13" s="71">
        <v>8736</v>
      </c>
      <c r="DU13" s="71">
        <v>0</v>
      </c>
      <c r="DV13" s="71">
        <v>21520</v>
      </c>
      <c r="DW13" s="71">
        <v>34080</v>
      </c>
      <c r="DX13" s="71">
        <v>585802</v>
      </c>
      <c r="DY13" s="71">
        <v>96356</v>
      </c>
      <c r="DZ13" s="71">
        <v>264979</v>
      </c>
      <c r="EA13" s="71">
        <v>168624</v>
      </c>
      <c r="EB13" s="71">
        <v>72267</v>
      </c>
      <c r="EC13" s="71">
        <v>0</v>
      </c>
      <c r="ED13" s="71">
        <v>0</v>
      </c>
      <c r="EE13" s="71">
        <v>6022</v>
      </c>
      <c r="EF13" s="71">
        <v>12000</v>
      </c>
      <c r="EG13" s="71">
        <v>216801</v>
      </c>
      <c r="EH13" s="71">
        <v>0</v>
      </c>
      <c r="EI13" s="71">
        <v>264979</v>
      </c>
      <c r="EJ13" s="71">
        <v>192712</v>
      </c>
      <c r="EK13" s="71">
        <v>48178</v>
      </c>
      <c r="EL13" s="71">
        <v>6000</v>
      </c>
      <c r="EM13" s="71">
        <v>0</v>
      </c>
      <c r="EN13" s="71">
        <v>72267</v>
      </c>
      <c r="EO13" s="71">
        <v>0</v>
      </c>
      <c r="EP13" s="71">
        <v>216801</v>
      </c>
      <c r="EQ13" s="71">
        <v>124696</v>
      </c>
      <c r="ER13" s="71">
        <v>0</v>
      </c>
      <c r="ES13" s="71">
        <v>6000</v>
      </c>
      <c r="ET13" s="71">
        <v>2000</v>
      </c>
      <c r="EU13" s="71">
        <v>48178</v>
      </c>
      <c r="EV13" s="71">
        <v>12000</v>
      </c>
      <c r="EW13" s="71">
        <v>313158</v>
      </c>
      <c r="EX13" s="71">
        <v>24000</v>
      </c>
      <c r="EY13" s="71">
        <v>0</v>
      </c>
      <c r="EZ13" s="71">
        <v>96356</v>
      </c>
      <c r="FA13" s="71">
        <v>144534</v>
      </c>
      <c r="FB13" s="71">
        <v>2408908</v>
      </c>
      <c r="FC13" s="71">
        <v>0</v>
      </c>
      <c r="FD13" s="71">
        <v>0</v>
      </c>
      <c r="FE13" s="71">
        <v>0</v>
      </c>
      <c r="FF13" s="71">
        <v>0</v>
      </c>
      <c r="FG13" s="71">
        <v>0</v>
      </c>
      <c r="FH13" s="71">
        <v>0</v>
      </c>
      <c r="FI13" s="71">
        <v>0</v>
      </c>
      <c r="FJ13" s="71">
        <v>0</v>
      </c>
      <c r="FK13" s="71">
        <v>0</v>
      </c>
      <c r="FL13" s="71">
        <v>0</v>
      </c>
      <c r="FM13" s="71">
        <v>0</v>
      </c>
      <c r="FN13" s="71">
        <v>0</v>
      </c>
      <c r="FO13" s="71">
        <v>0</v>
      </c>
      <c r="FP13" s="71">
        <v>0</v>
      </c>
      <c r="FQ13" s="71">
        <v>0</v>
      </c>
      <c r="FR13" s="71">
        <v>0</v>
      </c>
      <c r="FS13" s="71">
        <v>0</v>
      </c>
      <c r="FT13" s="71">
        <v>0</v>
      </c>
      <c r="FU13" s="71">
        <v>0</v>
      </c>
      <c r="FV13" s="71">
        <v>0</v>
      </c>
      <c r="FW13" s="71">
        <v>0</v>
      </c>
      <c r="FX13" s="71">
        <v>0</v>
      </c>
      <c r="FY13" s="71">
        <v>0</v>
      </c>
      <c r="FZ13" s="71">
        <v>0</v>
      </c>
      <c r="GA13" s="71">
        <v>0</v>
      </c>
      <c r="GB13" s="71">
        <v>0</v>
      </c>
      <c r="GC13" s="71">
        <v>0</v>
      </c>
      <c r="GD13" s="71">
        <v>0</v>
      </c>
      <c r="GE13" s="71">
        <v>0</v>
      </c>
      <c r="GF13" s="71">
        <v>0</v>
      </c>
      <c r="GG13" s="71">
        <v>15919</v>
      </c>
      <c r="GH13" s="71">
        <v>43777</v>
      </c>
      <c r="GI13" s="71">
        <v>27858</v>
      </c>
      <c r="GJ13" s="71">
        <v>11939</v>
      </c>
      <c r="GK13" s="71">
        <v>0</v>
      </c>
      <c r="GL13" s="71">
        <v>0</v>
      </c>
      <c r="GM13" s="71">
        <v>995</v>
      </c>
      <c r="GN13" s="71">
        <v>1983</v>
      </c>
      <c r="GO13" s="71">
        <v>35818</v>
      </c>
      <c r="GP13" s="71">
        <v>0</v>
      </c>
      <c r="GQ13" s="71">
        <v>43777</v>
      </c>
      <c r="GR13" s="71">
        <v>31838</v>
      </c>
      <c r="GS13" s="71">
        <v>7960</v>
      </c>
      <c r="GT13" s="71">
        <v>991</v>
      </c>
      <c r="GU13" s="71">
        <v>0</v>
      </c>
      <c r="GV13" s="71">
        <v>11939</v>
      </c>
      <c r="GW13" s="71">
        <v>0</v>
      </c>
      <c r="GX13" s="71">
        <v>35818</v>
      </c>
      <c r="GY13" s="71">
        <v>20601</v>
      </c>
      <c r="GZ13" s="71">
        <v>0</v>
      </c>
      <c r="HA13" s="71">
        <v>991</v>
      </c>
      <c r="HB13" s="71">
        <v>330</v>
      </c>
      <c r="HC13" s="71">
        <v>7960</v>
      </c>
      <c r="HD13" s="71">
        <v>1983</v>
      </c>
      <c r="HE13" s="71">
        <v>51737</v>
      </c>
      <c r="HF13" s="71">
        <v>3965</v>
      </c>
      <c r="HG13" s="71">
        <v>0</v>
      </c>
      <c r="HH13" s="71">
        <v>15919</v>
      </c>
      <c r="HI13" s="71">
        <v>23879</v>
      </c>
      <c r="HJ13" s="71">
        <v>397977</v>
      </c>
      <c r="HK13" s="71">
        <v>34302</v>
      </c>
      <c r="HL13" s="71">
        <v>94333</v>
      </c>
      <c r="HM13" s="71">
        <v>60030</v>
      </c>
      <c r="HN13" s="71">
        <v>25727</v>
      </c>
      <c r="HO13" s="71">
        <v>0</v>
      </c>
      <c r="HP13" s="71">
        <v>0</v>
      </c>
      <c r="HQ13" s="71">
        <v>2144</v>
      </c>
      <c r="HR13" s="71">
        <v>4288</v>
      </c>
      <c r="HS13" s="71">
        <v>77181</v>
      </c>
      <c r="HT13" s="71">
        <v>0</v>
      </c>
      <c r="HU13" s="71">
        <v>94333</v>
      </c>
      <c r="HV13" s="71">
        <v>68606</v>
      </c>
      <c r="HW13" s="71">
        <v>17151</v>
      </c>
      <c r="HX13" s="71">
        <v>2000</v>
      </c>
      <c r="HY13" s="71">
        <v>0</v>
      </c>
      <c r="HZ13" s="71">
        <v>25727</v>
      </c>
      <c r="IA13" s="71">
        <v>0</v>
      </c>
      <c r="IB13" s="71">
        <v>77181</v>
      </c>
      <c r="IC13" s="71">
        <v>42878</v>
      </c>
      <c r="ID13" s="71">
        <v>0</v>
      </c>
      <c r="IE13" s="71">
        <v>2000</v>
      </c>
      <c r="IF13" s="71">
        <v>2144</v>
      </c>
      <c r="IG13" s="71">
        <v>17151</v>
      </c>
      <c r="IH13" s="71">
        <v>4000</v>
      </c>
      <c r="II13" s="71">
        <v>111484</v>
      </c>
      <c r="IJ13" s="71">
        <v>8500</v>
      </c>
      <c r="IK13" s="71">
        <v>0</v>
      </c>
      <c r="IL13" s="71">
        <v>34302</v>
      </c>
      <c r="IM13" s="71">
        <v>52107</v>
      </c>
      <c r="IN13" s="71">
        <v>857569</v>
      </c>
      <c r="IO13" s="71">
        <v>50221</v>
      </c>
      <c r="IP13" s="71">
        <v>138110</v>
      </c>
      <c r="IQ13" s="71">
        <v>87888</v>
      </c>
      <c r="IR13" s="71">
        <v>37666</v>
      </c>
      <c r="IS13" s="71">
        <v>0</v>
      </c>
      <c r="IT13" s="71">
        <v>0</v>
      </c>
      <c r="IU13" s="71">
        <v>3139</v>
      </c>
      <c r="IV13" s="71">
        <v>6271</v>
      </c>
      <c r="IW13" s="71">
        <v>112999</v>
      </c>
      <c r="IX13" s="71">
        <v>0</v>
      </c>
      <c r="IY13" s="71">
        <v>138110</v>
      </c>
      <c r="IZ13" s="71">
        <v>100444</v>
      </c>
      <c r="JA13" s="71">
        <v>25111</v>
      </c>
      <c r="JB13" s="71">
        <v>2991</v>
      </c>
      <c r="JC13" s="71">
        <v>0</v>
      </c>
      <c r="JD13" s="71">
        <v>37666</v>
      </c>
      <c r="JE13" s="71">
        <v>0</v>
      </c>
      <c r="JF13" s="71">
        <v>112999</v>
      </c>
      <c r="JG13" s="71">
        <v>63479</v>
      </c>
      <c r="JH13" s="71">
        <v>0</v>
      </c>
      <c r="JI13" s="71">
        <v>2991</v>
      </c>
      <c r="JJ13" s="71">
        <v>2474</v>
      </c>
      <c r="JK13" s="71">
        <v>25111</v>
      </c>
      <c r="JL13" s="71">
        <v>5983</v>
      </c>
      <c r="JM13" s="71">
        <v>163221</v>
      </c>
      <c r="JN13" s="71">
        <v>12465</v>
      </c>
      <c r="JO13" s="71">
        <v>0</v>
      </c>
      <c r="JP13" s="71">
        <v>50221</v>
      </c>
      <c r="JQ13" s="71">
        <v>75986</v>
      </c>
      <c r="JR13" s="71">
        <v>1255546</v>
      </c>
      <c r="JS13" s="71">
        <v>146577</v>
      </c>
      <c r="JT13" s="71">
        <v>403089</v>
      </c>
      <c r="JU13" s="71">
        <v>256512</v>
      </c>
      <c r="JV13" s="71">
        <v>109933</v>
      </c>
      <c r="JW13" s="71">
        <v>0</v>
      </c>
      <c r="JX13" s="71">
        <v>0</v>
      </c>
      <c r="JY13" s="71">
        <v>9161</v>
      </c>
      <c r="JZ13" s="71">
        <v>18271</v>
      </c>
      <c r="KA13" s="71">
        <v>329800</v>
      </c>
      <c r="KB13" s="71">
        <v>0</v>
      </c>
      <c r="KC13" s="71">
        <v>403089</v>
      </c>
      <c r="KD13" s="71">
        <v>293156</v>
      </c>
      <c r="KE13" s="71">
        <v>73289</v>
      </c>
      <c r="KF13" s="71">
        <v>8991</v>
      </c>
      <c r="KG13" s="71">
        <v>0</v>
      </c>
      <c r="KH13" s="71">
        <v>109933</v>
      </c>
      <c r="KI13" s="71">
        <v>0</v>
      </c>
      <c r="KJ13" s="71">
        <v>329800</v>
      </c>
      <c r="KK13" s="71">
        <v>188175</v>
      </c>
      <c r="KL13" s="71">
        <v>0</v>
      </c>
      <c r="KM13" s="71">
        <v>8991</v>
      </c>
      <c r="KN13" s="71">
        <v>4474</v>
      </c>
      <c r="KO13" s="71">
        <v>73289</v>
      </c>
      <c r="KP13" s="71">
        <v>17983</v>
      </c>
      <c r="KQ13" s="71">
        <v>476379</v>
      </c>
      <c r="KR13" s="71">
        <v>36465</v>
      </c>
      <c r="KS13" s="71">
        <v>0</v>
      </c>
      <c r="KT13" s="71">
        <v>146577</v>
      </c>
      <c r="KU13" s="71">
        <v>220520</v>
      </c>
      <c r="KV13" s="71">
        <v>3664454</v>
      </c>
      <c r="KW13" s="71" t="s">
        <v>1070</v>
      </c>
      <c r="KX13" s="71">
        <v>5960329</v>
      </c>
      <c r="KY13" s="71">
        <v>695080</v>
      </c>
      <c r="KZ13" s="71">
        <v>6655409</v>
      </c>
      <c r="LA13" s="71">
        <v>0</v>
      </c>
      <c r="LB13" s="71">
        <v>217140</v>
      </c>
    </row>
    <row r="14" spans="1:314" x14ac:dyDescent="0.25">
      <c r="A14" s="71" t="s">
        <v>368</v>
      </c>
      <c r="B14" s="71" t="s">
        <v>1109</v>
      </c>
      <c r="C14" s="160" t="s">
        <v>1345</v>
      </c>
      <c r="D14" s="71" t="s">
        <v>1393</v>
      </c>
      <c r="E14" s="2">
        <v>41302.446840277778</v>
      </c>
      <c r="F14" s="71"/>
      <c r="G14" s="71" t="s">
        <v>369</v>
      </c>
      <c r="H14" s="71" t="s">
        <v>1110</v>
      </c>
      <c r="I14" s="71" t="s">
        <v>1111</v>
      </c>
      <c r="J14" s="71" t="s">
        <v>1112</v>
      </c>
      <c r="K14" s="71" t="s">
        <v>1113</v>
      </c>
      <c r="L14" s="71">
        <v>0</v>
      </c>
      <c r="M14" s="71">
        <v>0</v>
      </c>
      <c r="N14" s="71">
        <v>0</v>
      </c>
      <c r="O14" s="71">
        <v>20859421</v>
      </c>
      <c r="P14" s="71">
        <v>0</v>
      </c>
      <c r="Q14" s="71">
        <v>744225</v>
      </c>
      <c r="R14" s="71">
        <v>0</v>
      </c>
      <c r="S14" s="71">
        <v>744225</v>
      </c>
      <c r="T14" s="71">
        <v>1650466</v>
      </c>
      <c r="U14" s="71">
        <v>1259481</v>
      </c>
      <c r="V14" s="71">
        <v>867268</v>
      </c>
      <c r="W14" s="71">
        <v>0</v>
      </c>
      <c r="X14" s="71">
        <v>0</v>
      </c>
      <c r="Y14" s="71">
        <v>0</v>
      </c>
      <c r="Z14" s="71">
        <v>3777215</v>
      </c>
      <c r="AA14" s="71">
        <v>1784786</v>
      </c>
      <c r="AB14" s="71">
        <v>294649</v>
      </c>
      <c r="AC14" s="71">
        <v>393872</v>
      </c>
      <c r="AD14" s="71">
        <v>0</v>
      </c>
      <c r="AE14" s="71">
        <v>0</v>
      </c>
      <c r="AF14" s="71">
        <v>465454</v>
      </c>
      <c r="AG14" s="71">
        <v>2938761</v>
      </c>
      <c r="AH14" s="71">
        <v>3435252</v>
      </c>
      <c r="AI14" s="71">
        <v>1554130</v>
      </c>
      <c r="AJ14" s="71">
        <v>1261140</v>
      </c>
      <c r="AK14" s="71">
        <v>0</v>
      </c>
      <c r="AL14" s="71">
        <v>0</v>
      </c>
      <c r="AM14" s="71">
        <v>465454</v>
      </c>
      <c r="AN14" s="71">
        <v>6715976</v>
      </c>
      <c r="AO14" s="71">
        <v>27720</v>
      </c>
      <c r="AP14" s="71">
        <v>0</v>
      </c>
      <c r="AQ14" s="71">
        <v>225696</v>
      </c>
      <c r="AR14" s="71">
        <v>0</v>
      </c>
      <c r="AS14" s="71">
        <v>253416</v>
      </c>
      <c r="AT14" s="71">
        <v>67</v>
      </c>
      <c r="AU14" s="71">
        <v>0</v>
      </c>
      <c r="AV14" s="71">
        <v>114480</v>
      </c>
      <c r="AW14" s="71">
        <v>0</v>
      </c>
      <c r="AX14" s="71">
        <v>114547</v>
      </c>
      <c r="AY14" s="71">
        <v>27787</v>
      </c>
      <c r="AZ14" s="71">
        <v>0</v>
      </c>
      <c r="BA14" s="71">
        <v>340176</v>
      </c>
      <c r="BB14" s="71">
        <v>0</v>
      </c>
      <c r="BC14" s="71">
        <v>367963</v>
      </c>
      <c r="BD14" s="71">
        <v>600774</v>
      </c>
      <c r="BE14" s="71">
        <v>0</v>
      </c>
      <c r="BF14" s="71">
        <v>0</v>
      </c>
      <c r="BG14" s="71">
        <v>0</v>
      </c>
      <c r="BH14" s="71">
        <v>0</v>
      </c>
      <c r="BI14" s="71">
        <v>600774</v>
      </c>
      <c r="BJ14" s="71">
        <v>0</v>
      </c>
      <c r="BK14" s="71">
        <v>0</v>
      </c>
      <c r="BL14" s="71">
        <v>175283</v>
      </c>
      <c r="BM14" s="71">
        <v>0</v>
      </c>
      <c r="BN14" s="71">
        <v>0</v>
      </c>
      <c r="BO14" s="71">
        <v>175283</v>
      </c>
      <c r="BP14" s="71">
        <v>2199583</v>
      </c>
      <c r="BQ14" s="71">
        <v>71318</v>
      </c>
      <c r="BR14" s="71">
        <v>0</v>
      </c>
      <c r="BS14" s="71">
        <v>0</v>
      </c>
      <c r="BT14" s="71">
        <v>71095</v>
      </c>
      <c r="BU14" s="71">
        <v>2341996</v>
      </c>
      <c r="BV14" s="71">
        <v>2800357</v>
      </c>
      <c r="BW14" s="71">
        <v>71318</v>
      </c>
      <c r="BX14" s="71">
        <v>175283</v>
      </c>
      <c r="BY14" s="71">
        <v>0</v>
      </c>
      <c r="BZ14" s="71">
        <v>71095</v>
      </c>
      <c r="CA14" s="71">
        <v>3118053</v>
      </c>
      <c r="CB14" s="71">
        <v>0</v>
      </c>
      <c r="CC14" s="71">
        <v>0</v>
      </c>
      <c r="CD14" s="71">
        <v>0</v>
      </c>
      <c r="CE14" s="71">
        <v>0</v>
      </c>
      <c r="CF14" s="71">
        <v>0</v>
      </c>
      <c r="CG14" s="71">
        <v>0</v>
      </c>
      <c r="CH14" s="71">
        <v>0</v>
      </c>
      <c r="CI14" s="71">
        <v>0</v>
      </c>
      <c r="CJ14" s="71">
        <v>0</v>
      </c>
      <c r="CK14" s="71">
        <v>0</v>
      </c>
      <c r="CL14" s="71">
        <v>0</v>
      </c>
      <c r="CM14" s="71">
        <v>0</v>
      </c>
      <c r="CN14" s="71">
        <v>0</v>
      </c>
      <c r="CO14" s="71">
        <v>0</v>
      </c>
      <c r="CP14" s="71">
        <v>0</v>
      </c>
      <c r="CQ14" s="71">
        <v>0</v>
      </c>
      <c r="CR14" s="71" t="s">
        <v>368</v>
      </c>
      <c r="CS14" s="71">
        <v>1511373</v>
      </c>
      <c r="CT14" s="71">
        <v>0</v>
      </c>
      <c r="CU14" s="71">
        <v>12104</v>
      </c>
      <c r="CV14" s="71">
        <v>63904</v>
      </c>
      <c r="CW14" s="71">
        <v>287456</v>
      </c>
      <c r="CX14" s="71">
        <v>111814</v>
      </c>
      <c r="CY14" s="71">
        <v>0</v>
      </c>
      <c r="CZ14" s="71">
        <v>0</v>
      </c>
      <c r="DA14" s="71">
        <v>66890</v>
      </c>
      <c r="DB14" s="71">
        <v>1468</v>
      </c>
      <c r="DC14" s="71">
        <v>189408</v>
      </c>
      <c r="DD14" s="71">
        <v>912</v>
      </c>
      <c r="DE14" s="71">
        <v>65716</v>
      </c>
      <c r="DF14" s="71">
        <v>253328</v>
      </c>
      <c r="DG14" s="71">
        <v>16016</v>
      </c>
      <c r="DH14" s="71">
        <v>246185</v>
      </c>
      <c r="DI14" s="71">
        <v>0</v>
      </c>
      <c r="DJ14" s="71">
        <v>168861</v>
      </c>
      <c r="DK14" s="71">
        <v>0</v>
      </c>
      <c r="DL14" s="71">
        <v>104784</v>
      </c>
      <c r="DM14" s="71">
        <v>130200</v>
      </c>
      <c r="DN14" s="71">
        <v>22080</v>
      </c>
      <c r="DO14" s="71">
        <v>15790</v>
      </c>
      <c r="DP14" s="71">
        <v>17112</v>
      </c>
      <c r="DQ14" s="71">
        <v>12480</v>
      </c>
      <c r="DR14" s="71">
        <v>72152</v>
      </c>
      <c r="DS14" s="71">
        <v>411440</v>
      </c>
      <c r="DT14" s="71">
        <v>101216</v>
      </c>
      <c r="DU14" s="71">
        <v>0</v>
      </c>
      <c r="DV14" s="71">
        <v>120960</v>
      </c>
      <c r="DW14" s="71">
        <v>53424</v>
      </c>
      <c r="DX14" s="71">
        <v>2545700</v>
      </c>
      <c r="DY14" s="71">
        <v>25852</v>
      </c>
      <c r="DZ14" s="71">
        <v>105991</v>
      </c>
      <c r="EA14" s="71">
        <v>774823</v>
      </c>
      <c r="EB14" s="71">
        <v>275379</v>
      </c>
      <c r="EC14" s="71">
        <v>0</v>
      </c>
      <c r="ED14" s="71">
        <v>0</v>
      </c>
      <c r="EE14" s="71">
        <v>237189</v>
      </c>
      <c r="EF14" s="71">
        <v>2280</v>
      </c>
      <c r="EG14" s="71">
        <v>543819</v>
      </c>
      <c r="EH14" s="71">
        <v>3954</v>
      </c>
      <c r="EI14" s="71">
        <v>163091</v>
      </c>
      <c r="EJ14" s="71">
        <v>548797</v>
      </c>
      <c r="EK14" s="71">
        <v>67632</v>
      </c>
      <c r="EL14" s="71">
        <v>1378321</v>
      </c>
      <c r="EM14" s="71">
        <v>0</v>
      </c>
      <c r="EN14" s="71">
        <v>435616</v>
      </c>
      <c r="EO14" s="71">
        <v>0</v>
      </c>
      <c r="EP14" s="71">
        <v>348016</v>
      </c>
      <c r="EQ14" s="71">
        <v>357298</v>
      </c>
      <c r="ER14" s="71">
        <v>73879</v>
      </c>
      <c r="ES14" s="71">
        <v>0</v>
      </c>
      <c r="ET14" s="71">
        <v>103954</v>
      </c>
      <c r="EU14" s="71">
        <v>4399</v>
      </c>
      <c r="EV14" s="71">
        <v>228158</v>
      </c>
      <c r="EW14" s="71">
        <v>1005925</v>
      </c>
      <c r="EX14" s="71">
        <v>293285</v>
      </c>
      <c r="EY14" s="71">
        <v>0</v>
      </c>
      <c r="EZ14" s="71">
        <v>192449</v>
      </c>
      <c r="FA14" s="71">
        <v>74876</v>
      </c>
      <c r="FB14" s="71">
        <v>7244983</v>
      </c>
      <c r="FC14" s="71">
        <v>0</v>
      </c>
      <c r="FD14" s="71">
        <v>51649</v>
      </c>
      <c r="FE14" s="71">
        <v>91612</v>
      </c>
      <c r="FF14" s="71">
        <v>11299</v>
      </c>
      <c r="FG14" s="71">
        <v>0</v>
      </c>
      <c r="FH14" s="71">
        <v>0</v>
      </c>
      <c r="FI14" s="71">
        <v>5110</v>
      </c>
      <c r="FJ14" s="71">
        <v>0</v>
      </c>
      <c r="FK14" s="71">
        <v>0</v>
      </c>
      <c r="FL14" s="71">
        <v>0</v>
      </c>
      <c r="FM14" s="71">
        <v>23207</v>
      </c>
      <c r="FN14" s="71">
        <v>1600</v>
      </c>
      <c r="FO14" s="71">
        <v>0</v>
      </c>
      <c r="FP14" s="71">
        <v>19584</v>
      </c>
      <c r="FQ14" s="71">
        <v>0</v>
      </c>
      <c r="FR14" s="71">
        <v>84461</v>
      </c>
      <c r="FS14" s="71">
        <v>0</v>
      </c>
      <c r="FT14" s="71">
        <v>14400</v>
      </c>
      <c r="FU14" s="71">
        <v>0</v>
      </c>
      <c r="FV14" s="71">
        <v>5376</v>
      </c>
      <c r="FW14" s="71">
        <v>0</v>
      </c>
      <c r="FX14" s="71">
        <v>0</v>
      </c>
      <c r="FY14" s="71">
        <v>0</v>
      </c>
      <c r="FZ14" s="71">
        <v>24458</v>
      </c>
      <c r="GA14" s="71">
        <v>4013</v>
      </c>
      <c r="GB14" s="71">
        <v>11620</v>
      </c>
      <c r="GC14" s="71">
        <v>0</v>
      </c>
      <c r="GD14" s="71">
        <v>51658</v>
      </c>
      <c r="GE14" s="71">
        <v>98269</v>
      </c>
      <c r="GF14" s="71">
        <v>498316</v>
      </c>
      <c r="GG14" s="71">
        <v>5046</v>
      </c>
      <c r="GH14" s="71">
        <v>30769</v>
      </c>
      <c r="GI14" s="71">
        <v>169115</v>
      </c>
      <c r="GJ14" s="71">
        <v>55955</v>
      </c>
      <c r="GK14" s="71">
        <v>0</v>
      </c>
      <c r="GL14" s="71">
        <v>0</v>
      </c>
      <c r="GM14" s="71">
        <v>47293</v>
      </c>
      <c r="GN14" s="71">
        <v>445</v>
      </c>
      <c r="GO14" s="71">
        <v>106145</v>
      </c>
      <c r="GP14" s="71">
        <v>772</v>
      </c>
      <c r="GQ14" s="71">
        <v>36363</v>
      </c>
      <c r="GR14" s="71">
        <v>107429</v>
      </c>
      <c r="GS14" s="71">
        <v>13201</v>
      </c>
      <c r="GT14" s="71">
        <v>272850</v>
      </c>
      <c r="GU14" s="71">
        <v>0</v>
      </c>
      <c r="GV14" s="71">
        <v>101511</v>
      </c>
      <c r="GW14" s="71">
        <v>0</v>
      </c>
      <c r="GX14" s="71">
        <v>70738</v>
      </c>
      <c r="GY14" s="71">
        <v>69739</v>
      </c>
      <c r="GZ14" s="71">
        <v>15469</v>
      </c>
      <c r="HA14" s="71">
        <v>0</v>
      </c>
      <c r="HB14" s="71">
        <v>20290</v>
      </c>
      <c r="HC14" s="71">
        <v>859</v>
      </c>
      <c r="HD14" s="71">
        <v>49307</v>
      </c>
      <c r="HE14" s="71">
        <v>197124</v>
      </c>
      <c r="HF14" s="71">
        <v>59513</v>
      </c>
      <c r="HG14" s="71">
        <v>0</v>
      </c>
      <c r="HH14" s="71">
        <v>47646</v>
      </c>
      <c r="HI14" s="71">
        <v>33795</v>
      </c>
      <c r="HJ14" s="71">
        <v>1511373</v>
      </c>
      <c r="HK14" s="71">
        <v>19580</v>
      </c>
      <c r="HL14" s="71">
        <v>59735</v>
      </c>
      <c r="HM14" s="71">
        <v>81648</v>
      </c>
      <c r="HN14" s="71">
        <v>231010</v>
      </c>
      <c r="HO14" s="71">
        <v>0</v>
      </c>
      <c r="HP14" s="71">
        <v>0</v>
      </c>
      <c r="HQ14" s="71">
        <v>12161</v>
      </c>
      <c r="HR14" s="71">
        <v>0</v>
      </c>
      <c r="HS14" s="71">
        <v>72522</v>
      </c>
      <c r="HT14" s="71">
        <v>2662</v>
      </c>
      <c r="HU14" s="71">
        <v>198465</v>
      </c>
      <c r="HV14" s="71">
        <v>24178</v>
      </c>
      <c r="HW14" s="71">
        <v>2347</v>
      </c>
      <c r="HX14" s="71">
        <v>73308</v>
      </c>
      <c r="HY14" s="71">
        <v>0</v>
      </c>
      <c r="HZ14" s="71">
        <v>268270</v>
      </c>
      <c r="IA14" s="71">
        <v>0</v>
      </c>
      <c r="IB14" s="71">
        <v>7430</v>
      </c>
      <c r="IC14" s="71">
        <v>6239</v>
      </c>
      <c r="ID14" s="71">
        <v>21956</v>
      </c>
      <c r="IE14" s="71">
        <v>0</v>
      </c>
      <c r="IF14" s="71">
        <v>9521</v>
      </c>
      <c r="IG14" s="71">
        <v>2205</v>
      </c>
      <c r="IH14" s="71">
        <v>25817</v>
      </c>
      <c r="II14" s="71">
        <v>17254</v>
      </c>
      <c r="IJ14" s="71">
        <v>33804</v>
      </c>
      <c r="IK14" s="71">
        <v>0</v>
      </c>
      <c r="IL14" s="71">
        <v>20762</v>
      </c>
      <c r="IM14" s="71">
        <v>4207</v>
      </c>
      <c r="IN14" s="71">
        <v>1195081</v>
      </c>
      <c r="IO14" s="71">
        <v>24626</v>
      </c>
      <c r="IP14" s="71">
        <v>142153</v>
      </c>
      <c r="IQ14" s="71">
        <v>342375</v>
      </c>
      <c r="IR14" s="71">
        <v>298264</v>
      </c>
      <c r="IS14" s="71">
        <v>0</v>
      </c>
      <c r="IT14" s="71">
        <v>0</v>
      </c>
      <c r="IU14" s="71">
        <v>64564</v>
      </c>
      <c r="IV14" s="71">
        <v>445</v>
      </c>
      <c r="IW14" s="71">
        <v>178667</v>
      </c>
      <c r="IX14" s="71">
        <v>3434</v>
      </c>
      <c r="IY14" s="71">
        <v>258035</v>
      </c>
      <c r="IZ14" s="71">
        <v>133207</v>
      </c>
      <c r="JA14" s="71">
        <v>15548</v>
      </c>
      <c r="JB14" s="71">
        <v>365742</v>
      </c>
      <c r="JC14" s="71">
        <v>0</v>
      </c>
      <c r="JD14" s="71">
        <v>454242</v>
      </c>
      <c r="JE14" s="71">
        <v>0</v>
      </c>
      <c r="JF14" s="71">
        <v>92568</v>
      </c>
      <c r="JG14" s="71">
        <v>75978</v>
      </c>
      <c r="JH14" s="71">
        <v>42801</v>
      </c>
      <c r="JI14" s="71">
        <v>0</v>
      </c>
      <c r="JJ14" s="71">
        <v>29811</v>
      </c>
      <c r="JK14" s="71">
        <v>3064</v>
      </c>
      <c r="JL14" s="71">
        <v>99582</v>
      </c>
      <c r="JM14" s="71">
        <v>218391</v>
      </c>
      <c r="JN14" s="71">
        <v>104937</v>
      </c>
      <c r="JO14" s="71">
        <v>0</v>
      </c>
      <c r="JP14" s="71">
        <v>120066</v>
      </c>
      <c r="JQ14" s="71">
        <v>136271</v>
      </c>
      <c r="JR14" s="71">
        <v>3204770</v>
      </c>
      <c r="JS14" s="71">
        <v>50478</v>
      </c>
      <c r="JT14" s="71">
        <v>248144</v>
      </c>
      <c r="JU14" s="71">
        <v>1117198</v>
      </c>
      <c r="JV14" s="71">
        <v>573643</v>
      </c>
      <c r="JW14" s="71">
        <v>0</v>
      </c>
      <c r="JX14" s="71">
        <v>0</v>
      </c>
      <c r="JY14" s="71">
        <v>301753</v>
      </c>
      <c r="JZ14" s="71">
        <v>2725</v>
      </c>
      <c r="KA14" s="71">
        <v>722486</v>
      </c>
      <c r="KB14" s="71">
        <v>7388</v>
      </c>
      <c r="KC14" s="71">
        <v>421126</v>
      </c>
      <c r="KD14" s="71">
        <v>682004</v>
      </c>
      <c r="KE14" s="71">
        <v>83180</v>
      </c>
      <c r="KF14" s="71">
        <v>1744063</v>
      </c>
      <c r="KG14" s="71">
        <v>0</v>
      </c>
      <c r="KH14" s="71">
        <v>889858</v>
      </c>
      <c r="KI14" s="71">
        <v>0</v>
      </c>
      <c r="KJ14" s="71">
        <v>440584</v>
      </c>
      <c r="KK14" s="71">
        <v>433276</v>
      </c>
      <c r="KL14" s="71">
        <v>116680</v>
      </c>
      <c r="KM14" s="71">
        <v>0</v>
      </c>
      <c r="KN14" s="71">
        <v>133765</v>
      </c>
      <c r="KO14" s="71">
        <v>7463</v>
      </c>
      <c r="KP14" s="71">
        <v>327740</v>
      </c>
      <c r="KQ14" s="71">
        <v>1224316</v>
      </c>
      <c r="KR14" s="71">
        <v>398222</v>
      </c>
      <c r="KS14" s="71">
        <v>0</v>
      </c>
      <c r="KT14" s="71">
        <v>312515</v>
      </c>
      <c r="KU14" s="71">
        <v>211147</v>
      </c>
      <c r="KV14" s="71">
        <v>10449753</v>
      </c>
      <c r="KW14" s="71" t="s">
        <v>1070</v>
      </c>
      <c r="KX14" s="71">
        <v>17909954</v>
      </c>
      <c r="KY14" s="71">
        <v>3486016</v>
      </c>
      <c r="KZ14" s="71">
        <v>21395970</v>
      </c>
      <c r="LA14" s="71">
        <v>0</v>
      </c>
      <c r="LB14" s="71">
        <v>536549</v>
      </c>
    </row>
    <row r="15" spans="1:314" x14ac:dyDescent="0.25">
      <c r="A15" s="71" t="s">
        <v>370</v>
      </c>
      <c r="B15" s="71" t="s">
        <v>1114</v>
      </c>
      <c r="C15" s="160" t="s">
        <v>1345</v>
      </c>
      <c r="D15" s="71" t="s">
        <v>1394</v>
      </c>
      <c r="E15" s="2">
        <v>41302.44903935185</v>
      </c>
      <c r="F15" s="71"/>
      <c r="G15" s="71" t="s">
        <v>1115</v>
      </c>
      <c r="H15" s="71" t="s">
        <v>1116</v>
      </c>
      <c r="I15" s="71" t="s">
        <v>1117</v>
      </c>
      <c r="J15" s="71" t="s">
        <v>1118</v>
      </c>
      <c r="K15" s="71" t="s">
        <v>1119</v>
      </c>
      <c r="L15" s="71">
        <v>0</v>
      </c>
      <c r="M15" s="71">
        <v>0</v>
      </c>
      <c r="N15" s="71">
        <v>0</v>
      </c>
      <c r="O15" s="71">
        <v>26805043</v>
      </c>
      <c r="P15" s="71">
        <v>0</v>
      </c>
      <c r="Q15" s="71">
        <v>1515389</v>
      </c>
      <c r="R15" s="71">
        <v>0</v>
      </c>
      <c r="S15" s="71">
        <v>1515389</v>
      </c>
      <c r="T15" s="71">
        <v>2263601</v>
      </c>
      <c r="U15" s="71">
        <v>1772960</v>
      </c>
      <c r="V15" s="71">
        <v>2353010</v>
      </c>
      <c r="W15" s="71">
        <v>0</v>
      </c>
      <c r="X15" s="71">
        <v>0</v>
      </c>
      <c r="Y15" s="71">
        <v>0</v>
      </c>
      <c r="Z15" s="71">
        <v>6389571</v>
      </c>
      <c r="AA15" s="71">
        <v>698383</v>
      </c>
      <c r="AB15" s="71">
        <v>415601</v>
      </c>
      <c r="AC15" s="71">
        <v>1374724</v>
      </c>
      <c r="AD15" s="71">
        <v>0</v>
      </c>
      <c r="AE15" s="71">
        <v>1316</v>
      </c>
      <c r="AF15" s="71">
        <v>615508</v>
      </c>
      <c r="AG15" s="71">
        <v>3105532</v>
      </c>
      <c r="AH15" s="71">
        <v>2961984</v>
      </c>
      <c r="AI15" s="71">
        <v>2188561</v>
      </c>
      <c r="AJ15" s="71">
        <v>3727734</v>
      </c>
      <c r="AK15" s="71">
        <v>0</v>
      </c>
      <c r="AL15" s="71">
        <v>1316</v>
      </c>
      <c r="AM15" s="71">
        <v>615508</v>
      </c>
      <c r="AN15" s="71">
        <v>9495103</v>
      </c>
      <c r="AO15" s="71">
        <v>249895</v>
      </c>
      <c r="AP15" s="71">
        <v>0</v>
      </c>
      <c r="AQ15" s="71">
        <v>0</v>
      </c>
      <c r="AR15" s="71">
        <v>0</v>
      </c>
      <c r="AS15" s="71">
        <v>249895</v>
      </c>
      <c r="AT15" s="71">
        <v>54576</v>
      </c>
      <c r="AU15" s="71">
        <v>0</v>
      </c>
      <c r="AV15" s="71">
        <v>0</v>
      </c>
      <c r="AW15" s="71">
        <v>0</v>
      </c>
      <c r="AX15" s="71">
        <v>54576</v>
      </c>
      <c r="AY15" s="71">
        <v>304471</v>
      </c>
      <c r="AZ15" s="71">
        <v>0</v>
      </c>
      <c r="BA15" s="71">
        <v>0</v>
      </c>
      <c r="BB15" s="71">
        <v>0</v>
      </c>
      <c r="BC15" s="71">
        <v>304471</v>
      </c>
      <c r="BD15" s="71">
        <v>828333</v>
      </c>
      <c r="BE15" s="71">
        <v>0</v>
      </c>
      <c r="BF15" s="71">
        <v>0</v>
      </c>
      <c r="BG15" s="71">
        <v>0</v>
      </c>
      <c r="BH15" s="71">
        <v>0</v>
      </c>
      <c r="BI15" s="71">
        <v>828333</v>
      </c>
      <c r="BJ15" s="71">
        <v>0</v>
      </c>
      <c r="BK15" s="71">
        <v>0</v>
      </c>
      <c r="BL15" s="71">
        <v>414634</v>
      </c>
      <c r="BM15" s="71">
        <v>0</v>
      </c>
      <c r="BN15" s="71">
        <v>0</v>
      </c>
      <c r="BO15" s="71">
        <v>414634</v>
      </c>
      <c r="BP15" s="71">
        <v>1514150</v>
      </c>
      <c r="BQ15" s="71">
        <v>31460</v>
      </c>
      <c r="BR15" s="71">
        <v>0</v>
      </c>
      <c r="BS15" s="71">
        <v>0</v>
      </c>
      <c r="BT15" s="71">
        <v>10431</v>
      </c>
      <c r="BU15" s="71">
        <v>1556041</v>
      </c>
      <c r="BV15" s="71">
        <v>2342483</v>
      </c>
      <c r="BW15" s="71">
        <v>31460</v>
      </c>
      <c r="BX15" s="71">
        <v>414634</v>
      </c>
      <c r="BY15" s="71">
        <v>0</v>
      </c>
      <c r="BZ15" s="71">
        <v>10431</v>
      </c>
      <c r="CA15" s="71">
        <v>2799008</v>
      </c>
      <c r="CB15" s="71">
        <v>0</v>
      </c>
      <c r="CC15" s="71">
        <v>0</v>
      </c>
      <c r="CD15" s="71">
        <v>0</v>
      </c>
      <c r="CE15" s="71">
        <v>0</v>
      </c>
      <c r="CF15" s="71">
        <v>0</v>
      </c>
      <c r="CG15" s="71">
        <v>0</v>
      </c>
      <c r="CH15" s="71">
        <v>0</v>
      </c>
      <c r="CI15" s="71">
        <v>0</v>
      </c>
      <c r="CJ15" s="71">
        <v>0</v>
      </c>
      <c r="CK15" s="71">
        <v>0</v>
      </c>
      <c r="CL15" s="71">
        <v>0</v>
      </c>
      <c r="CM15" s="71">
        <v>0</v>
      </c>
      <c r="CN15" s="71">
        <v>0</v>
      </c>
      <c r="CO15" s="71">
        <v>0</v>
      </c>
      <c r="CP15" s="71">
        <v>0</v>
      </c>
      <c r="CQ15" s="71">
        <v>0</v>
      </c>
      <c r="CR15" s="71" t="s">
        <v>370</v>
      </c>
      <c r="CS15" s="71">
        <v>1907517</v>
      </c>
      <c r="CT15" s="71">
        <v>0</v>
      </c>
      <c r="CU15" s="71">
        <v>60832</v>
      </c>
      <c r="CV15" s="71">
        <v>134272</v>
      </c>
      <c r="CW15" s="71">
        <v>415848</v>
      </c>
      <c r="CX15" s="71">
        <v>379268</v>
      </c>
      <c r="CY15" s="71">
        <v>0</v>
      </c>
      <c r="CZ15" s="71">
        <v>11008</v>
      </c>
      <c r="DA15" s="71">
        <v>143647</v>
      </c>
      <c r="DB15" s="71">
        <v>112524</v>
      </c>
      <c r="DC15" s="71">
        <v>181488</v>
      </c>
      <c r="DD15" s="71">
        <v>0</v>
      </c>
      <c r="DE15" s="71">
        <v>141280</v>
      </c>
      <c r="DF15" s="71">
        <v>349872</v>
      </c>
      <c r="DG15" s="71">
        <v>44044</v>
      </c>
      <c r="DH15" s="71">
        <v>224364</v>
      </c>
      <c r="DI15" s="71">
        <v>0</v>
      </c>
      <c r="DJ15" s="71">
        <v>144722</v>
      </c>
      <c r="DK15" s="71">
        <v>0</v>
      </c>
      <c r="DL15" s="71">
        <v>79232</v>
      </c>
      <c r="DM15" s="71">
        <v>159373</v>
      </c>
      <c r="DN15" s="71">
        <v>85280</v>
      </c>
      <c r="DO15" s="71">
        <v>0</v>
      </c>
      <c r="DP15" s="71">
        <v>3992</v>
      </c>
      <c r="DQ15" s="71">
        <v>66352</v>
      </c>
      <c r="DR15" s="71">
        <v>58344</v>
      </c>
      <c r="DS15" s="71">
        <v>561648</v>
      </c>
      <c r="DT15" s="71">
        <v>166608</v>
      </c>
      <c r="DU15" s="71">
        <v>0</v>
      </c>
      <c r="DV15" s="71">
        <v>151664</v>
      </c>
      <c r="DW15" s="71">
        <v>81184</v>
      </c>
      <c r="DX15" s="71">
        <v>3756846</v>
      </c>
      <c r="DY15" s="71">
        <v>227129</v>
      </c>
      <c r="DZ15" s="71">
        <v>216680</v>
      </c>
      <c r="EA15" s="71">
        <v>1113233</v>
      </c>
      <c r="EB15" s="71">
        <v>1185203</v>
      </c>
      <c r="EC15" s="71">
        <v>0</v>
      </c>
      <c r="ED15" s="71">
        <v>63259</v>
      </c>
      <c r="EE15" s="71">
        <v>134327</v>
      </c>
      <c r="EF15" s="71">
        <v>251634</v>
      </c>
      <c r="EG15" s="71">
        <v>430868</v>
      </c>
      <c r="EH15" s="71">
        <v>0</v>
      </c>
      <c r="EI15" s="71">
        <v>309570</v>
      </c>
      <c r="EJ15" s="71">
        <v>950292</v>
      </c>
      <c r="EK15" s="71">
        <v>98032</v>
      </c>
      <c r="EL15" s="71">
        <v>921256</v>
      </c>
      <c r="EM15" s="71">
        <v>0</v>
      </c>
      <c r="EN15" s="71">
        <v>310310</v>
      </c>
      <c r="EO15" s="71">
        <v>0</v>
      </c>
      <c r="EP15" s="71">
        <v>252906</v>
      </c>
      <c r="EQ15" s="71">
        <v>456770</v>
      </c>
      <c r="ER15" s="71">
        <v>203877</v>
      </c>
      <c r="ES15" s="71">
        <v>0</v>
      </c>
      <c r="ET15" s="71">
        <v>5109</v>
      </c>
      <c r="EU15" s="71">
        <v>263435</v>
      </c>
      <c r="EV15" s="71">
        <v>173382</v>
      </c>
      <c r="EW15" s="71">
        <v>1387454</v>
      </c>
      <c r="EX15" s="71">
        <v>689053</v>
      </c>
      <c r="EY15" s="71">
        <v>0</v>
      </c>
      <c r="EZ15" s="71">
        <v>460328</v>
      </c>
      <c r="FA15" s="71">
        <v>271444</v>
      </c>
      <c r="FB15" s="71">
        <v>10375551</v>
      </c>
      <c r="FC15" s="71">
        <v>0</v>
      </c>
      <c r="FD15" s="71">
        <v>6436</v>
      </c>
      <c r="FE15" s="71">
        <v>5801</v>
      </c>
      <c r="FF15" s="71">
        <v>36087</v>
      </c>
      <c r="FG15" s="71">
        <v>0</v>
      </c>
      <c r="FH15" s="71">
        <v>0</v>
      </c>
      <c r="FI15" s="71">
        <v>0</v>
      </c>
      <c r="FJ15" s="71">
        <v>0</v>
      </c>
      <c r="FK15" s="71">
        <v>24160</v>
      </c>
      <c r="FL15" s="71">
        <v>0</v>
      </c>
      <c r="FM15" s="71">
        <v>1754</v>
      </c>
      <c r="FN15" s="71">
        <v>0</v>
      </c>
      <c r="FO15" s="71">
        <v>0</v>
      </c>
      <c r="FP15" s="71">
        <v>0</v>
      </c>
      <c r="FQ15" s="71">
        <v>0</v>
      </c>
      <c r="FR15" s="71">
        <v>8490</v>
      </c>
      <c r="FS15" s="71">
        <v>0</v>
      </c>
      <c r="FT15" s="71">
        <v>12729</v>
      </c>
      <c r="FU15" s="71">
        <v>3866</v>
      </c>
      <c r="FV15" s="71">
        <v>9983</v>
      </c>
      <c r="FW15" s="71">
        <v>0</v>
      </c>
      <c r="FX15" s="71">
        <v>0</v>
      </c>
      <c r="FY15" s="71">
        <v>0</v>
      </c>
      <c r="FZ15" s="71">
        <v>500</v>
      </c>
      <c r="GA15" s="71">
        <v>0</v>
      </c>
      <c r="GB15" s="71">
        <v>32585</v>
      </c>
      <c r="GC15" s="71">
        <v>0</v>
      </c>
      <c r="GD15" s="71">
        <v>4582</v>
      </c>
      <c r="GE15" s="71">
        <v>87</v>
      </c>
      <c r="GF15" s="71">
        <v>147060</v>
      </c>
      <c r="GG15" s="71">
        <v>41173</v>
      </c>
      <c r="GH15" s="71">
        <v>40446</v>
      </c>
      <c r="GI15" s="71">
        <v>202856</v>
      </c>
      <c r="GJ15" s="71">
        <v>221393</v>
      </c>
      <c r="GK15" s="71">
        <v>0</v>
      </c>
      <c r="GL15" s="71">
        <v>11467</v>
      </c>
      <c r="GM15" s="71">
        <v>24351</v>
      </c>
      <c r="GN15" s="71">
        <v>45616</v>
      </c>
      <c r="GO15" s="71">
        <v>82487</v>
      </c>
      <c r="GP15" s="71">
        <v>0</v>
      </c>
      <c r="GQ15" s="71">
        <v>56436</v>
      </c>
      <c r="GR15" s="71">
        <v>172267</v>
      </c>
      <c r="GS15" s="71">
        <v>17771</v>
      </c>
      <c r="GT15" s="71">
        <v>167003</v>
      </c>
      <c r="GU15" s="71">
        <v>0</v>
      </c>
      <c r="GV15" s="71">
        <v>57791</v>
      </c>
      <c r="GW15" s="71">
        <v>0</v>
      </c>
      <c r="GX15" s="71">
        <v>48154</v>
      </c>
      <c r="GY15" s="71">
        <v>83503</v>
      </c>
      <c r="GZ15" s="71">
        <v>38768</v>
      </c>
      <c r="HA15" s="71">
        <v>0</v>
      </c>
      <c r="HB15" s="71">
        <v>926</v>
      </c>
      <c r="HC15" s="71">
        <v>47755</v>
      </c>
      <c r="HD15" s="71">
        <v>31521</v>
      </c>
      <c r="HE15" s="71">
        <v>251515</v>
      </c>
      <c r="HF15" s="71">
        <v>130817</v>
      </c>
      <c r="HG15" s="71">
        <v>0</v>
      </c>
      <c r="HH15" s="71">
        <v>84278</v>
      </c>
      <c r="HI15" s="71">
        <v>49223</v>
      </c>
      <c r="HJ15" s="71">
        <v>1907517</v>
      </c>
      <c r="HK15" s="71">
        <v>28758</v>
      </c>
      <c r="HL15" s="71">
        <v>48286</v>
      </c>
      <c r="HM15" s="71">
        <v>87019</v>
      </c>
      <c r="HN15" s="71">
        <v>120866</v>
      </c>
      <c r="HO15" s="71">
        <v>0</v>
      </c>
      <c r="HP15" s="71">
        <v>9678</v>
      </c>
      <c r="HQ15" s="71">
        <v>3857</v>
      </c>
      <c r="HR15" s="71">
        <v>12748</v>
      </c>
      <c r="HS15" s="71">
        <v>63752</v>
      </c>
      <c r="HT15" s="71">
        <v>0</v>
      </c>
      <c r="HU15" s="71">
        <v>34740</v>
      </c>
      <c r="HV15" s="71">
        <v>26781</v>
      </c>
      <c r="HW15" s="71">
        <v>1378</v>
      </c>
      <c r="HX15" s="71">
        <v>89662</v>
      </c>
      <c r="HY15" s="71">
        <v>0</v>
      </c>
      <c r="HZ15" s="71">
        <v>65839</v>
      </c>
      <c r="IA15" s="71">
        <v>0</v>
      </c>
      <c r="IB15" s="71">
        <v>28869</v>
      </c>
      <c r="IC15" s="71">
        <v>25132</v>
      </c>
      <c r="ID15" s="71">
        <v>19935</v>
      </c>
      <c r="IE15" s="71">
        <v>0</v>
      </c>
      <c r="IF15" s="71">
        <v>0</v>
      </c>
      <c r="IG15" s="71">
        <v>10777</v>
      </c>
      <c r="IH15" s="71">
        <v>4201</v>
      </c>
      <c r="II15" s="71">
        <v>41434</v>
      </c>
      <c r="IJ15" s="71">
        <v>72473</v>
      </c>
      <c r="IK15" s="71">
        <v>0</v>
      </c>
      <c r="IL15" s="71">
        <v>27656</v>
      </c>
      <c r="IM15" s="71">
        <v>63042</v>
      </c>
      <c r="IN15" s="71">
        <v>886883</v>
      </c>
      <c r="IO15" s="71">
        <v>69931</v>
      </c>
      <c r="IP15" s="71">
        <v>95168</v>
      </c>
      <c r="IQ15" s="71">
        <v>295676</v>
      </c>
      <c r="IR15" s="71">
        <v>378346</v>
      </c>
      <c r="IS15" s="71">
        <v>0</v>
      </c>
      <c r="IT15" s="71">
        <v>21145</v>
      </c>
      <c r="IU15" s="71">
        <v>28208</v>
      </c>
      <c r="IV15" s="71">
        <v>58364</v>
      </c>
      <c r="IW15" s="71">
        <v>170399</v>
      </c>
      <c r="IX15" s="71">
        <v>0</v>
      </c>
      <c r="IY15" s="71">
        <v>92930</v>
      </c>
      <c r="IZ15" s="71">
        <v>199048</v>
      </c>
      <c r="JA15" s="71">
        <v>19149</v>
      </c>
      <c r="JB15" s="71">
        <v>256665</v>
      </c>
      <c r="JC15" s="71">
        <v>0</v>
      </c>
      <c r="JD15" s="71">
        <v>132120</v>
      </c>
      <c r="JE15" s="71">
        <v>0</v>
      </c>
      <c r="JF15" s="71">
        <v>89752</v>
      </c>
      <c r="JG15" s="71">
        <v>112501</v>
      </c>
      <c r="JH15" s="71">
        <v>68686</v>
      </c>
      <c r="JI15" s="71">
        <v>0</v>
      </c>
      <c r="JJ15" s="71">
        <v>926</v>
      </c>
      <c r="JK15" s="71">
        <v>58532</v>
      </c>
      <c r="JL15" s="71">
        <v>36222</v>
      </c>
      <c r="JM15" s="71">
        <v>292949</v>
      </c>
      <c r="JN15" s="71">
        <v>235875</v>
      </c>
      <c r="JO15" s="71">
        <v>0</v>
      </c>
      <c r="JP15" s="71">
        <v>116516</v>
      </c>
      <c r="JQ15" s="71">
        <v>112352</v>
      </c>
      <c r="JR15" s="71">
        <v>2941460</v>
      </c>
      <c r="JS15" s="71">
        <v>297060</v>
      </c>
      <c r="JT15" s="71">
        <v>311848</v>
      </c>
      <c r="JU15" s="71">
        <v>1408909</v>
      </c>
      <c r="JV15" s="71">
        <v>1563549</v>
      </c>
      <c r="JW15" s="71">
        <v>0</v>
      </c>
      <c r="JX15" s="71">
        <v>84404</v>
      </c>
      <c r="JY15" s="71">
        <v>162535</v>
      </c>
      <c r="JZ15" s="71">
        <v>309998</v>
      </c>
      <c r="KA15" s="71">
        <v>601267</v>
      </c>
      <c r="KB15" s="71">
        <v>0</v>
      </c>
      <c r="KC15" s="71">
        <v>402500</v>
      </c>
      <c r="KD15" s="71">
        <v>1149340</v>
      </c>
      <c r="KE15" s="71">
        <v>117181</v>
      </c>
      <c r="KF15" s="71">
        <v>1177921</v>
      </c>
      <c r="KG15" s="71">
        <v>0</v>
      </c>
      <c r="KH15" s="71">
        <v>442430</v>
      </c>
      <c r="KI15" s="71">
        <v>0</v>
      </c>
      <c r="KJ15" s="71">
        <v>342658</v>
      </c>
      <c r="KK15" s="71">
        <v>569271</v>
      </c>
      <c r="KL15" s="71">
        <v>272563</v>
      </c>
      <c r="KM15" s="71">
        <v>0</v>
      </c>
      <c r="KN15" s="71">
        <v>6035</v>
      </c>
      <c r="KO15" s="71">
        <v>321967</v>
      </c>
      <c r="KP15" s="71">
        <v>209604</v>
      </c>
      <c r="KQ15" s="71">
        <v>1680403</v>
      </c>
      <c r="KR15" s="71">
        <v>924928</v>
      </c>
      <c r="KS15" s="71">
        <v>0</v>
      </c>
      <c r="KT15" s="71">
        <v>576844</v>
      </c>
      <c r="KU15" s="71">
        <v>383796</v>
      </c>
      <c r="KV15" s="71">
        <v>13317011</v>
      </c>
      <c r="KW15" s="71" t="s">
        <v>1070</v>
      </c>
      <c r="KX15" s="71">
        <v>24327503</v>
      </c>
      <c r="KY15" s="71">
        <v>3103479</v>
      </c>
      <c r="KZ15" s="71">
        <v>27430982</v>
      </c>
      <c r="LA15" s="71">
        <v>0</v>
      </c>
      <c r="LB15" s="71">
        <v>625939</v>
      </c>
    </row>
    <row r="16" spans="1:314" x14ac:dyDescent="0.25">
      <c r="A16" s="71" t="s">
        <v>371</v>
      </c>
      <c r="B16" s="71" t="s">
        <v>1120</v>
      </c>
      <c r="C16" s="160" t="s">
        <v>1345</v>
      </c>
      <c r="D16" s="71" t="s">
        <v>1377</v>
      </c>
      <c r="E16" s="2">
        <v>41296.48978009259</v>
      </c>
      <c r="F16" s="71"/>
      <c r="G16" s="71" t="s">
        <v>372</v>
      </c>
      <c r="H16" s="71" t="s">
        <v>1121</v>
      </c>
      <c r="I16" s="71" t="s">
        <v>1122</v>
      </c>
      <c r="J16" s="71" t="s">
        <v>1378</v>
      </c>
      <c r="K16" s="71" t="s">
        <v>1123</v>
      </c>
      <c r="L16" s="71">
        <v>0</v>
      </c>
      <c r="M16" s="71">
        <v>0</v>
      </c>
      <c r="N16" s="71">
        <v>0</v>
      </c>
      <c r="O16" s="71">
        <v>15783751</v>
      </c>
      <c r="P16" s="71">
        <v>0</v>
      </c>
      <c r="Q16" s="71">
        <v>1079391</v>
      </c>
      <c r="R16" s="71">
        <v>0</v>
      </c>
      <c r="S16" s="71">
        <v>1079391</v>
      </c>
      <c r="T16" s="71">
        <v>1521445</v>
      </c>
      <c r="U16" s="71">
        <v>1124065</v>
      </c>
      <c r="V16" s="71">
        <v>889302</v>
      </c>
      <c r="W16" s="71">
        <v>0</v>
      </c>
      <c r="X16" s="71">
        <v>0</v>
      </c>
      <c r="Y16" s="71">
        <v>0</v>
      </c>
      <c r="Z16" s="71">
        <v>3534812</v>
      </c>
      <c r="AA16" s="71">
        <v>1303526</v>
      </c>
      <c r="AB16" s="71">
        <v>192902</v>
      </c>
      <c r="AC16" s="71">
        <v>239571</v>
      </c>
      <c r="AD16" s="71">
        <v>0</v>
      </c>
      <c r="AE16" s="71">
        <v>0</v>
      </c>
      <c r="AF16" s="71">
        <v>336770</v>
      </c>
      <c r="AG16" s="71">
        <v>2072769</v>
      </c>
      <c r="AH16" s="71">
        <v>2824971</v>
      </c>
      <c r="AI16" s="71">
        <v>1316967</v>
      </c>
      <c r="AJ16" s="71">
        <v>1128873</v>
      </c>
      <c r="AK16" s="71">
        <v>0</v>
      </c>
      <c r="AL16" s="71">
        <v>0</v>
      </c>
      <c r="AM16" s="71">
        <v>336770</v>
      </c>
      <c r="AN16" s="71">
        <v>5607581</v>
      </c>
      <c r="AO16" s="71">
        <v>0</v>
      </c>
      <c r="AP16" s="71">
        <v>171316</v>
      </c>
      <c r="AQ16" s="71">
        <v>0</v>
      </c>
      <c r="AR16" s="71">
        <v>0</v>
      </c>
      <c r="AS16" s="71">
        <v>171316</v>
      </c>
      <c r="AT16" s="71">
        <v>0</v>
      </c>
      <c r="AU16" s="71">
        <v>81129</v>
      </c>
      <c r="AV16" s="71">
        <v>0</v>
      </c>
      <c r="AW16" s="71">
        <v>0</v>
      </c>
      <c r="AX16" s="71">
        <v>81129</v>
      </c>
      <c r="AY16" s="71">
        <v>0</v>
      </c>
      <c r="AZ16" s="71">
        <v>252445</v>
      </c>
      <c r="BA16" s="71">
        <v>0</v>
      </c>
      <c r="BB16" s="71">
        <v>0</v>
      </c>
      <c r="BC16" s="71">
        <v>252445</v>
      </c>
      <c r="BD16" s="71">
        <v>318450</v>
      </c>
      <c r="BE16" s="71">
        <v>0</v>
      </c>
      <c r="BF16" s="71">
        <v>0</v>
      </c>
      <c r="BG16" s="71">
        <v>0</v>
      </c>
      <c r="BH16" s="71">
        <v>0</v>
      </c>
      <c r="BI16" s="71">
        <v>318450</v>
      </c>
      <c r="BJ16" s="71">
        <v>0</v>
      </c>
      <c r="BK16" s="71">
        <v>0</v>
      </c>
      <c r="BL16" s="71">
        <v>42433</v>
      </c>
      <c r="BM16" s="71">
        <v>0</v>
      </c>
      <c r="BN16" s="71">
        <v>0</v>
      </c>
      <c r="BO16" s="71">
        <v>42433</v>
      </c>
      <c r="BP16" s="71">
        <v>1850103</v>
      </c>
      <c r="BQ16" s="71">
        <v>0</v>
      </c>
      <c r="BR16" s="71">
        <v>0</v>
      </c>
      <c r="BS16" s="71">
        <v>0</v>
      </c>
      <c r="BT16" s="71">
        <v>7576</v>
      </c>
      <c r="BU16" s="71">
        <v>1857679</v>
      </c>
      <c r="BV16" s="71">
        <v>2168553</v>
      </c>
      <c r="BW16" s="71">
        <v>0</v>
      </c>
      <c r="BX16" s="71">
        <v>42433</v>
      </c>
      <c r="BY16" s="71">
        <v>0</v>
      </c>
      <c r="BZ16" s="71">
        <v>7576</v>
      </c>
      <c r="CA16" s="71">
        <v>2218562</v>
      </c>
      <c r="CB16" s="71">
        <v>0</v>
      </c>
      <c r="CC16" s="71">
        <v>0</v>
      </c>
      <c r="CD16" s="71">
        <v>0</v>
      </c>
      <c r="CE16" s="71">
        <v>0</v>
      </c>
      <c r="CF16" s="71">
        <v>0</v>
      </c>
      <c r="CG16" s="71">
        <v>0</v>
      </c>
      <c r="CH16" s="71">
        <v>0</v>
      </c>
      <c r="CI16" s="71">
        <v>0</v>
      </c>
      <c r="CJ16" s="71">
        <v>0</v>
      </c>
      <c r="CK16" s="71">
        <v>0</v>
      </c>
      <c r="CL16" s="71">
        <v>0</v>
      </c>
      <c r="CM16" s="71">
        <v>0</v>
      </c>
      <c r="CN16" s="71">
        <v>0</v>
      </c>
      <c r="CO16" s="71">
        <v>0</v>
      </c>
      <c r="CP16" s="71">
        <v>0</v>
      </c>
      <c r="CQ16" s="71">
        <v>0</v>
      </c>
      <c r="CR16" s="71" t="s">
        <v>371</v>
      </c>
      <c r="CS16" s="71">
        <v>127093</v>
      </c>
      <c r="CT16" s="71">
        <v>0</v>
      </c>
      <c r="CU16" s="71">
        <v>15376</v>
      </c>
      <c r="CV16" s="71">
        <v>70902</v>
      </c>
      <c r="CW16" s="71">
        <v>255440</v>
      </c>
      <c r="CX16" s="71">
        <v>181957</v>
      </c>
      <c r="CY16" s="71">
        <v>0</v>
      </c>
      <c r="CZ16" s="71">
        <v>5472</v>
      </c>
      <c r="DA16" s="71">
        <v>30992</v>
      </c>
      <c r="DB16" s="71">
        <v>1676</v>
      </c>
      <c r="DC16" s="71">
        <v>249464</v>
      </c>
      <c r="DD16" s="71">
        <v>64</v>
      </c>
      <c r="DE16" s="71">
        <v>5000</v>
      </c>
      <c r="DF16" s="71">
        <v>247760</v>
      </c>
      <c r="DG16" s="71">
        <v>39712</v>
      </c>
      <c r="DH16" s="71">
        <v>41710</v>
      </c>
      <c r="DI16" s="71">
        <v>0</v>
      </c>
      <c r="DJ16" s="71">
        <v>117122</v>
      </c>
      <c r="DK16" s="71">
        <v>0</v>
      </c>
      <c r="DL16" s="71">
        <v>111944</v>
      </c>
      <c r="DM16" s="71">
        <v>133744</v>
      </c>
      <c r="DN16" s="71">
        <v>39776</v>
      </c>
      <c r="DO16" s="71">
        <v>0</v>
      </c>
      <c r="DP16" s="71">
        <v>0</v>
      </c>
      <c r="DQ16" s="71">
        <v>71952</v>
      </c>
      <c r="DR16" s="71">
        <v>86760</v>
      </c>
      <c r="DS16" s="71">
        <v>285616</v>
      </c>
      <c r="DT16" s="71">
        <v>109872</v>
      </c>
      <c r="DU16" s="71">
        <v>0</v>
      </c>
      <c r="DV16" s="71">
        <v>118560</v>
      </c>
      <c r="DW16" s="71">
        <v>81888</v>
      </c>
      <c r="DX16" s="71">
        <v>2302759</v>
      </c>
      <c r="DY16" s="71">
        <v>64690</v>
      </c>
      <c r="DZ16" s="71">
        <v>240114</v>
      </c>
      <c r="EA16" s="71">
        <v>708102</v>
      </c>
      <c r="EB16" s="71">
        <v>86665</v>
      </c>
      <c r="EC16" s="71">
        <v>0</v>
      </c>
      <c r="ED16" s="71">
        <v>9917</v>
      </c>
      <c r="EE16" s="71">
        <v>423463</v>
      </c>
      <c r="EF16" s="71">
        <v>12230</v>
      </c>
      <c r="EG16" s="71">
        <v>592972</v>
      </c>
      <c r="EH16" s="71">
        <v>100</v>
      </c>
      <c r="EI16" s="71">
        <v>9224</v>
      </c>
      <c r="EJ16" s="71">
        <v>485952</v>
      </c>
      <c r="EK16" s="71">
        <v>67107</v>
      </c>
      <c r="EL16" s="71">
        <v>210534</v>
      </c>
      <c r="EM16" s="71">
        <v>0</v>
      </c>
      <c r="EN16" s="71">
        <v>384335</v>
      </c>
      <c r="EO16" s="71">
        <v>0</v>
      </c>
      <c r="EP16" s="71">
        <v>494687</v>
      </c>
      <c r="EQ16" s="71">
        <v>246994</v>
      </c>
      <c r="ER16" s="71">
        <v>90550</v>
      </c>
      <c r="ES16" s="71">
        <v>0</v>
      </c>
      <c r="ET16" s="71">
        <v>0</v>
      </c>
      <c r="EU16" s="71">
        <v>550663</v>
      </c>
      <c r="EV16" s="71">
        <v>262063</v>
      </c>
      <c r="EW16" s="71">
        <v>600853</v>
      </c>
      <c r="EX16" s="71">
        <v>328755</v>
      </c>
      <c r="EY16" s="71">
        <v>0</v>
      </c>
      <c r="EZ16" s="71">
        <v>209276</v>
      </c>
      <c r="FA16" s="71">
        <v>159500</v>
      </c>
      <c r="FB16" s="71">
        <v>6238746</v>
      </c>
      <c r="FC16" s="71">
        <v>0</v>
      </c>
      <c r="FD16" s="71">
        <v>0</v>
      </c>
      <c r="FE16" s="71">
        <v>0</v>
      </c>
      <c r="FF16" s="71">
        <v>0</v>
      </c>
      <c r="FG16" s="71">
        <v>0</v>
      </c>
      <c r="FH16" s="71">
        <v>0</v>
      </c>
      <c r="FI16" s="71">
        <v>0</v>
      </c>
      <c r="FJ16" s="71">
        <v>0</v>
      </c>
      <c r="FK16" s="71">
        <v>0</v>
      </c>
      <c r="FL16" s="71">
        <v>0</v>
      </c>
      <c r="FM16" s="71">
        <v>0</v>
      </c>
      <c r="FN16" s="71">
        <v>0</v>
      </c>
      <c r="FO16" s="71">
        <v>0</v>
      </c>
      <c r="FP16" s="71">
        <v>0</v>
      </c>
      <c r="FQ16" s="71">
        <v>0</v>
      </c>
      <c r="FR16" s="71">
        <v>0</v>
      </c>
      <c r="FS16" s="71">
        <v>0</v>
      </c>
      <c r="FT16" s="71">
        <v>0</v>
      </c>
      <c r="FU16" s="71">
        <v>0</v>
      </c>
      <c r="FV16" s="71">
        <v>0</v>
      </c>
      <c r="FW16" s="71">
        <v>0</v>
      </c>
      <c r="FX16" s="71">
        <v>0</v>
      </c>
      <c r="FY16" s="71">
        <v>0</v>
      </c>
      <c r="FZ16" s="71">
        <v>0</v>
      </c>
      <c r="GA16" s="71">
        <v>0</v>
      </c>
      <c r="GB16" s="71">
        <v>0</v>
      </c>
      <c r="GC16" s="71">
        <v>0</v>
      </c>
      <c r="GD16" s="71">
        <v>0</v>
      </c>
      <c r="GE16" s="71">
        <v>0</v>
      </c>
      <c r="GF16" s="71">
        <v>0</v>
      </c>
      <c r="GG16" s="71">
        <v>1318</v>
      </c>
      <c r="GH16" s="71">
        <v>4891</v>
      </c>
      <c r="GI16" s="71">
        <v>14425</v>
      </c>
      <c r="GJ16" s="71">
        <v>1766</v>
      </c>
      <c r="GK16" s="71">
        <v>0</v>
      </c>
      <c r="GL16" s="71">
        <v>202</v>
      </c>
      <c r="GM16" s="71">
        <v>8627</v>
      </c>
      <c r="GN16" s="71">
        <v>249</v>
      </c>
      <c r="GO16" s="71">
        <v>12080</v>
      </c>
      <c r="GP16" s="71">
        <v>2</v>
      </c>
      <c r="GQ16" s="71">
        <v>188</v>
      </c>
      <c r="GR16" s="71">
        <v>9900</v>
      </c>
      <c r="GS16" s="71">
        <v>1367</v>
      </c>
      <c r="GT16" s="71">
        <v>4289</v>
      </c>
      <c r="GU16" s="71">
        <v>0</v>
      </c>
      <c r="GV16" s="71">
        <v>7830</v>
      </c>
      <c r="GW16" s="71">
        <v>0</v>
      </c>
      <c r="GX16" s="71">
        <v>10078</v>
      </c>
      <c r="GY16" s="71">
        <v>5032</v>
      </c>
      <c r="GZ16" s="71">
        <v>1845</v>
      </c>
      <c r="HA16" s="71">
        <v>0</v>
      </c>
      <c r="HB16" s="71">
        <v>0</v>
      </c>
      <c r="HC16" s="71">
        <v>11218</v>
      </c>
      <c r="HD16" s="71">
        <v>5339</v>
      </c>
      <c r="HE16" s="71">
        <v>12240</v>
      </c>
      <c r="HF16" s="71">
        <v>6697</v>
      </c>
      <c r="HG16" s="71">
        <v>0</v>
      </c>
      <c r="HH16" s="71">
        <v>4263</v>
      </c>
      <c r="HI16" s="71">
        <v>3249</v>
      </c>
      <c r="HJ16" s="71">
        <v>127093</v>
      </c>
      <c r="HK16" s="71">
        <v>14142</v>
      </c>
      <c r="HL16" s="71">
        <v>52225</v>
      </c>
      <c r="HM16" s="71">
        <v>60506</v>
      </c>
      <c r="HN16" s="71">
        <v>3420</v>
      </c>
      <c r="HO16" s="71">
        <v>0</v>
      </c>
      <c r="HP16" s="71">
        <v>218</v>
      </c>
      <c r="HQ16" s="71">
        <v>17983</v>
      </c>
      <c r="HR16" s="71">
        <v>4039</v>
      </c>
      <c r="HS16" s="71">
        <v>60661</v>
      </c>
      <c r="HT16" s="71">
        <v>0</v>
      </c>
      <c r="HU16" s="71">
        <v>103</v>
      </c>
      <c r="HV16" s="71">
        <v>10680</v>
      </c>
      <c r="HW16" s="71">
        <v>957</v>
      </c>
      <c r="HX16" s="71">
        <v>12292</v>
      </c>
      <c r="HY16" s="71">
        <v>0</v>
      </c>
      <c r="HZ16" s="71">
        <v>67097</v>
      </c>
      <c r="IA16" s="71">
        <v>0</v>
      </c>
      <c r="IB16" s="71">
        <v>71291</v>
      </c>
      <c r="IC16" s="71">
        <v>2755</v>
      </c>
      <c r="ID16" s="71">
        <v>90629</v>
      </c>
      <c r="IE16" s="71">
        <v>0</v>
      </c>
      <c r="IF16" s="71">
        <v>0</v>
      </c>
      <c r="IG16" s="71">
        <v>51866</v>
      </c>
      <c r="IH16" s="71">
        <v>37353</v>
      </c>
      <c r="II16" s="71">
        <v>17273</v>
      </c>
      <c r="IJ16" s="71">
        <v>25038</v>
      </c>
      <c r="IK16" s="71">
        <v>0</v>
      </c>
      <c r="IL16" s="71">
        <v>1357</v>
      </c>
      <c r="IM16" s="71">
        <v>2394</v>
      </c>
      <c r="IN16" s="71">
        <v>604279</v>
      </c>
      <c r="IO16" s="71">
        <v>15460</v>
      </c>
      <c r="IP16" s="71">
        <v>57116</v>
      </c>
      <c r="IQ16" s="71">
        <v>74931</v>
      </c>
      <c r="IR16" s="71">
        <v>5186</v>
      </c>
      <c r="IS16" s="71">
        <v>0</v>
      </c>
      <c r="IT16" s="71">
        <v>420</v>
      </c>
      <c r="IU16" s="71">
        <v>26610</v>
      </c>
      <c r="IV16" s="71">
        <v>4288</v>
      </c>
      <c r="IW16" s="71">
        <v>72741</v>
      </c>
      <c r="IX16" s="71">
        <v>2</v>
      </c>
      <c r="IY16" s="71">
        <v>291</v>
      </c>
      <c r="IZ16" s="71">
        <v>20580</v>
      </c>
      <c r="JA16" s="71">
        <v>2324</v>
      </c>
      <c r="JB16" s="71">
        <v>16581</v>
      </c>
      <c r="JC16" s="71">
        <v>0</v>
      </c>
      <c r="JD16" s="71">
        <v>74927</v>
      </c>
      <c r="JE16" s="71">
        <v>0</v>
      </c>
      <c r="JF16" s="71">
        <v>81369</v>
      </c>
      <c r="JG16" s="71">
        <v>7787</v>
      </c>
      <c r="JH16" s="71">
        <v>92474</v>
      </c>
      <c r="JI16" s="71">
        <v>0</v>
      </c>
      <c r="JJ16" s="71">
        <v>0</v>
      </c>
      <c r="JK16" s="71">
        <v>63084</v>
      </c>
      <c r="JL16" s="71">
        <v>42692</v>
      </c>
      <c r="JM16" s="71">
        <v>29513</v>
      </c>
      <c r="JN16" s="71">
        <v>31735</v>
      </c>
      <c r="JO16" s="71">
        <v>0</v>
      </c>
      <c r="JP16" s="71">
        <v>5620</v>
      </c>
      <c r="JQ16" s="71">
        <v>5643</v>
      </c>
      <c r="JR16" s="71">
        <v>731372</v>
      </c>
      <c r="JS16" s="71">
        <v>80150</v>
      </c>
      <c r="JT16" s="71">
        <v>297230</v>
      </c>
      <c r="JU16" s="71">
        <v>783033</v>
      </c>
      <c r="JV16" s="71">
        <v>91851</v>
      </c>
      <c r="JW16" s="71">
        <v>0</v>
      </c>
      <c r="JX16" s="71">
        <v>10337</v>
      </c>
      <c r="JY16" s="71">
        <v>450073</v>
      </c>
      <c r="JZ16" s="71">
        <v>16518</v>
      </c>
      <c r="KA16" s="71">
        <v>665713</v>
      </c>
      <c r="KB16" s="71">
        <v>102</v>
      </c>
      <c r="KC16" s="71">
        <v>9515</v>
      </c>
      <c r="KD16" s="71">
        <v>506532</v>
      </c>
      <c r="KE16" s="71">
        <v>69431</v>
      </c>
      <c r="KF16" s="71">
        <v>227115</v>
      </c>
      <c r="KG16" s="71">
        <v>0</v>
      </c>
      <c r="KH16" s="71">
        <v>459262</v>
      </c>
      <c r="KI16" s="71">
        <v>0</v>
      </c>
      <c r="KJ16" s="71">
        <v>576056</v>
      </c>
      <c r="KK16" s="71">
        <v>254781</v>
      </c>
      <c r="KL16" s="71">
        <v>183024</v>
      </c>
      <c r="KM16" s="71">
        <v>0</v>
      </c>
      <c r="KN16" s="71">
        <v>0</v>
      </c>
      <c r="KO16" s="71">
        <v>613747</v>
      </c>
      <c r="KP16" s="71">
        <v>304755</v>
      </c>
      <c r="KQ16" s="71">
        <v>630366</v>
      </c>
      <c r="KR16" s="71">
        <v>360490</v>
      </c>
      <c r="KS16" s="71">
        <v>0</v>
      </c>
      <c r="KT16" s="71">
        <v>214896</v>
      </c>
      <c r="KU16" s="71">
        <v>165143</v>
      </c>
      <c r="KV16" s="71">
        <v>6970118</v>
      </c>
      <c r="KW16" s="71" t="s">
        <v>1070</v>
      </c>
      <c r="KX16" s="71">
        <v>13657090</v>
      </c>
      <c r="KY16" s="71">
        <v>2471007</v>
      </c>
      <c r="KZ16" s="71">
        <v>16128097</v>
      </c>
      <c r="LA16" s="71">
        <v>0</v>
      </c>
      <c r="LB16" s="71">
        <v>344346</v>
      </c>
    </row>
    <row r="17" spans="1:314" x14ac:dyDescent="0.25">
      <c r="A17" s="71" t="s">
        <v>373</v>
      </c>
      <c r="B17" s="71" t="s">
        <v>1124</v>
      </c>
      <c r="C17" s="160" t="s">
        <v>1345</v>
      </c>
      <c r="D17" s="71" t="s">
        <v>1385</v>
      </c>
      <c r="E17" s="2">
        <v>41298.651412037034</v>
      </c>
      <c r="F17" s="71"/>
      <c r="G17" s="71" t="s">
        <v>1125</v>
      </c>
      <c r="H17" s="71" t="s">
        <v>1126</v>
      </c>
      <c r="I17" s="71" t="s">
        <v>1127</v>
      </c>
      <c r="J17" s="71" t="s">
        <v>1128</v>
      </c>
      <c r="K17" s="71" t="s">
        <v>1129</v>
      </c>
      <c r="L17" s="71">
        <v>0</v>
      </c>
      <c r="M17" s="71">
        <v>0</v>
      </c>
      <c r="N17" s="71">
        <v>0</v>
      </c>
      <c r="O17" s="71">
        <v>21772639</v>
      </c>
      <c r="P17" s="71">
        <v>0</v>
      </c>
      <c r="Q17" s="71">
        <v>1691072</v>
      </c>
      <c r="R17" s="71">
        <v>0</v>
      </c>
      <c r="S17" s="71">
        <v>1691072</v>
      </c>
      <c r="T17" s="71">
        <v>2697774</v>
      </c>
      <c r="U17" s="71">
        <v>1362582</v>
      </c>
      <c r="V17" s="71">
        <v>825704</v>
      </c>
      <c r="W17" s="71">
        <v>0</v>
      </c>
      <c r="X17" s="71">
        <v>0</v>
      </c>
      <c r="Y17" s="71">
        <v>0</v>
      </c>
      <c r="Z17" s="71">
        <v>4886060</v>
      </c>
      <c r="AA17" s="71">
        <v>1566251</v>
      </c>
      <c r="AB17" s="71">
        <v>317710</v>
      </c>
      <c r="AC17" s="71">
        <v>255636</v>
      </c>
      <c r="AD17" s="71">
        <v>0</v>
      </c>
      <c r="AE17" s="71">
        <v>43553</v>
      </c>
      <c r="AF17" s="71">
        <v>426675</v>
      </c>
      <c r="AG17" s="71">
        <v>2609825</v>
      </c>
      <c r="AH17" s="71">
        <v>4264025</v>
      </c>
      <c r="AI17" s="71">
        <v>1680292</v>
      </c>
      <c r="AJ17" s="71">
        <v>1081340</v>
      </c>
      <c r="AK17" s="71">
        <v>0</v>
      </c>
      <c r="AL17" s="71">
        <v>43553</v>
      </c>
      <c r="AM17" s="71">
        <v>426675</v>
      </c>
      <c r="AN17" s="71">
        <v>7495885</v>
      </c>
      <c r="AO17" s="71">
        <v>434626</v>
      </c>
      <c r="AP17" s="71">
        <v>0</v>
      </c>
      <c r="AQ17" s="71">
        <v>0</v>
      </c>
      <c r="AR17" s="71">
        <v>0</v>
      </c>
      <c r="AS17" s="71">
        <v>434626</v>
      </c>
      <c r="AT17" s="71">
        <v>130246</v>
      </c>
      <c r="AU17" s="71">
        <v>0</v>
      </c>
      <c r="AV17" s="71">
        <v>0</v>
      </c>
      <c r="AW17" s="71">
        <v>0</v>
      </c>
      <c r="AX17" s="71">
        <v>130246</v>
      </c>
      <c r="AY17" s="71">
        <v>564872</v>
      </c>
      <c r="AZ17" s="71">
        <v>0</v>
      </c>
      <c r="BA17" s="71">
        <v>0</v>
      </c>
      <c r="BB17" s="71">
        <v>0</v>
      </c>
      <c r="BC17" s="71">
        <v>564872</v>
      </c>
      <c r="BD17" s="71">
        <v>822825</v>
      </c>
      <c r="BE17" s="71">
        <v>0</v>
      </c>
      <c r="BF17" s="71">
        <v>0</v>
      </c>
      <c r="BG17" s="71">
        <v>0</v>
      </c>
      <c r="BH17" s="71">
        <v>0</v>
      </c>
      <c r="BI17" s="71">
        <v>822825</v>
      </c>
      <c r="BJ17" s="71">
        <v>0</v>
      </c>
      <c r="BK17" s="71">
        <v>0</v>
      </c>
      <c r="BL17" s="71">
        <v>253445</v>
      </c>
      <c r="BM17" s="71">
        <v>0</v>
      </c>
      <c r="BN17" s="71">
        <v>0</v>
      </c>
      <c r="BO17" s="71">
        <v>253445</v>
      </c>
      <c r="BP17" s="71">
        <v>1812662</v>
      </c>
      <c r="BQ17" s="71">
        <v>190738</v>
      </c>
      <c r="BR17" s="71">
        <v>0</v>
      </c>
      <c r="BS17" s="71">
        <v>0</v>
      </c>
      <c r="BT17" s="71">
        <v>4591</v>
      </c>
      <c r="BU17" s="71">
        <v>2007991</v>
      </c>
      <c r="BV17" s="71">
        <v>2635487</v>
      </c>
      <c r="BW17" s="71">
        <v>190738</v>
      </c>
      <c r="BX17" s="71">
        <v>253445</v>
      </c>
      <c r="BY17" s="71">
        <v>0</v>
      </c>
      <c r="BZ17" s="71">
        <v>4591</v>
      </c>
      <c r="CA17" s="71">
        <v>3084261</v>
      </c>
      <c r="CB17" s="71">
        <v>0</v>
      </c>
      <c r="CC17" s="71">
        <v>0</v>
      </c>
      <c r="CD17" s="71">
        <v>0</v>
      </c>
      <c r="CE17" s="71">
        <v>0</v>
      </c>
      <c r="CF17" s="71">
        <v>0</v>
      </c>
      <c r="CG17" s="71">
        <v>0</v>
      </c>
      <c r="CH17" s="71">
        <v>0</v>
      </c>
      <c r="CI17" s="71">
        <v>0</v>
      </c>
      <c r="CJ17" s="71">
        <v>0</v>
      </c>
      <c r="CK17" s="71">
        <v>0</v>
      </c>
      <c r="CL17" s="71">
        <v>0</v>
      </c>
      <c r="CM17" s="71">
        <v>0</v>
      </c>
      <c r="CN17" s="71">
        <v>0</v>
      </c>
      <c r="CO17" s="71">
        <v>0</v>
      </c>
      <c r="CP17" s="71">
        <v>0</v>
      </c>
      <c r="CQ17" s="71">
        <v>0</v>
      </c>
      <c r="CR17" s="71" t="s">
        <v>373</v>
      </c>
      <c r="CS17" s="71">
        <v>639430</v>
      </c>
      <c r="CT17" s="71">
        <v>0</v>
      </c>
      <c r="CU17" s="71">
        <v>43069</v>
      </c>
      <c r="CV17" s="71">
        <v>26452</v>
      </c>
      <c r="CW17" s="71">
        <v>216688</v>
      </c>
      <c r="CX17" s="71">
        <v>153279</v>
      </c>
      <c r="CY17" s="71">
        <v>650</v>
      </c>
      <c r="CZ17" s="71">
        <v>8636</v>
      </c>
      <c r="DA17" s="71">
        <v>64463</v>
      </c>
      <c r="DB17" s="71">
        <v>105562</v>
      </c>
      <c r="DC17" s="71">
        <v>231593</v>
      </c>
      <c r="DD17" s="71">
        <v>0</v>
      </c>
      <c r="DE17" s="71">
        <v>202879</v>
      </c>
      <c r="DF17" s="71">
        <v>184156</v>
      </c>
      <c r="DG17" s="71">
        <v>50448</v>
      </c>
      <c r="DH17" s="71">
        <v>31754</v>
      </c>
      <c r="DI17" s="71">
        <v>18400</v>
      </c>
      <c r="DJ17" s="71">
        <v>118190</v>
      </c>
      <c r="DK17" s="71">
        <v>8864</v>
      </c>
      <c r="DL17" s="71">
        <v>85904</v>
      </c>
      <c r="DM17" s="71">
        <v>70880</v>
      </c>
      <c r="DN17" s="71">
        <v>10762</v>
      </c>
      <c r="DO17" s="71">
        <v>14612</v>
      </c>
      <c r="DP17" s="71">
        <v>15353</v>
      </c>
      <c r="DQ17" s="71">
        <v>16752</v>
      </c>
      <c r="DR17" s="71">
        <v>122953</v>
      </c>
      <c r="DS17" s="71">
        <v>314944</v>
      </c>
      <c r="DT17" s="71">
        <v>67999</v>
      </c>
      <c r="DU17" s="71">
        <v>0</v>
      </c>
      <c r="DV17" s="71">
        <v>101968</v>
      </c>
      <c r="DW17" s="71">
        <v>71936</v>
      </c>
      <c r="DX17" s="71">
        <v>2359146</v>
      </c>
      <c r="DY17" s="71">
        <v>151254</v>
      </c>
      <c r="DZ17" s="71">
        <v>37170</v>
      </c>
      <c r="EA17" s="71">
        <v>575487</v>
      </c>
      <c r="EB17" s="71">
        <v>464970</v>
      </c>
      <c r="EC17" s="71">
        <v>0</v>
      </c>
      <c r="ED17" s="71">
        <v>14234</v>
      </c>
      <c r="EE17" s="71">
        <v>200083</v>
      </c>
      <c r="EF17" s="71">
        <v>162497</v>
      </c>
      <c r="EG17" s="71">
        <v>558878</v>
      </c>
      <c r="EH17" s="71">
        <v>0</v>
      </c>
      <c r="EI17" s="71">
        <v>445568</v>
      </c>
      <c r="EJ17" s="71">
        <v>542042</v>
      </c>
      <c r="EK17" s="71">
        <v>165281</v>
      </c>
      <c r="EL17" s="71">
        <v>240381</v>
      </c>
      <c r="EM17" s="71">
        <v>210008</v>
      </c>
      <c r="EN17" s="71">
        <v>304654</v>
      </c>
      <c r="EO17" s="71">
        <v>100443</v>
      </c>
      <c r="EP17" s="71">
        <v>425755</v>
      </c>
      <c r="EQ17" s="71">
        <v>280333</v>
      </c>
      <c r="ER17" s="71">
        <v>15202</v>
      </c>
      <c r="ES17" s="71">
        <v>28095</v>
      </c>
      <c r="ET17" s="71">
        <v>18500</v>
      </c>
      <c r="EU17" s="71">
        <v>414584</v>
      </c>
      <c r="EV17" s="71">
        <v>135626</v>
      </c>
      <c r="EW17" s="71">
        <v>768111</v>
      </c>
      <c r="EX17" s="71">
        <v>282687</v>
      </c>
      <c r="EY17" s="71">
        <v>0</v>
      </c>
      <c r="EZ17" s="71">
        <v>270944</v>
      </c>
      <c r="FA17" s="71">
        <v>198153</v>
      </c>
      <c r="FB17" s="71">
        <v>7010940</v>
      </c>
      <c r="FC17" s="71">
        <v>6811</v>
      </c>
      <c r="FD17" s="71">
        <v>4290</v>
      </c>
      <c r="FE17" s="71">
        <v>37389</v>
      </c>
      <c r="FF17" s="71">
        <v>21076</v>
      </c>
      <c r="FG17" s="71">
        <v>0</v>
      </c>
      <c r="FH17" s="71">
        <v>1344</v>
      </c>
      <c r="FI17" s="71">
        <v>25507</v>
      </c>
      <c r="FJ17" s="71">
        <v>396</v>
      </c>
      <c r="FK17" s="71">
        <v>225536</v>
      </c>
      <c r="FL17" s="71">
        <v>0</v>
      </c>
      <c r="FM17" s="71">
        <v>8277</v>
      </c>
      <c r="FN17" s="71">
        <v>28759</v>
      </c>
      <c r="FO17" s="71">
        <v>325</v>
      </c>
      <c r="FP17" s="71">
        <v>42517</v>
      </c>
      <c r="FQ17" s="71">
        <v>27709</v>
      </c>
      <c r="FR17" s="71">
        <v>0</v>
      </c>
      <c r="FS17" s="71">
        <v>0</v>
      </c>
      <c r="FT17" s="71">
        <v>0</v>
      </c>
      <c r="FU17" s="71">
        <v>20492</v>
      </c>
      <c r="FV17" s="71">
        <v>2919</v>
      </c>
      <c r="FW17" s="71">
        <v>2783</v>
      </c>
      <c r="FX17" s="71">
        <v>0</v>
      </c>
      <c r="FY17" s="71">
        <v>117675</v>
      </c>
      <c r="FZ17" s="71">
        <v>41894</v>
      </c>
      <c r="GA17" s="71">
        <v>15316</v>
      </c>
      <c r="GB17" s="71">
        <v>3963</v>
      </c>
      <c r="GC17" s="71">
        <v>0</v>
      </c>
      <c r="GD17" s="71">
        <v>18914</v>
      </c>
      <c r="GE17" s="71">
        <v>9727</v>
      </c>
      <c r="GF17" s="71">
        <v>663619</v>
      </c>
      <c r="GG17" s="71">
        <v>13170</v>
      </c>
      <c r="GH17" s="71">
        <v>3454</v>
      </c>
      <c r="GI17" s="71">
        <v>51064</v>
      </c>
      <c r="GJ17" s="71">
        <v>40496</v>
      </c>
      <c r="GK17" s="71">
        <v>0</v>
      </c>
      <c r="GL17" s="71">
        <v>1298</v>
      </c>
      <c r="GM17" s="71">
        <v>18796</v>
      </c>
      <c r="GN17" s="71">
        <v>13572</v>
      </c>
      <c r="GO17" s="71">
        <v>65356</v>
      </c>
      <c r="GP17" s="71">
        <v>0</v>
      </c>
      <c r="GQ17" s="71">
        <v>37814</v>
      </c>
      <c r="GR17" s="71">
        <v>47558</v>
      </c>
      <c r="GS17" s="71">
        <v>13798</v>
      </c>
      <c r="GT17" s="71">
        <v>23571</v>
      </c>
      <c r="GU17" s="71">
        <v>19806</v>
      </c>
      <c r="GV17" s="71">
        <v>25383</v>
      </c>
      <c r="GW17" s="71">
        <v>8369</v>
      </c>
      <c r="GX17" s="71">
        <v>35473</v>
      </c>
      <c r="GY17" s="71">
        <v>25064</v>
      </c>
      <c r="GZ17" s="71">
        <v>1510</v>
      </c>
      <c r="HA17" s="71">
        <v>2573</v>
      </c>
      <c r="HB17" s="71">
        <v>1541</v>
      </c>
      <c r="HC17" s="71">
        <v>44347</v>
      </c>
      <c r="HD17" s="71">
        <v>14791</v>
      </c>
      <c r="HE17" s="71">
        <v>65274</v>
      </c>
      <c r="HF17" s="71">
        <v>23883</v>
      </c>
      <c r="HG17" s="71">
        <v>0</v>
      </c>
      <c r="HH17" s="71">
        <v>24150</v>
      </c>
      <c r="HI17" s="71">
        <v>17320</v>
      </c>
      <c r="HJ17" s="71">
        <v>639430</v>
      </c>
      <c r="HK17" s="71">
        <v>52461</v>
      </c>
      <c r="HL17" s="71">
        <v>12835</v>
      </c>
      <c r="HM17" s="71">
        <v>128443</v>
      </c>
      <c r="HN17" s="71">
        <v>38416</v>
      </c>
      <c r="HO17" s="71">
        <v>2500</v>
      </c>
      <c r="HP17" s="71">
        <v>2232</v>
      </c>
      <c r="HQ17" s="71">
        <v>118678</v>
      </c>
      <c r="HR17" s="71">
        <v>12638</v>
      </c>
      <c r="HS17" s="71">
        <v>159756</v>
      </c>
      <c r="HT17" s="71">
        <v>0</v>
      </c>
      <c r="HU17" s="71">
        <v>75923</v>
      </c>
      <c r="HV17" s="71">
        <v>21615</v>
      </c>
      <c r="HW17" s="71">
        <v>1275</v>
      </c>
      <c r="HX17" s="71">
        <v>46394</v>
      </c>
      <c r="HY17" s="71">
        <v>69612</v>
      </c>
      <c r="HZ17" s="71">
        <v>50823</v>
      </c>
      <c r="IA17" s="71">
        <v>18251</v>
      </c>
      <c r="IB17" s="71">
        <v>44829</v>
      </c>
      <c r="IC17" s="71">
        <v>18832</v>
      </c>
      <c r="ID17" s="71">
        <v>4025</v>
      </c>
      <c r="IE17" s="71">
        <v>5629</v>
      </c>
      <c r="IF17" s="71">
        <v>3000</v>
      </c>
      <c r="IG17" s="71">
        <v>49</v>
      </c>
      <c r="IH17" s="71">
        <v>93569</v>
      </c>
      <c r="II17" s="71">
        <v>16785</v>
      </c>
      <c r="IJ17" s="71">
        <v>36850</v>
      </c>
      <c r="IK17" s="71">
        <v>0</v>
      </c>
      <c r="IL17" s="71">
        <v>12470</v>
      </c>
      <c r="IM17" s="71">
        <v>5936</v>
      </c>
      <c r="IN17" s="71">
        <v>1053826</v>
      </c>
      <c r="IO17" s="71">
        <v>72442</v>
      </c>
      <c r="IP17" s="71">
        <v>20579</v>
      </c>
      <c r="IQ17" s="71">
        <v>216896</v>
      </c>
      <c r="IR17" s="71">
        <v>99988</v>
      </c>
      <c r="IS17" s="71">
        <v>2500</v>
      </c>
      <c r="IT17" s="71">
        <v>4874</v>
      </c>
      <c r="IU17" s="71">
        <v>162981</v>
      </c>
      <c r="IV17" s="71">
        <v>26606</v>
      </c>
      <c r="IW17" s="71">
        <v>450648</v>
      </c>
      <c r="IX17" s="71">
        <v>0</v>
      </c>
      <c r="IY17" s="71">
        <v>122014</v>
      </c>
      <c r="IZ17" s="71">
        <v>97932</v>
      </c>
      <c r="JA17" s="71">
        <v>15398</v>
      </c>
      <c r="JB17" s="71">
        <v>112482</v>
      </c>
      <c r="JC17" s="71">
        <v>117127</v>
      </c>
      <c r="JD17" s="71">
        <v>76206</v>
      </c>
      <c r="JE17" s="71">
        <v>26620</v>
      </c>
      <c r="JF17" s="71">
        <v>80302</v>
      </c>
      <c r="JG17" s="71">
        <v>64388</v>
      </c>
      <c r="JH17" s="71">
        <v>8454</v>
      </c>
      <c r="JI17" s="71">
        <v>10985</v>
      </c>
      <c r="JJ17" s="71">
        <v>4541</v>
      </c>
      <c r="JK17" s="71">
        <v>162071</v>
      </c>
      <c r="JL17" s="71">
        <v>150254</v>
      </c>
      <c r="JM17" s="71">
        <v>97375</v>
      </c>
      <c r="JN17" s="71">
        <v>64696</v>
      </c>
      <c r="JO17" s="71">
        <v>0</v>
      </c>
      <c r="JP17" s="71">
        <v>55534</v>
      </c>
      <c r="JQ17" s="71">
        <v>32983</v>
      </c>
      <c r="JR17" s="71">
        <v>2356875</v>
      </c>
      <c r="JS17" s="71">
        <v>223696</v>
      </c>
      <c r="JT17" s="71">
        <v>57749</v>
      </c>
      <c r="JU17" s="71">
        <v>792383</v>
      </c>
      <c r="JV17" s="71">
        <v>564958</v>
      </c>
      <c r="JW17" s="71">
        <v>2500</v>
      </c>
      <c r="JX17" s="71">
        <v>19108</v>
      </c>
      <c r="JY17" s="71">
        <v>363064</v>
      </c>
      <c r="JZ17" s="71">
        <v>189103</v>
      </c>
      <c r="KA17" s="71">
        <v>1009526</v>
      </c>
      <c r="KB17" s="71">
        <v>0</v>
      </c>
      <c r="KC17" s="71">
        <v>567582</v>
      </c>
      <c r="KD17" s="71">
        <v>639974</v>
      </c>
      <c r="KE17" s="71">
        <v>180679</v>
      </c>
      <c r="KF17" s="71">
        <v>352863</v>
      </c>
      <c r="KG17" s="71">
        <v>327135</v>
      </c>
      <c r="KH17" s="71">
        <v>380860</v>
      </c>
      <c r="KI17" s="71">
        <v>127063</v>
      </c>
      <c r="KJ17" s="71">
        <v>506057</v>
      </c>
      <c r="KK17" s="71">
        <v>344721</v>
      </c>
      <c r="KL17" s="71">
        <v>23656</v>
      </c>
      <c r="KM17" s="71">
        <v>39080</v>
      </c>
      <c r="KN17" s="71">
        <v>23041</v>
      </c>
      <c r="KO17" s="71">
        <v>576655</v>
      </c>
      <c r="KP17" s="71">
        <v>285880</v>
      </c>
      <c r="KQ17" s="71">
        <v>865486</v>
      </c>
      <c r="KR17" s="71">
        <v>347383</v>
      </c>
      <c r="KS17" s="71">
        <v>0</v>
      </c>
      <c r="KT17" s="71">
        <v>326478</v>
      </c>
      <c r="KU17" s="71">
        <v>231136</v>
      </c>
      <c r="KV17" s="71">
        <v>9367815</v>
      </c>
      <c r="KW17" s="71" t="s">
        <v>1070</v>
      </c>
      <c r="KX17" s="71">
        <v>18554772</v>
      </c>
      <c r="KY17" s="71">
        <v>3649133</v>
      </c>
      <c r="KZ17" s="71">
        <v>22203905</v>
      </c>
      <c r="LA17" s="71">
        <v>0</v>
      </c>
      <c r="LB17" s="71">
        <v>431266</v>
      </c>
    </row>
    <row r="18" spans="1:314" x14ac:dyDescent="0.25">
      <c r="A18" s="71" t="s">
        <v>374</v>
      </c>
      <c r="B18" s="71" t="s">
        <v>1130</v>
      </c>
      <c r="C18" s="160" t="s">
        <v>1345</v>
      </c>
      <c r="D18" s="71" t="s">
        <v>1395</v>
      </c>
      <c r="E18" s="2">
        <v>41302.655023148145</v>
      </c>
      <c r="F18" s="71"/>
      <c r="G18" s="71" t="s">
        <v>375</v>
      </c>
      <c r="H18" s="71" t="s">
        <v>1131</v>
      </c>
      <c r="I18" s="71" t="s">
        <v>1132</v>
      </c>
      <c r="J18" s="71" t="s">
        <v>1133</v>
      </c>
      <c r="K18" s="71" t="s">
        <v>1134</v>
      </c>
      <c r="L18" s="71">
        <v>0</v>
      </c>
      <c r="M18" s="71">
        <v>0</v>
      </c>
      <c r="N18" s="71">
        <v>0</v>
      </c>
      <c r="O18" s="71">
        <v>27767583</v>
      </c>
      <c r="P18" s="71">
        <v>0</v>
      </c>
      <c r="Q18" s="71">
        <v>2201088</v>
      </c>
      <c r="R18" s="71">
        <v>0</v>
      </c>
      <c r="S18" s="71">
        <v>2201088</v>
      </c>
      <c r="T18" s="71">
        <v>2213127</v>
      </c>
      <c r="U18" s="71">
        <v>1131464</v>
      </c>
      <c r="V18" s="71">
        <v>2275086</v>
      </c>
      <c r="W18" s="71">
        <v>0</v>
      </c>
      <c r="X18" s="71">
        <v>0</v>
      </c>
      <c r="Y18" s="71">
        <v>0</v>
      </c>
      <c r="Z18" s="71">
        <v>5619677</v>
      </c>
      <c r="AA18" s="71">
        <v>1562872</v>
      </c>
      <c r="AB18" s="71">
        <v>404663</v>
      </c>
      <c r="AC18" s="71">
        <v>371508</v>
      </c>
      <c r="AD18" s="71">
        <v>0</v>
      </c>
      <c r="AE18" s="71">
        <v>386628</v>
      </c>
      <c r="AF18" s="71">
        <v>284373</v>
      </c>
      <c r="AG18" s="71">
        <v>3010044</v>
      </c>
      <c r="AH18" s="71">
        <v>3775999</v>
      </c>
      <c r="AI18" s="71">
        <v>1536127</v>
      </c>
      <c r="AJ18" s="71">
        <v>2646594</v>
      </c>
      <c r="AK18" s="71">
        <v>0</v>
      </c>
      <c r="AL18" s="71">
        <v>386628</v>
      </c>
      <c r="AM18" s="71">
        <v>284373</v>
      </c>
      <c r="AN18" s="71">
        <v>8629721</v>
      </c>
      <c r="AO18" s="71">
        <v>112600</v>
      </c>
      <c r="AP18" s="71">
        <v>0</v>
      </c>
      <c r="AQ18" s="71">
        <v>0</v>
      </c>
      <c r="AR18" s="71">
        <v>0</v>
      </c>
      <c r="AS18" s="71">
        <v>112600</v>
      </c>
      <c r="AT18" s="71">
        <v>101083</v>
      </c>
      <c r="AU18" s="71">
        <v>0</v>
      </c>
      <c r="AV18" s="71">
        <v>0</v>
      </c>
      <c r="AW18" s="71">
        <v>51486</v>
      </c>
      <c r="AX18" s="71">
        <v>152569</v>
      </c>
      <c r="AY18" s="71">
        <v>213683</v>
      </c>
      <c r="AZ18" s="71">
        <v>0</v>
      </c>
      <c r="BA18" s="71">
        <v>0</v>
      </c>
      <c r="BB18" s="71">
        <v>51486</v>
      </c>
      <c r="BC18" s="71">
        <v>265169</v>
      </c>
      <c r="BD18" s="71">
        <v>491944</v>
      </c>
      <c r="BE18" s="71">
        <v>0</v>
      </c>
      <c r="BF18" s="71">
        <v>0</v>
      </c>
      <c r="BG18" s="71">
        <v>0</v>
      </c>
      <c r="BH18" s="71">
        <v>0</v>
      </c>
      <c r="BI18" s="71">
        <v>491944</v>
      </c>
      <c r="BJ18" s="71">
        <v>0</v>
      </c>
      <c r="BK18" s="71">
        <v>0</v>
      </c>
      <c r="BL18" s="71">
        <v>148871</v>
      </c>
      <c r="BM18" s="71">
        <v>0</v>
      </c>
      <c r="BN18" s="71">
        <v>0</v>
      </c>
      <c r="BO18" s="71">
        <v>148871</v>
      </c>
      <c r="BP18" s="71">
        <v>2537916</v>
      </c>
      <c r="BQ18" s="71">
        <v>0</v>
      </c>
      <c r="BR18" s="71">
        <v>0</v>
      </c>
      <c r="BS18" s="71">
        <v>0</v>
      </c>
      <c r="BT18" s="71">
        <v>34485</v>
      </c>
      <c r="BU18" s="71">
        <v>2572401</v>
      </c>
      <c r="BV18" s="71">
        <v>3029860</v>
      </c>
      <c r="BW18" s="71">
        <v>0</v>
      </c>
      <c r="BX18" s="71">
        <v>148871</v>
      </c>
      <c r="BY18" s="71">
        <v>0</v>
      </c>
      <c r="BZ18" s="71">
        <v>34485</v>
      </c>
      <c r="CA18" s="71">
        <v>3213216</v>
      </c>
      <c r="CB18" s="71">
        <v>0</v>
      </c>
      <c r="CC18" s="71">
        <v>0</v>
      </c>
      <c r="CD18" s="71">
        <v>0</v>
      </c>
      <c r="CE18" s="71">
        <v>0</v>
      </c>
      <c r="CF18" s="71">
        <v>0</v>
      </c>
      <c r="CG18" s="71">
        <v>0</v>
      </c>
      <c r="CH18" s="71">
        <v>0</v>
      </c>
      <c r="CI18" s="71">
        <v>0</v>
      </c>
      <c r="CJ18" s="71">
        <v>0</v>
      </c>
      <c r="CK18" s="71">
        <v>0</v>
      </c>
      <c r="CL18" s="71">
        <v>0</v>
      </c>
      <c r="CM18" s="71">
        <v>0</v>
      </c>
      <c r="CN18" s="71">
        <v>0</v>
      </c>
      <c r="CO18" s="71">
        <v>0</v>
      </c>
      <c r="CP18" s="71">
        <v>0</v>
      </c>
      <c r="CQ18" s="71">
        <v>0</v>
      </c>
      <c r="CR18" s="71" t="s">
        <v>374</v>
      </c>
      <c r="CS18" s="71">
        <v>404554</v>
      </c>
      <c r="CT18" s="71">
        <v>0</v>
      </c>
      <c r="CU18" s="71">
        <v>18040</v>
      </c>
      <c r="CV18" s="71">
        <v>52185</v>
      </c>
      <c r="CW18" s="71">
        <v>314976</v>
      </c>
      <c r="CX18" s="71">
        <v>218413</v>
      </c>
      <c r="CY18" s="71">
        <v>0</v>
      </c>
      <c r="CZ18" s="71">
        <v>12288</v>
      </c>
      <c r="DA18" s="71">
        <v>157548</v>
      </c>
      <c r="DB18" s="71">
        <v>7572</v>
      </c>
      <c r="DC18" s="71">
        <v>182186</v>
      </c>
      <c r="DD18" s="71">
        <v>1536</v>
      </c>
      <c r="DE18" s="71">
        <v>183799</v>
      </c>
      <c r="DF18" s="71">
        <v>288032</v>
      </c>
      <c r="DG18" s="71">
        <v>21896</v>
      </c>
      <c r="DH18" s="71">
        <v>159136</v>
      </c>
      <c r="DI18" s="71">
        <v>0</v>
      </c>
      <c r="DJ18" s="71">
        <v>182904</v>
      </c>
      <c r="DK18" s="71">
        <v>0</v>
      </c>
      <c r="DL18" s="71">
        <v>93360</v>
      </c>
      <c r="DM18" s="71">
        <v>114864</v>
      </c>
      <c r="DN18" s="71">
        <v>56539</v>
      </c>
      <c r="DO18" s="71">
        <v>45740</v>
      </c>
      <c r="DP18" s="71">
        <v>15820</v>
      </c>
      <c r="DQ18" s="71">
        <v>110400</v>
      </c>
      <c r="DR18" s="71">
        <v>289975</v>
      </c>
      <c r="DS18" s="71">
        <v>438384</v>
      </c>
      <c r="DT18" s="71">
        <v>204646</v>
      </c>
      <c r="DU18" s="71">
        <v>0</v>
      </c>
      <c r="DV18" s="71">
        <v>205088</v>
      </c>
      <c r="DW18" s="71">
        <v>150208</v>
      </c>
      <c r="DX18" s="71">
        <v>3525535</v>
      </c>
      <c r="DY18" s="71">
        <v>27822</v>
      </c>
      <c r="DZ18" s="71">
        <v>170812</v>
      </c>
      <c r="EA18" s="71">
        <v>1064793</v>
      </c>
      <c r="EB18" s="71">
        <v>642239</v>
      </c>
      <c r="EC18" s="71">
        <v>0</v>
      </c>
      <c r="ED18" s="71">
        <v>72569</v>
      </c>
      <c r="EE18" s="71">
        <v>390898</v>
      </c>
      <c r="EF18" s="71">
        <v>220877</v>
      </c>
      <c r="EG18" s="71">
        <v>488093</v>
      </c>
      <c r="EH18" s="71">
        <v>13435</v>
      </c>
      <c r="EI18" s="71">
        <v>413906</v>
      </c>
      <c r="EJ18" s="71">
        <v>991799</v>
      </c>
      <c r="EK18" s="71">
        <v>105405</v>
      </c>
      <c r="EL18" s="71">
        <v>831649</v>
      </c>
      <c r="EM18" s="71">
        <v>0</v>
      </c>
      <c r="EN18" s="71">
        <v>667911</v>
      </c>
      <c r="EO18" s="71">
        <v>0</v>
      </c>
      <c r="EP18" s="71">
        <v>339473</v>
      </c>
      <c r="EQ18" s="71">
        <v>320635</v>
      </c>
      <c r="ER18" s="71">
        <v>251050</v>
      </c>
      <c r="ES18" s="71">
        <v>72302</v>
      </c>
      <c r="ET18" s="71">
        <v>169</v>
      </c>
      <c r="EU18" s="71">
        <v>600338</v>
      </c>
      <c r="EV18" s="71">
        <v>784262</v>
      </c>
      <c r="EW18" s="71">
        <v>1113827</v>
      </c>
      <c r="EX18" s="71">
        <v>857095</v>
      </c>
      <c r="EY18" s="71">
        <v>0</v>
      </c>
      <c r="EZ18" s="71">
        <v>595465</v>
      </c>
      <c r="FA18" s="71">
        <v>274666</v>
      </c>
      <c r="FB18" s="71">
        <v>11311490</v>
      </c>
      <c r="FC18" s="71">
        <v>4885</v>
      </c>
      <c r="FD18" s="71">
        <v>210</v>
      </c>
      <c r="FE18" s="71">
        <v>111147</v>
      </c>
      <c r="FF18" s="71">
        <v>20655</v>
      </c>
      <c r="FG18" s="71">
        <v>0</v>
      </c>
      <c r="FH18" s="71">
        <v>7478</v>
      </c>
      <c r="FI18" s="71">
        <v>120095</v>
      </c>
      <c r="FJ18" s="71">
        <v>226</v>
      </c>
      <c r="FK18" s="71">
        <v>6235</v>
      </c>
      <c r="FL18" s="71">
        <v>0</v>
      </c>
      <c r="FM18" s="71">
        <v>90410</v>
      </c>
      <c r="FN18" s="71">
        <v>187</v>
      </c>
      <c r="FO18" s="71">
        <v>80</v>
      </c>
      <c r="FP18" s="71">
        <v>4295</v>
      </c>
      <c r="FQ18" s="71">
        <v>0</v>
      </c>
      <c r="FR18" s="71">
        <v>7830</v>
      </c>
      <c r="FS18" s="71">
        <v>0</v>
      </c>
      <c r="FT18" s="71">
        <v>0</v>
      </c>
      <c r="FU18" s="71">
        <v>2546</v>
      </c>
      <c r="FV18" s="71">
        <v>302</v>
      </c>
      <c r="FW18" s="71">
        <v>2499</v>
      </c>
      <c r="FX18" s="71">
        <v>80</v>
      </c>
      <c r="FY18" s="71">
        <v>0</v>
      </c>
      <c r="FZ18" s="71">
        <v>206702</v>
      </c>
      <c r="GA18" s="71">
        <v>161</v>
      </c>
      <c r="GB18" s="71">
        <v>11445</v>
      </c>
      <c r="GC18" s="71">
        <v>0</v>
      </c>
      <c r="GD18" s="71">
        <v>4728</v>
      </c>
      <c r="GE18" s="71">
        <v>2648</v>
      </c>
      <c r="GF18" s="71">
        <v>604844</v>
      </c>
      <c r="GG18" s="71">
        <v>1110</v>
      </c>
      <c r="GH18" s="71">
        <v>5806</v>
      </c>
      <c r="GI18" s="71">
        <v>39923</v>
      </c>
      <c r="GJ18" s="71">
        <v>22505</v>
      </c>
      <c r="GK18" s="71">
        <v>0</v>
      </c>
      <c r="GL18" s="71">
        <v>2718</v>
      </c>
      <c r="GM18" s="71">
        <v>17348</v>
      </c>
      <c r="GN18" s="71">
        <v>7506</v>
      </c>
      <c r="GO18" s="71">
        <v>16782</v>
      </c>
      <c r="GP18" s="71">
        <v>456</v>
      </c>
      <c r="GQ18" s="71">
        <v>17121</v>
      </c>
      <c r="GR18" s="71">
        <v>33677</v>
      </c>
      <c r="GS18" s="71">
        <v>3581</v>
      </c>
      <c r="GT18" s="71">
        <v>28380</v>
      </c>
      <c r="GU18" s="71">
        <v>0</v>
      </c>
      <c r="GV18" s="71">
        <v>22941</v>
      </c>
      <c r="GW18" s="71">
        <v>0</v>
      </c>
      <c r="GX18" s="71">
        <v>11525</v>
      </c>
      <c r="GY18" s="71">
        <v>10972</v>
      </c>
      <c r="GZ18" s="71">
        <v>8533</v>
      </c>
      <c r="HA18" s="71">
        <v>2539</v>
      </c>
      <c r="HB18" s="71">
        <v>8</v>
      </c>
      <c r="HC18" s="71">
        <v>20381</v>
      </c>
      <c r="HD18" s="71">
        <v>33643</v>
      </c>
      <c r="HE18" s="71">
        <v>37819</v>
      </c>
      <c r="HF18" s="71">
        <v>29487</v>
      </c>
      <c r="HG18" s="71">
        <v>0</v>
      </c>
      <c r="HH18" s="71">
        <v>20376</v>
      </c>
      <c r="HI18" s="71">
        <v>9415</v>
      </c>
      <c r="HJ18" s="71">
        <v>404554</v>
      </c>
      <c r="HK18" s="71">
        <v>4006</v>
      </c>
      <c r="HL18" s="71">
        <v>19700</v>
      </c>
      <c r="HM18" s="71">
        <v>133010</v>
      </c>
      <c r="HN18" s="71">
        <v>73519</v>
      </c>
      <c r="HO18" s="71">
        <v>0</v>
      </c>
      <c r="HP18" s="71">
        <v>17250</v>
      </c>
      <c r="HQ18" s="71">
        <v>68609</v>
      </c>
      <c r="HR18" s="71">
        <v>92921</v>
      </c>
      <c r="HS18" s="71">
        <v>24655</v>
      </c>
      <c r="HT18" s="71">
        <v>998</v>
      </c>
      <c r="HU18" s="71">
        <v>141397</v>
      </c>
      <c r="HV18" s="71">
        <v>26931</v>
      </c>
      <c r="HW18" s="71">
        <v>3897</v>
      </c>
      <c r="HX18" s="71">
        <v>130819</v>
      </c>
      <c r="HY18" s="71">
        <v>0</v>
      </c>
      <c r="HZ18" s="71">
        <v>125290</v>
      </c>
      <c r="IA18" s="71">
        <v>0</v>
      </c>
      <c r="IB18" s="71">
        <v>35943</v>
      </c>
      <c r="IC18" s="71">
        <v>11310</v>
      </c>
      <c r="ID18" s="71">
        <v>34947</v>
      </c>
      <c r="IE18" s="71">
        <v>17518</v>
      </c>
      <c r="IF18" s="71">
        <v>199</v>
      </c>
      <c r="IG18" s="71">
        <v>14849</v>
      </c>
      <c r="IH18" s="71">
        <v>351896</v>
      </c>
      <c r="II18" s="71">
        <v>12734</v>
      </c>
      <c r="IJ18" s="71">
        <v>135163</v>
      </c>
      <c r="IK18" s="71">
        <v>0</v>
      </c>
      <c r="IL18" s="71">
        <v>24333</v>
      </c>
      <c r="IM18" s="71">
        <v>5951</v>
      </c>
      <c r="IN18" s="71">
        <v>1507845</v>
      </c>
      <c r="IO18" s="71">
        <v>10001</v>
      </c>
      <c r="IP18" s="71">
        <v>25716</v>
      </c>
      <c r="IQ18" s="71">
        <v>284080</v>
      </c>
      <c r="IR18" s="71">
        <v>116679</v>
      </c>
      <c r="IS18" s="71">
        <v>0</v>
      </c>
      <c r="IT18" s="71">
        <v>27446</v>
      </c>
      <c r="IU18" s="71">
        <v>206052</v>
      </c>
      <c r="IV18" s="71">
        <v>100653</v>
      </c>
      <c r="IW18" s="71">
        <v>47672</v>
      </c>
      <c r="IX18" s="71">
        <v>1454</v>
      </c>
      <c r="IY18" s="71">
        <v>248928</v>
      </c>
      <c r="IZ18" s="71">
        <v>60795</v>
      </c>
      <c r="JA18" s="71">
        <v>7558</v>
      </c>
      <c r="JB18" s="71">
        <v>163494</v>
      </c>
      <c r="JC18" s="71">
        <v>0</v>
      </c>
      <c r="JD18" s="71">
        <v>156061</v>
      </c>
      <c r="JE18" s="71">
        <v>0</v>
      </c>
      <c r="JF18" s="71">
        <v>47468</v>
      </c>
      <c r="JG18" s="71">
        <v>24828</v>
      </c>
      <c r="JH18" s="71">
        <v>43782</v>
      </c>
      <c r="JI18" s="71">
        <v>22556</v>
      </c>
      <c r="JJ18" s="71">
        <v>287</v>
      </c>
      <c r="JK18" s="71">
        <v>35230</v>
      </c>
      <c r="JL18" s="71">
        <v>592241</v>
      </c>
      <c r="JM18" s="71">
        <v>50714</v>
      </c>
      <c r="JN18" s="71">
        <v>176095</v>
      </c>
      <c r="JO18" s="71">
        <v>0</v>
      </c>
      <c r="JP18" s="71">
        <v>49437</v>
      </c>
      <c r="JQ18" s="71">
        <v>18014</v>
      </c>
      <c r="JR18" s="71">
        <v>2517243</v>
      </c>
      <c r="JS18" s="71">
        <v>37823</v>
      </c>
      <c r="JT18" s="71">
        <v>196528</v>
      </c>
      <c r="JU18" s="71">
        <v>1348873</v>
      </c>
      <c r="JV18" s="71">
        <v>758918</v>
      </c>
      <c r="JW18" s="71">
        <v>0</v>
      </c>
      <c r="JX18" s="71">
        <v>100015</v>
      </c>
      <c r="JY18" s="71">
        <v>596950</v>
      </c>
      <c r="JZ18" s="71">
        <v>321530</v>
      </c>
      <c r="KA18" s="71">
        <v>535765</v>
      </c>
      <c r="KB18" s="71">
        <v>14889</v>
      </c>
      <c r="KC18" s="71">
        <v>662834</v>
      </c>
      <c r="KD18" s="71">
        <v>1052594</v>
      </c>
      <c r="KE18" s="71">
        <v>112963</v>
      </c>
      <c r="KF18" s="71">
        <v>995143</v>
      </c>
      <c r="KG18" s="71">
        <v>0</v>
      </c>
      <c r="KH18" s="71">
        <v>823972</v>
      </c>
      <c r="KI18" s="71">
        <v>0</v>
      </c>
      <c r="KJ18" s="71">
        <v>386941</v>
      </c>
      <c r="KK18" s="71">
        <v>345463</v>
      </c>
      <c r="KL18" s="71">
        <v>294832</v>
      </c>
      <c r="KM18" s="71">
        <v>94858</v>
      </c>
      <c r="KN18" s="71">
        <v>456</v>
      </c>
      <c r="KO18" s="71">
        <v>635568</v>
      </c>
      <c r="KP18" s="71">
        <v>1376503</v>
      </c>
      <c r="KQ18" s="71">
        <v>1164541</v>
      </c>
      <c r="KR18" s="71">
        <v>1033190</v>
      </c>
      <c r="KS18" s="71">
        <v>0</v>
      </c>
      <c r="KT18" s="71">
        <v>644902</v>
      </c>
      <c r="KU18" s="71">
        <v>292680</v>
      </c>
      <c r="KV18" s="71">
        <v>13828733</v>
      </c>
      <c r="KW18" s="71" t="s">
        <v>1070</v>
      </c>
      <c r="KX18" s="71">
        <v>24659542</v>
      </c>
      <c r="KY18" s="71">
        <v>3478385</v>
      </c>
      <c r="KZ18" s="71">
        <v>28137927</v>
      </c>
      <c r="LA18" s="71">
        <v>0</v>
      </c>
      <c r="LB18" s="71">
        <v>370344</v>
      </c>
    </row>
    <row r="19" spans="1:314" x14ac:dyDescent="0.25">
      <c r="A19" s="71" t="s">
        <v>376</v>
      </c>
      <c r="B19" s="71" t="s">
        <v>1135</v>
      </c>
      <c r="C19" s="160" t="s">
        <v>1345</v>
      </c>
      <c r="D19" s="71" t="s">
        <v>1409</v>
      </c>
      <c r="E19" s="2">
        <v>41304.649074074077</v>
      </c>
      <c r="F19" s="71"/>
      <c r="G19" s="71" t="s">
        <v>1136</v>
      </c>
      <c r="H19" s="71" t="s">
        <v>1137</v>
      </c>
      <c r="I19" s="71" t="s">
        <v>1102</v>
      </c>
      <c r="J19" s="71" t="s">
        <v>1138</v>
      </c>
      <c r="K19" s="71" t="s">
        <v>1139</v>
      </c>
      <c r="L19" s="71">
        <v>0</v>
      </c>
      <c r="M19" s="71">
        <v>0</v>
      </c>
      <c r="N19" s="71">
        <v>0</v>
      </c>
      <c r="O19" s="71">
        <v>45331402</v>
      </c>
      <c r="P19" s="71">
        <v>0</v>
      </c>
      <c r="Q19" s="71">
        <v>2812881</v>
      </c>
      <c r="R19" s="71">
        <v>0</v>
      </c>
      <c r="S19" s="71">
        <v>2812881</v>
      </c>
      <c r="T19" s="71">
        <v>6841851</v>
      </c>
      <c r="U19" s="71">
        <v>3379516</v>
      </c>
      <c r="V19" s="71">
        <v>2376817</v>
      </c>
      <c r="W19" s="71">
        <v>0</v>
      </c>
      <c r="X19" s="71">
        <v>0</v>
      </c>
      <c r="Y19" s="71">
        <v>0</v>
      </c>
      <c r="Z19" s="71">
        <v>12598184</v>
      </c>
      <c r="AA19" s="71">
        <v>2789261</v>
      </c>
      <c r="AB19" s="71">
        <v>526528</v>
      </c>
      <c r="AC19" s="71">
        <v>289926</v>
      </c>
      <c r="AD19" s="71">
        <v>0</v>
      </c>
      <c r="AE19" s="71">
        <v>220655</v>
      </c>
      <c r="AF19" s="71">
        <v>1047269</v>
      </c>
      <c r="AG19" s="71">
        <v>4873639</v>
      </c>
      <c r="AH19" s="71">
        <v>9631112</v>
      </c>
      <c r="AI19" s="71">
        <v>3906044</v>
      </c>
      <c r="AJ19" s="71">
        <v>2666743</v>
      </c>
      <c r="AK19" s="71">
        <v>0</v>
      </c>
      <c r="AL19" s="71">
        <v>220655</v>
      </c>
      <c r="AM19" s="71">
        <v>1047269</v>
      </c>
      <c r="AN19" s="71">
        <v>17471823</v>
      </c>
      <c r="AO19" s="71">
        <v>0</v>
      </c>
      <c r="AP19" s="71">
        <v>0</v>
      </c>
      <c r="AQ19" s="71">
        <v>171884</v>
      </c>
      <c r="AR19" s="71">
        <v>0</v>
      </c>
      <c r="AS19" s="71">
        <v>171884</v>
      </c>
      <c r="AT19" s="71">
        <v>0</v>
      </c>
      <c r="AU19" s="71">
        <v>0</v>
      </c>
      <c r="AV19" s="71">
        <v>9457</v>
      </c>
      <c r="AW19" s="71">
        <v>0</v>
      </c>
      <c r="AX19" s="71">
        <v>9457</v>
      </c>
      <c r="AY19" s="71">
        <v>0</v>
      </c>
      <c r="AZ19" s="71">
        <v>0</v>
      </c>
      <c r="BA19" s="71">
        <v>181341</v>
      </c>
      <c r="BB19" s="71">
        <v>0</v>
      </c>
      <c r="BC19" s="71">
        <v>181341</v>
      </c>
      <c r="BD19" s="71">
        <v>1762697</v>
      </c>
      <c r="BE19" s="71">
        <v>0</v>
      </c>
      <c r="BF19" s="71">
        <v>0</v>
      </c>
      <c r="BG19" s="71">
        <v>0</v>
      </c>
      <c r="BH19" s="71">
        <v>0</v>
      </c>
      <c r="BI19" s="71">
        <v>1762697</v>
      </c>
      <c r="BJ19" s="71">
        <v>0</v>
      </c>
      <c r="BK19" s="71">
        <v>0</v>
      </c>
      <c r="BL19" s="71">
        <v>499621</v>
      </c>
      <c r="BM19" s="71">
        <v>0</v>
      </c>
      <c r="BN19" s="71">
        <v>0</v>
      </c>
      <c r="BO19" s="71">
        <v>499621</v>
      </c>
      <c r="BP19" s="71">
        <v>3302566</v>
      </c>
      <c r="BQ19" s="71">
        <v>0</v>
      </c>
      <c r="BR19" s="71">
        <v>0</v>
      </c>
      <c r="BS19" s="71">
        <v>0</v>
      </c>
      <c r="BT19" s="71">
        <v>58092</v>
      </c>
      <c r="BU19" s="71">
        <v>3360658</v>
      </c>
      <c r="BV19" s="71">
        <v>5065263</v>
      </c>
      <c r="BW19" s="71">
        <v>0</v>
      </c>
      <c r="BX19" s="71">
        <v>499621</v>
      </c>
      <c r="BY19" s="71">
        <v>0</v>
      </c>
      <c r="BZ19" s="71">
        <v>58092</v>
      </c>
      <c r="CA19" s="71">
        <v>5622976</v>
      </c>
      <c r="CB19" s="71">
        <v>0</v>
      </c>
      <c r="CC19" s="71">
        <v>0</v>
      </c>
      <c r="CD19" s="71">
        <v>0</v>
      </c>
      <c r="CE19" s="71">
        <v>0</v>
      </c>
      <c r="CF19" s="71">
        <v>0</v>
      </c>
      <c r="CG19" s="71">
        <v>0</v>
      </c>
      <c r="CH19" s="71">
        <v>0</v>
      </c>
      <c r="CI19" s="71">
        <v>0</v>
      </c>
      <c r="CJ19" s="71">
        <v>0</v>
      </c>
      <c r="CK19" s="71">
        <v>0</v>
      </c>
      <c r="CL19" s="71">
        <v>0</v>
      </c>
      <c r="CM19" s="71">
        <v>0</v>
      </c>
      <c r="CN19" s="71">
        <v>0</v>
      </c>
      <c r="CO19" s="71">
        <v>0</v>
      </c>
      <c r="CP19" s="71">
        <v>0</v>
      </c>
      <c r="CQ19" s="71">
        <v>0</v>
      </c>
      <c r="CR19" s="71" t="s">
        <v>376</v>
      </c>
      <c r="CS19" s="71">
        <v>3505206</v>
      </c>
      <c r="CT19" s="71">
        <v>0</v>
      </c>
      <c r="CU19" s="71">
        <v>1824</v>
      </c>
      <c r="CV19" s="71">
        <v>27552</v>
      </c>
      <c r="CW19" s="71">
        <v>328848</v>
      </c>
      <c r="CX19" s="71">
        <v>131068</v>
      </c>
      <c r="CY19" s="71">
        <v>0</v>
      </c>
      <c r="CZ19" s="71">
        <v>2152</v>
      </c>
      <c r="DA19" s="71">
        <v>192957</v>
      </c>
      <c r="DB19" s="71">
        <v>25340</v>
      </c>
      <c r="DC19" s="71">
        <v>61516</v>
      </c>
      <c r="DD19" s="71">
        <v>0</v>
      </c>
      <c r="DE19" s="71">
        <v>113108</v>
      </c>
      <c r="DF19" s="71">
        <v>417024</v>
      </c>
      <c r="DG19" s="71">
        <v>18096</v>
      </c>
      <c r="DH19" s="71">
        <v>78348</v>
      </c>
      <c r="DI19" s="71">
        <v>0</v>
      </c>
      <c r="DJ19" s="71">
        <v>234234</v>
      </c>
      <c r="DK19" s="71">
        <v>0</v>
      </c>
      <c r="DL19" s="71">
        <v>59408</v>
      </c>
      <c r="DM19" s="71">
        <v>234368</v>
      </c>
      <c r="DN19" s="71">
        <v>80416</v>
      </c>
      <c r="DO19" s="71">
        <v>75088</v>
      </c>
      <c r="DP19" s="71">
        <v>26256</v>
      </c>
      <c r="DQ19" s="71">
        <v>77336</v>
      </c>
      <c r="DR19" s="71">
        <v>152488</v>
      </c>
      <c r="DS19" s="71">
        <v>675792</v>
      </c>
      <c r="DT19" s="71">
        <v>261952</v>
      </c>
      <c r="DU19" s="71">
        <v>0</v>
      </c>
      <c r="DV19" s="71">
        <v>180528</v>
      </c>
      <c r="DW19" s="71">
        <v>310480</v>
      </c>
      <c r="DX19" s="71">
        <v>3766179</v>
      </c>
      <c r="DY19" s="71">
        <v>0</v>
      </c>
      <c r="DZ19" s="71">
        <v>0</v>
      </c>
      <c r="EA19" s="71">
        <v>1046174</v>
      </c>
      <c r="EB19" s="71">
        <v>583845</v>
      </c>
      <c r="EC19" s="71">
        <v>0</v>
      </c>
      <c r="ED19" s="71">
        <v>4646</v>
      </c>
      <c r="EE19" s="71">
        <v>1143378</v>
      </c>
      <c r="EF19" s="71">
        <v>438318</v>
      </c>
      <c r="EG19" s="71">
        <v>0</v>
      </c>
      <c r="EH19" s="71">
        <v>0</v>
      </c>
      <c r="EI19" s="71">
        <v>0</v>
      </c>
      <c r="EJ19" s="71">
        <v>2127292</v>
      </c>
      <c r="EK19" s="71">
        <v>390324</v>
      </c>
      <c r="EL19" s="71">
        <v>651422</v>
      </c>
      <c r="EM19" s="71">
        <v>0</v>
      </c>
      <c r="EN19" s="71">
        <v>885893</v>
      </c>
      <c r="EO19" s="71">
        <v>0</v>
      </c>
      <c r="EP19" s="71">
        <v>662950</v>
      </c>
      <c r="EQ19" s="71">
        <v>808347</v>
      </c>
      <c r="ER19" s="71">
        <v>275493</v>
      </c>
      <c r="ES19" s="71">
        <v>365188</v>
      </c>
      <c r="ET19" s="71">
        <v>233103</v>
      </c>
      <c r="EU19" s="71">
        <v>365585</v>
      </c>
      <c r="EV19" s="71">
        <v>479883</v>
      </c>
      <c r="EW19" s="71">
        <v>1472755</v>
      </c>
      <c r="EX19" s="71">
        <v>1298177</v>
      </c>
      <c r="EY19" s="71">
        <v>0</v>
      </c>
      <c r="EZ19" s="71">
        <v>622609</v>
      </c>
      <c r="FA19" s="71">
        <v>668742</v>
      </c>
      <c r="FB19" s="71">
        <v>14524124</v>
      </c>
      <c r="FC19" s="71">
        <v>0</v>
      </c>
      <c r="FD19" s="71">
        <v>0</v>
      </c>
      <c r="FE19" s="71">
        <v>90098</v>
      </c>
      <c r="FF19" s="71">
        <v>1800</v>
      </c>
      <c r="FG19" s="71">
        <v>0</v>
      </c>
      <c r="FH19" s="71">
        <v>0</v>
      </c>
      <c r="FI19" s="71">
        <v>154969</v>
      </c>
      <c r="FJ19" s="71">
        <v>52961</v>
      </c>
      <c r="FK19" s="71">
        <v>0</v>
      </c>
      <c r="FL19" s="71">
        <v>0</v>
      </c>
      <c r="FM19" s="71">
        <v>0</v>
      </c>
      <c r="FN19" s="71">
        <v>827662</v>
      </c>
      <c r="FO19" s="71">
        <v>17535</v>
      </c>
      <c r="FP19" s="71">
        <v>80280</v>
      </c>
      <c r="FQ19" s="71">
        <v>0</v>
      </c>
      <c r="FR19" s="71">
        <v>42900</v>
      </c>
      <c r="FS19" s="71">
        <v>0</v>
      </c>
      <c r="FT19" s="71">
        <v>26200</v>
      </c>
      <c r="FU19" s="71">
        <v>21594</v>
      </c>
      <c r="FV19" s="71">
        <v>22078</v>
      </c>
      <c r="FW19" s="71">
        <v>29266</v>
      </c>
      <c r="FX19" s="71">
        <v>27855</v>
      </c>
      <c r="FY19" s="71">
        <v>76333</v>
      </c>
      <c r="FZ19" s="71">
        <v>146631</v>
      </c>
      <c r="GA19" s="71">
        <v>21845</v>
      </c>
      <c r="GB19" s="71">
        <v>49817</v>
      </c>
      <c r="GC19" s="71">
        <v>0</v>
      </c>
      <c r="GD19" s="71">
        <v>16633</v>
      </c>
      <c r="GE19" s="71">
        <v>0</v>
      </c>
      <c r="GF19" s="71">
        <v>1706457</v>
      </c>
      <c r="GG19" s="71">
        <v>0</v>
      </c>
      <c r="GH19" s="71">
        <v>0</v>
      </c>
      <c r="GI19" s="71">
        <v>245393</v>
      </c>
      <c r="GJ19" s="71">
        <v>126478</v>
      </c>
      <c r="GK19" s="71">
        <v>0</v>
      </c>
      <c r="GL19" s="71">
        <v>1003</v>
      </c>
      <c r="GM19" s="71">
        <v>280395</v>
      </c>
      <c r="GN19" s="71">
        <v>106098</v>
      </c>
      <c r="GO19" s="71">
        <v>0</v>
      </c>
      <c r="GP19" s="71">
        <v>0</v>
      </c>
      <c r="GQ19" s="71">
        <v>0</v>
      </c>
      <c r="GR19" s="71">
        <v>638161</v>
      </c>
      <c r="GS19" s="71">
        <v>88082</v>
      </c>
      <c r="GT19" s="71">
        <v>158021</v>
      </c>
      <c r="GU19" s="71">
        <v>0</v>
      </c>
      <c r="GV19" s="71">
        <v>200585</v>
      </c>
      <c r="GW19" s="71">
        <v>0</v>
      </c>
      <c r="GX19" s="71">
        <v>148831</v>
      </c>
      <c r="GY19" s="71">
        <v>179237</v>
      </c>
      <c r="GZ19" s="71">
        <v>64264</v>
      </c>
      <c r="HA19" s="71">
        <v>85187</v>
      </c>
      <c r="HB19" s="71">
        <v>56357</v>
      </c>
      <c r="HC19" s="71">
        <v>95438</v>
      </c>
      <c r="HD19" s="71">
        <v>135304</v>
      </c>
      <c r="HE19" s="71">
        <v>322778</v>
      </c>
      <c r="HF19" s="71">
        <v>291117</v>
      </c>
      <c r="HG19" s="71">
        <v>0</v>
      </c>
      <c r="HH19" s="71">
        <v>138053</v>
      </c>
      <c r="HI19" s="71">
        <v>144424</v>
      </c>
      <c r="HJ19" s="71">
        <v>3505206</v>
      </c>
      <c r="HK19" s="71">
        <v>0</v>
      </c>
      <c r="HL19" s="71">
        <v>0</v>
      </c>
      <c r="HM19" s="71">
        <v>52023</v>
      </c>
      <c r="HN19" s="71">
        <v>5005</v>
      </c>
      <c r="HO19" s="71">
        <v>0</v>
      </c>
      <c r="HP19" s="71">
        <v>23</v>
      </c>
      <c r="HQ19" s="71">
        <v>36698</v>
      </c>
      <c r="HR19" s="71">
        <v>48957</v>
      </c>
      <c r="HS19" s="71">
        <v>0</v>
      </c>
      <c r="HT19" s="71">
        <v>0</v>
      </c>
      <c r="HU19" s="71">
        <v>0</v>
      </c>
      <c r="HV19" s="71">
        <v>152327</v>
      </c>
      <c r="HW19" s="71">
        <v>4132</v>
      </c>
      <c r="HX19" s="71">
        <v>22565</v>
      </c>
      <c r="HY19" s="71">
        <v>0</v>
      </c>
      <c r="HZ19" s="71">
        <v>58939</v>
      </c>
      <c r="IA19" s="71">
        <v>0</v>
      </c>
      <c r="IB19" s="71">
        <v>15381</v>
      </c>
      <c r="IC19" s="71">
        <v>7525</v>
      </c>
      <c r="ID19" s="71">
        <v>15736</v>
      </c>
      <c r="IE19" s="71">
        <v>20860</v>
      </c>
      <c r="IF19" s="71">
        <v>12960</v>
      </c>
      <c r="IG19" s="71">
        <v>6313</v>
      </c>
      <c r="IH19" s="71">
        <v>33148</v>
      </c>
      <c r="II19" s="71">
        <v>13290</v>
      </c>
      <c r="IJ19" s="71">
        <v>96912</v>
      </c>
      <c r="IK19" s="71">
        <v>0</v>
      </c>
      <c r="IL19" s="71">
        <v>5796</v>
      </c>
      <c r="IM19" s="71">
        <v>3365</v>
      </c>
      <c r="IN19" s="71">
        <v>611955</v>
      </c>
      <c r="IO19" s="71">
        <v>0</v>
      </c>
      <c r="IP19" s="71">
        <v>0</v>
      </c>
      <c r="IQ19" s="71">
        <v>387514</v>
      </c>
      <c r="IR19" s="71">
        <v>133283</v>
      </c>
      <c r="IS19" s="71">
        <v>0</v>
      </c>
      <c r="IT19" s="71">
        <v>1026</v>
      </c>
      <c r="IU19" s="71">
        <v>472062</v>
      </c>
      <c r="IV19" s="71">
        <v>208016</v>
      </c>
      <c r="IW19" s="71">
        <v>0</v>
      </c>
      <c r="IX19" s="71">
        <v>0</v>
      </c>
      <c r="IY19" s="71">
        <v>0</v>
      </c>
      <c r="IZ19" s="71">
        <v>1618150</v>
      </c>
      <c r="JA19" s="71">
        <v>109749</v>
      </c>
      <c r="JB19" s="71">
        <v>260866</v>
      </c>
      <c r="JC19" s="71">
        <v>0</v>
      </c>
      <c r="JD19" s="71">
        <v>302424</v>
      </c>
      <c r="JE19" s="71">
        <v>0</v>
      </c>
      <c r="JF19" s="71">
        <v>190412</v>
      </c>
      <c r="JG19" s="71">
        <v>208356</v>
      </c>
      <c r="JH19" s="71">
        <v>102078</v>
      </c>
      <c r="JI19" s="71">
        <v>135313</v>
      </c>
      <c r="JJ19" s="71">
        <v>97172</v>
      </c>
      <c r="JK19" s="71">
        <v>178084</v>
      </c>
      <c r="JL19" s="71">
        <v>315083</v>
      </c>
      <c r="JM19" s="71">
        <v>357913</v>
      </c>
      <c r="JN19" s="71">
        <v>437846</v>
      </c>
      <c r="JO19" s="71">
        <v>0</v>
      </c>
      <c r="JP19" s="71">
        <v>160482</v>
      </c>
      <c r="JQ19" s="71">
        <v>147789</v>
      </c>
      <c r="JR19" s="71">
        <v>5823618</v>
      </c>
      <c r="JS19" s="71">
        <v>0</v>
      </c>
      <c r="JT19" s="71">
        <v>0</v>
      </c>
      <c r="JU19" s="71">
        <v>1433688</v>
      </c>
      <c r="JV19" s="71">
        <v>717128</v>
      </c>
      <c r="JW19" s="71">
        <v>0</v>
      </c>
      <c r="JX19" s="71">
        <v>5672</v>
      </c>
      <c r="JY19" s="71">
        <v>1615440</v>
      </c>
      <c r="JZ19" s="71">
        <v>646334</v>
      </c>
      <c r="KA19" s="71">
        <v>0</v>
      </c>
      <c r="KB19" s="71">
        <v>0</v>
      </c>
      <c r="KC19" s="71">
        <v>0</v>
      </c>
      <c r="KD19" s="71">
        <v>3745442</v>
      </c>
      <c r="KE19" s="71">
        <v>500073</v>
      </c>
      <c r="KF19" s="71">
        <v>912288</v>
      </c>
      <c r="KG19" s="71">
        <v>0</v>
      </c>
      <c r="KH19" s="71">
        <v>1188317</v>
      </c>
      <c r="KI19" s="71">
        <v>0</v>
      </c>
      <c r="KJ19" s="71">
        <v>853362</v>
      </c>
      <c r="KK19" s="71">
        <v>1016703</v>
      </c>
      <c r="KL19" s="71">
        <v>377571</v>
      </c>
      <c r="KM19" s="71">
        <v>500501</v>
      </c>
      <c r="KN19" s="71">
        <v>330275</v>
      </c>
      <c r="KO19" s="71">
        <v>543669</v>
      </c>
      <c r="KP19" s="71">
        <v>794966</v>
      </c>
      <c r="KQ19" s="71">
        <v>1830668</v>
      </c>
      <c r="KR19" s="71">
        <v>1736023</v>
      </c>
      <c r="KS19" s="71">
        <v>0</v>
      </c>
      <c r="KT19" s="71">
        <v>783091</v>
      </c>
      <c r="KU19" s="71">
        <v>816531</v>
      </c>
      <c r="KV19" s="71">
        <v>20347742</v>
      </c>
      <c r="KW19" s="71" t="s">
        <v>1070</v>
      </c>
      <c r="KX19" s="71">
        <v>40632446</v>
      </c>
      <c r="KY19" s="71">
        <v>5804317</v>
      </c>
      <c r="KZ19" s="71">
        <v>46436763</v>
      </c>
      <c r="LA19" s="71">
        <v>0</v>
      </c>
      <c r="LB19" s="71">
        <v>1105361</v>
      </c>
    </row>
    <row r="20" spans="1:314" x14ac:dyDescent="0.25">
      <c r="A20" s="71" t="s">
        <v>377</v>
      </c>
      <c r="B20" s="71" t="s">
        <v>1140</v>
      </c>
      <c r="C20" s="160" t="s">
        <v>1345</v>
      </c>
      <c r="D20" s="71" t="s">
        <v>1432</v>
      </c>
      <c r="E20" s="2">
        <v>41306.396041666667</v>
      </c>
      <c r="F20" s="71"/>
      <c r="G20" s="71" t="s">
        <v>378</v>
      </c>
      <c r="H20" s="71" t="s">
        <v>1141</v>
      </c>
      <c r="I20" s="71" t="s">
        <v>1142</v>
      </c>
      <c r="J20" s="71" t="s">
        <v>1143</v>
      </c>
      <c r="K20" s="71" t="s">
        <v>1144</v>
      </c>
      <c r="L20" s="71">
        <v>0</v>
      </c>
      <c r="M20" s="71">
        <v>0</v>
      </c>
      <c r="N20" s="71">
        <v>0</v>
      </c>
      <c r="O20" s="71">
        <v>34996370</v>
      </c>
      <c r="P20" s="71">
        <v>0</v>
      </c>
      <c r="Q20" s="71">
        <v>1439469</v>
      </c>
      <c r="R20" s="71">
        <v>0</v>
      </c>
      <c r="S20" s="71">
        <v>1439469</v>
      </c>
      <c r="T20" s="71">
        <v>4281413</v>
      </c>
      <c r="U20" s="71">
        <v>1841066</v>
      </c>
      <c r="V20" s="71">
        <v>1906115</v>
      </c>
      <c r="W20" s="71">
        <v>0</v>
      </c>
      <c r="X20" s="71">
        <v>0</v>
      </c>
      <c r="Y20" s="71">
        <v>0</v>
      </c>
      <c r="Z20" s="71">
        <v>8028594</v>
      </c>
      <c r="AA20" s="71">
        <v>2380096</v>
      </c>
      <c r="AB20" s="71">
        <v>298479</v>
      </c>
      <c r="AC20" s="71">
        <v>580026</v>
      </c>
      <c r="AD20" s="71">
        <v>0</v>
      </c>
      <c r="AE20" s="71">
        <v>0</v>
      </c>
      <c r="AF20" s="71">
        <v>0</v>
      </c>
      <c r="AG20" s="71">
        <v>3258601</v>
      </c>
      <c r="AH20" s="71">
        <v>6661509</v>
      </c>
      <c r="AI20" s="71">
        <v>2139545</v>
      </c>
      <c r="AJ20" s="71">
        <v>2486141</v>
      </c>
      <c r="AK20" s="71">
        <v>0</v>
      </c>
      <c r="AL20" s="71">
        <v>0</v>
      </c>
      <c r="AM20" s="71">
        <v>0</v>
      </c>
      <c r="AN20" s="71">
        <v>11287195</v>
      </c>
      <c r="AO20" s="71">
        <v>470138</v>
      </c>
      <c r="AP20" s="71">
        <v>0</v>
      </c>
      <c r="AQ20" s="71">
        <v>0</v>
      </c>
      <c r="AR20" s="71">
        <v>0</v>
      </c>
      <c r="AS20" s="71">
        <v>470138</v>
      </c>
      <c r="AT20" s="71">
        <v>490514</v>
      </c>
      <c r="AU20" s="71">
        <v>0</v>
      </c>
      <c r="AV20" s="71">
        <v>0</v>
      </c>
      <c r="AW20" s="71">
        <v>0</v>
      </c>
      <c r="AX20" s="71">
        <v>490514</v>
      </c>
      <c r="AY20" s="71">
        <v>960652</v>
      </c>
      <c r="AZ20" s="71">
        <v>0</v>
      </c>
      <c r="BA20" s="71">
        <v>0</v>
      </c>
      <c r="BB20" s="71">
        <v>0</v>
      </c>
      <c r="BC20" s="71">
        <v>960652</v>
      </c>
      <c r="BD20" s="71">
        <v>1520655</v>
      </c>
      <c r="BE20" s="71">
        <v>0</v>
      </c>
      <c r="BF20" s="71">
        <v>0</v>
      </c>
      <c r="BG20" s="71">
        <v>0</v>
      </c>
      <c r="BH20" s="71">
        <v>0</v>
      </c>
      <c r="BI20" s="71">
        <v>1520655</v>
      </c>
      <c r="BJ20" s="71">
        <v>0</v>
      </c>
      <c r="BK20" s="71">
        <v>0</v>
      </c>
      <c r="BL20" s="71">
        <v>257560</v>
      </c>
      <c r="BM20" s="71">
        <v>0</v>
      </c>
      <c r="BN20" s="71">
        <v>0</v>
      </c>
      <c r="BO20" s="71">
        <v>257560</v>
      </c>
      <c r="BP20" s="71">
        <v>3247212</v>
      </c>
      <c r="BQ20" s="71">
        <v>0</v>
      </c>
      <c r="BR20" s="71">
        <v>0</v>
      </c>
      <c r="BS20" s="71">
        <v>0</v>
      </c>
      <c r="BT20" s="71">
        <v>621936</v>
      </c>
      <c r="BU20" s="71">
        <v>3869148</v>
      </c>
      <c r="BV20" s="71">
        <v>4767867</v>
      </c>
      <c r="BW20" s="71">
        <v>0</v>
      </c>
      <c r="BX20" s="71">
        <v>257560</v>
      </c>
      <c r="BY20" s="71">
        <v>0</v>
      </c>
      <c r="BZ20" s="71">
        <v>621936</v>
      </c>
      <c r="CA20" s="71">
        <v>5647363</v>
      </c>
      <c r="CB20" s="71">
        <v>0</v>
      </c>
      <c r="CC20" s="71">
        <v>0</v>
      </c>
      <c r="CD20" s="71">
        <v>0</v>
      </c>
      <c r="CE20" s="71">
        <v>0</v>
      </c>
      <c r="CF20" s="71">
        <v>0</v>
      </c>
      <c r="CG20" s="71">
        <v>0</v>
      </c>
      <c r="CH20" s="71">
        <v>0</v>
      </c>
      <c r="CI20" s="71">
        <v>0</v>
      </c>
      <c r="CJ20" s="71">
        <v>0</v>
      </c>
      <c r="CK20" s="71">
        <v>0</v>
      </c>
      <c r="CL20" s="71">
        <v>0</v>
      </c>
      <c r="CM20" s="71">
        <v>0</v>
      </c>
      <c r="CN20" s="71">
        <v>0</v>
      </c>
      <c r="CO20" s="71">
        <v>0</v>
      </c>
      <c r="CP20" s="71">
        <v>0</v>
      </c>
      <c r="CQ20" s="71">
        <v>0</v>
      </c>
      <c r="CR20" s="71" t="s">
        <v>377</v>
      </c>
      <c r="CS20" s="71">
        <v>2121964</v>
      </c>
      <c r="CT20" s="71">
        <v>0</v>
      </c>
      <c r="CU20" s="71">
        <v>51232</v>
      </c>
      <c r="CV20" s="71">
        <v>127940</v>
      </c>
      <c r="CW20" s="71">
        <v>410123</v>
      </c>
      <c r="CX20" s="71">
        <v>181763</v>
      </c>
      <c r="CY20" s="71">
        <v>11136</v>
      </c>
      <c r="CZ20" s="71">
        <v>20408</v>
      </c>
      <c r="DA20" s="71">
        <v>126733</v>
      </c>
      <c r="DB20" s="71">
        <v>83556</v>
      </c>
      <c r="DC20" s="71">
        <v>206716</v>
      </c>
      <c r="DD20" s="71">
        <v>0</v>
      </c>
      <c r="DE20" s="71">
        <v>206108</v>
      </c>
      <c r="DF20" s="71">
        <v>258684</v>
      </c>
      <c r="DG20" s="71">
        <v>21624</v>
      </c>
      <c r="DH20" s="71">
        <v>152738</v>
      </c>
      <c r="DI20" s="71">
        <v>0</v>
      </c>
      <c r="DJ20" s="71">
        <v>46695</v>
      </c>
      <c r="DK20" s="71">
        <v>0</v>
      </c>
      <c r="DL20" s="71">
        <v>41267</v>
      </c>
      <c r="DM20" s="71">
        <v>107056</v>
      </c>
      <c r="DN20" s="71">
        <v>20736</v>
      </c>
      <c r="DO20" s="71">
        <v>39264</v>
      </c>
      <c r="DP20" s="71">
        <v>21584</v>
      </c>
      <c r="DQ20" s="71">
        <v>46272</v>
      </c>
      <c r="DR20" s="71">
        <v>29616</v>
      </c>
      <c r="DS20" s="71">
        <v>324416</v>
      </c>
      <c r="DT20" s="71">
        <v>126520</v>
      </c>
      <c r="DU20" s="71">
        <v>0</v>
      </c>
      <c r="DV20" s="71">
        <v>118768</v>
      </c>
      <c r="DW20" s="71">
        <v>107136</v>
      </c>
      <c r="DX20" s="71">
        <v>2888091</v>
      </c>
      <c r="DY20" s="71">
        <v>66062</v>
      </c>
      <c r="DZ20" s="71">
        <v>834297</v>
      </c>
      <c r="EA20" s="71">
        <v>1197374</v>
      </c>
      <c r="EB20" s="71">
        <v>661298</v>
      </c>
      <c r="EC20" s="71">
        <v>10695</v>
      </c>
      <c r="ED20" s="71">
        <v>80838</v>
      </c>
      <c r="EE20" s="71">
        <v>595813</v>
      </c>
      <c r="EF20" s="71">
        <v>499422</v>
      </c>
      <c r="EG20" s="71">
        <v>503482</v>
      </c>
      <c r="EH20" s="71">
        <v>0</v>
      </c>
      <c r="EI20" s="71">
        <v>717644</v>
      </c>
      <c r="EJ20" s="71">
        <v>1432451</v>
      </c>
      <c r="EK20" s="71">
        <v>173725</v>
      </c>
      <c r="EL20" s="71">
        <v>943717</v>
      </c>
      <c r="EM20" s="71">
        <v>0</v>
      </c>
      <c r="EN20" s="71">
        <v>320567</v>
      </c>
      <c r="EO20" s="71">
        <v>0</v>
      </c>
      <c r="EP20" s="71">
        <v>253786</v>
      </c>
      <c r="EQ20" s="71">
        <v>367652</v>
      </c>
      <c r="ER20" s="71">
        <v>59731</v>
      </c>
      <c r="ES20" s="71">
        <v>149513</v>
      </c>
      <c r="ET20" s="71">
        <v>0</v>
      </c>
      <c r="EU20" s="71">
        <v>415764</v>
      </c>
      <c r="EV20" s="71">
        <v>71348</v>
      </c>
      <c r="EW20" s="71">
        <v>1052389</v>
      </c>
      <c r="EX20" s="71">
        <v>645302</v>
      </c>
      <c r="EY20" s="71">
        <v>0</v>
      </c>
      <c r="EZ20" s="71">
        <v>414587</v>
      </c>
      <c r="FA20" s="71">
        <v>466765</v>
      </c>
      <c r="FB20" s="71">
        <v>11934222</v>
      </c>
      <c r="FC20" s="71">
        <v>0</v>
      </c>
      <c r="FD20" s="71">
        <v>1624</v>
      </c>
      <c r="FE20" s="71">
        <v>53538</v>
      </c>
      <c r="FF20" s="71">
        <v>0</v>
      </c>
      <c r="FG20" s="71">
        <v>0</v>
      </c>
      <c r="FH20" s="71">
        <v>4705</v>
      </c>
      <c r="FI20" s="71">
        <v>8316</v>
      </c>
      <c r="FJ20" s="71">
        <v>6116</v>
      </c>
      <c r="FK20" s="71">
        <v>0</v>
      </c>
      <c r="FL20" s="71">
        <v>0</v>
      </c>
      <c r="FM20" s="71">
        <v>8462</v>
      </c>
      <c r="FN20" s="71">
        <v>56263</v>
      </c>
      <c r="FO20" s="71">
        <v>2764</v>
      </c>
      <c r="FP20" s="71">
        <v>177050</v>
      </c>
      <c r="FQ20" s="71">
        <v>0</v>
      </c>
      <c r="FR20" s="71">
        <v>4520</v>
      </c>
      <c r="FS20" s="71">
        <v>0</v>
      </c>
      <c r="FT20" s="71">
        <v>0</v>
      </c>
      <c r="FU20" s="71">
        <v>51123</v>
      </c>
      <c r="FV20" s="71">
        <v>0</v>
      </c>
      <c r="FW20" s="71">
        <v>0</v>
      </c>
      <c r="FX20" s="71">
        <v>0</v>
      </c>
      <c r="FY20" s="71">
        <v>124009</v>
      </c>
      <c r="FZ20" s="71">
        <v>0</v>
      </c>
      <c r="GA20" s="71">
        <v>270</v>
      </c>
      <c r="GB20" s="71">
        <v>57797</v>
      </c>
      <c r="GC20" s="71">
        <v>0</v>
      </c>
      <c r="GD20" s="71">
        <v>18728</v>
      </c>
      <c r="GE20" s="71">
        <v>18729</v>
      </c>
      <c r="GF20" s="71">
        <v>594014</v>
      </c>
      <c r="GG20" s="71">
        <v>11189</v>
      </c>
      <c r="GH20" s="71">
        <v>141584</v>
      </c>
      <c r="GI20" s="71">
        <v>211873</v>
      </c>
      <c r="GJ20" s="71">
        <v>112007</v>
      </c>
      <c r="GK20" s="71">
        <v>1811</v>
      </c>
      <c r="GL20" s="71">
        <v>14489</v>
      </c>
      <c r="GM20" s="71">
        <v>102324</v>
      </c>
      <c r="GN20" s="71">
        <v>85625</v>
      </c>
      <c r="GO20" s="71">
        <v>85277</v>
      </c>
      <c r="GP20" s="71">
        <v>0</v>
      </c>
      <c r="GQ20" s="71">
        <v>122984</v>
      </c>
      <c r="GR20" s="71">
        <v>252150</v>
      </c>
      <c r="GS20" s="71">
        <v>29893</v>
      </c>
      <c r="GT20" s="71">
        <v>189829</v>
      </c>
      <c r="GU20" s="71">
        <v>0</v>
      </c>
      <c r="GV20" s="71">
        <v>55061</v>
      </c>
      <c r="GW20" s="71">
        <v>0</v>
      </c>
      <c r="GX20" s="71">
        <v>42985</v>
      </c>
      <c r="GY20" s="71">
        <v>70930</v>
      </c>
      <c r="GZ20" s="71">
        <v>10117</v>
      </c>
      <c r="HA20" s="71">
        <v>25324</v>
      </c>
      <c r="HB20" s="71">
        <v>0</v>
      </c>
      <c r="HC20" s="71">
        <v>91424</v>
      </c>
      <c r="HD20" s="71">
        <v>12085</v>
      </c>
      <c r="HE20" s="71">
        <v>178294</v>
      </c>
      <c r="HF20" s="71">
        <v>119087</v>
      </c>
      <c r="HG20" s="71">
        <v>0</v>
      </c>
      <c r="HH20" s="71">
        <v>73393</v>
      </c>
      <c r="HI20" s="71">
        <v>82230</v>
      </c>
      <c r="HJ20" s="71">
        <v>2121964</v>
      </c>
      <c r="HK20" s="71">
        <v>13274</v>
      </c>
      <c r="HL20" s="71">
        <v>167434</v>
      </c>
      <c r="HM20" s="71">
        <v>176211</v>
      </c>
      <c r="HN20" s="71">
        <v>143986</v>
      </c>
      <c r="HO20" s="71">
        <v>112641</v>
      </c>
      <c r="HP20" s="71">
        <v>14230</v>
      </c>
      <c r="HQ20" s="71">
        <v>136910</v>
      </c>
      <c r="HR20" s="71">
        <v>175804</v>
      </c>
      <c r="HS20" s="71">
        <v>89070</v>
      </c>
      <c r="HT20" s="71">
        <v>0</v>
      </c>
      <c r="HU20" s="71">
        <v>37036</v>
      </c>
      <c r="HV20" s="71">
        <v>103176</v>
      </c>
      <c r="HW20" s="71">
        <v>2500</v>
      </c>
      <c r="HX20" s="71">
        <v>233033</v>
      </c>
      <c r="HY20" s="71">
        <v>0</v>
      </c>
      <c r="HZ20" s="71">
        <v>12014</v>
      </c>
      <c r="IA20" s="71">
        <v>0</v>
      </c>
      <c r="IB20" s="71">
        <v>10958</v>
      </c>
      <c r="IC20" s="71">
        <v>10865</v>
      </c>
      <c r="ID20" s="71">
        <v>1439</v>
      </c>
      <c r="IE20" s="71">
        <v>21368</v>
      </c>
      <c r="IF20" s="71">
        <v>0</v>
      </c>
      <c r="IG20" s="71">
        <v>72301</v>
      </c>
      <c r="IH20" s="71">
        <v>624</v>
      </c>
      <c r="II20" s="71">
        <v>18376</v>
      </c>
      <c r="IJ20" s="71">
        <v>73526</v>
      </c>
      <c r="IK20" s="71">
        <v>0</v>
      </c>
      <c r="IL20" s="71">
        <v>3325</v>
      </c>
      <c r="IM20" s="71">
        <v>3326</v>
      </c>
      <c r="IN20" s="71">
        <v>1633427</v>
      </c>
      <c r="IO20" s="71">
        <v>24463</v>
      </c>
      <c r="IP20" s="71">
        <v>310642</v>
      </c>
      <c r="IQ20" s="71">
        <v>441622</v>
      </c>
      <c r="IR20" s="71">
        <v>255993</v>
      </c>
      <c r="IS20" s="71">
        <v>114452</v>
      </c>
      <c r="IT20" s="71">
        <v>33424</v>
      </c>
      <c r="IU20" s="71">
        <v>247550</v>
      </c>
      <c r="IV20" s="71">
        <v>267545</v>
      </c>
      <c r="IW20" s="71">
        <v>174347</v>
      </c>
      <c r="IX20" s="71">
        <v>0</v>
      </c>
      <c r="IY20" s="71">
        <v>168482</v>
      </c>
      <c r="IZ20" s="71">
        <v>411589</v>
      </c>
      <c r="JA20" s="71">
        <v>35157</v>
      </c>
      <c r="JB20" s="71">
        <v>599912</v>
      </c>
      <c r="JC20" s="71">
        <v>0</v>
      </c>
      <c r="JD20" s="71">
        <v>71595</v>
      </c>
      <c r="JE20" s="71">
        <v>0</v>
      </c>
      <c r="JF20" s="71">
        <v>53943</v>
      </c>
      <c r="JG20" s="71">
        <v>132918</v>
      </c>
      <c r="JH20" s="71">
        <v>11556</v>
      </c>
      <c r="JI20" s="71">
        <v>46692</v>
      </c>
      <c r="JJ20" s="71">
        <v>0</v>
      </c>
      <c r="JK20" s="71">
        <v>287734</v>
      </c>
      <c r="JL20" s="71">
        <v>12709</v>
      </c>
      <c r="JM20" s="71">
        <v>196940</v>
      </c>
      <c r="JN20" s="71">
        <v>250410</v>
      </c>
      <c r="JO20" s="71">
        <v>0</v>
      </c>
      <c r="JP20" s="71">
        <v>95446</v>
      </c>
      <c r="JQ20" s="71">
        <v>104285</v>
      </c>
      <c r="JR20" s="71">
        <v>4349405</v>
      </c>
      <c r="JS20" s="71">
        <v>90525</v>
      </c>
      <c r="JT20" s="71">
        <v>1144939</v>
      </c>
      <c r="JU20" s="71">
        <v>1638996</v>
      </c>
      <c r="JV20" s="71">
        <v>917291</v>
      </c>
      <c r="JW20" s="71">
        <v>125147</v>
      </c>
      <c r="JX20" s="71">
        <v>114262</v>
      </c>
      <c r="JY20" s="71">
        <v>843363</v>
      </c>
      <c r="JZ20" s="71">
        <v>766967</v>
      </c>
      <c r="KA20" s="71">
        <v>677829</v>
      </c>
      <c r="KB20" s="71">
        <v>0</v>
      </c>
      <c r="KC20" s="71">
        <v>886126</v>
      </c>
      <c r="KD20" s="71">
        <v>1844040</v>
      </c>
      <c r="KE20" s="71">
        <v>208882</v>
      </c>
      <c r="KF20" s="71">
        <v>1543629</v>
      </c>
      <c r="KG20" s="71">
        <v>0</v>
      </c>
      <c r="KH20" s="71">
        <v>392162</v>
      </c>
      <c r="KI20" s="71">
        <v>0</v>
      </c>
      <c r="KJ20" s="71">
        <v>307729</v>
      </c>
      <c r="KK20" s="71">
        <v>500570</v>
      </c>
      <c r="KL20" s="71">
        <v>71287</v>
      </c>
      <c r="KM20" s="71">
        <v>196205</v>
      </c>
      <c r="KN20" s="71">
        <v>0</v>
      </c>
      <c r="KO20" s="71">
        <v>703498</v>
      </c>
      <c r="KP20" s="71">
        <v>84057</v>
      </c>
      <c r="KQ20" s="71">
        <v>1249329</v>
      </c>
      <c r="KR20" s="71">
        <v>895712</v>
      </c>
      <c r="KS20" s="71">
        <v>0</v>
      </c>
      <c r="KT20" s="71">
        <v>510033</v>
      </c>
      <c r="KU20" s="71">
        <v>571050</v>
      </c>
      <c r="KV20" s="71">
        <v>16283627</v>
      </c>
      <c r="KW20" s="71" t="s">
        <v>1070</v>
      </c>
      <c r="KX20" s="71">
        <v>29010291</v>
      </c>
      <c r="KY20" s="71">
        <v>6608015</v>
      </c>
      <c r="KZ20" s="71">
        <v>35618306</v>
      </c>
      <c r="LA20" s="71">
        <v>0</v>
      </c>
      <c r="LB20" s="71">
        <v>621936</v>
      </c>
    </row>
    <row r="21" spans="1:314" x14ac:dyDescent="0.25">
      <c r="A21" s="71" t="s">
        <v>379</v>
      </c>
      <c r="B21" s="71" t="s">
        <v>1145</v>
      </c>
      <c r="C21" s="160" t="s">
        <v>1345</v>
      </c>
      <c r="D21" s="71" t="s">
        <v>1353</v>
      </c>
      <c r="E21" s="2">
        <v>41278.634340277778</v>
      </c>
      <c r="F21" s="71"/>
      <c r="G21" s="71" t="s">
        <v>1146</v>
      </c>
      <c r="H21" s="71" t="s">
        <v>1147</v>
      </c>
      <c r="I21" s="71" t="s">
        <v>1148</v>
      </c>
      <c r="J21" s="71" t="s">
        <v>1149</v>
      </c>
      <c r="K21" s="71" t="s">
        <v>1150</v>
      </c>
      <c r="L21" s="71">
        <v>0</v>
      </c>
      <c r="M21" s="71">
        <v>0</v>
      </c>
      <c r="N21" s="71">
        <v>0</v>
      </c>
      <c r="O21" s="71">
        <v>47874889</v>
      </c>
      <c r="P21" s="71">
        <v>0</v>
      </c>
      <c r="Q21" s="71">
        <v>955067</v>
      </c>
      <c r="R21" s="71">
        <v>0</v>
      </c>
      <c r="S21" s="71">
        <v>955067</v>
      </c>
      <c r="T21" s="71">
        <v>4158492</v>
      </c>
      <c r="U21" s="71">
        <v>1909426</v>
      </c>
      <c r="V21" s="71">
        <v>1580995</v>
      </c>
      <c r="W21" s="71">
        <v>0</v>
      </c>
      <c r="X21" s="71">
        <v>0</v>
      </c>
      <c r="Y21" s="71">
        <v>0</v>
      </c>
      <c r="Z21" s="71">
        <v>7648913</v>
      </c>
      <c r="AA21" s="71">
        <v>2959908</v>
      </c>
      <c r="AB21" s="71">
        <v>564400</v>
      </c>
      <c r="AC21" s="71">
        <v>447042</v>
      </c>
      <c r="AD21" s="71">
        <v>0</v>
      </c>
      <c r="AE21" s="71">
        <v>1696357</v>
      </c>
      <c r="AF21" s="71">
        <v>0</v>
      </c>
      <c r="AG21" s="71">
        <v>5667707</v>
      </c>
      <c r="AH21" s="71">
        <v>7118400</v>
      </c>
      <c r="AI21" s="71">
        <v>2473826</v>
      </c>
      <c r="AJ21" s="71">
        <v>2028037</v>
      </c>
      <c r="AK21" s="71">
        <v>0</v>
      </c>
      <c r="AL21" s="71">
        <v>1696357</v>
      </c>
      <c r="AM21" s="71">
        <v>0</v>
      </c>
      <c r="AN21" s="71">
        <v>13316620</v>
      </c>
      <c r="AO21" s="71">
        <v>196627</v>
      </c>
      <c r="AP21" s="71">
        <v>0</v>
      </c>
      <c r="AQ21" s="71">
        <v>180672</v>
      </c>
      <c r="AR21" s="71">
        <v>0</v>
      </c>
      <c r="AS21" s="71">
        <v>377299</v>
      </c>
      <c r="AT21" s="71">
        <v>16072</v>
      </c>
      <c r="AU21" s="71">
        <v>0</v>
      </c>
      <c r="AV21" s="71">
        <v>124234</v>
      </c>
      <c r="AW21" s="71">
        <v>0</v>
      </c>
      <c r="AX21" s="71">
        <v>140306</v>
      </c>
      <c r="AY21" s="71">
        <v>212699</v>
      </c>
      <c r="AZ21" s="71">
        <v>0</v>
      </c>
      <c r="BA21" s="71">
        <v>304906</v>
      </c>
      <c r="BB21" s="71">
        <v>0</v>
      </c>
      <c r="BC21" s="71">
        <v>517605</v>
      </c>
      <c r="BD21" s="71">
        <v>1365972</v>
      </c>
      <c r="BE21" s="71">
        <v>0</v>
      </c>
      <c r="BF21" s="71">
        <v>0</v>
      </c>
      <c r="BG21" s="71">
        <v>0</v>
      </c>
      <c r="BH21" s="71">
        <v>0</v>
      </c>
      <c r="BI21" s="71">
        <v>1365972</v>
      </c>
      <c r="BJ21" s="71">
        <v>0</v>
      </c>
      <c r="BK21" s="71">
        <v>0</v>
      </c>
      <c r="BL21" s="71">
        <v>579471</v>
      </c>
      <c r="BM21" s="71">
        <v>0</v>
      </c>
      <c r="BN21" s="71">
        <v>0</v>
      </c>
      <c r="BO21" s="71">
        <v>579471</v>
      </c>
      <c r="BP21" s="71">
        <v>3211292</v>
      </c>
      <c r="BQ21" s="71">
        <v>0</v>
      </c>
      <c r="BR21" s="71">
        <v>0</v>
      </c>
      <c r="BS21" s="71">
        <v>0</v>
      </c>
      <c r="BT21" s="71">
        <v>452531</v>
      </c>
      <c r="BU21" s="71">
        <v>3663823</v>
      </c>
      <c r="BV21" s="71">
        <v>4577264</v>
      </c>
      <c r="BW21" s="71">
        <v>0</v>
      </c>
      <c r="BX21" s="71">
        <v>579471</v>
      </c>
      <c r="BY21" s="71">
        <v>0</v>
      </c>
      <c r="BZ21" s="71">
        <v>452531</v>
      </c>
      <c r="CA21" s="71">
        <v>5609266</v>
      </c>
      <c r="CB21" s="71">
        <v>0</v>
      </c>
      <c r="CC21" s="71">
        <v>0</v>
      </c>
      <c r="CD21" s="71">
        <v>0</v>
      </c>
      <c r="CE21" s="71">
        <v>0</v>
      </c>
      <c r="CF21" s="71">
        <v>0</v>
      </c>
      <c r="CG21" s="71">
        <v>0</v>
      </c>
      <c r="CH21" s="71">
        <v>0</v>
      </c>
      <c r="CI21" s="71">
        <v>0</v>
      </c>
      <c r="CJ21" s="71">
        <v>0</v>
      </c>
      <c r="CK21" s="71">
        <v>0</v>
      </c>
      <c r="CL21" s="71">
        <v>0</v>
      </c>
      <c r="CM21" s="71">
        <v>0</v>
      </c>
      <c r="CN21" s="71">
        <v>0</v>
      </c>
      <c r="CO21" s="71">
        <v>0</v>
      </c>
      <c r="CP21" s="71">
        <v>0</v>
      </c>
      <c r="CQ21" s="71">
        <v>0</v>
      </c>
      <c r="CR21" s="71" t="s">
        <v>379</v>
      </c>
      <c r="CS21" s="71">
        <v>2724845</v>
      </c>
      <c r="CT21" s="71">
        <v>0</v>
      </c>
      <c r="CU21" s="71">
        <v>52640</v>
      </c>
      <c r="CV21" s="71">
        <v>0</v>
      </c>
      <c r="CW21" s="71">
        <v>669472</v>
      </c>
      <c r="CX21" s="71">
        <v>354486</v>
      </c>
      <c r="CY21" s="71">
        <v>0</v>
      </c>
      <c r="CZ21" s="71">
        <v>18526</v>
      </c>
      <c r="DA21" s="71">
        <v>149290</v>
      </c>
      <c r="DB21" s="71">
        <v>708</v>
      </c>
      <c r="DC21" s="71">
        <v>172600</v>
      </c>
      <c r="DD21" s="71">
        <v>3360</v>
      </c>
      <c r="DE21" s="71">
        <v>5818</v>
      </c>
      <c r="DF21" s="71">
        <v>513484</v>
      </c>
      <c r="DG21" s="71">
        <v>87649</v>
      </c>
      <c r="DH21" s="71">
        <v>204529</v>
      </c>
      <c r="DI21" s="71">
        <v>0</v>
      </c>
      <c r="DJ21" s="71">
        <v>367157</v>
      </c>
      <c r="DK21" s="71">
        <v>64544</v>
      </c>
      <c r="DL21" s="71">
        <v>86080</v>
      </c>
      <c r="DM21" s="71">
        <v>169248</v>
      </c>
      <c r="DN21" s="71">
        <v>0</v>
      </c>
      <c r="DO21" s="71">
        <v>63508</v>
      </c>
      <c r="DP21" s="71">
        <v>2496</v>
      </c>
      <c r="DQ21" s="71">
        <v>144264</v>
      </c>
      <c r="DR21" s="71">
        <v>182006</v>
      </c>
      <c r="DS21" s="71">
        <v>714736</v>
      </c>
      <c r="DT21" s="71">
        <v>315152</v>
      </c>
      <c r="DU21" s="71">
        <v>0</v>
      </c>
      <c r="DV21" s="71">
        <v>192144</v>
      </c>
      <c r="DW21" s="71">
        <v>196848</v>
      </c>
      <c r="DX21" s="71">
        <v>4730745</v>
      </c>
      <c r="DY21" s="71">
        <v>137135</v>
      </c>
      <c r="DZ21" s="71">
        <v>0</v>
      </c>
      <c r="EA21" s="71">
        <v>2218107</v>
      </c>
      <c r="EB21" s="71">
        <v>1367012</v>
      </c>
      <c r="EC21" s="71">
        <v>0</v>
      </c>
      <c r="ED21" s="71">
        <v>12745</v>
      </c>
      <c r="EE21" s="71">
        <v>1114967</v>
      </c>
      <c r="EF21" s="71">
        <v>0</v>
      </c>
      <c r="EG21" s="71">
        <v>588014</v>
      </c>
      <c r="EH21" s="71">
        <v>0</v>
      </c>
      <c r="EI21" s="71">
        <v>48120</v>
      </c>
      <c r="EJ21" s="71">
        <v>3142379</v>
      </c>
      <c r="EK21" s="71">
        <v>297130</v>
      </c>
      <c r="EL21" s="71">
        <v>1560699</v>
      </c>
      <c r="EM21" s="71">
        <v>0</v>
      </c>
      <c r="EN21" s="71">
        <v>1776395</v>
      </c>
      <c r="EO21" s="71">
        <v>466266</v>
      </c>
      <c r="EP21" s="71">
        <v>376947</v>
      </c>
      <c r="EQ21" s="71">
        <v>720565</v>
      </c>
      <c r="ER21" s="71">
        <v>0</v>
      </c>
      <c r="ES21" s="71">
        <v>0</v>
      </c>
      <c r="ET21" s="71">
        <v>0</v>
      </c>
      <c r="EU21" s="71">
        <v>722912</v>
      </c>
      <c r="EV21" s="71">
        <v>337370</v>
      </c>
      <c r="EW21" s="71">
        <v>2033053</v>
      </c>
      <c r="EX21" s="71">
        <v>2056293</v>
      </c>
      <c r="EY21" s="71">
        <v>0</v>
      </c>
      <c r="EZ21" s="71">
        <v>817990</v>
      </c>
      <c r="FA21" s="71">
        <v>120103</v>
      </c>
      <c r="FB21" s="71">
        <v>19914202</v>
      </c>
      <c r="FC21" s="71">
        <v>148562</v>
      </c>
      <c r="FD21" s="71">
        <v>0</v>
      </c>
      <c r="FE21" s="71">
        <v>98980</v>
      </c>
      <c r="FF21" s="71">
        <v>165337</v>
      </c>
      <c r="FG21" s="71">
        <v>0</v>
      </c>
      <c r="FH21" s="71">
        <v>0</v>
      </c>
      <c r="FI21" s="71">
        <v>48671</v>
      </c>
      <c r="FJ21" s="71">
        <v>0</v>
      </c>
      <c r="FK21" s="71">
        <v>623617</v>
      </c>
      <c r="FL21" s="71">
        <v>0</v>
      </c>
      <c r="FM21" s="71">
        <v>0</v>
      </c>
      <c r="FN21" s="71">
        <v>128459</v>
      </c>
      <c r="FO21" s="71">
        <v>0</v>
      </c>
      <c r="FP21" s="71">
        <v>180333</v>
      </c>
      <c r="FQ21" s="71">
        <v>0</v>
      </c>
      <c r="FR21" s="71">
        <v>152112</v>
      </c>
      <c r="FS21" s="71">
        <v>14611</v>
      </c>
      <c r="FT21" s="71">
        <v>12650</v>
      </c>
      <c r="FU21" s="71">
        <v>79657</v>
      </c>
      <c r="FV21" s="71">
        <v>0</v>
      </c>
      <c r="FW21" s="71">
        <v>0</v>
      </c>
      <c r="FX21" s="71">
        <v>0</v>
      </c>
      <c r="FY21" s="71">
        <v>3271</v>
      </c>
      <c r="FZ21" s="71">
        <v>348276</v>
      </c>
      <c r="GA21" s="71">
        <v>112712</v>
      </c>
      <c r="GB21" s="71">
        <v>2861</v>
      </c>
      <c r="GC21" s="71">
        <v>0</v>
      </c>
      <c r="GD21" s="71">
        <v>22728</v>
      </c>
      <c r="GE21" s="71">
        <v>0</v>
      </c>
      <c r="GF21" s="71">
        <v>2142837</v>
      </c>
      <c r="GG21" s="71">
        <v>35294</v>
      </c>
      <c r="GH21" s="71">
        <v>0</v>
      </c>
      <c r="GI21" s="71">
        <v>286244</v>
      </c>
      <c r="GJ21" s="71">
        <v>189301</v>
      </c>
      <c r="GK21" s="71">
        <v>0</v>
      </c>
      <c r="GL21" s="71">
        <v>1574</v>
      </c>
      <c r="GM21" s="71">
        <v>143752</v>
      </c>
      <c r="GN21" s="71">
        <v>0</v>
      </c>
      <c r="GO21" s="71">
        <v>149680</v>
      </c>
      <c r="GP21" s="71">
        <v>0</v>
      </c>
      <c r="GQ21" s="71">
        <v>5945</v>
      </c>
      <c r="GR21" s="71">
        <v>404067</v>
      </c>
      <c r="GS21" s="71">
        <v>36706</v>
      </c>
      <c r="GT21" s="71">
        <v>215081</v>
      </c>
      <c r="GU21" s="71">
        <v>0</v>
      </c>
      <c r="GV21" s="71">
        <v>238241</v>
      </c>
      <c r="GW21" s="71">
        <v>59406</v>
      </c>
      <c r="GX21" s="71">
        <v>48129</v>
      </c>
      <c r="GY21" s="71">
        <v>98856</v>
      </c>
      <c r="GZ21" s="71">
        <v>0</v>
      </c>
      <c r="HA21" s="71">
        <v>0</v>
      </c>
      <c r="HB21" s="71">
        <v>0</v>
      </c>
      <c r="HC21" s="71">
        <v>89710</v>
      </c>
      <c r="HD21" s="71">
        <v>84702</v>
      </c>
      <c r="HE21" s="71">
        <v>265080</v>
      </c>
      <c r="HF21" s="71">
        <v>254380</v>
      </c>
      <c r="HG21" s="71">
        <v>0</v>
      </c>
      <c r="HH21" s="71">
        <v>103859</v>
      </c>
      <c r="HI21" s="71">
        <v>14837</v>
      </c>
      <c r="HJ21" s="71">
        <v>2724845</v>
      </c>
      <c r="HK21" s="71">
        <v>89289</v>
      </c>
      <c r="HL21" s="71">
        <v>0</v>
      </c>
      <c r="HM21" s="71">
        <v>178544</v>
      </c>
      <c r="HN21" s="71">
        <v>349165</v>
      </c>
      <c r="HO21" s="71">
        <v>0</v>
      </c>
      <c r="HP21" s="71">
        <v>1237</v>
      </c>
      <c r="HQ21" s="71">
        <v>28620</v>
      </c>
      <c r="HR21" s="71">
        <v>113</v>
      </c>
      <c r="HS21" s="71">
        <v>159747</v>
      </c>
      <c r="HT21" s="71">
        <v>163</v>
      </c>
      <c r="HU21" s="71">
        <v>5015</v>
      </c>
      <c r="HV21" s="71">
        <v>60163</v>
      </c>
      <c r="HW21" s="71">
        <v>20666</v>
      </c>
      <c r="HX21" s="71">
        <v>689461</v>
      </c>
      <c r="HY21" s="71">
        <v>0</v>
      </c>
      <c r="HZ21" s="71">
        <v>382223</v>
      </c>
      <c r="IA21" s="71">
        <v>49353</v>
      </c>
      <c r="IB21" s="71">
        <v>27406</v>
      </c>
      <c r="IC21" s="71">
        <v>22734</v>
      </c>
      <c r="ID21" s="71">
        <v>0</v>
      </c>
      <c r="IE21" s="71">
        <v>667964</v>
      </c>
      <c r="IF21" s="71">
        <v>132</v>
      </c>
      <c r="IG21" s="71">
        <v>21615</v>
      </c>
      <c r="IH21" s="71">
        <v>175719</v>
      </c>
      <c r="II21" s="71">
        <v>75822</v>
      </c>
      <c r="IJ21" s="71">
        <v>107104</v>
      </c>
      <c r="IK21" s="71">
        <v>0</v>
      </c>
      <c r="IL21" s="71">
        <v>21069</v>
      </c>
      <c r="IM21" s="71">
        <v>13654</v>
      </c>
      <c r="IN21" s="71">
        <v>3146978</v>
      </c>
      <c r="IO21" s="71">
        <v>273145</v>
      </c>
      <c r="IP21" s="71">
        <v>0</v>
      </c>
      <c r="IQ21" s="71">
        <v>563768</v>
      </c>
      <c r="IR21" s="71">
        <v>703803</v>
      </c>
      <c r="IS21" s="71">
        <v>0</v>
      </c>
      <c r="IT21" s="71">
        <v>2811</v>
      </c>
      <c r="IU21" s="71">
        <v>221043</v>
      </c>
      <c r="IV21" s="71">
        <v>113</v>
      </c>
      <c r="IW21" s="71">
        <v>933044</v>
      </c>
      <c r="IX21" s="71">
        <v>163</v>
      </c>
      <c r="IY21" s="71">
        <v>10960</v>
      </c>
      <c r="IZ21" s="71">
        <v>592689</v>
      </c>
      <c r="JA21" s="71">
        <v>57372</v>
      </c>
      <c r="JB21" s="71">
        <v>1084875</v>
      </c>
      <c r="JC21" s="71">
        <v>0</v>
      </c>
      <c r="JD21" s="71">
        <v>772576</v>
      </c>
      <c r="JE21" s="71">
        <v>123370</v>
      </c>
      <c r="JF21" s="71">
        <v>88185</v>
      </c>
      <c r="JG21" s="71">
        <v>201247</v>
      </c>
      <c r="JH21" s="71">
        <v>0</v>
      </c>
      <c r="JI21" s="71">
        <v>667964</v>
      </c>
      <c r="JJ21" s="71">
        <v>132</v>
      </c>
      <c r="JK21" s="71">
        <v>114596</v>
      </c>
      <c r="JL21" s="71">
        <v>608697</v>
      </c>
      <c r="JM21" s="71">
        <v>453614</v>
      </c>
      <c r="JN21" s="71">
        <v>364345</v>
      </c>
      <c r="JO21" s="71">
        <v>0</v>
      </c>
      <c r="JP21" s="71">
        <v>147656</v>
      </c>
      <c r="JQ21" s="71">
        <v>28491</v>
      </c>
      <c r="JR21" s="71">
        <v>8014660</v>
      </c>
      <c r="JS21" s="71">
        <v>410280</v>
      </c>
      <c r="JT21" s="71">
        <v>0</v>
      </c>
      <c r="JU21" s="71">
        <v>2781875</v>
      </c>
      <c r="JV21" s="71">
        <v>2070815</v>
      </c>
      <c r="JW21" s="71">
        <v>0</v>
      </c>
      <c r="JX21" s="71">
        <v>15556</v>
      </c>
      <c r="JY21" s="71">
        <v>1336010</v>
      </c>
      <c r="JZ21" s="71">
        <v>113</v>
      </c>
      <c r="KA21" s="71">
        <v>1521058</v>
      </c>
      <c r="KB21" s="71">
        <v>163</v>
      </c>
      <c r="KC21" s="71">
        <v>59080</v>
      </c>
      <c r="KD21" s="71">
        <v>3735068</v>
      </c>
      <c r="KE21" s="71">
        <v>354502</v>
      </c>
      <c r="KF21" s="71">
        <v>2645574</v>
      </c>
      <c r="KG21" s="71">
        <v>0</v>
      </c>
      <c r="KH21" s="71">
        <v>2548971</v>
      </c>
      <c r="KI21" s="71">
        <v>589636</v>
      </c>
      <c r="KJ21" s="71">
        <v>465132</v>
      </c>
      <c r="KK21" s="71">
        <v>921812</v>
      </c>
      <c r="KL21" s="71">
        <v>0</v>
      </c>
      <c r="KM21" s="71">
        <v>667964</v>
      </c>
      <c r="KN21" s="71">
        <v>132</v>
      </c>
      <c r="KO21" s="71">
        <v>837508</v>
      </c>
      <c r="KP21" s="71">
        <v>946067</v>
      </c>
      <c r="KQ21" s="71">
        <v>2486667</v>
      </c>
      <c r="KR21" s="71">
        <v>2420638</v>
      </c>
      <c r="KS21" s="71">
        <v>0</v>
      </c>
      <c r="KT21" s="71">
        <v>965646</v>
      </c>
      <c r="KU21" s="71">
        <v>148594</v>
      </c>
      <c r="KV21" s="71">
        <v>27928862</v>
      </c>
      <c r="KW21" s="71" t="s">
        <v>1070</v>
      </c>
      <c r="KX21" s="71">
        <v>42200549</v>
      </c>
      <c r="KY21" s="71">
        <v>6126871</v>
      </c>
      <c r="KZ21" s="71">
        <v>48327420</v>
      </c>
      <c r="LA21" s="71">
        <v>0</v>
      </c>
      <c r="LB21" s="71">
        <v>452531</v>
      </c>
    </row>
    <row r="22" spans="1:314" x14ac:dyDescent="0.25">
      <c r="A22" s="71" t="s">
        <v>380</v>
      </c>
      <c r="B22" s="71" t="s">
        <v>1151</v>
      </c>
      <c r="C22" s="160" t="s">
        <v>1345</v>
      </c>
      <c r="D22" s="71" t="s">
        <v>1410</v>
      </c>
      <c r="E22" s="2">
        <v>41305.353958333333</v>
      </c>
      <c r="F22" s="71"/>
      <c r="G22" s="71" t="s">
        <v>381</v>
      </c>
      <c r="H22" s="71" t="s">
        <v>1152</v>
      </c>
      <c r="I22" s="71" t="s">
        <v>1153</v>
      </c>
      <c r="J22" s="71" t="s">
        <v>1154</v>
      </c>
      <c r="K22" s="71" t="s">
        <v>1155</v>
      </c>
      <c r="L22" s="71">
        <v>0</v>
      </c>
      <c r="M22" s="71">
        <v>0</v>
      </c>
      <c r="N22" s="71">
        <v>0</v>
      </c>
      <c r="O22" s="71">
        <v>31191748</v>
      </c>
      <c r="P22" s="71">
        <v>0</v>
      </c>
      <c r="Q22" s="71">
        <v>1373008</v>
      </c>
      <c r="R22" s="71">
        <v>0</v>
      </c>
      <c r="S22" s="71">
        <v>1373008</v>
      </c>
      <c r="T22" s="71">
        <v>2774650</v>
      </c>
      <c r="U22" s="71">
        <v>2157628</v>
      </c>
      <c r="V22" s="71">
        <v>2405711</v>
      </c>
      <c r="W22" s="71">
        <v>0</v>
      </c>
      <c r="X22" s="71">
        <v>0</v>
      </c>
      <c r="Y22" s="71">
        <v>0</v>
      </c>
      <c r="Z22" s="71">
        <v>7337989</v>
      </c>
      <c r="AA22" s="71">
        <v>1646264</v>
      </c>
      <c r="AB22" s="71">
        <v>589505</v>
      </c>
      <c r="AC22" s="71">
        <v>438852</v>
      </c>
      <c r="AD22" s="71">
        <v>0</v>
      </c>
      <c r="AE22" s="71">
        <v>0</v>
      </c>
      <c r="AF22" s="71">
        <v>208100</v>
      </c>
      <c r="AG22" s="71">
        <v>2882721</v>
      </c>
      <c r="AH22" s="71">
        <v>4420914</v>
      </c>
      <c r="AI22" s="71">
        <v>2747133</v>
      </c>
      <c r="AJ22" s="71">
        <v>2844563</v>
      </c>
      <c r="AK22" s="71">
        <v>0</v>
      </c>
      <c r="AL22" s="71">
        <v>0</v>
      </c>
      <c r="AM22" s="71">
        <v>208100</v>
      </c>
      <c r="AN22" s="71">
        <v>10220710</v>
      </c>
      <c r="AO22" s="71">
        <v>0</v>
      </c>
      <c r="AP22" s="71">
        <v>0</v>
      </c>
      <c r="AQ22" s="71">
        <v>30375</v>
      </c>
      <c r="AR22" s="71">
        <v>0</v>
      </c>
      <c r="AS22" s="71">
        <v>30375</v>
      </c>
      <c r="AT22" s="71">
        <v>0</v>
      </c>
      <c r="AU22" s="71">
        <v>0</v>
      </c>
      <c r="AV22" s="71">
        <v>4073</v>
      </c>
      <c r="AW22" s="71">
        <v>0</v>
      </c>
      <c r="AX22" s="71">
        <v>4073</v>
      </c>
      <c r="AY22" s="71">
        <v>0</v>
      </c>
      <c r="AZ22" s="71">
        <v>0</v>
      </c>
      <c r="BA22" s="71">
        <v>34448</v>
      </c>
      <c r="BB22" s="71">
        <v>0</v>
      </c>
      <c r="BC22" s="71">
        <v>34448</v>
      </c>
      <c r="BD22" s="71">
        <v>715335</v>
      </c>
      <c r="BE22" s="71">
        <v>0</v>
      </c>
      <c r="BF22" s="71">
        <v>0</v>
      </c>
      <c r="BG22" s="71">
        <v>0</v>
      </c>
      <c r="BH22" s="71">
        <v>0</v>
      </c>
      <c r="BI22" s="71">
        <v>715335</v>
      </c>
      <c r="BJ22" s="71">
        <v>0</v>
      </c>
      <c r="BK22" s="71">
        <v>0</v>
      </c>
      <c r="BL22" s="71">
        <v>133294</v>
      </c>
      <c r="BM22" s="71">
        <v>0</v>
      </c>
      <c r="BN22" s="71">
        <v>0</v>
      </c>
      <c r="BO22" s="71">
        <v>133294</v>
      </c>
      <c r="BP22" s="71">
        <v>2458790</v>
      </c>
      <c r="BQ22" s="71">
        <v>757440</v>
      </c>
      <c r="BR22" s="71">
        <v>0</v>
      </c>
      <c r="BS22" s="71">
        <v>0</v>
      </c>
      <c r="BT22" s="71">
        <v>73529</v>
      </c>
      <c r="BU22" s="71">
        <v>3289759</v>
      </c>
      <c r="BV22" s="71">
        <v>3174125</v>
      </c>
      <c r="BW22" s="71">
        <v>757440</v>
      </c>
      <c r="BX22" s="71">
        <v>133294</v>
      </c>
      <c r="BY22" s="71">
        <v>0</v>
      </c>
      <c r="BZ22" s="71">
        <v>73529</v>
      </c>
      <c r="CA22" s="71">
        <v>4138388</v>
      </c>
      <c r="CB22" s="71">
        <v>0</v>
      </c>
      <c r="CC22" s="71">
        <v>0</v>
      </c>
      <c r="CD22" s="71">
        <v>0</v>
      </c>
      <c r="CE22" s="71">
        <v>0</v>
      </c>
      <c r="CF22" s="71">
        <v>0</v>
      </c>
      <c r="CG22" s="71">
        <v>0</v>
      </c>
      <c r="CH22" s="71">
        <v>0</v>
      </c>
      <c r="CI22" s="71">
        <v>0</v>
      </c>
      <c r="CJ22" s="71">
        <v>0</v>
      </c>
      <c r="CK22" s="71">
        <v>0</v>
      </c>
      <c r="CL22" s="71">
        <v>0</v>
      </c>
      <c r="CM22" s="71">
        <v>0</v>
      </c>
      <c r="CN22" s="71">
        <v>0</v>
      </c>
      <c r="CO22" s="71">
        <v>0</v>
      </c>
      <c r="CP22" s="71">
        <v>0</v>
      </c>
      <c r="CQ22" s="71">
        <v>0</v>
      </c>
      <c r="CR22" s="71" t="s">
        <v>380</v>
      </c>
      <c r="CS22" s="71">
        <v>2326410</v>
      </c>
      <c r="CT22" s="71">
        <v>0</v>
      </c>
      <c r="CU22" s="71">
        <v>17408</v>
      </c>
      <c r="CV22" s="71">
        <v>60096</v>
      </c>
      <c r="CW22" s="71">
        <v>574848</v>
      </c>
      <c r="CX22" s="71">
        <v>377571</v>
      </c>
      <c r="CY22" s="71">
        <v>0</v>
      </c>
      <c r="CZ22" s="71">
        <v>19368</v>
      </c>
      <c r="DA22" s="71">
        <v>356729</v>
      </c>
      <c r="DB22" s="71">
        <v>1424</v>
      </c>
      <c r="DC22" s="71">
        <v>555368</v>
      </c>
      <c r="DD22" s="71">
        <v>1056</v>
      </c>
      <c r="DE22" s="71">
        <v>99352</v>
      </c>
      <c r="DF22" s="71">
        <v>604192</v>
      </c>
      <c r="DG22" s="71">
        <v>59672</v>
      </c>
      <c r="DH22" s="71">
        <v>142112</v>
      </c>
      <c r="DI22" s="71">
        <v>0</v>
      </c>
      <c r="DJ22" s="71">
        <v>215702</v>
      </c>
      <c r="DK22" s="71">
        <v>0</v>
      </c>
      <c r="DL22" s="71">
        <v>144224</v>
      </c>
      <c r="DM22" s="71">
        <v>234208</v>
      </c>
      <c r="DN22" s="71">
        <v>0</v>
      </c>
      <c r="DO22" s="71">
        <v>28676</v>
      </c>
      <c r="DP22" s="71">
        <v>6912</v>
      </c>
      <c r="DQ22" s="71">
        <v>226416</v>
      </c>
      <c r="DR22" s="71">
        <v>308190</v>
      </c>
      <c r="DS22" s="71">
        <v>707664</v>
      </c>
      <c r="DT22" s="71">
        <v>251504</v>
      </c>
      <c r="DU22" s="71">
        <v>0</v>
      </c>
      <c r="DV22" s="71">
        <v>308576</v>
      </c>
      <c r="DW22" s="71">
        <v>244656</v>
      </c>
      <c r="DX22" s="71">
        <v>5545924</v>
      </c>
      <c r="DY22" s="71">
        <v>115959</v>
      </c>
      <c r="DZ22" s="71">
        <v>75730</v>
      </c>
      <c r="EA22" s="71">
        <v>1220398</v>
      </c>
      <c r="EB22" s="71">
        <v>1060549</v>
      </c>
      <c r="EC22" s="71">
        <v>0</v>
      </c>
      <c r="ED22" s="71">
        <v>66413</v>
      </c>
      <c r="EE22" s="71">
        <v>613218</v>
      </c>
      <c r="EF22" s="71">
        <v>6392</v>
      </c>
      <c r="EG22" s="71">
        <v>340511</v>
      </c>
      <c r="EH22" s="71">
        <v>710</v>
      </c>
      <c r="EI22" s="71">
        <v>189125</v>
      </c>
      <c r="EJ22" s="71">
        <v>1579166</v>
      </c>
      <c r="EK22" s="71">
        <v>83259</v>
      </c>
      <c r="EL22" s="71">
        <v>792002</v>
      </c>
      <c r="EM22" s="71">
        <v>0</v>
      </c>
      <c r="EN22" s="71">
        <v>494860</v>
      </c>
      <c r="EO22" s="71">
        <v>0</v>
      </c>
      <c r="EP22" s="71">
        <v>646627</v>
      </c>
      <c r="EQ22" s="71">
        <v>719188</v>
      </c>
      <c r="ER22" s="71">
        <v>0</v>
      </c>
      <c r="ES22" s="71">
        <v>12884</v>
      </c>
      <c r="ET22" s="71">
        <v>13228</v>
      </c>
      <c r="EU22" s="71">
        <v>594283</v>
      </c>
      <c r="EV22" s="71">
        <v>480099</v>
      </c>
      <c r="EW22" s="71">
        <v>1614247</v>
      </c>
      <c r="EX22" s="71">
        <v>692220</v>
      </c>
      <c r="EY22" s="71">
        <v>0</v>
      </c>
      <c r="EZ22" s="71">
        <v>627059</v>
      </c>
      <c r="FA22" s="71">
        <v>446753</v>
      </c>
      <c r="FB22" s="71">
        <v>12484880</v>
      </c>
      <c r="FC22" s="71">
        <v>0</v>
      </c>
      <c r="FD22" s="71">
        <v>0</v>
      </c>
      <c r="FE22" s="71">
        <v>0</v>
      </c>
      <c r="FF22" s="71">
        <v>0</v>
      </c>
      <c r="FG22" s="71">
        <v>0</v>
      </c>
      <c r="FH22" s="71">
        <v>0</v>
      </c>
      <c r="FI22" s="71">
        <v>0</v>
      </c>
      <c r="FJ22" s="71">
        <v>0</v>
      </c>
      <c r="FK22" s="71">
        <v>0</v>
      </c>
      <c r="FL22" s="71">
        <v>0</v>
      </c>
      <c r="FM22" s="71">
        <v>0</v>
      </c>
      <c r="FN22" s="71">
        <v>0</v>
      </c>
      <c r="FO22" s="71">
        <v>0</v>
      </c>
      <c r="FP22" s="71">
        <v>0</v>
      </c>
      <c r="FQ22" s="71">
        <v>0</v>
      </c>
      <c r="FR22" s="71">
        <v>0</v>
      </c>
      <c r="FS22" s="71">
        <v>0</v>
      </c>
      <c r="FT22" s="71">
        <v>0</v>
      </c>
      <c r="FU22" s="71">
        <v>0</v>
      </c>
      <c r="FV22" s="71">
        <v>0</v>
      </c>
      <c r="FW22" s="71">
        <v>0</v>
      </c>
      <c r="FX22" s="71">
        <v>0</v>
      </c>
      <c r="FY22" s="71">
        <v>0</v>
      </c>
      <c r="FZ22" s="71">
        <v>0</v>
      </c>
      <c r="GA22" s="71">
        <v>0</v>
      </c>
      <c r="GB22" s="71">
        <v>0</v>
      </c>
      <c r="GC22" s="71">
        <v>0</v>
      </c>
      <c r="GD22" s="71">
        <v>0</v>
      </c>
      <c r="GE22" s="71">
        <v>0</v>
      </c>
      <c r="GF22" s="71">
        <v>0</v>
      </c>
      <c r="GG22" s="71">
        <v>21608</v>
      </c>
      <c r="GH22" s="71">
        <v>14111</v>
      </c>
      <c r="GI22" s="71">
        <v>227407</v>
      </c>
      <c r="GJ22" s="71">
        <v>197621</v>
      </c>
      <c r="GK22" s="71">
        <v>0</v>
      </c>
      <c r="GL22" s="71">
        <v>12375</v>
      </c>
      <c r="GM22" s="71">
        <v>114266</v>
      </c>
      <c r="GN22" s="71">
        <v>1191</v>
      </c>
      <c r="GO22" s="71">
        <v>63450</v>
      </c>
      <c r="GP22" s="71">
        <v>132</v>
      </c>
      <c r="GQ22" s="71">
        <v>35241</v>
      </c>
      <c r="GR22" s="71">
        <v>294259</v>
      </c>
      <c r="GS22" s="71">
        <v>15514</v>
      </c>
      <c r="GT22" s="71">
        <v>147580</v>
      </c>
      <c r="GU22" s="71">
        <v>0</v>
      </c>
      <c r="GV22" s="71">
        <v>92211</v>
      </c>
      <c r="GW22" s="71">
        <v>0</v>
      </c>
      <c r="GX22" s="71">
        <v>120491</v>
      </c>
      <c r="GY22" s="71">
        <v>134012</v>
      </c>
      <c r="GZ22" s="71">
        <v>0</v>
      </c>
      <c r="HA22" s="71">
        <v>2401</v>
      </c>
      <c r="HB22" s="71">
        <v>2465</v>
      </c>
      <c r="HC22" s="71">
        <v>110738</v>
      </c>
      <c r="HD22" s="71">
        <v>89461</v>
      </c>
      <c r="HE22" s="71">
        <v>300796</v>
      </c>
      <c r="HF22" s="71">
        <v>128987</v>
      </c>
      <c r="HG22" s="71">
        <v>0</v>
      </c>
      <c r="HH22" s="71">
        <v>116845</v>
      </c>
      <c r="HI22" s="71">
        <v>83247</v>
      </c>
      <c r="HJ22" s="71">
        <v>2326410</v>
      </c>
      <c r="HK22" s="71">
        <v>10743</v>
      </c>
      <c r="HL22" s="71">
        <v>14504</v>
      </c>
      <c r="HM22" s="71">
        <v>91957</v>
      </c>
      <c r="HN22" s="71">
        <v>150880</v>
      </c>
      <c r="HO22" s="71">
        <v>0</v>
      </c>
      <c r="HP22" s="71">
        <v>5828</v>
      </c>
      <c r="HQ22" s="71">
        <v>17040</v>
      </c>
      <c r="HR22" s="71">
        <v>63</v>
      </c>
      <c r="HS22" s="71">
        <v>1799</v>
      </c>
      <c r="HT22" s="71">
        <v>7</v>
      </c>
      <c r="HU22" s="71">
        <v>25455</v>
      </c>
      <c r="HV22" s="71">
        <v>22935</v>
      </c>
      <c r="HW22" s="71">
        <v>1770</v>
      </c>
      <c r="HX22" s="71">
        <v>71002</v>
      </c>
      <c r="HY22" s="71">
        <v>0</v>
      </c>
      <c r="HZ22" s="71">
        <v>62938</v>
      </c>
      <c r="IA22" s="71">
        <v>0</v>
      </c>
      <c r="IB22" s="71">
        <v>69106</v>
      </c>
      <c r="IC22" s="71">
        <v>11769</v>
      </c>
      <c r="ID22" s="71">
        <v>0</v>
      </c>
      <c r="IE22" s="71">
        <v>1194</v>
      </c>
      <c r="IF22" s="71">
        <v>1739</v>
      </c>
      <c r="IG22" s="71">
        <v>32806</v>
      </c>
      <c r="IH22" s="71">
        <v>152541</v>
      </c>
      <c r="II22" s="71">
        <v>21401</v>
      </c>
      <c r="IJ22" s="71">
        <v>75559</v>
      </c>
      <c r="IK22" s="71">
        <v>0</v>
      </c>
      <c r="IL22" s="71">
        <v>49251</v>
      </c>
      <c r="IM22" s="71">
        <v>3246</v>
      </c>
      <c r="IN22" s="71">
        <v>895533</v>
      </c>
      <c r="IO22" s="71">
        <v>32351</v>
      </c>
      <c r="IP22" s="71">
        <v>28615</v>
      </c>
      <c r="IQ22" s="71">
        <v>319364</v>
      </c>
      <c r="IR22" s="71">
        <v>348501</v>
      </c>
      <c r="IS22" s="71">
        <v>0</v>
      </c>
      <c r="IT22" s="71">
        <v>18203</v>
      </c>
      <c r="IU22" s="71">
        <v>131306</v>
      </c>
      <c r="IV22" s="71">
        <v>1254</v>
      </c>
      <c r="IW22" s="71">
        <v>65249</v>
      </c>
      <c r="IX22" s="71">
        <v>139</v>
      </c>
      <c r="IY22" s="71">
        <v>60696</v>
      </c>
      <c r="IZ22" s="71">
        <v>317194</v>
      </c>
      <c r="JA22" s="71">
        <v>17284</v>
      </c>
      <c r="JB22" s="71">
        <v>218582</v>
      </c>
      <c r="JC22" s="71">
        <v>0</v>
      </c>
      <c r="JD22" s="71">
        <v>155149</v>
      </c>
      <c r="JE22" s="71">
        <v>0</v>
      </c>
      <c r="JF22" s="71">
        <v>189597</v>
      </c>
      <c r="JG22" s="71">
        <v>145781</v>
      </c>
      <c r="JH22" s="71">
        <v>0</v>
      </c>
      <c r="JI22" s="71">
        <v>3595</v>
      </c>
      <c r="JJ22" s="71">
        <v>4204</v>
      </c>
      <c r="JK22" s="71">
        <v>143544</v>
      </c>
      <c r="JL22" s="71">
        <v>242002</v>
      </c>
      <c r="JM22" s="71">
        <v>322197</v>
      </c>
      <c r="JN22" s="71">
        <v>204546</v>
      </c>
      <c r="JO22" s="71">
        <v>0</v>
      </c>
      <c r="JP22" s="71">
        <v>166096</v>
      </c>
      <c r="JQ22" s="71">
        <v>86493</v>
      </c>
      <c r="JR22" s="71">
        <v>3221943</v>
      </c>
      <c r="JS22" s="71">
        <v>148310</v>
      </c>
      <c r="JT22" s="71">
        <v>104345</v>
      </c>
      <c r="JU22" s="71">
        <v>1539762</v>
      </c>
      <c r="JV22" s="71">
        <v>1409050</v>
      </c>
      <c r="JW22" s="71">
        <v>0</v>
      </c>
      <c r="JX22" s="71">
        <v>84616</v>
      </c>
      <c r="JY22" s="71">
        <v>744524</v>
      </c>
      <c r="JZ22" s="71">
        <v>7646</v>
      </c>
      <c r="KA22" s="71">
        <v>405760</v>
      </c>
      <c r="KB22" s="71">
        <v>849</v>
      </c>
      <c r="KC22" s="71">
        <v>249821</v>
      </c>
      <c r="KD22" s="71">
        <v>1896360</v>
      </c>
      <c r="KE22" s="71">
        <v>100543</v>
      </c>
      <c r="KF22" s="71">
        <v>1010584</v>
      </c>
      <c r="KG22" s="71">
        <v>0</v>
      </c>
      <c r="KH22" s="71">
        <v>650009</v>
      </c>
      <c r="KI22" s="71">
        <v>0</v>
      </c>
      <c r="KJ22" s="71">
        <v>836224</v>
      </c>
      <c r="KK22" s="71">
        <v>864969</v>
      </c>
      <c r="KL22" s="71">
        <v>0</v>
      </c>
      <c r="KM22" s="71">
        <v>16479</v>
      </c>
      <c r="KN22" s="71">
        <v>17432</v>
      </c>
      <c r="KO22" s="71">
        <v>737827</v>
      </c>
      <c r="KP22" s="71">
        <v>722101</v>
      </c>
      <c r="KQ22" s="71">
        <v>1936444</v>
      </c>
      <c r="KR22" s="71">
        <v>896766</v>
      </c>
      <c r="KS22" s="71">
        <v>0</v>
      </c>
      <c r="KT22" s="71">
        <v>793155</v>
      </c>
      <c r="KU22" s="71">
        <v>533246</v>
      </c>
      <c r="KV22" s="71">
        <v>15706823</v>
      </c>
      <c r="KW22" s="71" t="s">
        <v>1392</v>
      </c>
      <c r="KX22" s="71">
        <v>27300541</v>
      </c>
      <c r="KY22" s="71">
        <v>4172836</v>
      </c>
      <c r="KZ22" s="71">
        <v>31473377</v>
      </c>
      <c r="LA22" s="71">
        <v>0</v>
      </c>
      <c r="LB22" s="71">
        <v>281629</v>
      </c>
    </row>
    <row r="23" spans="1:314" x14ac:dyDescent="0.25">
      <c r="A23" s="71" t="s">
        <v>382</v>
      </c>
      <c r="B23" s="71" t="s">
        <v>1156</v>
      </c>
      <c r="C23" s="160" t="s">
        <v>1345</v>
      </c>
      <c r="D23" s="71" t="s">
        <v>1423</v>
      </c>
      <c r="E23" s="2">
        <v>41305.636736111112</v>
      </c>
      <c r="F23" s="71"/>
      <c r="G23" s="71" t="s">
        <v>383</v>
      </c>
      <c r="H23" s="71" t="s">
        <v>1157</v>
      </c>
      <c r="I23" s="71" t="s">
        <v>1127</v>
      </c>
      <c r="J23" s="71" t="s">
        <v>1158</v>
      </c>
      <c r="K23" s="71" t="s">
        <v>1159</v>
      </c>
      <c r="L23" s="71">
        <v>0</v>
      </c>
      <c r="M23" s="71">
        <v>0</v>
      </c>
      <c r="N23" s="71">
        <v>0</v>
      </c>
      <c r="O23" s="71">
        <v>29425708</v>
      </c>
      <c r="P23" s="71">
        <v>0</v>
      </c>
      <c r="Q23" s="71">
        <v>1864011</v>
      </c>
      <c r="R23" s="71">
        <v>0</v>
      </c>
      <c r="S23" s="71">
        <v>1864011</v>
      </c>
      <c r="T23" s="71">
        <v>2582803</v>
      </c>
      <c r="U23" s="71">
        <v>1835361</v>
      </c>
      <c r="V23" s="71">
        <v>2033820</v>
      </c>
      <c r="W23" s="71">
        <v>0</v>
      </c>
      <c r="X23" s="71">
        <v>0</v>
      </c>
      <c r="Y23" s="71">
        <v>0</v>
      </c>
      <c r="Z23" s="71">
        <v>6451984</v>
      </c>
      <c r="AA23" s="71">
        <v>2011121</v>
      </c>
      <c r="AB23" s="71">
        <v>358639</v>
      </c>
      <c r="AC23" s="71">
        <v>553522</v>
      </c>
      <c r="AD23" s="71">
        <v>0</v>
      </c>
      <c r="AE23" s="71">
        <v>655677</v>
      </c>
      <c r="AF23" s="71">
        <v>758110</v>
      </c>
      <c r="AG23" s="71">
        <v>4337069</v>
      </c>
      <c r="AH23" s="71">
        <v>4593924</v>
      </c>
      <c r="AI23" s="71">
        <v>2194000</v>
      </c>
      <c r="AJ23" s="71">
        <v>2587342</v>
      </c>
      <c r="AK23" s="71">
        <v>0</v>
      </c>
      <c r="AL23" s="71">
        <v>655677</v>
      </c>
      <c r="AM23" s="71">
        <v>758110</v>
      </c>
      <c r="AN23" s="71">
        <v>10789053</v>
      </c>
      <c r="AO23" s="71">
        <v>100959</v>
      </c>
      <c r="AP23" s="71">
        <v>0</v>
      </c>
      <c r="AQ23" s="71">
        <v>486380</v>
      </c>
      <c r="AR23" s="71">
        <v>0</v>
      </c>
      <c r="AS23" s="71">
        <v>587339</v>
      </c>
      <c r="AT23" s="71">
        <v>46294</v>
      </c>
      <c r="AU23" s="71">
        <v>0</v>
      </c>
      <c r="AV23" s="71">
        <v>123593</v>
      </c>
      <c r="AW23" s="71">
        <v>0</v>
      </c>
      <c r="AX23" s="71">
        <v>169887</v>
      </c>
      <c r="AY23" s="71">
        <v>147253</v>
      </c>
      <c r="AZ23" s="71">
        <v>0</v>
      </c>
      <c r="BA23" s="71">
        <v>609973</v>
      </c>
      <c r="BB23" s="71">
        <v>0</v>
      </c>
      <c r="BC23" s="71">
        <v>757226</v>
      </c>
      <c r="BD23" s="71">
        <v>808680</v>
      </c>
      <c r="BE23" s="71">
        <v>0</v>
      </c>
      <c r="BF23" s="71">
        <v>0</v>
      </c>
      <c r="BG23" s="71">
        <v>0</v>
      </c>
      <c r="BH23" s="71">
        <v>0</v>
      </c>
      <c r="BI23" s="71">
        <v>808680</v>
      </c>
      <c r="BJ23" s="71">
        <v>0</v>
      </c>
      <c r="BK23" s="71">
        <v>0</v>
      </c>
      <c r="BL23" s="71">
        <v>208754</v>
      </c>
      <c r="BM23" s="71">
        <v>0</v>
      </c>
      <c r="BN23" s="71">
        <v>0</v>
      </c>
      <c r="BO23" s="71">
        <v>208754</v>
      </c>
      <c r="BP23" s="71">
        <v>2333122</v>
      </c>
      <c r="BQ23" s="71">
        <v>0</v>
      </c>
      <c r="BR23" s="71">
        <v>0</v>
      </c>
      <c r="BS23" s="71">
        <v>0</v>
      </c>
      <c r="BT23" s="71">
        <v>0</v>
      </c>
      <c r="BU23" s="71">
        <v>2333122</v>
      </c>
      <c r="BV23" s="71">
        <v>3141802</v>
      </c>
      <c r="BW23" s="71">
        <v>0</v>
      </c>
      <c r="BX23" s="71">
        <v>208754</v>
      </c>
      <c r="BY23" s="71">
        <v>0</v>
      </c>
      <c r="BZ23" s="71">
        <v>0</v>
      </c>
      <c r="CA23" s="71">
        <v>3350556</v>
      </c>
      <c r="CB23" s="71">
        <v>0</v>
      </c>
      <c r="CC23" s="71">
        <v>0</v>
      </c>
      <c r="CD23" s="71">
        <v>0</v>
      </c>
      <c r="CE23" s="71">
        <v>0</v>
      </c>
      <c r="CF23" s="71">
        <v>0</v>
      </c>
      <c r="CG23" s="71">
        <v>0</v>
      </c>
      <c r="CH23" s="71">
        <v>0</v>
      </c>
      <c r="CI23" s="71">
        <v>0</v>
      </c>
      <c r="CJ23" s="71">
        <v>0</v>
      </c>
      <c r="CK23" s="71">
        <v>0</v>
      </c>
      <c r="CL23" s="71">
        <v>0</v>
      </c>
      <c r="CM23" s="71">
        <v>0</v>
      </c>
      <c r="CN23" s="71">
        <v>0</v>
      </c>
      <c r="CO23" s="71">
        <v>0</v>
      </c>
      <c r="CP23" s="71">
        <v>0</v>
      </c>
      <c r="CQ23" s="71">
        <v>0</v>
      </c>
      <c r="CR23" s="71" t="s">
        <v>382</v>
      </c>
      <c r="CS23" s="71">
        <v>1812995</v>
      </c>
      <c r="CT23" s="71">
        <v>0</v>
      </c>
      <c r="CU23" s="71">
        <v>20336</v>
      </c>
      <c r="CV23" s="71">
        <v>30672</v>
      </c>
      <c r="CW23" s="71">
        <v>243672</v>
      </c>
      <c r="CX23" s="71">
        <v>158110</v>
      </c>
      <c r="CY23" s="71">
        <v>0</v>
      </c>
      <c r="CZ23" s="71">
        <v>43055</v>
      </c>
      <c r="DA23" s="71">
        <v>32082</v>
      </c>
      <c r="DB23" s="71">
        <v>50975</v>
      </c>
      <c r="DC23" s="71">
        <v>152152</v>
      </c>
      <c r="DD23" s="71">
        <v>0</v>
      </c>
      <c r="DE23" s="71">
        <v>106075</v>
      </c>
      <c r="DF23" s="71">
        <v>219936</v>
      </c>
      <c r="DG23" s="71">
        <v>11152</v>
      </c>
      <c r="DH23" s="71">
        <v>127810</v>
      </c>
      <c r="DI23" s="71">
        <v>0</v>
      </c>
      <c r="DJ23" s="71">
        <v>170871</v>
      </c>
      <c r="DK23" s="71">
        <v>0</v>
      </c>
      <c r="DL23" s="71">
        <v>88640</v>
      </c>
      <c r="DM23" s="71">
        <v>103056</v>
      </c>
      <c r="DN23" s="71">
        <v>50080</v>
      </c>
      <c r="DO23" s="71">
        <v>41992</v>
      </c>
      <c r="DP23" s="71">
        <v>6032</v>
      </c>
      <c r="DQ23" s="71">
        <v>87840</v>
      </c>
      <c r="DR23" s="71">
        <v>68685</v>
      </c>
      <c r="DS23" s="71">
        <v>293616</v>
      </c>
      <c r="DT23" s="71">
        <v>122368</v>
      </c>
      <c r="DU23" s="71">
        <v>0</v>
      </c>
      <c r="DV23" s="71">
        <v>94896</v>
      </c>
      <c r="DW23" s="71">
        <v>61376</v>
      </c>
      <c r="DX23" s="71">
        <v>2385479</v>
      </c>
      <c r="DY23" s="71">
        <v>65521</v>
      </c>
      <c r="DZ23" s="71">
        <v>136715</v>
      </c>
      <c r="EA23" s="71">
        <v>720864</v>
      </c>
      <c r="EB23" s="71">
        <v>745195</v>
      </c>
      <c r="EC23" s="71">
        <v>0</v>
      </c>
      <c r="ED23" s="71">
        <v>28732</v>
      </c>
      <c r="EE23" s="71">
        <v>32479</v>
      </c>
      <c r="EF23" s="71">
        <v>39641</v>
      </c>
      <c r="EG23" s="71">
        <v>428621</v>
      </c>
      <c r="EH23" s="71">
        <v>0</v>
      </c>
      <c r="EI23" s="71">
        <v>382597</v>
      </c>
      <c r="EJ23" s="71">
        <v>944819</v>
      </c>
      <c r="EK23" s="71">
        <v>48443</v>
      </c>
      <c r="EL23" s="71">
        <v>875705</v>
      </c>
      <c r="EM23" s="71">
        <v>0</v>
      </c>
      <c r="EN23" s="71">
        <v>923409</v>
      </c>
      <c r="EO23" s="71">
        <v>0</v>
      </c>
      <c r="EP23" s="71">
        <v>357419</v>
      </c>
      <c r="EQ23" s="71">
        <v>449514</v>
      </c>
      <c r="ER23" s="71">
        <v>87520</v>
      </c>
      <c r="ES23" s="71">
        <v>64938</v>
      </c>
      <c r="ET23" s="71">
        <v>31897</v>
      </c>
      <c r="EU23" s="71">
        <v>335843</v>
      </c>
      <c r="EV23" s="71">
        <v>326218</v>
      </c>
      <c r="EW23" s="71">
        <v>946791</v>
      </c>
      <c r="EX23" s="71">
        <v>524120</v>
      </c>
      <c r="EY23" s="71">
        <v>0</v>
      </c>
      <c r="EZ23" s="71">
        <v>328259</v>
      </c>
      <c r="FA23" s="71">
        <v>315753</v>
      </c>
      <c r="FB23" s="71">
        <v>9141013</v>
      </c>
      <c r="FC23" s="71">
        <v>2186</v>
      </c>
      <c r="FD23" s="71">
        <v>0</v>
      </c>
      <c r="FE23" s="71">
        <v>124299</v>
      </c>
      <c r="FF23" s="71">
        <v>53479</v>
      </c>
      <c r="FG23" s="71">
        <v>0</v>
      </c>
      <c r="FH23" s="71">
        <v>1850</v>
      </c>
      <c r="FI23" s="71">
        <v>4626</v>
      </c>
      <c r="FJ23" s="71">
        <v>1798</v>
      </c>
      <c r="FK23" s="71">
        <v>66650</v>
      </c>
      <c r="FL23" s="71">
        <v>0</v>
      </c>
      <c r="FM23" s="71">
        <v>15083</v>
      </c>
      <c r="FN23" s="71">
        <v>18791</v>
      </c>
      <c r="FO23" s="71">
        <v>0</v>
      </c>
      <c r="FP23" s="71">
        <v>83871</v>
      </c>
      <c r="FQ23" s="71">
        <v>0</v>
      </c>
      <c r="FR23" s="71">
        <v>50518</v>
      </c>
      <c r="FS23" s="71">
        <v>0</v>
      </c>
      <c r="FT23" s="71">
        <v>57342</v>
      </c>
      <c r="FU23" s="71">
        <v>8577</v>
      </c>
      <c r="FV23" s="71">
        <v>0</v>
      </c>
      <c r="FW23" s="71">
        <v>4281</v>
      </c>
      <c r="FX23" s="71">
        <v>2175</v>
      </c>
      <c r="FY23" s="71">
        <v>38843</v>
      </c>
      <c r="FZ23" s="71">
        <v>2383</v>
      </c>
      <c r="GA23" s="71">
        <v>33884</v>
      </c>
      <c r="GB23" s="71">
        <v>31559</v>
      </c>
      <c r="GC23" s="71">
        <v>0</v>
      </c>
      <c r="GD23" s="71">
        <v>14144</v>
      </c>
      <c r="GE23" s="71">
        <v>9337</v>
      </c>
      <c r="GF23" s="71">
        <v>625676</v>
      </c>
      <c r="GG23" s="71">
        <v>12568</v>
      </c>
      <c r="GH23" s="71">
        <v>25378</v>
      </c>
      <c r="GI23" s="71">
        <v>156888</v>
      </c>
      <c r="GJ23" s="71">
        <v>148258</v>
      </c>
      <c r="GK23" s="71">
        <v>0</v>
      </c>
      <c r="GL23" s="71">
        <v>5677</v>
      </c>
      <c r="GM23" s="71">
        <v>6888</v>
      </c>
      <c r="GN23" s="71">
        <v>7692</v>
      </c>
      <c r="GO23" s="71">
        <v>91937</v>
      </c>
      <c r="GP23" s="71">
        <v>0</v>
      </c>
      <c r="GQ23" s="71">
        <v>73822</v>
      </c>
      <c r="GR23" s="71">
        <v>178875</v>
      </c>
      <c r="GS23" s="71">
        <v>8992</v>
      </c>
      <c r="GT23" s="71">
        <v>178127</v>
      </c>
      <c r="GU23" s="71">
        <v>0</v>
      </c>
      <c r="GV23" s="71">
        <v>180791</v>
      </c>
      <c r="GW23" s="71">
        <v>0</v>
      </c>
      <c r="GX23" s="71">
        <v>76992</v>
      </c>
      <c r="GY23" s="71">
        <v>85036</v>
      </c>
      <c r="GZ23" s="71">
        <v>16246</v>
      </c>
      <c r="HA23" s="71">
        <v>12849</v>
      </c>
      <c r="HB23" s="71">
        <v>6325</v>
      </c>
      <c r="HC23" s="71">
        <v>69553</v>
      </c>
      <c r="HD23" s="71">
        <v>60998</v>
      </c>
      <c r="HE23" s="71">
        <v>182043</v>
      </c>
      <c r="HF23" s="71">
        <v>103151</v>
      </c>
      <c r="HG23" s="71">
        <v>0</v>
      </c>
      <c r="HH23" s="71">
        <v>63560</v>
      </c>
      <c r="HI23" s="71">
        <v>60347</v>
      </c>
      <c r="HJ23" s="71">
        <v>1812995</v>
      </c>
      <c r="HK23" s="71">
        <v>3457</v>
      </c>
      <c r="HL23" s="71">
        <v>53425</v>
      </c>
      <c r="HM23" s="71">
        <v>76094</v>
      </c>
      <c r="HN23" s="71">
        <v>65688</v>
      </c>
      <c r="HO23" s="71">
        <v>0</v>
      </c>
      <c r="HP23" s="71">
        <v>1433</v>
      </c>
      <c r="HQ23" s="71">
        <v>2979</v>
      </c>
      <c r="HR23" s="71">
        <v>10130</v>
      </c>
      <c r="HS23" s="71">
        <v>85093</v>
      </c>
      <c r="HT23" s="71">
        <v>0</v>
      </c>
      <c r="HU23" s="71">
        <v>86500</v>
      </c>
      <c r="HV23" s="71">
        <v>45882</v>
      </c>
      <c r="HW23" s="71">
        <v>4284</v>
      </c>
      <c r="HX23" s="71">
        <v>98309</v>
      </c>
      <c r="HY23" s="71">
        <v>0</v>
      </c>
      <c r="HZ23" s="71">
        <v>147066</v>
      </c>
      <c r="IA23" s="71">
        <v>0</v>
      </c>
      <c r="IB23" s="71">
        <v>23793</v>
      </c>
      <c r="IC23" s="71">
        <v>12885</v>
      </c>
      <c r="ID23" s="71">
        <v>29323</v>
      </c>
      <c r="IE23" s="71">
        <v>873273</v>
      </c>
      <c r="IF23" s="71">
        <v>9389</v>
      </c>
      <c r="IG23" s="71">
        <v>29075</v>
      </c>
      <c r="IH23" s="71">
        <v>102187</v>
      </c>
      <c r="II23" s="71">
        <v>27795</v>
      </c>
      <c r="IJ23" s="71">
        <v>42973</v>
      </c>
      <c r="IK23" s="71">
        <v>0</v>
      </c>
      <c r="IL23" s="71">
        <v>4559</v>
      </c>
      <c r="IM23" s="71">
        <v>7696</v>
      </c>
      <c r="IN23" s="71">
        <v>1843288</v>
      </c>
      <c r="IO23" s="71">
        <v>18211</v>
      </c>
      <c r="IP23" s="71">
        <v>78803</v>
      </c>
      <c r="IQ23" s="71">
        <v>357281</v>
      </c>
      <c r="IR23" s="71">
        <v>267425</v>
      </c>
      <c r="IS23" s="71">
        <v>0</v>
      </c>
      <c r="IT23" s="71">
        <v>8960</v>
      </c>
      <c r="IU23" s="71">
        <v>14493</v>
      </c>
      <c r="IV23" s="71">
        <v>19620</v>
      </c>
      <c r="IW23" s="71">
        <v>243680</v>
      </c>
      <c r="IX23" s="71">
        <v>0</v>
      </c>
      <c r="IY23" s="71">
        <v>175405</v>
      </c>
      <c r="IZ23" s="71">
        <v>243548</v>
      </c>
      <c r="JA23" s="71">
        <v>13276</v>
      </c>
      <c r="JB23" s="71">
        <v>360307</v>
      </c>
      <c r="JC23" s="71">
        <v>0</v>
      </c>
      <c r="JD23" s="71">
        <v>378375</v>
      </c>
      <c r="JE23" s="71">
        <v>0</v>
      </c>
      <c r="JF23" s="71">
        <v>158127</v>
      </c>
      <c r="JG23" s="71">
        <v>106498</v>
      </c>
      <c r="JH23" s="71">
        <v>45569</v>
      </c>
      <c r="JI23" s="71">
        <v>890403</v>
      </c>
      <c r="JJ23" s="71">
        <v>17889</v>
      </c>
      <c r="JK23" s="71">
        <v>137471</v>
      </c>
      <c r="JL23" s="71">
        <v>165568</v>
      </c>
      <c r="JM23" s="71">
        <v>243722</v>
      </c>
      <c r="JN23" s="71">
        <v>177683</v>
      </c>
      <c r="JO23" s="71">
        <v>0</v>
      </c>
      <c r="JP23" s="71">
        <v>82263</v>
      </c>
      <c r="JQ23" s="71">
        <v>77380</v>
      </c>
      <c r="JR23" s="71">
        <v>4281959</v>
      </c>
      <c r="JS23" s="71">
        <v>83732</v>
      </c>
      <c r="JT23" s="71">
        <v>215518</v>
      </c>
      <c r="JU23" s="71">
        <v>1078145</v>
      </c>
      <c r="JV23" s="71">
        <v>1012620</v>
      </c>
      <c r="JW23" s="71">
        <v>0</v>
      </c>
      <c r="JX23" s="71">
        <v>37692</v>
      </c>
      <c r="JY23" s="71">
        <v>46972</v>
      </c>
      <c r="JZ23" s="71">
        <v>59261</v>
      </c>
      <c r="KA23" s="71">
        <v>672301</v>
      </c>
      <c r="KB23" s="71">
        <v>0</v>
      </c>
      <c r="KC23" s="71">
        <v>558002</v>
      </c>
      <c r="KD23" s="71">
        <v>1188367</v>
      </c>
      <c r="KE23" s="71">
        <v>61719</v>
      </c>
      <c r="KF23" s="71">
        <v>1236012</v>
      </c>
      <c r="KG23" s="71">
        <v>0</v>
      </c>
      <c r="KH23" s="71">
        <v>1301784</v>
      </c>
      <c r="KI23" s="71">
        <v>0</v>
      </c>
      <c r="KJ23" s="71">
        <v>515546</v>
      </c>
      <c r="KK23" s="71">
        <v>556012</v>
      </c>
      <c r="KL23" s="71">
        <v>133089</v>
      </c>
      <c r="KM23" s="71">
        <v>955341</v>
      </c>
      <c r="KN23" s="71">
        <v>49786</v>
      </c>
      <c r="KO23" s="71">
        <v>473314</v>
      </c>
      <c r="KP23" s="71">
        <v>491786</v>
      </c>
      <c r="KQ23" s="71">
        <v>1190513</v>
      </c>
      <c r="KR23" s="71">
        <v>701803</v>
      </c>
      <c r="KS23" s="71">
        <v>0</v>
      </c>
      <c r="KT23" s="71">
        <v>410522</v>
      </c>
      <c r="KU23" s="71">
        <v>393133</v>
      </c>
      <c r="KV23" s="71">
        <v>13422972</v>
      </c>
      <c r="KW23" s="71" t="s">
        <v>1070</v>
      </c>
      <c r="KX23" s="71">
        <v>26076036</v>
      </c>
      <c r="KY23" s="71">
        <v>4107782</v>
      </c>
      <c r="KZ23" s="71">
        <v>30183818</v>
      </c>
      <c r="LA23" s="71">
        <v>0</v>
      </c>
      <c r="LB23" s="71">
        <v>758110</v>
      </c>
    </row>
    <row r="24" spans="1:314" x14ac:dyDescent="0.25">
      <c r="A24" s="71" t="s">
        <v>384</v>
      </c>
      <c r="B24" s="71" t="s">
        <v>1160</v>
      </c>
      <c r="C24" s="160" t="s">
        <v>1345</v>
      </c>
      <c r="D24" s="71" t="s">
        <v>1397</v>
      </c>
      <c r="E24" s="2">
        <v>41303.404004629629</v>
      </c>
      <c r="F24" s="71"/>
      <c r="G24" s="71" t="s">
        <v>385</v>
      </c>
      <c r="H24" s="71" t="s">
        <v>1161</v>
      </c>
      <c r="I24" s="71" t="s">
        <v>1162</v>
      </c>
      <c r="J24" s="71" t="s">
        <v>1163</v>
      </c>
      <c r="K24" s="71" t="s">
        <v>1164</v>
      </c>
      <c r="L24" s="71">
        <v>0</v>
      </c>
      <c r="M24" s="71">
        <v>0</v>
      </c>
      <c r="N24" s="71">
        <v>0</v>
      </c>
      <c r="O24" s="71">
        <v>12406625</v>
      </c>
      <c r="P24" s="71">
        <v>0</v>
      </c>
      <c r="Q24" s="71">
        <v>680603</v>
      </c>
      <c r="R24" s="71">
        <v>0</v>
      </c>
      <c r="S24" s="71">
        <v>680603</v>
      </c>
      <c r="T24" s="71">
        <v>809606</v>
      </c>
      <c r="U24" s="71">
        <v>747372</v>
      </c>
      <c r="V24" s="71">
        <v>1262998</v>
      </c>
      <c r="W24" s="71">
        <v>0</v>
      </c>
      <c r="X24" s="71">
        <v>0</v>
      </c>
      <c r="Y24" s="71">
        <v>0</v>
      </c>
      <c r="Z24" s="71">
        <v>2819976</v>
      </c>
      <c r="AA24" s="71">
        <v>884597</v>
      </c>
      <c r="AB24" s="71">
        <v>116721</v>
      </c>
      <c r="AC24" s="71">
        <v>410532</v>
      </c>
      <c r="AD24" s="71">
        <v>0</v>
      </c>
      <c r="AE24" s="71">
        <v>0</v>
      </c>
      <c r="AF24" s="71">
        <v>0</v>
      </c>
      <c r="AG24" s="71">
        <v>1411850</v>
      </c>
      <c r="AH24" s="71">
        <v>1694203</v>
      </c>
      <c r="AI24" s="71">
        <v>864093</v>
      </c>
      <c r="AJ24" s="71">
        <v>1673530</v>
      </c>
      <c r="AK24" s="71">
        <v>0</v>
      </c>
      <c r="AL24" s="71">
        <v>0</v>
      </c>
      <c r="AM24" s="71">
        <v>0</v>
      </c>
      <c r="AN24" s="71">
        <v>4231826</v>
      </c>
      <c r="AO24" s="71">
        <v>0</v>
      </c>
      <c r="AP24" s="71">
        <v>0</v>
      </c>
      <c r="AQ24" s="71">
        <v>0</v>
      </c>
      <c r="AR24" s="71">
        <v>0</v>
      </c>
      <c r="AS24" s="71">
        <v>0</v>
      </c>
      <c r="AT24" s="71">
        <v>0</v>
      </c>
      <c r="AU24" s="71">
        <v>0</v>
      </c>
      <c r="AV24" s="71">
        <v>0</v>
      </c>
      <c r="AW24" s="71">
        <v>0</v>
      </c>
      <c r="AX24" s="71">
        <v>0</v>
      </c>
      <c r="AY24" s="71">
        <v>0</v>
      </c>
      <c r="AZ24" s="71">
        <v>0</v>
      </c>
      <c r="BA24" s="71">
        <v>0</v>
      </c>
      <c r="BB24" s="71">
        <v>0</v>
      </c>
      <c r="BC24" s="71">
        <v>0</v>
      </c>
      <c r="BD24" s="71">
        <v>248786</v>
      </c>
      <c r="BE24" s="71">
        <v>0</v>
      </c>
      <c r="BF24" s="71">
        <v>0</v>
      </c>
      <c r="BG24" s="71">
        <v>0</v>
      </c>
      <c r="BH24" s="71">
        <v>0</v>
      </c>
      <c r="BI24" s="71">
        <v>248786</v>
      </c>
      <c r="BJ24" s="71">
        <v>0</v>
      </c>
      <c r="BK24" s="71">
        <v>0</v>
      </c>
      <c r="BL24" s="71">
        <v>74251</v>
      </c>
      <c r="BM24" s="71">
        <v>0</v>
      </c>
      <c r="BN24" s="71">
        <v>0</v>
      </c>
      <c r="BO24" s="71">
        <v>74251</v>
      </c>
      <c r="BP24" s="71">
        <v>1048602</v>
      </c>
      <c r="BQ24" s="71">
        <v>0</v>
      </c>
      <c r="BR24" s="71">
        <v>0</v>
      </c>
      <c r="BS24" s="71">
        <v>0</v>
      </c>
      <c r="BT24" s="71">
        <v>199792</v>
      </c>
      <c r="BU24" s="71">
        <v>1248394</v>
      </c>
      <c r="BV24" s="71">
        <v>1297388</v>
      </c>
      <c r="BW24" s="71">
        <v>0</v>
      </c>
      <c r="BX24" s="71">
        <v>74251</v>
      </c>
      <c r="BY24" s="71">
        <v>0</v>
      </c>
      <c r="BZ24" s="71">
        <v>199792</v>
      </c>
      <c r="CA24" s="71">
        <v>1571431</v>
      </c>
      <c r="CB24" s="71">
        <v>0</v>
      </c>
      <c r="CC24" s="71">
        <v>0</v>
      </c>
      <c r="CD24" s="71">
        <v>0</v>
      </c>
      <c r="CE24" s="71">
        <v>0</v>
      </c>
      <c r="CF24" s="71">
        <v>0</v>
      </c>
      <c r="CG24" s="71">
        <v>0</v>
      </c>
      <c r="CH24" s="71">
        <v>0</v>
      </c>
      <c r="CI24" s="71">
        <v>0</v>
      </c>
      <c r="CJ24" s="71">
        <v>0</v>
      </c>
      <c r="CK24" s="71">
        <v>0</v>
      </c>
      <c r="CL24" s="71">
        <v>0</v>
      </c>
      <c r="CM24" s="71">
        <v>0</v>
      </c>
      <c r="CN24" s="71">
        <v>0</v>
      </c>
      <c r="CO24" s="71">
        <v>0</v>
      </c>
      <c r="CP24" s="71">
        <v>0</v>
      </c>
      <c r="CQ24" s="71">
        <v>0</v>
      </c>
      <c r="CR24" s="71" t="s">
        <v>384</v>
      </c>
      <c r="CS24" s="71">
        <v>694337</v>
      </c>
      <c r="CT24" s="71">
        <v>0</v>
      </c>
      <c r="CU24" s="71">
        <v>5760</v>
      </c>
      <c r="CV24" s="71">
        <v>13854</v>
      </c>
      <c r="CW24" s="71">
        <v>167552</v>
      </c>
      <c r="CX24" s="71">
        <v>91574</v>
      </c>
      <c r="CY24" s="71">
        <v>0</v>
      </c>
      <c r="CZ24" s="71">
        <v>2976</v>
      </c>
      <c r="DA24" s="71">
        <v>14774</v>
      </c>
      <c r="DB24" s="71">
        <v>7840</v>
      </c>
      <c r="DC24" s="71">
        <v>88385</v>
      </c>
      <c r="DD24" s="71">
        <v>0</v>
      </c>
      <c r="DE24" s="71">
        <v>49824</v>
      </c>
      <c r="DF24" s="71">
        <v>100592</v>
      </c>
      <c r="DG24" s="71">
        <v>13904</v>
      </c>
      <c r="DH24" s="71">
        <v>100246</v>
      </c>
      <c r="DI24" s="71">
        <v>0</v>
      </c>
      <c r="DJ24" s="71">
        <v>86735</v>
      </c>
      <c r="DK24" s="71">
        <v>0</v>
      </c>
      <c r="DL24" s="71">
        <v>83816</v>
      </c>
      <c r="DM24" s="71">
        <v>31888</v>
      </c>
      <c r="DN24" s="71">
        <v>3264</v>
      </c>
      <c r="DO24" s="71">
        <v>9184</v>
      </c>
      <c r="DP24" s="71">
        <v>1248</v>
      </c>
      <c r="DQ24" s="71">
        <v>46224</v>
      </c>
      <c r="DR24" s="71">
        <v>4608</v>
      </c>
      <c r="DS24" s="71">
        <v>144624</v>
      </c>
      <c r="DT24" s="71">
        <v>78256</v>
      </c>
      <c r="DU24" s="71">
        <v>0</v>
      </c>
      <c r="DV24" s="71">
        <v>63024</v>
      </c>
      <c r="DW24" s="71">
        <v>21792</v>
      </c>
      <c r="DX24" s="71">
        <v>1231944</v>
      </c>
      <c r="DY24" s="71">
        <v>41932</v>
      </c>
      <c r="DZ24" s="71">
        <v>98276</v>
      </c>
      <c r="EA24" s="71">
        <v>437044</v>
      </c>
      <c r="EB24" s="71">
        <v>378797</v>
      </c>
      <c r="EC24" s="71">
        <v>0</v>
      </c>
      <c r="ED24" s="71">
        <v>48563</v>
      </c>
      <c r="EE24" s="71">
        <v>86263</v>
      </c>
      <c r="EF24" s="71">
        <v>31977</v>
      </c>
      <c r="EG24" s="71">
        <v>188282</v>
      </c>
      <c r="EH24" s="71">
        <v>0</v>
      </c>
      <c r="EI24" s="71">
        <v>52532</v>
      </c>
      <c r="EJ24" s="71">
        <v>358582</v>
      </c>
      <c r="EK24" s="71">
        <v>59645</v>
      </c>
      <c r="EL24" s="71">
        <v>724263</v>
      </c>
      <c r="EM24" s="71">
        <v>0</v>
      </c>
      <c r="EN24" s="71">
        <v>293656</v>
      </c>
      <c r="EO24" s="71">
        <v>0</v>
      </c>
      <c r="EP24" s="71">
        <v>330541</v>
      </c>
      <c r="EQ24" s="71">
        <v>217138</v>
      </c>
      <c r="ER24" s="71">
        <v>13279</v>
      </c>
      <c r="ES24" s="71">
        <v>243576</v>
      </c>
      <c r="ET24" s="71">
        <v>9085</v>
      </c>
      <c r="EU24" s="71">
        <v>202152</v>
      </c>
      <c r="EV24" s="71">
        <v>15796</v>
      </c>
      <c r="EW24" s="71">
        <v>319622</v>
      </c>
      <c r="EX24" s="71">
        <v>301291</v>
      </c>
      <c r="EY24" s="71">
        <v>0</v>
      </c>
      <c r="EZ24" s="71">
        <v>136850</v>
      </c>
      <c r="FA24" s="71">
        <v>47319</v>
      </c>
      <c r="FB24" s="71">
        <v>4636461</v>
      </c>
      <c r="FC24" s="71">
        <v>5862</v>
      </c>
      <c r="FD24" s="71">
        <v>0</v>
      </c>
      <c r="FE24" s="71">
        <v>389</v>
      </c>
      <c r="FF24" s="71">
        <v>3059</v>
      </c>
      <c r="FG24" s="71">
        <v>0</v>
      </c>
      <c r="FH24" s="71">
        <v>0</v>
      </c>
      <c r="FI24" s="71">
        <v>861</v>
      </c>
      <c r="FJ24" s="71">
        <v>4429</v>
      </c>
      <c r="FK24" s="71">
        <v>917</v>
      </c>
      <c r="FL24" s="71">
        <v>0</v>
      </c>
      <c r="FM24" s="71">
        <v>7344</v>
      </c>
      <c r="FN24" s="71">
        <v>4536</v>
      </c>
      <c r="FO24" s="71">
        <v>1275</v>
      </c>
      <c r="FP24" s="71">
        <v>29424</v>
      </c>
      <c r="FQ24" s="71">
        <v>0</v>
      </c>
      <c r="FR24" s="71">
        <v>14982</v>
      </c>
      <c r="FS24" s="71">
        <v>0</v>
      </c>
      <c r="FT24" s="71">
        <v>16847</v>
      </c>
      <c r="FU24" s="71">
        <v>10974</v>
      </c>
      <c r="FV24" s="71">
        <v>1856</v>
      </c>
      <c r="FW24" s="71">
        <v>0</v>
      </c>
      <c r="FX24" s="71">
        <v>1270</v>
      </c>
      <c r="FY24" s="71">
        <v>2473</v>
      </c>
      <c r="FZ24" s="71">
        <v>429</v>
      </c>
      <c r="GA24" s="71">
        <v>12338</v>
      </c>
      <c r="GB24" s="71">
        <v>4669</v>
      </c>
      <c r="GC24" s="71">
        <v>0</v>
      </c>
      <c r="GD24" s="71">
        <v>1374</v>
      </c>
      <c r="GE24" s="71">
        <v>475</v>
      </c>
      <c r="GF24" s="71">
        <v>125783</v>
      </c>
      <c r="GG24" s="71">
        <v>6968</v>
      </c>
      <c r="GH24" s="71">
        <v>14329</v>
      </c>
      <c r="GI24" s="71">
        <v>63778</v>
      </c>
      <c r="GJ24" s="71">
        <v>55675</v>
      </c>
      <c r="GK24" s="71">
        <v>0</v>
      </c>
      <c r="GL24" s="71">
        <v>7081</v>
      </c>
      <c r="GM24" s="71">
        <v>12703</v>
      </c>
      <c r="GN24" s="71">
        <v>5308</v>
      </c>
      <c r="GO24" s="71">
        <v>27585</v>
      </c>
      <c r="GP24" s="71">
        <v>0</v>
      </c>
      <c r="GQ24" s="71">
        <v>8730</v>
      </c>
      <c r="GR24" s="71">
        <v>52943</v>
      </c>
      <c r="GS24" s="71">
        <v>8882</v>
      </c>
      <c r="GT24" s="71">
        <v>109888</v>
      </c>
      <c r="GU24" s="71">
        <v>0</v>
      </c>
      <c r="GV24" s="71">
        <v>45000</v>
      </c>
      <c r="GW24" s="71">
        <v>0</v>
      </c>
      <c r="GX24" s="71">
        <v>50649</v>
      </c>
      <c r="GY24" s="71">
        <v>33259</v>
      </c>
      <c r="GZ24" s="71">
        <v>2207</v>
      </c>
      <c r="HA24" s="71">
        <v>35513</v>
      </c>
      <c r="HB24" s="71">
        <v>1510</v>
      </c>
      <c r="HC24" s="71">
        <v>29834</v>
      </c>
      <c r="HD24" s="71">
        <v>2366</v>
      </c>
      <c r="HE24" s="71">
        <v>48400</v>
      </c>
      <c r="HF24" s="71">
        <v>44609</v>
      </c>
      <c r="HG24" s="71">
        <v>0</v>
      </c>
      <c r="HH24" s="71">
        <v>20153</v>
      </c>
      <c r="HI24" s="71">
        <v>6968</v>
      </c>
      <c r="HJ24" s="71">
        <v>694337</v>
      </c>
      <c r="HK24" s="71">
        <v>34660</v>
      </c>
      <c r="HL24" s="71">
        <v>48535</v>
      </c>
      <c r="HM24" s="71">
        <v>58531</v>
      </c>
      <c r="HN24" s="71">
        <v>16834</v>
      </c>
      <c r="HO24" s="71">
        <v>0</v>
      </c>
      <c r="HP24" s="71">
        <v>6169</v>
      </c>
      <c r="HQ24" s="71">
        <v>5242</v>
      </c>
      <c r="HR24" s="71">
        <v>26296</v>
      </c>
      <c r="HS24" s="71">
        <v>21445</v>
      </c>
      <c r="HT24" s="71">
        <v>0</v>
      </c>
      <c r="HU24" s="71">
        <v>43422</v>
      </c>
      <c r="HV24" s="71">
        <v>11066</v>
      </c>
      <c r="HW24" s="71">
        <v>741</v>
      </c>
      <c r="HX24" s="71">
        <v>90374</v>
      </c>
      <c r="HY24" s="71">
        <v>0</v>
      </c>
      <c r="HZ24" s="71">
        <v>83584</v>
      </c>
      <c r="IA24" s="71">
        <v>0</v>
      </c>
      <c r="IB24" s="71">
        <v>37802</v>
      </c>
      <c r="IC24" s="71">
        <v>43135</v>
      </c>
      <c r="ID24" s="71">
        <v>10976</v>
      </c>
      <c r="IE24" s="71">
        <v>12199</v>
      </c>
      <c r="IF24" s="71">
        <v>7510</v>
      </c>
      <c r="IG24" s="71">
        <v>21624</v>
      </c>
      <c r="IH24" s="71">
        <v>476</v>
      </c>
      <c r="II24" s="71">
        <v>18782</v>
      </c>
      <c r="IJ24" s="71">
        <v>59642</v>
      </c>
      <c r="IK24" s="71">
        <v>0</v>
      </c>
      <c r="IL24" s="71">
        <v>5150</v>
      </c>
      <c r="IM24" s="71">
        <v>1781</v>
      </c>
      <c r="IN24" s="71">
        <v>665976</v>
      </c>
      <c r="IO24" s="71">
        <v>47490</v>
      </c>
      <c r="IP24" s="71">
        <v>62864</v>
      </c>
      <c r="IQ24" s="71">
        <v>122698</v>
      </c>
      <c r="IR24" s="71">
        <v>75568</v>
      </c>
      <c r="IS24" s="71">
        <v>0</v>
      </c>
      <c r="IT24" s="71">
        <v>13250</v>
      </c>
      <c r="IU24" s="71">
        <v>18806</v>
      </c>
      <c r="IV24" s="71">
        <v>36033</v>
      </c>
      <c r="IW24" s="71">
        <v>49947</v>
      </c>
      <c r="IX24" s="71">
        <v>0</v>
      </c>
      <c r="IY24" s="71">
        <v>59496</v>
      </c>
      <c r="IZ24" s="71">
        <v>68545</v>
      </c>
      <c r="JA24" s="71">
        <v>10898</v>
      </c>
      <c r="JB24" s="71">
        <v>229686</v>
      </c>
      <c r="JC24" s="71">
        <v>0</v>
      </c>
      <c r="JD24" s="71">
        <v>143566</v>
      </c>
      <c r="JE24" s="71">
        <v>0</v>
      </c>
      <c r="JF24" s="71">
        <v>105298</v>
      </c>
      <c r="JG24" s="71">
        <v>87368</v>
      </c>
      <c r="JH24" s="71">
        <v>15039</v>
      </c>
      <c r="JI24" s="71">
        <v>47712</v>
      </c>
      <c r="JJ24" s="71">
        <v>10290</v>
      </c>
      <c r="JK24" s="71">
        <v>53931</v>
      </c>
      <c r="JL24" s="71">
        <v>3271</v>
      </c>
      <c r="JM24" s="71">
        <v>79520</v>
      </c>
      <c r="JN24" s="71">
        <v>108920</v>
      </c>
      <c r="JO24" s="71">
        <v>0</v>
      </c>
      <c r="JP24" s="71">
        <v>26677</v>
      </c>
      <c r="JQ24" s="71">
        <v>9224</v>
      </c>
      <c r="JR24" s="71">
        <v>1486096</v>
      </c>
      <c r="JS24" s="71">
        <v>89422</v>
      </c>
      <c r="JT24" s="71">
        <v>161140</v>
      </c>
      <c r="JU24" s="71">
        <v>559742</v>
      </c>
      <c r="JV24" s="71">
        <v>454365</v>
      </c>
      <c r="JW24" s="71">
        <v>0</v>
      </c>
      <c r="JX24" s="71">
        <v>61813</v>
      </c>
      <c r="JY24" s="71">
        <v>105069</v>
      </c>
      <c r="JZ24" s="71">
        <v>68010</v>
      </c>
      <c r="KA24" s="71">
        <v>238229</v>
      </c>
      <c r="KB24" s="71">
        <v>0</v>
      </c>
      <c r="KC24" s="71">
        <v>112028</v>
      </c>
      <c r="KD24" s="71">
        <v>427127</v>
      </c>
      <c r="KE24" s="71">
        <v>70543</v>
      </c>
      <c r="KF24" s="71">
        <v>953949</v>
      </c>
      <c r="KG24" s="71">
        <v>0</v>
      </c>
      <c r="KH24" s="71">
        <v>437222</v>
      </c>
      <c r="KI24" s="71">
        <v>0</v>
      </c>
      <c r="KJ24" s="71">
        <v>435839</v>
      </c>
      <c r="KK24" s="71">
        <v>304506</v>
      </c>
      <c r="KL24" s="71">
        <v>28318</v>
      </c>
      <c r="KM24" s="71">
        <v>291288</v>
      </c>
      <c r="KN24" s="71">
        <v>19375</v>
      </c>
      <c r="KO24" s="71">
        <v>256083</v>
      </c>
      <c r="KP24" s="71">
        <v>19067</v>
      </c>
      <c r="KQ24" s="71">
        <v>399142</v>
      </c>
      <c r="KR24" s="71">
        <v>410211</v>
      </c>
      <c r="KS24" s="71">
        <v>0</v>
      </c>
      <c r="KT24" s="71">
        <v>163527</v>
      </c>
      <c r="KU24" s="71">
        <v>56543</v>
      </c>
      <c r="KV24" s="71">
        <v>6122557</v>
      </c>
      <c r="KW24" s="71" t="s">
        <v>1070</v>
      </c>
      <c r="KX24" s="71">
        <v>11034986</v>
      </c>
      <c r="KY24" s="71">
        <v>1571431</v>
      </c>
      <c r="KZ24" s="71">
        <v>12606417</v>
      </c>
      <c r="LA24" s="71">
        <v>0</v>
      </c>
      <c r="LB24" s="71">
        <v>199792</v>
      </c>
    </row>
    <row r="25" spans="1:314" x14ac:dyDescent="0.25">
      <c r="A25" s="71" t="s">
        <v>386</v>
      </c>
      <c r="B25" s="71" t="s">
        <v>1165</v>
      </c>
      <c r="C25" s="160" t="s">
        <v>1345</v>
      </c>
      <c r="D25" s="71" t="s">
        <v>1354</v>
      </c>
      <c r="E25" s="2">
        <v>41277.715150462966</v>
      </c>
      <c r="F25" s="71"/>
      <c r="G25" s="71" t="s">
        <v>387</v>
      </c>
      <c r="H25" s="71" t="s">
        <v>1166</v>
      </c>
      <c r="I25" s="71" t="s">
        <v>1127</v>
      </c>
      <c r="J25" s="71" t="s">
        <v>1167</v>
      </c>
      <c r="K25" s="71" t="s">
        <v>1168</v>
      </c>
      <c r="L25" s="71">
        <v>0</v>
      </c>
      <c r="M25" s="71">
        <v>0</v>
      </c>
      <c r="N25" s="71">
        <v>0</v>
      </c>
      <c r="O25" s="71">
        <v>19055674</v>
      </c>
      <c r="P25" s="71">
        <v>0</v>
      </c>
      <c r="Q25" s="71">
        <v>705121</v>
      </c>
      <c r="R25" s="71">
        <v>0</v>
      </c>
      <c r="S25" s="71">
        <v>705121</v>
      </c>
      <c r="T25" s="71">
        <v>1439431</v>
      </c>
      <c r="U25" s="71">
        <v>1298655</v>
      </c>
      <c r="V25" s="71">
        <v>992726</v>
      </c>
      <c r="W25" s="71">
        <v>0</v>
      </c>
      <c r="X25" s="71">
        <v>0</v>
      </c>
      <c r="Y25" s="71">
        <v>0</v>
      </c>
      <c r="Z25" s="71">
        <v>3730812</v>
      </c>
      <c r="AA25" s="71">
        <v>1383472</v>
      </c>
      <c r="AB25" s="71">
        <v>248353</v>
      </c>
      <c r="AC25" s="71">
        <v>255604</v>
      </c>
      <c r="AD25" s="71">
        <v>0</v>
      </c>
      <c r="AE25" s="71">
        <v>200624</v>
      </c>
      <c r="AF25" s="71">
        <v>154280</v>
      </c>
      <c r="AG25" s="71">
        <v>2242333</v>
      </c>
      <c r="AH25" s="71">
        <v>2822903</v>
      </c>
      <c r="AI25" s="71">
        <v>1547008</v>
      </c>
      <c r="AJ25" s="71">
        <v>1248330</v>
      </c>
      <c r="AK25" s="71">
        <v>0</v>
      </c>
      <c r="AL25" s="71">
        <v>200624</v>
      </c>
      <c r="AM25" s="71">
        <v>154280</v>
      </c>
      <c r="AN25" s="71">
        <v>5973145</v>
      </c>
      <c r="AO25" s="71">
        <v>181879</v>
      </c>
      <c r="AP25" s="71">
        <v>0</v>
      </c>
      <c r="AQ25" s="71">
        <v>0</v>
      </c>
      <c r="AR25" s="71">
        <v>0</v>
      </c>
      <c r="AS25" s="71">
        <v>181879</v>
      </c>
      <c r="AT25" s="71">
        <v>69806</v>
      </c>
      <c r="AU25" s="71">
        <v>0</v>
      </c>
      <c r="AV25" s="71">
        <v>0</v>
      </c>
      <c r="AW25" s="71">
        <v>0</v>
      </c>
      <c r="AX25" s="71">
        <v>69806</v>
      </c>
      <c r="AY25" s="71">
        <v>251685</v>
      </c>
      <c r="AZ25" s="71">
        <v>0</v>
      </c>
      <c r="BA25" s="71">
        <v>0</v>
      </c>
      <c r="BB25" s="71">
        <v>0</v>
      </c>
      <c r="BC25" s="71">
        <v>251685</v>
      </c>
      <c r="BD25" s="71">
        <v>767851</v>
      </c>
      <c r="BE25" s="71">
        <v>0</v>
      </c>
      <c r="BF25" s="71">
        <v>0</v>
      </c>
      <c r="BG25" s="71">
        <v>0</v>
      </c>
      <c r="BH25" s="71">
        <v>0</v>
      </c>
      <c r="BI25" s="71">
        <v>767851</v>
      </c>
      <c r="BJ25" s="71">
        <v>0</v>
      </c>
      <c r="BK25" s="71">
        <v>0</v>
      </c>
      <c r="BL25" s="71">
        <v>249507</v>
      </c>
      <c r="BM25" s="71">
        <v>0</v>
      </c>
      <c r="BN25" s="71">
        <v>0</v>
      </c>
      <c r="BO25" s="71">
        <v>249507</v>
      </c>
      <c r="BP25" s="71">
        <v>1406413</v>
      </c>
      <c r="BQ25" s="71">
        <v>33843</v>
      </c>
      <c r="BR25" s="71">
        <v>0</v>
      </c>
      <c r="BS25" s="71">
        <v>0</v>
      </c>
      <c r="BT25" s="71">
        <v>704796</v>
      </c>
      <c r="BU25" s="71">
        <v>2145052</v>
      </c>
      <c r="BV25" s="71">
        <v>2174264</v>
      </c>
      <c r="BW25" s="71">
        <v>33843</v>
      </c>
      <c r="BX25" s="71">
        <v>249507</v>
      </c>
      <c r="BY25" s="71">
        <v>0</v>
      </c>
      <c r="BZ25" s="71">
        <v>704796</v>
      </c>
      <c r="CA25" s="71">
        <v>3162410</v>
      </c>
      <c r="CB25" s="71">
        <v>0</v>
      </c>
      <c r="CC25" s="71">
        <v>0</v>
      </c>
      <c r="CD25" s="71">
        <v>0</v>
      </c>
      <c r="CE25" s="71">
        <v>0</v>
      </c>
      <c r="CF25" s="71">
        <v>0</v>
      </c>
      <c r="CG25" s="71">
        <v>0</v>
      </c>
      <c r="CH25" s="71">
        <v>0</v>
      </c>
      <c r="CI25" s="71">
        <v>0</v>
      </c>
      <c r="CJ25" s="71">
        <v>0</v>
      </c>
      <c r="CK25" s="71">
        <v>0</v>
      </c>
      <c r="CL25" s="71">
        <v>0</v>
      </c>
      <c r="CM25" s="71">
        <v>0</v>
      </c>
      <c r="CN25" s="71">
        <v>0</v>
      </c>
      <c r="CO25" s="71">
        <v>0</v>
      </c>
      <c r="CP25" s="71">
        <v>0</v>
      </c>
      <c r="CQ25" s="71">
        <v>0</v>
      </c>
      <c r="CR25" s="71" t="s">
        <v>386</v>
      </c>
      <c r="CS25" s="71">
        <v>1421593</v>
      </c>
      <c r="CT25" s="71">
        <v>0</v>
      </c>
      <c r="CU25" s="71">
        <v>0</v>
      </c>
      <c r="CV25" s="71">
        <v>202778</v>
      </c>
      <c r="CW25" s="71">
        <v>401808</v>
      </c>
      <c r="CX25" s="71">
        <v>145879</v>
      </c>
      <c r="CY25" s="71">
        <v>0</v>
      </c>
      <c r="CZ25" s="71">
        <v>16768</v>
      </c>
      <c r="DA25" s="71">
        <v>121192</v>
      </c>
      <c r="DB25" s="71">
        <v>2616</v>
      </c>
      <c r="DC25" s="71">
        <v>66377</v>
      </c>
      <c r="DD25" s="71">
        <v>4260</v>
      </c>
      <c r="DE25" s="71">
        <v>237802</v>
      </c>
      <c r="DF25" s="71">
        <v>289736</v>
      </c>
      <c r="DG25" s="71">
        <v>58272</v>
      </c>
      <c r="DH25" s="71">
        <v>55448</v>
      </c>
      <c r="DI25" s="71">
        <v>0</v>
      </c>
      <c r="DJ25" s="71">
        <v>177232</v>
      </c>
      <c r="DK25" s="71">
        <v>0</v>
      </c>
      <c r="DL25" s="71">
        <v>80039</v>
      </c>
      <c r="DM25" s="71">
        <v>113664</v>
      </c>
      <c r="DN25" s="71">
        <v>0</v>
      </c>
      <c r="DO25" s="71">
        <v>400</v>
      </c>
      <c r="DP25" s="71">
        <v>0</v>
      </c>
      <c r="DQ25" s="71">
        <v>116688</v>
      </c>
      <c r="DR25" s="71">
        <v>49456</v>
      </c>
      <c r="DS25" s="71">
        <v>420704</v>
      </c>
      <c r="DT25" s="71">
        <v>124992</v>
      </c>
      <c r="DU25" s="71">
        <v>0</v>
      </c>
      <c r="DV25" s="71">
        <v>203824</v>
      </c>
      <c r="DW25" s="71">
        <v>120192</v>
      </c>
      <c r="DX25" s="71">
        <v>3010127</v>
      </c>
      <c r="DY25" s="71">
        <v>0</v>
      </c>
      <c r="DZ25" s="71">
        <v>677874</v>
      </c>
      <c r="EA25" s="71">
        <v>720359</v>
      </c>
      <c r="EB25" s="71">
        <v>226801</v>
      </c>
      <c r="EC25" s="71">
        <v>0</v>
      </c>
      <c r="ED25" s="71">
        <v>46086</v>
      </c>
      <c r="EE25" s="71">
        <v>265965</v>
      </c>
      <c r="EF25" s="71">
        <v>3345</v>
      </c>
      <c r="EG25" s="71">
        <v>191390</v>
      </c>
      <c r="EH25" s="71">
        <v>5446</v>
      </c>
      <c r="EI25" s="71">
        <v>271408</v>
      </c>
      <c r="EJ25" s="71">
        <v>715991</v>
      </c>
      <c r="EK25" s="71">
        <v>137128</v>
      </c>
      <c r="EL25" s="71">
        <v>402858</v>
      </c>
      <c r="EM25" s="71">
        <v>0</v>
      </c>
      <c r="EN25" s="71">
        <v>517546</v>
      </c>
      <c r="EO25" s="71">
        <v>0</v>
      </c>
      <c r="EP25" s="71">
        <v>398989</v>
      </c>
      <c r="EQ25" s="71">
        <v>416255</v>
      </c>
      <c r="ER25" s="71">
        <v>0</v>
      </c>
      <c r="ES25" s="71">
        <v>511</v>
      </c>
      <c r="ET25" s="71">
        <v>0</v>
      </c>
      <c r="EU25" s="71">
        <v>348694</v>
      </c>
      <c r="EV25" s="71">
        <v>89460</v>
      </c>
      <c r="EW25" s="71">
        <v>970825</v>
      </c>
      <c r="EX25" s="71">
        <v>335383</v>
      </c>
      <c r="EY25" s="71">
        <v>0</v>
      </c>
      <c r="EZ25" s="71">
        <v>350444</v>
      </c>
      <c r="FA25" s="71">
        <v>382107</v>
      </c>
      <c r="FB25" s="71">
        <v>7474865</v>
      </c>
      <c r="FC25" s="71">
        <v>0</v>
      </c>
      <c r="FD25" s="71">
        <v>1233</v>
      </c>
      <c r="FE25" s="71">
        <v>0</v>
      </c>
      <c r="FF25" s="71">
        <v>10923</v>
      </c>
      <c r="FG25" s="71">
        <v>0</v>
      </c>
      <c r="FH25" s="71">
        <v>0</v>
      </c>
      <c r="FI25" s="71">
        <v>1359</v>
      </c>
      <c r="FJ25" s="71">
        <v>3499</v>
      </c>
      <c r="FK25" s="71">
        <v>7866</v>
      </c>
      <c r="FL25" s="71">
        <v>5697</v>
      </c>
      <c r="FM25" s="71">
        <v>16855</v>
      </c>
      <c r="FN25" s="71">
        <v>32</v>
      </c>
      <c r="FO25" s="71">
        <v>0</v>
      </c>
      <c r="FP25" s="71">
        <v>8956</v>
      </c>
      <c r="FQ25" s="71">
        <v>0</v>
      </c>
      <c r="FR25" s="71">
        <v>40403</v>
      </c>
      <c r="FS25" s="71">
        <v>0</v>
      </c>
      <c r="FT25" s="71">
        <v>655</v>
      </c>
      <c r="FU25" s="71">
        <v>0</v>
      </c>
      <c r="FV25" s="71">
        <v>0</v>
      </c>
      <c r="FW25" s="71">
        <v>535</v>
      </c>
      <c r="FX25" s="71">
        <v>0</v>
      </c>
      <c r="FY25" s="71">
        <v>0</v>
      </c>
      <c r="FZ25" s="71">
        <v>30260</v>
      </c>
      <c r="GA25" s="71">
        <v>0</v>
      </c>
      <c r="GB25" s="71">
        <v>2889</v>
      </c>
      <c r="GC25" s="71">
        <v>0</v>
      </c>
      <c r="GD25" s="71">
        <v>0</v>
      </c>
      <c r="GE25" s="71">
        <v>0</v>
      </c>
      <c r="GF25" s="71">
        <v>131162</v>
      </c>
      <c r="GG25" s="71">
        <v>0</v>
      </c>
      <c r="GH25" s="71">
        <v>126927</v>
      </c>
      <c r="GI25" s="71">
        <v>134638</v>
      </c>
      <c r="GJ25" s="71">
        <v>44431</v>
      </c>
      <c r="GK25" s="71">
        <v>0</v>
      </c>
      <c r="GL25" s="71">
        <v>8614</v>
      </c>
      <c r="GM25" s="71">
        <v>49964</v>
      </c>
      <c r="GN25" s="71">
        <v>1279</v>
      </c>
      <c r="GO25" s="71">
        <v>37242</v>
      </c>
      <c r="GP25" s="71">
        <v>2083</v>
      </c>
      <c r="GQ25" s="71">
        <v>53877</v>
      </c>
      <c r="GR25" s="71">
        <v>133827</v>
      </c>
      <c r="GS25" s="71">
        <v>25630</v>
      </c>
      <c r="GT25" s="71">
        <v>76969</v>
      </c>
      <c r="GU25" s="71">
        <v>0</v>
      </c>
      <c r="GV25" s="71">
        <v>104283</v>
      </c>
      <c r="GW25" s="71">
        <v>0</v>
      </c>
      <c r="GX25" s="71">
        <v>74695</v>
      </c>
      <c r="GY25" s="71">
        <v>77800</v>
      </c>
      <c r="GZ25" s="71">
        <v>0</v>
      </c>
      <c r="HA25" s="71">
        <v>196</v>
      </c>
      <c r="HB25" s="71">
        <v>0</v>
      </c>
      <c r="HC25" s="71">
        <v>65172</v>
      </c>
      <c r="HD25" s="71">
        <v>22376</v>
      </c>
      <c r="HE25" s="71">
        <v>181451</v>
      </c>
      <c r="HF25" s="71">
        <v>63224</v>
      </c>
      <c r="HG25" s="71">
        <v>0</v>
      </c>
      <c r="HH25" s="71">
        <v>65499</v>
      </c>
      <c r="HI25" s="71">
        <v>71417</v>
      </c>
      <c r="HJ25" s="71">
        <v>1421593</v>
      </c>
      <c r="HK25" s="71">
        <v>0</v>
      </c>
      <c r="HL25" s="71">
        <v>131867</v>
      </c>
      <c r="HM25" s="71">
        <v>26189</v>
      </c>
      <c r="HN25" s="71">
        <v>29847</v>
      </c>
      <c r="HO25" s="71">
        <v>0</v>
      </c>
      <c r="HP25" s="71">
        <v>1741</v>
      </c>
      <c r="HQ25" s="71">
        <v>10531</v>
      </c>
      <c r="HR25" s="71">
        <v>7679</v>
      </c>
      <c r="HS25" s="71">
        <v>40536</v>
      </c>
      <c r="HT25" s="71">
        <v>12504</v>
      </c>
      <c r="HU25" s="71">
        <v>97320</v>
      </c>
      <c r="HV25" s="71">
        <v>17579</v>
      </c>
      <c r="HW25" s="71">
        <v>1774</v>
      </c>
      <c r="HX25" s="71">
        <v>34671</v>
      </c>
      <c r="HY25" s="71">
        <v>0</v>
      </c>
      <c r="HZ25" s="71">
        <v>142808</v>
      </c>
      <c r="IA25" s="71">
        <v>0</v>
      </c>
      <c r="IB25" s="71">
        <v>20250</v>
      </c>
      <c r="IC25" s="71">
        <v>13137</v>
      </c>
      <c r="ID25" s="71">
        <v>0</v>
      </c>
      <c r="IE25" s="71">
        <v>1174</v>
      </c>
      <c r="IF25" s="71">
        <v>0</v>
      </c>
      <c r="IG25" s="71">
        <v>22506</v>
      </c>
      <c r="IH25" s="71">
        <v>67424</v>
      </c>
      <c r="II25" s="71">
        <v>32602</v>
      </c>
      <c r="IJ25" s="71">
        <v>64220</v>
      </c>
      <c r="IK25" s="71">
        <v>11602</v>
      </c>
      <c r="IL25" s="71">
        <v>2453</v>
      </c>
      <c r="IM25" s="71">
        <v>4355</v>
      </c>
      <c r="IN25" s="71">
        <v>794769</v>
      </c>
      <c r="IO25" s="71">
        <v>0</v>
      </c>
      <c r="IP25" s="71">
        <v>260027</v>
      </c>
      <c r="IQ25" s="71">
        <v>160827</v>
      </c>
      <c r="IR25" s="71">
        <v>85201</v>
      </c>
      <c r="IS25" s="71">
        <v>0</v>
      </c>
      <c r="IT25" s="71">
        <v>10355</v>
      </c>
      <c r="IU25" s="71">
        <v>61854</v>
      </c>
      <c r="IV25" s="71">
        <v>12457</v>
      </c>
      <c r="IW25" s="71">
        <v>85644</v>
      </c>
      <c r="IX25" s="71">
        <v>20284</v>
      </c>
      <c r="IY25" s="71">
        <v>168052</v>
      </c>
      <c r="IZ25" s="71">
        <v>151438</v>
      </c>
      <c r="JA25" s="71">
        <v>27404</v>
      </c>
      <c r="JB25" s="71">
        <v>120596</v>
      </c>
      <c r="JC25" s="71">
        <v>0</v>
      </c>
      <c r="JD25" s="71">
        <v>287494</v>
      </c>
      <c r="JE25" s="71">
        <v>0</v>
      </c>
      <c r="JF25" s="71">
        <v>95600</v>
      </c>
      <c r="JG25" s="71">
        <v>90937</v>
      </c>
      <c r="JH25" s="71">
        <v>0</v>
      </c>
      <c r="JI25" s="71">
        <v>1905</v>
      </c>
      <c r="JJ25" s="71">
        <v>0</v>
      </c>
      <c r="JK25" s="71">
        <v>87678</v>
      </c>
      <c r="JL25" s="71">
        <v>120060</v>
      </c>
      <c r="JM25" s="71">
        <v>214053</v>
      </c>
      <c r="JN25" s="71">
        <v>130333</v>
      </c>
      <c r="JO25" s="71">
        <v>11602</v>
      </c>
      <c r="JP25" s="71">
        <v>67952</v>
      </c>
      <c r="JQ25" s="71">
        <v>75772</v>
      </c>
      <c r="JR25" s="71">
        <v>2347524</v>
      </c>
      <c r="JS25" s="71">
        <v>0</v>
      </c>
      <c r="JT25" s="71">
        <v>937901</v>
      </c>
      <c r="JU25" s="71">
        <v>881186</v>
      </c>
      <c r="JV25" s="71">
        <v>312002</v>
      </c>
      <c r="JW25" s="71">
        <v>0</v>
      </c>
      <c r="JX25" s="71">
        <v>56441</v>
      </c>
      <c r="JY25" s="71">
        <v>327819</v>
      </c>
      <c r="JZ25" s="71">
        <v>15802</v>
      </c>
      <c r="KA25" s="71">
        <v>277034</v>
      </c>
      <c r="KB25" s="71">
        <v>25730</v>
      </c>
      <c r="KC25" s="71">
        <v>439460</v>
      </c>
      <c r="KD25" s="71">
        <v>867429</v>
      </c>
      <c r="KE25" s="71">
        <v>164532</v>
      </c>
      <c r="KF25" s="71">
        <v>523454</v>
      </c>
      <c r="KG25" s="71">
        <v>0</v>
      </c>
      <c r="KH25" s="71">
        <v>805040</v>
      </c>
      <c r="KI25" s="71">
        <v>0</v>
      </c>
      <c r="KJ25" s="71">
        <v>494589</v>
      </c>
      <c r="KK25" s="71">
        <v>507192</v>
      </c>
      <c r="KL25" s="71">
        <v>0</v>
      </c>
      <c r="KM25" s="71">
        <v>2416</v>
      </c>
      <c r="KN25" s="71">
        <v>0</v>
      </c>
      <c r="KO25" s="71">
        <v>436372</v>
      </c>
      <c r="KP25" s="71">
        <v>209520</v>
      </c>
      <c r="KQ25" s="71">
        <v>1184878</v>
      </c>
      <c r="KR25" s="71">
        <v>465716</v>
      </c>
      <c r="KS25" s="71">
        <v>11602</v>
      </c>
      <c r="KT25" s="71">
        <v>418396</v>
      </c>
      <c r="KU25" s="71">
        <v>457879</v>
      </c>
      <c r="KV25" s="71">
        <v>9822389</v>
      </c>
      <c r="KW25" s="71" t="s">
        <v>1070</v>
      </c>
      <c r="KX25" s="71">
        <v>16500655</v>
      </c>
      <c r="KY25" s="71">
        <v>3414095</v>
      </c>
      <c r="KZ25" s="71">
        <v>19914750</v>
      </c>
      <c r="LA25" s="71">
        <v>0</v>
      </c>
      <c r="LB25" s="71">
        <v>859076</v>
      </c>
    </row>
    <row r="26" spans="1:314" x14ac:dyDescent="0.25">
      <c r="A26" s="71" t="s">
        <v>388</v>
      </c>
      <c r="B26" s="71" t="s">
        <v>1169</v>
      </c>
      <c r="C26" s="160" t="s">
        <v>1345</v>
      </c>
      <c r="D26" s="71" t="s">
        <v>1404</v>
      </c>
      <c r="E26" s="2">
        <v>41304.492939814816</v>
      </c>
      <c r="F26" s="71"/>
      <c r="G26" s="71" t="s">
        <v>389</v>
      </c>
      <c r="H26" s="71" t="s">
        <v>1379</v>
      </c>
      <c r="I26" s="71" t="s">
        <v>1257</v>
      </c>
      <c r="J26" s="71" t="s">
        <v>1380</v>
      </c>
      <c r="K26" s="71" t="s">
        <v>1381</v>
      </c>
      <c r="L26" s="71">
        <v>0</v>
      </c>
      <c r="M26" s="71">
        <v>0</v>
      </c>
      <c r="N26" s="71">
        <v>0</v>
      </c>
      <c r="O26" s="71">
        <v>5199334</v>
      </c>
      <c r="P26" s="71">
        <v>0</v>
      </c>
      <c r="Q26" s="71">
        <v>164859</v>
      </c>
      <c r="R26" s="71">
        <v>0</v>
      </c>
      <c r="S26" s="71">
        <v>164859</v>
      </c>
      <c r="T26" s="71">
        <v>424552</v>
      </c>
      <c r="U26" s="71">
        <v>270421</v>
      </c>
      <c r="V26" s="71">
        <v>330884</v>
      </c>
      <c r="W26" s="71">
        <v>0</v>
      </c>
      <c r="X26" s="71">
        <v>0</v>
      </c>
      <c r="Y26" s="71">
        <v>0</v>
      </c>
      <c r="Z26" s="71">
        <v>1025857</v>
      </c>
      <c r="AA26" s="71">
        <v>442497</v>
      </c>
      <c r="AB26" s="71">
        <v>40873</v>
      </c>
      <c r="AC26" s="71">
        <v>93751</v>
      </c>
      <c r="AD26" s="71">
        <v>0</v>
      </c>
      <c r="AE26" s="71">
        <v>0</v>
      </c>
      <c r="AF26" s="71">
        <v>0</v>
      </c>
      <c r="AG26" s="71">
        <v>577121</v>
      </c>
      <c r="AH26" s="71">
        <v>867049</v>
      </c>
      <c r="AI26" s="71">
        <v>311294</v>
      </c>
      <c r="AJ26" s="71">
        <v>424635</v>
      </c>
      <c r="AK26" s="71">
        <v>0</v>
      </c>
      <c r="AL26" s="71">
        <v>0</v>
      </c>
      <c r="AM26" s="71">
        <v>0</v>
      </c>
      <c r="AN26" s="71">
        <v>1602978</v>
      </c>
      <c r="AO26" s="71">
        <v>0</v>
      </c>
      <c r="AP26" s="71">
        <v>0</v>
      </c>
      <c r="AQ26" s="71">
        <v>0</v>
      </c>
      <c r="AR26" s="71">
        <v>0</v>
      </c>
      <c r="AS26" s="71">
        <v>0</v>
      </c>
      <c r="AT26" s="71">
        <v>0</v>
      </c>
      <c r="AU26" s="71">
        <v>0</v>
      </c>
      <c r="AV26" s="71">
        <v>0</v>
      </c>
      <c r="AW26" s="71">
        <v>0</v>
      </c>
      <c r="AX26" s="71">
        <v>0</v>
      </c>
      <c r="AY26" s="71">
        <v>0</v>
      </c>
      <c r="AZ26" s="71">
        <v>0</v>
      </c>
      <c r="BA26" s="71">
        <v>0</v>
      </c>
      <c r="BB26" s="71">
        <v>0</v>
      </c>
      <c r="BC26" s="71">
        <v>0</v>
      </c>
      <c r="BD26" s="71">
        <v>143857</v>
      </c>
      <c r="BE26" s="71">
        <v>0</v>
      </c>
      <c r="BF26" s="71">
        <v>0</v>
      </c>
      <c r="BG26" s="71">
        <v>0</v>
      </c>
      <c r="BH26" s="71">
        <v>0</v>
      </c>
      <c r="BI26" s="71">
        <v>143857</v>
      </c>
      <c r="BJ26" s="71">
        <v>0</v>
      </c>
      <c r="BK26" s="71">
        <v>0</v>
      </c>
      <c r="BL26" s="71">
        <v>565</v>
      </c>
      <c r="BM26" s="71">
        <v>0</v>
      </c>
      <c r="BN26" s="71">
        <v>0</v>
      </c>
      <c r="BO26" s="71">
        <v>565</v>
      </c>
      <c r="BP26" s="71">
        <v>476475</v>
      </c>
      <c r="BQ26" s="71">
        <v>0</v>
      </c>
      <c r="BR26" s="71">
        <v>0</v>
      </c>
      <c r="BS26" s="71">
        <v>0</v>
      </c>
      <c r="BT26" s="71">
        <v>49737</v>
      </c>
      <c r="BU26" s="71">
        <v>526212</v>
      </c>
      <c r="BV26" s="71">
        <v>620332</v>
      </c>
      <c r="BW26" s="71">
        <v>0</v>
      </c>
      <c r="BX26" s="71">
        <v>565</v>
      </c>
      <c r="BY26" s="71">
        <v>0</v>
      </c>
      <c r="BZ26" s="71">
        <v>49737</v>
      </c>
      <c r="CA26" s="71">
        <v>670634</v>
      </c>
      <c r="CB26" s="71">
        <v>0</v>
      </c>
      <c r="CC26" s="71">
        <v>0</v>
      </c>
      <c r="CD26" s="71">
        <v>0</v>
      </c>
      <c r="CE26" s="71">
        <v>0</v>
      </c>
      <c r="CF26" s="71">
        <v>0</v>
      </c>
      <c r="CG26" s="71">
        <v>0</v>
      </c>
      <c r="CH26" s="71">
        <v>0</v>
      </c>
      <c r="CI26" s="71">
        <v>0</v>
      </c>
      <c r="CJ26" s="71">
        <v>0</v>
      </c>
      <c r="CK26" s="71">
        <v>0</v>
      </c>
      <c r="CL26" s="71">
        <v>0</v>
      </c>
      <c r="CM26" s="71">
        <v>0</v>
      </c>
      <c r="CN26" s="71">
        <v>0</v>
      </c>
      <c r="CO26" s="71">
        <v>0</v>
      </c>
      <c r="CP26" s="71">
        <v>0</v>
      </c>
      <c r="CQ26" s="71">
        <v>0</v>
      </c>
      <c r="CR26" s="71" t="s">
        <v>388</v>
      </c>
      <c r="CS26" s="71">
        <v>344126</v>
      </c>
      <c r="CT26" s="71">
        <v>0</v>
      </c>
      <c r="CU26" s="71">
        <v>4176</v>
      </c>
      <c r="CV26" s="71">
        <v>24384</v>
      </c>
      <c r="CW26" s="71">
        <v>77856</v>
      </c>
      <c r="CX26" s="71">
        <v>15376</v>
      </c>
      <c r="CY26" s="71">
        <v>0</v>
      </c>
      <c r="CZ26" s="71">
        <v>0</v>
      </c>
      <c r="DA26" s="71">
        <v>40432</v>
      </c>
      <c r="DB26" s="71">
        <v>0</v>
      </c>
      <c r="DC26" s="71">
        <v>131440</v>
      </c>
      <c r="DD26" s="71">
        <v>0</v>
      </c>
      <c r="DE26" s="71">
        <v>176</v>
      </c>
      <c r="DF26" s="71">
        <v>109008</v>
      </c>
      <c r="DG26" s="71">
        <v>3744</v>
      </c>
      <c r="DH26" s="71">
        <v>29376</v>
      </c>
      <c r="DI26" s="71">
        <v>0</v>
      </c>
      <c r="DJ26" s="71">
        <v>18149</v>
      </c>
      <c r="DK26" s="71">
        <v>0</v>
      </c>
      <c r="DL26" s="71">
        <v>126320</v>
      </c>
      <c r="DM26" s="71">
        <v>37232</v>
      </c>
      <c r="DN26" s="71">
        <v>0</v>
      </c>
      <c r="DO26" s="71">
        <v>2000</v>
      </c>
      <c r="DP26" s="71">
        <v>0</v>
      </c>
      <c r="DQ26" s="71">
        <v>44320</v>
      </c>
      <c r="DR26" s="71">
        <v>2736</v>
      </c>
      <c r="DS26" s="71">
        <v>124368</v>
      </c>
      <c r="DT26" s="71">
        <v>26976</v>
      </c>
      <c r="DU26" s="71">
        <v>0</v>
      </c>
      <c r="DV26" s="71">
        <v>31616</v>
      </c>
      <c r="DW26" s="71">
        <v>47920</v>
      </c>
      <c r="DX26" s="71">
        <v>897605</v>
      </c>
      <c r="DY26" s="71">
        <v>11250</v>
      </c>
      <c r="DZ26" s="71">
        <v>39758</v>
      </c>
      <c r="EA26" s="71">
        <v>125000</v>
      </c>
      <c r="EB26" s="71">
        <v>45500</v>
      </c>
      <c r="EC26" s="71">
        <v>0</v>
      </c>
      <c r="ED26" s="71">
        <v>0</v>
      </c>
      <c r="EE26" s="71">
        <v>56250</v>
      </c>
      <c r="EF26" s="71">
        <v>0</v>
      </c>
      <c r="EG26" s="71">
        <v>167213</v>
      </c>
      <c r="EH26" s="71">
        <v>0</v>
      </c>
      <c r="EI26" s="71">
        <v>1500</v>
      </c>
      <c r="EJ26" s="71">
        <v>268757</v>
      </c>
      <c r="EK26" s="71">
        <v>9000</v>
      </c>
      <c r="EL26" s="71">
        <v>215000</v>
      </c>
      <c r="EM26" s="71">
        <v>0</v>
      </c>
      <c r="EN26" s="71">
        <v>25000</v>
      </c>
      <c r="EO26" s="71">
        <v>0</v>
      </c>
      <c r="EP26" s="71">
        <v>259431</v>
      </c>
      <c r="EQ26" s="71">
        <v>87000</v>
      </c>
      <c r="ER26" s="71">
        <v>0</v>
      </c>
      <c r="ES26" s="71">
        <v>1500</v>
      </c>
      <c r="ET26" s="71">
        <v>0</v>
      </c>
      <c r="EU26" s="71">
        <v>474000</v>
      </c>
      <c r="EV26" s="71">
        <v>1500</v>
      </c>
      <c r="EW26" s="71">
        <v>125000</v>
      </c>
      <c r="EX26" s="71">
        <v>65000</v>
      </c>
      <c r="EY26" s="71">
        <v>0</v>
      </c>
      <c r="EZ26" s="71">
        <v>64675</v>
      </c>
      <c r="FA26" s="71">
        <v>99030</v>
      </c>
      <c r="FB26" s="71">
        <v>2141364</v>
      </c>
      <c r="FC26" s="71">
        <v>0</v>
      </c>
      <c r="FD26" s="71">
        <v>0</v>
      </c>
      <c r="FE26" s="71">
        <v>0</v>
      </c>
      <c r="FF26" s="71">
        <v>0</v>
      </c>
      <c r="FG26" s="71">
        <v>0</v>
      </c>
      <c r="FH26" s="71">
        <v>0</v>
      </c>
      <c r="FI26" s="71">
        <v>0</v>
      </c>
      <c r="FJ26" s="71">
        <v>0</v>
      </c>
      <c r="FK26" s="71">
        <v>0</v>
      </c>
      <c r="FL26" s="71">
        <v>0</v>
      </c>
      <c r="FM26" s="71">
        <v>0</v>
      </c>
      <c r="FN26" s="71">
        <v>0</v>
      </c>
      <c r="FO26" s="71">
        <v>0</v>
      </c>
      <c r="FP26" s="71">
        <v>0</v>
      </c>
      <c r="FQ26" s="71">
        <v>0</v>
      </c>
      <c r="FR26" s="71">
        <v>0</v>
      </c>
      <c r="FS26" s="71">
        <v>0</v>
      </c>
      <c r="FT26" s="71">
        <v>0</v>
      </c>
      <c r="FU26" s="71">
        <v>0</v>
      </c>
      <c r="FV26" s="71">
        <v>0</v>
      </c>
      <c r="FW26" s="71">
        <v>0</v>
      </c>
      <c r="FX26" s="71">
        <v>0</v>
      </c>
      <c r="FY26" s="71">
        <v>0</v>
      </c>
      <c r="FZ26" s="71">
        <v>0</v>
      </c>
      <c r="GA26" s="71">
        <v>0</v>
      </c>
      <c r="GB26" s="71">
        <v>0</v>
      </c>
      <c r="GC26" s="71">
        <v>0</v>
      </c>
      <c r="GD26" s="71">
        <v>0</v>
      </c>
      <c r="GE26" s="71">
        <v>0</v>
      </c>
      <c r="GF26" s="71">
        <v>0</v>
      </c>
      <c r="GG26" s="71">
        <v>1808</v>
      </c>
      <c r="GH26" s="71">
        <v>6389</v>
      </c>
      <c r="GI26" s="71">
        <v>20088</v>
      </c>
      <c r="GJ26" s="71">
        <v>7312</v>
      </c>
      <c r="GK26" s="71">
        <v>0</v>
      </c>
      <c r="GL26" s="71">
        <v>0</v>
      </c>
      <c r="GM26" s="71">
        <v>9040</v>
      </c>
      <c r="GN26" s="71">
        <v>0</v>
      </c>
      <c r="GO26" s="71">
        <v>26872</v>
      </c>
      <c r="GP26" s="71">
        <v>0</v>
      </c>
      <c r="GQ26" s="71">
        <v>241</v>
      </c>
      <c r="GR26" s="71">
        <v>43190</v>
      </c>
      <c r="GS26" s="71">
        <v>1446</v>
      </c>
      <c r="GT26" s="71">
        <v>34551</v>
      </c>
      <c r="GU26" s="71">
        <v>0</v>
      </c>
      <c r="GV26" s="71">
        <v>4018</v>
      </c>
      <c r="GW26" s="71">
        <v>0</v>
      </c>
      <c r="GX26" s="71">
        <v>41692</v>
      </c>
      <c r="GY26" s="71">
        <v>13981</v>
      </c>
      <c r="GZ26" s="71">
        <v>0</v>
      </c>
      <c r="HA26" s="71">
        <v>241</v>
      </c>
      <c r="HB26" s="71">
        <v>0</v>
      </c>
      <c r="HC26" s="71">
        <v>76174</v>
      </c>
      <c r="HD26" s="71">
        <v>241</v>
      </c>
      <c r="HE26" s="71">
        <v>20088</v>
      </c>
      <c r="HF26" s="71">
        <v>10446</v>
      </c>
      <c r="HG26" s="71">
        <v>0</v>
      </c>
      <c r="HH26" s="71">
        <v>10394</v>
      </c>
      <c r="HI26" s="71">
        <v>15915</v>
      </c>
      <c r="HJ26" s="71">
        <v>344126</v>
      </c>
      <c r="HK26" s="71">
        <v>1703</v>
      </c>
      <c r="HL26" s="71">
        <v>10397</v>
      </c>
      <c r="HM26" s="71">
        <v>35641</v>
      </c>
      <c r="HN26" s="71">
        <v>5271</v>
      </c>
      <c r="HO26" s="71">
        <v>0</v>
      </c>
      <c r="HP26" s="71">
        <v>0</v>
      </c>
      <c r="HQ26" s="71">
        <v>5150</v>
      </c>
      <c r="HR26" s="71">
        <v>0</v>
      </c>
      <c r="HS26" s="71">
        <v>141222</v>
      </c>
      <c r="HT26" s="71">
        <v>0</v>
      </c>
      <c r="HU26" s="71">
        <v>0</v>
      </c>
      <c r="HV26" s="71">
        <v>28265</v>
      </c>
      <c r="HW26" s="71">
        <v>0</v>
      </c>
      <c r="HX26" s="71">
        <v>22076</v>
      </c>
      <c r="HY26" s="71">
        <v>0</v>
      </c>
      <c r="HZ26" s="71">
        <v>0</v>
      </c>
      <c r="IA26" s="71">
        <v>0</v>
      </c>
      <c r="IB26" s="71">
        <v>30639</v>
      </c>
      <c r="IC26" s="71">
        <v>9112</v>
      </c>
      <c r="ID26" s="71">
        <v>0</v>
      </c>
      <c r="IE26" s="71">
        <v>0</v>
      </c>
      <c r="IF26" s="71">
        <v>0</v>
      </c>
      <c r="IG26" s="71">
        <v>3326</v>
      </c>
      <c r="IH26" s="71">
        <v>0</v>
      </c>
      <c r="II26" s="71">
        <v>8213</v>
      </c>
      <c r="IJ26" s="71">
        <v>7832</v>
      </c>
      <c r="IK26" s="71">
        <v>0</v>
      </c>
      <c r="IL26" s="71">
        <v>7963</v>
      </c>
      <c r="IM26" s="71">
        <v>8300</v>
      </c>
      <c r="IN26" s="71">
        <v>325110</v>
      </c>
      <c r="IO26" s="71">
        <v>3511</v>
      </c>
      <c r="IP26" s="71">
        <v>16786</v>
      </c>
      <c r="IQ26" s="71">
        <v>55729</v>
      </c>
      <c r="IR26" s="71">
        <v>12583</v>
      </c>
      <c r="IS26" s="71">
        <v>0</v>
      </c>
      <c r="IT26" s="71">
        <v>0</v>
      </c>
      <c r="IU26" s="71">
        <v>14190</v>
      </c>
      <c r="IV26" s="71">
        <v>0</v>
      </c>
      <c r="IW26" s="71">
        <v>168094</v>
      </c>
      <c r="IX26" s="71">
        <v>0</v>
      </c>
      <c r="IY26" s="71">
        <v>241</v>
      </c>
      <c r="IZ26" s="71">
        <v>71455</v>
      </c>
      <c r="JA26" s="71">
        <v>1446</v>
      </c>
      <c r="JB26" s="71">
        <v>56627</v>
      </c>
      <c r="JC26" s="71">
        <v>0</v>
      </c>
      <c r="JD26" s="71">
        <v>4018</v>
      </c>
      <c r="JE26" s="71">
        <v>0</v>
      </c>
      <c r="JF26" s="71">
        <v>72331</v>
      </c>
      <c r="JG26" s="71">
        <v>23093</v>
      </c>
      <c r="JH26" s="71">
        <v>0</v>
      </c>
      <c r="JI26" s="71">
        <v>241</v>
      </c>
      <c r="JJ26" s="71">
        <v>0</v>
      </c>
      <c r="JK26" s="71">
        <v>79500</v>
      </c>
      <c r="JL26" s="71">
        <v>241</v>
      </c>
      <c r="JM26" s="71">
        <v>28301</v>
      </c>
      <c r="JN26" s="71">
        <v>18278</v>
      </c>
      <c r="JO26" s="71">
        <v>0</v>
      </c>
      <c r="JP26" s="71">
        <v>18357</v>
      </c>
      <c r="JQ26" s="71">
        <v>24215</v>
      </c>
      <c r="JR26" s="71">
        <v>669236</v>
      </c>
      <c r="JS26" s="71">
        <v>14761</v>
      </c>
      <c r="JT26" s="71">
        <v>56544</v>
      </c>
      <c r="JU26" s="71">
        <v>180729</v>
      </c>
      <c r="JV26" s="71">
        <v>58083</v>
      </c>
      <c r="JW26" s="71">
        <v>0</v>
      </c>
      <c r="JX26" s="71">
        <v>0</v>
      </c>
      <c r="JY26" s="71">
        <v>70440</v>
      </c>
      <c r="JZ26" s="71">
        <v>0</v>
      </c>
      <c r="KA26" s="71">
        <v>335307</v>
      </c>
      <c r="KB26" s="71">
        <v>0</v>
      </c>
      <c r="KC26" s="71">
        <v>1741</v>
      </c>
      <c r="KD26" s="71">
        <v>340212</v>
      </c>
      <c r="KE26" s="71">
        <v>10446</v>
      </c>
      <c r="KF26" s="71">
        <v>271627</v>
      </c>
      <c r="KG26" s="71">
        <v>0</v>
      </c>
      <c r="KH26" s="71">
        <v>29018</v>
      </c>
      <c r="KI26" s="71">
        <v>0</v>
      </c>
      <c r="KJ26" s="71">
        <v>331762</v>
      </c>
      <c r="KK26" s="71">
        <v>110093</v>
      </c>
      <c r="KL26" s="71">
        <v>0</v>
      </c>
      <c r="KM26" s="71">
        <v>1741</v>
      </c>
      <c r="KN26" s="71">
        <v>0</v>
      </c>
      <c r="KO26" s="71">
        <v>553500</v>
      </c>
      <c r="KP26" s="71">
        <v>1741</v>
      </c>
      <c r="KQ26" s="71">
        <v>153301</v>
      </c>
      <c r="KR26" s="71">
        <v>83278</v>
      </c>
      <c r="KS26" s="71">
        <v>0</v>
      </c>
      <c r="KT26" s="71">
        <v>83032</v>
      </c>
      <c r="KU26" s="71">
        <v>123245</v>
      </c>
      <c r="KV26" s="71">
        <v>2810600</v>
      </c>
      <c r="KW26" s="71" t="s">
        <v>1070</v>
      </c>
      <c r="KX26" s="71">
        <v>4578437</v>
      </c>
      <c r="KY26" s="71">
        <v>670634</v>
      </c>
      <c r="KZ26" s="71">
        <v>5249071</v>
      </c>
      <c r="LA26" s="71">
        <v>0</v>
      </c>
      <c r="LB26" s="71">
        <v>49737</v>
      </c>
    </row>
    <row r="27" spans="1:314" x14ac:dyDescent="0.25">
      <c r="A27" s="71" t="s">
        <v>390</v>
      </c>
      <c r="B27" s="71" t="s">
        <v>1170</v>
      </c>
      <c r="C27" s="160" t="s">
        <v>1345</v>
      </c>
      <c r="D27" s="71" t="s">
        <v>1368</v>
      </c>
      <c r="E27" s="2">
        <v>41292.607824074075</v>
      </c>
      <c r="F27" s="71"/>
      <c r="G27" s="71" t="s">
        <v>391</v>
      </c>
      <c r="H27" s="71" t="s">
        <v>1171</v>
      </c>
      <c r="I27" s="71" t="s">
        <v>1172</v>
      </c>
      <c r="J27" s="71" t="s">
        <v>1173</v>
      </c>
      <c r="K27" s="71" t="s">
        <v>1174</v>
      </c>
      <c r="L27" s="71">
        <v>0</v>
      </c>
      <c r="M27" s="71">
        <v>0</v>
      </c>
      <c r="N27" s="71">
        <v>0</v>
      </c>
      <c r="O27" s="71">
        <v>239268245</v>
      </c>
      <c r="P27" s="71">
        <v>0</v>
      </c>
      <c r="Q27" s="71">
        <v>9807691</v>
      </c>
      <c r="R27" s="71">
        <v>0</v>
      </c>
      <c r="S27" s="71">
        <v>9807691</v>
      </c>
      <c r="T27" s="71">
        <v>27028060</v>
      </c>
      <c r="U27" s="71">
        <v>16835868</v>
      </c>
      <c r="V27" s="71">
        <v>12976863</v>
      </c>
      <c r="W27" s="71">
        <v>0</v>
      </c>
      <c r="X27" s="71">
        <v>0</v>
      </c>
      <c r="Y27" s="71">
        <v>0</v>
      </c>
      <c r="Z27" s="71">
        <v>56840791</v>
      </c>
      <c r="AA27" s="71">
        <v>17154886</v>
      </c>
      <c r="AB27" s="71">
        <v>4576125</v>
      </c>
      <c r="AC27" s="71">
        <v>5221054</v>
      </c>
      <c r="AD27" s="71">
        <v>0</v>
      </c>
      <c r="AE27" s="71">
        <v>299917</v>
      </c>
      <c r="AF27" s="71">
        <v>4862129</v>
      </c>
      <c r="AG27" s="71">
        <v>32114111</v>
      </c>
      <c r="AH27" s="71">
        <v>44182946</v>
      </c>
      <c r="AI27" s="71">
        <v>21411993</v>
      </c>
      <c r="AJ27" s="71">
        <v>18197917</v>
      </c>
      <c r="AK27" s="71">
        <v>0</v>
      </c>
      <c r="AL27" s="71">
        <v>299917</v>
      </c>
      <c r="AM27" s="71">
        <v>4862129</v>
      </c>
      <c r="AN27" s="71">
        <v>88954902</v>
      </c>
      <c r="AO27" s="71">
        <v>0</v>
      </c>
      <c r="AP27" s="71">
        <v>0</v>
      </c>
      <c r="AQ27" s="71">
        <v>184665</v>
      </c>
      <c r="AR27" s="71">
        <v>0</v>
      </c>
      <c r="AS27" s="71">
        <v>184665</v>
      </c>
      <c r="AT27" s="71">
        <v>0</v>
      </c>
      <c r="AU27" s="71">
        <v>0</v>
      </c>
      <c r="AV27" s="71">
        <v>38688</v>
      </c>
      <c r="AW27" s="71">
        <v>0</v>
      </c>
      <c r="AX27" s="71">
        <v>38688</v>
      </c>
      <c r="AY27" s="71">
        <v>0</v>
      </c>
      <c r="AZ27" s="71">
        <v>0</v>
      </c>
      <c r="BA27" s="71">
        <v>223353</v>
      </c>
      <c r="BB27" s="71">
        <v>0</v>
      </c>
      <c r="BC27" s="71">
        <v>223353</v>
      </c>
      <c r="BD27" s="71">
        <v>7767463</v>
      </c>
      <c r="BE27" s="71">
        <v>0</v>
      </c>
      <c r="BF27" s="71">
        <v>0</v>
      </c>
      <c r="BG27" s="71">
        <v>0</v>
      </c>
      <c r="BH27" s="71">
        <v>0</v>
      </c>
      <c r="BI27" s="71">
        <v>7767463</v>
      </c>
      <c r="BJ27" s="71">
        <v>0</v>
      </c>
      <c r="BK27" s="71">
        <v>0</v>
      </c>
      <c r="BL27" s="71">
        <v>3040338</v>
      </c>
      <c r="BM27" s="71">
        <v>0</v>
      </c>
      <c r="BN27" s="71">
        <v>0</v>
      </c>
      <c r="BO27" s="71">
        <v>3040338</v>
      </c>
      <c r="BP27" s="71">
        <v>17336746</v>
      </c>
      <c r="BQ27" s="71">
        <v>6664706</v>
      </c>
      <c r="BR27" s="71">
        <v>0</v>
      </c>
      <c r="BS27" s="71">
        <v>0</v>
      </c>
      <c r="BT27" s="71">
        <v>0</v>
      </c>
      <c r="BU27" s="71">
        <v>24001452</v>
      </c>
      <c r="BV27" s="71">
        <v>25104209</v>
      </c>
      <c r="BW27" s="71">
        <v>6664706</v>
      </c>
      <c r="BX27" s="71">
        <v>3040338</v>
      </c>
      <c r="BY27" s="71">
        <v>0</v>
      </c>
      <c r="BZ27" s="71">
        <v>0</v>
      </c>
      <c r="CA27" s="71">
        <v>34809253</v>
      </c>
      <c r="CB27" s="71">
        <v>0</v>
      </c>
      <c r="CC27" s="71">
        <v>0</v>
      </c>
      <c r="CD27" s="71">
        <v>0</v>
      </c>
      <c r="CE27" s="71">
        <v>0</v>
      </c>
      <c r="CF27" s="71">
        <v>0</v>
      </c>
      <c r="CG27" s="71">
        <v>0</v>
      </c>
      <c r="CH27" s="71">
        <v>0</v>
      </c>
      <c r="CI27" s="71">
        <v>0</v>
      </c>
      <c r="CJ27" s="71">
        <v>0</v>
      </c>
      <c r="CK27" s="71">
        <v>0</v>
      </c>
      <c r="CL27" s="71">
        <v>0</v>
      </c>
      <c r="CM27" s="71">
        <v>0</v>
      </c>
      <c r="CN27" s="71">
        <v>0</v>
      </c>
      <c r="CO27" s="71">
        <v>0</v>
      </c>
      <c r="CP27" s="71">
        <v>0</v>
      </c>
      <c r="CQ27" s="71">
        <v>0</v>
      </c>
      <c r="CR27" s="71" t="s">
        <v>390</v>
      </c>
      <c r="CS27" s="71">
        <v>12918160</v>
      </c>
      <c r="CT27" s="71">
        <v>0</v>
      </c>
      <c r="CU27" s="71">
        <v>88855</v>
      </c>
      <c r="CV27" s="71">
        <v>168013</v>
      </c>
      <c r="CW27" s="71">
        <v>2652208</v>
      </c>
      <c r="CX27" s="71">
        <v>986266</v>
      </c>
      <c r="CY27" s="71">
        <v>13328</v>
      </c>
      <c r="CZ27" s="71">
        <v>290715</v>
      </c>
      <c r="DA27" s="71">
        <v>778512</v>
      </c>
      <c r="DB27" s="71">
        <v>57269</v>
      </c>
      <c r="DC27" s="71">
        <v>597664</v>
      </c>
      <c r="DD27" s="71">
        <v>29760</v>
      </c>
      <c r="DE27" s="71">
        <v>325157</v>
      </c>
      <c r="DF27" s="71">
        <v>2916711</v>
      </c>
      <c r="DG27" s="71">
        <v>819776</v>
      </c>
      <c r="DH27" s="71">
        <v>583044</v>
      </c>
      <c r="DI27" s="71">
        <v>0</v>
      </c>
      <c r="DJ27" s="71">
        <v>787317</v>
      </c>
      <c r="DK27" s="71">
        <v>48784</v>
      </c>
      <c r="DL27" s="71">
        <v>224528</v>
      </c>
      <c r="DM27" s="71">
        <v>1411724</v>
      </c>
      <c r="DN27" s="71">
        <v>241481</v>
      </c>
      <c r="DO27" s="71">
        <v>234299</v>
      </c>
      <c r="DP27" s="71">
        <v>73453</v>
      </c>
      <c r="DQ27" s="71">
        <v>727248</v>
      </c>
      <c r="DR27" s="71">
        <v>532171</v>
      </c>
      <c r="DS27" s="71">
        <v>4096802</v>
      </c>
      <c r="DT27" s="71">
        <v>1227440</v>
      </c>
      <c r="DU27" s="71">
        <v>0</v>
      </c>
      <c r="DV27" s="71">
        <v>2027904</v>
      </c>
      <c r="DW27" s="71">
        <v>1552928</v>
      </c>
      <c r="DX27" s="71">
        <v>23493357</v>
      </c>
      <c r="DY27" s="71">
        <v>115581</v>
      </c>
      <c r="DZ27" s="71">
        <v>732510</v>
      </c>
      <c r="EA27" s="71">
        <v>8532226</v>
      </c>
      <c r="EB27" s="71">
        <v>3374037</v>
      </c>
      <c r="EC27" s="71">
        <v>74391</v>
      </c>
      <c r="ED27" s="71">
        <v>823364</v>
      </c>
      <c r="EE27" s="71">
        <v>4211763</v>
      </c>
      <c r="EF27" s="71">
        <v>189971</v>
      </c>
      <c r="EG27" s="71">
        <v>1426122</v>
      </c>
      <c r="EH27" s="71">
        <v>248460</v>
      </c>
      <c r="EI27" s="71">
        <v>1254174</v>
      </c>
      <c r="EJ27" s="71">
        <v>8724388</v>
      </c>
      <c r="EK27" s="71">
        <v>2130332</v>
      </c>
      <c r="EL27" s="71">
        <v>3843093</v>
      </c>
      <c r="EM27" s="71">
        <v>0</v>
      </c>
      <c r="EN27" s="71">
        <v>2824239</v>
      </c>
      <c r="EO27" s="71">
        <v>320898</v>
      </c>
      <c r="EP27" s="71">
        <v>1629911</v>
      </c>
      <c r="EQ27" s="71">
        <v>3766983</v>
      </c>
      <c r="ER27" s="71">
        <v>879918</v>
      </c>
      <c r="ES27" s="71">
        <v>738699</v>
      </c>
      <c r="ET27" s="71">
        <v>127151</v>
      </c>
      <c r="EU27" s="71">
        <v>2838827</v>
      </c>
      <c r="EV27" s="71">
        <v>1646430</v>
      </c>
      <c r="EW27" s="71">
        <v>11500463</v>
      </c>
      <c r="EX27" s="71">
        <v>4647967</v>
      </c>
      <c r="EY27" s="71">
        <v>0</v>
      </c>
      <c r="EZ27" s="71">
        <v>5584127</v>
      </c>
      <c r="FA27" s="71">
        <v>4777322</v>
      </c>
      <c r="FB27" s="71">
        <v>76963347</v>
      </c>
      <c r="FC27" s="71">
        <v>35157</v>
      </c>
      <c r="FD27" s="71">
        <v>2100</v>
      </c>
      <c r="FE27" s="71">
        <v>989091</v>
      </c>
      <c r="FF27" s="71">
        <v>336643</v>
      </c>
      <c r="FG27" s="71">
        <v>0</v>
      </c>
      <c r="FH27" s="71">
        <v>232216</v>
      </c>
      <c r="FI27" s="71">
        <v>442079</v>
      </c>
      <c r="FJ27" s="71">
        <v>3455</v>
      </c>
      <c r="FK27" s="71">
        <v>703439</v>
      </c>
      <c r="FL27" s="71">
        <v>32566</v>
      </c>
      <c r="FM27" s="71">
        <v>282740</v>
      </c>
      <c r="FN27" s="71">
        <v>1440270</v>
      </c>
      <c r="FO27" s="71">
        <v>425709</v>
      </c>
      <c r="FP27" s="71">
        <v>1261542</v>
      </c>
      <c r="FQ27" s="71">
        <v>0</v>
      </c>
      <c r="FR27" s="71">
        <v>374107</v>
      </c>
      <c r="FS27" s="71">
        <v>0</v>
      </c>
      <c r="FT27" s="71">
        <v>46915</v>
      </c>
      <c r="FU27" s="71">
        <v>467245</v>
      </c>
      <c r="FV27" s="71">
        <v>139514</v>
      </c>
      <c r="FW27" s="71">
        <v>58651</v>
      </c>
      <c r="FX27" s="71">
        <v>636</v>
      </c>
      <c r="FY27" s="71">
        <v>199344</v>
      </c>
      <c r="FZ27" s="71">
        <v>150040</v>
      </c>
      <c r="GA27" s="71">
        <v>273150</v>
      </c>
      <c r="GB27" s="71">
        <v>655938</v>
      </c>
      <c r="GC27" s="71">
        <v>0</v>
      </c>
      <c r="GD27" s="71">
        <v>398005</v>
      </c>
      <c r="GE27" s="71">
        <v>447322</v>
      </c>
      <c r="GF27" s="71">
        <v>9397874</v>
      </c>
      <c r="GG27" s="71">
        <v>22548</v>
      </c>
      <c r="GH27" s="71">
        <v>109885</v>
      </c>
      <c r="GI27" s="71">
        <v>1424226</v>
      </c>
      <c r="GJ27" s="71">
        <v>555054</v>
      </c>
      <c r="GK27" s="71">
        <v>11128</v>
      </c>
      <c r="GL27" s="71">
        <v>157897</v>
      </c>
      <c r="GM27" s="71">
        <v>696135</v>
      </c>
      <c r="GN27" s="71">
        <v>28933</v>
      </c>
      <c r="GO27" s="71">
        <v>318546</v>
      </c>
      <c r="GP27" s="71">
        <v>42037</v>
      </c>
      <c r="GQ27" s="71">
        <v>229896</v>
      </c>
      <c r="GR27" s="71">
        <v>1520459</v>
      </c>
      <c r="GS27" s="71">
        <v>382340</v>
      </c>
      <c r="GT27" s="71">
        <v>763566</v>
      </c>
      <c r="GU27" s="71">
        <v>0</v>
      </c>
      <c r="GV27" s="71">
        <v>478418</v>
      </c>
      <c r="GW27" s="71">
        <v>48001</v>
      </c>
      <c r="GX27" s="71">
        <v>250824</v>
      </c>
      <c r="GY27" s="71">
        <v>633368</v>
      </c>
      <c r="GZ27" s="71">
        <v>152490</v>
      </c>
      <c r="HA27" s="71">
        <v>119270</v>
      </c>
      <c r="HB27" s="71">
        <v>19115</v>
      </c>
      <c r="HC27" s="71">
        <v>454458</v>
      </c>
      <c r="HD27" s="71">
        <v>268721</v>
      </c>
      <c r="HE27" s="71">
        <v>1761131</v>
      </c>
      <c r="HF27" s="71">
        <v>793373</v>
      </c>
      <c r="HG27" s="71">
        <v>0</v>
      </c>
      <c r="HH27" s="71">
        <v>894825</v>
      </c>
      <c r="HI27" s="71">
        <v>781517</v>
      </c>
      <c r="HJ27" s="71">
        <v>12918160</v>
      </c>
      <c r="HK27" s="71">
        <v>32688</v>
      </c>
      <c r="HL27" s="71">
        <v>141332</v>
      </c>
      <c r="HM27" s="71">
        <v>1127829</v>
      </c>
      <c r="HN27" s="71">
        <v>591352</v>
      </c>
      <c r="HO27" s="71">
        <v>339512</v>
      </c>
      <c r="HP27" s="71">
        <v>136732</v>
      </c>
      <c r="HQ27" s="71">
        <v>691491</v>
      </c>
      <c r="HR27" s="71">
        <v>67404</v>
      </c>
      <c r="HS27" s="71">
        <v>231201</v>
      </c>
      <c r="HT27" s="71">
        <v>28904</v>
      </c>
      <c r="HU27" s="71">
        <v>439881</v>
      </c>
      <c r="HV27" s="71">
        <v>1130110</v>
      </c>
      <c r="HW27" s="71">
        <v>374119</v>
      </c>
      <c r="HX27" s="71">
        <v>1078128</v>
      </c>
      <c r="HY27" s="71">
        <v>0</v>
      </c>
      <c r="HZ27" s="71">
        <v>815788</v>
      </c>
      <c r="IA27" s="71">
        <v>97334</v>
      </c>
      <c r="IB27" s="71">
        <v>161288</v>
      </c>
      <c r="IC27" s="71">
        <v>744055</v>
      </c>
      <c r="ID27" s="71">
        <v>212071</v>
      </c>
      <c r="IE27" s="71">
        <v>135963</v>
      </c>
      <c r="IF27" s="71">
        <v>10315</v>
      </c>
      <c r="IG27" s="71">
        <v>419147</v>
      </c>
      <c r="IH27" s="71">
        <v>258119</v>
      </c>
      <c r="II27" s="71">
        <v>933523</v>
      </c>
      <c r="IJ27" s="71">
        <v>779052</v>
      </c>
      <c r="IK27" s="71">
        <v>0</v>
      </c>
      <c r="IL27" s="71">
        <v>33765</v>
      </c>
      <c r="IM27" s="71">
        <v>44691</v>
      </c>
      <c r="IN27" s="71">
        <v>11055794</v>
      </c>
      <c r="IO27" s="71">
        <v>90393</v>
      </c>
      <c r="IP27" s="71">
        <v>253317</v>
      </c>
      <c r="IQ27" s="71">
        <v>3541146</v>
      </c>
      <c r="IR27" s="71">
        <v>1483049</v>
      </c>
      <c r="IS27" s="71">
        <v>350640</v>
      </c>
      <c r="IT27" s="71">
        <v>526845</v>
      </c>
      <c r="IU27" s="71">
        <v>1829705</v>
      </c>
      <c r="IV27" s="71">
        <v>99792</v>
      </c>
      <c r="IW27" s="71">
        <v>1253186</v>
      </c>
      <c r="IX27" s="71">
        <v>103507</v>
      </c>
      <c r="IY27" s="71">
        <v>952517</v>
      </c>
      <c r="IZ27" s="71">
        <v>4090839</v>
      </c>
      <c r="JA27" s="71">
        <v>1182168</v>
      </c>
      <c r="JB27" s="71">
        <v>3103236</v>
      </c>
      <c r="JC27" s="71">
        <v>0</v>
      </c>
      <c r="JD27" s="71">
        <v>1668313</v>
      </c>
      <c r="JE27" s="71">
        <v>145335</v>
      </c>
      <c r="JF27" s="71">
        <v>459027</v>
      </c>
      <c r="JG27" s="71">
        <v>1844668</v>
      </c>
      <c r="JH27" s="71">
        <v>504075</v>
      </c>
      <c r="JI27" s="71">
        <v>313884</v>
      </c>
      <c r="JJ27" s="71">
        <v>30066</v>
      </c>
      <c r="JK27" s="71">
        <v>1072949</v>
      </c>
      <c r="JL27" s="71">
        <v>676880</v>
      </c>
      <c r="JM27" s="71">
        <v>2967804</v>
      </c>
      <c r="JN27" s="71">
        <v>2228363</v>
      </c>
      <c r="JO27" s="71">
        <v>0</v>
      </c>
      <c r="JP27" s="71">
        <v>1326595</v>
      </c>
      <c r="JQ27" s="71">
        <v>1273530</v>
      </c>
      <c r="JR27" s="71">
        <v>33371828</v>
      </c>
      <c r="JS27" s="71">
        <v>205974</v>
      </c>
      <c r="JT27" s="71">
        <v>985827</v>
      </c>
      <c r="JU27" s="71">
        <v>12073372</v>
      </c>
      <c r="JV27" s="71">
        <v>4857086</v>
      </c>
      <c r="JW27" s="71">
        <v>425031</v>
      </c>
      <c r="JX27" s="71">
        <v>1350209</v>
      </c>
      <c r="JY27" s="71">
        <v>6041468</v>
      </c>
      <c r="JZ27" s="71">
        <v>289763</v>
      </c>
      <c r="KA27" s="71">
        <v>2679308</v>
      </c>
      <c r="KB27" s="71">
        <v>351967</v>
      </c>
      <c r="KC27" s="71">
        <v>2206691</v>
      </c>
      <c r="KD27" s="71">
        <v>12815227</v>
      </c>
      <c r="KE27" s="71">
        <v>3312500</v>
      </c>
      <c r="KF27" s="71">
        <v>6946329</v>
      </c>
      <c r="KG27" s="71">
        <v>0</v>
      </c>
      <c r="KH27" s="71">
        <v>4492552</v>
      </c>
      <c r="KI27" s="71">
        <v>466233</v>
      </c>
      <c r="KJ27" s="71">
        <v>2088938</v>
      </c>
      <c r="KK27" s="71">
        <v>5611651</v>
      </c>
      <c r="KL27" s="71">
        <v>1383993</v>
      </c>
      <c r="KM27" s="71">
        <v>1052583</v>
      </c>
      <c r="KN27" s="71">
        <v>157217</v>
      </c>
      <c r="KO27" s="71">
        <v>3911776</v>
      </c>
      <c r="KP27" s="71">
        <v>2323310</v>
      </c>
      <c r="KQ27" s="71">
        <v>14468267</v>
      </c>
      <c r="KR27" s="71">
        <v>6876330</v>
      </c>
      <c r="KS27" s="71">
        <v>0</v>
      </c>
      <c r="KT27" s="71">
        <v>6910722</v>
      </c>
      <c r="KU27" s="71">
        <v>6050852</v>
      </c>
      <c r="KV27" s="71">
        <v>110335175</v>
      </c>
      <c r="KW27" s="71" t="s">
        <v>1070</v>
      </c>
      <c r="KX27" s="71">
        <v>209097768</v>
      </c>
      <c r="KY27" s="71">
        <v>35032606</v>
      </c>
      <c r="KZ27" s="71">
        <v>244130374</v>
      </c>
      <c r="LA27" s="71">
        <v>0</v>
      </c>
      <c r="LB27" s="71">
        <v>4862129</v>
      </c>
    </row>
    <row r="28" spans="1:314" x14ac:dyDescent="0.25">
      <c r="A28" s="71" t="s">
        <v>392</v>
      </c>
      <c r="B28" s="71" t="s">
        <v>1175</v>
      </c>
      <c r="C28" s="160" t="s">
        <v>1345</v>
      </c>
      <c r="D28" s="71" t="s">
        <v>1420</v>
      </c>
      <c r="E28" s="2">
        <v>41305.633993055555</v>
      </c>
      <c r="F28" s="71"/>
      <c r="G28" s="71" t="s">
        <v>393</v>
      </c>
      <c r="H28" s="71" t="s">
        <v>1176</v>
      </c>
      <c r="I28" s="71" t="s">
        <v>1102</v>
      </c>
      <c r="J28" s="71" t="s">
        <v>1177</v>
      </c>
      <c r="K28" s="71" t="s">
        <v>1178</v>
      </c>
      <c r="L28" s="71">
        <v>0</v>
      </c>
      <c r="M28" s="71">
        <v>0</v>
      </c>
      <c r="N28" s="71">
        <v>0</v>
      </c>
      <c r="O28" s="71">
        <v>128836316</v>
      </c>
      <c r="P28" s="71">
        <v>0</v>
      </c>
      <c r="Q28" s="71">
        <v>3896995</v>
      </c>
      <c r="R28" s="71">
        <v>0</v>
      </c>
      <c r="S28" s="71">
        <v>3896995</v>
      </c>
      <c r="T28" s="71">
        <v>13550542</v>
      </c>
      <c r="U28" s="71">
        <v>8287238</v>
      </c>
      <c r="V28" s="71">
        <v>7166024</v>
      </c>
      <c r="W28" s="71">
        <v>0</v>
      </c>
      <c r="X28" s="71">
        <v>0</v>
      </c>
      <c r="Y28" s="71">
        <v>0</v>
      </c>
      <c r="Z28" s="71">
        <v>29003804</v>
      </c>
      <c r="AA28" s="71">
        <v>14148867</v>
      </c>
      <c r="AB28" s="71">
        <v>1598200</v>
      </c>
      <c r="AC28" s="71">
        <v>1538399</v>
      </c>
      <c r="AD28" s="71">
        <v>0</v>
      </c>
      <c r="AE28" s="71">
        <v>0</v>
      </c>
      <c r="AF28" s="71">
        <v>3239303</v>
      </c>
      <c r="AG28" s="71">
        <v>20524769</v>
      </c>
      <c r="AH28" s="71">
        <v>27699409</v>
      </c>
      <c r="AI28" s="71">
        <v>9885438</v>
      </c>
      <c r="AJ28" s="71">
        <v>8704423</v>
      </c>
      <c r="AK28" s="71">
        <v>0</v>
      </c>
      <c r="AL28" s="71">
        <v>0</v>
      </c>
      <c r="AM28" s="71">
        <v>3239303</v>
      </c>
      <c r="AN28" s="71">
        <v>49528573</v>
      </c>
      <c r="AO28" s="71">
        <v>294080</v>
      </c>
      <c r="AP28" s="71">
        <v>0</v>
      </c>
      <c r="AQ28" s="71">
        <v>1965601</v>
      </c>
      <c r="AR28" s="71">
        <v>0</v>
      </c>
      <c r="AS28" s="71">
        <v>2259681</v>
      </c>
      <c r="AT28" s="71">
        <v>569862</v>
      </c>
      <c r="AU28" s="71">
        <v>0</v>
      </c>
      <c r="AV28" s="71">
        <v>1630556</v>
      </c>
      <c r="AW28" s="71">
        <v>0</v>
      </c>
      <c r="AX28" s="71">
        <v>2200418</v>
      </c>
      <c r="AY28" s="71">
        <v>863942</v>
      </c>
      <c r="AZ28" s="71">
        <v>0</v>
      </c>
      <c r="BA28" s="71">
        <v>3596157</v>
      </c>
      <c r="BB28" s="71">
        <v>0</v>
      </c>
      <c r="BC28" s="71">
        <v>4460099</v>
      </c>
      <c r="BD28" s="71">
        <v>3124692</v>
      </c>
      <c r="BE28" s="71">
        <v>0</v>
      </c>
      <c r="BF28" s="71">
        <v>0</v>
      </c>
      <c r="BG28" s="71">
        <v>0</v>
      </c>
      <c r="BH28" s="71">
        <v>0</v>
      </c>
      <c r="BI28" s="71">
        <v>3124692</v>
      </c>
      <c r="BJ28" s="71">
        <v>0</v>
      </c>
      <c r="BK28" s="71">
        <v>0</v>
      </c>
      <c r="BL28" s="71">
        <v>2154672</v>
      </c>
      <c r="BM28" s="71">
        <v>0</v>
      </c>
      <c r="BN28" s="71">
        <v>0</v>
      </c>
      <c r="BO28" s="71">
        <v>2154672</v>
      </c>
      <c r="BP28" s="71">
        <v>11888943</v>
      </c>
      <c r="BQ28" s="71">
        <v>0</v>
      </c>
      <c r="BR28" s="71">
        <v>0</v>
      </c>
      <c r="BS28" s="71">
        <v>0</v>
      </c>
      <c r="BT28" s="71">
        <v>0</v>
      </c>
      <c r="BU28" s="71">
        <v>11888943</v>
      </c>
      <c r="BV28" s="71">
        <v>15013635</v>
      </c>
      <c r="BW28" s="71">
        <v>0</v>
      </c>
      <c r="BX28" s="71">
        <v>2154672</v>
      </c>
      <c r="BY28" s="71">
        <v>0</v>
      </c>
      <c r="BZ28" s="71">
        <v>0</v>
      </c>
      <c r="CA28" s="71">
        <v>17168307</v>
      </c>
      <c r="CB28" s="71">
        <v>0</v>
      </c>
      <c r="CC28" s="71">
        <v>0</v>
      </c>
      <c r="CD28" s="71">
        <v>0</v>
      </c>
      <c r="CE28" s="71">
        <v>0</v>
      </c>
      <c r="CF28" s="71">
        <v>0</v>
      </c>
      <c r="CG28" s="71">
        <v>0</v>
      </c>
      <c r="CH28" s="71">
        <v>0</v>
      </c>
      <c r="CI28" s="71">
        <v>0</v>
      </c>
      <c r="CJ28" s="71">
        <v>0</v>
      </c>
      <c r="CK28" s="71">
        <v>0</v>
      </c>
      <c r="CL28" s="71">
        <v>0</v>
      </c>
      <c r="CM28" s="71">
        <v>0</v>
      </c>
      <c r="CN28" s="71">
        <v>0</v>
      </c>
      <c r="CO28" s="71">
        <v>0</v>
      </c>
      <c r="CP28" s="71">
        <v>0</v>
      </c>
      <c r="CQ28" s="71">
        <v>0</v>
      </c>
      <c r="CR28" s="71" t="s">
        <v>392</v>
      </c>
      <c r="CS28" s="71">
        <v>5428661</v>
      </c>
      <c r="CT28" s="71">
        <v>0</v>
      </c>
      <c r="CU28" s="71">
        <v>17136</v>
      </c>
      <c r="CV28" s="71">
        <v>273242</v>
      </c>
      <c r="CW28" s="71">
        <v>1739016</v>
      </c>
      <c r="CX28" s="71">
        <v>784093</v>
      </c>
      <c r="CY28" s="71">
        <v>35936</v>
      </c>
      <c r="CZ28" s="71">
        <v>94520</v>
      </c>
      <c r="DA28" s="71">
        <v>239837</v>
      </c>
      <c r="DB28" s="71">
        <v>76424</v>
      </c>
      <c r="DC28" s="71">
        <v>809646</v>
      </c>
      <c r="DD28" s="71">
        <v>608</v>
      </c>
      <c r="DE28" s="71">
        <v>347222</v>
      </c>
      <c r="DF28" s="71">
        <v>1280448</v>
      </c>
      <c r="DG28" s="71">
        <v>170384</v>
      </c>
      <c r="DH28" s="71">
        <v>361684</v>
      </c>
      <c r="DI28" s="71">
        <v>0</v>
      </c>
      <c r="DJ28" s="71">
        <v>738506</v>
      </c>
      <c r="DK28" s="71">
        <v>58512</v>
      </c>
      <c r="DL28" s="71">
        <v>293840</v>
      </c>
      <c r="DM28" s="71">
        <v>767120</v>
      </c>
      <c r="DN28" s="71">
        <v>283368</v>
      </c>
      <c r="DO28" s="71">
        <v>94876</v>
      </c>
      <c r="DP28" s="71">
        <v>12768</v>
      </c>
      <c r="DQ28" s="71">
        <v>530784</v>
      </c>
      <c r="DR28" s="71">
        <v>153840</v>
      </c>
      <c r="DS28" s="71">
        <v>1867872</v>
      </c>
      <c r="DT28" s="71">
        <v>635288</v>
      </c>
      <c r="DU28" s="71">
        <v>0</v>
      </c>
      <c r="DV28" s="71">
        <v>613088</v>
      </c>
      <c r="DW28" s="71">
        <v>682688</v>
      </c>
      <c r="DX28" s="71">
        <v>12962746</v>
      </c>
      <c r="DY28" s="71">
        <v>7296</v>
      </c>
      <c r="DZ28" s="71">
        <v>623311</v>
      </c>
      <c r="EA28" s="71">
        <v>4244063</v>
      </c>
      <c r="EB28" s="71">
        <v>1950996</v>
      </c>
      <c r="EC28" s="71">
        <v>160320</v>
      </c>
      <c r="ED28" s="71">
        <v>230031</v>
      </c>
      <c r="EE28" s="71">
        <v>1054031</v>
      </c>
      <c r="EF28" s="71">
        <v>18468</v>
      </c>
      <c r="EG28" s="71">
        <v>2666847</v>
      </c>
      <c r="EH28" s="71">
        <v>643869</v>
      </c>
      <c r="EI28" s="71">
        <v>911235</v>
      </c>
      <c r="EJ28" s="71">
        <v>3946945</v>
      </c>
      <c r="EK28" s="71">
        <v>553270</v>
      </c>
      <c r="EL28" s="71">
        <v>2067342</v>
      </c>
      <c r="EM28" s="71">
        <v>0</v>
      </c>
      <c r="EN28" s="71">
        <v>3976723</v>
      </c>
      <c r="EO28" s="71">
        <v>375268</v>
      </c>
      <c r="EP28" s="71">
        <v>1754974</v>
      </c>
      <c r="EQ28" s="71">
        <v>2614614</v>
      </c>
      <c r="ER28" s="71">
        <v>1431039</v>
      </c>
      <c r="ES28" s="71">
        <v>316166</v>
      </c>
      <c r="ET28" s="71">
        <v>25194</v>
      </c>
      <c r="EU28" s="71">
        <v>1928049</v>
      </c>
      <c r="EV28" s="71">
        <v>648581</v>
      </c>
      <c r="EW28" s="71">
        <v>5893517</v>
      </c>
      <c r="EX28" s="71">
        <v>2943953</v>
      </c>
      <c r="EY28" s="71">
        <v>0</v>
      </c>
      <c r="EZ28" s="71">
        <v>2089619</v>
      </c>
      <c r="FA28" s="71">
        <v>2104367</v>
      </c>
      <c r="FB28" s="71">
        <v>45180088</v>
      </c>
      <c r="FC28" s="71">
        <v>0</v>
      </c>
      <c r="FD28" s="71">
        <v>87066</v>
      </c>
      <c r="FE28" s="71">
        <v>337875</v>
      </c>
      <c r="FF28" s="71">
        <v>31897</v>
      </c>
      <c r="FG28" s="71">
        <v>3391</v>
      </c>
      <c r="FH28" s="71">
        <v>12716</v>
      </c>
      <c r="FI28" s="71">
        <v>35614</v>
      </c>
      <c r="FJ28" s="71">
        <v>2328</v>
      </c>
      <c r="FK28" s="71">
        <v>996576</v>
      </c>
      <c r="FL28" s="71">
        <v>53477</v>
      </c>
      <c r="FM28" s="71">
        <v>84890</v>
      </c>
      <c r="FN28" s="71">
        <v>79046</v>
      </c>
      <c r="FO28" s="71">
        <v>3072</v>
      </c>
      <c r="FP28" s="71">
        <v>242961</v>
      </c>
      <c r="FQ28" s="71">
        <v>0</v>
      </c>
      <c r="FR28" s="71">
        <v>234154</v>
      </c>
      <c r="FS28" s="71">
        <v>9959</v>
      </c>
      <c r="FT28" s="71">
        <v>67458</v>
      </c>
      <c r="FU28" s="71">
        <v>101113</v>
      </c>
      <c r="FV28" s="71">
        <v>175051</v>
      </c>
      <c r="FW28" s="71">
        <v>30363</v>
      </c>
      <c r="FX28" s="71">
        <v>0</v>
      </c>
      <c r="FY28" s="71">
        <v>49110</v>
      </c>
      <c r="FZ28" s="71">
        <v>23038</v>
      </c>
      <c r="GA28" s="71">
        <v>77631</v>
      </c>
      <c r="GB28" s="71">
        <v>196214</v>
      </c>
      <c r="GC28" s="71">
        <v>0</v>
      </c>
      <c r="GD28" s="71">
        <v>80810</v>
      </c>
      <c r="GE28" s="71">
        <v>42144</v>
      </c>
      <c r="GF28" s="71">
        <v>3057954</v>
      </c>
      <c r="GG28" s="71">
        <v>821</v>
      </c>
      <c r="GH28" s="71">
        <v>79945</v>
      </c>
      <c r="GI28" s="71">
        <v>515647</v>
      </c>
      <c r="GJ28" s="71">
        <v>223153</v>
      </c>
      <c r="GK28" s="71">
        <v>18424</v>
      </c>
      <c r="GL28" s="71">
        <v>27319</v>
      </c>
      <c r="GM28" s="71">
        <v>122628</v>
      </c>
      <c r="GN28" s="71">
        <v>2340</v>
      </c>
      <c r="GO28" s="71">
        <v>412278</v>
      </c>
      <c r="GP28" s="71">
        <v>78479</v>
      </c>
      <c r="GQ28" s="71">
        <v>112103</v>
      </c>
      <c r="GR28" s="71">
        <v>453081</v>
      </c>
      <c r="GS28" s="71">
        <v>62610</v>
      </c>
      <c r="GT28" s="71">
        <v>259999</v>
      </c>
      <c r="GU28" s="71">
        <v>0</v>
      </c>
      <c r="GV28" s="71">
        <v>473888</v>
      </c>
      <c r="GW28" s="71">
        <v>43353</v>
      </c>
      <c r="GX28" s="71">
        <v>205095</v>
      </c>
      <c r="GY28" s="71">
        <v>305625</v>
      </c>
      <c r="GZ28" s="71">
        <v>180748</v>
      </c>
      <c r="HA28" s="71">
        <v>38998</v>
      </c>
      <c r="HB28" s="71">
        <v>2835</v>
      </c>
      <c r="HC28" s="71">
        <v>222507</v>
      </c>
      <c r="HD28" s="71">
        <v>75583</v>
      </c>
      <c r="HE28" s="71">
        <v>671987</v>
      </c>
      <c r="HF28" s="71">
        <v>353391</v>
      </c>
      <c r="HG28" s="71">
        <v>0</v>
      </c>
      <c r="HH28" s="71">
        <v>244258</v>
      </c>
      <c r="HI28" s="71">
        <v>241566</v>
      </c>
      <c r="HJ28" s="71">
        <v>5428661</v>
      </c>
      <c r="HK28" s="71">
        <v>0</v>
      </c>
      <c r="HL28" s="71">
        <v>174201</v>
      </c>
      <c r="HM28" s="71">
        <v>323214</v>
      </c>
      <c r="HN28" s="71">
        <v>235976</v>
      </c>
      <c r="HO28" s="71">
        <v>507512</v>
      </c>
      <c r="HP28" s="71">
        <v>45134</v>
      </c>
      <c r="HQ28" s="71">
        <v>59332</v>
      </c>
      <c r="HR28" s="71">
        <v>42666</v>
      </c>
      <c r="HS28" s="71">
        <v>302383</v>
      </c>
      <c r="HT28" s="71">
        <v>15394</v>
      </c>
      <c r="HU28" s="71">
        <v>239836</v>
      </c>
      <c r="HV28" s="71">
        <v>53735</v>
      </c>
      <c r="HW28" s="71">
        <v>6822</v>
      </c>
      <c r="HX28" s="71">
        <v>104962</v>
      </c>
      <c r="HY28" s="71">
        <v>0</v>
      </c>
      <c r="HZ28" s="71">
        <v>375497</v>
      </c>
      <c r="IA28" s="71">
        <v>10549</v>
      </c>
      <c r="IB28" s="71">
        <v>77009</v>
      </c>
      <c r="IC28" s="71">
        <v>30030</v>
      </c>
      <c r="ID28" s="71">
        <v>119955</v>
      </c>
      <c r="IE28" s="71">
        <v>147584</v>
      </c>
      <c r="IF28" s="71">
        <v>2374</v>
      </c>
      <c r="IG28" s="71">
        <v>91218</v>
      </c>
      <c r="IH28" s="71">
        <v>60465</v>
      </c>
      <c r="II28" s="71">
        <v>70278</v>
      </c>
      <c r="IJ28" s="71">
        <v>206167</v>
      </c>
      <c r="IK28" s="71">
        <v>0</v>
      </c>
      <c r="IL28" s="71">
        <v>24000</v>
      </c>
      <c r="IM28" s="71">
        <v>28649</v>
      </c>
      <c r="IN28" s="71">
        <v>3354942</v>
      </c>
      <c r="IO28" s="71">
        <v>821</v>
      </c>
      <c r="IP28" s="71">
        <v>341212</v>
      </c>
      <c r="IQ28" s="71">
        <v>1176736</v>
      </c>
      <c r="IR28" s="71">
        <v>491026</v>
      </c>
      <c r="IS28" s="71">
        <v>529327</v>
      </c>
      <c r="IT28" s="71">
        <v>85169</v>
      </c>
      <c r="IU28" s="71">
        <v>217574</v>
      </c>
      <c r="IV28" s="71">
        <v>47334</v>
      </c>
      <c r="IW28" s="71">
        <v>1711237</v>
      </c>
      <c r="IX28" s="71">
        <v>147350</v>
      </c>
      <c r="IY28" s="71">
        <v>436829</v>
      </c>
      <c r="IZ28" s="71">
        <v>585862</v>
      </c>
      <c r="JA28" s="71">
        <v>72504</v>
      </c>
      <c r="JB28" s="71">
        <v>607922</v>
      </c>
      <c r="JC28" s="71">
        <v>0</v>
      </c>
      <c r="JD28" s="71">
        <v>1083539</v>
      </c>
      <c r="JE28" s="71">
        <v>63861</v>
      </c>
      <c r="JF28" s="71">
        <v>349562</v>
      </c>
      <c r="JG28" s="71">
        <v>436768</v>
      </c>
      <c r="JH28" s="71">
        <v>475754</v>
      </c>
      <c r="JI28" s="71">
        <v>216945</v>
      </c>
      <c r="JJ28" s="71">
        <v>5209</v>
      </c>
      <c r="JK28" s="71">
        <v>362835</v>
      </c>
      <c r="JL28" s="71">
        <v>159086</v>
      </c>
      <c r="JM28" s="71">
        <v>819896</v>
      </c>
      <c r="JN28" s="71">
        <v>755772</v>
      </c>
      <c r="JO28" s="71">
        <v>0</v>
      </c>
      <c r="JP28" s="71">
        <v>349068</v>
      </c>
      <c r="JQ28" s="71">
        <v>312359</v>
      </c>
      <c r="JR28" s="71">
        <v>11841557</v>
      </c>
      <c r="JS28" s="71">
        <v>8117</v>
      </c>
      <c r="JT28" s="71">
        <v>964523</v>
      </c>
      <c r="JU28" s="71">
        <v>5420799</v>
      </c>
      <c r="JV28" s="71">
        <v>2442022</v>
      </c>
      <c r="JW28" s="71">
        <v>689647</v>
      </c>
      <c r="JX28" s="71">
        <v>315200</v>
      </c>
      <c r="JY28" s="71">
        <v>1271605</v>
      </c>
      <c r="JZ28" s="71">
        <v>65802</v>
      </c>
      <c r="KA28" s="71">
        <v>4378084</v>
      </c>
      <c r="KB28" s="71">
        <v>791219</v>
      </c>
      <c r="KC28" s="71">
        <v>1348064</v>
      </c>
      <c r="KD28" s="71">
        <v>4532807</v>
      </c>
      <c r="KE28" s="71">
        <v>625774</v>
      </c>
      <c r="KF28" s="71">
        <v>2675264</v>
      </c>
      <c r="KG28" s="71">
        <v>0</v>
      </c>
      <c r="KH28" s="71">
        <v>5060262</v>
      </c>
      <c r="KI28" s="71">
        <v>439129</v>
      </c>
      <c r="KJ28" s="71">
        <v>2104536</v>
      </c>
      <c r="KK28" s="71">
        <v>3051382</v>
      </c>
      <c r="KL28" s="71">
        <v>1906793</v>
      </c>
      <c r="KM28" s="71">
        <v>533111</v>
      </c>
      <c r="KN28" s="71">
        <v>30403</v>
      </c>
      <c r="KO28" s="71">
        <v>2290884</v>
      </c>
      <c r="KP28" s="71">
        <v>807667</v>
      </c>
      <c r="KQ28" s="71">
        <v>6713413</v>
      </c>
      <c r="KR28" s="71">
        <v>3699725</v>
      </c>
      <c r="KS28" s="71">
        <v>0</v>
      </c>
      <c r="KT28" s="71">
        <v>2438687</v>
      </c>
      <c r="KU28" s="71">
        <v>2416726</v>
      </c>
      <c r="KV28" s="71">
        <v>57021645</v>
      </c>
      <c r="KW28" s="71" t="s">
        <v>1070</v>
      </c>
      <c r="KX28" s="71">
        <v>110447213</v>
      </c>
      <c r="KY28" s="71">
        <v>21628406</v>
      </c>
      <c r="KZ28" s="71">
        <v>132075619</v>
      </c>
      <c r="LA28" s="71">
        <v>0</v>
      </c>
      <c r="LB28" s="71">
        <v>3239303</v>
      </c>
    </row>
    <row r="29" spans="1:314" x14ac:dyDescent="0.25">
      <c r="A29" s="71" t="s">
        <v>394</v>
      </c>
      <c r="B29" s="71" t="s">
        <v>1179</v>
      </c>
      <c r="C29" s="160" t="s">
        <v>1345</v>
      </c>
      <c r="D29" s="71" t="s">
        <v>1382</v>
      </c>
      <c r="E29" s="2">
        <v>41296.674201388887</v>
      </c>
      <c r="F29" s="71"/>
      <c r="G29" s="71" t="s">
        <v>395</v>
      </c>
      <c r="H29" s="71" t="s">
        <v>1180</v>
      </c>
      <c r="I29" s="71" t="s">
        <v>1181</v>
      </c>
      <c r="J29" s="71" t="s">
        <v>1182</v>
      </c>
      <c r="K29" s="71" t="s">
        <v>1183</v>
      </c>
      <c r="L29" s="71">
        <v>0</v>
      </c>
      <c r="M29" s="71">
        <v>0</v>
      </c>
      <c r="N29" s="71">
        <v>0</v>
      </c>
      <c r="O29" s="71">
        <v>42788559</v>
      </c>
      <c r="P29" s="71">
        <v>0</v>
      </c>
      <c r="Q29" s="71">
        <v>2494350</v>
      </c>
      <c r="R29" s="71">
        <v>0</v>
      </c>
      <c r="S29" s="71">
        <v>2494350</v>
      </c>
      <c r="T29" s="71">
        <v>2224327</v>
      </c>
      <c r="U29" s="71">
        <v>2808282</v>
      </c>
      <c r="V29" s="71">
        <v>1389017</v>
      </c>
      <c r="W29" s="71">
        <v>0</v>
      </c>
      <c r="X29" s="71">
        <v>0</v>
      </c>
      <c r="Y29" s="71">
        <v>0</v>
      </c>
      <c r="Z29" s="71">
        <v>6421626</v>
      </c>
      <c r="AA29" s="71">
        <v>1575013</v>
      </c>
      <c r="AB29" s="71">
        <v>1410507</v>
      </c>
      <c r="AC29" s="71">
        <v>463122</v>
      </c>
      <c r="AD29" s="71">
        <v>0</v>
      </c>
      <c r="AE29" s="71">
        <v>98895</v>
      </c>
      <c r="AF29" s="71">
        <v>1025055</v>
      </c>
      <c r="AG29" s="71">
        <v>4572592</v>
      </c>
      <c r="AH29" s="71">
        <v>3799340</v>
      </c>
      <c r="AI29" s="71">
        <v>4218789</v>
      </c>
      <c r="AJ29" s="71">
        <v>1852139</v>
      </c>
      <c r="AK29" s="71">
        <v>0</v>
      </c>
      <c r="AL29" s="71">
        <v>98895</v>
      </c>
      <c r="AM29" s="71">
        <v>1025055</v>
      </c>
      <c r="AN29" s="71">
        <v>10994218</v>
      </c>
      <c r="AO29" s="71">
        <v>0</v>
      </c>
      <c r="AP29" s="71">
        <v>0</v>
      </c>
      <c r="AQ29" s="71">
        <v>490995</v>
      </c>
      <c r="AR29" s="71">
        <v>0</v>
      </c>
      <c r="AS29" s="71">
        <v>490995</v>
      </c>
      <c r="AT29" s="71">
        <v>0</v>
      </c>
      <c r="AU29" s="71">
        <v>0</v>
      </c>
      <c r="AV29" s="71">
        <v>506597</v>
      </c>
      <c r="AW29" s="71">
        <v>0</v>
      </c>
      <c r="AX29" s="71">
        <v>506597</v>
      </c>
      <c r="AY29" s="71">
        <v>0</v>
      </c>
      <c r="AZ29" s="71">
        <v>0</v>
      </c>
      <c r="BA29" s="71">
        <v>997592</v>
      </c>
      <c r="BB29" s="71">
        <v>0</v>
      </c>
      <c r="BC29" s="71">
        <v>997592</v>
      </c>
      <c r="BD29" s="71">
        <v>1765643</v>
      </c>
      <c r="BE29" s="71">
        <v>0</v>
      </c>
      <c r="BF29" s="71">
        <v>0</v>
      </c>
      <c r="BG29" s="71">
        <v>0</v>
      </c>
      <c r="BH29" s="71">
        <v>0</v>
      </c>
      <c r="BI29" s="71">
        <v>1765643</v>
      </c>
      <c r="BJ29" s="71">
        <v>0</v>
      </c>
      <c r="BK29" s="71">
        <v>0</v>
      </c>
      <c r="BL29" s="71">
        <v>969154</v>
      </c>
      <c r="BM29" s="71">
        <v>0</v>
      </c>
      <c r="BN29" s="71">
        <v>0</v>
      </c>
      <c r="BO29" s="71">
        <v>969154</v>
      </c>
      <c r="BP29" s="71">
        <v>2835373</v>
      </c>
      <c r="BQ29" s="71">
        <v>0</v>
      </c>
      <c r="BR29" s="71">
        <v>0</v>
      </c>
      <c r="BS29" s="71">
        <v>0</v>
      </c>
      <c r="BT29" s="71">
        <v>103847</v>
      </c>
      <c r="BU29" s="71">
        <v>2939220</v>
      </c>
      <c r="BV29" s="71">
        <v>4601016</v>
      </c>
      <c r="BW29" s="71">
        <v>0</v>
      </c>
      <c r="BX29" s="71">
        <v>969154</v>
      </c>
      <c r="BY29" s="71">
        <v>0</v>
      </c>
      <c r="BZ29" s="71">
        <v>103847</v>
      </c>
      <c r="CA29" s="71">
        <v>5674017</v>
      </c>
      <c r="CB29" s="71">
        <v>0</v>
      </c>
      <c r="CC29" s="71">
        <v>0</v>
      </c>
      <c r="CD29" s="71">
        <v>0</v>
      </c>
      <c r="CE29" s="71">
        <v>0</v>
      </c>
      <c r="CF29" s="71">
        <v>0</v>
      </c>
      <c r="CG29" s="71">
        <v>0</v>
      </c>
      <c r="CH29" s="71">
        <v>0</v>
      </c>
      <c r="CI29" s="71">
        <v>0</v>
      </c>
      <c r="CJ29" s="71">
        <v>0</v>
      </c>
      <c r="CK29" s="71">
        <v>0</v>
      </c>
      <c r="CL29" s="71">
        <v>0</v>
      </c>
      <c r="CM29" s="71">
        <v>0</v>
      </c>
      <c r="CN29" s="71">
        <v>0</v>
      </c>
      <c r="CO29" s="71">
        <v>0</v>
      </c>
      <c r="CP29" s="71">
        <v>0</v>
      </c>
      <c r="CQ29" s="71">
        <v>0</v>
      </c>
      <c r="CR29" s="71" t="s">
        <v>394</v>
      </c>
      <c r="CS29" s="71">
        <v>4136749</v>
      </c>
      <c r="CT29" s="71">
        <v>0</v>
      </c>
      <c r="CU29" s="71">
        <v>35608</v>
      </c>
      <c r="CV29" s="71">
        <v>74208</v>
      </c>
      <c r="CW29" s="71">
        <v>529680</v>
      </c>
      <c r="CX29" s="71">
        <v>335335</v>
      </c>
      <c r="CY29" s="71">
        <v>0</v>
      </c>
      <c r="CZ29" s="71">
        <v>113688</v>
      </c>
      <c r="DA29" s="71">
        <v>46936</v>
      </c>
      <c r="DB29" s="71">
        <v>22192</v>
      </c>
      <c r="DC29" s="71">
        <v>170192</v>
      </c>
      <c r="DD29" s="71">
        <v>7360</v>
      </c>
      <c r="DE29" s="71">
        <v>67424</v>
      </c>
      <c r="DF29" s="71">
        <v>395024</v>
      </c>
      <c r="DG29" s="71">
        <v>138128</v>
      </c>
      <c r="DH29" s="71">
        <v>97306</v>
      </c>
      <c r="DI29" s="71">
        <v>0</v>
      </c>
      <c r="DJ29" s="71">
        <v>168179</v>
      </c>
      <c r="DK29" s="71">
        <v>21248</v>
      </c>
      <c r="DL29" s="71">
        <v>185600</v>
      </c>
      <c r="DM29" s="71">
        <v>301965</v>
      </c>
      <c r="DN29" s="71">
        <v>98768</v>
      </c>
      <c r="DO29" s="71">
        <v>64228</v>
      </c>
      <c r="DP29" s="71">
        <v>4784</v>
      </c>
      <c r="DQ29" s="71">
        <v>111744</v>
      </c>
      <c r="DR29" s="71">
        <v>236424</v>
      </c>
      <c r="DS29" s="71">
        <v>872256</v>
      </c>
      <c r="DT29" s="71">
        <v>284144</v>
      </c>
      <c r="DU29" s="71">
        <v>0</v>
      </c>
      <c r="DV29" s="71">
        <v>236624</v>
      </c>
      <c r="DW29" s="71">
        <v>93184</v>
      </c>
      <c r="DX29" s="71">
        <v>4712229</v>
      </c>
      <c r="DY29" s="71">
        <v>256783</v>
      </c>
      <c r="DZ29" s="71">
        <v>280304</v>
      </c>
      <c r="EA29" s="71">
        <v>1489741</v>
      </c>
      <c r="EB29" s="71">
        <v>842502</v>
      </c>
      <c r="EC29" s="71">
        <v>0</v>
      </c>
      <c r="ED29" s="71">
        <v>588246</v>
      </c>
      <c r="EE29" s="71">
        <v>497358</v>
      </c>
      <c r="EF29" s="71">
        <v>75699</v>
      </c>
      <c r="EG29" s="71">
        <v>399906</v>
      </c>
      <c r="EH29" s="71">
        <v>85441</v>
      </c>
      <c r="EI29" s="71">
        <v>347200</v>
      </c>
      <c r="EJ29" s="71">
        <v>1011028</v>
      </c>
      <c r="EK29" s="71">
        <v>466530</v>
      </c>
      <c r="EL29" s="71">
        <v>429482</v>
      </c>
      <c r="EM29" s="71">
        <v>0</v>
      </c>
      <c r="EN29" s="71">
        <v>1248277</v>
      </c>
      <c r="EO29" s="71">
        <v>79172</v>
      </c>
      <c r="EP29" s="71">
        <v>59355</v>
      </c>
      <c r="EQ29" s="71">
        <v>841703</v>
      </c>
      <c r="ER29" s="71">
        <v>258465</v>
      </c>
      <c r="ES29" s="71">
        <v>150266</v>
      </c>
      <c r="ET29" s="71">
        <v>23734</v>
      </c>
      <c r="EU29" s="71">
        <v>844215</v>
      </c>
      <c r="EV29" s="71">
        <v>293662</v>
      </c>
      <c r="EW29" s="71">
        <v>3217073</v>
      </c>
      <c r="EX29" s="71">
        <v>2013196</v>
      </c>
      <c r="EY29" s="71">
        <v>0</v>
      </c>
      <c r="EZ29" s="71">
        <v>731070</v>
      </c>
      <c r="FA29" s="71">
        <v>762706</v>
      </c>
      <c r="FB29" s="71">
        <v>17293114</v>
      </c>
      <c r="FC29" s="71">
        <v>0</v>
      </c>
      <c r="FD29" s="71">
        <v>0</v>
      </c>
      <c r="FE29" s="71">
        <v>0</v>
      </c>
      <c r="FF29" s="71">
        <v>0</v>
      </c>
      <c r="FG29" s="71">
        <v>0</v>
      </c>
      <c r="FH29" s="71">
        <v>0</v>
      </c>
      <c r="FI29" s="71">
        <v>0</v>
      </c>
      <c r="FJ29" s="71">
        <v>0</v>
      </c>
      <c r="FK29" s="71">
        <v>0</v>
      </c>
      <c r="FL29" s="71">
        <v>0</v>
      </c>
      <c r="FM29" s="71">
        <v>0</v>
      </c>
      <c r="FN29" s="71">
        <v>0</v>
      </c>
      <c r="FO29" s="71">
        <v>0</v>
      </c>
      <c r="FP29" s="71">
        <v>0</v>
      </c>
      <c r="FQ29" s="71">
        <v>0</v>
      </c>
      <c r="FR29" s="71">
        <v>0</v>
      </c>
      <c r="FS29" s="71">
        <v>0</v>
      </c>
      <c r="FT29" s="71">
        <v>0</v>
      </c>
      <c r="FU29" s="71">
        <v>0</v>
      </c>
      <c r="FV29" s="71">
        <v>0</v>
      </c>
      <c r="FW29" s="71">
        <v>0</v>
      </c>
      <c r="FX29" s="71">
        <v>0</v>
      </c>
      <c r="FY29" s="71">
        <v>0</v>
      </c>
      <c r="FZ29" s="71">
        <v>0</v>
      </c>
      <c r="GA29" s="71">
        <v>0</v>
      </c>
      <c r="GB29" s="71">
        <v>0</v>
      </c>
      <c r="GC29" s="71">
        <v>0</v>
      </c>
      <c r="GD29" s="71">
        <v>0</v>
      </c>
      <c r="GE29" s="71">
        <v>0</v>
      </c>
      <c r="GF29" s="71">
        <v>0</v>
      </c>
      <c r="GG29" s="71">
        <v>61426</v>
      </c>
      <c r="GH29" s="71">
        <v>67053</v>
      </c>
      <c r="GI29" s="71">
        <v>356366</v>
      </c>
      <c r="GJ29" s="71">
        <v>201538</v>
      </c>
      <c r="GK29" s="71">
        <v>0</v>
      </c>
      <c r="GL29" s="71">
        <v>140716</v>
      </c>
      <c r="GM29" s="71">
        <v>118975</v>
      </c>
      <c r="GN29" s="71">
        <v>18108</v>
      </c>
      <c r="GO29" s="71">
        <v>95663</v>
      </c>
      <c r="GP29" s="71">
        <v>20439</v>
      </c>
      <c r="GQ29" s="71">
        <v>83055</v>
      </c>
      <c r="GR29" s="71">
        <v>241852</v>
      </c>
      <c r="GS29" s="71">
        <v>111600</v>
      </c>
      <c r="GT29" s="71">
        <v>102738</v>
      </c>
      <c r="GU29" s="71">
        <v>0</v>
      </c>
      <c r="GV29" s="71">
        <v>298605</v>
      </c>
      <c r="GW29" s="71">
        <v>18939</v>
      </c>
      <c r="GX29" s="71">
        <v>14199</v>
      </c>
      <c r="GY29" s="71">
        <v>201347</v>
      </c>
      <c r="GZ29" s="71">
        <v>61828</v>
      </c>
      <c r="HA29" s="71">
        <v>35946</v>
      </c>
      <c r="HB29" s="71">
        <v>5677</v>
      </c>
      <c r="HC29" s="71">
        <v>201948</v>
      </c>
      <c r="HD29" s="71">
        <v>70248</v>
      </c>
      <c r="HE29" s="71">
        <v>769568</v>
      </c>
      <c r="HF29" s="71">
        <v>481584</v>
      </c>
      <c r="HG29" s="71">
        <v>0</v>
      </c>
      <c r="HH29" s="71">
        <v>174882</v>
      </c>
      <c r="HI29" s="71">
        <v>182450</v>
      </c>
      <c r="HJ29" s="71">
        <v>4136749</v>
      </c>
      <c r="HK29" s="71">
        <v>40362</v>
      </c>
      <c r="HL29" s="71">
        <v>147703</v>
      </c>
      <c r="HM29" s="71">
        <v>200843</v>
      </c>
      <c r="HN29" s="71">
        <v>39730</v>
      </c>
      <c r="HO29" s="71">
        <v>0</v>
      </c>
      <c r="HP29" s="71">
        <v>128078</v>
      </c>
      <c r="HQ29" s="71">
        <v>359062</v>
      </c>
      <c r="HR29" s="71">
        <v>3594</v>
      </c>
      <c r="HS29" s="71">
        <v>117183</v>
      </c>
      <c r="HT29" s="71">
        <v>2795</v>
      </c>
      <c r="HU29" s="71">
        <v>63495</v>
      </c>
      <c r="HV29" s="71">
        <v>14341</v>
      </c>
      <c r="HW29" s="71">
        <v>8816</v>
      </c>
      <c r="HX29" s="71">
        <v>205515</v>
      </c>
      <c r="HY29" s="71">
        <v>0</v>
      </c>
      <c r="HZ29" s="71">
        <v>173789</v>
      </c>
      <c r="IA29" s="71">
        <v>12281</v>
      </c>
      <c r="IB29" s="71">
        <v>224283</v>
      </c>
      <c r="IC29" s="71">
        <v>42186</v>
      </c>
      <c r="ID29" s="71">
        <v>68549</v>
      </c>
      <c r="IE29" s="71">
        <v>14655</v>
      </c>
      <c r="IF29" s="71">
        <v>28158</v>
      </c>
      <c r="IG29" s="71">
        <v>60060</v>
      </c>
      <c r="IH29" s="71">
        <v>68847</v>
      </c>
      <c r="II29" s="71">
        <v>90887</v>
      </c>
      <c r="IJ29" s="71">
        <v>164623</v>
      </c>
      <c r="IK29" s="71">
        <v>0</v>
      </c>
      <c r="IL29" s="71">
        <v>31682</v>
      </c>
      <c r="IM29" s="71">
        <v>15904</v>
      </c>
      <c r="IN29" s="71">
        <v>2327421</v>
      </c>
      <c r="IO29" s="71">
        <v>101788</v>
      </c>
      <c r="IP29" s="71">
        <v>214756</v>
      </c>
      <c r="IQ29" s="71">
        <v>557209</v>
      </c>
      <c r="IR29" s="71">
        <v>241268</v>
      </c>
      <c r="IS29" s="71">
        <v>0</v>
      </c>
      <c r="IT29" s="71">
        <v>268794</v>
      </c>
      <c r="IU29" s="71">
        <v>478037</v>
      </c>
      <c r="IV29" s="71">
        <v>21702</v>
      </c>
      <c r="IW29" s="71">
        <v>212846</v>
      </c>
      <c r="IX29" s="71">
        <v>23234</v>
      </c>
      <c r="IY29" s="71">
        <v>146550</v>
      </c>
      <c r="IZ29" s="71">
        <v>256193</v>
      </c>
      <c r="JA29" s="71">
        <v>120416</v>
      </c>
      <c r="JB29" s="71">
        <v>308253</v>
      </c>
      <c r="JC29" s="71">
        <v>0</v>
      </c>
      <c r="JD29" s="71">
        <v>472394</v>
      </c>
      <c r="JE29" s="71">
        <v>31220</v>
      </c>
      <c r="JF29" s="71">
        <v>238482</v>
      </c>
      <c r="JG29" s="71">
        <v>243533</v>
      </c>
      <c r="JH29" s="71">
        <v>130377</v>
      </c>
      <c r="JI29" s="71">
        <v>50601</v>
      </c>
      <c r="JJ29" s="71">
        <v>33835</v>
      </c>
      <c r="JK29" s="71">
        <v>262008</v>
      </c>
      <c r="JL29" s="71">
        <v>139095</v>
      </c>
      <c r="JM29" s="71">
        <v>860455</v>
      </c>
      <c r="JN29" s="71">
        <v>646207</v>
      </c>
      <c r="JO29" s="71">
        <v>0</v>
      </c>
      <c r="JP29" s="71">
        <v>206564</v>
      </c>
      <c r="JQ29" s="71">
        <v>198354</v>
      </c>
      <c r="JR29" s="71">
        <v>6464170</v>
      </c>
      <c r="JS29" s="71">
        <v>358571</v>
      </c>
      <c r="JT29" s="71">
        <v>495060</v>
      </c>
      <c r="JU29" s="71">
        <v>2046950</v>
      </c>
      <c r="JV29" s="71">
        <v>1083770</v>
      </c>
      <c r="JW29" s="71">
        <v>0</v>
      </c>
      <c r="JX29" s="71">
        <v>857040</v>
      </c>
      <c r="JY29" s="71">
        <v>975395</v>
      </c>
      <c r="JZ29" s="71">
        <v>97401</v>
      </c>
      <c r="KA29" s="71">
        <v>612752</v>
      </c>
      <c r="KB29" s="71">
        <v>108675</v>
      </c>
      <c r="KC29" s="71">
        <v>493750</v>
      </c>
      <c r="KD29" s="71">
        <v>1267221</v>
      </c>
      <c r="KE29" s="71">
        <v>586946</v>
      </c>
      <c r="KF29" s="71">
        <v>737735</v>
      </c>
      <c r="KG29" s="71">
        <v>0</v>
      </c>
      <c r="KH29" s="71">
        <v>1720671</v>
      </c>
      <c r="KI29" s="71">
        <v>110392</v>
      </c>
      <c r="KJ29" s="71">
        <v>297837</v>
      </c>
      <c r="KK29" s="71">
        <v>1085236</v>
      </c>
      <c r="KL29" s="71">
        <v>388842</v>
      </c>
      <c r="KM29" s="71">
        <v>200867</v>
      </c>
      <c r="KN29" s="71">
        <v>57569</v>
      </c>
      <c r="KO29" s="71">
        <v>1106223</v>
      </c>
      <c r="KP29" s="71">
        <v>432757</v>
      </c>
      <c r="KQ29" s="71">
        <v>4077528</v>
      </c>
      <c r="KR29" s="71">
        <v>2659403</v>
      </c>
      <c r="KS29" s="71">
        <v>0</v>
      </c>
      <c r="KT29" s="71">
        <v>937634</v>
      </c>
      <c r="KU29" s="71">
        <v>961060</v>
      </c>
      <c r="KV29" s="71">
        <v>23757284</v>
      </c>
      <c r="KW29" s="71" t="s">
        <v>1070</v>
      </c>
      <c r="KX29" s="71">
        <v>37245852</v>
      </c>
      <c r="KY29" s="71">
        <v>6671609</v>
      </c>
      <c r="KZ29" s="71">
        <v>43917461</v>
      </c>
      <c r="LA29" s="71">
        <v>0</v>
      </c>
      <c r="LB29" s="71">
        <v>1128902</v>
      </c>
    </row>
    <row r="30" spans="1:314" x14ac:dyDescent="0.25">
      <c r="A30" s="71" t="s">
        <v>396</v>
      </c>
      <c r="B30" s="71" t="s">
        <v>1184</v>
      </c>
      <c r="C30" s="160" t="s">
        <v>1345</v>
      </c>
      <c r="D30" s="71" t="s">
        <v>1346</v>
      </c>
      <c r="E30" s="2">
        <v>41243.551365740743</v>
      </c>
      <c r="F30" s="71"/>
      <c r="G30" s="71" t="s">
        <v>397</v>
      </c>
      <c r="H30" s="71" t="s">
        <v>1185</v>
      </c>
      <c r="I30" s="71" t="s">
        <v>1186</v>
      </c>
      <c r="J30" s="71" t="s">
        <v>1187</v>
      </c>
      <c r="K30" s="71" t="s">
        <v>1347</v>
      </c>
      <c r="L30" s="71">
        <v>0</v>
      </c>
      <c r="M30" s="71">
        <v>0</v>
      </c>
      <c r="N30" s="71">
        <v>0</v>
      </c>
      <c r="O30" s="71">
        <v>23193042</v>
      </c>
      <c r="P30" s="71">
        <v>0</v>
      </c>
      <c r="Q30" s="71">
        <v>831094</v>
      </c>
      <c r="R30" s="71">
        <v>0</v>
      </c>
      <c r="S30" s="71">
        <v>831094</v>
      </c>
      <c r="T30" s="71">
        <v>2333511</v>
      </c>
      <c r="U30" s="71">
        <v>1274433</v>
      </c>
      <c r="V30" s="71">
        <v>1792754</v>
      </c>
      <c r="W30" s="71">
        <v>0</v>
      </c>
      <c r="X30" s="71">
        <v>0</v>
      </c>
      <c r="Y30" s="71">
        <v>0</v>
      </c>
      <c r="Z30" s="71">
        <v>5400698</v>
      </c>
      <c r="AA30" s="71">
        <v>1547828</v>
      </c>
      <c r="AB30" s="71">
        <v>297355</v>
      </c>
      <c r="AC30" s="71">
        <v>440868</v>
      </c>
      <c r="AD30" s="71">
        <v>0</v>
      </c>
      <c r="AE30" s="71">
        <v>0</v>
      </c>
      <c r="AF30" s="71">
        <v>326996</v>
      </c>
      <c r="AG30" s="71">
        <v>2613047</v>
      </c>
      <c r="AH30" s="71">
        <v>3881339</v>
      </c>
      <c r="AI30" s="71">
        <v>1571788</v>
      </c>
      <c r="AJ30" s="71">
        <v>2233622</v>
      </c>
      <c r="AK30" s="71">
        <v>0</v>
      </c>
      <c r="AL30" s="71">
        <v>0</v>
      </c>
      <c r="AM30" s="71">
        <v>326996</v>
      </c>
      <c r="AN30" s="71">
        <v>8013745</v>
      </c>
      <c r="AO30" s="71">
        <v>0</v>
      </c>
      <c r="AP30" s="71">
        <v>0</v>
      </c>
      <c r="AQ30" s="71">
        <v>20117</v>
      </c>
      <c r="AR30" s="71">
        <v>0</v>
      </c>
      <c r="AS30" s="71">
        <v>20117</v>
      </c>
      <c r="AT30" s="71">
        <v>0</v>
      </c>
      <c r="AU30" s="71">
        <v>0</v>
      </c>
      <c r="AV30" s="71">
        <v>16053</v>
      </c>
      <c r="AW30" s="71">
        <v>0</v>
      </c>
      <c r="AX30" s="71">
        <v>16053</v>
      </c>
      <c r="AY30" s="71">
        <v>0</v>
      </c>
      <c r="AZ30" s="71">
        <v>0</v>
      </c>
      <c r="BA30" s="71">
        <v>36170</v>
      </c>
      <c r="BB30" s="71">
        <v>0</v>
      </c>
      <c r="BC30" s="71">
        <v>36170</v>
      </c>
      <c r="BD30" s="71">
        <v>916598</v>
      </c>
      <c r="BE30" s="71">
        <v>0</v>
      </c>
      <c r="BF30" s="71">
        <v>0</v>
      </c>
      <c r="BG30" s="71">
        <v>0</v>
      </c>
      <c r="BH30" s="71">
        <v>0</v>
      </c>
      <c r="BI30" s="71">
        <v>916598</v>
      </c>
      <c r="BJ30" s="71">
        <v>0</v>
      </c>
      <c r="BK30" s="71">
        <v>0</v>
      </c>
      <c r="BL30" s="71">
        <v>140528</v>
      </c>
      <c r="BM30" s="71">
        <v>0</v>
      </c>
      <c r="BN30" s="71">
        <v>0</v>
      </c>
      <c r="BO30" s="71">
        <v>140528</v>
      </c>
      <c r="BP30" s="71">
        <v>2642220</v>
      </c>
      <c r="BQ30" s="71">
        <v>0</v>
      </c>
      <c r="BR30" s="71">
        <v>0</v>
      </c>
      <c r="BS30" s="71">
        <v>0</v>
      </c>
      <c r="BT30" s="71">
        <v>114264</v>
      </c>
      <c r="BU30" s="71">
        <v>2756484</v>
      </c>
      <c r="BV30" s="71">
        <v>3558818</v>
      </c>
      <c r="BW30" s="71">
        <v>0</v>
      </c>
      <c r="BX30" s="71">
        <v>140528</v>
      </c>
      <c r="BY30" s="71">
        <v>0</v>
      </c>
      <c r="BZ30" s="71">
        <v>114264</v>
      </c>
      <c r="CA30" s="71">
        <v>3813610</v>
      </c>
      <c r="CB30" s="71">
        <v>0</v>
      </c>
      <c r="CC30" s="71">
        <v>0</v>
      </c>
      <c r="CD30" s="71">
        <v>0</v>
      </c>
      <c r="CE30" s="71">
        <v>0</v>
      </c>
      <c r="CF30" s="71">
        <v>0</v>
      </c>
      <c r="CG30" s="71">
        <v>0</v>
      </c>
      <c r="CH30" s="71">
        <v>0</v>
      </c>
      <c r="CI30" s="71">
        <v>0</v>
      </c>
      <c r="CJ30" s="71">
        <v>0</v>
      </c>
      <c r="CK30" s="71">
        <v>0</v>
      </c>
      <c r="CL30" s="71">
        <v>0</v>
      </c>
      <c r="CM30" s="71">
        <v>0</v>
      </c>
      <c r="CN30" s="71">
        <v>0</v>
      </c>
      <c r="CO30" s="71">
        <v>0</v>
      </c>
      <c r="CP30" s="71">
        <v>0</v>
      </c>
      <c r="CQ30" s="71">
        <v>0</v>
      </c>
      <c r="CR30" s="71" t="s">
        <v>396</v>
      </c>
      <c r="CS30" s="71">
        <v>1323626</v>
      </c>
      <c r="CT30" s="71">
        <v>0</v>
      </c>
      <c r="CU30" s="71">
        <v>23520</v>
      </c>
      <c r="CV30" s="71">
        <v>30864</v>
      </c>
      <c r="CW30" s="71">
        <v>225216</v>
      </c>
      <c r="CX30" s="71">
        <v>115270</v>
      </c>
      <c r="CY30" s="71">
        <v>0</v>
      </c>
      <c r="CZ30" s="71">
        <v>8304</v>
      </c>
      <c r="DA30" s="71">
        <v>111215</v>
      </c>
      <c r="DB30" s="71">
        <v>13520</v>
      </c>
      <c r="DC30" s="71">
        <v>109317</v>
      </c>
      <c r="DD30" s="71">
        <v>576</v>
      </c>
      <c r="DE30" s="71">
        <v>23744</v>
      </c>
      <c r="DF30" s="71">
        <v>232704</v>
      </c>
      <c r="DG30" s="71">
        <v>24016</v>
      </c>
      <c r="DH30" s="71">
        <v>26816</v>
      </c>
      <c r="DI30" s="71">
        <v>0</v>
      </c>
      <c r="DJ30" s="71">
        <v>43652</v>
      </c>
      <c r="DK30" s="71">
        <v>0</v>
      </c>
      <c r="DL30" s="71">
        <v>99152</v>
      </c>
      <c r="DM30" s="71">
        <v>100934</v>
      </c>
      <c r="DN30" s="71">
        <v>45760</v>
      </c>
      <c r="DO30" s="71">
        <v>48822</v>
      </c>
      <c r="DP30" s="71">
        <v>5568</v>
      </c>
      <c r="DQ30" s="71">
        <v>69552</v>
      </c>
      <c r="DR30" s="71">
        <v>99584</v>
      </c>
      <c r="DS30" s="71">
        <v>433296</v>
      </c>
      <c r="DT30" s="71">
        <v>69552</v>
      </c>
      <c r="DU30" s="71">
        <v>0</v>
      </c>
      <c r="DV30" s="71">
        <v>145152</v>
      </c>
      <c r="DW30" s="71">
        <v>202368</v>
      </c>
      <c r="DX30" s="71">
        <v>2308474</v>
      </c>
      <c r="DY30" s="71">
        <v>107542</v>
      </c>
      <c r="DZ30" s="71">
        <v>138266</v>
      </c>
      <c r="EA30" s="71">
        <v>755872</v>
      </c>
      <c r="EB30" s="71">
        <v>484098</v>
      </c>
      <c r="EC30" s="71">
        <v>0</v>
      </c>
      <c r="ED30" s="71">
        <v>37538</v>
      </c>
      <c r="EE30" s="71">
        <v>233441</v>
      </c>
      <c r="EF30" s="71">
        <v>54517</v>
      </c>
      <c r="EG30" s="71">
        <v>359324</v>
      </c>
      <c r="EH30" s="71">
        <v>2742</v>
      </c>
      <c r="EI30" s="71">
        <v>82253</v>
      </c>
      <c r="EJ30" s="71">
        <v>1098361</v>
      </c>
      <c r="EK30" s="71">
        <v>7670</v>
      </c>
      <c r="EL30" s="71">
        <v>277194</v>
      </c>
      <c r="EM30" s="71">
        <v>0</v>
      </c>
      <c r="EN30" s="71">
        <v>218552</v>
      </c>
      <c r="EO30" s="71">
        <v>0</v>
      </c>
      <c r="EP30" s="71">
        <v>587725</v>
      </c>
      <c r="EQ30" s="71">
        <v>569862</v>
      </c>
      <c r="ER30" s="71">
        <v>203630</v>
      </c>
      <c r="ES30" s="71">
        <v>197410</v>
      </c>
      <c r="ET30" s="71">
        <v>24676</v>
      </c>
      <c r="EU30" s="71">
        <v>237688</v>
      </c>
      <c r="EV30" s="71">
        <v>195871</v>
      </c>
      <c r="EW30" s="71">
        <v>1241056</v>
      </c>
      <c r="EX30" s="71">
        <v>202637</v>
      </c>
      <c r="EY30" s="71">
        <v>0</v>
      </c>
      <c r="EZ30" s="71">
        <v>344645</v>
      </c>
      <c r="FA30" s="71">
        <v>222338</v>
      </c>
      <c r="FB30" s="71">
        <v>7884908</v>
      </c>
      <c r="FC30" s="71">
        <v>0</v>
      </c>
      <c r="FD30" s="71">
        <v>0</v>
      </c>
      <c r="FE30" s="71">
        <v>4373</v>
      </c>
      <c r="FF30" s="71">
        <v>3584</v>
      </c>
      <c r="FG30" s="71">
        <v>0</v>
      </c>
      <c r="FH30" s="71">
        <v>682</v>
      </c>
      <c r="FI30" s="71">
        <v>0</v>
      </c>
      <c r="FJ30" s="71">
        <v>0</v>
      </c>
      <c r="FK30" s="71">
        <v>44</v>
      </c>
      <c r="FL30" s="71">
        <v>0</v>
      </c>
      <c r="FM30" s="71">
        <v>0</v>
      </c>
      <c r="FN30" s="71">
        <v>129263</v>
      </c>
      <c r="FO30" s="71">
        <v>0</v>
      </c>
      <c r="FP30" s="71">
        <v>26229</v>
      </c>
      <c r="FQ30" s="71">
        <v>0</v>
      </c>
      <c r="FR30" s="71">
        <v>24553</v>
      </c>
      <c r="FS30" s="71">
        <v>0</v>
      </c>
      <c r="FT30" s="71">
        <v>73783</v>
      </c>
      <c r="FU30" s="71">
        <v>89310</v>
      </c>
      <c r="FV30" s="71">
        <v>0</v>
      </c>
      <c r="FW30" s="71">
        <v>21875</v>
      </c>
      <c r="FX30" s="71">
        <v>0</v>
      </c>
      <c r="FY30" s="71">
        <v>46060</v>
      </c>
      <c r="FZ30" s="71">
        <v>58304</v>
      </c>
      <c r="GA30" s="71">
        <v>11</v>
      </c>
      <c r="GB30" s="71">
        <v>0</v>
      </c>
      <c r="GC30" s="71">
        <v>0</v>
      </c>
      <c r="GD30" s="71">
        <v>135300</v>
      </c>
      <c r="GE30" s="71">
        <v>135082</v>
      </c>
      <c r="GF30" s="71">
        <v>748453</v>
      </c>
      <c r="GG30" s="71">
        <v>16488</v>
      </c>
      <c r="GH30" s="71">
        <v>21198</v>
      </c>
      <c r="GI30" s="71">
        <v>116557</v>
      </c>
      <c r="GJ30" s="71">
        <v>74769</v>
      </c>
      <c r="GK30" s="71">
        <v>0</v>
      </c>
      <c r="GL30" s="71">
        <v>5860</v>
      </c>
      <c r="GM30" s="71">
        <v>35790</v>
      </c>
      <c r="GN30" s="71">
        <v>8358</v>
      </c>
      <c r="GO30" s="71">
        <v>55097</v>
      </c>
      <c r="GP30" s="71">
        <v>420</v>
      </c>
      <c r="GQ30" s="71">
        <v>12611</v>
      </c>
      <c r="GR30" s="71">
        <v>188213</v>
      </c>
      <c r="GS30" s="71">
        <v>1176</v>
      </c>
      <c r="GT30" s="71">
        <v>46519</v>
      </c>
      <c r="GU30" s="71">
        <v>0</v>
      </c>
      <c r="GV30" s="71">
        <v>37272</v>
      </c>
      <c r="GW30" s="71">
        <v>0</v>
      </c>
      <c r="GX30" s="71">
        <v>101419</v>
      </c>
      <c r="GY30" s="71">
        <v>101061</v>
      </c>
      <c r="GZ30" s="71">
        <v>31220</v>
      </c>
      <c r="HA30" s="71">
        <v>33620</v>
      </c>
      <c r="HB30" s="71">
        <v>3783</v>
      </c>
      <c r="HC30" s="71">
        <v>43503</v>
      </c>
      <c r="HD30" s="71">
        <v>38969</v>
      </c>
      <c r="HE30" s="71">
        <v>190275</v>
      </c>
      <c r="HF30" s="71">
        <v>31067</v>
      </c>
      <c r="HG30" s="71">
        <v>0</v>
      </c>
      <c r="HH30" s="71">
        <v>73583</v>
      </c>
      <c r="HI30" s="71">
        <v>54798</v>
      </c>
      <c r="HJ30" s="71">
        <v>1323626</v>
      </c>
      <c r="HK30" s="71">
        <v>11930</v>
      </c>
      <c r="HL30" s="71">
        <v>27389</v>
      </c>
      <c r="HM30" s="71">
        <v>100413</v>
      </c>
      <c r="HN30" s="71">
        <v>26855</v>
      </c>
      <c r="HO30" s="71">
        <v>0</v>
      </c>
      <c r="HP30" s="71">
        <v>2306</v>
      </c>
      <c r="HQ30" s="71">
        <v>26373</v>
      </c>
      <c r="HR30" s="71">
        <v>26799</v>
      </c>
      <c r="HS30" s="71">
        <v>47873</v>
      </c>
      <c r="HT30" s="71">
        <v>437</v>
      </c>
      <c r="HU30" s="71">
        <v>13112</v>
      </c>
      <c r="HV30" s="71">
        <v>59057</v>
      </c>
      <c r="HW30" s="71">
        <v>551</v>
      </c>
      <c r="HX30" s="71">
        <v>63324</v>
      </c>
      <c r="HY30" s="71">
        <v>0</v>
      </c>
      <c r="HZ30" s="71">
        <v>39006</v>
      </c>
      <c r="IA30" s="71">
        <v>0</v>
      </c>
      <c r="IB30" s="71">
        <v>47985</v>
      </c>
      <c r="IC30" s="71">
        <v>34202</v>
      </c>
      <c r="ID30" s="71">
        <v>47637</v>
      </c>
      <c r="IE30" s="71">
        <v>227278</v>
      </c>
      <c r="IF30" s="71">
        <v>3934</v>
      </c>
      <c r="IG30" s="71">
        <v>29622</v>
      </c>
      <c r="IH30" s="71">
        <v>62841</v>
      </c>
      <c r="II30" s="71">
        <v>40933</v>
      </c>
      <c r="IJ30" s="71">
        <v>14865</v>
      </c>
      <c r="IK30" s="71">
        <v>0</v>
      </c>
      <c r="IL30" s="71">
        <v>13463</v>
      </c>
      <c r="IM30" s="71">
        <v>14511</v>
      </c>
      <c r="IN30" s="71">
        <v>982696</v>
      </c>
      <c r="IO30" s="71">
        <v>28418</v>
      </c>
      <c r="IP30" s="71">
        <v>48587</v>
      </c>
      <c r="IQ30" s="71">
        <v>221343</v>
      </c>
      <c r="IR30" s="71">
        <v>105208</v>
      </c>
      <c r="IS30" s="71">
        <v>0</v>
      </c>
      <c r="IT30" s="71">
        <v>8848</v>
      </c>
      <c r="IU30" s="71">
        <v>62163</v>
      </c>
      <c r="IV30" s="71">
        <v>35157</v>
      </c>
      <c r="IW30" s="71">
        <v>103014</v>
      </c>
      <c r="IX30" s="71">
        <v>857</v>
      </c>
      <c r="IY30" s="71">
        <v>25723</v>
      </c>
      <c r="IZ30" s="71">
        <v>376533</v>
      </c>
      <c r="JA30" s="71">
        <v>1727</v>
      </c>
      <c r="JB30" s="71">
        <v>136072</v>
      </c>
      <c r="JC30" s="71">
        <v>0</v>
      </c>
      <c r="JD30" s="71">
        <v>100831</v>
      </c>
      <c r="JE30" s="71">
        <v>0</v>
      </c>
      <c r="JF30" s="71">
        <v>223187</v>
      </c>
      <c r="JG30" s="71">
        <v>224573</v>
      </c>
      <c r="JH30" s="71">
        <v>78857</v>
      </c>
      <c r="JI30" s="71">
        <v>282773</v>
      </c>
      <c r="JJ30" s="71">
        <v>7717</v>
      </c>
      <c r="JK30" s="71">
        <v>119185</v>
      </c>
      <c r="JL30" s="71">
        <v>160114</v>
      </c>
      <c r="JM30" s="71">
        <v>231219</v>
      </c>
      <c r="JN30" s="71">
        <v>45932</v>
      </c>
      <c r="JO30" s="71">
        <v>0</v>
      </c>
      <c r="JP30" s="71">
        <v>222346</v>
      </c>
      <c r="JQ30" s="71">
        <v>204391</v>
      </c>
      <c r="JR30" s="71">
        <v>3054775</v>
      </c>
      <c r="JS30" s="71">
        <v>135960</v>
      </c>
      <c r="JT30" s="71">
        <v>186853</v>
      </c>
      <c r="JU30" s="71">
        <v>977215</v>
      </c>
      <c r="JV30" s="71">
        <v>589306</v>
      </c>
      <c r="JW30" s="71">
        <v>0</v>
      </c>
      <c r="JX30" s="71">
        <v>46386</v>
      </c>
      <c r="JY30" s="71">
        <v>295604</v>
      </c>
      <c r="JZ30" s="71">
        <v>89674</v>
      </c>
      <c r="KA30" s="71">
        <v>462338</v>
      </c>
      <c r="KB30" s="71">
        <v>3599</v>
      </c>
      <c r="KC30" s="71">
        <v>107976</v>
      </c>
      <c r="KD30" s="71">
        <v>1474894</v>
      </c>
      <c r="KE30" s="71">
        <v>9397</v>
      </c>
      <c r="KF30" s="71">
        <v>413266</v>
      </c>
      <c r="KG30" s="71">
        <v>0</v>
      </c>
      <c r="KH30" s="71">
        <v>319383</v>
      </c>
      <c r="KI30" s="71">
        <v>0</v>
      </c>
      <c r="KJ30" s="71">
        <v>810912</v>
      </c>
      <c r="KK30" s="71">
        <v>794435</v>
      </c>
      <c r="KL30" s="71">
        <v>282487</v>
      </c>
      <c r="KM30" s="71">
        <v>480183</v>
      </c>
      <c r="KN30" s="71">
        <v>32393</v>
      </c>
      <c r="KO30" s="71">
        <v>356873</v>
      </c>
      <c r="KP30" s="71">
        <v>355985</v>
      </c>
      <c r="KQ30" s="71">
        <v>1472275</v>
      </c>
      <c r="KR30" s="71">
        <v>248569</v>
      </c>
      <c r="KS30" s="71">
        <v>0</v>
      </c>
      <c r="KT30" s="71">
        <v>566991</v>
      </c>
      <c r="KU30" s="71">
        <v>426729</v>
      </c>
      <c r="KV30" s="71">
        <v>10939683</v>
      </c>
      <c r="KW30" s="71" t="s">
        <v>1070</v>
      </c>
      <c r="KX30" s="71">
        <v>19784522</v>
      </c>
      <c r="KY30" s="71">
        <v>3849780</v>
      </c>
      <c r="KZ30" s="71">
        <v>23634302</v>
      </c>
      <c r="LA30" s="71">
        <v>0</v>
      </c>
      <c r="LB30" s="71">
        <v>441260</v>
      </c>
    </row>
    <row r="31" spans="1:314" x14ac:dyDescent="0.25">
      <c r="A31" s="71" t="s">
        <v>398</v>
      </c>
      <c r="B31" s="71" t="s">
        <v>1188</v>
      </c>
      <c r="C31" s="160" t="s">
        <v>1345</v>
      </c>
      <c r="D31" s="71" t="s">
        <v>1372</v>
      </c>
      <c r="E31" s="2">
        <v>41296.383946759262</v>
      </c>
      <c r="F31" s="71"/>
      <c r="G31" s="71" t="s">
        <v>1189</v>
      </c>
      <c r="H31" s="71" t="s">
        <v>1190</v>
      </c>
      <c r="I31" s="71" t="s">
        <v>1191</v>
      </c>
      <c r="J31" s="71" t="s">
        <v>1192</v>
      </c>
      <c r="K31" s="71" t="s">
        <v>1193</v>
      </c>
      <c r="L31" s="71">
        <v>0</v>
      </c>
      <c r="M31" s="71">
        <v>0</v>
      </c>
      <c r="N31" s="71">
        <v>0</v>
      </c>
      <c r="O31" s="71">
        <v>217904465</v>
      </c>
      <c r="P31" s="71">
        <v>0</v>
      </c>
      <c r="Q31" s="71">
        <v>11052375</v>
      </c>
      <c r="R31" s="71">
        <v>0</v>
      </c>
      <c r="S31" s="71">
        <v>11052375</v>
      </c>
      <c r="T31" s="71">
        <v>15997333</v>
      </c>
      <c r="U31" s="71">
        <v>15158763</v>
      </c>
      <c r="V31" s="71">
        <v>14295132</v>
      </c>
      <c r="W31" s="71">
        <v>0</v>
      </c>
      <c r="X31" s="71">
        <v>0</v>
      </c>
      <c r="Y31" s="71">
        <v>0</v>
      </c>
      <c r="Z31" s="71">
        <v>45451228</v>
      </c>
      <c r="AA31" s="71">
        <v>8783844</v>
      </c>
      <c r="AB31" s="71">
        <v>3863342</v>
      </c>
      <c r="AC31" s="71">
        <v>3150689</v>
      </c>
      <c r="AD31" s="71">
        <v>0</v>
      </c>
      <c r="AE31" s="71">
        <v>1347638</v>
      </c>
      <c r="AF31" s="71">
        <v>2183894</v>
      </c>
      <c r="AG31" s="71">
        <v>19329407</v>
      </c>
      <c r="AH31" s="71">
        <v>24781177</v>
      </c>
      <c r="AI31" s="71">
        <v>19022105</v>
      </c>
      <c r="AJ31" s="71">
        <v>17445821</v>
      </c>
      <c r="AK31" s="71">
        <v>0</v>
      </c>
      <c r="AL31" s="71">
        <v>1347638</v>
      </c>
      <c r="AM31" s="71">
        <v>2183894</v>
      </c>
      <c r="AN31" s="71">
        <v>64780635</v>
      </c>
      <c r="AO31" s="71">
        <v>3308690</v>
      </c>
      <c r="AP31" s="71">
        <v>0</v>
      </c>
      <c r="AQ31" s="71">
        <v>0</v>
      </c>
      <c r="AR31" s="71">
        <v>0</v>
      </c>
      <c r="AS31" s="71">
        <v>3308690</v>
      </c>
      <c r="AT31" s="71">
        <v>656604</v>
      </c>
      <c r="AU31" s="71">
        <v>0</v>
      </c>
      <c r="AV31" s="71">
        <v>0</v>
      </c>
      <c r="AW31" s="71">
        <v>156301</v>
      </c>
      <c r="AX31" s="71">
        <v>812905</v>
      </c>
      <c r="AY31" s="71">
        <v>3965294</v>
      </c>
      <c r="AZ31" s="71">
        <v>0</v>
      </c>
      <c r="BA31" s="71">
        <v>0</v>
      </c>
      <c r="BB31" s="71">
        <v>156301</v>
      </c>
      <c r="BC31" s="71">
        <v>4121595</v>
      </c>
      <c r="BD31" s="71">
        <v>7003338</v>
      </c>
      <c r="BE31" s="71">
        <v>0</v>
      </c>
      <c r="BF31" s="71">
        <v>0</v>
      </c>
      <c r="BG31" s="71">
        <v>0</v>
      </c>
      <c r="BH31" s="71">
        <v>0</v>
      </c>
      <c r="BI31" s="71">
        <v>7003338</v>
      </c>
      <c r="BJ31" s="71">
        <v>0</v>
      </c>
      <c r="BK31" s="71">
        <v>0</v>
      </c>
      <c r="BL31" s="71">
        <v>2725300</v>
      </c>
      <c r="BM31" s="71">
        <v>0</v>
      </c>
      <c r="BN31" s="71">
        <v>0</v>
      </c>
      <c r="BO31" s="71">
        <v>2725300</v>
      </c>
      <c r="BP31" s="71">
        <v>19274950</v>
      </c>
      <c r="BQ31" s="71">
        <v>9790604</v>
      </c>
      <c r="BR31" s="71">
        <v>0</v>
      </c>
      <c r="BS31" s="71">
        <v>0</v>
      </c>
      <c r="BT31" s="71">
        <v>777746</v>
      </c>
      <c r="BU31" s="71">
        <v>29843300</v>
      </c>
      <c r="BV31" s="71">
        <v>26278288</v>
      </c>
      <c r="BW31" s="71">
        <v>9790604</v>
      </c>
      <c r="BX31" s="71">
        <v>2725300</v>
      </c>
      <c r="BY31" s="71">
        <v>0</v>
      </c>
      <c r="BZ31" s="71">
        <v>777746</v>
      </c>
      <c r="CA31" s="71">
        <v>39571938</v>
      </c>
      <c r="CB31" s="71">
        <v>0</v>
      </c>
      <c r="CC31" s="71">
        <v>0</v>
      </c>
      <c r="CD31" s="71">
        <v>0</v>
      </c>
      <c r="CE31" s="71">
        <v>0</v>
      </c>
      <c r="CF31" s="71">
        <v>0</v>
      </c>
      <c r="CG31" s="71">
        <v>0</v>
      </c>
      <c r="CH31" s="71">
        <v>0</v>
      </c>
      <c r="CI31" s="71">
        <v>0</v>
      </c>
      <c r="CJ31" s="71">
        <v>0</v>
      </c>
      <c r="CK31" s="71">
        <v>0</v>
      </c>
      <c r="CL31" s="71">
        <v>0</v>
      </c>
      <c r="CM31" s="71">
        <v>0</v>
      </c>
      <c r="CN31" s="71">
        <v>0</v>
      </c>
      <c r="CO31" s="71">
        <v>0</v>
      </c>
      <c r="CP31" s="71">
        <v>0</v>
      </c>
      <c r="CQ31" s="71">
        <v>0</v>
      </c>
      <c r="CR31" s="71" t="s">
        <v>398</v>
      </c>
      <c r="CS31" s="71">
        <v>11172821</v>
      </c>
      <c r="CT31" s="71">
        <v>0</v>
      </c>
      <c r="CU31" s="71">
        <v>30584</v>
      </c>
      <c r="CV31" s="71">
        <v>59360</v>
      </c>
      <c r="CW31" s="71">
        <v>2667496</v>
      </c>
      <c r="CX31" s="71">
        <v>1412829</v>
      </c>
      <c r="CY31" s="71">
        <v>0</v>
      </c>
      <c r="CZ31" s="71">
        <v>398246</v>
      </c>
      <c r="DA31" s="71">
        <v>761370</v>
      </c>
      <c r="DB31" s="71">
        <v>2452</v>
      </c>
      <c r="DC31" s="71">
        <v>251060</v>
      </c>
      <c r="DD31" s="71">
        <v>16208</v>
      </c>
      <c r="DE31" s="71">
        <v>300472</v>
      </c>
      <c r="DF31" s="71">
        <v>2782704</v>
      </c>
      <c r="DG31" s="71">
        <v>533608</v>
      </c>
      <c r="DH31" s="71">
        <v>332471</v>
      </c>
      <c r="DI31" s="71">
        <v>32288</v>
      </c>
      <c r="DJ31" s="71">
        <v>346940</v>
      </c>
      <c r="DK31" s="71">
        <v>35680</v>
      </c>
      <c r="DL31" s="71">
        <v>0</v>
      </c>
      <c r="DM31" s="71">
        <v>781402</v>
      </c>
      <c r="DN31" s="71">
        <v>125140</v>
      </c>
      <c r="DO31" s="71">
        <v>203354</v>
      </c>
      <c r="DP31" s="71">
        <v>46560</v>
      </c>
      <c r="DQ31" s="71">
        <v>603648</v>
      </c>
      <c r="DR31" s="71">
        <v>410666</v>
      </c>
      <c r="DS31" s="71">
        <v>3823472</v>
      </c>
      <c r="DT31" s="71">
        <v>1280760</v>
      </c>
      <c r="DU31" s="71">
        <v>0</v>
      </c>
      <c r="DV31" s="71">
        <v>1376512</v>
      </c>
      <c r="DW31" s="71">
        <v>738272</v>
      </c>
      <c r="DX31" s="71">
        <v>19353554</v>
      </c>
      <c r="DY31" s="71">
        <v>95632</v>
      </c>
      <c r="DZ31" s="71">
        <v>479830</v>
      </c>
      <c r="EA31" s="71">
        <v>7791584</v>
      </c>
      <c r="EB31" s="71">
        <v>2843865</v>
      </c>
      <c r="EC31" s="71">
        <v>0</v>
      </c>
      <c r="ED31" s="71">
        <v>647470</v>
      </c>
      <c r="EE31" s="71">
        <v>3404561</v>
      </c>
      <c r="EF31" s="71">
        <v>2956</v>
      </c>
      <c r="EG31" s="71">
        <v>783811</v>
      </c>
      <c r="EH31" s="71">
        <v>69383</v>
      </c>
      <c r="EI31" s="71">
        <v>1228596</v>
      </c>
      <c r="EJ31" s="71">
        <v>8513085</v>
      </c>
      <c r="EK31" s="71">
        <v>1531260</v>
      </c>
      <c r="EL31" s="71">
        <v>3093660</v>
      </c>
      <c r="EM31" s="71">
        <v>553507</v>
      </c>
      <c r="EN31" s="71">
        <v>1836884</v>
      </c>
      <c r="EO31" s="71">
        <v>432094</v>
      </c>
      <c r="EP31" s="71">
        <v>0</v>
      </c>
      <c r="EQ31" s="71">
        <v>2283901</v>
      </c>
      <c r="ER31" s="71">
        <v>671779</v>
      </c>
      <c r="ES31" s="71">
        <v>807064</v>
      </c>
      <c r="ET31" s="71">
        <v>2459</v>
      </c>
      <c r="EU31" s="71">
        <v>2285357</v>
      </c>
      <c r="EV31" s="71">
        <v>1683784</v>
      </c>
      <c r="EW31" s="71">
        <v>9424894</v>
      </c>
      <c r="EX31" s="71">
        <v>5412999</v>
      </c>
      <c r="EY31" s="71">
        <v>0</v>
      </c>
      <c r="EZ31" s="71">
        <v>4023303</v>
      </c>
      <c r="FA31" s="71">
        <v>2258584</v>
      </c>
      <c r="FB31" s="71">
        <v>62162302</v>
      </c>
      <c r="FC31" s="71">
        <v>20635</v>
      </c>
      <c r="FD31" s="71">
        <v>78629</v>
      </c>
      <c r="FE31" s="71">
        <v>1674756</v>
      </c>
      <c r="FF31" s="71">
        <v>1115257</v>
      </c>
      <c r="FG31" s="71">
        <v>0</v>
      </c>
      <c r="FH31" s="71">
        <v>1050933</v>
      </c>
      <c r="FI31" s="71">
        <v>614288</v>
      </c>
      <c r="FJ31" s="71">
        <v>7728</v>
      </c>
      <c r="FK31" s="71">
        <v>177088</v>
      </c>
      <c r="FL31" s="71">
        <v>10857</v>
      </c>
      <c r="FM31" s="71">
        <v>354500</v>
      </c>
      <c r="FN31" s="71">
        <v>1764948</v>
      </c>
      <c r="FO31" s="71">
        <v>339015</v>
      </c>
      <c r="FP31" s="71">
        <v>453739</v>
      </c>
      <c r="FQ31" s="71">
        <v>35710</v>
      </c>
      <c r="FR31" s="71">
        <v>809379</v>
      </c>
      <c r="FS31" s="71">
        <v>33373</v>
      </c>
      <c r="FT31" s="71">
        <v>0</v>
      </c>
      <c r="FU31" s="71">
        <v>500683</v>
      </c>
      <c r="FV31" s="71">
        <v>171532</v>
      </c>
      <c r="FW31" s="71">
        <v>159203</v>
      </c>
      <c r="FX31" s="71">
        <v>29769</v>
      </c>
      <c r="FY31" s="71">
        <v>408144</v>
      </c>
      <c r="FZ31" s="71">
        <v>1378463</v>
      </c>
      <c r="GA31" s="71">
        <v>2317547</v>
      </c>
      <c r="GB31" s="71">
        <v>859077</v>
      </c>
      <c r="GC31" s="71">
        <v>0</v>
      </c>
      <c r="GD31" s="71">
        <v>882000</v>
      </c>
      <c r="GE31" s="71">
        <v>468254</v>
      </c>
      <c r="GF31" s="71">
        <v>15715507</v>
      </c>
      <c r="GG31" s="71">
        <v>16680</v>
      </c>
      <c r="GH31" s="71">
        <v>80120</v>
      </c>
      <c r="GI31" s="71">
        <v>1358098</v>
      </c>
      <c r="GJ31" s="71">
        <v>568000</v>
      </c>
      <c r="GK31" s="71">
        <v>0</v>
      </c>
      <c r="GL31" s="71">
        <v>243663</v>
      </c>
      <c r="GM31" s="71">
        <v>576568</v>
      </c>
      <c r="GN31" s="71">
        <v>1533</v>
      </c>
      <c r="GO31" s="71">
        <v>137856</v>
      </c>
      <c r="GP31" s="71">
        <v>11512</v>
      </c>
      <c r="GQ31" s="71">
        <v>227121</v>
      </c>
      <c r="GR31" s="71">
        <v>1474549</v>
      </c>
      <c r="GS31" s="71">
        <v>268321</v>
      </c>
      <c r="GT31" s="71">
        <v>508931</v>
      </c>
      <c r="GU31" s="71">
        <v>84533</v>
      </c>
      <c r="GV31" s="71">
        <v>379649</v>
      </c>
      <c r="GW31" s="71">
        <v>66779</v>
      </c>
      <c r="GX31" s="71">
        <v>0</v>
      </c>
      <c r="GY31" s="71">
        <v>399493</v>
      </c>
      <c r="GZ31" s="71">
        <v>120986</v>
      </c>
      <c r="HA31" s="71">
        <v>138627</v>
      </c>
      <c r="HB31" s="71">
        <v>4624</v>
      </c>
      <c r="HC31" s="71">
        <v>386426</v>
      </c>
      <c r="HD31" s="71">
        <v>439328</v>
      </c>
      <c r="HE31" s="71">
        <v>1684642</v>
      </c>
      <c r="HF31" s="71">
        <v>899830</v>
      </c>
      <c r="HG31" s="71">
        <v>0</v>
      </c>
      <c r="HH31" s="71">
        <v>703744</v>
      </c>
      <c r="HI31" s="71">
        <v>391209</v>
      </c>
      <c r="HJ31" s="71">
        <v>11172821</v>
      </c>
      <c r="HK31" s="71">
        <v>40085</v>
      </c>
      <c r="HL31" s="71">
        <v>123847</v>
      </c>
      <c r="HM31" s="71">
        <v>1784956</v>
      </c>
      <c r="HN31" s="71">
        <v>594983</v>
      </c>
      <c r="HO31" s="71">
        <v>0</v>
      </c>
      <c r="HP31" s="71">
        <v>163436</v>
      </c>
      <c r="HQ31" s="71">
        <v>620135</v>
      </c>
      <c r="HR31" s="71">
        <v>809</v>
      </c>
      <c r="HS31" s="71">
        <v>189667</v>
      </c>
      <c r="HT31" s="71">
        <v>14377</v>
      </c>
      <c r="HU31" s="71">
        <v>307770</v>
      </c>
      <c r="HV31" s="71">
        <v>1424804</v>
      </c>
      <c r="HW31" s="71">
        <v>266414</v>
      </c>
      <c r="HX31" s="71">
        <v>465689</v>
      </c>
      <c r="HY31" s="71">
        <v>111407</v>
      </c>
      <c r="HZ31" s="71">
        <v>420542</v>
      </c>
      <c r="IA31" s="71">
        <v>69603</v>
      </c>
      <c r="IB31" s="71">
        <v>0</v>
      </c>
      <c r="IC31" s="71">
        <v>386448</v>
      </c>
      <c r="ID31" s="71">
        <v>175633</v>
      </c>
      <c r="IE31" s="71">
        <v>276470</v>
      </c>
      <c r="IF31" s="71">
        <v>6397</v>
      </c>
      <c r="IG31" s="71">
        <v>483969</v>
      </c>
      <c r="IH31" s="71">
        <v>745755</v>
      </c>
      <c r="II31" s="71">
        <v>1614809</v>
      </c>
      <c r="IJ31" s="71">
        <v>1098454</v>
      </c>
      <c r="IK31" s="71">
        <v>0</v>
      </c>
      <c r="IL31" s="71">
        <v>680763</v>
      </c>
      <c r="IM31" s="71">
        <v>378011</v>
      </c>
      <c r="IN31" s="71">
        <v>12445233</v>
      </c>
      <c r="IO31" s="71">
        <v>77400</v>
      </c>
      <c r="IP31" s="71">
        <v>282596</v>
      </c>
      <c r="IQ31" s="71">
        <v>4817810</v>
      </c>
      <c r="IR31" s="71">
        <v>2278240</v>
      </c>
      <c r="IS31" s="71">
        <v>0</v>
      </c>
      <c r="IT31" s="71">
        <v>1458032</v>
      </c>
      <c r="IU31" s="71">
        <v>1810991</v>
      </c>
      <c r="IV31" s="71">
        <v>10070</v>
      </c>
      <c r="IW31" s="71">
        <v>504611</v>
      </c>
      <c r="IX31" s="71">
        <v>36746</v>
      </c>
      <c r="IY31" s="71">
        <v>889391</v>
      </c>
      <c r="IZ31" s="71">
        <v>4664301</v>
      </c>
      <c r="JA31" s="71">
        <v>873750</v>
      </c>
      <c r="JB31" s="71">
        <v>1428359</v>
      </c>
      <c r="JC31" s="71">
        <v>231650</v>
      </c>
      <c r="JD31" s="71">
        <v>1609570</v>
      </c>
      <c r="JE31" s="71">
        <v>169755</v>
      </c>
      <c r="JF31" s="71">
        <v>0</v>
      </c>
      <c r="JG31" s="71">
        <v>1286624</v>
      </c>
      <c r="JH31" s="71">
        <v>468151</v>
      </c>
      <c r="JI31" s="71">
        <v>574300</v>
      </c>
      <c r="JJ31" s="71">
        <v>40790</v>
      </c>
      <c r="JK31" s="71">
        <v>1278539</v>
      </c>
      <c r="JL31" s="71">
        <v>2563546</v>
      </c>
      <c r="JM31" s="71">
        <v>5616998</v>
      </c>
      <c r="JN31" s="71">
        <v>2857361</v>
      </c>
      <c r="JO31" s="71">
        <v>0</v>
      </c>
      <c r="JP31" s="71">
        <v>2266507</v>
      </c>
      <c r="JQ31" s="71">
        <v>1237474</v>
      </c>
      <c r="JR31" s="71">
        <v>39333561</v>
      </c>
      <c r="JS31" s="71">
        <v>173032</v>
      </c>
      <c r="JT31" s="71">
        <v>762426</v>
      </c>
      <c r="JU31" s="71">
        <v>12609394</v>
      </c>
      <c r="JV31" s="71">
        <v>5122105</v>
      </c>
      <c r="JW31" s="71">
        <v>0</v>
      </c>
      <c r="JX31" s="71">
        <v>2105502</v>
      </c>
      <c r="JY31" s="71">
        <v>5215552</v>
      </c>
      <c r="JZ31" s="71">
        <v>13026</v>
      </c>
      <c r="KA31" s="71">
        <v>1288422</v>
      </c>
      <c r="KB31" s="71">
        <v>106129</v>
      </c>
      <c r="KC31" s="71">
        <v>2117987</v>
      </c>
      <c r="KD31" s="71">
        <v>13177386</v>
      </c>
      <c r="KE31" s="71">
        <v>2405010</v>
      </c>
      <c r="KF31" s="71">
        <v>4522019</v>
      </c>
      <c r="KG31" s="71">
        <v>785157</v>
      </c>
      <c r="KH31" s="71">
        <v>3446454</v>
      </c>
      <c r="KI31" s="71">
        <v>601849</v>
      </c>
      <c r="KJ31" s="71">
        <v>0</v>
      </c>
      <c r="KK31" s="71">
        <v>3570525</v>
      </c>
      <c r="KL31" s="71">
        <v>1139930</v>
      </c>
      <c r="KM31" s="71">
        <v>1381364</v>
      </c>
      <c r="KN31" s="71">
        <v>43249</v>
      </c>
      <c r="KO31" s="71">
        <v>3563896</v>
      </c>
      <c r="KP31" s="71">
        <v>4247330</v>
      </c>
      <c r="KQ31" s="71">
        <v>15041892</v>
      </c>
      <c r="KR31" s="71">
        <v>8270360</v>
      </c>
      <c r="KS31" s="71">
        <v>0</v>
      </c>
      <c r="KT31" s="71">
        <v>6289810</v>
      </c>
      <c r="KU31" s="71">
        <v>3496058</v>
      </c>
      <c r="KV31" s="71">
        <v>101495863</v>
      </c>
      <c r="KW31" s="71" t="s">
        <v>1070</v>
      </c>
      <c r="KX31" s="71">
        <v>177328873</v>
      </c>
      <c r="KY31" s="71">
        <v>43693533</v>
      </c>
      <c r="KZ31" s="71">
        <v>221022406</v>
      </c>
      <c r="LA31" s="71">
        <v>0</v>
      </c>
      <c r="LB31" s="71">
        <v>3117941</v>
      </c>
    </row>
    <row r="32" spans="1:314" x14ac:dyDescent="0.25">
      <c r="A32" s="71" t="s">
        <v>399</v>
      </c>
      <c r="B32" s="71" t="s">
        <v>1194</v>
      </c>
      <c r="C32" s="160" t="s">
        <v>1345</v>
      </c>
      <c r="D32" s="71" t="s">
        <v>1425</v>
      </c>
      <c r="E32" s="2">
        <v>41305.697534722225</v>
      </c>
      <c r="F32" s="71"/>
      <c r="G32" s="71" t="s">
        <v>1195</v>
      </c>
      <c r="H32" s="71" t="s">
        <v>1358</v>
      </c>
      <c r="I32" s="71" t="s">
        <v>1359</v>
      </c>
      <c r="J32" s="71" t="s">
        <v>1196</v>
      </c>
      <c r="K32" s="71" t="s">
        <v>1360</v>
      </c>
      <c r="L32" s="71">
        <v>0</v>
      </c>
      <c r="M32" s="71">
        <v>0</v>
      </c>
      <c r="N32" s="71">
        <v>0</v>
      </c>
      <c r="O32" s="71">
        <v>23753868</v>
      </c>
      <c r="P32" s="71">
        <v>0</v>
      </c>
      <c r="Q32" s="71">
        <v>1134916</v>
      </c>
      <c r="R32" s="71">
        <v>0</v>
      </c>
      <c r="S32" s="71">
        <v>1134916</v>
      </c>
      <c r="T32" s="71">
        <v>2638682</v>
      </c>
      <c r="U32" s="71">
        <v>1183432</v>
      </c>
      <c r="V32" s="71">
        <v>1399439</v>
      </c>
      <c r="W32" s="71">
        <v>0</v>
      </c>
      <c r="X32" s="71">
        <v>0</v>
      </c>
      <c r="Y32" s="71">
        <v>0</v>
      </c>
      <c r="Z32" s="71">
        <v>5221553</v>
      </c>
      <c r="AA32" s="71">
        <v>1586259</v>
      </c>
      <c r="AB32" s="71">
        <v>225346</v>
      </c>
      <c r="AC32" s="71">
        <v>563464</v>
      </c>
      <c r="AD32" s="71">
        <v>0</v>
      </c>
      <c r="AE32" s="71">
        <v>0</v>
      </c>
      <c r="AF32" s="71">
        <v>306554</v>
      </c>
      <c r="AG32" s="71">
        <v>2681623</v>
      </c>
      <c r="AH32" s="71">
        <v>4224941</v>
      </c>
      <c r="AI32" s="71">
        <v>1408778</v>
      </c>
      <c r="AJ32" s="71">
        <v>1962903</v>
      </c>
      <c r="AK32" s="71">
        <v>0</v>
      </c>
      <c r="AL32" s="71">
        <v>0</v>
      </c>
      <c r="AM32" s="71">
        <v>306554</v>
      </c>
      <c r="AN32" s="71">
        <v>7903176</v>
      </c>
      <c r="AO32" s="71">
        <v>232104</v>
      </c>
      <c r="AP32" s="71">
        <v>0</v>
      </c>
      <c r="AQ32" s="71">
        <v>0</v>
      </c>
      <c r="AR32" s="71">
        <v>0</v>
      </c>
      <c r="AS32" s="71">
        <v>232104</v>
      </c>
      <c r="AT32" s="71">
        <v>56355</v>
      </c>
      <c r="AU32" s="71">
        <v>0</v>
      </c>
      <c r="AV32" s="71">
        <v>0</v>
      </c>
      <c r="AW32" s="71">
        <v>57123</v>
      </c>
      <c r="AX32" s="71">
        <v>113478</v>
      </c>
      <c r="AY32" s="71">
        <v>288459</v>
      </c>
      <c r="AZ32" s="71">
        <v>0</v>
      </c>
      <c r="BA32" s="71">
        <v>0</v>
      </c>
      <c r="BB32" s="71">
        <v>57123</v>
      </c>
      <c r="BC32" s="71">
        <v>345582</v>
      </c>
      <c r="BD32" s="71">
        <v>523238</v>
      </c>
      <c r="BE32" s="71">
        <v>0</v>
      </c>
      <c r="BF32" s="71">
        <v>0</v>
      </c>
      <c r="BG32" s="71">
        <v>0</v>
      </c>
      <c r="BH32" s="71">
        <v>0</v>
      </c>
      <c r="BI32" s="71">
        <v>523238</v>
      </c>
      <c r="BJ32" s="71">
        <v>0</v>
      </c>
      <c r="BK32" s="71">
        <v>0</v>
      </c>
      <c r="BL32" s="71">
        <v>207005</v>
      </c>
      <c r="BM32" s="71">
        <v>0</v>
      </c>
      <c r="BN32" s="71">
        <v>0</v>
      </c>
      <c r="BO32" s="71">
        <v>207005</v>
      </c>
      <c r="BP32" s="71">
        <v>2485168</v>
      </c>
      <c r="BQ32" s="71">
        <v>0</v>
      </c>
      <c r="BR32" s="71">
        <v>0</v>
      </c>
      <c r="BS32" s="71">
        <v>0</v>
      </c>
      <c r="BT32" s="71">
        <v>49177</v>
      </c>
      <c r="BU32" s="71">
        <v>2534345</v>
      </c>
      <c r="BV32" s="71">
        <v>3008406</v>
      </c>
      <c r="BW32" s="71">
        <v>0</v>
      </c>
      <c r="BX32" s="71">
        <v>207005</v>
      </c>
      <c r="BY32" s="71">
        <v>0</v>
      </c>
      <c r="BZ32" s="71">
        <v>49177</v>
      </c>
      <c r="CA32" s="71">
        <v>3264588</v>
      </c>
      <c r="CB32" s="71">
        <v>0</v>
      </c>
      <c r="CC32" s="71">
        <v>0</v>
      </c>
      <c r="CD32" s="71">
        <v>0</v>
      </c>
      <c r="CE32" s="71">
        <v>0</v>
      </c>
      <c r="CF32" s="71">
        <v>0</v>
      </c>
      <c r="CG32" s="71">
        <v>0</v>
      </c>
      <c r="CH32" s="71">
        <v>0</v>
      </c>
      <c r="CI32" s="71">
        <v>0</v>
      </c>
      <c r="CJ32" s="71">
        <v>0</v>
      </c>
      <c r="CK32" s="71">
        <v>0</v>
      </c>
      <c r="CL32" s="71">
        <v>0</v>
      </c>
      <c r="CM32" s="71">
        <v>0</v>
      </c>
      <c r="CN32" s="71">
        <v>0</v>
      </c>
      <c r="CO32" s="71">
        <v>0</v>
      </c>
      <c r="CP32" s="71">
        <v>0</v>
      </c>
      <c r="CQ32" s="71">
        <v>0</v>
      </c>
      <c r="CR32" s="71" t="s">
        <v>399</v>
      </c>
      <c r="CS32" s="71">
        <v>1233828</v>
      </c>
      <c r="CT32" s="71">
        <v>0</v>
      </c>
      <c r="CU32" s="71">
        <v>12416</v>
      </c>
      <c r="CV32" s="71">
        <v>0</v>
      </c>
      <c r="CW32" s="71">
        <v>316544</v>
      </c>
      <c r="CX32" s="71">
        <v>255742</v>
      </c>
      <c r="CY32" s="71">
        <v>0</v>
      </c>
      <c r="CZ32" s="71">
        <v>1008</v>
      </c>
      <c r="DA32" s="71">
        <v>96576</v>
      </c>
      <c r="DB32" s="71">
        <v>0</v>
      </c>
      <c r="DC32" s="71">
        <v>42984</v>
      </c>
      <c r="DD32" s="71">
        <v>0</v>
      </c>
      <c r="DE32" s="71">
        <v>43499</v>
      </c>
      <c r="DF32" s="71">
        <v>289920</v>
      </c>
      <c r="DG32" s="71">
        <v>30916</v>
      </c>
      <c r="DH32" s="71">
        <v>120290</v>
      </c>
      <c r="DI32" s="71">
        <v>18293</v>
      </c>
      <c r="DJ32" s="71">
        <v>172981</v>
      </c>
      <c r="DK32" s="71">
        <v>40224</v>
      </c>
      <c r="DL32" s="71">
        <v>119888</v>
      </c>
      <c r="DM32" s="71">
        <v>91248</v>
      </c>
      <c r="DN32" s="71">
        <v>0</v>
      </c>
      <c r="DO32" s="71">
        <v>98</v>
      </c>
      <c r="DP32" s="71">
        <v>11360</v>
      </c>
      <c r="DQ32" s="71">
        <v>65398</v>
      </c>
      <c r="DR32" s="71">
        <v>78336</v>
      </c>
      <c r="DS32" s="71">
        <v>358528</v>
      </c>
      <c r="DT32" s="71">
        <v>161488</v>
      </c>
      <c r="DU32" s="71">
        <v>0</v>
      </c>
      <c r="DV32" s="71">
        <v>147216</v>
      </c>
      <c r="DW32" s="71">
        <v>103056</v>
      </c>
      <c r="DX32" s="71">
        <v>2578009</v>
      </c>
      <c r="DY32" s="71">
        <v>43097</v>
      </c>
      <c r="DZ32" s="71">
        <v>0</v>
      </c>
      <c r="EA32" s="71">
        <v>983765</v>
      </c>
      <c r="EB32" s="71">
        <v>433370</v>
      </c>
      <c r="EC32" s="71">
        <v>0</v>
      </c>
      <c r="ED32" s="71">
        <v>5490</v>
      </c>
      <c r="EE32" s="71">
        <v>363229</v>
      </c>
      <c r="EF32" s="71">
        <v>0</v>
      </c>
      <c r="EG32" s="71">
        <v>138788</v>
      </c>
      <c r="EH32" s="71">
        <v>0</v>
      </c>
      <c r="EI32" s="71">
        <v>107232</v>
      </c>
      <c r="EJ32" s="71">
        <v>933438</v>
      </c>
      <c r="EK32" s="71">
        <v>102532</v>
      </c>
      <c r="EL32" s="71">
        <v>663741</v>
      </c>
      <c r="EM32" s="71">
        <v>256475</v>
      </c>
      <c r="EN32" s="71">
        <v>586356</v>
      </c>
      <c r="EO32" s="71">
        <v>198400</v>
      </c>
      <c r="EP32" s="71">
        <v>598555</v>
      </c>
      <c r="EQ32" s="71">
        <v>373247</v>
      </c>
      <c r="ER32" s="71">
        <v>0</v>
      </c>
      <c r="ES32" s="71">
        <v>215</v>
      </c>
      <c r="ET32" s="71">
        <v>39572</v>
      </c>
      <c r="EU32" s="71">
        <v>185314</v>
      </c>
      <c r="EV32" s="71">
        <v>199521</v>
      </c>
      <c r="EW32" s="71">
        <v>951853</v>
      </c>
      <c r="EX32" s="71">
        <v>728987</v>
      </c>
      <c r="EY32" s="71">
        <v>0</v>
      </c>
      <c r="EZ32" s="71">
        <v>435366</v>
      </c>
      <c r="FA32" s="71">
        <v>294324</v>
      </c>
      <c r="FB32" s="71">
        <v>8622867</v>
      </c>
      <c r="FC32" s="71">
        <v>4513</v>
      </c>
      <c r="FD32" s="71">
        <v>0</v>
      </c>
      <c r="FE32" s="71">
        <v>46866</v>
      </c>
      <c r="FF32" s="71">
        <v>5295</v>
      </c>
      <c r="FG32" s="71">
        <v>0</v>
      </c>
      <c r="FH32" s="71">
        <v>117</v>
      </c>
      <c r="FI32" s="71">
        <v>23973</v>
      </c>
      <c r="FJ32" s="71">
        <v>0</v>
      </c>
      <c r="FK32" s="71">
        <v>238</v>
      </c>
      <c r="FL32" s="71">
        <v>0</v>
      </c>
      <c r="FM32" s="71">
        <v>0</v>
      </c>
      <c r="FN32" s="71">
        <v>0</v>
      </c>
      <c r="FO32" s="71">
        <v>0</v>
      </c>
      <c r="FP32" s="71">
        <v>16241</v>
      </c>
      <c r="FQ32" s="71">
        <v>30910</v>
      </c>
      <c r="FR32" s="71">
        <v>66911</v>
      </c>
      <c r="FS32" s="71">
        <v>11851</v>
      </c>
      <c r="FT32" s="71">
        <v>39921</v>
      </c>
      <c r="FU32" s="71">
        <v>0</v>
      </c>
      <c r="FV32" s="71">
        <v>0</v>
      </c>
      <c r="FW32" s="71">
        <v>0</v>
      </c>
      <c r="FX32" s="71">
        <v>1216</v>
      </c>
      <c r="FY32" s="71">
        <v>0</v>
      </c>
      <c r="FZ32" s="71">
        <v>47087</v>
      </c>
      <c r="GA32" s="71">
        <v>1463</v>
      </c>
      <c r="GB32" s="71">
        <v>27151</v>
      </c>
      <c r="GC32" s="71">
        <v>0</v>
      </c>
      <c r="GD32" s="71">
        <v>0</v>
      </c>
      <c r="GE32" s="71">
        <v>0</v>
      </c>
      <c r="GF32" s="71">
        <v>323753</v>
      </c>
      <c r="GG32" s="71">
        <v>6566</v>
      </c>
      <c r="GH32" s="71">
        <v>0</v>
      </c>
      <c r="GI32" s="71">
        <v>142134</v>
      </c>
      <c r="GJ32" s="71">
        <v>60496</v>
      </c>
      <c r="GK32" s="71">
        <v>0</v>
      </c>
      <c r="GL32" s="71">
        <v>773</v>
      </c>
      <c r="GM32" s="71">
        <v>53399</v>
      </c>
      <c r="GN32" s="71">
        <v>0</v>
      </c>
      <c r="GO32" s="71">
        <v>19173</v>
      </c>
      <c r="GP32" s="71">
        <v>0</v>
      </c>
      <c r="GQ32" s="71">
        <v>14788</v>
      </c>
      <c r="GR32" s="71">
        <v>128730</v>
      </c>
      <c r="GS32" s="71">
        <v>14140</v>
      </c>
      <c r="GT32" s="71">
        <v>93776</v>
      </c>
      <c r="GU32" s="71">
        <v>39633</v>
      </c>
      <c r="GV32" s="71">
        <v>90092</v>
      </c>
      <c r="GW32" s="71">
        <v>28996</v>
      </c>
      <c r="GX32" s="71">
        <v>88052</v>
      </c>
      <c r="GY32" s="71">
        <v>51474</v>
      </c>
      <c r="GZ32" s="71">
        <v>0</v>
      </c>
      <c r="HA32" s="71">
        <v>30</v>
      </c>
      <c r="HB32" s="71">
        <v>5625</v>
      </c>
      <c r="HC32" s="71">
        <v>25557</v>
      </c>
      <c r="HD32" s="71">
        <v>34010</v>
      </c>
      <c r="HE32" s="71">
        <v>131472</v>
      </c>
      <c r="HF32" s="71">
        <v>104279</v>
      </c>
      <c r="HG32" s="71">
        <v>0</v>
      </c>
      <c r="HH32" s="71">
        <v>60041</v>
      </c>
      <c r="HI32" s="71">
        <v>40590</v>
      </c>
      <c r="HJ32" s="71">
        <v>1233828</v>
      </c>
      <c r="HK32" s="71">
        <v>4390</v>
      </c>
      <c r="HL32" s="71">
        <v>0</v>
      </c>
      <c r="HM32" s="71">
        <v>146739</v>
      </c>
      <c r="HN32" s="71">
        <v>36461</v>
      </c>
      <c r="HO32" s="71">
        <v>0</v>
      </c>
      <c r="HP32" s="71">
        <v>1527</v>
      </c>
      <c r="HQ32" s="71">
        <v>26771</v>
      </c>
      <c r="HR32" s="71">
        <v>0</v>
      </c>
      <c r="HS32" s="71">
        <v>23488</v>
      </c>
      <c r="HT32" s="71">
        <v>0</v>
      </c>
      <c r="HU32" s="71">
        <v>486714</v>
      </c>
      <c r="HV32" s="71">
        <v>18847</v>
      </c>
      <c r="HW32" s="71">
        <v>2299</v>
      </c>
      <c r="HX32" s="71">
        <v>58296</v>
      </c>
      <c r="HY32" s="71">
        <v>37172</v>
      </c>
      <c r="HZ32" s="71">
        <v>139562</v>
      </c>
      <c r="IA32" s="71">
        <v>17621</v>
      </c>
      <c r="IB32" s="71">
        <v>21524</v>
      </c>
      <c r="IC32" s="71">
        <v>9996</v>
      </c>
      <c r="ID32" s="71">
        <v>0</v>
      </c>
      <c r="IE32" s="71">
        <v>250</v>
      </c>
      <c r="IF32" s="71">
        <v>12585</v>
      </c>
      <c r="IG32" s="71">
        <v>3199</v>
      </c>
      <c r="IH32" s="71">
        <v>27964</v>
      </c>
      <c r="II32" s="71">
        <v>101174</v>
      </c>
      <c r="IJ32" s="71">
        <v>153041</v>
      </c>
      <c r="IK32" s="71">
        <v>0</v>
      </c>
      <c r="IL32" s="71">
        <v>3698</v>
      </c>
      <c r="IM32" s="71">
        <v>4694</v>
      </c>
      <c r="IN32" s="71">
        <v>1338012</v>
      </c>
      <c r="IO32" s="71">
        <v>15469</v>
      </c>
      <c r="IP32" s="71">
        <v>0</v>
      </c>
      <c r="IQ32" s="71">
        <v>335739</v>
      </c>
      <c r="IR32" s="71">
        <v>102252</v>
      </c>
      <c r="IS32" s="71">
        <v>0</v>
      </c>
      <c r="IT32" s="71">
        <v>2417</v>
      </c>
      <c r="IU32" s="71">
        <v>104143</v>
      </c>
      <c r="IV32" s="71">
        <v>0</v>
      </c>
      <c r="IW32" s="71">
        <v>42899</v>
      </c>
      <c r="IX32" s="71">
        <v>0</v>
      </c>
      <c r="IY32" s="71">
        <v>501502</v>
      </c>
      <c r="IZ32" s="71">
        <v>147577</v>
      </c>
      <c r="JA32" s="71">
        <v>16439</v>
      </c>
      <c r="JB32" s="71">
        <v>168313</v>
      </c>
      <c r="JC32" s="71">
        <v>107715</v>
      </c>
      <c r="JD32" s="71">
        <v>296565</v>
      </c>
      <c r="JE32" s="71">
        <v>58468</v>
      </c>
      <c r="JF32" s="71">
        <v>149497</v>
      </c>
      <c r="JG32" s="71">
        <v>61470</v>
      </c>
      <c r="JH32" s="71">
        <v>0</v>
      </c>
      <c r="JI32" s="71">
        <v>280</v>
      </c>
      <c r="JJ32" s="71">
        <v>19426</v>
      </c>
      <c r="JK32" s="71">
        <v>28756</v>
      </c>
      <c r="JL32" s="71">
        <v>109061</v>
      </c>
      <c r="JM32" s="71">
        <v>234109</v>
      </c>
      <c r="JN32" s="71">
        <v>284471</v>
      </c>
      <c r="JO32" s="71">
        <v>0</v>
      </c>
      <c r="JP32" s="71">
        <v>63739</v>
      </c>
      <c r="JQ32" s="71">
        <v>45284</v>
      </c>
      <c r="JR32" s="71">
        <v>2895593</v>
      </c>
      <c r="JS32" s="71">
        <v>58566</v>
      </c>
      <c r="JT32" s="71">
        <v>0</v>
      </c>
      <c r="JU32" s="71">
        <v>1319504</v>
      </c>
      <c r="JV32" s="71">
        <v>535622</v>
      </c>
      <c r="JW32" s="71">
        <v>0</v>
      </c>
      <c r="JX32" s="71">
        <v>7907</v>
      </c>
      <c r="JY32" s="71">
        <v>467372</v>
      </c>
      <c r="JZ32" s="71">
        <v>0</v>
      </c>
      <c r="KA32" s="71">
        <v>181687</v>
      </c>
      <c r="KB32" s="71">
        <v>0</v>
      </c>
      <c r="KC32" s="71">
        <v>608734</v>
      </c>
      <c r="KD32" s="71">
        <v>1081015</v>
      </c>
      <c r="KE32" s="71">
        <v>118971</v>
      </c>
      <c r="KF32" s="71">
        <v>832054</v>
      </c>
      <c r="KG32" s="71">
        <v>364190</v>
      </c>
      <c r="KH32" s="71">
        <v>882921</v>
      </c>
      <c r="KI32" s="71">
        <v>256868</v>
      </c>
      <c r="KJ32" s="71">
        <v>748052</v>
      </c>
      <c r="KK32" s="71">
        <v>434717</v>
      </c>
      <c r="KL32" s="71">
        <v>0</v>
      </c>
      <c r="KM32" s="71">
        <v>495</v>
      </c>
      <c r="KN32" s="71">
        <v>58998</v>
      </c>
      <c r="KO32" s="71">
        <v>214070</v>
      </c>
      <c r="KP32" s="71">
        <v>308582</v>
      </c>
      <c r="KQ32" s="71">
        <v>1185962</v>
      </c>
      <c r="KR32" s="71">
        <v>1013458</v>
      </c>
      <c r="KS32" s="71">
        <v>0</v>
      </c>
      <c r="KT32" s="71">
        <v>499105</v>
      </c>
      <c r="KU32" s="71">
        <v>339608</v>
      </c>
      <c r="KV32" s="71">
        <v>11518460</v>
      </c>
      <c r="KW32" s="71" t="s">
        <v>1070</v>
      </c>
      <c r="KX32" s="71">
        <v>20556552</v>
      </c>
      <c r="KY32" s="71">
        <v>3610170</v>
      </c>
      <c r="KZ32" s="71">
        <v>24166722</v>
      </c>
      <c r="LA32" s="71">
        <v>0</v>
      </c>
      <c r="LB32" s="71">
        <v>412854</v>
      </c>
    </row>
    <row r="33" spans="1:314" x14ac:dyDescent="0.25">
      <c r="A33" s="71" t="s">
        <v>400</v>
      </c>
      <c r="B33" s="71" t="s">
        <v>1197</v>
      </c>
      <c r="C33" s="160" t="s">
        <v>1345</v>
      </c>
      <c r="D33" s="71" t="s">
        <v>1426</v>
      </c>
      <c r="E33" s="2">
        <v>41305.700671296298</v>
      </c>
      <c r="F33" s="71"/>
      <c r="G33" s="71" t="s">
        <v>401</v>
      </c>
      <c r="H33" s="71" t="s">
        <v>1369</v>
      </c>
      <c r="I33" s="71" t="s">
        <v>1257</v>
      </c>
      <c r="J33" s="71" t="s">
        <v>1370</v>
      </c>
      <c r="K33" s="71" t="s">
        <v>1371</v>
      </c>
      <c r="L33" s="71">
        <v>0</v>
      </c>
      <c r="M33" s="71">
        <v>0</v>
      </c>
      <c r="N33" s="71">
        <v>0</v>
      </c>
      <c r="O33" s="71">
        <v>19161161</v>
      </c>
      <c r="P33" s="71">
        <v>0</v>
      </c>
      <c r="Q33" s="71">
        <v>727548</v>
      </c>
      <c r="R33" s="71">
        <v>0</v>
      </c>
      <c r="S33" s="71">
        <v>727548</v>
      </c>
      <c r="T33" s="71">
        <v>1611157</v>
      </c>
      <c r="U33" s="71">
        <v>1237050</v>
      </c>
      <c r="V33" s="71">
        <v>900540</v>
      </c>
      <c r="W33" s="71">
        <v>0</v>
      </c>
      <c r="X33" s="71">
        <v>0</v>
      </c>
      <c r="Y33" s="71">
        <v>0</v>
      </c>
      <c r="Z33" s="71">
        <v>3748747</v>
      </c>
      <c r="AA33" s="71">
        <v>2087129</v>
      </c>
      <c r="AB33" s="71">
        <v>322333</v>
      </c>
      <c r="AC33" s="71">
        <v>552056</v>
      </c>
      <c r="AD33" s="71">
        <v>0</v>
      </c>
      <c r="AE33" s="71">
        <v>0</v>
      </c>
      <c r="AF33" s="71">
        <v>570406</v>
      </c>
      <c r="AG33" s="71">
        <v>3531924</v>
      </c>
      <c r="AH33" s="71">
        <v>3698286</v>
      </c>
      <c r="AI33" s="71">
        <v>1559383</v>
      </c>
      <c r="AJ33" s="71">
        <v>1452596</v>
      </c>
      <c r="AK33" s="71">
        <v>0</v>
      </c>
      <c r="AL33" s="71">
        <v>0</v>
      </c>
      <c r="AM33" s="71">
        <v>570406</v>
      </c>
      <c r="AN33" s="71">
        <v>7280671</v>
      </c>
      <c r="AO33" s="71">
        <v>0</v>
      </c>
      <c r="AP33" s="71">
        <v>0</v>
      </c>
      <c r="AQ33" s="71">
        <v>0</v>
      </c>
      <c r="AR33" s="71">
        <v>0</v>
      </c>
      <c r="AS33" s="71">
        <v>0</v>
      </c>
      <c r="AT33" s="71">
        <v>0</v>
      </c>
      <c r="AU33" s="71">
        <v>0</v>
      </c>
      <c r="AV33" s="71">
        <v>0</v>
      </c>
      <c r="AW33" s="71">
        <v>0</v>
      </c>
      <c r="AX33" s="71">
        <v>0</v>
      </c>
      <c r="AY33" s="71">
        <v>0</v>
      </c>
      <c r="AZ33" s="71">
        <v>0</v>
      </c>
      <c r="BA33" s="71">
        <v>0</v>
      </c>
      <c r="BB33" s="71">
        <v>0</v>
      </c>
      <c r="BC33" s="71">
        <v>0</v>
      </c>
      <c r="BD33" s="71">
        <v>663273</v>
      </c>
      <c r="BE33" s="71">
        <v>0</v>
      </c>
      <c r="BF33" s="71">
        <v>0</v>
      </c>
      <c r="BG33" s="71">
        <v>0</v>
      </c>
      <c r="BH33" s="71">
        <v>0</v>
      </c>
      <c r="BI33" s="71">
        <v>663273</v>
      </c>
      <c r="BJ33" s="71">
        <v>0</v>
      </c>
      <c r="BK33" s="71">
        <v>0</v>
      </c>
      <c r="BL33" s="71">
        <v>195347</v>
      </c>
      <c r="BM33" s="71">
        <v>0</v>
      </c>
      <c r="BN33" s="71">
        <v>0</v>
      </c>
      <c r="BO33" s="71">
        <v>195347</v>
      </c>
      <c r="BP33" s="71">
        <v>1329572</v>
      </c>
      <c r="BQ33" s="71">
        <v>0</v>
      </c>
      <c r="BR33" s="71">
        <v>0</v>
      </c>
      <c r="BS33" s="71">
        <v>0</v>
      </c>
      <c r="BT33" s="71">
        <v>0</v>
      </c>
      <c r="BU33" s="71">
        <v>1329572</v>
      </c>
      <c r="BV33" s="71">
        <v>1992845</v>
      </c>
      <c r="BW33" s="71">
        <v>0</v>
      </c>
      <c r="BX33" s="71">
        <v>195347</v>
      </c>
      <c r="BY33" s="71">
        <v>0</v>
      </c>
      <c r="BZ33" s="71">
        <v>0</v>
      </c>
      <c r="CA33" s="71">
        <v>2188192</v>
      </c>
      <c r="CB33" s="71">
        <v>0</v>
      </c>
      <c r="CC33" s="71">
        <v>0</v>
      </c>
      <c r="CD33" s="71">
        <v>0</v>
      </c>
      <c r="CE33" s="71">
        <v>0</v>
      </c>
      <c r="CF33" s="71">
        <v>0</v>
      </c>
      <c r="CG33" s="71">
        <v>0</v>
      </c>
      <c r="CH33" s="71">
        <v>0</v>
      </c>
      <c r="CI33" s="71">
        <v>0</v>
      </c>
      <c r="CJ33" s="71">
        <v>0</v>
      </c>
      <c r="CK33" s="71">
        <v>0</v>
      </c>
      <c r="CL33" s="71">
        <v>0</v>
      </c>
      <c r="CM33" s="71">
        <v>0</v>
      </c>
      <c r="CN33" s="71">
        <v>0</v>
      </c>
      <c r="CO33" s="71">
        <v>0</v>
      </c>
      <c r="CP33" s="71">
        <v>0</v>
      </c>
      <c r="CQ33" s="71">
        <v>0</v>
      </c>
      <c r="CR33" s="71" t="s">
        <v>400</v>
      </c>
      <c r="CS33" s="71">
        <v>818121</v>
      </c>
      <c r="CT33" s="71">
        <v>0</v>
      </c>
      <c r="CU33" s="71">
        <v>880</v>
      </c>
      <c r="CV33" s="71">
        <v>93681</v>
      </c>
      <c r="CW33" s="71">
        <v>237464</v>
      </c>
      <c r="CX33" s="71">
        <v>187428</v>
      </c>
      <c r="CY33" s="71">
        <v>0</v>
      </c>
      <c r="CZ33" s="71">
        <v>8416</v>
      </c>
      <c r="DA33" s="71">
        <v>69829</v>
      </c>
      <c r="DB33" s="71">
        <v>25496</v>
      </c>
      <c r="DC33" s="71">
        <v>201090</v>
      </c>
      <c r="DD33" s="71">
        <v>0</v>
      </c>
      <c r="DE33" s="71">
        <v>176622</v>
      </c>
      <c r="DF33" s="71">
        <v>160928</v>
      </c>
      <c r="DG33" s="71">
        <v>24488</v>
      </c>
      <c r="DH33" s="71">
        <v>121701</v>
      </c>
      <c r="DI33" s="71">
        <v>1071</v>
      </c>
      <c r="DJ33" s="71">
        <v>61228</v>
      </c>
      <c r="DK33" s="71">
        <v>0</v>
      </c>
      <c r="DL33" s="71">
        <v>140600</v>
      </c>
      <c r="DM33" s="71">
        <v>85904</v>
      </c>
      <c r="DN33" s="71">
        <v>90960</v>
      </c>
      <c r="DO33" s="71">
        <v>30288</v>
      </c>
      <c r="DP33" s="71">
        <v>14234</v>
      </c>
      <c r="DQ33" s="71">
        <v>16648</v>
      </c>
      <c r="DR33" s="71">
        <v>25048</v>
      </c>
      <c r="DS33" s="71">
        <v>274080</v>
      </c>
      <c r="DT33" s="71">
        <v>77944</v>
      </c>
      <c r="DU33" s="71">
        <v>0</v>
      </c>
      <c r="DV33" s="71">
        <v>87744</v>
      </c>
      <c r="DW33" s="71">
        <v>106560</v>
      </c>
      <c r="DX33" s="71">
        <v>2320332</v>
      </c>
      <c r="DY33" s="71">
        <v>2376</v>
      </c>
      <c r="DZ33" s="71">
        <v>191539</v>
      </c>
      <c r="EA33" s="71">
        <v>893648</v>
      </c>
      <c r="EB33" s="71">
        <v>509309</v>
      </c>
      <c r="EC33" s="71">
        <v>0</v>
      </c>
      <c r="ED33" s="71">
        <v>59012</v>
      </c>
      <c r="EE33" s="71">
        <v>46855</v>
      </c>
      <c r="EF33" s="71">
        <v>91932</v>
      </c>
      <c r="EG33" s="71">
        <v>401943</v>
      </c>
      <c r="EH33" s="71">
        <v>0</v>
      </c>
      <c r="EI33" s="71">
        <v>263164</v>
      </c>
      <c r="EJ33" s="71">
        <v>197654</v>
      </c>
      <c r="EK33" s="71">
        <v>81048</v>
      </c>
      <c r="EL33" s="71">
        <v>1007392</v>
      </c>
      <c r="EM33" s="71">
        <v>0</v>
      </c>
      <c r="EN33" s="71">
        <v>177355</v>
      </c>
      <c r="EO33" s="71">
        <v>0</v>
      </c>
      <c r="EP33" s="71">
        <v>436785</v>
      </c>
      <c r="EQ33" s="71">
        <v>229845</v>
      </c>
      <c r="ER33" s="71">
        <v>220669</v>
      </c>
      <c r="ES33" s="71">
        <v>135168</v>
      </c>
      <c r="ET33" s="71">
        <v>16942</v>
      </c>
      <c r="EU33" s="71">
        <v>12840</v>
      </c>
      <c r="EV33" s="71">
        <v>63510</v>
      </c>
      <c r="EW33" s="71">
        <v>877140</v>
      </c>
      <c r="EX33" s="71">
        <v>459518</v>
      </c>
      <c r="EY33" s="71">
        <v>0</v>
      </c>
      <c r="EZ33" s="71">
        <v>182019</v>
      </c>
      <c r="FA33" s="71">
        <v>202043</v>
      </c>
      <c r="FB33" s="71">
        <v>6759706</v>
      </c>
      <c r="FC33" s="71">
        <v>767</v>
      </c>
      <c r="FD33" s="71">
        <v>32093</v>
      </c>
      <c r="FE33" s="71">
        <v>91762</v>
      </c>
      <c r="FF33" s="71">
        <v>19136</v>
      </c>
      <c r="FG33" s="71">
        <v>0</v>
      </c>
      <c r="FH33" s="71">
        <v>0</v>
      </c>
      <c r="FI33" s="71">
        <v>2182</v>
      </c>
      <c r="FJ33" s="71">
        <v>16360</v>
      </c>
      <c r="FK33" s="71">
        <v>140911</v>
      </c>
      <c r="FL33" s="71">
        <v>0</v>
      </c>
      <c r="FM33" s="71">
        <v>64088</v>
      </c>
      <c r="FN33" s="71">
        <v>71264</v>
      </c>
      <c r="FO33" s="71">
        <v>2806</v>
      </c>
      <c r="FP33" s="71">
        <v>166971</v>
      </c>
      <c r="FQ33" s="71">
        <v>4517</v>
      </c>
      <c r="FR33" s="71">
        <v>57016</v>
      </c>
      <c r="FS33" s="71">
        <v>0</v>
      </c>
      <c r="FT33" s="71">
        <v>217327</v>
      </c>
      <c r="FU33" s="71">
        <v>19241</v>
      </c>
      <c r="FV33" s="71">
        <v>63224</v>
      </c>
      <c r="FW33" s="71">
        <v>25245</v>
      </c>
      <c r="FX33" s="71">
        <v>7601</v>
      </c>
      <c r="FY33" s="71">
        <v>1826</v>
      </c>
      <c r="FZ33" s="71">
        <v>2748</v>
      </c>
      <c r="GA33" s="71">
        <v>31094</v>
      </c>
      <c r="GB33" s="71">
        <v>8524</v>
      </c>
      <c r="GC33" s="71">
        <v>0</v>
      </c>
      <c r="GD33" s="71">
        <v>0</v>
      </c>
      <c r="GE33" s="71">
        <v>0</v>
      </c>
      <c r="GF33" s="71">
        <v>1046703</v>
      </c>
      <c r="GG33" s="71">
        <v>329</v>
      </c>
      <c r="GH33" s="71">
        <v>23437</v>
      </c>
      <c r="GI33" s="71">
        <v>103272</v>
      </c>
      <c r="GJ33" s="71">
        <v>55382</v>
      </c>
      <c r="GK33" s="71">
        <v>0</v>
      </c>
      <c r="GL33" s="71">
        <v>6185</v>
      </c>
      <c r="GM33" s="71">
        <v>5139</v>
      </c>
      <c r="GN33" s="71">
        <v>11349</v>
      </c>
      <c r="GO33" s="71">
        <v>56892</v>
      </c>
      <c r="GP33" s="71">
        <v>0</v>
      </c>
      <c r="GQ33" s="71">
        <v>34296</v>
      </c>
      <c r="GR33" s="71">
        <v>28183</v>
      </c>
      <c r="GS33" s="71">
        <v>8788</v>
      </c>
      <c r="GT33" s="71">
        <v>123075</v>
      </c>
      <c r="GU33" s="71">
        <v>473</v>
      </c>
      <c r="GV33" s="71">
        <v>24562</v>
      </c>
      <c r="GW33" s="71">
        <v>0</v>
      </c>
      <c r="GX33" s="71">
        <v>68552</v>
      </c>
      <c r="GY33" s="71">
        <v>26105</v>
      </c>
      <c r="GZ33" s="71">
        <v>29752</v>
      </c>
      <c r="HA33" s="71">
        <v>16811</v>
      </c>
      <c r="HB33" s="71">
        <v>2572</v>
      </c>
      <c r="HC33" s="71">
        <v>1537</v>
      </c>
      <c r="HD33" s="71">
        <v>6944</v>
      </c>
      <c r="HE33" s="71">
        <v>95184</v>
      </c>
      <c r="HF33" s="71">
        <v>49051</v>
      </c>
      <c r="HG33" s="71">
        <v>0</v>
      </c>
      <c r="HH33" s="71">
        <v>19076</v>
      </c>
      <c r="HI33" s="71">
        <v>21174</v>
      </c>
      <c r="HJ33" s="71">
        <v>818121</v>
      </c>
      <c r="HK33" s="71">
        <v>60</v>
      </c>
      <c r="HL33" s="71">
        <v>30026</v>
      </c>
      <c r="HM33" s="71">
        <v>58888</v>
      </c>
      <c r="HN33" s="71">
        <v>19478</v>
      </c>
      <c r="HO33" s="71">
        <v>0</v>
      </c>
      <c r="HP33" s="71">
        <v>8210</v>
      </c>
      <c r="HQ33" s="71">
        <v>1697</v>
      </c>
      <c r="HR33" s="71">
        <v>6397</v>
      </c>
      <c r="HS33" s="71">
        <v>76200</v>
      </c>
      <c r="HT33" s="71">
        <v>0</v>
      </c>
      <c r="HU33" s="71">
        <v>47803</v>
      </c>
      <c r="HV33" s="71">
        <v>17242</v>
      </c>
      <c r="HW33" s="71">
        <v>1197</v>
      </c>
      <c r="HX33" s="71">
        <v>74046</v>
      </c>
      <c r="HY33" s="71">
        <v>1927</v>
      </c>
      <c r="HZ33" s="71">
        <v>53341</v>
      </c>
      <c r="IA33" s="71">
        <v>0</v>
      </c>
      <c r="IB33" s="71">
        <v>67344</v>
      </c>
      <c r="IC33" s="71">
        <v>8536</v>
      </c>
      <c r="ID33" s="71">
        <v>93890</v>
      </c>
      <c r="IE33" s="71">
        <v>287613</v>
      </c>
      <c r="IF33" s="71">
        <v>2651</v>
      </c>
      <c r="IG33" s="71">
        <v>3709</v>
      </c>
      <c r="IH33" s="71">
        <v>1368</v>
      </c>
      <c r="II33" s="71">
        <v>26811</v>
      </c>
      <c r="IJ33" s="71">
        <v>18470</v>
      </c>
      <c r="IK33" s="71">
        <v>0</v>
      </c>
      <c r="IL33" s="71">
        <v>256</v>
      </c>
      <c r="IM33" s="71">
        <v>3466</v>
      </c>
      <c r="IN33" s="71">
        <v>910626</v>
      </c>
      <c r="IO33" s="71">
        <v>1156</v>
      </c>
      <c r="IP33" s="71">
        <v>85556</v>
      </c>
      <c r="IQ33" s="71">
        <v>253922</v>
      </c>
      <c r="IR33" s="71">
        <v>93996</v>
      </c>
      <c r="IS33" s="71">
        <v>0</v>
      </c>
      <c r="IT33" s="71">
        <v>14395</v>
      </c>
      <c r="IU33" s="71">
        <v>9018</v>
      </c>
      <c r="IV33" s="71">
        <v>34106</v>
      </c>
      <c r="IW33" s="71">
        <v>274003</v>
      </c>
      <c r="IX33" s="71">
        <v>0</v>
      </c>
      <c r="IY33" s="71">
        <v>146187</v>
      </c>
      <c r="IZ33" s="71">
        <v>116689</v>
      </c>
      <c r="JA33" s="71">
        <v>12791</v>
      </c>
      <c r="JB33" s="71">
        <v>364092</v>
      </c>
      <c r="JC33" s="71">
        <v>6917</v>
      </c>
      <c r="JD33" s="71">
        <v>134919</v>
      </c>
      <c r="JE33" s="71">
        <v>0</v>
      </c>
      <c r="JF33" s="71">
        <v>353223</v>
      </c>
      <c r="JG33" s="71">
        <v>53882</v>
      </c>
      <c r="JH33" s="71">
        <v>186866</v>
      </c>
      <c r="JI33" s="71">
        <v>329669</v>
      </c>
      <c r="JJ33" s="71">
        <v>12824</v>
      </c>
      <c r="JK33" s="71">
        <v>7072</v>
      </c>
      <c r="JL33" s="71">
        <v>11060</v>
      </c>
      <c r="JM33" s="71">
        <v>153089</v>
      </c>
      <c r="JN33" s="71">
        <v>76045</v>
      </c>
      <c r="JO33" s="71">
        <v>0</v>
      </c>
      <c r="JP33" s="71">
        <v>19332</v>
      </c>
      <c r="JQ33" s="71">
        <v>24640</v>
      </c>
      <c r="JR33" s="71">
        <v>2775450</v>
      </c>
      <c r="JS33" s="71">
        <v>3532</v>
      </c>
      <c r="JT33" s="71">
        <v>277095</v>
      </c>
      <c r="JU33" s="71">
        <v>1147570</v>
      </c>
      <c r="JV33" s="71">
        <v>603305</v>
      </c>
      <c r="JW33" s="71">
        <v>0</v>
      </c>
      <c r="JX33" s="71">
        <v>73407</v>
      </c>
      <c r="JY33" s="71">
        <v>55873</v>
      </c>
      <c r="JZ33" s="71">
        <v>126038</v>
      </c>
      <c r="KA33" s="71">
        <v>675946</v>
      </c>
      <c r="KB33" s="71">
        <v>0</v>
      </c>
      <c r="KC33" s="71">
        <v>409351</v>
      </c>
      <c r="KD33" s="71">
        <v>314343</v>
      </c>
      <c r="KE33" s="71">
        <v>93839</v>
      </c>
      <c r="KF33" s="71">
        <v>1371484</v>
      </c>
      <c r="KG33" s="71">
        <v>6917</v>
      </c>
      <c r="KH33" s="71">
        <v>312274</v>
      </c>
      <c r="KI33" s="71">
        <v>0</v>
      </c>
      <c r="KJ33" s="71">
        <v>790008</v>
      </c>
      <c r="KK33" s="71">
        <v>283727</v>
      </c>
      <c r="KL33" s="71">
        <v>407535</v>
      </c>
      <c r="KM33" s="71">
        <v>464837</v>
      </c>
      <c r="KN33" s="71">
        <v>29766</v>
      </c>
      <c r="KO33" s="71">
        <v>19912</v>
      </c>
      <c r="KP33" s="71">
        <v>74570</v>
      </c>
      <c r="KQ33" s="71">
        <v>1030229</v>
      </c>
      <c r="KR33" s="71">
        <v>535563</v>
      </c>
      <c r="KS33" s="71">
        <v>0</v>
      </c>
      <c r="KT33" s="71">
        <v>201351</v>
      </c>
      <c r="KU33" s="71">
        <v>226683</v>
      </c>
      <c r="KV33" s="71">
        <v>9535156</v>
      </c>
      <c r="KW33" s="71" t="s">
        <v>1070</v>
      </c>
      <c r="KX33" s="71">
        <v>17543375</v>
      </c>
      <c r="KY33" s="71">
        <v>2188192</v>
      </c>
      <c r="KZ33" s="71">
        <v>19731567</v>
      </c>
      <c r="LA33" s="71">
        <v>0</v>
      </c>
      <c r="LB33" s="71">
        <v>570406</v>
      </c>
    </row>
    <row r="34" spans="1:314" x14ac:dyDescent="0.25">
      <c r="A34" s="71" t="s">
        <v>402</v>
      </c>
      <c r="B34" s="71" t="s">
        <v>1198</v>
      </c>
      <c r="C34" s="160" t="s">
        <v>1345</v>
      </c>
      <c r="D34" s="71" t="s">
        <v>1427</v>
      </c>
      <c r="E34" s="2">
        <v>41305.703993055555</v>
      </c>
      <c r="F34" s="71"/>
      <c r="G34" s="71" t="s">
        <v>1199</v>
      </c>
      <c r="H34" s="71" t="s">
        <v>1366</v>
      </c>
      <c r="I34" s="71" t="s">
        <v>1200</v>
      </c>
      <c r="J34" s="71" t="s">
        <v>1201</v>
      </c>
      <c r="K34" s="71" t="s">
        <v>1367</v>
      </c>
      <c r="L34" s="71">
        <v>0</v>
      </c>
      <c r="M34" s="71">
        <v>0</v>
      </c>
      <c r="N34" s="71">
        <v>0</v>
      </c>
      <c r="O34" s="71">
        <v>45354488</v>
      </c>
      <c r="P34" s="71">
        <v>0</v>
      </c>
      <c r="Q34" s="71">
        <v>363795</v>
      </c>
      <c r="R34" s="71">
        <v>0</v>
      </c>
      <c r="S34" s="71">
        <v>363795</v>
      </c>
      <c r="T34" s="71">
        <v>4112390</v>
      </c>
      <c r="U34" s="71">
        <v>3908010</v>
      </c>
      <c r="V34" s="71">
        <v>3645502</v>
      </c>
      <c r="W34" s="71">
        <v>0</v>
      </c>
      <c r="X34" s="71">
        <v>9370</v>
      </c>
      <c r="Y34" s="71">
        <v>0</v>
      </c>
      <c r="Z34" s="71">
        <v>11675272</v>
      </c>
      <c r="AA34" s="71">
        <v>795509</v>
      </c>
      <c r="AB34" s="71">
        <v>1619255</v>
      </c>
      <c r="AC34" s="71">
        <v>1068978</v>
      </c>
      <c r="AD34" s="71">
        <v>0</v>
      </c>
      <c r="AE34" s="71">
        <v>2993734</v>
      </c>
      <c r="AF34" s="71">
        <v>1114112</v>
      </c>
      <c r="AG34" s="71">
        <v>7591588</v>
      </c>
      <c r="AH34" s="71">
        <v>4907899</v>
      </c>
      <c r="AI34" s="71">
        <v>5527265</v>
      </c>
      <c r="AJ34" s="71">
        <v>4714480</v>
      </c>
      <c r="AK34" s="71">
        <v>0</v>
      </c>
      <c r="AL34" s="71">
        <v>3003104</v>
      </c>
      <c r="AM34" s="71">
        <v>1114112</v>
      </c>
      <c r="AN34" s="71">
        <v>19266860</v>
      </c>
      <c r="AO34" s="71">
        <v>0</v>
      </c>
      <c r="AP34" s="71">
        <v>0</v>
      </c>
      <c r="AQ34" s="71">
        <v>0</v>
      </c>
      <c r="AR34" s="71">
        <v>0</v>
      </c>
      <c r="AS34" s="71">
        <v>0</v>
      </c>
      <c r="AT34" s="71">
        <v>0</v>
      </c>
      <c r="AU34" s="71">
        <v>0</v>
      </c>
      <c r="AV34" s="71">
        <v>2840</v>
      </c>
      <c r="AW34" s="71">
        <v>0</v>
      </c>
      <c r="AX34" s="71">
        <v>2840</v>
      </c>
      <c r="AY34" s="71">
        <v>0</v>
      </c>
      <c r="AZ34" s="71">
        <v>0</v>
      </c>
      <c r="BA34" s="71">
        <v>2840</v>
      </c>
      <c r="BB34" s="71">
        <v>0</v>
      </c>
      <c r="BC34" s="71">
        <v>2840</v>
      </c>
      <c r="BD34" s="71">
        <v>1473953</v>
      </c>
      <c r="BE34" s="71">
        <v>0</v>
      </c>
      <c r="BF34" s="71">
        <v>0</v>
      </c>
      <c r="BG34" s="71">
        <v>0</v>
      </c>
      <c r="BH34" s="71">
        <v>0</v>
      </c>
      <c r="BI34" s="71">
        <v>1473953</v>
      </c>
      <c r="BJ34" s="71">
        <v>0</v>
      </c>
      <c r="BK34" s="71">
        <v>0</v>
      </c>
      <c r="BL34" s="71">
        <v>714641</v>
      </c>
      <c r="BM34" s="71">
        <v>0</v>
      </c>
      <c r="BN34" s="71">
        <v>0</v>
      </c>
      <c r="BO34" s="71">
        <v>714641</v>
      </c>
      <c r="BP34" s="71">
        <v>2641355</v>
      </c>
      <c r="BQ34" s="71">
        <v>0</v>
      </c>
      <c r="BR34" s="71">
        <v>0</v>
      </c>
      <c r="BS34" s="71">
        <v>0</v>
      </c>
      <c r="BT34" s="71">
        <v>120697</v>
      </c>
      <c r="BU34" s="71">
        <v>2762052</v>
      </c>
      <c r="BV34" s="71">
        <v>4115308</v>
      </c>
      <c r="BW34" s="71">
        <v>0</v>
      </c>
      <c r="BX34" s="71">
        <v>714641</v>
      </c>
      <c r="BY34" s="71">
        <v>0</v>
      </c>
      <c r="BZ34" s="71">
        <v>120697</v>
      </c>
      <c r="CA34" s="71">
        <v>4950646</v>
      </c>
      <c r="CB34" s="71">
        <v>0</v>
      </c>
      <c r="CC34" s="71">
        <v>0</v>
      </c>
      <c r="CD34" s="71">
        <v>0</v>
      </c>
      <c r="CE34" s="71">
        <v>0</v>
      </c>
      <c r="CF34" s="71">
        <v>0</v>
      </c>
      <c r="CG34" s="71">
        <v>0</v>
      </c>
      <c r="CH34" s="71">
        <v>0</v>
      </c>
      <c r="CI34" s="71">
        <v>0</v>
      </c>
      <c r="CJ34" s="71">
        <v>0</v>
      </c>
      <c r="CK34" s="71">
        <v>0</v>
      </c>
      <c r="CL34" s="71">
        <v>0</v>
      </c>
      <c r="CM34" s="71">
        <v>0</v>
      </c>
      <c r="CN34" s="71">
        <v>0</v>
      </c>
      <c r="CO34" s="71">
        <v>0</v>
      </c>
      <c r="CP34" s="71">
        <v>0</v>
      </c>
      <c r="CQ34" s="71">
        <v>0</v>
      </c>
      <c r="CR34" s="71" t="s">
        <v>402</v>
      </c>
      <c r="CS34" s="71">
        <v>363795</v>
      </c>
      <c r="CT34" s="71">
        <v>0</v>
      </c>
      <c r="CU34" s="71">
        <v>43328</v>
      </c>
      <c r="CV34" s="71">
        <v>326288</v>
      </c>
      <c r="CW34" s="71">
        <v>108304</v>
      </c>
      <c r="CX34" s="71">
        <v>147280</v>
      </c>
      <c r="CY34" s="71">
        <v>90336</v>
      </c>
      <c r="CZ34" s="71">
        <v>123248</v>
      </c>
      <c r="DA34" s="71">
        <v>375376</v>
      </c>
      <c r="DB34" s="71">
        <v>195118</v>
      </c>
      <c r="DC34" s="71">
        <v>64536</v>
      </c>
      <c r="DD34" s="71">
        <v>0</v>
      </c>
      <c r="DE34" s="71">
        <v>696236</v>
      </c>
      <c r="DF34" s="71">
        <v>125280</v>
      </c>
      <c r="DG34" s="71">
        <v>9840</v>
      </c>
      <c r="DH34" s="71">
        <v>144416</v>
      </c>
      <c r="DI34" s="71">
        <v>0</v>
      </c>
      <c r="DJ34" s="71">
        <v>49408</v>
      </c>
      <c r="DK34" s="71">
        <v>0</v>
      </c>
      <c r="DL34" s="71">
        <v>0</v>
      </c>
      <c r="DM34" s="71">
        <v>69120</v>
      </c>
      <c r="DN34" s="71">
        <v>320095</v>
      </c>
      <c r="DO34" s="71">
        <v>305648</v>
      </c>
      <c r="DP34" s="71">
        <v>251280</v>
      </c>
      <c r="DQ34" s="71">
        <v>0</v>
      </c>
      <c r="DR34" s="71">
        <v>13152</v>
      </c>
      <c r="DS34" s="71">
        <v>83184</v>
      </c>
      <c r="DT34" s="71">
        <v>105360</v>
      </c>
      <c r="DU34" s="71">
        <v>0</v>
      </c>
      <c r="DV34" s="71">
        <v>144704</v>
      </c>
      <c r="DW34" s="71">
        <v>228688</v>
      </c>
      <c r="DX34" s="71">
        <v>4020225</v>
      </c>
      <c r="DY34" s="71">
        <v>221409</v>
      </c>
      <c r="DZ34" s="71">
        <v>899287</v>
      </c>
      <c r="EA34" s="71">
        <v>462044</v>
      </c>
      <c r="EB34" s="71">
        <v>217662</v>
      </c>
      <c r="EC34" s="71">
        <v>860594</v>
      </c>
      <c r="ED34" s="71">
        <v>207455</v>
      </c>
      <c r="EE34" s="71">
        <v>802402</v>
      </c>
      <c r="EF34" s="71">
        <v>400193</v>
      </c>
      <c r="EG34" s="71">
        <v>347638</v>
      </c>
      <c r="EH34" s="71">
        <v>0</v>
      </c>
      <c r="EI34" s="71">
        <v>3327023</v>
      </c>
      <c r="EJ34" s="71">
        <v>235493</v>
      </c>
      <c r="EK34" s="71">
        <v>17743</v>
      </c>
      <c r="EL34" s="71">
        <v>252419</v>
      </c>
      <c r="EM34" s="71">
        <v>0</v>
      </c>
      <c r="EN34" s="71">
        <v>84194</v>
      </c>
      <c r="EO34" s="71">
        <v>0</v>
      </c>
      <c r="EP34" s="71">
        <v>0</v>
      </c>
      <c r="EQ34" s="71">
        <v>231308</v>
      </c>
      <c r="ER34" s="71">
        <v>1236509</v>
      </c>
      <c r="ES34" s="71">
        <v>806372</v>
      </c>
      <c r="ET34" s="71">
        <v>245780</v>
      </c>
      <c r="EU34" s="71">
        <v>0</v>
      </c>
      <c r="EV34" s="71">
        <v>569</v>
      </c>
      <c r="EW34" s="71">
        <v>364223</v>
      </c>
      <c r="EX34" s="71">
        <v>643176</v>
      </c>
      <c r="EY34" s="71">
        <v>0</v>
      </c>
      <c r="EZ34" s="71">
        <v>491436</v>
      </c>
      <c r="FA34" s="71">
        <v>469337</v>
      </c>
      <c r="FB34" s="71">
        <v>12824266</v>
      </c>
      <c r="FC34" s="71">
        <v>89436</v>
      </c>
      <c r="FD34" s="71">
        <v>306809</v>
      </c>
      <c r="FE34" s="71">
        <v>86483</v>
      </c>
      <c r="FF34" s="71">
        <v>84878</v>
      </c>
      <c r="FG34" s="71">
        <v>280335</v>
      </c>
      <c r="FH34" s="71">
        <v>59167</v>
      </c>
      <c r="FI34" s="71">
        <v>194556</v>
      </c>
      <c r="FJ34" s="71">
        <v>97638</v>
      </c>
      <c r="FK34" s="71">
        <v>62587</v>
      </c>
      <c r="FL34" s="71">
        <v>0</v>
      </c>
      <c r="FM34" s="71">
        <v>876705</v>
      </c>
      <c r="FN34" s="71">
        <v>71289</v>
      </c>
      <c r="FO34" s="71">
        <v>5553</v>
      </c>
      <c r="FP34" s="71">
        <v>93636</v>
      </c>
      <c r="FQ34" s="71">
        <v>0</v>
      </c>
      <c r="FR34" s="71">
        <v>31792</v>
      </c>
      <c r="FS34" s="71">
        <v>0</v>
      </c>
      <c r="FT34" s="71">
        <v>0</v>
      </c>
      <c r="FU34" s="71">
        <v>44422</v>
      </c>
      <c r="FV34" s="71">
        <v>282086</v>
      </c>
      <c r="FW34" s="71">
        <v>340048</v>
      </c>
      <c r="FX34" s="71">
        <v>128368</v>
      </c>
      <c r="FY34" s="71">
        <v>0</v>
      </c>
      <c r="FZ34" s="71">
        <v>6015</v>
      </c>
      <c r="GA34" s="71">
        <v>107956</v>
      </c>
      <c r="GB34" s="71">
        <v>62286</v>
      </c>
      <c r="GC34" s="71">
        <v>0</v>
      </c>
      <c r="GD34" s="71">
        <v>93400</v>
      </c>
      <c r="GE34" s="71">
        <v>132531</v>
      </c>
      <c r="GF34" s="71">
        <v>3537976</v>
      </c>
      <c r="GG34" s="71">
        <v>6911</v>
      </c>
      <c r="GH34" s="71">
        <v>26816</v>
      </c>
      <c r="GI34" s="71">
        <v>12196</v>
      </c>
      <c r="GJ34" s="71">
        <v>6727</v>
      </c>
      <c r="GK34" s="71">
        <v>25367</v>
      </c>
      <c r="GL34" s="71">
        <v>5928</v>
      </c>
      <c r="GM34" s="71">
        <v>22166</v>
      </c>
      <c r="GN34" s="71">
        <v>11069</v>
      </c>
      <c r="GO34" s="71">
        <v>9121</v>
      </c>
      <c r="GP34" s="71">
        <v>0</v>
      </c>
      <c r="GQ34" s="71">
        <v>93465</v>
      </c>
      <c r="GR34" s="71">
        <v>6821</v>
      </c>
      <c r="GS34" s="71">
        <v>518</v>
      </c>
      <c r="GT34" s="71">
        <v>7694</v>
      </c>
      <c r="GU34" s="71">
        <v>0</v>
      </c>
      <c r="GV34" s="71">
        <v>2579</v>
      </c>
      <c r="GW34" s="71">
        <v>0</v>
      </c>
      <c r="GX34" s="71">
        <v>0</v>
      </c>
      <c r="GY34" s="71">
        <v>6131</v>
      </c>
      <c r="GZ34" s="71">
        <v>33764</v>
      </c>
      <c r="HA34" s="71">
        <v>25489</v>
      </c>
      <c r="HB34" s="71">
        <v>8319</v>
      </c>
      <c r="HC34" s="71">
        <v>0</v>
      </c>
      <c r="HD34" s="71">
        <v>146</v>
      </c>
      <c r="HE34" s="71">
        <v>10498</v>
      </c>
      <c r="HF34" s="71">
        <v>15685</v>
      </c>
      <c r="HG34" s="71">
        <v>0</v>
      </c>
      <c r="HH34" s="71">
        <v>13003</v>
      </c>
      <c r="HI34" s="71">
        <v>13382</v>
      </c>
      <c r="HJ34" s="71">
        <v>363795</v>
      </c>
      <c r="HK34" s="71">
        <v>57748</v>
      </c>
      <c r="HL34" s="71">
        <v>300423</v>
      </c>
      <c r="HM34" s="71">
        <v>64420</v>
      </c>
      <c r="HN34" s="71">
        <v>68235</v>
      </c>
      <c r="HO34" s="71">
        <v>914435</v>
      </c>
      <c r="HP34" s="71">
        <v>106091</v>
      </c>
      <c r="HQ34" s="71">
        <v>391793</v>
      </c>
      <c r="HR34" s="71">
        <v>195160</v>
      </c>
      <c r="HS34" s="71">
        <v>324533</v>
      </c>
      <c r="HT34" s="71">
        <v>0</v>
      </c>
      <c r="HU34" s="71">
        <v>884140</v>
      </c>
      <c r="HV34" s="71">
        <v>79691</v>
      </c>
      <c r="HW34" s="71">
        <v>49147</v>
      </c>
      <c r="HX34" s="71">
        <v>197771</v>
      </c>
      <c r="HY34" s="71">
        <v>0</v>
      </c>
      <c r="HZ34" s="71">
        <v>47310</v>
      </c>
      <c r="IA34" s="71">
        <v>0</v>
      </c>
      <c r="IB34" s="71">
        <v>0</v>
      </c>
      <c r="IC34" s="71">
        <v>48059</v>
      </c>
      <c r="ID34" s="71">
        <v>304531</v>
      </c>
      <c r="IE34" s="71">
        <v>455680</v>
      </c>
      <c r="IF34" s="71">
        <v>312748</v>
      </c>
      <c r="IG34" s="71">
        <v>0</v>
      </c>
      <c r="IH34" s="71">
        <v>107016</v>
      </c>
      <c r="II34" s="71">
        <v>54135</v>
      </c>
      <c r="IJ34" s="71">
        <v>124732</v>
      </c>
      <c r="IK34" s="71">
        <v>0</v>
      </c>
      <c r="IL34" s="71">
        <v>86307</v>
      </c>
      <c r="IM34" s="71">
        <v>105014</v>
      </c>
      <c r="IN34" s="71">
        <v>5279119</v>
      </c>
      <c r="IO34" s="71">
        <v>154095</v>
      </c>
      <c r="IP34" s="71">
        <v>634048</v>
      </c>
      <c r="IQ34" s="71">
        <v>163099</v>
      </c>
      <c r="IR34" s="71">
        <v>159840</v>
      </c>
      <c r="IS34" s="71">
        <v>1220137</v>
      </c>
      <c r="IT34" s="71">
        <v>171186</v>
      </c>
      <c r="IU34" s="71">
        <v>608515</v>
      </c>
      <c r="IV34" s="71">
        <v>303867</v>
      </c>
      <c r="IW34" s="71">
        <v>396241</v>
      </c>
      <c r="IX34" s="71">
        <v>0</v>
      </c>
      <c r="IY34" s="71">
        <v>1854310</v>
      </c>
      <c r="IZ34" s="71">
        <v>157801</v>
      </c>
      <c r="JA34" s="71">
        <v>55218</v>
      </c>
      <c r="JB34" s="71">
        <v>299101</v>
      </c>
      <c r="JC34" s="71">
        <v>0</v>
      </c>
      <c r="JD34" s="71">
        <v>81681</v>
      </c>
      <c r="JE34" s="71">
        <v>0</v>
      </c>
      <c r="JF34" s="71">
        <v>0</v>
      </c>
      <c r="JG34" s="71">
        <v>98612</v>
      </c>
      <c r="JH34" s="71">
        <v>620381</v>
      </c>
      <c r="JI34" s="71">
        <v>821217</v>
      </c>
      <c r="JJ34" s="71">
        <v>449435</v>
      </c>
      <c r="JK34" s="71">
        <v>0</v>
      </c>
      <c r="JL34" s="71">
        <v>113177</v>
      </c>
      <c r="JM34" s="71">
        <v>172589</v>
      </c>
      <c r="JN34" s="71">
        <v>202703</v>
      </c>
      <c r="JO34" s="71">
        <v>0</v>
      </c>
      <c r="JP34" s="71">
        <v>192710</v>
      </c>
      <c r="JQ34" s="71">
        <v>250927</v>
      </c>
      <c r="JR34" s="71">
        <v>9180890</v>
      </c>
      <c r="JS34" s="71">
        <v>375504</v>
      </c>
      <c r="JT34" s="71">
        <v>1533335</v>
      </c>
      <c r="JU34" s="71">
        <v>625143</v>
      </c>
      <c r="JV34" s="71">
        <v>377502</v>
      </c>
      <c r="JW34" s="71">
        <v>2080731</v>
      </c>
      <c r="JX34" s="71">
        <v>378641</v>
      </c>
      <c r="JY34" s="71">
        <v>1410917</v>
      </c>
      <c r="JZ34" s="71">
        <v>704060</v>
      </c>
      <c r="KA34" s="71">
        <v>743879</v>
      </c>
      <c r="KB34" s="71">
        <v>0</v>
      </c>
      <c r="KC34" s="71">
        <v>5181333</v>
      </c>
      <c r="KD34" s="71">
        <v>393294</v>
      </c>
      <c r="KE34" s="71">
        <v>72961</v>
      </c>
      <c r="KF34" s="71">
        <v>551520</v>
      </c>
      <c r="KG34" s="71">
        <v>0</v>
      </c>
      <c r="KH34" s="71">
        <v>165875</v>
      </c>
      <c r="KI34" s="71">
        <v>0</v>
      </c>
      <c r="KJ34" s="71">
        <v>0</v>
      </c>
      <c r="KK34" s="71">
        <v>329920</v>
      </c>
      <c r="KL34" s="71">
        <v>1856890</v>
      </c>
      <c r="KM34" s="71">
        <v>1627589</v>
      </c>
      <c r="KN34" s="71">
        <v>695215</v>
      </c>
      <c r="KO34" s="71">
        <v>0</v>
      </c>
      <c r="KP34" s="71">
        <v>113746</v>
      </c>
      <c r="KQ34" s="71">
        <v>536812</v>
      </c>
      <c r="KR34" s="71">
        <v>845879</v>
      </c>
      <c r="KS34" s="71">
        <v>0</v>
      </c>
      <c r="KT34" s="71">
        <v>684146</v>
      </c>
      <c r="KU34" s="71">
        <v>720264</v>
      </c>
      <c r="KV34" s="71">
        <v>22005156</v>
      </c>
      <c r="KW34" s="71" t="s">
        <v>1070</v>
      </c>
      <c r="KX34" s="71">
        <v>41635811</v>
      </c>
      <c r="KY34" s="71">
        <v>4953486</v>
      </c>
      <c r="KZ34" s="71">
        <v>46589297</v>
      </c>
      <c r="LA34" s="71">
        <v>0</v>
      </c>
      <c r="LB34" s="71">
        <v>1234809</v>
      </c>
    </row>
    <row r="35" spans="1:314" x14ac:dyDescent="0.25">
      <c r="A35" s="71" t="s">
        <v>403</v>
      </c>
      <c r="B35" s="71" t="s">
        <v>1202</v>
      </c>
      <c r="C35" s="160" t="s">
        <v>1345</v>
      </c>
      <c r="D35" s="71" t="s">
        <v>1398</v>
      </c>
      <c r="E35" s="2">
        <v>41303.461076388892</v>
      </c>
      <c r="F35" s="71"/>
      <c r="G35" s="71" t="s">
        <v>404</v>
      </c>
      <c r="H35" s="71" t="s">
        <v>1386</v>
      </c>
      <c r="I35" s="71" t="s">
        <v>1387</v>
      </c>
      <c r="J35" s="71" t="s">
        <v>1388</v>
      </c>
      <c r="K35" s="71" t="s">
        <v>1389</v>
      </c>
      <c r="L35" s="71">
        <v>0</v>
      </c>
      <c r="M35" s="71">
        <v>0</v>
      </c>
      <c r="N35" s="71">
        <v>0</v>
      </c>
      <c r="O35" s="71">
        <v>52186916</v>
      </c>
      <c r="P35" s="71">
        <v>0</v>
      </c>
      <c r="Q35" s="71">
        <v>2359283</v>
      </c>
      <c r="R35" s="71">
        <v>0</v>
      </c>
      <c r="S35" s="71">
        <v>2359283</v>
      </c>
      <c r="T35" s="71">
        <v>2772370</v>
      </c>
      <c r="U35" s="71">
        <v>5509257</v>
      </c>
      <c r="V35" s="71">
        <v>3340611</v>
      </c>
      <c r="W35" s="71">
        <v>0</v>
      </c>
      <c r="X35" s="71">
        <v>11126</v>
      </c>
      <c r="Y35" s="71">
        <v>0</v>
      </c>
      <c r="Z35" s="71">
        <v>11633364</v>
      </c>
      <c r="AA35" s="71">
        <v>4613206</v>
      </c>
      <c r="AB35" s="71">
        <v>1882809</v>
      </c>
      <c r="AC35" s="71">
        <v>1691959</v>
      </c>
      <c r="AD35" s="71">
        <v>0</v>
      </c>
      <c r="AE35" s="71">
        <v>2348833</v>
      </c>
      <c r="AF35" s="71">
        <v>0</v>
      </c>
      <c r="AG35" s="71">
        <v>10536807</v>
      </c>
      <c r="AH35" s="71">
        <v>7385576</v>
      </c>
      <c r="AI35" s="71">
        <v>7392066</v>
      </c>
      <c r="AJ35" s="71">
        <v>5032570</v>
      </c>
      <c r="AK35" s="71">
        <v>0</v>
      </c>
      <c r="AL35" s="71">
        <v>2359959</v>
      </c>
      <c r="AM35" s="71">
        <v>0</v>
      </c>
      <c r="AN35" s="71">
        <v>22170171</v>
      </c>
      <c r="AO35" s="71">
        <v>0</v>
      </c>
      <c r="AP35" s="71">
        <v>0</v>
      </c>
      <c r="AQ35" s="71">
        <v>322504</v>
      </c>
      <c r="AR35" s="71">
        <v>0</v>
      </c>
      <c r="AS35" s="71">
        <v>322504</v>
      </c>
      <c r="AT35" s="71">
        <v>0</v>
      </c>
      <c r="AU35" s="71">
        <v>0</v>
      </c>
      <c r="AV35" s="71">
        <v>127896</v>
      </c>
      <c r="AW35" s="71">
        <v>0</v>
      </c>
      <c r="AX35" s="71">
        <v>127896</v>
      </c>
      <c r="AY35" s="71">
        <v>0</v>
      </c>
      <c r="AZ35" s="71">
        <v>0</v>
      </c>
      <c r="BA35" s="71">
        <v>450400</v>
      </c>
      <c r="BB35" s="71">
        <v>0</v>
      </c>
      <c r="BC35" s="71">
        <v>450400</v>
      </c>
      <c r="BD35" s="71">
        <v>1502272</v>
      </c>
      <c r="BE35" s="71">
        <v>0</v>
      </c>
      <c r="BF35" s="71">
        <v>0</v>
      </c>
      <c r="BG35" s="71">
        <v>0</v>
      </c>
      <c r="BH35" s="71">
        <v>0</v>
      </c>
      <c r="BI35" s="71">
        <v>1502272</v>
      </c>
      <c r="BJ35" s="71">
        <v>0</v>
      </c>
      <c r="BK35" s="71">
        <v>0</v>
      </c>
      <c r="BL35" s="71">
        <v>404478</v>
      </c>
      <c r="BM35" s="71">
        <v>0</v>
      </c>
      <c r="BN35" s="71">
        <v>0</v>
      </c>
      <c r="BO35" s="71">
        <v>404478</v>
      </c>
      <c r="BP35" s="71">
        <v>3128626</v>
      </c>
      <c r="BQ35" s="71">
        <v>59282</v>
      </c>
      <c r="BR35" s="71">
        <v>0</v>
      </c>
      <c r="BS35" s="71">
        <v>0</v>
      </c>
      <c r="BT35" s="71">
        <v>250355</v>
      </c>
      <c r="BU35" s="71">
        <v>3438263</v>
      </c>
      <c r="BV35" s="71">
        <v>4630898</v>
      </c>
      <c r="BW35" s="71">
        <v>59282</v>
      </c>
      <c r="BX35" s="71">
        <v>404478</v>
      </c>
      <c r="BY35" s="71">
        <v>0</v>
      </c>
      <c r="BZ35" s="71">
        <v>250355</v>
      </c>
      <c r="CA35" s="71">
        <v>5345013</v>
      </c>
      <c r="CB35" s="71">
        <v>0</v>
      </c>
      <c r="CC35" s="71">
        <v>0</v>
      </c>
      <c r="CD35" s="71">
        <v>0</v>
      </c>
      <c r="CE35" s="71">
        <v>0</v>
      </c>
      <c r="CF35" s="71">
        <v>0</v>
      </c>
      <c r="CG35" s="71">
        <v>0</v>
      </c>
      <c r="CH35" s="71">
        <v>0</v>
      </c>
      <c r="CI35" s="71">
        <v>0</v>
      </c>
      <c r="CJ35" s="71">
        <v>0</v>
      </c>
      <c r="CK35" s="71">
        <v>0</v>
      </c>
      <c r="CL35" s="71">
        <v>0</v>
      </c>
      <c r="CM35" s="71">
        <v>0</v>
      </c>
      <c r="CN35" s="71">
        <v>0</v>
      </c>
      <c r="CO35" s="71">
        <v>0</v>
      </c>
      <c r="CP35" s="71">
        <v>0</v>
      </c>
      <c r="CQ35" s="71">
        <v>0</v>
      </c>
      <c r="CR35" s="71" t="s">
        <v>403</v>
      </c>
      <c r="CS35" s="71">
        <v>3056132</v>
      </c>
      <c r="CT35" s="71">
        <v>0</v>
      </c>
      <c r="CU35" s="71">
        <v>19632</v>
      </c>
      <c r="CV35" s="71">
        <v>13448</v>
      </c>
      <c r="CW35" s="71">
        <v>469328</v>
      </c>
      <c r="CX35" s="71">
        <v>144128</v>
      </c>
      <c r="CY35" s="71">
        <v>0</v>
      </c>
      <c r="CZ35" s="71">
        <v>14825</v>
      </c>
      <c r="DA35" s="71">
        <v>85069</v>
      </c>
      <c r="DB35" s="71">
        <v>6192</v>
      </c>
      <c r="DC35" s="71">
        <v>75504</v>
      </c>
      <c r="DD35" s="71">
        <v>7616</v>
      </c>
      <c r="DE35" s="71">
        <v>94622</v>
      </c>
      <c r="DF35" s="71">
        <v>292197</v>
      </c>
      <c r="DG35" s="71">
        <v>234096</v>
      </c>
      <c r="DH35" s="71">
        <v>153328</v>
      </c>
      <c r="DI35" s="71">
        <v>0</v>
      </c>
      <c r="DJ35" s="71">
        <v>171781</v>
      </c>
      <c r="DK35" s="71">
        <v>30608</v>
      </c>
      <c r="DL35" s="71">
        <v>71680</v>
      </c>
      <c r="DM35" s="71">
        <v>235511</v>
      </c>
      <c r="DN35" s="71">
        <v>76080</v>
      </c>
      <c r="DO35" s="71">
        <v>0</v>
      </c>
      <c r="DP35" s="71">
        <v>5968</v>
      </c>
      <c r="DQ35" s="71">
        <v>84368</v>
      </c>
      <c r="DR35" s="71">
        <v>117188</v>
      </c>
      <c r="DS35" s="71">
        <v>588432</v>
      </c>
      <c r="DT35" s="71">
        <v>239216</v>
      </c>
      <c r="DU35" s="71">
        <v>0</v>
      </c>
      <c r="DV35" s="71">
        <v>216912</v>
      </c>
      <c r="DW35" s="71">
        <v>154416</v>
      </c>
      <c r="DX35" s="71">
        <v>3602145</v>
      </c>
      <c r="DY35" s="71">
        <v>30872</v>
      </c>
      <c r="DZ35" s="71">
        <v>25949</v>
      </c>
      <c r="EA35" s="71">
        <v>1176406</v>
      </c>
      <c r="EB35" s="71">
        <v>1336415</v>
      </c>
      <c r="EC35" s="71">
        <v>0</v>
      </c>
      <c r="ED35" s="71">
        <v>19964</v>
      </c>
      <c r="EE35" s="71">
        <v>303226</v>
      </c>
      <c r="EF35" s="71">
        <v>29312</v>
      </c>
      <c r="EG35" s="71">
        <v>1216889</v>
      </c>
      <c r="EH35" s="71">
        <v>548293</v>
      </c>
      <c r="EI35" s="71">
        <v>481798</v>
      </c>
      <c r="EJ35" s="71">
        <v>870215</v>
      </c>
      <c r="EK35" s="71">
        <v>699265</v>
      </c>
      <c r="EL35" s="71">
        <v>1254249</v>
      </c>
      <c r="EM35" s="71">
        <v>0</v>
      </c>
      <c r="EN35" s="71">
        <v>1285909</v>
      </c>
      <c r="EO35" s="71">
        <v>285630</v>
      </c>
      <c r="EP35" s="71">
        <v>563654</v>
      </c>
      <c r="EQ35" s="71">
        <v>379670</v>
      </c>
      <c r="ER35" s="71">
        <v>357912</v>
      </c>
      <c r="ES35" s="71">
        <v>0</v>
      </c>
      <c r="ET35" s="71">
        <v>25536</v>
      </c>
      <c r="EU35" s="71">
        <v>266803</v>
      </c>
      <c r="EV35" s="71">
        <v>335856</v>
      </c>
      <c r="EW35" s="71">
        <v>1752019</v>
      </c>
      <c r="EX35" s="71">
        <v>1221255</v>
      </c>
      <c r="EY35" s="71">
        <v>0</v>
      </c>
      <c r="EZ35" s="71">
        <v>344621</v>
      </c>
      <c r="FA35" s="71">
        <v>322668</v>
      </c>
      <c r="FB35" s="71">
        <v>15134386</v>
      </c>
      <c r="FC35" s="71">
        <v>65608</v>
      </c>
      <c r="FD35" s="71">
        <v>2186</v>
      </c>
      <c r="FE35" s="71">
        <v>474042</v>
      </c>
      <c r="FF35" s="71">
        <v>179816</v>
      </c>
      <c r="FG35" s="71">
        <v>0</v>
      </c>
      <c r="FH35" s="71">
        <v>1361</v>
      </c>
      <c r="FI35" s="71">
        <v>98923</v>
      </c>
      <c r="FJ35" s="71">
        <v>6185</v>
      </c>
      <c r="FK35" s="71">
        <v>166976</v>
      </c>
      <c r="FL35" s="71">
        <v>66954</v>
      </c>
      <c r="FM35" s="71">
        <v>90065</v>
      </c>
      <c r="FN35" s="71">
        <v>98866</v>
      </c>
      <c r="FO35" s="71">
        <v>99887</v>
      </c>
      <c r="FP35" s="71">
        <v>221488</v>
      </c>
      <c r="FQ35" s="71">
        <v>0</v>
      </c>
      <c r="FR35" s="71">
        <v>284459</v>
      </c>
      <c r="FS35" s="71">
        <v>63067</v>
      </c>
      <c r="FT35" s="71">
        <v>92306</v>
      </c>
      <c r="FU35" s="71">
        <v>241098</v>
      </c>
      <c r="FV35" s="71">
        <v>75522</v>
      </c>
      <c r="FW35" s="71">
        <v>0</v>
      </c>
      <c r="FX35" s="71">
        <v>6388</v>
      </c>
      <c r="FY35" s="71">
        <v>75967</v>
      </c>
      <c r="FZ35" s="71">
        <v>49774</v>
      </c>
      <c r="GA35" s="71">
        <v>153375</v>
      </c>
      <c r="GB35" s="71">
        <v>284940</v>
      </c>
      <c r="GC35" s="71">
        <v>0</v>
      </c>
      <c r="GD35" s="71">
        <v>220616</v>
      </c>
      <c r="GE35" s="71">
        <v>44365</v>
      </c>
      <c r="GF35" s="71">
        <v>3164234</v>
      </c>
      <c r="GG35" s="71">
        <v>16114</v>
      </c>
      <c r="GH35" s="71">
        <v>4699</v>
      </c>
      <c r="GI35" s="71">
        <v>275648</v>
      </c>
      <c r="GJ35" s="71">
        <v>253232</v>
      </c>
      <c r="GK35" s="71">
        <v>0</v>
      </c>
      <c r="GL35" s="71">
        <v>3562</v>
      </c>
      <c r="GM35" s="71">
        <v>67165</v>
      </c>
      <c r="GN35" s="71">
        <v>5929</v>
      </c>
      <c r="GO35" s="71">
        <v>231125</v>
      </c>
      <c r="GP35" s="71">
        <v>102755</v>
      </c>
      <c r="GQ35" s="71">
        <v>95509</v>
      </c>
      <c r="GR35" s="71">
        <v>161850</v>
      </c>
      <c r="GS35" s="71">
        <v>133470</v>
      </c>
      <c r="GT35" s="71">
        <v>246469</v>
      </c>
      <c r="GU35" s="71">
        <v>0</v>
      </c>
      <c r="GV35" s="71">
        <v>262274</v>
      </c>
      <c r="GW35" s="71">
        <v>58237</v>
      </c>
      <c r="GX35" s="71">
        <v>109555</v>
      </c>
      <c r="GY35" s="71">
        <v>103677</v>
      </c>
      <c r="GZ35" s="71">
        <v>72390</v>
      </c>
      <c r="HA35" s="71">
        <v>0</v>
      </c>
      <c r="HB35" s="71">
        <v>5332</v>
      </c>
      <c r="HC35" s="71">
        <v>57248</v>
      </c>
      <c r="HD35" s="71">
        <v>64406</v>
      </c>
      <c r="HE35" s="71">
        <v>318228</v>
      </c>
      <c r="HF35" s="71">
        <v>251556</v>
      </c>
      <c r="HG35" s="71">
        <v>0</v>
      </c>
      <c r="HH35" s="71">
        <v>94403</v>
      </c>
      <c r="HI35" s="71">
        <v>61300</v>
      </c>
      <c r="HJ35" s="71">
        <v>3056132</v>
      </c>
      <c r="HK35" s="71">
        <v>1138</v>
      </c>
      <c r="HL35" s="71">
        <v>1005</v>
      </c>
      <c r="HM35" s="71">
        <v>175629</v>
      </c>
      <c r="HN35" s="71">
        <v>41407</v>
      </c>
      <c r="HO35" s="71">
        <v>0</v>
      </c>
      <c r="HP35" s="71">
        <v>442</v>
      </c>
      <c r="HQ35" s="71">
        <v>50545</v>
      </c>
      <c r="HR35" s="71">
        <v>1632</v>
      </c>
      <c r="HS35" s="71">
        <v>26906</v>
      </c>
      <c r="HT35" s="71">
        <v>8746</v>
      </c>
      <c r="HU35" s="71">
        <v>22755</v>
      </c>
      <c r="HV35" s="71">
        <v>26403</v>
      </c>
      <c r="HW35" s="71">
        <v>14791</v>
      </c>
      <c r="HX35" s="71">
        <v>33852</v>
      </c>
      <c r="HY35" s="71">
        <v>0</v>
      </c>
      <c r="HZ35" s="71">
        <v>65967</v>
      </c>
      <c r="IA35" s="71">
        <v>15011</v>
      </c>
      <c r="IB35" s="71">
        <v>11032</v>
      </c>
      <c r="IC35" s="71">
        <v>9668</v>
      </c>
      <c r="ID35" s="71">
        <v>19934</v>
      </c>
      <c r="IE35" s="71">
        <v>0</v>
      </c>
      <c r="IF35" s="71">
        <v>2389</v>
      </c>
      <c r="IG35" s="71">
        <v>11247</v>
      </c>
      <c r="IH35" s="71">
        <v>10807</v>
      </c>
      <c r="II35" s="71">
        <v>51277</v>
      </c>
      <c r="IJ35" s="71">
        <v>134774</v>
      </c>
      <c r="IK35" s="71">
        <v>0</v>
      </c>
      <c r="IL35" s="71">
        <v>8801</v>
      </c>
      <c r="IM35" s="71">
        <v>11494</v>
      </c>
      <c r="IN35" s="71">
        <v>757652</v>
      </c>
      <c r="IO35" s="71">
        <v>82860</v>
      </c>
      <c r="IP35" s="71">
        <v>7890</v>
      </c>
      <c r="IQ35" s="71">
        <v>925319</v>
      </c>
      <c r="IR35" s="71">
        <v>474455</v>
      </c>
      <c r="IS35" s="71">
        <v>0</v>
      </c>
      <c r="IT35" s="71">
        <v>5365</v>
      </c>
      <c r="IU35" s="71">
        <v>216633</v>
      </c>
      <c r="IV35" s="71">
        <v>13746</v>
      </c>
      <c r="IW35" s="71">
        <v>425007</v>
      </c>
      <c r="IX35" s="71">
        <v>178455</v>
      </c>
      <c r="IY35" s="71">
        <v>208329</v>
      </c>
      <c r="IZ35" s="71">
        <v>287119</v>
      </c>
      <c r="JA35" s="71">
        <v>248148</v>
      </c>
      <c r="JB35" s="71">
        <v>501809</v>
      </c>
      <c r="JC35" s="71">
        <v>0</v>
      </c>
      <c r="JD35" s="71">
        <v>612700</v>
      </c>
      <c r="JE35" s="71">
        <v>136315</v>
      </c>
      <c r="JF35" s="71">
        <v>212893</v>
      </c>
      <c r="JG35" s="71">
        <v>354443</v>
      </c>
      <c r="JH35" s="71">
        <v>167846</v>
      </c>
      <c r="JI35" s="71">
        <v>0</v>
      </c>
      <c r="JJ35" s="71">
        <v>14109</v>
      </c>
      <c r="JK35" s="71">
        <v>144462</v>
      </c>
      <c r="JL35" s="71">
        <v>124987</v>
      </c>
      <c r="JM35" s="71">
        <v>522880</v>
      </c>
      <c r="JN35" s="71">
        <v>671270</v>
      </c>
      <c r="JO35" s="71">
        <v>0</v>
      </c>
      <c r="JP35" s="71">
        <v>323820</v>
      </c>
      <c r="JQ35" s="71">
        <v>117159</v>
      </c>
      <c r="JR35" s="71">
        <v>6978018</v>
      </c>
      <c r="JS35" s="71">
        <v>113732</v>
      </c>
      <c r="JT35" s="71">
        <v>33839</v>
      </c>
      <c r="JU35" s="71">
        <v>2101725</v>
      </c>
      <c r="JV35" s="71">
        <v>1810870</v>
      </c>
      <c r="JW35" s="71">
        <v>0</v>
      </c>
      <c r="JX35" s="71">
        <v>25329</v>
      </c>
      <c r="JY35" s="71">
        <v>519859</v>
      </c>
      <c r="JZ35" s="71">
        <v>43058</v>
      </c>
      <c r="KA35" s="71">
        <v>1641896</v>
      </c>
      <c r="KB35" s="71">
        <v>726748</v>
      </c>
      <c r="KC35" s="71">
        <v>690127</v>
      </c>
      <c r="KD35" s="71">
        <v>1157334</v>
      </c>
      <c r="KE35" s="71">
        <v>947413</v>
      </c>
      <c r="KF35" s="71">
        <v>1756058</v>
      </c>
      <c r="KG35" s="71">
        <v>0</v>
      </c>
      <c r="KH35" s="71">
        <v>1898609</v>
      </c>
      <c r="KI35" s="71">
        <v>421945</v>
      </c>
      <c r="KJ35" s="71">
        <v>776547</v>
      </c>
      <c r="KK35" s="71">
        <v>734113</v>
      </c>
      <c r="KL35" s="71">
        <v>525758</v>
      </c>
      <c r="KM35" s="71">
        <v>0</v>
      </c>
      <c r="KN35" s="71">
        <v>39645</v>
      </c>
      <c r="KO35" s="71">
        <v>411265</v>
      </c>
      <c r="KP35" s="71">
        <v>460843</v>
      </c>
      <c r="KQ35" s="71">
        <v>2274899</v>
      </c>
      <c r="KR35" s="71">
        <v>1892525</v>
      </c>
      <c r="KS35" s="71">
        <v>0</v>
      </c>
      <c r="KT35" s="71">
        <v>668441</v>
      </c>
      <c r="KU35" s="71">
        <v>439827</v>
      </c>
      <c r="KV35" s="71">
        <v>22112404</v>
      </c>
      <c r="KW35" s="71" t="s">
        <v>1070</v>
      </c>
      <c r="KX35" s="71">
        <v>46641858</v>
      </c>
      <c r="KY35" s="71">
        <v>5795413</v>
      </c>
      <c r="KZ35" s="71">
        <v>52437271</v>
      </c>
      <c r="LA35" s="71">
        <v>0</v>
      </c>
      <c r="LB35" s="71">
        <v>250355</v>
      </c>
    </row>
    <row r="36" spans="1:314" x14ac:dyDescent="0.25">
      <c r="A36" s="71" t="s">
        <v>405</v>
      </c>
      <c r="B36" s="71" t="s">
        <v>1203</v>
      </c>
      <c r="C36" s="160" t="s">
        <v>1345</v>
      </c>
      <c r="D36" s="71" t="s">
        <v>1406</v>
      </c>
      <c r="E36" s="2">
        <v>41304.604675925926</v>
      </c>
      <c r="F36" s="71"/>
      <c r="G36" s="71" t="s">
        <v>406</v>
      </c>
      <c r="H36" s="71" t="s">
        <v>1204</v>
      </c>
      <c r="I36" s="71" t="s">
        <v>1205</v>
      </c>
      <c r="J36" s="71" t="s">
        <v>1206</v>
      </c>
      <c r="K36" s="71" t="s">
        <v>1207</v>
      </c>
      <c r="L36" s="71">
        <v>0</v>
      </c>
      <c r="M36" s="71">
        <v>0</v>
      </c>
      <c r="N36" s="71">
        <v>0</v>
      </c>
      <c r="O36" s="71">
        <v>53627295</v>
      </c>
      <c r="P36" s="71">
        <v>0</v>
      </c>
      <c r="Q36" s="71">
        <v>3777091</v>
      </c>
      <c r="R36" s="71">
        <v>0</v>
      </c>
      <c r="S36" s="71">
        <v>3777091</v>
      </c>
      <c r="T36" s="71">
        <v>4929877</v>
      </c>
      <c r="U36" s="71">
        <v>3527921</v>
      </c>
      <c r="V36" s="71">
        <v>2168575</v>
      </c>
      <c r="W36" s="71">
        <v>0</v>
      </c>
      <c r="X36" s="71">
        <v>0</v>
      </c>
      <c r="Y36" s="71">
        <v>0</v>
      </c>
      <c r="Z36" s="71">
        <v>10626373</v>
      </c>
      <c r="AA36" s="71">
        <v>2392284</v>
      </c>
      <c r="AB36" s="71">
        <v>2987311</v>
      </c>
      <c r="AC36" s="71">
        <v>0</v>
      </c>
      <c r="AD36" s="71">
        <v>0</v>
      </c>
      <c r="AE36" s="71">
        <v>1338049</v>
      </c>
      <c r="AF36" s="71">
        <v>989628</v>
      </c>
      <c r="AG36" s="71">
        <v>7707272</v>
      </c>
      <c r="AH36" s="71">
        <v>7322161</v>
      </c>
      <c r="AI36" s="71">
        <v>6515232</v>
      </c>
      <c r="AJ36" s="71">
        <v>2168575</v>
      </c>
      <c r="AK36" s="71">
        <v>0</v>
      </c>
      <c r="AL36" s="71">
        <v>1338049</v>
      </c>
      <c r="AM36" s="71">
        <v>989628</v>
      </c>
      <c r="AN36" s="71">
        <v>18333645</v>
      </c>
      <c r="AO36" s="71">
        <v>0</v>
      </c>
      <c r="AP36" s="71">
        <v>0</v>
      </c>
      <c r="AQ36" s="71">
        <v>45003</v>
      </c>
      <c r="AR36" s="71">
        <v>0</v>
      </c>
      <c r="AS36" s="71">
        <v>45003</v>
      </c>
      <c r="AT36" s="71">
        <v>0</v>
      </c>
      <c r="AU36" s="71">
        <v>0</v>
      </c>
      <c r="AV36" s="71">
        <v>29543</v>
      </c>
      <c r="AW36" s="71">
        <v>22800</v>
      </c>
      <c r="AX36" s="71">
        <v>52343</v>
      </c>
      <c r="AY36" s="71">
        <v>0</v>
      </c>
      <c r="AZ36" s="71">
        <v>0</v>
      </c>
      <c r="BA36" s="71">
        <v>74546</v>
      </c>
      <c r="BB36" s="71">
        <v>22800</v>
      </c>
      <c r="BC36" s="71">
        <v>97346</v>
      </c>
      <c r="BD36" s="71">
        <v>968348</v>
      </c>
      <c r="BE36" s="71">
        <v>0</v>
      </c>
      <c r="BF36" s="71">
        <v>0</v>
      </c>
      <c r="BG36" s="71">
        <v>0</v>
      </c>
      <c r="BH36" s="71">
        <v>0</v>
      </c>
      <c r="BI36" s="71">
        <v>968348</v>
      </c>
      <c r="BJ36" s="71">
        <v>0</v>
      </c>
      <c r="BK36" s="71">
        <v>0</v>
      </c>
      <c r="BL36" s="71">
        <v>313041</v>
      </c>
      <c r="BM36" s="71">
        <v>0</v>
      </c>
      <c r="BN36" s="71">
        <v>0</v>
      </c>
      <c r="BO36" s="71">
        <v>313041</v>
      </c>
      <c r="BP36" s="71">
        <v>4463743</v>
      </c>
      <c r="BQ36" s="71">
        <v>470306</v>
      </c>
      <c r="BR36" s="71">
        <v>0</v>
      </c>
      <c r="BS36" s="71">
        <v>0</v>
      </c>
      <c r="BT36" s="71">
        <v>102070</v>
      </c>
      <c r="BU36" s="71">
        <v>5036119</v>
      </c>
      <c r="BV36" s="71">
        <v>5432091</v>
      </c>
      <c r="BW36" s="71">
        <v>470306</v>
      </c>
      <c r="BX36" s="71">
        <v>313041</v>
      </c>
      <c r="BY36" s="71">
        <v>0</v>
      </c>
      <c r="BZ36" s="71">
        <v>102070</v>
      </c>
      <c r="CA36" s="71">
        <v>6317508</v>
      </c>
      <c r="CB36" s="71">
        <v>0</v>
      </c>
      <c r="CC36" s="71">
        <v>0</v>
      </c>
      <c r="CD36" s="71">
        <v>0</v>
      </c>
      <c r="CE36" s="71">
        <v>0</v>
      </c>
      <c r="CF36" s="71">
        <v>0</v>
      </c>
      <c r="CG36" s="71">
        <v>0</v>
      </c>
      <c r="CH36" s="71">
        <v>0</v>
      </c>
      <c r="CI36" s="71">
        <v>0</v>
      </c>
      <c r="CJ36" s="71">
        <v>0</v>
      </c>
      <c r="CK36" s="71">
        <v>0</v>
      </c>
      <c r="CL36" s="71">
        <v>0</v>
      </c>
      <c r="CM36" s="71">
        <v>0</v>
      </c>
      <c r="CN36" s="71">
        <v>0</v>
      </c>
      <c r="CO36" s="71">
        <v>0</v>
      </c>
      <c r="CP36" s="71">
        <v>0</v>
      </c>
      <c r="CQ36" s="71">
        <v>0</v>
      </c>
      <c r="CR36" s="71" t="s">
        <v>405</v>
      </c>
      <c r="CS36" s="71">
        <v>851035</v>
      </c>
      <c r="CT36" s="71">
        <v>0</v>
      </c>
      <c r="CU36" s="71">
        <v>37040</v>
      </c>
      <c r="CV36" s="71">
        <v>49911</v>
      </c>
      <c r="CW36" s="71">
        <v>787644</v>
      </c>
      <c r="CX36" s="71">
        <v>427289</v>
      </c>
      <c r="CY36" s="71">
        <v>0</v>
      </c>
      <c r="CZ36" s="71">
        <v>67928</v>
      </c>
      <c r="DA36" s="71">
        <v>218109</v>
      </c>
      <c r="DB36" s="71">
        <v>13832</v>
      </c>
      <c r="DC36" s="71">
        <v>92983</v>
      </c>
      <c r="DD36" s="71">
        <v>6528</v>
      </c>
      <c r="DE36" s="71">
        <v>168626</v>
      </c>
      <c r="DF36" s="71">
        <v>492600</v>
      </c>
      <c r="DG36" s="71">
        <v>117708</v>
      </c>
      <c r="DH36" s="71">
        <v>235922</v>
      </c>
      <c r="DI36" s="71">
        <v>35824</v>
      </c>
      <c r="DJ36" s="71">
        <v>348194</v>
      </c>
      <c r="DK36" s="71">
        <v>44880</v>
      </c>
      <c r="DL36" s="71">
        <v>267488</v>
      </c>
      <c r="DM36" s="71">
        <v>286277</v>
      </c>
      <c r="DN36" s="71">
        <v>84534</v>
      </c>
      <c r="DO36" s="71">
        <v>17748</v>
      </c>
      <c r="DP36" s="71">
        <v>15000</v>
      </c>
      <c r="DQ36" s="71">
        <v>108160</v>
      </c>
      <c r="DR36" s="71">
        <v>91731</v>
      </c>
      <c r="DS36" s="71">
        <v>751040</v>
      </c>
      <c r="DT36" s="71">
        <v>400092</v>
      </c>
      <c r="DU36" s="71">
        <v>0</v>
      </c>
      <c r="DV36" s="71">
        <v>195648</v>
      </c>
      <c r="DW36" s="71">
        <v>334128</v>
      </c>
      <c r="DX36" s="71">
        <v>5696864</v>
      </c>
      <c r="DY36" s="71">
        <v>51829</v>
      </c>
      <c r="DZ36" s="71">
        <v>190783</v>
      </c>
      <c r="EA36" s="71">
        <v>1726528</v>
      </c>
      <c r="EB36" s="71">
        <v>878417</v>
      </c>
      <c r="EC36" s="71">
        <v>0</v>
      </c>
      <c r="ED36" s="71">
        <v>580520</v>
      </c>
      <c r="EE36" s="71">
        <v>988483</v>
      </c>
      <c r="EF36" s="71">
        <v>4865</v>
      </c>
      <c r="EG36" s="71">
        <v>81278</v>
      </c>
      <c r="EH36" s="71">
        <v>1946</v>
      </c>
      <c r="EI36" s="71">
        <v>479221</v>
      </c>
      <c r="EJ36" s="71">
        <v>1590259</v>
      </c>
      <c r="EK36" s="71">
        <v>232444</v>
      </c>
      <c r="EL36" s="71">
        <v>1114030</v>
      </c>
      <c r="EM36" s="71">
        <v>348596</v>
      </c>
      <c r="EN36" s="71">
        <v>1360696</v>
      </c>
      <c r="EO36" s="71">
        <v>246296</v>
      </c>
      <c r="EP36" s="71">
        <v>669594</v>
      </c>
      <c r="EQ36" s="71">
        <v>907417</v>
      </c>
      <c r="ER36" s="71">
        <v>319907</v>
      </c>
      <c r="ES36" s="71">
        <v>5270</v>
      </c>
      <c r="ET36" s="71">
        <v>4471</v>
      </c>
      <c r="EU36" s="71">
        <v>793928</v>
      </c>
      <c r="EV36" s="71">
        <v>284657</v>
      </c>
      <c r="EW36" s="71">
        <v>2166189</v>
      </c>
      <c r="EX36" s="71">
        <v>1687564</v>
      </c>
      <c r="EY36" s="71">
        <v>0</v>
      </c>
      <c r="EZ36" s="71">
        <v>706709</v>
      </c>
      <c r="FA36" s="71">
        <v>601860</v>
      </c>
      <c r="FB36" s="71">
        <v>18023757</v>
      </c>
      <c r="FC36" s="71">
        <v>4106</v>
      </c>
      <c r="FD36" s="71">
        <v>5232</v>
      </c>
      <c r="FE36" s="71">
        <v>551151</v>
      </c>
      <c r="FF36" s="71">
        <v>54371</v>
      </c>
      <c r="FG36" s="71">
        <v>0</v>
      </c>
      <c r="FH36" s="71">
        <v>15551</v>
      </c>
      <c r="FI36" s="71">
        <v>31352</v>
      </c>
      <c r="FJ36" s="71">
        <v>4923</v>
      </c>
      <c r="FK36" s="71">
        <v>185403</v>
      </c>
      <c r="FL36" s="71">
        <v>1963</v>
      </c>
      <c r="FM36" s="71">
        <v>33585</v>
      </c>
      <c r="FN36" s="71">
        <v>145334</v>
      </c>
      <c r="FO36" s="71">
        <v>25809</v>
      </c>
      <c r="FP36" s="71">
        <v>220195</v>
      </c>
      <c r="FQ36" s="71">
        <v>45883</v>
      </c>
      <c r="FR36" s="71">
        <v>160360</v>
      </c>
      <c r="FS36" s="71">
        <v>12914</v>
      </c>
      <c r="FT36" s="71">
        <v>133090</v>
      </c>
      <c r="FU36" s="71">
        <v>31738</v>
      </c>
      <c r="FV36" s="71">
        <v>7188</v>
      </c>
      <c r="FW36" s="71">
        <v>5319</v>
      </c>
      <c r="FX36" s="71">
        <v>4512</v>
      </c>
      <c r="FY36" s="71">
        <v>169745</v>
      </c>
      <c r="FZ36" s="71">
        <v>16170</v>
      </c>
      <c r="GA36" s="71">
        <v>83264</v>
      </c>
      <c r="GB36" s="71">
        <v>201704</v>
      </c>
      <c r="GC36" s="71">
        <v>0</v>
      </c>
      <c r="GD36" s="71">
        <v>21690</v>
      </c>
      <c r="GE36" s="71">
        <v>37042</v>
      </c>
      <c r="GF36" s="71">
        <v>2209594</v>
      </c>
      <c r="GG36" s="71">
        <v>2353</v>
      </c>
      <c r="GH36" s="71">
        <v>8245</v>
      </c>
      <c r="GI36" s="71">
        <v>95801</v>
      </c>
      <c r="GJ36" s="71">
        <v>39234</v>
      </c>
      <c r="GK36" s="71">
        <v>0</v>
      </c>
      <c r="GL36" s="71">
        <v>25071</v>
      </c>
      <c r="GM36" s="71">
        <v>42895</v>
      </c>
      <c r="GN36" s="71">
        <v>412</v>
      </c>
      <c r="GO36" s="71">
        <v>11217</v>
      </c>
      <c r="GP36" s="71">
        <v>164</v>
      </c>
      <c r="GQ36" s="71">
        <v>21569</v>
      </c>
      <c r="GR36" s="71">
        <v>73001</v>
      </c>
      <c r="GS36" s="71">
        <v>10862</v>
      </c>
      <c r="GT36" s="71">
        <v>56119</v>
      </c>
      <c r="GU36" s="71">
        <v>16592</v>
      </c>
      <c r="GV36" s="71">
        <v>63977</v>
      </c>
      <c r="GW36" s="71">
        <v>10903</v>
      </c>
      <c r="GX36" s="71">
        <v>33762</v>
      </c>
      <c r="GY36" s="71">
        <v>39502</v>
      </c>
      <c r="GZ36" s="71">
        <v>13758</v>
      </c>
      <c r="HA36" s="71">
        <v>445</v>
      </c>
      <c r="HB36" s="71">
        <v>378</v>
      </c>
      <c r="HC36" s="71">
        <v>40533</v>
      </c>
      <c r="HD36" s="71">
        <v>12653</v>
      </c>
      <c r="HE36" s="71">
        <v>94614</v>
      </c>
      <c r="HF36" s="71">
        <v>79465</v>
      </c>
      <c r="HG36" s="71">
        <v>0</v>
      </c>
      <c r="HH36" s="71">
        <v>30637</v>
      </c>
      <c r="HI36" s="71">
        <v>26873</v>
      </c>
      <c r="HJ36" s="71">
        <v>851035</v>
      </c>
      <c r="HK36" s="71">
        <v>30730</v>
      </c>
      <c r="HL36" s="71">
        <v>71813</v>
      </c>
      <c r="HM36" s="71">
        <v>641051</v>
      </c>
      <c r="HN36" s="71">
        <v>316804</v>
      </c>
      <c r="HO36" s="71">
        <v>0</v>
      </c>
      <c r="HP36" s="71">
        <v>73968</v>
      </c>
      <c r="HQ36" s="71">
        <v>224864</v>
      </c>
      <c r="HR36" s="71">
        <v>35198</v>
      </c>
      <c r="HS36" s="71">
        <v>109975</v>
      </c>
      <c r="HT36" s="71">
        <v>13843</v>
      </c>
      <c r="HU36" s="71">
        <v>226588</v>
      </c>
      <c r="HV36" s="71">
        <v>344740</v>
      </c>
      <c r="HW36" s="71">
        <v>86659</v>
      </c>
      <c r="HX36" s="71">
        <v>230749</v>
      </c>
      <c r="HY36" s="71">
        <v>64289</v>
      </c>
      <c r="HZ36" s="71">
        <v>347202</v>
      </c>
      <c r="IA36" s="71">
        <v>51242</v>
      </c>
      <c r="IB36" s="71">
        <v>251882</v>
      </c>
      <c r="IC36" s="71">
        <v>195432</v>
      </c>
      <c r="ID36" s="71">
        <v>86695</v>
      </c>
      <c r="IE36" s="71">
        <v>37437</v>
      </c>
      <c r="IF36" s="71">
        <v>31763</v>
      </c>
      <c r="IG36" s="71">
        <v>94017</v>
      </c>
      <c r="IH36" s="71">
        <v>123515</v>
      </c>
      <c r="II36" s="71">
        <v>515317</v>
      </c>
      <c r="IJ36" s="71">
        <v>519363</v>
      </c>
      <c r="IK36" s="71">
        <v>0</v>
      </c>
      <c r="IL36" s="71">
        <v>177403</v>
      </c>
      <c r="IM36" s="71">
        <v>229278</v>
      </c>
      <c r="IN36" s="71">
        <v>5131817</v>
      </c>
      <c r="IO36" s="71">
        <v>37189</v>
      </c>
      <c r="IP36" s="71">
        <v>85290</v>
      </c>
      <c r="IQ36" s="71">
        <v>1288003</v>
      </c>
      <c r="IR36" s="71">
        <v>410409</v>
      </c>
      <c r="IS36" s="71">
        <v>0</v>
      </c>
      <c r="IT36" s="71">
        <v>114590</v>
      </c>
      <c r="IU36" s="71">
        <v>299111</v>
      </c>
      <c r="IV36" s="71">
        <v>40533</v>
      </c>
      <c r="IW36" s="71">
        <v>306595</v>
      </c>
      <c r="IX36" s="71">
        <v>15970</v>
      </c>
      <c r="IY36" s="71">
        <v>281742</v>
      </c>
      <c r="IZ36" s="71">
        <v>563075</v>
      </c>
      <c r="JA36" s="71">
        <v>123330</v>
      </c>
      <c r="JB36" s="71">
        <v>507063</v>
      </c>
      <c r="JC36" s="71">
        <v>126764</v>
      </c>
      <c r="JD36" s="71">
        <v>571539</v>
      </c>
      <c r="JE36" s="71">
        <v>75059</v>
      </c>
      <c r="JF36" s="71">
        <v>418734</v>
      </c>
      <c r="JG36" s="71">
        <v>266672</v>
      </c>
      <c r="JH36" s="71">
        <v>107641</v>
      </c>
      <c r="JI36" s="71">
        <v>43201</v>
      </c>
      <c r="JJ36" s="71">
        <v>36653</v>
      </c>
      <c r="JK36" s="71">
        <v>304295</v>
      </c>
      <c r="JL36" s="71">
        <v>152338</v>
      </c>
      <c r="JM36" s="71">
        <v>693195</v>
      </c>
      <c r="JN36" s="71">
        <v>800532</v>
      </c>
      <c r="JO36" s="71">
        <v>0</v>
      </c>
      <c r="JP36" s="71">
        <v>229730</v>
      </c>
      <c r="JQ36" s="71">
        <v>293193</v>
      </c>
      <c r="JR36" s="71">
        <v>8192446</v>
      </c>
      <c r="JS36" s="71">
        <v>89018</v>
      </c>
      <c r="JT36" s="71">
        <v>276073</v>
      </c>
      <c r="JU36" s="71">
        <v>3014531</v>
      </c>
      <c r="JV36" s="71">
        <v>1288826</v>
      </c>
      <c r="JW36" s="71">
        <v>0</v>
      </c>
      <c r="JX36" s="71">
        <v>695110</v>
      </c>
      <c r="JY36" s="71">
        <v>1287594</v>
      </c>
      <c r="JZ36" s="71">
        <v>45398</v>
      </c>
      <c r="KA36" s="71">
        <v>387873</v>
      </c>
      <c r="KB36" s="71">
        <v>17916</v>
      </c>
      <c r="KC36" s="71">
        <v>760963</v>
      </c>
      <c r="KD36" s="71">
        <v>2153334</v>
      </c>
      <c r="KE36" s="71">
        <v>355774</v>
      </c>
      <c r="KF36" s="71">
        <v>1621093</v>
      </c>
      <c r="KG36" s="71">
        <v>475360</v>
      </c>
      <c r="KH36" s="71">
        <v>1932235</v>
      </c>
      <c r="KI36" s="71">
        <v>321355</v>
      </c>
      <c r="KJ36" s="71">
        <v>1088328</v>
      </c>
      <c r="KK36" s="71">
        <v>1174089</v>
      </c>
      <c r="KL36" s="71">
        <v>427548</v>
      </c>
      <c r="KM36" s="71">
        <v>48471</v>
      </c>
      <c r="KN36" s="71">
        <v>41124</v>
      </c>
      <c r="KO36" s="71">
        <v>1098223</v>
      </c>
      <c r="KP36" s="71">
        <v>436995</v>
      </c>
      <c r="KQ36" s="71">
        <v>2859384</v>
      </c>
      <c r="KR36" s="71">
        <v>2488096</v>
      </c>
      <c r="KS36" s="71">
        <v>0</v>
      </c>
      <c r="KT36" s="71">
        <v>936439</v>
      </c>
      <c r="KU36" s="71">
        <v>895053</v>
      </c>
      <c r="KV36" s="71">
        <v>26216203</v>
      </c>
      <c r="KW36" s="71" t="s">
        <v>1070</v>
      </c>
      <c r="KX36" s="71">
        <v>48326939</v>
      </c>
      <c r="KY36" s="71">
        <v>6414854</v>
      </c>
      <c r="KZ36" s="71">
        <v>54741793</v>
      </c>
      <c r="LA36" s="71">
        <v>0</v>
      </c>
      <c r="LB36" s="71">
        <v>1114498</v>
      </c>
    </row>
    <row r="37" spans="1:314" x14ac:dyDescent="0.25">
      <c r="A37" s="71" t="s">
        <v>407</v>
      </c>
      <c r="B37" s="71" t="s">
        <v>1208</v>
      </c>
      <c r="C37" s="160" t="s">
        <v>1345</v>
      </c>
      <c r="D37" s="71" t="s">
        <v>1351</v>
      </c>
      <c r="E37" s="2">
        <v>41257.449444444443</v>
      </c>
      <c r="F37" s="71"/>
      <c r="G37" s="71" t="s">
        <v>1350</v>
      </c>
      <c r="H37" s="71" t="s">
        <v>1210</v>
      </c>
      <c r="I37" s="71" t="s">
        <v>1211</v>
      </c>
      <c r="J37" s="71" t="s">
        <v>1212</v>
      </c>
      <c r="K37" s="71" t="s">
        <v>1213</v>
      </c>
      <c r="L37" s="71">
        <v>0</v>
      </c>
      <c r="M37" s="71">
        <v>0</v>
      </c>
      <c r="N37" s="71">
        <v>0</v>
      </c>
      <c r="O37" s="71">
        <v>23927444</v>
      </c>
      <c r="P37" s="71">
        <v>0</v>
      </c>
      <c r="Q37" s="71">
        <v>1096135</v>
      </c>
      <c r="R37" s="71">
        <v>0</v>
      </c>
      <c r="S37" s="71">
        <v>1096135</v>
      </c>
      <c r="T37" s="71">
        <v>2333534</v>
      </c>
      <c r="U37" s="71">
        <v>1262186</v>
      </c>
      <c r="V37" s="71">
        <v>1496720</v>
      </c>
      <c r="W37" s="71">
        <v>0</v>
      </c>
      <c r="X37" s="71">
        <v>162168</v>
      </c>
      <c r="Y37" s="71">
        <v>0</v>
      </c>
      <c r="Z37" s="71">
        <v>5254608</v>
      </c>
      <c r="AA37" s="71">
        <v>2007975</v>
      </c>
      <c r="AB37" s="71">
        <v>321699</v>
      </c>
      <c r="AC37" s="71">
        <v>591812</v>
      </c>
      <c r="AD37" s="71">
        <v>0</v>
      </c>
      <c r="AE37" s="71">
        <v>315034</v>
      </c>
      <c r="AF37" s="71">
        <v>705864</v>
      </c>
      <c r="AG37" s="71">
        <v>3942384</v>
      </c>
      <c r="AH37" s="71">
        <v>4341509</v>
      </c>
      <c r="AI37" s="71">
        <v>1583885</v>
      </c>
      <c r="AJ37" s="71">
        <v>2088532</v>
      </c>
      <c r="AK37" s="71">
        <v>0</v>
      </c>
      <c r="AL37" s="71">
        <v>477202</v>
      </c>
      <c r="AM37" s="71">
        <v>705864</v>
      </c>
      <c r="AN37" s="71">
        <v>9196992</v>
      </c>
      <c r="AO37" s="71">
        <v>1950</v>
      </c>
      <c r="AP37" s="71">
        <v>0</v>
      </c>
      <c r="AQ37" s="71">
        <v>31054</v>
      </c>
      <c r="AR37" s="71">
        <v>0</v>
      </c>
      <c r="AS37" s="71">
        <v>33004</v>
      </c>
      <c r="AT37" s="71">
        <v>203136</v>
      </c>
      <c r="AU37" s="71">
        <v>0</v>
      </c>
      <c r="AV37" s="71">
        <v>199538</v>
      </c>
      <c r="AW37" s="71">
        <v>0</v>
      </c>
      <c r="AX37" s="71">
        <v>402674</v>
      </c>
      <c r="AY37" s="71">
        <v>205086</v>
      </c>
      <c r="AZ37" s="71">
        <v>0</v>
      </c>
      <c r="BA37" s="71">
        <v>230592</v>
      </c>
      <c r="BB37" s="71">
        <v>0</v>
      </c>
      <c r="BC37" s="71">
        <v>435678</v>
      </c>
      <c r="BD37" s="71">
        <v>948962</v>
      </c>
      <c r="BE37" s="71">
        <v>0</v>
      </c>
      <c r="BF37" s="71">
        <v>0</v>
      </c>
      <c r="BG37" s="71">
        <v>0</v>
      </c>
      <c r="BH37" s="71">
        <v>0</v>
      </c>
      <c r="BI37" s="71">
        <v>948962</v>
      </c>
      <c r="BJ37" s="71">
        <v>0</v>
      </c>
      <c r="BK37" s="71">
        <v>0</v>
      </c>
      <c r="BL37" s="71">
        <v>371540</v>
      </c>
      <c r="BM37" s="71">
        <v>0</v>
      </c>
      <c r="BN37" s="71">
        <v>0</v>
      </c>
      <c r="BO37" s="71">
        <v>371540</v>
      </c>
      <c r="BP37" s="71">
        <v>1683125</v>
      </c>
      <c r="BQ37" s="71">
        <v>930921</v>
      </c>
      <c r="BR37" s="71">
        <v>0</v>
      </c>
      <c r="BS37" s="71">
        <v>0</v>
      </c>
      <c r="BT37" s="71">
        <v>9714</v>
      </c>
      <c r="BU37" s="71">
        <v>2623760</v>
      </c>
      <c r="BV37" s="71">
        <v>2632087</v>
      </c>
      <c r="BW37" s="71">
        <v>930921</v>
      </c>
      <c r="BX37" s="71">
        <v>371540</v>
      </c>
      <c r="BY37" s="71">
        <v>0</v>
      </c>
      <c r="BZ37" s="71">
        <v>9714</v>
      </c>
      <c r="CA37" s="71">
        <v>3944262</v>
      </c>
      <c r="CB37" s="71">
        <v>0</v>
      </c>
      <c r="CC37" s="71">
        <v>0</v>
      </c>
      <c r="CD37" s="71">
        <v>0</v>
      </c>
      <c r="CE37" s="71">
        <v>0</v>
      </c>
      <c r="CF37" s="71">
        <v>0</v>
      </c>
      <c r="CG37" s="71">
        <v>0</v>
      </c>
      <c r="CH37" s="71">
        <v>0</v>
      </c>
      <c r="CI37" s="71">
        <v>0</v>
      </c>
      <c r="CJ37" s="71">
        <v>0</v>
      </c>
      <c r="CK37" s="71">
        <v>0</v>
      </c>
      <c r="CL37" s="71">
        <v>0</v>
      </c>
      <c r="CM37" s="71">
        <v>0</v>
      </c>
      <c r="CN37" s="71">
        <v>0</v>
      </c>
      <c r="CO37" s="71">
        <v>0</v>
      </c>
      <c r="CP37" s="71">
        <v>0</v>
      </c>
      <c r="CQ37" s="71">
        <v>0</v>
      </c>
      <c r="CR37" s="71" t="s">
        <v>407</v>
      </c>
      <c r="CS37" s="71">
        <v>1258744</v>
      </c>
      <c r="CT37" s="71">
        <v>0</v>
      </c>
      <c r="CU37" s="71">
        <v>10944</v>
      </c>
      <c r="CV37" s="71">
        <v>25205</v>
      </c>
      <c r="CW37" s="71">
        <v>246840</v>
      </c>
      <c r="CX37" s="71">
        <v>112794</v>
      </c>
      <c r="CY37" s="71">
        <v>0</v>
      </c>
      <c r="CZ37" s="71">
        <v>1182</v>
      </c>
      <c r="DA37" s="71">
        <v>56944</v>
      </c>
      <c r="DB37" s="71">
        <v>5146</v>
      </c>
      <c r="DC37" s="71">
        <v>9200</v>
      </c>
      <c r="DD37" s="71">
        <v>0</v>
      </c>
      <c r="DE37" s="71">
        <v>82566</v>
      </c>
      <c r="DF37" s="71">
        <v>184792</v>
      </c>
      <c r="DG37" s="71">
        <v>16616</v>
      </c>
      <c r="DH37" s="71">
        <v>143544</v>
      </c>
      <c r="DI37" s="71">
        <v>0</v>
      </c>
      <c r="DJ37" s="71">
        <v>117669</v>
      </c>
      <c r="DK37" s="71">
        <v>29632</v>
      </c>
      <c r="DL37" s="71">
        <v>187888</v>
      </c>
      <c r="DM37" s="71">
        <v>73360</v>
      </c>
      <c r="DN37" s="71">
        <v>0</v>
      </c>
      <c r="DO37" s="71">
        <v>144</v>
      </c>
      <c r="DP37" s="71">
        <v>1632</v>
      </c>
      <c r="DQ37" s="71">
        <v>69504</v>
      </c>
      <c r="DR37" s="71">
        <v>43293</v>
      </c>
      <c r="DS37" s="71">
        <v>327360</v>
      </c>
      <c r="DT37" s="71">
        <v>58384</v>
      </c>
      <c r="DU37" s="71">
        <v>0</v>
      </c>
      <c r="DV37" s="71">
        <v>84528</v>
      </c>
      <c r="DW37" s="71">
        <v>50400</v>
      </c>
      <c r="DX37" s="71">
        <v>1939567</v>
      </c>
      <c r="DY37" s="71">
        <v>33805</v>
      </c>
      <c r="DZ37" s="71">
        <v>77655</v>
      </c>
      <c r="EA37" s="71">
        <v>752329</v>
      </c>
      <c r="EB37" s="71">
        <v>206486</v>
      </c>
      <c r="EC37" s="71">
        <v>0</v>
      </c>
      <c r="ED37" s="71">
        <v>7489</v>
      </c>
      <c r="EE37" s="71">
        <v>360779</v>
      </c>
      <c r="EF37" s="71">
        <v>133892</v>
      </c>
      <c r="EG37" s="71">
        <v>22478</v>
      </c>
      <c r="EH37" s="71">
        <v>0</v>
      </c>
      <c r="EI37" s="71">
        <v>171595</v>
      </c>
      <c r="EJ37" s="71">
        <v>654509</v>
      </c>
      <c r="EK37" s="71">
        <v>29247</v>
      </c>
      <c r="EL37" s="71">
        <v>877683</v>
      </c>
      <c r="EM37" s="71">
        <v>0</v>
      </c>
      <c r="EN37" s="71">
        <v>453244</v>
      </c>
      <c r="EO37" s="71">
        <v>234168</v>
      </c>
      <c r="EP37" s="71">
        <v>804784</v>
      </c>
      <c r="EQ37" s="71">
        <v>346054</v>
      </c>
      <c r="ER37" s="71">
        <v>0</v>
      </c>
      <c r="ES37" s="71">
        <v>1070</v>
      </c>
      <c r="ET37" s="71">
        <v>1093</v>
      </c>
      <c r="EU37" s="71">
        <v>229438</v>
      </c>
      <c r="EV37" s="71">
        <v>180418</v>
      </c>
      <c r="EW37" s="71">
        <v>811489</v>
      </c>
      <c r="EX37" s="71">
        <v>316701</v>
      </c>
      <c r="EY37" s="71">
        <v>0</v>
      </c>
      <c r="EZ37" s="71">
        <v>247989</v>
      </c>
      <c r="FA37" s="71">
        <v>148389</v>
      </c>
      <c r="FB37" s="71">
        <v>7102784</v>
      </c>
      <c r="FC37" s="71">
        <v>0</v>
      </c>
      <c r="FD37" s="71">
        <v>3339</v>
      </c>
      <c r="FE37" s="71">
        <v>38810</v>
      </c>
      <c r="FF37" s="71">
        <v>6677</v>
      </c>
      <c r="FG37" s="71">
        <v>0</v>
      </c>
      <c r="FH37" s="71">
        <v>0</v>
      </c>
      <c r="FI37" s="71">
        <v>3339</v>
      </c>
      <c r="FJ37" s="71">
        <v>522</v>
      </c>
      <c r="FK37" s="71">
        <v>0</v>
      </c>
      <c r="FL37" s="71">
        <v>0</v>
      </c>
      <c r="FM37" s="71">
        <v>3339</v>
      </c>
      <c r="FN37" s="71">
        <v>82912</v>
      </c>
      <c r="FO37" s="71">
        <v>0</v>
      </c>
      <c r="FP37" s="71">
        <v>68295</v>
      </c>
      <c r="FQ37" s="71">
        <v>0</v>
      </c>
      <c r="FR37" s="71">
        <v>72721</v>
      </c>
      <c r="FS37" s="71">
        <v>23777</v>
      </c>
      <c r="FT37" s="71">
        <v>111132</v>
      </c>
      <c r="FU37" s="71">
        <v>9997</v>
      </c>
      <c r="FV37" s="71">
        <v>0</v>
      </c>
      <c r="FW37" s="71">
        <v>0</v>
      </c>
      <c r="FX37" s="71">
        <v>0</v>
      </c>
      <c r="FY37" s="71">
        <v>2499</v>
      </c>
      <c r="FZ37" s="71">
        <v>54070</v>
      </c>
      <c r="GA37" s="71">
        <v>18547</v>
      </c>
      <c r="GB37" s="71">
        <v>21151</v>
      </c>
      <c r="GC37" s="71">
        <v>0</v>
      </c>
      <c r="GD37" s="71">
        <v>63</v>
      </c>
      <c r="GE37" s="71">
        <v>0</v>
      </c>
      <c r="GF37" s="71">
        <v>521190</v>
      </c>
      <c r="GG37" s="71">
        <v>5581</v>
      </c>
      <c r="GH37" s="71">
        <v>13372</v>
      </c>
      <c r="GI37" s="71">
        <v>130620</v>
      </c>
      <c r="GJ37" s="71">
        <v>35194</v>
      </c>
      <c r="GK37" s="71">
        <v>0</v>
      </c>
      <c r="GL37" s="71">
        <v>1236</v>
      </c>
      <c r="GM37" s="71">
        <v>60117</v>
      </c>
      <c r="GN37" s="71">
        <v>22192</v>
      </c>
      <c r="GO37" s="71">
        <v>3711</v>
      </c>
      <c r="GP37" s="71">
        <v>0</v>
      </c>
      <c r="GQ37" s="71">
        <v>28882</v>
      </c>
      <c r="GR37" s="71">
        <v>121751</v>
      </c>
      <c r="GS37" s="71">
        <v>4829</v>
      </c>
      <c r="GT37" s="71">
        <v>156184</v>
      </c>
      <c r="GU37" s="71">
        <v>0</v>
      </c>
      <c r="GV37" s="71">
        <v>86839</v>
      </c>
      <c r="GW37" s="71">
        <v>42588</v>
      </c>
      <c r="GX37" s="71">
        <v>151221</v>
      </c>
      <c r="GY37" s="71">
        <v>58785</v>
      </c>
      <c r="GZ37" s="71">
        <v>0</v>
      </c>
      <c r="HA37" s="71">
        <v>177</v>
      </c>
      <c r="HB37" s="71">
        <v>180</v>
      </c>
      <c r="HC37" s="71">
        <v>38294</v>
      </c>
      <c r="HD37" s="71">
        <v>38715</v>
      </c>
      <c r="HE37" s="71">
        <v>137042</v>
      </c>
      <c r="HF37" s="71">
        <v>55781</v>
      </c>
      <c r="HG37" s="71">
        <v>0</v>
      </c>
      <c r="HH37" s="71">
        <v>40954</v>
      </c>
      <c r="HI37" s="71">
        <v>24500</v>
      </c>
      <c r="HJ37" s="71">
        <v>1258744</v>
      </c>
      <c r="HK37" s="71">
        <v>0</v>
      </c>
      <c r="HL37" s="71">
        <v>24812</v>
      </c>
      <c r="HM37" s="71">
        <v>91627</v>
      </c>
      <c r="HN37" s="71">
        <v>59930</v>
      </c>
      <c r="HO37" s="71">
        <v>0</v>
      </c>
      <c r="HP37" s="71">
        <v>0</v>
      </c>
      <c r="HQ37" s="71">
        <v>138104</v>
      </c>
      <c r="HR37" s="71">
        <v>133229</v>
      </c>
      <c r="HS37" s="71">
        <v>0</v>
      </c>
      <c r="HT37" s="71">
        <v>0</v>
      </c>
      <c r="HU37" s="71">
        <v>16671</v>
      </c>
      <c r="HV37" s="71">
        <v>18385</v>
      </c>
      <c r="HW37" s="71">
        <v>0</v>
      </c>
      <c r="HX37" s="71">
        <v>109473</v>
      </c>
      <c r="HY37" s="71">
        <v>0</v>
      </c>
      <c r="HZ37" s="71">
        <v>58864</v>
      </c>
      <c r="IA37" s="71">
        <v>23868</v>
      </c>
      <c r="IB37" s="71">
        <v>160508</v>
      </c>
      <c r="IC37" s="71">
        <v>46559</v>
      </c>
      <c r="ID37" s="71">
        <v>0</v>
      </c>
      <c r="IE37" s="71">
        <v>295</v>
      </c>
      <c r="IF37" s="71">
        <v>0</v>
      </c>
      <c r="IG37" s="71">
        <v>15803</v>
      </c>
      <c r="IH37" s="71">
        <v>96508</v>
      </c>
      <c r="II37" s="71">
        <v>19610</v>
      </c>
      <c r="IJ37" s="71">
        <v>59348</v>
      </c>
      <c r="IK37" s="71">
        <v>0</v>
      </c>
      <c r="IL37" s="71">
        <v>9702</v>
      </c>
      <c r="IM37" s="71">
        <v>3941</v>
      </c>
      <c r="IN37" s="71">
        <v>1087237</v>
      </c>
      <c r="IO37" s="71">
        <v>5581</v>
      </c>
      <c r="IP37" s="71">
        <v>41523</v>
      </c>
      <c r="IQ37" s="71">
        <v>261057</v>
      </c>
      <c r="IR37" s="71">
        <v>101801</v>
      </c>
      <c r="IS37" s="71">
        <v>0</v>
      </c>
      <c r="IT37" s="71">
        <v>1236</v>
      </c>
      <c r="IU37" s="71">
        <v>201560</v>
      </c>
      <c r="IV37" s="71">
        <v>155943</v>
      </c>
      <c r="IW37" s="71">
        <v>3711</v>
      </c>
      <c r="IX37" s="71">
        <v>0</v>
      </c>
      <c r="IY37" s="71">
        <v>48892</v>
      </c>
      <c r="IZ37" s="71">
        <v>223048</v>
      </c>
      <c r="JA37" s="71">
        <v>4829</v>
      </c>
      <c r="JB37" s="71">
        <v>333952</v>
      </c>
      <c r="JC37" s="71">
        <v>0</v>
      </c>
      <c r="JD37" s="71">
        <v>218424</v>
      </c>
      <c r="JE37" s="71">
        <v>90233</v>
      </c>
      <c r="JF37" s="71">
        <v>422861</v>
      </c>
      <c r="JG37" s="71">
        <v>115341</v>
      </c>
      <c r="JH37" s="71">
        <v>0</v>
      </c>
      <c r="JI37" s="71">
        <v>472</v>
      </c>
      <c r="JJ37" s="71">
        <v>180</v>
      </c>
      <c r="JK37" s="71">
        <v>56596</v>
      </c>
      <c r="JL37" s="71">
        <v>189293</v>
      </c>
      <c r="JM37" s="71">
        <v>175199</v>
      </c>
      <c r="JN37" s="71">
        <v>136280</v>
      </c>
      <c r="JO37" s="71">
        <v>0</v>
      </c>
      <c r="JP37" s="71">
        <v>50719</v>
      </c>
      <c r="JQ37" s="71">
        <v>28441</v>
      </c>
      <c r="JR37" s="71">
        <v>2867171</v>
      </c>
      <c r="JS37" s="71">
        <v>39386</v>
      </c>
      <c r="JT37" s="71">
        <v>119178</v>
      </c>
      <c r="JU37" s="71">
        <v>1013386</v>
      </c>
      <c r="JV37" s="71">
        <v>308287</v>
      </c>
      <c r="JW37" s="71">
        <v>0</v>
      </c>
      <c r="JX37" s="71">
        <v>8725</v>
      </c>
      <c r="JY37" s="71">
        <v>562339</v>
      </c>
      <c r="JZ37" s="71">
        <v>289835</v>
      </c>
      <c r="KA37" s="71">
        <v>26189</v>
      </c>
      <c r="KB37" s="71">
        <v>0</v>
      </c>
      <c r="KC37" s="71">
        <v>220487</v>
      </c>
      <c r="KD37" s="71">
        <v>877557</v>
      </c>
      <c r="KE37" s="71">
        <v>34076</v>
      </c>
      <c r="KF37" s="71">
        <v>1211635</v>
      </c>
      <c r="KG37" s="71">
        <v>0</v>
      </c>
      <c r="KH37" s="71">
        <v>671668</v>
      </c>
      <c r="KI37" s="71">
        <v>324401</v>
      </c>
      <c r="KJ37" s="71">
        <v>1227645</v>
      </c>
      <c r="KK37" s="71">
        <v>461395</v>
      </c>
      <c r="KL37" s="71">
        <v>0</v>
      </c>
      <c r="KM37" s="71">
        <v>1542</v>
      </c>
      <c r="KN37" s="71">
        <v>1273</v>
      </c>
      <c r="KO37" s="71">
        <v>286034</v>
      </c>
      <c r="KP37" s="71">
        <v>369711</v>
      </c>
      <c r="KQ37" s="71">
        <v>986688</v>
      </c>
      <c r="KR37" s="71">
        <v>452981</v>
      </c>
      <c r="KS37" s="71">
        <v>0</v>
      </c>
      <c r="KT37" s="71">
        <v>298708</v>
      </c>
      <c r="KU37" s="71">
        <v>176830</v>
      </c>
      <c r="KV37" s="71">
        <v>9969955</v>
      </c>
      <c r="KW37" s="71" t="s">
        <v>1070</v>
      </c>
      <c r="KX37" s="71">
        <v>20263082</v>
      </c>
      <c r="KY37" s="71">
        <v>4379940</v>
      </c>
      <c r="KZ37" s="71">
        <v>24643022</v>
      </c>
      <c r="LA37" s="71">
        <v>0</v>
      </c>
      <c r="LB37" s="71">
        <v>715578</v>
      </c>
    </row>
    <row r="38" spans="1:314" x14ac:dyDescent="0.25">
      <c r="A38" s="71" t="s">
        <v>408</v>
      </c>
      <c r="B38" s="71" t="s">
        <v>1214</v>
      </c>
      <c r="C38" s="160" t="s">
        <v>1345</v>
      </c>
      <c r="D38" s="71" t="s">
        <v>1361</v>
      </c>
      <c r="E38" s="2">
        <v>41282.413460648146</v>
      </c>
      <c r="F38" s="71"/>
      <c r="G38" s="71" t="s">
        <v>409</v>
      </c>
      <c r="H38" s="71" t="s">
        <v>1215</v>
      </c>
      <c r="I38" s="71" t="s">
        <v>1216</v>
      </c>
      <c r="J38" s="71" t="s">
        <v>1217</v>
      </c>
      <c r="K38" s="71" t="s">
        <v>1218</v>
      </c>
      <c r="L38" s="71">
        <v>0</v>
      </c>
      <c r="M38" s="71">
        <v>0</v>
      </c>
      <c r="N38" s="71">
        <v>0</v>
      </c>
      <c r="O38" s="71">
        <v>27401184</v>
      </c>
      <c r="P38" s="71">
        <v>0</v>
      </c>
      <c r="Q38" s="71">
        <v>773919</v>
      </c>
      <c r="R38" s="71">
        <v>0</v>
      </c>
      <c r="S38" s="71">
        <v>773919</v>
      </c>
      <c r="T38" s="71">
        <v>3549714</v>
      </c>
      <c r="U38" s="71">
        <v>1597862</v>
      </c>
      <c r="V38" s="71">
        <v>1192020</v>
      </c>
      <c r="W38" s="71">
        <v>0</v>
      </c>
      <c r="X38" s="71">
        <v>0</v>
      </c>
      <c r="Y38" s="71">
        <v>0</v>
      </c>
      <c r="Z38" s="71">
        <v>6339596</v>
      </c>
      <c r="AA38" s="71">
        <v>2620894</v>
      </c>
      <c r="AB38" s="71">
        <v>237691</v>
      </c>
      <c r="AC38" s="71">
        <v>413528</v>
      </c>
      <c r="AD38" s="71">
        <v>0</v>
      </c>
      <c r="AE38" s="71">
        <v>0</v>
      </c>
      <c r="AF38" s="71">
        <v>590721</v>
      </c>
      <c r="AG38" s="71">
        <v>3862834</v>
      </c>
      <c r="AH38" s="71">
        <v>6170608</v>
      </c>
      <c r="AI38" s="71">
        <v>1835553</v>
      </c>
      <c r="AJ38" s="71">
        <v>1605548</v>
      </c>
      <c r="AK38" s="71">
        <v>0</v>
      </c>
      <c r="AL38" s="71">
        <v>0</v>
      </c>
      <c r="AM38" s="71">
        <v>590721</v>
      </c>
      <c r="AN38" s="71">
        <v>10202430</v>
      </c>
      <c r="AO38" s="71">
        <v>11609</v>
      </c>
      <c r="AP38" s="71">
        <v>0</v>
      </c>
      <c r="AQ38" s="71">
        <v>0</v>
      </c>
      <c r="AR38" s="71">
        <v>0</v>
      </c>
      <c r="AS38" s="71">
        <v>11609</v>
      </c>
      <c r="AT38" s="71">
        <v>25231</v>
      </c>
      <c r="AU38" s="71">
        <v>0</v>
      </c>
      <c r="AV38" s="71">
        <v>0</v>
      </c>
      <c r="AW38" s="71">
        <v>0</v>
      </c>
      <c r="AX38" s="71">
        <v>25231</v>
      </c>
      <c r="AY38" s="71">
        <v>36840</v>
      </c>
      <c r="AZ38" s="71">
        <v>0</v>
      </c>
      <c r="BA38" s="71">
        <v>0</v>
      </c>
      <c r="BB38" s="71">
        <v>0</v>
      </c>
      <c r="BC38" s="71">
        <v>36840</v>
      </c>
      <c r="BD38" s="71">
        <v>29507</v>
      </c>
      <c r="BE38" s="71">
        <v>0</v>
      </c>
      <c r="BF38" s="71">
        <v>0</v>
      </c>
      <c r="BG38" s="71">
        <v>0</v>
      </c>
      <c r="BH38" s="71">
        <v>0</v>
      </c>
      <c r="BI38" s="71">
        <v>29507</v>
      </c>
      <c r="BJ38" s="71">
        <v>0</v>
      </c>
      <c r="BK38" s="71">
        <v>0</v>
      </c>
      <c r="BL38" s="71">
        <v>9216</v>
      </c>
      <c r="BM38" s="71">
        <v>0</v>
      </c>
      <c r="BN38" s="71">
        <v>0</v>
      </c>
      <c r="BO38" s="71">
        <v>9216</v>
      </c>
      <c r="BP38" s="71">
        <v>3540872</v>
      </c>
      <c r="BQ38" s="71">
        <v>0</v>
      </c>
      <c r="BR38" s="71">
        <v>0</v>
      </c>
      <c r="BS38" s="71">
        <v>0</v>
      </c>
      <c r="BT38" s="71">
        <v>863097</v>
      </c>
      <c r="BU38" s="71">
        <v>4403969</v>
      </c>
      <c r="BV38" s="71">
        <v>3570379</v>
      </c>
      <c r="BW38" s="71">
        <v>0</v>
      </c>
      <c r="BX38" s="71">
        <v>9216</v>
      </c>
      <c r="BY38" s="71">
        <v>0</v>
      </c>
      <c r="BZ38" s="71">
        <v>863097</v>
      </c>
      <c r="CA38" s="71">
        <v>4442692</v>
      </c>
      <c r="CB38" s="71">
        <v>0</v>
      </c>
      <c r="CC38" s="71">
        <v>0</v>
      </c>
      <c r="CD38" s="71">
        <v>0</v>
      </c>
      <c r="CE38" s="71">
        <v>0</v>
      </c>
      <c r="CF38" s="71">
        <v>0</v>
      </c>
      <c r="CG38" s="71">
        <v>0</v>
      </c>
      <c r="CH38" s="71">
        <v>0</v>
      </c>
      <c r="CI38" s="71">
        <v>0</v>
      </c>
      <c r="CJ38" s="71">
        <v>0</v>
      </c>
      <c r="CK38" s="71">
        <v>0</v>
      </c>
      <c r="CL38" s="71">
        <v>0</v>
      </c>
      <c r="CM38" s="71">
        <v>0</v>
      </c>
      <c r="CN38" s="71">
        <v>0</v>
      </c>
      <c r="CO38" s="71">
        <v>0</v>
      </c>
      <c r="CP38" s="71">
        <v>0</v>
      </c>
      <c r="CQ38" s="71">
        <v>0</v>
      </c>
      <c r="CR38" s="71" t="s">
        <v>408</v>
      </c>
      <c r="CS38" s="71">
        <v>1111958</v>
      </c>
      <c r="CT38" s="71">
        <v>0</v>
      </c>
      <c r="CU38" s="71">
        <v>31072</v>
      </c>
      <c r="CV38" s="71">
        <v>22592</v>
      </c>
      <c r="CW38" s="71">
        <v>280032</v>
      </c>
      <c r="CX38" s="71">
        <v>194786</v>
      </c>
      <c r="CY38" s="71">
        <v>0</v>
      </c>
      <c r="CZ38" s="71">
        <v>16416</v>
      </c>
      <c r="DA38" s="71">
        <v>27830</v>
      </c>
      <c r="DB38" s="71">
        <v>1872</v>
      </c>
      <c r="DC38" s="71">
        <v>84711</v>
      </c>
      <c r="DD38" s="71">
        <v>0</v>
      </c>
      <c r="DE38" s="71">
        <v>3704</v>
      </c>
      <c r="DF38" s="71">
        <v>276144</v>
      </c>
      <c r="DG38" s="71">
        <v>14736</v>
      </c>
      <c r="DH38" s="71">
        <v>137806</v>
      </c>
      <c r="DI38" s="71">
        <v>0</v>
      </c>
      <c r="DJ38" s="71">
        <v>211729</v>
      </c>
      <c r="DK38" s="71">
        <v>50592</v>
      </c>
      <c r="DL38" s="71">
        <v>102230</v>
      </c>
      <c r="DM38" s="71">
        <v>98496</v>
      </c>
      <c r="DN38" s="71">
        <v>14240</v>
      </c>
      <c r="DO38" s="71">
        <v>33880</v>
      </c>
      <c r="DP38" s="71">
        <v>3648</v>
      </c>
      <c r="DQ38" s="71">
        <v>107312</v>
      </c>
      <c r="DR38" s="71">
        <v>110927</v>
      </c>
      <c r="DS38" s="71">
        <v>448688</v>
      </c>
      <c r="DT38" s="71">
        <v>108960</v>
      </c>
      <c r="DU38" s="71">
        <v>0</v>
      </c>
      <c r="DV38" s="71">
        <v>162304</v>
      </c>
      <c r="DW38" s="71">
        <v>33464</v>
      </c>
      <c r="DX38" s="71">
        <v>2578171</v>
      </c>
      <c r="DY38" s="71">
        <v>113207</v>
      </c>
      <c r="DZ38" s="71">
        <v>36611</v>
      </c>
      <c r="EA38" s="71">
        <v>704190</v>
      </c>
      <c r="EB38" s="71">
        <v>617567</v>
      </c>
      <c r="EC38" s="71">
        <v>0</v>
      </c>
      <c r="ED38" s="71">
        <v>69983</v>
      </c>
      <c r="EE38" s="71">
        <v>68895</v>
      </c>
      <c r="EF38" s="71">
        <v>3415</v>
      </c>
      <c r="EG38" s="71">
        <v>272485</v>
      </c>
      <c r="EH38" s="71">
        <v>0</v>
      </c>
      <c r="EI38" s="71">
        <v>7985</v>
      </c>
      <c r="EJ38" s="71">
        <v>996947</v>
      </c>
      <c r="EK38" s="71">
        <v>54206</v>
      </c>
      <c r="EL38" s="71">
        <v>878527</v>
      </c>
      <c r="EM38" s="71">
        <v>0</v>
      </c>
      <c r="EN38" s="71">
        <v>814646</v>
      </c>
      <c r="EO38" s="71">
        <v>309978</v>
      </c>
      <c r="EP38" s="71">
        <v>563651</v>
      </c>
      <c r="EQ38" s="71">
        <v>424365</v>
      </c>
      <c r="ER38" s="71">
        <v>22334</v>
      </c>
      <c r="ES38" s="71">
        <v>297413</v>
      </c>
      <c r="ET38" s="71">
        <v>9432</v>
      </c>
      <c r="EU38" s="71">
        <v>256553</v>
      </c>
      <c r="EV38" s="71">
        <v>434205</v>
      </c>
      <c r="EW38" s="71">
        <v>1266521</v>
      </c>
      <c r="EX38" s="71">
        <v>411651</v>
      </c>
      <c r="EY38" s="71">
        <v>0</v>
      </c>
      <c r="EZ38" s="71">
        <v>458955</v>
      </c>
      <c r="FA38" s="71">
        <v>86501</v>
      </c>
      <c r="FB38" s="71">
        <v>9180223</v>
      </c>
      <c r="FC38" s="71">
        <v>1967</v>
      </c>
      <c r="FD38" s="71">
        <v>71860</v>
      </c>
      <c r="FE38" s="71">
        <v>65236</v>
      </c>
      <c r="FF38" s="71">
        <v>44448</v>
      </c>
      <c r="FG38" s="71">
        <v>0</v>
      </c>
      <c r="FH38" s="71">
        <v>12026</v>
      </c>
      <c r="FI38" s="71">
        <v>16242</v>
      </c>
      <c r="FJ38" s="71">
        <v>6705</v>
      </c>
      <c r="FK38" s="71">
        <v>109574</v>
      </c>
      <c r="FL38" s="71">
        <v>0</v>
      </c>
      <c r="FM38" s="71">
        <v>15673</v>
      </c>
      <c r="FN38" s="71">
        <v>74163</v>
      </c>
      <c r="FO38" s="71">
        <v>4989</v>
      </c>
      <c r="FP38" s="71">
        <v>73724</v>
      </c>
      <c r="FQ38" s="71">
        <v>0</v>
      </c>
      <c r="FR38" s="71">
        <v>108425</v>
      </c>
      <c r="FS38" s="71">
        <v>4920</v>
      </c>
      <c r="FT38" s="71">
        <v>33204</v>
      </c>
      <c r="FU38" s="71">
        <v>112620</v>
      </c>
      <c r="FV38" s="71">
        <v>43838</v>
      </c>
      <c r="FW38" s="71">
        <v>420</v>
      </c>
      <c r="FX38" s="71">
        <v>2457</v>
      </c>
      <c r="FY38" s="71">
        <v>24127</v>
      </c>
      <c r="FZ38" s="71">
        <v>17247</v>
      </c>
      <c r="GA38" s="71">
        <v>38794</v>
      </c>
      <c r="GB38" s="71">
        <v>172447</v>
      </c>
      <c r="GC38" s="71">
        <v>0</v>
      </c>
      <c r="GD38" s="71">
        <v>50586</v>
      </c>
      <c r="GE38" s="71">
        <v>113481</v>
      </c>
      <c r="GF38" s="71">
        <v>1219173</v>
      </c>
      <c r="GG38" s="71">
        <v>12315</v>
      </c>
      <c r="GH38" s="71">
        <v>11598</v>
      </c>
      <c r="GI38" s="71">
        <v>82271</v>
      </c>
      <c r="GJ38" s="71">
        <v>70786</v>
      </c>
      <c r="GK38" s="71">
        <v>0</v>
      </c>
      <c r="GL38" s="71">
        <v>8769</v>
      </c>
      <c r="GM38" s="71">
        <v>9103</v>
      </c>
      <c r="GN38" s="71">
        <v>1082</v>
      </c>
      <c r="GO38" s="71">
        <v>40852</v>
      </c>
      <c r="GP38" s="71">
        <v>0</v>
      </c>
      <c r="GQ38" s="71">
        <v>2530</v>
      </c>
      <c r="GR38" s="71">
        <v>114529</v>
      </c>
      <c r="GS38" s="71">
        <v>6329</v>
      </c>
      <c r="GT38" s="71">
        <v>101820</v>
      </c>
      <c r="GU38" s="71">
        <v>0</v>
      </c>
      <c r="GV38" s="71">
        <v>98700</v>
      </c>
      <c r="GW38" s="71">
        <v>33671</v>
      </c>
      <c r="GX38" s="71">
        <v>63819</v>
      </c>
      <c r="GY38" s="71">
        <v>57417</v>
      </c>
      <c r="GZ38" s="71">
        <v>7075</v>
      </c>
      <c r="HA38" s="71">
        <v>31846</v>
      </c>
      <c r="HB38" s="71">
        <v>1271</v>
      </c>
      <c r="HC38" s="71">
        <v>30012</v>
      </c>
      <c r="HD38" s="71">
        <v>48272</v>
      </c>
      <c r="HE38" s="71">
        <v>139571</v>
      </c>
      <c r="HF38" s="71">
        <v>62455</v>
      </c>
      <c r="HG38" s="71">
        <v>0</v>
      </c>
      <c r="HH38" s="71">
        <v>54483</v>
      </c>
      <c r="HI38" s="71">
        <v>21383</v>
      </c>
      <c r="HJ38" s="71">
        <v>1111958</v>
      </c>
      <c r="HK38" s="71">
        <v>90910</v>
      </c>
      <c r="HL38" s="71">
        <v>43294</v>
      </c>
      <c r="HM38" s="71">
        <v>215687</v>
      </c>
      <c r="HN38" s="71">
        <v>43194</v>
      </c>
      <c r="HO38" s="71">
        <v>0</v>
      </c>
      <c r="HP38" s="71">
        <v>8847</v>
      </c>
      <c r="HQ38" s="71">
        <v>9221</v>
      </c>
      <c r="HR38" s="71">
        <v>3610</v>
      </c>
      <c r="HS38" s="71">
        <v>162203</v>
      </c>
      <c r="HT38" s="71">
        <v>0</v>
      </c>
      <c r="HU38" s="71">
        <v>8439</v>
      </c>
      <c r="HV38" s="71">
        <v>125240</v>
      </c>
      <c r="HW38" s="71">
        <v>6796</v>
      </c>
      <c r="HX38" s="71">
        <v>424204</v>
      </c>
      <c r="HY38" s="71">
        <v>0</v>
      </c>
      <c r="HZ38" s="71">
        <v>130558</v>
      </c>
      <c r="IA38" s="71">
        <v>19341</v>
      </c>
      <c r="IB38" s="71">
        <v>42994</v>
      </c>
      <c r="IC38" s="71">
        <v>104980</v>
      </c>
      <c r="ID38" s="71">
        <v>28206</v>
      </c>
      <c r="IE38" s="71">
        <v>157439</v>
      </c>
      <c r="IF38" s="71">
        <v>1387</v>
      </c>
      <c r="IG38" s="71">
        <v>15075</v>
      </c>
      <c r="IH38" s="71">
        <v>64036</v>
      </c>
      <c r="II38" s="71">
        <v>101172</v>
      </c>
      <c r="IJ38" s="71">
        <v>65896</v>
      </c>
      <c r="IK38" s="71">
        <v>0</v>
      </c>
      <c r="IL38" s="71">
        <v>11116</v>
      </c>
      <c r="IM38" s="71">
        <v>3922</v>
      </c>
      <c r="IN38" s="71">
        <v>1887767</v>
      </c>
      <c r="IO38" s="71">
        <v>105192</v>
      </c>
      <c r="IP38" s="71">
        <v>126752</v>
      </c>
      <c r="IQ38" s="71">
        <v>363194</v>
      </c>
      <c r="IR38" s="71">
        <v>158428</v>
      </c>
      <c r="IS38" s="71">
        <v>0</v>
      </c>
      <c r="IT38" s="71">
        <v>29642</v>
      </c>
      <c r="IU38" s="71">
        <v>34566</v>
      </c>
      <c r="IV38" s="71">
        <v>11397</v>
      </c>
      <c r="IW38" s="71">
        <v>312629</v>
      </c>
      <c r="IX38" s="71">
        <v>0</v>
      </c>
      <c r="IY38" s="71">
        <v>26642</v>
      </c>
      <c r="IZ38" s="71">
        <v>313932</v>
      </c>
      <c r="JA38" s="71">
        <v>18114</v>
      </c>
      <c r="JB38" s="71">
        <v>599748</v>
      </c>
      <c r="JC38" s="71">
        <v>0</v>
      </c>
      <c r="JD38" s="71">
        <v>337683</v>
      </c>
      <c r="JE38" s="71">
        <v>57932</v>
      </c>
      <c r="JF38" s="71">
        <v>140017</v>
      </c>
      <c r="JG38" s="71">
        <v>275017</v>
      </c>
      <c r="JH38" s="71">
        <v>79119</v>
      </c>
      <c r="JI38" s="71">
        <v>189705</v>
      </c>
      <c r="JJ38" s="71">
        <v>5115</v>
      </c>
      <c r="JK38" s="71">
        <v>69214</v>
      </c>
      <c r="JL38" s="71">
        <v>129555</v>
      </c>
      <c r="JM38" s="71">
        <v>279537</v>
      </c>
      <c r="JN38" s="71">
        <v>300798</v>
      </c>
      <c r="JO38" s="71">
        <v>0</v>
      </c>
      <c r="JP38" s="71">
        <v>116185</v>
      </c>
      <c r="JQ38" s="71">
        <v>138786</v>
      </c>
      <c r="JR38" s="71">
        <v>4218898</v>
      </c>
      <c r="JS38" s="71">
        <v>218399</v>
      </c>
      <c r="JT38" s="71">
        <v>163363</v>
      </c>
      <c r="JU38" s="71">
        <v>1067384</v>
      </c>
      <c r="JV38" s="71">
        <v>775995</v>
      </c>
      <c r="JW38" s="71">
        <v>0</v>
      </c>
      <c r="JX38" s="71">
        <v>99625</v>
      </c>
      <c r="JY38" s="71">
        <v>103461</v>
      </c>
      <c r="JZ38" s="71">
        <v>14812</v>
      </c>
      <c r="KA38" s="71">
        <v>585114</v>
      </c>
      <c r="KB38" s="71">
        <v>0</v>
      </c>
      <c r="KC38" s="71">
        <v>34627</v>
      </c>
      <c r="KD38" s="71">
        <v>1310879</v>
      </c>
      <c r="KE38" s="71">
        <v>72320</v>
      </c>
      <c r="KF38" s="71">
        <v>1478275</v>
      </c>
      <c r="KG38" s="71">
        <v>0</v>
      </c>
      <c r="KH38" s="71">
        <v>1152329</v>
      </c>
      <c r="KI38" s="71">
        <v>367910</v>
      </c>
      <c r="KJ38" s="71">
        <v>703668</v>
      </c>
      <c r="KK38" s="71">
        <v>699382</v>
      </c>
      <c r="KL38" s="71">
        <v>101453</v>
      </c>
      <c r="KM38" s="71">
        <v>487118</v>
      </c>
      <c r="KN38" s="71">
        <v>14547</v>
      </c>
      <c r="KO38" s="71">
        <v>325767</v>
      </c>
      <c r="KP38" s="71">
        <v>563760</v>
      </c>
      <c r="KQ38" s="71">
        <v>1546058</v>
      </c>
      <c r="KR38" s="71">
        <v>712449</v>
      </c>
      <c r="KS38" s="71">
        <v>0</v>
      </c>
      <c r="KT38" s="71">
        <v>575140</v>
      </c>
      <c r="KU38" s="71">
        <v>225287</v>
      </c>
      <c r="KV38" s="71">
        <v>13399121</v>
      </c>
      <c r="KW38" s="71" t="s">
        <v>1070</v>
      </c>
      <c r="KX38" s="71">
        <v>24375470</v>
      </c>
      <c r="KY38" s="71">
        <v>4479532</v>
      </c>
      <c r="KZ38" s="71">
        <v>28855002</v>
      </c>
      <c r="LA38" s="71">
        <v>0</v>
      </c>
      <c r="LB38" s="71">
        <v>1453818</v>
      </c>
    </row>
    <row r="39" spans="1:314" x14ac:dyDescent="0.25">
      <c r="A39" s="71" t="s">
        <v>410</v>
      </c>
      <c r="B39" s="71" t="s">
        <v>1219</v>
      </c>
      <c r="C39" s="160" t="s">
        <v>1345</v>
      </c>
      <c r="D39" s="71" t="s">
        <v>1407</v>
      </c>
      <c r="E39" s="2">
        <v>41304.615243055552</v>
      </c>
      <c r="F39" s="71"/>
      <c r="G39" s="71" t="s">
        <v>411</v>
      </c>
      <c r="H39" s="71" t="s">
        <v>1220</v>
      </c>
      <c r="I39" s="71" t="s">
        <v>1221</v>
      </c>
      <c r="J39" s="71" t="s">
        <v>1222</v>
      </c>
      <c r="K39" s="71" t="s">
        <v>1223</v>
      </c>
      <c r="L39" s="71">
        <v>0</v>
      </c>
      <c r="M39" s="71">
        <v>0</v>
      </c>
      <c r="N39" s="71">
        <v>0</v>
      </c>
      <c r="O39" s="71">
        <v>30331998</v>
      </c>
      <c r="P39" s="71">
        <v>0</v>
      </c>
      <c r="Q39" s="71">
        <v>1086133</v>
      </c>
      <c r="R39" s="71">
        <v>0</v>
      </c>
      <c r="S39" s="71">
        <v>1086133</v>
      </c>
      <c r="T39" s="71">
        <v>2906815</v>
      </c>
      <c r="U39" s="71">
        <v>1611179</v>
      </c>
      <c r="V39" s="71">
        <v>1523213</v>
      </c>
      <c r="W39" s="71">
        <v>0</v>
      </c>
      <c r="X39" s="71">
        <v>0</v>
      </c>
      <c r="Y39" s="71">
        <v>0</v>
      </c>
      <c r="Z39" s="71">
        <v>6041207</v>
      </c>
      <c r="AA39" s="71">
        <v>2597092</v>
      </c>
      <c r="AB39" s="71">
        <v>203502</v>
      </c>
      <c r="AC39" s="71">
        <v>590223</v>
      </c>
      <c r="AD39" s="71">
        <v>0</v>
      </c>
      <c r="AE39" s="71">
        <v>717518</v>
      </c>
      <c r="AF39" s="71">
        <v>680919</v>
      </c>
      <c r="AG39" s="71">
        <v>4789254</v>
      </c>
      <c r="AH39" s="71">
        <v>5503907</v>
      </c>
      <c r="AI39" s="71">
        <v>1814681</v>
      </c>
      <c r="AJ39" s="71">
        <v>2113436</v>
      </c>
      <c r="AK39" s="71">
        <v>0</v>
      </c>
      <c r="AL39" s="71">
        <v>717518</v>
      </c>
      <c r="AM39" s="71">
        <v>680919</v>
      </c>
      <c r="AN39" s="71">
        <v>10830461</v>
      </c>
      <c r="AO39" s="71">
        <v>136873</v>
      </c>
      <c r="AP39" s="71">
        <v>0</v>
      </c>
      <c r="AQ39" s="71">
        <v>280615</v>
      </c>
      <c r="AR39" s="71">
        <v>0</v>
      </c>
      <c r="AS39" s="71">
        <v>417488</v>
      </c>
      <c r="AT39" s="71">
        <v>64001</v>
      </c>
      <c r="AU39" s="71">
        <v>0</v>
      </c>
      <c r="AV39" s="71">
        <v>149945</v>
      </c>
      <c r="AW39" s="71">
        <v>0</v>
      </c>
      <c r="AX39" s="71">
        <v>213946</v>
      </c>
      <c r="AY39" s="71">
        <v>200874</v>
      </c>
      <c r="AZ39" s="71">
        <v>0</v>
      </c>
      <c r="BA39" s="71">
        <v>430560</v>
      </c>
      <c r="BB39" s="71">
        <v>0</v>
      </c>
      <c r="BC39" s="71">
        <v>631434</v>
      </c>
      <c r="BD39" s="71">
        <v>1024855</v>
      </c>
      <c r="BE39" s="71">
        <v>0</v>
      </c>
      <c r="BF39" s="71">
        <v>0</v>
      </c>
      <c r="BG39" s="71">
        <v>0</v>
      </c>
      <c r="BH39" s="71">
        <v>0</v>
      </c>
      <c r="BI39" s="71">
        <v>1024855</v>
      </c>
      <c r="BJ39" s="71">
        <v>0</v>
      </c>
      <c r="BK39" s="71">
        <v>0</v>
      </c>
      <c r="BL39" s="71">
        <v>181102</v>
      </c>
      <c r="BM39" s="71">
        <v>0</v>
      </c>
      <c r="BN39" s="71">
        <v>0</v>
      </c>
      <c r="BO39" s="71">
        <v>181102</v>
      </c>
      <c r="BP39" s="71">
        <v>3628102</v>
      </c>
      <c r="BQ39" s="71">
        <v>0</v>
      </c>
      <c r="BR39" s="71">
        <v>0</v>
      </c>
      <c r="BS39" s="71">
        <v>0</v>
      </c>
      <c r="BT39" s="71">
        <v>0</v>
      </c>
      <c r="BU39" s="71">
        <v>3628102</v>
      </c>
      <c r="BV39" s="71">
        <v>4652957</v>
      </c>
      <c r="BW39" s="71">
        <v>0</v>
      </c>
      <c r="BX39" s="71">
        <v>181102</v>
      </c>
      <c r="BY39" s="71">
        <v>0</v>
      </c>
      <c r="BZ39" s="71">
        <v>0</v>
      </c>
      <c r="CA39" s="71">
        <v>4834059</v>
      </c>
      <c r="CB39" s="71">
        <v>0</v>
      </c>
      <c r="CC39" s="71">
        <v>0</v>
      </c>
      <c r="CD39" s="71">
        <v>0</v>
      </c>
      <c r="CE39" s="71">
        <v>0</v>
      </c>
      <c r="CF39" s="71">
        <v>0</v>
      </c>
      <c r="CG39" s="71">
        <v>0</v>
      </c>
      <c r="CH39" s="71">
        <v>0</v>
      </c>
      <c r="CI39" s="71">
        <v>0</v>
      </c>
      <c r="CJ39" s="71">
        <v>0</v>
      </c>
      <c r="CK39" s="71">
        <v>0</v>
      </c>
      <c r="CL39" s="71">
        <v>0</v>
      </c>
      <c r="CM39" s="71">
        <v>0</v>
      </c>
      <c r="CN39" s="71">
        <v>0</v>
      </c>
      <c r="CO39" s="71">
        <v>0</v>
      </c>
      <c r="CP39" s="71">
        <v>0</v>
      </c>
      <c r="CQ39" s="71">
        <v>0</v>
      </c>
      <c r="CR39" s="71" t="s">
        <v>410</v>
      </c>
      <c r="CS39" s="71">
        <v>1924382</v>
      </c>
      <c r="CT39" s="71">
        <v>0</v>
      </c>
      <c r="CU39" s="71">
        <v>4400</v>
      </c>
      <c r="CV39" s="71">
        <v>63840</v>
      </c>
      <c r="CW39" s="71">
        <v>478512</v>
      </c>
      <c r="CX39" s="71">
        <v>144803</v>
      </c>
      <c r="CY39" s="71">
        <v>0</v>
      </c>
      <c r="CZ39" s="71">
        <v>168</v>
      </c>
      <c r="DA39" s="71">
        <v>86020</v>
      </c>
      <c r="DB39" s="71">
        <v>16608</v>
      </c>
      <c r="DC39" s="71">
        <v>128425</v>
      </c>
      <c r="DD39" s="71">
        <v>0</v>
      </c>
      <c r="DE39" s="71">
        <v>90784</v>
      </c>
      <c r="DF39" s="71">
        <v>431252</v>
      </c>
      <c r="DG39" s="71">
        <v>15032</v>
      </c>
      <c r="DH39" s="71">
        <v>80368</v>
      </c>
      <c r="DI39" s="71">
        <v>30384</v>
      </c>
      <c r="DJ39" s="71">
        <v>149245</v>
      </c>
      <c r="DK39" s="71">
        <v>0</v>
      </c>
      <c r="DL39" s="71">
        <v>44672</v>
      </c>
      <c r="DM39" s="71">
        <v>205864</v>
      </c>
      <c r="DN39" s="71">
        <v>26400</v>
      </c>
      <c r="DO39" s="71">
        <v>0</v>
      </c>
      <c r="DP39" s="71">
        <v>4464</v>
      </c>
      <c r="DQ39" s="71">
        <v>45984</v>
      </c>
      <c r="DR39" s="71">
        <v>91224</v>
      </c>
      <c r="DS39" s="71">
        <v>587290</v>
      </c>
      <c r="DT39" s="71">
        <v>104016</v>
      </c>
      <c r="DU39" s="71">
        <v>0</v>
      </c>
      <c r="DV39" s="71">
        <v>51360</v>
      </c>
      <c r="DW39" s="71">
        <v>65360</v>
      </c>
      <c r="DX39" s="71">
        <v>2946475</v>
      </c>
      <c r="DY39" s="71">
        <v>25343</v>
      </c>
      <c r="DZ39" s="71">
        <v>144470</v>
      </c>
      <c r="EA39" s="71">
        <v>1511466</v>
      </c>
      <c r="EB39" s="71">
        <v>247358</v>
      </c>
      <c r="EC39" s="71">
        <v>0</v>
      </c>
      <c r="ED39" s="71">
        <v>268</v>
      </c>
      <c r="EE39" s="71">
        <v>498804</v>
      </c>
      <c r="EF39" s="71">
        <v>126083</v>
      </c>
      <c r="EG39" s="71">
        <v>422059</v>
      </c>
      <c r="EH39" s="71">
        <v>0</v>
      </c>
      <c r="EI39" s="71">
        <v>300498</v>
      </c>
      <c r="EJ39" s="71">
        <v>1337317</v>
      </c>
      <c r="EK39" s="71">
        <v>67799</v>
      </c>
      <c r="EL39" s="71">
        <v>787526</v>
      </c>
      <c r="EM39" s="71">
        <v>383182</v>
      </c>
      <c r="EN39" s="71">
        <v>652026</v>
      </c>
      <c r="EO39" s="71">
        <v>0</v>
      </c>
      <c r="EP39" s="71">
        <v>256229</v>
      </c>
      <c r="EQ39" s="71">
        <v>713807</v>
      </c>
      <c r="ER39" s="71">
        <v>91709</v>
      </c>
      <c r="ES39" s="71">
        <v>0</v>
      </c>
      <c r="ET39" s="71">
        <v>27819</v>
      </c>
      <c r="EU39" s="71">
        <v>207349</v>
      </c>
      <c r="EV39" s="71">
        <v>495984</v>
      </c>
      <c r="EW39" s="71">
        <v>1617869</v>
      </c>
      <c r="EX39" s="71">
        <v>447690</v>
      </c>
      <c r="EY39" s="71">
        <v>0</v>
      </c>
      <c r="EZ39" s="71">
        <v>47550</v>
      </c>
      <c r="FA39" s="71">
        <v>293953</v>
      </c>
      <c r="FB39" s="71">
        <v>10704158</v>
      </c>
      <c r="FC39" s="71">
        <v>0</v>
      </c>
      <c r="FD39" s="71">
        <v>0</v>
      </c>
      <c r="FE39" s="71">
        <v>96</v>
      </c>
      <c r="FF39" s="71">
        <v>2219</v>
      </c>
      <c r="FG39" s="71">
        <v>0</v>
      </c>
      <c r="FH39" s="71">
        <v>172</v>
      </c>
      <c r="FI39" s="71">
        <v>2612</v>
      </c>
      <c r="FJ39" s="71">
        <v>0</v>
      </c>
      <c r="FK39" s="71">
        <v>4841</v>
      </c>
      <c r="FL39" s="71">
        <v>0</v>
      </c>
      <c r="FM39" s="71">
        <v>726</v>
      </c>
      <c r="FN39" s="71">
        <v>111</v>
      </c>
      <c r="FO39" s="71">
        <v>0</v>
      </c>
      <c r="FP39" s="71">
        <v>357</v>
      </c>
      <c r="FQ39" s="71">
        <v>0</v>
      </c>
      <c r="FR39" s="71">
        <v>15230</v>
      </c>
      <c r="FS39" s="71">
        <v>0</v>
      </c>
      <c r="FT39" s="71">
        <v>0</v>
      </c>
      <c r="FU39" s="71">
        <v>0</v>
      </c>
      <c r="FV39" s="71">
        <v>0</v>
      </c>
      <c r="FW39" s="71">
        <v>0</v>
      </c>
      <c r="FX39" s="71">
        <v>0</v>
      </c>
      <c r="FY39" s="71">
        <v>0</v>
      </c>
      <c r="FZ39" s="71">
        <v>2070</v>
      </c>
      <c r="GA39" s="71">
        <v>0</v>
      </c>
      <c r="GB39" s="71">
        <v>0</v>
      </c>
      <c r="GC39" s="71">
        <v>0</v>
      </c>
      <c r="GD39" s="71">
        <v>0</v>
      </c>
      <c r="GE39" s="71">
        <v>0</v>
      </c>
      <c r="GF39" s="71">
        <v>28434</v>
      </c>
      <c r="GG39" s="71">
        <v>4544</v>
      </c>
      <c r="GH39" s="71">
        <v>25904</v>
      </c>
      <c r="GI39" s="71">
        <v>271027</v>
      </c>
      <c r="GJ39" s="71">
        <v>44750</v>
      </c>
      <c r="GK39" s="71">
        <v>0</v>
      </c>
      <c r="GL39" s="71">
        <v>79</v>
      </c>
      <c r="GM39" s="71">
        <v>89905</v>
      </c>
      <c r="GN39" s="71">
        <v>22607</v>
      </c>
      <c r="GO39" s="71">
        <v>76544</v>
      </c>
      <c r="GP39" s="71">
        <v>0</v>
      </c>
      <c r="GQ39" s="71">
        <v>54010</v>
      </c>
      <c r="GR39" s="71">
        <v>239804</v>
      </c>
      <c r="GS39" s="71">
        <v>12157</v>
      </c>
      <c r="GT39" s="71">
        <v>141269</v>
      </c>
      <c r="GU39" s="71">
        <v>68706</v>
      </c>
      <c r="GV39" s="71">
        <v>119641</v>
      </c>
      <c r="GW39" s="71">
        <v>0</v>
      </c>
      <c r="GX39" s="71">
        <v>45943</v>
      </c>
      <c r="GY39" s="71">
        <v>127987</v>
      </c>
      <c r="GZ39" s="71">
        <v>16444</v>
      </c>
      <c r="HA39" s="71">
        <v>0</v>
      </c>
      <c r="HB39" s="71">
        <v>4988</v>
      </c>
      <c r="HC39" s="71">
        <v>37178</v>
      </c>
      <c r="HD39" s="71">
        <v>89302</v>
      </c>
      <c r="HE39" s="71">
        <v>290088</v>
      </c>
      <c r="HF39" s="71">
        <v>80272</v>
      </c>
      <c r="HG39" s="71">
        <v>0</v>
      </c>
      <c r="HH39" s="71">
        <v>8526</v>
      </c>
      <c r="HI39" s="71">
        <v>52707</v>
      </c>
      <c r="HJ39" s="71">
        <v>1924382</v>
      </c>
      <c r="HK39" s="71">
        <v>2856</v>
      </c>
      <c r="HL39" s="71">
        <v>48780</v>
      </c>
      <c r="HM39" s="71">
        <v>97730</v>
      </c>
      <c r="HN39" s="71">
        <v>15570</v>
      </c>
      <c r="HO39" s="71">
        <v>0</v>
      </c>
      <c r="HP39" s="71">
        <v>467</v>
      </c>
      <c r="HQ39" s="71">
        <v>72632</v>
      </c>
      <c r="HR39" s="71">
        <v>22328</v>
      </c>
      <c r="HS39" s="71">
        <v>50312</v>
      </c>
      <c r="HT39" s="71">
        <v>0</v>
      </c>
      <c r="HU39" s="71">
        <v>50461</v>
      </c>
      <c r="HV39" s="71">
        <v>12008</v>
      </c>
      <c r="HW39" s="71">
        <v>527</v>
      </c>
      <c r="HX39" s="71">
        <v>150585</v>
      </c>
      <c r="HY39" s="71">
        <v>71701</v>
      </c>
      <c r="HZ39" s="71">
        <v>136548</v>
      </c>
      <c r="IA39" s="71">
        <v>0</v>
      </c>
      <c r="IB39" s="71">
        <v>19361</v>
      </c>
      <c r="IC39" s="71">
        <v>10118</v>
      </c>
      <c r="ID39" s="71">
        <v>14565</v>
      </c>
      <c r="IE39" s="71">
        <v>0</v>
      </c>
      <c r="IF39" s="71">
        <v>4391</v>
      </c>
      <c r="IG39" s="71">
        <v>6713</v>
      </c>
      <c r="IH39" s="71">
        <v>102910</v>
      </c>
      <c r="II39" s="71">
        <v>26720</v>
      </c>
      <c r="IJ39" s="71">
        <v>51995</v>
      </c>
      <c r="IK39" s="71">
        <v>0</v>
      </c>
      <c r="IL39" s="71">
        <v>909</v>
      </c>
      <c r="IM39" s="71">
        <v>3669</v>
      </c>
      <c r="IN39" s="71">
        <v>973856</v>
      </c>
      <c r="IO39" s="71">
        <v>7400</v>
      </c>
      <c r="IP39" s="71">
        <v>74684</v>
      </c>
      <c r="IQ39" s="71">
        <v>368853</v>
      </c>
      <c r="IR39" s="71">
        <v>62539</v>
      </c>
      <c r="IS39" s="71">
        <v>0</v>
      </c>
      <c r="IT39" s="71">
        <v>718</v>
      </c>
      <c r="IU39" s="71">
        <v>165149</v>
      </c>
      <c r="IV39" s="71">
        <v>44935</v>
      </c>
      <c r="IW39" s="71">
        <v>131697</v>
      </c>
      <c r="IX39" s="71">
        <v>0</v>
      </c>
      <c r="IY39" s="71">
        <v>105197</v>
      </c>
      <c r="IZ39" s="71">
        <v>251923</v>
      </c>
      <c r="JA39" s="71">
        <v>12684</v>
      </c>
      <c r="JB39" s="71">
        <v>292211</v>
      </c>
      <c r="JC39" s="71">
        <v>140407</v>
      </c>
      <c r="JD39" s="71">
        <v>271419</v>
      </c>
      <c r="JE39" s="71">
        <v>0</v>
      </c>
      <c r="JF39" s="71">
        <v>65304</v>
      </c>
      <c r="JG39" s="71">
        <v>138105</v>
      </c>
      <c r="JH39" s="71">
        <v>31009</v>
      </c>
      <c r="JI39" s="71">
        <v>0</v>
      </c>
      <c r="JJ39" s="71">
        <v>9379</v>
      </c>
      <c r="JK39" s="71">
        <v>43891</v>
      </c>
      <c r="JL39" s="71">
        <v>194282</v>
      </c>
      <c r="JM39" s="71">
        <v>316808</v>
      </c>
      <c r="JN39" s="71">
        <v>132267</v>
      </c>
      <c r="JO39" s="71">
        <v>0</v>
      </c>
      <c r="JP39" s="71">
        <v>9435</v>
      </c>
      <c r="JQ39" s="71">
        <v>56376</v>
      </c>
      <c r="JR39" s="71">
        <v>2926672</v>
      </c>
      <c r="JS39" s="71">
        <v>32743</v>
      </c>
      <c r="JT39" s="71">
        <v>219154</v>
      </c>
      <c r="JU39" s="71">
        <v>1880319</v>
      </c>
      <c r="JV39" s="71">
        <v>309897</v>
      </c>
      <c r="JW39" s="71">
        <v>0</v>
      </c>
      <c r="JX39" s="71">
        <v>986</v>
      </c>
      <c r="JY39" s="71">
        <v>663953</v>
      </c>
      <c r="JZ39" s="71">
        <v>171018</v>
      </c>
      <c r="KA39" s="71">
        <v>553756</v>
      </c>
      <c r="KB39" s="71">
        <v>0</v>
      </c>
      <c r="KC39" s="71">
        <v>405695</v>
      </c>
      <c r="KD39" s="71">
        <v>1589240</v>
      </c>
      <c r="KE39" s="71">
        <v>80483</v>
      </c>
      <c r="KF39" s="71">
        <v>1079737</v>
      </c>
      <c r="KG39" s="71">
        <v>523589</v>
      </c>
      <c r="KH39" s="71">
        <v>923445</v>
      </c>
      <c r="KI39" s="71">
        <v>0</v>
      </c>
      <c r="KJ39" s="71">
        <v>321533</v>
      </c>
      <c r="KK39" s="71">
        <v>851912</v>
      </c>
      <c r="KL39" s="71">
        <v>122718</v>
      </c>
      <c r="KM39" s="71">
        <v>0</v>
      </c>
      <c r="KN39" s="71">
        <v>37198</v>
      </c>
      <c r="KO39" s="71">
        <v>251240</v>
      </c>
      <c r="KP39" s="71">
        <v>690266</v>
      </c>
      <c r="KQ39" s="71">
        <v>1934677</v>
      </c>
      <c r="KR39" s="71">
        <v>579957</v>
      </c>
      <c r="KS39" s="71">
        <v>0</v>
      </c>
      <c r="KT39" s="71">
        <v>56985</v>
      </c>
      <c r="KU39" s="71">
        <v>350329</v>
      </c>
      <c r="KV39" s="71">
        <v>13630830</v>
      </c>
      <c r="KW39" s="71" t="s">
        <v>1070</v>
      </c>
      <c r="KX39" s="71">
        <v>25547424</v>
      </c>
      <c r="KY39" s="71">
        <v>5465493</v>
      </c>
      <c r="KZ39" s="71">
        <v>31012917</v>
      </c>
      <c r="LA39" s="71">
        <v>0</v>
      </c>
      <c r="LB39" s="71">
        <v>680919</v>
      </c>
    </row>
    <row r="40" spans="1:314" x14ac:dyDescent="0.25">
      <c r="A40" s="71" t="s">
        <v>412</v>
      </c>
      <c r="B40" s="71" t="s">
        <v>1224</v>
      </c>
      <c r="C40" s="160" t="s">
        <v>1345</v>
      </c>
      <c r="D40" s="71" t="s">
        <v>1400</v>
      </c>
      <c r="E40" s="2">
        <v>41303.525208333333</v>
      </c>
      <c r="F40" s="71"/>
      <c r="G40" s="71" t="s">
        <v>1225</v>
      </c>
      <c r="H40" s="71" t="s">
        <v>1226</v>
      </c>
      <c r="I40" s="71" t="s">
        <v>1102</v>
      </c>
      <c r="J40" s="71" t="s">
        <v>1227</v>
      </c>
      <c r="K40" s="71" t="s">
        <v>1228</v>
      </c>
      <c r="L40" s="71">
        <v>0</v>
      </c>
      <c r="M40" s="71">
        <v>0</v>
      </c>
      <c r="N40" s="71">
        <v>0</v>
      </c>
      <c r="O40" s="71">
        <v>96404678</v>
      </c>
      <c r="P40" s="71">
        <v>0</v>
      </c>
      <c r="Q40" s="71">
        <v>1780797</v>
      </c>
      <c r="R40" s="71">
        <v>0</v>
      </c>
      <c r="S40" s="71">
        <v>1780797</v>
      </c>
      <c r="T40" s="71">
        <v>6154199</v>
      </c>
      <c r="U40" s="71">
        <v>3937939</v>
      </c>
      <c r="V40" s="71">
        <v>1857401</v>
      </c>
      <c r="W40" s="71">
        <v>0</v>
      </c>
      <c r="X40" s="71">
        <v>0</v>
      </c>
      <c r="Y40" s="71">
        <v>0</v>
      </c>
      <c r="Z40" s="71">
        <v>11949539</v>
      </c>
      <c r="AA40" s="71">
        <v>2497373</v>
      </c>
      <c r="AB40" s="71">
        <v>607334</v>
      </c>
      <c r="AC40" s="71">
        <v>657501</v>
      </c>
      <c r="AD40" s="71">
        <v>0</v>
      </c>
      <c r="AE40" s="71">
        <v>0</v>
      </c>
      <c r="AF40" s="71">
        <v>836581</v>
      </c>
      <c r="AG40" s="71">
        <v>4598789</v>
      </c>
      <c r="AH40" s="71">
        <v>8651572</v>
      </c>
      <c r="AI40" s="71">
        <v>4545273</v>
      </c>
      <c r="AJ40" s="71">
        <v>2514902</v>
      </c>
      <c r="AK40" s="71">
        <v>0</v>
      </c>
      <c r="AL40" s="71">
        <v>0</v>
      </c>
      <c r="AM40" s="71">
        <v>836581</v>
      </c>
      <c r="AN40" s="71">
        <v>16548328</v>
      </c>
      <c r="AO40" s="71">
        <v>26944862</v>
      </c>
      <c r="AP40" s="71">
        <v>0</v>
      </c>
      <c r="AQ40" s="71">
        <v>532342</v>
      </c>
      <c r="AR40" s="71">
        <v>0</v>
      </c>
      <c r="AS40" s="71">
        <v>27477204</v>
      </c>
      <c r="AT40" s="71">
        <v>15734144</v>
      </c>
      <c r="AU40" s="71">
        <v>0</v>
      </c>
      <c r="AV40" s="71">
        <v>888727</v>
      </c>
      <c r="AW40" s="71">
        <v>393226</v>
      </c>
      <c r="AX40" s="71">
        <v>17016097</v>
      </c>
      <c r="AY40" s="71">
        <v>42679006</v>
      </c>
      <c r="AZ40" s="71">
        <v>0</v>
      </c>
      <c r="BA40" s="71">
        <v>1421069</v>
      </c>
      <c r="BB40" s="71">
        <v>393226</v>
      </c>
      <c r="BC40" s="71">
        <v>44493301</v>
      </c>
      <c r="BD40" s="71">
        <v>2729277</v>
      </c>
      <c r="BE40" s="71">
        <v>0</v>
      </c>
      <c r="BF40" s="71">
        <v>0</v>
      </c>
      <c r="BG40" s="71">
        <v>0</v>
      </c>
      <c r="BH40" s="71">
        <v>0</v>
      </c>
      <c r="BI40" s="71">
        <v>2729277</v>
      </c>
      <c r="BJ40" s="71">
        <v>0</v>
      </c>
      <c r="BK40" s="71">
        <v>0</v>
      </c>
      <c r="BL40" s="71">
        <v>0</v>
      </c>
      <c r="BM40" s="71">
        <v>0</v>
      </c>
      <c r="BN40" s="71">
        <v>0</v>
      </c>
      <c r="BO40" s="71">
        <v>0</v>
      </c>
      <c r="BP40" s="71">
        <v>4772031</v>
      </c>
      <c r="BQ40" s="71">
        <v>0</v>
      </c>
      <c r="BR40" s="71">
        <v>0</v>
      </c>
      <c r="BS40" s="71">
        <v>0</v>
      </c>
      <c r="BT40" s="71">
        <v>114457</v>
      </c>
      <c r="BU40" s="71">
        <v>4886488</v>
      </c>
      <c r="BV40" s="71">
        <v>7501308</v>
      </c>
      <c r="BW40" s="71">
        <v>0</v>
      </c>
      <c r="BX40" s="71">
        <v>0</v>
      </c>
      <c r="BY40" s="71">
        <v>0</v>
      </c>
      <c r="BZ40" s="71">
        <v>114457</v>
      </c>
      <c r="CA40" s="71">
        <v>7615765</v>
      </c>
      <c r="CB40" s="71">
        <v>0</v>
      </c>
      <c r="CC40" s="71">
        <v>0</v>
      </c>
      <c r="CD40" s="71">
        <v>0</v>
      </c>
      <c r="CE40" s="71">
        <v>0</v>
      </c>
      <c r="CF40" s="71">
        <v>0</v>
      </c>
      <c r="CG40" s="71">
        <v>0</v>
      </c>
      <c r="CH40" s="71">
        <v>0</v>
      </c>
      <c r="CI40" s="71">
        <v>0</v>
      </c>
      <c r="CJ40" s="71">
        <v>0</v>
      </c>
      <c r="CK40" s="71">
        <v>0</v>
      </c>
      <c r="CL40" s="71">
        <v>0</v>
      </c>
      <c r="CM40" s="71">
        <v>0</v>
      </c>
      <c r="CN40" s="71">
        <v>0</v>
      </c>
      <c r="CO40" s="71">
        <v>0</v>
      </c>
      <c r="CP40" s="71">
        <v>0</v>
      </c>
      <c r="CQ40" s="71">
        <v>0</v>
      </c>
      <c r="CR40" s="71" t="s">
        <v>412</v>
      </c>
      <c r="CS40" s="71">
        <v>2201291</v>
      </c>
      <c r="CT40" s="71">
        <v>0</v>
      </c>
      <c r="CU40" s="71">
        <v>87104</v>
      </c>
      <c r="CV40" s="71">
        <v>138878</v>
      </c>
      <c r="CW40" s="71">
        <v>341856</v>
      </c>
      <c r="CX40" s="71">
        <v>828571</v>
      </c>
      <c r="CY40" s="71">
        <v>24974</v>
      </c>
      <c r="CZ40" s="71">
        <v>27824</v>
      </c>
      <c r="DA40" s="71">
        <v>505016</v>
      </c>
      <c r="DB40" s="71">
        <v>55080</v>
      </c>
      <c r="DC40" s="71">
        <v>178818</v>
      </c>
      <c r="DD40" s="71">
        <v>2272</v>
      </c>
      <c r="DE40" s="71">
        <v>154575</v>
      </c>
      <c r="DF40" s="71">
        <v>739248</v>
      </c>
      <c r="DG40" s="71">
        <v>171120</v>
      </c>
      <c r="DH40" s="71">
        <v>227292</v>
      </c>
      <c r="DI40" s="71">
        <v>0</v>
      </c>
      <c r="DJ40" s="71">
        <v>195340</v>
      </c>
      <c r="DK40" s="71">
        <v>0</v>
      </c>
      <c r="DL40" s="71">
        <v>86912</v>
      </c>
      <c r="DM40" s="71">
        <v>294080</v>
      </c>
      <c r="DN40" s="71">
        <v>37936</v>
      </c>
      <c r="DO40" s="71">
        <v>56688</v>
      </c>
      <c r="DP40" s="71">
        <v>13744</v>
      </c>
      <c r="DQ40" s="71">
        <v>205456</v>
      </c>
      <c r="DR40" s="71">
        <v>204576</v>
      </c>
      <c r="DS40" s="71">
        <v>1434432</v>
      </c>
      <c r="DT40" s="71">
        <v>258256</v>
      </c>
      <c r="DU40" s="71">
        <v>0</v>
      </c>
      <c r="DV40" s="71">
        <v>434280</v>
      </c>
      <c r="DW40" s="71">
        <v>189568</v>
      </c>
      <c r="DX40" s="71">
        <v>6893896</v>
      </c>
      <c r="DY40" s="71">
        <v>169607</v>
      </c>
      <c r="DZ40" s="71">
        <v>214286</v>
      </c>
      <c r="EA40" s="71">
        <v>935770</v>
      </c>
      <c r="EB40" s="71">
        <v>1822839</v>
      </c>
      <c r="EC40" s="71">
        <v>275844</v>
      </c>
      <c r="ED40" s="71">
        <v>142605</v>
      </c>
      <c r="EE40" s="71">
        <v>1381076</v>
      </c>
      <c r="EF40" s="71">
        <v>56820</v>
      </c>
      <c r="EG40" s="71">
        <v>799640</v>
      </c>
      <c r="EH40" s="71">
        <v>6383</v>
      </c>
      <c r="EI40" s="71">
        <v>145207</v>
      </c>
      <c r="EJ40" s="71">
        <v>2539507</v>
      </c>
      <c r="EK40" s="71">
        <v>502273</v>
      </c>
      <c r="EL40" s="71">
        <v>1505117</v>
      </c>
      <c r="EM40" s="71">
        <v>0</v>
      </c>
      <c r="EN40" s="71">
        <v>996858</v>
      </c>
      <c r="EO40" s="71">
        <v>0</v>
      </c>
      <c r="EP40" s="71">
        <v>422848</v>
      </c>
      <c r="EQ40" s="71">
        <v>900558</v>
      </c>
      <c r="ER40" s="71">
        <v>115960</v>
      </c>
      <c r="ES40" s="71">
        <v>121327</v>
      </c>
      <c r="ET40" s="71">
        <v>32697</v>
      </c>
      <c r="EU40" s="71">
        <v>540029</v>
      </c>
      <c r="EV40" s="71">
        <v>609480</v>
      </c>
      <c r="EW40" s="71">
        <v>3124751</v>
      </c>
      <c r="EX40" s="71">
        <v>618027</v>
      </c>
      <c r="EY40" s="71">
        <v>0</v>
      </c>
      <c r="EZ40" s="71">
        <v>769714</v>
      </c>
      <c r="FA40" s="71">
        <v>309055</v>
      </c>
      <c r="FB40" s="71">
        <v>19058278</v>
      </c>
      <c r="FC40" s="71">
        <v>41108</v>
      </c>
      <c r="FD40" s="71">
        <v>137900</v>
      </c>
      <c r="FE40" s="71">
        <v>61317</v>
      </c>
      <c r="FF40" s="71">
        <v>317286</v>
      </c>
      <c r="FG40" s="71">
        <v>282377</v>
      </c>
      <c r="FH40" s="71">
        <v>34155</v>
      </c>
      <c r="FI40" s="71">
        <v>177550</v>
      </c>
      <c r="FJ40" s="71">
        <v>19509</v>
      </c>
      <c r="FK40" s="71">
        <v>265354</v>
      </c>
      <c r="FL40" s="71">
        <v>0</v>
      </c>
      <c r="FM40" s="71">
        <v>48606</v>
      </c>
      <c r="FN40" s="71">
        <v>187230</v>
      </c>
      <c r="FO40" s="71">
        <v>0</v>
      </c>
      <c r="FP40" s="71">
        <v>75044</v>
      </c>
      <c r="FQ40" s="71">
        <v>0</v>
      </c>
      <c r="FR40" s="71">
        <v>156682</v>
      </c>
      <c r="FS40" s="71">
        <v>0</v>
      </c>
      <c r="FT40" s="71">
        <v>149115</v>
      </c>
      <c r="FU40" s="71">
        <v>81193</v>
      </c>
      <c r="FV40" s="71">
        <v>70016</v>
      </c>
      <c r="FW40" s="71">
        <v>14884</v>
      </c>
      <c r="FX40" s="71">
        <v>4904</v>
      </c>
      <c r="FY40" s="71">
        <v>156080</v>
      </c>
      <c r="FZ40" s="71">
        <v>83276</v>
      </c>
      <c r="GA40" s="71">
        <v>64019</v>
      </c>
      <c r="GB40" s="71">
        <v>38791</v>
      </c>
      <c r="GC40" s="71">
        <v>0</v>
      </c>
      <c r="GD40" s="71">
        <v>28497</v>
      </c>
      <c r="GE40" s="71">
        <v>67798</v>
      </c>
      <c r="GF40" s="71">
        <v>2562691</v>
      </c>
      <c r="GG40" s="71">
        <v>21453</v>
      </c>
      <c r="GH40" s="71">
        <v>35857</v>
      </c>
      <c r="GI40" s="71">
        <v>101516</v>
      </c>
      <c r="GJ40" s="71">
        <v>217892</v>
      </c>
      <c r="GK40" s="71">
        <v>56834</v>
      </c>
      <c r="GL40" s="71">
        <v>17996</v>
      </c>
      <c r="GM40" s="71">
        <v>158688</v>
      </c>
      <c r="GN40" s="71">
        <v>7771</v>
      </c>
      <c r="GO40" s="71">
        <v>108430</v>
      </c>
      <c r="GP40" s="71">
        <v>650</v>
      </c>
      <c r="GQ40" s="71">
        <v>19733</v>
      </c>
      <c r="GR40" s="71">
        <v>277617</v>
      </c>
      <c r="GS40" s="71">
        <v>51138</v>
      </c>
      <c r="GT40" s="71">
        <v>160881</v>
      </c>
      <c r="GU40" s="71">
        <v>0</v>
      </c>
      <c r="GV40" s="71">
        <v>117445</v>
      </c>
      <c r="GW40" s="71">
        <v>0</v>
      </c>
      <c r="GX40" s="71">
        <v>58233</v>
      </c>
      <c r="GY40" s="71">
        <v>99955</v>
      </c>
      <c r="GZ40" s="71">
        <v>18935</v>
      </c>
      <c r="HA40" s="71">
        <v>13868</v>
      </c>
      <c r="HB40" s="71">
        <v>3828</v>
      </c>
      <c r="HC40" s="71">
        <v>70873</v>
      </c>
      <c r="HD40" s="71">
        <v>70531</v>
      </c>
      <c r="HE40" s="71">
        <v>324658</v>
      </c>
      <c r="HF40" s="71">
        <v>66872</v>
      </c>
      <c r="HG40" s="71">
        <v>0</v>
      </c>
      <c r="HH40" s="71">
        <v>81268</v>
      </c>
      <c r="HI40" s="71">
        <v>38368</v>
      </c>
      <c r="HJ40" s="71">
        <v>2201291</v>
      </c>
      <c r="HK40" s="71">
        <v>33778</v>
      </c>
      <c r="HL40" s="71">
        <v>52696</v>
      </c>
      <c r="HM40" s="71">
        <v>131734</v>
      </c>
      <c r="HN40" s="71">
        <v>647837</v>
      </c>
      <c r="HO40" s="71">
        <v>355812</v>
      </c>
      <c r="HP40" s="71">
        <v>516312</v>
      </c>
      <c r="HQ40" s="71">
        <v>394918</v>
      </c>
      <c r="HR40" s="71">
        <v>8934</v>
      </c>
      <c r="HS40" s="71">
        <v>137329</v>
      </c>
      <c r="HT40" s="71">
        <v>0</v>
      </c>
      <c r="HU40" s="71">
        <v>26491</v>
      </c>
      <c r="HV40" s="71">
        <v>93871</v>
      </c>
      <c r="HW40" s="71">
        <v>143</v>
      </c>
      <c r="HX40" s="71">
        <v>152069</v>
      </c>
      <c r="HY40" s="71">
        <v>0</v>
      </c>
      <c r="HZ40" s="71">
        <v>587908</v>
      </c>
      <c r="IA40" s="71">
        <v>0</v>
      </c>
      <c r="IB40" s="71">
        <v>29324</v>
      </c>
      <c r="IC40" s="71">
        <v>20271</v>
      </c>
      <c r="ID40" s="71">
        <v>17005</v>
      </c>
      <c r="IE40" s="71">
        <v>37307</v>
      </c>
      <c r="IF40" s="71">
        <v>2719</v>
      </c>
      <c r="IG40" s="71">
        <v>75114</v>
      </c>
      <c r="IH40" s="71">
        <v>18173</v>
      </c>
      <c r="II40" s="71">
        <v>76058</v>
      </c>
      <c r="IJ40" s="71">
        <v>57313</v>
      </c>
      <c r="IK40" s="71">
        <v>0</v>
      </c>
      <c r="IL40" s="71">
        <v>11995</v>
      </c>
      <c r="IM40" s="71">
        <v>3380</v>
      </c>
      <c r="IN40" s="71">
        <v>3488491</v>
      </c>
      <c r="IO40" s="71">
        <v>96339</v>
      </c>
      <c r="IP40" s="71">
        <v>226453</v>
      </c>
      <c r="IQ40" s="71">
        <v>294567</v>
      </c>
      <c r="IR40" s="71">
        <v>1183015</v>
      </c>
      <c r="IS40" s="71">
        <v>695023</v>
      </c>
      <c r="IT40" s="71">
        <v>568463</v>
      </c>
      <c r="IU40" s="71">
        <v>731156</v>
      </c>
      <c r="IV40" s="71">
        <v>36214</v>
      </c>
      <c r="IW40" s="71">
        <v>511113</v>
      </c>
      <c r="IX40" s="71">
        <v>650</v>
      </c>
      <c r="IY40" s="71">
        <v>94830</v>
      </c>
      <c r="IZ40" s="71">
        <v>558718</v>
      </c>
      <c r="JA40" s="71">
        <v>51281</v>
      </c>
      <c r="JB40" s="71">
        <v>387994</v>
      </c>
      <c r="JC40" s="71">
        <v>0</v>
      </c>
      <c r="JD40" s="71">
        <v>862035</v>
      </c>
      <c r="JE40" s="71">
        <v>0</v>
      </c>
      <c r="JF40" s="71">
        <v>236672</v>
      </c>
      <c r="JG40" s="71">
        <v>201419</v>
      </c>
      <c r="JH40" s="71">
        <v>105956</v>
      </c>
      <c r="JI40" s="71">
        <v>66059</v>
      </c>
      <c r="JJ40" s="71">
        <v>11451</v>
      </c>
      <c r="JK40" s="71">
        <v>302067</v>
      </c>
      <c r="JL40" s="71">
        <v>171980</v>
      </c>
      <c r="JM40" s="71">
        <v>464735</v>
      </c>
      <c r="JN40" s="71">
        <v>162976</v>
      </c>
      <c r="JO40" s="71">
        <v>0</v>
      </c>
      <c r="JP40" s="71">
        <v>121760</v>
      </c>
      <c r="JQ40" s="71">
        <v>109546</v>
      </c>
      <c r="JR40" s="71">
        <v>8252473</v>
      </c>
      <c r="JS40" s="71">
        <v>265946</v>
      </c>
      <c r="JT40" s="71">
        <v>440739</v>
      </c>
      <c r="JU40" s="71">
        <v>1230337</v>
      </c>
      <c r="JV40" s="71">
        <v>3005854</v>
      </c>
      <c r="JW40" s="71">
        <v>970867</v>
      </c>
      <c r="JX40" s="71">
        <v>711068</v>
      </c>
      <c r="JY40" s="71">
        <v>2112232</v>
      </c>
      <c r="JZ40" s="71">
        <v>93034</v>
      </c>
      <c r="KA40" s="71">
        <v>1310753</v>
      </c>
      <c r="KB40" s="71">
        <v>7033</v>
      </c>
      <c r="KC40" s="71">
        <v>240037</v>
      </c>
      <c r="KD40" s="71">
        <v>3098225</v>
      </c>
      <c r="KE40" s="71">
        <v>553554</v>
      </c>
      <c r="KF40" s="71">
        <v>1893111</v>
      </c>
      <c r="KG40" s="71">
        <v>0</v>
      </c>
      <c r="KH40" s="71">
        <v>1858893</v>
      </c>
      <c r="KI40" s="71">
        <v>0</v>
      </c>
      <c r="KJ40" s="71">
        <v>659520</v>
      </c>
      <c r="KK40" s="71">
        <v>1101977</v>
      </c>
      <c r="KL40" s="71">
        <v>221916</v>
      </c>
      <c r="KM40" s="71">
        <v>187386</v>
      </c>
      <c r="KN40" s="71">
        <v>44148</v>
      </c>
      <c r="KO40" s="71">
        <v>842096</v>
      </c>
      <c r="KP40" s="71">
        <v>781460</v>
      </c>
      <c r="KQ40" s="71">
        <v>3589486</v>
      </c>
      <c r="KR40" s="71">
        <v>781003</v>
      </c>
      <c r="KS40" s="71">
        <v>0</v>
      </c>
      <c r="KT40" s="71">
        <v>891474</v>
      </c>
      <c r="KU40" s="71">
        <v>418601</v>
      </c>
      <c r="KV40" s="71">
        <v>27310751</v>
      </c>
      <c r="KW40" s="71" t="s">
        <v>1070</v>
      </c>
      <c r="KX40" s="71">
        <v>45639876</v>
      </c>
      <c r="KY40" s="71">
        <v>52109066</v>
      </c>
      <c r="KZ40" s="71">
        <v>97748942</v>
      </c>
      <c r="LA40" s="71">
        <v>0</v>
      </c>
      <c r="LB40" s="71">
        <v>1344264</v>
      </c>
    </row>
    <row r="41" spans="1:314" x14ac:dyDescent="0.25">
      <c r="A41" s="71" t="s">
        <v>413</v>
      </c>
      <c r="B41" s="71" t="s">
        <v>1229</v>
      </c>
      <c r="C41" s="160" t="s">
        <v>1345</v>
      </c>
      <c r="D41" s="71" t="s">
        <v>1402</v>
      </c>
      <c r="E41" s="2">
        <v>41303.670682870368</v>
      </c>
      <c r="F41" s="71"/>
      <c r="G41" s="71" t="s">
        <v>414</v>
      </c>
      <c r="H41" s="71" t="s">
        <v>1230</v>
      </c>
      <c r="I41" s="71" t="s">
        <v>1231</v>
      </c>
      <c r="J41" s="71" t="s">
        <v>1232</v>
      </c>
      <c r="K41" s="71" t="s">
        <v>1233</v>
      </c>
      <c r="L41" s="71">
        <v>0</v>
      </c>
      <c r="M41" s="71">
        <v>0</v>
      </c>
      <c r="N41" s="71">
        <v>0</v>
      </c>
      <c r="O41" s="71">
        <v>18867236</v>
      </c>
      <c r="P41" s="71">
        <v>0</v>
      </c>
      <c r="Q41" s="71">
        <v>476549</v>
      </c>
      <c r="R41" s="71">
        <v>0</v>
      </c>
      <c r="S41" s="71">
        <v>476549</v>
      </c>
      <c r="T41" s="71">
        <v>1067268</v>
      </c>
      <c r="U41" s="71">
        <v>939059</v>
      </c>
      <c r="V41" s="71">
        <v>1548762</v>
      </c>
      <c r="W41" s="71">
        <v>0</v>
      </c>
      <c r="X41" s="71">
        <v>0</v>
      </c>
      <c r="Y41" s="71">
        <v>0</v>
      </c>
      <c r="Z41" s="71">
        <v>3555089</v>
      </c>
      <c r="AA41" s="71">
        <v>1207946</v>
      </c>
      <c r="AB41" s="71">
        <v>167132</v>
      </c>
      <c r="AC41" s="71">
        <v>773100</v>
      </c>
      <c r="AD41" s="71">
        <v>0</v>
      </c>
      <c r="AE41" s="71">
        <v>0</v>
      </c>
      <c r="AF41" s="71">
        <v>462780</v>
      </c>
      <c r="AG41" s="71">
        <v>2610958</v>
      </c>
      <c r="AH41" s="71">
        <v>2275214</v>
      </c>
      <c r="AI41" s="71">
        <v>1106191</v>
      </c>
      <c r="AJ41" s="71">
        <v>2321862</v>
      </c>
      <c r="AK41" s="71">
        <v>0</v>
      </c>
      <c r="AL41" s="71">
        <v>0</v>
      </c>
      <c r="AM41" s="71">
        <v>462780</v>
      </c>
      <c r="AN41" s="71">
        <v>6166047</v>
      </c>
      <c r="AO41" s="71">
        <v>29899</v>
      </c>
      <c r="AP41" s="71">
        <v>0</v>
      </c>
      <c r="AQ41" s="71">
        <v>0</v>
      </c>
      <c r="AR41" s="71">
        <v>0</v>
      </c>
      <c r="AS41" s="71">
        <v>29899</v>
      </c>
      <c r="AT41" s="71">
        <v>8296</v>
      </c>
      <c r="AU41" s="71">
        <v>0</v>
      </c>
      <c r="AV41" s="71">
        <v>0</v>
      </c>
      <c r="AW41" s="71">
        <v>1447</v>
      </c>
      <c r="AX41" s="71">
        <v>9743</v>
      </c>
      <c r="AY41" s="71">
        <v>38195</v>
      </c>
      <c r="AZ41" s="71">
        <v>0</v>
      </c>
      <c r="BA41" s="71">
        <v>0</v>
      </c>
      <c r="BB41" s="71">
        <v>1447</v>
      </c>
      <c r="BC41" s="71">
        <v>39642</v>
      </c>
      <c r="BD41" s="71">
        <v>835365</v>
      </c>
      <c r="BE41" s="71">
        <v>0</v>
      </c>
      <c r="BF41" s="71">
        <v>0</v>
      </c>
      <c r="BG41" s="71">
        <v>0</v>
      </c>
      <c r="BH41" s="71">
        <v>0</v>
      </c>
      <c r="BI41" s="71">
        <v>835365</v>
      </c>
      <c r="BJ41" s="71">
        <v>0</v>
      </c>
      <c r="BK41" s="71">
        <v>0</v>
      </c>
      <c r="BL41" s="71">
        <v>111044</v>
      </c>
      <c r="BM41" s="71">
        <v>0</v>
      </c>
      <c r="BN41" s="71">
        <v>0</v>
      </c>
      <c r="BO41" s="71">
        <v>111044</v>
      </c>
      <c r="BP41" s="71">
        <v>1359018</v>
      </c>
      <c r="BQ41" s="71">
        <v>0</v>
      </c>
      <c r="BR41" s="71">
        <v>0</v>
      </c>
      <c r="BS41" s="71">
        <v>0</v>
      </c>
      <c r="BT41" s="71">
        <v>26190</v>
      </c>
      <c r="BU41" s="71">
        <v>1385208</v>
      </c>
      <c r="BV41" s="71">
        <v>2194383</v>
      </c>
      <c r="BW41" s="71">
        <v>0</v>
      </c>
      <c r="BX41" s="71">
        <v>111044</v>
      </c>
      <c r="BY41" s="71">
        <v>0</v>
      </c>
      <c r="BZ41" s="71">
        <v>26190</v>
      </c>
      <c r="CA41" s="71">
        <v>2331617</v>
      </c>
      <c r="CB41" s="71">
        <v>0</v>
      </c>
      <c r="CC41" s="71">
        <v>0</v>
      </c>
      <c r="CD41" s="71">
        <v>0</v>
      </c>
      <c r="CE41" s="71">
        <v>0</v>
      </c>
      <c r="CF41" s="71">
        <v>0</v>
      </c>
      <c r="CG41" s="71">
        <v>0</v>
      </c>
      <c r="CH41" s="71">
        <v>0</v>
      </c>
      <c r="CI41" s="71">
        <v>0</v>
      </c>
      <c r="CJ41" s="71">
        <v>0</v>
      </c>
      <c r="CK41" s="71">
        <v>0</v>
      </c>
      <c r="CL41" s="71">
        <v>0</v>
      </c>
      <c r="CM41" s="71">
        <v>0</v>
      </c>
      <c r="CN41" s="71">
        <v>0</v>
      </c>
      <c r="CO41" s="71">
        <v>0</v>
      </c>
      <c r="CP41" s="71">
        <v>0</v>
      </c>
      <c r="CQ41" s="71">
        <v>0</v>
      </c>
      <c r="CR41" s="71" t="s">
        <v>413</v>
      </c>
      <c r="CS41" s="71">
        <v>1138164</v>
      </c>
      <c r="CT41" s="71">
        <v>0</v>
      </c>
      <c r="CU41" s="71">
        <v>0</v>
      </c>
      <c r="CV41" s="71">
        <v>50832</v>
      </c>
      <c r="CW41" s="71">
        <v>216032</v>
      </c>
      <c r="CX41" s="71">
        <v>123048</v>
      </c>
      <c r="CY41" s="71">
        <v>120</v>
      </c>
      <c r="CZ41" s="71">
        <v>7184</v>
      </c>
      <c r="DA41" s="71">
        <v>36616</v>
      </c>
      <c r="DB41" s="71">
        <v>14612</v>
      </c>
      <c r="DC41" s="71">
        <v>36136</v>
      </c>
      <c r="DD41" s="71">
        <v>128</v>
      </c>
      <c r="DE41" s="71">
        <v>30008</v>
      </c>
      <c r="DF41" s="71">
        <v>304542</v>
      </c>
      <c r="DG41" s="71">
        <v>31044</v>
      </c>
      <c r="DH41" s="71">
        <v>167002</v>
      </c>
      <c r="DI41" s="71">
        <v>0</v>
      </c>
      <c r="DJ41" s="71">
        <v>212683</v>
      </c>
      <c r="DK41" s="71">
        <v>20416</v>
      </c>
      <c r="DL41" s="71">
        <v>123628</v>
      </c>
      <c r="DM41" s="71">
        <v>99440</v>
      </c>
      <c r="DN41" s="71">
        <v>15360</v>
      </c>
      <c r="DO41" s="71">
        <v>10680</v>
      </c>
      <c r="DP41" s="71">
        <v>896</v>
      </c>
      <c r="DQ41" s="71">
        <v>58685</v>
      </c>
      <c r="DR41" s="71">
        <v>124923</v>
      </c>
      <c r="DS41" s="71">
        <v>361416</v>
      </c>
      <c r="DT41" s="71">
        <v>123800</v>
      </c>
      <c r="DU41" s="71">
        <v>0</v>
      </c>
      <c r="DV41" s="71">
        <v>136960</v>
      </c>
      <c r="DW41" s="71">
        <v>179520</v>
      </c>
      <c r="DX41" s="71">
        <v>2485711</v>
      </c>
      <c r="DY41" s="71">
        <v>0</v>
      </c>
      <c r="DZ41" s="71">
        <v>216411</v>
      </c>
      <c r="EA41" s="71">
        <v>513965</v>
      </c>
      <c r="EB41" s="71">
        <v>406174</v>
      </c>
      <c r="EC41" s="71">
        <v>864</v>
      </c>
      <c r="ED41" s="71">
        <v>52839</v>
      </c>
      <c r="EE41" s="71">
        <v>296894</v>
      </c>
      <c r="EF41" s="71">
        <v>49703</v>
      </c>
      <c r="EG41" s="71">
        <v>101667</v>
      </c>
      <c r="EH41" s="71">
        <v>22746</v>
      </c>
      <c r="EI41" s="71">
        <v>101446</v>
      </c>
      <c r="EJ41" s="71">
        <v>794696</v>
      </c>
      <c r="EK41" s="71">
        <v>76315</v>
      </c>
      <c r="EL41" s="71">
        <v>862455</v>
      </c>
      <c r="EM41" s="71">
        <v>0</v>
      </c>
      <c r="EN41" s="71">
        <v>914708</v>
      </c>
      <c r="EO41" s="71">
        <v>174664</v>
      </c>
      <c r="EP41" s="71">
        <v>281304</v>
      </c>
      <c r="EQ41" s="71">
        <v>353427</v>
      </c>
      <c r="ER41" s="71">
        <v>42996</v>
      </c>
      <c r="ES41" s="71">
        <v>50182</v>
      </c>
      <c r="ET41" s="71">
        <v>3069</v>
      </c>
      <c r="EU41" s="71">
        <v>240778</v>
      </c>
      <c r="EV41" s="71">
        <v>288209</v>
      </c>
      <c r="EW41" s="71">
        <v>993604</v>
      </c>
      <c r="EX41" s="71">
        <v>452529</v>
      </c>
      <c r="EY41" s="71">
        <v>0</v>
      </c>
      <c r="EZ41" s="71">
        <v>486418</v>
      </c>
      <c r="FA41" s="71">
        <v>467181</v>
      </c>
      <c r="FB41" s="71">
        <v>8245244</v>
      </c>
      <c r="FC41" s="71">
        <v>0</v>
      </c>
      <c r="FD41" s="71">
        <v>0</v>
      </c>
      <c r="FE41" s="71">
        <v>19550</v>
      </c>
      <c r="FF41" s="71">
        <v>0</v>
      </c>
      <c r="FG41" s="71">
        <v>0</v>
      </c>
      <c r="FH41" s="71">
        <v>0</v>
      </c>
      <c r="FI41" s="71">
        <v>48182</v>
      </c>
      <c r="FJ41" s="71">
        <v>0</v>
      </c>
      <c r="FK41" s="71">
        <v>0</v>
      </c>
      <c r="FL41" s="71">
        <v>0</v>
      </c>
      <c r="FM41" s="71">
        <v>0</v>
      </c>
      <c r="FN41" s="71">
        <v>8842</v>
      </c>
      <c r="FO41" s="71">
        <v>0</v>
      </c>
      <c r="FP41" s="71">
        <v>27273</v>
      </c>
      <c r="FQ41" s="71">
        <v>0</v>
      </c>
      <c r="FR41" s="71">
        <v>56472</v>
      </c>
      <c r="FS41" s="71">
        <v>0</v>
      </c>
      <c r="FT41" s="71">
        <v>4899</v>
      </c>
      <c r="FU41" s="71">
        <v>7835</v>
      </c>
      <c r="FV41" s="71">
        <v>0</v>
      </c>
      <c r="FW41" s="71">
        <v>0</v>
      </c>
      <c r="FX41" s="71">
        <v>0</v>
      </c>
      <c r="FY41" s="71">
        <v>7395</v>
      </c>
      <c r="FZ41" s="71">
        <v>88920</v>
      </c>
      <c r="GA41" s="71">
        <v>0</v>
      </c>
      <c r="GB41" s="71">
        <v>28420</v>
      </c>
      <c r="GC41" s="71">
        <v>0</v>
      </c>
      <c r="GD41" s="71">
        <v>11247</v>
      </c>
      <c r="GE41" s="71">
        <v>7910</v>
      </c>
      <c r="GF41" s="71">
        <v>316945</v>
      </c>
      <c r="GG41" s="71">
        <v>0</v>
      </c>
      <c r="GH41" s="71">
        <v>28767</v>
      </c>
      <c r="GI41" s="71">
        <v>70920</v>
      </c>
      <c r="GJ41" s="71">
        <v>53992</v>
      </c>
      <c r="GK41" s="71">
        <v>115</v>
      </c>
      <c r="GL41" s="71">
        <v>7024</v>
      </c>
      <c r="GM41" s="71">
        <v>45871</v>
      </c>
      <c r="GN41" s="71">
        <v>6607</v>
      </c>
      <c r="GO41" s="71">
        <v>13515</v>
      </c>
      <c r="GP41" s="71">
        <v>3024</v>
      </c>
      <c r="GQ41" s="71">
        <v>13485</v>
      </c>
      <c r="GR41" s="71">
        <v>106814</v>
      </c>
      <c r="GS41" s="71">
        <v>10144</v>
      </c>
      <c r="GT41" s="71">
        <v>118271</v>
      </c>
      <c r="GU41" s="71">
        <v>0</v>
      </c>
      <c r="GV41" s="71">
        <v>129098</v>
      </c>
      <c r="GW41" s="71">
        <v>23218</v>
      </c>
      <c r="GX41" s="71">
        <v>38045</v>
      </c>
      <c r="GY41" s="71">
        <v>48022</v>
      </c>
      <c r="GZ41" s="71">
        <v>5715</v>
      </c>
      <c r="HA41" s="71">
        <v>6671</v>
      </c>
      <c r="HB41" s="71">
        <v>408</v>
      </c>
      <c r="HC41" s="71">
        <v>32989</v>
      </c>
      <c r="HD41" s="71">
        <v>50131</v>
      </c>
      <c r="HE41" s="71">
        <v>132079</v>
      </c>
      <c r="HF41" s="71">
        <v>63932</v>
      </c>
      <c r="HG41" s="71">
        <v>0</v>
      </c>
      <c r="HH41" s="71">
        <v>66154</v>
      </c>
      <c r="HI41" s="71">
        <v>63153</v>
      </c>
      <c r="HJ41" s="71">
        <v>1138164</v>
      </c>
      <c r="HK41" s="71">
        <v>0</v>
      </c>
      <c r="HL41" s="71">
        <v>59163</v>
      </c>
      <c r="HM41" s="71">
        <v>44485</v>
      </c>
      <c r="HN41" s="71">
        <v>16504</v>
      </c>
      <c r="HO41" s="71">
        <v>141</v>
      </c>
      <c r="HP41" s="71">
        <v>5466</v>
      </c>
      <c r="HQ41" s="71">
        <v>10801</v>
      </c>
      <c r="HR41" s="71">
        <v>8432</v>
      </c>
      <c r="HS41" s="71">
        <v>48803</v>
      </c>
      <c r="HT41" s="71">
        <v>352</v>
      </c>
      <c r="HU41" s="71">
        <v>18118</v>
      </c>
      <c r="HV41" s="71">
        <v>29280</v>
      </c>
      <c r="HW41" s="71">
        <v>5154</v>
      </c>
      <c r="HX41" s="71">
        <v>56016</v>
      </c>
      <c r="HY41" s="71">
        <v>0</v>
      </c>
      <c r="HZ41" s="71">
        <v>67335</v>
      </c>
      <c r="IA41" s="71">
        <v>3468</v>
      </c>
      <c r="IB41" s="71">
        <v>34537</v>
      </c>
      <c r="IC41" s="71">
        <v>8790</v>
      </c>
      <c r="ID41" s="71">
        <v>6875</v>
      </c>
      <c r="IE41" s="71">
        <v>8050</v>
      </c>
      <c r="IF41" s="71">
        <v>490</v>
      </c>
      <c r="IG41" s="71">
        <v>11602</v>
      </c>
      <c r="IH41" s="71">
        <v>69232</v>
      </c>
      <c r="II41" s="71">
        <v>38666</v>
      </c>
      <c r="IJ41" s="71">
        <v>68809</v>
      </c>
      <c r="IK41" s="71">
        <v>0</v>
      </c>
      <c r="IL41" s="71">
        <v>12012</v>
      </c>
      <c r="IM41" s="71">
        <v>10864</v>
      </c>
      <c r="IN41" s="71">
        <v>643445</v>
      </c>
      <c r="IO41" s="71">
        <v>0</v>
      </c>
      <c r="IP41" s="71">
        <v>87930</v>
      </c>
      <c r="IQ41" s="71">
        <v>134955</v>
      </c>
      <c r="IR41" s="71">
        <v>70496</v>
      </c>
      <c r="IS41" s="71">
        <v>256</v>
      </c>
      <c r="IT41" s="71">
        <v>12490</v>
      </c>
      <c r="IU41" s="71">
        <v>104854</v>
      </c>
      <c r="IV41" s="71">
        <v>15039</v>
      </c>
      <c r="IW41" s="71">
        <v>62318</v>
      </c>
      <c r="IX41" s="71">
        <v>3376</v>
      </c>
      <c r="IY41" s="71">
        <v>31603</v>
      </c>
      <c r="IZ41" s="71">
        <v>144936</v>
      </c>
      <c r="JA41" s="71">
        <v>15298</v>
      </c>
      <c r="JB41" s="71">
        <v>201560</v>
      </c>
      <c r="JC41" s="71">
        <v>0</v>
      </c>
      <c r="JD41" s="71">
        <v>252905</v>
      </c>
      <c r="JE41" s="71">
        <v>26686</v>
      </c>
      <c r="JF41" s="71">
        <v>77481</v>
      </c>
      <c r="JG41" s="71">
        <v>64647</v>
      </c>
      <c r="JH41" s="71">
        <v>12590</v>
      </c>
      <c r="JI41" s="71">
        <v>14721</v>
      </c>
      <c r="JJ41" s="71">
        <v>898</v>
      </c>
      <c r="JK41" s="71">
        <v>51986</v>
      </c>
      <c r="JL41" s="71">
        <v>208283</v>
      </c>
      <c r="JM41" s="71">
        <v>170745</v>
      </c>
      <c r="JN41" s="71">
        <v>161161</v>
      </c>
      <c r="JO41" s="71">
        <v>0</v>
      </c>
      <c r="JP41" s="71">
        <v>89413</v>
      </c>
      <c r="JQ41" s="71">
        <v>81927</v>
      </c>
      <c r="JR41" s="71">
        <v>2098554</v>
      </c>
      <c r="JS41" s="71">
        <v>0</v>
      </c>
      <c r="JT41" s="71">
        <v>304341</v>
      </c>
      <c r="JU41" s="71">
        <v>648920</v>
      </c>
      <c r="JV41" s="71">
        <v>476670</v>
      </c>
      <c r="JW41" s="71">
        <v>1120</v>
      </c>
      <c r="JX41" s="71">
        <v>65329</v>
      </c>
      <c r="JY41" s="71">
        <v>401748</v>
      </c>
      <c r="JZ41" s="71">
        <v>64742</v>
      </c>
      <c r="KA41" s="71">
        <v>163985</v>
      </c>
      <c r="KB41" s="71">
        <v>26122</v>
      </c>
      <c r="KC41" s="71">
        <v>133049</v>
      </c>
      <c r="KD41" s="71">
        <v>939632</v>
      </c>
      <c r="KE41" s="71">
        <v>91613</v>
      </c>
      <c r="KF41" s="71">
        <v>1064015</v>
      </c>
      <c r="KG41" s="71">
        <v>0</v>
      </c>
      <c r="KH41" s="71">
        <v>1167613</v>
      </c>
      <c r="KI41" s="71">
        <v>201350</v>
      </c>
      <c r="KJ41" s="71">
        <v>358785</v>
      </c>
      <c r="KK41" s="71">
        <v>418074</v>
      </c>
      <c r="KL41" s="71">
        <v>55586</v>
      </c>
      <c r="KM41" s="71">
        <v>64903</v>
      </c>
      <c r="KN41" s="71">
        <v>3967</v>
      </c>
      <c r="KO41" s="71">
        <v>292764</v>
      </c>
      <c r="KP41" s="71">
        <v>496492</v>
      </c>
      <c r="KQ41" s="71">
        <v>1164349</v>
      </c>
      <c r="KR41" s="71">
        <v>613690</v>
      </c>
      <c r="KS41" s="71">
        <v>0</v>
      </c>
      <c r="KT41" s="71">
        <v>575831</v>
      </c>
      <c r="KU41" s="71">
        <v>549108</v>
      </c>
      <c r="KV41" s="71">
        <v>10343798</v>
      </c>
      <c r="KW41" s="71" t="s">
        <v>1070</v>
      </c>
      <c r="KX41" s="71">
        <v>16986394</v>
      </c>
      <c r="KY41" s="71">
        <v>2371259</v>
      </c>
      <c r="KZ41" s="71">
        <v>19357653</v>
      </c>
      <c r="LA41" s="71">
        <v>0</v>
      </c>
      <c r="LB41" s="71">
        <v>490417</v>
      </c>
    </row>
    <row r="42" spans="1:314" x14ac:dyDescent="0.25">
      <c r="A42" s="71" t="s">
        <v>415</v>
      </c>
      <c r="B42" s="71" t="s">
        <v>1234</v>
      </c>
      <c r="C42" s="160" t="s">
        <v>1345</v>
      </c>
      <c r="D42" s="71" t="s">
        <v>1417</v>
      </c>
      <c r="E42" s="2">
        <v>41305.464375000003</v>
      </c>
      <c r="F42" s="71"/>
      <c r="G42" s="71" t="s">
        <v>416</v>
      </c>
      <c r="H42" s="71" t="s">
        <v>1235</v>
      </c>
      <c r="I42" s="71" t="s">
        <v>1236</v>
      </c>
      <c r="J42" s="71" t="s">
        <v>1237</v>
      </c>
      <c r="K42" s="71" t="s">
        <v>1238</v>
      </c>
      <c r="L42" s="71">
        <v>0</v>
      </c>
      <c r="M42" s="71">
        <v>0</v>
      </c>
      <c r="N42" s="71">
        <v>0</v>
      </c>
      <c r="O42" s="71">
        <v>14283041</v>
      </c>
      <c r="P42" s="71">
        <v>0</v>
      </c>
      <c r="Q42" s="71">
        <v>784102</v>
      </c>
      <c r="R42" s="71">
        <v>0</v>
      </c>
      <c r="S42" s="71">
        <v>784102</v>
      </c>
      <c r="T42" s="71">
        <v>1497221</v>
      </c>
      <c r="U42" s="71">
        <v>1142782</v>
      </c>
      <c r="V42" s="71">
        <v>871891</v>
      </c>
      <c r="W42" s="71">
        <v>0</v>
      </c>
      <c r="X42" s="71">
        <v>0</v>
      </c>
      <c r="Y42" s="71">
        <v>0</v>
      </c>
      <c r="Z42" s="71">
        <v>3511894</v>
      </c>
      <c r="AA42" s="71">
        <v>1520878</v>
      </c>
      <c r="AB42" s="71">
        <v>435765</v>
      </c>
      <c r="AC42" s="71">
        <v>139368</v>
      </c>
      <c r="AD42" s="71">
        <v>0</v>
      </c>
      <c r="AE42" s="71">
        <v>0</v>
      </c>
      <c r="AF42" s="71">
        <v>365854</v>
      </c>
      <c r="AG42" s="71">
        <v>2461865</v>
      </c>
      <c r="AH42" s="71">
        <v>3018099</v>
      </c>
      <c r="AI42" s="71">
        <v>1578547</v>
      </c>
      <c r="AJ42" s="71">
        <v>1011259</v>
      </c>
      <c r="AK42" s="71">
        <v>0</v>
      </c>
      <c r="AL42" s="71">
        <v>0</v>
      </c>
      <c r="AM42" s="71">
        <v>365854</v>
      </c>
      <c r="AN42" s="71">
        <v>5973759</v>
      </c>
      <c r="AO42" s="71">
        <v>26035</v>
      </c>
      <c r="AP42" s="71">
        <v>0</v>
      </c>
      <c r="AQ42" s="71">
        <v>0</v>
      </c>
      <c r="AR42" s="71">
        <v>0</v>
      </c>
      <c r="AS42" s="71">
        <v>26035</v>
      </c>
      <c r="AT42" s="71">
        <v>8131</v>
      </c>
      <c r="AU42" s="71">
        <v>0</v>
      </c>
      <c r="AV42" s="71">
        <v>0</v>
      </c>
      <c r="AW42" s="71">
        <v>0</v>
      </c>
      <c r="AX42" s="71">
        <v>8131</v>
      </c>
      <c r="AY42" s="71">
        <v>34166</v>
      </c>
      <c r="AZ42" s="71">
        <v>0</v>
      </c>
      <c r="BA42" s="71">
        <v>0</v>
      </c>
      <c r="BB42" s="71">
        <v>0</v>
      </c>
      <c r="BC42" s="71">
        <v>34166</v>
      </c>
      <c r="BD42" s="71">
        <v>417873</v>
      </c>
      <c r="BE42" s="71">
        <v>0</v>
      </c>
      <c r="BF42" s="71">
        <v>0</v>
      </c>
      <c r="BG42" s="71">
        <v>0</v>
      </c>
      <c r="BH42" s="71">
        <v>0</v>
      </c>
      <c r="BI42" s="71">
        <v>417873</v>
      </c>
      <c r="BJ42" s="71">
        <v>0</v>
      </c>
      <c r="BK42" s="71">
        <v>0</v>
      </c>
      <c r="BL42" s="71">
        <v>175880</v>
      </c>
      <c r="BM42" s="71">
        <v>0</v>
      </c>
      <c r="BN42" s="71">
        <v>0</v>
      </c>
      <c r="BO42" s="71">
        <v>175880</v>
      </c>
      <c r="BP42" s="71">
        <v>1797708</v>
      </c>
      <c r="BQ42" s="71">
        <v>0</v>
      </c>
      <c r="BR42" s="71">
        <v>0</v>
      </c>
      <c r="BS42" s="71">
        <v>0</v>
      </c>
      <c r="BT42" s="71">
        <v>0</v>
      </c>
      <c r="BU42" s="71">
        <v>1797708</v>
      </c>
      <c r="BV42" s="71">
        <v>2215581</v>
      </c>
      <c r="BW42" s="71">
        <v>0</v>
      </c>
      <c r="BX42" s="71">
        <v>175880</v>
      </c>
      <c r="BY42" s="71">
        <v>0</v>
      </c>
      <c r="BZ42" s="71">
        <v>0</v>
      </c>
      <c r="CA42" s="71">
        <v>2391461</v>
      </c>
      <c r="CB42" s="71">
        <v>0</v>
      </c>
      <c r="CC42" s="71">
        <v>0</v>
      </c>
      <c r="CD42" s="71">
        <v>0</v>
      </c>
      <c r="CE42" s="71">
        <v>0</v>
      </c>
      <c r="CF42" s="71">
        <v>0</v>
      </c>
      <c r="CG42" s="71">
        <v>0</v>
      </c>
      <c r="CH42" s="71">
        <v>0</v>
      </c>
      <c r="CI42" s="71">
        <v>0</v>
      </c>
      <c r="CJ42" s="71">
        <v>0</v>
      </c>
      <c r="CK42" s="71">
        <v>0</v>
      </c>
      <c r="CL42" s="71">
        <v>0</v>
      </c>
      <c r="CM42" s="71">
        <v>0</v>
      </c>
      <c r="CN42" s="71">
        <v>0</v>
      </c>
      <c r="CO42" s="71">
        <v>0</v>
      </c>
      <c r="CP42" s="71">
        <v>0</v>
      </c>
      <c r="CQ42" s="71">
        <v>0</v>
      </c>
      <c r="CR42" s="71" t="s">
        <v>415</v>
      </c>
      <c r="CS42" s="71">
        <v>700059</v>
      </c>
      <c r="CT42" s="71">
        <v>0</v>
      </c>
      <c r="CU42" s="71">
        <v>26208</v>
      </c>
      <c r="CV42" s="71">
        <v>36480</v>
      </c>
      <c r="CW42" s="71">
        <v>133392</v>
      </c>
      <c r="CX42" s="71">
        <v>32922</v>
      </c>
      <c r="CY42" s="71">
        <v>0</v>
      </c>
      <c r="CZ42" s="71">
        <v>0</v>
      </c>
      <c r="DA42" s="71">
        <v>14256</v>
      </c>
      <c r="DB42" s="71">
        <v>0</v>
      </c>
      <c r="DC42" s="71">
        <v>21968</v>
      </c>
      <c r="DD42" s="71">
        <v>0</v>
      </c>
      <c r="DE42" s="71">
        <v>24808</v>
      </c>
      <c r="DF42" s="71">
        <v>108648</v>
      </c>
      <c r="DG42" s="71">
        <v>6304</v>
      </c>
      <c r="DH42" s="71">
        <v>80544</v>
      </c>
      <c r="DI42" s="71">
        <v>0</v>
      </c>
      <c r="DJ42" s="71">
        <v>147506</v>
      </c>
      <c r="DK42" s="71">
        <v>0</v>
      </c>
      <c r="DL42" s="71">
        <v>31040</v>
      </c>
      <c r="DM42" s="71">
        <v>49784</v>
      </c>
      <c r="DN42" s="71">
        <v>40</v>
      </c>
      <c r="DO42" s="71">
        <v>500</v>
      </c>
      <c r="DP42" s="71">
        <v>0</v>
      </c>
      <c r="DQ42" s="71">
        <v>26688</v>
      </c>
      <c r="DR42" s="71">
        <v>21840</v>
      </c>
      <c r="DS42" s="71">
        <v>143232</v>
      </c>
      <c r="DT42" s="71">
        <v>44800</v>
      </c>
      <c r="DU42" s="71">
        <v>0</v>
      </c>
      <c r="DV42" s="71">
        <v>82016</v>
      </c>
      <c r="DW42" s="71">
        <v>40192</v>
      </c>
      <c r="DX42" s="71">
        <v>1073168</v>
      </c>
      <c r="DY42" s="71">
        <v>83434</v>
      </c>
      <c r="DZ42" s="71">
        <v>100486</v>
      </c>
      <c r="EA42" s="71">
        <v>424662</v>
      </c>
      <c r="EB42" s="71">
        <v>67838</v>
      </c>
      <c r="EC42" s="71">
        <v>0</v>
      </c>
      <c r="ED42" s="71">
        <v>0</v>
      </c>
      <c r="EE42" s="71">
        <v>74780</v>
      </c>
      <c r="EF42" s="71">
        <v>0</v>
      </c>
      <c r="EG42" s="71">
        <v>63861</v>
      </c>
      <c r="EH42" s="71">
        <v>0</v>
      </c>
      <c r="EI42" s="71">
        <v>97305</v>
      </c>
      <c r="EJ42" s="71">
        <v>307866</v>
      </c>
      <c r="EK42" s="71">
        <v>4772</v>
      </c>
      <c r="EL42" s="71">
        <v>674452</v>
      </c>
      <c r="EM42" s="71">
        <v>0</v>
      </c>
      <c r="EN42" s="71">
        <v>576067</v>
      </c>
      <c r="EO42" s="71">
        <v>0</v>
      </c>
      <c r="EP42" s="71">
        <v>172092</v>
      </c>
      <c r="EQ42" s="71">
        <v>166381</v>
      </c>
      <c r="ER42" s="71">
        <v>124</v>
      </c>
      <c r="ES42" s="71">
        <v>2430</v>
      </c>
      <c r="ET42" s="71">
        <v>0</v>
      </c>
      <c r="EU42" s="71">
        <v>80250</v>
      </c>
      <c r="EV42" s="71">
        <v>63813</v>
      </c>
      <c r="EW42" s="71">
        <v>352586</v>
      </c>
      <c r="EX42" s="71">
        <v>188863</v>
      </c>
      <c r="EY42" s="71">
        <v>0</v>
      </c>
      <c r="EZ42" s="71">
        <v>168772</v>
      </c>
      <c r="FA42" s="71">
        <v>175308</v>
      </c>
      <c r="FB42" s="71">
        <v>3846142</v>
      </c>
      <c r="FC42" s="71">
        <v>9440</v>
      </c>
      <c r="FD42" s="71">
        <v>20996</v>
      </c>
      <c r="FE42" s="71">
        <v>5986</v>
      </c>
      <c r="FF42" s="71">
        <v>0</v>
      </c>
      <c r="FG42" s="71">
        <v>0</v>
      </c>
      <c r="FH42" s="71">
        <v>0</v>
      </c>
      <c r="FI42" s="71">
        <v>0</v>
      </c>
      <c r="FJ42" s="71">
        <v>0</v>
      </c>
      <c r="FK42" s="71">
        <v>0</v>
      </c>
      <c r="FL42" s="71">
        <v>0</v>
      </c>
      <c r="FM42" s="71">
        <v>14279</v>
      </c>
      <c r="FN42" s="71">
        <v>0</v>
      </c>
      <c r="FO42" s="71">
        <v>0</v>
      </c>
      <c r="FP42" s="71">
        <v>123700</v>
      </c>
      <c r="FQ42" s="71">
        <v>0</v>
      </c>
      <c r="FR42" s="71">
        <v>30654</v>
      </c>
      <c r="FS42" s="71">
        <v>0</v>
      </c>
      <c r="FT42" s="71">
        <v>0</v>
      </c>
      <c r="FU42" s="71">
        <v>0</v>
      </c>
      <c r="FV42" s="71">
        <v>0</v>
      </c>
      <c r="FW42" s="71">
        <v>0</v>
      </c>
      <c r="FX42" s="71">
        <v>0</v>
      </c>
      <c r="FY42" s="71">
        <v>91832</v>
      </c>
      <c r="FZ42" s="71">
        <v>19623</v>
      </c>
      <c r="GA42" s="71">
        <v>0</v>
      </c>
      <c r="GB42" s="71">
        <v>4027</v>
      </c>
      <c r="GC42" s="71">
        <v>0</v>
      </c>
      <c r="GD42" s="71">
        <v>0</v>
      </c>
      <c r="GE42" s="71">
        <v>12333</v>
      </c>
      <c r="GF42" s="71">
        <v>332870</v>
      </c>
      <c r="GG42" s="71">
        <v>15558</v>
      </c>
      <c r="GH42" s="71">
        <v>20350</v>
      </c>
      <c r="GI42" s="71">
        <v>72141</v>
      </c>
      <c r="GJ42" s="71">
        <v>11364</v>
      </c>
      <c r="GK42" s="71">
        <v>0</v>
      </c>
      <c r="GL42" s="71">
        <v>0</v>
      </c>
      <c r="GM42" s="71">
        <v>12527</v>
      </c>
      <c r="GN42" s="71">
        <v>0</v>
      </c>
      <c r="GO42" s="71">
        <v>10698</v>
      </c>
      <c r="GP42" s="71">
        <v>0</v>
      </c>
      <c r="GQ42" s="71">
        <v>18692</v>
      </c>
      <c r="GR42" s="71">
        <v>51573</v>
      </c>
      <c r="GS42" s="71">
        <v>799</v>
      </c>
      <c r="GT42" s="71">
        <v>133705</v>
      </c>
      <c r="GU42" s="71">
        <v>0</v>
      </c>
      <c r="GV42" s="71">
        <v>101637</v>
      </c>
      <c r="GW42" s="71">
        <v>0</v>
      </c>
      <c r="GX42" s="71">
        <v>28828</v>
      </c>
      <c r="GY42" s="71">
        <v>27872</v>
      </c>
      <c r="GZ42" s="71">
        <v>21</v>
      </c>
      <c r="HA42" s="71">
        <v>407</v>
      </c>
      <c r="HB42" s="71">
        <v>0</v>
      </c>
      <c r="HC42" s="71">
        <v>28827</v>
      </c>
      <c r="HD42" s="71">
        <v>13977</v>
      </c>
      <c r="HE42" s="71">
        <v>59064</v>
      </c>
      <c r="HF42" s="71">
        <v>32313</v>
      </c>
      <c r="HG42" s="71">
        <v>0</v>
      </c>
      <c r="HH42" s="71">
        <v>28272</v>
      </c>
      <c r="HI42" s="71">
        <v>31433</v>
      </c>
      <c r="HJ42" s="71">
        <v>700059</v>
      </c>
      <c r="HK42" s="71">
        <v>5596</v>
      </c>
      <c r="HL42" s="71">
        <v>35463</v>
      </c>
      <c r="HM42" s="71">
        <v>28486</v>
      </c>
      <c r="HN42" s="71">
        <v>45992</v>
      </c>
      <c r="HO42" s="71">
        <v>0</v>
      </c>
      <c r="HP42" s="71">
        <v>0</v>
      </c>
      <c r="HQ42" s="71">
        <v>4870</v>
      </c>
      <c r="HR42" s="71">
        <v>0</v>
      </c>
      <c r="HS42" s="71">
        <v>30347</v>
      </c>
      <c r="HT42" s="71">
        <v>0</v>
      </c>
      <c r="HU42" s="71">
        <v>43096</v>
      </c>
      <c r="HV42" s="71">
        <v>25247</v>
      </c>
      <c r="HW42" s="71">
        <v>920</v>
      </c>
      <c r="HX42" s="71">
        <v>103894</v>
      </c>
      <c r="HY42" s="71">
        <v>0</v>
      </c>
      <c r="HZ42" s="71">
        <v>80988</v>
      </c>
      <c r="IA42" s="71">
        <v>0</v>
      </c>
      <c r="IB42" s="71">
        <v>39026</v>
      </c>
      <c r="IC42" s="71">
        <v>36486</v>
      </c>
      <c r="ID42" s="71">
        <v>264</v>
      </c>
      <c r="IE42" s="71">
        <v>605</v>
      </c>
      <c r="IF42" s="71">
        <v>0</v>
      </c>
      <c r="IG42" s="71">
        <v>23348</v>
      </c>
      <c r="IH42" s="71">
        <v>19231</v>
      </c>
      <c r="II42" s="71">
        <v>28974</v>
      </c>
      <c r="IJ42" s="71">
        <v>14272</v>
      </c>
      <c r="IK42" s="71">
        <v>0</v>
      </c>
      <c r="IL42" s="71">
        <v>10838</v>
      </c>
      <c r="IM42" s="71">
        <v>8393</v>
      </c>
      <c r="IN42" s="71">
        <v>586336</v>
      </c>
      <c r="IO42" s="71">
        <v>30594</v>
      </c>
      <c r="IP42" s="71">
        <v>76809</v>
      </c>
      <c r="IQ42" s="71">
        <v>106613</v>
      </c>
      <c r="IR42" s="71">
        <v>57356</v>
      </c>
      <c r="IS42" s="71">
        <v>0</v>
      </c>
      <c r="IT42" s="71">
        <v>0</v>
      </c>
      <c r="IU42" s="71">
        <v>17397</v>
      </c>
      <c r="IV42" s="71">
        <v>0</v>
      </c>
      <c r="IW42" s="71">
        <v>41045</v>
      </c>
      <c r="IX42" s="71">
        <v>0</v>
      </c>
      <c r="IY42" s="71">
        <v>76067</v>
      </c>
      <c r="IZ42" s="71">
        <v>76820</v>
      </c>
      <c r="JA42" s="71">
        <v>1719</v>
      </c>
      <c r="JB42" s="71">
        <v>361299</v>
      </c>
      <c r="JC42" s="71">
        <v>0</v>
      </c>
      <c r="JD42" s="71">
        <v>213279</v>
      </c>
      <c r="JE42" s="71">
        <v>0</v>
      </c>
      <c r="JF42" s="71">
        <v>67854</v>
      </c>
      <c r="JG42" s="71">
        <v>64358</v>
      </c>
      <c r="JH42" s="71">
        <v>285</v>
      </c>
      <c r="JI42" s="71">
        <v>1012</v>
      </c>
      <c r="JJ42" s="71">
        <v>0</v>
      </c>
      <c r="JK42" s="71">
        <v>144007</v>
      </c>
      <c r="JL42" s="71">
        <v>52831</v>
      </c>
      <c r="JM42" s="71">
        <v>88038</v>
      </c>
      <c r="JN42" s="71">
        <v>50612</v>
      </c>
      <c r="JO42" s="71">
        <v>0</v>
      </c>
      <c r="JP42" s="71">
        <v>39110</v>
      </c>
      <c r="JQ42" s="71">
        <v>52159</v>
      </c>
      <c r="JR42" s="71">
        <v>1619265</v>
      </c>
      <c r="JS42" s="71">
        <v>114028</v>
      </c>
      <c r="JT42" s="71">
        <v>177295</v>
      </c>
      <c r="JU42" s="71">
        <v>531275</v>
      </c>
      <c r="JV42" s="71">
        <v>125194</v>
      </c>
      <c r="JW42" s="71">
        <v>0</v>
      </c>
      <c r="JX42" s="71">
        <v>0</v>
      </c>
      <c r="JY42" s="71">
        <v>92177</v>
      </c>
      <c r="JZ42" s="71">
        <v>0</v>
      </c>
      <c r="KA42" s="71">
        <v>104906</v>
      </c>
      <c r="KB42" s="71">
        <v>0</v>
      </c>
      <c r="KC42" s="71">
        <v>173372</v>
      </c>
      <c r="KD42" s="71">
        <v>384686</v>
      </c>
      <c r="KE42" s="71">
        <v>6491</v>
      </c>
      <c r="KF42" s="71">
        <v>1035751</v>
      </c>
      <c r="KG42" s="71">
        <v>0</v>
      </c>
      <c r="KH42" s="71">
        <v>789346</v>
      </c>
      <c r="KI42" s="71">
        <v>0</v>
      </c>
      <c r="KJ42" s="71">
        <v>239946</v>
      </c>
      <c r="KK42" s="71">
        <v>230739</v>
      </c>
      <c r="KL42" s="71">
        <v>409</v>
      </c>
      <c r="KM42" s="71">
        <v>3442</v>
      </c>
      <c r="KN42" s="71">
        <v>0</v>
      </c>
      <c r="KO42" s="71">
        <v>224257</v>
      </c>
      <c r="KP42" s="71">
        <v>116644</v>
      </c>
      <c r="KQ42" s="71">
        <v>440624</v>
      </c>
      <c r="KR42" s="71">
        <v>239475</v>
      </c>
      <c r="KS42" s="71">
        <v>0</v>
      </c>
      <c r="KT42" s="71">
        <v>207882</v>
      </c>
      <c r="KU42" s="71">
        <v>227467</v>
      </c>
      <c r="KV42" s="71">
        <v>5465407</v>
      </c>
      <c r="KW42" s="71" t="s">
        <v>1070</v>
      </c>
      <c r="KX42" s="71">
        <v>12223268</v>
      </c>
      <c r="KY42" s="71">
        <v>2425627</v>
      </c>
      <c r="KZ42" s="71">
        <v>14648895</v>
      </c>
      <c r="LA42" s="71">
        <v>0</v>
      </c>
      <c r="LB42" s="71">
        <v>365854</v>
      </c>
    </row>
    <row r="43" spans="1:314" x14ac:dyDescent="0.25">
      <c r="A43" s="71" t="s">
        <v>417</v>
      </c>
      <c r="B43" s="71" t="s">
        <v>1239</v>
      </c>
      <c r="C43" s="160" t="s">
        <v>1345</v>
      </c>
      <c r="D43" s="71" t="s">
        <v>1421</v>
      </c>
      <c r="E43" s="2">
        <v>41305.631469907406</v>
      </c>
      <c r="F43" s="71"/>
      <c r="G43" s="71" t="s">
        <v>1240</v>
      </c>
      <c r="H43" s="71" t="s">
        <v>1241</v>
      </c>
      <c r="I43" s="71" t="s">
        <v>1242</v>
      </c>
      <c r="J43" s="71" t="s">
        <v>1243</v>
      </c>
      <c r="K43" s="71" t="s">
        <v>1244</v>
      </c>
      <c r="L43" s="71">
        <v>0</v>
      </c>
      <c r="M43" s="71">
        <v>0</v>
      </c>
      <c r="N43" s="71">
        <v>0</v>
      </c>
      <c r="O43" s="71">
        <v>31546617</v>
      </c>
      <c r="P43" s="71">
        <v>0</v>
      </c>
      <c r="Q43" s="71">
        <v>2294724</v>
      </c>
      <c r="R43" s="71">
        <v>0</v>
      </c>
      <c r="S43" s="71">
        <v>2294724</v>
      </c>
      <c r="T43" s="71">
        <v>3309234</v>
      </c>
      <c r="U43" s="71">
        <v>2647853</v>
      </c>
      <c r="V43" s="71">
        <v>1935220</v>
      </c>
      <c r="W43" s="71">
        <v>0</v>
      </c>
      <c r="X43" s="71">
        <v>0</v>
      </c>
      <c r="Y43" s="71">
        <v>0</v>
      </c>
      <c r="Z43" s="71">
        <v>7892307</v>
      </c>
      <c r="AA43" s="71">
        <v>2803164</v>
      </c>
      <c r="AB43" s="71">
        <v>273999</v>
      </c>
      <c r="AC43" s="71">
        <v>247839</v>
      </c>
      <c r="AD43" s="71">
        <v>0</v>
      </c>
      <c r="AE43" s="71">
        <v>0</v>
      </c>
      <c r="AF43" s="71">
        <v>300580</v>
      </c>
      <c r="AG43" s="71">
        <v>3625582</v>
      </c>
      <c r="AH43" s="71">
        <v>6112398</v>
      </c>
      <c r="AI43" s="71">
        <v>2921852</v>
      </c>
      <c r="AJ43" s="71">
        <v>2183059</v>
      </c>
      <c r="AK43" s="71">
        <v>0</v>
      </c>
      <c r="AL43" s="71">
        <v>0</v>
      </c>
      <c r="AM43" s="71">
        <v>300580</v>
      </c>
      <c r="AN43" s="71">
        <v>11517889</v>
      </c>
      <c r="AO43" s="71">
        <v>0</v>
      </c>
      <c r="AP43" s="71">
        <v>0</v>
      </c>
      <c r="AQ43" s="71">
        <v>658622</v>
      </c>
      <c r="AR43" s="71">
        <v>0</v>
      </c>
      <c r="AS43" s="71">
        <v>658622</v>
      </c>
      <c r="AT43" s="71">
        <v>0</v>
      </c>
      <c r="AU43" s="71">
        <v>0</v>
      </c>
      <c r="AV43" s="71">
        <v>126418</v>
      </c>
      <c r="AW43" s="71">
        <v>0</v>
      </c>
      <c r="AX43" s="71">
        <v>126418</v>
      </c>
      <c r="AY43" s="71">
        <v>0</v>
      </c>
      <c r="AZ43" s="71">
        <v>0</v>
      </c>
      <c r="BA43" s="71">
        <v>785040</v>
      </c>
      <c r="BB43" s="71">
        <v>0</v>
      </c>
      <c r="BC43" s="71">
        <v>785040</v>
      </c>
      <c r="BD43" s="71">
        <v>1032492</v>
      </c>
      <c r="BE43" s="71">
        <v>0</v>
      </c>
      <c r="BF43" s="71">
        <v>0</v>
      </c>
      <c r="BG43" s="71">
        <v>0</v>
      </c>
      <c r="BH43" s="71">
        <v>0</v>
      </c>
      <c r="BI43" s="71">
        <v>1032492</v>
      </c>
      <c r="BJ43" s="71">
        <v>0</v>
      </c>
      <c r="BK43" s="71">
        <v>0</v>
      </c>
      <c r="BL43" s="71">
        <v>46288</v>
      </c>
      <c r="BM43" s="71">
        <v>0</v>
      </c>
      <c r="BN43" s="71">
        <v>0</v>
      </c>
      <c r="BO43" s="71">
        <v>46288</v>
      </c>
      <c r="BP43" s="71">
        <v>2942291</v>
      </c>
      <c r="BQ43" s="71">
        <v>0</v>
      </c>
      <c r="BR43" s="71">
        <v>0</v>
      </c>
      <c r="BS43" s="71">
        <v>0</v>
      </c>
      <c r="BT43" s="71">
        <v>223921</v>
      </c>
      <c r="BU43" s="71">
        <v>3166212</v>
      </c>
      <c r="BV43" s="71">
        <v>3974783</v>
      </c>
      <c r="BW43" s="71">
        <v>0</v>
      </c>
      <c r="BX43" s="71">
        <v>46288</v>
      </c>
      <c r="BY43" s="71">
        <v>0</v>
      </c>
      <c r="BZ43" s="71">
        <v>223921</v>
      </c>
      <c r="CA43" s="71">
        <v>4244992</v>
      </c>
      <c r="CB43" s="71">
        <v>0</v>
      </c>
      <c r="CC43" s="71">
        <v>0</v>
      </c>
      <c r="CD43" s="71">
        <v>0</v>
      </c>
      <c r="CE43" s="71">
        <v>0</v>
      </c>
      <c r="CF43" s="71">
        <v>0</v>
      </c>
      <c r="CG43" s="71">
        <v>0</v>
      </c>
      <c r="CH43" s="71">
        <v>0</v>
      </c>
      <c r="CI43" s="71">
        <v>0</v>
      </c>
      <c r="CJ43" s="71">
        <v>0</v>
      </c>
      <c r="CK43" s="71">
        <v>0</v>
      </c>
      <c r="CL43" s="71">
        <v>0</v>
      </c>
      <c r="CM43" s="71">
        <v>0</v>
      </c>
      <c r="CN43" s="71">
        <v>0</v>
      </c>
      <c r="CO43" s="71">
        <v>0</v>
      </c>
      <c r="CP43" s="71">
        <v>0</v>
      </c>
      <c r="CQ43" s="71">
        <v>0</v>
      </c>
      <c r="CR43" s="71" t="s">
        <v>417</v>
      </c>
      <c r="CS43" s="71">
        <v>2204220</v>
      </c>
      <c r="CT43" s="71">
        <v>0</v>
      </c>
      <c r="CU43" s="71">
        <v>4104</v>
      </c>
      <c r="CV43" s="71">
        <v>61964</v>
      </c>
      <c r="CW43" s="71">
        <v>323092</v>
      </c>
      <c r="CX43" s="71">
        <v>90130</v>
      </c>
      <c r="CY43" s="71">
        <v>0</v>
      </c>
      <c r="CZ43" s="71">
        <v>1152</v>
      </c>
      <c r="DA43" s="71">
        <v>53008</v>
      </c>
      <c r="DB43" s="71">
        <v>2400</v>
      </c>
      <c r="DC43" s="71">
        <v>105873</v>
      </c>
      <c r="DD43" s="71">
        <v>0</v>
      </c>
      <c r="DE43" s="71">
        <v>51483</v>
      </c>
      <c r="DF43" s="71">
        <v>180528</v>
      </c>
      <c r="DG43" s="71">
        <v>13285</v>
      </c>
      <c r="DH43" s="71">
        <v>113488</v>
      </c>
      <c r="DI43" s="71">
        <v>0</v>
      </c>
      <c r="DJ43" s="71">
        <v>110348</v>
      </c>
      <c r="DK43" s="71">
        <v>0</v>
      </c>
      <c r="DL43" s="71">
        <v>35728</v>
      </c>
      <c r="DM43" s="71">
        <v>76104</v>
      </c>
      <c r="DN43" s="71">
        <v>0</v>
      </c>
      <c r="DO43" s="71">
        <v>0</v>
      </c>
      <c r="DP43" s="71">
        <v>11496</v>
      </c>
      <c r="DQ43" s="71">
        <v>42336</v>
      </c>
      <c r="DR43" s="71">
        <v>72288</v>
      </c>
      <c r="DS43" s="71">
        <v>322896</v>
      </c>
      <c r="DT43" s="71">
        <v>88432</v>
      </c>
      <c r="DU43" s="71">
        <v>0</v>
      </c>
      <c r="DV43" s="71">
        <v>189576</v>
      </c>
      <c r="DW43" s="71">
        <v>65016</v>
      </c>
      <c r="DX43" s="71">
        <v>2014727</v>
      </c>
      <c r="DY43" s="71">
        <v>61078</v>
      </c>
      <c r="DZ43" s="71">
        <v>470925</v>
      </c>
      <c r="EA43" s="71">
        <v>762185</v>
      </c>
      <c r="EB43" s="71">
        <v>284777</v>
      </c>
      <c r="EC43" s="71">
        <v>0</v>
      </c>
      <c r="ED43" s="71">
        <v>6585</v>
      </c>
      <c r="EE43" s="71">
        <v>254408</v>
      </c>
      <c r="EF43" s="71">
        <v>2136</v>
      </c>
      <c r="EG43" s="71">
        <v>461067</v>
      </c>
      <c r="EH43" s="71">
        <v>0</v>
      </c>
      <c r="EI43" s="71">
        <v>19784</v>
      </c>
      <c r="EJ43" s="71">
        <v>920982</v>
      </c>
      <c r="EK43" s="71">
        <v>66851</v>
      </c>
      <c r="EL43" s="71">
        <v>696086</v>
      </c>
      <c r="EM43" s="71">
        <v>0</v>
      </c>
      <c r="EN43" s="71">
        <v>611345</v>
      </c>
      <c r="EO43" s="71">
        <v>0</v>
      </c>
      <c r="EP43" s="71">
        <v>259678</v>
      </c>
      <c r="EQ43" s="71">
        <v>436564</v>
      </c>
      <c r="ER43" s="71">
        <v>0</v>
      </c>
      <c r="ES43" s="71">
        <v>0</v>
      </c>
      <c r="ET43" s="71">
        <v>10533</v>
      </c>
      <c r="EU43" s="71">
        <v>165968</v>
      </c>
      <c r="EV43" s="71">
        <v>377818</v>
      </c>
      <c r="EW43" s="71">
        <v>1105262</v>
      </c>
      <c r="EX43" s="71">
        <v>600626</v>
      </c>
      <c r="EY43" s="71">
        <v>0</v>
      </c>
      <c r="EZ43" s="71">
        <v>508478</v>
      </c>
      <c r="FA43" s="71">
        <v>235618</v>
      </c>
      <c r="FB43" s="71">
        <v>8318754</v>
      </c>
      <c r="FC43" s="71">
        <v>6496</v>
      </c>
      <c r="FD43" s="71">
        <v>151073</v>
      </c>
      <c r="FE43" s="71">
        <v>105451</v>
      </c>
      <c r="FF43" s="71">
        <v>0</v>
      </c>
      <c r="FG43" s="71">
        <v>0</v>
      </c>
      <c r="FH43" s="71">
        <v>0</v>
      </c>
      <c r="FI43" s="71">
        <v>260302</v>
      </c>
      <c r="FJ43" s="71">
        <v>1536</v>
      </c>
      <c r="FK43" s="71">
        <v>349277</v>
      </c>
      <c r="FL43" s="71">
        <v>0</v>
      </c>
      <c r="FM43" s="71">
        <v>0</v>
      </c>
      <c r="FN43" s="71">
        <v>254858</v>
      </c>
      <c r="FO43" s="71">
        <v>0</v>
      </c>
      <c r="FP43" s="71">
        <v>214234</v>
      </c>
      <c r="FQ43" s="71">
        <v>0</v>
      </c>
      <c r="FR43" s="71">
        <v>64015</v>
      </c>
      <c r="FS43" s="71">
        <v>0</v>
      </c>
      <c r="FT43" s="71">
        <v>70585</v>
      </c>
      <c r="FU43" s="71">
        <v>6684</v>
      </c>
      <c r="FV43" s="71">
        <v>0</v>
      </c>
      <c r="FW43" s="71">
        <v>0</v>
      </c>
      <c r="FX43" s="71">
        <v>0</v>
      </c>
      <c r="FY43" s="71">
        <v>10713</v>
      </c>
      <c r="FZ43" s="71">
        <v>131714</v>
      </c>
      <c r="GA43" s="71">
        <v>0</v>
      </c>
      <c r="GB43" s="71">
        <v>36504</v>
      </c>
      <c r="GC43" s="71">
        <v>0</v>
      </c>
      <c r="GD43" s="71">
        <v>94678</v>
      </c>
      <c r="GE43" s="71">
        <v>182956</v>
      </c>
      <c r="GF43" s="71">
        <v>1941076</v>
      </c>
      <c r="GG43" s="71">
        <v>14518</v>
      </c>
      <c r="GH43" s="71">
        <v>133630</v>
      </c>
      <c r="GI43" s="71">
        <v>186403</v>
      </c>
      <c r="GJ43" s="71">
        <v>61181</v>
      </c>
      <c r="GK43" s="71">
        <v>0</v>
      </c>
      <c r="GL43" s="71">
        <v>1415</v>
      </c>
      <c r="GM43" s="71">
        <v>110580</v>
      </c>
      <c r="GN43" s="71">
        <v>789</v>
      </c>
      <c r="GO43" s="71">
        <v>174094</v>
      </c>
      <c r="GP43" s="71">
        <v>0</v>
      </c>
      <c r="GQ43" s="71">
        <v>4250</v>
      </c>
      <c r="GR43" s="71">
        <v>252617</v>
      </c>
      <c r="GS43" s="71">
        <v>14362</v>
      </c>
      <c r="GT43" s="71">
        <v>195573</v>
      </c>
      <c r="GU43" s="71">
        <v>0</v>
      </c>
      <c r="GV43" s="71">
        <v>145094</v>
      </c>
      <c r="GW43" s="71">
        <v>0</v>
      </c>
      <c r="GX43" s="71">
        <v>70954</v>
      </c>
      <c r="GY43" s="71">
        <v>95227</v>
      </c>
      <c r="GZ43" s="71">
        <v>0</v>
      </c>
      <c r="HA43" s="71">
        <v>0</v>
      </c>
      <c r="HB43" s="71">
        <v>2263</v>
      </c>
      <c r="HC43" s="71">
        <v>37958</v>
      </c>
      <c r="HD43" s="71">
        <v>109468</v>
      </c>
      <c r="HE43" s="71">
        <v>237454</v>
      </c>
      <c r="HF43" s="71">
        <v>136881</v>
      </c>
      <c r="HG43" s="71">
        <v>0</v>
      </c>
      <c r="HH43" s="71">
        <v>129582</v>
      </c>
      <c r="HI43" s="71">
        <v>89926</v>
      </c>
      <c r="HJ43" s="71">
        <v>2204220</v>
      </c>
      <c r="HK43" s="71">
        <v>3557</v>
      </c>
      <c r="HL43" s="71">
        <v>127883</v>
      </c>
      <c r="HM43" s="71">
        <v>63830</v>
      </c>
      <c r="HN43" s="71">
        <v>15939</v>
      </c>
      <c r="HO43" s="71">
        <v>0</v>
      </c>
      <c r="HP43" s="71">
        <v>0</v>
      </c>
      <c r="HQ43" s="71">
        <v>28407</v>
      </c>
      <c r="HR43" s="71">
        <v>72</v>
      </c>
      <c r="HS43" s="71">
        <v>30990</v>
      </c>
      <c r="HT43" s="71">
        <v>0</v>
      </c>
      <c r="HU43" s="71">
        <v>2745</v>
      </c>
      <c r="HV43" s="71">
        <v>58045</v>
      </c>
      <c r="HW43" s="71">
        <v>564</v>
      </c>
      <c r="HX43" s="71">
        <v>51127</v>
      </c>
      <c r="HY43" s="71">
        <v>0</v>
      </c>
      <c r="HZ43" s="71">
        <v>39675</v>
      </c>
      <c r="IA43" s="71">
        <v>0</v>
      </c>
      <c r="IB43" s="71">
        <v>10536</v>
      </c>
      <c r="IC43" s="71">
        <v>8057</v>
      </c>
      <c r="ID43" s="71">
        <v>0</v>
      </c>
      <c r="IE43" s="71">
        <v>0</v>
      </c>
      <c r="IF43" s="71">
        <v>33093</v>
      </c>
      <c r="IG43" s="71">
        <v>20474</v>
      </c>
      <c r="IH43" s="71">
        <v>83250</v>
      </c>
      <c r="II43" s="71">
        <v>129998</v>
      </c>
      <c r="IJ43" s="71">
        <v>37457</v>
      </c>
      <c r="IK43" s="71">
        <v>0</v>
      </c>
      <c r="IL43" s="71">
        <v>9680</v>
      </c>
      <c r="IM43" s="71">
        <v>9044</v>
      </c>
      <c r="IN43" s="71">
        <v>764423</v>
      </c>
      <c r="IO43" s="71">
        <v>24571</v>
      </c>
      <c r="IP43" s="71">
        <v>412586</v>
      </c>
      <c r="IQ43" s="71">
        <v>355684</v>
      </c>
      <c r="IR43" s="71">
        <v>77120</v>
      </c>
      <c r="IS43" s="71">
        <v>0</v>
      </c>
      <c r="IT43" s="71">
        <v>1415</v>
      </c>
      <c r="IU43" s="71">
        <v>399289</v>
      </c>
      <c r="IV43" s="71">
        <v>2397</v>
      </c>
      <c r="IW43" s="71">
        <v>554361</v>
      </c>
      <c r="IX43" s="71">
        <v>0</v>
      </c>
      <c r="IY43" s="71">
        <v>6995</v>
      </c>
      <c r="IZ43" s="71">
        <v>565520</v>
      </c>
      <c r="JA43" s="71">
        <v>14926</v>
      </c>
      <c r="JB43" s="71">
        <v>460934</v>
      </c>
      <c r="JC43" s="71">
        <v>0</v>
      </c>
      <c r="JD43" s="71">
        <v>248784</v>
      </c>
      <c r="JE43" s="71">
        <v>0</v>
      </c>
      <c r="JF43" s="71">
        <v>152075</v>
      </c>
      <c r="JG43" s="71">
        <v>109968</v>
      </c>
      <c r="JH43" s="71">
        <v>0</v>
      </c>
      <c r="JI43" s="71">
        <v>0</v>
      </c>
      <c r="JJ43" s="71">
        <v>35356</v>
      </c>
      <c r="JK43" s="71">
        <v>69145</v>
      </c>
      <c r="JL43" s="71">
        <v>324432</v>
      </c>
      <c r="JM43" s="71">
        <v>367452</v>
      </c>
      <c r="JN43" s="71">
        <v>210842</v>
      </c>
      <c r="JO43" s="71">
        <v>0</v>
      </c>
      <c r="JP43" s="71">
        <v>233940</v>
      </c>
      <c r="JQ43" s="71">
        <v>281926</v>
      </c>
      <c r="JR43" s="71">
        <v>4909719</v>
      </c>
      <c r="JS43" s="71">
        <v>85649</v>
      </c>
      <c r="JT43" s="71">
        <v>883511</v>
      </c>
      <c r="JU43" s="71">
        <v>1117869</v>
      </c>
      <c r="JV43" s="71">
        <v>361897</v>
      </c>
      <c r="JW43" s="71">
        <v>0</v>
      </c>
      <c r="JX43" s="71">
        <v>8000</v>
      </c>
      <c r="JY43" s="71">
        <v>653697</v>
      </c>
      <c r="JZ43" s="71">
        <v>4533</v>
      </c>
      <c r="KA43" s="71">
        <v>1015428</v>
      </c>
      <c r="KB43" s="71">
        <v>0</v>
      </c>
      <c r="KC43" s="71">
        <v>26779</v>
      </c>
      <c r="KD43" s="71">
        <v>1486502</v>
      </c>
      <c r="KE43" s="71">
        <v>81777</v>
      </c>
      <c r="KF43" s="71">
        <v>1157020</v>
      </c>
      <c r="KG43" s="71">
        <v>0</v>
      </c>
      <c r="KH43" s="71">
        <v>860129</v>
      </c>
      <c r="KI43" s="71">
        <v>0</v>
      </c>
      <c r="KJ43" s="71">
        <v>411753</v>
      </c>
      <c r="KK43" s="71">
        <v>546532</v>
      </c>
      <c r="KL43" s="71">
        <v>0</v>
      </c>
      <c r="KM43" s="71">
        <v>0</v>
      </c>
      <c r="KN43" s="71">
        <v>45889</v>
      </c>
      <c r="KO43" s="71">
        <v>235113</v>
      </c>
      <c r="KP43" s="71">
        <v>702250</v>
      </c>
      <c r="KQ43" s="71">
        <v>1472714</v>
      </c>
      <c r="KR43" s="71">
        <v>811468</v>
      </c>
      <c r="KS43" s="71">
        <v>0</v>
      </c>
      <c r="KT43" s="71">
        <v>742418</v>
      </c>
      <c r="KU43" s="71">
        <v>517544</v>
      </c>
      <c r="KV43" s="71">
        <v>13228473</v>
      </c>
      <c r="KW43" s="71" t="s">
        <v>1070</v>
      </c>
      <c r="KX43" s="71">
        <v>27041086</v>
      </c>
      <c r="KY43" s="71">
        <v>5030032</v>
      </c>
      <c r="KZ43" s="71">
        <v>32071118</v>
      </c>
      <c r="LA43" s="71">
        <v>0</v>
      </c>
      <c r="LB43" s="71">
        <v>524501</v>
      </c>
    </row>
    <row r="44" spans="1:314" x14ac:dyDescent="0.25">
      <c r="A44" s="71" t="s">
        <v>418</v>
      </c>
      <c r="B44" s="71" t="s">
        <v>1245</v>
      </c>
      <c r="C44" s="160" t="s">
        <v>1345</v>
      </c>
      <c r="D44" s="71" t="s">
        <v>1401</v>
      </c>
      <c r="E44" s="2">
        <v>41303.578773148147</v>
      </c>
      <c r="F44" s="71"/>
      <c r="G44" s="71" t="s">
        <v>419</v>
      </c>
      <c r="H44" s="71" t="s">
        <v>1246</v>
      </c>
      <c r="I44" s="71" t="s">
        <v>1247</v>
      </c>
      <c r="J44" s="71" t="s">
        <v>1248</v>
      </c>
      <c r="K44" s="71" t="s">
        <v>1249</v>
      </c>
      <c r="L44" s="71">
        <v>0</v>
      </c>
      <c r="M44" s="71">
        <v>0</v>
      </c>
      <c r="N44" s="71">
        <v>0</v>
      </c>
      <c r="O44" s="71">
        <v>25468171</v>
      </c>
      <c r="P44" s="71">
        <v>0</v>
      </c>
      <c r="Q44" s="71">
        <v>877254</v>
      </c>
      <c r="R44" s="71">
        <v>0</v>
      </c>
      <c r="S44" s="71">
        <v>877254</v>
      </c>
      <c r="T44" s="71">
        <v>3083768</v>
      </c>
      <c r="U44" s="71">
        <v>1525090</v>
      </c>
      <c r="V44" s="71">
        <v>774793</v>
      </c>
      <c r="W44" s="71">
        <v>0</v>
      </c>
      <c r="X44" s="71">
        <v>3005</v>
      </c>
      <c r="Y44" s="71">
        <v>0</v>
      </c>
      <c r="Z44" s="71">
        <v>5386656</v>
      </c>
      <c r="AA44" s="71">
        <v>1571309</v>
      </c>
      <c r="AB44" s="71">
        <v>230451</v>
      </c>
      <c r="AC44" s="71">
        <v>649500</v>
      </c>
      <c r="AD44" s="71">
        <v>0</v>
      </c>
      <c r="AE44" s="71">
        <v>95456</v>
      </c>
      <c r="AF44" s="71">
        <v>363463</v>
      </c>
      <c r="AG44" s="71">
        <v>2910179</v>
      </c>
      <c r="AH44" s="71">
        <v>4655077</v>
      </c>
      <c r="AI44" s="71">
        <v>1755541</v>
      </c>
      <c r="AJ44" s="71">
        <v>1424293</v>
      </c>
      <c r="AK44" s="71">
        <v>0</v>
      </c>
      <c r="AL44" s="71">
        <v>98461</v>
      </c>
      <c r="AM44" s="71">
        <v>363463</v>
      </c>
      <c r="AN44" s="71">
        <v>8296835</v>
      </c>
      <c r="AO44" s="71">
        <v>0</v>
      </c>
      <c r="AP44" s="71">
        <v>0</v>
      </c>
      <c r="AQ44" s="71">
        <v>63125</v>
      </c>
      <c r="AR44" s="71">
        <v>0</v>
      </c>
      <c r="AS44" s="71">
        <v>63125</v>
      </c>
      <c r="AT44" s="71">
        <v>0</v>
      </c>
      <c r="AU44" s="71">
        <v>0</v>
      </c>
      <c r="AV44" s="71">
        <v>2294</v>
      </c>
      <c r="AW44" s="71">
        <v>0</v>
      </c>
      <c r="AX44" s="71">
        <v>2294</v>
      </c>
      <c r="AY44" s="71">
        <v>0</v>
      </c>
      <c r="AZ44" s="71">
        <v>0</v>
      </c>
      <c r="BA44" s="71">
        <v>65419</v>
      </c>
      <c r="BB44" s="71">
        <v>0</v>
      </c>
      <c r="BC44" s="71">
        <v>65419</v>
      </c>
      <c r="BD44" s="71">
        <v>417192</v>
      </c>
      <c r="BE44" s="71">
        <v>0</v>
      </c>
      <c r="BF44" s="71">
        <v>0</v>
      </c>
      <c r="BG44" s="71">
        <v>0</v>
      </c>
      <c r="BH44" s="71">
        <v>0</v>
      </c>
      <c r="BI44" s="71">
        <v>417192</v>
      </c>
      <c r="BJ44" s="71">
        <v>0</v>
      </c>
      <c r="BK44" s="71">
        <v>0</v>
      </c>
      <c r="BL44" s="71">
        <v>147566</v>
      </c>
      <c r="BM44" s="71">
        <v>0</v>
      </c>
      <c r="BN44" s="71">
        <v>0</v>
      </c>
      <c r="BO44" s="71">
        <v>147566</v>
      </c>
      <c r="BP44" s="71">
        <v>3016949</v>
      </c>
      <c r="BQ44" s="71">
        <v>0</v>
      </c>
      <c r="BR44" s="71">
        <v>0</v>
      </c>
      <c r="BS44" s="71">
        <v>0</v>
      </c>
      <c r="BT44" s="71">
        <v>0</v>
      </c>
      <c r="BU44" s="71">
        <v>3016949</v>
      </c>
      <c r="BV44" s="71">
        <v>3434141</v>
      </c>
      <c r="BW44" s="71">
        <v>0</v>
      </c>
      <c r="BX44" s="71">
        <v>147566</v>
      </c>
      <c r="BY44" s="71">
        <v>0</v>
      </c>
      <c r="BZ44" s="71">
        <v>0</v>
      </c>
      <c r="CA44" s="71">
        <v>3581707</v>
      </c>
      <c r="CB44" s="71">
        <v>0</v>
      </c>
      <c r="CC44" s="71">
        <v>0</v>
      </c>
      <c r="CD44" s="71">
        <v>0</v>
      </c>
      <c r="CE44" s="71">
        <v>0</v>
      </c>
      <c r="CF44" s="71">
        <v>0</v>
      </c>
      <c r="CG44" s="71">
        <v>0</v>
      </c>
      <c r="CH44" s="71">
        <v>0</v>
      </c>
      <c r="CI44" s="71">
        <v>0</v>
      </c>
      <c r="CJ44" s="71">
        <v>0</v>
      </c>
      <c r="CK44" s="71">
        <v>0</v>
      </c>
      <c r="CL44" s="71">
        <v>0</v>
      </c>
      <c r="CM44" s="71">
        <v>0</v>
      </c>
      <c r="CN44" s="71">
        <v>0</v>
      </c>
      <c r="CO44" s="71">
        <v>0</v>
      </c>
      <c r="CP44" s="71">
        <v>0</v>
      </c>
      <c r="CQ44" s="71">
        <v>0</v>
      </c>
      <c r="CR44" s="71" t="s">
        <v>418</v>
      </c>
      <c r="CS44" s="71">
        <v>1092845</v>
      </c>
      <c r="CT44" s="71">
        <v>0</v>
      </c>
      <c r="CU44" s="71">
        <v>10752</v>
      </c>
      <c r="CV44" s="71">
        <v>87424</v>
      </c>
      <c r="CW44" s="71">
        <v>317376</v>
      </c>
      <c r="CX44" s="71">
        <v>131090</v>
      </c>
      <c r="CY44" s="71">
        <v>0</v>
      </c>
      <c r="CZ44" s="71">
        <v>240</v>
      </c>
      <c r="DA44" s="71">
        <v>33427</v>
      </c>
      <c r="DB44" s="71">
        <v>68704</v>
      </c>
      <c r="DC44" s="71">
        <v>25090</v>
      </c>
      <c r="DD44" s="71">
        <v>0</v>
      </c>
      <c r="DE44" s="71">
        <v>117664</v>
      </c>
      <c r="DF44" s="71">
        <v>159040</v>
      </c>
      <c r="DG44" s="71">
        <v>12797</v>
      </c>
      <c r="DH44" s="71">
        <v>50536</v>
      </c>
      <c r="DI44" s="71">
        <v>0</v>
      </c>
      <c r="DJ44" s="71">
        <v>42002</v>
      </c>
      <c r="DK44" s="71">
        <v>0</v>
      </c>
      <c r="DL44" s="71">
        <v>21120</v>
      </c>
      <c r="DM44" s="71">
        <v>80016</v>
      </c>
      <c r="DN44" s="71">
        <v>18832</v>
      </c>
      <c r="DO44" s="71">
        <v>0</v>
      </c>
      <c r="DP44" s="71">
        <v>1120</v>
      </c>
      <c r="DQ44" s="71">
        <v>0</v>
      </c>
      <c r="DR44" s="71">
        <v>43040</v>
      </c>
      <c r="DS44" s="71">
        <v>310512</v>
      </c>
      <c r="DT44" s="71">
        <v>62723</v>
      </c>
      <c r="DU44" s="71">
        <v>0</v>
      </c>
      <c r="DV44" s="71">
        <v>99600</v>
      </c>
      <c r="DW44" s="71">
        <v>22560</v>
      </c>
      <c r="DX44" s="71">
        <v>1715665</v>
      </c>
      <c r="DY44" s="71">
        <v>9870</v>
      </c>
      <c r="DZ44" s="71">
        <v>225452</v>
      </c>
      <c r="EA44" s="71">
        <v>1027168</v>
      </c>
      <c r="EB44" s="71">
        <v>650385</v>
      </c>
      <c r="EC44" s="71">
        <v>0</v>
      </c>
      <c r="ED44" s="71">
        <v>0</v>
      </c>
      <c r="EE44" s="71">
        <v>166823</v>
      </c>
      <c r="EF44" s="71">
        <v>265324</v>
      </c>
      <c r="EG44" s="71">
        <v>96571</v>
      </c>
      <c r="EH44" s="71">
        <v>0</v>
      </c>
      <c r="EI44" s="71">
        <v>223324</v>
      </c>
      <c r="EJ44" s="71">
        <v>611052</v>
      </c>
      <c r="EK44" s="71">
        <v>47698</v>
      </c>
      <c r="EL44" s="71">
        <v>233109</v>
      </c>
      <c r="EM44" s="71">
        <v>0</v>
      </c>
      <c r="EN44" s="71">
        <v>239265</v>
      </c>
      <c r="EO44" s="71">
        <v>0</v>
      </c>
      <c r="EP44" s="71">
        <v>234296</v>
      </c>
      <c r="EQ44" s="71">
        <v>254605</v>
      </c>
      <c r="ER44" s="71">
        <v>87092</v>
      </c>
      <c r="ES44" s="71">
        <v>0</v>
      </c>
      <c r="ET44" s="71">
        <v>3438</v>
      </c>
      <c r="EU44" s="71">
        <v>0</v>
      </c>
      <c r="EV44" s="71">
        <v>144140</v>
      </c>
      <c r="EW44" s="71">
        <v>1214458</v>
      </c>
      <c r="EX44" s="71">
        <v>322781</v>
      </c>
      <c r="EY44" s="71">
        <v>1223051</v>
      </c>
      <c r="EZ44" s="71">
        <v>316919</v>
      </c>
      <c r="FA44" s="71">
        <v>86678</v>
      </c>
      <c r="FB44" s="71">
        <v>7683499</v>
      </c>
      <c r="FC44" s="71">
        <v>0</v>
      </c>
      <c r="FD44" s="71">
        <v>0</v>
      </c>
      <c r="FE44" s="71">
        <v>76469</v>
      </c>
      <c r="FF44" s="71">
        <v>0</v>
      </c>
      <c r="FG44" s="71">
        <v>0</v>
      </c>
      <c r="FH44" s="71">
        <v>0</v>
      </c>
      <c r="FI44" s="71">
        <v>0</v>
      </c>
      <c r="FJ44" s="71">
        <v>0</v>
      </c>
      <c r="FK44" s="71">
        <v>0</v>
      </c>
      <c r="FL44" s="71">
        <v>0</v>
      </c>
      <c r="FM44" s="71">
        <v>0</v>
      </c>
      <c r="FN44" s="71">
        <v>0</v>
      </c>
      <c r="FO44" s="71">
        <v>0</v>
      </c>
      <c r="FP44" s="71">
        <v>47030</v>
      </c>
      <c r="FQ44" s="71">
        <v>0</v>
      </c>
      <c r="FR44" s="71">
        <v>0</v>
      </c>
      <c r="FS44" s="71">
        <v>0</v>
      </c>
      <c r="FT44" s="71">
        <v>0</v>
      </c>
      <c r="FU44" s="71">
        <v>0</v>
      </c>
      <c r="FV44" s="71">
        <v>0</v>
      </c>
      <c r="FW44" s="71">
        <v>0</v>
      </c>
      <c r="FX44" s="71">
        <v>0</v>
      </c>
      <c r="FY44" s="71">
        <v>0</v>
      </c>
      <c r="FZ44" s="71">
        <v>0</v>
      </c>
      <c r="GA44" s="71">
        <v>73900</v>
      </c>
      <c r="GB44" s="71">
        <v>15693</v>
      </c>
      <c r="GC44" s="71">
        <v>1030568</v>
      </c>
      <c r="GD44" s="71">
        <v>0</v>
      </c>
      <c r="GE44" s="71">
        <v>0</v>
      </c>
      <c r="GF44" s="71">
        <v>1243660</v>
      </c>
      <c r="GG44" s="71">
        <v>1208</v>
      </c>
      <c r="GH44" s="71">
        <v>27599</v>
      </c>
      <c r="GI44" s="71">
        <v>135105</v>
      </c>
      <c r="GJ44" s="71">
        <v>79619</v>
      </c>
      <c r="GK44" s="71">
        <v>0</v>
      </c>
      <c r="GL44" s="71">
        <v>0</v>
      </c>
      <c r="GM44" s="71">
        <v>20422</v>
      </c>
      <c r="GN44" s="71">
        <v>32480</v>
      </c>
      <c r="GO44" s="71">
        <v>11822</v>
      </c>
      <c r="GP44" s="71">
        <v>0</v>
      </c>
      <c r="GQ44" s="71">
        <v>27339</v>
      </c>
      <c r="GR44" s="71">
        <v>74804</v>
      </c>
      <c r="GS44" s="71">
        <v>5839</v>
      </c>
      <c r="GT44" s="71">
        <v>34294</v>
      </c>
      <c r="GU44" s="71">
        <v>0</v>
      </c>
      <c r="GV44" s="71">
        <v>29290</v>
      </c>
      <c r="GW44" s="71">
        <v>0</v>
      </c>
      <c r="GX44" s="71">
        <v>28682</v>
      </c>
      <c r="GY44" s="71">
        <v>31168</v>
      </c>
      <c r="GZ44" s="71">
        <v>10662</v>
      </c>
      <c r="HA44" s="71">
        <v>0</v>
      </c>
      <c r="HB44" s="71">
        <v>421</v>
      </c>
      <c r="HC44" s="71">
        <v>0</v>
      </c>
      <c r="HD44" s="71">
        <v>17645</v>
      </c>
      <c r="HE44" s="71">
        <v>157718</v>
      </c>
      <c r="HF44" s="71">
        <v>41435</v>
      </c>
      <c r="HG44" s="71">
        <v>275884</v>
      </c>
      <c r="HH44" s="71">
        <v>38797</v>
      </c>
      <c r="HI44" s="71">
        <v>10611</v>
      </c>
      <c r="HJ44" s="71">
        <v>1092845</v>
      </c>
      <c r="HK44" s="71">
        <v>1481</v>
      </c>
      <c r="HL44" s="71">
        <v>151366</v>
      </c>
      <c r="HM44" s="71">
        <v>214730</v>
      </c>
      <c r="HN44" s="71">
        <v>125794</v>
      </c>
      <c r="HO44" s="71">
        <v>0</v>
      </c>
      <c r="HP44" s="71">
        <v>0</v>
      </c>
      <c r="HQ44" s="71">
        <v>1829</v>
      </c>
      <c r="HR44" s="71">
        <v>25015</v>
      </c>
      <c r="HS44" s="71">
        <v>6127</v>
      </c>
      <c r="HT44" s="71">
        <v>0</v>
      </c>
      <c r="HU44" s="71">
        <v>162801</v>
      </c>
      <c r="HV44" s="71">
        <v>6397</v>
      </c>
      <c r="HW44" s="71">
        <v>436</v>
      </c>
      <c r="HX44" s="71">
        <v>115054</v>
      </c>
      <c r="HY44" s="71">
        <v>0</v>
      </c>
      <c r="HZ44" s="71">
        <v>85327</v>
      </c>
      <c r="IA44" s="71">
        <v>0</v>
      </c>
      <c r="IB44" s="71">
        <v>8412</v>
      </c>
      <c r="IC44" s="71">
        <v>7494</v>
      </c>
      <c r="ID44" s="71">
        <v>9914</v>
      </c>
      <c r="IE44" s="71">
        <v>0</v>
      </c>
      <c r="IF44" s="71">
        <v>4</v>
      </c>
      <c r="IG44" s="71">
        <v>3097</v>
      </c>
      <c r="IH44" s="71">
        <v>5709</v>
      </c>
      <c r="II44" s="71">
        <v>68759</v>
      </c>
      <c r="IJ44" s="71">
        <v>53210</v>
      </c>
      <c r="IK44" s="71">
        <v>1927225</v>
      </c>
      <c r="IL44" s="71">
        <v>9328</v>
      </c>
      <c r="IM44" s="71">
        <v>906</v>
      </c>
      <c r="IN44" s="71">
        <v>2990415</v>
      </c>
      <c r="IO44" s="71">
        <v>2689</v>
      </c>
      <c r="IP44" s="71">
        <v>178965</v>
      </c>
      <c r="IQ44" s="71">
        <v>426304</v>
      </c>
      <c r="IR44" s="71">
        <v>205413</v>
      </c>
      <c r="IS44" s="71">
        <v>0</v>
      </c>
      <c r="IT44" s="71">
        <v>0</v>
      </c>
      <c r="IU44" s="71">
        <v>22251</v>
      </c>
      <c r="IV44" s="71">
        <v>57495</v>
      </c>
      <c r="IW44" s="71">
        <v>17949</v>
      </c>
      <c r="IX44" s="71">
        <v>0</v>
      </c>
      <c r="IY44" s="71">
        <v>190140</v>
      </c>
      <c r="IZ44" s="71">
        <v>81201</v>
      </c>
      <c r="JA44" s="71">
        <v>6275</v>
      </c>
      <c r="JB44" s="71">
        <v>196378</v>
      </c>
      <c r="JC44" s="71">
        <v>0</v>
      </c>
      <c r="JD44" s="71">
        <v>114617</v>
      </c>
      <c r="JE44" s="71">
        <v>0</v>
      </c>
      <c r="JF44" s="71">
        <v>37094</v>
      </c>
      <c r="JG44" s="71">
        <v>38662</v>
      </c>
      <c r="JH44" s="71">
        <v>20576</v>
      </c>
      <c r="JI44" s="71">
        <v>0</v>
      </c>
      <c r="JJ44" s="71">
        <v>425</v>
      </c>
      <c r="JK44" s="71">
        <v>3097</v>
      </c>
      <c r="JL44" s="71">
        <v>23354</v>
      </c>
      <c r="JM44" s="71">
        <v>300377</v>
      </c>
      <c r="JN44" s="71">
        <v>110338</v>
      </c>
      <c r="JO44" s="71">
        <v>3233677</v>
      </c>
      <c r="JP44" s="71">
        <v>48125</v>
      </c>
      <c r="JQ44" s="71">
        <v>11517</v>
      </c>
      <c r="JR44" s="71">
        <v>5326920</v>
      </c>
      <c r="JS44" s="71">
        <v>12559</v>
      </c>
      <c r="JT44" s="71">
        <v>404417</v>
      </c>
      <c r="JU44" s="71">
        <v>1453472</v>
      </c>
      <c r="JV44" s="71">
        <v>855798</v>
      </c>
      <c r="JW44" s="71">
        <v>0</v>
      </c>
      <c r="JX44" s="71">
        <v>0</v>
      </c>
      <c r="JY44" s="71">
        <v>189074</v>
      </c>
      <c r="JZ44" s="71">
        <v>322819</v>
      </c>
      <c r="KA44" s="71">
        <v>114520</v>
      </c>
      <c r="KB44" s="71">
        <v>0</v>
      </c>
      <c r="KC44" s="71">
        <v>413464</v>
      </c>
      <c r="KD44" s="71">
        <v>692253</v>
      </c>
      <c r="KE44" s="71">
        <v>53973</v>
      </c>
      <c r="KF44" s="71">
        <v>429487</v>
      </c>
      <c r="KG44" s="71">
        <v>0</v>
      </c>
      <c r="KH44" s="71">
        <v>353882</v>
      </c>
      <c r="KI44" s="71">
        <v>0</v>
      </c>
      <c r="KJ44" s="71">
        <v>271390</v>
      </c>
      <c r="KK44" s="71">
        <v>293267</v>
      </c>
      <c r="KL44" s="71">
        <v>107668</v>
      </c>
      <c r="KM44" s="71">
        <v>0</v>
      </c>
      <c r="KN44" s="71">
        <v>3863</v>
      </c>
      <c r="KO44" s="71">
        <v>3097</v>
      </c>
      <c r="KP44" s="71">
        <v>167494</v>
      </c>
      <c r="KQ44" s="71">
        <v>1514835</v>
      </c>
      <c r="KR44" s="71">
        <v>433119</v>
      </c>
      <c r="KS44" s="71">
        <v>4456728</v>
      </c>
      <c r="KT44" s="71">
        <v>365044</v>
      </c>
      <c r="KU44" s="71">
        <v>98195</v>
      </c>
      <c r="KV44" s="71">
        <v>13010419</v>
      </c>
      <c r="KW44" s="71" t="s">
        <v>1070</v>
      </c>
      <c r="KX44" s="71">
        <v>22184508</v>
      </c>
      <c r="KY44" s="71">
        <v>3647126</v>
      </c>
      <c r="KZ44" s="71">
        <v>25831634</v>
      </c>
      <c r="LA44" s="71">
        <v>0</v>
      </c>
      <c r="LB44" s="71">
        <v>363463</v>
      </c>
    </row>
    <row r="45" spans="1:314" x14ac:dyDescent="0.25">
      <c r="A45" s="71" t="s">
        <v>420</v>
      </c>
      <c r="B45" s="71" t="s">
        <v>1250</v>
      </c>
      <c r="C45" s="160" t="s">
        <v>1345</v>
      </c>
      <c r="D45" s="71" t="s">
        <v>1411</v>
      </c>
      <c r="E45" s="2">
        <v>41304.738113425927</v>
      </c>
      <c r="F45" s="71"/>
      <c r="G45" s="71" t="s">
        <v>1251</v>
      </c>
      <c r="H45" s="71" t="s">
        <v>1252</v>
      </c>
      <c r="I45" s="71" t="s">
        <v>1083</v>
      </c>
      <c r="J45" s="71" t="s">
        <v>1253</v>
      </c>
      <c r="K45" s="71" t="s">
        <v>1254</v>
      </c>
      <c r="L45" s="71">
        <v>0</v>
      </c>
      <c r="M45" s="71">
        <v>0</v>
      </c>
      <c r="N45" s="71">
        <v>0</v>
      </c>
      <c r="O45" s="71">
        <v>29188142</v>
      </c>
      <c r="P45" s="71">
        <v>0</v>
      </c>
      <c r="Q45" s="71">
        <v>307371</v>
      </c>
      <c r="R45" s="71">
        <v>0</v>
      </c>
      <c r="S45" s="71">
        <v>307371</v>
      </c>
      <c r="T45" s="71">
        <v>2129518</v>
      </c>
      <c r="U45" s="71">
        <v>2323030</v>
      </c>
      <c r="V45" s="71">
        <v>1520884</v>
      </c>
      <c r="W45" s="71">
        <v>164812</v>
      </c>
      <c r="X45" s="71">
        <v>0</v>
      </c>
      <c r="Y45" s="71">
        <v>0</v>
      </c>
      <c r="Z45" s="71">
        <v>6138244</v>
      </c>
      <c r="AA45" s="71">
        <v>982061</v>
      </c>
      <c r="AB45" s="71">
        <v>1138378</v>
      </c>
      <c r="AC45" s="71">
        <v>414953</v>
      </c>
      <c r="AD45" s="71">
        <v>44751</v>
      </c>
      <c r="AE45" s="71">
        <v>1619898</v>
      </c>
      <c r="AF45" s="71">
        <v>1298953</v>
      </c>
      <c r="AG45" s="71">
        <v>5498994</v>
      </c>
      <c r="AH45" s="71">
        <v>3111579</v>
      </c>
      <c r="AI45" s="71">
        <v>3461408</v>
      </c>
      <c r="AJ45" s="71">
        <v>1935837</v>
      </c>
      <c r="AK45" s="71">
        <v>209563</v>
      </c>
      <c r="AL45" s="71">
        <v>1619898</v>
      </c>
      <c r="AM45" s="71">
        <v>1298953</v>
      </c>
      <c r="AN45" s="71">
        <v>11637238</v>
      </c>
      <c r="AO45" s="71">
        <v>590631</v>
      </c>
      <c r="AP45" s="71">
        <v>0</v>
      </c>
      <c r="AQ45" s="71">
        <v>0</v>
      </c>
      <c r="AR45" s="71">
        <v>0</v>
      </c>
      <c r="AS45" s="71">
        <v>590631</v>
      </c>
      <c r="AT45" s="71">
        <v>794899</v>
      </c>
      <c r="AU45" s="71">
        <v>0</v>
      </c>
      <c r="AV45" s="71">
        <v>0</v>
      </c>
      <c r="AW45" s="71">
        <v>0</v>
      </c>
      <c r="AX45" s="71">
        <v>794899</v>
      </c>
      <c r="AY45" s="71">
        <v>1385530</v>
      </c>
      <c r="AZ45" s="71">
        <v>0</v>
      </c>
      <c r="BA45" s="71">
        <v>0</v>
      </c>
      <c r="BB45" s="71">
        <v>0</v>
      </c>
      <c r="BC45" s="71">
        <v>1385530</v>
      </c>
      <c r="BD45" s="71">
        <v>1258839</v>
      </c>
      <c r="BE45" s="71">
        <v>0</v>
      </c>
      <c r="BF45" s="71">
        <v>0</v>
      </c>
      <c r="BG45" s="71">
        <v>0</v>
      </c>
      <c r="BH45" s="71">
        <v>0</v>
      </c>
      <c r="BI45" s="71">
        <v>1258839</v>
      </c>
      <c r="BJ45" s="71">
        <v>0</v>
      </c>
      <c r="BK45" s="71">
        <v>0</v>
      </c>
      <c r="BL45" s="71">
        <v>559958</v>
      </c>
      <c r="BM45" s="71">
        <v>0</v>
      </c>
      <c r="BN45" s="71">
        <v>0</v>
      </c>
      <c r="BO45" s="71">
        <v>559958</v>
      </c>
      <c r="BP45" s="71">
        <v>2206624</v>
      </c>
      <c r="BQ45" s="71">
        <v>0</v>
      </c>
      <c r="BR45" s="71">
        <v>0</v>
      </c>
      <c r="BS45" s="71">
        <v>0</v>
      </c>
      <c r="BT45" s="71">
        <v>54616</v>
      </c>
      <c r="BU45" s="71">
        <v>2261240</v>
      </c>
      <c r="BV45" s="71">
        <v>3465463</v>
      </c>
      <c r="BW45" s="71">
        <v>0</v>
      </c>
      <c r="BX45" s="71">
        <v>559958</v>
      </c>
      <c r="BY45" s="71">
        <v>0</v>
      </c>
      <c r="BZ45" s="71">
        <v>54616</v>
      </c>
      <c r="CA45" s="71">
        <v>4080037</v>
      </c>
      <c r="CB45" s="71">
        <v>0</v>
      </c>
      <c r="CC45" s="71">
        <v>0</v>
      </c>
      <c r="CD45" s="71">
        <v>0</v>
      </c>
      <c r="CE45" s="71">
        <v>0</v>
      </c>
      <c r="CF45" s="71">
        <v>0</v>
      </c>
      <c r="CG45" s="71">
        <v>0</v>
      </c>
      <c r="CH45" s="71">
        <v>0</v>
      </c>
      <c r="CI45" s="71">
        <v>0</v>
      </c>
      <c r="CJ45" s="71">
        <v>0</v>
      </c>
      <c r="CK45" s="71">
        <v>0</v>
      </c>
      <c r="CL45" s="71">
        <v>0</v>
      </c>
      <c r="CM45" s="71">
        <v>0</v>
      </c>
      <c r="CN45" s="71">
        <v>0</v>
      </c>
      <c r="CO45" s="71">
        <v>0</v>
      </c>
      <c r="CP45" s="71">
        <v>0</v>
      </c>
      <c r="CQ45" s="71">
        <v>0</v>
      </c>
      <c r="CR45" s="71" t="s">
        <v>420</v>
      </c>
      <c r="CS45" s="71">
        <v>1322650</v>
      </c>
      <c r="CT45" s="71">
        <v>0</v>
      </c>
      <c r="CU45" s="71">
        <v>28592</v>
      </c>
      <c r="CV45" s="71">
        <v>100064</v>
      </c>
      <c r="CW45" s="71">
        <v>331432</v>
      </c>
      <c r="CX45" s="71">
        <v>247931</v>
      </c>
      <c r="CY45" s="71">
        <v>0</v>
      </c>
      <c r="CZ45" s="71">
        <v>43008</v>
      </c>
      <c r="DA45" s="71">
        <v>97096</v>
      </c>
      <c r="DB45" s="71">
        <v>7600</v>
      </c>
      <c r="DC45" s="71">
        <v>163680</v>
      </c>
      <c r="DD45" s="71">
        <v>816</v>
      </c>
      <c r="DE45" s="71">
        <v>223260</v>
      </c>
      <c r="DF45" s="71">
        <v>262872</v>
      </c>
      <c r="DG45" s="71">
        <v>67256</v>
      </c>
      <c r="DH45" s="71">
        <v>53188</v>
      </c>
      <c r="DI45" s="71">
        <v>48660</v>
      </c>
      <c r="DJ45" s="71">
        <v>138862</v>
      </c>
      <c r="DK45" s="71">
        <v>0</v>
      </c>
      <c r="DL45" s="71">
        <v>33168</v>
      </c>
      <c r="DM45" s="71">
        <v>124864</v>
      </c>
      <c r="DN45" s="71">
        <v>153472</v>
      </c>
      <c r="DO45" s="71">
        <v>44096</v>
      </c>
      <c r="DP45" s="71">
        <v>63136</v>
      </c>
      <c r="DQ45" s="71">
        <v>3312</v>
      </c>
      <c r="DR45" s="71">
        <v>79312</v>
      </c>
      <c r="DS45" s="71">
        <v>305134</v>
      </c>
      <c r="DT45" s="71">
        <v>125136</v>
      </c>
      <c r="DU45" s="71">
        <v>0</v>
      </c>
      <c r="DV45" s="71">
        <v>109696</v>
      </c>
      <c r="DW45" s="71">
        <v>99968</v>
      </c>
      <c r="DX45" s="71">
        <v>2955611</v>
      </c>
      <c r="DY45" s="71">
        <v>86768</v>
      </c>
      <c r="DZ45" s="71">
        <v>367392</v>
      </c>
      <c r="EA45" s="71">
        <v>646826</v>
      </c>
      <c r="EB45" s="71">
        <v>327280</v>
      </c>
      <c r="EC45" s="71">
        <v>0</v>
      </c>
      <c r="ED45" s="71">
        <v>339914</v>
      </c>
      <c r="EE45" s="71">
        <v>565245</v>
      </c>
      <c r="EF45" s="71">
        <v>83894</v>
      </c>
      <c r="EG45" s="71">
        <v>384082</v>
      </c>
      <c r="EH45" s="71">
        <v>12776</v>
      </c>
      <c r="EI45" s="71">
        <v>402670</v>
      </c>
      <c r="EJ45" s="71">
        <v>808755</v>
      </c>
      <c r="EK45" s="71">
        <v>131455</v>
      </c>
      <c r="EL45" s="71">
        <v>178122</v>
      </c>
      <c r="EM45" s="71">
        <v>305847</v>
      </c>
      <c r="EN45" s="71">
        <v>956975</v>
      </c>
      <c r="EO45" s="71">
        <v>0</v>
      </c>
      <c r="EP45" s="71">
        <v>159668</v>
      </c>
      <c r="EQ45" s="71">
        <v>367207</v>
      </c>
      <c r="ER45" s="71">
        <v>294631</v>
      </c>
      <c r="ES45" s="71">
        <v>93993</v>
      </c>
      <c r="ET45" s="71">
        <v>112720</v>
      </c>
      <c r="EU45" s="71">
        <v>127</v>
      </c>
      <c r="EV45" s="71">
        <v>82223</v>
      </c>
      <c r="EW45" s="71">
        <v>253686</v>
      </c>
      <c r="EX45" s="71">
        <v>107976</v>
      </c>
      <c r="EY45" s="71">
        <v>0</v>
      </c>
      <c r="EZ45" s="71">
        <v>286341</v>
      </c>
      <c r="FA45" s="71">
        <v>268621</v>
      </c>
      <c r="FB45" s="71">
        <v>7625194</v>
      </c>
      <c r="FC45" s="71">
        <v>48713</v>
      </c>
      <c r="FD45" s="71">
        <v>139546</v>
      </c>
      <c r="FE45" s="71">
        <v>234444</v>
      </c>
      <c r="FF45" s="71">
        <v>113463</v>
      </c>
      <c r="FG45" s="71">
        <v>0</v>
      </c>
      <c r="FH45" s="71">
        <v>37184</v>
      </c>
      <c r="FI45" s="71">
        <v>147438</v>
      </c>
      <c r="FJ45" s="71">
        <v>37819</v>
      </c>
      <c r="FK45" s="71">
        <v>218879</v>
      </c>
      <c r="FL45" s="71">
        <v>1968</v>
      </c>
      <c r="FM45" s="71">
        <v>199125</v>
      </c>
      <c r="FN45" s="71">
        <v>188361</v>
      </c>
      <c r="FO45" s="71">
        <v>27506</v>
      </c>
      <c r="FP45" s="71">
        <v>34573</v>
      </c>
      <c r="FQ45" s="71">
        <v>52285</v>
      </c>
      <c r="FR45" s="71">
        <v>333456</v>
      </c>
      <c r="FS45" s="71">
        <v>0</v>
      </c>
      <c r="FT45" s="71">
        <v>19535</v>
      </c>
      <c r="FU45" s="71">
        <v>99169</v>
      </c>
      <c r="FV45" s="71">
        <v>158486</v>
      </c>
      <c r="FW45" s="71">
        <v>51865</v>
      </c>
      <c r="FX45" s="71">
        <v>44433</v>
      </c>
      <c r="FY45" s="71">
        <v>1352</v>
      </c>
      <c r="FZ45" s="71">
        <v>99658</v>
      </c>
      <c r="GA45" s="71">
        <v>149223</v>
      </c>
      <c r="GB45" s="71">
        <v>62929</v>
      </c>
      <c r="GC45" s="71">
        <v>0</v>
      </c>
      <c r="GD45" s="71">
        <v>86761</v>
      </c>
      <c r="GE45" s="71">
        <v>139209</v>
      </c>
      <c r="GF45" s="71">
        <v>2727380</v>
      </c>
      <c r="GG45" s="71">
        <v>17309</v>
      </c>
      <c r="GH45" s="71">
        <v>64767</v>
      </c>
      <c r="GI45" s="71">
        <v>112591</v>
      </c>
      <c r="GJ45" s="71">
        <v>56310</v>
      </c>
      <c r="GK45" s="71">
        <v>0</v>
      </c>
      <c r="GL45" s="71">
        <v>48178</v>
      </c>
      <c r="GM45" s="71">
        <v>91053</v>
      </c>
      <c r="GN45" s="71">
        <v>15550</v>
      </c>
      <c r="GO45" s="71">
        <v>77035</v>
      </c>
      <c r="GP45" s="71">
        <v>1884</v>
      </c>
      <c r="GQ45" s="71">
        <v>76886</v>
      </c>
      <c r="GR45" s="71">
        <v>127392</v>
      </c>
      <c r="GS45" s="71">
        <v>20309</v>
      </c>
      <c r="GT45" s="71">
        <v>27174</v>
      </c>
      <c r="GU45" s="71">
        <v>45755</v>
      </c>
      <c r="GV45" s="71">
        <v>164866</v>
      </c>
      <c r="GW45" s="71">
        <v>0</v>
      </c>
      <c r="GX45" s="71">
        <v>22895</v>
      </c>
      <c r="GY45" s="71">
        <v>59584</v>
      </c>
      <c r="GZ45" s="71">
        <v>57890</v>
      </c>
      <c r="HA45" s="71">
        <v>18635</v>
      </c>
      <c r="HB45" s="71">
        <v>20078</v>
      </c>
      <c r="HC45" s="71">
        <v>189</v>
      </c>
      <c r="HD45" s="71">
        <v>23237</v>
      </c>
      <c r="HE45" s="71">
        <v>51476</v>
      </c>
      <c r="HF45" s="71">
        <v>21835</v>
      </c>
      <c r="HG45" s="71">
        <v>0</v>
      </c>
      <c r="HH45" s="71">
        <v>47668</v>
      </c>
      <c r="HI45" s="71">
        <v>52105</v>
      </c>
      <c r="HJ45" s="71">
        <v>1322650</v>
      </c>
      <c r="HK45" s="71">
        <v>49558</v>
      </c>
      <c r="HL45" s="71">
        <v>96568</v>
      </c>
      <c r="HM45" s="71">
        <v>105377</v>
      </c>
      <c r="HN45" s="71">
        <v>52896</v>
      </c>
      <c r="HO45" s="71">
        <v>0</v>
      </c>
      <c r="HP45" s="71">
        <v>32290</v>
      </c>
      <c r="HQ45" s="71">
        <v>92472</v>
      </c>
      <c r="HR45" s="71">
        <v>39103</v>
      </c>
      <c r="HS45" s="71">
        <v>107765</v>
      </c>
      <c r="HT45" s="71">
        <v>11723</v>
      </c>
      <c r="HU45" s="71">
        <v>121767</v>
      </c>
      <c r="HV45" s="71">
        <v>130115</v>
      </c>
      <c r="HW45" s="71">
        <v>12310</v>
      </c>
      <c r="HX45" s="71">
        <v>46879</v>
      </c>
      <c r="HY45" s="71">
        <v>61060</v>
      </c>
      <c r="HZ45" s="71">
        <v>116677</v>
      </c>
      <c r="IA45" s="71">
        <v>0</v>
      </c>
      <c r="IB45" s="71">
        <v>20022</v>
      </c>
      <c r="IC45" s="71">
        <v>25575</v>
      </c>
      <c r="ID45" s="71">
        <v>55920</v>
      </c>
      <c r="IE45" s="71">
        <v>47124</v>
      </c>
      <c r="IF45" s="71">
        <v>28597</v>
      </c>
      <c r="IG45" s="71">
        <v>13277</v>
      </c>
      <c r="IH45" s="71">
        <v>64572</v>
      </c>
      <c r="II45" s="71">
        <v>52662</v>
      </c>
      <c r="IJ45" s="71">
        <v>33356</v>
      </c>
      <c r="IK45" s="71">
        <v>0</v>
      </c>
      <c r="IL45" s="71">
        <v>17463</v>
      </c>
      <c r="IM45" s="71">
        <v>21183</v>
      </c>
      <c r="IN45" s="71">
        <v>1456311</v>
      </c>
      <c r="IO45" s="71">
        <v>115580</v>
      </c>
      <c r="IP45" s="71">
        <v>300881</v>
      </c>
      <c r="IQ45" s="71">
        <v>452412</v>
      </c>
      <c r="IR45" s="71">
        <v>222669</v>
      </c>
      <c r="IS45" s="71">
        <v>0</v>
      </c>
      <c r="IT45" s="71">
        <v>117652</v>
      </c>
      <c r="IU45" s="71">
        <v>330963</v>
      </c>
      <c r="IV45" s="71">
        <v>92472</v>
      </c>
      <c r="IW45" s="71">
        <v>403679</v>
      </c>
      <c r="IX45" s="71">
        <v>15575</v>
      </c>
      <c r="IY45" s="71">
        <v>397778</v>
      </c>
      <c r="IZ45" s="71">
        <v>445868</v>
      </c>
      <c r="JA45" s="71">
        <v>60125</v>
      </c>
      <c r="JB45" s="71">
        <v>108626</v>
      </c>
      <c r="JC45" s="71">
        <v>159100</v>
      </c>
      <c r="JD45" s="71">
        <v>614999</v>
      </c>
      <c r="JE45" s="71">
        <v>0</v>
      </c>
      <c r="JF45" s="71">
        <v>62452</v>
      </c>
      <c r="JG45" s="71">
        <v>184328</v>
      </c>
      <c r="JH45" s="71">
        <v>272296</v>
      </c>
      <c r="JI45" s="71">
        <v>117624</v>
      </c>
      <c r="JJ45" s="71">
        <v>93108</v>
      </c>
      <c r="JK45" s="71">
        <v>14818</v>
      </c>
      <c r="JL45" s="71">
        <v>187467</v>
      </c>
      <c r="JM45" s="71">
        <v>253361</v>
      </c>
      <c r="JN45" s="71">
        <v>118120</v>
      </c>
      <c r="JO45" s="71">
        <v>0</v>
      </c>
      <c r="JP45" s="71">
        <v>151892</v>
      </c>
      <c r="JQ45" s="71">
        <v>212497</v>
      </c>
      <c r="JR45" s="71">
        <v>5506341</v>
      </c>
      <c r="JS45" s="71">
        <v>202348</v>
      </c>
      <c r="JT45" s="71">
        <v>668273</v>
      </c>
      <c r="JU45" s="71">
        <v>1099238</v>
      </c>
      <c r="JV45" s="71">
        <v>549949</v>
      </c>
      <c r="JW45" s="71">
        <v>0</v>
      </c>
      <c r="JX45" s="71">
        <v>457566</v>
      </c>
      <c r="JY45" s="71">
        <v>896208</v>
      </c>
      <c r="JZ45" s="71">
        <v>176366</v>
      </c>
      <c r="KA45" s="71">
        <v>787761</v>
      </c>
      <c r="KB45" s="71">
        <v>28351</v>
      </c>
      <c r="KC45" s="71">
        <v>800448</v>
      </c>
      <c r="KD45" s="71">
        <v>1254623</v>
      </c>
      <c r="KE45" s="71">
        <v>191580</v>
      </c>
      <c r="KF45" s="71">
        <v>286748</v>
      </c>
      <c r="KG45" s="71">
        <v>464947</v>
      </c>
      <c r="KH45" s="71">
        <v>1571974</v>
      </c>
      <c r="KI45" s="71">
        <v>0</v>
      </c>
      <c r="KJ45" s="71">
        <v>222120</v>
      </c>
      <c r="KK45" s="71">
        <v>551535</v>
      </c>
      <c r="KL45" s="71">
        <v>566927</v>
      </c>
      <c r="KM45" s="71">
        <v>211617</v>
      </c>
      <c r="KN45" s="71">
        <v>205828</v>
      </c>
      <c r="KO45" s="71">
        <v>14945</v>
      </c>
      <c r="KP45" s="71">
        <v>269690</v>
      </c>
      <c r="KQ45" s="71">
        <v>507047</v>
      </c>
      <c r="KR45" s="71">
        <v>226096</v>
      </c>
      <c r="KS45" s="71">
        <v>0</v>
      </c>
      <c r="KT45" s="71">
        <v>438233</v>
      </c>
      <c r="KU45" s="71">
        <v>481118</v>
      </c>
      <c r="KV45" s="71">
        <v>13131535</v>
      </c>
      <c r="KW45" s="71" t="s">
        <v>1070</v>
      </c>
      <c r="KX45" s="71">
        <v>25076144</v>
      </c>
      <c r="KY45" s="71">
        <v>5465567</v>
      </c>
      <c r="KZ45" s="71">
        <v>30541711</v>
      </c>
      <c r="LA45" s="71">
        <v>0</v>
      </c>
      <c r="LB45" s="71">
        <v>1353569</v>
      </c>
    </row>
    <row r="46" spans="1:314" x14ac:dyDescent="0.25">
      <c r="A46" s="71" t="s">
        <v>421</v>
      </c>
      <c r="B46" s="71" t="s">
        <v>1255</v>
      </c>
      <c r="C46" s="160" t="s">
        <v>1345</v>
      </c>
      <c r="D46" s="71" t="s">
        <v>1352</v>
      </c>
      <c r="E46" s="2">
        <v>41261.412499999999</v>
      </c>
      <c r="F46" s="71"/>
      <c r="G46" s="71" t="s">
        <v>422</v>
      </c>
      <c r="H46" s="71" t="s">
        <v>1256</v>
      </c>
      <c r="I46" s="71" t="s">
        <v>1257</v>
      </c>
      <c r="J46" s="71" t="s">
        <v>1258</v>
      </c>
      <c r="K46" s="71" t="s">
        <v>1259</v>
      </c>
      <c r="L46" s="71">
        <v>0</v>
      </c>
      <c r="M46" s="71">
        <v>0</v>
      </c>
      <c r="N46" s="71">
        <v>0</v>
      </c>
      <c r="O46" s="71">
        <v>10663588</v>
      </c>
      <c r="P46" s="71">
        <v>0</v>
      </c>
      <c r="Q46" s="71">
        <v>356989</v>
      </c>
      <c r="R46" s="71">
        <v>0</v>
      </c>
      <c r="S46" s="71">
        <v>356989</v>
      </c>
      <c r="T46" s="71">
        <v>1226524</v>
      </c>
      <c r="U46" s="71">
        <v>525891</v>
      </c>
      <c r="V46" s="71">
        <v>457367</v>
      </c>
      <c r="W46" s="71">
        <v>0</v>
      </c>
      <c r="X46" s="71">
        <v>0</v>
      </c>
      <c r="Y46" s="71">
        <v>0</v>
      </c>
      <c r="Z46" s="71">
        <v>2209782</v>
      </c>
      <c r="AA46" s="71">
        <v>1327245</v>
      </c>
      <c r="AB46" s="71">
        <v>48206</v>
      </c>
      <c r="AC46" s="71">
        <v>118351</v>
      </c>
      <c r="AD46" s="71">
        <v>0</v>
      </c>
      <c r="AE46" s="71">
        <v>380988</v>
      </c>
      <c r="AF46" s="71">
        <v>23823</v>
      </c>
      <c r="AG46" s="71">
        <v>1898613</v>
      </c>
      <c r="AH46" s="71">
        <v>2553769</v>
      </c>
      <c r="AI46" s="71">
        <v>574097</v>
      </c>
      <c r="AJ46" s="71">
        <v>575718</v>
      </c>
      <c r="AK46" s="71">
        <v>0</v>
      </c>
      <c r="AL46" s="71">
        <v>380988</v>
      </c>
      <c r="AM46" s="71">
        <v>23823</v>
      </c>
      <c r="AN46" s="71">
        <v>4108395</v>
      </c>
      <c r="AO46" s="71">
        <v>0</v>
      </c>
      <c r="AP46" s="71">
        <v>0</v>
      </c>
      <c r="AQ46" s="71">
        <v>0</v>
      </c>
      <c r="AR46" s="71">
        <v>0</v>
      </c>
      <c r="AS46" s="71">
        <v>0</v>
      </c>
      <c r="AT46" s="71">
        <v>0</v>
      </c>
      <c r="AU46" s="71">
        <v>0</v>
      </c>
      <c r="AV46" s="71">
        <v>16926</v>
      </c>
      <c r="AW46" s="71">
        <v>59939</v>
      </c>
      <c r="AX46" s="71">
        <v>76865</v>
      </c>
      <c r="AY46" s="71">
        <v>0</v>
      </c>
      <c r="AZ46" s="71">
        <v>0</v>
      </c>
      <c r="BA46" s="71">
        <v>16926</v>
      </c>
      <c r="BB46" s="71">
        <v>59939</v>
      </c>
      <c r="BC46" s="71">
        <v>76865</v>
      </c>
      <c r="BD46" s="71">
        <v>124914</v>
      </c>
      <c r="BE46" s="71">
        <v>0</v>
      </c>
      <c r="BF46" s="71">
        <v>0</v>
      </c>
      <c r="BG46" s="71">
        <v>0</v>
      </c>
      <c r="BH46" s="71">
        <v>0</v>
      </c>
      <c r="BI46" s="71">
        <v>124914</v>
      </c>
      <c r="BJ46" s="71">
        <v>0</v>
      </c>
      <c r="BK46" s="71">
        <v>0</v>
      </c>
      <c r="BL46" s="71">
        <v>31840</v>
      </c>
      <c r="BM46" s="71">
        <v>0</v>
      </c>
      <c r="BN46" s="71">
        <v>0</v>
      </c>
      <c r="BO46" s="71">
        <v>31840</v>
      </c>
      <c r="BP46" s="71">
        <v>2335312</v>
      </c>
      <c r="BQ46" s="71">
        <v>357344</v>
      </c>
      <c r="BR46" s="71">
        <v>0</v>
      </c>
      <c r="BS46" s="71">
        <v>0</v>
      </c>
      <c r="BT46" s="71">
        <v>239573</v>
      </c>
      <c r="BU46" s="71">
        <v>2932229</v>
      </c>
      <c r="BV46" s="71">
        <v>2460226</v>
      </c>
      <c r="BW46" s="71">
        <v>357344</v>
      </c>
      <c r="BX46" s="71">
        <v>31840</v>
      </c>
      <c r="BY46" s="71">
        <v>0</v>
      </c>
      <c r="BZ46" s="71">
        <v>239573</v>
      </c>
      <c r="CA46" s="71">
        <v>3088983</v>
      </c>
      <c r="CB46" s="71">
        <v>0</v>
      </c>
      <c r="CC46" s="71">
        <v>0</v>
      </c>
      <c r="CD46" s="71">
        <v>0</v>
      </c>
      <c r="CE46" s="71">
        <v>0</v>
      </c>
      <c r="CF46" s="71">
        <v>0</v>
      </c>
      <c r="CG46" s="71">
        <v>0</v>
      </c>
      <c r="CH46" s="71">
        <v>0</v>
      </c>
      <c r="CI46" s="71">
        <v>0</v>
      </c>
      <c r="CJ46" s="71">
        <v>0</v>
      </c>
      <c r="CK46" s="71">
        <v>0</v>
      </c>
      <c r="CL46" s="71">
        <v>0</v>
      </c>
      <c r="CM46" s="71">
        <v>0</v>
      </c>
      <c r="CN46" s="71">
        <v>0</v>
      </c>
      <c r="CO46" s="71">
        <v>0</v>
      </c>
      <c r="CP46" s="71">
        <v>0</v>
      </c>
      <c r="CQ46" s="71">
        <v>0</v>
      </c>
      <c r="CR46" s="71" t="s">
        <v>421</v>
      </c>
      <c r="CS46" s="71">
        <v>232775</v>
      </c>
      <c r="CT46" s="71">
        <v>0</v>
      </c>
      <c r="CU46" s="71">
        <v>64736</v>
      </c>
      <c r="CV46" s="71">
        <v>31088</v>
      </c>
      <c r="CW46" s="71">
        <v>165712</v>
      </c>
      <c r="CX46" s="71">
        <v>74670</v>
      </c>
      <c r="CY46" s="71">
        <v>0</v>
      </c>
      <c r="CZ46" s="71">
        <v>6608</v>
      </c>
      <c r="DA46" s="71">
        <v>43048</v>
      </c>
      <c r="DB46" s="71">
        <v>21200</v>
      </c>
      <c r="DC46" s="71">
        <v>30222</v>
      </c>
      <c r="DD46" s="71">
        <v>0</v>
      </c>
      <c r="DE46" s="71">
        <v>858</v>
      </c>
      <c r="DF46" s="71">
        <v>150528</v>
      </c>
      <c r="DG46" s="71">
        <v>34320</v>
      </c>
      <c r="DH46" s="71">
        <v>0</v>
      </c>
      <c r="DI46" s="71">
        <v>0</v>
      </c>
      <c r="DJ46" s="71">
        <v>10820</v>
      </c>
      <c r="DK46" s="71">
        <v>0</v>
      </c>
      <c r="DL46" s="71">
        <v>25632</v>
      </c>
      <c r="DM46" s="71">
        <v>151520</v>
      </c>
      <c r="DN46" s="71">
        <v>0</v>
      </c>
      <c r="DO46" s="71">
        <v>1352</v>
      </c>
      <c r="DP46" s="71">
        <v>17184</v>
      </c>
      <c r="DQ46" s="71">
        <v>33024</v>
      </c>
      <c r="DR46" s="71">
        <v>91438</v>
      </c>
      <c r="DS46" s="71">
        <v>171216</v>
      </c>
      <c r="DT46" s="71">
        <v>40272</v>
      </c>
      <c r="DU46" s="71">
        <v>0</v>
      </c>
      <c r="DV46" s="71">
        <v>28928</v>
      </c>
      <c r="DW46" s="71">
        <v>26256</v>
      </c>
      <c r="DX46" s="71">
        <v>1220632</v>
      </c>
      <c r="DY46" s="71">
        <v>218074</v>
      </c>
      <c r="DZ46" s="71">
        <v>103973</v>
      </c>
      <c r="EA46" s="71">
        <v>264466</v>
      </c>
      <c r="EB46" s="71">
        <v>200772</v>
      </c>
      <c r="EC46" s="71">
        <v>0</v>
      </c>
      <c r="ED46" s="71">
        <v>8585</v>
      </c>
      <c r="EE46" s="71">
        <v>78944</v>
      </c>
      <c r="EF46" s="71">
        <v>45728</v>
      </c>
      <c r="EG46" s="71">
        <v>100251</v>
      </c>
      <c r="EH46" s="71">
        <v>0</v>
      </c>
      <c r="EI46" s="71">
        <v>0</v>
      </c>
      <c r="EJ46" s="71">
        <v>325454</v>
      </c>
      <c r="EK46" s="71">
        <v>34202</v>
      </c>
      <c r="EL46" s="71">
        <v>0</v>
      </c>
      <c r="EM46" s="71">
        <v>0</v>
      </c>
      <c r="EN46" s="71">
        <v>13531</v>
      </c>
      <c r="EO46" s="71">
        <v>0</v>
      </c>
      <c r="EP46" s="71">
        <v>129579</v>
      </c>
      <c r="EQ46" s="71">
        <v>271007</v>
      </c>
      <c r="ER46" s="71">
        <v>0</v>
      </c>
      <c r="ES46" s="71">
        <v>0</v>
      </c>
      <c r="ET46" s="71">
        <v>43935</v>
      </c>
      <c r="EU46" s="71">
        <v>199796</v>
      </c>
      <c r="EV46" s="71">
        <v>53566</v>
      </c>
      <c r="EW46" s="71">
        <v>447246</v>
      </c>
      <c r="EX46" s="71">
        <v>164820</v>
      </c>
      <c r="EY46" s="71">
        <v>0</v>
      </c>
      <c r="EZ46" s="71">
        <v>87650</v>
      </c>
      <c r="FA46" s="71">
        <v>43368</v>
      </c>
      <c r="FB46" s="71">
        <v>2834947</v>
      </c>
      <c r="FC46" s="71">
        <v>227</v>
      </c>
      <c r="FD46" s="71">
        <v>2133</v>
      </c>
      <c r="FE46" s="71">
        <v>0</v>
      </c>
      <c r="FF46" s="71">
        <v>955</v>
      </c>
      <c r="FG46" s="71">
        <v>0</v>
      </c>
      <c r="FH46" s="71">
        <v>74</v>
      </c>
      <c r="FI46" s="71">
        <v>0</v>
      </c>
      <c r="FJ46" s="71">
        <v>0</v>
      </c>
      <c r="FK46" s="71">
        <v>419</v>
      </c>
      <c r="FL46" s="71">
        <v>0</v>
      </c>
      <c r="FM46" s="71">
        <v>0</v>
      </c>
      <c r="FN46" s="71">
        <v>0</v>
      </c>
      <c r="FO46" s="71">
        <v>0</v>
      </c>
      <c r="FP46" s="71">
        <v>0</v>
      </c>
      <c r="FQ46" s="71">
        <v>0</v>
      </c>
      <c r="FR46" s="71">
        <v>10191</v>
      </c>
      <c r="FS46" s="71">
        <v>0</v>
      </c>
      <c r="FT46" s="71">
        <v>0</v>
      </c>
      <c r="FU46" s="71">
        <v>1211</v>
      </c>
      <c r="FV46" s="71">
        <v>0</v>
      </c>
      <c r="FW46" s="71">
        <v>0</v>
      </c>
      <c r="FX46" s="71">
        <v>0</v>
      </c>
      <c r="FY46" s="71">
        <v>0</v>
      </c>
      <c r="FZ46" s="71">
        <v>24011</v>
      </c>
      <c r="GA46" s="71">
        <v>0</v>
      </c>
      <c r="GB46" s="71">
        <v>2760</v>
      </c>
      <c r="GC46" s="71">
        <v>0</v>
      </c>
      <c r="GD46" s="71">
        <v>1031</v>
      </c>
      <c r="GE46" s="71">
        <v>230</v>
      </c>
      <c r="GF46" s="71">
        <v>43242</v>
      </c>
      <c r="GG46" s="71">
        <v>17655</v>
      </c>
      <c r="GH46" s="71">
        <v>8581</v>
      </c>
      <c r="GI46" s="71">
        <v>21389</v>
      </c>
      <c r="GJ46" s="71">
        <v>16315</v>
      </c>
      <c r="GK46" s="71">
        <v>0</v>
      </c>
      <c r="GL46" s="71">
        <v>700</v>
      </c>
      <c r="GM46" s="71">
        <v>6385</v>
      </c>
      <c r="GN46" s="71">
        <v>3698</v>
      </c>
      <c r="GO46" s="71">
        <v>8142</v>
      </c>
      <c r="GP46" s="71">
        <v>0</v>
      </c>
      <c r="GQ46" s="71">
        <v>0</v>
      </c>
      <c r="GR46" s="71">
        <v>26321</v>
      </c>
      <c r="GS46" s="71">
        <v>2766</v>
      </c>
      <c r="GT46" s="71">
        <v>0</v>
      </c>
      <c r="GU46" s="71">
        <v>0</v>
      </c>
      <c r="GV46" s="71">
        <v>1919</v>
      </c>
      <c r="GW46" s="71">
        <v>0</v>
      </c>
      <c r="GX46" s="71">
        <v>10480</v>
      </c>
      <c r="GY46" s="71">
        <v>22016</v>
      </c>
      <c r="GZ46" s="71">
        <v>0</v>
      </c>
      <c r="HA46" s="71">
        <v>0</v>
      </c>
      <c r="HB46" s="71">
        <v>3553</v>
      </c>
      <c r="HC46" s="71">
        <v>16159</v>
      </c>
      <c r="HD46" s="71">
        <v>6274</v>
      </c>
      <c r="HE46" s="71">
        <v>36171</v>
      </c>
      <c r="HF46" s="71">
        <v>13553</v>
      </c>
      <c r="HG46" s="71">
        <v>0</v>
      </c>
      <c r="HH46" s="71">
        <v>7172</v>
      </c>
      <c r="HI46" s="71">
        <v>3526</v>
      </c>
      <c r="HJ46" s="71">
        <v>232775</v>
      </c>
      <c r="HK46" s="71">
        <v>20067</v>
      </c>
      <c r="HL46" s="71">
        <v>27720</v>
      </c>
      <c r="HM46" s="71">
        <v>18345</v>
      </c>
      <c r="HN46" s="71">
        <v>82345</v>
      </c>
      <c r="HO46" s="71">
        <v>0</v>
      </c>
      <c r="HP46" s="71">
        <v>2682</v>
      </c>
      <c r="HQ46" s="71">
        <v>9539</v>
      </c>
      <c r="HR46" s="71">
        <v>691</v>
      </c>
      <c r="HS46" s="71">
        <v>15467</v>
      </c>
      <c r="HT46" s="71">
        <v>0</v>
      </c>
      <c r="HU46" s="71">
        <v>0</v>
      </c>
      <c r="HV46" s="71">
        <v>3603</v>
      </c>
      <c r="HW46" s="71">
        <v>0</v>
      </c>
      <c r="HX46" s="71">
        <v>0</v>
      </c>
      <c r="HY46" s="71">
        <v>0</v>
      </c>
      <c r="HZ46" s="71">
        <v>7586</v>
      </c>
      <c r="IA46" s="71">
        <v>0</v>
      </c>
      <c r="IB46" s="71">
        <v>1149</v>
      </c>
      <c r="IC46" s="71">
        <v>4868</v>
      </c>
      <c r="ID46" s="71">
        <v>0</v>
      </c>
      <c r="IE46" s="71">
        <v>0</v>
      </c>
      <c r="IF46" s="71">
        <v>664</v>
      </c>
      <c r="IG46" s="71">
        <v>3073</v>
      </c>
      <c r="IH46" s="71">
        <v>25707</v>
      </c>
      <c r="II46" s="71">
        <v>4386</v>
      </c>
      <c r="IJ46" s="71">
        <v>14798</v>
      </c>
      <c r="IK46" s="71">
        <v>0</v>
      </c>
      <c r="IL46" s="71">
        <v>481</v>
      </c>
      <c r="IM46" s="71">
        <v>1556</v>
      </c>
      <c r="IN46" s="71">
        <v>244727</v>
      </c>
      <c r="IO46" s="71">
        <v>37949</v>
      </c>
      <c r="IP46" s="71">
        <v>38434</v>
      </c>
      <c r="IQ46" s="71">
        <v>39734</v>
      </c>
      <c r="IR46" s="71">
        <v>99615</v>
      </c>
      <c r="IS46" s="71">
        <v>0</v>
      </c>
      <c r="IT46" s="71">
        <v>3456</v>
      </c>
      <c r="IU46" s="71">
        <v>15924</v>
      </c>
      <c r="IV46" s="71">
        <v>4389</v>
      </c>
      <c r="IW46" s="71">
        <v>24028</v>
      </c>
      <c r="IX46" s="71">
        <v>0</v>
      </c>
      <c r="IY46" s="71">
        <v>0</v>
      </c>
      <c r="IZ46" s="71">
        <v>29924</v>
      </c>
      <c r="JA46" s="71">
        <v>2766</v>
      </c>
      <c r="JB46" s="71">
        <v>0</v>
      </c>
      <c r="JC46" s="71">
        <v>0</v>
      </c>
      <c r="JD46" s="71">
        <v>19696</v>
      </c>
      <c r="JE46" s="71">
        <v>0</v>
      </c>
      <c r="JF46" s="71">
        <v>11629</v>
      </c>
      <c r="JG46" s="71">
        <v>28095</v>
      </c>
      <c r="JH46" s="71">
        <v>0</v>
      </c>
      <c r="JI46" s="71">
        <v>0</v>
      </c>
      <c r="JJ46" s="71">
        <v>4217</v>
      </c>
      <c r="JK46" s="71">
        <v>19232</v>
      </c>
      <c r="JL46" s="71">
        <v>55992</v>
      </c>
      <c r="JM46" s="71">
        <v>40557</v>
      </c>
      <c r="JN46" s="71">
        <v>31111</v>
      </c>
      <c r="JO46" s="71">
        <v>0</v>
      </c>
      <c r="JP46" s="71">
        <v>8684</v>
      </c>
      <c r="JQ46" s="71">
        <v>5312</v>
      </c>
      <c r="JR46" s="71">
        <v>520744</v>
      </c>
      <c r="JS46" s="71">
        <v>256023</v>
      </c>
      <c r="JT46" s="71">
        <v>142407</v>
      </c>
      <c r="JU46" s="71">
        <v>304200</v>
      </c>
      <c r="JV46" s="71">
        <v>300387</v>
      </c>
      <c r="JW46" s="71">
        <v>0</v>
      </c>
      <c r="JX46" s="71">
        <v>12041</v>
      </c>
      <c r="JY46" s="71">
        <v>94868</v>
      </c>
      <c r="JZ46" s="71">
        <v>50117</v>
      </c>
      <c r="KA46" s="71">
        <v>124279</v>
      </c>
      <c r="KB46" s="71">
        <v>0</v>
      </c>
      <c r="KC46" s="71">
        <v>0</v>
      </c>
      <c r="KD46" s="71">
        <v>355378</v>
      </c>
      <c r="KE46" s="71">
        <v>36968</v>
      </c>
      <c r="KF46" s="71">
        <v>0</v>
      </c>
      <c r="KG46" s="71">
        <v>0</v>
      </c>
      <c r="KH46" s="71">
        <v>33227</v>
      </c>
      <c r="KI46" s="71">
        <v>0</v>
      </c>
      <c r="KJ46" s="71">
        <v>141208</v>
      </c>
      <c r="KK46" s="71">
        <v>299102</v>
      </c>
      <c r="KL46" s="71">
        <v>0</v>
      </c>
      <c r="KM46" s="71">
        <v>0</v>
      </c>
      <c r="KN46" s="71">
        <v>48152</v>
      </c>
      <c r="KO46" s="71">
        <v>219028</v>
      </c>
      <c r="KP46" s="71">
        <v>109558</v>
      </c>
      <c r="KQ46" s="71">
        <v>487803</v>
      </c>
      <c r="KR46" s="71">
        <v>195931</v>
      </c>
      <c r="KS46" s="71">
        <v>0</v>
      </c>
      <c r="KT46" s="71">
        <v>96334</v>
      </c>
      <c r="KU46" s="71">
        <v>48680</v>
      </c>
      <c r="KV46" s="71">
        <v>3355691</v>
      </c>
      <c r="KW46" s="71" t="s">
        <v>1070</v>
      </c>
      <c r="KX46" s="71">
        <v>7821075</v>
      </c>
      <c r="KY46" s="71">
        <v>3165848</v>
      </c>
      <c r="KZ46" s="71">
        <v>10986923</v>
      </c>
      <c r="LA46" s="71">
        <v>0</v>
      </c>
      <c r="LB46" s="71">
        <v>323335</v>
      </c>
    </row>
    <row r="47" spans="1:314" x14ac:dyDescent="0.25">
      <c r="A47" s="71" t="s">
        <v>423</v>
      </c>
      <c r="B47" s="71" t="s">
        <v>1260</v>
      </c>
      <c r="C47" s="160" t="s">
        <v>1345</v>
      </c>
      <c r="D47" s="71" t="s">
        <v>1412</v>
      </c>
      <c r="E47" s="2">
        <v>41304.664918981478</v>
      </c>
      <c r="F47" s="71"/>
      <c r="G47" s="71" t="s">
        <v>424</v>
      </c>
      <c r="H47" s="71" t="s">
        <v>1261</v>
      </c>
      <c r="I47" s="71" t="s">
        <v>1083</v>
      </c>
      <c r="J47" s="71" t="s">
        <v>1262</v>
      </c>
      <c r="K47" s="71" t="s">
        <v>1263</v>
      </c>
      <c r="L47" s="71">
        <v>0</v>
      </c>
      <c r="M47" s="71">
        <v>0</v>
      </c>
      <c r="N47" s="71">
        <v>0</v>
      </c>
      <c r="O47" s="71">
        <v>34979106</v>
      </c>
      <c r="P47" s="71">
        <v>0</v>
      </c>
      <c r="Q47" s="71">
        <v>1953998</v>
      </c>
      <c r="R47" s="71">
        <v>0</v>
      </c>
      <c r="S47" s="71">
        <v>1953998</v>
      </c>
      <c r="T47" s="71">
        <v>2854218</v>
      </c>
      <c r="U47" s="71">
        <v>1878887</v>
      </c>
      <c r="V47" s="71">
        <v>3246152</v>
      </c>
      <c r="W47" s="71">
        <v>0</v>
      </c>
      <c r="X47" s="71">
        <v>0</v>
      </c>
      <c r="Y47" s="71">
        <v>0</v>
      </c>
      <c r="Z47" s="71">
        <v>7979257</v>
      </c>
      <c r="AA47" s="71">
        <v>1437122</v>
      </c>
      <c r="AB47" s="71">
        <v>384342</v>
      </c>
      <c r="AC47" s="71">
        <v>1454409</v>
      </c>
      <c r="AD47" s="71">
        <v>0</v>
      </c>
      <c r="AE47" s="71">
        <v>16648</v>
      </c>
      <c r="AF47" s="71">
        <v>683458</v>
      </c>
      <c r="AG47" s="71">
        <v>3975979</v>
      </c>
      <c r="AH47" s="71">
        <v>4291340</v>
      </c>
      <c r="AI47" s="71">
        <v>2263229</v>
      </c>
      <c r="AJ47" s="71">
        <v>4700561</v>
      </c>
      <c r="AK47" s="71">
        <v>0</v>
      </c>
      <c r="AL47" s="71">
        <v>16648</v>
      </c>
      <c r="AM47" s="71">
        <v>683458</v>
      </c>
      <c r="AN47" s="71">
        <v>11955236</v>
      </c>
      <c r="AO47" s="71">
        <v>726992</v>
      </c>
      <c r="AP47" s="71">
        <v>0</v>
      </c>
      <c r="AQ47" s="71">
        <v>0</v>
      </c>
      <c r="AR47" s="71">
        <v>0</v>
      </c>
      <c r="AS47" s="71">
        <v>726992</v>
      </c>
      <c r="AT47" s="71">
        <v>156907</v>
      </c>
      <c r="AU47" s="71">
        <v>0</v>
      </c>
      <c r="AV47" s="71">
        <v>0</v>
      </c>
      <c r="AW47" s="71">
        <v>7347</v>
      </c>
      <c r="AX47" s="71">
        <v>164254</v>
      </c>
      <c r="AY47" s="71">
        <v>883899</v>
      </c>
      <c r="AZ47" s="71">
        <v>0</v>
      </c>
      <c r="BA47" s="71">
        <v>0</v>
      </c>
      <c r="BB47" s="71">
        <v>7347</v>
      </c>
      <c r="BC47" s="71">
        <v>891246</v>
      </c>
      <c r="BD47" s="71">
        <v>920547</v>
      </c>
      <c r="BE47" s="71">
        <v>0</v>
      </c>
      <c r="BF47" s="71">
        <v>0</v>
      </c>
      <c r="BG47" s="71">
        <v>0</v>
      </c>
      <c r="BH47" s="71">
        <v>0</v>
      </c>
      <c r="BI47" s="71">
        <v>920547</v>
      </c>
      <c r="BJ47" s="71">
        <v>0</v>
      </c>
      <c r="BK47" s="71">
        <v>0</v>
      </c>
      <c r="BL47" s="71">
        <v>339067</v>
      </c>
      <c r="BM47" s="71">
        <v>0</v>
      </c>
      <c r="BN47" s="71">
        <v>0</v>
      </c>
      <c r="BO47" s="71">
        <v>339067</v>
      </c>
      <c r="BP47" s="71">
        <v>3284336</v>
      </c>
      <c r="BQ47" s="71">
        <v>449576</v>
      </c>
      <c r="BR47" s="71">
        <v>0</v>
      </c>
      <c r="BS47" s="71">
        <v>0</v>
      </c>
      <c r="BT47" s="71">
        <v>731484</v>
      </c>
      <c r="BU47" s="71">
        <v>4465396</v>
      </c>
      <c r="BV47" s="71">
        <v>4204883</v>
      </c>
      <c r="BW47" s="71">
        <v>449576</v>
      </c>
      <c r="BX47" s="71">
        <v>339067</v>
      </c>
      <c r="BY47" s="71">
        <v>0</v>
      </c>
      <c r="BZ47" s="71">
        <v>731484</v>
      </c>
      <c r="CA47" s="71">
        <v>5725010</v>
      </c>
      <c r="CB47" s="71">
        <v>0</v>
      </c>
      <c r="CC47" s="71">
        <v>0</v>
      </c>
      <c r="CD47" s="71">
        <v>0</v>
      </c>
      <c r="CE47" s="71">
        <v>0</v>
      </c>
      <c r="CF47" s="71">
        <v>0</v>
      </c>
      <c r="CG47" s="71">
        <v>0</v>
      </c>
      <c r="CH47" s="71">
        <v>0</v>
      </c>
      <c r="CI47" s="71">
        <v>0</v>
      </c>
      <c r="CJ47" s="71">
        <v>0</v>
      </c>
      <c r="CK47" s="71">
        <v>0</v>
      </c>
      <c r="CL47" s="71">
        <v>0</v>
      </c>
      <c r="CM47" s="71">
        <v>0</v>
      </c>
      <c r="CN47" s="71">
        <v>0</v>
      </c>
      <c r="CO47" s="71">
        <v>0</v>
      </c>
      <c r="CP47" s="71">
        <v>0</v>
      </c>
      <c r="CQ47" s="71">
        <v>0</v>
      </c>
      <c r="CR47" s="71" t="s">
        <v>423</v>
      </c>
      <c r="CS47" s="71">
        <v>2500903</v>
      </c>
      <c r="CT47" s="71">
        <v>0</v>
      </c>
      <c r="CU47" s="71">
        <v>4416</v>
      </c>
      <c r="CV47" s="71">
        <v>41328</v>
      </c>
      <c r="CW47" s="71">
        <v>296032</v>
      </c>
      <c r="CX47" s="71">
        <v>231314</v>
      </c>
      <c r="CY47" s="71">
        <v>6174</v>
      </c>
      <c r="CZ47" s="71">
        <v>7424</v>
      </c>
      <c r="DA47" s="71">
        <v>36751</v>
      </c>
      <c r="DB47" s="71">
        <v>1023</v>
      </c>
      <c r="DC47" s="71">
        <v>86258</v>
      </c>
      <c r="DD47" s="71">
        <v>2544</v>
      </c>
      <c r="DE47" s="71">
        <v>110025</v>
      </c>
      <c r="DF47" s="71">
        <v>269808</v>
      </c>
      <c r="DG47" s="71">
        <v>381024</v>
      </c>
      <c r="DH47" s="71">
        <v>124704</v>
      </c>
      <c r="DI47" s="71">
        <v>0</v>
      </c>
      <c r="DJ47" s="71">
        <v>117551</v>
      </c>
      <c r="DK47" s="71">
        <v>24214</v>
      </c>
      <c r="DL47" s="71">
        <v>104464</v>
      </c>
      <c r="DM47" s="71">
        <v>81840</v>
      </c>
      <c r="DN47" s="71">
        <v>30096</v>
      </c>
      <c r="DO47" s="71">
        <v>38800</v>
      </c>
      <c r="DP47" s="71">
        <v>4800</v>
      </c>
      <c r="DQ47" s="71">
        <v>53344</v>
      </c>
      <c r="DR47" s="71">
        <v>88219</v>
      </c>
      <c r="DS47" s="71">
        <v>379392</v>
      </c>
      <c r="DT47" s="71">
        <v>117424</v>
      </c>
      <c r="DU47" s="71">
        <v>0</v>
      </c>
      <c r="DV47" s="71">
        <v>162416</v>
      </c>
      <c r="DW47" s="71">
        <v>49024</v>
      </c>
      <c r="DX47" s="71">
        <v>2850409</v>
      </c>
      <c r="DY47" s="71">
        <v>16737</v>
      </c>
      <c r="DZ47" s="71">
        <v>157006</v>
      </c>
      <c r="EA47" s="71">
        <v>1144760</v>
      </c>
      <c r="EB47" s="71">
        <v>719694</v>
      </c>
      <c r="EC47" s="71">
        <v>184115</v>
      </c>
      <c r="ED47" s="71">
        <v>131602</v>
      </c>
      <c r="EE47" s="71">
        <v>270708</v>
      </c>
      <c r="EF47" s="71">
        <v>603</v>
      </c>
      <c r="EG47" s="71">
        <v>462279</v>
      </c>
      <c r="EH47" s="71">
        <v>934</v>
      </c>
      <c r="EI47" s="71">
        <v>410359</v>
      </c>
      <c r="EJ47" s="71">
        <v>989548</v>
      </c>
      <c r="EK47" s="71">
        <v>489426</v>
      </c>
      <c r="EL47" s="71">
        <v>737750</v>
      </c>
      <c r="EM47" s="71">
        <v>0</v>
      </c>
      <c r="EN47" s="71">
        <v>531635</v>
      </c>
      <c r="EO47" s="71">
        <v>177720</v>
      </c>
      <c r="EP47" s="71">
        <v>494776</v>
      </c>
      <c r="EQ47" s="71">
        <v>324640</v>
      </c>
      <c r="ER47" s="71">
        <v>272702</v>
      </c>
      <c r="ES47" s="71">
        <v>328374</v>
      </c>
      <c r="ET47" s="71">
        <v>32966</v>
      </c>
      <c r="EU47" s="71">
        <v>270513</v>
      </c>
      <c r="EV47" s="71">
        <v>233112</v>
      </c>
      <c r="EW47" s="71">
        <v>1291458</v>
      </c>
      <c r="EX47" s="71">
        <v>569899</v>
      </c>
      <c r="EY47" s="71">
        <v>0</v>
      </c>
      <c r="EZ47" s="71">
        <v>607848</v>
      </c>
      <c r="FA47" s="71">
        <v>186957</v>
      </c>
      <c r="FB47" s="71">
        <v>11038121</v>
      </c>
      <c r="FC47" s="71">
        <v>0</v>
      </c>
      <c r="FD47" s="71">
        <v>0</v>
      </c>
      <c r="FE47" s="71">
        <v>0</v>
      </c>
      <c r="FF47" s="71">
        <v>5594</v>
      </c>
      <c r="FG47" s="71">
        <v>94791</v>
      </c>
      <c r="FH47" s="71">
        <v>0</v>
      </c>
      <c r="FI47" s="71">
        <v>0</v>
      </c>
      <c r="FJ47" s="71">
        <v>0</v>
      </c>
      <c r="FK47" s="71">
        <v>18742</v>
      </c>
      <c r="FL47" s="71">
        <v>0</v>
      </c>
      <c r="FM47" s="71">
        <v>161368</v>
      </c>
      <c r="FN47" s="71">
        <v>29487</v>
      </c>
      <c r="FO47" s="71">
        <v>0</v>
      </c>
      <c r="FP47" s="71">
        <v>43232</v>
      </c>
      <c r="FQ47" s="71">
        <v>0</v>
      </c>
      <c r="FR47" s="71">
        <v>11</v>
      </c>
      <c r="FS47" s="71">
        <v>46</v>
      </c>
      <c r="FT47" s="71">
        <v>29914</v>
      </c>
      <c r="FU47" s="71">
        <v>882</v>
      </c>
      <c r="FV47" s="71">
        <v>0</v>
      </c>
      <c r="FW47" s="71">
        <v>43701</v>
      </c>
      <c r="FX47" s="71">
        <v>0</v>
      </c>
      <c r="FY47" s="71">
        <v>0</v>
      </c>
      <c r="FZ47" s="71">
        <v>0</v>
      </c>
      <c r="GA47" s="71">
        <v>0</v>
      </c>
      <c r="GB47" s="71">
        <v>5744</v>
      </c>
      <c r="GC47" s="71">
        <v>0</v>
      </c>
      <c r="GD47" s="71">
        <v>0</v>
      </c>
      <c r="GE47" s="71">
        <v>0</v>
      </c>
      <c r="GF47" s="71">
        <v>433512</v>
      </c>
      <c r="GG47" s="71">
        <v>3649</v>
      </c>
      <c r="GH47" s="71">
        <v>34228</v>
      </c>
      <c r="GI47" s="71">
        <v>249566</v>
      </c>
      <c r="GJ47" s="71">
        <v>158118</v>
      </c>
      <c r="GK47" s="71">
        <v>60804</v>
      </c>
      <c r="GL47" s="71">
        <v>28690</v>
      </c>
      <c r="GM47" s="71">
        <v>59016</v>
      </c>
      <c r="GN47" s="71">
        <v>131</v>
      </c>
      <c r="GO47" s="71">
        <v>104866</v>
      </c>
      <c r="GP47" s="71">
        <v>204</v>
      </c>
      <c r="GQ47" s="71">
        <v>124641</v>
      </c>
      <c r="GR47" s="71">
        <v>222157</v>
      </c>
      <c r="GS47" s="71">
        <v>106699</v>
      </c>
      <c r="GT47" s="71">
        <v>170260</v>
      </c>
      <c r="GU47" s="71">
        <v>0</v>
      </c>
      <c r="GV47" s="71">
        <v>115903</v>
      </c>
      <c r="GW47" s="71">
        <v>38754</v>
      </c>
      <c r="GX47" s="71">
        <v>114386</v>
      </c>
      <c r="GY47" s="71">
        <v>70966</v>
      </c>
      <c r="GZ47" s="71">
        <v>59451</v>
      </c>
      <c r="HA47" s="71">
        <v>81115</v>
      </c>
      <c r="HB47" s="71">
        <v>7187</v>
      </c>
      <c r="HC47" s="71">
        <v>58974</v>
      </c>
      <c r="HD47" s="71">
        <v>50820</v>
      </c>
      <c r="HE47" s="71">
        <v>281548</v>
      </c>
      <c r="HF47" s="71">
        <v>125495</v>
      </c>
      <c r="HG47" s="71">
        <v>0</v>
      </c>
      <c r="HH47" s="71">
        <v>132515</v>
      </c>
      <c r="HI47" s="71">
        <v>40758</v>
      </c>
      <c r="HJ47" s="71">
        <v>2500903</v>
      </c>
      <c r="HK47" s="71">
        <v>0</v>
      </c>
      <c r="HL47" s="71">
        <v>34444</v>
      </c>
      <c r="HM47" s="71">
        <v>128818</v>
      </c>
      <c r="HN47" s="71">
        <v>74807</v>
      </c>
      <c r="HO47" s="71">
        <v>239408</v>
      </c>
      <c r="HP47" s="71">
        <v>6196</v>
      </c>
      <c r="HQ47" s="71">
        <v>56426</v>
      </c>
      <c r="HR47" s="71">
        <v>709</v>
      </c>
      <c r="HS47" s="71">
        <v>49008</v>
      </c>
      <c r="HT47" s="71">
        <v>1098</v>
      </c>
      <c r="HU47" s="71">
        <v>573679</v>
      </c>
      <c r="HV47" s="71">
        <v>117064</v>
      </c>
      <c r="HW47" s="71">
        <v>2163</v>
      </c>
      <c r="HX47" s="71">
        <v>65117</v>
      </c>
      <c r="HY47" s="71">
        <v>0</v>
      </c>
      <c r="HZ47" s="71">
        <v>109635</v>
      </c>
      <c r="IA47" s="71">
        <v>11483</v>
      </c>
      <c r="IB47" s="71">
        <v>34953</v>
      </c>
      <c r="IC47" s="71">
        <v>22812</v>
      </c>
      <c r="ID47" s="71">
        <v>41805</v>
      </c>
      <c r="IE47" s="71">
        <v>119696</v>
      </c>
      <c r="IF47" s="71">
        <v>0</v>
      </c>
      <c r="IG47" s="71">
        <v>15258</v>
      </c>
      <c r="IH47" s="71">
        <v>62927</v>
      </c>
      <c r="II47" s="71">
        <v>45015</v>
      </c>
      <c r="IJ47" s="71">
        <v>62381</v>
      </c>
      <c r="IK47" s="71">
        <v>0</v>
      </c>
      <c r="IL47" s="71">
        <v>26590</v>
      </c>
      <c r="IM47" s="71">
        <v>1877</v>
      </c>
      <c r="IN47" s="71">
        <v>1903369</v>
      </c>
      <c r="IO47" s="71">
        <v>3649</v>
      </c>
      <c r="IP47" s="71">
        <v>68672</v>
      </c>
      <c r="IQ47" s="71">
        <v>378384</v>
      </c>
      <c r="IR47" s="71">
        <v>238519</v>
      </c>
      <c r="IS47" s="71">
        <v>395003</v>
      </c>
      <c r="IT47" s="71">
        <v>34886</v>
      </c>
      <c r="IU47" s="71">
        <v>115442</v>
      </c>
      <c r="IV47" s="71">
        <v>840</v>
      </c>
      <c r="IW47" s="71">
        <v>172616</v>
      </c>
      <c r="IX47" s="71">
        <v>1302</v>
      </c>
      <c r="IY47" s="71">
        <v>859688</v>
      </c>
      <c r="IZ47" s="71">
        <v>368708</v>
      </c>
      <c r="JA47" s="71">
        <v>108862</v>
      </c>
      <c r="JB47" s="71">
        <v>278609</v>
      </c>
      <c r="JC47" s="71">
        <v>0</v>
      </c>
      <c r="JD47" s="71">
        <v>225549</v>
      </c>
      <c r="JE47" s="71">
        <v>50283</v>
      </c>
      <c r="JF47" s="71">
        <v>179253</v>
      </c>
      <c r="JG47" s="71">
        <v>94660</v>
      </c>
      <c r="JH47" s="71">
        <v>101256</v>
      </c>
      <c r="JI47" s="71">
        <v>244512</v>
      </c>
      <c r="JJ47" s="71">
        <v>7187</v>
      </c>
      <c r="JK47" s="71">
        <v>74232</v>
      </c>
      <c r="JL47" s="71">
        <v>113747</v>
      </c>
      <c r="JM47" s="71">
        <v>326563</v>
      </c>
      <c r="JN47" s="71">
        <v>193620</v>
      </c>
      <c r="JO47" s="71">
        <v>0</v>
      </c>
      <c r="JP47" s="71">
        <v>159105</v>
      </c>
      <c r="JQ47" s="71">
        <v>42635</v>
      </c>
      <c r="JR47" s="71">
        <v>4837784</v>
      </c>
      <c r="JS47" s="71">
        <v>20386</v>
      </c>
      <c r="JT47" s="71">
        <v>225678</v>
      </c>
      <c r="JU47" s="71">
        <v>1523144</v>
      </c>
      <c r="JV47" s="71">
        <v>958213</v>
      </c>
      <c r="JW47" s="71">
        <v>579118</v>
      </c>
      <c r="JX47" s="71">
        <v>166488</v>
      </c>
      <c r="JY47" s="71">
        <v>386150</v>
      </c>
      <c r="JZ47" s="71">
        <v>1443</v>
      </c>
      <c r="KA47" s="71">
        <v>634895</v>
      </c>
      <c r="KB47" s="71">
        <v>2236</v>
      </c>
      <c r="KC47" s="71">
        <v>1270047</v>
      </c>
      <c r="KD47" s="71">
        <v>1358256</v>
      </c>
      <c r="KE47" s="71">
        <v>598288</v>
      </c>
      <c r="KF47" s="71">
        <v>1016359</v>
      </c>
      <c r="KG47" s="71">
        <v>0</v>
      </c>
      <c r="KH47" s="71">
        <v>757184</v>
      </c>
      <c r="KI47" s="71">
        <v>228003</v>
      </c>
      <c r="KJ47" s="71">
        <v>674029</v>
      </c>
      <c r="KK47" s="71">
        <v>419300</v>
      </c>
      <c r="KL47" s="71">
        <v>373958</v>
      </c>
      <c r="KM47" s="71">
        <v>572886</v>
      </c>
      <c r="KN47" s="71">
        <v>40153</v>
      </c>
      <c r="KO47" s="71">
        <v>344745</v>
      </c>
      <c r="KP47" s="71">
        <v>346859</v>
      </c>
      <c r="KQ47" s="71">
        <v>1618021</v>
      </c>
      <c r="KR47" s="71">
        <v>763519</v>
      </c>
      <c r="KS47" s="71">
        <v>0</v>
      </c>
      <c r="KT47" s="71">
        <v>766953</v>
      </c>
      <c r="KU47" s="71">
        <v>229592</v>
      </c>
      <c r="KV47" s="71">
        <v>15875905</v>
      </c>
      <c r="KW47" s="71" t="s">
        <v>1413</v>
      </c>
      <c r="KX47" s="71">
        <v>29785139</v>
      </c>
      <c r="KY47" s="71">
        <v>6616256</v>
      </c>
      <c r="KZ47" s="71">
        <v>36401395</v>
      </c>
      <c r="LA47" s="71">
        <v>0</v>
      </c>
      <c r="LB47" s="71">
        <v>1422289</v>
      </c>
    </row>
    <row r="48" spans="1:314" x14ac:dyDescent="0.25">
      <c r="A48" s="71" t="s">
        <v>425</v>
      </c>
      <c r="B48" s="71" t="s">
        <v>1264</v>
      </c>
      <c r="C48" s="160" t="s">
        <v>1345</v>
      </c>
      <c r="D48" s="71" t="s">
        <v>1390</v>
      </c>
      <c r="E48" s="2">
        <v>41298.722141203703</v>
      </c>
      <c r="F48" s="71"/>
      <c r="G48" s="71" t="s">
        <v>1265</v>
      </c>
      <c r="H48" s="71" t="s">
        <v>1266</v>
      </c>
      <c r="I48" s="71" t="s">
        <v>1391</v>
      </c>
      <c r="J48" s="71" t="s">
        <v>1267</v>
      </c>
      <c r="K48" s="71" t="s">
        <v>1268</v>
      </c>
      <c r="L48" s="71">
        <v>0</v>
      </c>
      <c r="M48" s="71">
        <v>0</v>
      </c>
      <c r="N48" s="71">
        <v>0</v>
      </c>
      <c r="O48" s="71">
        <v>14789906</v>
      </c>
      <c r="P48" s="71">
        <v>0</v>
      </c>
      <c r="Q48" s="71">
        <v>118211</v>
      </c>
      <c r="R48" s="71">
        <v>0</v>
      </c>
      <c r="S48" s="71">
        <v>118211</v>
      </c>
      <c r="T48" s="71">
        <v>1208276</v>
      </c>
      <c r="U48" s="71">
        <v>1946185</v>
      </c>
      <c r="V48" s="71">
        <v>1047537</v>
      </c>
      <c r="W48" s="71">
        <v>0</v>
      </c>
      <c r="X48" s="71">
        <v>0</v>
      </c>
      <c r="Y48" s="71">
        <v>0</v>
      </c>
      <c r="Z48" s="71">
        <v>4201998</v>
      </c>
      <c r="AA48" s="71">
        <v>498441</v>
      </c>
      <c r="AB48" s="71">
        <v>476684</v>
      </c>
      <c r="AC48" s="71">
        <v>317578</v>
      </c>
      <c r="AD48" s="71">
        <v>0</v>
      </c>
      <c r="AE48" s="71">
        <v>689093</v>
      </c>
      <c r="AF48" s="71">
        <v>724398</v>
      </c>
      <c r="AG48" s="71">
        <v>2706194</v>
      </c>
      <c r="AH48" s="71">
        <v>1706717</v>
      </c>
      <c r="AI48" s="71">
        <v>2422869</v>
      </c>
      <c r="AJ48" s="71">
        <v>1365115</v>
      </c>
      <c r="AK48" s="71">
        <v>0</v>
      </c>
      <c r="AL48" s="71">
        <v>689093</v>
      </c>
      <c r="AM48" s="71">
        <v>724398</v>
      </c>
      <c r="AN48" s="71">
        <v>6908192</v>
      </c>
      <c r="AO48" s="71">
        <v>311776</v>
      </c>
      <c r="AP48" s="71">
        <v>0</v>
      </c>
      <c r="AQ48" s="71">
        <v>0</v>
      </c>
      <c r="AR48" s="71">
        <v>0</v>
      </c>
      <c r="AS48" s="71">
        <v>311776</v>
      </c>
      <c r="AT48" s="71">
        <v>194099</v>
      </c>
      <c r="AU48" s="71">
        <v>0</v>
      </c>
      <c r="AV48" s="71">
        <v>0</v>
      </c>
      <c r="AW48" s="71">
        <v>0</v>
      </c>
      <c r="AX48" s="71">
        <v>194099</v>
      </c>
      <c r="AY48" s="71">
        <v>505875</v>
      </c>
      <c r="AZ48" s="71">
        <v>0</v>
      </c>
      <c r="BA48" s="71">
        <v>0</v>
      </c>
      <c r="BB48" s="71">
        <v>0</v>
      </c>
      <c r="BC48" s="71">
        <v>505875</v>
      </c>
      <c r="BD48" s="71">
        <v>1164488</v>
      </c>
      <c r="BE48" s="71">
        <v>0</v>
      </c>
      <c r="BF48" s="71">
        <v>0</v>
      </c>
      <c r="BG48" s="71">
        <v>0</v>
      </c>
      <c r="BH48" s="71">
        <v>0</v>
      </c>
      <c r="BI48" s="71">
        <v>1164488</v>
      </c>
      <c r="BJ48" s="71">
        <v>0</v>
      </c>
      <c r="BK48" s="71">
        <v>0</v>
      </c>
      <c r="BL48" s="71">
        <v>24318</v>
      </c>
      <c r="BM48" s="71">
        <v>0</v>
      </c>
      <c r="BN48" s="71">
        <v>0</v>
      </c>
      <c r="BO48" s="71">
        <v>24318</v>
      </c>
      <c r="BP48" s="71">
        <v>1335401</v>
      </c>
      <c r="BQ48" s="71">
        <v>0</v>
      </c>
      <c r="BR48" s="71">
        <v>0</v>
      </c>
      <c r="BS48" s="71">
        <v>0</v>
      </c>
      <c r="BT48" s="71">
        <v>65272</v>
      </c>
      <c r="BU48" s="71">
        <v>1400673</v>
      </c>
      <c r="BV48" s="71">
        <v>2499889</v>
      </c>
      <c r="BW48" s="71">
        <v>0</v>
      </c>
      <c r="BX48" s="71">
        <v>24318</v>
      </c>
      <c r="BY48" s="71">
        <v>0</v>
      </c>
      <c r="BZ48" s="71">
        <v>65272</v>
      </c>
      <c r="CA48" s="71">
        <v>2589479</v>
      </c>
      <c r="CB48" s="71">
        <v>0</v>
      </c>
      <c r="CC48" s="71">
        <v>0</v>
      </c>
      <c r="CD48" s="71">
        <v>0</v>
      </c>
      <c r="CE48" s="71">
        <v>0</v>
      </c>
      <c r="CF48" s="71">
        <v>0</v>
      </c>
      <c r="CG48" s="71">
        <v>0</v>
      </c>
      <c r="CH48" s="71">
        <v>0</v>
      </c>
      <c r="CI48" s="71">
        <v>0</v>
      </c>
      <c r="CJ48" s="71">
        <v>0</v>
      </c>
      <c r="CK48" s="71">
        <v>0</v>
      </c>
      <c r="CL48" s="71">
        <v>0</v>
      </c>
      <c r="CM48" s="71">
        <v>0</v>
      </c>
      <c r="CN48" s="71">
        <v>0</v>
      </c>
      <c r="CO48" s="71">
        <v>0</v>
      </c>
      <c r="CP48" s="71">
        <v>0</v>
      </c>
      <c r="CQ48" s="71">
        <v>0</v>
      </c>
      <c r="CR48" s="71" t="s">
        <v>425</v>
      </c>
      <c r="CS48" s="71">
        <v>250680</v>
      </c>
      <c r="CT48" s="71">
        <v>0</v>
      </c>
      <c r="CU48" s="71">
        <v>7248</v>
      </c>
      <c r="CV48" s="71">
        <v>27752</v>
      </c>
      <c r="CW48" s="71">
        <v>0</v>
      </c>
      <c r="CX48" s="71">
        <v>142208</v>
      </c>
      <c r="CY48" s="71">
        <v>0</v>
      </c>
      <c r="CZ48" s="71">
        <v>10368</v>
      </c>
      <c r="DA48" s="71">
        <v>70928</v>
      </c>
      <c r="DB48" s="71">
        <v>3552</v>
      </c>
      <c r="DC48" s="71">
        <v>25152</v>
      </c>
      <c r="DD48" s="71">
        <v>0</v>
      </c>
      <c r="DE48" s="71">
        <v>105536</v>
      </c>
      <c r="DF48" s="71">
        <v>1216</v>
      </c>
      <c r="DG48" s="71">
        <v>336</v>
      </c>
      <c r="DH48" s="71">
        <v>33184</v>
      </c>
      <c r="DI48" s="71">
        <v>0</v>
      </c>
      <c r="DJ48" s="71">
        <v>97502</v>
      </c>
      <c r="DK48" s="71">
        <v>0</v>
      </c>
      <c r="DL48" s="71">
        <v>39216</v>
      </c>
      <c r="DM48" s="71">
        <v>3168</v>
      </c>
      <c r="DN48" s="71">
        <v>37664</v>
      </c>
      <c r="DO48" s="71">
        <v>60272</v>
      </c>
      <c r="DP48" s="71">
        <v>9192</v>
      </c>
      <c r="DQ48" s="71">
        <v>384</v>
      </c>
      <c r="DR48" s="71">
        <v>5184</v>
      </c>
      <c r="DS48" s="71">
        <v>1936</v>
      </c>
      <c r="DT48" s="71">
        <v>26480</v>
      </c>
      <c r="DU48" s="71">
        <v>0</v>
      </c>
      <c r="DV48" s="71">
        <v>9552</v>
      </c>
      <c r="DW48" s="71">
        <v>1984</v>
      </c>
      <c r="DX48" s="71">
        <v>720014</v>
      </c>
      <c r="DY48" s="71">
        <v>39558</v>
      </c>
      <c r="DZ48" s="71">
        <v>151466</v>
      </c>
      <c r="EA48" s="71">
        <v>0</v>
      </c>
      <c r="EB48" s="71">
        <v>317992</v>
      </c>
      <c r="EC48" s="71">
        <v>0</v>
      </c>
      <c r="ED48" s="71">
        <v>56587</v>
      </c>
      <c r="EE48" s="71">
        <v>158603</v>
      </c>
      <c r="EF48" s="71">
        <v>19386</v>
      </c>
      <c r="EG48" s="71">
        <v>137276</v>
      </c>
      <c r="EH48" s="71">
        <v>0</v>
      </c>
      <c r="EI48" s="71">
        <v>664581</v>
      </c>
      <c r="EJ48" s="71">
        <v>123470</v>
      </c>
      <c r="EK48" s="71">
        <v>34116</v>
      </c>
      <c r="EL48" s="71">
        <v>176375</v>
      </c>
      <c r="EM48" s="71">
        <v>0</v>
      </c>
      <c r="EN48" s="71">
        <v>518228</v>
      </c>
      <c r="EO48" s="71">
        <v>0</v>
      </c>
      <c r="EP48" s="71">
        <v>208435</v>
      </c>
      <c r="EQ48" s="71">
        <v>321674</v>
      </c>
      <c r="ER48" s="71">
        <v>114181</v>
      </c>
      <c r="ES48" s="71">
        <v>182720</v>
      </c>
      <c r="ET48" s="71">
        <v>50170</v>
      </c>
      <c r="EU48" s="71">
        <v>0</v>
      </c>
      <c r="EV48" s="71">
        <v>11592</v>
      </c>
      <c r="EW48" s="71">
        <v>196578</v>
      </c>
      <c r="EX48" s="71">
        <v>59212</v>
      </c>
      <c r="EY48" s="71">
        <v>0</v>
      </c>
      <c r="EZ48" s="71">
        <v>41</v>
      </c>
      <c r="FA48" s="71">
        <v>8</v>
      </c>
      <c r="FB48" s="71">
        <v>3542249</v>
      </c>
      <c r="FC48" s="71">
        <v>4437</v>
      </c>
      <c r="FD48" s="71">
        <v>16991</v>
      </c>
      <c r="FE48" s="71">
        <v>0</v>
      </c>
      <c r="FF48" s="71">
        <v>82964</v>
      </c>
      <c r="FG48" s="71">
        <v>0</v>
      </c>
      <c r="FH48" s="71">
        <v>6348</v>
      </c>
      <c r="FI48" s="71">
        <v>41379</v>
      </c>
      <c r="FJ48" s="71">
        <v>2174</v>
      </c>
      <c r="FK48" s="71">
        <v>15399</v>
      </c>
      <c r="FL48" s="71">
        <v>0</v>
      </c>
      <c r="FM48" s="71">
        <v>261617</v>
      </c>
      <c r="FN48" s="71">
        <v>16814</v>
      </c>
      <c r="FO48" s="71">
        <v>4646</v>
      </c>
      <c r="FP48" s="71">
        <v>37299</v>
      </c>
      <c r="FQ48" s="71">
        <v>0</v>
      </c>
      <c r="FR48" s="71">
        <v>109593</v>
      </c>
      <c r="FS48" s="71">
        <v>0</v>
      </c>
      <c r="FT48" s="71">
        <v>44079</v>
      </c>
      <c r="FU48" s="71">
        <v>43805</v>
      </c>
      <c r="FV48" s="71">
        <v>40001</v>
      </c>
      <c r="FW48" s="71">
        <v>64013</v>
      </c>
      <c r="FX48" s="71">
        <v>5628</v>
      </c>
      <c r="FY48" s="71">
        <v>224</v>
      </c>
      <c r="FZ48" s="71">
        <v>3024</v>
      </c>
      <c r="GA48" s="71">
        <v>26769</v>
      </c>
      <c r="GB48" s="71">
        <v>15448</v>
      </c>
      <c r="GC48" s="71">
        <v>0</v>
      </c>
      <c r="GD48" s="71">
        <v>5573</v>
      </c>
      <c r="GE48" s="71">
        <v>1157</v>
      </c>
      <c r="GF48" s="71">
        <v>849382</v>
      </c>
      <c r="GG48" s="71">
        <v>2511</v>
      </c>
      <c r="GH48" s="71">
        <v>9616</v>
      </c>
      <c r="GI48" s="71">
        <v>0</v>
      </c>
      <c r="GJ48" s="71">
        <v>22887</v>
      </c>
      <c r="GK48" s="71">
        <v>0</v>
      </c>
      <c r="GL48" s="71">
        <v>3592</v>
      </c>
      <c r="GM48" s="71">
        <v>11415</v>
      </c>
      <c r="GN48" s="71">
        <v>1231</v>
      </c>
      <c r="GO48" s="71">
        <v>8715</v>
      </c>
      <c r="GP48" s="71">
        <v>0</v>
      </c>
      <c r="GQ48" s="71">
        <v>52869</v>
      </c>
      <c r="GR48" s="71">
        <v>8008</v>
      </c>
      <c r="GS48" s="71">
        <v>2213</v>
      </c>
      <c r="GT48" s="71">
        <v>12197</v>
      </c>
      <c r="GU48" s="71">
        <v>0</v>
      </c>
      <c r="GV48" s="71">
        <v>35837</v>
      </c>
      <c r="GW48" s="71">
        <v>0</v>
      </c>
      <c r="GX48" s="71">
        <v>14414</v>
      </c>
      <c r="GY48" s="71">
        <v>20862</v>
      </c>
      <c r="GZ48" s="71">
        <v>8801</v>
      </c>
      <c r="HA48" s="71">
        <v>14084</v>
      </c>
      <c r="HB48" s="71">
        <v>3185</v>
      </c>
      <c r="HC48" s="71">
        <v>13</v>
      </c>
      <c r="HD48" s="71">
        <v>834</v>
      </c>
      <c r="HE48" s="71">
        <v>12749</v>
      </c>
      <c r="HF48" s="71">
        <v>4262</v>
      </c>
      <c r="HG48" s="71">
        <v>0</v>
      </c>
      <c r="HH48" s="71">
        <v>320</v>
      </c>
      <c r="HI48" s="71">
        <v>66</v>
      </c>
      <c r="HJ48" s="71">
        <v>250680</v>
      </c>
      <c r="HK48" s="71">
        <v>15926</v>
      </c>
      <c r="HL48" s="71">
        <v>60991</v>
      </c>
      <c r="HM48" s="71">
        <v>0</v>
      </c>
      <c r="HN48" s="71">
        <v>81154</v>
      </c>
      <c r="HO48" s="71">
        <v>0</v>
      </c>
      <c r="HP48" s="71">
        <v>22786</v>
      </c>
      <c r="HQ48" s="71">
        <v>40477</v>
      </c>
      <c r="HR48" s="71">
        <v>7806</v>
      </c>
      <c r="HS48" s="71">
        <v>55276</v>
      </c>
      <c r="HT48" s="71">
        <v>0</v>
      </c>
      <c r="HU48" s="71">
        <v>272664</v>
      </c>
      <c r="HV48" s="71">
        <v>2628</v>
      </c>
      <c r="HW48" s="71">
        <v>726</v>
      </c>
      <c r="HX48" s="71">
        <v>24248</v>
      </c>
      <c r="HY48" s="71">
        <v>0</v>
      </c>
      <c r="HZ48" s="71">
        <v>71245</v>
      </c>
      <c r="IA48" s="71">
        <v>0</v>
      </c>
      <c r="IB48" s="71">
        <v>28655</v>
      </c>
      <c r="IC48" s="71">
        <v>6848</v>
      </c>
      <c r="ID48" s="71">
        <v>29354</v>
      </c>
      <c r="IE48" s="71">
        <v>46973</v>
      </c>
      <c r="IF48" s="71">
        <v>20201</v>
      </c>
      <c r="IG48" s="71">
        <v>171</v>
      </c>
      <c r="IH48" s="71">
        <v>2958</v>
      </c>
      <c r="II48" s="71">
        <v>4185</v>
      </c>
      <c r="IJ48" s="71">
        <v>15111</v>
      </c>
      <c r="IK48" s="71">
        <v>0</v>
      </c>
      <c r="IL48" s="71">
        <v>4244</v>
      </c>
      <c r="IM48" s="71">
        <v>881</v>
      </c>
      <c r="IN48" s="71">
        <v>815508</v>
      </c>
      <c r="IO48" s="71">
        <v>22874</v>
      </c>
      <c r="IP48" s="71">
        <v>87598</v>
      </c>
      <c r="IQ48" s="71">
        <v>0</v>
      </c>
      <c r="IR48" s="71">
        <v>187005</v>
      </c>
      <c r="IS48" s="71">
        <v>0</v>
      </c>
      <c r="IT48" s="71">
        <v>32726</v>
      </c>
      <c r="IU48" s="71">
        <v>93271</v>
      </c>
      <c r="IV48" s="71">
        <v>11211</v>
      </c>
      <c r="IW48" s="71">
        <v>79390</v>
      </c>
      <c r="IX48" s="71">
        <v>0</v>
      </c>
      <c r="IY48" s="71">
        <v>587150</v>
      </c>
      <c r="IZ48" s="71">
        <v>27450</v>
      </c>
      <c r="JA48" s="71">
        <v>7585</v>
      </c>
      <c r="JB48" s="71">
        <v>73744</v>
      </c>
      <c r="JC48" s="71">
        <v>0</v>
      </c>
      <c r="JD48" s="71">
        <v>216675</v>
      </c>
      <c r="JE48" s="71">
        <v>0</v>
      </c>
      <c r="JF48" s="71">
        <v>87148</v>
      </c>
      <c r="JG48" s="71">
        <v>71515</v>
      </c>
      <c r="JH48" s="71">
        <v>78156</v>
      </c>
      <c r="JI48" s="71">
        <v>125070</v>
      </c>
      <c r="JJ48" s="71">
        <v>29014</v>
      </c>
      <c r="JK48" s="71">
        <v>408</v>
      </c>
      <c r="JL48" s="71">
        <v>6816</v>
      </c>
      <c r="JM48" s="71">
        <v>43703</v>
      </c>
      <c r="JN48" s="71">
        <v>34821</v>
      </c>
      <c r="JO48" s="71">
        <v>0</v>
      </c>
      <c r="JP48" s="71">
        <v>10137</v>
      </c>
      <c r="JQ48" s="71">
        <v>2104</v>
      </c>
      <c r="JR48" s="71">
        <v>1915570</v>
      </c>
      <c r="JS48" s="71">
        <v>62432</v>
      </c>
      <c r="JT48" s="71">
        <v>239064</v>
      </c>
      <c r="JU48" s="71">
        <v>0</v>
      </c>
      <c r="JV48" s="71">
        <v>504997</v>
      </c>
      <c r="JW48" s="71">
        <v>0</v>
      </c>
      <c r="JX48" s="71">
        <v>89313</v>
      </c>
      <c r="JY48" s="71">
        <v>251874</v>
      </c>
      <c r="JZ48" s="71">
        <v>30597</v>
      </c>
      <c r="KA48" s="71">
        <v>216666</v>
      </c>
      <c r="KB48" s="71">
        <v>0</v>
      </c>
      <c r="KC48" s="71">
        <v>1251731</v>
      </c>
      <c r="KD48" s="71">
        <v>150920</v>
      </c>
      <c r="KE48" s="71">
        <v>41701</v>
      </c>
      <c r="KF48" s="71">
        <v>250119</v>
      </c>
      <c r="KG48" s="71">
        <v>0</v>
      </c>
      <c r="KH48" s="71">
        <v>734903</v>
      </c>
      <c r="KI48" s="71">
        <v>0</v>
      </c>
      <c r="KJ48" s="71">
        <v>295583</v>
      </c>
      <c r="KK48" s="71">
        <v>393189</v>
      </c>
      <c r="KL48" s="71">
        <v>192337</v>
      </c>
      <c r="KM48" s="71">
        <v>307790</v>
      </c>
      <c r="KN48" s="71">
        <v>79184</v>
      </c>
      <c r="KO48" s="71">
        <v>408</v>
      </c>
      <c r="KP48" s="71">
        <v>18408</v>
      </c>
      <c r="KQ48" s="71">
        <v>240281</v>
      </c>
      <c r="KR48" s="71">
        <v>94033</v>
      </c>
      <c r="KS48" s="71">
        <v>0</v>
      </c>
      <c r="KT48" s="71">
        <v>10178</v>
      </c>
      <c r="KU48" s="71">
        <v>2112</v>
      </c>
      <c r="KV48" s="71">
        <v>5457819</v>
      </c>
      <c r="KW48" s="71" t="s">
        <v>1070</v>
      </c>
      <c r="KX48" s="71">
        <v>12484222</v>
      </c>
      <c r="KY48" s="71">
        <v>3095354</v>
      </c>
      <c r="KZ48" s="71">
        <v>15579576</v>
      </c>
      <c r="LA48" s="71">
        <v>0</v>
      </c>
      <c r="LB48" s="71">
        <v>789670</v>
      </c>
    </row>
    <row r="49" spans="1:314" x14ac:dyDescent="0.25">
      <c r="A49" s="71" t="s">
        <v>426</v>
      </c>
      <c r="B49" s="71" t="s">
        <v>1269</v>
      </c>
      <c r="C49" s="160" t="s">
        <v>1345</v>
      </c>
      <c r="D49" s="71" t="s">
        <v>1355</v>
      </c>
      <c r="E49" s="2">
        <v>41277.607361111113</v>
      </c>
      <c r="F49" s="71"/>
      <c r="G49" s="71" t="s">
        <v>427</v>
      </c>
      <c r="H49" s="71" t="s">
        <v>1270</v>
      </c>
      <c r="I49" s="71" t="s">
        <v>1078</v>
      </c>
      <c r="J49" s="71" t="s">
        <v>1271</v>
      </c>
      <c r="K49" s="71" t="s">
        <v>1272</v>
      </c>
      <c r="L49" s="71">
        <v>0</v>
      </c>
      <c r="M49" s="71">
        <v>0</v>
      </c>
      <c r="N49" s="71">
        <v>0</v>
      </c>
      <c r="O49" s="71">
        <v>15219777</v>
      </c>
      <c r="P49" s="71">
        <v>0</v>
      </c>
      <c r="Q49" s="71">
        <v>610019</v>
      </c>
      <c r="R49" s="71">
        <v>0</v>
      </c>
      <c r="S49" s="71">
        <v>610019</v>
      </c>
      <c r="T49" s="71">
        <v>1148224</v>
      </c>
      <c r="U49" s="71">
        <v>1161171</v>
      </c>
      <c r="V49" s="71">
        <v>1496791</v>
      </c>
      <c r="W49" s="71">
        <v>0</v>
      </c>
      <c r="X49" s="71">
        <v>0</v>
      </c>
      <c r="Y49" s="71">
        <v>0</v>
      </c>
      <c r="Z49" s="71">
        <v>3806186</v>
      </c>
      <c r="AA49" s="71">
        <v>1374081</v>
      </c>
      <c r="AB49" s="71">
        <v>172579</v>
      </c>
      <c r="AC49" s="71">
        <v>788073</v>
      </c>
      <c r="AD49" s="71">
        <v>0</v>
      </c>
      <c r="AE49" s="71">
        <v>0</v>
      </c>
      <c r="AF49" s="71">
        <v>80645</v>
      </c>
      <c r="AG49" s="71">
        <v>2415378</v>
      </c>
      <c r="AH49" s="71">
        <v>2522305</v>
      </c>
      <c r="AI49" s="71">
        <v>1333750</v>
      </c>
      <c r="AJ49" s="71">
        <v>2284864</v>
      </c>
      <c r="AK49" s="71">
        <v>0</v>
      </c>
      <c r="AL49" s="71">
        <v>0</v>
      </c>
      <c r="AM49" s="71">
        <v>80645</v>
      </c>
      <c r="AN49" s="71">
        <v>6221564</v>
      </c>
      <c r="AO49" s="71">
        <v>92304</v>
      </c>
      <c r="AP49" s="71">
        <v>0</v>
      </c>
      <c r="AQ49" s="71">
        <v>0</v>
      </c>
      <c r="AR49" s="71">
        <v>0</v>
      </c>
      <c r="AS49" s="71">
        <v>92304</v>
      </c>
      <c r="AT49" s="71">
        <v>51234</v>
      </c>
      <c r="AU49" s="71">
        <v>0</v>
      </c>
      <c r="AV49" s="71">
        <v>0</v>
      </c>
      <c r="AW49" s="71">
        <v>0</v>
      </c>
      <c r="AX49" s="71">
        <v>51234</v>
      </c>
      <c r="AY49" s="71">
        <v>143538</v>
      </c>
      <c r="AZ49" s="71">
        <v>0</v>
      </c>
      <c r="BA49" s="71">
        <v>0</v>
      </c>
      <c r="BB49" s="71">
        <v>0</v>
      </c>
      <c r="BC49" s="71">
        <v>143538</v>
      </c>
      <c r="BD49" s="71">
        <v>733790</v>
      </c>
      <c r="BE49" s="71">
        <v>0</v>
      </c>
      <c r="BF49" s="71">
        <v>0</v>
      </c>
      <c r="BG49" s="71">
        <v>0</v>
      </c>
      <c r="BH49" s="71">
        <v>0</v>
      </c>
      <c r="BI49" s="71">
        <v>733790</v>
      </c>
      <c r="BJ49" s="71">
        <v>0</v>
      </c>
      <c r="BK49" s="71">
        <v>0</v>
      </c>
      <c r="BL49" s="71">
        <v>109546</v>
      </c>
      <c r="BM49" s="71">
        <v>0</v>
      </c>
      <c r="BN49" s="71">
        <v>0</v>
      </c>
      <c r="BO49" s="71">
        <v>109546</v>
      </c>
      <c r="BP49" s="71">
        <v>1352232</v>
      </c>
      <c r="BQ49" s="71">
        <v>63134</v>
      </c>
      <c r="BR49" s="71">
        <v>0</v>
      </c>
      <c r="BS49" s="71">
        <v>0</v>
      </c>
      <c r="BT49" s="71">
        <v>542722</v>
      </c>
      <c r="BU49" s="71">
        <v>1958088</v>
      </c>
      <c r="BV49" s="71">
        <v>2086022</v>
      </c>
      <c r="BW49" s="71">
        <v>63134</v>
      </c>
      <c r="BX49" s="71">
        <v>109546</v>
      </c>
      <c r="BY49" s="71">
        <v>0</v>
      </c>
      <c r="BZ49" s="71">
        <v>542722</v>
      </c>
      <c r="CA49" s="71">
        <v>2801424</v>
      </c>
      <c r="CB49" s="71">
        <v>0</v>
      </c>
      <c r="CC49" s="71">
        <v>0</v>
      </c>
      <c r="CD49" s="71">
        <v>0</v>
      </c>
      <c r="CE49" s="71">
        <v>0</v>
      </c>
      <c r="CF49" s="71">
        <v>0</v>
      </c>
      <c r="CG49" s="71">
        <v>0</v>
      </c>
      <c r="CH49" s="71">
        <v>0</v>
      </c>
      <c r="CI49" s="71">
        <v>0</v>
      </c>
      <c r="CJ49" s="71">
        <v>0</v>
      </c>
      <c r="CK49" s="71">
        <v>0</v>
      </c>
      <c r="CL49" s="71">
        <v>0</v>
      </c>
      <c r="CM49" s="71">
        <v>0</v>
      </c>
      <c r="CN49" s="71">
        <v>0</v>
      </c>
      <c r="CO49" s="71">
        <v>0</v>
      </c>
      <c r="CP49" s="71">
        <v>0</v>
      </c>
      <c r="CQ49" s="71">
        <v>0</v>
      </c>
      <c r="CR49" s="71" t="s">
        <v>426</v>
      </c>
      <c r="CS49" s="71">
        <v>758018</v>
      </c>
      <c r="CT49" s="71">
        <v>0</v>
      </c>
      <c r="CU49" s="71">
        <v>9952</v>
      </c>
      <c r="CV49" s="71">
        <v>34816</v>
      </c>
      <c r="CW49" s="71">
        <v>126816</v>
      </c>
      <c r="CX49" s="71">
        <v>42894</v>
      </c>
      <c r="CY49" s="71">
        <v>0</v>
      </c>
      <c r="CZ49" s="71">
        <v>0</v>
      </c>
      <c r="DA49" s="71">
        <v>73576</v>
      </c>
      <c r="DB49" s="71">
        <v>4752</v>
      </c>
      <c r="DC49" s="71">
        <v>78621</v>
      </c>
      <c r="DD49" s="71">
        <v>0</v>
      </c>
      <c r="DE49" s="71">
        <v>25859</v>
      </c>
      <c r="DF49" s="71">
        <v>157776</v>
      </c>
      <c r="DG49" s="71">
        <v>19828</v>
      </c>
      <c r="DH49" s="71">
        <v>149135</v>
      </c>
      <c r="DI49" s="71">
        <v>0</v>
      </c>
      <c r="DJ49" s="71">
        <v>128895</v>
      </c>
      <c r="DK49" s="71">
        <v>0</v>
      </c>
      <c r="DL49" s="71">
        <v>238608</v>
      </c>
      <c r="DM49" s="71">
        <v>54288</v>
      </c>
      <c r="DN49" s="71">
        <v>10112</v>
      </c>
      <c r="DO49" s="71">
        <v>0</v>
      </c>
      <c r="DP49" s="71">
        <v>3680</v>
      </c>
      <c r="DQ49" s="71">
        <v>29160</v>
      </c>
      <c r="DR49" s="71">
        <v>106761</v>
      </c>
      <c r="DS49" s="71">
        <v>236688</v>
      </c>
      <c r="DT49" s="71">
        <v>41488</v>
      </c>
      <c r="DU49" s="71">
        <v>0</v>
      </c>
      <c r="DV49" s="71">
        <v>55776</v>
      </c>
      <c r="DW49" s="71">
        <v>27792</v>
      </c>
      <c r="DX49" s="71">
        <v>1657273</v>
      </c>
      <c r="DY49" s="71">
        <v>45531</v>
      </c>
      <c r="DZ49" s="71">
        <v>81097</v>
      </c>
      <c r="EA49" s="71">
        <v>188052</v>
      </c>
      <c r="EB49" s="71">
        <v>90130</v>
      </c>
      <c r="EC49" s="71">
        <v>0</v>
      </c>
      <c r="ED49" s="71">
        <v>0</v>
      </c>
      <c r="EE49" s="71">
        <v>142819</v>
      </c>
      <c r="EF49" s="71">
        <v>6557</v>
      </c>
      <c r="EG49" s="71">
        <v>226458</v>
      </c>
      <c r="EH49" s="71">
        <v>0</v>
      </c>
      <c r="EI49" s="71">
        <v>35680</v>
      </c>
      <c r="EJ49" s="71">
        <v>376823</v>
      </c>
      <c r="EK49" s="71">
        <v>45249</v>
      </c>
      <c r="EL49" s="71">
        <v>390924</v>
      </c>
      <c r="EM49" s="71">
        <v>0</v>
      </c>
      <c r="EN49" s="71">
        <v>265285</v>
      </c>
      <c r="EO49" s="71">
        <v>0</v>
      </c>
      <c r="EP49" s="71">
        <v>607806</v>
      </c>
      <c r="EQ49" s="71">
        <v>196316</v>
      </c>
      <c r="ER49" s="71">
        <v>37404</v>
      </c>
      <c r="ES49" s="71">
        <v>0</v>
      </c>
      <c r="ET49" s="71">
        <v>59742</v>
      </c>
      <c r="EU49" s="71">
        <v>75181</v>
      </c>
      <c r="EV49" s="71">
        <v>220876</v>
      </c>
      <c r="EW49" s="71">
        <v>477125</v>
      </c>
      <c r="EX49" s="71">
        <v>45249</v>
      </c>
      <c r="EY49" s="71">
        <v>0</v>
      </c>
      <c r="EZ49" s="71">
        <v>76955</v>
      </c>
      <c r="FA49" s="71">
        <v>39317</v>
      </c>
      <c r="FB49" s="71">
        <v>3730576</v>
      </c>
      <c r="FC49" s="71">
        <v>1780</v>
      </c>
      <c r="FD49" s="71">
        <v>35370</v>
      </c>
      <c r="FE49" s="71">
        <v>102339</v>
      </c>
      <c r="FF49" s="71">
        <v>22535</v>
      </c>
      <c r="FG49" s="71">
        <v>0</v>
      </c>
      <c r="FH49" s="71">
        <v>0</v>
      </c>
      <c r="FI49" s="71">
        <v>60800</v>
      </c>
      <c r="FJ49" s="71">
        <v>2360</v>
      </c>
      <c r="FK49" s="71">
        <v>25259</v>
      </c>
      <c r="FL49" s="71">
        <v>0</v>
      </c>
      <c r="FM49" s="71">
        <v>12845</v>
      </c>
      <c r="FN49" s="71">
        <v>126875</v>
      </c>
      <c r="FO49" s="71">
        <v>10800</v>
      </c>
      <c r="FP49" s="71">
        <v>84303</v>
      </c>
      <c r="FQ49" s="71">
        <v>0</v>
      </c>
      <c r="FR49" s="71">
        <v>75153</v>
      </c>
      <c r="FS49" s="71">
        <v>0</v>
      </c>
      <c r="FT49" s="71">
        <v>153076</v>
      </c>
      <c r="FU49" s="71">
        <v>44200</v>
      </c>
      <c r="FV49" s="71">
        <v>3660</v>
      </c>
      <c r="FW49" s="71">
        <v>0</v>
      </c>
      <c r="FX49" s="71">
        <v>19990</v>
      </c>
      <c r="FY49" s="71">
        <v>5200</v>
      </c>
      <c r="FZ49" s="71">
        <v>79736</v>
      </c>
      <c r="GA49" s="71">
        <v>203525</v>
      </c>
      <c r="GB49" s="71">
        <v>55210</v>
      </c>
      <c r="GC49" s="71">
        <v>0</v>
      </c>
      <c r="GD49" s="71">
        <v>60000</v>
      </c>
      <c r="GE49" s="71">
        <v>40500</v>
      </c>
      <c r="GF49" s="71">
        <v>1225516</v>
      </c>
      <c r="GG49" s="71">
        <v>7236</v>
      </c>
      <c r="GH49" s="71">
        <v>17813</v>
      </c>
      <c r="GI49" s="71">
        <v>44414</v>
      </c>
      <c r="GJ49" s="71">
        <v>17232</v>
      </c>
      <c r="GK49" s="71">
        <v>0</v>
      </c>
      <c r="GL49" s="71">
        <v>0</v>
      </c>
      <c r="GM49" s="71">
        <v>31143</v>
      </c>
      <c r="GN49" s="71">
        <v>1364</v>
      </c>
      <c r="GO49" s="71">
        <v>38499</v>
      </c>
      <c r="GP49" s="71">
        <v>0</v>
      </c>
      <c r="GQ49" s="71">
        <v>7422</v>
      </c>
      <c r="GR49" s="71">
        <v>77039</v>
      </c>
      <c r="GS49" s="71">
        <v>8573</v>
      </c>
      <c r="GT49" s="71">
        <v>72684</v>
      </c>
      <c r="GU49" s="71">
        <v>0</v>
      </c>
      <c r="GV49" s="71">
        <v>52069</v>
      </c>
      <c r="GW49" s="71">
        <v>0</v>
      </c>
      <c r="GX49" s="71">
        <v>116374</v>
      </c>
      <c r="GY49" s="71">
        <v>36786</v>
      </c>
      <c r="GZ49" s="71">
        <v>6281</v>
      </c>
      <c r="HA49" s="71">
        <v>0</v>
      </c>
      <c r="HB49" s="71">
        <v>12195</v>
      </c>
      <c r="HC49" s="71">
        <v>12294</v>
      </c>
      <c r="HD49" s="71">
        <v>45978</v>
      </c>
      <c r="HE49" s="71">
        <v>104103</v>
      </c>
      <c r="HF49" s="71">
        <v>15365</v>
      </c>
      <c r="HG49" s="71">
        <v>0</v>
      </c>
      <c r="HH49" s="71">
        <v>20947</v>
      </c>
      <c r="HI49" s="71">
        <v>12208</v>
      </c>
      <c r="HJ49" s="71">
        <v>758018</v>
      </c>
      <c r="HK49" s="71">
        <v>730</v>
      </c>
      <c r="HL49" s="71">
        <v>30824</v>
      </c>
      <c r="HM49" s="71">
        <v>30137</v>
      </c>
      <c r="HN49" s="71">
        <v>13302</v>
      </c>
      <c r="HO49" s="71">
        <v>0</v>
      </c>
      <c r="HP49" s="71">
        <v>0</v>
      </c>
      <c r="HQ49" s="71">
        <v>12626</v>
      </c>
      <c r="HR49" s="71">
        <v>1537</v>
      </c>
      <c r="HS49" s="71">
        <v>31796</v>
      </c>
      <c r="HT49" s="71">
        <v>0</v>
      </c>
      <c r="HU49" s="71">
        <v>8361</v>
      </c>
      <c r="HV49" s="71">
        <v>14792</v>
      </c>
      <c r="HW49" s="71">
        <v>317</v>
      </c>
      <c r="HX49" s="71">
        <v>43110</v>
      </c>
      <c r="HY49" s="71">
        <v>0</v>
      </c>
      <c r="HZ49" s="71">
        <v>29059</v>
      </c>
      <c r="IA49" s="71">
        <v>0</v>
      </c>
      <c r="IB49" s="71">
        <v>31443</v>
      </c>
      <c r="IC49" s="71">
        <v>3905</v>
      </c>
      <c r="ID49" s="71">
        <v>4259</v>
      </c>
      <c r="IE49" s="71">
        <v>0</v>
      </c>
      <c r="IF49" s="71">
        <v>10268</v>
      </c>
      <c r="IG49" s="71">
        <v>4639</v>
      </c>
      <c r="IH49" s="71">
        <v>56313</v>
      </c>
      <c r="II49" s="71">
        <v>8594</v>
      </c>
      <c r="IJ49" s="71">
        <v>9907</v>
      </c>
      <c r="IK49" s="71">
        <v>0</v>
      </c>
      <c r="IL49" s="71">
        <v>4090</v>
      </c>
      <c r="IM49" s="71">
        <v>2480</v>
      </c>
      <c r="IN49" s="71">
        <v>352489</v>
      </c>
      <c r="IO49" s="71">
        <v>9746</v>
      </c>
      <c r="IP49" s="71">
        <v>84007</v>
      </c>
      <c r="IQ49" s="71">
        <v>176890</v>
      </c>
      <c r="IR49" s="71">
        <v>53069</v>
      </c>
      <c r="IS49" s="71">
        <v>0</v>
      </c>
      <c r="IT49" s="71">
        <v>0</v>
      </c>
      <c r="IU49" s="71">
        <v>104569</v>
      </c>
      <c r="IV49" s="71">
        <v>5261</v>
      </c>
      <c r="IW49" s="71">
        <v>95554</v>
      </c>
      <c r="IX49" s="71">
        <v>0</v>
      </c>
      <c r="IY49" s="71">
        <v>28628</v>
      </c>
      <c r="IZ49" s="71">
        <v>218706</v>
      </c>
      <c r="JA49" s="71">
        <v>19690</v>
      </c>
      <c r="JB49" s="71">
        <v>200097</v>
      </c>
      <c r="JC49" s="71">
        <v>0</v>
      </c>
      <c r="JD49" s="71">
        <v>156281</v>
      </c>
      <c r="JE49" s="71">
        <v>0</v>
      </c>
      <c r="JF49" s="71">
        <v>300893</v>
      </c>
      <c r="JG49" s="71">
        <v>84891</v>
      </c>
      <c r="JH49" s="71">
        <v>14200</v>
      </c>
      <c r="JI49" s="71">
        <v>0</v>
      </c>
      <c r="JJ49" s="71">
        <v>42453</v>
      </c>
      <c r="JK49" s="71">
        <v>22133</v>
      </c>
      <c r="JL49" s="71">
        <v>182027</v>
      </c>
      <c r="JM49" s="71">
        <v>316222</v>
      </c>
      <c r="JN49" s="71">
        <v>80482</v>
      </c>
      <c r="JO49" s="71">
        <v>0</v>
      </c>
      <c r="JP49" s="71">
        <v>85037</v>
      </c>
      <c r="JQ49" s="71">
        <v>55188</v>
      </c>
      <c r="JR49" s="71">
        <v>2336023</v>
      </c>
      <c r="JS49" s="71">
        <v>55277</v>
      </c>
      <c r="JT49" s="71">
        <v>165104</v>
      </c>
      <c r="JU49" s="71">
        <v>364942</v>
      </c>
      <c r="JV49" s="71">
        <v>143199</v>
      </c>
      <c r="JW49" s="71">
        <v>0</v>
      </c>
      <c r="JX49" s="71">
        <v>0</v>
      </c>
      <c r="JY49" s="71">
        <v>247388</v>
      </c>
      <c r="JZ49" s="71">
        <v>11818</v>
      </c>
      <c r="KA49" s="71">
        <v>322012</v>
      </c>
      <c r="KB49" s="71">
        <v>0</v>
      </c>
      <c r="KC49" s="71">
        <v>64308</v>
      </c>
      <c r="KD49" s="71">
        <v>595529</v>
      </c>
      <c r="KE49" s="71">
        <v>64939</v>
      </c>
      <c r="KF49" s="71">
        <v>591021</v>
      </c>
      <c r="KG49" s="71">
        <v>0</v>
      </c>
      <c r="KH49" s="71">
        <v>421566</v>
      </c>
      <c r="KI49" s="71">
        <v>0</v>
      </c>
      <c r="KJ49" s="71">
        <v>908699</v>
      </c>
      <c r="KK49" s="71">
        <v>281207</v>
      </c>
      <c r="KL49" s="71">
        <v>51604</v>
      </c>
      <c r="KM49" s="71">
        <v>0</v>
      </c>
      <c r="KN49" s="71">
        <v>102195</v>
      </c>
      <c r="KO49" s="71">
        <v>97314</v>
      </c>
      <c r="KP49" s="71">
        <v>402903</v>
      </c>
      <c r="KQ49" s="71">
        <v>793347</v>
      </c>
      <c r="KR49" s="71">
        <v>125731</v>
      </c>
      <c r="KS49" s="71">
        <v>0</v>
      </c>
      <c r="KT49" s="71">
        <v>161992</v>
      </c>
      <c r="KU49" s="71">
        <v>94505</v>
      </c>
      <c r="KV49" s="71">
        <v>6066599</v>
      </c>
      <c r="KW49" s="71" t="s">
        <v>1070</v>
      </c>
      <c r="KX49" s="71">
        <v>12898182</v>
      </c>
      <c r="KY49" s="71">
        <v>2944962</v>
      </c>
      <c r="KZ49" s="71">
        <v>15843144</v>
      </c>
      <c r="LA49" s="71">
        <v>0</v>
      </c>
      <c r="LB49" s="71">
        <v>623367</v>
      </c>
    </row>
    <row r="50" spans="1:314" x14ac:dyDescent="0.25">
      <c r="A50" s="71" t="s">
        <v>428</v>
      </c>
      <c r="B50" s="71" t="s">
        <v>1273</v>
      </c>
      <c r="C50" s="160" t="s">
        <v>1345</v>
      </c>
      <c r="D50" s="71" t="s">
        <v>1428</v>
      </c>
      <c r="E50" s="2">
        <v>41305.727395833332</v>
      </c>
      <c r="F50" s="71"/>
      <c r="G50" s="71" t="s">
        <v>1274</v>
      </c>
      <c r="H50" s="71" t="s">
        <v>1275</v>
      </c>
      <c r="I50" s="71" t="s">
        <v>1276</v>
      </c>
      <c r="J50" s="71" t="s">
        <v>1277</v>
      </c>
      <c r="K50" s="71" t="s">
        <v>1278</v>
      </c>
      <c r="L50" s="71">
        <v>0</v>
      </c>
      <c r="M50" s="71">
        <v>0</v>
      </c>
      <c r="N50" s="71">
        <v>0</v>
      </c>
      <c r="O50" s="71">
        <v>106551175</v>
      </c>
      <c r="P50" s="71">
        <v>0</v>
      </c>
      <c r="Q50" s="71">
        <v>3836646</v>
      </c>
      <c r="R50" s="71">
        <v>0</v>
      </c>
      <c r="S50" s="71">
        <v>3836646</v>
      </c>
      <c r="T50" s="71">
        <v>11800746</v>
      </c>
      <c r="U50" s="71">
        <v>6792355</v>
      </c>
      <c r="V50" s="71">
        <v>11962271</v>
      </c>
      <c r="W50" s="71">
        <v>29208</v>
      </c>
      <c r="X50" s="71">
        <v>0</v>
      </c>
      <c r="Y50" s="71">
        <v>0</v>
      </c>
      <c r="Z50" s="71">
        <v>30584580</v>
      </c>
      <c r="AA50" s="71">
        <v>5719316</v>
      </c>
      <c r="AB50" s="71">
        <v>779702</v>
      </c>
      <c r="AC50" s="71">
        <v>1951550</v>
      </c>
      <c r="AD50" s="71">
        <v>14481</v>
      </c>
      <c r="AE50" s="71">
        <v>2023145</v>
      </c>
      <c r="AF50" s="71">
        <v>1086178</v>
      </c>
      <c r="AG50" s="71">
        <v>11574372</v>
      </c>
      <c r="AH50" s="71">
        <v>17520062</v>
      </c>
      <c r="AI50" s="71">
        <v>7572057</v>
      </c>
      <c r="AJ50" s="71">
        <v>13913821</v>
      </c>
      <c r="AK50" s="71">
        <v>43689</v>
      </c>
      <c r="AL50" s="71">
        <v>2023145</v>
      </c>
      <c r="AM50" s="71">
        <v>1086178</v>
      </c>
      <c r="AN50" s="71">
        <v>42158952</v>
      </c>
      <c r="AO50" s="71">
        <v>3312712</v>
      </c>
      <c r="AP50" s="71">
        <v>0</v>
      </c>
      <c r="AQ50" s="71">
        <v>0</v>
      </c>
      <c r="AR50" s="71">
        <v>0</v>
      </c>
      <c r="AS50" s="71">
        <v>3312712</v>
      </c>
      <c r="AT50" s="71">
        <v>1193585</v>
      </c>
      <c r="AU50" s="71">
        <v>0</v>
      </c>
      <c r="AV50" s="71">
        <v>0</v>
      </c>
      <c r="AW50" s="71">
        <v>0</v>
      </c>
      <c r="AX50" s="71">
        <v>1193585</v>
      </c>
      <c r="AY50" s="71">
        <v>4506297</v>
      </c>
      <c r="AZ50" s="71">
        <v>0</v>
      </c>
      <c r="BA50" s="71">
        <v>0</v>
      </c>
      <c r="BB50" s="71">
        <v>0</v>
      </c>
      <c r="BC50" s="71">
        <v>4506297</v>
      </c>
      <c r="BD50" s="71">
        <v>2167710</v>
      </c>
      <c r="BE50" s="71">
        <v>0</v>
      </c>
      <c r="BF50" s="71">
        <v>0</v>
      </c>
      <c r="BG50" s="71">
        <v>0</v>
      </c>
      <c r="BH50" s="71">
        <v>0</v>
      </c>
      <c r="BI50" s="71">
        <v>2167710</v>
      </c>
      <c r="BJ50" s="71">
        <v>0</v>
      </c>
      <c r="BK50" s="71">
        <v>0</v>
      </c>
      <c r="BL50" s="71">
        <v>446538</v>
      </c>
      <c r="BM50" s="71">
        <v>0</v>
      </c>
      <c r="BN50" s="71">
        <v>0</v>
      </c>
      <c r="BO50" s="71">
        <v>446538</v>
      </c>
      <c r="BP50" s="71">
        <v>6940398</v>
      </c>
      <c r="BQ50" s="71">
        <v>0</v>
      </c>
      <c r="BR50" s="71">
        <v>0</v>
      </c>
      <c r="BS50" s="71">
        <v>0</v>
      </c>
      <c r="BT50" s="71">
        <v>0</v>
      </c>
      <c r="BU50" s="71">
        <v>6940398</v>
      </c>
      <c r="BV50" s="71">
        <v>9108108</v>
      </c>
      <c r="BW50" s="71">
        <v>0</v>
      </c>
      <c r="BX50" s="71">
        <v>446538</v>
      </c>
      <c r="BY50" s="71">
        <v>0</v>
      </c>
      <c r="BZ50" s="71">
        <v>0</v>
      </c>
      <c r="CA50" s="71">
        <v>9554646</v>
      </c>
      <c r="CB50" s="71">
        <v>0</v>
      </c>
      <c r="CC50" s="71">
        <v>0</v>
      </c>
      <c r="CD50" s="71">
        <v>0</v>
      </c>
      <c r="CE50" s="71">
        <v>0</v>
      </c>
      <c r="CF50" s="71">
        <v>0</v>
      </c>
      <c r="CG50" s="71">
        <v>0</v>
      </c>
      <c r="CH50" s="71">
        <v>0</v>
      </c>
      <c r="CI50" s="71">
        <v>0</v>
      </c>
      <c r="CJ50" s="71">
        <v>0</v>
      </c>
      <c r="CK50" s="71">
        <v>0</v>
      </c>
      <c r="CL50" s="71">
        <v>0</v>
      </c>
      <c r="CM50" s="71">
        <v>0</v>
      </c>
      <c r="CN50" s="71">
        <v>0</v>
      </c>
      <c r="CO50" s="71">
        <v>0</v>
      </c>
      <c r="CP50" s="71">
        <v>0</v>
      </c>
      <c r="CQ50" s="71">
        <v>0</v>
      </c>
      <c r="CR50" s="71" t="s">
        <v>428</v>
      </c>
      <c r="CS50" s="71">
        <v>4579608</v>
      </c>
      <c r="CT50" s="71">
        <v>0</v>
      </c>
      <c r="CU50" s="71">
        <v>6000</v>
      </c>
      <c r="CV50" s="71">
        <v>93584</v>
      </c>
      <c r="CW50" s="71">
        <v>1708416</v>
      </c>
      <c r="CX50" s="71">
        <v>433338</v>
      </c>
      <c r="CY50" s="71">
        <v>0</v>
      </c>
      <c r="CZ50" s="71">
        <v>150358</v>
      </c>
      <c r="DA50" s="71">
        <v>370352</v>
      </c>
      <c r="DB50" s="71">
        <v>62352</v>
      </c>
      <c r="DC50" s="71">
        <v>406493</v>
      </c>
      <c r="DD50" s="71">
        <v>43088</v>
      </c>
      <c r="DE50" s="71">
        <v>180166</v>
      </c>
      <c r="DF50" s="71">
        <v>1450184</v>
      </c>
      <c r="DG50" s="71">
        <v>204088</v>
      </c>
      <c r="DH50" s="71">
        <v>295552</v>
      </c>
      <c r="DI50" s="71">
        <v>22472</v>
      </c>
      <c r="DJ50" s="71">
        <v>398070</v>
      </c>
      <c r="DK50" s="71">
        <v>34704</v>
      </c>
      <c r="DL50" s="71">
        <v>80824</v>
      </c>
      <c r="DM50" s="71">
        <v>746208</v>
      </c>
      <c r="DN50" s="71">
        <v>130658</v>
      </c>
      <c r="DO50" s="71">
        <v>34392</v>
      </c>
      <c r="DP50" s="71">
        <v>12268</v>
      </c>
      <c r="DQ50" s="71">
        <v>32352</v>
      </c>
      <c r="DR50" s="71">
        <v>433304</v>
      </c>
      <c r="DS50" s="71">
        <v>2468400</v>
      </c>
      <c r="DT50" s="71">
        <v>455040</v>
      </c>
      <c r="DU50" s="71">
        <v>0</v>
      </c>
      <c r="DV50" s="71">
        <v>600464</v>
      </c>
      <c r="DW50" s="71">
        <v>1175952</v>
      </c>
      <c r="DX50" s="71">
        <v>12029079</v>
      </c>
      <c r="DY50" s="71">
        <v>5692</v>
      </c>
      <c r="DZ50" s="71">
        <v>174224</v>
      </c>
      <c r="EA50" s="71">
        <v>3872355</v>
      </c>
      <c r="EB50" s="71">
        <v>1649388</v>
      </c>
      <c r="EC50" s="71">
        <v>0</v>
      </c>
      <c r="ED50" s="71">
        <v>1139773</v>
      </c>
      <c r="EE50" s="71">
        <v>1200570</v>
      </c>
      <c r="EF50" s="71">
        <v>249683</v>
      </c>
      <c r="EG50" s="71">
        <v>1360547</v>
      </c>
      <c r="EH50" s="71">
        <v>133769</v>
      </c>
      <c r="EI50" s="71">
        <v>500269</v>
      </c>
      <c r="EJ50" s="71">
        <v>3857852</v>
      </c>
      <c r="EK50" s="71">
        <v>745004</v>
      </c>
      <c r="EL50" s="71">
        <v>2733742</v>
      </c>
      <c r="EM50" s="71">
        <v>443766</v>
      </c>
      <c r="EN50" s="71">
        <v>2351496</v>
      </c>
      <c r="EO50" s="71">
        <v>358055</v>
      </c>
      <c r="EP50" s="71">
        <v>512454</v>
      </c>
      <c r="EQ50" s="71">
        <v>1910627</v>
      </c>
      <c r="ER50" s="71">
        <v>367981</v>
      </c>
      <c r="ES50" s="71">
        <v>139882</v>
      </c>
      <c r="ET50" s="71">
        <v>79269</v>
      </c>
      <c r="EU50" s="71">
        <v>272263</v>
      </c>
      <c r="EV50" s="71">
        <v>1307917</v>
      </c>
      <c r="EW50" s="71">
        <v>5638706</v>
      </c>
      <c r="EX50" s="71">
        <v>1538918</v>
      </c>
      <c r="EY50" s="71">
        <v>12420</v>
      </c>
      <c r="EZ50" s="71">
        <v>1333035</v>
      </c>
      <c r="FA50" s="71">
        <v>3930852</v>
      </c>
      <c r="FB50" s="71">
        <v>37820509</v>
      </c>
      <c r="FC50" s="71">
        <v>3495</v>
      </c>
      <c r="FD50" s="71">
        <v>85045</v>
      </c>
      <c r="FE50" s="71">
        <v>300189</v>
      </c>
      <c r="FF50" s="71">
        <v>676781</v>
      </c>
      <c r="FG50" s="71">
        <v>0</v>
      </c>
      <c r="FH50" s="71">
        <v>125960</v>
      </c>
      <c r="FI50" s="71">
        <v>29357</v>
      </c>
      <c r="FJ50" s="71">
        <v>61743</v>
      </c>
      <c r="FK50" s="71">
        <v>97106</v>
      </c>
      <c r="FL50" s="71">
        <v>0</v>
      </c>
      <c r="FM50" s="71">
        <v>80613</v>
      </c>
      <c r="FN50" s="71">
        <v>248083</v>
      </c>
      <c r="FO50" s="71">
        <v>40285</v>
      </c>
      <c r="FP50" s="71">
        <v>42882</v>
      </c>
      <c r="FQ50" s="71">
        <v>0</v>
      </c>
      <c r="FR50" s="71">
        <v>39443</v>
      </c>
      <c r="FS50" s="71">
        <v>0</v>
      </c>
      <c r="FT50" s="71">
        <v>0</v>
      </c>
      <c r="FU50" s="71">
        <v>171675</v>
      </c>
      <c r="FV50" s="71">
        <v>77604</v>
      </c>
      <c r="FW50" s="71">
        <v>10143</v>
      </c>
      <c r="FX50" s="71">
        <v>109</v>
      </c>
      <c r="FY50" s="71">
        <v>142366</v>
      </c>
      <c r="FZ50" s="71">
        <v>0</v>
      </c>
      <c r="GA50" s="71">
        <v>1441</v>
      </c>
      <c r="GB50" s="71">
        <v>61487</v>
      </c>
      <c r="GC50" s="71">
        <v>9046</v>
      </c>
      <c r="GD50" s="71">
        <v>55006</v>
      </c>
      <c r="GE50" s="71">
        <v>184176</v>
      </c>
      <c r="GF50" s="71">
        <v>2544035</v>
      </c>
      <c r="GG50" s="71">
        <v>1042</v>
      </c>
      <c r="GH50" s="71">
        <v>29416</v>
      </c>
      <c r="GI50" s="71">
        <v>473401</v>
      </c>
      <c r="GJ50" s="71">
        <v>263918</v>
      </c>
      <c r="GK50" s="71">
        <v>0</v>
      </c>
      <c r="GL50" s="71">
        <v>143605</v>
      </c>
      <c r="GM50" s="71">
        <v>139543</v>
      </c>
      <c r="GN50" s="71">
        <v>35333</v>
      </c>
      <c r="GO50" s="71">
        <v>165380</v>
      </c>
      <c r="GP50" s="71">
        <v>15177</v>
      </c>
      <c r="GQ50" s="71">
        <v>65905</v>
      </c>
      <c r="GR50" s="71">
        <v>465844</v>
      </c>
      <c r="GS50" s="71">
        <v>89096</v>
      </c>
      <c r="GT50" s="71">
        <v>315025</v>
      </c>
      <c r="GU50" s="71">
        <v>50348</v>
      </c>
      <c r="GV50" s="71">
        <v>271267</v>
      </c>
      <c r="GW50" s="71">
        <v>40624</v>
      </c>
      <c r="GX50" s="71">
        <v>58141</v>
      </c>
      <c r="GY50" s="71">
        <v>236250</v>
      </c>
      <c r="GZ50" s="71">
        <v>50554</v>
      </c>
      <c r="HA50" s="71">
        <v>17021</v>
      </c>
      <c r="HB50" s="71">
        <v>9006</v>
      </c>
      <c r="HC50" s="71">
        <v>47042</v>
      </c>
      <c r="HD50" s="71">
        <v>148391</v>
      </c>
      <c r="HE50" s="71">
        <v>639910</v>
      </c>
      <c r="HF50" s="71">
        <v>181576</v>
      </c>
      <c r="HG50" s="71">
        <v>2435</v>
      </c>
      <c r="HH50" s="71">
        <v>157482</v>
      </c>
      <c r="HI50" s="71">
        <v>466875</v>
      </c>
      <c r="HJ50" s="71">
        <v>4579608</v>
      </c>
      <c r="HK50" s="71">
        <v>643</v>
      </c>
      <c r="HL50" s="71">
        <v>49647</v>
      </c>
      <c r="HM50" s="71">
        <v>149314</v>
      </c>
      <c r="HN50" s="71">
        <v>114028</v>
      </c>
      <c r="HO50" s="71">
        <v>0</v>
      </c>
      <c r="HP50" s="71">
        <v>198742</v>
      </c>
      <c r="HQ50" s="71">
        <v>111135</v>
      </c>
      <c r="HR50" s="71">
        <v>20935</v>
      </c>
      <c r="HS50" s="71">
        <v>138433</v>
      </c>
      <c r="HT50" s="71">
        <v>1703</v>
      </c>
      <c r="HU50" s="71">
        <v>24594</v>
      </c>
      <c r="HV50" s="71">
        <v>187202</v>
      </c>
      <c r="HW50" s="71">
        <v>4459</v>
      </c>
      <c r="HX50" s="71">
        <v>544902</v>
      </c>
      <c r="HY50" s="71">
        <v>25410</v>
      </c>
      <c r="HZ50" s="71">
        <v>220904</v>
      </c>
      <c r="IA50" s="71">
        <v>9728</v>
      </c>
      <c r="IB50" s="71">
        <v>27935</v>
      </c>
      <c r="IC50" s="71">
        <v>96995</v>
      </c>
      <c r="ID50" s="71">
        <v>33055</v>
      </c>
      <c r="IE50" s="71">
        <v>261558</v>
      </c>
      <c r="IF50" s="71">
        <v>6997</v>
      </c>
      <c r="IG50" s="71">
        <v>6720</v>
      </c>
      <c r="IH50" s="71">
        <v>166374</v>
      </c>
      <c r="II50" s="71">
        <v>66746</v>
      </c>
      <c r="IJ50" s="71">
        <v>71749</v>
      </c>
      <c r="IK50" s="71">
        <v>33742</v>
      </c>
      <c r="IL50" s="71">
        <v>10848</v>
      </c>
      <c r="IM50" s="71">
        <v>52162</v>
      </c>
      <c r="IN50" s="71">
        <v>2636660</v>
      </c>
      <c r="IO50" s="71">
        <v>5180</v>
      </c>
      <c r="IP50" s="71">
        <v>164108</v>
      </c>
      <c r="IQ50" s="71">
        <v>922904</v>
      </c>
      <c r="IR50" s="71">
        <v>1054727</v>
      </c>
      <c r="IS50" s="71">
        <v>0</v>
      </c>
      <c r="IT50" s="71">
        <v>468307</v>
      </c>
      <c r="IU50" s="71">
        <v>280035</v>
      </c>
      <c r="IV50" s="71">
        <v>118011</v>
      </c>
      <c r="IW50" s="71">
        <v>400919</v>
      </c>
      <c r="IX50" s="71">
        <v>16880</v>
      </c>
      <c r="IY50" s="71">
        <v>171112</v>
      </c>
      <c r="IZ50" s="71">
        <v>901129</v>
      </c>
      <c r="JA50" s="71">
        <v>133840</v>
      </c>
      <c r="JB50" s="71">
        <v>902809</v>
      </c>
      <c r="JC50" s="71">
        <v>75758</v>
      </c>
      <c r="JD50" s="71">
        <v>531614</v>
      </c>
      <c r="JE50" s="71">
        <v>50352</v>
      </c>
      <c r="JF50" s="71">
        <v>86076</v>
      </c>
      <c r="JG50" s="71">
        <v>504920</v>
      </c>
      <c r="JH50" s="71">
        <v>161213</v>
      </c>
      <c r="JI50" s="71">
        <v>288722</v>
      </c>
      <c r="JJ50" s="71">
        <v>16112</v>
      </c>
      <c r="JK50" s="71">
        <v>196128</v>
      </c>
      <c r="JL50" s="71">
        <v>314765</v>
      </c>
      <c r="JM50" s="71">
        <v>708097</v>
      </c>
      <c r="JN50" s="71">
        <v>314812</v>
      </c>
      <c r="JO50" s="71">
        <v>45223</v>
      </c>
      <c r="JP50" s="71">
        <v>223336</v>
      </c>
      <c r="JQ50" s="71">
        <v>703213</v>
      </c>
      <c r="JR50" s="71">
        <v>9760303</v>
      </c>
      <c r="JS50" s="71">
        <v>10872</v>
      </c>
      <c r="JT50" s="71">
        <v>338332</v>
      </c>
      <c r="JU50" s="71">
        <v>4795259</v>
      </c>
      <c r="JV50" s="71">
        <v>2704115</v>
      </c>
      <c r="JW50" s="71">
        <v>0</v>
      </c>
      <c r="JX50" s="71">
        <v>1608080</v>
      </c>
      <c r="JY50" s="71">
        <v>1480605</v>
      </c>
      <c r="JZ50" s="71">
        <v>367694</v>
      </c>
      <c r="KA50" s="71">
        <v>1761466</v>
      </c>
      <c r="KB50" s="71">
        <v>150649</v>
      </c>
      <c r="KC50" s="71">
        <v>671381</v>
      </c>
      <c r="KD50" s="71">
        <v>4758981</v>
      </c>
      <c r="KE50" s="71">
        <v>878844</v>
      </c>
      <c r="KF50" s="71">
        <v>3636551</v>
      </c>
      <c r="KG50" s="71">
        <v>519524</v>
      </c>
      <c r="KH50" s="71">
        <v>2883110</v>
      </c>
      <c r="KI50" s="71">
        <v>408407</v>
      </c>
      <c r="KJ50" s="71">
        <v>598530</v>
      </c>
      <c r="KK50" s="71">
        <v>2415547</v>
      </c>
      <c r="KL50" s="71">
        <v>529194</v>
      </c>
      <c r="KM50" s="71">
        <v>428604</v>
      </c>
      <c r="KN50" s="71">
        <v>95381</v>
      </c>
      <c r="KO50" s="71">
        <v>468391</v>
      </c>
      <c r="KP50" s="71">
        <v>1622682</v>
      </c>
      <c r="KQ50" s="71">
        <v>6346803</v>
      </c>
      <c r="KR50" s="71">
        <v>1853730</v>
      </c>
      <c r="KS50" s="71">
        <v>57643</v>
      </c>
      <c r="KT50" s="71">
        <v>1556371</v>
      </c>
      <c r="KU50" s="71">
        <v>4634065</v>
      </c>
      <c r="KV50" s="71">
        <v>47580812</v>
      </c>
      <c r="KW50" s="71" t="s">
        <v>1070</v>
      </c>
      <c r="KX50" s="71">
        <v>93576410</v>
      </c>
      <c r="KY50" s="71">
        <v>14060943</v>
      </c>
      <c r="KZ50" s="71">
        <v>107637353</v>
      </c>
      <c r="LA50" s="71">
        <v>0</v>
      </c>
      <c r="LB50" s="71">
        <v>1086178</v>
      </c>
    </row>
    <row r="51" spans="1:314" x14ac:dyDescent="0.25">
      <c r="A51" s="71" t="s">
        <v>429</v>
      </c>
      <c r="B51" s="71" t="s">
        <v>1279</v>
      </c>
      <c r="C51" s="160" t="s">
        <v>1345</v>
      </c>
      <c r="D51" s="71" t="s">
        <v>1363</v>
      </c>
      <c r="E51" s="2">
        <v>41284.622800925928</v>
      </c>
      <c r="F51" s="71"/>
      <c r="G51" s="71" t="s">
        <v>430</v>
      </c>
      <c r="H51" s="71" t="s">
        <v>1280</v>
      </c>
      <c r="I51" s="71" t="s">
        <v>1281</v>
      </c>
      <c r="J51" s="71" t="s">
        <v>1282</v>
      </c>
      <c r="K51" s="71" t="s">
        <v>1283</v>
      </c>
      <c r="L51" s="71">
        <v>0</v>
      </c>
      <c r="M51" s="71">
        <v>0</v>
      </c>
      <c r="N51" s="71">
        <v>0</v>
      </c>
      <c r="O51" s="71">
        <v>218265742</v>
      </c>
      <c r="P51" s="71">
        <v>0</v>
      </c>
      <c r="Q51" s="71">
        <v>4569208</v>
      </c>
      <c r="R51" s="71">
        <v>0</v>
      </c>
      <c r="S51" s="71">
        <v>4569208</v>
      </c>
      <c r="T51" s="71">
        <v>29859164</v>
      </c>
      <c r="U51" s="71">
        <v>20757138</v>
      </c>
      <c r="V51" s="71">
        <v>13095629</v>
      </c>
      <c r="W51" s="71">
        <v>0</v>
      </c>
      <c r="X51" s="71">
        <v>0</v>
      </c>
      <c r="Y51" s="71">
        <v>0</v>
      </c>
      <c r="Z51" s="71">
        <v>63711931</v>
      </c>
      <c r="AA51" s="71">
        <v>16565477</v>
      </c>
      <c r="AB51" s="71">
        <v>4229864</v>
      </c>
      <c r="AC51" s="71">
        <v>2589726</v>
      </c>
      <c r="AD51" s="71">
        <v>0</v>
      </c>
      <c r="AE51" s="71">
        <v>0</v>
      </c>
      <c r="AF51" s="71">
        <v>3912025</v>
      </c>
      <c r="AG51" s="71">
        <v>27297092</v>
      </c>
      <c r="AH51" s="71">
        <v>46424641</v>
      </c>
      <c r="AI51" s="71">
        <v>24987002</v>
      </c>
      <c r="AJ51" s="71">
        <v>15685355</v>
      </c>
      <c r="AK51" s="71">
        <v>0</v>
      </c>
      <c r="AL51" s="71">
        <v>0</v>
      </c>
      <c r="AM51" s="71">
        <v>3912025</v>
      </c>
      <c r="AN51" s="71">
        <v>91009023</v>
      </c>
      <c r="AO51" s="71">
        <v>43743</v>
      </c>
      <c r="AP51" s="71">
        <v>0</v>
      </c>
      <c r="AQ51" s="71">
        <v>637153</v>
      </c>
      <c r="AR51" s="71">
        <v>0</v>
      </c>
      <c r="AS51" s="71">
        <v>680896</v>
      </c>
      <c r="AT51" s="71">
        <v>0</v>
      </c>
      <c r="AU51" s="71">
        <v>0</v>
      </c>
      <c r="AV51" s="71">
        <v>460342</v>
      </c>
      <c r="AW51" s="71">
        <v>579144</v>
      </c>
      <c r="AX51" s="71">
        <v>1039486</v>
      </c>
      <c r="AY51" s="71">
        <v>43743</v>
      </c>
      <c r="AZ51" s="71">
        <v>0</v>
      </c>
      <c r="BA51" s="71">
        <v>1097495</v>
      </c>
      <c r="BB51" s="71">
        <v>579144</v>
      </c>
      <c r="BC51" s="71">
        <v>1720382</v>
      </c>
      <c r="BD51" s="71">
        <v>2075228</v>
      </c>
      <c r="BE51" s="71">
        <v>0</v>
      </c>
      <c r="BF51" s="71">
        <v>0</v>
      </c>
      <c r="BG51" s="71">
        <v>0</v>
      </c>
      <c r="BH51" s="71">
        <v>0</v>
      </c>
      <c r="BI51" s="71">
        <v>2075228</v>
      </c>
      <c r="BJ51" s="71">
        <v>0</v>
      </c>
      <c r="BK51" s="71">
        <v>0</v>
      </c>
      <c r="BL51" s="71">
        <v>147255</v>
      </c>
      <c r="BM51" s="71">
        <v>0</v>
      </c>
      <c r="BN51" s="71">
        <v>0</v>
      </c>
      <c r="BO51" s="71">
        <v>147255</v>
      </c>
      <c r="BP51" s="71">
        <v>25783228</v>
      </c>
      <c r="BQ51" s="71">
        <v>0</v>
      </c>
      <c r="BR51" s="71">
        <v>0</v>
      </c>
      <c r="BS51" s="71">
        <v>0</v>
      </c>
      <c r="BT51" s="71">
        <v>2953639</v>
      </c>
      <c r="BU51" s="71">
        <v>28736867</v>
      </c>
      <c r="BV51" s="71">
        <v>27858456</v>
      </c>
      <c r="BW51" s="71">
        <v>0</v>
      </c>
      <c r="BX51" s="71">
        <v>147255</v>
      </c>
      <c r="BY51" s="71">
        <v>0</v>
      </c>
      <c r="BZ51" s="71">
        <v>2953639</v>
      </c>
      <c r="CA51" s="71">
        <v>30959350</v>
      </c>
      <c r="CB51" s="71">
        <v>0</v>
      </c>
      <c r="CC51" s="71">
        <v>0</v>
      </c>
      <c r="CD51" s="71">
        <v>0</v>
      </c>
      <c r="CE51" s="71">
        <v>0</v>
      </c>
      <c r="CF51" s="71">
        <v>0</v>
      </c>
      <c r="CG51" s="71">
        <v>0</v>
      </c>
      <c r="CH51" s="71">
        <v>0</v>
      </c>
      <c r="CI51" s="71">
        <v>0</v>
      </c>
      <c r="CJ51" s="71">
        <v>0</v>
      </c>
      <c r="CK51" s="71">
        <v>0</v>
      </c>
      <c r="CL51" s="71">
        <v>0</v>
      </c>
      <c r="CM51" s="71">
        <v>0</v>
      </c>
      <c r="CN51" s="71">
        <v>0</v>
      </c>
      <c r="CO51" s="71">
        <v>0</v>
      </c>
      <c r="CP51" s="71">
        <v>0</v>
      </c>
      <c r="CQ51" s="71">
        <v>0</v>
      </c>
      <c r="CR51" s="71" t="s">
        <v>429</v>
      </c>
      <c r="CS51" s="71">
        <v>6265883</v>
      </c>
      <c r="CT51" s="71">
        <v>0</v>
      </c>
      <c r="CU51" s="71">
        <v>97632</v>
      </c>
      <c r="CV51" s="71">
        <v>220172</v>
      </c>
      <c r="CW51" s="71">
        <v>3301744</v>
      </c>
      <c r="CX51" s="71">
        <v>2714406</v>
      </c>
      <c r="CY51" s="71">
        <v>0</v>
      </c>
      <c r="CZ51" s="71">
        <v>545528</v>
      </c>
      <c r="DA51" s="71">
        <v>417672</v>
      </c>
      <c r="DB51" s="71">
        <v>305491</v>
      </c>
      <c r="DC51" s="71">
        <v>917896</v>
      </c>
      <c r="DD51" s="71">
        <v>56288</v>
      </c>
      <c r="DE51" s="71">
        <v>536320</v>
      </c>
      <c r="DF51" s="71">
        <v>2256044</v>
      </c>
      <c r="DG51" s="71">
        <v>484088</v>
      </c>
      <c r="DH51" s="71">
        <v>371016</v>
      </c>
      <c r="DI51" s="71">
        <v>29376</v>
      </c>
      <c r="DJ51" s="71">
        <v>1038075</v>
      </c>
      <c r="DK51" s="71">
        <v>41984</v>
      </c>
      <c r="DL51" s="71">
        <v>152400</v>
      </c>
      <c r="DM51" s="71">
        <v>1293939</v>
      </c>
      <c r="DN51" s="71">
        <v>278712</v>
      </c>
      <c r="DO51" s="71">
        <v>148969</v>
      </c>
      <c r="DP51" s="71">
        <v>127016</v>
      </c>
      <c r="DQ51" s="71">
        <v>62208</v>
      </c>
      <c r="DR51" s="71">
        <v>333302</v>
      </c>
      <c r="DS51" s="71">
        <v>4843136</v>
      </c>
      <c r="DT51" s="71">
        <v>1383888</v>
      </c>
      <c r="DU51" s="71">
        <v>0</v>
      </c>
      <c r="DV51" s="71">
        <v>1568592</v>
      </c>
      <c r="DW51" s="71">
        <v>2215424</v>
      </c>
      <c r="DX51" s="71">
        <v>25741318</v>
      </c>
      <c r="DY51" s="71">
        <v>217287</v>
      </c>
      <c r="DZ51" s="71">
        <v>1065890</v>
      </c>
      <c r="EA51" s="71">
        <v>8981196</v>
      </c>
      <c r="EB51" s="71">
        <v>5949555</v>
      </c>
      <c r="EC51" s="71">
        <v>0</v>
      </c>
      <c r="ED51" s="71">
        <v>855375</v>
      </c>
      <c r="EE51" s="71">
        <v>3832726</v>
      </c>
      <c r="EF51" s="71">
        <v>1039586</v>
      </c>
      <c r="EG51" s="71">
        <v>2288926</v>
      </c>
      <c r="EH51" s="71">
        <v>131074</v>
      </c>
      <c r="EI51" s="71">
        <v>1248893</v>
      </c>
      <c r="EJ51" s="71">
        <v>8316570</v>
      </c>
      <c r="EK51" s="71">
        <v>1306514</v>
      </c>
      <c r="EL51" s="71">
        <v>2111063</v>
      </c>
      <c r="EM51" s="71">
        <v>306475</v>
      </c>
      <c r="EN51" s="71">
        <v>4731641</v>
      </c>
      <c r="EO51" s="71">
        <v>509801</v>
      </c>
      <c r="EP51" s="71">
        <v>1003311</v>
      </c>
      <c r="EQ51" s="71">
        <v>3422657</v>
      </c>
      <c r="ER51" s="71">
        <v>1093980</v>
      </c>
      <c r="ES51" s="71">
        <v>858160</v>
      </c>
      <c r="ET51" s="71">
        <v>397784</v>
      </c>
      <c r="EU51" s="71">
        <v>289675</v>
      </c>
      <c r="EV51" s="71">
        <v>1491480</v>
      </c>
      <c r="EW51" s="71">
        <v>11289653</v>
      </c>
      <c r="EX51" s="71">
        <v>4573808</v>
      </c>
      <c r="EY51" s="71">
        <v>0</v>
      </c>
      <c r="EZ51" s="71">
        <v>4149154</v>
      </c>
      <c r="FA51" s="71">
        <v>8166830</v>
      </c>
      <c r="FB51" s="71">
        <v>79629064</v>
      </c>
      <c r="FC51" s="71">
        <v>42161</v>
      </c>
      <c r="FD51" s="71">
        <v>124188</v>
      </c>
      <c r="FE51" s="71">
        <v>857738</v>
      </c>
      <c r="FF51" s="71">
        <v>751265</v>
      </c>
      <c r="FG51" s="71">
        <v>0</v>
      </c>
      <c r="FH51" s="71">
        <v>265095</v>
      </c>
      <c r="FI51" s="71">
        <v>325307</v>
      </c>
      <c r="FJ51" s="71">
        <v>169363</v>
      </c>
      <c r="FK51" s="71">
        <v>248866</v>
      </c>
      <c r="FL51" s="71">
        <v>12312</v>
      </c>
      <c r="FM51" s="71">
        <v>117308</v>
      </c>
      <c r="FN51" s="71">
        <v>745928</v>
      </c>
      <c r="FO51" s="71">
        <v>211259</v>
      </c>
      <c r="FP51" s="71">
        <v>145022</v>
      </c>
      <c r="FQ51" s="71">
        <v>17664</v>
      </c>
      <c r="FR51" s="71">
        <v>631732</v>
      </c>
      <c r="FS51" s="71">
        <v>43351</v>
      </c>
      <c r="FT51" s="71">
        <v>170840</v>
      </c>
      <c r="FU51" s="71">
        <v>236298</v>
      </c>
      <c r="FV51" s="71">
        <v>117845</v>
      </c>
      <c r="FW51" s="71">
        <v>327155</v>
      </c>
      <c r="FX51" s="71">
        <v>37448</v>
      </c>
      <c r="FY51" s="71">
        <v>72348</v>
      </c>
      <c r="FZ51" s="71">
        <v>439491</v>
      </c>
      <c r="GA51" s="71">
        <v>788335</v>
      </c>
      <c r="GB51" s="71">
        <v>769923</v>
      </c>
      <c r="GC51" s="71">
        <v>0</v>
      </c>
      <c r="GD51" s="71">
        <v>286455</v>
      </c>
      <c r="GE51" s="71">
        <v>732498</v>
      </c>
      <c r="GF51" s="71">
        <v>8687195</v>
      </c>
      <c r="GG51" s="71">
        <v>18407</v>
      </c>
      <c r="GH51" s="71">
        <v>84434</v>
      </c>
      <c r="GI51" s="71">
        <v>698055</v>
      </c>
      <c r="GJ51" s="71">
        <v>475411</v>
      </c>
      <c r="GK51" s="71">
        <v>0</v>
      </c>
      <c r="GL51" s="71">
        <v>79495</v>
      </c>
      <c r="GM51" s="71">
        <v>295005</v>
      </c>
      <c r="GN51" s="71">
        <v>85773</v>
      </c>
      <c r="GO51" s="71">
        <v>180052</v>
      </c>
      <c r="GP51" s="71">
        <v>10173</v>
      </c>
      <c r="GQ51" s="71">
        <v>96930</v>
      </c>
      <c r="GR51" s="71">
        <v>642968</v>
      </c>
      <c r="GS51" s="71">
        <v>107683</v>
      </c>
      <c r="GT51" s="71">
        <v>160065</v>
      </c>
      <c r="GU51" s="71">
        <v>22997</v>
      </c>
      <c r="GV51" s="71">
        <v>380522</v>
      </c>
      <c r="GW51" s="71">
        <v>39245</v>
      </c>
      <c r="GX51" s="71">
        <v>83304</v>
      </c>
      <c r="GY51" s="71">
        <v>259596</v>
      </c>
      <c r="GZ51" s="71">
        <v>85977</v>
      </c>
      <c r="HA51" s="71">
        <v>84096</v>
      </c>
      <c r="HB51" s="71">
        <v>30879</v>
      </c>
      <c r="HC51" s="71">
        <v>25685</v>
      </c>
      <c r="HD51" s="71">
        <v>136999</v>
      </c>
      <c r="HE51" s="71">
        <v>856912</v>
      </c>
      <c r="HF51" s="71">
        <v>379128</v>
      </c>
      <c r="HG51" s="71">
        <v>0</v>
      </c>
      <c r="HH51" s="71">
        <v>314699</v>
      </c>
      <c r="HI51" s="71">
        <v>631392</v>
      </c>
      <c r="HJ51" s="71">
        <v>6265883</v>
      </c>
      <c r="HK51" s="71">
        <v>27118</v>
      </c>
      <c r="HL51" s="71">
        <v>111300</v>
      </c>
      <c r="HM51" s="71">
        <v>228408</v>
      </c>
      <c r="HN51" s="71">
        <v>112323</v>
      </c>
      <c r="HO51" s="71">
        <v>0</v>
      </c>
      <c r="HP51" s="71">
        <v>47345</v>
      </c>
      <c r="HQ51" s="71">
        <v>106176</v>
      </c>
      <c r="HR51" s="71">
        <v>244675</v>
      </c>
      <c r="HS51" s="71">
        <v>313829</v>
      </c>
      <c r="HT51" s="71">
        <v>14542</v>
      </c>
      <c r="HU51" s="71">
        <v>138561</v>
      </c>
      <c r="HV51" s="71">
        <v>53225</v>
      </c>
      <c r="HW51" s="71">
        <v>17566</v>
      </c>
      <c r="HX51" s="71">
        <v>86362</v>
      </c>
      <c r="HY51" s="71">
        <v>74341</v>
      </c>
      <c r="HZ51" s="71">
        <v>241838</v>
      </c>
      <c r="IA51" s="71">
        <v>10536</v>
      </c>
      <c r="IB51" s="71">
        <v>55665</v>
      </c>
      <c r="IC51" s="71">
        <v>26829</v>
      </c>
      <c r="ID51" s="71">
        <v>55650</v>
      </c>
      <c r="IE51" s="71">
        <v>282614</v>
      </c>
      <c r="IF51" s="71">
        <v>41152</v>
      </c>
      <c r="IG51" s="71">
        <v>13116</v>
      </c>
      <c r="IH51" s="71">
        <v>146075</v>
      </c>
      <c r="II51" s="71">
        <v>101591</v>
      </c>
      <c r="IJ51" s="71">
        <v>234818</v>
      </c>
      <c r="IK51" s="71">
        <v>0</v>
      </c>
      <c r="IL51" s="71">
        <v>32524</v>
      </c>
      <c r="IM51" s="71">
        <v>52266</v>
      </c>
      <c r="IN51" s="71">
        <v>2870445</v>
      </c>
      <c r="IO51" s="71">
        <v>87686</v>
      </c>
      <c r="IP51" s="71">
        <v>319922</v>
      </c>
      <c r="IQ51" s="71">
        <v>1784201</v>
      </c>
      <c r="IR51" s="71">
        <v>1338999</v>
      </c>
      <c r="IS51" s="71">
        <v>0</v>
      </c>
      <c r="IT51" s="71">
        <v>391935</v>
      </c>
      <c r="IU51" s="71">
        <v>726488</v>
      </c>
      <c r="IV51" s="71">
        <v>499811</v>
      </c>
      <c r="IW51" s="71">
        <v>742747</v>
      </c>
      <c r="IX51" s="71">
        <v>37027</v>
      </c>
      <c r="IY51" s="71">
        <v>352799</v>
      </c>
      <c r="IZ51" s="71">
        <v>1442121</v>
      </c>
      <c r="JA51" s="71">
        <v>336508</v>
      </c>
      <c r="JB51" s="71">
        <v>391449</v>
      </c>
      <c r="JC51" s="71">
        <v>115002</v>
      </c>
      <c r="JD51" s="71">
        <v>1254092</v>
      </c>
      <c r="JE51" s="71">
        <v>93132</v>
      </c>
      <c r="JF51" s="71">
        <v>309809</v>
      </c>
      <c r="JG51" s="71">
        <v>522723</v>
      </c>
      <c r="JH51" s="71">
        <v>259472</v>
      </c>
      <c r="JI51" s="71">
        <v>693865</v>
      </c>
      <c r="JJ51" s="71">
        <v>109479</v>
      </c>
      <c r="JK51" s="71">
        <v>111149</v>
      </c>
      <c r="JL51" s="71">
        <v>722565</v>
      </c>
      <c r="JM51" s="71">
        <v>1746838</v>
      </c>
      <c r="JN51" s="71">
        <v>1383869</v>
      </c>
      <c r="JO51" s="71">
        <v>0</v>
      </c>
      <c r="JP51" s="71">
        <v>633678</v>
      </c>
      <c r="JQ51" s="71">
        <v>1416156</v>
      </c>
      <c r="JR51" s="71">
        <v>17823523</v>
      </c>
      <c r="JS51" s="71">
        <v>304973</v>
      </c>
      <c r="JT51" s="71">
        <v>1385812</v>
      </c>
      <c r="JU51" s="71">
        <v>10765397</v>
      </c>
      <c r="JV51" s="71">
        <v>7288554</v>
      </c>
      <c r="JW51" s="71">
        <v>0</v>
      </c>
      <c r="JX51" s="71">
        <v>1247310</v>
      </c>
      <c r="JY51" s="71">
        <v>4559214</v>
      </c>
      <c r="JZ51" s="71">
        <v>1539397</v>
      </c>
      <c r="KA51" s="71">
        <v>3031673</v>
      </c>
      <c r="KB51" s="71">
        <v>168101</v>
      </c>
      <c r="KC51" s="71">
        <v>1601692</v>
      </c>
      <c r="KD51" s="71">
        <v>9758691</v>
      </c>
      <c r="KE51" s="71">
        <v>1643022</v>
      </c>
      <c r="KF51" s="71">
        <v>2502512</v>
      </c>
      <c r="KG51" s="71">
        <v>421477</v>
      </c>
      <c r="KH51" s="71">
        <v>5985733</v>
      </c>
      <c r="KI51" s="71">
        <v>602933</v>
      </c>
      <c r="KJ51" s="71">
        <v>1313120</v>
      </c>
      <c r="KK51" s="71">
        <v>3945380</v>
      </c>
      <c r="KL51" s="71">
        <v>1353452</v>
      </c>
      <c r="KM51" s="71">
        <v>1552025</v>
      </c>
      <c r="KN51" s="71">
        <v>507263</v>
      </c>
      <c r="KO51" s="71">
        <v>400824</v>
      </c>
      <c r="KP51" s="71">
        <v>2214045</v>
      </c>
      <c r="KQ51" s="71">
        <v>13036491</v>
      </c>
      <c r="KR51" s="71">
        <v>5957677</v>
      </c>
      <c r="KS51" s="71">
        <v>0</v>
      </c>
      <c r="KT51" s="71">
        <v>4782832</v>
      </c>
      <c r="KU51" s="71">
        <v>9582986</v>
      </c>
      <c r="KV51" s="71">
        <v>97452587</v>
      </c>
      <c r="KW51" s="71" t="s">
        <v>1070</v>
      </c>
      <c r="KX51" s="71">
        <v>193030818</v>
      </c>
      <c r="KY51" s="71">
        <v>32679732</v>
      </c>
      <c r="KZ51" s="71">
        <v>225710550</v>
      </c>
      <c r="LA51" s="71">
        <v>0</v>
      </c>
      <c r="LB51" s="71">
        <v>7444808</v>
      </c>
    </row>
    <row r="52" spans="1:314" x14ac:dyDescent="0.25">
      <c r="A52" s="71" t="s">
        <v>431</v>
      </c>
      <c r="B52" s="71" t="s">
        <v>1284</v>
      </c>
      <c r="C52" s="160" t="s">
        <v>1345</v>
      </c>
      <c r="D52" s="71" t="s">
        <v>1429</v>
      </c>
      <c r="E52" s="2">
        <v>41305.757060185184</v>
      </c>
      <c r="F52" s="71"/>
      <c r="G52" s="71" t="s">
        <v>1285</v>
      </c>
      <c r="H52" s="71" t="s">
        <v>1286</v>
      </c>
      <c r="I52" s="71" t="s">
        <v>1287</v>
      </c>
      <c r="J52" s="71" t="s">
        <v>1288</v>
      </c>
      <c r="K52" s="71" t="s">
        <v>1289</v>
      </c>
      <c r="L52" s="71">
        <v>0</v>
      </c>
      <c r="M52" s="71">
        <v>0</v>
      </c>
      <c r="N52" s="71">
        <v>0</v>
      </c>
      <c r="O52" s="71">
        <v>241584967</v>
      </c>
      <c r="P52" s="71">
        <v>0</v>
      </c>
      <c r="Q52" s="71">
        <v>10258689</v>
      </c>
      <c r="R52" s="71">
        <v>0</v>
      </c>
      <c r="S52" s="71">
        <v>10258689</v>
      </c>
      <c r="T52" s="71">
        <v>14826209</v>
      </c>
      <c r="U52" s="71">
        <v>20581832</v>
      </c>
      <c r="V52" s="71">
        <v>28695219</v>
      </c>
      <c r="W52" s="71">
        <v>0</v>
      </c>
      <c r="X52" s="71">
        <v>0</v>
      </c>
      <c r="Y52" s="71">
        <v>0</v>
      </c>
      <c r="Z52" s="71">
        <v>64103260</v>
      </c>
      <c r="AA52" s="71">
        <v>8347110</v>
      </c>
      <c r="AB52" s="71">
        <v>9303874</v>
      </c>
      <c r="AC52" s="71">
        <v>9650169</v>
      </c>
      <c r="AD52" s="71">
        <v>0</v>
      </c>
      <c r="AE52" s="71">
        <v>0</v>
      </c>
      <c r="AF52" s="71">
        <v>9653457</v>
      </c>
      <c r="AG52" s="71">
        <v>36954610</v>
      </c>
      <c r="AH52" s="71">
        <v>23173319</v>
      </c>
      <c r="AI52" s="71">
        <v>29885706</v>
      </c>
      <c r="AJ52" s="71">
        <v>38345388</v>
      </c>
      <c r="AK52" s="71">
        <v>0</v>
      </c>
      <c r="AL52" s="71">
        <v>0</v>
      </c>
      <c r="AM52" s="71">
        <v>9653457</v>
      </c>
      <c r="AN52" s="71">
        <v>101057870</v>
      </c>
      <c r="AO52" s="71">
        <v>979504</v>
      </c>
      <c r="AP52" s="71">
        <v>0</v>
      </c>
      <c r="AQ52" s="71">
        <v>702949</v>
      </c>
      <c r="AR52" s="71">
        <v>0</v>
      </c>
      <c r="AS52" s="71">
        <v>1682453</v>
      </c>
      <c r="AT52" s="71">
        <v>201185</v>
      </c>
      <c r="AU52" s="71">
        <v>0</v>
      </c>
      <c r="AV52" s="71">
        <v>229316</v>
      </c>
      <c r="AW52" s="71">
        <v>0</v>
      </c>
      <c r="AX52" s="71">
        <v>430501</v>
      </c>
      <c r="AY52" s="71">
        <v>1180689</v>
      </c>
      <c r="AZ52" s="71">
        <v>0</v>
      </c>
      <c r="BA52" s="71">
        <v>932265</v>
      </c>
      <c r="BB52" s="71">
        <v>0</v>
      </c>
      <c r="BC52" s="71">
        <v>2112954</v>
      </c>
      <c r="BD52" s="71">
        <v>10978563</v>
      </c>
      <c r="BE52" s="71">
        <v>0</v>
      </c>
      <c r="BF52" s="71">
        <v>0</v>
      </c>
      <c r="BG52" s="71">
        <v>0</v>
      </c>
      <c r="BH52" s="71">
        <v>0</v>
      </c>
      <c r="BI52" s="71">
        <v>10978563</v>
      </c>
      <c r="BJ52" s="71">
        <v>0</v>
      </c>
      <c r="BK52" s="71">
        <v>0</v>
      </c>
      <c r="BL52" s="71">
        <v>2964321</v>
      </c>
      <c r="BM52" s="71">
        <v>0</v>
      </c>
      <c r="BN52" s="71">
        <v>0</v>
      </c>
      <c r="BO52" s="71">
        <v>2964321</v>
      </c>
      <c r="BP52" s="71">
        <v>23427820</v>
      </c>
      <c r="BQ52" s="71">
        <v>4747709</v>
      </c>
      <c r="BR52" s="71">
        <v>0</v>
      </c>
      <c r="BS52" s="71">
        <v>0</v>
      </c>
      <c r="BT52" s="71">
        <v>186916</v>
      </c>
      <c r="BU52" s="71">
        <v>28362445</v>
      </c>
      <c r="BV52" s="71">
        <v>34406383</v>
      </c>
      <c r="BW52" s="71">
        <v>4747709</v>
      </c>
      <c r="BX52" s="71">
        <v>2964321</v>
      </c>
      <c r="BY52" s="71">
        <v>0</v>
      </c>
      <c r="BZ52" s="71">
        <v>186916</v>
      </c>
      <c r="CA52" s="71">
        <v>42305329</v>
      </c>
      <c r="CB52" s="71">
        <v>0</v>
      </c>
      <c r="CC52" s="71">
        <v>0</v>
      </c>
      <c r="CD52" s="71">
        <v>0</v>
      </c>
      <c r="CE52" s="71">
        <v>0</v>
      </c>
      <c r="CF52" s="71">
        <v>0</v>
      </c>
      <c r="CG52" s="71">
        <v>0</v>
      </c>
      <c r="CH52" s="71">
        <v>0</v>
      </c>
      <c r="CI52" s="71">
        <v>0</v>
      </c>
      <c r="CJ52" s="71">
        <v>0</v>
      </c>
      <c r="CK52" s="71">
        <v>0</v>
      </c>
      <c r="CL52" s="71">
        <v>0</v>
      </c>
      <c r="CM52" s="71">
        <v>0</v>
      </c>
      <c r="CN52" s="71">
        <v>0</v>
      </c>
      <c r="CO52" s="71">
        <v>0</v>
      </c>
      <c r="CP52" s="71">
        <v>0</v>
      </c>
      <c r="CQ52" s="71">
        <v>0</v>
      </c>
      <c r="CR52" s="71" t="s">
        <v>431</v>
      </c>
      <c r="CS52" s="71">
        <v>5417414</v>
      </c>
      <c r="CT52" s="71">
        <v>0</v>
      </c>
      <c r="CU52" s="71">
        <v>80500</v>
      </c>
      <c r="CV52" s="71">
        <v>239255</v>
      </c>
      <c r="CW52" s="71">
        <v>3198288</v>
      </c>
      <c r="CX52" s="71">
        <v>1244016</v>
      </c>
      <c r="CY52" s="71">
        <v>2256</v>
      </c>
      <c r="CZ52" s="71">
        <v>159844</v>
      </c>
      <c r="DA52" s="71">
        <v>1169505</v>
      </c>
      <c r="DB52" s="71">
        <v>15952</v>
      </c>
      <c r="DC52" s="71">
        <v>357020</v>
      </c>
      <c r="DD52" s="71">
        <v>0</v>
      </c>
      <c r="DE52" s="71">
        <v>408451</v>
      </c>
      <c r="DF52" s="71">
        <v>3301768</v>
      </c>
      <c r="DG52" s="71">
        <v>568936</v>
      </c>
      <c r="DH52" s="71">
        <v>615575</v>
      </c>
      <c r="DI52" s="71">
        <v>23152</v>
      </c>
      <c r="DJ52" s="71">
        <v>763465</v>
      </c>
      <c r="DK52" s="71">
        <v>98560</v>
      </c>
      <c r="DL52" s="71">
        <v>149264</v>
      </c>
      <c r="DM52" s="71">
        <v>1462424</v>
      </c>
      <c r="DN52" s="71">
        <v>90112</v>
      </c>
      <c r="DO52" s="71">
        <v>83766</v>
      </c>
      <c r="DP52" s="71">
        <v>35592</v>
      </c>
      <c r="DQ52" s="71">
        <v>509488</v>
      </c>
      <c r="DR52" s="71">
        <v>363310</v>
      </c>
      <c r="DS52" s="71">
        <v>4671952</v>
      </c>
      <c r="DT52" s="71">
        <v>1222816</v>
      </c>
      <c r="DU52" s="71">
        <v>0</v>
      </c>
      <c r="DV52" s="71">
        <v>2224240</v>
      </c>
      <c r="DW52" s="71">
        <v>1580256</v>
      </c>
      <c r="DX52" s="71">
        <v>24639763</v>
      </c>
      <c r="DY52" s="71">
        <v>151133</v>
      </c>
      <c r="DZ52" s="71">
        <v>1166739</v>
      </c>
      <c r="EA52" s="71">
        <v>8672541</v>
      </c>
      <c r="EB52" s="71">
        <v>3817365</v>
      </c>
      <c r="EC52" s="71">
        <v>9604</v>
      </c>
      <c r="ED52" s="71">
        <v>269121</v>
      </c>
      <c r="EE52" s="71">
        <v>3978818</v>
      </c>
      <c r="EF52" s="71">
        <v>66136</v>
      </c>
      <c r="EG52" s="71">
        <v>1397030</v>
      </c>
      <c r="EH52" s="71">
        <v>0</v>
      </c>
      <c r="EI52" s="71">
        <v>1799793</v>
      </c>
      <c r="EJ52" s="71">
        <v>11858209</v>
      </c>
      <c r="EK52" s="71">
        <v>1495232</v>
      </c>
      <c r="EL52" s="71">
        <v>4160841</v>
      </c>
      <c r="EM52" s="71">
        <v>223305</v>
      </c>
      <c r="EN52" s="71">
        <v>3271463</v>
      </c>
      <c r="EO52" s="71">
        <v>783822</v>
      </c>
      <c r="EP52" s="71">
        <v>793854</v>
      </c>
      <c r="EQ52" s="71">
        <v>5075254</v>
      </c>
      <c r="ER52" s="71">
        <v>296494</v>
      </c>
      <c r="ES52" s="71">
        <v>327008</v>
      </c>
      <c r="ET52" s="71">
        <v>160632</v>
      </c>
      <c r="EU52" s="71">
        <v>1675024</v>
      </c>
      <c r="EV52" s="71">
        <v>852919</v>
      </c>
      <c r="EW52" s="71">
        <v>11374654</v>
      </c>
      <c r="EX52" s="71">
        <v>5179254</v>
      </c>
      <c r="EY52" s="71">
        <v>0</v>
      </c>
      <c r="EZ52" s="71">
        <v>3720979</v>
      </c>
      <c r="FA52" s="71">
        <v>3780530</v>
      </c>
      <c r="FB52" s="71">
        <v>76357754</v>
      </c>
      <c r="FC52" s="71">
        <v>9068</v>
      </c>
      <c r="FD52" s="71">
        <v>81672</v>
      </c>
      <c r="FE52" s="71">
        <v>580233</v>
      </c>
      <c r="FF52" s="71">
        <v>200775</v>
      </c>
      <c r="FG52" s="71">
        <v>576</v>
      </c>
      <c r="FH52" s="71">
        <v>100183</v>
      </c>
      <c r="FI52" s="71">
        <v>224710</v>
      </c>
      <c r="FJ52" s="71">
        <v>4635</v>
      </c>
      <c r="FK52" s="71">
        <v>49893</v>
      </c>
      <c r="FL52" s="71">
        <v>0</v>
      </c>
      <c r="FM52" s="71">
        <v>210408</v>
      </c>
      <c r="FN52" s="71">
        <v>90521</v>
      </c>
      <c r="FO52" s="71">
        <v>23079</v>
      </c>
      <c r="FP52" s="71">
        <v>253277</v>
      </c>
      <c r="FQ52" s="71">
        <v>139228</v>
      </c>
      <c r="FR52" s="71">
        <v>626211</v>
      </c>
      <c r="FS52" s="71">
        <v>92531</v>
      </c>
      <c r="FT52" s="71">
        <v>13401</v>
      </c>
      <c r="FU52" s="71">
        <v>75697</v>
      </c>
      <c r="FV52" s="71">
        <v>80575</v>
      </c>
      <c r="FW52" s="71">
        <v>153273</v>
      </c>
      <c r="FX52" s="71">
        <v>9638</v>
      </c>
      <c r="FY52" s="71">
        <v>242166</v>
      </c>
      <c r="FZ52" s="71">
        <v>313910</v>
      </c>
      <c r="GA52" s="71">
        <v>0</v>
      </c>
      <c r="GB52" s="71">
        <v>303175</v>
      </c>
      <c r="GC52" s="71">
        <v>0</v>
      </c>
      <c r="GD52" s="71">
        <v>287625</v>
      </c>
      <c r="GE52" s="71">
        <v>103106</v>
      </c>
      <c r="GF52" s="71">
        <v>4269566</v>
      </c>
      <c r="GG52" s="71">
        <v>10764</v>
      </c>
      <c r="GH52" s="71">
        <v>83882</v>
      </c>
      <c r="GI52" s="71">
        <v>621701</v>
      </c>
      <c r="GJ52" s="71">
        <v>269982</v>
      </c>
      <c r="GK52" s="71">
        <v>684</v>
      </c>
      <c r="GL52" s="71">
        <v>24814</v>
      </c>
      <c r="GM52" s="71">
        <v>282438</v>
      </c>
      <c r="GN52" s="71">
        <v>4755</v>
      </c>
      <c r="GO52" s="71">
        <v>97220</v>
      </c>
      <c r="GP52" s="71">
        <v>0</v>
      </c>
      <c r="GQ52" s="71">
        <v>135067</v>
      </c>
      <c r="GR52" s="71">
        <v>802845</v>
      </c>
      <c r="GS52" s="71">
        <v>102017</v>
      </c>
      <c r="GT52" s="71">
        <v>296588</v>
      </c>
      <c r="GU52" s="71">
        <v>24359</v>
      </c>
      <c r="GV52" s="71">
        <v>261888</v>
      </c>
      <c r="GW52" s="71">
        <v>58883</v>
      </c>
      <c r="GX52" s="71">
        <v>54240</v>
      </c>
      <c r="GY52" s="71">
        <v>346097</v>
      </c>
      <c r="GZ52" s="71">
        <v>25336</v>
      </c>
      <c r="HA52" s="71">
        <v>32270</v>
      </c>
      <c r="HB52" s="71">
        <v>11441</v>
      </c>
      <c r="HC52" s="71">
        <v>128818</v>
      </c>
      <c r="HD52" s="71">
        <v>78400</v>
      </c>
      <c r="HE52" s="71">
        <v>764272</v>
      </c>
      <c r="HF52" s="71">
        <v>368369</v>
      </c>
      <c r="HG52" s="71">
        <v>0</v>
      </c>
      <c r="HH52" s="71">
        <v>269341</v>
      </c>
      <c r="HI52" s="71">
        <v>260945</v>
      </c>
      <c r="HJ52" s="71">
        <v>5417414</v>
      </c>
      <c r="HK52" s="71">
        <v>10579</v>
      </c>
      <c r="HL52" s="71">
        <v>70004</v>
      </c>
      <c r="HM52" s="71">
        <v>1328973</v>
      </c>
      <c r="HN52" s="71">
        <v>708268</v>
      </c>
      <c r="HO52" s="71">
        <v>672</v>
      </c>
      <c r="HP52" s="71">
        <v>11987</v>
      </c>
      <c r="HQ52" s="71">
        <v>375245</v>
      </c>
      <c r="HR52" s="71">
        <v>3972</v>
      </c>
      <c r="HS52" s="71">
        <v>164775</v>
      </c>
      <c r="HT52" s="71">
        <v>0</v>
      </c>
      <c r="HU52" s="71">
        <v>94187</v>
      </c>
      <c r="HV52" s="71">
        <v>1523806</v>
      </c>
      <c r="HW52" s="71">
        <v>75598</v>
      </c>
      <c r="HX52" s="71">
        <v>620566</v>
      </c>
      <c r="HY52" s="71">
        <v>42639</v>
      </c>
      <c r="HZ52" s="71">
        <v>713859</v>
      </c>
      <c r="IA52" s="71">
        <v>40890</v>
      </c>
      <c r="IB52" s="71">
        <v>30934</v>
      </c>
      <c r="IC52" s="71">
        <v>735767</v>
      </c>
      <c r="ID52" s="71">
        <v>24279</v>
      </c>
      <c r="IE52" s="71">
        <v>80773</v>
      </c>
      <c r="IF52" s="71">
        <v>11244</v>
      </c>
      <c r="IG52" s="71">
        <v>110045</v>
      </c>
      <c r="IH52" s="71">
        <v>238030</v>
      </c>
      <c r="II52" s="71">
        <v>1212150</v>
      </c>
      <c r="IJ52" s="71">
        <v>778098</v>
      </c>
      <c r="IK52" s="71">
        <v>0</v>
      </c>
      <c r="IL52" s="71">
        <v>332264</v>
      </c>
      <c r="IM52" s="71">
        <v>306160</v>
      </c>
      <c r="IN52" s="71">
        <v>9645764</v>
      </c>
      <c r="IO52" s="71">
        <v>30411</v>
      </c>
      <c r="IP52" s="71">
        <v>235558</v>
      </c>
      <c r="IQ52" s="71">
        <v>2530907</v>
      </c>
      <c r="IR52" s="71">
        <v>1179025</v>
      </c>
      <c r="IS52" s="71">
        <v>1932</v>
      </c>
      <c r="IT52" s="71">
        <v>136984</v>
      </c>
      <c r="IU52" s="71">
        <v>882393</v>
      </c>
      <c r="IV52" s="71">
        <v>13362</v>
      </c>
      <c r="IW52" s="71">
        <v>311888</v>
      </c>
      <c r="IX52" s="71">
        <v>0</v>
      </c>
      <c r="IY52" s="71">
        <v>439662</v>
      </c>
      <c r="IZ52" s="71">
        <v>2417172</v>
      </c>
      <c r="JA52" s="71">
        <v>200694</v>
      </c>
      <c r="JB52" s="71">
        <v>1170431</v>
      </c>
      <c r="JC52" s="71">
        <v>206226</v>
      </c>
      <c r="JD52" s="71">
        <v>1601958</v>
      </c>
      <c r="JE52" s="71">
        <v>192304</v>
      </c>
      <c r="JF52" s="71">
        <v>98575</v>
      </c>
      <c r="JG52" s="71">
        <v>1157561</v>
      </c>
      <c r="JH52" s="71">
        <v>130190</v>
      </c>
      <c r="JI52" s="71">
        <v>266316</v>
      </c>
      <c r="JJ52" s="71">
        <v>32323</v>
      </c>
      <c r="JK52" s="71">
        <v>481029</v>
      </c>
      <c r="JL52" s="71">
        <v>630340</v>
      </c>
      <c r="JM52" s="71">
        <v>1976422</v>
      </c>
      <c r="JN52" s="71">
        <v>1449642</v>
      </c>
      <c r="JO52" s="71">
        <v>0</v>
      </c>
      <c r="JP52" s="71">
        <v>889230</v>
      </c>
      <c r="JQ52" s="71">
        <v>670211</v>
      </c>
      <c r="JR52" s="71">
        <v>19332744</v>
      </c>
      <c r="JS52" s="71">
        <v>181544</v>
      </c>
      <c r="JT52" s="71">
        <v>1402297</v>
      </c>
      <c r="JU52" s="71">
        <v>11203448</v>
      </c>
      <c r="JV52" s="71">
        <v>4996390</v>
      </c>
      <c r="JW52" s="71">
        <v>11536</v>
      </c>
      <c r="JX52" s="71">
        <v>406105</v>
      </c>
      <c r="JY52" s="71">
        <v>4861211</v>
      </c>
      <c r="JZ52" s="71">
        <v>79498</v>
      </c>
      <c r="KA52" s="71">
        <v>1708918</v>
      </c>
      <c r="KB52" s="71">
        <v>0</v>
      </c>
      <c r="KC52" s="71">
        <v>2239455</v>
      </c>
      <c r="KD52" s="71">
        <v>14275381</v>
      </c>
      <c r="KE52" s="71">
        <v>1695926</v>
      </c>
      <c r="KF52" s="71">
        <v>5331272</v>
      </c>
      <c r="KG52" s="71">
        <v>429531</v>
      </c>
      <c r="KH52" s="71">
        <v>4873421</v>
      </c>
      <c r="KI52" s="71">
        <v>976126</v>
      </c>
      <c r="KJ52" s="71">
        <v>892429</v>
      </c>
      <c r="KK52" s="71">
        <v>6232815</v>
      </c>
      <c r="KL52" s="71">
        <v>426684</v>
      </c>
      <c r="KM52" s="71">
        <v>593324</v>
      </c>
      <c r="KN52" s="71">
        <v>192955</v>
      </c>
      <c r="KO52" s="71">
        <v>2156053</v>
      </c>
      <c r="KP52" s="71">
        <v>1483259</v>
      </c>
      <c r="KQ52" s="71">
        <v>13351076</v>
      </c>
      <c r="KR52" s="71">
        <v>6628896</v>
      </c>
      <c r="KS52" s="71">
        <v>0</v>
      </c>
      <c r="KT52" s="71">
        <v>4610209</v>
      </c>
      <c r="KU52" s="71">
        <v>4450741</v>
      </c>
      <c r="KV52" s="71">
        <v>95690498</v>
      </c>
      <c r="KW52" s="71" t="s">
        <v>1070</v>
      </c>
      <c r="KX52" s="71">
        <v>207007057</v>
      </c>
      <c r="KY52" s="71">
        <v>44418283</v>
      </c>
      <c r="KZ52" s="71">
        <v>251425340</v>
      </c>
      <c r="LA52" s="71">
        <v>0</v>
      </c>
      <c r="LB52" s="71">
        <v>9840373</v>
      </c>
    </row>
    <row r="53" spans="1:314" x14ac:dyDescent="0.25">
      <c r="A53" s="71" t="s">
        <v>432</v>
      </c>
      <c r="B53" s="71" t="s">
        <v>1290</v>
      </c>
      <c r="C53" s="160" t="s">
        <v>1345</v>
      </c>
      <c r="D53" s="71" t="s">
        <v>1431</v>
      </c>
      <c r="E53" s="2">
        <v>41306.371689814812</v>
      </c>
      <c r="F53" s="71"/>
      <c r="G53" s="71" t="s">
        <v>433</v>
      </c>
      <c r="H53" s="71" t="s">
        <v>1291</v>
      </c>
      <c r="I53" s="71" t="s">
        <v>1292</v>
      </c>
      <c r="J53" s="71" t="s">
        <v>1293</v>
      </c>
      <c r="K53" s="71" t="s">
        <v>1294</v>
      </c>
      <c r="L53" s="71">
        <v>0</v>
      </c>
      <c r="M53" s="71">
        <v>0</v>
      </c>
      <c r="N53" s="71">
        <v>0</v>
      </c>
      <c r="O53" s="71">
        <v>214594204</v>
      </c>
      <c r="P53" s="71">
        <v>0</v>
      </c>
      <c r="Q53" s="71">
        <v>6706275</v>
      </c>
      <c r="R53" s="71">
        <v>0</v>
      </c>
      <c r="S53" s="71">
        <v>6706275</v>
      </c>
      <c r="T53" s="71">
        <v>19796526</v>
      </c>
      <c r="U53" s="71">
        <v>19534257</v>
      </c>
      <c r="V53" s="71">
        <v>18445470</v>
      </c>
      <c r="W53" s="71">
        <v>0</v>
      </c>
      <c r="X53" s="71">
        <v>0</v>
      </c>
      <c r="Y53" s="71">
        <v>0</v>
      </c>
      <c r="Z53" s="71">
        <v>57776253</v>
      </c>
      <c r="AA53" s="71">
        <v>10872036</v>
      </c>
      <c r="AB53" s="71">
        <v>1618275</v>
      </c>
      <c r="AC53" s="71">
        <v>2781051</v>
      </c>
      <c r="AD53" s="71">
        <v>0</v>
      </c>
      <c r="AE53" s="71">
        <v>0</v>
      </c>
      <c r="AF53" s="71">
        <v>3263946</v>
      </c>
      <c r="AG53" s="71">
        <v>18535308</v>
      </c>
      <c r="AH53" s="71">
        <v>30668562</v>
      </c>
      <c r="AI53" s="71">
        <v>21152532</v>
      </c>
      <c r="AJ53" s="71">
        <v>21226521</v>
      </c>
      <c r="AK53" s="71">
        <v>0</v>
      </c>
      <c r="AL53" s="71">
        <v>0</v>
      </c>
      <c r="AM53" s="71">
        <v>3263946</v>
      </c>
      <c r="AN53" s="71">
        <v>76311561</v>
      </c>
      <c r="AO53" s="71">
        <v>2240799</v>
      </c>
      <c r="AP53" s="71">
        <v>0</v>
      </c>
      <c r="AQ53" s="71">
        <v>2504112</v>
      </c>
      <c r="AR53" s="71">
        <v>0</v>
      </c>
      <c r="AS53" s="71">
        <v>4744911</v>
      </c>
      <c r="AT53" s="71">
        <v>977858</v>
      </c>
      <c r="AU53" s="71">
        <v>0</v>
      </c>
      <c r="AV53" s="71">
        <v>1234017</v>
      </c>
      <c r="AW53" s="71">
        <v>0</v>
      </c>
      <c r="AX53" s="71">
        <v>2211875</v>
      </c>
      <c r="AY53" s="71">
        <v>3218657</v>
      </c>
      <c r="AZ53" s="71">
        <v>0</v>
      </c>
      <c r="BA53" s="71">
        <v>3738129</v>
      </c>
      <c r="BB53" s="71">
        <v>0</v>
      </c>
      <c r="BC53" s="71">
        <v>6956786</v>
      </c>
      <c r="BD53" s="71">
        <v>7755738</v>
      </c>
      <c r="BE53" s="71">
        <v>0</v>
      </c>
      <c r="BF53" s="71">
        <v>0</v>
      </c>
      <c r="BG53" s="71">
        <v>0</v>
      </c>
      <c r="BH53" s="71">
        <v>0</v>
      </c>
      <c r="BI53" s="71">
        <v>7755738</v>
      </c>
      <c r="BJ53" s="71">
        <v>0</v>
      </c>
      <c r="BK53" s="71">
        <v>0</v>
      </c>
      <c r="BL53" s="71">
        <v>914663</v>
      </c>
      <c r="BM53" s="71">
        <v>0</v>
      </c>
      <c r="BN53" s="71">
        <v>0</v>
      </c>
      <c r="BO53" s="71">
        <v>914663</v>
      </c>
      <c r="BP53" s="71">
        <v>10658122</v>
      </c>
      <c r="BQ53" s="71">
        <v>4843285</v>
      </c>
      <c r="BR53" s="71">
        <v>0</v>
      </c>
      <c r="BS53" s="71">
        <v>0</v>
      </c>
      <c r="BT53" s="71">
        <v>0</v>
      </c>
      <c r="BU53" s="71">
        <v>15501407</v>
      </c>
      <c r="BV53" s="71">
        <v>18413860</v>
      </c>
      <c r="BW53" s="71">
        <v>4843285</v>
      </c>
      <c r="BX53" s="71">
        <v>914663</v>
      </c>
      <c r="BY53" s="71">
        <v>0</v>
      </c>
      <c r="BZ53" s="71">
        <v>0</v>
      </c>
      <c r="CA53" s="71">
        <v>24171808</v>
      </c>
      <c r="CB53" s="71">
        <v>0</v>
      </c>
      <c r="CC53" s="71">
        <v>0</v>
      </c>
      <c r="CD53" s="71">
        <v>0</v>
      </c>
      <c r="CE53" s="71">
        <v>0</v>
      </c>
      <c r="CF53" s="71">
        <v>0</v>
      </c>
      <c r="CG53" s="71">
        <v>0</v>
      </c>
      <c r="CH53" s="71">
        <v>0</v>
      </c>
      <c r="CI53" s="71">
        <v>0</v>
      </c>
      <c r="CJ53" s="71">
        <v>0</v>
      </c>
      <c r="CK53" s="71">
        <v>0</v>
      </c>
      <c r="CL53" s="71">
        <v>0</v>
      </c>
      <c r="CM53" s="71">
        <v>0</v>
      </c>
      <c r="CN53" s="71">
        <v>0</v>
      </c>
      <c r="CO53" s="71">
        <v>0</v>
      </c>
      <c r="CP53" s="71">
        <v>0</v>
      </c>
      <c r="CQ53" s="71">
        <v>0</v>
      </c>
      <c r="CR53" s="71" t="s">
        <v>432</v>
      </c>
      <c r="CS53" s="71">
        <v>8204994</v>
      </c>
      <c r="CT53" s="71">
        <v>0</v>
      </c>
      <c r="CU53" s="71">
        <v>67324</v>
      </c>
      <c r="CV53" s="71">
        <v>159928</v>
      </c>
      <c r="CW53" s="71">
        <v>1944016</v>
      </c>
      <c r="CX53" s="71">
        <v>838322</v>
      </c>
      <c r="CY53" s="71">
        <v>0</v>
      </c>
      <c r="CZ53" s="71">
        <v>254512</v>
      </c>
      <c r="DA53" s="71">
        <v>508879</v>
      </c>
      <c r="DB53" s="71">
        <v>22554</v>
      </c>
      <c r="DC53" s="71">
        <v>200099</v>
      </c>
      <c r="DD53" s="71">
        <v>13376</v>
      </c>
      <c r="DE53" s="71">
        <v>358349</v>
      </c>
      <c r="DF53" s="71">
        <v>2036916</v>
      </c>
      <c r="DG53" s="71">
        <v>823461</v>
      </c>
      <c r="DH53" s="71">
        <v>442896</v>
      </c>
      <c r="DI53" s="71">
        <v>24816</v>
      </c>
      <c r="DJ53" s="71">
        <v>617453</v>
      </c>
      <c r="DK53" s="71">
        <v>0</v>
      </c>
      <c r="DL53" s="71">
        <v>113192</v>
      </c>
      <c r="DM53" s="71">
        <v>921824</v>
      </c>
      <c r="DN53" s="71">
        <v>185532</v>
      </c>
      <c r="DO53" s="71">
        <v>36660</v>
      </c>
      <c r="DP53" s="71">
        <v>31336</v>
      </c>
      <c r="DQ53" s="71">
        <v>318160</v>
      </c>
      <c r="DR53" s="71">
        <v>385170</v>
      </c>
      <c r="DS53" s="71">
        <v>3258512</v>
      </c>
      <c r="DT53" s="71">
        <v>966520</v>
      </c>
      <c r="DU53" s="71">
        <v>0</v>
      </c>
      <c r="DV53" s="71">
        <v>1222288</v>
      </c>
      <c r="DW53" s="71">
        <v>527696</v>
      </c>
      <c r="DX53" s="71">
        <v>16279791</v>
      </c>
      <c r="DY53" s="71">
        <v>143811</v>
      </c>
      <c r="DZ53" s="71">
        <v>1300459</v>
      </c>
      <c r="EA53" s="71">
        <v>8686934</v>
      </c>
      <c r="EB53" s="71">
        <v>3476452</v>
      </c>
      <c r="EC53" s="71">
        <v>0</v>
      </c>
      <c r="ED53" s="71">
        <v>581173</v>
      </c>
      <c r="EE53" s="71">
        <v>3321120</v>
      </c>
      <c r="EF53" s="71">
        <v>0</v>
      </c>
      <c r="EG53" s="71">
        <v>906298</v>
      </c>
      <c r="EH53" s="71">
        <v>126229</v>
      </c>
      <c r="EI53" s="71">
        <v>1987018</v>
      </c>
      <c r="EJ53" s="71">
        <v>9621488</v>
      </c>
      <c r="EK53" s="71">
        <v>3704740</v>
      </c>
      <c r="EL53" s="71">
        <v>4271223</v>
      </c>
      <c r="EM53" s="71">
        <v>477890</v>
      </c>
      <c r="EN53" s="71">
        <v>5200039</v>
      </c>
      <c r="EO53" s="71">
        <v>0</v>
      </c>
      <c r="EP53" s="71">
        <v>1342365</v>
      </c>
      <c r="EQ53" s="71">
        <v>3756147</v>
      </c>
      <c r="ER53" s="71">
        <v>1365090</v>
      </c>
      <c r="ES53" s="71">
        <v>241291</v>
      </c>
      <c r="ET53" s="71">
        <v>708016</v>
      </c>
      <c r="EU53" s="71">
        <v>1297933</v>
      </c>
      <c r="EV53" s="71">
        <v>1090787</v>
      </c>
      <c r="EW53" s="71">
        <v>11283368</v>
      </c>
      <c r="EX53" s="71">
        <v>7268676</v>
      </c>
      <c r="EY53" s="71">
        <v>0</v>
      </c>
      <c r="EZ53" s="71">
        <v>4980442</v>
      </c>
      <c r="FA53" s="71">
        <v>2550728</v>
      </c>
      <c r="FB53" s="71">
        <v>79689717</v>
      </c>
      <c r="FC53" s="71">
        <v>48291</v>
      </c>
      <c r="FD53" s="71">
        <v>311351</v>
      </c>
      <c r="FE53" s="71">
        <v>2204000</v>
      </c>
      <c r="FF53" s="71">
        <v>314047</v>
      </c>
      <c r="FG53" s="71">
        <v>0</v>
      </c>
      <c r="FH53" s="71">
        <v>152328</v>
      </c>
      <c r="FI53" s="71">
        <v>1474511</v>
      </c>
      <c r="FJ53" s="71">
        <v>0</v>
      </c>
      <c r="FK53" s="71">
        <v>728284</v>
      </c>
      <c r="FL53" s="71">
        <v>0</v>
      </c>
      <c r="FM53" s="71">
        <v>537062</v>
      </c>
      <c r="FN53" s="71">
        <v>206930</v>
      </c>
      <c r="FO53" s="71">
        <v>150071</v>
      </c>
      <c r="FP53" s="71">
        <v>616525</v>
      </c>
      <c r="FQ53" s="71">
        <v>112073</v>
      </c>
      <c r="FR53" s="71">
        <v>694853</v>
      </c>
      <c r="FS53" s="71">
        <v>0</v>
      </c>
      <c r="FT53" s="71">
        <v>188485</v>
      </c>
      <c r="FU53" s="71">
        <v>42867</v>
      </c>
      <c r="FV53" s="71">
        <v>331678</v>
      </c>
      <c r="FW53" s="71">
        <v>239760</v>
      </c>
      <c r="FX53" s="71">
        <v>173495</v>
      </c>
      <c r="FY53" s="71">
        <v>154849</v>
      </c>
      <c r="FZ53" s="71">
        <v>341075</v>
      </c>
      <c r="GA53" s="71">
        <v>373481</v>
      </c>
      <c r="GB53" s="71">
        <v>1147061</v>
      </c>
      <c r="GC53" s="71">
        <v>0</v>
      </c>
      <c r="GD53" s="71">
        <v>171469</v>
      </c>
      <c r="GE53" s="71">
        <v>136233</v>
      </c>
      <c r="GF53" s="71">
        <v>10850779</v>
      </c>
      <c r="GG53" s="71">
        <v>17409</v>
      </c>
      <c r="GH53" s="71">
        <v>146066</v>
      </c>
      <c r="GI53" s="71">
        <v>986962</v>
      </c>
      <c r="GJ53" s="71">
        <v>343504</v>
      </c>
      <c r="GK53" s="71">
        <v>0</v>
      </c>
      <c r="GL53" s="71">
        <v>66472</v>
      </c>
      <c r="GM53" s="71">
        <v>434591</v>
      </c>
      <c r="GN53" s="71">
        <v>0</v>
      </c>
      <c r="GO53" s="71">
        <v>148130</v>
      </c>
      <c r="GP53" s="71">
        <v>11439</v>
      </c>
      <c r="GQ53" s="71">
        <v>228738</v>
      </c>
      <c r="GR53" s="71">
        <v>890674</v>
      </c>
      <c r="GS53" s="71">
        <v>349332</v>
      </c>
      <c r="GT53" s="71">
        <v>442939</v>
      </c>
      <c r="GU53" s="71">
        <v>53464</v>
      </c>
      <c r="GV53" s="71">
        <v>534209</v>
      </c>
      <c r="GW53" s="71">
        <v>0</v>
      </c>
      <c r="GX53" s="71">
        <v>138729</v>
      </c>
      <c r="GY53" s="71">
        <v>344276</v>
      </c>
      <c r="GZ53" s="71">
        <v>153765</v>
      </c>
      <c r="HA53" s="71">
        <v>43594</v>
      </c>
      <c r="HB53" s="71">
        <v>79885</v>
      </c>
      <c r="HC53" s="71">
        <v>131655</v>
      </c>
      <c r="HD53" s="71">
        <v>129759</v>
      </c>
      <c r="HE53" s="71">
        <v>1056371</v>
      </c>
      <c r="HF53" s="71">
        <v>762654</v>
      </c>
      <c r="HG53" s="71">
        <v>0</v>
      </c>
      <c r="HH53" s="71">
        <v>466878</v>
      </c>
      <c r="HI53" s="71">
        <v>243499</v>
      </c>
      <c r="HJ53" s="71">
        <v>8204994</v>
      </c>
      <c r="HK53" s="71">
        <v>5870</v>
      </c>
      <c r="HL53" s="71">
        <v>235653</v>
      </c>
      <c r="HM53" s="71">
        <v>739093</v>
      </c>
      <c r="HN53" s="71">
        <v>98089</v>
      </c>
      <c r="HO53" s="71">
        <v>0</v>
      </c>
      <c r="HP53" s="71">
        <v>39552</v>
      </c>
      <c r="HQ53" s="71">
        <v>813162</v>
      </c>
      <c r="HR53" s="71">
        <v>14603</v>
      </c>
      <c r="HS53" s="71">
        <v>201346</v>
      </c>
      <c r="HT53" s="71">
        <v>4050</v>
      </c>
      <c r="HU53" s="71">
        <v>186661</v>
      </c>
      <c r="HV53" s="71">
        <v>164144</v>
      </c>
      <c r="HW53" s="71">
        <v>126239</v>
      </c>
      <c r="HX53" s="71">
        <v>303290</v>
      </c>
      <c r="HY53" s="71">
        <v>105155</v>
      </c>
      <c r="HZ53" s="71">
        <v>390388</v>
      </c>
      <c r="IA53" s="71">
        <v>0</v>
      </c>
      <c r="IB53" s="71">
        <v>40660</v>
      </c>
      <c r="IC53" s="71">
        <v>49636</v>
      </c>
      <c r="ID53" s="71">
        <v>233317</v>
      </c>
      <c r="IE53" s="71">
        <v>164716</v>
      </c>
      <c r="IF53" s="71">
        <v>47909</v>
      </c>
      <c r="IG53" s="71">
        <v>52649</v>
      </c>
      <c r="IH53" s="71">
        <v>133877</v>
      </c>
      <c r="II53" s="71">
        <v>228425</v>
      </c>
      <c r="IJ53" s="71">
        <v>469317</v>
      </c>
      <c r="IK53" s="71">
        <v>0</v>
      </c>
      <c r="IL53" s="71">
        <v>65815</v>
      </c>
      <c r="IM53" s="71">
        <v>52614</v>
      </c>
      <c r="IN53" s="71">
        <v>4966230</v>
      </c>
      <c r="IO53" s="71">
        <v>71570</v>
      </c>
      <c r="IP53" s="71">
        <v>693070</v>
      </c>
      <c r="IQ53" s="71">
        <v>3930055</v>
      </c>
      <c r="IR53" s="71">
        <v>755640</v>
      </c>
      <c r="IS53" s="71">
        <v>0</v>
      </c>
      <c r="IT53" s="71">
        <v>258352</v>
      </c>
      <c r="IU53" s="71">
        <v>2722264</v>
      </c>
      <c r="IV53" s="71">
        <v>14603</v>
      </c>
      <c r="IW53" s="71">
        <v>1077760</v>
      </c>
      <c r="IX53" s="71">
        <v>15489</v>
      </c>
      <c r="IY53" s="71">
        <v>952461</v>
      </c>
      <c r="IZ53" s="71">
        <v>1261748</v>
      </c>
      <c r="JA53" s="71">
        <v>625642</v>
      </c>
      <c r="JB53" s="71">
        <v>1362754</v>
      </c>
      <c r="JC53" s="71">
        <v>270692</v>
      </c>
      <c r="JD53" s="71">
        <v>1619450</v>
      </c>
      <c r="JE53" s="71">
        <v>0</v>
      </c>
      <c r="JF53" s="71">
        <v>367874</v>
      </c>
      <c r="JG53" s="71">
        <v>436779</v>
      </c>
      <c r="JH53" s="71">
        <v>718760</v>
      </c>
      <c r="JI53" s="71">
        <v>448070</v>
      </c>
      <c r="JJ53" s="71">
        <v>301289</v>
      </c>
      <c r="JK53" s="71">
        <v>339153</v>
      </c>
      <c r="JL53" s="71">
        <v>604711</v>
      </c>
      <c r="JM53" s="71">
        <v>1658277</v>
      </c>
      <c r="JN53" s="71">
        <v>2379032</v>
      </c>
      <c r="JO53" s="71">
        <v>0</v>
      </c>
      <c r="JP53" s="71">
        <v>704162</v>
      </c>
      <c r="JQ53" s="71">
        <v>432346</v>
      </c>
      <c r="JR53" s="71">
        <v>24022003</v>
      </c>
      <c r="JS53" s="71">
        <v>215381</v>
      </c>
      <c r="JT53" s="71">
        <v>1993529</v>
      </c>
      <c r="JU53" s="71">
        <v>12616989</v>
      </c>
      <c r="JV53" s="71">
        <v>4232092</v>
      </c>
      <c r="JW53" s="71">
        <v>0</v>
      </c>
      <c r="JX53" s="71">
        <v>839525</v>
      </c>
      <c r="JY53" s="71">
        <v>6043384</v>
      </c>
      <c r="JZ53" s="71">
        <v>14603</v>
      </c>
      <c r="KA53" s="71">
        <v>1984058</v>
      </c>
      <c r="KB53" s="71">
        <v>141718</v>
      </c>
      <c r="KC53" s="71">
        <v>2939479</v>
      </c>
      <c r="KD53" s="71">
        <v>10883236</v>
      </c>
      <c r="KE53" s="71">
        <v>4330382</v>
      </c>
      <c r="KF53" s="71">
        <v>5633977</v>
      </c>
      <c r="KG53" s="71">
        <v>748582</v>
      </c>
      <c r="KH53" s="71">
        <v>6819489</v>
      </c>
      <c r="KI53" s="71">
        <v>0</v>
      </c>
      <c r="KJ53" s="71">
        <v>1710239</v>
      </c>
      <c r="KK53" s="71">
        <v>4192926</v>
      </c>
      <c r="KL53" s="71">
        <v>2083850</v>
      </c>
      <c r="KM53" s="71">
        <v>689361</v>
      </c>
      <c r="KN53" s="71">
        <v>1009305</v>
      </c>
      <c r="KO53" s="71">
        <v>1637086</v>
      </c>
      <c r="KP53" s="71">
        <v>1695498</v>
      </c>
      <c r="KQ53" s="71">
        <v>12941645</v>
      </c>
      <c r="KR53" s="71">
        <v>9647708</v>
      </c>
      <c r="KS53" s="71">
        <v>0</v>
      </c>
      <c r="KT53" s="71">
        <v>5684604</v>
      </c>
      <c r="KU53" s="71">
        <v>2983074</v>
      </c>
      <c r="KV53" s="71">
        <v>103711720</v>
      </c>
      <c r="KW53" s="71" t="s">
        <v>1070</v>
      </c>
      <c r="KX53" s="71">
        <v>186729556</v>
      </c>
      <c r="KY53" s="71">
        <v>31128594</v>
      </c>
      <c r="KZ53" s="71">
        <v>217858150</v>
      </c>
      <c r="LA53" s="71">
        <v>0</v>
      </c>
      <c r="LB53" s="71">
        <v>3263946</v>
      </c>
    </row>
    <row r="54" spans="1:314" x14ac:dyDescent="0.25">
      <c r="A54" s="71" t="s">
        <v>434</v>
      </c>
      <c r="B54" s="71" t="s">
        <v>1295</v>
      </c>
      <c r="C54" s="160" t="s">
        <v>1345</v>
      </c>
      <c r="D54" s="71" t="s">
        <v>1414</v>
      </c>
      <c r="E54" s="2">
        <v>41304.731273148151</v>
      </c>
      <c r="F54" s="71"/>
      <c r="G54" s="71" t="s">
        <v>435</v>
      </c>
      <c r="H54" s="71" t="s">
        <v>1296</v>
      </c>
      <c r="I54" s="71" t="s">
        <v>1122</v>
      </c>
      <c r="J54" s="71" t="s">
        <v>1297</v>
      </c>
      <c r="K54" s="71" t="s">
        <v>1298</v>
      </c>
      <c r="L54" s="71">
        <v>0</v>
      </c>
      <c r="M54" s="71">
        <v>0</v>
      </c>
      <c r="N54" s="71">
        <v>0</v>
      </c>
      <c r="O54" s="71">
        <v>13027895</v>
      </c>
      <c r="P54" s="71">
        <v>0</v>
      </c>
      <c r="Q54" s="71">
        <v>406453</v>
      </c>
      <c r="R54" s="71">
        <v>0</v>
      </c>
      <c r="S54" s="71">
        <v>406453</v>
      </c>
      <c r="T54" s="71">
        <v>1470307</v>
      </c>
      <c r="U54" s="71">
        <v>702629</v>
      </c>
      <c r="V54" s="71">
        <v>605571</v>
      </c>
      <c r="W54" s="71">
        <v>0</v>
      </c>
      <c r="X54" s="71">
        <v>0</v>
      </c>
      <c r="Y54" s="71">
        <v>0</v>
      </c>
      <c r="Z54" s="71">
        <v>2778507</v>
      </c>
      <c r="AA54" s="71">
        <v>1092952</v>
      </c>
      <c r="AB54" s="71">
        <v>129469</v>
      </c>
      <c r="AC54" s="71">
        <v>92660</v>
      </c>
      <c r="AD54" s="71">
        <v>0</v>
      </c>
      <c r="AE54" s="71">
        <v>0</v>
      </c>
      <c r="AF54" s="71">
        <v>0</v>
      </c>
      <c r="AG54" s="71">
        <v>1315081</v>
      </c>
      <c r="AH54" s="71">
        <v>2563259</v>
      </c>
      <c r="AI54" s="71">
        <v>832098</v>
      </c>
      <c r="AJ54" s="71">
        <v>698231</v>
      </c>
      <c r="AK54" s="71">
        <v>0</v>
      </c>
      <c r="AL54" s="71">
        <v>0</v>
      </c>
      <c r="AM54" s="71">
        <v>0</v>
      </c>
      <c r="AN54" s="71">
        <v>4093588</v>
      </c>
      <c r="AO54" s="71">
        <v>0</v>
      </c>
      <c r="AP54" s="71">
        <v>0</v>
      </c>
      <c r="AQ54" s="71">
        <v>48921</v>
      </c>
      <c r="AR54" s="71">
        <v>0</v>
      </c>
      <c r="AS54" s="71">
        <v>48921</v>
      </c>
      <c r="AT54" s="71">
        <v>0</v>
      </c>
      <c r="AU54" s="71">
        <v>0</v>
      </c>
      <c r="AV54" s="71">
        <v>97805</v>
      </c>
      <c r="AW54" s="71">
        <v>0</v>
      </c>
      <c r="AX54" s="71">
        <v>97805</v>
      </c>
      <c r="AY54" s="71">
        <v>0</v>
      </c>
      <c r="AZ54" s="71">
        <v>0</v>
      </c>
      <c r="BA54" s="71">
        <v>146726</v>
      </c>
      <c r="BB54" s="71">
        <v>0</v>
      </c>
      <c r="BC54" s="71">
        <v>146726</v>
      </c>
      <c r="BD54" s="71">
        <v>269987</v>
      </c>
      <c r="BE54" s="71">
        <v>0</v>
      </c>
      <c r="BF54" s="71">
        <v>0</v>
      </c>
      <c r="BG54" s="71">
        <v>0</v>
      </c>
      <c r="BH54" s="71">
        <v>0</v>
      </c>
      <c r="BI54" s="71">
        <v>269987</v>
      </c>
      <c r="BJ54" s="71">
        <v>0</v>
      </c>
      <c r="BK54" s="71">
        <v>0</v>
      </c>
      <c r="BL54" s="71">
        <v>38812</v>
      </c>
      <c r="BM54" s="71">
        <v>0</v>
      </c>
      <c r="BN54" s="71">
        <v>0</v>
      </c>
      <c r="BO54" s="71">
        <v>38812</v>
      </c>
      <c r="BP54" s="71">
        <v>947266</v>
      </c>
      <c r="BQ54" s="71">
        <v>0</v>
      </c>
      <c r="BR54" s="71">
        <v>0</v>
      </c>
      <c r="BS54" s="71">
        <v>0</v>
      </c>
      <c r="BT54" s="71">
        <v>496485</v>
      </c>
      <c r="BU54" s="71">
        <v>1443751</v>
      </c>
      <c r="BV54" s="71">
        <v>1217253</v>
      </c>
      <c r="BW54" s="71">
        <v>0</v>
      </c>
      <c r="BX54" s="71">
        <v>38812</v>
      </c>
      <c r="BY54" s="71">
        <v>0</v>
      </c>
      <c r="BZ54" s="71">
        <v>496485</v>
      </c>
      <c r="CA54" s="71">
        <v>1752550</v>
      </c>
      <c r="CB54" s="71">
        <v>0</v>
      </c>
      <c r="CC54" s="71">
        <v>0</v>
      </c>
      <c r="CD54" s="71">
        <v>0</v>
      </c>
      <c r="CE54" s="71">
        <v>0</v>
      </c>
      <c r="CF54" s="71">
        <v>0</v>
      </c>
      <c r="CG54" s="71">
        <v>0</v>
      </c>
      <c r="CH54" s="71">
        <v>0</v>
      </c>
      <c r="CI54" s="71">
        <v>0</v>
      </c>
      <c r="CJ54" s="71">
        <v>0</v>
      </c>
      <c r="CK54" s="71">
        <v>0</v>
      </c>
      <c r="CL54" s="71">
        <v>0</v>
      </c>
      <c r="CM54" s="71">
        <v>0</v>
      </c>
      <c r="CN54" s="71">
        <v>0</v>
      </c>
      <c r="CO54" s="71">
        <v>0</v>
      </c>
      <c r="CP54" s="71">
        <v>0</v>
      </c>
      <c r="CQ54" s="71">
        <v>0</v>
      </c>
      <c r="CR54" s="71" t="s">
        <v>434</v>
      </c>
      <c r="CS54" s="71">
        <v>837047</v>
      </c>
      <c r="CT54" s="71">
        <v>0</v>
      </c>
      <c r="CU54" s="71">
        <v>21312</v>
      </c>
      <c r="CV54" s="71">
        <v>54688</v>
      </c>
      <c r="CW54" s="71">
        <v>193584</v>
      </c>
      <c r="CX54" s="71">
        <v>82104</v>
      </c>
      <c r="CY54" s="71">
        <v>0</v>
      </c>
      <c r="CZ54" s="71">
        <v>2848</v>
      </c>
      <c r="DA54" s="71">
        <v>22927</v>
      </c>
      <c r="DB54" s="71">
        <v>12716</v>
      </c>
      <c r="DC54" s="71">
        <v>109712</v>
      </c>
      <c r="DD54" s="71">
        <v>0</v>
      </c>
      <c r="DE54" s="71">
        <v>11744</v>
      </c>
      <c r="DF54" s="71">
        <v>183888</v>
      </c>
      <c r="DG54" s="71">
        <v>16032</v>
      </c>
      <c r="DH54" s="71">
        <v>69844</v>
      </c>
      <c r="DI54" s="71">
        <v>21808</v>
      </c>
      <c r="DJ54" s="71">
        <v>83955</v>
      </c>
      <c r="DK54" s="71">
        <v>0</v>
      </c>
      <c r="DL54" s="71">
        <v>29696</v>
      </c>
      <c r="DM54" s="71">
        <v>97008</v>
      </c>
      <c r="DN54" s="71">
        <v>35472</v>
      </c>
      <c r="DO54" s="71">
        <v>0</v>
      </c>
      <c r="DP54" s="71">
        <v>0</v>
      </c>
      <c r="DQ54" s="71">
        <v>48720</v>
      </c>
      <c r="DR54" s="71">
        <v>56220</v>
      </c>
      <c r="DS54" s="71">
        <v>243904</v>
      </c>
      <c r="DT54" s="71">
        <v>51928</v>
      </c>
      <c r="DU54" s="71">
        <v>0</v>
      </c>
      <c r="DV54" s="71">
        <v>53712</v>
      </c>
      <c r="DW54" s="71">
        <v>32928</v>
      </c>
      <c r="DX54" s="71">
        <v>1536750</v>
      </c>
      <c r="DY54" s="71">
        <v>182335</v>
      </c>
      <c r="DZ54" s="71">
        <v>123421</v>
      </c>
      <c r="EA54" s="71">
        <v>704640</v>
      </c>
      <c r="EB54" s="71">
        <v>276892</v>
      </c>
      <c r="EC54" s="71">
        <v>0</v>
      </c>
      <c r="ED54" s="71">
        <v>0</v>
      </c>
      <c r="EE54" s="71">
        <v>176389</v>
      </c>
      <c r="EF54" s="71">
        <v>43155</v>
      </c>
      <c r="EG54" s="71">
        <v>222343</v>
      </c>
      <c r="EH54" s="71">
        <v>0</v>
      </c>
      <c r="EI54" s="71">
        <v>49431</v>
      </c>
      <c r="EJ54" s="71">
        <v>422227</v>
      </c>
      <c r="EK54" s="71">
        <v>69512</v>
      </c>
      <c r="EL54" s="71">
        <v>319653</v>
      </c>
      <c r="EM54" s="71">
        <v>218290</v>
      </c>
      <c r="EN54" s="71">
        <v>368149</v>
      </c>
      <c r="EO54" s="71">
        <v>0</v>
      </c>
      <c r="EP54" s="71">
        <v>228579</v>
      </c>
      <c r="EQ54" s="71">
        <v>391008</v>
      </c>
      <c r="ER54" s="71">
        <v>259868</v>
      </c>
      <c r="ES54" s="71">
        <v>0</v>
      </c>
      <c r="ET54" s="71">
        <v>0</v>
      </c>
      <c r="EU54" s="71">
        <v>128436</v>
      </c>
      <c r="EV54" s="71">
        <v>236611</v>
      </c>
      <c r="EW54" s="71">
        <v>600807</v>
      </c>
      <c r="EX54" s="71">
        <v>286852</v>
      </c>
      <c r="EY54" s="71">
        <v>0</v>
      </c>
      <c r="EZ54" s="71">
        <v>69540</v>
      </c>
      <c r="FA54" s="71">
        <v>69539</v>
      </c>
      <c r="FB54" s="71">
        <v>5447677</v>
      </c>
      <c r="FC54" s="71">
        <v>44501</v>
      </c>
      <c r="FD54" s="71">
        <v>248</v>
      </c>
      <c r="FE54" s="71">
        <v>5334</v>
      </c>
      <c r="FF54" s="71">
        <v>18757</v>
      </c>
      <c r="FG54" s="71">
        <v>0</v>
      </c>
      <c r="FH54" s="71">
        <v>0</v>
      </c>
      <c r="FI54" s="71">
        <v>1357</v>
      </c>
      <c r="FJ54" s="71">
        <v>29277</v>
      </c>
      <c r="FK54" s="71">
        <v>18737</v>
      </c>
      <c r="FL54" s="71">
        <v>0</v>
      </c>
      <c r="FM54" s="71">
        <v>36817</v>
      </c>
      <c r="FN54" s="71">
        <v>29390</v>
      </c>
      <c r="FO54" s="71">
        <v>568</v>
      </c>
      <c r="FP54" s="71">
        <v>0</v>
      </c>
      <c r="FQ54" s="71">
        <v>22596</v>
      </c>
      <c r="FR54" s="71">
        <v>24988</v>
      </c>
      <c r="FS54" s="71">
        <v>0</v>
      </c>
      <c r="FT54" s="71">
        <v>0</v>
      </c>
      <c r="FU54" s="71">
        <v>15123</v>
      </c>
      <c r="FV54" s="71">
        <v>142</v>
      </c>
      <c r="FW54" s="71">
        <v>0</v>
      </c>
      <c r="FX54" s="71">
        <v>0</v>
      </c>
      <c r="FY54" s="71">
        <v>6563</v>
      </c>
      <c r="FZ54" s="71">
        <v>32176</v>
      </c>
      <c r="GA54" s="71">
        <v>40182</v>
      </c>
      <c r="GB54" s="71">
        <v>4806</v>
      </c>
      <c r="GC54" s="71">
        <v>0</v>
      </c>
      <c r="GD54" s="71">
        <v>21776</v>
      </c>
      <c r="GE54" s="71">
        <v>21776</v>
      </c>
      <c r="GF54" s="71">
        <v>375114</v>
      </c>
      <c r="GG54" s="71">
        <v>32608</v>
      </c>
      <c r="GH54" s="71">
        <v>17778</v>
      </c>
      <c r="GI54" s="71">
        <v>102061</v>
      </c>
      <c r="GJ54" s="71">
        <v>42501</v>
      </c>
      <c r="GK54" s="71">
        <v>0</v>
      </c>
      <c r="GL54" s="71">
        <v>0</v>
      </c>
      <c r="GM54" s="71">
        <v>25552</v>
      </c>
      <c r="GN54" s="71">
        <v>10412</v>
      </c>
      <c r="GO54" s="71">
        <v>34656</v>
      </c>
      <c r="GP54" s="71">
        <v>0</v>
      </c>
      <c r="GQ54" s="71">
        <v>12398</v>
      </c>
      <c r="GR54" s="71">
        <v>64922</v>
      </c>
      <c r="GS54" s="71">
        <v>10074</v>
      </c>
      <c r="GT54" s="71">
        <v>45951</v>
      </c>
      <c r="GU54" s="71">
        <v>34628</v>
      </c>
      <c r="GV54" s="71">
        <v>56515</v>
      </c>
      <c r="GW54" s="71">
        <v>0</v>
      </c>
      <c r="GX54" s="71">
        <v>32859</v>
      </c>
      <c r="GY54" s="71">
        <v>58383</v>
      </c>
      <c r="GZ54" s="71">
        <v>37377</v>
      </c>
      <c r="HA54" s="71">
        <v>0</v>
      </c>
      <c r="HB54" s="71">
        <v>0</v>
      </c>
      <c r="HC54" s="71">
        <v>19407</v>
      </c>
      <c r="HD54" s="71">
        <v>38639</v>
      </c>
      <c r="HE54" s="71">
        <v>92144</v>
      </c>
      <c r="HF54" s="71">
        <v>41927</v>
      </c>
      <c r="HG54" s="71">
        <v>0</v>
      </c>
      <c r="HH54" s="71">
        <v>13127</v>
      </c>
      <c r="HI54" s="71">
        <v>13127</v>
      </c>
      <c r="HJ54" s="71">
        <v>837047</v>
      </c>
      <c r="HK54" s="71">
        <v>38589</v>
      </c>
      <c r="HL54" s="71">
        <v>39897</v>
      </c>
      <c r="HM54" s="71">
        <v>40039</v>
      </c>
      <c r="HN54" s="71">
        <v>13740</v>
      </c>
      <c r="HO54" s="71">
        <v>0</v>
      </c>
      <c r="HP54" s="71">
        <v>27971</v>
      </c>
      <c r="HQ54" s="71">
        <v>4408</v>
      </c>
      <c r="HR54" s="71">
        <v>13452</v>
      </c>
      <c r="HS54" s="71">
        <v>25641</v>
      </c>
      <c r="HT54" s="71">
        <v>0</v>
      </c>
      <c r="HU54" s="71">
        <v>19165</v>
      </c>
      <c r="HV54" s="71">
        <v>26352</v>
      </c>
      <c r="HW54" s="71">
        <v>2245</v>
      </c>
      <c r="HX54" s="71">
        <v>19673</v>
      </c>
      <c r="HY54" s="71">
        <v>15681</v>
      </c>
      <c r="HZ54" s="71">
        <v>51576</v>
      </c>
      <c r="IA54" s="71">
        <v>0</v>
      </c>
      <c r="IB54" s="71">
        <v>6494</v>
      </c>
      <c r="IC54" s="71">
        <v>5113</v>
      </c>
      <c r="ID54" s="71">
        <v>43318</v>
      </c>
      <c r="IE54" s="71">
        <v>0</v>
      </c>
      <c r="IF54" s="71">
        <v>0</v>
      </c>
      <c r="IG54" s="71">
        <v>1479</v>
      </c>
      <c r="IH54" s="71">
        <v>46180</v>
      </c>
      <c r="II54" s="71">
        <v>11461</v>
      </c>
      <c r="IJ54" s="71">
        <v>10786</v>
      </c>
      <c r="IK54" s="71">
        <v>0</v>
      </c>
      <c r="IL54" s="71">
        <v>982</v>
      </c>
      <c r="IM54" s="71">
        <v>983</v>
      </c>
      <c r="IN54" s="71">
        <v>465225</v>
      </c>
      <c r="IO54" s="71">
        <v>115698</v>
      </c>
      <c r="IP54" s="71">
        <v>57923</v>
      </c>
      <c r="IQ54" s="71">
        <v>147434</v>
      </c>
      <c r="IR54" s="71">
        <v>74998</v>
      </c>
      <c r="IS54" s="71">
        <v>0</v>
      </c>
      <c r="IT54" s="71">
        <v>27971</v>
      </c>
      <c r="IU54" s="71">
        <v>31317</v>
      </c>
      <c r="IV54" s="71">
        <v>53141</v>
      </c>
      <c r="IW54" s="71">
        <v>79034</v>
      </c>
      <c r="IX54" s="71">
        <v>0</v>
      </c>
      <c r="IY54" s="71">
        <v>68380</v>
      </c>
      <c r="IZ54" s="71">
        <v>120664</v>
      </c>
      <c r="JA54" s="71">
        <v>12887</v>
      </c>
      <c r="JB54" s="71">
        <v>65624</v>
      </c>
      <c r="JC54" s="71">
        <v>72905</v>
      </c>
      <c r="JD54" s="71">
        <v>133079</v>
      </c>
      <c r="JE54" s="71">
        <v>0</v>
      </c>
      <c r="JF54" s="71">
        <v>39353</v>
      </c>
      <c r="JG54" s="71">
        <v>78619</v>
      </c>
      <c r="JH54" s="71">
        <v>80837</v>
      </c>
      <c r="JI54" s="71">
        <v>0</v>
      </c>
      <c r="JJ54" s="71">
        <v>0</v>
      </c>
      <c r="JK54" s="71">
        <v>27449</v>
      </c>
      <c r="JL54" s="71">
        <v>116995</v>
      </c>
      <c r="JM54" s="71">
        <v>143787</v>
      </c>
      <c r="JN54" s="71">
        <v>57519</v>
      </c>
      <c r="JO54" s="71">
        <v>0</v>
      </c>
      <c r="JP54" s="71">
        <v>35885</v>
      </c>
      <c r="JQ54" s="71">
        <v>35886</v>
      </c>
      <c r="JR54" s="71">
        <v>1677386</v>
      </c>
      <c r="JS54" s="71">
        <v>298033</v>
      </c>
      <c r="JT54" s="71">
        <v>181344</v>
      </c>
      <c r="JU54" s="71">
        <v>852074</v>
      </c>
      <c r="JV54" s="71">
        <v>351890</v>
      </c>
      <c r="JW54" s="71">
        <v>0</v>
      </c>
      <c r="JX54" s="71">
        <v>27971</v>
      </c>
      <c r="JY54" s="71">
        <v>207706</v>
      </c>
      <c r="JZ54" s="71">
        <v>96296</v>
      </c>
      <c r="KA54" s="71">
        <v>301377</v>
      </c>
      <c r="KB54" s="71">
        <v>0</v>
      </c>
      <c r="KC54" s="71">
        <v>117811</v>
      </c>
      <c r="KD54" s="71">
        <v>542891</v>
      </c>
      <c r="KE54" s="71">
        <v>82399</v>
      </c>
      <c r="KF54" s="71">
        <v>385277</v>
      </c>
      <c r="KG54" s="71">
        <v>291195</v>
      </c>
      <c r="KH54" s="71">
        <v>501228</v>
      </c>
      <c r="KI54" s="71">
        <v>0</v>
      </c>
      <c r="KJ54" s="71">
        <v>267932</v>
      </c>
      <c r="KK54" s="71">
        <v>469627</v>
      </c>
      <c r="KL54" s="71">
        <v>340705</v>
      </c>
      <c r="KM54" s="71">
        <v>0</v>
      </c>
      <c r="KN54" s="71">
        <v>0</v>
      </c>
      <c r="KO54" s="71">
        <v>155885</v>
      </c>
      <c r="KP54" s="71">
        <v>353606</v>
      </c>
      <c r="KQ54" s="71">
        <v>744594</v>
      </c>
      <c r="KR54" s="71">
        <v>344371</v>
      </c>
      <c r="KS54" s="71">
        <v>0</v>
      </c>
      <c r="KT54" s="71">
        <v>105425</v>
      </c>
      <c r="KU54" s="71">
        <v>105425</v>
      </c>
      <c r="KV54" s="71">
        <v>7125063</v>
      </c>
      <c r="KW54" s="71" t="s">
        <v>1070</v>
      </c>
      <c r="KX54" s="71">
        <v>11625104</v>
      </c>
      <c r="KY54" s="71">
        <v>1899276</v>
      </c>
      <c r="KZ54" s="71">
        <v>13524380</v>
      </c>
      <c r="LA54" s="71">
        <v>0</v>
      </c>
      <c r="LB54" s="71">
        <v>496485</v>
      </c>
    </row>
    <row r="55" spans="1:314" x14ac:dyDescent="0.25">
      <c r="A55" s="71" t="s">
        <v>436</v>
      </c>
      <c r="B55" s="71" t="s">
        <v>1299</v>
      </c>
      <c r="C55" s="160" t="s">
        <v>1345</v>
      </c>
      <c r="D55" s="71" t="s">
        <v>1408</v>
      </c>
      <c r="E55" s="2">
        <v>41304.552858796298</v>
      </c>
      <c r="F55" s="71"/>
      <c r="G55" s="71" t="s">
        <v>1300</v>
      </c>
      <c r="H55" s="71" t="s">
        <v>1301</v>
      </c>
      <c r="I55" s="71" t="s">
        <v>1302</v>
      </c>
      <c r="J55" s="71" t="s">
        <v>1303</v>
      </c>
      <c r="K55" s="71" t="s">
        <v>1304</v>
      </c>
      <c r="L55" s="71">
        <v>0</v>
      </c>
      <c r="M55" s="71">
        <v>0</v>
      </c>
      <c r="N55" s="71">
        <v>0</v>
      </c>
      <c r="O55" s="71">
        <v>17337591</v>
      </c>
      <c r="P55" s="71">
        <v>0</v>
      </c>
      <c r="Q55" s="71">
        <v>1010612</v>
      </c>
      <c r="R55" s="71">
        <v>0</v>
      </c>
      <c r="S55" s="71">
        <v>1010612</v>
      </c>
      <c r="T55" s="71">
        <v>1964314</v>
      </c>
      <c r="U55" s="71">
        <v>827737</v>
      </c>
      <c r="V55" s="71">
        <v>640834</v>
      </c>
      <c r="W55" s="71">
        <v>0</v>
      </c>
      <c r="X55" s="71">
        <v>9141</v>
      </c>
      <c r="Y55" s="71">
        <v>0</v>
      </c>
      <c r="Z55" s="71">
        <v>3442026</v>
      </c>
      <c r="AA55" s="71">
        <v>1937389</v>
      </c>
      <c r="AB55" s="71">
        <v>9293</v>
      </c>
      <c r="AC55" s="71">
        <v>899299</v>
      </c>
      <c r="AD55" s="71">
        <v>0</v>
      </c>
      <c r="AE55" s="71">
        <v>0</v>
      </c>
      <c r="AF55" s="71">
        <v>1013295</v>
      </c>
      <c r="AG55" s="71">
        <v>3859276</v>
      </c>
      <c r="AH55" s="71">
        <v>3901703</v>
      </c>
      <c r="AI55" s="71">
        <v>837030</v>
      </c>
      <c r="AJ55" s="71">
        <v>1540133</v>
      </c>
      <c r="AK55" s="71">
        <v>0</v>
      </c>
      <c r="AL55" s="71">
        <v>9141</v>
      </c>
      <c r="AM55" s="71">
        <v>1013295</v>
      </c>
      <c r="AN55" s="71">
        <v>7301302</v>
      </c>
      <c r="AO55" s="71">
        <v>0</v>
      </c>
      <c r="AP55" s="71">
        <v>81746</v>
      </c>
      <c r="AQ55" s="71">
        <v>261000</v>
      </c>
      <c r="AR55" s="71">
        <v>0</v>
      </c>
      <c r="AS55" s="71">
        <v>342746</v>
      </c>
      <c r="AT55" s="71">
        <v>0</v>
      </c>
      <c r="AU55" s="71">
        <v>76691</v>
      </c>
      <c r="AV55" s="71">
        <v>56227</v>
      </c>
      <c r="AW55" s="71">
        <v>0</v>
      </c>
      <c r="AX55" s="71">
        <v>132918</v>
      </c>
      <c r="AY55" s="71">
        <v>0</v>
      </c>
      <c r="AZ55" s="71">
        <v>158437</v>
      </c>
      <c r="BA55" s="71">
        <v>317227</v>
      </c>
      <c r="BB55" s="71">
        <v>0</v>
      </c>
      <c r="BC55" s="71">
        <v>475664</v>
      </c>
      <c r="BD55" s="71">
        <v>742132</v>
      </c>
      <c r="BE55" s="71">
        <v>239895</v>
      </c>
      <c r="BF55" s="71">
        <v>0</v>
      </c>
      <c r="BG55" s="71">
        <v>0</v>
      </c>
      <c r="BH55" s="71">
        <v>0</v>
      </c>
      <c r="BI55" s="71">
        <v>982027</v>
      </c>
      <c r="BJ55" s="71">
        <v>0</v>
      </c>
      <c r="BK55" s="71">
        <v>0</v>
      </c>
      <c r="BL55" s="71">
        <v>287559</v>
      </c>
      <c r="BM55" s="71">
        <v>0</v>
      </c>
      <c r="BN55" s="71">
        <v>0</v>
      </c>
      <c r="BO55" s="71">
        <v>287559</v>
      </c>
      <c r="BP55" s="71">
        <v>936272</v>
      </c>
      <c r="BQ55" s="71">
        <v>0</v>
      </c>
      <c r="BR55" s="71">
        <v>0</v>
      </c>
      <c r="BS55" s="71">
        <v>0</v>
      </c>
      <c r="BT55" s="71">
        <v>418768</v>
      </c>
      <c r="BU55" s="71">
        <v>1355040</v>
      </c>
      <c r="BV55" s="71">
        <v>1678404</v>
      </c>
      <c r="BW55" s="71">
        <v>239895</v>
      </c>
      <c r="BX55" s="71">
        <v>287559</v>
      </c>
      <c r="BY55" s="71">
        <v>0</v>
      </c>
      <c r="BZ55" s="71">
        <v>418768</v>
      </c>
      <c r="CA55" s="71">
        <v>2624626</v>
      </c>
      <c r="CB55" s="71">
        <v>0</v>
      </c>
      <c r="CC55" s="71">
        <v>0</v>
      </c>
      <c r="CD55" s="71">
        <v>0</v>
      </c>
      <c r="CE55" s="71">
        <v>0</v>
      </c>
      <c r="CF55" s="71">
        <v>0</v>
      </c>
      <c r="CG55" s="71">
        <v>0</v>
      </c>
      <c r="CH55" s="71">
        <v>0</v>
      </c>
      <c r="CI55" s="71">
        <v>0</v>
      </c>
      <c r="CJ55" s="71">
        <v>0</v>
      </c>
      <c r="CK55" s="71">
        <v>0</v>
      </c>
      <c r="CL55" s="71">
        <v>0</v>
      </c>
      <c r="CM55" s="71">
        <v>0</v>
      </c>
      <c r="CN55" s="71">
        <v>0</v>
      </c>
      <c r="CO55" s="71">
        <v>0</v>
      </c>
      <c r="CP55" s="71">
        <v>0</v>
      </c>
      <c r="CQ55" s="71">
        <v>0</v>
      </c>
      <c r="CR55" s="71" t="s">
        <v>436</v>
      </c>
      <c r="CS55" s="71">
        <v>1485774</v>
      </c>
      <c r="CT55" s="71">
        <v>0</v>
      </c>
      <c r="CU55" s="71">
        <v>0</v>
      </c>
      <c r="CV55" s="71">
        <v>11232</v>
      </c>
      <c r="CW55" s="71">
        <v>115120</v>
      </c>
      <c r="CX55" s="71">
        <v>99872</v>
      </c>
      <c r="CY55" s="71">
        <v>0</v>
      </c>
      <c r="CZ55" s="71">
        <v>30112</v>
      </c>
      <c r="DA55" s="71">
        <v>164560</v>
      </c>
      <c r="DB55" s="71">
        <v>43680</v>
      </c>
      <c r="DC55" s="71">
        <v>140384</v>
      </c>
      <c r="DD55" s="71">
        <v>0</v>
      </c>
      <c r="DE55" s="71">
        <v>117360</v>
      </c>
      <c r="DF55" s="71">
        <v>87024</v>
      </c>
      <c r="DG55" s="71">
        <v>5328</v>
      </c>
      <c r="DH55" s="71">
        <v>345328</v>
      </c>
      <c r="DI55" s="71">
        <v>0</v>
      </c>
      <c r="DJ55" s="71">
        <v>54108</v>
      </c>
      <c r="DK55" s="71">
        <v>0</v>
      </c>
      <c r="DL55" s="71">
        <v>116176</v>
      </c>
      <c r="DM55" s="71">
        <v>41232</v>
      </c>
      <c r="DN55" s="71">
        <v>26176</v>
      </c>
      <c r="DO55" s="71">
        <v>26304</v>
      </c>
      <c r="DP55" s="71">
        <v>10224</v>
      </c>
      <c r="DQ55" s="71">
        <v>12576</v>
      </c>
      <c r="DR55" s="71">
        <v>5616</v>
      </c>
      <c r="DS55" s="71">
        <v>138080</v>
      </c>
      <c r="DT55" s="71">
        <v>61680</v>
      </c>
      <c r="DU55" s="71">
        <v>0</v>
      </c>
      <c r="DV55" s="71">
        <v>53840</v>
      </c>
      <c r="DW55" s="71">
        <v>28832</v>
      </c>
      <c r="DX55" s="71">
        <v>1734844</v>
      </c>
      <c r="DY55" s="71">
        <v>0</v>
      </c>
      <c r="DZ55" s="71">
        <v>27916</v>
      </c>
      <c r="EA55" s="71">
        <v>286116</v>
      </c>
      <c r="EB55" s="71">
        <v>248219</v>
      </c>
      <c r="EC55" s="71">
        <v>0</v>
      </c>
      <c r="ED55" s="71">
        <v>74840</v>
      </c>
      <c r="EE55" s="71">
        <v>408993</v>
      </c>
      <c r="EF55" s="71">
        <v>108561</v>
      </c>
      <c r="EG55" s="71">
        <v>348907</v>
      </c>
      <c r="EH55" s="71">
        <v>0</v>
      </c>
      <c r="EI55" s="71">
        <v>291683</v>
      </c>
      <c r="EJ55" s="71">
        <v>216287</v>
      </c>
      <c r="EK55" s="71">
        <v>13242</v>
      </c>
      <c r="EL55" s="71">
        <v>858269</v>
      </c>
      <c r="EM55" s="71">
        <v>0</v>
      </c>
      <c r="EN55" s="71">
        <v>134479</v>
      </c>
      <c r="EO55" s="71">
        <v>0</v>
      </c>
      <c r="EP55" s="71">
        <v>288741</v>
      </c>
      <c r="EQ55" s="71">
        <v>102477</v>
      </c>
      <c r="ER55" s="71">
        <v>65057</v>
      </c>
      <c r="ES55" s="71">
        <v>65375</v>
      </c>
      <c r="ET55" s="71">
        <v>25410</v>
      </c>
      <c r="EU55" s="71">
        <v>31256</v>
      </c>
      <c r="EV55" s="71">
        <v>13958</v>
      </c>
      <c r="EW55" s="71">
        <v>343180</v>
      </c>
      <c r="EX55" s="71">
        <v>153298</v>
      </c>
      <c r="EY55" s="71">
        <v>0</v>
      </c>
      <c r="EZ55" s="71">
        <v>133812</v>
      </c>
      <c r="FA55" s="71">
        <v>71658</v>
      </c>
      <c r="FB55" s="71">
        <v>4311734</v>
      </c>
      <c r="FC55" s="71">
        <v>0</v>
      </c>
      <c r="FD55" s="71">
        <v>8197</v>
      </c>
      <c r="FE55" s="71">
        <v>84010</v>
      </c>
      <c r="FF55" s="71">
        <v>72883</v>
      </c>
      <c r="FG55" s="71">
        <v>0</v>
      </c>
      <c r="FH55" s="71">
        <v>21975</v>
      </c>
      <c r="FI55" s="71">
        <v>120090</v>
      </c>
      <c r="FJ55" s="71">
        <v>31876</v>
      </c>
      <c r="FK55" s="71">
        <v>102447</v>
      </c>
      <c r="FL55" s="71">
        <v>0</v>
      </c>
      <c r="FM55" s="71">
        <v>85645</v>
      </c>
      <c r="FN55" s="71">
        <v>63507</v>
      </c>
      <c r="FO55" s="71">
        <v>3888</v>
      </c>
      <c r="FP55" s="71">
        <v>252007</v>
      </c>
      <c r="FQ55" s="71">
        <v>0</v>
      </c>
      <c r="FR55" s="71">
        <v>39486</v>
      </c>
      <c r="FS55" s="71">
        <v>0</v>
      </c>
      <c r="FT55" s="71">
        <v>84781</v>
      </c>
      <c r="FU55" s="71">
        <v>30090</v>
      </c>
      <c r="FV55" s="71">
        <v>19102</v>
      </c>
      <c r="FW55" s="71">
        <v>19196</v>
      </c>
      <c r="FX55" s="71">
        <v>7461</v>
      </c>
      <c r="FY55" s="71">
        <v>9177</v>
      </c>
      <c r="FZ55" s="71">
        <v>4098</v>
      </c>
      <c r="GA55" s="71">
        <v>100766</v>
      </c>
      <c r="GB55" s="71">
        <v>45012</v>
      </c>
      <c r="GC55" s="71">
        <v>0</v>
      </c>
      <c r="GD55" s="71">
        <v>39290</v>
      </c>
      <c r="GE55" s="71">
        <v>21041</v>
      </c>
      <c r="GF55" s="71">
        <v>1266025</v>
      </c>
      <c r="GG55" s="71">
        <v>0</v>
      </c>
      <c r="GH55" s="71">
        <v>9620</v>
      </c>
      <c r="GI55" s="71">
        <v>98592</v>
      </c>
      <c r="GJ55" s="71">
        <v>85533</v>
      </c>
      <c r="GK55" s="71">
        <v>0</v>
      </c>
      <c r="GL55" s="71">
        <v>25789</v>
      </c>
      <c r="GM55" s="71">
        <v>140934</v>
      </c>
      <c r="GN55" s="71">
        <v>37409</v>
      </c>
      <c r="GO55" s="71">
        <v>120229</v>
      </c>
      <c r="GP55" s="71">
        <v>0</v>
      </c>
      <c r="GQ55" s="71">
        <v>100511</v>
      </c>
      <c r="GR55" s="71">
        <v>74530</v>
      </c>
      <c r="GS55" s="71">
        <v>4563</v>
      </c>
      <c r="GT55" s="71">
        <v>295749</v>
      </c>
      <c r="GU55" s="71">
        <v>0</v>
      </c>
      <c r="GV55" s="71">
        <v>46340</v>
      </c>
      <c r="GW55" s="71">
        <v>0</v>
      </c>
      <c r="GX55" s="71">
        <v>99497</v>
      </c>
      <c r="GY55" s="71">
        <v>35312</v>
      </c>
      <c r="GZ55" s="71">
        <v>22418</v>
      </c>
      <c r="HA55" s="71">
        <v>22528</v>
      </c>
      <c r="HB55" s="71">
        <v>8756</v>
      </c>
      <c r="HC55" s="71">
        <v>10770</v>
      </c>
      <c r="HD55" s="71">
        <v>4810</v>
      </c>
      <c r="HE55" s="71">
        <v>118256</v>
      </c>
      <c r="HF55" s="71">
        <v>52825</v>
      </c>
      <c r="HG55" s="71">
        <v>0</v>
      </c>
      <c r="HH55" s="71">
        <v>46110</v>
      </c>
      <c r="HI55" s="71">
        <v>24693</v>
      </c>
      <c r="HJ55" s="71">
        <v>1485774</v>
      </c>
      <c r="HK55" s="71">
        <v>0</v>
      </c>
      <c r="HL55" s="71">
        <v>1903</v>
      </c>
      <c r="HM55" s="71">
        <v>19504</v>
      </c>
      <c r="HN55" s="71">
        <v>16920</v>
      </c>
      <c r="HO55" s="71">
        <v>0</v>
      </c>
      <c r="HP55" s="71">
        <v>5102</v>
      </c>
      <c r="HQ55" s="71">
        <v>27880</v>
      </c>
      <c r="HR55" s="71">
        <v>7400</v>
      </c>
      <c r="HS55" s="71">
        <v>23784</v>
      </c>
      <c r="HT55" s="71">
        <v>0</v>
      </c>
      <c r="HU55" s="71">
        <v>19883</v>
      </c>
      <c r="HV55" s="71">
        <v>14744</v>
      </c>
      <c r="HW55" s="71">
        <v>903</v>
      </c>
      <c r="HX55" s="71">
        <v>58505</v>
      </c>
      <c r="HY55" s="71">
        <v>0</v>
      </c>
      <c r="HZ55" s="71">
        <v>9167</v>
      </c>
      <c r="IA55" s="71">
        <v>0</v>
      </c>
      <c r="IB55" s="71">
        <v>19682</v>
      </c>
      <c r="IC55" s="71">
        <v>6985</v>
      </c>
      <c r="ID55" s="71">
        <v>4435</v>
      </c>
      <c r="IE55" s="71">
        <v>4456</v>
      </c>
      <c r="IF55" s="71">
        <v>1732</v>
      </c>
      <c r="IG55" s="71">
        <v>2131</v>
      </c>
      <c r="IH55" s="71">
        <v>951</v>
      </c>
      <c r="II55" s="71">
        <v>23394</v>
      </c>
      <c r="IJ55" s="71">
        <v>10450</v>
      </c>
      <c r="IK55" s="71">
        <v>0</v>
      </c>
      <c r="IL55" s="71">
        <v>9121</v>
      </c>
      <c r="IM55" s="71">
        <v>4885</v>
      </c>
      <c r="IN55" s="71">
        <v>293917</v>
      </c>
      <c r="IO55" s="71">
        <v>0</v>
      </c>
      <c r="IP55" s="71">
        <v>19720</v>
      </c>
      <c r="IQ55" s="71">
        <v>202106</v>
      </c>
      <c r="IR55" s="71">
        <v>175336</v>
      </c>
      <c r="IS55" s="71">
        <v>0</v>
      </c>
      <c r="IT55" s="71">
        <v>52866</v>
      </c>
      <c r="IU55" s="71">
        <v>288904</v>
      </c>
      <c r="IV55" s="71">
        <v>76685</v>
      </c>
      <c r="IW55" s="71">
        <v>246460</v>
      </c>
      <c r="IX55" s="71">
        <v>0</v>
      </c>
      <c r="IY55" s="71">
        <v>206039</v>
      </c>
      <c r="IZ55" s="71">
        <v>152781</v>
      </c>
      <c r="JA55" s="71">
        <v>9354</v>
      </c>
      <c r="JB55" s="71">
        <v>606261</v>
      </c>
      <c r="JC55" s="71">
        <v>0</v>
      </c>
      <c r="JD55" s="71">
        <v>94993</v>
      </c>
      <c r="JE55" s="71">
        <v>0</v>
      </c>
      <c r="JF55" s="71">
        <v>203960</v>
      </c>
      <c r="JG55" s="71">
        <v>72387</v>
      </c>
      <c r="JH55" s="71">
        <v>45955</v>
      </c>
      <c r="JI55" s="71">
        <v>46180</v>
      </c>
      <c r="JJ55" s="71">
        <v>17949</v>
      </c>
      <c r="JK55" s="71">
        <v>22078</v>
      </c>
      <c r="JL55" s="71">
        <v>9859</v>
      </c>
      <c r="JM55" s="71">
        <v>242416</v>
      </c>
      <c r="JN55" s="71">
        <v>108287</v>
      </c>
      <c r="JO55" s="71">
        <v>0</v>
      </c>
      <c r="JP55" s="71">
        <v>94521</v>
      </c>
      <c r="JQ55" s="71">
        <v>50619</v>
      </c>
      <c r="JR55" s="71">
        <v>3045716</v>
      </c>
      <c r="JS55" s="71">
        <v>0</v>
      </c>
      <c r="JT55" s="71">
        <v>47636</v>
      </c>
      <c r="JU55" s="71">
        <v>488222</v>
      </c>
      <c r="JV55" s="71">
        <v>423555</v>
      </c>
      <c r="JW55" s="71">
        <v>0</v>
      </c>
      <c r="JX55" s="71">
        <v>127706</v>
      </c>
      <c r="JY55" s="71">
        <v>697897</v>
      </c>
      <c r="JZ55" s="71">
        <v>185246</v>
      </c>
      <c r="KA55" s="71">
        <v>595367</v>
      </c>
      <c r="KB55" s="71">
        <v>0</v>
      </c>
      <c r="KC55" s="71">
        <v>497722</v>
      </c>
      <c r="KD55" s="71">
        <v>369068</v>
      </c>
      <c r="KE55" s="71">
        <v>22596</v>
      </c>
      <c r="KF55" s="71">
        <v>1464530</v>
      </c>
      <c r="KG55" s="71">
        <v>0</v>
      </c>
      <c r="KH55" s="71">
        <v>229472</v>
      </c>
      <c r="KI55" s="71">
        <v>0</v>
      </c>
      <c r="KJ55" s="71">
        <v>492701</v>
      </c>
      <c r="KK55" s="71">
        <v>174864</v>
      </c>
      <c r="KL55" s="71">
        <v>111012</v>
      </c>
      <c r="KM55" s="71">
        <v>111555</v>
      </c>
      <c r="KN55" s="71">
        <v>43359</v>
      </c>
      <c r="KO55" s="71">
        <v>53334</v>
      </c>
      <c r="KP55" s="71">
        <v>23817</v>
      </c>
      <c r="KQ55" s="71">
        <v>585596</v>
      </c>
      <c r="KR55" s="71">
        <v>261585</v>
      </c>
      <c r="KS55" s="71">
        <v>0</v>
      </c>
      <c r="KT55" s="71">
        <v>228333</v>
      </c>
      <c r="KU55" s="71">
        <v>122277</v>
      </c>
      <c r="KV55" s="71">
        <v>7357450</v>
      </c>
      <c r="KW55" s="71" t="s">
        <v>1070</v>
      </c>
      <c r="KX55" s="71">
        <v>15669364</v>
      </c>
      <c r="KY55" s="71">
        <v>3100290</v>
      </c>
      <c r="KZ55" s="71">
        <v>18769654</v>
      </c>
      <c r="LA55" s="71">
        <v>0</v>
      </c>
      <c r="LB55" s="71">
        <v>1432063</v>
      </c>
    </row>
    <row r="56" spans="1:314" x14ac:dyDescent="0.25">
      <c r="A56" s="71" t="s">
        <v>437</v>
      </c>
      <c r="B56" s="71" t="s">
        <v>1305</v>
      </c>
      <c r="C56" s="160" t="s">
        <v>1345</v>
      </c>
      <c r="D56" s="71" t="s">
        <v>1424</v>
      </c>
      <c r="E56" s="2">
        <v>41305.674212962964</v>
      </c>
      <c r="F56" s="71"/>
      <c r="G56" s="71" t="s">
        <v>1306</v>
      </c>
      <c r="H56" s="71" t="s">
        <v>1307</v>
      </c>
      <c r="I56" s="71" t="s">
        <v>1083</v>
      </c>
      <c r="J56" s="71" t="s">
        <v>1308</v>
      </c>
      <c r="K56" s="71" t="s">
        <v>1309</v>
      </c>
      <c r="L56" s="71">
        <v>0</v>
      </c>
      <c r="M56" s="71">
        <v>0</v>
      </c>
      <c r="N56" s="71">
        <v>0</v>
      </c>
      <c r="O56" s="71">
        <v>15193250</v>
      </c>
      <c r="P56" s="71">
        <v>0</v>
      </c>
      <c r="Q56" s="71">
        <v>1168133</v>
      </c>
      <c r="R56" s="71">
        <v>0</v>
      </c>
      <c r="S56" s="71">
        <v>1168133</v>
      </c>
      <c r="T56" s="71">
        <v>1457049</v>
      </c>
      <c r="U56" s="71">
        <v>906768</v>
      </c>
      <c r="V56" s="71">
        <v>1045229</v>
      </c>
      <c r="W56" s="71">
        <v>0</v>
      </c>
      <c r="X56" s="71">
        <v>9643</v>
      </c>
      <c r="Y56" s="71">
        <v>0</v>
      </c>
      <c r="Z56" s="71">
        <v>3418689</v>
      </c>
      <c r="AA56" s="71">
        <v>747347</v>
      </c>
      <c r="AB56" s="71">
        <v>313494</v>
      </c>
      <c r="AC56" s="71">
        <v>1097861</v>
      </c>
      <c r="AD56" s="71">
        <v>0</v>
      </c>
      <c r="AE56" s="71">
        <v>437239</v>
      </c>
      <c r="AF56" s="71">
        <v>0</v>
      </c>
      <c r="AG56" s="71">
        <v>2595941</v>
      </c>
      <c r="AH56" s="71">
        <v>2204396</v>
      </c>
      <c r="AI56" s="71">
        <v>1220262</v>
      </c>
      <c r="AJ56" s="71">
        <v>2143090</v>
      </c>
      <c r="AK56" s="71">
        <v>0</v>
      </c>
      <c r="AL56" s="71">
        <v>446882</v>
      </c>
      <c r="AM56" s="71">
        <v>0</v>
      </c>
      <c r="AN56" s="71">
        <v>6014630</v>
      </c>
      <c r="AO56" s="71">
        <v>419820</v>
      </c>
      <c r="AP56" s="71">
        <v>0</v>
      </c>
      <c r="AQ56" s="71">
        <v>174822</v>
      </c>
      <c r="AR56" s="71">
        <v>0</v>
      </c>
      <c r="AS56" s="71">
        <v>594642</v>
      </c>
      <c r="AT56" s="71">
        <v>457349</v>
      </c>
      <c r="AU56" s="71">
        <v>0</v>
      </c>
      <c r="AV56" s="71">
        <v>145537</v>
      </c>
      <c r="AW56" s="71">
        <v>0</v>
      </c>
      <c r="AX56" s="71">
        <v>602886</v>
      </c>
      <c r="AY56" s="71">
        <v>877169</v>
      </c>
      <c r="AZ56" s="71">
        <v>0</v>
      </c>
      <c r="BA56" s="71">
        <v>320359</v>
      </c>
      <c r="BB56" s="71">
        <v>0</v>
      </c>
      <c r="BC56" s="71">
        <v>1197528</v>
      </c>
      <c r="BD56" s="71">
        <v>181663</v>
      </c>
      <c r="BE56" s="71">
        <v>0</v>
      </c>
      <c r="BF56" s="71">
        <v>0</v>
      </c>
      <c r="BG56" s="71">
        <v>0</v>
      </c>
      <c r="BH56" s="71">
        <v>0</v>
      </c>
      <c r="BI56" s="71">
        <v>181663</v>
      </c>
      <c r="BJ56" s="71">
        <v>0</v>
      </c>
      <c r="BK56" s="71">
        <v>0</v>
      </c>
      <c r="BL56" s="71">
        <v>65897</v>
      </c>
      <c r="BM56" s="71">
        <v>0</v>
      </c>
      <c r="BN56" s="71">
        <v>0</v>
      </c>
      <c r="BO56" s="71">
        <v>65897</v>
      </c>
      <c r="BP56" s="71">
        <v>775225</v>
      </c>
      <c r="BQ56" s="71">
        <v>0</v>
      </c>
      <c r="BR56" s="71">
        <v>0</v>
      </c>
      <c r="BS56" s="71">
        <v>0</v>
      </c>
      <c r="BT56" s="71">
        <v>1622710</v>
      </c>
      <c r="BU56" s="71">
        <v>2397935</v>
      </c>
      <c r="BV56" s="71">
        <v>956888</v>
      </c>
      <c r="BW56" s="71">
        <v>0</v>
      </c>
      <c r="BX56" s="71">
        <v>65897</v>
      </c>
      <c r="BY56" s="71">
        <v>0</v>
      </c>
      <c r="BZ56" s="71">
        <v>1622710</v>
      </c>
      <c r="CA56" s="71">
        <v>2645495</v>
      </c>
      <c r="CB56" s="71">
        <v>0</v>
      </c>
      <c r="CC56" s="71">
        <v>0</v>
      </c>
      <c r="CD56" s="71">
        <v>0</v>
      </c>
      <c r="CE56" s="71">
        <v>0</v>
      </c>
      <c r="CF56" s="71">
        <v>0</v>
      </c>
      <c r="CG56" s="71">
        <v>0</v>
      </c>
      <c r="CH56" s="71">
        <v>0</v>
      </c>
      <c r="CI56" s="71">
        <v>0</v>
      </c>
      <c r="CJ56" s="71">
        <v>0</v>
      </c>
      <c r="CK56" s="71">
        <v>0</v>
      </c>
      <c r="CL56" s="71">
        <v>0</v>
      </c>
      <c r="CM56" s="71">
        <v>0</v>
      </c>
      <c r="CN56" s="71">
        <v>0</v>
      </c>
      <c r="CO56" s="71">
        <v>0</v>
      </c>
      <c r="CP56" s="71">
        <v>0</v>
      </c>
      <c r="CQ56" s="71">
        <v>0</v>
      </c>
      <c r="CR56" s="71" t="s">
        <v>437</v>
      </c>
      <c r="CS56" s="71">
        <v>1078921</v>
      </c>
      <c r="CT56" s="71">
        <v>0</v>
      </c>
      <c r="CU56" s="71">
        <v>1040</v>
      </c>
      <c r="CV56" s="71">
        <v>1232</v>
      </c>
      <c r="CW56" s="71">
        <v>169392</v>
      </c>
      <c r="CX56" s="71">
        <v>58800</v>
      </c>
      <c r="CY56" s="71">
        <v>0</v>
      </c>
      <c r="CZ56" s="71">
        <v>96</v>
      </c>
      <c r="DA56" s="71">
        <v>37376</v>
      </c>
      <c r="DB56" s="71">
        <v>512</v>
      </c>
      <c r="DC56" s="71">
        <v>27856</v>
      </c>
      <c r="DD56" s="71">
        <v>0</v>
      </c>
      <c r="DE56" s="71">
        <v>12536</v>
      </c>
      <c r="DF56" s="71">
        <v>103488</v>
      </c>
      <c r="DG56" s="71">
        <v>7248</v>
      </c>
      <c r="DH56" s="71">
        <v>134556</v>
      </c>
      <c r="DI56" s="71">
        <v>0</v>
      </c>
      <c r="DJ56" s="71">
        <v>25056</v>
      </c>
      <c r="DK56" s="71">
        <v>0</v>
      </c>
      <c r="DL56" s="71">
        <v>285792</v>
      </c>
      <c r="DM56" s="71">
        <v>27856</v>
      </c>
      <c r="DN56" s="71">
        <v>0</v>
      </c>
      <c r="DO56" s="71">
        <v>1504</v>
      </c>
      <c r="DP56" s="71">
        <v>1040</v>
      </c>
      <c r="DQ56" s="71">
        <v>13008</v>
      </c>
      <c r="DR56" s="71">
        <v>19968</v>
      </c>
      <c r="DS56" s="71">
        <v>160656</v>
      </c>
      <c r="DT56" s="71">
        <v>25172</v>
      </c>
      <c r="DU56" s="71">
        <v>0</v>
      </c>
      <c r="DV56" s="71">
        <v>43152</v>
      </c>
      <c r="DW56" s="71">
        <v>17008</v>
      </c>
      <c r="DX56" s="71">
        <v>1174344</v>
      </c>
      <c r="DY56" s="71">
        <v>3229</v>
      </c>
      <c r="DZ56" s="71">
        <v>0</v>
      </c>
      <c r="EA56" s="71">
        <v>513787</v>
      </c>
      <c r="EB56" s="71">
        <v>180603</v>
      </c>
      <c r="EC56" s="71">
        <v>0</v>
      </c>
      <c r="ED56" s="71">
        <v>0</v>
      </c>
      <c r="EE56" s="71">
        <v>112833</v>
      </c>
      <c r="EF56" s="71">
        <v>1590</v>
      </c>
      <c r="EG56" s="71">
        <v>80439</v>
      </c>
      <c r="EH56" s="71">
        <v>0</v>
      </c>
      <c r="EI56" s="71">
        <v>33487</v>
      </c>
      <c r="EJ56" s="71">
        <v>330502</v>
      </c>
      <c r="EK56" s="71">
        <v>21762</v>
      </c>
      <c r="EL56" s="71">
        <v>414121</v>
      </c>
      <c r="EM56" s="71">
        <v>0</v>
      </c>
      <c r="EN56" s="71">
        <v>76415</v>
      </c>
      <c r="EO56" s="71">
        <v>0</v>
      </c>
      <c r="EP56" s="71">
        <v>886769</v>
      </c>
      <c r="EQ56" s="71">
        <v>85904</v>
      </c>
      <c r="ER56" s="71">
        <v>0</v>
      </c>
      <c r="ES56" s="71">
        <v>0</v>
      </c>
      <c r="ET56" s="71">
        <v>2982</v>
      </c>
      <c r="EU56" s="71">
        <v>40393</v>
      </c>
      <c r="EV56" s="71">
        <v>55746</v>
      </c>
      <c r="EW56" s="71">
        <v>491727</v>
      </c>
      <c r="EX56" s="71">
        <v>74229</v>
      </c>
      <c r="EY56" s="71">
        <v>0</v>
      </c>
      <c r="EZ56" s="71">
        <v>133999</v>
      </c>
      <c r="FA56" s="71">
        <v>38307</v>
      </c>
      <c r="FB56" s="71">
        <v>3578824</v>
      </c>
      <c r="FC56" s="71">
        <v>302</v>
      </c>
      <c r="FD56" s="71">
        <v>0</v>
      </c>
      <c r="FE56" s="71">
        <v>48048</v>
      </c>
      <c r="FF56" s="71">
        <v>16890</v>
      </c>
      <c r="FG56" s="71">
        <v>0</v>
      </c>
      <c r="FH56" s="71">
        <v>0</v>
      </c>
      <c r="FI56" s="71">
        <v>10552</v>
      </c>
      <c r="FJ56" s="71">
        <v>149</v>
      </c>
      <c r="FK56" s="71">
        <v>7522</v>
      </c>
      <c r="FL56" s="71">
        <v>0</v>
      </c>
      <c r="FM56" s="71">
        <v>3132</v>
      </c>
      <c r="FN56" s="71">
        <v>30908</v>
      </c>
      <c r="FO56" s="71">
        <v>2035</v>
      </c>
      <c r="FP56" s="71">
        <v>38727</v>
      </c>
      <c r="FQ56" s="71">
        <v>0</v>
      </c>
      <c r="FR56" s="71">
        <v>7146</v>
      </c>
      <c r="FS56" s="71">
        <v>0</v>
      </c>
      <c r="FT56" s="71">
        <v>82928</v>
      </c>
      <c r="FU56" s="71">
        <v>8034</v>
      </c>
      <c r="FV56" s="71">
        <v>0</v>
      </c>
      <c r="FW56" s="71">
        <v>0</v>
      </c>
      <c r="FX56" s="71">
        <v>279</v>
      </c>
      <c r="FY56" s="71">
        <v>3777</v>
      </c>
      <c r="FZ56" s="71">
        <v>5213</v>
      </c>
      <c r="GA56" s="71">
        <v>45985</v>
      </c>
      <c r="GB56" s="71">
        <v>6942</v>
      </c>
      <c r="GC56" s="71">
        <v>0</v>
      </c>
      <c r="GD56" s="71">
        <v>12531</v>
      </c>
      <c r="GE56" s="71">
        <v>3582</v>
      </c>
      <c r="GF56" s="71">
        <v>334682</v>
      </c>
      <c r="GG56" s="71">
        <v>973</v>
      </c>
      <c r="GH56" s="71">
        <v>0</v>
      </c>
      <c r="GI56" s="71">
        <v>154893</v>
      </c>
      <c r="GJ56" s="71">
        <v>54447</v>
      </c>
      <c r="GK56" s="71">
        <v>0</v>
      </c>
      <c r="GL56" s="71">
        <v>0</v>
      </c>
      <c r="GM56" s="71">
        <v>34016</v>
      </c>
      <c r="GN56" s="71">
        <v>479</v>
      </c>
      <c r="GO56" s="71">
        <v>24250</v>
      </c>
      <c r="GP56" s="71">
        <v>0</v>
      </c>
      <c r="GQ56" s="71">
        <v>10096</v>
      </c>
      <c r="GR56" s="71">
        <v>99638</v>
      </c>
      <c r="GS56" s="71">
        <v>6561</v>
      </c>
      <c r="GT56" s="71">
        <v>124846</v>
      </c>
      <c r="GU56" s="71">
        <v>0</v>
      </c>
      <c r="GV56" s="71">
        <v>23037</v>
      </c>
      <c r="GW56" s="71">
        <v>0</v>
      </c>
      <c r="GX56" s="71">
        <v>267337</v>
      </c>
      <c r="GY56" s="71">
        <v>25898</v>
      </c>
      <c r="GZ56" s="71">
        <v>0</v>
      </c>
      <c r="HA56" s="71">
        <v>0</v>
      </c>
      <c r="HB56" s="71">
        <v>899</v>
      </c>
      <c r="HC56" s="71">
        <v>12177</v>
      </c>
      <c r="HD56" s="71">
        <v>16806</v>
      </c>
      <c r="HE56" s="71">
        <v>148243</v>
      </c>
      <c r="HF56" s="71">
        <v>22378</v>
      </c>
      <c r="HG56" s="71">
        <v>0</v>
      </c>
      <c r="HH56" s="71">
        <v>40397</v>
      </c>
      <c r="HI56" s="71">
        <v>11548</v>
      </c>
      <c r="HJ56" s="71">
        <v>1078921</v>
      </c>
      <c r="HK56" s="71">
        <v>720</v>
      </c>
      <c r="HL56" s="71">
        <v>0</v>
      </c>
      <c r="HM56" s="71">
        <v>114527</v>
      </c>
      <c r="HN56" s="71">
        <v>40258</v>
      </c>
      <c r="HO56" s="71">
        <v>0</v>
      </c>
      <c r="HP56" s="71">
        <v>0</v>
      </c>
      <c r="HQ56" s="71">
        <v>25152</v>
      </c>
      <c r="HR56" s="71">
        <v>354</v>
      </c>
      <c r="HS56" s="71">
        <v>17931</v>
      </c>
      <c r="HT56" s="71">
        <v>0</v>
      </c>
      <c r="HU56" s="71">
        <v>7465</v>
      </c>
      <c r="HV56" s="71">
        <v>73671</v>
      </c>
      <c r="HW56" s="71">
        <v>4850</v>
      </c>
      <c r="HX56" s="71">
        <v>92310</v>
      </c>
      <c r="HY56" s="71">
        <v>0</v>
      </c>
      <c r="HZ56" s="71">
        <v>17033</v>
      </c>
      <c r="IA56" s="71">
        <v>0</v>
      </c>
      <c r="IB56" s="71">
        <v>197668</v>
      </c>
      <c r="IC56" s="71">
        <v>19149</v>
      </c>
      <c r="ID56" s="71">
        <v>0</v>
      </c>
      <c r="IE56" s="71">
        <v>0</v>
      </c>
      <c r="IF56" s="71">
        <v>665</v>
      </c>
      <c r="IG56" s="71">
        <v>9004</v>
      </c>
      <c r="IH56" s="71">
        <v>12426</v>
      </c>
      <c r="II56" s="71">
        <v>109610</v>
      </c>
      <c r="IJ56" s="71">
        <v>16546</v>
      </c>
      <c r="IK56" s="71">
        <v>0</v>
      </c>
      <c r="IL56" s="71">
        <v>29869</v>
      </c>
      <c r="IM56" s="71">
        <v>8539</v>
      </c>
      <c r="IN56" s="71">
        <v>797747</v>
      </c>
      <c r="IO56" s="71">
        <v>1995</v>
      </c>
      <c r="IP56" s="71">
        <v>0</v>
      </c>
      <c r="IQ56" s="71">
        <v>317468</v>
      </c>
      <c r="IR56" s="71">
        <v>111595</v>
      </c>
      <c r="IS56" s="71">
        <v>0</v>
      </c>
      <c r="IT56" s="71">
        <v>0</v>
      </c>
      <c r="IU56" s="71">
        <v>69720</v>
      </c>
      <c r="IV56" s="71">
        <v>982</v>
      </c>
      <c r="IW56" s="71">
        <v>49703</v>
      </c>
      <c r="IX56" s="71">
        <v>0</v>
      </c>
      <c r="IY56" s="71">
        <v>20693</v>
      </c>
      <c r="IZ56" s="71">
        <v>204217</v>
      </c>
      <c r="JA56" s="71">
        <v>13446</v>
      </c>
      <c r="JB56" s="71">
        <v>255883</v>
      </c>
      <c r="JC56" s="71">
        <v>0</v>
      </c>
      <c r="JD56" s="71">
        <v>47216</v>
      </c>
      <c r="JE56" s="71">
        <v>0</v>
      </c>
      <c r="JF56" s="71">
        <v>547933</v>
      </c>
      <c r="JG56" s="71">
        <v>53081</v>
      </c>
      <c r="JH56" s="71">
        <v>0</v>
      </c>
      <c r="JI56" s="71">
        <v>0</v>
      </c>
      <c r="JJ56" s="71">
        <v>1843</v>
      </c>
      <c r="JK56" s="71">
        <v>24958</v>
      </c>
      <c r="JL56" s="71">
        <v>34445</v>
      </c>
      <c r="JM56" s="71">
        <v>303838</v>
      </c>
      <c r="JN56" s="71">
        <v>45866</v>
      </c>
      <c r="JO56" s="71">
        <v>0</v>
      </c>
      <c r="JP56" s="71">
        <v>82797</v>
      </c>
      <c r="JQ56" s="71">
        <v>23669</v>
      </c>
      <c r="JR56" s="71">
        <v>2211350</v>
      </c>
      <c r="JS56" s="71">
        <v>5224</v>
      </c>
      <c r="JT56" s="71">
        <v>0</v>
      </c>
      <c r="JU56" s="71">
        <v>831255</v>
      </c>
      <c r="JV56" s="71">
        <v>292198</v>
      </c>
      <c r="JW56" s="71">
        <v>0</v>
      </c>
      <c r="JX56" s="71">
        <v>0</v>
      </c>
      <c r="JY56" s="71">
        <v>182553</v>
      </c>
      <c r="JZ56" s="71">
        <v>2572</v>
      </c>
      <c r="KA56" s="71">
        <v>130142</v>
      </c>
      <c r="KB56" s="71">
        <v>0</v>
      </c>
      <c r="KC56" s="71">
        <v>54180</v>
      </c>
      <c r="KD56" s="71">
        <v>534719</v>
      </c>
      <c r="KE56" s="71">
        <v>35208</v>
      </c>
      <c r="KF56" s="71">
        <v>670004</v>
      </c>
      <c r="KG56" s="71">
        <v>0</v>
      </c>
      <c r="KH56" s="71">
        <v>123631</v>
      </c>
      <c r="KI56" s="71">
        <v>0</v>
      </c>
      <c r="KJ56" s="71">
        <v>1434702</v>
      </c>
      <c r="KK56" s="71">
        <v>138985</v>
      </c>
      <c r="KL56" s="71">
        <v>0</v>
      </c>
      <c r="KM56" s="71">
        <v>0</v>
      </c>
      <c r="KN56" s="71">
        <v>4825</v>
      </c>
      <c r="KO56" s="71">
        <v>65351</v>
      </c>
      <c r="KP56" s="71">
        <v>90191</v>
      </c>
      <c r="KQ56" s="71">
        <v>795565</v>
      </c>
      <c r="KR56" s="71">
        <v>120095</v>
      </c>
      <c r="KS56" s="71">
        <v>0</v>
      </c>
      <c r="KT56" s="71">
        <v>216796</v>
      </c>
      <c r="KU56" s="71">
        <v>61976</v>
      </c>
      <c r="KV56" s="71">
        <v>5790174</v>
      </c>
      <c r="KW56" s="71" t="s">
        <v>1070</v>
      </c>
      <c r="KX56" s="71">
        <v>12972937</v>
      </c>
      <c r="KY56" s="71">
        <v>3843023</v>
      </c>
      <c r="KZ56" s="71">
        <v>16815960</v>
      </c>
      <c r="LA56" s="71">
        <v>0</v>
      </c>
      <c r="LB56" s="71">
        <v>1622710</v>
      </c>
    </row>
    <row r="57" spans="1:314" x14ac:dyDescent="0.25">
      <c r="A57" s="71" t="s">
        <v>438</v>
      </c>
      <c r="B57" s="71" t="s">
        <v>1310</v>
      </c>
      <c r="C57" s="160" t="s">
        <v>1345</v>
      </c>
      <c r="D57" s="71" t="s">
        <v>1383</v>
      </c>
      <c r="E57" s="2">
        <v>41296.581307870372</v>
      </c>
      <c r="F57" s="71"/>
      <c r="G57" s="71" t="s">
        <v>1311</v>
      </c>
      <c r="H57" s="71" t="s">
        <v>1312</v>
      </c>
      <c r="I57" s="71" t="s">
        <v>1313</v>
      </c>
      <c r="J57" s="71" t="s">
        <v>1314</v>
      </c>
      <c r="K57" s="71" t="s">
        <v>1315</v>
      </c>
      <c r="L57" s="71">
        <v>0</v>
      </c>
      <c r="M57" s="71">
        <v>0</v>
      </c>
      <c r="N57" s="71">
        <v>0</v>
      </c>
      <c r="O57" s="71">
        <v>90779017</v>
      </c>
      <c r="P57" s="71">
        <v>0</v>
      </c>
      <c r="Q57" s="71">
        <v>1840330</v>
      </c>
      <c r="R57" s="71">
        <v>0</v>
      </c>
      <c r="S57" s="71">
        <v>1840330</v>
      </c>
      <c r="T57" s="71">
        <v>7290381</v>
      </c>
      <c r="U57" s="71">
        <v>6411467</v>
      </c>
      <c r="V57" s="71">
        <v>6235365</v>
      </c>
      <c r="W57" s="71">
        <v>0</v>
      </c>
      <c r="X57" s="71">
        <v>0</v>
      </c>
      <c r="Y57" s="71">
        <v>0</v>
      </c>
      <c r="Z57" s="71">
        <v>19937213</v>
      </c>
      <c r="AA57" s="71">
        <v>5202139</v>
      </c>
      <c r="AB57" s="71">
        <v>700933</v>
      </c>
      <c r="AC57" s="71">
        <v>1707541</v>
      </c>
      <c r="AD57" s="71">
        <v>0</v>
      </c>
      <c r="AE57" s="71">
        <v>0</v>
      </c>
      <c r="AF57" s="71">
        <v>2193136</v>
      </c>
      <c r="AG57" s="71">
        <v>9803749</v>
      </c>
      <c r="AH57" s="71">
        <v>12492520</v>
      </c>
      <c r="AI57" s="71">
        <v>7112400</v>
      </c>
      <c r="AJ57" s="71">
        <v>7942906</v>
      </c>
      <c r="AK57" s="71">
        <v>0</v>
      </c>
      <c r="AL57" s="71">
        <v>0</v>
      </c>
      <c r="AM57" s="71">
        <v>2193136</v>
      </c>
      <c r="AN57" s="71">
        <v>29740962</v>
      </c>
      <c r="AO57" s="71">
        <v>69084</v>
      </c>
      <c r="AP57" s="71">
        <v>0</v>
      </c>
      <c r="AQ57" s="71">
        <v>115262</v>
      </c>
      <c r="AR57" s="71">
        <v>0</v>
      </c>
      <c r="AS57" s="71">
        <v>184346</v>
      </c>
      <c r="AT57" s="71">
        <v>3524</v>
      </c>
      <c r="AU57" s="71">
        <v>0</v>
      </c>
      <c r="AV57" s="71">
        <v>1238</v>
      </c>
      <c r="AW57" s="71">
        <v>0</v>
      </c>
      <c r="AX57" s="71">
        <v>4762</v>
      </c>
      <c r="AY57" s="71">
        <v>72608</v>
      </c>
      <c r="AZ57" s="71">
        <v>0</v>
      </c>
      <c r="BA57" s="71">
        <v>116500</v>
      </c>
      <c r="BB57" s="71">
        <v>0</v>
      </c>
      <c r="BC57" s="71">
        <v>189108</v>
      </c>
      <c r="BD57" s="71">
        <v>3040543</v>
      </c>
      <c r="BE57" s="71">
        <v>0</v>
      </c>
      <c r="BF57" s="71">
        <v>0</v>
      </c>
      <c r="BG57" s="71">
        <v>0</v>
      </c>
      <c r="BH57" s="71">
        <v>0</v>
      </c>
      <c r="BI57" s="71">
        <v>3040543</v>
      </c>
      <c r="BJ57" s="71">
        <v>0</v>
      </c>
      <c r="BK57" s="71">
        <v>0</v>
      </c>
      <c r="BL57" s="71">
        <v>393339</v>
      </c>
      <c r="BM57" s="71">
        <v>0</v>
      </c>
      <c r="BN57" s="71">
        <v>0</v>
      </c>
      <c r="BO57" s="71">
        <v>393339</v>
      </c>
      <c r="BP57" s="71">
        <v>6775625</v>
      </c>
      <c r="BQ57" s="71">
        <v>1593468</v>
      </c>
      <c r="BR57" s="71">
        <v>0</v>
      </c>
      <c r="BS57" s="71">
        <v>0</v>
      </c>
      <c r="BT57" s="71">
        <v>4597024</v>
      </c>
      <c r="BU57" s="71">
        <v>12966117</v>
      </c>
      <c r="BV57" s="71">
        <v>9816168</v>
      </c>
      <c r="BW57" s="71">
        <v>1593468</v>
      </c>
      <c r="BX57" s="71">
        <v>393339</v>
      </c>
      <c r="BY57" s="71">
        <v>0</v>
      </c>
      <c r="BZ57" s="71">
        <v>4597024</v>
      </c>
      <c r="CA57" s="71">
        <v>16399999</v>
      </c>
      <c r="CB57" s="71">
        <v>0</v>
      </c>
      <c r="CC57" s="71">
        <v>0</v>
      </c>
      <c r="CD57" s="71">
        <v>0</v>
      </c>
      <c r="CE57" s="71">
        <v>0</v>
      </c>
      <c r="CF57" s="71">
        <v>0</v>
      </c>
      <c r="CG57" s="71">
        <v>0</v>
      </c>
      <c r="CH57" s="71">
        <v>0</v>
      </c>
      <c r="CI57" s="71">
        <v>0</v>
      </c>
      <c r="CJ57" s="71">
        <v>0</v>
      </c>
      <c r="CK57" s="71">
        <v>0</v>
      </c>
      <c r="CL57" s="71">
        <v>0</v>
      </c>
      <c r="CM57" s="71">
        <v>0</v>
      </c>
      <c r="CN57" s="71">
        <v>0</v>
      </c>
      <c r="CO57" s="71">
        <v>0</v>
      </c>
      <c r="CP57" s="71">
        <v>0</v>
      </c>
      <c r="CQ57" s="71">
        <v>0</v>
      </c>
      <c r="CR57" s="71" t="s">
        <v>438</v>
      </c>
      <c r="CS57" s="71">
        <v>3753293</v>
      </c>
      <c r="CT57" s="71">
        <v>0</v>
      </c>
      <c r="CU57" s="71">
        <v>112466</v>
      </c>
      <c r="CV57" s="71">
        <v>240</v>
      </c>
      <c r="CW57" s="71">
        <v>1387952</v>
      </c>
      <c r="CX57" s="71">
        <v>735800</v>
      </c>
      <c r="CY57" s="71">
        <v>1359</v>
      </c>
      <c r="CZ57" s="71">
        <v>219697</v>
      </c>
      <c r="DA57" s="71">
        <v>370393</v>
      </c>
      <c r="DB57" s="71">
        <v>504</v>
      </c>
      <c r="DC57" s="71">
        <v>314873</v>
      </c>
      <c r="DD57" s="71">
        <v>12400</v>
      </c>
      <c r="DE57" s="71">
        <v>53642</v>
      </c>
      <c r="DF57" s="71">
        <v>1705382</v>
      </c>
      <c r="DG57" s="71">
        <v>342546</v>
      </c>
      <c r="DH57" s="71">
        <v>159304</v>
      </c>
      <c r="DI57" s="71">
        <v>24320</v>
      </c>
      <c r="DJ57" s="71">
        <v>258851</v>
      </c>
      <c r="DK57" s="71">
        <v>36224</v>
      </c>
      <c r="DL57" s="71">
        <v>0</v>
      </c>
      <c r="DM57" s="71">
        <v>916528</v>
      </c>
      <c r="DN57" s="71">
        <v>0</v>
      </c>
      <c r="DO57" s="71">
        <v>4140</v>
      </c>
      <c r="DP57" s="71">
        <v>14736</v>
      </c>
      <c r="DQ57" s="71">
        <v>303780</v>
      </c>
      <c r="DR57" s="71">
        <v>257751</v>
      </c>
      <c r="DS57" s="71">
        <v>2162880</v>
      </c>
      <c r="DT57" s="71">
        <v>867611</v>
      </c>
      <c r="DU57" s="71">
        <v>0</v>
      </c>
      <c r="DV57" s="71">
        <v>618816</v>
      </c>
      <c r="DW57" s="71">
        <v>337280</v>
      </c>
      <c r="DX57" s="71">
        <v>11219475</v>
      </c>
      <c r="DY57" s="71">
        <v>261437</v>
      </c>
      <c r="DZ57" s="71">
        <v>21</v>
      </c>
      <c r="EA57" s="71">
        <v>4032680</v>
      </c>
      <c r="EB57" s="71">
        <v>1999807</v>
      </c>
      <c r="EC57" s="71">
        <v>116</v>
      </c>
      <c r="ED57" s="71">
        <v>313965</v>
      </c>
      <c r="EE57" s="71">
        <v>1483513</v>
      </c>
      <c r="EF57" s="71">
        <v>43</v>
      </c>
      <c r="EG57" s="71">
        <v>660733</v>
      </c>
      <c r="EH57" s="71">
        <v>87694</v>
      </c>
      <c r="EI57" s="71">
        <v>256341</v>
      </c>
      <c r="EJ57" s="71">
        <v>5377290</v>
      </c>
      <c r="EK57" s="71">
        <v>568469</v>
      </c>
      <c r="EL57" s="71">
        <v>1865257</v>
      </c>
      <c r="EM57" s="71">
        <v>250120</v>
      </c>
      <c r="EN57" s="71">
        <v>351085</v>
      </c>
      <c r="EO57" s="71">
        <v>344412</v>
      </c>
      <c r="EP57" s="71">
        <v>0</v>
      </c>
      <c r="EQ57" s="71">
        <v>2162843</v>
      </c>
      <c r="ER57" s="71">
        <v>0</v>
      </c>
      <c r="ES57" s="71">
        <v>354</v>
      </c>
      <c r="ET57" s="71">
        <v>1262</v>
      </c>
      <c r="EU57" s="71">
        <v>916955</v>
      </c>
      <c r="EV57" s="71">
        <v>803741</v>
      </c>
      <c r="EW57" s="71">
        <v>5936955</v>
      </c>
      <c r="EX57" s="71">
        <v>3353448</v>
      </c>
      <c r="EY57" s="71">
        <v>0</v>
      </c>
      <c r="EZ57" s="71">
        <v>1510630</v>
      </c>
      <c r="FA57" s="71">
        <v>1200166</v>
      </c>
      <c r="FB57" s="71">
        <v>33739337</v>
      </c>
      <c r="FC57" s="71">
        <v>68219</v>
      </c>
      <c r="FD57" s="71">
        <v>54</v>
      </c>
      <c r="FE57" s="71">
        <v>1242604</v>
      </c>
      <c r="FF57" s="71">
        <v>258840</v>
      </c>
      <c r="FG57" s="71">
        <v>307</v>
      </c>
      <c r="FH57" s="71">
        <v>111936</v>
      </c>
      <c r="FI57" s="71">
        <v>98693</v>
      </c>
      <c r="FJ57" s="71">
        <v>114</v>
      </c>
      <c r="FK57" s="71">
        <v>198868</v>
      </c>
      <c r="FL57" s="71">
        <v>91581</v>
      </c>
      <c r="FM57" s="71">
        <v>21405</v>
      </c>
      <c r="FN57" s="71">
        <v>670398</v>
      </c>
      <c r="FO57" s="71">
        <v>77433</v>
      </c>
      <c r="FP57" s="71">
        <v>476684</v>
      </c>
      <c r="FQ57" s="71">
        <v>125548</v>
      </c>
      <c r="FR57" s="71">
        <v>181441</v>
      </c>
      <c r="FS57" s="71">
        <v>138605</v>
      </c>
      <c r="FT57" s="71">
        <v>0</v>
      </c>
      <c r="FU57" s="71">
        <v>748612</v>
      </c>
      <c r="FV57" s="71">
        <v>0</v>
      </c>
      <c r="FW57" s="71">
        <v>936</v>
      </c>
      <c r="FX57" s="71">
        <v>3331</v>
      </c>
      <c r="FY57" s="71">
        <v>317314</v>
      </c>
      <c r="FZ57" s="71">
        <v>538420</v>
      </c>
      <c r="GA57" s="71">
        <v>488925</v>
      </c>
      <c r="GB57" s="71">
        <v>740523</v>
      </c>
      <c r="GC57" s="71">
        <v>0</v>
      </c>
      <c r="GD57" s="71">
        <v>410916</v>
      </c>
      <c r="GE57" s="71">
        <v>76243</v>
      </c>
      <c r="GF57" s="71">
        <v>7087950</v>
      </c>
      <c r="GG57" s="71">
        <v>30306</v>
      </c>
      <c r="GH57" s="71">
        <v>7</v>
      </c>
      <c r="GI57" s="71">
        <v>484962</v>
      </c>
      <c r="GJ57" s="71">
        <v>207640</v>
      </c>
      <c r="GK57" s="71">
        <v>39</v>
      </c>
      <c r="GL57" s="71">
        <v>39154</v>
      </c>
      <c r="GM57" s="71">
        <v>145454</v>
      </c>
      <c r="GN57" s="71">
        <v>14</v>
      </c>
      <c r="GO57" s="71">
        <v>79024</v>
      </c>
      <c r="GP57" s="71">
        <v>16481</v>
      </c>
      <c r="GQ57" s="71">
        <v>25533</v>
      </c>
      <c r="GR57" s="71">
        <v>555970</v>
      </c>
      <c r="GS57" s="71">
        <v>59378</v>
      </c>
      <c r="GT57" s="71">
        <v>215297</v>
      </c>
      <c r="GU57" s="71">
        <v>34536</v>
      </c>
      <c r="GV57" s="71">
        <v>48956</v>
      </c>
      <c r="GW57" s="71">
        <v>44404</v>
      </c>
      <c r="GX57" s="71">
        <v>0</v>
      </c>
      <c r="GY57" s="71">
        <v>267653</v>
      </c>
      <c r="GZ57" s="71">
        <v>0</v>
      </c>
      <c r="HA57" s="71">
        <v>119</v>
      </c>
      <c r="HB57" s="71">
        <v>422</v>
      </c>
      <c r="HC57" s="71">
        <v>113468</v>
      </c>
      <c r="HD57" s="71">
        <v>123386</v>
      </c>
      <c r="HE57" s="71">
        <v>590738</v>
      </c>
      <c r="HF57" s="71">
        <v>376363</v>
      </c>
      <c r="HG57" s="71">
        <v>0</v>
      </c>
      <c r="HH57" s="71">
        <v>176650</v>
      </c>
      <c r="HI57" s="71">
        <v>117342</v>
      </c>
      <c r="HJ57" s="71">
        <v>3753293</v>
      </c>
      <c r="HK57" s="71">
        <v>35157</v>
      </c>
      <c r="HL57" s="71">
        <v>57</v>
      </c>
      <c r="HM57" s="71">
        <v>775958</v>
      </c>
      <c r="HN57" s="71">
        <v>234764</v>
      </c>
      <c r="HO57" s="71">
        <v>321</v>
      </c>
      <c r="HP57" s="71">
        <v>74830</v>
      </c>
      <c r="HQ57" s="71">
        <v>121148</v>
      </c>
      <c r="HR57" s="71">
        <v>119</v>
      </c>
      <c r="HS57" s="71">
        <v>194342</v>
      </c>
      <c r="HT57" s="71">
        <v>9718</v>
      </c>
      <c r="HU57" s="71">
        <v>24471</v>
      </c>
      <c r="HV57" s="71">
        <v>491752</v>
      </c>
      <c r="HW57" s="71">
        <v>88810</v>
      </c>
      <c r="HX57" s="71">
        <v>251649</v>
      </c>
      <c r="HY57" s="71">
        <v>80468</v>
      </c>
      <c r="HZ57" s="71">
        <v>144526</v>
      </c>
      <c r="IA57" s="71">
        <v>57123</v>
      </c>
      <c r="IB57" s="71">
        <v>0</v>
      </c>
      <c r="IC57" s="71">
        <v>266318</v>
      </c>
      <c r="ID57" s="71">
        <v>0</v>
      </c>
      <c r="IE57" s="71">
        <v>979</v>
      </c>
      <c r="IF57" s="71">
        <v>3484</v>
      </c>
      <c r="IG57" s="71">
        <v>167279</v>
      </c>
      <c r="IH57" s="71">
        <v>268528</v>
      </c>
      <c r="II57" s="71">
        <v>676689</v>
      </c>
      <c r="IJ57" s="71">
        <v>577151</v>
      </c>
      <c r="IK57" s="71">
        <v>0</v>
      </c>
      <c r="IL57" s="71">
        <v>167500</v>
      </c>
      <c r="IM57" s="71">
        <v>105057</v>
      </c>
      <c r="IN57" s="71">
        <v>4818198</v>
      </c>
      <c r="IO57" s="71">
        <v>133682</v>
      </c>
      <c r="IP57" s="71">
        <v>118</v>
      </c>
      <c r="IQ57" s="71">
        <v>2503524</v>
      </c>
      <c r="IR57" s="71">
        <v>701244</v>
      </c>
      <c r="IS57" s="71">
        <v>667</v>
      </c>
      <c r="IT57" s="71">
        <v>225920</v>
      </c>
      <c r="IU57" s="71">
        <v>365295</v>
      </c>
      <c r="IV57" s="71">
        <v>247</v>
      </c>
      <c r="IW57" s="71">
        <v>472234</v>
      </c>
      <c r="IX57" s="71">
        <v>117780</v>
      </c>
      <c r="IY57" s="71">
        <v>71409</v>
      </c>
      <c r="IZ57" s="71">
        <v>1718120</v>
      </c>
      <c r="JA57" s="71">
        <v>225621</v>
      </c>
      <c r="JB57" s="71">
        <v>943630</v>
      </c>
      <c r="JC57" s="71">
        <v>240552</v>
      </c>
      <c r="JD57" s="71">
        <v>374923</v>
      </c>
      <c r="JE57" s="71">
        <v>240132</v>
      </c>
      <c r="JF57" s="71">
        <v>0</v>
      </c>
      <c r="JG57" s="71">
        <v>1282583</v>
      </c>
      <c r="JH57" s="71">
        <v>0</v>
      </c>
      <c r="JI57" s="71">
        <v>2034</v>
      </c>
      <c r="JJ57" s="71">
        <v>7237</v>
      </c>
      <c r="JK57" s="71">
        <v>598061</v>
      </c>
      <c r="JL57" s="71">
        <v>930334</v>
      </c>
      <c r="JM57" s="71">
        <v>1756352</v>
      </c>
      <c r="JN57" s="71">
        <v>1694037</v>
      </c>
      <c r="JO57" s="71">
        <v>0</v>
      </c>
      <c r="JP57" s="71">
        <v>755066</v>
      </c>
      <c r="JQ57" s="71">
        <v>298642</v>
      </c>
      <c r="JR57" s="71">
        <v>15659441</v>
      </c>
      <c r="JS57" s="71">
        <v>395119</v>
      </c>
      <c r="JT57" s="71">
        <v>139</v>
      </c>
      <c r="JU57" s="71">
        <v>6536204</v>
      </c>
      <c r="JV57" s="71">
        <v>2701051</v>
      </c>
      <c r="JW57" s="71">
        <v>783</v>
      </c>
      <c r="JX57" s="71">
        <v>539885</v>
      </c>
      <c r="JY57" s="71">
        <v>1848808</v>
      </c>
      <c r="JZ57" s="71">
        <v>290</v>
      </c>
      <c r="KA57" s="71">
        <v>1132967</v>
      </c>
      <c r="KB57" s="71">
        <v>205474</v>
      </c>
      <c r="KC57" s="71">
        <v>327750</v>
      </c>
      <c r="KD57" s="71">
        <v>7095410</v>
      </c>
      <c r="KE57" s="71">
        <v>794090</v>
      </c>
      <c r="KF57" s="71">
        <v>2808887</v>
      </c>
      <c r="KG57" s="71">
        <v>490672</v>
      </c>
      <c r="KH57" s="71">
        <v>726008</v>
      </c>
      <c r="KI57" s="71">
        <v>584544</v>
      </c>
      <c r="KJ57" s="71">
        <v>0</v>
      </c>
      <c r="KK57" s="71">
        <v>3445426</v>
      </c>
      <c r="KL57" s="71">
        <v>0</v>
      </c>
      <c r="KM57" s="71">
        <v>2388</v>
      </c>
      <c r="KN57" s="71">
        <v>8499</v>
      </c>
      <c r="KO57" s="71">
        <v>1515016</v>
      </c>
      <c r="KP57" s="71">
        <v>1734075</v>
      </c>
      <c r="KQ57" s="71">
        <v>7693307</v>
      </c>
      <c r="KR57" s="71">
        <v>5047485</v>
      </c>
      <c r="KS57" s="71">
        <v>0</v>
      </c>
      <c r="KT57" s="71">
        <v>2265696</v>
      </c>
      <c r="KU57" s="71">
        <v>1498808</v>
      </c>
      <c r="KV57" s="71">
        <v>49398778</v>
      </c>
      <c r="KW57" s="71" t="s">
        <v>1070</v>
      </c>
      <c r="KX57" s="71">
        <v>80980070</v>
      </c>
      <c r="KY57" s="71">
        <v>16589107</v>
      </c>
      <c r="KZ57" s="71">
        <v>97569177</v>
      </c>
      <c r="LA57" s="71">
        <v>0</v>
      </c>
      <c r="LB57" s="71">
        <v>6790160</v>
      </c>
    </row>
    <row r="58" spans="1:314" x14ac:dyDescent="0.25">
      <c r="A58" s="71" t="s">
        <v>439</v>
      </c>
      <c r="B58" s="71" t="s">
        <v>1316</v>
      </c>
      <c r="C58" s="160" t="s">
        <v>1345</v>
      </c>
      <c r="D58" s="71" t="s">
        <v>1356</v>
      </c>
      <c r="E58" s="2">
        <v>41278.484722222223</v>
      </c>
      <c r="F58" s="71"/>
      <c r="G58" s="71" t="s">
        <v>1317</v>
      </c>
      <c r="H58" s="71" t="s">
        <v>1318</v>
      </c>
      <c r="I58" s="71" t="s">
        <v>1319</v>
      </c>
      <c r="J58" s="71" t="s">
        <v>1320</v>
      </c>
      <c r="K58" s="71" t="s">
        <v>1321</v>
      </c>
      <c r="L58" s="71">
        <v>0</v>
      </c>
      <c r="M58" s="71">
        <v>0</v>
      </c>
      <c r="N58" s="71">
        <v>0</v>
      </c>
      <c r="O58" s="71">
        <v>278472299</v>
      </c>
      <c r="P58" s="71">
        <v>0</v>
      </c>
      <c r="Q58" s="71">
        <v>10214555</v>
      </c>
      <c r="R58" s="71">
        <v>0</v>
      </c>
      <c r="S58" s="71">
        <v>10214555</v>
      </c>
      <c r="T58" s="71">
        <v>41826505</v>
      </c>
      <c r="U58" s="71">
        <v>20116310</v>
      </c>
      <c r="V58" s="71">
        <v>11095088</v>
      </c>
      <c r="W58" s="71">
        <v>0</v>
      </c>
      <c r="X58" s="71">
        <v>0</v>
      </c>
      <c r="Y58" s="71">
        <v>0</v>
      </c>
      <c r="Z58" s="71">
        <v>73037903</v>
      </c>
      <c r="AA58" s="71">
        <v>6031392</v>
      </c>
      <c r="AB58" s="71">
        <v>7277369</v>
      </c>
      <c r="AC58" s="71">
        <v>2882254</v>
      </c>
      <c r="AD58" s="71">
        <v>0</v>
      </c>
      <c r="AE58" s="71">
        <v>0</v>
      </c>
      <c r="AF58" s="71">
        <v>3297640</v>
      </c>
      <c r="AG58" s="71">
        <v>19488655</v>
      </c>
      <c r="AH58" s="71">
        <v>47857897</v>
      </c>
      <c r="AI58" s="71">
        <v>27393679</v>
      </c>
      <c r="AJ58" s="71">
        <v>13977342</v>
      </c>
      <c r="AK58" s="71">
        <v>0</v>
      </c>
      <c r="AL58" s="71">
        <v>0</v>
      </c>
      <c r="AM58" s="71">
        <v>3297640</v>
      </c>
      <c r="AN58" s="71">
        <v>92526558</v>
      </c>
      <c r="AO58" s="71">
        <v>3144917</v>
      </c>
      <c r="AP58" s="71">
        <v>0</v>
      </c>
      <c r="AQ58" s="71">
        <v>0</v>
      </c>
      <c r="AR58" s="71">
        <v>0</v>
      </c>
      <c r="AS58" s="71">
        <v>3144917</v>
      </c>
      <c r="AT58" s="71">
        <v>1734298</v>
      </c>
      <c r="AU58" s="71">
        <v>0</v>
      </c>
      <c r="AV58" s="71">
        <v>0</v>
      </c>
      <c r="AW58" s="71">
        <v>1366</v>
      </c>
      <c r="AX58" s="71">
        <v>1735664</v>
      </c>
      <c r="AY58" s="71">
        <v>4879215</v>
      </c>
      <c r="AZ58" s="71">
        <v>0</v>
      </c>
      <c r="BA58" s="71">
        <v>0</v>
      </c>
      <c r="BB58" s="71">
        <v>1366</v>
      </c>
      <c r="BC58" s="71">
        <v>4880581</v>
      </c>
      <c r="BD58" s="71">
        <v>7339595</v>
      </c>
      <c r="BE58" s="71">
        <v>0</v>
      </c>
      <c r="BF58" s="71">
        <v>0</v>
      </c>
      <c r="BG58" s="71">
        <v>0</v>
      </c>
      <c r="BH58" s="71">
        <v>0</v>
      </c>
      <c r="BI58" s="71">
        <v>7339595</v>
      </c>
      <c r="BJ58" s="71">
        <v>0</v>
      </c>
      <c r="BK58" s="71">
        <v>0</v>
      </c>
      <c r="BL58" s="71">
        <v>1000651</v>
      </c>
      <c r="BM58" s="71">
        <v>0</v>
      </c>
      <c r="BN58" s="71">
        <v>0</v>
      </c>
      <c r="BO58" s="71">
        <v>1000651</v>
      </c>
      <c r="BP58" s="71">
        <v>19522973</v>
      </c>
      <c r="BQ58" s="71">
        <v>5199354</v>
      </c>
      <c r="BR58" s="71">
        <v>0</v>
      </c>
      <c r="BS58" s="71">
        <v>0</v>
      </c>
      <c r="BT58" s="71">
        <v>1607283</v>
      </c>
      <c r="BU58" s="71">
        <v>26329610</v>
      </c>
      <c r="BV58" s="71">
        <v>26862568</v>
      </c>
      <c r="BW58" s="71">
        <v>5199354</v>
      </c>
      <c r="BX58" s="71">
        <v>1000651</v>
      </c>
      <c r="BY58" s="71">
        <v>0</v>
      </c>
      <c r="BZ58" s="71">
        <v>1607283</v>
      </c>
      <c r="CA58" s="71">
        <v>34669856</v>
      </c>
      <c r="CB58" s="71">
        <v>0</v>
      </c>
      <c r="CC58" s="71">
        <v>0</v>
      </c>
      <c r="CD58" s="71">
        <v>0</v>
      </c>
      <c r="CE58" s="71">
        <v>0</v>
      </c>
      <c r="CF58" s="71">
        <v>0</v>
      </c>
      <c r="CG58" s="71">
        <v>0</v>
      </c>
      <c r="CH58" s="71">
        <v>0</v>
      </c>
      <c r="CI58" s="71">
        <v>0</v>
      </c>
      <c r="CJ58" s="71">
        <v>0</v>
      </c>
      <c r="CK58" s="71">
        <v>0</v>
      </c>
      <c r="CL58" s="71">
        <v>0</v>
      </c>
      <c r="CM58" s="71">
        <v>0</v>
      </c>
      <c r="CN58" s="71">
        <v>0</v>
      </c>
      <c r="CO58" s="71">
        <v>0</v>
      </c>
      <c r="CP58" s="71">
        <v>0</v>
      </c>
      <c r="CQ58" s="71">
        <v>0</v>
      </c>
      <c r="CR58" s="71" t="s">
        <v>439</v>
      </c>
      <c r="CS58" s="71">
        <v>15211117</v>
      </c>
      <c r="CT58" s="71">
        <v>0</v>
      </c>
      <c r="CU58" s="71">
        <v>78312</v>
      </c>
      <c r="CV58" s="71">
        <v>173029</v>
      </c>
      <c r="CW58" s="71">
        <v>3838872</v>
      </c>
      <c r="CX58" s="71">
        <v>2772943</v>
      </c>
      <c r="CY58" s="71">
        <v>11568</v>
      </c>
      <c r="CZ58" s="71">
        <v>992662</v>
      </c>
      <c r="DA58" s="71">
        <v>2142406</v>
      </c>
      <c r="DB58" s="71">
        <v>182582</v>
      </c>
      <c r="DC58" s="71">
        <v>653684</v>
      </c>
      <c r="DD58" s="71">
        <v>34087</v>
      </c>
      <c r="DE58" s="71">
        <v>483334</v>
      </c>
      <c r="DF58" s="71">
        <v>2933212</v>
      </c>
      <c r="DG58" s="71">
        <v>750840</v>
      </c>
      <c r="DH58" s="71">
        <v>669085</v>
      </c>
      <c r="DI58" s="71">
        <v>0</v>
      </c>
      <c r="DJ58" s="71">
        <v>1098463</v>
      </c>
      <c r="DK58" s="71">
        <v>22008</v>
      </c>
      <c r="DL58" s="71">
        <v>28892</v>
      </c>
      <c r="DM58" s="71">
        <v>1464740</v>
      </c>
      <c r="DN58" s="71">
        <v>502935</v>
      </c>
      <c r="DO58" s="71">
        <v>76520</v>
      </c>
      <c r="DP58" s="71">
        <v>122499</v>
      </c>
      <c r="DQ58" s="71">
        <v>431216</v>
      </c>
      <c r="DR58" s="71">
        <v>988592</v>
      </c>
      <c r="DS58" s="71">
        <v>5154066</v>
      </c>
      <c r="DT58" s="71">
        <v>1867138</v>
      </c>
      <c r="DU58" s="71">
        <v>0</v>
      </c>
      <c r="DV58" s="71">
        <v>1910568</v>
      </c>
      <c r="DW58" s="71">
        <v>2373816</v>
      </c>
      <c r="DX58" s="71">
        <v>31758069</v>
      </c>
      <c r="DY58" s="71">
        <v>489422</v>
      </c>
      <c r="DZ58" s="71">
        <v>608952</v>
      </c>
      <c r="EA58" s="71">
        <v>10296579</v>
      </c>
      <c r="EB58" s="71">
        <v>6553356</v>
      </c>
      <c r="EC58" s="71">
        <v>115407</v>
      </c>
      <c r="ED58" s="71">
        <v>1862251</v>
      </c>
      <c r="EE58" s="71">
        <v>6407950</v>
      </c>
      <c r="EF58" s="71">
        <v>749337</v>
      </c>
      <c r="EG58" s="71">
        <v>1332256</v>
      </c>
      <c r="EH58" s="71">
        <v>157926</v>
      </c>
      <c r="EI58" s="71">
        <v>738810</v>
      </c>
      <c r="EJ58" s="71">
        <v>12808243</v>
      </c>
      <c r="EK58" s="71">
        <v>2121760</v>
      </c>
      <c r="EL58" s="71">
        <v>3045552</v>
      </c>
      <c r="EM58" s="71">
        <v>0</v>
      </c>
      <c r="EN58" s="71">
        <v>2127389</v>
      </c>
      <c r="EO58" s="71">
        <v>230579</v>
      </c>
      <c r="EP58" s="71">
        <v>308167</v>
      </c>
      <c r="EQ58" s="71">
        <v>3548125</v>
      </c>
      <c r="ER58" s="71">
        <v>2072927</v>
      </c>
      <c r="ES58" s="71">
        <v>80179</v>
      </c>
      <c r="ET58" s="71">
        <v>500919</v>
      </c>
      <c r="EU58" s="71">
        <v>1646905</v>
      </c>
      <c r="EV58" s="71">
        <v>1842903</v>
      </c>
      <c r="EW58" s="71">
        <v>12682113</v>
      </c>
      <c r="EX58" s="71">
        <v>5860854</v>
      </c>
      <c r="EY58" s="71">
        <v>0</v>
      </c>
      <c r="EZ58" s="71">
        <v>5572964</v>
      </c>
      <c r="FA58" s="71">
        <v>4347562</v>
      </c>
      <c r="FB58" s="71">
        <v>88109387</v>
      </c>
      <c r="FC58" s="71">
        <v>365103</v>
      </c>
      <c r="FD58" s="71">
        <v>118103</v>
      </c>
      <c r="FE58" s="71">
        <v>3104625</v>
      </c>
      <c r="FF58" s="71">
        <v>2682305</v>
      </c>
      <c r="FG58" s="71">
        <v>2294</v>
      </c>
      <c r="FH58" s="71">
        <v>2322295</v>
      </c>
      <c r="FI58" s="71">
        <v>1101764</v>
      </c>
      <c r="FJ58" s="71">
        <v>153036</v>
      </c>
      <c r="FK58" s="71">
        <v>705969</v>
      </c>
      <c r="FL58" s="71">
        <v>27783</v>
      </c>
      <c r="FM58" s="71">
        <v>443388</v>
      </c>
      <c r="FN58" s="71">
        <v>3324503</v>
      </c>
      <c r="FO58" s="71">
        <v>194564</v>
      </c>
      <c r="FP58" s="71">
        <v>1417569</v>
      </c>
      <c r="FQ58" s="71">
        <v>0</v>
      </c>
      <c r="FR58" s="71">
        <v>999515</v>
      </c>
      <c r="FS58" s="71">
        <v>38254</v>
      </c>
      <c r="FT58" s="71">
        <v>52663</v>
      </c>
      <c r="FU58" s="71">
        <v>746249</v>
      </c>
      <c r="FV58" s="71">
        <v>404057</v>
      </c>
      <c r="FW58" s="71">
        <v>28049</v>
      </c>
      <c r="FX58" s="71">
        <v>91401</v>
      </c>
      <c r="FY58" s="71">
        <v>586006</v>
      </c>
      <c r="FZ58" s="71">
        <v>801518</v>
      </c>
      <c r="GA58" s="71">
        <v>1683625</v>
      </c>
      <c r="GB58" s="71">
        <v>1777913</v>
      </c>
      <c r="GC58" s="71">
        <v>0</v>
      </c>
      <c r="GD58" s="71">
        <v>990477</v>
      </c>
      <c r="GE58" s="71">
        <v>575005</v>
      </c>
      <c r="GF58" s="71">
        <v>24738033</v>
      </c>
      <c r="GG58" s="71">
        <v>115185</v>
      </c>
      <c r="GH58" s="71">
        <v>98002</v>
      </c>
      <c r="GI58" s="71">
        <v>1806397</v>
      </c>
      <c r="GJ58" s="71">
        <v>1244909</v>
      </c>
      <c r="GK58" s="71">
        <v>15865</v>
      </c>
      <c r="GL58" s="71">
        <v>564050</v>
      </c>
      <c r="GM58" s="71">
        <v>1012262</v>
      </c>
      <c r="GN58" s="71">
        <v>121634</v>
      </c>
      <c r="GO58" s="71">
        <v>274740</v>
      </c>
      <c r="GP58" s="71">
        <v>25032</v>
      </c>
      <c r="GQ58" s="71">
        <v>159353</v>
      </c>
      <c r="GR58" s="71">
        <v>2174592</v>
      </c>
      <c r="GS58" s="71">
        <v>312226</v>
      </c>
      <c r="GT58" s="71">
        <v>601600</v>
      </c>
      <c r="GU58" s="71">
        <v>0</v>
      </c>
      <c r="GV58" s="71">
        <v>421487</v>
      </c>
      <c r="GW58" s="71">
        <v>36237</v>
      </c>
      <c r="GX58" s="71">
        <v>48638</v>
      </c>
      <c r="GY58" s="71">
        <v>578854</v>
      </c>
      <c r="GZ58" s="71">
        <v>333882</v>
      </c>
      <c r="HA58" s="71">
        <v>14588</v>
      </c>
      <c r="HB58" s="71">
        <v>79841</v>
      </c>
      <c r="HC58" s="71">
        <v>300982</v>
      </c>
      <c r="HD58" s="71">
        <v>356451</v>
      </c>
      <c r="HE58" s="71">
        <v>1936410</v>
      </c>
      <c r="HF58" s="71">
        <v>1029657</v>
      </c>
      <c r="HG58" s="71">
        <v>0</v>
      </c>
      <c r="HH58" s="71">
        <v>884710</v>
      </c>
      <c r="HI58" s="71">
        <v>663531</v>
      </c>
      <c r="HJ58" s="71">
        <v>15211117</v>
      </c>
      <c r="HK58" s="71">
        <v>115532</v>
      </c>
      <c r="HL58" s="71">
        <v>138786</v>
      </c>
      <c r="HM58" s="71">
        <v>1347406</v>
      </c>
      <c r="HN58" s="71">
        <v>1376756</v>
      </c>
      <c r="HO58" s="71">
        <v>23575</v>
      </c>
      <c r="HP58" s="71">
        <v>961399</v>
      </c>
      <c r="HQ58" s="71">
        <v>768358</v>
      </c>
      <c r="HR58" s="71">
        <v>767940</v>
      </c>
      <c r="HS58" s="71">
        <v>234783</v>
      </c>
      <c r="HT58" s="71">
        <v>11944</v>
      </c>
      <c r="HU58" s="71">
        <v>247135</v>
      </c>
      <c r="HV58" s="71">
        <v>1139808</v>
      </c>
      <c r="HW58" s="71">
        <v>128514</v>
      </c>
      <c r="HX58" s="71">
        <v>369608</v>
      </c>
      <c r="HY58" s="71">
        <v>0</v>
      </c>
      <c r="HZ58" s="71">
        <v>1361332</v>
      </c>
      <c r="IA58" s="71">
        <v>23665</v>
      </c>
      <c r="IB58" s="71">
        <v>18964</v>
      </c>
      <c r="IC58" s="71">
        <v>340901</v>
      </c>
      <c r="ID58" s="71">
        <v>309678</v>
      </c>
      <c r="IE58" s="71">
        <v>33727</v>
      </c>
      <c r="IF58" s="71">
        <v>113112</v>
      </c>
      <c r="IG58" s="71">
        <v>204134</v>
      </c>
      <c r="IH58" s="71">
        <v>824559</v>
      </c>
      <c r="II58" s="71">
        <v>972460</v>
      </c>
      <c r="IJ58" s="71">
        <v>804320</v>
      </c>
      <c r="IK58" s="71">
        <v>0</v>
      </c>
      <c r="IL58" s="71">
        <v>207232</v>
      </c>
      <c r="IM58" s="71">
        <v>182873</v>
      </c>
      <c r="IN58" s="71">
        <v>13028501</v>
      </c>
      <c r="IO58" s="71">
        <v>595820</v>
      </c>
      <c r="IP58" s="71">
        <v>354891</v>
      </c>
      <c r="IQ58" s="71">
        <v>6258428</v>
      </c>
      <c r="IR58" s="71">
        <v>5303970</v>
      </c>
      <c r="IS58" s="71">
        <v>41734</v>
      </c>
      <c r="IT58" s="71">
        <v>3847744</v>
      </c>
      <c r="IU58" s="71">
        <v>2882384</v>
      </c>
      <c r="IV58" s="71">
        <v>1042610</v>
      </c>
      <c r="IW58" s="71">
        <v>1215492</v>
      </c>
      <c r="IX58" s="71">
        <v>64759</v>
      </c>
      <c r="IY58" s="71">
        <v>849876</v>
      </c>
      <c r="IZ58" s="71">
        <v>6638903</v>
      </c>
      <c r="JA58" s="71">
        <v>635304</v>
      </c>
      <c r="JB58" s="71">
        <v>2388777</v>
      </c>
      <c r="JC58" s="71">
        <v>0</v>
      </c>
      <c r="JD58" s="71">
        <v>2782334</v>
      </c>
      <c r="JE58" s="71">
        <v>98156</v>
      </c>
      <c r="JF58" s="71">
        <v>120265</v>
      </c>
      <c r="JG58" s="71">
        <v>1666004</v>
      </c>
      <c r="JH58" s="71">
        <v>1047617</v>
      </c>
      <c r="JI58" s="71">
        <v>76364</v>
      </c>
      <c r="JJ58" s="71">
        <v>284354</v>
      </c>
      <c r="JK58" s="71">
        <v>1091122</v>
      </c>
      <c r="JL58" s="71">
        <v>1982528</v>
      </c>
      <c r="JM58" s="71">
        <v>4592495</v>
      </c>
      <c r="JN58" s="71">
        <v>3611890</v>
      </c>
      <c r="JO58" s="71">
        <v>0</v>
      </c>
      <c r="JP58" s="71">
        <v>2082419</v>
      </c>
      <c r="JQ58" s="71">
        <v>1421409</v>
      </c>
      <c r="JR58" s="71">
        <v>52977651</v>
      </c>
      <c r="JS58" s="71">
        <v>1085242</v>
      </c>
      <c r="JT58" s="71">
        <v>963843</v>
      </c>
      <c r="JU58" s="71">
        <v>16555007</v>
      </c>
      <c r="JV58" s="71">
        <v>11857326</v>
      </c>
      <c r="JW58" s="71">
        <v>157141</v>
      </c>
      <c r="JX58" s="71">
        <v>5709995</v>
      </c>
      <c r="JY58" s="71">
        <v>9290334</v>
      </c>
      <c r="JZ58" s="71">
        <v>1791947</v>
      </c>
      <c r="KA58" s="71">
        <v>2547748</v>
      </c>
      <c r="KB58" s="71">
        <v>222685</v>
      </c>
      <c r="KC58" s="71">
        <v>1588686</v>
      </c>
      <c r="KD58" s="71">
        <v>19447146</v>
      </c>
      <c r="KE58" s="71">
        <v>2757064</v>
      </c>
      <c r="KF58" s="71">
        <v>5434329</v>
      </c>
      <c r="KG58" s="71">
        <v>0</v>
      </c>
      <c r="KH58" s="71">
        <v>4909723</v>
      </c>
      <c r="KI58" s="71">
        <v>328735</v>
      </c>
      <c r="KJ58" s="71">
        <v>428432</v>
      </c>
      <c r="KK58" s="71">
        <v>5214129</v>
      </c>
      <c r="KL58" s="71">
        <v>3120544</v>
      </c>
      <c r="KM58" s="71">
        <v>156543</v>
      </c>
      <c r="KN58" s="71">
        <v>785273</v>
      </c>
      <c r="KO58" s="71">
        <v>2738027</v>
      </c>
      <c r="KP58" s="71">
        <v>3825431</v>
      </c>
      <c r="KQ58" s="71">
        <v>17274608</v>
      </c>
      <c r="KR58" s="71">
        <v>9472744</v>
      </c>
      <c r="KS58" s="71">
        <v>0</v>
      </c>
      <c r="KT58" s="71">
        <v>7655383</v>
      </c>
      <c r="KU58" s="71">
        <v>5768971</v>
      </c>
      <c r="KV58" s="71">
        <v>141087038</v>
      </c>
      <c r="KW58" s="71" t="s">
        <v>1357</v>
      </c>
      <c r="KX58" s="71">
        <v>243828151</v>
      </c>
      <c r="KY58" s="71">
        <v>39550437</v>
      </c>
      <c r="KZ58" s="71">
        <v>283378588</v>
      </c>
      <c r="LA58" s="71">
        <v>0</v>
      </c>
      <c r="LB58" s="71">
        <v>4906289</v>
      </c>
    </row>
    <row r="59" spans="1:314" x14ac:dyDescent="0.25">
      <c r="A59" s="71" t="s">
        <v>440</v>
      </c>
      <c r="B59" s="71" t="s">
        <v>1322</v>
      </c>
      <c r="C59" s="160" t="s">
        <v>1345</v>
      </c>
      <c r="D59" s="71" t="s">
        <v>1399</v>
      </c>
      <c r="E59" s="2">
        <v>41303.406145833331</v>
      </c>
      <c r="F59" s="71"/>
      <c r="G59" s="71" t="s">
        <v>441</v>
      </c>
      <c r="H59" s="71" t="s">
        <v>1323</v>
      </c>
      <c r="I59" s="71" t="s">
        <v>1324</v>
      </c>
      <c r="J59" s="71" t="s">
        <v>1325</v>
      </c>
      <c r="K59" s="71" t="s">
        <v>1326</v>
      </c>
      <c r="L59" s="71">
        <v>0</v>
      </c>
      <c r="M59" s="71">
        <v>0</v>
      </c>
      <c r="N59" s="71">
        <v>0</v>
      </c>
      <c r="O59" s="71">
        <v>94552132</v>
      </c>
      <c r="P59" s="71">
        <v>0</v>
      </c>
      <c r="Q59" s="71">
        <v>3578059</v>
      </c>
      <c r="R59" s="71">
        <v>0</v>
      </c>
      <c r="S59" s="71">
        <v>3578059</v>
      </c>
      <c r="T59" s="71">
        <v>9181626</v>
      </c>
      <c r="U59" s="71">
        <v>6202870</v>
      </c>
      <c r="V59" s="71">
        <v>5948499</v>
      </c>
      <c r="W59" s="71">
        <v>0</v>
      </c>
      <c r="X59" s="71">
        <v>0</v>
      </c>
      <c r="Y59" s="71">
        <v>0</v>
      </c>
      <c r="Z59" s="71">
        <v>21332995</v>
      </c>
      <c r="AA59" s="71">
        <v>7351746</v>
      </c>
      <c r="AB59" s="71">
        <v>1210501</v>
      </c>
      <c r="AC59" s="71">
        <v>1667516</v>
      </c>
      <c r="AD59" s="71">
        <v>0</v>
      </c>
      <c r="AE59" s="71">
        <v>0</v>
      </c>
      <c r="AF59" s="71">
        <v>2304527</v>
      </c>
      <c r="AG59" s="71">
        <v>12534290</v>
      </c>
      <c r="AH59" s="71">
        <v>16533372</v>
      </c>
      <c r="AI59" s="71">
        <v>7413371</v>
      </c>
      <c r="AJ59" s="71">
        <v>7616015</v>
      </c>
      <c r="AK59" s="71">
        <v>0</v>
      </c>
      <c r="AL59" s="71">
        <v>0</v>
      </c>
      <c r="AM59" s="71">
        <v>2304527</v>
      </c>
      <c r="AN59" s="71">
        <v>33867285</v>
      </c>
      <c r="AO59" s="71">
        <v>161559</v>
      </c>
      <c r="AP59" s="71">
        <v>0</v>
      </c>
      <c r="AQ59" s="71">
        <v>0</v>
      </c>
      <c r="AR59" s="71">
        <v>0</v>
      </c>
      <c r="AS59" s="71">
        <v>161559</v>
      </c>
      <c r="AT59" s="71">
        <v>29150</v>
      </c>
      <c r="AU59" s="71">
        <v>0</v>
      </c>
      <c r="AV59" s="71">
        <v>0</v>
      </c>
      <c r="AW59" s="71">
        <v>0</v>
      </c>
      <c r="AX59" s="71">
        <v>29150</v>
      </c>
      <c r="AY59" s="71">
        <v>190709</v>
      </c>
      <c r="AZ59" s="71">
        <v>0</v>
      </c>
      <c r="BA59" s="71">
        <v>0</v>
      </c>
      <c r="BB59" s="71">
        <v>0</v>
      </c>
      <c r="BC59" s="71">
        <v>190709</v>
      </c>
      <c r="BD59" s="71">
        <v>2619893</v>
      </c>
      <c r="BE59" s="71">
        <v>0</v>
      </c>
      <c r="BF59" s="71">
        <v>0</v>
      </c>
      <c r="BG59" s="71">
        <v>0</v>
      </c>
      <c r="BH59" s="71">
        <v>0</v>
      </c>
      <c r="BI59" s="71">
        <v>2619893</v>
      </c>
      <c r="BJ59" s="71">
        <v>0</v>
      </c>
      <c r="BK59" s="71">
        <v>0</v>
      </c>
      <c r="BL59" s="71">
        <v>871331</v>
      </c>
      <c r="BM59" s="71">
        <v>0</v>
      </c>
      <c r="BN59" s="71">
        <v>0</v>
      </c>
      <c r="BO59" s="71">
        <v>871331</v>
      </c>
      <c r="BP59" s="71">
        <v>5966458</v>
      </c>
      <c r="BQ59" s="71">
        <v>0</v>
      </c>
      <c r="BR59" s="71">
        <v>0</v>
      </c>
      <c r="BS59" s="71">
        <v>0</v>
      </c>
      <c r="BT59" s="71">
        <v>13108</v>
      </c>
      <c r="BU59" s="71">
        <v>5979566</v>
      </c>
      <c r="BV59" s="71">
        <v>8586351</v>
      </c>
      <c r="BW59" s="71">
        <v>0</v>
      </c>
      <c r="BX59" s="71">
        <v>871331</v>
      </c>
      <c r="BY59" s="71">
        <v>0</v>
      </c>
      <c r="BZ59" s="71">
        <v>13108</v>
      </c>
      <c r="CA59" s="71">
        <v>9470790</v>
      </c>
      <c r="CB59" s="71">
        <v>0</v>
      </c>
      <c r="CC59" s="71">
        <v>0</v>
      </c>
      <c r="CD59" s="71">
        <v>0</v>
      </c>
      <c r="CE59" s="71">
        <v>0</v>
      </c>
      <c r="CF59" s="71">
        <v>0</v>
      </c>
      <c r="CG59" s="71">
        <v>0</v>
      </c>
      <c r="CH59" s="71">
        <v>0</v>
      </c>
      <c r="CI59" s="71">
        <v>0</v>
      </c>
      <c r="CJ59" s="71">
        <v>0</v>
      </c>
      <c r="CK59" s="71">
        <v>0</v>
      </c>
      <c r="CL59" s="71">
        <v>0</v>
      </c>
      <c r="CM59" s="71">
        <v>0</v>
      </c>
      <c r="CN59" s="71">
        <v>0</v>
      </c>
      <c r="CO59" s="71">
        <v>0</v>
      </c>
      <c r="CP59" s="71">
        <v>0</v>
      </c>
      <c r="CQ59" s="71">
        <v>0</v>
      </c>
      <c r="CR59" s="71" t="s">
        <v>440</v>
      </c>
      <c r="CS59" s="71">
        <v>5734918</v>
      </c>
      <c r="CT59" s="71">
        <v>0</v>
      </c>
      <c r="CU59" s="71">
        <v>8160</v>
      </c>
      <c r="CV59" s="71">
        <v>158972</v>
      </c>
      <c r="CW59" s="71">
        <v>1494624</v>
      </c>
      <c r="CX59" s="71">
        <v>695970</v>
      </c>
      <c r="CY59" s="71">
        <v>0</v>
      </c>
      <c r="CZ59" s="71">
        <v>39514</v>
      </c>
      <c r="DA59" s="71">
        <v>893350</v>
      </c>
      <c r="DB59" s="71">
        <v>45252</v>
      </c>
      <c r="DC59" s="71">
        <v>257758</v>
      </c>
      <c r="DD59" s="71">
        <v>19440</v>
      </c>
      <c r="DE59" s="71">
        <v>257799</v>
      </c>
      <c r="DF59" s="71">
        <v>1219120</v>
      </c>
      <c r="DG59" s="71">
        <v>378016</v>
      </c>
      <c r="DH59" s="71">
        <v>316180</v>
      </c>
      <c r="DI59" s="71">
        <v>0</v>
      </c>
      <c r="DJ59" s="71">
        <v>474252</v>
      </c>
      <c r="DK59" s="71">
        <v>28224</v>
      </c>
      <c r="DL59" s="71">
        <v>241808</v>
      </c>
      <c r="DM59" s="71">
        <v>914304</v>
      </c>
      <c r="DN59" s="71">
        <v>205376</v>
      </c>
      <c r="DO59" s="71">
        <v>99634</v>
      </c>
      <c r="DP59" s="71">
        <v>148856</v>
      </c>
      <c r="DQ59" s="71">
        <v>74976</v>
      </c>
      <c r="DR59" s="71">
        <v>255908</v>
      </c>
      <c r="DS59" s="71">
        <v>1719600</v>
      </c>
      <c r="DT59" s="71">
        <v>423840</v>
      </c>
      <c r="DU59" s="71">
        <v>0</v>
      </c>
      <c r="DV59" s="71">
        <v>525472</v>
      </c>
      <c r="DW59" s="71">
        <v>711456</v>
      </c>
      <c r="DX59" s="71">
        <v>11607861</v>
      </c>
      <c r="DY59" s="71">
        <v>23186</v>
      </c>
      <c r="DZ59" s="71">
        <v>561601</v>
      </c>
      <c r="EA59" s="71">
        <v>4246787</v>
      </c>
      <c r="EB59" s="71">
        <v>1217338</v>
      </c>
      <c r="EC59" s="71">
        <v>0</v>
      </c>
      <c r="ED59" s="71">
        <v>87041</v>
      </c>
      <c r="EE59" s="71">
        <v>1967861</v>
      </c>
      <c r="EF59" s="71">
        <v>536366</v>
      </c>
      <c r="EG59" s="71">
        <v>1185865</v>
      </c>
      <c r="EH59" s="71">
        <v>67454</v>
      </c>
      <c r="EI59" s="71">
        <v>477279</v>
      </c>
      <c r="EJ59" s="71">
        <v>5140037</v>
      </c>
      <c r="EK59" s="71">
        <v>1019001</v>
      </c>
      <c r="EL59" s="71">
        <v>1955389</v>
      </c>
      <c r="EM59" s="71">
        <v>0</v>
      </c>
      <c r="EN59" s="71">
        <v>2266456</v>
      </c>
      <c r="EO59" s="71">
        <v>195697</v>
      </c>
      <c r="EP59" s="71">
        <v>1691787</v>
      </c>
      <c r="EQ59" s="71">
        <v>2064182</v>
      </c>
      <c r="ER59" s="71">
        <v>659025</v>
      </c>
      <c r="ES59" s="71">
        <v>208236</v>
      </c>
      <c r="ET59" s="71">
        <v>517591</v>
      </c>
      <c r="EU59" s="71">
        <v>382054</v>
      </c>
      <c r="EV59" s="71">
        <v>581276</v>
      </c>
      <c r="EW59" s="71">
        <v>5522166</v>
      </c>
      <c r="EX59" s="71">
        <v>1444002</v>
      </c>
      <c r="EY59" s="71">
        <v>0</v>
      </c>
      <c r="EZ59" s="71">
        <v>1918690</v>
      </c>
      <c r="FA59" s="71">
        <v>2267512</v>
      </c>
      <c r="FB59" s="71">
        <v>38203879</v>
      </c>
      <c r="FC59" s="71">
        <v>2277</v>
      </c>
      <c r="FD59" s="71">
        <v>119436</v>
      </c>
      <c r="FE59" s="71">
        <v>417102</v>
      </c>
      <c r="FF59" s="71">
        <v>94785</v>
      </c>
      <c r="FG59" s="71">
        <v>0</v>
      </c>
      <c r="FH59" s="71">
        <v>119997</v>
      </c>
      <c r="FI59" s="71">
        <v>272143</v>
      </c>
      <c r="FJ59" s="71">
        <v>81712</v>
      </c>
      <c r="FK59" s="71">
        <v>387490</v>
      </c>
      <c r="FL59" s="71">
        <v>0</v>
      </c>
      <c r="FM59" s="71">
        <v>169808</v>
      </c>
      <c r="FN59" s="71">
        <v>69183</v>
      </c>
      <c r="FO59" s="71">
        <v>6623</v>
      </c>
      <c r="FP59" s="71">
        <v>84629</v>
      </c>
      <c r="FQ59" s="71">
        <v>0</v>
      </c>
      <c r="FR59" s="71">
        <v>334546</v>
      </c>
      <c r="FS59" s="71">
        <v>5761</v>
      </c>
      <c r="FT59" s="71">
        <v>146007</v>
      </c>
      <c r="FU59" s="71">
        <v>40639</v>
      </c>
      <c r="FV59" s="71">
        <v>52992</v>
      </c>
      <c r="FW59" s="71">
        <v>97908</v>
      </c>
      <c r="FX59" s="71">
        <v>54235</v>
      </c>
      <c r="FY59" s="71">
        <v>5084</v>
      </c>
      <c r="FZ59" s="71">
        <v>87564</v>
      </c>
      <c r="GA59" s="71">
        <v>21978</v>
      </c>
      <c r="GB59" s="71">
        <v>25598</v>
      </c>
      <c r="GC59" s="71">
        <v>0</v>
      </c>
      <c r="GD59" s="71">
        <v>183007</v>
      </c>
      <c r="GE59" s="71">
        <v>40886</v>
      </c>
      <c r="GF59" s="71">
        <v>2921390</v>
      </c>
      <c r="GG59" s="71">
        <v>3551</v>
      </c>
      <c r="GH59" s="71">
        <v>94971</v>
      </c>
      <c r="GI59" s="71">
        <v>650379</v>
      </c>
      <c r="GJ59" s="71">
        <v>182976</v>
      </c>
      <c r="GK59" s="71">
        <v>0</v>
      </c>
      <c r="GL59" s="71">
        <v>28871</v>
      </c>
      <c r="GM59" s="71">
        <v>312369</v>
      </c>
      <c r="GN59" s="71">
        <v>86191</v>
      </c>
      <c r="GO59" s="71">
        <v>219404</v>
      </c>
      <c r="GP59" s="71">
        <v>9406</v>
      </c>
      <c r="GQ59" s="71">
        <v>90236</v>
      </c>
      <c r="GR59" s="71">
        <v>726426</v>
      </c>
      <c r="GS59" s="71">
        <v>143023</v>
      </c>
      <c r="GT59" s="71">
        <v>284480</v>
      </c>
      <c r="GU59" s="71">
        <v>0</v>
      </c>
      <c r="GV59" s="71">
        <v>362710</v>
      </c>
      <c r="GW59" s="71">
        <v>28093</v>
      </c>
      <c r="GX59" s="71">
        <v>256280</v>
      </c>
      <c r="GY59" s="71">
        <v>293517</v>
      </c>
      <c r="GZ59" s="71">
        <v>99291</v>
      </c>
      <c r="HA59" s="71">
        <v>42692</v>
      </c>
      <c r="HB59" s="71">
        <v>79741</v>
      </c>
      <c r="HC59" s="71">
        <v>53986</v>
      </c>
      <c r="HD59" s="71">
        <v>93270</v>
      </c>
      <c r="HE59" s="71">
        <v>773131</v>
      </c>
      <c r="HF59" s="71">
        <v>204936</v>
      </c>
      <c r="HG59" s="71">
        <v>0</v>
      </c>
      <c r="HH59" s="71">
        <v>293082</v>
      </c>
      <c r="HI59" s="71">
        <v>321906</v>
      </c>
      <c r="HJ59" s="71">
        <v>5734918</v>
      </c>
      <c r="HK59" s="71">
        <v>10007</v>
      </c>
      <c r="HL59" s="71">
        <v>178700</v>
      </c>
      <c r="HM59" s="71">
        <v>469931</v>
      </c>
      <c r="HN59" s="71">
        <v>66254</v>
      </c>
      <c r="HO59" s="71">
        <v>0</v>
      </c>
      <c r="HP59" s="71">
        <v>28112</v>
      </c>
      <c r="HQ59" s="71">
        <v>192022</v>
      </c>
      <c r="HR59" s="71">
        <v>139567</v>
      </c>
      <c r="HS59" s="71">
        <v>115011</v>
      </c>
      <c r="HT59" s="71">
        <v>30794</v>
      </c>
      <c r="HU59" s="71">
        <v>125557</v>
      </c>
      <c r="HV59" s="71">
        <v>197049</v>
      </c>
      <c r="HW59" s="71">
        <v>19347</v>
      </c>
      <c r="HX59" s="71">
        <v>130528</v>
      </c>
      <c r="HY59" s="71">
        <v>0</v>
      </c>
      <c r="HZ59" s="71">
        <v>245529</v>
      </c>
      <c r="IA59" s="71">
        <v>58178</v>
      </c>
      <c r="IB59" s="71">
        <v>118918</v>
      </c>
      <c r="IC59" s="71">
        <v>105277</v>
      </c>
      <c r="ID59" s="71">
        <v>104896</v>
      </c>
      <c r="IE59" s="71">
        <v>31323</v>
      </c>
      <c r="IF59" s="71">
        <v>82291</v>
      </c>
      <c r="IG59" s="71">
        <v>23482</v>
      </c>
      <c r="IH59" s="71">
        <v>49533</v>
      </c>
      <c r="II59" s="71">
        <v>152085</v>
      </c>
      <c r="IJ59" s="71">
        <v>94228</v>
      </c>
      <c r="IK59" s="71">
        <v>0</v>
      </c>
      <c r="IL59" s="71">
        <v>73754</v>
      </c>
      <c r="IM59" s="71">
        <v>60364</v>
      </c>
      <c r="IN59" s="71">
        <v>2902737</v>
      </c>
      <c r="IO59" s="71">
        <v>15835</v>
      </c>
      <c r="IP59" s="71">
        <v>393107</v>
      </c>
      <c r="IQ59" s="71">
        <v>1537412</v>
      </c>
      <c r="IR59" s="71">
        <v>344015</v>
      </c>
      <c r="IS59" s="71">
        <v>0</v>
      </c>
      <c r="IT59" s="71">
        <v>176980</v>
      </c>
      <c r="IU59" s="71">
        <v>776534</v>
      </c>
      <c r="IV59" s="71">
        <v>307470</v>
      </c>
      <c r="IW59" s="71">
        <v>721905</v>
      </c>
      <c r="IX59" s="71">
        <v>40200</v>
      </c>
      <c r="IY59" s="71">
        <v>385601</v>
      </c>
      <c r="IZ59" s="71">
        <v>992658</v>
      </c>
      <c r="JA59" s="71">
        <v>168993</v>
      </c>
      <c r="JB59" s="71">
        <v>499637</v>
      </c>
      <c r="JC59" s="71">
        <v>0</v>
      </c>
      <c r="JD59" s="71">
        <v>942785</v>
      </c>
      <c r="JE59" s="71">
        <v>92032</v>
      </c>
      <c r="JF59" s="71">
        <v>521205</v>
      </c>
      <c r="JG59" s="71">
        <v>439433</v>
      </c>
      <c r="JH59" s="71">
        <v>257179</v>
      </c>
      <c r="JI59" s="71">
        <v>171923</v>
      </c>
      <c r="JJ59" s="71">
        <v>216267</v>
      </c>
      <c r="JK59" s="71">
        <v>82552</v>
      </c>
      <c r="JL59" s="71">
        <v>230367</v>
      </c>
      <c r="JM59" s="71">
        <v>947194</v>
      </c>
      <c r="JN59" s="71">
        <v>324762</v>
      </c>
      <c r="JO59" s="71">
        <v>0</v>
      </c>
      <c r="JP59" s="71">
        <v>549843</v>
      </c>
      <c r="JQ59" s="71">
        <v>423156</v>
      </c>
      <c r="JR59" s="71">
        <v>11559045</v>
      </c>
      <c r="JS59" s="71">
        <v>39021</v>
      </c>
      <c r="JT59" s="71">
        <v>954708</v>
      </c>
      <c r="JU59" s="71">
        <v>5784199</v>
      </c>
      <c r="JV59" s="71">
        <v>1561353</v>
      </c>
      <c r="JW59" s="71">
        <v>0</v>
      </c>
      <c r="JX59" s="71">
        <v>264021</v>
      </c>
      <c r="JY59" s="71">
        <v>2744395</v>
      </c>
      <c r="JZ59" s="71">
        <v>843836</v>
      </c>
      <c r="KA59" s="71">
        <v>1907770</v>
      </c>
      <c r="KB59" s="71">
        <v>107654</v>
      </c>
      <c r="KC59" s="71">
        <v>862880</v>
      </c>
      <c r="KD59" s="71">
        <v>6132695</v>
      </c>
      <c r="KE59" s="71">
        <v>1187994</v>
      </c>
      <c r="KF59" s="71">
        <v>2455026</v>
      </c>
      <c r="KG59" s="71">
        <v>0</v>
      </c>
      <c r="KH59" s="71">
        <v>3209241</v>
      </c>
      <c r="KI59" s="71">
        <v>287729</v>
      </c>
      <c r="KJ59" s="71">
        <v>2212992</v>
      </c>
      <c r="KK59" s="71">
        <v>2503615</v>
      </c>
      <c r="KL59" s="71">
        <v>916204</v>
      </c>
      <c r="KM59" s="71">
        <v>380159</v>
      </c>
      <c r="KN59" s="71">
        <v>733858</v>
      </c>
      <c r="KO59" s="71">
        <v>464606</v>
      </c>
      <c r="KP59" s="71">
        <v>811643</v>
      </c>
      <c r="KQ59" s="71">
        <v>6469360</v>
      </c>
      <c r="KR59" s="71">
        <v>1768764</v>
      </c>
      <c r="KS59" s="71">
        <v>0</v>
      </c>
      <c r="KT59" s="71">
        <v>2468533</v>
      </c>
      <c r="KU59" s="71">
        <v>2690668</v>
      </c>
      <c r="KV59" s="71">
        <v>49762924</v>
      </c>
      <c r="KW59" s="71" t="s">
        <v>1070</v>
      </c>
      <c r="KX59" s="71">
        <v>87208268</v>
      </c>
      <c r="KY59" s="71">
        <v>9661499</v>
      </c>
      <c r="KZ59" s="71">
        <v>96869767</v>
      </c>
      <c r="LA59" s="71">
        <v>0</v>
      </c>
      <c r="LB59" s="71">
        <v>2317635</v>
      </c>
    </row>
    <row r="60" spans="1:314" x14ac:dyDescent="0.25">
      <c r="A60" s="71" t="s">
        <v>442</v>
      </c>
      <c r="B60" s="71" t="s">
        <v>1327</v>
      </c>
      <c r="C60" s="160" t="s">
        <v>1345</v>
      </c>
      <c r="D60" s="71" t="s">
        <v>1362</v>
      </c>
      <c r="E60" s="2">
        <v>41281.357789351852</v>
      </c>
      <c r="F60" s="71"/>
      <c r="G60" s="71" t="s">
        <v>1328</v>
      </c>
      <c r="H60" s="71" t="s">
        <v>1329</v>
      </c>
      <c r="I60" s="71" t="s">
        <v>1097</v>
      </c>
      <c r="J60" s="71" t="s">
        <v>1330</v>
      </c>
      <c r="K60" s="71" t="s">
        <v>1331</v>
      </c>
      <c r="L60" s="71">
        <v>0</v>
      </c>
      <c r="M60" s="71">
        <v>0</v>
      </c>
      <c r="N60" s="71">
        <v>0</v>
      </c>
      <c r="O60" s="71">
        <v>6671720</v>
      </c>
      <c r="P60" s="71">
        <v>0</v>
      </c>
      <c r="Q60" s="71">
        <v>88341</v>
      </c>
      <c r="R60" s="71">
        <v>0</v>
      </c>
      <c r="S60" s="71">
        <v>88341</v>
      </c>
      <c r="T60" s="71">
        <v>759915</v>
      </c>
      <c r="U60" s="71">
        <v>640287</v>
      </c>
      <c r="V60" s="71">
        <v>469232</v>
      </c>
      <c r="W60" s="71">
        <v>190047</v>
      </c>
      <c r="X60" s="71">
        <v>0</v>
      </c>
      <c r="Y60" s="71">
        <v>0</v>
      </c>
      <c r="Z60" s="71">
        <v>2059481</v>
      </c>
      <c r="AA60" s="71">
        <v>161804</v>
      </c>
      <c r="AB60" s="71">
        <v>358758</v>
      </c>
      <c r="AC60" s="71">
        <v>57935</v>
      </c>
      <c r="AD60" s="71">
        <v>18266</v>
      </c>
      <c r="AE60" s="71">
        <v>390348</v>
      </c>
      <c r="AF60" s="71">
        <v>62718</v>
      </c>
      <c r="AG60" s="71">
        <v>1049829</v>
      </c>
      <c r="AH60" s="71">
        <v>921719</v>
      </c>
      <c r="AI60" s="71">
        <v>999045</v>
      </c>
      <c r="AJ60" s="71">
        <v>527167</v>
      </c>
      <c r="AK60" s="71">
        <v>208313</v>
      </c>
      <c r="AL60" s="71">
        <v>390348</v>
      </c>
      <c r="AM60" s="71">
        <v>62718</v>
      </c>
      <c r="AN60" s="71">
        <v>3109310</v>
      </c>
      <c r="AO60" s="71">
        <v>99818</v>
      </c>
      <c r="AP60" s="71">
        <v>0</v>
      </c>
      <c r="AQ60" s="71">
        <v>0</v>
      </c>
      <c r="AR60" s="71">
        <v>0</v>
      </c>
      <c r="AS60" s="71">
        <v>99818</v>
      </c>
      <c r="AT60" s="71">
        <v>371926</v>
      </c>
      <c r="AU60" s="71">
        <v>0</v>
      </c>
      <c r="AV60" s="71">
        <v>0</v>
      </c>
      <c r="AW60" s="71">
        <v>0</v>
      </c>
      <c r="AX60" s="71">
        <v>371926</v>
      </c>
      <c r="AY60" s="71">
        <v>471744</v>
      </c>
      <c r="AZ60" s="71">
        <v>0</v>
      </c>
      <c r="BA60" s="71">
        <v>0</v>
      </c>
      <c r="BB60" s="71">
        <v>0</v>
      </c>
      <c r="BC60" s="71">
        <v>471744</v>
      </c>
      <c r="BD60" s="71">
        <v>406151</v>
      </c>
      <c r="BE60" s="71">
        <v>0</v>
      </c>
      <c r="BF60" s="71">
        <v>0</v>
      </c>
      <c r="BG60" s="71">
        <v>0</v>
      </c>
      <c r="BH60" s="71">
        <v>0</v>
      </c>
      <c r="BI60" s="71">
        <v>406151</v>
      </c>
      <c r="BJ60" s="71">
        <v>0</v>
      </c>
      <c r="BK60" s="71">
        <v>0</v>
      </c>
      <c r="BL60" s="71">
        <v>21971</v>
      </c>
      <c r="BM60" s="71">
        <v>0</v>
      </c>
      <c r="BN60" s="71">
        <v>0</v>
      </c>
      <c r="BO60" s="71">
        <v>21971</v>
      </c>
      <c r="BP60" s="71">
        <v>461393</v>
      </c>
      <c r="BQ60" s="71">
        <v>0</v>
      </c>
      <c r="BR60" s="71">
        <v>0</v>
      </c>
      <c r="BS60" s="71">
        <v>0</v>
      </c>
      <c r="BT60" s="71">
        <v>17956</v>
      </c>
      <c r="BU60" s="71">
        <v>479349</v>
      </c>
      <c r="BV60" s="71">
        <v>867544</v>
      </c>
      <c r="BW60" s="71">
        <v>0</v>
      </c>
      <c r="BX60" s="71">
        <v>21971</v>
      </c>
      <c r="BY60" s="71">
        <v>0</v>
      </c>
      <c r="BZ60" s="71">
        <v>17956</v>
      </c>
      <c r="CA60" s="71">
        <v>907471</v>
      </c>
      <c r="CB60" s="71">
        <v>0</v>
      </c>
      <c r="CC60" s="71">
        <v>0</v>
      </c>
      <c r="CD60" s="71">
        <v>0</v>
      </c>
      <c r="CE60" s="71">
        <v>0</v>
      </c>
      <c r="CF60" s="71">
        <v>0</v>
      </c>
      <c r="CG60" s="71">
        <v>0</v>
      </c>
      <c r="CH60" s="71">
        <v>0</v>
      </c>
      <c r="CI60" s="71">
        <v>0</v>
      </c>
      <c r="CJ60" s="71">
        <v>0</v>
      </c>
      <c r="CK60" s="71">
        <v>0</v>
      </c>
      <c r="CL60" s="71">
        <v>0</v>
      </c>
      <c r="CM60" s="71">
        <v>0</v>
      </c>
      <c r="CN60" s="71">
        <v>0</v>
      </c>
      <c r="CO60" s="71">
        <v>0</v>
      </c>
      <c r="CP60" s="71">
        <v>0</v>
      </c>
      <c r="CQ60" s="71">
        <v>0</v>
      </c>
      <c r="CR60" s="71" t="s">
        <v>442</v>
      </c>
      <c r="CS60" s="71">
        <v>86454</v>
      </c>
      <c r="CT60" s="71">
        <v>0</v>
      </c>
      <c r="CU60" s="71">
        <v>0</v>
      </c>
      <c r="CV60" s="71">
        <v>47977</v>
      </c>
      <c r="CW60" s="71">
        <v>23854</v>
      </c>
      <c r="CX60" s="71">
        <v>56986</v>
      </c>
      <c r="CY60" s="71">
        <v>0</v>
      </c>
      <c r="CZ60" s="71">
        <v>4650</v>
      </c>
      <c r="DA60" s="71">
        <v>46670</v>
      </c>
      <c r="DB60" s="71">
        <v>52493</v>
      </c>
      <c r="DC60" s="71">
        <v>0</v>
      </c>
      <c r="DD60" s="71">
        <v>0</v>
      </c>
      <c r="DE60" s="71">
        <v>108361</v>
      </c>
      <c r="DF60" s="71">
        <v>34251</v>
      </c>
      <c r="DG60" s="71">
        <v>0</v>
      </c>
      <c r="DH60" s="71">
        <v>0</v>
      </c>
      <c r="DI60" s="71">
        <v>0</v>
      </c>
      <c r="DJ60" s="71">
        <v>4186</v>
      </c>
      <c r="DK60" s="71">
        <v>0</v>
      </c>
      <c r="DL60" s="71">
        <v>0</v>
      </c>
      <c r="DM60" s="71">
        <v>21909</v>
      </c>
      <c r="DN60" s="71">
        <v>1968</v>
      </c>
      <c r="DO60" s="71">
        <v>50524</v>
      </c>
      <c r="DP60" s="71">
        <v>11118</v>
      </c>
      <c r="DQ60" s="71">
        <v>0</v>
      </c>
      <c r="DR60" s="71">
        <v>0</v>
      </c>
      <c r="DS60" s="71">
        <v>14235</v>
      </c>
      <c r="DT60" s="71">
        <v>3744</v>
      </c>
      <c r="DU60" s="71">
        <v>0</v>
      </c>
      <c r="DV60" s="71">
        <v>12580</v>
      </c>
      <c r="DW60" s="71">
        <v>16518</v>
      </c>
      <c r="DX60" s="71">
        <v>512024</v>
      </c>
      <c r="DY60" s="71">
        <v>0</v>
      </c>
      <c r="DZ60" s="71">
        <v>305915</v>
      </c>
      <c r="EA60" s="71">
        <v>43093</v>
      </c>
      <c r="EB60" s="71">
        <v>98821</v>
      </c>
      <c r="EC60" s="71">
        <v>0</v>
      </c>
      <c r="ED60" s="71">
        <v>13142</v>
      </c>
      <c r="EE60" s="71">
        <v>80932</v>
      </c>
      <c r="EF60" s="71">
        <v>148359</v>
      </c>
      <c r="EG60" s="71">
        <v>0</v>
      </c>
      <c r="EH60" s="71">
        <v>0</v>
      </c>
      <c r="EI60" s="71">
        <v>495739</v>
      </c>
      <c r="EJ60" s="71">
        <v>61875</v>
      </c>
      <c r="EK60" s="71">
        <v>0</v>
      </c>
      <c r="EL60" s="71">
        <v>0</v>
      </c>
      <c r="EM60" s="71">
        <v>0</v>
      </c>
      <c r="EN60" s="71">
        <v>11831</v>
      </c>
      <c r="EO60" s="71">
        <v>0</v>
      </c>
      <c r="EP60" s="71">
        <v>0</v>
      </c>
      <c r="EQ60" s="71">
        <v>39579</v>
      </c>
      <c r="ER60" s="71">
        <v>8320</v>
      </c>
      <c r="ES60" s="71">
        <v>213587</v>
      </c>
      <c r="ET60" s="71">
        <v>31423</v>
      </c>
      <c r="EU60" s="71">
        <v>0</v>
      </c>
      <c r="EV60" s="71">
        <v>0</v>
      </c>
      <c r="EW60" s="71">
        <v>21566</v>
      </c>
      <c r="EX60" s="71">
        <v>6492</v>
      </c>
      <c r="EY60" s="71">
        <v>0</v>
      </c>
      <c r="EZ60" s="71">
        <v>92739</v>
      </c>
      <c r="FA60" s="71">
        <v>120420</v>
      </c>
      <c r="FB60" s="71">
        <v>1793833</v>
      </c>
      <c r="FC60" s="71">
        <v>0</v>
      </c>
      <c r="FD60" s="71">
        <v>1758</v>
      </c>
      <c r="FE60" s="71">
        <v>874</v>
      </c>
      <c r="FF60" s="71">
        <v>2089</v>
      </c>
      <c r="FG60" s="71">
        <v>0</v>
      </c>
      <c r="FH60" s="71">
        <v>234</v>
      </c>
      <c r="FI60" s="71">
        <v>1710</v>
      </c>
      <c r="FJ60" s="71">
        <v>2649</v>
      </c>
      <c r="FK60" s="71">
        <v>0</v>
      </c>
      <c r="FL60" s="71">
        <v>0</v>
      </c>
      <c r="FM60" s="71">
        <v>3971</v>
      </c>
      <c r="FN60" s="71">
        <v>1255</v>
      </c>
      <c r="FO60" s="71">
        <v>0</v>
      </c>
      <c r="FP60" s="71">
        <v>0</v>
      </c>
      <c r="FQ60" s="71">
        <v>0</v>
      </c>
      <c r="FR60" s="71">
        <v>211</v>
      </c>
      <c r="FS60" s="71">
        <v>0</v>
      </c>
      <c r="FT60" s="71">
        <v>0</v>
      </c>
      <c r="FU60" s="71">
        <v>3204</v>
      </c>
      <c r="FV60" s="71">
        <v>139</v>
      </c>
      <c r="FW60" s="71">
        <v>3582</v>
      </c>
      <c r="FX60" s="71">
        <v>560</v>
      </c>
      <c r="FY60" s="71">
        <v>0</v>
      </c>
      <c r="FZ60" s="71">
        <v>0</v>
      </c>
      <c r="GA60" s="71">
        <v>522</v>
      </c>
      <c r="GB60" s="71">
        <v>137</v>
      </c>
      <c r="GC60" s="71">
        <v>0</v>
      </c>
      <c r="GD60" s="71">
        <v>1943</v>
      </c>
      <c r="GE60" s="71">
        <v>2176</v>
      </c>
      <c r="GF60" s="71">
        <v>27014</v>
      </c>
      <c r="GG60" s="71">
        <v>0</v>
      </c>
      <c r="GH60" s="71">
        <v>14608</v>
      </c>
      <c r="GI60" s="71">
        <v>2088</v>
      </c>
      <c r="GJ60" s="71">
        <v>4791</v>
      </c>
      <c r="GK60" s="71">
        <v>0</v>
      </c>
      <c r="GL60" s="71">
        <v>635</v>
      </c>
      <c r="GM60" s="71">
        <v>3924</v>
      </c>
      <c r="GN60" s="71">
        <v>7170</v>
      </c>
      <c r="GO60" s="71">
        <v>0</v>
      </c>
      <c r="GP60" s="71">
        <v>0</v>
      </c>
      <c r="GQ60" s="71">
        <v>23726</v>
      </c>
      <c r="GR60" s="71">
        <v>2997</v>
      </c>
      <c r="GS60" s="71">
        <v>0</v>
      </c>
      <c r="GT60" s="71">
        <v>0</v>
      </c>
      <c r="GU60" s="71">
        <v>0</v>
      </c>
      <c r="GV60" s="71">
        <v>572</v>
      </c>
      <c r="GW60" s="71">
        <v>0</v>
      </c>
      <c r="GX60" s="71">
        <v>0</v>
      </c>
      <c r="GY60" s="71">
        <v>2031</v>
      </c>
      <c r="GZ60" s="71">
        <v>402</v>
      </c>
      <c r="HA60" s="71">
        <v>10311</v>
      </c>
      <c r="HB60" s="71">
        <v>1519</v>
      </c>
      <c r="HC60" s="71">
        <v>0</v>
      </c>
      <c r="HD60" s="71">
        <v>0</v>
      </c>
      <c r="HE60" s="71">
        <v>1049</v>
      </c>
      <c r="HF60" s="71">
        <v>315</v>
      </c>
      <c r="HG60" s="71">
        <v>0</v>
      </c>
      <c r="HH60" s="71">
        <v>4496</v>
      </c>
      <c r="HI60" s="71">
        <v>5821</v>
      </c>
      <c r="HJ60" s="71">
        <v>86454</v>
      </c>
      <c r="HK60" s="71">
        <v>0</v>
      </c>
      <c r="HL60" s="71">
        <v>29037</v>
      </c>
      <c r="HM60" s="71">
        <v>4851</v>
      </c>
      <c r="HN60" s="71">
        <v>30327</v>
      </c>
      <c r="HO60" s="71">
        <v>0</v>
      </c>
      <c r="HP60" s="71">
        <v>979</v>
      </c>
      <c r="HQ60" s="71">
        <v>24836</v>
      </c>
      <c r="HR60" s="71">
        <v>11052</v>
      </c>
      <c r="HS60" s="71">
        <v>0</v>
      </c>
      <c r="HT60" s="71">
        <v>0</v>
      </c>
      <c r="HU60" s="71">
        <v>59443</v>
      </c>
      <c r="HV60" s="71">
        <v>6095</v>
      </c>
      <c r="HW60" s="71">
        <v>0</v>
      </c>
      <c r="HX60" s="71">
        <v>0</v>
      </c>
      <c r="HY60" s="71">
        <v>0</v>
      </c>
      <c r="HZ60" s="71">
        <v>882</v>
      </c>
      <c r="IA60" s="71">
        <v>0</v>
      </c>
      <c r="IB60" s="71">
        <v>0</v>
      </c>
      <c r="IC60" s="71">
        <v>6404</v>
      </c>
      <c r="ID60" s="71">
        <v>2609</v>
      </c>
      <c r="IE60" s="71">
        <v>66968</v>
      </c>
      <c r="IF60" s="71">
        <v>2341</v>
      </c>
      <c r="IG60" s="71">
        <v>0</v>
      </c>
      <c r="IH60" s="71">
        <v>0</v>
      </c>
      <c r="II60" s="71">
        <v>1902</v>
      </c>
      <c r="IJ60" s="71">
        <v>1992</v>
      </c>
      <c r="IK60" s="71">
        <v>0</v>
      </c>
      <c r="IL60" s="71">
        <v>8547</v>
      </c>
      <c r="IM60" s="71">
        <v>9962</v>
      </c>
      <c r="IN60" s="71">
        <v>268227</v>
      </c>
      <c r="IO60" s="71">
        <v>0</v>
      </c>
      <c r="IP60" s="71">
        <v>45403</v>
      </c>
      <c r="IQ60" s="71">
        <v>7813</v>
      </c>
      <c r="IR60" s="71">
        <v>37207</v>
      </c>
      <c r="IS60" s="71">
        <v>0</v>
      </c>
      <c r="IT60" s="71">
        <v>1848</v>
      </c>
      <c r="IU60" s="71">
        <v>30470</v>
      </c>
      <c r="IV60" s="71">
        <v>20871</v>
      </c>
      <c r="IW60" s="71">
        <v>0</v>
      </c>
      <c r="IX60" s="71">
        <v>0</v>
      </c>
      <c r="IY60" s="71">
        <v>87140</v>
      </c>
      <c r="IZ60" s="71">
        <v>10347</v>
      </c>
      <c r="JA60" s="71">
        <v>0</v>
      </c>
      <c r="JB60" s="71">
        <v>0</v>
      </c>
      <c r="JC60" s="71">
        <v>0</v>
      </c>
      <c r="JD60" s="71">
        <v>1665</v>
      </c>
      <c r="JE60" s="71">
        <v>0</v>
      </c>
      <c r="JF60" s="71">
        <v>0</v>
      </c>
      <c r="JG60" s="71">
        <v>11639</v>
      </c>
      <c r="JH60" s="71">
        <v>3150</v>
      </c>
      <c r="JI60" s="71">
        <v>80861</v>
      </c>
      <c r="JJ60" s="71">
        <v>4420</v>
      </c>
      <c r="JK60" s="71">
        <v>0</v>
      </c>
      <c r="JL60" s="71">
        <v>0</v>
      </c>
      <c r="JM60" s="71">
        <v>3473</v>
      </c>
      <c r="JN60" s="71">
        <v>2444</v>
      </c>
      <c r="JO60" s="71">
        <v>0</v>
      </c>
      <c r="JP60" s="71">
        <v>14986</v>
      </c>
      <c r="JQ60" s="71">
        <v>17959</v>
      </c>
      <c r="JR60" s="71">
        <v>381695</v>
      </c>
      <c r="JS60" s="71">
        <v>0</v>
      </c>
      <c r="JT60" s="71">
        <v>351318</v>
      </c>
      <c r="JU60" s="71">
        <v>50906</v>
      </c>
      <c r="JV60" s="71">
        <v>136028</v>
      </c>
      <c r="JW60" s="71">
        <v>0</v>
      </c>
      <c r="JX60" s="71">
        <v>14990</v>
      </c>
      <c r="JY60" s="71">
        <v>111402</v>
      </c>
      <c r="JZ60" s="71">
        <v>169230</v>
      </c>
      <c r="KA60" s="71">
        <v>0</v>
      </c>
      <c r="KB60" s="71">
        <v>0</v>
      </c>
      <c r="KC60" s="71">
        <v>582879</v>
      </c>
      <c r="KD60" s="71">
        <v>72222</v>
      </c>
      <c r="KE60" s="71">
        <v>0</v>
      </c>
      <c r="KF60" s="71">
        <v>0</v>
      </c>
      <c r="KG60" s="71">
        <v>0</v>
      </c>
      <c r="KH60" s="71">
        <v>13496</v>
      </c>
      <c r="KI60" s="71">
        <v>0</v>
      </c>
      <c r="KJ60" s="71">
        <v>0</v>
      </c>
      <c r="KK60" s="71">
        <v>51218</v>
      </c>
      <c r="KL60" s="71">
        <v>11470</v>
      </c>
      <c r="KM60" s="71">
        <v>294448</v>
      </c>
      <c r="KN60" s="71">
        <v>35843</v>
      </c>
      <c r="KO60" s="71">
        <v>0</v>
      </c>
      <c r="KP60" s="71">
        <v>0</v>
      </c>
      <c r="KQ60" s="71">
        <v>25039</v>
      </c>
      <c r="KR60" s="71">
        <v>8936</v>
      </c>
      <c r="KS60" s="71">
        <v>0</v>
      </c>
      <c r="KT60" s="71">
        <v>107725</v>
      </c>
      <c r="KU60" s="71">
        <v>138379</v>
      </c>
      <c r="KV60" s="71">
        <v>2175528</v>
      </c>
      <c r="KW60" s="71" t="s">
        <v>1070</v>
      </c>
      <c r="KX60" s="71">
        <v>5373179</v>
      </c>
      <c r="KY60" s="71">
        <v>1379215</v>
      </c>
      <c r="KZ60" s="71">
        <v>6752394</v>
      </c>
      <c r="LA60" s="71">
        <v>0</v>
      </c>
      <c r="LB60" s="71">
        <v>80674</v>
      </c>
    </row>
    <row r="61" spans="1:314" x14ac:dyDescent="0.25">
      <c r="A61" s="71" t="s">
        <v>443</v>
      </c>
      <c r="B61" s="71" t="s">
        <v>1332</v>
      </c>
      <c r="C61" s="160" t="s">
        <v>1345</v>
      </c>
      <c r="D61" s="71" t="s">
        <v>1422</v>
      </c>
      <c r="E61" s="2">
        <v>41305.614444444444</v>
      </c>
      <c r="F61" s="71"/>
      <c r="G61" s="71" t="s">
        <v>1333</v>
      </c>
      <c r="H61" s="71" t="s">
        <v>1334</v>
      </c>
      <c r="I61" s="71" t="s">
        <v>1335</v>
      </c>
      <c r="J61" s="71" t="s">
        <v>1336</v>
      </c>
      <c r="K61" s="71" t="s">
        <v>1337</v>
      </c>
      <c r="L61" s="71">
        <v>0</v>
      </c>
      <c r="M61" s="71">
        <v>0</v>
      </c>
      <c r="N61" s="71">
        <v>0</v>
      </c>
      <c r="O61" s="71">
        <v>22747409</v>
      </c>
      <c r="P61" s="71">
        <v>0</v>
      </c>
      <c r="Q61" s="71">
        <v>718860</v>
      </c>
      <c r="R61" s="71">
        <v>0</v>
      </c>
      <c r="S61" s="71">
        <v>718860</v>
      </c>
      <c r="T61" s="71">
        <v>1701260</v>
      </c>
      <c r="U61" s="71">
        <v>608614</v>
      </c>
      <c r="V61" s="71">
        <v>282693</v>
      </c>
      <c r="W61" s="71">
        <v>0</v>
      </c>
      <c r="X61" s="71">
        <v>62849</v>
      </c>
      <c r="Y61" s="71">
        <v>0</v>
      </c>
      <c r="Z61" s="71">
        <v>2655416</v>
      </c>
      <c r="AA61" s="71">
        <v>1715354</v>
      </c>
      <c r="AB61" s="71">
        <v>997541</v>
      </c>
      <c r="AC61" s="71">
        <v>72923</v>
      </c>
      <c r="AD61" s="71">
        <v>0</v>
      </c>
      <c r="AE61" s="71">
        <v>2986805</v>
      </c>
      <c r="AF61" s="71">
        <v>970122</v>
      </c>
      <c r="AG61" s="71">
        <v>6742745</v>
      </c>
      <c r="AH61" s="71">
        <v>3416614</v>
      </c>
      <c r="AI61" s="71">
        <v>1606155</v>
      </c>
      <c r="AJ61" s="71">
        <v>355616</v>
      </c>
      <c r="AK61" s="71">
        <v>0</v>
      </c>
      <c r="AL61" s="71">
        <v>3049654</v>
      </c>
      <c r="AM61" s="71">
        <v>970122</v>
      </c>
      <c r="AN61" s="71">
        <v>9398161</v>
      </c>
      <c r="AO61" s="71">
        <v>185072</v>
      </c>
      <c r="AP61" s="71">
        <v>0</v>
      </c>
      <c r="AQ61" s="71">
        <v>0</v>
      </c>
      <c r="AR61" s="71">
        <v>0</v>
      </c>
      <c r="AS61" s="71">
        <v>185072</v>
      </c>
      <c r="AT61" s="71">
        <v>307258</v>
      </c>
      <c r="AU61" s="71">
        <v>0</v>
      </c>
      <c r="AV61" s="71">
        <v>0</v>
      </c>
      <c r="AW61" s="71">
        <v>0</v>
      </c>
      <c r="AX61" s="71">
        <v>307258</v>
      </c>
      <c r="AY61" s="71">
        <v>492330</v>
      </c>
      <c r="AZ61" s="71">
        <v>0</v>
      </c>
      <c r="BA61" s="71">
        <v>0</v>
      </c>
      <c r="BB61" s="71">
        <v>0</v>
      </c>
      <c r="BC61" s="71">
        <v>492330</v>
      </c>
      <c r="BD61" s="71">
        <v>403696</v>
      </c>
      <c r="BE61" s="71">
        <v>0</v>
      </c>
      <c r="BF61" s="71">
        <v>0</v>
      </c>
      <c r="BG61" s="71">
        <v>0</v>
      </c>
      <c r="BH61" s="71">
        <v>0</v>
      </c>
      <c r="BI61" s="71">
        <v>403696</v>
      </c>
      <c r="BJ61" s="71">
        <v>0</v>
      </c>
      <c r="BK61" s="71">
        <v>0</v>
      </c>
      <c r="BL61" s="71">
        <v>119422</v>
      </c>
      <c r="BM61" s="71">
        <v>0</v>
      </c>
      <c r="BN61" s="71">
        <v>0</v>
      </c>
      <c r="BO61" s="71">
        <v>119422</v>
      </c>
      <c r="BP61" s="71">
        <v>934543</v>
      </c>
      <c r="BQ61" s="71">
        <v>0</v>
      </c>
      <c r="BR61" s="71">
        <v>0</v>
      </c>
      <c r="BS61" s="71">
        <v>0</v>
      </c>
      <c r="BT61" s="71">
        <v>0</v>
      </c>
      <c r="BU61" s="71">
        <v>934543</v>
      </c>
      <c r="BV61" s="71">
        <v>1338239</v>
      </c>
      <c r="BW61" s="71">
        <v>0</v>
      </c>
      <c r="BX61" s="71">
        <v>119422</v>
      </c>
      <c r="BY61" s="71">
        <v>0</v>
      </c>
      <c r="BZ61" s="71">
        <v>0</v>
      </c>
      <c r="CA61" s="71">
        <v>1457661</v>
      </c>
      <c r="CB61" s="71">
        <v>0</v>
      </c>
      <c r="CC61" s="71">
        <v>0</v>
      </c>
      <c r="CD61" s="71">
        <v>0</v>
      </c>
      <c r="CE61" s="71">
        <v>0</v>
      </c>
      <c r="CF61" s="71">
        <v>0</v>
      </c>
      <c r="CG61" s="71">
        <v>0</v>
      </c>
      <c r="CH61" s="71">
        <v>0</v>
      </c>
      <c r="CI61" s="71">
        <v>0</v>
      </c>
      <c r="CJ61" s="71">
        <v>0</v>
      </c>
      <c r="CK61" s="71">
        <v>0</v>
      </c>
      <c r="CL61" s="71">
        <v>0</v>
      </c>
      <c r="CM61" s="71">
        <v>0</v>
      </c>
      <c r="CN61" s="71">
        <v>0</v>
      </c>
      <c r="CO61" s="71">
        <v>0</v>
      </c>
      <c r="CP61" s="71">
        <v>0</v>
      </c>
      <c r="CQ61" s="71">
        <v>0</v>
      </c>
      <c r="CR61" s="71" t="s">
        <v>443</v>
      </c>
      <c r="CS61" s="71">
        <v>1807004</v>
      </c>
      <c r="CT61" s="71">
        <v>0</v>
      </c>
      <c r="CU61" s="71">
        <v>0</v>
      </c>
      <c r="CV61" s="71">
        <v>72848</v>
      </c>
      <c r="CW61" s="71">
        <v>177776</v>
      </c>
      <c r="CX61" s="71">
        <v>115168</v>
      </c>
      <c r="CY61" s="71">
        <v>0</v>
      </c>
      <c r="CZ61" s="71">
        <v>0</v>
      </c>
      <c r="DA61" s="71">
        <v>69762</v>
      </c>
      <c r="DB61" s="71">
        <v>18256</v>
      </c>
      <c r="DC61" s="71">
        <v>28136</v>
      </c>
      <c r="DD61" s="71">
        <v>0</v>
      </c>
      <c r="DE61" s="71">
        <v>224338</v>
      </c>
      <c r="DF61" s="71">
        <v>64464</v>
      </c>
      <c r="DG61" s="71">
        <v>0</v>
      </c>
      <c r="DH61" s="71">
        <v>9240</v>
      </c>
      <c r="DI61" s="71">
        <v>37360</v>
      </c>
      <c r="DJ61" s="71">
        <v>157710</v>
      </c>
      <c r="DK61" s="71">
        <v>34936</v>
      </c>
      <c r="DL61" s="71">
        <v>0</v>
      </c>
      <c r="DM61" s="71">
        <v>41336</v>
      </c>
      <c r="DN61" s="71">
        <v>1296</v>
      </c>
      <c r="DO61" s="71">
        <v>38056</v>
      </c>
      <c r="DP61" s="71">
        <v>20288</v>
      </c>
      <c r="DQ61" s="71">
        <v>0</v>
      </c>
      <c r="DR61" s="71">
        <v>160472</v>
      </c>
      <c r="DS61" s="71">
        <v>48624</v>
      </c>
      <c r="DT61" s="71">
        <v>43104</v>
      </c>
      <c r="DU61" s="71">
        <v>0</v>
      </c>
      <c r="DV61" s="71">
        <v>67872</v>
      </c>
      <c r="DW61" s="71">
        <v>75216</v>
      </c>
      <c r="DX61" s="71">
        <v>1506258</v>
      </c>
      <c r="DY61" s="71">
        <v>0</v>
      </c>
      <c r="DZ61" s="71">
        <v>280060</v>
      </c>
      <c r="EA61" s="71">
        <v>683449</v>
      </c>
      <c r="EB61" s="71">
        <v>442756</v>
      </c>
      <c r="EC61" s="71">
        <v>0</v>
      </c>
      <c r="ED61" s="71">
        <v>0</v>
      </c>
      <c r="EE61" s="71">
        <v>268196</v>
      </c>
      <c r="EF61" s="71">
        <v>70184</v>
      </c>
      <c r="EG61" s="71">
        <v>108167</v>
      </c>
      <c r="EH61" s="71">
        <v>0</v>
      </c>
      <c r="EI61" s="71">
        <v>862454</v>
      </c>
      <c r="EJ61" s="71">
        <v>247828</v>
      </c>
      <c r="EK61" s="71">
        <v>0</v>
      </c>
      <c r="EL61" s="71">
        <v>35523</v>
      </c>
      <c r="EM61" s="71">
        <v>143628</v>
      </c>
      <c r="EN61" s="71">
        <v>606306</v>
      </c>
      <c r="EO61" s="71">
        <v>134309</v>
      </c>
      <c r="EP61" s="71">
        <v>0</v>
      </c>
      <c r="EQ61" s="71">
        <v>158914</v>
      </c>
      <c r="ER61" s="71">
        <v>4982</v>
      </c>
      <c r="ES61" s="71">
        <v>146304</v>
      </c>
      <c r="ET61" s="71">
        <v>77996</v>
      </c>
      <c r="EU61" s="71">
        <v>0</v>
      </c>
      <c r="EV61" s="71">
        <v>616925</v>
      </c>
      <c r="EW61" s="71">
        <v>186932</v>
      </c>
      <c r="EX61" s="71">
        <v>165711</v>
      </c>
      <c r="EY61" s="71">
        <v>0</v>
      </c>
      <c r="EZ61" s="71">
        <v>260930</v>
      </c>
      <c r="FA61" s="71">
        <v>289163</v>
      </c>
      <c r="FB61" s="71">
        <v>5790717</v>
      </c>
      <c r="FC61" s="71">
        <v>0</v>
      </c>
      <c r="FD61" s="71">
        <v>64224</v>
      </c>
      <c r="FE61" s="71">
        <v>156731</v>
      </c>
      <c r="FF61" s="71">
        <v>101535</v>
      </c>
      <c r="FG61" s="71">
        <v>0</v>
      </c>
      <c r="FH61" s="71">
        <v>0</v>
      </c>
      <c r="FI61" s="71">
        <v>61504</v>
      </c>
      <c r="FJ61" s="71">
        <v>16095</v>
      </c>
      <c r="FK61" s="71">
        <v>24805</v>
      </c>
      <c r="FL61" s="71">
        <v>0</v>
      </c>
      <c r="FM61" s="71">
        <v>197781</v>
      </c>
      <c r="FN61" s="71">
        <v>56833</v>
      </c>
      <c r="FO61" s="71">
        <v>0</v>
      </c>
      <c r="FP61" s="71">
        <v>8146</v>
      </c>
      <c r="FQ61" s="71">
        <v>32937</v>
      </c>
      <c r="FR61" s="71">
        <v>139041</v>
      </c>
      <c r="FS61" s="71">
        <v>30800</v>
      </c>
      <c r="FT61" s="71">
        <v>0</v>
      </c>
      <c r="FU61" s="71">
        <v>36443</v>
      </c>
      <c r="FV61" s="71">
        <v>1143</v>
      </c>
      <c r="FW61" s="71">
        <v>33551</v>
      </c>
      <c r="FX61" s="71">
        <v>17886</v>
      </c>
      <c r="FY61" s="71">
        <v>0</v>
      </c>
      <c r="FZ61" s="71">
        <v>141476</v>
      </c>
      <c r="GA61" s="71">
        <v>42868</v>
      </c>
      <c r="GB61" s="71">
        <v>38001</v>
      </c>
      <c r="GC61" s="71">
        <v>0</v>
      </c>
      <c r="GD61" s="71">
        <v>59837</v>
      </c>
      <c r="GE61" s="71">
        <v>66313</v>
      </c>
      <c r="GF61" s="71">
        <v>1327950</v>
      </c>
      <c r="GG61" s="71">
        <v>0</v>
      </c>
      <c r="GH61" s="71">
        <v>87393</v>
      </c>
      <c r="GI61" s="71">
        <v>213271</v>
      </c>
      <c r="GJ61" s="71">
        <v>138163</v>
      </c>
      <c r="GK61" s="71">
        <v>0</v>
      </c>
      <c r="GL61" s="71">
        <v>0</v>
      </c>
      <c r="GM61" s="71">
        <v>83691</v>
      </c>
      <c r="GN61" s="71">
        <v>21901</v>
      </c>
      <c r="GO61" s="71">
        <v>33754</v>
      </c>
      <c r="GP61" s="71">
        <v>0</v>
      </c>
      <c r="GQ61" s="71">
        <v>269130</v>
      </c>
      <c r="GR61" s="71">
        <v>77335</v>
      </c>
      <c r="GS61" s="71">
        <v>0</v>
      </c>
      <c r="GT61" s="71">
        <v>11085</v>
      </c>
      <c r="GU61" s="71">
        <v>44819</v>
      </c>
      <c r="GV61" s="71">
        <v>189199</v>
      </c>
      <c r="GW61" s="71">
        <v>41911</v>
      </c>
      <c r="GX61" s="71">
        <v>0</v>
      </c>
      <c r="GY61" s="71">
        <v>49589</v>
      </c>
      <c r="GZ61" s="71">
        <v>1555</v>
      </c>
      <c r="HA61" s="71">
        <v>45654</v>
      </c>
      <c r="HB61" s="71">
        <v>24339</v>
      </c>
      <c r="HC61" s="71">
        <v>0</v>
      </c>
      <c r="HD61" s="71">
        <v>192513</v>
      </c>
      <c r="HE61" s="71">
        <v>58332</v>
      </c>
      <c r="HF61" s="71">
        <v>51710</v>
      </c>
      <c r="HG61" s="71">
        <v>0</v>
      </c>
      <c r="HH61" s="71">
        <v>81424</v>
      </c>
      <c r="HI61" s="71">
        <v>90234</v>
      </c>
      <c r="HJ61" s="71">
        <v>1807004</v>
      </c>
      <c r="HK61" s="71">
        <v>0</v>
      </c>
      <c r="HL61" s="71">
        <v>131783</v>
      </c>
      <c r="HM61" s="71">
        <v>321600</v>
      </c>
      <c r="HN61" s="71">
        <v>208341</v>
      </c>
      <c r="HO61" s="71">
        <v>0</v>
      </c>
      <c r="HP61" s="71">
        <v>0</v>
      </c>
      <c r="HQ61" s="71">
        <v>126201</v>
      </c>
      <c r="HR61" s="71">
        <v>33025</v>
      </c>
      <c r="HS61" s="71">
        <v>50899</v>
      </c>
      <c r="HT61" s="71">
        <v>0</v>
      </c>
      <c r="HU61" s="71">
        <v>405831</v>
      </c>
      <c r="HV61" s="71">
        <v>116617</v>
      </c>
      <c r="HW61" s="71">
        <v>0</v>
      </c>
      <c r="HX61" s="71">
        <v>16715</v>
      </c>
      <c r="HY61" s="71">
        <v>67585</v>
      </c>
      <c r="HZ61" s="71">
        <v>285300</v>
      </c>
      <c r="IA61" s="71">
        <v>63200</v>
      </c>
      <c r="IB61" s="71">
        <v>0</v>
      </c>
      <c r="IC61" s="71">
        <v>74778</v>
      </c>
      <c r="ID61" s="71">
        <v>2344</v>
      </c>
      <c r="IE61" s="71">
        <v>68844</v>
      </c>
      <c r="IF61" s="71">
        <v>36701</v>
      </c>
      <c r="IG61" s="71">
        <v>0</v>
      </c>
      <c r="IH61" s="71">
        <v>290297</v>
      </c>
      <c r="II61" s="71">
        <v>87962</v>
      </c>
      <c r="IJ61" s="71">
        <v>77976</v>
      </c>
      <c r="IK61" s="71">
        <v>0</v>
      </c>
      <c r="IL61" s="71">
        <v>122782</v>
      </c>
      <c r="IM61" s="71">
        <v>136067</v>
      </c>
      <c r="IN61" s="71">
        <v>2724848</v>
      </c>
      <c r="IO61" s="71">
        <v>0</v>
      </c>
      <c r="IP61" s="71">
        <v>283400</v>
      </c>
      <c r="IQ61" s="71">
        <v>691602</v>
      </c>
      <c r="IR61" s="71">
        <v>448039</v>
      </c>
      <c r="IS61" s="71">
        <v>0</v>
      </c>
      <c r="IT61" s="71">
        <v>0</v>
      </c>
      <c r="IU61" s="71">
        <v>271396</v>
      </c>
      <c r="IV61" s="71">
        <v>71021</v>
      </c>
      <c r="IW61" s="71">
        <v>109458</v>
      </c>
      <c r="IX61" s="71">
        <v>0</v>
      </c>
      <c r="IY61" s="71">
        <v>872742</v>
      </c>
      <c r="IZ61" s="71">
        <v>250785</v>
      </c>
      <c r="JA61" s="71">
        <v>0</v>
      </c>
      <c r="JB61" s="71">
        <v>35946</v>
      </c>
      <c r="JC61" s="71">
        <v>145341</v>
      </c>
      <c r="JD61" s="71">
        <v>613540</v>
      </c>
      <c r="JE61" s="71">
        <v>135911</v>
      </c>
      <c r="JF61" s="71">
        <v>0</v>
      </c>
      <c r="JG61" s="71">
        <v>160810</v>
      </c>
      <c r="JH61" s="71">
        <v>5042</v>
      </c>
      <c r="JI61" s="71">
        <v>148049</v>
      </c>
      <c r="JJ61" s="71">
        <v>78926</v>
      </c>
      <c r="JK61" s="71">
        <v>0</v>
      </c>
      <c r="JL61" s="71">
        <v>624286</v>
      </c>
      <c r="JM61" s="71">
        <v>189162</v>
      </c>
      <c r="JN61" s="71">
        <v>167687</v>
      </c>
      <c r="JO61" s="71">
        <v>0</v>
      </c>
      <c r="JP61" s="71">
        <v>264043</v>
      </c>
      <c r="JQ61" s="71">
        <v>292614</v>
      </c>
      <c r="JR61" s="71">
        <v>5859802</v>
      </c>
      <c r="JS61" s="71">
        <v>0</v>
      </c>
      <c r="JT61" s="71">
        <v>563460</v>
      </c>
      <c r="JU61" s="71">
        <v>1375051</v>
      </c>
      <c r="JV61" s="71">
        <v>890795</v>
      </c>
      <c r="JW61" s="71">
        <v>0</v>
      </c>
      <c r="JX61" s="71">
        <v>0</v>
      </c>
      <c r="JY61" s="71">
        <v>539592</v>
      </c>
      <c r="JZ61" s="71">
        <v>141205</v>
      </c>
      <c r="KA61" s="71">
        <v>217625</v>
      </c>
      <c r="KB61" s="71">
        <v>0</v>
      </c>
      <c r="KC61" s="71">
        <v>1735196</v>
      </c>
      <c r="KD61" s="71">
        <v>498613</v>
      </c>
      <c r="KE61" s="71">
        <v>0</v>
      </c>
      <c r="KF61" s="71">
        <v>71469</v>
      </c>
      <c r="KG61" s="71">
        <v>288969</v>
      </c>
      <c r="KH61" s="71">
        <v>1219846</v>
      </c>
      <c r="KI61" s="71">
        <v>270220</v>
      </c>
      <c r="KJ61" s="71">
        <v>0</v>
      </c>
      <c r="KK61" s="71">
        <v>319724</v>
      </c>
      <c r="KL61" s="71">
        <v>10024</v>
      </c>
      <c r="KM61" s="71">
        <v>294353</v>
      </c>
      <c r="KN61" s="71">
        <v>156922</v>
      </c>
      <c r="KO61" s="71">
        <v>0</v>
      </c>
      <c r="KP61" s="71">
        <v>1241211</v>
      </c>
      <c r="KQ61" s="71">
        <v>376094</v>
      </c>
      <c r="KR61" s="71">
        <v>333398</v>
      </c>
      <c r="KS61" s="71">
        <v>0</v>
      </c>
      <c r="KT61" s="71">
        <v>524973</v>
      </c>
      <c r="KU61" s="71">
        <v>581777</v>
      </c>
      <c r="KV61" s="71">
        <v>11650519</v>
      </c>
      <c r="KW61" s="71" t="s">
        <v>1070</v>
      </c>
      <c r="KX61" s="71">
        <v>21767540</v>
      </c>
      <c r="KY61" s="71">
        <v>1949991</v>
      </c>
      <c r="KZ61" s="71">
        <v>23717531</v>
      </c>
      <c r="LA61" s="71">
        <v>0</v>
      </c>
      <c r="LB61" s="71">
        <v>970122</v>
      </c>
    </row>
    <row r="62" spans="1:314" x14ac:dyDescent="0.25">
      <c r="A62" s="71" t="s">
        <v>1338</v>
      </c>
      <c r="B62" s="71" t="s">
        <v>1339</v>
      </c>
      <c r="C62" s="71"/>
      <c r="D62" s="71"/>
      <c r="E62" s="2">
        <v>41299.493483796294</v>
      </c>
      <c r="F62" s="71"/>
      <c r="G62" s="71" t="s">
        <v>1340</v>
      </c>
      <c r="H62" s="71" t="s">
        <v>1341</v>
      </c>
      <c r="I62" s="71" t="s">
        <v>1342</v>
      </c>
      <c r="J62" s="71" t="s">
        <v>1343</v>
      </c>
      <c r="K62" s="71" t="s">
        <v>1344</v>
      </c>
      <c r="L62" s="71">
        <v>0</v>
      </c>
      <c r="M62" s="71">
        <v>0</v>
      </c>
      <c r="N62" s="71">
        <v>0</v>
      </c>
      <c r="O62" s="71">
        <v>0</v>
      </c>
      <c r="P62" s="71">
        <v>0</v>
      </c>
      <c r="Q62" s="71">
        <v>0</v>
      </c>
      <c r="R62" s="71">
        <v>0</v>
      </c>
      <c r="S62" s="71">
        <v>0</v>
      </c>
      <c r="T62" s="71">
        <v>0</v>
      </c>
      <c r="U62" s="71">
        <v>0</v>
      </c>
      <c r="V62" s="71">
        <v>0</v>
      </c>
      <c r="W62" s="71">
        <v>0</v>
      </c>
      <c r="X62" s="71">
        <v>0</v>
      </c>
      <c r="Y62" s="71">
        <v>0</v>
      </c>
      <c r="Z62" s="71">
        <v>0</v>
      </c>
      <c r="AA62" s="71">
        <v>0</v>
      </c>
      <c r="AB62" s="71">
        <v>0</v>
      </c>
      <c r="AC62" s="71">
        <v>0</v>
      </c>
      <c r="AD62" s="71">
        <v>0</v>
      </c>
      <c r="AE62" s="71">
        <v>0</v>
      </c>
      <c r="AF62" s="71">
        <v>0</v>
      </c>
      <c r="AG62" s="71">
        <v>0</v>
      </c>
      <c r="AH62" s="71">
        <v>0</v>
      </c>
      <c r="AI62" s="71">
        <v>0</v>
      </c>
      <c r="AJ62" s="71">
        <v>0</v>
      </c>
      <c r="AK62" s="71">
        <v>0</v>
      </c>
      <c r="AL62" s="71">
        <v>0</v>
      </c>
      <c r="AM62" s="71">
        <v>0</v>
      </c>
      <c r="AN62" s="71">
        <v>0</v>
      </c>
      <c r="AO62" s="71">
        <v>0</v>
      </c>
      <c r="AP62" s="71">
        <v>0</v>
      </c>
      <c r="AQ62" s="71">
        <v>0</v>
      </c>
      <c r="AR62" s="71">
        <v>0</v>
      </c>
      <c r="AS62" s="71">
        <v>0</v>
      </c>
      <c r="AT62" s="71">
        <v>0</v>
      </c>
      <c r="AU62" s="71">
        <v>0</v>
      </c>
      <c r="AV62" s="71">
        <v>0</v>
      </c>
      <c r="AW62" s="71">
        <v>0</v>
      </c>
      <c r="AX62" s="71">
        <v>0</v>
      </c>
      <c r="AY62" s="71">
        <v>0</v>
      </c>
      <c r="AZ62" s="71">
        <v>0</v>
      </c>
      <c r="BA62" s="71">
        <v>0</v>
      </c>
      <c r="BB62" s="71">
        <v>0</v>
      </c>
      <c r="BC62" s="71">
        <v>0</v>
      </c>
      <c r="BD62" s="71">
        <v>0</v>
      </c>
      <c r="BE62" s="71">
        <v>0</v>
      </c>
      <c r="BF62" s="71">
        <v>0</v>
      </c>
      <c r="BG62" s="71">
        <v>0</v>
      </c>
      <c r="BH62" s="71">
        <v>0</v>
      </c>
      <c r="BI62" s="71">
        <v>0</v>
      </c>
      <c r="BJ62" s="71">
        <v>0</v>
      </c>
      <c r="BK62" s="71">
        <v>0</v>
      </c>
      <c r="BL62" s="71">
        <v>0</v>
      </c>
      <c r="BM62" s="71">
        <v>0</v>
      </c>
      <c r="BN62" s="71">
        <v>0</v>
      </c>
      <c r="BO62" s="71">
        <v>0</v>
      </c>
      <c r="BP62" s="71">
        <v>0</v>
      </c>
      <c r="BQ62" s="71">
        <v>0</v>
      </c>
      <c r="BR62" s="71">
        <v>0</v>
      </c>
      <c r="BS62" s="71">
        <v>0</v>
      </c>
      <c r="BT62" s="71">
        <v>0</v>
      </c>
      <c r="BU62" s="71">
        <v>0</v>
      </c>
      <c r="BV62" s="71">
        <v>0</v>
      </c>
      <c r="BW62" s="71">
        <v>0</v>
      </c>
      <c r="BX62" s="71">
        <v>0</v>
      </c>
      <c r="BY62" s="71">
        <v>0</v>
      </c>
      <c r="BZ62" s="71">
        <v>0</v>
      </c>
      <c r="CA62" s="71">
        <v>0</v>
      </c>
      <c r="CB62" s="71">
        <v>0</v>
      </c>
      <c r="CC62" s="71">
        <v>0</v>
      </c>
      <c r="CD62" s="71">
        <v>0</v>
      </c>
      <c r="CE62" s="71">
        <v>0</v>
      </c>
      <c r="CF62" s="71">
        <v>0</v>
      </c>
      <c r="CG62" s="71">
        <v>0</v>
      </c>
      <c r="CH62" s="71">
        <v>0</v>
      </c>
      <c r="CI62" s="71">
        <v>0</v>
      </c>
      <c r="CJ62" s="71">
        <v>0</v>
      </c>
      <c r="CK62" s="71">
        <v>0</v>
      </c>
      <c r="CL62" s="71">
        <v>0</v>
      </c>
      <c r="CM62" s="71">
        <v>0</v>
      </c>
      <c r="CN62" s="71">
        <v>0</v>
      </c>
      <c r="CO62" s="71">
        <v>0</v>
      </c>
      <c r="CP62" s="71">
        <v>0</v>
      </c>
      <c r="CQ62" s="71">
        <v>0</v>
      </c>
      <c r="CR62" s="71" t="s">
        <v>1338</v>
      </c>
      <c r="CS62" s="71">
        <v>0</v>
      </c>
      <c r="CT62" s="71">
        <v>0</v>
      </c>
      <c r="CU62" s="71">
        <v>0</v>
      </c>
      <c r="CV62" s="71">
        <v>0</v>
      </c>
      <c r="CW62" s="71">
        <v>0</v>
      </c>
      <c r="CX62" s="71">
        <v>0</v>
      </c>
      <c r="CY62" s="71">
        <v>0</v>
      </c>
      <c r="CZ62" s="71">
        <v>0</v>
      </c>
      <c r="DA62" s="71">
        <v>0</v>
      </c>
      <c r="DB62" s="71">
        <v>0</v>
      </c>
      <c r="DC62" s="71">
        <v>0</v>
      </c>
      <c r="DD62" s="71">
        <v>0</v>
      </c>
      <c r="DE62" s="71">
        <v>0</v>
      </c>
      <c r="DF62" s="71">
        <v>0</v>
      </c>
      <c r="DG62" s="71">
        <v>0</v>
      </c>
      <c r="DH62" s="71">
        <v>0</v>
      </c>
      <c r="DI62" s="71">
        <v>0</v>
      </c>
      <c r="DJ62" s="71">
        <v>0</v>
      </c>
      <c r="DK62" s="71">
        <v>0</v>
      </c>
      <c r="DL62" s="71">
        <v>0</v>
      </c>
      <c r="DM62" s="71">
        <v>0</v>
      </c>
      <c r="DN62" s="71">
        <v>0</v>
      </c>
      <c r="DO62" s="71">
        <v>0</v>
      </c>
      <c r="DP62" s="71">
        <v>0</v>
      </c>
      <c r="DQ62" s="71">
        <v>0</v>
      </c>
      <c r="DR62" s="71">
        <v>0</v>
      </c>
      <c r="DS62" s="71">
        <v>0</v>
      </c>
      <c r="DT62" s="71">
        <v>0</v>
      </c>
      <c r="DU62" s="71">
        <v>0</v>
      </c>
      <c r="DV62" s="71">
        <v>0</v>
      </c>
      <c r="DW62" s="71">
        <v>0</v>
      </c>
      <c r="DX62" s="71">
        <v>0</v>
      </c>
      <c r="DY62" s="71">
        <v>0</v>
      </c>
      <c r="DZ62" s="71">
        <v>0</v>
      </c>
      <c r="EA62" s="71">
        <v>0</v>
      </c>
      <c r="EB62" s="71">
        <v>0</v>
      </c>
      <c r="EC62" s="71">
        <v>0</v>
      </c>
      <c r="ED62" s="71">
        <v>0</v>
      </c>
      <c r="EE62" s="71">
        <v>0</v>
      </c>
      <c r="EF62" s="71">
        <v>0</v>
      </c>
      <c r="EG62" s="71">
        <v>0</v>
      </c>
      <c r="EH62" s="71">
        <v>0</v>
      </c>
      <c r="EI62" s="71">
        <v>0</v>
      </c>
      <c r="EJ62" s="71">
        <v>0</v>
      </c>
      <c r="EK62" s="71">
        <v>0</v>
      </c>
      <c r="EL62" s="71">
        <v>0</v>
      </c>
      <c r="EM62" s="71">
        <v>0</v>
      </c>
      <c r="EN62" s="71">
        <v>0</v>
      </c>
      <c r="EO62" s="71">
        <v>0</v>
      </c>
      <c r="EP62" s="71">
        <v>0</v>
      </c>
      <c r="EQ62" s="71">
        <v>0</v>
      </c>
      <c r="ER62" s="71">
        <v>0</v>
      </c>
      <c r="ES62" s="71">
        <v>0</v>
      </c>
      <c r="ET62" s="71">
        <v>0</v>
      </c>
      <c r="EU62" s="71">
        <v>0</v>
      </c>
      <c r="EV62" s="71">
        <v>0</v>
      </c>
      <c r="EW62" s="71">
        <v>0</v>
      </c>
      <c r="EX62" s="71">
        <v>0</v>
      </c>
      <c r="EY62" s="71">
        <v>0</v>
      </c>
      <c r="EZ62" s="71">
        <v>0</v>
      </c>
      <c r="FA62" s="71">
        <v>0</v>
      </c>
      <c r="FB62" s="71">
        <v>0</v>
      </c>
      <c r="FC62" s="71">
        <v>0</v>
      </c>
      <c r="FD62" s="71">
        <v>0</v>
      </c>
      <c r="FE62" s="71">
        <v>0</v>
      </c>
      <c r="FF62" s="71">
        <v>0</v>
      </c>
      <c r="FG62" s="71">
        <v>0</v>
      </c>
      <c r="FH62" s="71">
        <v>0</v>
      </c>
      <c r="FI62" s="71">
        <v>0</v>
      </c>
      <c r="FJ62" s="71">
        <v>0</v>
      </c>
      <c r="FK62" s="71">
        <v>0</v>
      </c>
      <c r="FL62" s="71">
        <v>0</v>
      </c>
      <c r="FM62" s="71">
        <v>0</v>
      </c>
      <c r="FN62" s="71">
        <v>0</v>
      </c>
      <c r="FO62" s="71">
        <v>0</v>
      </c>
      <c r="FP62" s="71">
        <v>0</v>
      </c>
      <c r="FQ62" s="71">
        <v>0</v>
      </c>
      <c r="FR62" s="71">
        <v>0</v>
      </c>
      <c r="FS62" s="71">
        <v>0</v>
      </c>
      <c r="FT62" s="71">
        <v>0</v>
      </c>
      <c r="FU62" s="71">
        <v>0</v>
      </c>
      <c r="FV62" s="71">
        <v>0</v>
      </c>
      <c r="FW62" s="71">
        <v>0</v>
      </c>
      <c r="FX62" s="71">
        <v>0</v>
      </c>
      <c r="FY62" s="71">
        <v>0</v>
      </c>
      <c r="FZ62" s="71">
        <v>0</v>
      </c>
      <c r="GA62" s="71">
        <v>0</v>
      </c>
      <c r="GB62" s="71">
        <v>0</v>
      </c>
      <c r="GC62" s="71">
        <v>0</v>
      </c>
      <c r="GD62" s="71">
        <v>0</v>
      </c>
      <c r="GE62" s="71">
        <v>0</v>
      </c>
      <c r="GF62" s="71">
        <v>0</v>
      </c>
      <c r="GG62" s="71">
        <v>0</v>
      </c>
      <c r="GH62" s="71">
        <v>0</v>
      </c>
      <c r="GI62" s="71">
        <v>0</v>
      </c>
      <c r="GJ62" s="71">
        <v>0</v>
      </c>
      <c r="GK62" s="71">
        <v>0</v>
      </c>
      <c r="GL62" s="71">
        <v>0</v>
      </c>
      <c r="GM62" s="71">
        <v>0</v>
      </c>
      <c r="GN62" s="71">
        <v>0</v>
      </c>
      <c r="GO62" s="71">
        <v>0</v>
      </c>
      <c r="GP62" s="71">
        <v>0</v>
      </c>
      <c r="GQ62" s="71">
        <v>0</v>
      </c>
      <c r="GR62" s="71">
        <v>0</v>
      </c>
      <c r="GS62" s="71">
        <v>0</v>
      </c>
      <c r="GT62" s="71">
        <v>0</v>
      </c>
      <c r="GU62" s="71">
        <v>0</v>
      </c>
      <c r="GV62" s="71">
        <v>0</v>
      </c>
      <c r="GW62" s="71">
        <v>0</v>
      </c>
      <c r="GX62" s="71">
        <v>0</v>
      </c>
      <c r="GY62" s="71">
        <v>0</v>
      </c>
      <c r="GZ62" s="71">
        <v>0</v>
      </c>
      <c r="HA62" s="71">
        <v>0</v>
      </c>
      <c r="HB62" s="71">
        <v>0</v>
      </c>
      <c r="HC62" s="71">
        <v>0</v>
      </c>
      <c r="HD62" s="71">
        <v>0</v>
      </c>
      <c r="HE62" s="71">
        <v>0</v>
      </c>
      <c r="HF62" s="71">
        <v>0</v>
      </c>
      <c r="HG62" s="71">
        <v>0</v>
      </c>
      <c r="HH62" s="71">
        <v>0</v>
      </c>
      <c r="HI62" s="71">
        <v>0</v>
      </c>
      <c r="HJ62" s="71">
        <v>0</v>
      </c>
      <c r="HK62" s="71">
        <v>0</v>
      </c>
      <c r="HL62" s="71">
        <v>0</v>
      </c>
      <c r="HM62" s="71">
        <v>0</v>
      </c>
      <c r="HN62" s="71">
        <v>0</v>
      </c>
      <c r="HO62" s="71">
        <v>0</v>
      </c>
      <c r="HP62" s="71">
        <v>0</v>
      </c>
      <c r="HQ62" s="71">
        <v>0</v>
      </c>
      <c r="HR62" s="71">
        <v>0</v>
      </c>
      <c r="HS62" s="71">
        <v>0</v>
      </c>
      <c r="HT62" s="71">
        <v>0</v>
      </c>
      <c r="HU62" s="71">
        <v>0</v>
      </c>
      <c r="HV62" s="71">
        <v>0</v>
      </c>
      <c r="HW62" s="71">
        <v>0</v>
      </c>
      <c r="HX62" s="71">
        <v>0</v>
      </c>
      <c r="HY62" s="71">
        <v>0</v>
      </c>
      <c r="HZ62" s="71">
        <v>0</v>
      </c>
      <c r="IA62" s="71">
        <v>0</v>
      </c>
      <c r="IB62" s="71">
        <v>0</v>
      </c>
      <c r="IC62" s="71">
        <v>0</v>
      </c>
      <c r="ID62" s="71">
        <v>0</v>
      </c>
      <c r="IE62" s="71">
        <v>0</v>
      </c>
      <c r="IF62" s="71">
        <v>0</v>
      </c>
      <c r="IG62" s="71">
        <v>0</v>
      </c>
      <c r="IH62" s="71">
        <v>0</v>
      </c>
      <c r="II62" s="71">
        <v>0</v>
      </c>
      <c r="IJ62" s="71">
        <v>0</v>
      </c>
      <c r="IK62" s="71">
        <v>0</v>
      </c>
      <c r="IL62" s="71">
        <v>0</v>
      </c>
      <c r="IM62" s="71">
        <v>0</v>
      </c>
      <c r="IN62" s="71">
        <v>0</v>
      </c>
      <c r="IO62" s="71">
        <v>0</v>
      </c>
      <c r="IP62" s="71">
        <v>0</v>
      </c>
      <c r="IQ62" s="71">
        <v>0</v>
      </c>
      <c r="IR62" s="71">
        <v>0</v>
      </c>
      <c r="IS62" s="71">
        <v>0</v>
      </c>
      <c r="IT62" s="71">
        <v>0</v>
      </c>
      <c r="IU62" s="71">
        <v>0</v>
      </c>
      <c r="IV62" s="71">
        <v>0</v>
      </c>
      <c r="IW62" s="71">
        <v>0</v>
      </c>
      <c r="IX62" s="71">
        <v>0</v>
      </c>
      <c r="IY62" s="71">
        <v>0</v>
      </c>
      <c r="IZ62" s="71">
        <v>0</v>
      </c>
      <c r="JA62" s="71">
        <v>0</v>
      </c>
      <c r="JB62" s="71">
        <v>0</v>
      </c>
      <c r="JC62" s="71">
        <v>0</v>
      </c>
      <c r="JD62" s="71">
        <v>0</v>
      </c>
      <c r="JE62" s="71">
        <v>0</v>
      </c>
      <c r="JF62" s="71">
        <v>0</v>
      </c>
      <c r="JG62" s="71">
        <v>0</v>
      </c>
      <c r="JH62" s="71">
        <v>0</v>
      </c>
      <c r="JI62" s="71">
        <v>0</v>
      </c>
      <c r="JJ62" s="71">
        <v>0</v>
      </c>
      <c r="JK62" s="71">
        <v>0</v>
      </c>
      <c r="JL62" s="71">
        <v>0</v>
      </c>
      <c r="JM62" s="71">
        <v>0</v>
      </c>
      <c r="JN62" s="71">
        <v>0</v>
      </c>
      <c r="JO62" s="71">
        <v>0</v>
      </c>
      <c r="JP62" s="71">
        <v>0</v>
      </c>
      <c r="JQ62" s="71">
        <v>0</v>
      </c>
      <c r="JR62" s="71">
        <v>0</v>
      </c>
      <c r="JS62" s="71">
        <v>0</v>
      </c>
      <c r="JT62" s="71">
        <v>0</v>
      </c>
      <c r="JU62" s="71">
        <v>0</v>
      </c>
      <c r="JV62" s="71">
        <v>0</v>
      </c>
      <c r="JW62" s="71">
        <v>0</v>
      </c>
      <c r="JX62" s="71">
        <v>0</v>
      </c>
      <c r="JY62" s="71">
        <v>0</v>
      </c>
      <c r="JZ62" s="71">
        <v>0</v>
      </c>
      <c r="KA62" s="71">
        <v>0</v>
      </c>
      <c r="KB62" s="71">
        <v>0</v>
      </c>
      <c r="KC62" s="71">
        <v>0</v>
      </c>
      <c r="KD62" s="71">
        <v>0</v>
      </c>
      <c r="KE62" s="71">
        <v>0</v>
      </c>
      <c r="KF62" s="71">
        <v>0</v>
      </c>
      <c r="KG62" s="71">
        <v>0</v>
      </c>
      <c r="KH62" s="71">
        <v>0</v>
      </c>
      <c r="KI62" s="71">
        <v>0</v>
      </c>
      <c r="KJ62" s="71">
        <v>0</v>
      </c>
      <c r="KK62" s="71">
        <v>0</v>
      </c>
      <c r="KL62" s="71">
        <v>0</v>
      </c>
      <c r="KM62" s="71">
        <v>0</v>
      </c>
      <c r="KN62" s="71">
        <v>0</v>
      </c>
      <c r="KO62" s="71">
        <v>0</v>
      </c>
      <c r="KP62" s="71">
        <v>0</v>
      </c>
      <c r="KQ62" s="71">
        <v>0</v>
      </c>
      <c r="KR62" s="71">
        <v>0</v>
      </c>
      <c r="KS62" s="71">
        <v>0</v>
      </c>
      <c r="KT62" s="71">
        <v>0</v>
      </c>
      <c r="KU62" s="71">
        <v>0</v>
      </c>
      <c r="KV62" s="71">
        <v>0</v>
      </c>
      <c r="KW62" s="71" t="s">
        <v>1070</v>
      </c>
      <c r="KX62" s="71">
        <v>0</v>
      </c>
      <c r="KY62" s="71">
        <v>0</v>
      </c>
      <c r="KZ62" s="71">
        <v>0</v>
      </c>
      <c r="LA62" s="71">
        <v>0</v>
      </c>
      <c r="LB62" s="71">
        <v>0</v>
      </c>
    </row>
    <row r="64" spans="1:314" x14ac:dyDescent="0.25">
      <c r="JS64" s="10"/>
      <c r="JT64" s="10"/>
      <c r="JU64" s="10"/>
      <c r="JV64" s="10"/>
      <c r="JW64" s="10"/>
      <c r="JX64" s="10"/>
      <c r="JY64" s="10"/>
      <c r="JZ64" s="10"/>
      <c r="KA64" s="10"/>
      <c r="KB64" s="10"/>
      <c r="KC64" s="10"/>
      <c r="KD64" s="10"/>
      <c r="KE64" s="10"/>
      <c r="KF64" s="10"/>
      <c r="KG64" s="10"/>
      <c r="KH64" s="10"/>
      <c r="KI64" s="10"/>
      <c r="KJ64" s="10"/>
      <c r="KK64" s="10"/>
      <c r="KL64" s="10"/>
      <c r="KM64" s="10"/>
      <c r="KN64" s="10"/>
      <c r="KO64" s="10"/>
      <c r="KP64" s="10"/>
      <c r="KQ64" s="10"/>
      <c r="KR64" s="10"/>
      <c r="KS64" s="10"/>
      <c r="KT64" s="10"/>
      <c r="KU64" s="10"/>
      <c r="KV64" s="42"/>
    </row>
    <row r="65" spans="97:308" x14ac:dyDescent="0.25">
      <c r="JT65" s="10"/>
      <c r="JU65" s="10"/>
      <c r="JV65" s="10"/>
      <c r="JW65" s="10"/>
      <c r="JX65" s="10"/>
      <c r="JY65" s="10"/>
      <c r="JZ65" s="10"/>
      <c r="KA65" s="10"/>
      <c r="KB65" s="10"/>
      <c r="KC65" s="10"/>
      <c r="KD65" s="10"/>
      <c r="KE65" s="10"/>
      <c r="KF65" s="10"/>
      <c r="KG65" s="10"/>
      <c r="KH65" s="10"/>
      <c r="KI65" s="10"/>
      <c r="KJ65" s="10"/>
      <c r="KK65" s="10"/>
      <c r="KL65" s="10"/>
      <c r="KM65" s="10"/>
      <c r="KN65" s="10"/>
      <c r="KO65" s="10"/>
      <c r="KP65" s="10"/>
      <c r="KQ65" s="10"/>
      <c r="KR65" s="10"/>
      <c r="KS65" s="10"/>
      <c r="KT65" s="10"/>
      <c r="KU65" s="10"/>
      <c r="KV65" s="10"/>
    </row>
    <row r="66" spans="97:308" x14ac:dyDescent="0.25">
      <c r="JT66" s="10"/>
      <c r="JU66" s="10"/>
      <c r="JV66" s="10"/>
      <c r="JW66" s="10"/>
      <c r="JX66" s="10"/>
      <c r="JY66" s="10"/>
      <c r="JZ66" s="10"/>
      <c r="KA66" s="10"/>
      <c r="KB66" s="10"/>
      <c r="KC66" s="10"/>
      <c r="KD66" s="10"/>
      <c r="KE66" s="10"/>
      <c r="KF66" s="10"/>
      <c r="KG66" s="10"/>
      <c r="KH66" s="10"/>
      <c r="KI66" s="10"/>
      <c r="KJ66" s="10"/>
      <c r="KK66" s="10"/>
      <c r="KL66" s="10"/>
      <c r="KM66" s="10"/>
      <c r="KN66" s="10"/>
      <c r="KO66" s="10"/>
      <c r="KP66" s="10"/>
      <c r="KQ66" s="10"/>
      <c r="KR66" s="10"/>
      <c r="KS66" s="10"/>
      <c r="KT66" s="10"/>
      <c r="KU66" s="10"/>
      <c r="KV66" s="10"/>
    </row>
    <row r="70" spans="97:308" x14ac:dyDescent="0.25">
      <c r="CT70" s="42"/>
    </row>
    <row r="71" spans="97:308" x14ac:dyDescent="0.25">
      <c r="CS71" s="10"/>
      <c r="CT71" s="42"/>
      <c r="CV71" s="10"/>
    </row>
    <row r="72" spans="97:308" x14ac:dyDescent="0.25">
      <c r="CS72" s="10"/>
      <c r="CT72" s="42"/>
      <c r="CV72" s="10"/>
    </row>
    <row r="73" spans="97:308" x14ac:dyDescent="0.25">
      <c r="CS73" s="10"/>
      <c r="CT73" s="42"/>
      <c r="CV73" s="10"/>
    </row>
    <row r="74" spans="97:308" x14ac:dyDescent="0.25">
      <c r="CS74" s="10"/>
      <c r="CT74" s="42"/>
      <c r="CV74" s="10"/>
    </row>
    <row r="75" spans="97:308" x14ac:dyDescent="0.25">
      <c r="CS75" s="10"/>
      <c r="CT75" s="42"/>
      <c r="CV75" s="10"/>
    </row>
    <row r="76" spans="97:308" x14ac:dyDescent="0.25">
      <c r="CS76" s="10"/>
      <c r="CT76" s="42"/>
      <c r="CV76" s="10"/>
    </row>
    <row r="77" spans="97:308" x14ac:dyDescent="0.25">
      <c r="CS77" s="10"/>
      <c r="CT77" s="42"/>
      <c r="CV77" s="10"/>
    </row>
    <row r="78" spans="97:308" x14ac:dyDescent="0.25">
      <c r="CS78" s="10"/>
      <c r="CT78" s="42"/>
      <c r="CV78" s="10"/>
    </row>
    <row r="79" spans="97:308" x14ac:dyDescent="0.25">
      <c r="CS79" s="10"/>
      <c r="CT79" s="42"/>
      <c r="CV79" s="10"/>
    </row>
    <row r="80" spans="97:308" x14ac:dyDescent="0.25">
      <c r="CS80" s="10"/>
      <c r="CT80" s="42"/>
      <c r="CV80" s="10"/>
    </row>
    <row r="81" spans="97:100" x14ac:dyDescent="0.25">
      <c r="CS81" s="10"/>
      <c r="CT81" s="42"/>
      <c r="CV81" s="10"/>
    </row>
    <row r="82" spans="97:100" x14ac:dyDescent="0.25">
      <c r="CS82" s="10"/>
      <c r="CT82" s="42"/>
      <c r="CV82" s="10"/>
    </row>
    <row r="83" spans="97:100" x14ac:dyDescent="0.25">
      <c r="CS83" s="10"/>
      <c r="CT83" s="42"/>
      <c r="CV83" s="10"/>
    </row>
    <row r="84" spans="97:100" x14ac:dyDescent="0.25">
      <c r="CS84" s="10"/>
      <c r="CT84" s="42"/>
      <c r="CV84" s="10"/>
    </row>
    <row r="85" spans="97:100" x14ac:dyDescent="0.25">
      <c r="CS85" s="10"/>
      <c r="CT85" s="42"/>
      <c r="CV85" s="10"/>
    </row>
    <row r="86" spans="97:100" x14ac:dyDescent="0.25">
      <c r="CS86" s="10"/>
      <c r="CT86" s="42"/>
      <c r="CV86" s="10"/>
    </row>
    <row r="87" spans="97:100" x14ac:dyDescent="0.25">
      <c r="CS87" s="10"/>
      <c r="CT87" s="42"/>
      <c r="CV87" s="10"/>
    </row>
    <row r="88" spans="97:100" x14ac:dyDescent="0.25">
      <c r="CS88" s="10"/>
      <c r="CT88" s="42"/>
      <c r="CV88" s="10"/>
    </row>
    <row r="89" spans="97:100" x14ac:dyDescent="0.25">
      <c r="CS89" s="10"/>
      <c r="CT89" s="42"/>
      <c r="CV89" s="10"/>
    </row>
    <row r="90" spans="97:100" x14ac:dyDescent="0.25">
      <c r="CS90" s="10"/>
      <c r="CT90" s="42"/>
      <c r="CV90" s="10"/>
    </row>
    <row r="91" spans="97:100" x14ac:dyDescent="0.25">
      <c r="CS91" s="10"/>
      <c r="CT91" s="42"/>
      <c r="CV91" s="10"/>
    </row>
    <row r="92" spans="97:100" x14ac:dyDescent="0.25">
      <c r="CS92" s="10"/>
      <c r="CT92" s="42"/>
      <c r="CV92" s="10"/>
    </row>
    <row r="93" spans="97:100" x14ac:dyDescent="0.25">
      <c r="CS93" s="10"/>
      <c r="CT93" s="42"/>
      <c r="CV93" s="10"/>
    </row>
    <row r="94" spans="97:100" x14ac:dyDescent="0.25">
      <c r="CS94" s="10"/>
      <c r="CT94" s="42"/>
      <c r="CV94" s="10"/>
    </row>
    <row r="95" spans="97:100" x14ac:dyDescent="0.25">
      <c r="CS95" s="10"/>
      <c r="CT95" s="42"/>
      <c r="CV95" s="10"/>
    </row>
    <row r="96" spans="97:100" x14ac:dyDescent="0.25">
      <c r="CS96" s="10"/>
      <c r="CT96" s="42"/>
      <c r="CV96" s="10"/>
    </row>
    <row r="97" spans="97:100" x14ac:dyDescent="0.25">
      <c r="CS97" s="10"/>
      <c r="CT97" s="42"/>
      <c r="CV97" s="10"/>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vt:i4>
      </vt:variant>
    </vt:vector>
  </HeadingPairs>
  <TitlesOfParts>
    <vt:vector size="70" baseType="lpstr">
      <vt:lpstr>Summary</vt:lpstr>
      <vt:lpstr>Rate History</vt:lpstr>
      <vt:lpstr>FTSE Summary</vt:lpstr>
      <vt:lpstr>Discipline Summary</vt:lpstr>
      <vt:lpstr>Discipline Analysis</vt:lpstr>
      <vt:lpstr>Neutral</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Data</vt:lpstr>
      <vt:lpstr>'Discipline Analysis'!Print_Area</vt:lpstr>
      <vt:lpstr>'Discipline Analysis'!Print_Titles</vt:lpstr>
      <vt:lpstr>'Discipline Summary'!Print_Titles</vt:lpstr>
      <vt:lpstr>'FTSE Summary'!Print_Titles</vt:lpstr>
      <vt:lpstr>Neutral!Print_Titles</vt:lpstr>
      <vt:lpstr>'Rate History'!Print_Titles</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Community and Technical College</dc:title>
  <dc:subject>Expenditure Study</dc:subject>
  <dc:creator>Paul Turcotte</dc:creator>
  <cp:lastModifiedBy>Paul Turcotte</cp:lastModifiedBy>
  <cp:lastPrinted>2012-11-12T15:51:18Z</cp:lastPrinted>
  <dcterms:created xsi:type="dcterms:W3CDTF">2012-11-10T05:06:36Z</dcterms:created>
  <dcterms:modified xsi:type="dcterms:W3CDTF">2013-02-11T19:26:40Z</dcterms:modified>
</cp:coreProperties>
</file>