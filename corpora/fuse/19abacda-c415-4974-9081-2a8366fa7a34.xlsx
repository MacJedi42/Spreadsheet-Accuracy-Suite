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60" windowWidth="15480" windowHeight="10920"/>
  </bookViews>
  <sheets>
    <sheet name="Summary-to post" sheetId="1" r:id="rId1"/>
  </sheets>
  <definedNames>
    <definedName name="Aid" localSheetId="0">#REF!</definedName>
    <definedName name="Aid">#REF!</definedName>
    <definedName name="Ideas" localSheetId="0">#REF!</definedName>
    <definedName name="Ideas">#REF!</definedName>
    <definedName name="_xlnm.Print_Area" localSheetId="0">'Summary-to post'!$A$13:$J$549</definedName>
    <definedName name="_xlnm.Print_Titles" localSheetId="0">'Summary-to post'!$7:$12</definedName>
  </definedNames>
  <calcPr calcId="145621"/>
</workbook>
</file>

<file path=xl/calcChain.xml><?xml version="1.0" encoding="utf-8"?>
<calcChain xmlns="http://schemas.openxmlformats.org/spreadsheetml/2006/main">
  <c r="E514" i="1" l="1"/>
  <c r="E515" i="1"/>
  <c r="I515" i="1"/>
  <c r="G13" i="1"/>
  <c r="G535" i="1"/>
  <c r="H535" i="1" s="1"/>
  <c r="I535" i="1" s="1"/>
  <c r="D541" i="1"/>
  <c r="D546" i="1" s="1"/>
  <c r="E16" i="1"/>
  <c r="I16" i="1"/>
  <c r="E535" i="1"/>
  <c r="E533" i="1"/>
  <c r="E532" i="1"/>
  <c r="E531" i="1"/>
  <c r="E530" i="1"/>
  <c r="E529" i="1"/>
  <c r="E528" i="1"/>
  <c r="E527" i="1"/>
  <c r="E526" i="1"/>
  <c r="E525" i="1"/>
  <c r="E524" i="1"/>
  <c r="E523" i="1"/>
  <c r="E522" i="1"/>
  <c r="I522" i="1" s="1"/>
  <c r="E521" i="1"/>
  <c r="E520" i="1"/>
  <c r="E519" i="1"/>
  <c r="E518" i="1"/>
  <c r="E517" i="1"/>
  <c r="E516" i="1"/>
  <c r="I516"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6"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F59" i="1" s="1"/>
  <c r="J59" i="1" s="1"/>
  <c r="E58" i="1"/>
  <c r="I58" i="1" s="1"/>
  <c r="E57" i="1"/>
  <c r="E56" i="1"/>
  <c r="E55" i="1"/>
  <c r="E54" i="1"/>
  <c r="E53" i="1"/>
  <c r="E52" i="1"/>
  <c r="E51" i="1"/>
  <c r="E50" i="1"/>
  <c r="E49" i="1"/>
  <c r="E48" i="1"/>
  <c r="E47" i="1"/>
  <c r="I47" i="1" s="1"/>
  <c r="E46" i="1"/>
  <c r="E45" i="1"/>
  <c r="E44" i="1"/>
  <c r="E43" i="1"/>
  <c r="F43" i="1" s="1"/>
  <c r="J43" i="1" s="1"/>
  <c r="E42" i="1"/>
  <c r="F42" i="1" s="1"/>
  <c r="J42" i="1" s="1"/>
  <c r="E41" i="1"/>
  <c r="E40" i="1"/>
  <c r="E39" i="1"/>
  <c r="E38" i="1"/>
  <c r="E37" i="1"/>
  <c r="E36" i="1"/>
  <c r="E35" i="1"/>
  <c r="E34" i="1"/>
  <c r="F34" i="1" s="1"/>
  <c r="J34" i="1" s="1"/>
  <c r="E33" i="1"/>
  <c r="E32" i="1"/>
  <c r="E31" i="1"/>
  <c r="I31" i="1" s="1"/>
  <c r="E30" i="1"/>
  <c r="E29" i="1"/>
  <c r="E28" i="1"/>
  <c r="E27" i="1"/>
  <c r="I27" i="1" s="1"/>
  <c r="E26" i="1"/>
  <c r="F26" i="1" s="1"/>
  <c r="J26" i="1" s="1"/>
  <c r="E25" i="1"/>
  <c r="E24" i="1"/>
  <c r="E23" i="1"/>
  <c r="E22" i="1"/>
  <c r="E21" i="1"/>
  <c r="E20" i="1"/>
  <c r="F20" i="1" s="1"/>
  <c r="J20" i="1" s="1"/>
  <c r="E19" i="1"/>
  <c r="E18" i="1"/>
  <c r="I18" i="1" s="1"/>
  <c r="E17" i="1"/>
  <c r="I17" i="1" s="1"/>
  <c r="H13" i="1"/>
  <c r="I394" i="1"/>
  <c r="I406" i="1"/>
  <c r="I495" i="1"/>
  <c r="I435" i="1"/>
  <c r="I449" i="1"/>
  <c r="I514" i="1"/>
  <c r="F449" i="1"/>
  <c r="J449" i="1"/>
  <c r="F394" i="1"/>
  <c r="J394" i="1" s="1"/>
  <c r="F435" i="1"/>
  <c r="J435" i="1" s="1"/>
  <c r="F514" i="1"/>
  <c r="J514" i="1"/>
  <c r="D543" i="1"/>
  <c r="F406" i="1"/>
  <c r="J406" i="1" s="1"/>
  <c r="F29" i="1"/>
  <c r="J29" i="1"/>
  <c r="I29" i="1"/>
  <c r="F31" i="1"/>
  <c r="J31" i="1" s="1"/>
  <c r="F33" i="1"/>
  <c r="J33" i="1" s="1"/>
  <c r="I33" i="1"/>
  <c r="F35" i="1"/>
  <c r="J35" i="1" s="1"/>
  <c r="I35" i="1"/>
  <c r="F37" i="1"/>
  <c r="J37" i="1" s="1"/>
  <c r="I37" i="1"/>
  <c r="F39" i="1"/>
  <c r="J39" i="1"/>
  <c r="I39" i="1"/>
  <c r="F41" i="1"/>
  <c r="J41" i="1"/>
  <c r="I41" i="1"/>
  <c r="I43" i="1"/>
  <c r="F45" i="1"/>
  <c r="J45" i="1"/>
  <c r="I45" i="1"/>
  <c r="F47" i="1"/>
  <c r="J47" i="1" s="1"/>
  <c r="F49" i="1"/>
  <c r="J49" i="1" s="1"/>
  <c r="I49" i="1"/>
  <c r="F51" i="1"/>
  <c r="J51" i="1" s="1"/>
  <c r="I51" i="1"/>
  <c r="F53" i="1"/>
  <c r="J53" i="1" s="1"/>
  <c r="I53" i="1"/>
  <c r="F55" i="1"/>
  <c r="J55" i="1"/>
  <c r="I55" i="1"/>
  <c r="F57" i="1"/>
  <c r="J57" i="1"/>
  <c r="I57" i="1"/>
  <c r="I59" i="1"/>
  <c r="F61" i="1"/>
  <c r="J61" i="1"/>
  <c r="I61" i="1"/>
  <c r="F17" i="1"/>
  <c r="J17" i="1" s="1"/>
  <c r="F19" i="1"/>
  <c r="J19" i="1" s="1"/>
  <c r="I19" i="1"/>
  <c r="F21" i="1"/>
  <c r="J21" i="1" s="1"/>
  <c r="I21" i="1"/>
  <c r="F23" i="1"/>
  <c r="J23" i="1" s="1"/>
  <c r="I23" i="1"/>
  <c r="F25" i="1"/>
  <c r="J25" i="1"/>
  <c r="I25" i="1"/>
  <c r="F18" i="1"/>
  <c r="I20" i="1"/>
  <c r="I22" i="1"/>
  <c r="F22" i="1"/>
  <c r="J22" i="1"/>
  <c r="I24" i="1"/>
  <c r="F24" i="1"/>
  <c r="J24" i="1" s="1"/>
  <c r="I28" i="1"/>
  <c r="F28" i="1"/>
  <c r="J28" i="1" s="1"/>
  <c r="I30" i="1"/>
  <c r="F30" i="1"/>
  <c r="J30" i="1" s="1"/>
  <c r="I32" i="1"/>
  <c r="F32" i="1"/>
  <c r="J32" i="1"/>
  <c r="I34" i="1"/>
  <c r="I36" i="1"/>
  <c r="F36" i="1"/>
  <c r="J36" i="1"/>
  <c r="I38" i="1"/>
  <c r="F38" i="1"/>
  <c r="J38" i="1"/>
  <c r="I40" i="1"/>
  <c r="F40" i="1"/>
  <c r="J40" i="1" s="1"/>
  <c r="I44" i="1"/>
  <c r="F44" i="1"/>
  <c r="J44" i="1" s="1"/>
  <c r="I46" i="1"/>
  <c r="F46" i="1"/>
  <c r="J46" i="1" s="1"/>
  <c r="I48" i="1"/>
  <c r="F48" i="1"/>
  <c r="J48" i="1"/>
  <c r="I50" i="1"/>
  <c r="F50" i="1"/>
  <c r="J50" i="1"/>
  <c r="I52" i="1"/>
  <c r="F52" i="1"/>
  <c r="J52" i="1"/>
  <c r="I54" i="1"/>
  <c r="F54" i="1"/>
  <c r="J54" i="1"/>
  <c r="I56" i="1"/>
  <c r="F56" i="1"/>
  <c r="J56" i="1" s="1"/>
  <c r="F58" i="1"/>
  <c r="J58" i="1" s="1"/>
  <c r="I60" i="1"/>
  <c r="F60" i="1"/>
  <c r="J60" i="1" s="1"/>
  <c r="I62" i="1"/>
  <c r="F62" i="1"/>
  <c r="J62" i="1" s="1"/>
  <c r="F63" i="1"/>
  <c r="J63" i="1" s="1"/>
  <c r="I63" i="1"/>
  <c r="F65" i="1"/>
  <c r="J65" i="1" s="1"/>
  <c r="I65" i="1"/>
  <c r="F67" i="1"/>
  <c r="J67" i="1" s="1"/>
  <c r="I67" i="1"/>
  <c r="F69" i="1"/>
  <c r="J69" i="1"/>
  <c r="I69" i="1"/>
  <c r="F71" i="1"/>
  <c r="J71" i="1"/>
  <c r="I71" i="1"/>
  <c r="F73" i="1"/>
  <c r="J73" i="1"/>
  <c r="I73" i="1"/>
  <c r="F75" i="1"/>
  <c r="J75" i="1"/>
  <c r="I75" i="1"/>
  <c r="F77" i="1"/>
  <c r="J77" i="1" s="1"/>
  <c r="I77" i="1"/>
  <c r="F79" i="1"/>
  <c r="J79" i="1" s="1"/>
  <c r="I79" i="1"/>
  <c r="F81" i="1"/>
  <c r="J81" i="1" s="1"/>
  <c r="I81" i="1"/>
  <c r="F83" i="1"/>
  <c r="J83" i="1" s="1"/>
  <c r="I83" i="1"/>
  <c r="F85" i="1"/>
  <c r="J85" i="1"/>
  <c r="I85" i="1"/>
  <c r="F87" i="1"/>
  <c r="J87" i="1"/>
  <c r="I87" i="1"/>
  <c r="F89" i="1"/>
  <c r="J89" i="1"/>
  <c r="I89" i="1"/>
  <c r="F91" i="1"/>
  <c r="J91" i="1"/>
  <c r="I91" i="1"/>
  <c r="F93" i="1"/>
  <c r="J93" i="1" s="1"/>
  <c r="I93" i="1"/>
  <c r="F95" i="1"/>
  <c r="J95" i="1" s="1"/>
  <c r="I95" i="1"/>
  <c r="F97" i="1"/>
  <c r="J97" i="1" s="1"/>
  <c r="I97" i="1"/>
  <c r="F99" i="1"/>
  <c r="J99" i="1" s="1"/>
  <c r="I99" i="1"/>
  <c r="F101" i="1"/>
  <c r="J101" i="1"/>
  <c r="I101" i="1"/>
  <c r="F103" i="1"/>
  <c r="J103" i="1"/>
  <c r="I103" i="1"/>
  <c r="F105" i="1"/>
  <c r="J105" i="1"/>
  <c r="I105" i="1"/>
  <c r="F107" i="1"/>
  <c r="J107" i="1"/>
  <c r="I107" i="1"/>
  <c r="F109" i="1"/>
  <c r="J109" i="1" s="1"/>
  <c r="I109" i="1"/>
  <c r="F111" i="1"/>
  <c r="J111" i="1" s="1"/>
  <c r="I111" i="1"/>
  <c r="F113" i="1"/>
  <c r="J113" i="1" s="1"/>
  <c r="I113" i="1"/>
  <c r="F115" i="1"/>
  <c r="J115" i="1" s="1"/>
  <c r="I115" i="1"/>
  <c r="F117" i="1"/>
  <c r="J117" i="1"/>
  <c r="I117" i="1"/>
  <c r="F119" i="1"/>
  <c r="J119" i="1"/>
  <c r="I119" i="1"/>
  <c r="F121" i="1"/>
  <c r="J121" i="1"/>
  <c r="I121" i="1"/>
  <c r="F123" i="1"/>
  <c r="J123" i="1"/>
  <c r="I123" i="1"/>
  <c r="F125" i="1"/>
  <c r="J125" i="1" s="1"/>
  <c r="I125" i="1"/>
  <c r="F127" i="1"/>
  <c r="J127" i="1" s="1"/>
  <c r="I127" i="1"/>
  <c r="F129" i="1"/>
  <c r="J129" i="1" s="1"/>
  <c r="I129" i="1"/>
  <c r="F131" i="1"/>
  <c r="J131" i="1" s="1"/>
  <c r="I131" i="1"/>
  <c r="F133" i="1"/>
  <c r="J133" i="1"/>
  <c r="I133" i="1"/>
  <c r="F135" i="1"/>
  <c r="J135" i="1"/>
  <c r="I135" i="1"/>
  <c r="F137" i="1"/>
  <c r="J137" i="1"/>
  <c r="I137" i="1"/>
  <c r="F139" i="1"/>
  <c r="J139" i="1"/>
  <c r="I139" i="1"/>
  <c r="F141" i="1"/>
  <c r="J141" i="1" s="1"/>
  <c r="I141" i="1"/>
  <c r="F143" i="1"/>
  <c r="J143" i="1" s="1"/>
  <c r="I143" i="1"/>
  <c r="F145" i="1"/>
  <c r="J145" i="1" s="1"/>
  <c r="I145" i="1"/>
  <c r="F147" i="1"/>
  <c r="J147" i="1" s="1"/>
  <c r="I147" i="1"/>
  <c r="F149" i="1"/>
  <c r="J149" i="1"/>
  <c r="I149" i="1"/>
  <c r="F151" i="1"/>
  <c r="J151" i="1"/>
  <c r="I151" i="1"/>
  <c r="F153" i="1"/>
  <c r="J153" i="1"/>
  <c r="I153" i="1"/>
  <c r="F155" i="1"/>
  <c r="J155" i="1"/>
  <c r="I155" i="1"/>
  <c r="F157" i="1"/>
  <c r="J157" i="1" s="1"/>
  <c r="I157" i="1"/>
  <c r="F159" i="1"/>
  <c r="J159" i="1" s="1"/>
  <c r="I159" i="1"/>
  <c r="F161" i="1"/>
  <c r="J161" i="1" s="1"/>
  <c r="I161" i="1"/>
  <c r="F163" i="1"/>
  <c r="J163" i="1" s="1"/>
  <c r="I163" i="1"/>
  <c r="F165" i="1"/>
  <c r="J165" i="1"/>
  <c r="I165" i="1"/>
  <c r="F167" i="1"/>
  <c r="J167" i="1"/>
  <c r="I167" i="1"/>
  <c r="F169" i="1"/>
  <c r="J169" i="1"/>
  <c r="I169" i="1"/>
  <c r="F171" i="1"/>
  <c r="J171" i="1"/>
  <c r="I171" i="1"/>
  <c r="F173" i="1"/>
  <c r="J173" i="1" s="1"/>
  <c r="I173" i="1"/>
  <c r="F175" i="1"/>
  <c r="J175" i="1" s="1"/>
  <c r="I175" i="1"/>
  <c r="F177" i="1"/>
  <c r="J177" i="1" s="1"/>
  <c r="I177" i="1"/>
  <c r="F179" i="1"/>
  <c r="J179" i="1" s="1"/>
  <c r="I179" i="1"/>
  <c r="F181" i="1"/>
  <c r="J181" i="1"/>
  <c r="I181" i="1"/>
  <c r="F183" i="1"/>
  <c r="J183" i="1"/>
  <c r="I183" i="1"/>
  <c r="I64" i="1"/>
  <c r="F64" i="1"/>
  <c r="J64" i="1" s="1"/>
  <c r="I66" i="1"/>
  <c r="F66" i="1"/>
  <c r="J66" i="1" s="1"/>
  <c r="I68" i="1"/>
  <c r="F68" i="1"/>
  <c r="J68" i="1" s="1"/>
  <c r="I70" i="1"/>
  <c r="F70" i="1"/>
  <c r="J70" i="1"/>
  <c r="I72" i="1"/>
  <c r="F72" i="1"/>
  <c r="J72" i="1"/>
  <c r="I74" i="1"/>
  <c r="F74" i="1"/>
  <c r="J74" i="1"/>
  <c r="I76" i="1"/>
  <c r="F76" i="1"/>
  <c r="J76" i="1"/>
  <c r="I78" i="1"/>
  <c r="F78" i="1"/>
  <c r="J78" i="1" s="1"/>
  <c r="I80" i="1"/>
  <c r="F80" i="1"/>
  <c r="J80" i="1" s="1"/>
  <c r="I82" i="1"/>
  <c r="F82" i="1"/>
  <c r="J82" i="1" s="1"/>
  <c r="I84" i="1"/>
  <c r="F84" i="1"/>
  <c r="J84" i="1" s="1"/>
  <c r="I86" i="1"/>
  <c r="F86" i="1"/>
  <c r="J86" i="1"/>
  <c r="I88" i="1"/>
  <c r="F88" i="1"/>
  <c r="J88" i="1"/>
  <c r="I90" i="1"/>
  <c r="F90" i="1"/>
  <c r="J90" i="1"/>
  <c r="I92" i="1"/>
  <c r="F92" i="1"/>
  <c r="J92" i="1"/>
  <c r="I94" i="1"/>
  <c r="F94" i="1"/>
  <c r="J94" i="1" s="1"/>
  <c r="I96" i="1"/>
  <c r="F96" i="1"/>
  <c r="J96" i="1" s="1"/>
  <c r="I98" i="1"/>
  <c r="F98" i="1"/>
  <c r="J98" i="1" s="1"/>
  <c r="I100" i="1"/>
  <c r="F100" i="1"/>
  <c r="J100" i="1" s="1"/>
  <c r="I102" i="1"/>
  <c r="F102" i="1"/>
  <c r="J102" i="1"/>
  <c r="I104" i="1"/>
  <c r="F104" i="1"/>
  <c r="J104" i="1"/>
  <c r="I106" i="1"/>
  <c r="F106" i="1"/>
  <c r="J106" i="1"/>
  <c r="I108" i="1"/>
  <c r="F108" i="1"/>
  <c r="J108" i="1"/>
  <c r="I110" i="1"/>
  <c r="F110" i="1"/>
  <c r="J110" i="1" s="1"/>
  <c r="I112" i="1"/>
  <c r="F112" i="1"/>
  <c r="J112" i="1" s="1"/>
  <c r="I114" i="1"/>
  <c r="F114" i="1"/>
  <c r="J114" i="1" s="1"/>
  <c r="I116" i="1"/>
  <c r="F116" i="1"/>
  <c r="J116" i="1" s="1"/>
  <c r="I118" i="1"/>
  <c r="F118" i="1"/>
  <c r="J118" i="1"/>
  <c r="I120" i="1"/>
  <c r="F120" i="1"/>
  <c r="J120" i="1"/>
  <c r="I122" i="1"/>
  <c r="F122" i="1"/>
  <c r="J122" i="1"/>
  <c r="I124" i="1"/>
  <c r="F124" i="1"/>
  <c r="J124" i="1"/>
  <c r="I126" i="1"/>
  <c r="F126" i="1"/>
  <c r="J126" i="1" s="1"/>
  <c r="I128" i="1"/>
  <c r="F128" i="1"/>
  <c r="J128" i="1" s="1"/>
  <c r="I130" i="1"/>
  <c r="F130" i="1"/>
  <c r="J130" i="1" s="1"/>
  <c r="I132" i="1"/>
  <c r="F132" i="1"/>
  <c r="J132" i="1" s="1"/>
  <c r="I134" i="1"/>
  <c r="F134" i="1"/>
  <c r="J134" i="1"/>
  <c r="I136" i="1"/>
  <c r="F136" i="1"/>
  <c r="J136" i="1"/>
  <c r="I138" i="1"/>
  <c r="F138" i="1"/>
  <c r="J138" i="1"/>
  <c r="I140" i="1"/>
  <c r="F140" i="1"/>
  <c r="J140" i="1"/>
  <c r="I142" i="1"/>
  <c r="F142" i="1"/>
  <c r="J142" i="1" s="1"/>
  <c r="I144" i="1"/>
  <c r="F144" i="1"/>
  <c r="J144" i="1" s="1"/>
  <c r="I146" i="1"/>
  <c r="F146" i="1"/>
  <c r="J146" i="1" s="1"/>
  <c r="I148" i="1"/>
  <c r="F148" i="1"/>
  <c r="J148" i="1" s="1"/>
  <c r="I150" i="1"/>
  <c r="F150" i="1"/>
  <c r="J150" i="1"/>
  <c r="I152" i="1"/>
  <c r="F152" i="1"/>
  <c r="J152" i="1"/>
  <c r="I154" i="1"/>
  <c r="F154" i="1"/>
  <c r="J154" i="1"/>
  <c r="I156" i="1"/>
  <c r="F156" i="1"/>
  <c r="J156" i="1"/>
  <c r="I158" i="1"/>
  <c r="F158" i="1"/>
  <c r="J158" i="1" s="1"/>
  <c r="I160" i="1"/>
  <c r="F160" i="1"/>
  <c r="J160" i="1" s="1"/>
  <c r="I162" i="1"/>
  <c r="F162" i="1"/>
  <c r="J162" i="1" s="1"/>
  <c r="I164" i="1"/>
  <c r="F164" i="1"/>
  <c r="J164" i="1" s="1"/>
  <c r="I166" i="1"/>
  <c r="F166" i="1"/>
  <c r="J166" i="1"/>
  <c r="I168" i="1"/>
  <c r="F168" i="1"/>
  <c r="J168" i="1"/>
  <c r="I170" i="1"/>
  <c r="F170" i="1"/>
  <c r="J170" i="1"/>
  <c r="I172" i="1"/>
  <c r="F172" i="1"/>
  <c r="J172" i="1"/>
  <c r="I174" i="1"/>
  <c r="F174" i="1"/>
  <c r="J174" i="1" s="1"/>
  <c r="I176" i="1"/>
  <c r="F176" i="1"/>
  <c r="J176" i="1" s="1"/>
  <c r="I178" i="1"/>
  <c r="F178" i="1"/>
  <c r="J178" i="1" s="1"/>
  <c r="I180" i="1"/>
  <c r="F180" i="1"/>
  <c r="J180" i="1" s="1"/>
  <c r="I182" i="1"/>
  <c r="F182" i="1"/>
  <c r="J182" i="1"/>
  <c r="I184" i="1"/>
  <c r="F184" i="1"/>
  <c r="J184" i="1"/>
  <c r="I186" i="1"/>
  <c r="F186" i="1"/>
  <c r="J186" i="1"/>
  <c r="I189" i="1"/>
  <c r="F189" i="1"/>
  <c r="J189" i="1"/>
  <c r="I191" i="1"/>
  <c r="F191" i="1"/>
  <c r="J191" i="1" s="1"/>
  <c r="I193" i="1"/>
  <c r="F193" i="1"/>
  <c r="J193" i="1" s="1"/>
  <c r="I195" i="1"/>
  <c r="F195" i="1"/>
  <c r="J195" i="1" s="1"/>
  <c r="I197" i="1"/>
  <c r="F197" i="1"/>
  <c r="J197" i="1" s="1"/>
  <c r="I199" i="1"/>
  <c r="F199" i="1"/>
  <c r="J199" i="1"/>
  <c r="I201" i="1"/>
  <c r="F201" i="1"/>
  <c r="J201" i="1"/>
  <c r="I203" i="1"/>
  <c r="F203" i="1"/>
  <c r="J203" i="1"/>
  <c r="I205" i="1"/>
  <c r="F205" i="1"/>
  <c r="J205" i="1"/>
  <c r="I207" i="1"/>
  <c r="F207" i="1"/>
  <c r="J207" i="1" s="1"/>
  <c r="I209" i="1"/>
  <c r="F209" i="1"/>
  <c r="J209" i="1" s="1"/>
  <c r="I211" i="1"/>
  <c r="F211" i="1"/>
  <c r="J211" i="1" s="1"/>
  <c r="I213" i="1"/>
  <c r="F213" i="1"/>
  <c r="J213" i="1" s="1"/>
  <c r="I215" i="1"/>
  <c r="F215" i="1"/>
  <c r="J215" i="1"/>
  <c r="I217" i="1"/>
  <c r="F217" i="1"/>
  <c r="J217" i="1"/>
  <c r="I219" i="1"/>
  <c r="F219" i="1"/>
  <c r="J219" i="1"/>
  <c r="I221" i="1"/>
  <c r="F221" i="1"/>
  <c r="J221" i="1"/>
  <c r="I223" i="1"/>
  <c r="F223" i="1"/>
  <c r="J223" i="1" s="1"/>
  <c r="I225" i="1"/>
  <c r="F225" i="1"/>
  <c r="J225" i="1" s="1"/>
  <c r="I227" i="1"/>
  <c r="F227" i="1"/>
  <c r="J227" i="1" s="1"/>
  <c r="I229" i="1"/>
  <c r="F229" i="1"/>
  <c r="J229" i="1" s="1"/>
  <c r="I231" i="1"/>
  <c r="F231" i="1"/>
  <c r="J231" i="1"/>
  <c r="I233" i="1"/>
  <c r="F233" i="1"/>
  <c r="J233" i="1"/>
  <c r="I235" i="1"/>
  <c r="F235" i="1"/>
  <c r="J235" i="1"/>
  <c r="I237" i="1"/>
  <c r="F237" i="1"/>
  <c r="J237" i="1"/>
  <c r="I239" i="1"/>
  <c r="F239" i="1"/>
  <c r="J239" i="1" s="1"/>
  <c r="I241" i="1"/>
  <c r="F241" i="1"/>
  <c r="J241" i="1" s="1"/>
  <c r="I243" i="1"/>
  <c r="F243" i="1"/>
  <c r="J243" i="1" s="1"/>
  <c r="I245" i="1"/>
  <c r="F245" i="1"/>
  <c r="J245" i="1" s="1"/>
  <c r="I247" i="1"/>
  <c r="F247" i="1"/>
  <c r="J247" i="1"/>
  <c r="I249" i="1"/>
  <c r="F249" i="1"/>
  <c r="J249" i="1"/>
  <c r="I251" i="1"/>
  <c r="F251" i="1"/>
  <c r="J251" i="1"/>
  <c r="I253" i="1"/>
  <c r="F253" i="1"/>
  <c r="J253" i="1"/>
  <c r="I255" i="1"/>
  <c r="F255" i="1"/>
  <c r="J255" i="1" s="1"/>
  <c r="I257" i="1"/>
  <c r="F257" i="1"/>
  <c r="J257" i="1" s="1"/>
  <c r="F260" i="1"/>
  <c r="J260" i="1"/>
  <c r="I260" i="1"/>
  <c r="F262" i="1"/>
  <c r="J262" i="1" s="1"/>
  <c r="I262" i="1"/>
  <c r="F264" i="1"/>
  <c r="J264" i="1" s="1"/>
  <c r="I264" i="1"/>
  <c r="F266" i="1"/>
  <c r="J266" i="1" s="1"/>
  <c r="I266" i="1"/>
  <c r="F268" i="1"/>
  <c r="J268" i="1" s="1"/>
  <c r="I268" i="1"/>
  <c r="F270" i="1"/>
  <c r="J270" i="1"/>
  <c r="I270" i="1"/>
  <c r="F272" i="1"/>
  <c r="J272" i="1"/>
  <c r="I272" i="1"/>
  <c r="F274" i="1"/>
  <c r="J274" i="1"/>
  <c r="I274" i="1"/>
  <c r="F276" i="1"/>
  <c r="J276" i="1"/>
  <c r="I276" i="1"/>
  <c r="F278" i="1"/>
  <c r="J278" i="1" s="1"/>
  <c r="I278" i="1"/>
  <c r="F280" i="1"/>
  <c r="J280" i="1" s="1"/>
  <c r="I280" i="1"/>
  <c r="F282" i="1"/>
  <c r="J282" i="1" s="1"/>
  <c r="I282" i="1"/>
  <c r="F284" i="1"/>
  <c r="J284" i="1" s="1"/>
  <c r="I284" i="1"/>
  <c r="F286" i="1"/>
  <c r="J286" i="1"/>
  <c r="I286" i="1"/>
  <c r="F288" i="1"/>
  <c r="J288" i="1"/>
  <c r="I288" i="1"/>
  <c r="I289" i="1"/>
  <c r="F289" i="1"/>
  <c r="J289" i="1" s="1"/>
  <c r="F292" i="1"/>
  <c r="J292" i="1"/>
  <c r="I292" i="1"/>
  <c r="I293" i="1"/>
  <c r="F293" i="1"/>
  <c r="J293" i="1" s="1"/>
  <c r="F296" i="1"/>
  <c r="J296" i="1" s="1"/>
  <c r="I296" i="1"/>
  <c r="I297" i="1"/>
  <c r="F297" i="1"/>
  <c r="J297" i="1"/>
  <c r="F300" i="1"/>
  <c r="J300" i="1" s="1"/>
  <c r="I300" i="1"/>
  <c r="F302" i="1"/>
  <c r="J302" i="1"/>
  <c r="I302" i="1"/>
  <c r="F304" i="1"/>
  <c r="J304" i="1"/>
  <c r="I304" i="1"/>
  <c r="F306" i="1"/>
  <c r="J306" i="1"/>
  <c r="I306" i="1"/>
  <c r="F308" i="1"/>
  <c r="J308" i="1"/>
  <c r="I308" i="1"/>
  <c r="F310" i="1"/>
  <c r="J310" i="1" s="1"/>
  <c r="I310" i="1"/>
  <c r="F312" i="1"/>
  <c r="J312" i="1" s="1"/>
  <c r="I312" i="1"/>
  <c r="E185" i="1"/>
  <c r="E187" i="1"/>
  <c r="F188" i="1"/>
  <c r="J188" i="1" s="1"/>
  <c r="I188" i="1"/>
  <c r="F190" i="1"/>
  <c r="J190" i="1" s="1"/>
  <c r="I190" i="1"/>
  <c r="F192" i="1"/>
  <c r="J192" i="1" s="1"/>
  <c r="I192" i="1"/>
  <c r="F194" i="1"/>
  <c r="J194" i="1" s="1"/>
  <c r="I194" i="1"/>
  <c r="F196" i="1"/>
  <c r="J196" i="1"/>
  <c r="I196" i="1"/>
  <c r="F198" i="1"/>
  <c r="J198" i="1"/>
  <c r="I198" i="1"/>
  <c r="F200" i="1"/>
  <c r="J200" i="1"/>
  <c r="I200" i="1"/>
  <c r="F202" i="1"/>
  <c r="J202" i="1"/>
  <c r="I202" i="1"/>
  <c r="F204" i="1"/>
  <c r="J204" i="1" s="1"/>
  <c r="I204" i="1"/>
  <c r="F206" i="1"/>
  <c r="J206" i="1" s="1"/>
  <c r="I206" i="1"/>
  <c r="F208" i="1"/>
  <c r="J208" i="1" s="1"/>
  <c r="I208" i="1"/>
  <c r="F210" i="1"/>
  <c r="J210" i="1" s="1"/>
  <c r="I210" i="1"/>
  <c r="F212" i="1"/>
  <c r="J212" i="1"/>
  <c r="I212" i="1"/>
  <c r="F214" i="1"/>
  <c r="J214" i="1"/>
  <c r="I214" i="1"/>
  <c r="F216" i="1"/>
  <c r="J216" i="1"/>
  <c r="I216" i="1"/>
  <c r="F218" i="1"/>
  <c r="J218" i="1"/>
  <c r="I218" i="1"/>
  <c r="F220" i="1"/>
  <c r="J220" i="1" s="1"/>
  <c r="I220" i="1"/>
  <c r="F222" i="1"/>
  <c r="J222" i="1" s="1"/>
  <c r="I222" i="1"/>
  <c r="F224" i="1"/>
  <c r="J224" i="1" s="1"/>
  <c r="I224" i="1"/>
  <c r="F226" i="1"/>
  <c r="J226" i="1" s="1"/>
  <c r="I226" i="1"/>
  <c r="F228" i="1"/>
  <c r="J228" i="1"/>
  <c r="I228" i="1"/>
  <c r="F230" i="1"/>
  <c r="J230" i="1"/>
  <c r="I230" i="1"/>
  <c r="F232" i="1"/>
  <c r="J232" i="1"/>
  <c r="I232" i="1"/>
  <c r="F234" i="1"/>
  <c r="J234" i="1"/>
  <c r="I234" i="1"/>
  <c r="F236" i="1"/>
  <c r="J236" i="1" s="1"/>
  <c r="I236" i="1"/>
  <c r="F238" i="1"/>
  <c r="J238" i="1" s="1"/>
  <c r="I238" i="1"/>
  <c r="F240" i="1"/>
  <c r="J240" i="1" s="1"/>
  <c r="I240" i="1"/>
  <c r="F242" i="1"/>
  <c r="J242" i="1" s="1"/>
  <c r="I242" i="1"/>
  <c r="F244" i="1"/>
  <c r="J244" i="1"/>
  <c r="I244" i="1"/>
  <c r="F246" i="1"/>
  <c r="J246" i="1"/>
  <c r="I246" i="1"/>
  <c r="F248" i="1"/>
  <c r="J248" i="1"/>
  <c r="I248" i="1"/>
  <c r="F250" i="1"/>
  <c r="J250" i="1"/>
  <c r="I250" i="1"/>
  <c r="F252" i="1"/>
  <c r="J252" i="1" s="1"/>
  <c r="I252" i="1"/>
  <c r="F254" i="1"/>
  <c r="J254" i="1" s="1"/>
  <c r="I254" i="1"/>
  <c r="F256" i="1"/>
  <c r="J256" i="1" s="1"/>
  <c r="I256" i="1"/>
  <c r="F258" i="1"/>
  <c r="J258" i="1" s="1"/>
  <c r="I258" i="1"/>
  <c r="I259" i="1"/>
  <c r="F259" i="1"/>
  <c r="J259" i="1"/>
  <c r="I261" i="1"/>
  <c r="F261" i="1"/>
  <c r="J261" i="1" s="1"/>
  <c r="I263" i="1"/>
  <c r="F263" i="1"/>
  <c r="J263" i="1" s="1"/>
  <c r="I265" i="1"/>
  <c r="F265" i="1"/>
  <c r="J265" i="1" s="1"/>
  <c r="I267" i="1"/>
  <c r="F267" i="1"/>
  <c r="J267" i="1" s="1"/>
  <c r="I269" i="1"/>
  <c r="F269" i="1"/>
  <c r="J269" i="1"/>
  <c r="I271" i="1"/>
  <c r="F271" i="1"/>
  <c r="J271" i="1"/>
  <c r="I273" i="1"/>
  <c r="F273" i="1"/>
  <c r="J273" i="1"/>
  <c r="I275" i="1"/>
  <c r="F275" i="1"/>
  <c r="J275" i="1"/>
  <c r="I277" i="1"/>
  <c r="F277" i="1"/>
  <c r="J277" i="1" s="1"/>
  <c r="I279" i="1"/>
  <c r="F279" i="1"/>
  <c r="J279" i="1" s="1"/>
  <c r="I281" i="1"/>
  <c r="F281" i="1"/>
  <c r="J281" i="1" s="1"/>
  <c r="I283" i="1"/>
  <c r="F283" i="1"/>
  <c r="J283" i="1" s="1"/>
  <c r="I285" i="1"/>
  <c r="F285" i="1"/>
  <c r="J285" i="1"/>
  <c r="I287" i="1"/>
  <c r="F287" i="1"/>
  <c r="J287" i="1"/>
  <c r="F290" i="1"/>
  <c r="J290" i="1" s="1"/>
  <c r="I290" i="1"/>
  <c r="I291" i="1"/>
  <c r="F291" i="1"/>
  <c r="J291" i="1"/>
  <c r="F294" i="1"/>
  <c r="J294" i="1"/>
  <c r="I294" i="1"/>
  <c r="I295" i="1"/>
  <c r="F295" i="1"/>
  <c r="J295" i="1" s="1"/>
  <c r="F298" i="1"/>
  <c r="J298" i="1"/>
  <c r="I298" i="1"/>
  <c r="I299" i="1"/>
  <c r="F299" i="1"/>
  <c r="J299" i="1" s="1"/>
  <c r="I301" i="1"/>
  <c r="F301" i="1"/>
  <c r="J301" i="1"/>
  <c r="I303" i="1"/>
  <c r="F303" i="1"/>
  <c r="J303" i="1"/>
  <c r="I305" i="1"/>
  <c r="F305" i="1"/>
  <c r="J305" i="1"/>
  <c r="I307" i="1"/>
  <c r="F307" i="1"/>
  <c r="J307" i="1"/>
  <c r="I309" i="1"/>
  <c r="F309" i="1"/>
  <c r="J309" i="1" s="1"/>
  <c r="I311" i="1"/>
  <c r="F311" i="1"/>
  <c r="J311" i="1" s="1"/>
  <c r="E313" i="1"/>
  <c r="I314" i="1"/>
  <c r="F314" i="1"/>
  <c r="J314" i="1"/>
  <c r="I316" i="1"/>
  <c r="F316" i="1"/>
  <c r="J316" i="1"/>
  <c r="I318" i="1"/>
  <c r="F318" i="1"/>
  <c r="J318" i="1"/>
  <c r="I320" i="1"/>
  <c r="F320" i="1"/>
  <c r="J320" i="1" s="1"/>
  <c r="I322" i="1"/>
  <c r="F322" i="1"/>
  <c r="J322" i="1" s="1"/>
  <c r="I324" i="1"/>
  <c r="F324" i="1"/>
  <c r="J324" i="1" s="1"/>
  <c r="I326" i="1"/>
  <c r="F326" i="1"/>
  <c r="J326" i="1" s="1"/>
  <c r="I328" i="1"/>
  <c r="F328" i="1"/>
  <c r="J328" i="1"/>
  <c r="I330" i="1"/>
  <c r="F330" i="1"/>
  <c r="J330" i="1"/>
  <c r="I332" i="1"/>
  <c r="F332" i="1"/>
  <c r="J332" i="1"/>
  <c r="I334" i="1"/>
  <c r="F334" i="1"/>
  <c r="J334" i="1"/>
  <c r="I336" i="1"/>
  <c r="F336" i="1"/>
  <c r="J336" i="1" s="1"/>
  <c r="I338" i="1"/>
  <c r="F338" i="1"/>
  <c r="J338" i="1" s="1"/>
  <c r="I340" i="1"/>
  <c r="F340" i="1"/>
  <c r="J340" i="1" s="1"/>
  <c r="I342" i="1"/>
  <c r="F342" i="1"/>
  <c r="J342" i="1" s="1"/>
  <c r="I344" i="1"/>
  <c r="F344" i="1"/>
  <c r="J344" i="1"/>
  <c r="I346" i="1"/>
  <c r="F346" i="1"/>
  <c r="J346" i="1"/>
  <c r="I348" i="1"/>
  <c r="F348" i="1"/>
  <c r="J348" i="1"/>
  <c r="I350" i="1"/>
  <c r="F350" i="1"/>
  <c r="J350" i="1"/>
  <c r="I352" i="1"/>
  <c r="F352" i="1"/>
  <c r="J352" i="1" s="1"/>
  <c r="I354" i="1"/>
  <c r="F354" i="1"/>
  <c r="J354" i="1" s="1"/>
  <c r="I356" i="1"/>
  <c r="F356" i="1"/>
  <c r="J356" i="1" s="1"/>
  <c r="I358" i="1"/>
  <c r="F358" i="1"/>
  <c r="J358" i="1" s="1"/>
  <c r="I360" i="1"/>
  <c r="F360" i="1"/>
  <c r="J360" i="1"/>
  <c r="I362" i="1"/>
  <c r="F362" i="1"/>
  <c r="J362" i="1"/>
  <c r="I364" i="1"/>
  <c r="F364" i="1"/>
  <c r="J364" i="1"/>
  <c r="I366" i="1"/>
  <c r="F366" i="1"/>
  <c r="J366" i="1"/>
  <c r="I368" i="1"/>
  <c r="F368" i="1"/>
  <c r="J368" i="1" s="1"/>
  <c r="I370" i="1"/>
  <c r="F370" i="1"/>
  <c r="J370" i="1" s="1"/>
  <c r="I372" i="1"/>
  <c r="F372" i="1"/>
  <c r="J372" i="1" s="1"/>
  <c r="I374" i="1"/>
  <c r="F374" i="1"/>
  <c r="J374" i="1" s="1"/>
  <c r="F315" i="1"/>
  <c r="J315" i="1" s="1"/>
  <c r="I315" i="1"/>
  <c r="F317" i="1"/>
  <c r="J317" i="1" s="1"/>
  <c r="I317" i="1"/>
  <c r="F319" i="1"/>
  <c r="J319" i="1" s="1"/>
  <c r="I319" i="1"/>
  <c r="F321" i="1"/>
  <c r="J321" i="1"/>
  <c r="I321" i="1"/>
  <c r="F323" i="1"/>
  <c r="J323" i="1"/>
  <c r="I323" i="1"/>
  <c r="F325" i="1"/>
  <c r="J325" i="1"/>
  <c r="I325" i="1"/>
  <c r="F327" i="1"/>
  <c r="J327" i="1"/>
  <c r="I327" i="1"/>
  <c r="F329" i="1"/>
  <c r="J329" i="1" s="1"/>
  <c r="I329" i="1"/>
  <c r="F331" i="1"/>
  <c r="J331" i="1" s="1"/>
  <c r="I331" i="1"/>
  <c r="F333" i="1"/>
  <c r="J333" i="1" s="1"/>
  <c r="I333" i="1"/>
  <c r="F335" i="1"/>
  <c r="J335" i="1" s="1"/>
  <c r="I335" i="1"/>
  <c r="F337" i="1"/>
  <c r="J337" i="1"/>
  <c r="I337" i="1"/>
  <c r="F339" i="1"/>
  <c r="J339" i="1"/>
  <c r="I339" i="1"/>
  <c r="F341" i="1"/>
  <c r="J341" i="1"/>
  <c r="I341" i="1"/>
  <c r="F343" i="1"/>
  <c r="J343" i="1"/>
  <c r="I343" i="1"/>
  <c r="F345" i="1"/>
  <c r="J345" i="1" s="1"/>
  <c r="I345" i="1"/>
  <c r="F347" i="1"/>
  <c r="J347" i="1" s="1"/>
  <c r="I347" i="1"/>
  <c r="F349" i="1"/>
  <c r="J349" i="1" s="1"/>
  <c r="I349" i="1"/>
  <c r="F351" i="1"/>
  <c r="J351" i="1" s="1"/>
  <c r="I351" i="1"/>
  <c r="F353" i="1"/>
  <c r="J353" i="1"/>
  <c r="I353" i="1"/>
  <c r="F355" i="1"/>
  <c r="J355" i="1"/>
  <c r="I355" i="1"/>
  <c r="F357" i="1"/>
  <c r="J357" i="1"/>
  <c r="I357" i="1"/>
  <c r="F359" i="1"/>
  <c r="J359" i="1"/>
  <c r="I359" i="1"/>
  <c r="F361" i="1"/>
  <c r="J361" i="1" s="1"/>
  <c r="I361" i="1"/>
  <c r="F363" i="1"/>
  <c r="J363" i="1" s="1"/>
  <c r="I363" i="1"/>
  <c r="F365" i="1"/>
  <c r="J365" i="1" s="1"/>
  <c r="I365" i="1"/>
  <c r="F367" i="1"/>
  <c r="J367" i="1" s="1"/>
  <c r="I367" i="1"/>
  <c r="F369" i="1"/>
  <c r="J369" i="1"/>
  <c r="I369" i="1"/>
  <c r="F371" i="1"/>
  <c r="J371" i="1"/>
  <c r="I371" i="1"/>
  <c r="F373" i="1"/>
  <c r="J373" i="1"/>
  <c r="I373" i="1"/>
  <c r="F375" i="1"/>
  <c r="J375" i="1"/>
  <c r="I375" i="1"/>
  <c r="I376" i="1"/>
  <c r="F376" i="1"/>
  <c r="J376" i="1" s="1"/>
  <c r="I378" i="1"/>
  <c r="F378" i="1"/>
  <c r="J378" i="1"/>
  <c r="I380" i="1"/>
  <c r="F380" i="1"/>
  <c r="J380" i="1"/>
  <c r="I382" i="1"/>
  <c r="F382" i="1"/>
  <c r="J382" i="1"/>
  <c r="I384" i="1"/>
  <c r="F384" i="1"/>
  <c r="J384" i="1"/>
  <c r="I386" i="1"/>
  <c r="F386" i="1"/>
  <c r="J386" i="1" s="1"/>
  <c r="I388" i="1"/>
  <c r="F388" i="1"/>
  <c r="J388" i="1" s="1"/>
  <c r="I390" i="1"/>
  <c r="F390" i="1"/>
  <c r="J390" i="1" s="1"/>
  <c r="I392" i="1"/>
  <c r="F392" i="1"/>
  <c r="J392" i="1" s="1"/>
  <c r="F397" i="1"/>
  <c r="J397" i="1" s="1"/>
  <c r="I397" i="1"/>
  <c r="F399" i="1"/>
  <c r="J399" i="1" s="1"/>
  <c r="I399" i="1"/>
  <c r="F401" i="1"/>
  <c r="J401" i="1" s="1"/>
  <c r="I401" i="1"/>
  <c r="F403" i="1"/>
  <c r="J403" i="1"/>
  <c r="I403" i="1"/>
  <c r="F405" i="1"/>
  <c r="J405" i="1"/>
  <c r="I405" i="1"/>
  <c r="F407" i="1"/>
  <c r="J407" i="1"/>
  <c r="I407" i="1"/>
  <c r="F409" i="1"/>
  <c r="J409" i="1"/>
  <c r="I409" i="1"/>
  <c r="F411" i="1"/>
  <c r="J411" i="1" s="1"/>
  <c r="I411" i="1"/>
  <c r="F413" i="1"/>
  <c r="J413" i="1" s="1"/>
  <c r="I413" i="1"/>
  <c r="F415" i="1"/>
  <c r="J415" i="1" s="1"/>
  <c r="I415" i="1"/>
  <c r="F417" i="1"/>
  <c r="J417" i="1" s="1"/>
  <c r="I417" i="1"/>
  <c r="F419" i="1"/>
  <c r="J419" i="1"/>
  <c r="I419" i="1"/>
  <c r="F421" i="1"/>
  <c r="J421" i="1"/>
  <c r="I421" i="1"/>
  <c r="F423" i="1"/>
  <c r="J423" i="1"/>
  <c r="I423" i="1"/>
  <c r="F425" i="1"/>
  <c r="J425" i="1"/>
  <c r="I425" i="1"/>
  <c r="F427" i="1"/>
  <c r="J427" i="1" s="1"/>
  <c r="I427" i="1"/>
  <c r="F429" i="1"/>
  <c r="J429" i="1" s="1"/>
  <c r="I429" i="1"/>
  <c r="F431" i="1"/>
  <c r="J431" i="1" s="1"/>
  <c r="I431" i="1"/>
  <c r="F433" i="1"/>
  <c r="J433" i="1" s="1"/>
  <c r="I433" i="1"/>
  <c r="I436" i="1"/>
  <c r="F436" i="1"/>
  <c r="J436" i="1"/>
  <c r="I438" i="1"/>
  <c r="F438" i="1"/>
  <c r="J438" i="1" s="1"/>
  <c r="F440" i="1"/>
  <c r="J440" i="1"/>
  <c r="I440" i="1"/>
  <c r="F377" i="1"/>
  <c r="J377" i="1"/>
  <c r="I377" i="1"/>
  <c r="F379" i="1"/>
  <c r="J379" i="1" s="1"/>
  <c r="I379" i="1"/>
  <c r="F381" i="1"/>
  <c r="J381" i="1" s="1"/>
  <c r="I381" i="1"/>
  <c r="F383" i="1"/>
  <c r="J383" i="1" s="1"/>
  <c r="I383" i="1"/>
  <c r="F385" i="1"/>
  <c r="J385" i="1" s="1"/>
  <c r="I385" i="1"/>
  <c r="F387" i="1"/>
  <c r="J387" i="1"/>
  <c r="I387" i="1"/>
  <c r="F389" i="1"/>
  <c r="J389" i="1"/>
  <c r="I389" i="1"/>
  <c r="F391" i="1"/>
  <c r="J391" i="1"/>
  <c r="I391" i="1"/>
  <c r="F393" i="1"/>
  <c r="J393" i="1"/>
  <c r="I393" i="1"/>
  <c r="I396" i="1"/>
  <c r="F396" i="1"/>
  <c r="J396" i="1" s="1"/>
  <c r="I398" i="1"/>
  <c r="F398" i="1"/>
  <c r="J398" i="1"/>
  <c r="I400" i="1"/>
  <c r="F400" i="1"/>
  <c r="J400" i="1"/>
  <c r="I402" i="1"/>
  <c r="F402" i="1"/>
  <c r="J402" i="1"/>
  <c r="I404" i="1"/>
  <c r="F404" i="1"/>
  <c r="J404" i="1"/>
  <c r="I408" i="1"/>
  <c r="F408" i="1"/>
  <c r="J408" i="1" s="1"/>
  <c r="I410" i="1"/>
  <c r="F410" i="1"/>
  <c r="J410" i="1" s="1"/>
  <c r="I412" i="1"/>
  <c r="F412" i="1"/>
  <c r="J412" i="1" s="1"/>
  <c r="I414" i="1"/>
  <c r="F414" i="1"/>
  <c r="J414" i="1" s="1"/>
  <c r="I416" i="1"/>
  <c r="F416" i="1"/>
  <c r="J416" i="1"/>
  <c r="I418" i="1"/>
  <c r="F418" i="1"/>
  <c r="J418" i="1"/>
  <c r="I420" i="1"/>
  <c r="F420" i="1"/>
  <c r="J420" i="1"/>
  <c r="I422" i="1"/>
  <c r="F422" i="1"/>
  <c r="J422" i="1"/>
  <c r="I424" i="1"/>
  <c r="F424" i="1"/>
  <c r="J424" i="1" s="1"/>
  <c r="I426" i="1"/>
  <c r="F426" i="1"/>
  <c r="J426" i="1" s="1"/>
  <c r="I428" i="1"/>
  <c r="F428" i="1"/>
  <c r="J428" i="1" s="1"/>
  <c r="I430" i="1"/>
  <c r="F430" i="1"/>
  <c r="J430" i="1" s="1"/>
  <c r="I432" i="1"/>
  <c r="F432" i="1"/>
  <c r="J432" i="1"/>
  <c r="I434" i="1"/>
  <c r="F434" i="1"/>
  <c r="J434" i="1"/>
  <c r="F437" i="1"/>
  <c r="J437" i="1" s="1"/>
  <c r="I437" i="1"/>
  <c r="I439" i="1"/>
  <c r="F439" i="1"/>
  <c r="J439" i="1"/>
  <c r="I441" i="1"/>
  <c r="F441" i="1"/>
  <c r="J441" i="1" s="1"/>
  <c r="I395" i="1"/>
  <c r="F442" i="1"/>
  <c r="J442" i="1" s="1"/>
  <c r="I442" i="1"/>
  <c r="F444" i="1"/>
  <c r="J444" i="1" s="1"/>
  <c r="I444" i="1"/>
  <c r="F446" i="1"/>
  <c r="J446" i="1" s="1"/>
  <c r="I446" i="1"/>
  <c r="F448" i="1"/>
  <c r="J448" i="1"/>
  <c r="I448" i="1"/>
  <c r="F450" i="1"/>
  <c r="J450" i="1"/>
  <c r="I450" i="1"/>
  <c r="F452" i="1"/>
  <c r="J452" i="1"/>
  <c r="I452" i="1"/>
  <c r="F454" i="1"/>
  <c r="J454" i="1"/>
  <c r="I454" i="1"/>
  <c r="F456" i="1"/>
  <c r="J456" i="1" s="1"/>
  <c r="I456" i="1"/>
  <c r="F458" i="1"/>
  <c r="J458" i="1" s="1"/>
  <c r="I458" i="1"/>
  <c r="F460" i="1"/>
  <c r="J460" i="1" s="1"/>
  <c r="I460" i="1"/>
  <c r="F462" i="1"/>
  <c r="J462" i="1" s="1"/>
  <c r="I462" i="1"/>
  <c r="F464" i="1"/>
  <c r="J464" i="1"/>
  <c r="I464" i="1"/>
  <c r="F466" i="1"/>
  <c r="J466" i="1"/>
  <c r="I466" i="1"/>
  <c r="F468" i="1"/>
  <c r="J468" i="1"/>
  <c r="I468" i="1"/>
  <c r="F395" i="1"/>
  <c r="J395" i="1"/>
  <c r="I443" i="1"/>
  <c r="F443" i="1"/>
  <c r="J443" i="1" s="1"/>
  <c r="I445" i="1"/>
  <c r="F445" i="1"/>
  <c r="J445" i="1" s="1"/>
  <c r="I447" i="1"/>
  <c r="F447" i="1"/>
  <c r="J447" i="1" s="1"/>
  <c r="I451" i="1"/>
  <c r="F451" i="1"/>
  <c r="J451" i="1" s="1"/>
  <c r="I453" i="1"/>
  <c r="F453" i="1"/>
  <c r="J453" i="1"/>
  <c r="I455" i="1"/>
  <c r="F455" i="1"/>
  <c r="J455" i="1"/>
  <c r="I457" i="1"/>
  <c r="F457" i="1"/>
  <c r="J457" i="1"/>
  <c r="I459" i="1"/>
  <c r="F459" i="1"/>
  <c r="J459" i="1"/>
  <c r="I461" i="1"/>
  <c r="F461" i="1"/>
  <c r="J461" i="1" s="1"/>
  <c r="I463" i="1"/>
  <c r="F463" i="1"/>
  <c r="J463" i="1" s="1"/>
  <c r="I465" i="1"/>
  <c r="F465" i="1"/>
  <c r="J465" i="1" s="1"/>
  <c r="I467" i="1"/>
  <c r="F467" i="1"/>
  <c r="J467" i="1" s="1"/>
  <c r="I469" i="1"/>
  <c r="F469" i="1"/>
  <c r="J469" i="1"/>
  <c r="F470" i="1"/>
  <c r="J470" i="1" s="1"/>
  <c r="I470" i="1"/>
  <c r="F472" i="1"/>
  <c r="J472" i="1" s="1"/>
  <c r="I472" i="1"/>
  <c r="F474" i="1"/>
  <c r="J474" i="1"/>
  <c r="I474" i="1"/>
  <c r="F476" i="1"/>
  <c r="J476" i="1"/>
  <c r="I476" i="1"/>
  <c r="F478" i="1"/>
  <c r="J478" i="1"/>
  <c r="I478" i="1"/>
  <c r="F480" i="1"/>
  <c r="J480" i="1"/>
  <c r="I480" i="1"/>
  <c r="F482" i="1"/>
  <c r="J482" i="1" s="1"/>
  <c r="I482" i="1"/>
  <c r="F484" i="1"/>
  <c r="J484" i="1" s="1"/>
  <c r="I484" i="1"/>
  <c r="F486" i="1"/>
  <c r="J486" i="1" s="1"/>
  <c r="I486" i="1"/>
  <c r="F488" i="1"/>
  <c r="J488" i="1" s="1"/>
  <c r="I488" i="1"/>
  <c r="F490" i="1"/>
  <c r="J490" i="1"/>
  <c r="I490" i="1"/>
  <c r="F492" i="1"/>
  <c r="J492" i="1"/>
  <c r="I492" i="1"/>
  <c r="F494" i="1"/>
  <c r="J494" i="1"/>
  <c r="I494" i="1"/>
  <c r="I497" i="1"/>
  <c r="F497" i="1"/>
  <c r="J497" i="1" s="1"/>
  <c r="I499" i="1"/>
  <c r="F499" i="1"/>
  <c r="J499" i="1" s="1"/>
  <c r="I501" i="1"/>
  <c r="F501" i="1"/>
  <c r="J501" i="1"/>
  <c r="I471" i="1"/>
  <c r="F471" i="1"/>
  <c r="J471" i="1"/>
  <c r="I473" i="1"/>
  <c r="F473" i="1"/>
  <c r="J473" i="1"/>
  <c r="I475" i="1"/>
  <c r="F475" i="1"/>
  <c r="J475" i="1"/>
  <c r="I477" i="1"/>
  <c r="F477" i="1"/>
  <c r="J477" i="1" s="1"/>
  <c r="I479" i="1"/>
  <c r="F479" i="1"/>
  <c r="J479" i="1" s="1"/>
  <c r="I481" i="1"/>
  <c r="F481" i="1"/>
  <c r="J481" i="1" s="1"/>
  <c r="I483" i="1"/>
  <c r="F483" i="1"/>
  <c r="J483" i="1" s="1"/>
  <c r="I485" i="1"/>
  <c r="F485" i="1"/>
  <c r="J485" i="1"/>
  <c r="I487" i="1"/>
  <c r="F487" i="1"/>
  <c r="J487" i="1"/>
  <c r="I489" i="1"/>
  <c r="F489" i="1"/>
  <c r="J489" i="1"/>
  <c r="I491" i="1"/>
  <c r="F491" i="1"/>
  <c r="J491" i="1"/>
  <c r="I493" i="1"/>
  <c r="F493" i="1"/>
  <c r="J493" i="1" s="1"/>
  <c r="F496" i="1"/>
  <c r="J496" i="1"/>
  <c r="I496" i="1"/>
  <c r="F498" i="1"/>
  <c r="J498" i="1"/>
  <c r="I498" i="1"/>
  <c r="F500" i="1"/>
  <c r="J500" i="1" s="1"/>
  <c r="I500" i="1"/>
  <c r="F495" i="1"/>
  <c r="J495" i="1" s="1"/>
  <c r="I503" i="1"/>
  <c r="F503" i="1"/>
  <c r="J503" i="1" s="1"/>
  <c r="I505" i="1"/>
  <c r="F505" i="1"/>
  <c r="J505" i="1" s="1"/>
  <c r="I507" i="1"/>
  <c r="F507" i="1"/>
  <c r="J507" i="1"/>
  <c r="I509" i="1"/>
  <c r="F509" i="1"/>
  <c r="J509" i="1"/>
  <c r="I511" i="1"/>
  <c r="F511" i="1"/>
  <c r="J511" i="1"/>
  <c r="I513" i="1"/>
  <c r="F513" i="1"/>
  <c r="J513" i="1"/>
  <c r="F516" i="1"/>
  <c r="J516" i="1"/>
  <c r="I518" i="1"/>
  <c r="F518" i="1"/>
  <c r="J518" i="1"/>
  <c r="F502" i="1"/>
  <c r="J502" i="1"/>
  <c r="I502" i="1"/>
  <c r="F504" i="1"/>
  <c r="J504" i="1"/>
  <c r="I504" i="1"/>
  <c r="F506" i="1"/>
  <c r="J506" i="1"/>
  <c r="I506" i="1"/>
  <c r="F508" i="1"/>
  <c r="J508" i="1"/>
  <c r="I508" i="1"/>
  <c r="F510" i="1"/>
  <c r="J510" i="1" s="1"/>
  <c r="I510" i="1"/>
  <c r="F512" i="1"/>
  <c r="J512" i="1" s="1"/>
  <c r="I512" i="1"/>
  <c r="F515" i="1"/>
  <c r="J515" i="1" s="1"/>
  <c r="I517" i="1"/>
  <c r="F517" i="1"/>
  <c r="J517" i="1" s="1"/>
  <c r="I520" i="1"/>
  <c r="F520" i="1"/>
  <c r="J520" i="1"/>
  <c r="F522" i="1"/>
  <c r="J522" i="1" s="1"/>
  <c r="I524" i="1"/>
  <c r="F524" i="1"/>
  <c r="J524" i="1" s="1"/>
  <c r="I526" i="1"/>
  <c r="F526" i="1"/>
  <c r="J526" i="1"/>
  <c r="I528" i="1"/>
  <c r="F528" i="1"/>
  <c r="J528" i="1"/>
  <c r="I530" i="1"/>
  <c r="F530" i="1"/>
  <c r="J530" i="1"/>
  <c r="I532" i="1"/>
  <c r="F532" i="1"/>
  <c r="J532" i="1"/>
  <c r="F519" i="1"/>
  <c r="J519" i="1"/>
  <c r="I519" i="1"/>
  <c r="F521" i="1"/>
  <c r="J521" i="1"/>
  <c r="I521" i="1"/>
  <c r="F523" i="1"/>
  <c r="J523" i="1"/>
  <c r="I523" i="1"/>
  <c r="F525" i="1"/>
  <c r="J525" i="1" s="1"/>
  <c r="I525" i="1"/>
  <c r="F527" i="1"/>
  <c r="J527" i="1" s="1"/>
  <c r="I527" i="1"/>
  <c r="F529" i="1"/>
  <c r="J529" i="1" s="1"/>
  <c r="I529" i="1"/>
  <c r="F531" i="1"/>
  <c r="J531" i="1" s="1"/>
  <c r="I531" i="1"/>
  <c r="F533" i="1"/>
  <c r="J533" i="1"/>
  <c r="I533" i="1"/>
  <c r="F535" i="1"/>
  <c r="J535" i="1" s="1"/>
  <c r="J18" i="1"/>
  <c r="F313" i="1"/>
  <c r="J313" i="1" s="1"/>
  <c r="I313" i="1"/>
  <c r="F187" i="1"/>
  <c r="J187" i="1" s="1"/>
  <c r="I187" i="1"/>
  <c r="D13" i="1"/>
  <c r="F185" i="1"/>
  <c r="J185" i="1"/>
  <c r="I185" i="1"/>
  <c r="F16" i="1"/>
  <c r="J16" i="1" s="1"/>
  <c r="E13" i="1"/>
  <c r="I42" i="1" l="1"/>
  <c r="I26" i="1"/>
  <c r="I13" i="1" s="1"/>
  <c r="F27" i="1"/>
  <c r="J27" i="1" s="1"/>
  <c r="J13" i="1" s="1"/>
  <c r="F13" i="1" l="1"/>
</calcChain>
</file>

<file path=xl/comments1.xml><?xml version="1.0" encoding="utf-8"?>
<comments xmlns="http://schemas.openxmlformats.org/spreadsheetml/2006/main">
  <authors>
    <author>Yetter, Terri</author>
  </authors>
  <commentList>
    <comment ref="A394" authorId="0">
      <text>
        <r>
          <rPr>
            <b/>
            <sz val="8"/>
            <color indexed="81"/>
            <rFont val="Tahoma"/>
            <charset val="1"/>
          </rPr>
          <t>Yetter, Terri:</t>
        </r>
        <r>
          <rPr>
            <sz val="8"/>
            <color indexed="81"/>
            <rFont val="Tahoma"/>
            <charset val="1"/>
          </rPr>
          <t xml:space="preserve">
Closed Charter School: allocation frozen until audit complete.
</t>
        </r>
      </text>
    </comment>
    <comment ref="A395" authorId="0">
      <text>
        <r>
          <rPr>
            <b/>
            <sz val="8"/>
            <color indexed="81"/>
            <rFont val="Tahoma"/>
            <charset val="1"/>
          </rPr>
          <t>Yetter, Terri:</t>
        </r>
        <r>
          <rPr>
            <sz val="8"/>
            <color indexed="81"/>
            <rFont val="Tahoma"/>
            <charset val="1"/>
          </rPr>
          <t xml:space="preserve">
Closed Charter School: allocation frozen until audit complete.
</t>
        </r>
      </text>
    </comment>
    <comment ref="A406" authorId="0">
      <text>
        <r>
          <rPr>
            <b/>
            <sz val="8"/>
            <color indexed="81"/>
            <rFont val="Tahoma"/>
            <charset val="1"/>
          </rPr>
          <t>Yetter, Terri:</t>
        </r>
        <r>
          <rPr>
            <sz val="8"/>
            <color indexed="81"/>
            <rFont val="Tahoma"/>
            <charset val="1"/>
          </rPr>
          <t xml:space="preserve">
Closed Charter School: allocation frozen until audit complete.
</t>
        </r>
      </text>
    </comment>
    <comment ref="A420" authorId="0">
      <text>
        <r>
          <rPr>
            <b/>
            <sz val="8"/>
            <color indexed="81"/>
            <rFont val="Tahoma"/>
            <charset val="1"/>
          </rPr>
          <t>Yetter, Terri:</t>
        </r>
        <r>
          <rPr>
            <sz val="8"/>
            <color indexed="81"/>
            <rFont val="Tahoma"/>
            <charset val="1"/>
          </rPr>
          <t xml:space="preserve">
May close FY12:  contract ends at end of June; hearing scheduled las week of June; authorizor has not made official determination yet. Decision pending until midyear.</t>
        </r>
      </text>
    </comment>
    <comment ref="A435" authorId="0">
      <text>
        <r>
          <rPr>
            <b/>
            <sz val="8"/>
            <color indexed="81"/>
            <rFont val="Tahoma"/>
            <charset val="1"/>
          </rPr>
          <t>Yetter, Terri:</t>
        </r>
        <r>
          <rPr>
            <sz val="8"/>
            <color indexed="81"/>
            <rFont val="Tahoma"/>
            <charset val="1"/>
          </rPr>
          <t xml:space="preserve">
Closed Charter School: allocation frozen until audit complete.
</t>
        </r>
      </text>
    </comment>
    <comment ref="A449" authorId="0">
      <text>
        <r>
          <rPr>
            <b/>
            <sz val="8"/>
            <color indexed="81"/>
            <rFont val="Tahoma"/>
            <charset val="1"/>
          </rPr>
          <t>Yetter, Terri:</t>
        </r>
        <r>
          <rPr>
            <sz val="8"/>
            <color indexed="81"/>
            <rFont val="Tahoma"/>
            <charset val="1"/>
          </rPr>
          <t xml:space="preserve">
Closed Charter School: allocation frozen until audit complete.
</t>
        </r>
      </text>
    </comment>
    <comment ref="A495" authorId="0">
      <text>
        <r>
          <rPr>
            <b/>
            <sz val="8"/>
            <color indexed="81"/>
            <rFont val="Tahoma"/>
            <charset val="1"/>
          </rPr>
          <t>Yetter, Terri:</t>
        </r>
        <r>
          <rPr>
            <sz val="8"/>
            <color indexed="81"/>
            <rFont val="Tahoma"/>
            <charset val="1"/>
          </rPr>
          <t xml:space="preserve">
Closed Charter School: allocation frozen until audit complete.
</t>
        </r>
      </text>
    </comment>
    <comment ref="A514" authorId="0">
      <text>
        <r>
          <rPr>
            <b/>
            <sz val="8"/>
            <color indexed="81"/>
            <rFont val="Tahoma"/>
            <charset val="1"/>
          </rPr>
          <t>Yetter, Terri:</t>
        </r>
        <r>
          <rPr>
            <sz val="8"/>
            <color indexed="81"/>
            <rFont val="Tahoma"/>
            <charset val="1"/>
          </rPr>
          <t xml:space="preserve">
Closed Charter School: allocation frozen until audit complete.
</t>
        </r>
      </text>
    </comment>
    <comment ref="A515" authorId="0">
      <text>
        <r>
          <rPr>
            <b/>
            <sz val="8"/>
            <color indexed="81"/>
            <rFont val="Tahoma"/>
            <charset val="1"/>
          </rPr>
          <t>Yetter, Terri:</t>
        </r>
        <r>
          <rPr>
            <sz val="8"/>
            <color indexed="81"/>
            <rFont val="Tahoma"/>
            <charset val="1"/>
          </rPr>
          <t xml:space="preserve">
New for FY11</t>
        </r>
      </text>
    </comment>
  </commentList>
</comments>
</file>

<file path=xl/sharedStrings.xml><?xml version="1.0" encoding="utf-8"?>
<sst xmlns="http://schemas.openxmlformats.org/spreadsheetml/2006/main" count="585" uniqueCount="578">
  <si>
    <t>Allocation of Education Jobs Fund Dollars</t>
  </si>
  <si>
    <t>MDE, Program Finance</t>
  </si>
  <si>
    <t>Based on State Aid Under FY 2011 Primary and Secondary Education Funding Formulas</t>
  </si>
  <si>
    <t>10/27/2011</t>
  </si>
  <si>
    <t xml:space="preserve">Revised for Preliminary Final October 30, 2011 IDEAS Payment Basis </t>
  </si>
  <si>
    <t>and Education Jobs Award Increase</t>
  </si>
  <si>
    <t>A</t>
  </si>
  <si>
    <t>B</t>
  </si>
  <si>
    <t>C</t>
  </si>
  <si>
    <t>D</t>
  </si>
  <si>
    <t>E</t>
  </si>
  <si>
    <t>F</t>
  </si>
  <si>
    <t>10/30/2011</t>
  </si>
  <si>
    <t>SERVS</t>
  </si>
  <si>
    <t>Estimated</t>
  </si>
  <si>
    <t>Difference from</t>
  </si>
  <si>
    <t>FY 2011 Total</t>
  </si>
  <si>
    <t>100% Total</t>
  </si>
  <si>
    <t>90% of</t>
  </si>
  <si>
    <t>Preliminary</t>
  </si>
  <si>
    <t>SERVS-prelim</t>
  </si>
  <si>
    <t>10% Fed Funds</t>
  </si>
  <si>
    <t>Primary Elementary</t>
  </si>
  <si>
    <t>Allocation of</t>
  </si>
  <si>
    <t>Fed Funds</t>
  </si>
  <si>
    <t>100% Allocation</t>
  </si>
  <si>
    <t>90% Allocation</t>
  </si>
  <si>
    <t>Available for</t>
  </si>
  <si>
    <t>&amp; Secondary Educ</t>
  </si>
  <si>
    <t>Education Jobs</t>
  </si>
  <si>
    <t>Available in</t>
  </si>
  <si>
    <t>From 9/30/2010</t>
  </si>
  <si>
    <t>Final Payments</t>
  </si>
  <si>
    <t>District</t>
  </si>
  <si>
    <t>Type</t>
  </si>
  <si>
    <t>Name</t>
  </si>
  <si>
    <t>Funding Formulas</t>
  </si>
  <si>
    <t>Fund Dollars</t>
  </si>
  <si>
    <t>Current Year</t>
  </si>
  <si>
    <t>Spreadsheet</t>
  </si>
  <si>
    <t>B - D</t>
  </si>
  <si>
    <t>C - D</t>
  </si>
  <si>
    <t>STATE TOTAL</t>
  </si>
  <si>
    <t>dst_num</t>
  </si>
  <si>
    <t>dst_tye</t>
  </si>
  <si>
    <t>uni_nam</t>
  </si>
  <si>
    <t>Total  Prim/Sec</t>
  </si>
  <si>
    <t>Est Final Payment</t>
  </si>
  <si>
    <t>$ Diff 90%</t>
  </si>
  <si>
    <t>AITKIN PUBLIC SCHOOL DISTRICT</t>
  </si>
  <si>
    <t>MINNEAPOLIS PUBLIC SCHOOL DIST.</t>
  </si>
  <si>
    <t>HILL CITY PUBLIC SCHOOL DISTRICT</t>
  </si>
  <si>
    <t>MCGREGOR PUBLIC SCHOOL DISTRICT</t>
  </si>
  <si>
    <t>SOUTH ST. PAUL PUBLIC SCHOOL DIST.</t>
  </si>
  <si>
    <t>ANOKA-HENNEPIN PUBLIC SCHOOL DIST.</t>
  </si>
  <si>
    <t>CENTENNIAL PUBLIC SCHOOL DISTRICT</t>
  </si>
  <si>
    <t>COLUMBIA HEIGHTS PUBLIC SCHOOL DIST</t>
  </si>
  <si>
    <t>FRIDLEY PUBLIC SCHOOL DISTRICT</t>
  </si>
  <si>
    <t>ST. FRANCIS PUBLIC SCHOOL DISTRICT</t>
  </si>
  <si>
    <t>SPRING LAKE PARK PUBLIC SCHOOLS</t>
  </si>
  <si>
    <t>DETROIT LAKES PUBLIC SCHOOL DIST.</t>
  </si>
  <si>
    <t>FRAZEE-VERGAS PUBLIC SCHOOL DIST.</t>
  </si>
  <si>
    <t>PINE POINT PUBLIC SCHOOL DISTRICT</t>
  </si>
  <si>
    <t>BEMIDJI PUBLIC SCHOOL DISTRICT</t>
  </si>
  <si>
    <t>BLACKDUCK PUBLIC SCHOOL DISTRICT</t>
  </si>
  <si>
    <t>KELLIHER PUBLIC SCHOOL DISTRICT</t>
  </si>
  <si>
    <t>RED LAKE PUBLIC SCHOOL DISTRICT</t>
  </si>
  <si>
    <t>SAUK RAPIDS-RICE PUBLIC SCHOOLS</t>
  </si>
  <si>
    <t>FOLEY PUBLIC SCHOOL DISTRICT</t>
  </si>
  <si>
    <t>ST. CLAIR PUBLIC SCHOOL DISTRICT</t>
  </si>
  <si>
    <t>MANKATO PUBLIC SCHOOL DISTRICT</t>
  </si>
  <si>
    <t>COMFREY PUBLIC SCHOOL DISTRICT</t>
  </si>
  <si>
    <t>SLEEPY EYE PUBLIC SCHOOL DISTRICT</t>
  </si>
  <si>
    <t>SPRINGFIELD PUBLIC SCHOOL DISTRICT</t>
  </si>
  <si>
    <t>NEW ULM PUBLIC SCHOOL DISTRICT</t>
  </si>
  <si>
    <t>BARNUM PUBLIC SCHOOL DISTRICT</t>
  </si>
  <si>
    <t>CARLTON PUBLIC SCHOOL DISTRICT</t>
  </si>
  <si>
    <t>CLOQUET PUBLIC SCHOOL DISTRICT</t>
  </si>
  <si>
    <t>CROMWELL-WRIGHT PUBLIC SCHOOLS</t>
  </si>
  <si>
    <t>MOOSE LAKE PUBLIC SCHOOL DISTRICT</t>
  </si>
  <si>
    <t>ESKO PUBLIC SCHOOL DISTRICT</t>
  </si>
  <si>
    <t>WRENSHALL PUBLIC SCHOOL DISTRICT</t>
  </si>
  <si>
    <t>CENTRAL PUBLIC SCHOOL DISTRICT</t>
  </si>
  <si>
    <t>WACONIA PUBLIC SCHOOL DISTRICT</t>
  </si>
  <si>
    <t>WATERTOWN-MAYER PUBLIC SCHOOL DIST.</t>
  </si>
  <si>
    <t>EASTERN CARVER COUNTY PUBLIC SCHOOL</t>
  </si>
  <si>
    <t>WALKER-HACKENSACK-AKELEY SCHL. DIST</t>
  </si>
  <si>
    <t>CASS LAKE-BENA PUBLIC SCHOOLS</t>
  </si>
  <si>
    <t>PILLAGER PUBLIC SCHOOL DISTRICT</t>
  </si>
  <si>
    <t>NORTHLAND COMMUNITY SCHOOLS</t>
  </si>
  <si>
    <t>MONTEVIDEO PUBLIC SCHOOL DISTRICT</t>
  </si>
  <si>
    <t>NORTH BRANCH PUBLIC SCHOOLS</t>
  </si>
  <si>
    <t>RUSH CITY PUBLIC SCHOOL DISTRICT</t>
  </si>
  <si>
    <t>BARNESVILLE PUBLIC SCHOOL DIST.</t>
  </si>
  <si>
    <t>HAWLEY PUBLIC SCHOOL DISTRICT</t>
  </si>
  <si>
    <t>MOORHEAD PUBLIC SCHOOL DISTRICT</t>
  </si>
  <si>
    <t>BAGLEY PUBLIC SCHOOL DISTRICT</t>
  </si>
  <si>
    <t>COOK COUNTY PUBLIC SCHOOLS</t>
  </si>
  <si>
    <t>MOUNTAIN LAKE PUBLIC SCHOOLS</t>
  </si>
  <si>
    <t>WINDOM PUBLIC SCHOOL DISTRICT</t>
  </si>
  <si>
    <t>BRAINERD PUBLIC SCHOOL DISTRICT</t>
  </si>
  <si>
    <t>CROSBY-IRONTON PUBLIC SCHOOL DIST.</t>
  </si>
  <si>
    <t>PEQUOT LAKES PUBLIC SCHOOLS</t>
  </si>
  <si>
    <t>BURNSVILLE PUBLIC SCHOOL DISTRICT</t>
  </si>
  <si>
    <t>FARMINGTON PUBLIC SCHOOL DISTRICT</t>
  </si>
  <si>
    <t>LAKEVILLE PUBLIC SCHOOL DISTRICT</t>
  </si>
  <si>
    <t>RANDOLPH PUBLIC SCHOOL DISTRICT</t>
  </si>
  <si>
    <t>ROSEMOUNT-APPLE VALLEY-EAGAN</t>
  </si>
  <si>
    <t>WEST ST. PAUL-MENDOTA HTS.-EAGAN</t>
  </si>
  <si>
    <t>INVER GROVE HEIGHTS SCHOOLS</t>
  </si>
  <si>
    <t>HASTINGS PUBLIC SCHOOL DISTRICT</t>
  </si>
  <si>
    <t>HAYFIELD PUBLIC SCHOOL DISTRICT</t>
  </si>
  <si>
    <t>KASSON-MANTORVILLE SCHOOL DISTRICT</t>
  </si>
  <si>
    <t>ALEXANDRIA PUBLIC SCHOOL DISTRICT</t>
  </si>
  <si>
    <t>BRANDON PUBLIC SCHOOL DISTRICT</t>
  </si>
  <si>
    <t>EVANSVILLE PUBLIC SCHOOL DISTRICT</t>
  </si>
  <si>
    <t>OSAKIS PUBLIC SCHOOL DISTRICT</t>
  </si>
  <si>
    <t>CHATFIELD PUBLIC SCHOOLS</t>
  </si>
  <si>
    <t>LANESBORO PUBLIC SCHOOL DISTRICT</t>
  </si>
  <si>
    <t>MABEL-CANTON PUBLIC SCHOOL DIST.</t>
  </si>
  <si>
    <t>RUSHFORD-PETERSON PUBLIC SCHOOLS</t>
  </si>
  <si>
    <t>ALBERT LEA PUBLIC SCHOOL DISTRICT</t>
  </si>
  <si>
    <t>ALDEN-CONGER PUBLIC SCHOOL DISTRICT</t>
  </si>
  <si>
    <t>CANNON FALLS PUBLIC SCHOOL DISTRICT</t>
  </si>
  <si>
    <t>GOODHUE PUBLIC SCHOOL DISTRICT</t>
  </si>
  <si>
    <t>PINE ISLAND PUBLIC SCHOOL DIST.</t>
  </si>
  <si>
    <t>RED WING PUBLIC SCHOOL DISTRICT</t>
  </si>
  <si>
    <t>ASHBY PUBLIC SCHOOL DISTRICT</t>
  </si>
  <si>
    <t>HERMAN-NORCROSS SCHOOL DISTRICT</t>
  </si>
  <si>
    <t>HOPKINS PUBLIC SCHOOL DISTRICT</t>
  </si>
  <si>
    <t>BLOOMINGTON PUBLIC SCHOOL DISTRICT</t>
  </si>
  <si>
    <t>EDEN PRAIRIE PUBLIC SCHOOL DISTRICT</t>
  </si>
  <si>
    <t>EDINA PUBLIC SCHOOL DISTRICT</t>
  </si>
  <si>
    <t>MINNETONKA PUBLIC SCHOOL DISTRICT</t>
  </si>
  <si>
    <t>WESTONKA PUBLIC SCHOOL DISTRICT</t>
  </si>
  <si>
    <t>ORONO PUBLIC SCHOOL DISTRICT</t>
  </si>
  <si>
    <t>OSSEO PUBLIC SCHOOL DISTRICT</t>
  </si>
  <si>
    <t>RICHFIELD PUBLIC SCHOOL DISTRICT</t>
  </si>
  <si>
    <t>ROBBINSDALE PUBLIC SCHOOL DISTRICT</t>
  </si>
  <si>
    <t>ST. ANTHONY-NEW BRIGHTON SCHOOLS</t>
  </si>
  <si>
    <t>ST. LOUIS PARK PUBLIC SCHOOL DIST.</t>
  </si>
  <si>
    <t>WAYZATA PUBLIC SCHOOL DISTRICT</t>
  </si>
  <si>
    <t>BROOKLYN CENTER SCHOOL DISTRICT</t>
  </si>
  <si>
    <t>INTERMEDIATE SCHOOL DISTRICT 287</t>
  </si>
  <si>
    <t>HOUSTON PUBLIC SCHOOL DISTRICT</t>
  </si>
  <si>
    <t>SPRING GROVE SCHOOL DISTRICT</t>
  </si>
  <si>
    <t>CALEDONIA PUBLIC SCHOOL DISTRICT</t>
  </si>
  <si>
    <t>LACRESCENT-HOKAH SCHOOL DISTRICT</t>
  </si>
  <si>
    <t>LAPORTE PUBLIC SCHOOL DISTRICT</t>
  </si>
  <si>
    <t>NEVIS PUBLIC SCHOOL DISTRICT</t>
  </si>
  <si>
    <t>PARK RAPIDS PUBLIC SCHOOL DISTRICT</t>
  </si>
  <si>
    <t>BRAHAM PUBLIC SCHOOL DISTRICT</t>
  </si>
  <si>
    <t>GREENWAY PUBLIC SCHOOL DISTRICT</t>
  </si>
  <si>
    <t>DEER RIVER PUBLIC SCHOOL DISTRICT</t>
  </si>
  <si>
    <t>GRAND RAPIDS PUBLIC SCHOOL DISTRICT</t>
  </si>
  <si>
    <t>NASHWAUK-KEEWATIN SCHOOL DISTRICT</t>
  </si>
  <si>
    <t>FRANCONIA PUBLIC SCHOOL DISTRICT</t>
  </si>
  <si>
    <t>HERON LAKE-OKABENA SCHOOL DISTRICT</t>
  </si>
  <si>
    <t>MORA PUBLIC SCHOOL DISTRICT</t>
  </si>
  <si>
    <t>OGILVIE PUBLIC SCHOOL DISTRICT</t>
  </si>
  <si>
    <t>NEW LONDON-SPICER SCHOOL DISTRICT</t>
  </si>
  <si>
    <t>WILLMAR PUBLIC SCHOOL DISTRICT</t>
  </si>
  <si>
    <t>LANCASTER PUBLIC SCHOOL DISTRICT</t>
  </si>
  <si>
    <t>INTERNATIONAL FALLS SCHOOL DISTRICT</t>
  </si>
  <si>
    <t>LITTLEFORK-BIG FALLS SCHOOL DIST.</t>
  </si>
  <si>
    <t>SOUTH KOOCHICHING SCHOOL DISTRICT</t>
  </si>
  <si>
    <t>DAWSON-BOYD PUBLIC SCHOOL DISTRICT</t>
  </si>
  <si>
    <t>LAKE SUPERIOR PUBLIC SCHOOL DIST.</t>
  </si>
  <si>
    <t>LAKE OF THE WOODS SCHOOL DISTRICT</t>
  </si>
  <si>
    <t>CLEVELAND PUBLIC SCHOOL DISTRICT</t>
  </si>
  <si>
    <t>LECENTER PUBLIC SCHOOL DISTRICT</t>
  </si>
  <si>
    <t>MONTGOMERY-LONSDALE SCHOOL DISTRICT</t>
  </si>
  <si>
    <t>LAKE AGASSIZ SPECIAL ED. COOP.</t>
  </si>
  <si>
    <t>HENDRICKS PUBLIC SCHOOL DISTRICT</t>
  </si>
  <si>
    <t>IVANHOE PUBLIC SCHOOL DISTRICT</t>
  </si>
  <si>
    <t>LAKE BENTON PUBLIC SCHOOL DISTRICT</t>
  </si>
  <si>
    <t>MARSHALL PUBLIC SCHOOL DISTRICT</t>
  </si>
  <si>
    <t>MINNEOTA PUBLIC SCHOOL DISTRICT</t>
  </si>
  <si>
    <t>LYND PUBLIC SCHOOL DISTRICT</t>
  </si>
  <si>
    <t>HUTCHINSON PUBLIC SCHOOL DISTRICT</t>
  </si>
  <si>
    <t>LESTER PRAIRIE PUBLIC SCHOOL DIST.</t>
  </si>
  <si>
    <t>MAHNOMEN PUBLIC SCHOOL DISTRICT</t>
  </si>
  <si>
    <t>WAUBUN-OGEMA-WHITE EARTH PUBLIC SCH</t>
  </si>
  <si>
    <t>MARSHALL COUNTY CENTRAL SCHOOLS</t>
  </si>
  <si>
    <t>GRYGLA PUBLIC SCHOOL DISTRICT</t>
  </si>
  <si>
    <t>TRUMAN PUBLIC SCHOOL DISTRICT</t>
  </si>
  <si>
    <t>EDEN VALLEY-WATKINS SCHOOL DISTRICT</t>
  </si>
  <si>
    <t>LITCHFIELD PUBLIC SCHOOL DISTRICT</t>
  </si>
  <si>
    <t>DASSEL-COKATO PUBLIC SCHOOL DIST.</t>
  </si>
  <si>
    <t>ISLE PUBLIC SCHOOL DISTRICT</t>
  </si>
  <si>
    <t>PRINCETON PUBLIC SCHOOL DISTRICT</t>
  </si>
  <si>
    <t>ONAMIA PUBLIC SCHOOL DISTRICT</t>
  </si>
  <si>
    <t>LITTLE FALLS PUBLIC SCHOOL DISTRICT</t>
  </si>
  <si>
    <t>PIERZ PUBLIC SCHOOL DISTRICT</t>
  </si>
  <si>
    <t>ROYALTON PUBLIC SCHOOL DISTRICT</t>
  </si>
  <si>
    <t>SWANVILLE PUBLIC SCHOOL DISTRICT</t>
  </si>
  <si>
    <t>UPSALA PUBLIC SCHOOL DISTRICT</t>
  </si>
  <si>
    <t>AUSTIN PUBLIC SCHOOL DISTRICT</t>
  </si>
  <si>
    <t>GRAND MEADOW PUBLIC SCHOOL DISTRICT</t>
  </si>
  <si>
    <t>LYLE PUBLIC SCHOOL DISTRICT</t>
  </si>
  <si>
    <t>LEROY-OSTRANDER PUBLIC SCHOOLS</t>
  </si>
  <si>
    <t>SOUTHLAND PUBLIC SCHOOL DISTRICT</t>
  </si>
  <si>
    <t>FULDA PUBLIC SCHOOL DISTRICT</t>
  </si>
  <si>
    <t>NICOLLET PUBLIC SCHOOL DISTRICT</t>
  </si>
  <si>
    <t>ST. PETER PUBLIC SCHOOL DISTRICT</t>
  </si>
  <si>
    <t>ADRIAN PUBLIC SCHOOL DISTRICT</t>
  </si>
  <si>
    <t>BREWSTER PUBLIC SCHOOL DISTRICT</t>
  </si>
  <si>
    <t>ELLSWORTH PUBLIC SCHOOL DISTRICT</t>
  </si>
  <si>
    <t>ROUND LAKE PUBLIC SCHOOL DISTRICT</t>
  </si>
  <si>
    <t>WORTHINGTON PUBLIC SCHOOL DISTRICT</t>
  </si>
  <si>
    <t>BYRON PUBLIC SCHOOL DISTRICT</t>
  </si>
  <si>
    <t>DOVER-EYOTA PUBLIC SCHOOL DISTRICT</t>
  </si>
  <si>
    <t>STEWARTVILLE PUBLIC SCHOOL DISTRICT</t>
  </si>
  <si>
    <t>ROCHESTER PUBLIC SCHOOL DISTRICT</t>
  </si>
  <si>
    <t>BATTLE LAKE PUBLIC SCHOOL DISTRICT</t>
  </si>
  <si>
    <t>FERGUS FALLS PUBLIC SCHOOL DISTRICT</t>
  </si>
  <si>
    <t>HENNING PUBLIC SCHOOL DISTRICT</t>
  </si>
  <si>
    <t>PARKERS PRAIRIE PUBLIC SCHOOL DIST.</t>
  </si>
  <si>
    <t>PELICAN RAPIDS PUBLIC SCHOOL DIST.</t>
  </si>
  <si>
    <t>PERHAM-DENT PUBLIC SCHOOL DISTRICT</t>
  </si>
  <si>
    <t>UNDERWOOD PUBLIC SCHOOL DISTRICT</t>
  </si>
  <si>
    <t>NEW YORK MILLS PUBLIC SCHOOL DIST.</t>
  </si>
  <si>
    <t>GOODRIDGE PUBLIC SCHOOL DISTRICT</t>
  </si>
  <si>
    <t>THIEF RIVER FALLS SCHOOL DISTRICT</t>
  </si>
  <si>
    <t>WILLOW RIVER PUBLIC SCHOOL DISTRICT</t>
  </si>
  <si>
    <t>PINE CITY PUBLIC SCHOOL DISTRICT</t>
  </si>
  <si>
    <t>EDGERTON PUBLIC SCHOOL DISTRICT</t>
  </si>
  <si>
    <t>CLIMAX-SHELLY PUBLIC SCHOOLS</t>
  </si>
  <si>
    <t>CROOKSTON PUBLIC SCHOOL DISTRICT</t>
  </si>
  <si>
    <t>EAST GRAND FORKS PUBLIC SCHOOL DIST</t>
  </si>
  <si>
    <t>FERTILE-BELTRAMI SCHOOL DISTRICT</t>
  </si>
  <si>
    <t>FISHER PUBLIC SCHOOL DISTRICT</t>
  </si>
  <si>
    <t>FOSSTON PUBLIC SCHOOL DISTRICT</t>
  </si>
  <si>
    <t>CYRUS PUBLIC SCHOOL DISTRICT</t>
  </si>
  <si>
    <t>MOUNDS VIEW PUBLIC SCHOOL DISTRICT</t>
  </si>
  <si>
    <t>NORTH ST PAUL-MAPLEWOOD SCHOOL DIST</t>
  </si>
  <si>
    <t>ROSEVILLE PUBLIC SCHOOL DISTRICT</t>
  </si>
  <si>
    <t>WHITE BEAR LAKE SCHOOL DISTRICT</t>
  </si>
  <si>
    <t>ST. PAUL PUBLIC SCHOOL DISTRICT</t>
  </si>
  <si>
    <t>OKLEE PUBLIC SCHOOL DISTRICT</t>
  </si>
  <si>
    <t>PLUMMER PUBLIC SCHOOL DISTRICT</t>
  </si>
  <si>
    <t>RED LAKE FALLS PUBLIC SCHOOL DIST.</t>
  </si>
  <si>
    <t>MILROY PUBLIC SCHOOL DISTRICT</t>
  </si>
  <si>
    <t>WABASSO PUBLIC SCHOOL DISTRICT</t>
  </si>
  <si>
    <t>FARIBAULT PUBLIC SCHOOL DISTRICT</t>
  </si>
  <si>
    <t>NORTHFIELD PUBLIC SCHOOL DISTRICT</t>
  </si>
  <si>
    <t>HILLS-BEAVER CREEK SCHOOL DISTRICT</t>
  </si>
  <si>
    <t>BADGER PUBLIC SCHOOL DISTRICT</t>
  </si>
  <si>
    <t>ROSEAU PUBLIC SCHOOL DISTRICT</t>
  </si>
  <si>
    <t>WARROAD PUBLIC SCHOOL DISTRICT</t>
  </si>
  <si>
    <t>CHISHOLM PUBLIC SCHOOL DISTRICT</t>
  </si>
  <si>
    <t>ELY PUBLIC SCHOOL DISTRICT</t>
  </si>
  <si>
    <t>FLOODWOOD PUBLIC SCHOOL DISTRICT</t>
  </si>
  <si>
    <t>HERMANTOWN PUBLIC SCHOOL DISTRICT</t>
  </si>
  <si>
    <t>HIBBING PUBLIC SCHOOL DISTRICT</t>
  </si>
  <si>
    <t>PROCTOR PUBLIC SCHOOL DISTRICT</t>
  </si>
  <si>
    <t>VIRGINIA PUBLIC SCHOOL DISTRICT</t>
  </si>
  <si>
    <t>NETT LAKE PUBLIC SCHOOL DISTRICT</t>
  </si>
  <si>
    <t>DULUTH PUBLIC SCHOOL DISTRICT</t>
  </si>
  <si>
    <t>MOUNTAIN IRON-BUHL SCHOOL DISTRICT</t>
  </si>
  <si>
    <t>BELLE PLAINE PUBLIC SCHOOL DISTRICT</t>
  </si>
  <si>
    <t>JORDAN PUBLIC SCHOOL DISTRICT</t>
  </si>
  <si>
    <t>PRIOR LAKE-SAVAGE AREA SCHOOLS</t>
  </si>
  <si>
    <t>SHAKOPEE PUBLIC SCHOOL DISTRICT</t>
  </si>
  <si>
    <t>NEW PRAGUE AREA SCHOOLS</t>
  </si>
  <si>
    <t>BECKER PUBLIC SCHOOL DISTRICT</t>
  </si>
  <si>
    <t>BIG LAKE PUBLIC SCHOOL DISTRICT</t>
  </si>
  <si>
    <t>ELK RIVER PUBLIC SCHOOL DISTRICT</t>
  </si>
  <si>
    <t>HOLDINGFORD PUBLIC SCHOOL DISTRICT</t>
  </si>
  <si>
    <t>KIMBALL PUBLIC SCHOOL DISTRICT</t>
  </si>
  <si>
    <t>MELROSE PUBLIC SCHOOL DISTRICT</t>
  </si>
  <si>
    <t>PAYNESVILLE PUBLIC SCHOOL DISTRICT</t>
  </si>
  <si>
    <t>ST. CLOUD PUBLIC SCHOOL DISTRICT</t>
  </si>
  <si>
    <t>SAUK CENTRE PUBLIC SCHOOL DISTRICT</t>
  </si>
  <si>
    <t>ALBANY PUBLIC SCHOOL DISTRICT</t>
  </si>
  <si>
    <t>SARTELL-ST. STEPHEN SCHOOL DISTRICT</t>
  </si>
  <si>
    <t>ROCORI PUBLIC SCHOOL DISTRICT</t>
  </si>
  <si>
    <t>BLOOMING PRAIRIE PUBLIC SCHOOL DIST</t>
  </si>
  <si>
    <t>OWATONNA PUBLIC SCHOOL DISTRICT</t>
  </si>
  <si>
    <t>MEDFORD PUBLIC SCHOOL DISTRICT</t>
  </si>
  <si>
    <t>HANCOCK PUBLIC SCHOOL DISTRICT</t>
  </si>
  <si>
    <t>MORRIS PUBLIC SCHOOL DISTRICT</t>
  </si>
  <si>
    <t>CHOKIO-ALBERTA PUBLIC SCHOOL DIST.</t>
  </si>
  <si>
    <t>KERKHOVEN-MURDOCK-SUNBURG</t>
  </si>
  <si>
    <t>BENSON PUBLIC SCHOOL DISTRICT</t>
  </si>
  <si>
    <t>BERTHA-HEWITT PUBLIC SCHOOL DIST.</t>
  </si>
  <si>
    <t>BROWERVILLE PUBLIC SCHOOL DISTRICT</t>
  </si>
  <si>
    <t>BROWNS VALLEY PUBLIC SCHOOL DIST.</t>
  </si>
  <si>
    <t>WHEATON AREA PUBLIC SCHOOL DISTRICT</t>
  </si>
  <si>
    <t>WABASHA-KELLOGG PUBLIC SCHOOL DIST.</t>
  </si>
  <si>
    <t>LAKE CITY PUBLIC SCHOOL DISTRICT</t>
  </si>
  <si>
    <t>PRINSBURG PUBLIC SCHOOL DISTRICT</t>
  </si>
  <si>
    <t>VERNDALE PUBLIC SCHOOL DISTRICT</t>
  </si>
  <si>
    <t>SEBEKA PUBLIC SCHOOL DISTRICT</t>
  </si>
  <si>
    <t>MENAHGA PUBLIC SCHOOL DISTRICT</t>
  </si>
  <si>
    <t>WASECA PUBLIC SCHOOL DISTRICT</t>
  </si>
  <si>
    <t>FOREST LAKE PUBLIC SCHOOL DISTRICT</t>
  </si>
  <si>
    <t>MAHTOMEDI PUBLIC SCHOOL DISTRICT</t>
  </si>
  <si>
    <t>SOUTH WASHINGTON COUNTY SCHOOL DIST</t>
  </si>
  <si>
    <t>STILLWATER AREA PUBLIC SCHOOL DIST.</t>
  </si>
  <si>
    <t>BUTTERFIELD PUBLIC SCHOOL DISTRICT</t>
  </si>
  <si>
    <t>MADELIA PUBLIC SCHOOL DISTRICT</t>
  </si>
  <si>
    <t>ST. JAMES PUBLIC SCHOOL DISTRICT</t>
  </si>
  <si>
    <t>BRECKENRIDGE PUBLIC SCHOOL DISTRICT</t>
  </si>
  <si>
    <t>ROTHSAY PUBLIC SCHOOL DISTRICT</t>
  </si>
  <si>
    <t>CAMPBELL-TINTAH PUBLIC SCHOOL DIST.</t>
  </si>
  <si>
    <t>LEWISTON-ALTURA PUBLIC SCHOOL DIST.</t>
  </si>
  <si>
    <t>ST. CHARLES PUBLIC SCHOOL DISTRICT</t>
  </si>
  <si>
    <t>WINONA AREA PUBLIC SCHOOL DISTRICT</t>
  </si>
  <si>
    <t>ANNANDALE PUBLIC SCHOOL DISTRICT</t>
  </si>
  <si>
    <t>BUFFALO-HANOVER-MONTROSE PUBLIC SCH</t>
  </si>
  <si>
    <t>DELANO PUBLIC SCHOOL DISTRICT</t>
  </si>
  <si>
    <t>MAPLE LAKE PUBLIC SCHOOL DISTRICT</t>
  </si>
  <si>
    <t>MONTICELLO PUBLIC SCHOOL DISTRICT</t>
  </si>
  <si>
    <t>ROCKFORD PUBLIC SCHOOL DISTRICT</t>
  </si>
  <si>
    <t>ST. MICHAEL-ALBERTVILLE SCHOOL DIST</t>
  </si>
  <si>
    <t>CANBY PUBLIC SCHOOL DISTRICT</t>
  </si>
  <si>
    <t>CAMBRIDGE-ISANTI PUBLIC SCHOOL DIST</t>
  </si>
  <si>
    <t>MILACA PUBLIC SCHOOL DISTRICT</t>
  </si>
  <si>
    <t>ULEN-HITTERDAL PUBLIC SCHOOL DIST</t>
  </si>
  <si>
    <t>SOUTHERN PLAINS EDUCATION COOP.</t>
  </si>
  <si>
    <t>N.E. METRO INTERMEDIATE DIST. 916</t>
  </si>
  <si>
    <t>INTERMEDIATE SCHOOL DISTRICT 917</t>
  </si>
  <si>
    <t>REGION 4-LAKES COUNTRY SERVICE COOP</t>
  </si>
  <si>
    <t>REGION 3 - NORTHEAST SERVICE COOP</t>
  </si>
  <si>
    <t>CARVER-SCOTT EDUCATIONAL COOP.</t>
  </si>
  <si>
    <t>FERGUS FALLS AREA SP. ED. COOP.</t>
  </si>
  <si>
    <t>MEEKER &amp; WRIGHT SPECIAL EDUCATION</t>
  </si>
  <si>
    <t>OAK LAND VOCATIONAL COOPERATVE</t>
  </si>
  <si>
    <t>REGN 6 &amp; 8-S.W/W.C. SRV COOPERATIVE</t>
  </si>
  <si>
    <t>MN RIVER VALLEY SPECIAL ED. COOP.</t>
  </si>
  <si>
    <t>BEMIDJI REGIONAL INTERDIST. COUNCIL</t>
  </si>
  <si>
    <t>LAKE CRYSTAL-WELLCOME MEMORIAL</t>
  </si>
  <si>
    <t>TRITON SCHOOL DISTRICT</t>
  </si>
  <si>
    <t>UNITED SOUTH CENTRAL SCHOOL DIST.</t>
  </si>
  <si>
    <t>MAPLE RIVER SCHOOL DISTRICT</t>
  </si>
  <si>
    <t>KINGSLAND PUBLIC SCHOOL DISTRICT</t>
  </si>
  <si>
    <t>ST. LOUIS COUNTY SCHOOL DISTRICT</t>
  </si>
  <si>
    <t>WATERVILLE-ELYSIAN-MORRISTOWN</t>
  </si>
  <si>
    <t>CHISAGO LAKES SCHOOL DISTRICT</t>
  </si>
  <si>
    <t>MINNEWASKA SCHOOL DISTRICT</t>
  </si>
  <si>
    <t>EVELETH-GILBERT SCHOOL DISTRICT</t>
  </si>
  <si>
    <t>WADENA-DEER CREEK SCHOOL DISTRICT</t>
  </si>
  <si>
    <t>BUFFALO LK-HECTOR-STEWART PUBLIC SC</t>
  </si>
  <si>
    <t>DILWORTH-GLYNDON-FELTON</t>
  </si>
  <si>
    <t>HINCKLEY-FINLAYSON SCHOOL DISTRICT</t>
  </si>
  <si>
    <t>LAKEVIEW SCHOOL DISTRICT</t>
  </si>
  <si>
    <t>NRHEG SCHOOL DISTRICT</t>
  </si>
  <si>
    <t>MURRAY COUNTY CENTRAL SCHOOL DIST.</t>
  </si>
  <si>
    <t>STAPLES-MOTLEY SCHOOL DISTRICT</t>
  </si>
  <si>
    <t>KITTSON CENTRAL SCHOOL DISTRICT</t>
  </si>
  <si>
    <t>KENYON-WANAMINGO SCHOOL DISTRICT</t>
  </si>
  <si>
    <t>PINE RIVER-BACKUS SCHOOL DISTRICT</t>
  </si>
  <si>
    <t>WARREN-ALVARADO-OSLO SCHOOL DIST.</t>
  </si>
  <si>
    <t>M.A.C.C.R.A.Y. SCHOOL DISTRICT</t>
  </si>
  <si>
    <t>LUVERNE PUBLIC SCHOOL DISTRICT</t>
  </si>
  <si>
    <t>YELLOW MEDICINE EAST</t>
  </si>
  <si>
    <t>FILLMORE CENTRAL</t>
  </si>
  <si>
    <t>NORMAN COUNTY EAST SCHOOL DISTRICT</t>
  </si>
  <si>
    <t>SIBLEY EAST SCHOOL DISTRICT</t>
  </si>
  <si>
    <t>CLEARBROOK-GONVICK SCHOOL DISTRICT</t>
  </si>
  <si>
    <t>WEST CENTRAL AREA</t>
  </si>
  <si>
    <t>TRI-COUNTY SCHOOL DISTRICT</t>
  </si>
  <si>
    <t>BELGRADE-BROOTEN-ELROSA SCHOOL DIST</t>
  </si>
  <si>
    <t>G.F.W.</t>
  </si>
  <si>
    <t>A.C.G.C.</t>
  </si>
  <si>
    <t>LESUEUR-HENDERSON SCHOOL DISTRICT</t>
  </si>
  <si>
    <t>MARTIN COUNTY WEST SCHOOL DISTRICT</t>
  </si>
  <si>
    <t>NORMAN COUNTY WEST SCHOOL DISTRICT</t>
  </si>
  <si>
    <t>BIRD ISLAND-OLIVIA-LKLILLIAN-DANUBE</t>
  </si>
  <si>
    <t>GRANADA HUNTLEY-EAST CHAIN</t>
  </si>
  <si>
    <t>EAST CENTRAL SCHOOL DISTRICT</t>
  </si>
  <si>
    <t>WIN-E-MAC SCHOOL DISTRICT</t>
  </si>
  <si>
    <t>GREENBUSH-MIDDLE RIVER SCHOOL DIST.</t>
  </si>
  <si>
    <t>HOWARD LAKE-WAVERLY-WINSTED</t>
  </si>
  <si>
    <t>PIPESTONE AREA SCHOOL DISTRICT</t>
  </si>
  <si>
    <t>MESABI EAST SCHOOL DISTRICT</t>
  </si>
  <si>
    <t>FAIRMONT AREA SCHOOL DISTRICT</t>
  </si>
  <si>
    <t>LONG PRAIRIE-GREY EAGLE SCHOOL DIST</t>
  </si>
  <si>
    <t>CEDAR MOUNTAIN SCHOOL DISTRICT</t>
  </si>
  <si>
    <t>EAGLE VALLEY PUBLIC SCHOOL DISTRICT</t>
  </si>
  <si>
    <t>ZUMBROTA-MAZEPPA SCHOOL DISTRICT</t>
  </si>
  <si>
    <t>JANESVILLE-WALDORF-PEMBERTON</t>
  </si>
  <si>
    <t>LAC QUI PARLE VALLEY SCHOOL DIST.</t>
  </si>
  <si>
    <t>ADA-BORUP PUBLIC SCHOOL DISTRICT</t>
  </si>
  <si>
    <t>STEPHEN-ARGYLE CENTRAL SCHOOLS</t>
  </si>
  <si>
    <t>GLENCOE-SILVER LAKE SCHOOL DISTRICT</t>
  </si>
  <si>
    <t>BLUE EARTH AREA PUBLIC SCHOOL</t>
  </si>
  <si>
    <t>RED ROCK CENTRAL SCHOOL DISTRICT</t>
  </si>
  <si>
    <t>GLENVILLE-EMMONS SCHOOL DISTRICT</t>
  </si>
  <si>
    <t>CLINTON-GRACEVILLE-BEARDSLEY</t>
  </si>
  <si>
    <t>LAKE PARK AUDUBON SCHOOL DISTRICT</t>
  </si>
  <si>
    <t>RENVILLE COUNTY WEST SCHOOL DIST.</t>
  </si>
  <si>
    <t>JACKSON COUNTY CENTRAL SCHOOL DIST.</t>
  </si>
  <si>
    <t>REDWOOD AREA SCHOOL DISTRICT</t>
  </si>
  <si>
    <t>WESTBROOK-WALNUT GROVE SCHOOLS</t>
  </si>
  <si>
    <t>PLAINVIEW-ELGIN-MILLVILLE</t>
  </si>
  <si>
    <t>RTR PUBLIC SCHOOLS</t>
  </si>
  <si>
    <t>ORTONVILLE PUBLIC SCHOOLS</t>
  </si>
  <si>
    <t>TRACY AREA PUBLIC SCHOOL DISTRICT</t>
  </si>
  <si>
    <t>CITY ACADEMY</t>
  </si>
  <si>
    <t>BLUFFVIEW MONTESSORI</t>
  </si>
  <si>
    <t>NEW HEIGHTS SCHOOL, INC.</t>
  </si>
  <si>
    <t>CEDAR RIVERSIDE COMMUNITY SCHOOL</t>
  </si>
  <si>
    <t>METRO DEAF SCH &amp; MN NORTH STAR ACAD</t>
  </si>
  <si>
    <t>MINNESOTA NEW COUNTRY SCHOOL</t>
  </si>
  <si>
    <t>PACT CHARTER SCHOOL</t>
  </si>
  <si>
    <t>NEW VISIONS CHARTER SCHOOL</t>
  </si>
  <si>
    <t>COMMUNITY OF PEACE ACADEMY</t>
  </si>
  <si>
    <t>WORLD LEARNER CHARTER SCHOOL</t>
  </si>
  <si>
    <t>MINNESOTA TRANSITIONS CHARTER SCH</t>
  </si>
  <si>
    <t>ACHIEVE LANGUAGE ACADEMY</t>
  </si>
  <si>
    <t>DULUTH PUBLIC SCHOOLS ACADEMY</t>
  </si>
  <si>
    <t>CYBER VILLAGE ACADEMY</t>
  </si>
  <si>
    <t>E.C.H.O. CHARTER SCHOOL</t>
  </si>
  <si>
    <t>HIGHER GROUND ACADEMY</t>
  </si>
  <si>
    <t>ST. PAUL CITY SCHOOL</t>
  </si>
  <si>
    <t>ODYSSEY ACADEMY</t>
  </si>
  <si>
    <t>JENNINGS COMMUNITY LEARNING CENTER</t>
  </si>
  <si>
    <t>HARVEST PREP SCHOOL/SEED ACADEMY</t>
  </si>
  <si>
    <t>CONCORDIA CREATIVE LEARNING ACADEMY</t>
  </si>
  <si>
    <t>FACE TO FACE ACADEMY</t>
  </si>
  <si>
    <t>SOJOURNER TRUTH ACADEMY</t>
  </si>
  <si>
    <t>HIGH SCHOOL FOR RECORDING ARTS</t>
  </si>
  <si>
    <t>TWIN CITIES ACADEMY</t>
  </si>
  <si>
    <t>MATH &amp; SCIENCE ACADEMY</t>
  </si>
  <si>
    <t>LAKES AREA CHARTER SCHOOL</t>
  </si>
  <si>
    <t>LAKE SUPERIOR HIGH SCHOOL</t>
  </si>
  <si>
    <t>GREAT RIVER EDUCATION CENTER</t>
  </si>
  <si>
    <t>NORTHWEST PASSAGE HIGH SCHOOL</t>
  </si>
  <si>
    <t>LAFAYETTE PUBLIC CHARTER SCHOOL</t>
  </si>
  <si>
    <t>FOUR DIRECTIONS CHARTER SCHOOLS</t>
  </si>
  <si>
    <t>NORTH LAKES ACADEMY</t>
  </si>
  <si>
    <t>LACRESCENT MONTESSORI ACADEMY</t>
  </si>
  <si>
    <t>NERSTRAND CHARTER SCHOOL</t>
  </si>
  <si>
    <t>ROCHESTER OFF-CAMPUS CHARTER HIGH</t>
  </si>
  <si>
    <t>EL COLEGIO CHARTER SCHOOL</t>
  </si>
  <si>
    <t>SCHOOLCRAFT LEARNING COMMUNITY CHTR</t>
  </si>
  <si>
    <t>CROSSLAKE COMMUNITY CHARTER SCHOOL</t>
  </si>
  <si>
    <t>STUDIO ACADEMY CHARTER SCHOOL</t>
  </si>
  <si>
    <t>RIVERWAY LEARNING COMMUNITY CHTR</t>
  </si>
  <si>
    <t>RIVERBEND ACADEMY</t>
  </si>
  <si>
    <t>AURORA CHARTER SCHOOL</t>
  </si>
  <si>
    <t>EXCELL ACADEMY CHARTER</t>
  </si>
  <si>
    <t>HOPE COMMUNITY ACADEMY</t>
  </si>
  <si>
    <t>ACADEMIA CESAR CHAVEZ CHARTER SCH.</t>
  </si>
  <si>
    <t>AFSA HIGH SCHOOL</t>
  </si>
  <si>
    <t>AVALON SCHOOL</t>
  </si>
  <si>
    <t>TWIN CITIES INTERNATIONAL ELEM SCH.</t>
  </si>
  <si>
    <t>MN INTERNATIONAL MIDDLE CHARTER</t>
  </si>
  <si>
    <t>FRIENDSHIP ACDMY OF FINE ARTS CHTR.</t>
  </si>
  <si>
    <t>PILLAGER AREA CHARTER SCHOOL</t>
  </si>
  <si>
    <t>DISCOVERY PUBLIC SCHOOL FARIBAULT</t>
  </si>
  <si>
    <t>BLUESKY CHARTER SCHOOL</t>
  </si>
  <si>
    <t>RIDGEWAY COMMUNITY SCHOOL</t>
  </si>
  <si>
    <t>NORTH SHORE COMMUNITY SCHOOL</t>
  </si>
  <si>
    <t>HARBOR CITY INTERNATIONAL CHARTER</t>
  </si>
  <si>
    <t>WOODSON INSTITUTE FOR EXCELLENCE CH</t>
  </si>
  <si>
    <t>SAGE ACADEMY CHARTER SCHOOL</t>
  </si>
  <si>
    <t>URBAN ACADEMY CHARTER SCHOOL</t>
  </si>
  <si>
    <t>NEW CITY SCHOOL</t>
  </si>
  <si>
    <t>PRAIRIE CREEK COMMUNITY SCHOOL</t>
  </si>
  <si>
    <t>ARTECH</t>
  </si>
  <si>
    <t>WATERSHED HIGH SCHOOL</t>
  </si>
  <si>
    <t>NEW CENTURY CHARTER SCHOOL</t>
  </si>
  <si>
    <t>TRIO WOLF CREEK DISTANCE LEARNING</t>
  </si>
  <si>
    <t>PARTNERSHIP ACADEMY, INC.</t>
  </si>
  <si>
    <t>NOVA CLASSICAL ACADEMY</t>
  </si>
  <si>
    <t>TAREK IBN ZIYAD ACADEMY</t>
  </si>
  <si>
    <t>GREAT EXPECTATIONS</t>
  </si>
  <si>
    <t>MINNESOTA INTERNSHIP CENTER</t>
  </si>
  <si>
    <t>HMONG COLLEGE PREP ACADEMY</t>
  </si>
  <si>
    <t>PALADIN ACADEMY</t>
  </si>
  <si>
    <t>GREAT RIVER SCHOOL</t>
  </si>
  <si>
    <t>TREKNORTH HIGH SCHOOL</t>
  </si>
  <si>
    <t>VOYAGEURS EXPEDITIONARY</t>
  </si>
  <si>
    <t>GENERAL JOHN VESSEY JR LEADERSHIP</t>
  </si>
  <si>
    <t>SOBRIETY HIGH</t>
  </si>
  <si>
    <t>MAIN STREET SCHOOL PERFORMING ARTS</t>
  </si>
  <si>
    <t>AUGSBURG FAIRVIEW ACADEMY</t>
  </si>
  <si>
    <t>ST PAUL CONSERVATORY PERFORMING ART</t>
  </si>
  <si>
    <t>FRASER ACADEMY</t>
  </si>
  <si>
    <t>PRESTIGE ACADEMY CHARTER SCHOOL</t>
  </si>
  <si>
    <t>MINNEAPOLIS ACADEMY CHARTER SCHOOL</t>
  </si>
  <si>
    <t>LAKES INTERNATIONAL LANGUAGE ADMY</t>
  </si>
  <si>
    <t>KALEIDOSCOPE CHARTER SCHOOL</t>
  </si>
  <si>
    <t>RIVER HEIGHTS CHARTER SCHOOL</t>
  </si>
  <si>
    <t>ST. CROIX PREPARATORY ACADEMY</t>
  </si>
  <si>
    <t>UBAH MEDICAL ACADEMY CHARTER SCHOOL</t>
  </si>
  <si>
    <t>EAGLE RIDGE ACADEMY CHARTER SCHOOL</t>
  </si>
  <si>
    <t>DAKOTA AREA COMMUNITY CHARTER SCH</t>
  </si>
  <si>
    <t>BEACON ACADEMY</t>
  </si>
  <si>
    <t>PRAIRIE SEEDS ACADEMY</t>
  </si>
  <si>
    <t>TEAM ACADEMY</t>
  </si>
  <si>
    <t>LIGHTHOUSE ACADEMY OF NATIONS</t>
  </si>
  <si>
    <t>TWIN CITIES ACADEMY HIGH SCHOOL</t>
  </si>
  <si>
    <t>BEACON PREPARATORY SCHOOL</t>
  </si>
  <si>
    <t>ROCHESTER MATH &amp; SCIENCE ACADEMY</t>
  </si>
  <si>
    <t>SWAN RIVER MONTESSORI CHARTER SCH</t>
  </si>
  <si>
    <t>MILROY AREA CHARTER SCHOOL</t>
  </si>
  <si>
    <t>LOVEWORKS ACADEMY FOR ARTS</t>
  </si>
  <si>
    <t>YINGHUA ACADEMY</t>
  </si>
  <si>
    <t>PAIDEIA ACADEMY CHARTER SCHOOL</t>
  </si>
  <si>
    <t>STRIDE ACADEMY CHARTER SCHOOL</t>
  </si>
  <si>
    <t>NEW MILLENNIUM ACADEMY CHARTER SCH</t>
  </si>
  <si>
    <t>GREEN ISLE COMMUNITY SCHOOL</t>
  </si>
  <si>
    <t>BIRCH GROVE COMMUNITY SCHOOL</t>
  </si>
  <si>
    <t>NORTHERN LIGHTS COMMUNITY SCHOOL</t>
  </si>
  <si>
    <t>MINNESOTA ONLINE HIGH SCHOOL</t>
  </si>
  <si>
    <t>EDVISIONS OFF CAMPUS SCHOOL</t>
  </si>
  <si>
    <t>TWIN CITIES GERMAN IMMERSION CHRTR</t>
  </si>
  <si>
    <t>DUGSI ACADEMY</t>
  </si>
  <si>
    <t>NAYTAHWAUSH COMMUNITY SCHOOL</t>
  </si>
  <si>
    <t>SEVEN HILLS CLASSICAL ACADEMY</t>
  </si>
  <si>
    <t>SPECTRUM HIGH SCHOOL</t>
  </si>
  <si>
    <t>NEW DISCOVERIES MONTESSORI ACADEMY</t>
  </si>
  <si>
    <t>SOUTHSIDE FAMILY CHARTER SCHOOL</t>
  </si>
  <si>
    <t>LEARNING FOR LEADERSHIP CHARTER</t>
  </si>
  <si>
    <t>LAURA JEFFREY ACADEMY CHARTER</t>
  </si>
  <si>
    <t>EAST RANGE ACADEMY OF TECH &amp;SCIENCE</t>
  </si>
  <si>
    <t>INTERNATIONAL SPANISH LANGUAGE ACAD</t>
  </si>
  <si>
    <t>GLACIAL HILLS ELEMENTARY</t>
  </si>
  <si>
    <t>STONEBRIDGE COMMUNITY SCHOOL</t>
  </si>
  <si>
    <t>HIAWATHA LEADERSHIP ACADEMY</t>
  </si>
  <si>
    <t>NOBLE ACADEMY</t>
  </si>
  <si>
    <t>CLARKFIELD CHARTER SCHOOL</t>
  </si>
  <si>
    <t>DUNWOODY ACADEMY</t>
  </si>
  <si>
    <t>PINE GROVE LEADERSHIP ACADEMY</t>
  </si>
  <si>
    <t>LONG TIENG ACADEMY</t>
  </si>
  <si>
    <t>MINISINAAKWAANG LEADERSHIP ACADEMY</t>
  </si>
  <si>
    <t>LINCOLN INTERNATIONAL SCHOOL</t>
  </si>
  <si>
    <t>EMILY O. GOODRIDGE-GREY ACCELERATED</t>
  </si>
  <si>
    <t>COMMUNITY SCHOOL OF EXCELLENCE</t>
  </si>
  <si>
    <t>QUEST ACADEMY</t>
  </si>
  <si>
    <t>LIONSGATE ACADEMY</t>
  </si>
  <si>
    <t>ASPEN ACADEMY</t>
  </si>
  <si>
    <t>DAVINCI ACADEMY</t>
  </si>
  <si>
    <t>GLOBAL ACADEMY</t>
  </si>
  <si>
    <t>NATURAL SCIENCE ACADEMY</t>
  </si>
  <si>
    <t>COLOGNE ACADEMY</t>
  </si>
  <si>
    <t>BRIGHT WATER ELEMENTARY</t>
  </si>
  <si>
    <t>RIVER'S EDGE ACADEMY</t>
  </si>
  <si>
    <t>KIPP MINNESOTA CHARTER SCHOOL</t>
  </si>
  <si>
    <t>BEST ACADEMY</t>
  </si>
  <si>
    <t>COLLEGE PREPARATORY ELEMENTARY</t>
  </si>
  <si>
    <t>CANNON RIVER STEM SCHOOL</t>
  </si>
  <si>
    <t>OSHKI OGIMAAG CHARTER SCHOOL</t>
  </si>
  <si>
    <t>RICHARD ALLEN MATH&amp;SCIENCE ACADEMY</t>
  </si>
  <si>
    <t>ACADEMY OF NORTH MINNEAPOLIS</t>
  </si>
  <si>
    <t>FRESHWATER ED. DIST.</t>
  </si>
  <si>
    <t>ZUMBRO EDUCATION DISTRICT</t>
  </si>
  <si>
    <t>HIAWATHA VALLEY ED. DISTRICT</t>
  </si>
  <si>
    <t>RUNESTONE AREA ED. DISTRICT</t>
  </si>
  <si>
    <t>MN RIVER VALLEY EDUCATION DISTRICT</t>
  </si>
  <si>
    <t>WEST CENTRAL EDUCATION DISTRICT</t>
  </si>
  <si>
    <t>MN VALLEY EDUCATION DISTRICT</t>
  </si>
  <si>
    <t>RIVER BEND EDUCATION DISTRICT</t>
  </si>
  <si>
    <t>GOODHUE COUNTY EDUCATION  DIST.</t>
  </si>
  <si>
    <t>EAST METRO INTEGRATION DISTRICT</t>
  </si>
  <si>
    <t>WEST METRO EDUCATION PROGRAM</t>
  </si>
  <si>
    <t>VALLEY CROSSING COMMUNITY SCHOOL</t>
  </si>
  <si>
    <t>CENTRAL MINNESOTA JT. POWERS DIST.</t>
  </si>
  <si>
    <t>NORTHLAND LEARNING CENTER</t>
  </si>
  <si>
    <t>RUM RIVER SPECIAL EDUCATION COOP</t>
  </si>
  <si>
    <t>INFINITY:MINNESOTA  DIGITAL ACADEMY</t>
  </si>
  <si>
    <t>BENTON-STEARNS ED. DISTRICT</t>
  </si>
  <si>
    <t>MID STATE EDUCATION DISTRICT</t>
  </si>
  <si>
    <t>SET ASIDE FOR ADMINISTRATION</t>
  </si>
  <si>
    <t>SET ASIDE FOR CLOSED CHARTER SCHOOLS</t>
  </si>
  <si>
    <t>`</t>
  </si>
  <si>
    <t>Previous Total Allocation</t>
  </si>
  <si>
    <t>Current Award Increase Amount</t>
  </si>
  <si>
    <t>Cumulative Award Amount</t>
  </si>
  <si>
    <t>Set Aside for Admin</t>
  </si>
  <si>
    <t>Net Amount to Allocate</t>
  </si>
  <si>
    <t>Set Aside for Closed Charter Schools</t>
  </si>
  <si>
    <t>Adjusted Net Amount to Allocate</t>
  </si>
  <si>
    <t>Allocation Percentage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</si>
</sst>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_(* #,##0_);_(* \(#,##0\);_(* &quot;-&quot;??_);_(@_)"/>
    <numFmt numFmtId="165" formatCode="_(* #,##0.000000000_);_(* \(#,##0.000000000\);_(* &quot;-&quot;??_);_(@_)"/>
    <numFmt numFmtId="166" formatCode="0_);\(0\)"/>
  </numFmts>
  <fonts count="12" x14ac:knownFonts="1">
    <font>
      <sz val="10"/>
      <color theme="1"/>
      <name val="Arial"/>
      <family val="2"/>
    </font>
    <font>
      <sz val="10"/>
      <name val="Arial"/>
      <family val="2"/>
    </font>
    <font>
      <sz val="10"/>
      <color indexed="8"/>
      <name val="Arial"/>
      <family val="2"/>
    </font>
    <font>
      <b/>
      <sz val="10"/>
      <color indexed="8"/>
      <name val="Arial"/>
      <family val="2"/>
    </font>
    <font>
      <b/>
      <sz val="8"/>
      <color indexed="81"/>
      <name val="Tahoma"/>
      <charset val="1"/>
    </font>
    <font>
      <sz val="8"/>
      <color indexed="81"/>
      <name val="Tahoma"/>
      <charset val="1"/>
    </font>
    <font>
      <sz val="8.5"/>
      <name val="Arial"/>
      <family val="2"/>
    </font>
    <font>
      <sz val="8"/>
      <name val="Arial"/>
      <family val="2"/>
    </font>
    <font>
      <sz val="10"/>
      <color theme="1"/>
      <name val="Arial"/>
      <family val="2"/>
    </font>
    <font>
      <sz val="11"/>
      <color theme="1"/>
      <name val="Calibri"/>
      <family val="2"/>
      <scheme val="minor"/>
    </font>
    <font>
      <b/>
      <sz val="10"/>
      <color theme="1"/>
      <name val="Arial"/>
      <family val="2"/>
    </font>
    <font>
      <i/>
      <sz val="10"/>
      <color rgb="FFFF0000"/>
      <name val="Arial"/>
      <family val="2"/>
    </font>
  </fonts>
  <fills count="3">
    <fill>
      <patternFill patternType="none"/>
    </fill>
    <fill>
      <patternFill patternType="gray125"/>
    </fill>
    <fill>
      <patternFill patternType="solid">
        <fgColor theme="6" tint="0.59999389629810485"/>
        <bgColor indexed="64"/>
      </patternFill>
    </fill>
  </fills>
  <borders count="11">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3">
    <xf numFmtId="0" fontId="0" fillId="0" borderId="0"/>
    <xf numFmtId="43" fontId="2"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1" fillId="0" borderId="0"/>
    <xf numFmtId="166" fontId="6" fillId="0" borderId="0"/>
    <xf numFmtId="0" fontId="9" fillId="0" borderId="0"/>
    <xf numFmtId="39" fontId="7" fillId="0" borderId="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cellStyleXfs>
  <cellXfs count="58">
    <xf numFmtId="0" fontId="0" fillId="0" borderId="0" xfId="0"/>
    <xf numFmtId="0" fontId="0" fillId="2" borderId="0" xfId="0" applyFill="1"/>
    <xf numFmtId="0" fontId="0" fillId="0" borderId="0" xfId="0" applyFill="1"/>
    <xf numFmtId="0" fontId="0" fillId="0" borderId="1" xfId="0" applyBorder="1"/>
    <xf numFmtId="43" fontId="0" fillId="0" borderId="0" xfId="0" applyNumberFormat="1"/>
    <xf numFmtId="0" fontId="0" fillId="0" borderId="1" xfId="0" quotePrefix="1" applyBorder="1" applyAlignment="1">
      <alignment horizontal="right"/>
    </xf>
    <xf numFmtId="0" fontId="11" fillId="0" borderId="0" xfId="0" applyFont="1"/>
    <xf numFmtId="0" fontId="0" fillId="0" borderId="1" xfId="0" applyBorder="1" applyAlignment="1">
      <alignment horizontal="center"/>
    </xf>
    <xf numFmtId="0" fontId="0" fillId="0" borderId="0" xfId="0" applyAlignment="1">
      <alignment horizontal="center"/>
    </xf>
    <xf numFmtId="0" fontId="0" fillId="0" borderId="1" xfId="0" quotePrefix="1" applyBorder="1" applyAlignment="1">
      <alignment horizontal="center"/>
    </xf>
    <xf numFmtId="14" fontId="0" fillId="0" borderId="0" xfId="0" applyNumberFormat="1" applyAlignment="1">
      <alignment horizontal="center"/>
    </xf>
    <xf numFmtId="0" fontId="1" fillId="0" borderId="1" xfId="6" applyFont="1" applyBorder="1" applyAlignment="1">
      <alignment horizontal="center"/>
    </xf>
    <xf numFmtId="0" fontId="1" fillId="0" borderId="0" xfId="6" applyFont="1" applyAlignment="1">
      <alignment horizontal="center"/>
    </xf>
    <xf numFmtId="0" fontId="1" fillId="0" borderId="0" xfId="6" applyAlignment="1">
      <alignment horizontal="center"/>
    </xf>
    <xf numFmtId="0" fontId="0" fillId="0" borderId="0" xfId="0" applyBorder="1"/>
    <xf numFmtId="0" fontId="1" fillId="0" borderId="1" xfId="6" applyBorder="1" applyAlignment="1">
      <alignment horizontal="center"/>
    </xf>
    <xf numFmtId="0" fontId="1" fillId="0" borderId="0" xfId="6" applyBorder="1" applyAlignment="1">
      <alignment horizontal="center"/>
    </xf>
    <xf numFmtId="0" fontId="0" fillId="0" borderId="2" xfId="0" applyBorder="1"/>
    <xf numFmtId="0" fontId="0" fillId="0" borderId="3" xfId="0" applyBorder="1"/>
    <xf numFmtId="0" fontId="1" fillId="0" borderId="2" xfId="6" applyBorder="1" applyAlignment="1">
      <alignment horizontal="center"/>
    </xf>
    <xf numFmtId="0" fontId="1" fillId="0" borderId="3" xfId="6" applyFont="1" applyBorder="1" applyAlignment="1">
      <alignment horizontal="center"/>
    </xf>
    <xf numFmtId="43" fontId="8" fillId="0" borderId="2" xfId="1" applyFont="1" applyBorder="1" applyAlignment="1">
      <alignment horizontal="center"/>
    </xf>
    <xf numFmtId="43" fontId="8" fillId="0" borderId="3" xfId="1" applyFont="1" applyBorder="1" applyAlignment="1">
      <alignment horizontal="center"/>
    </xf>
    <xf numFmtId="0" fontId="1" fillId="0" borderId="1" xfId="6" applyBorder="1"/>
    <xf numFmtId="164" fontId="0" fillId="0" borderId="0" xfId="0" applyNumberFormat="1"/>
    <xf numFmtId="164" fontId="0" fillId="0" borderId="1" xfId="0" applyNumberFormat="1" applyBorder="1"/>
    <xf numFmtId="43" fontId="8" fillId="0" borderId="0" xfId="1" applyFont="1"/>
    <xf numFmtId="43" fontId="8" fillId="0" borderId="0" xfId="1" applyNumberFormat="1" applyFont="1"/>
    <xf numFmtId="43" fontId="8" fillId="0" borderId="1" xfId="1" applyFont="1" applyBorder="1"/>
    <xf numFmtId="43" fontId="8" fillId="0" borderId="1" xfId="1" applyFont="1" applyBorder="1" applyAlignment="1">
      <alignment horizontal="center"/>
    </xf>
    <xf numFmtId="0" fontId="10" fillId="0" borderId="0" xfId="0" applyFont="1"/>
    <xf numFmtId="0" fontId="10" fillId="0" borderId="1" xfId="0" applyFont="1" applyBorder="1"/>
    <xf numFmtId="0" fontId="3" fillId="0" borderId="1" xfId="0" applyFont="1" applyBorder="1" applyAlignment="1">
      <alignment horizontal="right"/>
    </xf>
    <xf numFmtId="43" fontId="1" fillId="0" borderId="0" xfId="1" applyFont="1"/>
    <xf numFmtId="1" fontId="0" fillId="0" borderId="0" xfId="0" applyNumberFormat="1"/>
    <xf numFmtId="0" fontId="0" fillId="0" borderId="1" xfId="0" applyFill="1" applyBorder="1"/>
    <xf numFmtId="0" fontId="1" fillId="0" borderId="0" xfId="0" applyFont="1"/>
    <xf numFmtId="0" fontId="1" fillId="0" borderId="1" xfId="0" applyFont="1" applyBorder="1"/>
    <xf numFmtId="43" fontId="1" fillId="0" borderId="1" xfId="1" applyFont="1" applyBorder="1" applyAlignment="1">
      <alignment horizontal="center"/>
    </xf>
    <xf numFmtId="43" fontId="1" fillId="0" borderId="1" xfId="1" applyFont="1" applyBorder="1"/>
    <xf numFmtId="0" fontId="1" fillId="0" borderId="0" xfId="0" applyFont="1" applyFill="1"/>
    <xf numFmtId="0" fontId="1" fillId="0" borderId="1" xfId="0" applyFont="1" applyFill="1" applyBorder="1"/>
    <xf numFmtId="43" fontId="1" fillId="0" borderId="1" xfId="1" applyFont="1" applyFill="1" applyBorder="1" applyAlignment="1">
      <alignment horizontal="center"/>
    </xf>
    <xf numFmtId="43" fontId="1" fillId="0" borderId="0" xfId="1" applyFont="1" applyFill="1"/>
    <xf numFmtId="43" fontId="1" fillId="0" borderId="1" xfId="1" applyFont="1" applyFill="1" applyBorder="1"/>
    <xf numFmtId="164" fontId="8" fillId="0" borderId="0" xfId="1" applyNumberFormat="1" applyFont="1"/>
    <xf numFmtId="0" fontId="0" fillId="0" borderId="4" xfId="0" applyBorder="1"/>
    <xf numFmtId="164" fontId="8" fillId="0" borderId="5" xfId="1" applyNumberFormat="1" applyFont="1" applyBorder="1"/>
    <xf numFmtId="43" fontId="8" fillId="0" borderId="6" xfId="1" applyFont="1" applyBorder="1"/>
    <xf numFmtId="0" fontId="0" fillId="0" borderId="7" xfId="0" applyBorder="1"/>
    <xf numFmtId="164" fontId="8" fillId="0" borderId="0" xfId="1" applyNumberFormat="1" applyFont="1" applyBorder="1"/>
    <xf numFmtId="43" fontId="8" fillId="0" borderId="8" xfId="1" applyFont="1" applyBorder="1"/>
    <xf numFmtId="164" fontId="0" fillId="0" borderId="0" xfId="0" applyNumberFormat="1" applyBorder="1"/>
    <xf numFmtId="0" fontId="0" fillId="0" borderId="9" xfId="0" applyBorder="1"/>
    <xf numFmtId="165" fontId="0" fillId="0" borderId="2" xfId="0" applyNumberFormat="1" applyBorder="1"/>
    <xf numFmtId="43" fontId="8" fillId="0" borderId="10" xfId="1" applyFont="1" applyBorder="1"/>
    <xf numFmtId="0" fontId="0" fillId="0" borderId="0" xfId="0" applyBorder="1" applyAlignment="1">
      <alignment horizontal="right"/>
    </xf>
    <xf numFmtId="0" fontId="0" fillId="0" borderId="0" xfId="0" quotePrefix="1" applyBorder="1" applyAlignment="1">
      <alignment horizontal="right"/>
    </xf>
  </cellXfs>
  <cellStyles count="13">
    <cellStyle name="Comma" xfId="1" builtinId="3"/>
    <cellStyle name="Comma 2" xfId="2"/>
    <cellStyle name="Comma 3" xfId="3"/>
    <cellStyle name="Comma 4" xfId="4"/>
    <cellStyle name="Currency 2" xfId="5"/>
    <cellStyle name="Normal" xfId="0" builtinId="0"/>
    <cellStyle name="Normal 2" xfId="6"/>
    <cellStyle name="Normal 3" xfId="7"/>
    <cellStyle name="Normal 4" xfId="8"/>
    <cellStyle name="Normal 5" xfId="9"/>
    <cellStyle name="Percent 2" xfId="10"/>
    <cellStyle name="Percent 3" xfId="11"/>
    <cellStyle name="Percent 4"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553"/>
  <sheetViews>
    <sheetView tabSelected="1" workbookViewId="0">
      <pane xSplit="3" ySplit="15" topLeftCell="D16" activePane="bottomRight" state="frozen"/>
      <selection pane="topRight" activeCell="E1" sqref="E1"/>
      <selection pane="bottomLeft" activeCell="A2" sqref="A2"/>
      <selection pane="bottomRight" activeCell="A2" sqref="A2"/>
    </sheetView>
  </sheetViews>
  <sheetFormatPr defaultRowHeight="12.75" x14ac:dyDescent="0.2"/>
  <cols>
    <col min="1" max="1" width="7.28515625" customWidth="1"/>
    <col min="2" max="2" width="5.28515625" customWidth="1"/>
    <col min="3" max="3" width="43.42578125" bestFit="1" customWidth="1"/>
    <col min="4" max="6" width="18.5703125" customWidth="1"/>
    <col min="7" max="7" width="18.5703125" hidden="1" customWidth="1"/>
    <col min="8" max="8" width="18.5703125" customWidth="1"/>
    <col min="9" max="9" width="17" customWidth="1"/>
    <col min="10" max="10" width="17.7109375" customWidth="1"/>
  </cols>
  <sheetData>
    <row r="1" spans="1:10" x14ac:dyDescent="0.2">
      <c r="A1" s="1"/>
      <c r="B1" s="1"/>
      <c r="C1" s="1"/>
      <c r="D1" s="1"/>
      <c r="E1" s="1"/>
      <c r="F1" s="1"/>
      <c r="H1" s="1"/>
      <c r="I1" s="1"/>
      <c r="J1" s="1"/>
    </row>
    <row r="2" spans="1:10" x14ac:dyDescent="0.2">
      <c r="A2" t="s">
        <v>0</v>
      </c>
      <c r="C2" s="3"/>
      <c r="J2" s="56" t="s">
        <v>1</v>
      </c>
    </row>
    <row r="3" spans="1:10" x14ac:dyDescent="0.2">
      <c r="A3" t="s">
        <v>2</v>
      </c>
      <c r="C3" s="3"/>
      <c r="F3" s="4"/>
      <c r="J3" s="57" t="s">
        <v>3</v>
      </c>
    </row>
    <row r="4" spans="1:10" x14ac:dyDescent="0.2">
      <c r="A4" s="6" t="s">
        <v>4</v>
      </c>
      <c r="C4" s="3"/>
      <c r="J4" s="14"/>
    </row>
    <row r="5" spans="1:10" x14ac:dyDescent="0.2">
      <c r="A5" s="6"/>
      <c r="B5" s="6" t="s">
        <v>5</v>
      </c>
      <c r="C5" s="3"/>
      <c r="D5" s="7" t="s">
        <v>6</v>
      </c>
      <c r="E5" s="8" t="s">
        <v>7</v>
      </c>
      <c r="F5" s="8" t="s">
        <v>8</v>
      </c>
      <c r="G5" s="8"/>
      <c r="H5" s="8" t="s">
        <v>9</v>
      </c>
      <c r="I5" s="8" t="s">
        <v>10</v>
      </c>
      <c r="J5" s="7" t="s">
        <v>11</v>
      </c>
    </row>
    <row r="6" spans="1:10" x14ac:dyDescent="0.2">
      <c r="A6" s="6"/>
      <c r="B6" s="6"/>
      <c r="C6" s="3"/>
      <c r="D6" s="3"/>
      <c r="J6" s="3"/>
    </row>
    <row r="7" spans="1:10" x14ac:dyDescent="0.2">
      <c r="C7" s="3"/>
      <c r="D7" s="9" t="s">
        <v>12</v>
      </c>
      <c r="E7" s="8" t="s">
        <v>12</v>
      </c>
      <c r="F7" s="8" t="s">
        <v>12</v>
      </c>
      <c r="G7" s="8" t="s">
        <v>13</v>
      </c>
      <c r="H7" s="10">
        <v>40451</v>
      </c>
      <c r="I7" s="8" t="s">
        <v>14</v>
      </c>
      <c r="J7" s="11" t="s">
        <v>15</v>
      </c>
    </row>
    <row r="8" spans="1:10" x14ac:dyDescent="0.2">
      <c r="C8" s="3"/>
      <c r="D8" s="11" t="s">
        <v>16</v>
      </c>
      <c r="E8" s="12" t="s">
        <v>17</v>
      </c>
      <c r="F8" s="8" t="s">
        <v>18</v>
      </c>
      <c r="G8" s="12" t="s">
        <v>19</v>
      </c>
      <c r="H8" s="8" t="s">
        <v>20</v>
      </c>
      <c r="I8" s="12" t="s">
        <v>21</v>
      </c>
      <c r="J8" s="7" t="s">
        <v>20</v>
      </c>
    </row>
    <row r="9" spans="1:10" x14ac:dyDescent="0.2">
      <c r="C9" s="3"/>
      <c r="D9" s="11" t="s">
        <v>22</v>
      </c>
      <c r="E9" s="12" t="s">
        <v>23</v>
      </c>
      <c r="F9" s="12" t="s">
        <v>24</v>
      </c>
      <c r="G9" s="12" t="s">
        <v>25</v>
      </c>
      <c r="H9" s="12" t="s">
        <v>26</v>
      </c>
      <c r="I9" s="13" t="s">
        <v>27</v>
      </c>
      <c r="J9" s="15" t="s">
        <v>26</v>
      </c>
    </row>
    <row r="10" spans="1:10" x14ac:dyDescent="0.2">
      <c r="C10" s="3"/>
      <c r="D10" s="11" t="s">
        <v>28</v>
      </c>
      <c r="E10" s="13" t="s">
        <v>29</v>
      </c>
      <c r="F10" s="13" t="s">
        <v>30</v>
      </c>
      <c r="G10" s="13" t="s">
        <v>31</v>
      </c>
      <c r="H10" s="13" t="s">
        <v>31</v>
      </c>
      <c r="I10" s="16" t="s">
        <v>32</v>
      </c>
      <c r="J10" s="15" t="s">
        <v>31</v>
      </c>
    </row>
    <row r="11" spans="1:10" ht="13.5" thickBot="1" x14ac:dyDescent="0.25">
      <c r="A11" s="17" t="s">
        <v>33</v>
      </c>
      <c r="B11" s="17" t="s">
        <v>34</v>
      </c>
      <c r="C11" s="18" t="s">
        <v>35</v>
      </c>
      <c r="D11" s="20" t="s">
        <v>36</v>
      </c>
      <c r="E11" s="19" t="s">
        <v>37</v>
      </c>
      <c r="F11" s="19" t="s">
        <v>38</v>
      </c>
      <c r="G11" s="19" t="s">
        <v>39</v>
      </c>
      <c r="H11" s="19" t="s">
        <v>39</v>
      </c>
      <c r="I11" s="21" t="s">
        <v>40</v>
      </c>
      <c r="J11" s="22" t="s">
        <v>41</v>
      </c>
    </row>
    <row r="12" spans="1:10" x14ac:dyDescent="0.2">
      <c r="C12" s="3"/>
      <c r="D12" s="3"/>
      <c r="J12" s="3"/>
    </row>
    <row r="13" spans="1:10" x14ac:dyDescent="0.2">
      <c r="C13" s="23" t="s">
        <v>42</v>
      </c>
      <c r="D13" s="25">
        <f t="shared" ref="D13:J13" si="0">SUM(D16:D533)</f>
        <v>5992374877.989995</v>
      </c>
      <c r="E13" s="26">
        <f t="shared" si="0"/>
        <v>168510053.95000002</v>
      </c>
      <c r="F13" s="26">
        <f t="shared" si="0"/>
        <v>151659048.80000022</v>
      </c>
      <c r="G13" s="26">
        <f t="shared" si="0"/>
        <v>166047086.99999994</v>
      </c>
      <c r="H13" s="26">
        <f t="shared" si="0"/>
        <v>149442378.64000005</v>
      </c>
      <c r="I13" s="26">
        <f t="shared" si="0"/>
        <v>19067675.309999984</v>
      </c>
      <c r="J13" s="28">
        <f t="shared" si="0"/>
        <v>2216670.160000002</v>
      </c>
    </row>
    <row r="14" spans="1:10" x14ac:dyDescent="0.2">
      <c r="C14" s="3"/>
      <c r="D14" s="3"/>
      <c r="E14" s="26"/>
      <c r="F14" s="26"/>
      <c r="G14" s="26"/>
      <c r="H14" s="26"/>
      <c r="I14" s="26"/>
      <c r="J14" s="29"/>
    </row>
    <row r="15" spans="1:10" hidden="1" x14ac:dyDescent="0.2">
      <c r="A15" s="30" t="s">
        <v>43</v>
      </c>
      <c r="B15" s="30" t="s">
        <v>44</v>
      </c>
      <c r="C15" s="31" t="s">
        <v>45</v>
      </c>
      <c r="D15" s="32" t="s">
        <v>46</v>
      </c>
      <c r="E15" s="26"/>
      <c r="F15" s="26"/>
      <c r="G15" s="26"/>
      <c r="H15" s="26"/>
      <c r="I15" s="26" t="s">
        <v>47</v>
      </c>
      <c r="J15" s="5" t="s">
        <v>48</v>
      </c>
    </row>
    <row r="16" spans="1:10" x14ac:dyDescent="0.2">
      <c r="A16">
        <v>1</v>
      </c>
      <c r="B16">
        <v>1</v>
      </c>
      <c r="C16" s="3" t="s">
        <v>49</v>
      </c>
      <c r="D16" s="29">
        <v>9131603.75</v>
      </c>
      <c r="E16" s="26">
        <f t="shared" ref="E16:E47" si="1">ROUND(D16*$D$548,2)</f>
        <v>256665.04</v>
      </c>
      <c r="F16" s="26">
        <f t="shared" ref="F16:F79" si="2">ROUND(E16*0.9,2)</f>
        <v>230998.54</v>
      </c>
      <c r="G16" s="26">
        <v>253997.58</v>
      </c>
      <c r="H16" s="26">
        <v>228597.82</v>
      </c>
      <c r="I16" s="26">
        <f t="shared" ref="I16:I79" si="3">E16-H16</f>
        <v>28067.22</v>
      </c>
      <c r="J16" s="28">
        <f t="shared" ref="J16:J79" si="4">F16-H16</f>
        <v>2400.7200000000012</v>
      </c>
    </row>
    <row r="17" spans="1:10" x14ac:dyDescent="0.2">
      <c r="A17" s="34">
        <v>1.2</v>
      </c>
      <c r="B17">
        <v>3</v>
      </c>
      <c r="C17" s="3" t="s">
        <v>50</v>
      </c>
      <c r="D17" s="29">
        <v>289180863.31999999</v>
      </c>
      <c r="E17" s="26">
        <f t="shared" si="1"/>
        <v>8128103.3600000003</v>
      </c>
      <c r="F17" s="26">
        <f t="shared" si="2"/>
        <v>7315293.0199999996</v>
      </c>
      <c r="G17" s="26">
        <v>7890915.3899999997</v>
      </c>
      <c r="H17" s="26">
        <v>7101823.8499999996</v>
      </c>
      <c r="I17" s="26">
        <f t="shared" si="3"/>
        <v>1026279.5100000007</v>
      </c>
      <c r="J17" s="28">
        <f t="shared" si="4"/>
        <v>213469.16999999993</v>
      </c>
    </row>
    <row r="18" spans="1:10" x14ac:dyDescent="0.2">
      <c r="A18">
        <v>2</v>
      </c>
      <c r="B18">
        <v>1</v>
      </c>
      <c r="C18" s="3" t="s">
        <v>51</v>
      </c>
      <c r="D18" s="29">
        <v>2846131.7</v>
      </c>
      <c r="E18" s="26">
        <f t="shared" si="1"/>
        <v>79997.179999999993</v>
      </c>
      <c r="F18" s="26">
        <f t="shared" si="2"/>
        <v>71997.460000000006</v>
      </c>
      <c r="G18" s="26">
        <v>78304.81</v>
      </c>
      <c r="H18" s="26">
        <v>70474.33</v>
      </c>
      <c r="I18" s="26">
        <f t="shared" si="3"/>
        <v>9522.8499999999913</v>
      </c>
      <c r="J18" s="28">
        <f t="shared" si="4"/>
        <v>1523.1300000000047</v>
      </c>
    </row>
    <row r="19" spans="1:10" x14ac:dyDescent="0.2">
      <c r="A19">
        <v>4</v>
      </c>
      <c r="B19">
        <v>1</v>
      </c>
      <c r="C19" s="3" t="s">
        <v>52</v>
      </c>
      <c r="D19" s="29">
        <v>3409301.44</v>
      </c>
      <c r="E19" s="26">
        <f t="shared" si="1"/>
        <v>95826.38</v>
      </c>
      <c r="F19" s="26">
        <f t="shared" si="2"/>
        <v>86243.74</v>
      </c>
      <c r="G19" s="26">
        <v>94246.96</v>
      </c>
      <c r="H19" s="26">
        <v>84822.26</v>
      </c>
      <c r="I19" s="26">
        <f t="shared" si="3"/>
        <v>11004.12000000001</v>
      </c>
      <c r="J19" s="28">
        <f t="shared" si="4"/>
        <v>1421.4800000000105</v>
      </c>
    </row>
    <row r="20" spans="1:10" x14ac:dyDescent="0.2">
      <c r="A20">
        <v>6</v>
      </c>
      <c r="B20">
        <v>3</v>
      </c>
      <c r="C20" s="3" t="s">
        <v>53</v>
      </c>
      <c r="D20" s="29">
        <v>21711859.469999999</v>
      </c>
      <c r="E20" s="26">
        <f t="shared" si="1"/>
        <v>610262.5</v>
      </c>
      <c r="F20" s="26">
        <f t="shared" si="2"/>
        <v>549236.25</v>
      </c>
      <c r="G20" s="26">
        <v>580513.1</v>
      </c>
      <c r="H20" s="26">
        <v>522461.79</v>
      </c>
      <c r="I20" s="26">
        <f t="shared" si="3"/>
        <v>87800.710000000021</v>
      </c>
      <c r="J20" s="28">
        <f t="shared" si="4"/>
        <v>26774.460000000021</v>
      </c>
    </row>
    <row r="21" spans="1:10" x14ac:dyDescent="0.2">
      <c r="A21">
        <v>11</v>
      </c>
      <c r="B21">
        <v>1</v>
      </c>
      <c r="C21" s="3" t="s">
        <v>54</v>
      </c>
      <c r="D21" s="29">
        <v>257420983.80000001</v>
      </c>
      <c r="E21" s="26">
        <f t="shared" si="1"/>
        <v>7235417.79</v>
      </c>
      <c r="F21" s="26">
        <f t="shared" si="2"/>
        <v>6511876.0099999998</v>
      </c>
      <c r="G21" s="26">
        <v>7191966.5099999998</v>
      </c>
      <c r="H21" s="26">
        <v>6472769.8600000003</v>
      </c>
      <c r="I21" s="26">
        <f t="shared" si="3"/>
        <v>762647.9299999997</v>
      </c>
      <c r="J21" s="28">
        <f t="shared" si="4"/>
        <v>39106.149999999441</v>
      </c>
    </row>
    <row r="22" spans="1:10" x14ac:dyDescent="0.2">
      <c r="A22">
        <v>12</v>
      </c>
      <c r="B22">
        <v>1</v>
      </c>
      <c r="C22" s="3" t="s">
        <v>55</v>
      </c>
      <c r="D22" s="29">
        <v>46331991.059999995</v>
      </c>
      <c r="E22" s="26">
        <f t="shared" si="1"/>
        <v>1302268.79</v>
      </c>
      <c r="F22" s="26">
        <f t="shared" si="2"/>
        <v>1172041.9099999999</v>
      </c>
      <c r="G22" s="26">
        <v>1316715.3999999999</v>
      </c>
      <c r="H22" s="26">
        <v>1185043.8600000001</v>
      </c>
      <c r="I22" s="26">
        <f t="shared" si="3"/>
        <v>117224.92999999993</v>
      </c>
      <c r="J22" s="28">
        <f t="shared" si="4"/>
        <v>-13001.950000000186</v>
      </c>
    </row>
    <row r="23" spans="1:10" x14ac:dyDescent="0.2">
      <c r="A23">
        <v>13</v>
      </c>
      <c r="B23">
        <v>1</v>
      </c>
      <c r="C23" s="3" t="s">
        <v>56</v>
      </c>
      <c r="D23" s="29">
        <v>23726045.02</v>
      </c>
      <c r="E23" s="26">
        <f t="shared" si="1"/>
        <v>666875.89</v>
      </c>
      <c r="F23" s="26">
        <f t="shared" si="2"/>
        <v>600188.30000000005</v>
      </c>
      <c r="G23" s="26">
        <v>600981.56000000006</v>
      </c>
      <c r="H23" s="26">
        <v>540883.4</v>
      </c>
      <c r="I23" s="26">
        <f t="shared" si="3"/>
        <v>125992.48999999999</v>
      </c>
      <c r="J23" s="28">
        <f t="shared" si="4"/>
        <v>59304.900000000023</v>
      </c>
    </row>
    <row r="24" spans="1:10" x14ac:dyDescent="0.2">
      <c r="A24">
        <v>14</v>
      </c>
      <c r="B24">
        <v>1</v>
      </c>
      <c r="C24" s="3" t="s">
        <v>57</v>
      </c>
      <c r="D24" s="29">
        <v>21544435.32</v>
      </c>
      <c r="E24" s="26">
        <f t="shared" si="1"/>
        <v>605556.66</v>
      </c>
      <c r="F24" s="26">
        <f t="shared" si="2"/>
        <v>545000.99</v>
      </c>
      <c r="G24" s="26">
        <v>568255.36</v>
      </c>
      <c r="H24" s="26">
        <v>511429.82</v>
      </c>
      <c r="I24" s="26">
        <f t="shared" si="3"/>
        <v>94126.840000000026</v>
      </c>
      <c r="J24" s="28">
        <f t="shared" si="4"/>
        <v>33571.169999999984</v>
      </c>
    </row>
    <row r="25" spans="1:10" x14ac:dyDescent="0.2">
      <c r="A25">
        <v>15</v>
      </c>
      <c r="B25">
        <v>1</v>
      </c>
      <c r="C25" s="3" t="s">
        <v>58</v>
      </c>
      <c r="D25" s="29">
        <v>37740690.43</v>
      </c>
      <c r="E25" s="26">
        <f t="shared" si="1"/>
        <v>1060790.22</v>
      </c>
      <c r="F25" s="26">
        <f t="shared" si="2"/>
        <v>954711.2</v>
      </c>
      <c r="G25" s="26">
        <v>1021522.74</v>
      </c>
      <c r="H25" s="26">
        <v>919370.47</v>
      </c>
      <c r="I25" s="26">
        <f t="shared" si="3"/>
        <v>141419.75</v>
      </c>
      <c r="J25" s="28">
        <f t="shared" si="4"/>
        <v>35340.729999999981</v>
      </c>
    </row>
    <row r="26" spans="1:10" x14ac:dyDescent="0.2">
      <c r="A26">
        <v>16</v>
      </c>
      <c r="B26">
        <v>1</v>
      </c>
      <c r="C26" s="3" t="s">
        <v>59</v>
      </c>
      <c r="D26" s="29">
        <v>31315563.099999998</v>
      </c>
      <c r="E26" s="26">
        <f t="shared" si="1"/>
        <v>880197.02</v>
      </c>
      <c r="F26" s="26">
        <f t="shared" si="2"/>
        <v>792177.32</v>
      </c>
      <c r="G26" s="26">
        <v>814938.83</v>
      </c>
      <c r="H26" s="26">
        <v>733444.95</v>
      </c>
      <c r="I26" s="26">
        <f t="shared" si="3"/>
        <v>146752.07000000007</v>
      </c>
      <c r="J26" s="28">
        <f t="shared" si="4"/>
        <v>58732.369999999995</v>
      </c>
    </row>
    <row r="27" spans="1:10" x14ac:dyDescent="0.2">
      <c r="A27">
        <v>22</v>
      </c>
      <c r="B27">
        <v>1</v>
      </c>
      <c r="C27" s="3" t="s">
        <v>60</v>
      </c>
      <c r="D27" s="29">
        <v>20685364.07</v>
      </c>
      <c r="E27" s="26">
        <f t="shared" si="1"/>
        <v>581410.44999999995</v>
      </c>
      <c r="F27" s="26">
        <f t="shared" si="2"/>
        <v>523269.41</v>
      </c>
      <c r="G27" s="26">
        <v>560856.11</v>
      </c>
      <c r="H27" s="26">
        <v>504770.5</v>
      </c>
      <c r="I27" s="26">
        <f t="shared" si="3"/>
        <v>76639.949999999953</v>
      </c>
      <c r="J27" s="28">
        <f t="shared" si="4"/>
        <v>18498.909999999974</v>
      </c>
    </row>
    <row r="28" spans="1:10" x14ac:dyDescent="0.2">
      <c r="A28">
        <v>23</v>
      </c>
      <c r="B28">
        <v>1</v>
      </c>
      <c r="C28" s="3" t="s">
        <v>61</v>
      </c>
      <c r="D28" s="29">
        <v>6407650.7300000014</v>
      </c>
      <c r="E28" s="26">
        <f t="shared" si="1"/>
        <v>180101.98</v>
      </c>
      <c r="F28" s="26">
        <f t="shared" si="2"/>
        <v>162091.78</v>
      </c>
      <c r="G28" s="26">
        <v>176737.95</v>
      </c>
      <c r="H28" s="26">
        <v>159064.16</v>
      </c>
      <c r="I28" s="26">
        <f t="shared" si="3"/>
        <v>21037.820000000007</v>
      </c>
      <c r="J28" s="28">
        <f t="shared" si="4"/>
        <v>3027.6199999999953</v>
      </c>
    </row>
    <row r="29" spans="1:10" x14ac:dyDescent="0.2">
      <c r="A29">
        <v>25</v>
      </c>
      <c r="B29">
        <v>1</v>
      </c>
      <c r="C29" s="3" t="s">
        <v>62</v>
      </c>
      <c r="D29" s="29">
        <v>778146.88000000012</v>
      </c>
      <c r="E29" s="26">
        <f t="shared" si="1"/>
        <v>21871.63</v>
      </c>
      <c r="F29" s="26">
        <f t="shared" si="2"/>
        <v>19684.47</v>
      </c>
      <c r="G29" s="26">
        <v>25549.26</v>
      </c>
      <c r="H29" s="26">
        <v>22994.33</v>
      </c>
      <c r="I29" s="33">
        <f t="shared" si="3"/>
        <v>-1122.7000000000007</v>
      </c>
      <c r="J29" s="28">
        <f t="shared" si="4"/>
        <v>-3309.8600000000006</v>
      </c>
    </row>
    <row r="30" spans="1:10" x14ac:dyDescent="0.2">
      <c r="A30">
        <v>31</v>
      </c>
      <c r="B30">
        <v>1</v>
      </c>
      <c r="C30" s="3" t="s">
        <v>63</v>
      </c>
      <c r="D30" s="29">
        <v>39254126.160000004</v>
      </c>
      <c r="E30" s="26">
        <f t="shared" si="1"/>
        <v>1103328.8700000001</v>
      </c>
      <c r="F30" s="26">
        <f t="shared" si="2"/>
        <v>992995.98</v>
      </c>
      <c r="G30" s="26">
        <v>1111276.75</v>
      </c>
      <c r="H30" s="26">
        <v>1000149.08</v>
      </c>
      <c r="I30" s="26">
        <f t="shared" si="3"/>
        <v>103179.79000000015</v>
      </c>
      <c r="J30" s="28">
        <f t="shared" si="4"/>
        <v>-7153.0999999999767</v>
      </c>
    </row>
    <row r="31" spans="1:10" x14ac:dyDescent="0.2">
      <c r="A31">
        <v>32</v>
      </c>
      <c r="B31">
        <v>1</v>
      </c>
      <c r="C31" s="3" t="s">
        <v>64</v>
      </c>
      <c r="D31" s="29">
        <v>5482733.2400000002</v>
      </c>
      <c r="E31" s="26">
        <f t="shared" si="1"/>
        <v>154105.01999999999</v>
      </c>
      <c r="F31" s="26">
        <f t="shared" si="2"/>
        <v>138694.51999999999</v>
      </c>
      <c r="G31" s="26">
        <v>160818.81</v>
      </c>
      <c r="H31" s="26">
        <v>144736.93</v>
      </c>
      <c r="I31" s="26">
        <f t="shared" si="3"/>
        <v>9368.0899999999965</v>
      </c>
      <c r="J31" s="28">
        <f t="shared" si="4"/>
        <v>-6042.4100000000035</v>
      </c>
    </row>
    <row r="32" spans="1:10" x14ac:dyDescent="0.2">
      <c r="A32">
        <v>36</v>
      </c>
      <c r="B32">
        <v>1</v>
      </c>
      <c r="C32" s="3" t="s">
        <v>65</v>
      </c>
      <c r="D32" s="29">
        <v>2628363.6799999997</v>
      </c>
      <c r="E32" s="26">
        <f t="shared" si="1"/>
        <v>73876.3</v>
      </c>
      <c r="F32" s="26">
        <f t="shared" si="2"/>
        <v>66488.67</v>
      </c>
      <c r="G32" s="26">
        <v>75672.69</v>
      </c>
      <c r="H32" s="26">
        <v>68105.42</v>
      </c>
      <c r="I32" s="26">
        <f t="shared" si="3"/>
        <v>5770.8800000000047</v>
      </c>
      <c r="J32" s="28">
        <f t="shared" si="4"/>
        <v>-1616.75</v>
      </c>
    </row>
    <row r="33" spans="1:10" x14ac:dyDescent="0.2">
      <c r="A33">
        <v>38</v>
      </c>
      <c r="B33">
        <v>1</v>
      </c>
      <c r="C33" s="3" t="s">
        <v>66</v>
      </c>
      <c r="D33" s="29">
        <v>15545487.380000001</v>
      </c>
      <c r="E33" s="26">
        <f t="shared" si="1"/>
        <v>436942.22</v>
      </c>
      <c r="F33" s="26">
        <f t="shared" si="2"/>
        <v>393248</v>
      </c>
      <c r="G33" s="26">
        <v>442628.42</v>
      </c>
      <c r="H33" s="26">
        <v>398365.58</v>
      </c>
      <c r="I33" s="26">
        <f t="shared" si="3"/>
        <v>38576.639999999956</v>
      </c>
      <c r="J33" s="28">
        <f t="shared" si="4"/>
        <v>-5117.5800000000163</v>
      </c>
    </row>
    <row r="34" spans="1:10" x14ac:dyDescent="0.2">
      <c r="A34">
        <v>47</v>
      </c>
      <c r="B34">
        <v>1</v>
      </c>
      <c r="C34" s="3" t="s">
        <v>67</v>
      </c>
      <c r="D34" s="29">
        <v>26757711.950000003</v>
      </c>
      <c r="E34" s="26">
        <f t="shared" si="1"/>
        <v>752087.97</v>
      </c>
      <c r="F34" s="26">
        <f t="shared" si="2"/>
        <v>676879.17</v>
      </c>
      <c r="G34" s="26">
        <v>727236.83</v>
      </c>
      <c r="H34" s="26">
        <v>654513.15</v>
      </c>
      <c r="I34" s="26">
        <f t="shared" si="3"/>
        <v>97574.819999999949</v>
      </c>
      <c r="J34" s="28">
        <f t="shared" si="4"/>
        <v>22366.020000000019</v>
      </c>
    </row>
    <row r="35" spans="1:10" x14ac:dyDescent="0.2">
      <c r="A35">
        <v>51</v>
      </c>
      <c r="B35">
        <v>1</v>
      </c>
      <c r="C35" s="3" t="s">
        <v>68</v>
      </c>
      <c r="D35" s="29">
        <v>12279498.310000001</v>
      </c>
      <c r="E35" s="26">
        <f t="shared" si="1"/>
        <v>345143.97</v>
      </c>
      <c r="F35" s="26">
        <f t="shared" si="2"/>
        <v>310629.57</v>
      </c>
      <c r="G35" s="26">
        <v>331020.78999999998</v>
      </c>
      <c r="H35" s="26">
        <v>297918.71000000002</v>
      </c>
      <c r="I35" s="26">
        <f t="shared" si="3"/>
        <v>47225.259999999951</v>
      </c>
      <c r="J35" s="28">
        <f t="shared" si="4"/>
        <v>12710.859999999986</v>
      </c>
    </row>
    <row r="36" spans="1:10" x14ac:dyDescent="0.2">
      <c r="A36">
        <v>75</v>
      </c>
      <c r="B36">
        <v>1</v>
      </c>
      <c r="C36" s="3" t="s">
        <v>69</v>
      </c>
      <c r="D36" s="29">
        <v>3790393.6799999997</v>
      </c>
      <c r="E36" s="26">
        <f t="shared" si="1"/>
        <v>106537.86</v>
      </c>
      <c r="F36" s="26">
        <f t="shared" si="2"/>
        <v>95884.07</v>
      </c>
      <c r="G36" s="26">
        <v>109877.3</v>
      </c>
      <c r="H36" s="26">
        <v>98889.57</v>
      </c>
      <c r="I36" s="26">
        <f t="shared" si="3"/>
        <v>7648.2899999999936</v>
      </c>
      <c r="J36" s="28">
        <f t="shared" si="4"/>
        <v>-3005.5</v>
      </c>
    </row>
    <row r="37" spans="1:10" x14ac:dyDescent="0.2">
      <c r="A37">
        <v>77</v>
      </c>
      <c r="B37">
        <v>1</v>
      </c>
      <c r="C37" s="3" t="s">
        <v>70</v>
      </c>
      <c r="D37" s="29">
        <v>51048279.990000002</v>
      </c>
      <c r="E37" s="26">
        <f t="shared" si="1"/>
        <v>1434831.1</v>
      </c>
      <c r="F37" s="26">
        <f t="shared" si="2"/>
        <v>1291347.99</v>
      </c>
      <c r="G37" s="26">
        <v>1385813.98</v>
      </c>
      <c r="H37" s="26">
        <v>1247232.58</v>
      </c>
      <c r="I37" s="26">
        <f t="shared" si="3"/>
        <v>187598.52000000002</v>
      </c>
      <c r="J37" s="28">
        <f t="shared" si="4"/>
        <v>44115.409999999916</v>
      </c>
    </row>
    <row r="38" spans="1:10" x14ac:dyDescent="0.2">
      <c r="A38">
        <v>81</v>
      </c>
      <c r="B38">
        <v>1</v>
      </c>
      <c r="C38" s="3" t="s">
        <v>71</v>
      </c>
      <c r="D38" s="29">
        <v>1243082.99</v>
      </c>
      <c r="E38" s="26">
        <f t="shared" si="1"/>
        <v>34939.75</v>
      </c>
      <c r="F38" s="26">
        <f t="shared" si="2"/>
        <v>31445.78</v>
      </c>
      <c r="G38" s="26">
        <v>34527.79</v>
      </c>
      <c r="H38" s="26">
        <v>31075.01</v>
      </c>
      <c r="I38" s="26">
        <f t="shared" si="3"/>
        <v>3864.7400000000016</v>
      </c>
      <c r="J38" s="28">
        <f t="shared" si="4"/>
        <v>370.77000000000044</v>
      </c>
    </row>
    <row r="39" spans="1:10" x14ac:dyDescent="0.2">
      <c r="A39">
        <v>84</v>
      </c>
      <c r="B39">
        <v>1</v>
      </c>
      <c r="C39" s="3" t="s">
        <v>72</v>
      </c>
      <c r="D39" s="29">
        <v>4525791.0699999994</v>
      </c>
      <c r="E39" s="26">
        <f t="shared" si="1"/>
        <v>127207.93</v>
      </c>
      <c r="F39" s="26">
        <f t="shared" si="2"/>
        <v>114487.14</v>
      </c>
      <c r="G39" s="26">
        <v>119975.94</v>
      </c>
      <c r="H39" s="26">
        <v>107978.35</v>
      </c>
      <c r="I39" s="26">
        <f t="shared" si="3"/>
        <v>19229.579999999987</v>
      </c>
      <c r="J39" s="28">
        <f t="shared" si="4"/>
        <v>6508.7899999999936</v>
      </c>
    </row>
    <row r="40" spans="1:10" x14ac:dyDescent="0.2">
      <c r="A40">
        <v>85</v>
      </c>
      <c r="B40">
        <v>1</v>
      </c>
      <c r="C40" s="3" t="s">
        <v>73</v>
      </c>
      <c r="D40" s="29">
        <v>4318109.5200000005</v>
      </c>
      <c r="E40" s="26">
        <f t="shared" si="1"/>
        <v>121370.55</v>
      </c>
      <c r="F40" s="26">
        <f t="shared" si="2"/>
        <v>109233.5</v>
      </c>
      <c r="G40" s="26">
        <v>123268.35</v>
      </c>
      <c r="H40" s="26">
        <v>110941.52</v>
      </c>
      <c r="I40" s="26">
        <f t="shared" si="3"/>
        <v>10429.029999999999</v>
      </c>
      <c r="J40" s="28">
        <f t="shared" si="4"/>
        <v>-1708.0200000000041</v>
      </c>
    </row>
    <row r="41" spans="1:10" x14ac:dyDescent="0.2">
      <c r="A41">
        <v>88</v>
      </c>
      <c r="B41">
        <v>1</v>
      </c>
      <c r="C41" s="3" t="s">
        <v>74</v>
      </c>
      <c r="D41" s="29">
        <v>13185035.100000001</v>
      </c>
      <c r="E41" s="26">
        <f t="shared" si="1"/>
        <v>370596.2</v>
      </c>
      <c r="F41" s="26">
        <f t="shared" si="2"/>
        <v>333536.58</v>
      </c>
      <c r="G41" s="26">
        <v>362674.9</v>
      </c>
      <c r="H41" s="26">
        <v>326407.40999999997</v>
      </c>
      <c r="I41" s="26">
        <f t="shared" si="3"/>
        <v>44188.790000000037</v>
      </c>
      <c r="J41" s="28">
        <f t="shared" si="4"/>
        <v>7129.1700000000419</v>
      </c>
    </row>
    <row r="42" spans="1:10" x14ac:dyDescent="0.2">
      <c r="A42">
        <v>91</v>
      </c>
      <c r="B42">
        <v>1</v>
      </c>
      <c r="C42" s="3" t="s">
        <v>75</v>
      </c>
      <c r="D42" s="29">
        <v>5512293.5499999998</v>
      </c>
      <c r="E42" s="26">
        <f t="shared" si="1"/>
        <v>154935.88</v>
      </c>
      <c r="F42" s="26">
        <f t="shared" si="2"/>
        <v>139442.29</v>
      </c>
      <c r="G42" s="26">
        <v>148325.53</v>
      </c>
      <c r="H42" s="26">
        <v>133492.98000000001</v>
      </c>
      <c r="I42" s="26">
        <f t="shared" si="3"/>
        <v>21442.899999999994</v>
      </c>
      <c r="J42" s="28">
        <f t="shared" si="4"/>
        <v>5949.3099999999977</v>
      </c>
    </row>
    <row r="43" spans="1:10" x14ac:dyDescent="0.2">
      <c r="A43">
        <v>93</v>
      </c>
      <c r="B43">
        <v>1</v>
      </c>
      <c r="C43" s="3" t="s">
        <v>76</v>
      </c>
      <c r="D43" s="29">
        <v>3236509.5100000002</v>
      </c>
      <c r="E43" s="26">
        <f t="shared" si="1"/>
        <v>90969.66</v>
      </c>
      <c r="F43" s="26">
        <f t="shared" si="2"/>
        <v>81872.69</v>
      </c>
      <c r="G43" s="26">
        <v>98845.67</v>
      </c>
      <c r="H43" s="26">
        <v>88961.1</v>
      </c>
      <c r="I43" s="26">
        <f t="shared" si="3"/>
        <v>2008.5599999999977</v>
      </c>
      <c r="J43" s="28">
        <f t="shared" si="4"/>
        <v>-7088.4100000000035</v>
      </c>
    </row>
    <row r="44" spans="1:10" x14ac:dyDescent="0.2">
      <c r="A44">
        <v>94</v>
      </c>
      <c r="B44">
        <v>1</v>
      </c>
      <c r="C44" s="3" t="s">
        <v>77</v>
      </c>
      <c r="D44" s="29">
        <v>20111848.239999995</v>
      </c>
      <c r="E44" s="26">
        <f t="shared" si="1"/>
        <v>565290.44999999995</v>
      </c>
      <c r="F44" s="26">
        <f t="shared" si="2"/>
        <v>508761.41</v>
      </c>
      <c r="G44" s="26">
        <v>560192.5</v>
      </c>
      <c r="H44" s="26">
        <v>504173.25</v>
      </c>
      <c r="I44" s="26">
        <f t="shared" si="3"/>
        <v>61117.199999999953</v>
      </c>
      <c r="J44" s="28">
        <f t="shared" si="4"/>
        <v>4588.1599999999744</v>
      </c>
    </row>
    <row r="45" spans="1:10" x14ac:dyDescent="0.2">
      <c r="A45">
        <v>95</v>
      </c>
      <c r="B45">
        <v>1</v>
      </c>
      <c r="C45" s="3" t="s">
        <v>78</v>
      </c>
      <c r="D45" s="29">
        <v>2431517.8299999996</v>
      </c>
      <c r="E45" s="26">
        <f t="shared" si="1"/>
        <v>68343.490000000005</v>
      </c>
      <c r="F45" s="26">
        <f t="shared" si="2"/>
        <v>61509.14</v>
      </c>
      <c r="G45" s="26">
        <v>61522.52</v>
      </c>
      <c r="H45" s="26">
        <v>55370.27</v>
      </c>
      <c r="I45" s="26">
        <f t="shared" si="3"/>
        <v>12973.220000000008</v>
      </c>
      <c r="J45" s="28">
        <f t="shared" si="4"/>
        <v>6138.8700000000026</v>
      </c>
    </row>
    <row r="46" spans="1:10" x14ac:dyDescent="0.2">
      <c r="A46">
        <v>97</v>
      </c>
      <c r="B46">
        <v>1</v>
      </c>
      <c r="C46" s="3" t="s">
        <v>79</v>
      </c>
      <c r="D46" s="29">
        <v>5026728.6399999997</v>
      </c>
      <c r="E46" s="26">
        <f t="shared" si="1"/>
        <v>141287.95000000001</v>
      </c>
      <c r="F46" s="26">
        <f t="shared" si="2"/>
        <v>127159.16</v>
      </c>
      <c r="G46" s="26">
        <v>144676.01999999999</v>
      </c>
      <c r="H46" s="26">
        <v>130208.42</v>
      </c>
      <c r="I46" s="26">
        <f t="shared" si="3"/>
        <v>11079.530000000013</v>
      </c>
      <c r="J46" s="28">
        <f t="shared" si="4"/>
        <v>-3049.2599999999948</v>
      </c>
    </row>
    <row r="47" spans="1:10" x14ac:dyDescent="0.2">
      <c r="A47">
        <v>99</v>
      </c>
      <c r="B47">
        <v>1</v>
      </c>
      <c r="C47" s="3" t="s">
        <v>80</v>
      </c>
      <c r="D47" s="29">
        <v>7890046.4299999997</v>
      </c>
      <c r="E47" s="26">
        <f t="shared" si="1"/>
        <v>221768.18</v>
      </c>
      <c r="F47" s="26">
        <f t="shared" si="2"/>
        <v>199591.36</v>
      </c>
      <c r="G47" s="26">
        <v>224076.39</v>
      </c>
      <c r="H47" s="26">
        <v>201668.75</v>
      </c>
      <c r="I47" s="26">
        <f t="shared" si="3"/>
        <v>20099.429999999993</v>
      </c>
      <c r="J47" s="28">
        <f t="shared" si="4"/>
        <v>-2077.390000000014</v>
      </c>
    </row>
    <row r="48" spans="1:10" x14ac:dyDescent="0.2">
      <c r="A48">
        <v>100</v>
      </c>
      <c r="B48">
        <v>1</v>
      </c>
      <c r="C48" s="3" t="s">
        <v>81</v>
      </c>
      <c r="D48" s="29">
        <v>2316353.87</v>
      </c>
      <c r="E48" s="26">
        <f t="shared" ref="E48:E79" si="5">ROUND(D48*$D$548,2)</f>
        <v>65106.53</v>
      </c>
      <c r="F48" s="26">
        <f t="shared" si="2"/>
        <v>58595.88</v>
      </c>
      <c r="G48" s="26">
        <v>62429.34</v>
      </c>
      <c r="H48" s="26">
        <v>56186.41</v>
      </c>
      <c r="I48" s="26">
        <f t="shared" si="3"/>
        <v>8920.1199999999953</v>
      </c>
      <c r="J48" s="28">
        <f t="shared" si="4"/>
        <v>2409.4699999999939</v>
      </c>
    </row>
    <row r="49" spans="1:10" x14ac:dyDescent="0.2">
      <c r="A49">
        <v>108</v>
      </c>
      <c r="B49">
        <v>1</v>
      </c>
      <c r="C49" s="3" t="s">
        <v>82</v>
      </c>
      <c r="D49" s="29">
        <v>6509351.8300000001</v>
      </c>
      <c r="E49" s="26">
        <f t="shared" si="5"/>
        <v>182960.53</v>
      </c>
      <c r="F49" s="26">
        <f t="shared" si="2"/>
        <v>164664.48000000001</v>
      </c>
      <c r="G49" s="26">
        <v>197144.99</v>
      </c>
      <c r="H49" s="26">
        <v>177430.49</v>
      </c>
      <c r="I49" s="26">
        <f t="shared" si="3"/>
        <v>5530.0400000000081</v>
      </c>
      <c r="J49" s="28">
        <f t="shared" si="4"/>
        <v>-12766.00999999998</v>
      </c>
    </row>
    <row r="50" spans="1:10" x14ac:dyDescent="0.2">
      <c r="A50">
        <v>110</v>
      </c>
      <c r="B50">
        <v>1</v>
      </c>
      <c r="C50" s="3" t="s">
        <v>83</v>
      </c>
      <c r="D50" s="29">
        <v>20428620.150000006</v>
      </c>
      <c r="E50" s="26">
        <f t="shared" si="5"/>
        <v>574194.06999999995</v>
      </c>
      <c r="F50" s="26">
        <f t="shared" si="2"/>
        <v>516774.66</v>
      </c>
      <c r="G50" s="26">
        <v>580686.56000000006</v>
      </c>
      <c r="H50" s="26">
        <v>522617.9</v>
      </c>
      <c r="I50" s="26">
        <f t="shared" si="3"/>
        <v>51576.169999999925</v>
      </c>
      <c r="J50" s="28">
        <f t="shared" si="4"/>
        <v>-5843.2400000000489</v>
      </c>
    </row>
    <row r="51" spans="1:10" x14ac:dyDescent="0.2">
      <c r="A51">
        <v>111</v>
      </c>
      <c r="B51">
        <v>1</v>
      </c>
      <c r="C51" s="3" t="s">
        <v>84</v>
      </c>
      <c r="D51" s="29">
        <v>10239356.880000001</v>
      </c>
      <c r="E51" s="26">
        <f t="shared" si="5"/>
        <v>287801.03000000003</v>
      </c>
      <c r="F51" s="26">
        <f t="shared" si="2"/>
        <v>259020.93</v>
      </c>
      <c r="G51" s="26">
        <v>302511.31</v>
      </c>
      <c r="H51" s="26">
        <v>272260.18</v>
      </c>
      <c r="I51" s="26">
        <f t="shared" si="3"/>
        <v>15540.850000000035</v>
      </c>
      <c r="J51" s="28">
        <f t="shared" si="4"/>
        <v>-13239.25</v>
      </c>
    </row>
    <row r="52" spans="1:10" x14ac:dyDescent="0.2">
      <c r="A52">
        <v>112</v>
      </c>
      <c r="B52">
        <v>1</v>
      </c>
      <c r="C52" s="3" t="s">
        <v>85</v>
      </c>
      <c r="D52" s="29">
        <v>57317816.700000003</v>
      </c>
      <c r="E52" s="26">
        <f t="shared" si="5"/>
        <v>1611051.07</v>
      </c>
      <c r="F52" s="26">
        <f t="shared" si="2"/>
        <v>1449945.96</v>
      </c>
      <c r="G52" s="26">
        <v>1632584.9</v>
      </c>
      <c r="H52" s="26">
        <v>1469326.41</v>
      </c>
      <c r="I52" s="26">
        <f t="shared" si="3"/>
        <v>141724.66000000015</v>
      </c>
      <c r="J52" s="28">
        <f t="shared" si="4"/>
        <v>-19380.449999999953</v>
      </c>
    </row>
    <row r="53" spans="1:10" x14ac:dyDescent="0.2">
      <c r="A53">
        <v>113</v>
      </c>
      <c r="B53">
        <v>1</v>
      </c>
      <c r="C53" s="3" t="s">
        <v>86</v>
      </c>
      <c r="D53" s="29">
        <v>5926820.919999999</v>
      </c>
      <c r="E53" s="26">
        <f t="shared" si="5"/>
        <v>166587.14000000001</v>
      </c>
      <c r="F53" s="26">
        <f t="shared" si="2"/>
        <v>149928.43</v>
      </c>
      <c r="G53" s="26">
        <v>165047.37</v>
      </c>
      <c r="H53" s="26">
        <v>148542.63</v>
      </c>
      <c r="I53" s="26">
        <f t="shared" si="3"/>
        <v>18044.510000000009</v>
      </c>
      <c r="J53" s="28">
        <f t="shared" si="4"/>
        <v>1385.7999999999884</v>
      </c>
    </row>
    <row r="54" spans="1:10" x14ac:dyDescent="0.2">
      <c r="A54">
        <v>115</v>
      </c>
      <c r="B54">
        <v>1</v>
      </c>
      <c r="C54" s="3" t="s">
        <v>87</v>
      </c>
      <c r="D54" s="29">
        <v>11464286.280000001</v>
      </c>
      <c r="E54" s="26">
        <f t="shared" si="5"/>
        <v>322230.53000000003</v>
      </c>
      <c r="F54" s="26">
        <f t="shared" si="2"/>
        <v>290007.48</v>
      </c>
      <c r="G54" s="26">
        <v>309877.33</v>
      </c>
      <c r="H54" s="26">
        <v>278889.59999999998</v>
      </c>
      <c r="I54" s="26">
        <f t="shared" si="3"/>
        <v>43340.930000000051</v>
      </c>
      <c r="J54" s="28">
        <f t="shared" si="4"/>
        <v>11117.880000000005</v>
      </c>
    </row>
    <row r="55" spans="1:10" x14ac:dyDescent="0.2">
      <c r="A55">
        <v>116</v>
      </c>
      <c r="B55">
        <v>1</v>
      </c>
      <c r="C55" s="3" t="s">
        <v>88</v>
      </c>
      <c r="D55" s="29">
        <v>5926661.0800000001</v>
      </c>
      <c r="E55" s="26">
        <f t="shared" si="5"/>
        <v>166582.65</v>
      </c>
      <c r="F55" s="26">
        <f t="shared" si="2"/>
        <v>149924.39000000001</v>
      </c>
      <c r="G55" s="26">
        <v>168288.17</v>
      </c>
      <c r="H55" s="26">
        <v>151459.35</v>
      </c>
      <c r="I55" s="26">
        <f t="shared" si="3"/>
        <v>15123.299999999988</v>
      </c>
      <c r="J55" s="28">
        <f t="shared" si="4"/>
        <v>-1534.9599999999919</v>
      </c>
    </row>
    <row r="56" spans="1:10" x14ac:dyDescent="0.2">
      <c r="A56">
        <v>118</v>
      </c>
      <c r="B56">
        <v>1</v>
      </c>
      <c r="C56" s="3" t="s">
        <v>89</v>
      </c>
      <c r="D56" s="29">
        <v>4073725.8400000008</v>
      </c>
      <c r="E56" s="26">
        <f t="shared" si="5"/>
        <v>114501.58</v>
      </c>
      <c r="F56" s="26">
        <f t="shared" si="2"/>
        <v>103051.42</v>
      </c>
      <c r="G56" s="26">
        <v>113794.42</v>
      </c>
      <c r="H56" s="26">
        <v>102414.98</v>
      </c>
      <c r="I56" s="26">
        <f t="shared" si="3"/>
        <v>12086.600000000006</v>
      </c>
      <c r="J56" s="28">
        <f t="shared" si="4"/>
        <v>636.44000000000233</v>
      </c>
    </row>
    <row r="57" spans="1:10" x14ac:dyDescent="0.2">
      <c r="A57">
        <v>129</v>
      </c>
      <c r="B57">
        <v>1</v>
      </c>
      <c r="C57" s="3" t="s">
        <v>90</v>
      </c>
      <c r="D57" s="29">
        <v>11544384.050000001</v>
      </c>
      <c r="E57" s="26">
        <f t="shared" si="5"/>
        <v>324481.87</v>
      </c>
      <c r="F57" s="26">
        <f t="shared" si="2"/>
        <v>292033.68</v>
      </c>
      <c r="G57" s="26">
        <v>317158.96999999997</v>
      </c>
      <c r="H57" s="26">
        <v>285443.07</v>
      </c>
      <c r="I57" s="26">
        <f t="shared" si="3"/>
        <v>39038.799999999988</v>
      </c>
      <c r="J57" s="28">
        <f t="shared" si="4"/>
        <v>6590.609999999986</v>
      </c>
    </row>
    <row r="58" spans="1:10" x14ac:dyDescent="0.2">
      <c r="A58">
        <v>138</v>
      </c>
      <c r="B58">
        <v>1</v>
      </c>
      <c r="C58" s="3" t="s">
        <v>91</v>
      </c>
      <c r="D58" s="29">
        <v>24451570.75</v>
      </c>
      <c r="E58" s="26">
        <f t="shared" si="5"/>
        <v>687268.49</v>
      </c>
      <c r="F58" s="26">
        <f t="shared" si="2"/>
        <v>618541.64</v>
      </c>
      <c r="G58" s="26">
        <v>700621.77</v>
      </c>
      <c r="H58" s="26">
        <v>630559.59</v>
      </c>
      <c r="I58" s="26">
        <f t="shared" si="3"/>
        <v>56708.900000000023</v>
      </c>
      <c r="J58" s="28">
        <f t="shared" si="4"/>
        <v>-12017.949999999953</v>
      </c>
    </row>
    <row r="59" spans="1:10" x14ac:dyDescent="0.2">
      <c r="A59">
        <v>139</v>
      </c>
      <c r="B59">
        <v>1</v>
      </c>
      <c r="C59" s="3" t="s">
        <v>92</v>
      </c>
      <c r="D59" s="29">
        <v>5831893.2899999991</v>
      </c>
      <c r="E59" s="26">
        <f t="shared" si="5"/>
        <v>163918.98000000001</v>
      </c>
      <c r="F59" s="26">
        <f t="shared" si="2"/>
        <v>147527.07999999999</v>
      </c>
      <c r="G59" s="26">
        <v>162613.37</v>
      </c>
      <c r="H59" s="26">
        <v>146352.03</v>
      </c>
      <c r="I59" s="26">
        <f t="shared" si="3"/>
        <v>17566.950000000012</v>
      </c>
      <c r="J59" s="28">
        <f t="shared" si="4"/>
        <v>1175.0499999999884</v>
      </c>
    </row>
    <row r="60" spans="1:10" x14ac:dyDescent="0.2">
      <c r="A60">
        <v>146</v>
      </c>
      <c r="B60">
        <v>1</v>
      </c>
      <c r="C60" s="3" t="s">
        <v>93</v>
      </c>
      <c r="D60" s="29">
        <v>5845321.2699999996</v>
      </c>
      <c r="E60" s="26">
        <f t="shared" si="5"/>
        <v>164296.4</v>
      </c>
      <c r="F60" s="26">
        <f t="shared" si="2"/>
        <v>147866.76</v>
      </c>
      <c r="G60" s="26">
        <v>159609.97</v>
      </c>
      <c r="H60" s="26">
        <v>143648.97</v>
      </c>
      <c r="I60" s="26">
        <f t="shared" si="3"/>
        <v>20647.429999999993</v>
      </c>
      <c r="J60" s="28">
        <f t="shared" si="4"/>
        <v>4217.7900000000081</v>
      </c>
    </row>
    <row r="61" spans="1:10" x14ac:dyDescent="0.2">
      <c r="A61">
        <v>150</v>
      </c>
      <c r="B61">
        <v>1</v>
      </c>
      <c r="C61" s="3" t="s">
        <v>94</v>
      </c>
      <c r="D61" s="29">
        <v>6295338.9900000002</v>
      </c>
      <c r="E61" s="26">
        <f t="shared" si="5"/>
        <v>176945.2</v>
      </c>
      <c r="F61" s="26">
        <f t="shared" si="2"/>
        <v>159250.68</v>
      </c>
      <c r="G61" s="26">
        <v>173956.07</v>
      </c>
      <c r="H61" s="26">
        <v>156560.46</v>
      </c>
      <c r="I61" s="26">
        <f t="shared" si="3"/>
        <v>20384.74000000002</v>
      </c>
      <c r="J61" s="28">
        <f t="shared" si="4"/>
        <v>2690.2200000000012</v>
      </c>
    </row>
    <row r="62" spans="1:10" x14ac:dyDescent="0.2">
      <c r="A62">
        <v>152</v>
      </c>
      <c r="B62">
        <v>1</v>
      </c>
      <c r="C62" s="3" t="s">
        <v>95</v>
      </c>
      <c r="D62" s="29">
        <v>39698902.939999998</v>
      </c>
      <c r="E62" s="26">
        <f t="shared" si="5"/>
        <v>1115830.3600000001</v>
      </c>
      <c r="F62" s="26">
        <f t="shared" si="2"/>
        <v>1004247.32</v>
      </c>
      <c r="G62" s="26">
        <v>1164361.25</v>
      </c>
      <c r="H62" s="26">
        <v>1047925.13</v>
      </c>
      <c r="I62" s="26">
        <f t="shared" si="3"/>
        <v>67905.230000000098</v>
      </c>
      <c r="J62" s="28">
        <f t="shared" si="4"/>
        <v>-43677.810000000056</v>
      </c>
    </row>
    <row r="63" spans="1:10" x14ac:dyDescent="0.2">
      <c r="A63">
        <v>162</v>
      </c>
      <c r="B63">
        <v>1</v>
      </c>
      <c r="C63" s="3" t="s">
        <v>96</v>
      </c>
      <c r="D63" s="29">
        <v>8002817.6500000004</v>
      </c>
      <c r="E63" s="26">
        <f t="shared" si="5"/>
        <v>224937.88</v>
      </c>
      <c r="F63" s="26">
        <f t="shared" si="2"/>
        <v>202444.09</v>
      </c>
      <c r="G63" s="26">
        <v>223240.14</v>
      </c>
      <c r="H63" s="26">
        <v>200916.13</v>
      </c>
      <c r="I63" s="26">
        <f t="shared" si="3"/>
        <v>24021.75</v>
      </c>
      <c r="J63" s="28">
        <f t="shared" si="4"/>
        <v>1527.9599999999919</v>
      </c>
    </row>
    <row r="64" spans="1:10" x14ac:dyDescent="0.2">
      <c r="A64">
        <v>166</v>
      </c>
      <c r="B64">
        <v>1</v>
      </c>
      <c r="C64" s="3" t="s">
        <v>97</v>
      </c>
      <c r="D64" s="29">
        <v>3872285.05</v>
      </c>
      <c r="E64" s="26">
        <f t="shared" si="5"/>
        <v>108839.61</v>
      </c>
      <c r="F64" s="26">
        <f t="shared" si="2"/>
        <v>97955.65</v>
      </c>
      <c r="G64" s="26">
        <v>112466.18</v>
      </c>
      <c r="H64" s="26">
        <v>101219.56</v>
      </c>
      <c r="I64" s="26">
        <f t="shared" si="3"/>
        <v>7620.0500000000029</v>
      </c>
      <c r="J64" s="28">
        <f t="shared" si="4"/>
        <v>-3263.9100000000035</v>
      </c>
    </row>
    <row r="65" spans="1:10" x14ac:dyDescent="0.2">
      <c r="A65">
        <v>173</v>
      </c>
      <c r="B65">
        <v>1</v>
      </c>
      <c r="C65" s="3" t="s">
        <v>98</v>
      </c>
      <c r="D65" s="29">
        <v>3780412.9499999997</v>
      </c>
      <c r="E65" s="26">
        <f t="shared" si="5"/>
        <v>106257.33</v>
      </c>
      <c r="F65" s="26">
        <f t="shared" si="2"/>
        <v>95631.6</v>
      </c>
      <c r="G65" s="26">
        <v>100729.8</v>
      </c>
      <c r="H65" s="26">
        <v>90656.82</v>
      </c>
      <c r="I65" s="26">
        <f t="shared" si="3"/>
        <v>15600.509999999995</v>
      </c>
      <c r="J65" s="28">
        <f t="shared" si="4"/>
        <v>4974.7799999999988</v>
      </c>
    </row>
    <row r="66" spans="1:10" x14ac:dyDescent="0.2">
      <c r="A66">
        <v>177</v>
      </c>
      <c r="B66">
        <v>1</v>
      </c>
      <c r="C66" s="3" t="s">
        <v>99</v>
      </c>
      <c r="D66" s="29">
        <v>7040639.3000000007</v>
      </c>
      <c r="E66" s="26">
        <f t="shared" si="5"/>
        <v>197893.61</v>
      </c>
      <c r="F66" s="26">
        <f t="shared" si="2"/>
        <v>178104.25</v>
      </c>
      <c r="G66" s="26">
        <v>183916.72</v>
      </c>
      <c r="H66" s="26">
        <v>165525.04999999999</v>
      </c>
      <c r="I66" s="26">
        <f t="shared" si="3"/>
        <v>32368.559999999998</v>
      </c>
      <c r="J66" s="28">
        <f t="shared" si="4"/>
        <v>12579.200000000012</v>
      </c>
    </row>
    <row r="67" spans="1:10" x14ac:dyDescent="0.2">
      <c r="A67">
        <v>181</v>
      </c>
      <c r="B67">
        <v>1</v>
      </c>
      <c r="C67" s="3" t="s">
        <v>100</v>
      </c>
      <c r="D67" s="29">
        <v>50515404.480000004</v>
      </c>
      <c r="E67" s="26">
        <f t="shared" si="5"/>
        <v>1419853.39</v>
      </c>
      <c r="F67" s="26">
        <f t="shared" si="2"/>
        <v>1277868.05</v>
      </c>
      <c r="G67" s="26">
        <v>1453817.96</v>
      </c>
      <c r="H67" s="26">
        <v>1308436.1599999999</v>
      </c>
      <c r="I67" s="26">
        <f t="shared" si="3"/>
        <v>111417.22999999998</v>
      </c>
      <c r="J67" s="28">
        <f t="shared" si="4"/>
        <v>-30568.10999999987</v>
      </c>
    </row>
    <row r="68" spans="1:10" x14ac:dyDescent="0.2">
      <c r="A68">
        <v>182</v>
      </c>
      <c r="B68">
        <v>1</v>
      </c>
      <c r="C68" s="3" t="s">
        <v>101</v>
      </c>
      <c r="D68" s="29">
        <v>8768737.2000000011</v>
      </c>
      <c r="E68" s="26">
        <f t="shared" si="5"/>
        <v>246465.83</v>
      </c>
      <c r="F68" s="26">
        <f t="shared" si="2"/>
        <v>221819.25</v>
      </c>
      <c r="G68" s="26">
        <v>232250.7</v>
      </c>
      <c r="H68" s="26">
        <v>209025.63</v>
      </c>
      <c r="I68" s="26">
        <f t="shared" si="3"/>
        <v>37440.199999999983</v>
      </c>
      <c r="J68" s="28">
        <f t="shared" si="4"/>
        <v>12793.619999999995</v>
      </c>
    </row>
    <row r="69" spans="1:10" x14ac:dyDescent="0.2">
      <c r="A69">
        <v>186</v>
      </c>
      <c r="B69">
        <v>1</v>
      </c>
      <c r="C69" s="3" t="s">
        <v>102</v>
      </c>
      <c r="D69" s="29">
        <v>10038196.98</v>
      </c>
      <c r="E69" s="26">
        <f t="shared" si="5"/>
        <v>282146.96000000002</v>
      </c>
      <c r="F69" s="26">
        <f t="shared" si="2"/>
        <v>253932.26</v>
      </c>
      <c r="G69" s="26">
        <v>270174.82</v>
      </c>
      <c r="H69" s="26">
        <v>243157.34</v>
      </c>
      <c r="I69" s="26">
        <f t="shared" si="3"/>
        <v>38989.620000000024</v>
      </c>
      <c r="J69" s="28">
        <f t="shared" si="4"/>
        <v>10774.920000000013</v>
      </c>
    </row>
    <row r="70" spans="1:10" x14ac:dyDescent="0.2">
      <c r="A70">
        <v>191</v>
      </c>
      <c r="B70">
        <v>1</v>
      </c>
      <c r="C70" s="3" t="s">
        <v>103</v>
      </c>
      <c r="D70" s="29">
        <v>70754861.359999999</v>
      </c>
      <c r="E70" s="26">
        <f t="shared" si="5"/>
        <v>1988730.58</v>
      </c>
      <c r="F70" s="26">
        <f t="shared" si="2"/>
        <v>1789857.52</v>
      </c>
      <c r="G70" s="26">
        <v>1874483.45</v>
      </c>
      <c r="H70" s="26">
        <v>1687035.11</v>
      </c>
      <c r="I70" s="26">
        <f t="shared" si="3"/>
        <v>301695.46999999997</v>
      </c>
      <c r="J70" s="28">
        <f t="shared" si="4"/>
        <v>102822.40999999992</v>
      </c>
    </row>
    <row r="71" spans="1:10" x14ac:dyDescent="0.2">
      <c r="A71">
        <v>192</v>
      </c>
      <c r="B71">
        <v>1</v>
      </c>
      <c r="C71" s="3" t="s">
        <v>104</v>
      </c>
      <c r="D71" s="29">
        <v>44874154.840000004</v>
      </c>
      <c r="E71" s="26">
        <f t="shared" si="5"/>
        <v>1261292.8999999999</v>
      </c>
      <c r="F71" s="26">
        <f t="shared" si="2"/>
        <v>1135163.6100000001</v>
      </c>
      <c r="G71" s="26">
        <v>1271818.93</v>
      </c>
      <c r="H71" s="26">
        <v>1144637.04</v>
      </c>
      <c r="I71" s="26">
        <f t="shared" si="3"/>
        <v>116655.85999999987</v>
      </c>
      <c r="J71" s="28">
        <f t="shared" si="4"/>
        <v>-9473.4299999999348</v>
      </c>
    </row>
    <row r="72" spans="1:10" x14ac:dyDescent="0.2">
      <c r="A72">
        <v>194</v>
      </c>
      <c r="B72">
        <v>1</v>
      </c>
      <c r="C72" s="3" t="s">
        <v>105</v>
      </c>
      <c r="D72" s="29">
        <v>71780592.679999992</v>
      </c>
      <c r="E72" s="26">
        <f t="shared" si="5"/>
        <v>2017561.15</v>
      </c>
      <c r="F72" s="26">
        <f t="shared" si="2"/>
        <v>1815805.04</v>
      </c>
      <c r="G72" s="26">
        <v>1999262.67</v>
      </c>
      <c r="H72" s="26">
        <v>1799336.4</v>
      </c>
      <c r="I72" s="26">
        <f t="shared" si="3"/>
        <v>218224.75</v>
      </c>
      <c r="J72" s="28">
        <f t="shared" si="4"/>
        <v>16468.64000000013</v>
      </c>
    </row>
    <row r="73" spans="1:10" x14ac:dyDescent="0.2">
      <c r="A73">
        <v>195</v>
      </c>
      <c r="B73">
        <v>1</v>
      </c>
      <c r="C73" s="3" t="s">
        <v>106</v>
      </c>
      <c r="D73" s="29">
        <v>3587118.38</v>
      </c>
      <c r="E73" s="26">
        <f t="shared" si="5"/>
        <v>100824.34</v>
      </c>
      <c r="F73" s="26">
        <f t="shared" si="2"/>
        <v>90741.91</v>
      </c>
      <c r="G73" s="26">
        <v>100699.21</v>
      </c>
      <c r="H73" s="26">
        <v>90629.29</v>
      </c>
      <c r="I73" s="26">
        <f t="shared" si="3"/>
        <v>10195.050000000003</v>
      </c>
      <c r="J73" s="28">
        <f t="shared" si="4"/>
        <v>112.6200000000099</v>
      </c>
    </row>
    <row r="74" spans="1:10" x14ac:dyDescent="0.2">
      <c r="A74">
        <v>196</v>
      </c>
      <c r="B74">
        <v>1</v>
      </c>
      <c r="C74" s="3" t="s">
        <v>107</v>
      </c>
      <c r="D74" s="29">
        <v>180946866.06999999</v>
      </c>
      <c r="E74" s="26">
        <f t="shared" si="5"/>
        <v>5085934.1500000004</v>
      </c>
      <c r="F74" s="26">
        <f t="shared" si="2"/>
        <v>4577340.74</v>
      </c>
      <c r="G74" s="26">
        <v>5027469.84</v>
      </c>
      <c r="H74" s="26">
        <v>4524722.8600000003</v>
      </c>
      <c r="I74" s="26">
        <f t="shared" si="3"/>
        <v>561211.29</v>
      </c>
      <c r="J74" s="28">
        <f t="shared" si="4"/>
        <v>52617.879999999888</v>
      </c>
    </row>
    <row r="75" spans="1:10" x14ac:dyDescent="0.2">
      <c r="A75">
        <v>197</v>
      </c>
      <c r="B75">
        <v>1</v>
      </c>
      <c r="C75" s="3" t="s">
        <v>108</v>
      </c>
      <c r="D75" s="29">
        <v>29913788.989999998</v>
      </c>
      <c r="E75" s="26">
        <f t="shared" si="5"/>
        <v>840796.88</v>
      </c>
      <c r="F75" s="26">
        <f t="shared" si="2"/>
        <v>756717.19</v>
      </c>
      <c r="G75" s="26">
        <v>822651.58</v>
      </c>
      <c r="H75" s="26">
        <v>740386.42</v>
      </c>
      <c r="I75" s="26">
        <f t="shared" si="3"/>
        <v>100410.45999999996</v>
      </c>
      <c r="J75" s="28">
        <f t="shared" si="4"/>
        <v>16330.769999999902</v>
      </c>
    </row>
    <row r="76" spans="1:10" x14ac:dyDescent="0.2">
      <c r="A76">
        <v>199</v>
      </c>
      <c r="B76">
        <v>1</v>
      </c>
      <c r="C76" s="3" t="s">
        <v>109</v>
      </c>
      <c r="D76" s="29">
        <v>24904465.349999998</v>
      </c>
      <c r="E76" s="26">
        <f t="shared" si="5"/>
        <v>699998.15</v>
      </c>
      <c r="F76" s="26">
        <f t="shared" si="2"/>
        <v>629998.34</v>
      </c>
      <c r="G76" s="26">
        <v>672403.48</v>
      </c>
      <c r="H76" s="26">
        <v>605163.13</v>
      </c>
      <c r="I76" s="26">
        <f t="shared" si="3"/>
        <v>94835.020000000019</v>
      </c>
      <c r="J76" s="28">
        <f t="shared" si="4"/>
        <v>24835.209999999963</v>
      </c>
    </row>
    <row r="77" spans="1:10" x14ac:dyDescent="0.2">
      <c r="A77">
        <v>200</v>
      </c>
      <c r="B77">
        <v>1</v>
      </c>
      <c r="C77" s="3" t="s">
        <v>110</v>
      </c>
      <c r="D77" s="29">
        <v>28897118.630000003</v>
      </c>
      <c r="E77" s="26">
        <f t="shared" si="5"/>
        <v>812220.99</v>
      </c>
      <c r="F77" s="26">
        <f t="shared" si="2"/>
        <v>730998.89</v>
      </c>
      <c r="G77" s="26">
        <v>813697.53</v>
      </c>
      <c r="H77" s="26">
        <v>732327.78</v>
      </c>
      <c r="I77" s="26">
        <f t="shared" si="3"/>
        <v>79893.209999999963</v>
      </c>
      <c r="J77" s="28">
        <f t="shared" si="4"/>
        <v>-1328.890000000014</v>
      </c>
    </row>
    <row r="78" spans="1:10" x14ac:dyDescent="0.2">
      <c r="A78">
        <v>203</v>
      </c>
      <c r="B78">
        <v>1</v>
      </c>
      <c r="C78" s="3" t="s">
        <v>111</v>
      </c>
      <c r="D78" s="29">
        <v>5548189.6499999994</v>
      </c>
      <c r="E78" s="26">
        <f t="shared" si="5"/>
        <v>155944.82</v>
      </c>
      <c r="F78" s="26">
        <f t="shared" si="2"/>
        <v>140350.34</v>
      </c>
      <c r="G78" s="26">
        <v>154010.79</v>
      </c>
      <c r="H78" s="26">
        <v>138609.71</v>
      </c>
      <c r="I78" s="26">
        <f t="shared" si="3"/>
        <v>17335.110000000015</v>
      </c>
      <c r="J78" s="28">
        <f t="shared" si="4"/>
        <v>1740.6300000000047</v>
      </c>
    </row>
    <row r="79" spans="1:10" x14ac:dyDescent="0.2">
      <c r="A79">
        <v>204</v>
      </c>
      <c r="B79">
        <v>1</v>
      </c>
      <c r="C79" s="3" t="s">
        <v>112</v>
      </c>
      <c r="D79" s="29">
        <v>14298472.360000001</v>
      </c>
      <c r="E79" s="26">
        <f t="shared" si="5"/>
        <v>401891.95</v>
      </c>
      <c r="F79" s="26">
        <f t="shared" si="2"/>
        <v>361702.76</v>
      </c>
      <c r="G79" s="26">
        <v>400141.92</v>
      </c>
      <c r="H79" s="26">
        <v>360127.73</v>
      </c>
      <c r="I79" s="26">
        <f t="shared" si="3"/>
        <v>41764.22000000003</v>
      </c>
      <c r="J79" s="28">
        <f t="shared" si="4"/>
        <v>1575.0300000000279</v>
      </c>
    </row>
    <row r="80" spans="1:10" x14ac:dyDescent="0.2">
      <c r="A80">
        <v>206</v>
      </c>
      <c r="B80">
        <v>1</v>
      </c>
      <c r="C80" s="3" t="s">
        <v>113</v>
      </c>
      <c r="D80" s="29">
        <v>27157742.260000002</v>
      </c>
      <c r="E80" s="26">
        <f t="shared" ref="E80:E143" si="6">ROUND(D80*$D$548,2)</f>
        <v>763331.76</v>
      </c>
      <c r="F80" s="26">
        <f t="shared" ref="F80:F143" si="7">ROUND(E80*0.9,2)</f>
        <v>686998.58</v>
      </c>
      <c r="G80" s="26">
        <v>759245.82</v>
      </c>
      <c r="H80" s="26">
        <v>683321.24</v>
      </c>
      <c r="I80" s="26">
        <f t="shared" ref="I80:I143" si="8">E80-H80</f>
        <v>80010.520000000019</v>
      </c>
      <c r="J80" s="28">
        <f t="shared" ref="J80:J143" si="9">F80-H80</f>
        <v>3677.3399999999674</v>
      </c>
    </row>
    <row r="81" spans="1:10" x14ac:dyDescent="0.2">
      <c r="A81">
        <v>207</v>
      </c>
      <c r="B81">
        <v>1</v>
      </c>
      <c r="C81" s="3" t="s">
        <v>114</v>
      </c>
      <c r="D81" s="29">
        <v>1652609.71</v>
      </c>
      <c r="E81" s="26">
        <f t="shared" si="6"/>
        <v>46450.45</v>
      </c>
      <c r="F81" s="26">
        <f t="shared" si="7"/>
        <v>41805.410000000003</v>
      </c>
      <c r="G81" s="26">
        <v>46843.34</v>
      </c>
      <c r="H81" s="26">
        <v>42159.01</v>
      </c>
      <c r="I81" s="26">
        <f t="shared" si="8"/>
        <v>4291.4399999999951</v>
      </c>
      <c r="J81" s="28">
        <f t="shared" si="9"/>
        <v>-353.59999999999854</v>
      </c>
    </row>
    <row r="82" spans="1:10" x14ac:dyDescent="0.2">
      <c r="A82">
        <v>208</v>
      </c>
      <c r="B82">
        <v>1</v>
      </c>
      <c r="C82" s="3" t="s">
        <v>115</v>
      </c>
      <c r="D82" s="29">
        <v>879244.63000000012</v>
      </c>
      <c r="E82" s="26">
        <f t="shared" si="6"/>
        <v>24713.22</v>
      </c>
      <c r="F82" s="26">
        <f t="shared" si="7"/>
        <v>22241.9</v>
      </c>
      <c r="G82" s="26">
        <v>25128.36</v>
      </c>
      <c r="H82" s="26">
        <v>22615.52</v>
      </c>
      <c r="I82" s="26">
        <f t="shared" si="8"/>
        <v>2097.7000000000007</v>
      </c>
      <c r="J82" s="28">
        <f t="shared" si="9"/>
        <v>-373.61999999999898</v>
      </c>
    </row>
    <row r="83" spans="1:10" x14ac:dyDescent="0.2">
      <c r="A83">
        <v>213</v>
      </c>
      <c r="B83">
        <v>1</v>
      </c>
      <c r="C83" s="3" t="s">
        <v>116</v>
      </c>
      <c r="D83" s="29">
        <v>5663027.4400000013</v>
      </c>
      <c r="E83" s="26">
        <f t="shared" si="6"/>
        <v>159172.60999999999</v>
      </c>
      <c r="F83" s="26">
        <f t="shared" si="7"/>
        <v>143255.35</v>
      </c>
      <c r="G83" s="26">
        <v>160690.35999999999</v>
      </c>
      <c r="H83" s="26">
        <v>144621.32</v>
      </c>
      <c r="I83" s="26">
        <f t="shared" si="8"/>
        <v>14551.289999999979</v>
      </c>
      <c r="J83" s="28">
        <f t="shared" si="9"/>
        <v>-1365.9700000000012</v>
      </c>
    </row>
    <row r="84" spans="1:10" x14ac:dyDescent="0.2">
      <c r="A84">
        <v>227</v>
      </c>
      <c r="B84">
        <v>1</v>
      </c>
      <c r="C84" s="3" t="s">
        <v>117</v>
      </c>
      <c r="D84" s="29">
        <v>5863024.2100000009</v>
      </c>
      <c r="E84" s="26">
        <f t="shared" si="6"/>
        <v>164793.98000000001</v>
      </c>
      <c r="F84" s="26">
        <f t="shared" si="7"/>
        <v>148314.57999999999</v>
      </c>
      <c r="G84" s="26">
        <v>160755.65</v>
      </c>
      <c r="H84" s="26">
        <v>144680.09</v>
      </c>
      <c r="I84" s="26">
        <f t="shared" si="8"/>
        <v>20113.890000000014</v>
      </c>
      <c r="J84" s="28">
        <f t="shared" si="9"/>
        <v>3634.4899999999907</v>
      </c>
    </row>
    <row r="85" spans="1:10" x14ac:dyDescent="0.2">
      <c r="A85">
        <v>229</v>
      </c>
      <c r="B85">
        <v>1</v>
      </c>
      <c r="C85" s="3" t="s">
        <v>118</v>
      </c>
      <c r="D85" s="29">
        <v>2363347.4699999997</v>
      </c>
      <c r="E85" s="26">
        <f t="shared" si="6"/>
        <v>66427.399999999994</v>
      </c>
      <c r="F85" s="26">
        <f t="shared" si="7"/>
        <v>59784.66</v>
      </c>
      <c r="G85" s="26">
        <v>68865.539999999994</v>
      </c>
      <c r="H85" s="26">
        <v>61978.99</v>
      </c>
      <c r="I85" s="26">
        <f t="shared" si="8"/>
        <v>4448.4099999999962</v>
      </c>
      <c r="J85" s="28">
        <f t="shared" si="9"/>
        <v>-2194.3299999999945</v>
      </c>
    </row>
    <row r="86" spans="1:10" x14ac:dyDescent="0.2">
      <c r="A86">
        <v>238</v>
      </c>
      <c r="B86">
        <v>1</v>
      </c>
      <c r="C86" s="3" t="s">
        <v>119</v>
      </c>
      <c r="D86" s="29">
        <v>1924666.66</v>
      </c>
      <c r="E86" s="26">
        <f t="shared" si="6"/>
        <v>54097.25</v>
      </c>
      <c r="F86" s="26">
        <f t="shared" si="7"/>
        <v>48687.53</v>
      </c>
      <c r="G86" s="26">
        <v>50508.03</v>
      </c>
      <c r="H86" s="26">
        <v>45457.23</v>
      </c>
      <c r="I86" s="26">
        <f t="shared" si="8"/>
        <v>8640.0199999999968</v>
      </c>
      <c r="J86" s="28">
        <f t="shared" si="9"/>
        <v>3230.2999999999956</v>
      </c>
    </row>
    <row r="87" spans="1:10" x14ac:dyDescent="0.2">
      <c r="A87">
        <v>239</v>
      </c>
      <c r="B87">
        <v>1</v>
      </c>
      <c r="C87" s="3" t="s">
        <v>120</v>
      </c>
      <c r="D87" s="29">
        <v>4611847.59</v>
      </c>
      <c r="E87" s="26">
        <f t="shared" si="6"/>
        <v>129626.74</v>
      </c>
      <c r="F87" s="26">
        <f t="shared" si="7"/>
        <v>116664.07</v>
      </c>
      <c r="G87" s="26">
        <v>127657.48</v>
      </c>
      <c r="H87" s="26">
        <v>114891.73</v>
      </c>
      <c r="I87" s="26">
        <f t="shared" si="8"/>
        <v>14735.010000000009</v>
      </c>
      <c r="J87" s="28">
        <f t="shared" si="9"/>
        <v>1772.3400000000111</v>
      </c>
    </row>
    <row r="88" spans="1:10" x14ac:dyDescent="0.2">
      <c r="A88">
        <v>241</v>
      </c>
      <c r="B88">
        <v>1</v>
      </c>
      <c r="C88" s="3" t="s">
        <v>121</v>
      </c>
      <c r="D88" s="29">
        <v>25798713.950000003</v>
      </c>
      <c r="E88" s="26">
        <f t="shared" si="6"/>
        <v>725133.09</v>
      </c>
      <c r="F88" s="26">
        <f t="shared" si="7"/>
        <v>652619.78</v>
      </c>
      <c r="G88" s="26">
        <v>728871.79</v>
      </c>
      <c r="H88" s="26">
        <v>655984.61</v>
      </c>
      <c r="I88" s="26">
        <f t="shared" si="8"/>
        <v>69148.479999999981</v>
      </c>
      <c r="J88" s="28">
        <f t="shared" si="9"/>
        <v>-3364.8299999999581</v>
      </c>
    </row>
    <row r="89" spans="1:10" x14ac:dyDescent="0.2">
      <c r="A89">
        <v>242</v>
      </c>
      <c r="B89">
        <v>1</v>
      </c>
      <c r="C89" s="3" t="s">
        <v>122</v>
      </c>
      <c r="D89" s="29">
        <v>3726783.17</v>
      </c>
      <c r="E89" s="26">
        <f t="shared" si="6"/>
        <v>104749.94</v>
      </c>
      <c r="F89" s="26">
        <f t="shared" si="7"/>
        <v>94274.95</v>
      </c>
      <c r="G89" s="26">
        <v>106227.76</v>
      </c>
      <c r="H89" s="26">
        <v>95604.98</v>
      </c>
      <c r="I89" s="26">
        <f t="shared" si="8"/>
        <v>9144.9600000000064</v>
      </c>
      <c r="J89" s="28">
        <f t="shared" si="9"/>
        <v>-1330.0299999999988</v>
      </c>
    </row>
    <row r="90" spans="1:10" x14ac:dyDescent="0.2">
      <c r="A90">
        <v>252</v>
      </c>
      <c r="B90">
        <v>1</v>
      </c>
      <c r="C90" s="3" t="s">
        <v>123</v>
      </c>
      <c r="D90" s="29">
        <v>7523461.3899999987</v>
      </c>
      <c r="E90" s="26">
        <f t="shared" si="6"/>
        <v>211464.45</v>
      </c>
      <c r="F90" s="26">
        <f t="shared" si="7"/>
        <v>190318.01</v>
      </c>
      <c r="G90" s="26">
        <v>215951.65</v>
      </c>
      <c r="H90" s="26">
        <v>194356.49</v>
      </c>
      <c r="I90" s="26">
        <f t="shared" si="8"/>
        <v>17107.960000000021</v>
      </c>
      <c r="J90" s="28">
        <f t="shared" si="9"/>
        <v>-4038.4799999999814</v>
      </c>
    </row>
    <row r="91" spans="1:10" x14ac:dyDescent="0.2">
      <c r="A91">
        <v>253</v>
      </c>
      <c r="B91">
        <v>1</v>
      </c>
      <c r="C91" s="3" t="s">
        <v>124</v>
      </c>
      <c r="D91" s="29">
        <v>4360380.1799999988</v>
      </c>
      <c r="E91" s="26">
        <f t="shared" si="6"/>
        <v>122558.67</v>
      </c>
      <c r="F91" s="26">
        <f t="shared" si="7"/>
        <v>110302.8</v>
      </c>
      <c r="G91" s="26">
        <v>121515.24</v>
      </c>
      <c r="H91" s="26">
        <v>109363.72</v>
      </c>
      <c r="I91" s="26">
        <f t="shared" si="8"/>
        <v>13194.949999999997</v>
      </c>
      <c r="J91" s="28">
        <f t="shared" si="9"/>
        <v>939.08000000000175</v>
      </c>
    </row>
    <row r="92" spans="1:10" x14ac:dyDescent="0.2">
      <c r="A92">
        <v>255</v>
      </c>
      <c r="B92">
        <v>1</v>
      </c>
      <c r="C92" s="3" t="s">
        <v>125</v>
      </c>
      <c r="D92" s="29">
        <v>7633955.620000002</v>
      </c>
      <c r="E92" s="26">
        <f t="shared" si="6"/>
        <v>214570.15</v>
      </c>
      <c r="F92" s="26">
        <f t="shared" si="7"/>
        <v>193113.14</v>
      </c>
      <c r="G92" s="26">
        <v>226271.04</v>
      </c>
      <c r="H92" s="26">
        <v>203643.94</v>
      </c>
      <c r="I92" s="26">
        <f t="shared" si="8"/>
        <v>10926.209999999992</v>
      </c>
      <c r="J92" s="28">
        <f t="shared" si="9"/>
        <v>-10530.799999999988</v>
      </c>
    </row>
    <row r="93" spans="1:10" x14ac:dyDescent="0.2">
      <c r="A93">
        <v>256</v>
      </c>
      <c r="B93">
        <v>1</v>
      </c>
      <c r="C93" s="3" t="s">
        <v>126</v>
      </c>
      <c r="D93" s="29">
        <v>18732867.060000002</v>
      </c>
      <c r="E93" s="26">
        <f t="shared" si="6"/>
        <v>526530.97</v>
      </c>
      <c r="F93" s="26">
        <f t="shared" si="7"/>
        <v>473877.87</v>
      </c>
      <c r="G93" s="26">
        <v>499295.34</v>
      </c>
      <c r="H93" s="26">
        <v>449365.81</v>
      </c>
      <c r="I93" s="26">
        <f t="shared" si="8"/>
        <v>77165.159999999974</v>
      </c>
      <c r="J93" s="28">
        <f t="shared" si="9"/>
        <v>24512.059999999998</v>
      </c>
    </row>
    <row r="94" spans="1:10" x14ac:dyDescent="0.2">
      <c r="A94">
        <v>261</v>
      </c>
      <c r="B94">
        <v>1</v>
      </c>
      <c r="C94" s="3" t="s">
        <v>127</v>
      </c>
      <c r="D94" s="29">
        <v>1640316.3699999999</v>
      </c>
      <c r="E94" s="26">
        <f t="shared" si="6"/>
        <v>46104.92</v>
      </c>
      <c r="F94" s="26">
        <f t="shared" si="7"/>
        <v>41494.43</v>
      </c>
      <c r="G94" s="26">
        <v>49689.51</v>
      </c>
      <c r="H94" s="26">
        <v>44720.56</v>
      </c>
      <c r="I94" s="26">
        <f t="shared" si="8"/>
        <v>1384.3600000000006</v>
      </c>
      <c r="J94" s="28">
        <f t="shared" si="9"/>
        <v>-3226.1299999999974</v>
      </c>
    </row>
    <row r="95" spans="1:10" x14ac:dyDescent="0.2">
      <c r="A95">
        <v>264</v>
      </c>
      <c r="B95">
        <v>1</v>
      </c>
      <c r="C95" s="3" t="s">
        <v>128</v>
      </c>
      <c r="D95" s="29">
        <v>1186834.8599999999</v>
      </c>
      <c r="E95" s="26">
        <f t="shared" si="6"/>
        <v>33358.76</v>
      </c>
      <c r="F95" s="26">
        <f t="shared" si="7"/>
        <v>30022.880000000001</v>
      </c>
      <c r="G95" s="26">
        <v>32091.5</v>
      </c>
      <c r="H95" s="26">
        <v>28882.35</v>
      </c>
      <c r="I95" s="26">
        <f t="shared" si="8"/>
        <v>4476.4100000000035</v>
      </c>
      <c r="J95" s="28">
        <f t="shared" si="9"/>
        <v>1140.5300000000025</v>
      </c>
    </row>
    <row r="96" spans="1:10" x14ac:dyDescent="0.2">
      <c r="A96">
        <v>270</v>
      </c>
      <c r="B96">
        <v>1</v>
      </c>
      <c r="C96" s="3" t="s">
        <v>129</v>
      </c>
      <c r="D96" s="29">
        <v>45683875.020000003</v>
      </c>
      <c r="E96" s="26">
        <f t="shared" si="6"/>
        <v>1284051.97</v>
      </c>
      <c r="F96" s="26">
        <f t="shared" si="7"/>
        <v>1155646.77</v>
      </c>
      <c r="G96" s="26">
        <v>1313182.8</v>
      </c>
      <c r="H96" s="26">
        <v>1181864.52</v>
      </c>
      <c r="I96" s="26">
        <f t="shared" si="8"/>
        <v>102187.44999999995</v>
      </c>
      <c r="J96" s="28">
        <f t="shared" si="9"/>
        <v>-26217.75</v>
      </c>
    </row>
    <row r="97" spans="1:10" x14ac:dyDescent="0.2">
      <c r="A97">
        <v>271</v>
      </c>
      <c r="B97">
        <v>1</v>
      </c>
      <c r="C97" s="3" t="s">
        <v>130</v>
      </c>
      <c r="D97" s="29">
        <v>65291887.330000006</v>
      </c>
      <c r="E97" s="26">
        <f t="shared" si="6"/>
        <v>1835180.94</v>
      </c>
      <c r="F97" s="26">
        <f t="shared" si="7"/>
        <v>1651662.85</v>
      </c>
      <c r="G97" s="26">
        <v>1761155.99</v>
      </c>
      <c r="H97" s="26">
        <v>1585040.39</v>
      </c>
      <c r="I97" s="26">
        <f t="shared" si="8"/>
        <v>250140.55000000005</v>
      </c>
      <c r="J97" s="28">
        <f t="shared" si="9"/>
        <v>66622.460000000196</v>
      </c>
    </row>
    <row r="98" spans="1:10" x14ac:dyDescent="0.2">
      <c r="A98">
        <v>272</v>
      </c>
      <c r="B98">
        <v>1</v>
      </c>
      <c r="C98" s="3" t="s">
        <v>131</v>
      </c>
      <c r="D98" s="29">
        <v>58836953.149999999</v>
      </c>
      <c r="E98" s="26">
        <f t="shared" si="6"/>
        <v>1653749.94</v>
      </c>
      <c r="F98" s="26">
        <f t="shared" si="7"/>
        <v>1488374.95</v>
      </c>
      <c r="G98" s="26">
        <v>1643306.18</v>
      </c>
      <c r="H98" s="26">
        <v>1478975.56</v>
      </c>
      <c r="I98" s="26">
        <f t="shared" si="8"/>
        <v>174774.37999999989</v>
      </c>
      <c r="J98" s="28">
        <f t="shared" si="9"/>
        <v>9399.3899999998976</v>
      </c>
    </row>
    <row r="99" spans="1:10" x14ac:dyDescent="0.2">
      <c r="A99">
        <v>273</v>
      </c>
      <c r="B99">
        <v>1</v>
      </c>
      <c r="C99" s="3" t="s">
        <v>132</v>
      </c>
      <c r="D99" s="29">
        <v>49243428.659999996</v>
      </c>
      <c r="E99" s="26">
        <f t="shared" si="6"/>
        <v>1384101.54</v>
      </c>
      <c r="F99" s="26">
        <f t="shared" si="7"/>
        <v>1245691.3899999999</v>
      </c>
      <c r="G99" s="26">
        <v>1362154.17</v>
      </c>
      <c r="H99" s="26">
        <v>1225938.75</v>
      </c>
      <c r="I99" s="26">
        <f t="shared" si="8"/>
        <v>158162.79000000004</v>
      </c>
      <c r="J99" s="28">
        <f t="shared" si="9"/>
        <v>19752.639999999898</v>
      </c>
    </row>
    <row r="100" spans="1:10" x14ac:dyDescent="0.2">
      <c r="A100">
        <v>276</v>
      </c>
      <c r="B100">
        <v>1</v>
      </c>
      <c r="C100" s="3" t="s">
        <v>133</v>
      </c>
      <c r="D100" s="29">
        <v>50368037.509999998</v>
      </c>
      <c r="E100" s="26">
        <f t="shared" si="6"/>
        <v>1415711.3</v>
      </c>
      <c r="F100" s="26">
        <f t="shared" si="7"/>
        <v>1274140.17</v>
      </c>
      <c r="G100" s="26">
        <v>1421577.47</v>
      </c>
      <c r="H100" s="26">
        <v>1279419.72</v>
      </c>
      <c r="I100" s="26">
        <f t="shared" si="8"/>
        <v>136291.58000000007</v>
      </c>
      <c r="J100" s="28">
        <f t="shared" si="9"/>
        <v>-5279.5500000000466</v>
      </c>
    </row>
    <row r="101" spans="1:10" x14ac:dyDescent="0.2">
      <c r="A101">
        <v>277</v>
      </c>
      <c r="B101">
        <v>1</v>
      </c>
      <c r="C101" s="3" t="s">
        <v>134</v>
      </c>
      <c r="D101" s="29">
        <v>12931492.780000001</v>
      </c>
      <c r="E101" s="26">
        <f t="shared" si="6"/>
        <v>363469.8</v>
      </c>
      <c r="F101" s="26">
        <f t="shared" si="7"/>
        <v>327122.82</v>
      </c>
      <c r="G101" s="26">
        <v>364418.13</v>
      </c>
      <c r="H101" s="26">
        <v>327976.32000000001</v>
      </c>
      <c r="I101" s="26">
        <f t="shared" si="8"/>
        <v>35493.479999999981</v>
      </c>
      <c r="J101" s="28">
        <f t="shared" si="9"/>
        <v>-853.5</v>
      </c>
    </row>
    <row r="102" spans="1:10" x14ac:dyDescent="0.2">
      <c r="A102">
        <v>278</v>
      </c>
      <c r="B102">
        <v>1</v>
      </c>
      <c r="C102" s="3" t="s">
        <v>135</v>
      </c>
      <c r="D102" s="29">
        <v>16504903.030000001</v>
      </c>
      <c r="E102" s="26">
        <f t="shared" si="6"/>
        <v>463908.84</v>
      </c>
      <c r="F102" s="26">
        <f t="shared" si="7"/>
        <v>417517.96</v>
      </c>
      <c r="G102" s="26">
        <v>448742.08</v>
      </c>
      <c r="H102" s="26">
        <v>403867.87</v>
      </c>
      <c r="I102" s="26">
        <f t="shared" si="8"/>
        <v>60040.97000000003</v>
      </c>
      <c r="J102" s="28">
        <f t="shared" si="9"/>
        <v>13650.090000000026</v>
      </c>
    </row>
    <row r="103" spans="1:10" x14ac:dyDescent="0.2">
      <c r="A103">
        <v>279</v>
      </c>
      <c r="B103">
        <v>1</v>
      </c>
      <c r="C103" s="3" t="s">
        <v>136</v>
      </c>
      <c r="D103" s="29">
        <v>144591209.46000001</v>
      </c>
      <c r="E103" s="26">
        <f t="shared" si="6"/>
        <v>4064073.54</v>
      </c>
      <c r="F103" s="26">
        <f t="shared" si="7"/>
        <v>3657666.19</v>
      </c>
      <c r="G103" s="26">
        <v>4029151.13</v>
      </c>
      <c r="H103" s="26">
        <v>3626236.02</v>
      </c>
      <c r="I103" s="26">
        <f t="shared" si="8"/>
        <v>437837.52</v>
      </c>
      <c r="J103" s="28">
        <f t="shared" si="9"/>
        <v>31430.169999999925</v>
      </c>
    </row>
    <row r="104" spans="1:10" x14ac:dyDescent="0.2">
      <c r="A104">
        <v>280</v>
      </c>
      <c r="B104">
        <v>1</v>
      </c>
      <c r="C104" s="3" t="s">
        <v>137</v>
      </c>
      <c r="D104" s="29">
        <v>30054083.360000003</v>
      </c>
      <c r="E104" s="26">
        <f t="shared" si="6"/>
        <v>844740.18</v>
      </c>
      <c r="F104" s="26">
        <f t="shared" si="7"/>
        <v>760266.16</v>
      </c>
      <c r="G104" s="26">
        <v>814933.62</v>
      </c>
      <c r="H104" s="26">
        <v>733440.26</v>
      </c>
      <c r="I104" s="26">
        <f t="shared" si="8"/>
        <v>111299.92000000004</v>
      </c>
      <c r="J104" s="28">
        <f t="shared" si="9"/>
        <v>26825.900000000023</v>
      </c>
    </row>
    <row r="105" spans="1:10" x14ac:dyDescent="0.2">
      <c r="A105">
        <v>281</v>
      </c>
      <c r="B105">
        <v>1</v>
      </c>
      <c r="C105" s="3" t="s">
        <v>138</v>
      </c>
      <c r="D105" s="29">
        <v>75538551.87000002</v>
      </c>
      <c r="E105" s="26">
        <f t="shared" si="6"/>
        <v>2123187.37</v>
      </c>
      <c r="F105" s="26">
        <f t="shared" si="7"/>
        <v>1910868.63</v>
      </c>
      <c r="G105" s="26">
        <v>2135663.67</v>
      </c>
      <c r="H105" s="26">
        <v>1922097.3</v>
      </c>
      <c r="I105" s="26">
        <f t="shared" si="8"/>
        <v>201090.07000000007</v>
      </c>
      <c r="J105" s="28">
        <f t="shared" si="9"/>
        <v>-11228.670000000158</v>
      </c>
    </row>
    <row r="106" spans="1:10" x14ac:dyDescent="0.2">
      <c r="A106">
        <v>282</v>
      </c>
      <c r="B106">
        <v>1</v>
      </c>
      <c r="C106" s="3" t="s">
        <v>139</v>
      </c>
      <c r="D106" s="29">
        <v>11444774.760000002</v>
      </c>
      <c r="E106" s="26">
        <f t="shared" si="6"/>
        <v>321682.12</v>
      </c>
      <c r="F106" s="26">
        <f t="shared" si="7"/>
        <v>289513.90999999997</v>
      </c>
      <c r="G106" s="26">
        <v>300881.18</v>
      </c>
      <c r="H106" s="26">
        <v>270793.06</v>
      </c>
      <c r="I106" s="26">
        <f t="shared" si="8"/>
        <v>50889.06</v>
      </c>
      <c r="J106" s="28">
        <f t="shared" si="9"/>
        <v>18720.849999999977</v>
      </c>
    </row>
    <row r="107" spans="1:10" x14ac:dyDescent="0.2">
      <c r="A107">
        <v>283</v>
      </c>
      <c r="B107">
        <v>1</v>
      </c>
      <c r="C107" s="3" t="s">
        <v>140</v>
      </c>
      <c r="D107" s="29">
        <v>27684369.240000002</v>
      </c>
      <c r="E107" s="26">
        <f t="shared" si="6"/>
        <v>778133.84</v>
      </c>
      <c r="F107" s="26">
        <f t="shared" si="7"/>
        <v>700320.46</v>
      </c>
      <c r="G107" s="26">
        <v>767117.04</v>
      </c>
      <c r="H107" s="26">
        <v>690405.34</v>
      </c>
      <c r="I107" s="26">
        <f t="shared" si="8"/>
        <v>87728.5</v>
      </c>
      <c r="J107" s="28">
        <f t="shared" si="9"/>
        <v>9915.1199999999953</v>
      </c>
    </row>
    <row r="108" spans="1:10" x14ac:dyDescent="0.2">
      <c r="A108">
        <v>284</v>
      </c>
      <c r="B108">
        <v>1</v>
      </c>
      <c r="C108" s="3" t="s">
        <v>141</v>
      </c>
      <c r="D108" s="29">
        <v>56758229.939999998</v>
      </c>
      <c r="E108" s="26">
        <f t="shared" si="6"/>
        <v>1595322.57</v>
      </c>
      <c r="F108" s="26">
        <f t="shared" si="7"/>
        <v>1435790.31</v>
      </c>
      <c r="G108" s="26">
        <v>1535193.4</v>
      </c>
      <c r="H108" s="26">
        <v>1381674.06</v>
      </c>
      <c r="I108" s="26">
        <f t="shared" si="8"/>
        <v>213648.51</v>
      </c>
      <c r="J108" s="28">
        <f t="shared" si="9"/>
        <v>54116.25</v>
      </c>
    </row>
    <row r="109" spans="1:10" x14ac:dyDescent="0.2">
      <c r="A109">
        <v>286</v>
      </c>
      <c r="B109">
        <v>1</v>
      </c>
      <c r="C109" s="3" t="s">
        <v>142</v>
      </c>
      <c r="D109" s="29">
        <v>18897590.830000002</v>
      </c>
      <c r="E109" s="26">
        <f t="shared" si="6"/>
        <v>531160.91</v>
      </c>
      <c r="F109" s="26">
        <f t="shared" si="7"/>
        <v>478044.82</v>
      </c>
      <c r="G109" s="26">
        <v>514034.74</v>
      </c>
      <c r="H109" s="26">
        <v>462631.27</v>
      </c>
      <c r="I109" s="26">
        <f t="shared" si="8"/>
        <v>68529.640000000014</v>
      </c>
      <c r="J109" s="28">
        <f t="shared" si="9"/>
        <v>15413.549999999988</v>
      </c>
    </row>
    <row r="110" spans="1:10" x14ac:dyDescent="0.2">
      <c r="A110">
        <v>287</v>
      </c>
      <c r="B110">
        <v>6</v>
      </c>
      <c r="C110" s="3" t="s">
        <v>143</v>
      </c>
      <c r="D110" s="29">
        <v>39738018.560000002</v>
      </c>
      <c r="E110" s="26">
        <f t="shared" si="6"/>
        <v>1116929.79</v>
      </c>
      <c r="F110" s="26">
        <f t="shared" si="7"/>
        <v>1005236.81</v>
      </c>
      <c r="G110" s="26">
        <v>883799.65</v>
      </c>
      <c r="H110" s="26">
        <v>795419.69</v>
      </c>
      <c r="I110" s="26">
        <f t="shared" si="8"/>
        <v>321510.10000000009</v>
      </c>
      <c r="J110" s="28">
        <f t="shared" si="9"/>
        <v>209817.12000000011</v>
      </c>
    </row>
    <row r="111" spans="1:10" x14ac:dyDescent="0.2">
      <c r="A111">
        <v>294</v>
      </c>
      <c r="B111">
        <v>1</v>
      </c>
      <c r="C111" s="3" t="s">
        <v>144</v>
      </c>
      <c r="D111" s="29">
        <v>13875819.819999998</v>
      </c>
      <c r="E111" s="26">
        <f t="shared" si="6"/>
        <v>390012.31</v>
      </c>
      <c r="F111" s="26">
        <f t="shared" si="7"/>
        <v>351011.08</v>
      </c>
      <c r="G111" s="26">
        <v>368444.22</v>
      </c>
      <c r="H111" s="26">
        <v>331599.8</v>
      </c>
      <c r="I111" s="26">
        <f t="shared" si="8"/>
        <v>58412.510000000009</v>
      </c>
      <c r="J111" s="28">
        <f t="shared" si="9"/>
        <v>19411.280000000028</v>
      </c>
    </row>
    <row r="112" spans="1:10" x14ac:dyDescent="0.2">
      <c r="A112">
        <v>297</v>
      </c>
      <c r="B112">
        <v>1</v>
      </c>
      <c r="C112" s="3" t="s">
        <v>145</v>
      </c>
      <c r="D112" s="29">
        <v>2174953.7899999996</v>
      </c>
      <c r="E112" s="26">
        <f t="shared" si="6"/>
        <v>61132.15</v>
      </c>
      <c r="F112" s="26">
        <f t="shared" si="7"/>
        <v>55018.94</v>
      </c>
      <c r="G112" s="26">
        <v>59451.74</v>
      </c>
      <c r="H112" s="26">
        <v>53506.57</v>
      </c>
      <c r="I112" s="26">
        <f t="shared" si="8"/>
        <v>7625.5800000000017</v>
      </c>
      <c r="J112" s="28">
        <f t="shared" si="9"/>
        <v>1512.3700000000026</v>
      </c>
    </row>
    <row r="113" spans="1:10" x14ac:dyDescent="0.2">
      <c r="A113">
        <v>299</v>
      </c>
      <c r="B113">
        <v>1</v>
      </c>
      <c r="C113" s="3" t="s">
        <v>146</v>
      </c>
      <c r="D113" s="29">
        <v>5440275.919999999</v>
      </c>
      <c r="E113" s="26">
        <f t="shared" si="6"/>
        <v>152911.66</v>
      </c>
      <c r="F113" s="26">
        <f t="shared" si="7"/>
        <v>137620.49</v>
      </c>
      <c r="G113" s="26">
        <v>156119.53</v>
      </c>
      <c r="H113" s="26">
        <v>140507.57999999999</v>
      </c>
      <c r="I113" s="26">
        <f t="shared" si="8"/>
        <v>12404.080000000016</v>
      </c>
      <c r="J113" s="28">
        <f t="shared" si="9"/>
        <v>-2887.0899999999965</v>
      </c>
    </row>
    <row r="114" spans="1:10" x14ac:dyDescent="0.2">
      <c r="A114">
        <v>300</v>
      </c>
      <c r="B114">
        <v>1</v>
      </c>
      <c r="C114" s="3" t="s">
        <v>147</v>
      </c>
      <c r="D114" s="29">
        <v>9582585.4700000025</v>
      </c>
      <c r="E114" s="26">
        <f t="shared" si="6"/>
        <v>269340.94</v>
      </c>
      <c r="F114" s="26">
        <f t="shared" si="7"/>
        <v>242406.85</v>
      </c>
      <c r="G114" s="26">
        <v>264920.92</v>
      </c>
      <c r="H114" s="26">
        <v>238428.83</v>
      </c>
      <c r="I114" s="26">
        <f t="shared" si="8"/>
        <v>30912.110000000015</v>
      </c>
      <c r="J114" s="28">
        <f t="shared" si="9"/>
        <v>3978.0200000000186</v>
      </c>
    </row>
    <row r="115" spans="1:10" x14ac:dyDescent="0.2">
      <c r="A115">
        <v>306</v>
      </c>
      <c r="B115">
        <v>1</v>
      </c>
      <c r="C115" s="3" t="s">
        <v>148</v>
      </c>
      <c r="D115" s="29">
        <v>2160924.3299999996</v>
      </c>
      <c r="E115" s="26">
        <f t="shared" si="6"/>
        <v>60737.82</v>
      </c>
      <c r="F115" s="26">
        <f t="shared" si="7"/>
        <v>54664.04</v>
      </c>
      <c r="G115" s="26">
        <v>62557.22</v>
      </c>
      <c r="H115" s="26">
        <v>56301.5</v>
      </c>
      <c r="I115" s="26">
        <f t="shared" si="8"/>
        <v>4436.32</v>
      </c>
      <c r="J115" s="28">
        <f t="shared" si="9"/>
        <v>-1637.4599999999991</v>
      </c>
    </row>
    <row r="116" spans="1:10" x14ac:dyDescent="0.2">
      <c r="A116">
        <v>308</v>
      </c>
      <c r="B116">
        <v>1</v>
      </c>
      <c r="C116" s="3" t="s">
        <v>149</v>
      </c>
      <c r="D116" s="29">
        <v>4024514.2</v>
      </c>
      <c r="E116" s="26">
        <f t="shared" si="6"/>
        <v>113118.37</v>
      </c>
      <c r="F116" s="26">
        <f t="shared" si="7"/>
        <v>101806.53</v>
      </c>
      <c r="G116" s="26">
        <v>109415.17</v>
      </c>
      <c r="H116" s="26">
        <v>98473.65</v>
      </c>
      <c r="I116" s="26">
        <f t="shared" si="8"/>
        <v>14644.720000000001</v>
      </c>
      <c r="J116" s="28">
        <f t="shared" si="9"/>
        <v>3332.8800000000047</v>
      </c>
    </row>
    <row r="117" spans="1:10" x14ac:dyDescent="0.2">
      <c r="A117">
        <v>309</v>
      </c>
      <c r="B117">
        <v>1</v>
      </c>
      <c r="C117" s="3" t="s">
        <v>150</v>
      </c>
      <c r="D117" s="29">
        <v>10884014.27</v>
      </c>
      <c r="E117" s="26">
        <f t="shared" si="6"/>
        <v>305920.63</v>
      </c>
      <c r="F117" s="26">
        <f t="shared" si="7"/>
        <v>275328.57</v>
      </c>
      <c r="G117" s="26">
        <v>296623.95</v>
      </c>
      <c r="H117" s="26">
        <v>266961.56</v>
      </c>
      <c r="I117" s="26">
        <f t="shared" si="8"/>
        <v>38959.070000000007</v>
      </c>
      <c r="J117" s="28">
        <f t="shared" si="9"/>
        <v>8367.0100000000093</v>
      </c>
    </row>
    <row r="118" spans="1:10" x14ac:dyDescent="0.2">
      <c r="A118">
        <v>314</v>
      </c>
      <c r="B118">
        <v>1</v>
      </c>
      <c r="C118" s="3" t="s">
        <v>151</v>
      </c>
      <c r="D118" s="29">
        <v>6500702.46</v>
      </c>
      <c r="E118" s="26">
        <f t="shared" si="6"/>
        <v>182717.42</v>
      </c>
      <c r="F118" s="26">
        <f t="shared" si="7"/>
        <v>164445.68</v>
      </c>
      <c r="G118" s="26">
        <v>188362.94</v>
      </c>
      <c r="H118" s="26">
        <v>169526.65</v>
      </c>
      <c r="I118" s="26">
        <f t="shared" si="8"/>
        <v>13190.770000000019</v>
      </c>
      <c r="J118" s="28">
        <f t="shared" si="9"/>
        <v>-5080.9700000000012</v>
      </c>
    </row>
    <row r="119" spans="1:10" x14ac:dyDescent="0.2">
      <c r="A119">
        <v>316</v>
      </c>
      <c r="B119">
        <v>1</v>
      </c>
      <c r="C119" s="3" t="s">
        <v>152</v>
      </c>
      <c r="D119" s="29">
        <v>8554454.2000000011</v>
      </c>
      <c r="E119" s="26">
        <f t="shared" si="6"/>
        <v>240442.91</v>
      </c>
      <c r="F119" s="26">
        <f t="shared" si="7"/>
        <v>216398.62</v>
      </c>
      <c r="G119" s="26">
        <v>231581.14</v>
      </c>
      <c r="H119" s="26">
        <v>208423.03</v>
      </c>
      <c r="I119" s="26">
        <f t="shared" si="8"/>
        <v>32019.880000000005</v>
      </c>
      <c r="J119" s="28">
        <f t="shared" si="9"/>
        <v>7975.5899999999965</v>
      </c>
    </row>
    <row r="120" spans="1:10" x14ac:dyDescent="0.2">
      <c r="A120">
        <v>317</v>
      </c>
      <c r="B120">
        <v>1</v>
      </c>
      <c r="C120" s="3" t="s">
        <v>153</v>
      </c>
      <c r="D120" s="29">
        <v>7445429.8700000001</v>
      </c>
      <c r="E120" s="26">
        <f t="shared" si="6"/>
        <v>209271.19</v>
      </c>
      <c r="F120" s="26">
        <f t="shared" si="7"/>
        <v>188344.07</v>
      </c>
      <c r="G120" s="26">
        <v>203394.38</v>
      </c>
      <c r="H120" s="26">
        <v>183054.94</v>
      </c>
      <c r="I120" s="26">
        <f t="shared" si="8"/>
        <v>26216.25</v>
      </c>
      <c r="J120" s="28">
        <f t="shared" si="9"/>
        <v>5289.1300000000047</v>
      </c>
    </row>
    <row r="121" spans="1:10" x14ac:dyDescent="0.2">
      <c r="A121">
        <v>318</v>
      </c>
      <c r="B121">
        <v>1</v>
      </c>
      <c r="C121" s="3" t="s">
        <v>154</v>
      </c>
      <c r="D121" s="29">
        <v>27744286.590000004</v>
      </c>
      <c r="E121" s="26">
        <f t="shared" si="6"/>
        <v>779817.95</v>
      </c>
      <c r="F121" s="26">
        <f t="shared" si="7"/>
        <v>701836.16</v>
      </c>
      <c r="G121" s="26">
        <v>785923.83</v>
      </c>
      <c r="H121" s="26">
        <v>707331.45</v>
      </c>
      <c r="I121" s="26">
        <f t="shared" si="8"/>
        <v>72486.5</v>
      </c>
      <c r="J121" s="28">
        <f t="shared" si="9"/>
        <v>-5495.2899999999208</v>
      </c>
    </row>
    <row r="122" spans="1:10" x14ac:dyDescent="0.2">
      <c r="A122">
        <v>319</v>
      </c>
      <c r="B122">
        <v>1</v>
      </c>
      <c r="C122" s="3" t="s">
        <v>155</v>
      </c>
      <c r="D122" s="29">
        <v>4907474.629999999</v>
      </c>
      <c r="E122" s="26">
        <f t="shared" si="6"/>
        <v>137936.03</v>
      </c>
      <c r="F122" s="26">
        <f t="shared" si="7"/>
        <v>124142.43</v>
      </c>
      <c r="G122" s="26">
        <v>142409.35</v>
      </c>
      <c r="H122" s="26">
        <v>128168.42</v>
      </c>
      <c r="I122" s="26">
        <f t="shared" si="8"/>
        <v>9767.61</v>
      </c>
      <c r="J122" s="28">
        <f t="shared" si="9"/>
        <v>-4025.9900000000052</v>
      </c>
    </row>
    <row r="123" spans="1:10" x14ac:dyDescent="0.2">
      <c r="A123">
        <v>323</v>
      </c>
      <c r="B123">
        <v>2</v>
      </c>
      <c r="C123" s="3" t="s">
        <v>156</v>
      </c>
      <c r="D123" s="29">
        <v>117963.93</v>
      </c>
      <c r="E123" s="26">
        <f t="shared" si="6"/>
        <v>3315.65</v>
      </c>
      <c r="F123" s="26">
        <f t="shared" si="7"/>
        <v>2984.09</v>
      </c>
      <c r="G123" s="26">
        <v>5281.95</v>
      </c>
      <c r="H123" s="26">
        <v>4753.76</v>
      </c>
      <c r="I123" s="26">
        <f t="shared" si="8"/>
        <v>-1438.1100000000001</v>
      </c>
      <c r="J123" s="28">
        <f t="shared" si="9"/>
        <v>-1769.67</v>
      </c>
    </row>
    <row r="124" spans="1:10" x14ac:dyDescent="0.2">
      <c r="A124">
        <v>330</v>
      </c>
      <c r="B124">
        <v>1</v>
      </c>
      <c r="C124" s="3" t="s">
        <v>157</v>
      </c>
      <c r="D124" s="29">
        <v>2697515.25</v>
      </c>
      <c r="E124" s="26">
        <f t="shared" si="6"/>
        <v>75819.960000000006</v>
      </c>
      <c r="F124" s="26">
        <f t="shared" si="7"/>
        <v>68237.960000000006</v>
      </c>
      <c r="G124" s="26">
        <v>68431.59</v>
      </c>
      <c r="H124" s="26">
        <v>61588.43</v>
      </c>
      <c r="I124" s="26">
        <f t="shared" si="8"/>
        <v>14231.530000000006</v>
      </c>
      <c r="J124" s="28">
        <f t="shared" si="9"/>
        <v>6649.5300000000061</v>
      </c>
    </row>
    <row r="125" spans="1:10" x14ac:dyDescent="0.2">
      <c r="A125">
        <v>332</v>
      </c>
      <c r="B125">
        <v>1</v>
      </c>
      <c r="C125" s="3" t="s">
        <v>158</v>
      </c>
      <c r="D125" s="29">
        <v>12441147.890000001</v>
      </c>
      <c r="E125" s="26">
        <f t="shared" si="6"/>
        <v>349687.51</v>
      </c>
      <c r="F125" s="26">
        <f t="shared" si="7"/>
        <v>314718.76</v>
      </c>
      <c r="G125" s="26">
        <v>342721.73</v>
      </c>
      <c r="H125" s="26">
        <v>308449.56</v>
      </c>
      <c r="I125" s="26">
        <f t="shared" si="8"/>
        <v>41237.950000000012</v>
      </c>
      <c r="J125" s="28">
        <f t="shared" si="9"/>
        <v>6269.2000000000116</v>
      </c>
    </row>
    <row r="126" spans="1:10" x14ac:dyDescent="0.2">
      <c r="A126">
        <v>333</v>
      </c>
      <c r="B126">
        <v>1</v>
      </c>
      <c r="C126" s="3" t="s">
        <v>159</v>
      </c>
      <c r="D126" s="29">
        <v>4432654.2600000007</v>
      </c>
      <c r="E126" s="26">
        <f t="shared" si="6"/>
        <v>124590.1</v>
      </c>
      <c r="F126" s="26">
        <f t="shared" si="7"/>
        <v>112131.09</v>
      </c>
      <c r="G126" s="26">
        <v>130744.61</v>
      </c>
      <c r="H126" s="26">
        <v>117670.15</v>
      </c>
      <c r="I126" s="26">
        <f t="shared" si="8"/>
        <v>6919.9500000000116</v>
      </c>
      <c r="J126" s="28">
        <f t="shared" si="9"/>
        <v>-5539.0599999999977</v>
      </c>
    </row>
    <row r="127" spans="1:10" x14ac:dyDescent="0.2">
      <c r="A127">
        <v>345</v>
      </c>
      <c r="B127">
        <v>1</v>
      </c>
      <c r="C127" s="3" t="s">
        <v>160</v>
      </c>
      <c r="D127" s="29">
        <v>9424066.1300000008</v>
      </c>
      <c r="E127" s="26">
        <f t="shared" si="6"/>
        <v>264885.38</v>
      </c>
      <c r="F127" s="26">
        <f t="shared" si="7"/>
        <v>238396.84</v>
      </c>
      <c r="G127" s="26">
        <v>261840.42</v>
      </c>
      <c r="H127" s="26">
        <v>235656.38</v>
      </c>
      <c r="I127" s="26">
        <f t="shared" si="8"/>
        <v>29229</v>
      </c>
      <c r="J127" s="28">
        <f t="shared" si="9"/>
        <v>2740.4599999999919</v>
      </c>
    </row>
    <row r="128" spans="1:10" x14ac:dyDescent="0.2">
      <c r="A128">
        <v>347</v>
      </c>
      <c r="B128">
        <v>1</v>
      </c>
      <c r="C128" s="3" t="s">
        <v>161</v>
      </c>
      <c r="D128" s="29">
        <v>31736905.440000001</v>
      </c>
      <c r="E128" s="26">
        <f t="shared" si="6"/>
        <v>892039.83</v>
      </c>
      <c r="F128" s="26">
        <f t="shared" si="7"/>
        <v>802835.85</v>
      </c>
      <c r="G128" s="26">
        <v>913473.11</v>
      </c>
      <c r="H128" s="26">
        <v>822125.8</v>
      </c>
      <c r="I128" s="26">
        <f t="shared" si="8"/>
        <v>69914.029999999912</v>
      </c>
      <c r="J128" s="28">
        <f t="shared" si="9"/>
        <v>-19289.95000000007</v>
      </c>
    </row>
    <row r="129" spans="1:10" x14ac:dyDescent="0.2">
      <c r="A129">
        <v>356</v>
      </c>
      <c r="B129">
        <v>1</v>
      </c>
      <c r="C129" s="3" t="s">
        <v>162</v>
      </c>
      <c r="D129" s="29">
        <v>1587050.9900000002</v>
      </c>
      <c r="E129" s="26">
        <f t="shared" si="6"/>
        <v>44607.77</v>
      </c>
      <c r="F129" s="26">
        <f t="shared" si="7"/>
        <v>40146.99</v>
      </c>
      <c r="G129" s="26">
        <v>45649.82</v>
      </c>
      <c r="H129" s="26">
        <v>41084.839999999997</v>
      </c>
      <c r="I129" s="26">
        <f t="shared" si="8"/>
        <v>3522.9300000000003</v>
      </c>
      <c r="J129" s="28">
        <f t="shared" si="9"/>
        <v>-937.84999999999854</v>
      </c>
    </row>
    <row r="130" spans="1:10" x14ac:dyDescent="0.2">
      <c r="A130">
        <v>361</v>
      </c>
      <c r="B130">
        <v>1</v>
      </c>
      <c r="C130" s="3" t="s">
        <v>163</v>
      </c>
      <c r="D130" s="29">
        <v>8686158.4900000002</v>
      </c>
      <c r="E130" s="26">
        <f t="shared" si="6"/>
        <v>244144.77</v>
      </c>
      <c r="F130" s="26">
        <f t="shared" si="7"/>
        <v>219730.29</v>
      </c>
      <c r="G130" s="26">
        <v>237785.99</v>
      </c>
      <c r="H130" s="26">
        <v>214007.39</v>
      </c>
      <c r="I130" s="26">
        <f t="shared" si="8"/>
        <v>30137.379999999976</v>
      </c>
      <c r="J130" s="28">
        <f t="shared" si="9"/>
        <v>5722.8999999999942</v>
      </c>
    </row>
    <row r="131" spans="1:10" x14ac:dyDescent="0.2">
      <c r="A131">
        <v>362</v>
      </c>
      <c r="B131">
        <v>1</v>
      </c>
      <c r="C131" s="3" t="s">
        <v>164</v>
      </c>
      <c r="D131" s="29">
        <v>2940119.1899999995</v>
      </c>
      <c r="E131" s="26">
        <f t="shared" si="6"/>
        <v>82638.91</v>
      </c>
      <c r="F131" s="26">
        <f t="shared" si="7"/>
        <v>74375.02</v>
      </c>
      <c r="G131" s="26">
        <v>83264.570000000007</v>
      </c>
      <c r="H131" s="26">
        <v>74938.11</v>
      </c>
      <c r="I131" s="26">
        <f t="shared" si="8"/>
        <v>7700.8000000000029</v>
      </c>
      <c r="J131" s="28">
        <f t="shared" si="9"/>
        <v>-563.08999999999651</v>
      </c>
    </row>
    <row r="132" spans="1:10" x14ac:dyDescent="0.2">
      <c r="A132">
        <v>363</v>
      </c>
      <c r="B132">
        <v>1</v>
      </c>
      <c r="C132" s="3" t="s">
        <v>165</v>
      </c>
      <c r="D132" s="29">
        <v>4516179.7700000005</v>
      </c>
      <c r="E132" s="26">
        <f t="shared" si="6"/>
        <v>126937.78</v>
      </c>
      <c r="F132" s="26">
        <f t="shared" si="7"/>
        <v>114244</v>
      </c>
      <c r="G132" s="26">
        <v>124574.9</v>
      </c>
      <c r="H132" s="26">
        <v>112117.41</v>
      </c>
      <c r="I132" s="26">
        <f t="shared" si="8"/>
        <v>14820.369999999995</v>
      </c>
      <c r="J132" s="28">
        <f t="shared" si="9"/>
        <v>2126.5899999999965</v>
      </c>
    </row>
    <row r="133" spans="1:10" x14ac:dyDescent="0.2">
      <c r="A133">
        <v>378</v>
      </c>
      <c r="B133">
        <v>1</v>
      </c>
      <c r="C133" s="3" t="s">
        <v>166</v>
      </c>
      <c r="D133" s="29">
        <v>3919011.21</v>
      </c>
      <c r="E133" s="26">
        <f t="shared" si="6"/>
        <v>110152.96000000001</v>
      </c>
      <c r="F133" s="26">
        <f t="shared" si="7"/>
        <v>99137.66</v>
      </c>
      <c r="G133" s="26">
        <v>104919.5</v>
      </c>
      <c r="H133" s="26">
        <v>94427.55</v>
      </c>
      <c r="I133" s="26">
        <f t="shared" si="8"/>
        <v>15725.410000000003</v>
      </c>
      <c r="J133" s="28">
        <f t="shared" si="9"/>
        <v>4710.1100000000006</v>
      </c>
    </row>
    <row r="134" spans="1:10" x14ac:dyDescent="0.2">
      <c r="A134">
        <v>381</v>
      </c>
      <c r="B134">
        <v>1</v>
      </c>
      <c r="C134" s="3" t="s">
        <v>167</v>
      </c>
      <c r="D134" s="29">
        <v>10503041.030000001</v>
      </c>
      <c r="E134" s="26">
        <f t="shared" si="6"/>
        <v>295212.49</v>
      </c>
      <c r="F134" s="26">
        <f t="shared" si="7"/>
        <v>265691.24</v>
      </c>
      <c r="G134" s="26">
        <v>295544.08</v>
      </c>
      <c r="H134" s="26">
        <v>265989.67</v>
      </c>
      <c r="I134" s="26">
        <f t="shared" si="8"/>
        <v>29222.820000000007</v>
      </c>
      <c r="J134" s="28">
        <f t="shared" si="9"/>
        <v>-298.42999999999302</v>
      </c>
    </row>
    <row r="135" spans="1:10" x14ac:dyDescent="0.2">
      <c r="A135">
        <v>390</v>
      </c>
      <c r="B135">
        <v>1</v>
      </c>
      <c r="C135" s="3" t="s">
        <v>168</v>
      </c>
      <c r="D135" s="29">
        <v>4341168.3099999996</v>
      </c>
      <c r="E135" s="26">
        <f t="shared" si="6"/>
        <v>122018.67</v>
      </c>
      <c r="F135" s="26">
        <f t="shared" si="7"/>
        <v>109816.8</v>
      </c>
      <c r="G135" s="26">
        <v>123857.76</v>
      </c>
      <c r="H135" s="26">
        <v>111471.98</v>
      </c>
      <c r="I135" s="26">
        <f t="shared" si="8"/>
        <v>10546.690000000002</v>
      </c>
      <c r="J135" s="28">
        <f t="shared" si="9"/>
        <v>-1655.179999999993</v>
      </c>
    </row>
    <row r="136" spans="1:10" x14ac:dyDescent="0.2">
      <c r="A136">
        <v>391</v>
      </c>
      <c r="B136">
        <v>1</v>
      </c>
      <c r="C136" s="3" t="s">
        <v>169</v>
      </c>
      <c r="D136" s="29">
        <v>2407275.06</v>
      </c>
      <c r="E136" s="26">
        <f t="shared" si="6"/>
        <v>67662.09</v>
      </c>
      <c r="F136" s="26">
        <f t="shared" si="7"/>
        <v>60895.88</v>
      </c>
      <c r="G136" s="26">
        <v>67845.429999999993</v>
      </c>
      <c r="H136" s="26">
        <v>61060.89</v>
      </c>
      <c r="I136" s="26">
        <f t="shared" si="8"/>
        <v>6601.1999999999971</v>
      </c>
      <c r="J136" s="28">
        <f t="shared" si="9"/>
        <v>-165.01000000000204</v>
      </c>
    </row>
    <row r="137" spans="1:10" x14ac:dyDescent="0.2">
      <c r="A137">
        <v>392</v>
      </c>
      <c r="B137">
        <v>1</v>
      </c>
      <c r="C137" s="3" t="s">
        <v>170</v>
      </c>
      <c r="D137" s="29">
        <v>4486893.41</v>
      </c>
      <c r="E137" s="26">
        <f t="shared" si="6"/>
        <v>126114.62</v>
      </c>
      <c r="F137" s="26">
        <f t="shared" si="7"/>
        <v>113503.16</v>
      </c>
      <c r="G137" s="26">
        <v>132429.34</v>
      </c>
      <c r="H137" s="26">
        <v>119186.41</v>
      </c>
      <c r="I137" s="26">
        <f t="shared" si="8"/>
        <v>6928.2099999999919</v>
      </c>
      <c r="J137" s="28">
        <f t="shared" si="9"/>
        <v>-5683.25</v>
      </c>
    </row>
    <row r="138" spans="1:10" x14ac:dyDescent="0.2">
      <c r="A138">
        <v>394</v>
      </c>
      <c r="B138">
        <v>1</v>
      </c>
      <c r="C138" s="3" t="s">
        <v>171</v>
      </c>
      <c r="D138" s="29">
        <v>7048296.7399999993</v>
      </c>
      <c r="E138" s="26">
        <f t="shared" si="6"/>
        <v>198108.84</v>
      </c>
      <c r="F138" s="26">
        <f t="shared" si="7"/>
        <v>178297.96</v>
      </c>
      <c r="G138" s="26">
        <v>208328.19</v>
      </c>
      <c r="H138" s="26">
        <v>187495.37</v>
      </c>
      <c r="I138" s="26">
        <f t="shared" si="8"/>
        <v>10613.470000000001</v>
      </c>
      <c r="J138" s="28">
        <f t="shared" si="9"/>
        <v>-9197.4100000000035</v>
      </c>
    </row>
    <row r="139" spans="1:10" x14ac:dyDescent="0.2">
      <c r="A139">
        <v>397</v>
      </c>
      <c r="B139">
        <v>52</v>
      </c>
      <c r="C139" s="3" t="s">
        <v>172</v>
      </c>
      <c r="D139" s="29">
        <v>532932.86</v>
      </c>
      <c r="E139" s="26">
        <f t="shared" si="6"/>
        <v>14979.32</v>
      </c>
      <c r="F139" s="26">
        <f t="shared" si="7"/>
        <v>13481.39</v>
      </c>
      <c r="G139" s="26">
        <v>12711.52</v>
      </c>
      <c r="H139" s="26">
        <v>11440.37</v>
      </c>
      <c r="I139" s="26">
        <f t="shared" si="8"/>
        <v>3538.9499999999989</v>
      </c>
      <c r="J139" s="28">
        <f t="shared" si="9"/>
        <v>2041.0199999999986</v>
      </c>
    </row>
    <row r="140" spans="1:10" x14ac:dyDescent="0.2">
      <c r="A140">
        <v>402</v>
      </c>
      <c r="B140">
        <v>1</v>
      </c>
      <c r="C140" s="3" t="s">
        <v>173</v>
      </c>
      <c r="D140" s="29">
        <v>940170.92999999993</v>
      </c>
      <c r="E140" s="26">
        <f t="shared" si="6"/>
        <v>26425.7</v>
      </c>
      <c r="F140" s="26">
        <f t="shared" si="7"/>
        <v>23783.13</v>
      </c>
      <c r="G140" s="26">
        <v>26912.07</v>
      </c>
      <c r="H140" s="26">
        <v>24220.86</v>
      </c>
      <c r="I140" s="26">
        <f t="shared" si="8"/>
        <v>2204.84</v>
      </c>
      <c r="J140" s="28">
        <f t="shared" si="9"/>
        <v>-437.72999999999956</v>
      </c>
    </row>
    <row r="141" spans="1:10" x14ac:dyDescent="0.2">
      <c r="A141">
        <v>403</v>
      </c>
      <c r="B141">
        <v>1</v>
      </c>
      <c r="C141" s="3" t="s">
        <v>174</v>
      </c>
      <c r="D141" s="29">
        <v>1252090.6300000001</v>
      </c>
      <c r="E141" s="26">
        <f t="shared" si="6"/>
        <v>35192.93</v>
      </c>
      <c r="F141" s="26">
        <f t="shared" si="7"/>
        <v>31673.64</v>
      </c>
      <c r="G141" s="26">
        <v>34735.64</v>
      </c>
      <c r="H141" s="26">
        <v>31262.080000000002</v>
      </c>
      <c r="I141" s="26">
        <f t="shared" si="8"/>
        <v>3930.8499999999985</v>
      </c>
      <c r="J141" s="28">
        <f t="shared" si="9"/>
        <v>411.55999999999767</v>
      </c>
    </row>
    <row r="142" spans="1:10" x14ac:dyDescent="0.2">
      <c r="A142">
        <v>404</v>
      </c>
      <c r="B142">
        <v>1</v>
      </c>
      <c r="C142" s="3" t="s">
        <v>175</v>
      </c>
      <c r="D142" s="29">
        <v>1165729.0499999998</v>
      </c>
      <c r="E142" s="26">
        <f t="shared" si="6"/>
        <v>32765.54</v>
      </c>
      <c r="F142" s="26">
        <f t="shared" si="7"/>
        <v>29488.99</v>
      </c>
      <c r="G142" s="26">
        <v>32927.699999999997</v>
      </c>
      <c r="H142" s="26">
        <v>29634.93</v>
      </c>
      <c r="I142" s="26">
        <f t="shared" si="8"/>
        <v>3130.6100000000006</v>
      </c>
      <c r="J142" s="28">
        <f t="shared" si="9"/>
        <v>-145.93999999999869</v>
      </c>
    </row>
    <row r="143" spans="1:10" x14ac:dyDescent="0.2">
      <c r="A143">
        <v>413</v>
      </c>
      <c r="B143">
        <v>1</v>
      </c>
      <c r="C143" s="3" t="s">
        <v>176</v>
      </c>
      <c r="D143" s="29">
        <v>15657778.260000002</v>
      </c>
      <c r="E143" s="26">
        <f t="shared" si="6"/>
        <v>440098.42</v>
      </c>
      <c r="F143" s="26">
        <f t="shared" si="7"/>
        <v>396088.58</v>
      </c>
      <c r="G143" s="26">
        <v>438241.28000000003</v>
      </c>
      <c r="H143" s="26">
        <v>394417.15</v>
      </c>
      <c r="I143" s="26">
        <f t="shared" si="8"/>
        <v>45681.26999999996</v>
      </c>
      <c r="J143" s="28">
        <f t="shared" si="9"/>
        <v>1671.429999999993</v>
      </c>
    </row>
    <row r="144" spans="1:10" x14ac:dyDescent="0.2">
      <c r="A144">
        <v>414</v>
      </c>
      <c r="B144">
        <v>1</v>
      </c>
      <c r="C144" s="3" t="s">
        <v>177</v>
      </c>
      <c r="D144" s="29">
        <v>3484641.1000000006</v>
      </c>
      <c r="E144" s="26">
        <f t="shared" ref="E144:E207" si="10">ROUND(D144*$D$548,2)</f>
        <v>97943.97</v>
      </c>
      <c r="F144" s="26">
        <f t="shared" ref="F144:F207" si="11">ROUND(E144*0.9,2)</f>
        <v>88149.57</v>
      </c>
      <c r="G144" s="26">
        <v>103126.82</v>
      </c>
      <c r="H144" s="26">
        <v>92814.14</v>
      </c>
      <c r="I144" s="26">
        <f t="shared" ref="I144:I207" si="12">E144-H144</f>
        <v>5129.8300000000017</v>
      </c>
      <c r="J144" s="28">
        <f t="shared" ref="J144:J207" si="13">F144-H144</f>
        <v>-4664.5699999999924</v>
      </c>
    </row>
    <row r="145" spans="1:10" x14ac:dyDescent="0.2">
      <c r="A145">
        <v>415</v>
      </c>
      <c r="B145">
        <v>1</v>
      </c>
      <c r="C145" s="3" t="s">
        <v>178</v>
      </c>
      <c r="D145" s="29">
        <v>1142547.1800000002</v>
      </c>
      <c r="E145" s="26">
        <f t="shared" si="10"/>
        <v>32113.96</v>
      </c>
      <c r="F145" s="26">
        <f t="shared" si="11"/>
        <v>28902.560000000001</v>
      </c>
      <c r="G145" s="26">
        <v>30417.96</v>
      </c>
      <c r="H145" s="26">
        <v>27376.16</v>
      </c>
      <c r="I145" s="26">
        <f t="shared" si="12"/>
        <v>4737.7999999999993</v>
      </c>
      <c r="J145" s="28">
        <f t="shared" si="13"/>
        <v>1526.4000000000015</v>
      </c>
    </row>
    <row r="146" spans="1:10" x14ac:dyDescent="0.2">
      <c r="A146">
        <v>423</v>
      </c>
      <c r="B146">
        <v>1</v>
      </c>
      <c r="C146" s="3" t="s">
        <v>179</v>
      </c>
      <c r="D146" s="29">
        <v>19898996.569999997</v>
      </c>
      <c r="E146" s="26">
        <f t="shared" si="10"/>
        <v>559307.76</v>
      </c>
      <c r="F146" s="26">
        <f t="shared" si="11"/>
        <v>503376.98</v>
      </c>
      <c r="G146" s="26">
        <v>550997.06999999995</v>
      </c>
      <c r="H146" s="26">
        <v>495897.36</v>
      </c>
      <c r="I146" s="26">
        <f t="shared" si="12"/>
        <v>63410.400000000023</v>
      </c>
      <c r="J146" s="28">
        <f t="shared" si="13"/>
        <v>7479.6199999999953</v>
      </c>
    </row>
    <row r="147" spans="1:10" x14ac:dyDescent="0.2">
      <c r="A147">
        <v>424</v>
      </c>
      <c r="B147">
        <v>1</v>
      </c>
      <c r="C147" s="3" t="s">
        <v>180</v>
      </c>
      <c r="D147" s="29">
        <v>2342304.52</v>
      </c>
      <c r="E147" s="26">
        <f t="shared" si="10"/>
        <v>65835.94</v>
      </c>
      <c r="F147" s="26">
        <f t="shared" si="11"/>
        <v>59252.35</v>
      </c>
      <c r="G147" s="26">
        <v>64067.33</v>
      </c>
      <c r="H147" s="26">
        <v>57660.6</v>
      </c>
      <c r="I147" s="26">
        <f t="shared" si="12"/>
        <v>8175.3400000000038</v>
      </c>
      <c r="J147" s="28">
        <f t="shared" si="13"/>
        <v>1591.75</v>
      </c>
    </row>
    <row r="148" spans="1:10" x14ac:dyDescent="0.2">
      <c r="A148">
        <v>432</v>
      </c>
      <c r="B148">
        <v>1</v>
      </c>
      <c r="C148" s="3" t="s">
        <v>181</v>
      </c>
      <c r="D148" s="29">
        <v>5728559.0999999987</v>
      </c>
      <c r="E148" s="26">
        <f t="shared" si="10"/>
        <v>161014.53</v>
      </c>
      <c r="F148" s="26">
        <f t="shared" si="11"/>
        <v>144913.07999999999</v>
      </c>
      <c r="G148" s="26">
        <v>167724.22</v>
      </c>
      <c r="H148" s="26">
        <v>150951.79999999999</v>
      </c>
      <c r="I148" s="26">
        <f t="shared" si="12"/>
        <v>10062.73000000001</v>
      </c>
      <c r="J148" s="28">
        <f t="shared" si="13"/>
        <v>-6038.7200000000012</v>
      </c>
    </row>
    <row r="149" spans="1:10" x14ac:dyDescent="0.2">
      <c r="A149">
        <v>435</v>
      </c>
      <c r="B149">
        <v>1</v>
      </c>
      <c r="C149" s="3" t="s">
        <v>182</v>
      </c>
      <c r="D149" s="29">
        <v>5456101.3700000001</v>
      </c>
      <c r="E149" s="26">
        <f t="shared" si="10"/>
        <v>153356.47</v>
      </c>
      <c r="F149" s="26">
        <f t="shared" si="11"/>
        <v>138020.82</v>
      </c>
      <c r="G149" s="26">
        <v>161447.94</v>
      </c>
      <c r="H149" s="26">
        <v>145303.15</v>
      </c>
      <c r="I149" s="26">
        <f t="shared" si="12"/>
        <v>8053.320000000007</v>
      </c>
      <c r="J149" s="28">
        <f t="shared" si="13"/>
        <v>-7282.3299999999872</v>
      </c>
    </row>
    <row r="150" spans="1:10" x14ac:dyDescent="0.2">
      <c r="A150">
        <v>441</v>
      </c>
      <c r="B150">
        <v>1</v>
      </c>
      <c r="C150" s="3" t="s">
        <v>183</v>
      </c>
      <c r="D150" s="29">
        <v>3692252.8000000003</v>
      </c>
      <c r="E150" s="26">
        <f t="shared" si="10"/>
        <v>103779.39</v>
      </c>
      <c r="F150" s="26">
        <f t="shared" si="11"/>
        <v>93401.45</v>
      </c>
      <c r="G150" s="26">
        <v>99528.42</v>
      </c>
      <c r="H150" s="26">
        <v>89575.58</v>
      </c>
      <c r="I150" s="26">
        <f t="shared" si="12"/>
        <v>14203.809999999998</v>
      </c>
      <c r="J150" s="28">
        <f t="shared" si="13"/>
        <v>3825.8699999999953</v>
      </c>
    </row>
    <row r="151" spans="1:10" x14ac:dyDescent="0.2">
      <c r="A151">
        <v>447</v>
      </c>
      <c r="B151">
        <v>1</v>
      </c>
      <c r="C151" s="3" t="s">
        <v>184</v>
      </c>
      <c r="D151" s="29">
        <v>2097026.5</v>
      </c>
      <c r="E151" s="26">
        <f t="shared" si="10"/>
        <v>58941.83</v>
      </c>
      <c r="F151" s="26">
        <f t="shared" si="11"/>
        <v>53047.65</v>
      </c>
      <c r="G151" s="26">
        <v>57873.65</v>
      </c>
      <c r="H151" s="26">
        <v>52086.29</v>
      </c>
      <c r="I151" s="26">
        <f t="shared" si="12"/>
        <v>6855.5400000000009</v>
      </c>
      <c r="J151" s="28">
        <f t="shared" si="13"/>
        <v>961.36000000000058</v>
      </c>
    </row>
    <row r="152" spans="1:10" x14ac:dyDescent="0.2">
      <c r="A152">
        <v>458</v>
      </c>
      <c r="B152">
        <v>1</v>
      </c>
      <c r="C152" s="3" t="s">
        <v>185</v>
      </c>
      <c r="D152" s="29">
        <v>2364131.9</v>
      </c>
      <c r="E152" s="26">
        <f t="shared" si="10"/>
        <v>66449.45</v>
      </c>
      <c r="F152" s="26">
        <f t="shared" si="11"/>
        <v>59804.51</v>
      </c>
      <c r="G152" s="26">
        <v>63465.81</v>
      </c>
      <c r="H152" s="26">
        <v>57119.23</v>
      </c>
      <c r="I152" s="26">
        <f t="shared" si="12"/>
        <v>9330.2199999999939</v>
      </c>
      <c r="J152" s="28">
        <f t="shared" si="13"/>
        <v>2685.2799999999988</v>
      </c>
    </row>
    <row r="153" spans="1:10" x14ac:dyDescent="0.2">
      <c r="A153">
        <v>463</v>
      </c>
      <c r="B153">
        <v>1</v>
      </c>
      <c r="C153" s="3" t="s">
        <v>186</v>
      </c>
      <c r="D153" s="29">
        <v>6335593.8200000003</v>
      </c>
      <c r="E153" s="26">
        <f t="shared" si="10"/>
        <v>178076.66</v>
      </c>
      <c r="F153" s="26">
        <f t="shared" si="11"/>
        <v>160268.99</v>
      </c>
      <c r="G153" s="26">
        <v>178577.75</v>
      </c>
      <c r="H153" s="26">
        <v>160719.98000000001</v>
      </c>
      <c r="I153" s="26">
        <f t="shared" si="12"/>
        <v>17356.679999999993</v>
      </c>
      <c r="J153" s="28">
        <f t="shared" si="13"/>
        <v>-450.99000000001979</v>
      </c>
    </row>
    <row r="154" spans="1:10" x14ac:dyDescent="0.2">
      <c r="A154">
        <v>465</v>
      </c>
      <c r="B154">
        <v>1</v>
      </c>
      <c r="C154" s="3" t="s">
        <v>187</v>
      </c>
      <c r="D154" s="29">
        <v>12042161.67</v>
      </c>
      <c r="E154" s="26">
        <f t="shared" si="10"/>
        <v>338473.07</v>
      </c>
      <c r="F154" s="26">
        <f t="shared" si="11"/>
        <v>304625.76</v>
      </c>
      <c r="G154" s="26">
        <v>347925.64</v>
      </c>
      <c r="H154" s="26">
        <v>313133.08</v>
      </c>
      <c r="I154" s="26">
        <f t="shared" si="12"/>
        <v>25339.989999999991</v>
      </c>
      <c r="J154" s="28">
        <f t="shared" si="13"/>
        <v>-8507.320000000007</v>
      </c>
    </row>
    <row r="155" spans="1:10" x14ac:dyDescent="0.2">
      <c r="A155">
        <v>466</v>
      </c>
      <c r="B155">
        <v>1</v>
      </c>
      <c r="C155" s="3" t="s">
        <v>188</v>
      </c>
      <c r="D155" s="29">
        <v>16107398.829999998</v>
      </c>
      <c r="E155" s="26">
        <f t="shared" si="10"/>
        <v>452736.05</v>
      </c>
      <c r="F155" s="26">
        <f t="shared" si="11"/>
        <v>407462.45</v>
      </c>
      <c r="G155" s="26">
        <v>453445.91</v>
      </c>
      <c r="H155" s="26">
        <v>408101.32</v>
      </c>
      <c r="I155" s="26">
        <f t="shared" si="12"/>
        <v>44634.729999999981</v>
      </c>
      <c r="J155" s="28">
        <f t="shared" si="13"/>
        <v>-638.86999999999534</v>
      </c>
    </row>
    <row r="156" spans="1:10" x14ac:dyDescent="0.2">
      <c r="A156">
        <v>473</v>
      </c>
      <c r="B156">
        <v>1</v>
      </c>
      <c r="C156" s="3" t="s">
        <v>189</v>
      </c>
      <c r="D156" s="29">
        <v>3737144.7399999998</v>
      </c>
      <c r="E156" s="26">
        <f t="shared" si="10"/>
        <v>105041.18</v>
      </c>
      <c r="F156" s="26">
        <f t="shared" si="11"/>
        <v>94537.06</v>
      </c>
      <c r="G156" s="26">
        <v>106324.72</v>
      </c>
      <c r="H156" s="26">
        <v>95692.25</v>
      </c>
      <c r="I156" s="26">
        <f t="shared" si="12"/>
        <v>9348.929999999993</v>
      </c>
      <c r="J156" s="28">
        <f t="shared" si="13"/>
        <v>-1155.1900000000023</v>
      </c>
    </row>
    <row r="157" spans="1:10" x14ac:dyDescent="0.2">
      <c r="A157">
        <v>477</v>
      </c>
      <c r="B157">
        <v>1</v>
      </c>
      <c r="C157" s="3" t="s">
        <v>190</v>
      </c>
      <c r="D157" s="29">
        <v>22994974.359999999</v>
      </c>
      <c r="E157" s="26">
        <f t="shared" si="10"/>
        <v>646327.43999999994</v>
      </c>
      <c r="F157" s="26">
        <f t="shared" si="11"/>
        <v>581694.69999999995</v>
      </c>
      <c r="G157" s="26">
        <v>650604.98</v>
      </c>
      <c r="H157" s="26">
        <v>585544.48</v>
      </c>
      <c r="I157" s="26">
        <f t="shared" si="12"/>
        <v>60782.959999999963</v>
      </c>
      <c r="J157" s="28">
        <f t="shared" si="13"/>
        <v>-3849.7800000000279</v>
      </c>
    </row>
    <row r="158" spans="1:10" x14ac:dyDescent="0.2">
      <c r="A158">
        <v>480</v>
      </c>
      <c r="B158">
        <v>1</v>
      </c>
      <c r="C158" s="3" t="s">
        <v>191</v>
      </c>
      <c r="D158" s="29">
        <v>6064559.4900000002</v>
      </c>
      <c r="E158" s="26">
        <f t="shared" si="10"/>
        <v>170458.6</v>
      </c>
      <c r="F158" s="26">
        <f t="shared" si="11"/>
        <v>153412.74</v>
      </c>
      <c r="G158" s="26">
        <v>169409.63</v>
      </c>
      <c r="H158" s="26">
        <v>152468.67000000001</v>
      </c>
      <c r="I158" s="26">
        <f t="shared" si="12"/>
        <v>17989.929999999993</v>
      </c>
      <c r="J158" s="28">
        <f t="shared" si="13"/>
        <v>944.06999999997788</v>
      </c>
    </row>
    <row r="159" spans="1:10" x14ac:dyDescent="0.2">
      <c r="A159">
        <v>482</v>
      </c>
      <c r="B159">
        <v>1</v>
      </c>
      <c r="C159" s="3" t="s">
        <v>192</v>
      </c>
      <c r="D159" s="29">
        <v>17811845.170000002</v>
      </c>
      <c r="E159" s="26">
        <f t="shared" si="10"/>
        <v>500643.5</v>
      </c>
      <c r="F159" s="26">
        <f t="shared" si="11"/>
        <v>450579.15</v>
      </c>
      <c r="G159" s="26">
        <v>482198.01</v>
      </c>
      <c r="H159" s="26">
        <v>433978.21</v>
      </c>
      <c r="I159" s="26">
        <f t="shared" si="12"/>
        <v>66665.289999999979</v>
      </c>
      <c r="J159" s="28">
        <f t="shared" si="13"/>
        <v>16600.940000000002</v>
      </c>
    </row>
    <row r="160" spans="1:10" x14ac:dyDescent="0.2">
      <c r="A160">
        <v>484</v>
      </c>
      <c r="B160">
        <v>1</v>
      </c>
      <c r="C160" s="3" t="s">
        <v>193</v>
      </c>
      <c r="D160" s="29">
        <v>8379362.419999999</v>
      </c>
      <c r="E160" s="26">
        <f t="shared" si="10"/>
        <v>235521.55</v>
      </c>
      <c r="F160" s="26">
        <f t="shared" si="11"/>
        <v>211969.4</v>
      </c>
      <c r="G160" s="26">
        <v>227362.59</v>
      </c>
      <c r="H160" s="26">
        <v>204626.33</v>
      </c>
      <c r="I160" s="26">
        <f t="shared" si="12"/>
        <v>30895.22</v>
      </c>
      <c r="J160" s="28">
        <f t="shared" si="13"/>
        <v>7343.070000000007</v>
      </c>
    </row>
    <row r="161" spans="1:10" x14ac:dyDescent="0.2">
      <c r="A161">
        <v>485</v>
      </c>
      <c r="B161">
        <v>1</v>
      </c>
      <c r="C161" s="3" t="s">
        <v>194</v>
      </c>
      <c r="D161" s="29">
        <v>5600946.3799999999</v>
      </c>
      <c r="E161" s="26">
        <f t="shared" si="10"/>
        <v>157427.68</v>
      </c>
      <c r="F161" s="26">
        <f t="shared" si="11"/>
        <v>141684.91</v>
      </c>
      <c r="G161" s="26">
        <v>170781.59</v>
      </c>
      <c r="H161" s="26">
        <v>153703.43</v>
      </c>
      <c r="I161" s="26">
        <f t="shared" si="12"/>
        <v>3724.25</v>
      </c>
      <c r="J161" s="28">
        <f t="shared" si="13"/>
        <v>-12018.51999999999</v>
      </c>
    </row>
    <row r="162" spans="1:10" x14ac:dyDescent="0.2">
      <c r="A162">
        <v>486</v>
      </c>
      <c r="B162">
        <v>1</v>
      </c>
      <c r="C162" s="3" t="s">
        <v>195</v>
      </c>
      <c r="D162" s="29">
        <v>2695750.85</v>
      </c>
      <c r="E162" s="26">
        <f t="shared" si="10"/>
        <v>75770.37</v>
      </c>
      <c r="F162" s="26">
        <f t="shared" si="11"/>
        <v>68193.33</v>
      </c>
      <c r="G162" s="26">
        <v>63737.26</v>
      </c>
      <c r="H162" s="26">
        <v>57363.53</v>
      </c>
      <c r="I162" s="26">
        <f t="shared" si="12"/>
        <v>18406.839999999997</v>
      </c>
      <c r="J162" s="28">
        <f t="shared" si="13"/>
        <v>10829.800000000003</v>
      </c>
    </row>
    <row r="163" spans="1:10" x14ac:dyDescent="0.2">
      <c r="A163">
        <v>487</v>
      </c>
      <c r="B163">
        <v>1</v>
      </c>
      <c r="C163" s="3" t="s">
        <v>196</v>
      </c>
      <c r="D163" s="29">
        <v>3034335.11</v>
      </c>
      <c r="E163" s="26">
        <f t="shared" si="10"/>
        <v>85287.07</v>
      </c>
      <c r="F163" s="26">
        <f t="shared" si="11"/>
        <v>76758.36</v>
      </c>
      <c r="G163" s="26">
        <v>74066.13</v>
      </c>
      <c r="H163" s="26">
        <v>66659.520000000004</v>
      </c>
      <c r="I163" s="26">
        <f t="shared" si="12"/>
        <v>18627.550000000003</v>
      </c>
      <c r="J163" s="28">
        <f t="shared" si="13"/>
        <v>10098.839999999997</v>
      </c>
    </row>
    <row r="164" spans="1:10" x14ac:dyDescent="0.2">
      <c r="A164">
        <v>492</v>
      </c>
      <c r="B164">
        <v>1</v>
      </c>
      <c r="C164" s="3" t="s">
        <v>197</v>
      </c>
      <c r="D164" s="29">
        <v>36783789.36999999</v>
      </c>
      <c r="E164" s="26">
        <f t="shared" si="10"/>
        <v>1033894.28</v>
      </c>
      <c r="F164" s="26">
        <f t="shared" si="11"/>
        <v>930504.85</v>
      </c>
      <c r="G164" s="26">
        <v>1005177.79</v>
      </c>
      <c r="H164" s="26">
        <v>904660.01</v>
      </c>
      <c r="I164" s="26">
        <f t="shared" si="12"/>
        <v>129234.27000000002</v>
      </c>
      <c r="J164" s="28">
        <f t="shared" si="13"/>
        <v>25844.839999999967</v>
      </c>
    </row>
    <row r="165" spans="1:10" x14ac:dyDescent="0.2">
      <c r="A165">
        <v>495</v>
      </c>
      <c r="B165">
        <v>1</v>
      </c>
      <c r="C165" s="3" t="s">
        <v>198</v>
      </c>
      <c r="D165" s="29">
        <v>2717783.89</v>
      </c>
      <c r="E165" s="26">
        <f t="shared" si="10"/>
        <v>76389.66</v>
      </c>
      <c r="F165" s="26">
        <f t="shared" si="11"/>
        <v>68750.69</v>
      </c>
      <c r="G165" s="26">
        <v>74078.97</v>
      </c>
      <c r="H165" s="26">
        <v>66671.070000000007</v>
      </c>
      <c r="I165" s="26">
        <f t="shared" si="12"/>
        <v>9718.5899999999965</v>
      </c>
      <c r="J165" s="28">
        <f t="shared" si="13"/>
        <v>2079.6199999999953</v>
      </c>
    </row>
    <row r="166" spans="1:10" x14ac:dyDescent="0.2">
      <c r="A166">
        <v>497</v>
      </c>
      <c r="B166">
        <v>1</v>
      </c>
      <c r="C166" s="3" t="s">
        <v>199</v>
      </c>
      <c r="D166" s="29">
        <v>1841162.71</v>
      </c>
      <c r="E166" s="26">
        <f t="shared" si="10"/>
        <v>51750.18</v>
      </c>
      <c r="F166" s="26">
        <f t="shared" si="11"/>
        <v>46575.16</v>
      </c>
      <c r="G166" s="26">
        <v>55898.84</v>
      </c>
      <c r="H166" s="26">
        <v>50308.959999999999</v>
      </c>
      <c r="I166" s="26">
        <f t="shared" si="12"/>
        <v>1441.2200000000012</v>
      </c>
      <c r="J166" s="28">
        <f t="shared" si="13"/>
        <v>-3733.7999999999956</v>
      </c>
    </row>
    <row r="167" spans="1:10" x14ac:dyDescent="0.2">
      <c r="A167">
        <v>499</v>
      </c>
      <c r="B167">
        <v>1</v>
      </c>
      <c r="C167" s="3" t="s">
        <v>200</v>
      </c>
      <c r="D167" s="29">
        <v>2118462.25</v>
      </c>
      <c r="E167" s="26">
        <f t="shared" si="10"/>
        <v>59544.33</v>
      </c>
      <c r="F167" s="26">
        <f t="shared" si="11"/>
        <v>53589.9</v>
      </c>
      <c r="G167" s="26">
        <v>61231.65</v>
      </c>
      <c r="H167" s="26">
        <v>55108.49</v>
      </c>
      <c r="I167" s="26">
        <f t="shared" si="12"/>
        <v>4435.8400000000038</v>
      </c>
      <c r="J167" s="28">
        <f t="shared" si="13"/>
        <v>-1518.5899999999965</v>
      </c>
    </row>
    <row r="168" spans="1:10" x14ac:dyDescent="0.2">
      <c r="A168">
        <v>500</v>
      </c>
      <c r="B168">
        <v>1</v>
      </c>
      <c r="C168" s="3" t="s">
        <v>201</v>
      </c>
      <c r="D168" s="29">
        <v>4003006.23</v>
      </c>
      <c r="E168" s="26">
        <f t="shared" si="10"/>
        <v>112513.84</v>
      </c>
      <c r="F168" s="26">
        <f t="shared" si="11"/>
        <v>101262.46</v>
      </c>
      <c r="G168" s="26">
        <v>117971.93</v>
      </c>
      <c r="H168" s="26">
        <v>106174.74</v>
      </c>
      <c r="I168" s="26">
        <f t="shared" si="12"/>
        <v>6339.0999999999913</v>
      </c>
      <c r="J168" s="28">
        <f t="shared" si="13"/>
        <v>-4912.2799999999988</v>
      </c>
    </row>
    <row r="169" spans="1:10" x14ac:dyDescent="0.2">
      <c r="A169">
        <v>505</v>
      </c>
      <c r="B169">
        <v>1</v>
      </c>
      <c r="C169" s="3" t="s">
        <v>202</v>
      </c>
      <c r="D169" s="29">
        <v>3121757.6900000004</v>
      </c>
      <c r="E169" s="26">
        <f t="shared" si="10"/>
        <v>87744.29</v>
      </c>
      <c r="F169" s="26">
        <f t="shared" si="11"/>
        <v>78969.86</v>
      </c>
      <c r="G169" s="26">
        <v>75967.5</v>
      </c>
      <c r="H169" s="26">
        <v>68370.75</v>
      </c>
      <c r="I169" s="26">
        <f t="shared" si="12"/>
        <v>19373.539999999994</v>
      </c>
      <c r="J169" s="28">
        <f t="shared" si="13"/>
        <v>10599.11</v>
      </c>
    </row>
    <row r="170" spans="1:10" x14ac:dyDescent="0.2">
      <c r="A170">
        <v>507</v>
      </c>
      <c r="B170">
        <v>1</v>
      </c>
      <c r="C170" s="3" t="s">
        <v>203</v>
      </c>
      <c r="D170" s="29">
        <v>2384907.2000000007</v>
      </c>
      <c r="E170" s="26">
        <f t="shared" si="10"/>
        <v>67033.39</v>
      </c>
      <c r="F170" s="26">
        <f t="shared" si="11"/>
        <v>60330.05</v>
      </c>
      <c r="G170" s="26">
        <v>64856.46</v>
      </c>
      <c r="H170" s="26">
        <v>58370.81</v>
      </c>
      <c r="I170" s="26">
        <f t="shared" si="12"/>
        <v>8662.5800000000017</v>
      </c>
      <c r="J170" s="28">
        <f t="shared" si="13"/>
        <v>1959.2400000000052</v>
      </c>
    </row>
    <row r="171" spans="1:10" x14ac:dyDescent="0.2">
      <c r="A171">
        <v>508</v>
      </c>
      <c r="B171">
        <v>1</v>
      </c>
      <c r="C171" s="3" t="s">
        <v>204</v>
      </c>
      <c r="D171" s="29">
        <v>12877265.029999999</v>
      </c>
      <c r="E171" s="26">
        <f t="shared" si="10"/>
        <v>361945.59999999998</v>
      </c>
      <c r="F171" s="26">
        <f t="shared" si="11"/>
        <v>325751.03999999998</v>
      </c>
      <c r="G171" s="26">
        <v>376860.62</v>
      </c>
      <c r="H171" s="26">
        <v>339174.56</v>
      </c>
      <c r="I171" s="26">
        <f t="shared" si="12"/>
        <v>22771.039999999979</v>
      </c>
      <c r="J171" s="28">
        <f t="shared" si="13"/>
        <v>-13423.520000000019</v>
      </c>
    </row>
    <row r="172" spans="1:10" x14ac:dyDescent="0.2">
      <c r="A172">
        <v>511</v>
      </c>
      <c r="B172">
        <v>1</v>
      </c>
      <c r="C172" s="3" t="s">
        <v>205</v>
      </c>
      <c r="D172" s="29">
        <v>4413087.88</v>
      </c>
      <c r="E172" s="26">
        <f t="shared" si="10"/>
        <v>124040.14</v>
      </c>
      <c r="F172" s="26">
        <f t="shared" si="11"/>
        <v>111636.13</v>
      </c>
      <c r="G172" s="26">
        <v>123226.36</v>
      </c>
      <c r="H172" s="26">
        <v>110903.72</v>
      </c>
      <c r="I172" s="26">
        <f t="shared" si="12"/>
        <v>13136.419999999998</v>
      </c>
      <c r="J172" s="28">
        <f t="shared" si="13"/>
        <v>732.41000000000349</v>
      </c>
    </row>
    <row r="173" spans="1:10" x14ac:dyDescent="0.2">
      <c r="A173">
        <v>513</v>
      </c>
      <c r="B173">
        <v>1</v>
      </c>
      <c r="C173" s="3" t="s">
        <v>206</v>
      </c>
      <c r="D173" s="29">
        <v>1335479.55</v>
      </c>
      <c r="E173" s="26">
        <f t="shared" si="10"/>
        <v>37536.769999999997</v>
      </c>
      <c r="F173" s="26">
        <f t="shared" si="11"/>
        <v>33783.089999999997</v>
      </c>
      <c r="G173" s="26">
        <v>40345.760000000002</v>
      </c>
      <c r="H173" s="26">
        <v>36311.18</v>
      </c>
      <c r="I173" s="26">
        <f t="shared" si="12"/>
        <v>1225.5899999999965</v>
      </c>
      <c r="J173" s="28">
        <f t="shared" si="13"/>
        <v>-2528.0900000000038</v>
      </c>
    </row>
    <row r="174" spans="1:10" x14ac:dyDescent="0.2">
      <c r="A174">
        <v>514</v>
      </c>
      <c r="B174">
        <v>1</v>
      </c>
      <c r="C174" s="3" t="s">
        <v>207</v>
      </c>
      <c r="D174" s="29">
        <v>1360727.71</v>
      </c>
      <c r="E174" s="26">
        <f t="shared" si="10"/>
        <v>38246.43</v>
      </c>
      <c r="F174" s="26">
        <f t="shared" si="11"/>
        <v>34421.79</v>
      </c>
      <c r="G174" s="26">
        <v>35622.29</v>
      </c>
      <c r="H174" s="26">
        <v>32060.06</v>
      </c>
      <c r="I174" s="26">
        <f t="shared" si="12"/>
        <v>6186.369999999999</v>
      </c>
      <c r="J174" s="28">
        <f t="shared" si="13"/>
        <v>2361.7299999999996</v>
      </c>
    </row>
    <row r="175" spans="1:10" x14ac:dyDescent="0.2">
      <c r="A175">
        <v>516</v>
      </c>
      <c r="B175">
        <v>1</v>
      </c>
      <c r="C175" s="3" t="s">
        <v>208</v>
      </c>
      <c r="D175" s="29">
        <v>848268.85</v>
      </c>
      <c r="E175" s="26">
        <f t="shared" si="10"/>
        <v>23842.58</v>
      </c>
      <c r="F175" s="26">
        <f t="shared" si="11"/>
        <v>21458.32</v>
      </c>
      <c r="G175" s="26">
        <v>21483.31</v>
      </c>
      <c r="H175" s="26">
        <v>19334.98</v>
      </c>
      <c r="I175" s="26">
        <f t="shared" si="12"/>
        <v>4507.6000000000022</v>
      </c>
      <c r="J175" s="28">
        <f t="shared" si="13"/>
        <v>2123.34</v>
      </c>
    </row>
    <row r="176" spans="1:10" x14ac:dyDescent="0.2">
      <c r="A176">
        <v>518</v>
      </c>
      <c r="B176">
        <v>1</v>
      </c>
      <c r="C176" s="3" t="s">
        <v>209</v>
      </c>
      <c r="D176" s="29">
        <v>21399691.07</v>
      </c>
      <c r="E176" s="26">
        <f t="shared" si="10"/>
        <v>601488.28</v>
      </c>
      <c r="F176" s="26">
        <f t="shared" si="11"/>
        <v>541339.44999999995</v>
      </c>
      <c r="G176" s="26">
        <v>577954.81000000006</v>
      </c>
      <c r="H176" s="26">
        <v>520159.33</v>
      </c>
      <c r="I176" s="26">
        <f t="shared" si="12"/>
        <v>81328.950000000012</v>
      </c>
      <c r="J176" s="28">
        <f t="shared" si="13"/>
        <v>21180.119999999937</v>
      </c>
    </row>
    <row r="177" spans="1:10" x14ac:dyDescent="0.2">
      <c r="A177">
        <v>531</v>
      </c>
      <c r="B177">
        <v>1</v>
      </c>
      <c r="C177" s="3" t="s">
        <v>210</v>
      </c>
      <c r="D177" s="29">
        <v>11590103.060000002</v>
      </c>
      <c r="E177" s="26">
        <f t="shared" si="10"/>
        <v>325766.90999999997</v>
      </c>
      <c r="F177" s="26">
        <f t="shared" si="11"/>
        <v>293190.21999999997</v>
      </c>
      <c r="G177" s="26">
        <v>323609.78999999998</v>
      </c>
      <c r="H177" s="26">
        <v>291248.81</v>
      </c>
      <c r="I177" s="26">
        <f t="shared" si="12"/>
        <v>34518.099999999977</v>
      </c>
      <c r="J177" s="28">
        <f t="shared" si="13"/>
        <v>1941.4099999999744</v>
      </c>
    </row>
    <row r="178" spans="1:10" x14ac:dyDescent="0.2">
      <c r="A178">
        <v>533</v>
      </c>
      <c r="B178">
        <v>1</v>
      </c>
      <c r="C178" s="3" t="s">
        <v>211</v>
      </c>
      <c r="D178" s="29">
        <v>8506272.1999999993</v>
      </c>
      <c r="E178" s="26">
        <f t="shared" si="10"/>
        <v>239088.64000000001</v>
      </c>
      <c r="F178" s="26">
        <f t="shared" si="11"/>
        <v>215179.78</v>
      </c>
      <c r="G178" s="26">
        <v>237939.71</v>
      </c>
      <c r="H178" s="26">
        <v>214145.74</v>
      </c>
      <c r="I178" s="26">
        <f t="shared" si="12"/>
        <v>24942.900000000023</v>
      </c>
      <c r="J178" s="28">
        <f t="shared" si="13"/>
        <v>1034.0400000000081</v>
      </c>
    </row>
    <row r="179" spans="1:10" x14ac:dyDescent="0.2">
      <c r="A179">
        <v>534</v>
      </c>
      <c r="B179">
        <v>1</v>
      </c>
      <c r="C179" s="3" t="s">
        <v>212</v>
      </c>
      <c r="D179" s="29">
        <v>12474037.409999998</v>
      </c>
      <c r="E179" s="26">
        <f t="shared" si="10"/>
        <v>350611.95</v>
      </c>
      <c r="F179" s="26">
        <f t="shared" si="11"/>
        <v>315550.76</v>
      </c>
      <c r="G179" s="26">
        <v>351948.02</v>
      </c>
      <c r="H179" s="26">
        <v>316753.21999999997</v>
      </c>
      <c r="I179" s="26">
        <f t="shared" si="12"/>
        <v>33858.73000000004</v>
      </c>
      <c r="J179" s="28">
        <f t="shared" si="13"/>
        <v>-1202.4599999999627</v>
      </c>
    </row>
    <row r="180" spans="1:10" x14ac:dyDescent="0.2">
      <c r="A180">
        <v>535</v>
      </c>
      <c r="B180">
        <v>1</v>
      </c>
      <c r="C180" s="3" t="s">
        <v>213</v>
      </c>
      <c r="D180" s="29">
        <v>103521397.85000001</v>
      </c>
      <c r="E180" s="26">
        <f t="shared" si="10"/>
        <v>2909710.59</v>
      </c>
      <c r="F180" s="26">
        <f t="shared" si="11"/>
        <v>2618739.5299999998</v>
      </c>
      <c r="G180" s="26">
        <v>2910384.25</v>
      </c>
      <c r="H180" s="26">
        <v>2619345.83</v>
      </c>
      <c r="I180" s="26">
        <f t="shared" si="12"/>
        <v>290364.75999999978</v>
      </c>
      <c r="J180" s="28">
        <f t="shared" si="13"/>
        <v>-606.3000000002794</v>
      </c>
    </row>
    <row r="181" spans="1:10" x14ac:dyDescent="0.2">
      <c r="A181">
        <v>542</v>
      </c>
      <c r="B181">
        <v>1</v>
      </c>
      <c r="C181" s="3" t="s">
        <v>214</v>
      </c>
      <c r="D181" s="29">
        <v>3012086.94</v>
      </c>
      <c r="E181" s="26">
        <f t="shared" si="10"/>
        <v>84661.74</v>
      </c>
      <c r="F181" s="26">
        <f t="shared" si="11"/>
        <v>76195.570000000007</v>
      </c>
      <c r="G181" s="26">
        <v>85266.23</v>
      </c>
      <c r="H181" s="26">
        <v>76739.61</v>
      </c>
      <c r="I181" s="26">
        <f t="shared" si="12"/>
        <v>7922.1300000000047</v>
      </c>
      <c r="J181" s="28">
        <f t="shared" si="13"/>
        <v>-544.0399999999936</v>
      </c>
    </row>
    <row r="182" spans="1:10" x14ac:dyDescent="0.2">
      <c r="A182">
        <v>544</v>
      </c>
      <c r="B182">
        <v>1</v>
      </c>
      <c r="C182" s="3" t="s">
        <v>215</v>
      </c>
      <c r="D182" s="29">
        <v>16809279.110000003</v>
      </c>
      <c r="E182" s="26">
        <f t="shared" si="10"/>
        <v>472464.04</v>
      </c>
      <c r="F182" s="26">
        <f t="shared" si="11"/>
        <v>425217.64</v>
      </c>
      <c r="G182" s="26">
        <v>521361.9</v>
      </c>
      <c r="H182" s="26">
        <v>469225.71</v>
      </c>
      <c r="I182" s="26">
        <f t="shared" si="12"/>
        <v>3238.3299999999581</v>
      </c>
      <c r="J182" s="28">
        <f t="shared" si="13"/>
        <v>-44008.070000000007</v>
      </c>
    </row>
    <row r="183" spans="1:10" x14ac:dyDescent="0.2">
      <c r="A183">
        <v>545</v>
      </c>
      <c r="B183">
        <v>1</v>
      </c>
      <c r="C183" s="3" t="s">
        <v>216</v>
      </c>
      <c r="D183" s="29">
        <v>2440509.71</v>
      </c>
      <c r="E183" s="26">
        <f t="shared" si="10"/>
        <v>68596.22</v>
      </c>
      <c r="F183" s="26">
        <f t="shared" si="11"/>
        <v>61736.6</v>
      </c>
      <c r="G183" s="26">
        <v>66762.210000000006</v>
      </c>
      <c r="H183" s="26">
        <v>60085.99</v>
      </c>
      <c r="I183" s="26">
        <f t="shared" si="12"/>
        <v>8510.2300000000032</v>
      </c>
      <c r="J183" s="28">
        <f t="shared" si="13"/>
        <v>1650.6100000000006</v>
      </c>
    </row>
    <row r="184" spans="1:10" x14ac:dyDescent="0.2">
      <c r="A184">
        <v>547</v>
      </c>
      <c r="B184">
        <v>1</v>
      </c>
      <c r="C184" s="3" t="s">
        <v>217</v>
      </c>
      <c r="D184" s="29">
        <v>3906597.63</v>
      </c>
      <c r="E184" s="26">
        <f t="shared" si="10"/>
        <v>109804.05</v>
      </c>
      <c r="F184" s="26">
        <f t="shared" si="11"/>
        <v>98823.65</v>
      </c>
      <c r="G184" s="26">
        <v>108358.03</v>
      </c>
      <c r="H184" s="26">
        <v>97522.23</v>
      </c>
      <c r="I184" s="26">
        <f t="shared" si="12"/>
        <v>12281.820000000007</v>
      </c>
      <c r="J184" s="28">
        <f t="shared" si="13"/>
        <v>1301.4199999999983</v>
      </c>
    </row>
    <row r="185" spans="1:10" x14ac:dyDescent="0.2">
      <c r="A185">
        <v>548</v>
      </c>
      <c r="B185">
        <v>1</v>
      </c>
      <c r="C185" s="3" t="s">
        <v>218</v>
      </c>
      <c r="D185" s="29">
        <v>6360012.1299999999</v>
      </c>
      <c r="E185" s="26">
        <f t="shared" si="10"/>
        <v>178762.99</v>
      </c>
      <c r="F185" s="26">
        <f t="shared" si="11"/>
        <v>160886.69</v>
      </c>
      <c r="G185" s="26">
        <v>179300.81</v>
      </c>
      <c r="H185" s="26">
        <v>161370.73000000001</v>
      </c>
      <c r="I185" s="26">
        <f t="shared" si="12"/>
        <v>17392.25999999998</v>
      </c>
      <c r="J185" s="28">
        <f t="shared" si="13"/>
        <v>-484.04000000000815</v>
      </c>
    </row>
    <row r="186" spans="1:10" x14ac:dyDescent="0.2">
      <c r="A186">
        <v>549</v>
      </c>
      <c r="B186">
        <v>1</v>
      </c>
      <c r="C186" s="3" t="s">
        <v>219</v>
      </c>
      <c r="D186" s="29">
        <v>10387746.370000001</v>
      </c>
      <c r="E186" s="26">
        <f t="shared" si="10"/>
        <v>291971.87</v>
      </c>
      <c r="F186" s="26">
        <f t="shared" si="11"/>
        <v>262774.68</v>
      </c>
      <c r="G186" s="26">
        <v>283615.39</v>
      </c>
      <c r="H186" s="26">
        <v>255253.85</v>
      </c>
      <c r="I186" s="26">
        <f t="shared" si="12"/>
        <v>36718.01999999999</v>
      </c>
      <c r="J186" s="28">
        <f t="shared" si="13"/>
        <v>7520.8299999999872</v>
      </c>
    </row>
    <row r="187" spans="1:10" x14ac:dyDescent="0.2">
      <c r="A187">
        <v>550</v>
      </c>
      <c r="B187">
        <v>1</v>
      </c>
      <c r="C187" s="3" t="s">
        <v>220</v>
      </c>
      <c r="D187" s="29">
        <v>4116113.48</v>
      </c>
      <c r="E187" s="26">
        <f t="shared" si="10"/>
        <v>115692.98</v>
      </c>
      <c r="F187" s="26">
        <f t="shared" si="11"/>
        <v>104123.68</v>
      </c>
      <c r="G187" s="26">
        <v>116443.54</v>
      </c>
      <c r="H187" s="26">
        <v>104799.19</v>
      </c>
      <c r="I187" s="26">
        <f t="shared" si="12"/>
        <v>10893.789999999994</v>
      </c>
      <c r="J187" s="28">
        <f t="shared" si="13"/>
        <v>-675.51000000000931</v>
      </c>
    </row>
    <row r="188" spans="1:10" x14ac:dyDescent="0.2">
      <c r="A188">
        <v>553</v>
      </c>
      <c r="B188">
        <v>1</v>
      </c>
      <c r="C188" s="3" t="s">
        <v>221</v>
      </c>
      <c r="D188" s="29">
        <v>5102219.09</v>
      </c>
      <c r="E188" s="26">
        <f t="shared" si="10"/>
        <v>143409.78</v>
      </c>
      <c r="F188" s="26">
        <f t="shared" si="11"/>
        <v>129068.8</v>
      </c>
      <c r="G188" s="26">
        <v>146634.51</v>
      </c>
      <c r="H188" s="26">
        <v>131971.06</v>
      </c>
      <c r="I188" s="26">
        <f t="shared" si="12"/>
        <v>11438.720000000001</v>
      </c>
      <c r="J188" s="28">
        <f t="shared" si="13"/>
        <v>-2902.2599999999948</v>
      </c>
    </row>
    <row r="189" spans="1:10" x14ac:dyDescent="0.2">
      <c r="A189">
        <v>561</v>
      </c>
      <c r="B189">
        <v>1</v>
      </c>
      <c r="C189" s="3" t="s">
        <v>222</v>
      </c>
      <c r="D189" s="29">
        <v>2090674.86</v>
      </c>
      <c r="E189" s="26">
        <f t="shared" si="10"/>
        <v>58763.3</v>
      </c>
      <c r="F189" s="26">
        <f t="shared" si="11"/>
        <v>52886.97</v>
      </c>
      <c r="G189" s="26">
        <v>60243.42</v>
      </c>
      <c r="H189" s="26">
        <v>54219.08</v>
      </c>
      <c r="I189" s="26">
        <f t="shared" si="12"/>
        <v>4544.2200000000012</v>
      </c>
      <c r="J189" s="28">
        <f t="shared" si="13"/>
        <v>-1332.1100000000006</v>
      </c>
    </row>
    <row r="190" spans="1:10" x14ac:dyDescent="0.2">
      <c r="A190">
        <v>564</v>
      </c>
      <c r="B190">
        <v>1</v>
      </c>
      <c r="C190" s="3" t="s">
        <v>223</v>
      </c>
      <c r="D190" s="29">
        <v>14591160.039999999</v>
      </c>
      <c r="E190" s="26">
        <f t="shared" si="10"/>
        <v>410118.62</v>
      </c>
      <c r="F190" s="26">
        <f t="shared" si="11"/>
        <v>369106.76</v>
      </c>
      <c r="G190" s="26">
        <v>415689.66</v>
      </c>
      <c r="H190" s="26">
        <v>374120.69</v>
      </c>
      <c r="I190" s="26">
        <f t="shared" si="12"/>
        <v>35997.929999999993</v>
      </c>
      <c r="J190" s="28">
        <f t="shared" si="13"/>
        <v>-5013.929999999993</v>
      </c>
    </row>
    <row r="191" spans="1:10" x14ac:dyDescent="0.2">
      <c r="A191">
        <v>577</v>
      </c>
      <c r="B191">
        <v>1</v>
      </c>
      <c r="C191" s="3" t="s">
        <v>224</v>
      </c>
      <c r="D191" s="29">
        <v>3220304.34</v>
      </c>
      <c r="E191" s="26">
        <f t="shared" si="10"/>
        <v>90514.17</v>
      </c>
      <c r="F191" s="26">
        <f t="shared" si="11"/>
        <v>81462.75</v>
      </c>
      <c r="G191" s="26">
        <v>88166.44</v>
      </c>
      <c r="H191" s="26">
        <v>79349.8</v>
      </c>
      <c r="I191" s="26">
        <f t="shared" si="12"/>
        <v>11164.369999999995</v>
      </c>
      <c r="J191" s="28">
        <f t="shared" si="13"/>
        <v>2112.9499999999971</v>
      </c>
    </row>
    <row r="192" spans="1:10" x14ac:dyDescent="0.2">
      <c r="A192">
        <v>578</v>
      </c>
      <c r="B192">
        <v>1</v>
      </c>
      <c r="C192" s="3" t="s">
        <v>225</v>
      </c>
      <c r="D192" s="29">
        <v>11636304.98</v>
      </c>
      <c r="E192" s="26">
        <f t="shared" si="10"/>
        <v>327065.52</v>
      </c>
      <c r="F192" s="26">
        <f t="shared" si="11"/>
        <v>294358.96999999997</v>
      </c>
      <c r="G192" s="26">
        <v>313932.76</v>
      </c>
      <c r="H192" s="26">
        <v>282539.48</v>
      </c>
      <c r="I192" s="26">
        <f t="shared" si="12"/>
        <v>44526.040000000037</v>
      </c>
      <c r="J192" s="28">
        <f t="shared" si="13"/>
        <v>11819.489999999991</v>
      </c>
    </row>
    <row r="193" spans="1:10" x14ac:dyDescent="0.2">
      <c r="A193">
        <v>581</v>
      </c>
      <c r="B193">
        <v>1</v>
      </c>
      <c r="C193" s="3" t="s">
        <v>226</v>
      </c>
      <c r="D193" s="29">
        <v>2585768.2899999991</v>
      </c>
      <c r="E193" s="26">
        <f t="shared" si="10"/>
        <v>72679.06</v>
      </c>
      <c r="F193" s="26">
        <f t="shared" si="11"/>
        <v>65411.15</v>
      </c>
      <c r="G193" s="26">
        <v>72777.34</v>
      </c>
      <c r="H193" s="26">
        <v>65499.61</v>
      </c>
      <c r="I193" s="26">
        <f t="shared" si="12"/>
        <v>7179.4499999999971</v>
      </c>
      <c r="J193" s="28">
        <f t="shared" si="13"/>
        <v>-88.459999999999127</v>
      </c>
    </row>
    <row r="194" spans="1:10" x14ac:dyDescent="0.2">
      <c r="A194">
        <v>592</v>
      </c>
      <c r="B194">
        <v>1</v>
      </c>
      <c r="C194" s="3" t="s">
        <v>227</v>
      </c>
      <c r="D194" s="29">
        <v>1420373.2200000002</v>
      </c>
      <c r="E194" s="26">
        <f t="shared" si="10"/>
        <v>39922.910000000003</v>
      </c>
      <c r="F194" s="26">
        <f t="shared" si="11"/>
        <v>35930.620000000003</v>
      </c>
      <c r="G194" s="26">
        <v>36156.69</v>
      </c>
      <c r="H194" s="26">
        <v>32541.02</v>
      </c>
      <c r="I194" s="26">
        <f t="shared" si="12"/>
        <v>7381.8900000000031</v>
      </c>
      <c r="J194" s="28">
        <f t="shared" si="13"/>
        <v>3389.6000000000022</v>
      </c>
    </row>
    <row r="195" spans="1:10" x14ac:dyDescent="0.2">
      <c r="A195">
        <v>593</v>
      </c>
      <c r="B195">
        <v>1</v>
      </c>
      <c r="C195" s="3" t="s">
        <v>228</v>
      </c>
      <c r="D195" s="29">
        <v>9747905.6099999994</v>
      </c>
      <c r="E195" s="26">
        <f t="shared" si="10"/>
        <v>273987.65000000002</v>
      </c>
      <c r="F195" s="26">
        <f t="shared" si="11"/>
        <v>246588.89</v>
      </c>
      <c r="G195" s="26">
        <v>277918.75</v>
      </c>
      <c r="H195" s="26">
        <v>250126.88</v>
      </c>
      <c r="I195" s="26">
        <f t="shared" si="12"/>
        <v>23860.770000000019</v>
      </c>
      <c r="J195" s="28">
        <f t="shared" si="13"/>
        <v>-3537.9899999999907</v>
      </c>
    </row>
    <row r="196" spans="1:10" x14ac:dyDescent="0.2">
      <c r="A196">
        <v>595</v>
      </c>
      <c r="B196">
        <v>1</v>
      </c>
      <c r="C196" s="3" t="s">
        <v>229</v>
      </c>
      <c r="D196" s="29">
        <v>12426984.15</v>
      </c>
      <c r="E196" s="26">
        <f t="shared" si="10"/>
        <v>349289.4</v>
      </c>
      <c r="F196" s="26">
        <f t="shared" si="11"/>
        <v>314360.46000000002</v>
      </c>
      <c r="G196" s="26">
        <v>348864.8</v>
      </c>
      <c r="H196" s="26">
        <v>313978.32</v>
      </c>
      <c r="I196" s="26">
        <f t="shared" si="12"/>
        <v>35311.080000000016</v>
      </c>
      <c r="J196" s="28">
        <f t="shared" si="13"/>
        <v>382.14000000001397</v>
      </c>
    </row>
    <row r="197" spans="1:10" x14ac:dyDescent="0.2">
      <c r="A197">
        <v>599</v>
      </c>
      <c r="B197">
        <v>1</v>
      </c>
      <c r="C197" s="3" t="s">
        <v>230</v>
      </c>
      <c r="D197" s="29">
        <v>3759879.6999999997</v>
      </c>
      <c r="E197" s="26">
        <f t="shared" si="10"/>
        <v>105680.2</v>
      </c>
      <c r="F197" s="26">
        <f t="shared" si="11"/>
        <v>95112.18</v>
      </c>
      <c r="G197" s="26">
        <v>109760.82</v>
      </c>
      <c r="H197" s="26">
        <v>98784.74</v>
      </c>
      <c r="I197" s="26">
        <f t="shared" si="12"/>
        <v>6895.4599999999919</v>
      </c>
      <c r="J197" s="28">
        <f t="shared" si="13"/>
        <v>-3672.5600000000122</v>
      </c>
    </row>
    <row r="198" spans="1:10" x14ac:dyDescent="0.2">
      <c r="A198">
        <v>600</v>
      </c>
      <c r="B198">
        <v>1</v>
      </c>
      <c r="C198" s="3" t="s">
        <v>231</v>
      </c>
      <c r="D198" s="29">
        <v>1925278.32</v>
      </c>
      <c r="E198" s="26">
        <f t="shared" si="10"/>
        <v>54114.44</v>
      </c>
      <c r="F198" s="26">
        <f t="shared" si="11"/>
        <v>48703</v>
      </c>
      <c r="G198" s="26">
        <v>56160.91</v>
      </c>
      <c r="H198" s="26">
        <v>50544.82</v>
      </c>
      <c r="I198" s="26">
        <f t="shared" si="12"/>
        <v>3569.6200000000026</v>
      </c>
      <c r="J198" s="28">
        <f t="shared" si="13"/>
        <v>-1841.8199999999997</v>
      </c>
    </row>
    <row r="199" spans="1:10" x14ac:dyDescent="0.2">
      <c r="A199">
        <v>601</v>
      </c>
      <c r="B199">
        <v>1</v>
      </c>
      <c r="C199" s="3" t="s">
        <v>232</v>
      </c>
      <c r="D199" s="29">
        <v>5509845.8000000007</v>
      </c>
      <c r="E199" s="26">
        <f t="shared" si="10"/>
        <v>154867.07999999999</v>
      </c>
      <c r="F199" s="26">
        <f t="shared" si="11"/>
        <v>139380.37</v>
      </c>
      <c r="G199" s="26">
        <v>157896.54</v>
      </c>
      <c r="H199" s="26">
        <v>142106.89000000001</v>
      </c>
      <c r="I199" s="26">
        <f t="shared" si="12"/>
        <v>12760.189999999973</v>
      </c>
      <c r="J199" s="28">
        <f t="shared" si="13"/>
        <v>-2726.5200000000186</v>
      </c>
    </row>
    <row r="200" spans="1:10" x14ac:dyDescent="0.2">
      <c r="A200">
        <v>611</v>
      </c>
      <c r="B200">
        <v>1</v>
      </c>
      <c r="C200" s="3" t="s">
        <v>233</v>
      </c>
      <c r="D200" s="29">
        <v>380235.99</v>
      </c>
      <c r="E200" s="26">
        <f t="shared" si="10"/>
        <v>10687.42</v>
      </c>
      <c r="F200" s="26">
        <f t="shared" si="11"/>
        <v>9618.68</v>
      </c>
      <c r="G200" s="26">
        <v>15095.58</v>
      </c>
      <c r="H200" s="26">
        <v>13586.02</v>
      </c>
      <c r="I200" s="26">
        <f t="shared" si="12"/>
        <v>-2898.6000000000004</v>
      </c>
      <c r="J200" s="28">
        <f t="shared" si="13"/>
        <v>-3967.34</v>
      </c>
    </row>
    <row r="201" spans="1:10" x14ac:dyDescent="0.2">
      <c r="A201">
        <v>621</v>
      </c>
      <c r="B201">
        <v>1</v>
      </c>
      <c r="C201" s="3" t="s">
        <v>234</v>
      </c>
      <c r="D201" s="29">
        <v>66998634.850000001</v>
      </c>
      <c r="E201" s="26">
        <f t="shared" si="10"/>
        <v>1883153.06</v>
      </c>
      <c r="F201" s="26">
        <f t="shared" si="11"/>
        <v>1694837.75</v>
      </c>
      <c r="G201" s="26">
        <v>1761485.98</v>
      </c>
      <c r="H201" s="26">
        <v>1585337.38</v>
      </c>
      <c r="I201" s="26">
        <f t="shared" si="12"/>
        <v>297815.68000000017</v>
      </c>
      <c r="J201" s="28">
        <f t="shared" si="13"/>
        <v>109500.37000000011</v>
      </c>
    </row>
    <row r="202" spans="1:10" x14ac:dyDescent="0.2">
      <c r="A202">
        <v>622</v>
      </c>
      <c r="B202">
        <v>1</v>
      </c>
      <c r="C202" s="3" t="s">
        <v>235</v>
      </c>
      <c r="D202" s="29">
        <v>79151471.200000003</v>
      </c>
      <c r="E202" s="26">
        <f t="shared" si="10"/>
        <v>2224736.9</v>
      </c>
      <c r="F202" s="26">
        <f t="shared" si="11"/>
        <v>2002263.21</v>
      </c>
      <c r="G202" s="26">
        <v>2146536.0699999998</v>
      </c>
      <c r="H202" s="26">
        <v>1931882.46</v>
      </c>
      <c r="I202" s="26">
        <f t="shared" si="12"/>
        <v>292854.43999999994</v>
      </c>
      <c r="J202" s="28">
        <f t="shared" si="13"/>
        <v>70380.75</v>
      </c>
    </row>
    <row r="203" spans="1:10" x14ac:dyDescent="0.2">
      <c r="A203">
        <v>623</v>
      </c>
      <c r="B203">
        <v>1</v>
      </c>
      <c r="C203" s="3" t="s">
        <v>236</v>
      </c>
      <c r="D203" s="29">
        <v>46282501.549999997</v>
      </c>
      <c r="E203" s="26">
        <f t="shared" si="10"/>
        <v>1300877.77</v>
      </c>
      <c r="F203" s="26">
        <f t="shared" si="11"/>
        <v>1170789.99</v>
      </c>
      <c r="G203" s="26">
        <v>1190978.77</v>
      </c>
      <c r="H203" s="26">
        <v>1071880.8899999999</v>
      </c>
      <c r="I203" s="26">
        <f t="shared" si="12"/>
        <v>228996.88000000012</v>
      </c>
      <c r="J203" s="28">
        <f t="shared" si="13"/>
        <v>98909.100000000093</v>
      </c>
    </row>
    <row r="204" spans="1:10" x14ac:dyDescent="0.2">
      <c r="A204">
        <v>624</v>
      </c>
      <c r="B204">
        <v>1</v>
      </c>
      <c r="C204" s="3" t="s">
        <v>237</v>
      </c>
      <c r="D204" s="29">
        <v>49653712.970000006</v>
      </c>
      <c r="E204" s="26">
        <f t="shared" si="10"/>
        <v>1395633.54</v>
      </c>
      <c r="F204" s="26">
        <f t="shared" si="11"/>
        <v>1256070.19</v>
      </c>
      <c r="G204" s="26">
        <v>1404835.11</v>
      </c>
      <c r="H204" s="26">
        <v>1264351.6000000001</v>
      </c>
      <c r="I204" s="26">
        <f t="shared" si="12"/>
        <v>131281.93999999994</v>
      </c>
      <c r="J204" s="28">
        <f t="shared" si="13"/>
        <v>-8281.410000000149</v>
      </c>
    </row>
    <row r="205" spans="1:10" x14ac:dyDescent="0.2">
      <c r="A205">
        <v>625</v>
      </c>
      <c r="B205">
        <v>1</v>
      </c>
      <c r="C205" s="3" t="s">
        <v>238</v>
      </c>
      <c r="D205" s="29">
        <v>339301270.37</v>
      </c>
      <c r="E205" s="26">
        <f t="shared" si="10"/>
        <v>9536854.4199999999</v>
      </c>
      <c r="F205" s="26">
        <f t="shared" si="11"/>
        <v>8583168.9800000004</v>
      </c>
      <c r="G205" s="26">
        <v>9002271.2699999996</v>
      </c>
      <c r="H205" s="26">
        <v>8102044.1399999997</v>
      </c>
      <c r="I205" s="26">
        <f t="shared" si="12"/>
        <v>1434810.2800000003</v>
      </c>
      <c r="J205" s="28">
        <f t="shared" si="13"/>
        <v>481124.84000000078</v>
      </c>
    </row>
    <row r="206" spans="1:10" x14ac:dyDescent="0.2">
      <c r="A206">
        <v>627</v>
      </c>
      <c r="B206">
        <v>1</v>
      </c>
      <c r="C206" s="3" t="s">
        <v>239</v>
      </c>
      <c r="D206" s="29">
        <v>1970209.8</v>
      </c>
      <c r="E206" s="26">
        <f t="shared" si="10"/>
        <v>55377.35</v>
      </c>
      <c r="F206" s="26">
        <f t="shared" si="11"/>
        <v>49839.62</v>
      </c>
      <c r="G206" s="26">
        <v>56157.27</v>
      </c>
      <c r="H206" s="26">
        <v>50541.54</v>
      </c>
      <c r="I206" s="26">
        <f t="shared" si="12"/>
        <v>4835.8099999999977</v>
      </c>
      <c r="J206" s="28">
        <f t="shared" si="13"/>
        <v>-701.91999999999825</v>
      </c>
    </row>
    <row r="207" spans="1:10" x14ac:dyDescent="0.2">
      <c r="A207">
        <v>628</v>
      </c>
      <c r="B207">
        <v>1</v>
      </c>
      <c r="C207" s="3" t="s">
        <v>240</v>
      </c>
      <c r="D207" s="29">
        <v>1503507.41</v>
      </c>
      <c r="E207" s="26">
        <f t="shared" si="10"/>
        <v>42259.59</v>
      </c>
      <c r="F207" s="26">
        <f t="shared" si="11"/>
        <v>38033.629999999997</v>
      </c>
      <c r="G207" s="26">
        <v>38644.01</v>
      </c>
      <c r="H207" s="26">
        <v>34779.61</v>
      </c>
      <c r="I207" s="26">
        <f t="shared" si="12"/>
        <v>7479.9799999999959</v>
      </c>
      <c r="J207" s="28">
        <f t="shared" si="13"/>
        <v>3254.0199999999968</v>
      </c>
    </row>
    <row r="208" spans="1:10" x14ac:dyDescent="0.2">
      <c r="A208">
        <v>630</v>
      </c>
      <c r="B208">
        <v>1</v>
      </c>
      <c r="C208" s="3" t="s">
        <v>241</v>
      </c>
      <c r="D208" s="29">
        <v>3394871.82</v>
      </c>
      <c r="E208" s="26">
        <f t="shared" ref="E208:E271" si="14">ROUND(D208*$D$548,2)</f>
        <v>95420.800000000003</v>
      </c>
      <c r="F208" s="26">
        <f t="shared" ref="F208:F271" si="15">ROUND(E208*0.9,2)</f>
        <v>85878.720000000001</v>
      </c>
      <c r="G208" s="26">
        <v>93525.85</v>
      </c>
      <c r="H208" s="26">
        <v>84173.27</v>
      </c>
      <c r="I208" s="26">
        <f t="shared" ref="I208:I271" si="16">E208-H208</f>
        <v>11247.529999999999</v>
      </c>
      <c r="J208" s="28">
        <f t="shared" ref="J208:J271" si="17">F208-H208</f>
        <v>1705.4499999999971</v>
      </c>
    </row>
    <row r="209" spans="1:10" x14ac:dyDescent="0.2">
      <c r="A209">
        <v>635</v>
      </c>
      <c r="B209">
        <v>1</v>
      </c>
      <c r="C209" s="3" t="s">
        <v>242</v>
      </c>
      <c r="D209" s="29">
        <v>598375.03999999992</v>
      </c>
      <c r="E209" s="26">
        <f t="shared" si="14"/>
        <v>16818.73</v>
      </c>
      <c r="F209" s="26">
        <f t="shared" si="15"/>
        <v>15136.86</v>
      </c>
      <c r="G209" s="26">
        <v>13003.41</v>
      </c>
      <c r="H209" s="26">
        <v>11703.07</v>
      </c>
      <c r="I209" s="26">
        <f t="shared" si="16"/>
        <v>5115.66</v>
      </c>
      <c r="J209" s="28">
        <f t="shared" si="17"/>
        <v>3433.7900000000009</v>
      </c>
    </row>
    <row r="210" spans="1:10" x14ac:dyDescent="0.2">
      <c r="A210">
        <v>640</v>
      </c>
      <c r="B210">
        <v>1</v>
      </c>
      <c r="C210" s="3" t="s">
        <v>243</v>
      </c>
      <c r="D210" s="29">
        <v>3137830.8100000005</v>
      </c>
      <c r="E210" s="26">
        <f t="shared" si="14"/>
        <v>88196.06</v>
      </c>
      <c r="F210" s="26">
        <f t="shared" si="15"/>
        <v>79376.45</v>
      </c>
      <c r="G210" s="26">
        <v>88301.55</v>
      </c>
      <c r="H210" s="26">
        <v>79471.399999999994</v>
      </c>
      <c r="I210" s="26">
        <f t="shared" si="16"/>
        <v>8724.6600000000035</v>
      </c>
      <c r="J210" s="28">
        <f t="shared" si="17"/>
        <v>-94.94999999999709</v>
      </c>
    </row>
    <row r="211" spans="1:10" x14ac:dyDescent="0.2">
      <c r="A211">
        <v>656</v>
      </c>
      <c r="B211">
        <v>1</v>
      </c>
      <c r="C211" s="3" t="s">
        <v>244</v>
      </c>
      <c r="D211" s="29">
        <v>30253851.440000001</v>
      </c>
      <c r="E211" s="26">
        <f t="shared" si="14"/>
        <v>850355.13</v>
      </c>
      <c r="F211" s="26">
        <f t="shared" si="15"/>
        <v>765319.62</v>
      </c>
      <c r="G211" s="26">
        <v>841096.63</v>
      </c>
      <c r="H211" s="26">
        <v>756986.97</v>
      </c>
      <c r="I211" s="26">
        <f t="shared" si="16"/>
        <v>93368.160000000033</v>
      </c>
      <c r="J211" s="28">
        <f t="shared" si="17"/>
        <v>8332.6500000000233</v>
      </c>
    </row>
    <row r="212" spans="1:10" x14ac:dyDescent="0.2">
      <c r="A212">
        <v>659</v>
      </c>
      <c r="B212">
        <v>1</v>
      </c>
      <c r="C212" s="3" t="s">
        <v>245</v>
      </c>
      <c r="D212" s="29">
        <v>24279148.899999999</v>
      </c>
      <c r="E212" s="26">
        <f t="shared" si="14"/>
        <v>682422.17</v>
      </c>
      <c r="F212" s="26">
        <f t="shared" si="15"/>
        <v>614179.94999999995</v>
      </c>
      <c r="G212" s="26">
        <v>676238.73</v>
      </c>
      <c r="H212" s="26">
        <v>608614.86</v>
      </c>
      <c r="I212" s="26">
        <f t="shared" si="16"/>
        <v>73807.310000000056</v>
      </c>
      <c r="J212" s="28">
        <f t="shared" si="17"/>
        <v>5565.0899999999674</v>
      </c>
    </row>
    <row r="213" spans="1:10" x14ac:dyDescent="0.2">
      <c r="A213">
        <v>671</v>
      </c>
      <c r="B213">
        <v>1</v>
      </c>
      <c r="C213" s="3" t="s">
        <v>246</v>
      </c>
      <c r="D213" s="29">
        <v>2621676.9300000002</v>
      </c>
      <c r="E213" s="26">
        <f t="shared" si="14"/>
        <v>73688.350000000006</v>
      </c>
      <c r="F213" s="26">
        <f t="shared" si="15"/>
        <v>66319.520000000004</v>
      </c>
      <c r="G213" s="26">
        <v>80677.210000000006</v>
      </c>
      <c r="H213" s="26">
        <v>72609.490000000005</v>
      </c>
      <c r="I213" s="26">
        <f t="shared" si="16"/>
        <v>1078.8600000000006</v>
      </c>
      <c r="J213" s="28">
        <f t="shared" si="17"/>
        <v>-6289.9700000000012</v>
      </c>
    </row>
    <row r="214" spans="1:10" x14ac:dyDescent="0.2">
      <c r="A214">
        <v>676</v>
      </c>
      <c r="B214">
        <v>1</v>
      </c>
      <c r="C214" s="3" t="s">
        <v>247</v>
      </c>
      <c r="D214" s="29">
        <v>1840470.3599999999</v>
      </c>
      <c r="E214" s="26">
        <f t="shared" si="14"/>
        <v>51730.720000000001</v>
      </c>
      <c r="F214" s="26">
        <f t="shared" si="15"/>
        <v>46557.65</v>
      </c>
      <c r="G214" s="26">
        <v>54206.06</v>
      </c>
      <c r="H214" s="26">
        <v>48785.45</v>
      </c>
      <c r="I214" s="26">
        <f t="shared" si="16"/>
        <v>2945.2700000000041</v>
      </c>
      <c r="J214" s="28">
        <f t="shared" si="17"/>
        <v>-2227.7999999999956</v>
      </c>
    </row>
    <row r="215" spans="1:10" x14ac:dyDescent="0.2">
      <c r="A215">
        <v>682</v>
      </c>
      <c r="B215">
        <v>1</v>
      </c>
      <c r="C215" s="3" t="s">
        <v>248</v>
      </c>
      <c r="D215" s="29">
        <v>9521237.3800000008</v>
      </c>
      <c r="E215" s="26">
        <f t="shared" si="14"/>
        <v>267616.61</v>
      </c>
      <c r="F215" s="26">
        <f t="shared" si="15"/>
        <v>240854.95</v>
      </c>
      <c r="G215" s="26">
        <v>270097.21999999997</v>
      </c>
      <c r="H215" s="26">
        <v>243087.5</v>
      </c>
      <c r="I215" s="26">
        <f t="shared" si="16"/>
        <v>24529.109999999986</v>
      </c>
      <c r="J215" s="28">
        <f t="shared" si="17"/>
        <v>-2232.5499999999884</v>
      </c>
    </row>
    <row r="216" spans="1:10" x14ac:dyDescent="0.2">
      <c r="A216">
        <v>690</v>
      </c>
      <c r="B216">
        <v>1</v>
      </c>
      <c r="C216" s="3" t="s">
        <v>249</v>
      </c>
      <c r="D216" s="29">
        <v>8359094.3300000001</v>
      </c>
      <c r="E216" s="26">
        <f t="shared" si="14"/>
        <v>234951.86</v>
      </c>
      <c r="F216" s="26">
        <f t="shared" si="15"/>
        <v>211456.67</v>
      </c>
      <c r="G216" s="26">
        <v>237772.02</v>
      </c>
      <c r="H216" s="26">
        <v>213994.82</v>
      </c>
      <c r="I216" s="26">
        <f t="shared" si="16"/>
        <v>20957.039999999979</v>
      </c>
      <c r="J216" s="28">
        <f t="shared" si="17"/>
        <v>-2538.1499999999942</v>
      </c>
    </row>
    <row r="217" spans="1:10" x14ac:dyDescent="0.2">
      <c r="A217">
        <v>695</v>
      </c>
      <c r="B217">
        <v>1</v>
      </c>
      <c r="C217" s="3" t="s">
        <v>250</v>
      </c>
      <c r="D217" s="29">
        <v>5540809.71</v>
      </c>
      <c r="E217" s="26">
        <f t="shared" si="14"/>
        <v>155737.39000000001</v>
      </c>
      <c r="F217" s="26">
        <f t="shared" si="15"/>
        <v>140163.65</v>
      </c>
      <c r="G217" s="26">
        <v>155367.6</v>
      </c>
      <c r="H217" s="26">
        <v>139830.84</v>
      </c>
      <c r="I217" s="26">
        <f t="shared" si="16"/>
        <v>15906.550000000017</v>
      </c>
      <c r="J217" s="28">
        <f t="shared" si="17"/>
        <v>332.80999999999767</v>
      </c>
    </row>
    <row r="218" spans="1:10" x14ac:dyDescent="0.2">
      <c r="A218">
        <v>696</v>
      </c>
      <c r="B218">
        <v>1</v>
      </c>
      <c r="C218" s="3" t="s">
        <v>251</v>
      </c>
      <c r="D218" s="29">
        <v>3539939.8400000008</v>
      </c>
      <c r="E218" s="26">
        <f t="shared" si="14"/>
        <v>99498.27</v>
      </c>
      <c r="F218" s="26">
        <f t="shared" si="15"/>
        <v>89548.44</v>
      </c>
      <c r="G218" s="26">
        <v>94233.9</v>
      </c>
      <c r="H218" s="26">
        <v>84810.51</v>
      </c>
      <c r="I218" s="26">
        <f t="shared" si="16"/>
        <v>14687.760000000009</v>
      </c>
      <c r="J218" s="28">
        <f t="shared" si="17"/>
        <v>4737.9300000000076</v>
      </c>
    </row>
    <row r="219" spans="1:10" x14ac:dyDescent="0.2">
      <c r="A219">
        <v>698</v>
      </c>
      <c r="B219">
        <v>1</v>
      </c>
      <c r="C219" s="3" t="s">
        <v>252</v>
      </c>
      <c r="D219" s="29">
        <v>2772000.67</v>
      </c>
      <c r="E219" s="26">
        <f t="shared" si="14"/>
        <v>77913.55</v>
      </c>
      <c r="F219" s="26">
        <f t="shared" si="15"/>
        <v>70122.2</v>
      </c>
      <c r="G219" s="26">
        <v>82000.78</v>
      </c>
      <c r="H219" s="26">
        <v>73800.7</v>
      </c>
      <c r="I219" s="26">
        <f t="shared" si="16"/>
        <v>4112.8500000000058</v>
      </c>
      <c r="J219" s="28">
        <f t="shared" si="17"/>
        <v>-3678.5</v>
      </c>
    </row>
    <row r="220" spans="1:10" x14ac:dyDescent="0.2">
      <c r="A220">
        <v>700</v>
      </c>
      <c r="B220">
        <v>1</v>
      </c>
      <c r="C220" s="3" t="s">
        <v>253</v>
      </c>
      <c r="D220" s="29">
        <v>13913023.76</v>
      </c>
      <c r="E220" s="26">
        <f t="shared" si="14"/>
        <v>391058.02</v>
      </c>
      <c r="F220" s="26">
        <f t="shared" si="15"/>
        <v>351952.22</v>
      </c>
      <c r="G220" s="26">
        <v>378968.88</v>
      </c>
      <c r="H220" s="26">
        <v>341071.99</v>
      </c>
      <c r="I220" s="26">
        <f t="shared" si="16"/>
        <v>49986.030000000028</v>
      </c>
      <c r="J220" s="28">
        <f t="shared" si="17"/>
        <v>10880.229999999981</v>
      </c>
    </row>
    <row r="221" spans="1:10" x14ac:dyDescent="0.2">
      <c r="A221">
        <v>701</v>
      </c>
      <c r="B221">
        <v>1</v>
      </c>
      <c r="C221" s="3" t="s">
        <v>254</v>
      </c>
      <c r="D221" s="29">
        <v>17739119.120000001</v>
      </c>
      <c r="E221" s="26">
        <f t="shared" si="14"/>
        <v>498599.36</v>
      </c>
      <c r="F221" s="26">
        <f t="shared" si="15"/>
        <v>448739.42</v>
      </c>
      <c r="G221" s="26">
        <v>482155.8</v>
      </c>
      <c r="H221" s="26">
        <v>433940.22</v>
      </c>
      <c r="I221" s="26">
        <f t="shared" si="16"/>
        <v>64659.140000000014</v>
      </c>
      <c r="J221" s="28">
        <f t="shared" si="17"/>
        <v>14799.200000000012</v>
      </c>
    </row>
    <row r="222" spans="1:10" x14ac:dyDescent="0.2">
      <c r="A222">
        <v>704</v>
      </c>
      <c r="B222">
        <v>1</v>
      </c>
      <c r="C222" s="3" t="s">
        <v>255</v>
      </c>
      <c r="D222" s="29">
        <v>11836037.649999999</v>
      </c>
      <c r="E222" s="26">
        <f t="shared" si="14"/>
        <v>332679.46999999997</v>
      </c>
      <c r="F222" s="26">
        <f t="shared" si="15"/>
        <v>299411.52</v>
      </c>
      <c r="G222" s="26">
        <v>326427.7</v>
      </c>
      <c r="H222" s="26">
        <v>293784.93</v>
      </c>
      <c r="I222" s="26">
        <f t="shared" si="16"/>
        <v>38894.539999999979</v>
      </c>
      <c r="J222" s="28">
        <f t="shared" si="17"/>
        <v>5626.5900000000256</v>
      </c>
    </row>
    <row r="223" spans="1:10" x14ac:dyDescent="0.2">
      <c r="A223">
        <v>706</v>
      </c>
      <c r="B223">
        <v>1</v>
      </c>
      <c r="C223" s="3" t="s">
        <v>256</v>
      </c>
      <c r="D223" s="29">
        <v>11990718.309999997</v>
      </c>
      <c r="E223" s="26">
        <f t="shared" si="14"/>
        <v>337027.13</v>
      </c>
      <c r="F223" s="26">
        <f t="shared" si="15"/>
        <v>303324.42</v>
      </c>
      <c r="G223" s="26">
        <v>330655.67</v>
      </c>
      <c r="H223" s="26">
        <v>297590.09999999998</v>
      </c>
      <c r="I223" s="26">
        <f t="shared" si="16"/>
        <v>39437.030000000028</v>
      </c>
      <c r="J223" s="28">
        <f t="shared" si="17"/>
        <v>5734.320000000007</v>
      </c>
    </row>
    <row r="224" spans="1:10" x14ac:dyDescent="0.2">
      <c r="A224">
        <v>707</v>
      </c>
      <c r="B224">
        <v>1</v>
      </c>
      <c r="C224" s="3" t="s">
        <v>257</v>
      </c>
      <c r="D224" s="29">
        <v>1236074.3</v>
      </c>
      <c r="E224" s="26">
        <f t="shared" si="14"/>
        <v>34742.75</v>
      </c>
      <c r="F224" s="26">
        <f t="shared" si="15"/>
        <v>31268.48</v>
      </c>
      <c r="G224" s="26">
        <v>32973.94</v>
      </c>
      <c r="H224" s="26">
        <v>29676.55</v>
      </c>
      <c r="I224" s="26">
        <f t="shared" si="16"/>
        <v>5066.2000000000007</v>
      </c>
      <c r="J224" s="28">
        <f t="shared" si="17"/>
        <v>1591.9300000000003</v>
      </c>
    </row>
    <row r="225" spans="1:10" x14ac:dyDescent="0.2">
      <c r="A225">
        <v>709</v>
      </c>
      <c r="B225">
        <v>1</v>
      </c>
      <c r="C225" s="3" t="s">
        <v>258</v>
      </c>
      <c r="D225" s="29">
        <v>65632072.269999996</v>
      </c>
      <c r="E225" s="26">
        <f t="shared" si="14"/>
        <v>1844742.63</v>
      </c>
      <c r="F225" s="26">
        <f t="shared" si="15"/>
        <v>1660268.37</v>
      </c>
      <c r="G225" s="26">
        <v>1945018.85</v>
      </c>
      <c r="H225" s="26">
        <v>1750516.97</v>
      </c>
      <c r="I225" s="26">
        <f t="shared" si="16"/>
        <v>94225.659999999916</v>
      </c>
      <c r="J225" s="28">
        <f t="shared" si="17"/>
        <v>-90248.59999999986</v>
      </c>
    </row>
    <row r="226" spans="1:10" x14ac:dyDescent="0.2">
      <c r="A226">
        <v>712</v>
      </c>
      <c r="B226">
        <v>1</v>
      </c>
      <c r="C226" s="3" t="s">
        <v>259</v>
      </c>
      <c r="D226" s="29">
        <v>4562785.2699999996</v>
      </c>
      <c r="E226" s="26">
        <f t="shared" si="14"/>
        <v>128247.73</v>
      </c>
      <c r="F226" s="26">
        <f t="shared" si="15"/>
        <v>115422.96</v>
      </c>
      <c r="G226" s="26">
        <v>119132.5</v>
      </c>
      <c r="H226" s="26">
        <v>107219.25</v>
      </c>
      <c r="I226" s="26">
        <f t="shared" si="16"/>
        <v>21028.479999999996</v>
      </c>
      <c r="J226" s="28">
        <f t="shared" si="17"/>
        <v>8203.7100000000064</v>
      </c>
    </row>
    <row r="227" spans="1:10" x14ac:dyDescent="0.2">
      <c r="A227">
        <v>716</v>
      </c>
      <c r="B227">
        <v>1</v>
      </c>
      <c r="C227" s="3" t="s">
        <v>260</v>
      </c>
      <c r="D227" s="29">
        <v>10395781.139999999</v>
      </c>
      <c r="E227" s="26">
        <f t="shared" si="14"/>
        <v>292197.7</v>
      </c>
      <c r="F227" s="26">
        <f t="shared" si="15"/>
        <v>262977.93</v>
      </c>
      <c r="G227" s="26">
        <v>297882.52</v>
      </c>
      <c r="H227" s="26">
        <v>268094.27</v>
      </c>
      <c r="I227" s="26">
        <f t="shared" si="16"/>
        <v>24103.429999999993</v>
      </c>
      <c r="J227" s="28">
        <f t="shared" si="17"/>
        <v>-5116.3400000000256</v>
      </c>
    </row>
    <row r="228" spans="1:10" x14ac:dyDescent="0.2">
      <c r="A228">
        <v>717</v>
      </c>
      <c r="B228">
        <v>1</v>
      </c>
      <c r="C228" s="3" t="s">
        <v>261</v>
      </c>
      <c r="D228" s="29">
        <v>10682332.380000001</v>
      </c>
      <c r="E228" s="26">
        <f t="shared" si="14"/>
        <v>300251.89</v>
      </c>
      <c r="F228" s="26">
        <f t="shared" si="15"/>
        <v>270226.7</v>
      </c>
      <c r="G228" s="26">
        <v>299901.09000000003</v>
      </c>
      <c r="H228" s="26">
        <v>269910.98</v>
      </c>
      <c r="I228" s="26">
        <f t="shared" si="16"/>
        <v>30340.910000000033</v>
      </c>
      <c r="J228" s="28">
        <f t="shared" si="17"/>
        <v>315.72000000003027</v>
      </c>
    </row>
    <row r="229" spans="1:10" x14ac:dyDescent="0.2">
      <c r="A229">
        <v>719</v>
      </c>
      <c r="B229">
        <v>1</v>
      </c>
      <c r="C229" s="3" t="s">
        <v>262</v>
      </c>
      <c r="D229" s="29">
        <v>42261311.089999996</v>
      </c>
      <c r="E229" s="26">
        <f t="shared" si="14"/>
        <v>1187852.82</v>
      </c>
      <c r="F229" s="26">
        <f t="shared" si="15"/>
        <v>1069067.54</v>
      </c>
      <c r="G229" s="26">
        <v>1189753.92</v>
      </c>
      <c r="H229" s="26">
        <v>1070778.53</v>
      </c>
      <c r="I229" s="26">
        <f t="shared" si="16"/>
        <v>117074.29000000004</v>
      </c>
      <c r="J229" s="28">
        <f t="shared" si="17"/>
        <v>-1710.9899999999907</v>
      </c>
    </row>
    <row r="230" spans="1:10" x14ac:dyDescent="0.2">
      <c r="A230">
        <v>720</v>
      </c>
      <c r="B230">
        <v>1</v>
      </c>
      <c r="C230" s="3" t="s">
        <v>263</v>
      </c>
      <c r="D230" s="29">
        <v>48429914.529999994</v>
      </c>
      <c r="E230" s="26">
        <f t="shared" si="14"/>
        <v>1361235.82</v>
      </c>
      <c r="F230" s="26">
        <f t="shared" si="15"/>
        <v>1225112.24</v>
      </c>
      <c r="G230" s="26">
        <v>1364198.67</v>
      </c>
      <c r="H230" s="26">
        <v>1227778.8</v>
      </c>
      <c r="I230" s="26">
        <f t="shared" si="16"/>
        <v>133457.02000000002</v>
      </c>
      <c r="J230" s="28">
        <f t="shared" si="17"/>
        <v>-2666.5600000000559</v>
      </c>
    </row>
    <row r="231" spans="1:10" x14ac:dyDescent="0.2">
      <c r="A231">
        <v>721</v>
      </c>
      <c r="B231">
        <v>1</v>
      </c>
      <c r="C231" s="3" t="s">
        <v>264</v>
      </c>
      <c r="D231" s="29">
        <v>22718815.390000004</v>
      </c>
      <c r="E231" s="26">
        <f t="shared" si="14"/>
        <v>638565.35</v>
      </c>
      <c r="F231" s="26">
        <f t="shared" si="15"/>
        <v>574708.81999999995</v>
      </c>
      <c r="G231" s="26">
        <v>641574.80000000005</v>
      </c>
      <c r="H231" s="26">
        <v>577417.31999999995</v>
      </c>
      <c r="I231" s="26">
        <f t="shared" si="16"/>
        <v>61148.030000000028</v>
      </c>
      <c r="J231" s="28">
        <f t="shared" si="17"/>
        <v>-2708.5</v>
      </c>
    </row>
    <row r="232" spans="1:10" x14ac:dyDescent="0.2">
      <c r="A232">
        <v>726</v>
      </c>
      <c r="B232">
        <v>1</v>
      </c>
      <c r="C232" s="3" t="s">
        <v>265</v>
      </c>
      <c r="D232" s="29">
        <v>16800231.879999999</v>
      </c>
      <c r="E232" s="26">
        <f t="shared" si="14"/>
        <v>472209.74</v>
      </c>
      <c r="F232" s="26">
        <f t="shared" si="15"/>
        <v>424988.77</v>
      </c>
      <c r="G232" s="26">
        <v>482852.34</v>
      </c>
      <c r="H232" s="26">
        <v>434567.11</v>
      </c>
      <c r="I232" s="26">
        <f t="shared" si="16"/>
        <v>37642.630000000005</v>
      </c>
      <c r="J232" s="28">
        <f t="shared" si="17"/>
        <v>-9578.3399999999674</v>
      </c>
    </row>
    <row r="233" spans="1:10" x14ac:dyDescent="0.2">
      <c r="A233">
        <v>727</v>
      </c>
      <c r="B233">
        <v>1</v>
      </c>
      <c r="C233" s="3" t="s">
        <v>266</v>
      </c>
      <c r="D233" s="29">
        <v>23574670.790000003</v>
      </c>
      <c r="E233" s="26">
        <f t="shared" si="14"/>
        <v>662621.17000000004</v>
      </c>
      <c r="F233" s="26">
        <f t="shared" si="15"/>
        <v>596359.05000000005</v>
      </c>
      <c r="G233" s="26">
        <v>678233.68</v>
      </c>
      <c r="H233" s="26">
        <v>610410.31000000006</v>
      </c>
      <c r="I233" s="26">
        <f t="shared" si="16"/>
        <v>52210.859999999986</v>
      </c>
      <c r="J233" s="28">
        <f t="shared" si="17"/>
        <v>-14051.260000000009</v>
      </c>
    </row>
    <row r="234" spans="1:10" x14ac:dyDescent="0.2">
      <c r="A234">
        <v>728</v>
      </c>
      <c r="B234">
        <v>1</v>
      </c>
      <c r="C234" s="3" t="s">
        <v>267</v>
      </c>
      <c r="D234" s="29">
        <v>85126035.74000001</v>
      </c>
      <c r="E234" s="26">
        <f t="shared" si="14"/>
        <v>2392665.9900000002</v>
      </c>
      <c r="F234" s="26">
        <f t="shared" si="15"/>
        <v>2153399.39</v>
      </c>
      <c r="G234" s="26">
        <v>2303602.7999999998</v>
      </c>
      <c r="H234" s="26">
        <v>2073242.52</v>
      </c>
      <c r="I234" s="26">
        <f t="shared" si="16"/>
        <v>319423.4700000002</v>
      </c>
      <c r="J234" s="28">
        <f t="shared" si="17"/>
        <v>80156.870000000112</v>
      </c>
    </row>
    <row r="235" spans="1:10" x14ac:dyDescent="0.2">
      <c r="A235">
        <v>738</v>
      </c>
      <c r="B235">
        <v>1</v>
      </c>
      <c r="C235" s="3" t="s">
        <v>268</v>
      </c>
      <c r="D235" s="29">
        <v>6846497.2200000007</v>
      </c>
      <c r="E235" s="26">
        <f t="shared" si="14"/>
        <v>192436.79</v>
      </c>
      <c r="F235" s="26">
        <f t="shared" si="15"/>
        <v>173193.11</v>
      </c>
      <c r="G235" s="26">
        <v>194747.46</v>
      </c>
      <c r="H235" s="26">
        <v>175272.71</v>
      </c>
      <c r="I235" s="26">
        <f t="shared" si="16"/>
        <v>17164.080000000016</v>
      </c>
      <c r="J235" s="28">
        <f t="shared" si="17"/>
        <v>-2079.6000000000058</v>
      </c>
    </row>
    <row r="236" spans="1:10" x14ac:dyDescent="0.2">
      <c r="A236">
        <v>739</v>
      </c>
      <c r="B236">
        <v>1</v>
      </c>
      <c r="C236" s="3" t="s">
        <v>269</v>
      </c>
      <c r="D236" s="29">
        <v>4512695.3899999997</v>
      </c>
      <c r="E236" s="26">
        <f t="shared" si="14"/>
        <v>126839.84</v>
      </c>
      <c r="F236" s="26">
        <f t="shared" si="15"/>
        <v>114155.86</v>
      </c>
      <c r="G236" s="26">
        <v>130957.46</v>
      </c>
      <c r="H236" s="26">
        <v>117861.71</v>
      </c>
      <c r="I236" s="26">
        <f t="shared" si="16"/>
        <v>8978.1299999999901</v>
      </c>
      <c r="J236" s="28">
        <f t="shared" si="17"/>
        <v>-3705.8500000000058</v>
      </c>
    </row>
    <row r="237" spans="1:10" x14ac:dyDescent="0.2">
      <c r="A237">
        <v>740</v>
      </c>
      <c r="B237">
        <v>1</v>
      </c>
      <c r="C237" s="3" t="s">
        <v>270</v>
      </c>
      <c r="D237" s="29">
        <v>10281370.27</v>
      </c>
      <c r="E237" s="26">
        <f t="shared" si="14"/>
        <v>288981.92</v>
      </c>
      <c r="F237" s="26">
        <f t="shared" si="15"/>
        <v>260083.73</v>
      </c>
      <c r="G237" s="26">
        <v>294297.27</v>
      </c>
      <c r="H237" s="26">
        <v>264867.53999999998</v>
      </c>
      <c r="I237" s="26">
        <f t="shared" si="16"/>
        <v>24114.380000000005</v>
      </c>
      <c r="J237" s="28">
        <f t="shared" si="17"/>
        <v>-4783.8099999999686</v>
      </c>
    </row>
    <row r="238" spans="1:10" x14ac:dyDescent="0.2">
      <c r="A238">
        <v>741</v>
      </c>
      <c r="B238">
        <v>1</v>
      </c>
      <c r="C238" s="3" t="s">
        <v>271</v>
      </c>
      <c r="D238" s="29">
        <v>7396044.2899999991</v>
      </c>
      <c r="E238" s="26">
        <f t="shared" si="14"/>
        <v>207883.09</v>
      </c>
      <c r="F238" s="26">
        <f t="shared" si="15"/>
        <v>187094.78</v>
      </c>
      <c r="G238" s="26">
        <v>211598.05</v>
      </c>
      <c r="H238" s="26">
        <v>190438.25</v>
      </c>
      <c r="I238" s="26">
        <f t="shared" si="16"/>
        <v>17444.839999999997</v>
      </c>
      <c r="J238" s="28">
        <f t="shared" si="17"/>
        <v>-3343.4700000000012</v>
      </c>
    </row>
    <row r="239" spans="1:10" x14ac:dyDescent="0.2">
      <c r="A239">
        <v>742</v>
      </c>
      <c r="B239">
        <v>1</v>
      </c>
      <c r="C239" s="3" t="s">
        <v>272</v>
      </c>
      <c r="D239" s="29">
        <v>72174685.319999993</v>
      </c>
      <c r="E239" s="26">
        <f t="shared" si="14"/>
        <v>2028638.05</v>
      </c>
      <c r="F239" s="26">
        <f t="shared" si="15"/>
        <v>1825774.25</v>
      </c>
      <c r="G239" s="26">
        <v>1971844.67</v>
      </c>
      <c r="H239" s="26">
        <v>1774660.2</v>
      </c>
      <c r="I239" s="26">
        <f t="shared" si="16"/>
        <v>253977.85000000009</v>
      </c>
      <c r="J239" s="28">
        <f t="shared" si="17"/>
        <v>51114.050000000047</v>
      </c>
    </row>
    <row r="240" spans="1:10" x14ac:dyDescent="0.2">
      <c r="A240">
        <v>743</v>
      </c>
      <c r="B240">
        <v>1</v>
      </c>
      <c r="C240" s="3" t="s">
        <v>273</v>
      </c>
      <c r="D240" s="29">
        <v>6800493.580000001</v>
      </c>
      <c r="E240" s="26">
        <f t="shared" si="14"/>
        <v>191143.75</v>
      </c>
      <c r="F240" s="26">
        <f t="shared" si="15"/>
        <v>172029.38</v>
      </c>
      <c r="G240" s="26">
        <v>191166</v>
      </c>
      <c r="H240" s="26">
        <v>172049.4</v>
      </c>
      <c r="I240" s="26">
        <f t="shared" si="16"/>
        <v>19094.350000000006</v>
      </c>
      <c r="J240" s="28">
        <f t="shared" si="17"/>
        <v>-20.019999999989523</v>
      </c>
    </row>
    <row r="241" spans="1:10" x14ac:dyDescent="0.2">
      <c r="A241">
        <v>745</v>
      </c>
      <c r="B241">
        <v>1</v>
      </c>
      <c r="C241" s="3" t="s">
        <v>274</v>
      </c>
      <c r="D241" s="29">
        <v>11469970.209999999</v>
      </c>
      <c r="E241" s="26">
        <f t="shared" si="14"/>
        <v>322390.28999999998</v>
      </c>
      <c r="F241" s="26">
        <f t="shared" si="15"/>
        <v>290151.26</v>
      </c>
      <c r="G241" s="26">
        <v>319876.07</v>
      </c>
      <c r="H241" s="26">
        <v>287888.46000000002</v>
      </c>
      <c r="I241" s="26">
        <f t="shared" si="16"/>
        <v>34501.829999999958</v>
      </c>
      <c r="J241" s="28">
        <f t="shared" si="17"/>
        <v>2262.7999999999884</v>
      </c>
    </row>
    <row r="242" spans="1:10" x14ac:dyDescent="0.2">
      <c r="A242">
        <v>748</v>
      </c>
      <c r="B242">
        <v>1</v>
      </c>
      <c r="C242" s="3" t="s">
        <v>275</v>
      </c>
      <c r="D242" s="29">
        <v>22888162.82</v>
      </c>
      <c r="E242" s="26">
        <f t="shared" si="14"/>
        <v>643325.26</v>
      </c>
      <c r="F242" s="26">
        <f t="shared" si="15"/>
        <v>578992.73</v>
      </c>
      <c r="G242" s="26">
        <v>649535.17000000004</v>
      </c>
      <c r="H242" s="26">
        <v>584581.65</v>
      </c>
      <c r="I242" s="26">
        <f t="shared" si="16"/>
        <v>58743.609999999986</v>
      </c>
      <c r="J242" s="28">
        <f t="shared" si="17"/>
        <v>-5588.9200000000419</v>
      </c>
    </row>
    <row r="243" spans="1:10" x14ac:dyDescent="0.2">
      <c r="A243">
        <v>750</v>
      </c>
      <c r="B243">
        <v>1</v>
      </c>
      <c r="C243" s="3" t="s">
        <v>276</v>
      </c>
      <c r="D243" s="29">
        <v>13504688.869999999</v>
      </c>
      <c r="E243" s="26">
        <f t="shared" si="14"/>
        <v>379580.81</v>
      </c>
      <c r="F243" s="26">
        <f t="shared" si="15"/>
        <v>341622.73</v>
      </c>
      <c r="G243" s="26">
        <v>395193.8</v>
      </c>
      <c r="H243" s="26">
        <v>355674.42</v>
      </c>
      <c r="I243" s="26">
        <f t="shared" si="16"/>
        <v>23906.390000000014</v>
      </c>
      <c r="J243" s="28">
        <f t="shared" si="17"/>
        <v>-14051.690000000002</v>
      </c>
    </row>
    <row r="244" spans="1:10" x14ac:dyDescent="0.2">
      <c r="A244">
        <v>756</v>
      </c>
      <c r="B244">
        <v>1</v>
      </c>
      <c r="C244" s="3" t="s">
        <v>277</v>
      </c>
      <c r="D244" s="29">
        <v>4939745.01</v>
      </c>
      <c r="E244" s="26">
        <f t="shared" si="14"/>
        <v>138843.07</v>
      </c>
      <c r="F244" s="26">
        <f t="shared" si="15"/>
        <v>124958.76</v>
      </c>
      <c r="G244" s="26">
        <v>137296.32000000001</v>
      </c>
      <c r="H244" s="26">
        <v>123566.69</v>
      </c>
      <c r="I244" s="26">
        <f t="shared" si="16"/>
        <v>15276.380000000005</v>
      </c>
      <c r="J244" s="28">
        <f t="shared" si="17"/>
        <v>1392.0699999999924</v>
      </c>
    </row>
    <row r="245" spans="1:10" x14ac:dyDescent="0.2">
      <c r="A245">
        <v>761</v>
      </c>
      <c r="B245">
        <v>1</v>
      </c>
      <c r="C245" s="3" t="s">
        <v>278</v>
      </c>
      <c r="D245" s="29">
        <v>34539890.030000001</v>
      </c>
      <c r="E245" s="26">
        <f t="shared" si="14"/>
        <v>970824.25</v>
      </c>
      <c r="F245" s="26">
        <f t="shared" si="15"/>
        <v>873741.83</v>
      </c>
      <c r="G245" s="26">
        <v>986904.53</v>
      </c>
      <c r="H245" s="26">
        <v>888214.08</v>
      </c>
      <c r="I245" s="26">
        <f t="shared" si="16"/>
        <v>82610.170000000042</v>
      </c>
      <c r="J245" s="28">
        <f t="shared" si="17"/>
        <v>-14472.25</v>
      </c>
    </row>
    <row r="246" spans="1:10" x14ac:dyDescent="0.2">
      <c r="A246">
        <v>763</v>
      </c>
      <c r="B246">
        <v>1</v>
      </c>
      <c r="C246" s="3" t="s">
        <v>279</v>
      </c>
      <c r="D246" s="29">
        <v>5300405.4799999995</v>
      </c>
      <c r="E246" s="26">
        <f t="shared" si="14"/>
        <v>148980.26999999999</v>
      </c>
      <c r="F246" s="26">
        <f t="shared" si="15"/>
        <v>134082.23999999999</v>
      </c>
      <c r="G246" s="26">
        <v>140600.09</v>
      </c>
      <c r="H246" s="26">
        <v>126540.08</v>
      </c>
      <c r="I246" s="26">
        <f t="shared" si="16"/>
        <v>22440.189999999988</v>
      </c>
      <c r="J246" s="28">
        <f t="shared" si="17"/>
        <v>7542.1599999999889</v>
      </c>
    </row>
    <row r="247" spans="1:10" x14ac:dyDescent="0.2">
      <c r="A247">
        <v>768</v>
      </c>
      <c r="B247">
        <v>1</v>
      </c>
      <c r="C247" s="3" t="s">
        <v>280</v>
      </c>
      <c r="D247" s="29">
        <v>1953185.86</v>
      </c>
      <c r="E247" s="26">
        <f t="shared" si="14"/>
        <v>54898.85</v>
      </c>
      <c r="F247" s="26">
        <f t="shared" si="15"/>
        <v>49408.97</v>
      </c>
      <c r="G247" s="26">
        <v>52809.72</v>
      </c>
      <c r="H247" s="26">
        <v>47528.75</v>
      </c>
      <c r="I247" s="26">
        <f t="shared" si="16"/>
        <v>7370.0999999999985</v>
      </c>
      <c r="J247" s="28">
        <f t="shared" si="17"/>
        <v>1880.2200000000012</v>
      </c>
    </row>
    <row r="248" spans="1:10" x14ac:dyDescent="0.2">
      <c r="A248">
        <v>769</v>
      </c>
      <c r="B248">
        <v>1</v>
      </c>
      <c r="C248" s="3" t="s">
        <v>281</v>
      </c>
      <c r="D248" s="29">
        <v>6982880.8599999994</v>
      </c>
      <c r="E248" s="26">
        <f t="shared" si="14"/>
        <v>196270.17</v>
      </c>
      <c r="F248" s="26">
        <f t="shared" si="15"/>
        <v>176643.15</v>
      </c>
      <c r="G248" s="26">
        <v>191825.04</v>
      </c>
      <c r="H248" s="26">
        <v>172642.54</v>
      </c>
      <c r="I248" s="26">
        <f t="shared" si="16"/>
        <v>23627.630000000005</v>
      </c>
      <c r="J248" s="28">
        <f t="shared" si="17"/>
        <v>4000.609999999986</v>
      </c>
    </row>
    <row r="249" spans="1:10" x14ac:dyDescent="0.2">
      <c r="A249">
        <v>771</v>
      </c>
      <c r="B249">
        <v>1</v>
      </c>
      <c r="C249" s="3" t="s">
        <v>282</v>
      </c>
      <c r="D249" s="29">
        <v>1131179.4800000002</v>
      </c>
      <c r="E249" s="26">
        <f t="shared" si="14"/>
        <v>31794.44</v>
      </c>
      <c r="F249" s="26">
        <f t="shared" si="15"/>
        <v>28615</v>
      </c>
      <c r="G249" s="26">
        <v>31433.47</v>
      </c>
      <c r="H249" s="26">
        <v>28290.12</v>
      </c>
      <c r="I249" s="26">
        <f t="shared" si="16"/>
        <v>3504.3199999999997</v>
      </c>
      <c r="J249" s="28">
        <f t="shared" si="17"/>
        <v>324.88000000000102</v>
      </c>
    </row>
    <row r="250" spans="1:10" x14ac:dyDescent="0.2">
      <c r="A250">
        <v>775</v>
      </c>
      <c r="B250">
        <v>1</v>
      </c>
      <c r="C250" s="3" t="s">
        <v>283</v>
      </c>
      <c r="D250" s="29">
        <v>4178851.2399999998</v>
      </c>
      <c r="E250" s="26">
        <f t="shared" si="14"/>
        <v>117456.37</v>
      </c>
      <c r="F250" s="26">
        <f t="shared" si="15"/>
        <v>105710.73</v>
      </c>
      <c r="G250" s="26">
        <v>120692.77</v>
      </c>
      <c r="H250" s="26">
        <v>108623.49</v>
      </c>
      <c r="I250" s="26">
        <f t="shared" si="16"/>
        <v>8832.8799999999901</v>
      </c>
      <c r="J250" s="28">
        <f t="shared" si="17"/>
        <v>-2912.7600000000093</v>
      </c>
    </row>
    <row r="251" spans="1:10" x14ac:dyDescent="0.2">
      <c r="A251">
        <v>777</v>
      </c>
      <c r="B251">
        <v>1</v>
      </c>
      <c r="C251" s="3" t="s">
        <v>284</v>
      </c>
      <c r="D251" s="29">
        <v>7340274.79</v>
      </c>
      <c r="E251" s="26">
        <f t="shared" si="14"/>
        <v>206315.56</v>
      </c>
      <c r="F251" s="26">
        <f t="shared" si="15"/>
        <v>185684</v>
      </c>
      <c r="G251" s="26">
        <v>201899.05</v>
      </c>
      <c r="H251" s="26">
        <v>181709.15</v>
      </c>
      <c r="I251" s="26">
        <f t="shared" si="16"/>
        <v>24606.410000000003</v>
      </c>
      <c r="J251" s="28">
        <f t="shared" si="17"/>
        <v>3974.8500000000058</v>
      </c>
    </row>
    <row r="252" spans="1:10" x14ac:dyDescent="0.2">
      <c r="A252">
        <v>786</v>
      </c>
      <c r="B252">
        <v>1</v>
      </c>
      <c r="C252" s="3" t="s">
        <v>285</v>
      </c>
      <c r="D252" s="29">
        <v>3699094.6199999996</v>
      </c>
      <c r="E252" s="26">
        <f t="shared" si="14"/>
        <v>103971.69</v>
      </c>
      <c r="F252" s="26">
        <f t="shared" si="15"/>
        <v>93574.52</v>
      </c>
      <c r="G252" s="26">
        <v>105897.75</v>
      </c>
      <c r="H252" s="26">
        <v>95307.98</v>
      </c>
      <c r="I252" s="26">
        <f t="shared" si="16"/>
        <v>8663.7100000000064</v>
      </c>
      <c r="J252" s="28">
        <f t="shared" si="17"/>
        <v>-1733.4599999999919</v>
      </c>
    </row>
    <row r="253" spans="1:10" x14ac:dyDescent="0.2">
      <c r="A253">
        <v>787</v>
      </c>
      <c r="B253">
        <v>1</v>
      </c>
      <c r="C253" s="3" t="s">
        <v>286</v>
      </c>
      <c r="D253" s="29">
        <v>4104550.73</v>
      </c>
      <c r="E253" s="26">
        <f t="shared" si="14"/>
        <v>115367.98</v>
      </c>
      <c r="F253" s="26">
        <f t="shared" si="15"/>
        <v>103831.18</v>
      </c>
      <c r="G253" s="26">
        <v>111774.02</v>
      </c>
      <c r="H253" s="26">
        <v>100596.62</v>
      </c>
      <c r="I253" s="26">
        <f t="shared" si="16"/>
        <v>14771.36</v>
      </c>
      <c r="J253" s="28">
        <f t="shared" si="17"/>
        <v>3234.5599999999977</v>
      </c>
    </row>
    <row r="254" spans="1:10" x14ac:dyDescent="0.2">
      <c r="A254">
        <v>801</v>
      </c>
      <c r="B254">
        <v>1</v>
      </c>
      <c r="C254" s="3" t="s">
        <v>287</v>
      </c>
      <c r="D254" s="29">
        <v>1129693.49</v>
      </c>
      <c r="E254" s="26">
        <f t="shared" si="14"/>
        <v>31752.67</v>
      </c>
      <c r="F254" s="26">
        <f t="shared" si="15"/>
        <v>28577.4</v>
      </c>
      <c r="G254" s="26">
        <v>33459.870000000003</v>
      </c>
      <c r="H254" s="26">
        <v>30113.88</v>
      </c>
      <c r="I254" s="26">
        <f t="shared" si="16"/>
        <v>1638.7899999999972</v>
      </c>
      <c r="J254" s="28">
        <f t="shared" si="17"/>
        <v>-1536.4799999999996</v>
      </c>
    </row>
    <row r="255" spans="1:10" x14ac:dyDescent="0.2">
      <c r="A255">
        <v>803</v>
      </c>
      <c r="B255">
        <v>1</v>
      </c>
      <c r="C255" s="3" t="s">
        <v>288</v>
      </c>
      <c r="D255" s="29">
        <v>3480204.8400000008</v>
      </c>
      <c r="E255" s="26">
        <f t="shared" si="14"/>
        <v>97819.28</v>
      </c>
      <c r="F255" s="26">
        <f t="shared" si="15"/>
        <v>88037.35</v>
      </c>
      <c r="G255" s="26">
        <v>97796.22</v>
      </c>
      <c r="H255" s="26">
        <v>88016.6</v>
      </c>
      <c r="I255" s="26">
        <f t="shared" si="16"/>
        <v>9802.679999999993</v>
      </c>
      <c r="J255" s="28">
        <f t="shared" si="17"/>
        <v>20.75</v>
      </c>
    </row>
    <row r="256" spans="1:10" x14ac:dyDescent="0.2">
      <c r="A256">
        <v>811</v>
      </c>
      <c r="B256">
        <v>1</v>
      </c>
      <c r="C256" s="3" t="s">
        <v>289</v>
      </c>
      <c r="D256" s="29">
        <v>4057105.6799999992</v>
      </c>
      <c r="E256" s="26">
        <f t="shared" si="14"/>
        <v>114034.43</v>
      </c>
      <c r="F256" s="26">
        <f t="shared" si="15"/>
        <v>102630.99</v>
      </c>
      <c r="G256" s="26">
        <v>114717.15</v>
      </c>
      <c r="H256" s="26">
        <v>103245.44</v>
      </c>
      <c r="I256" s="26">
        <f t="shared" si="16"/>
        <v>10788.989999999991</v>
      </c>
      <c r="J256" s="28">
        <f t="shared" si="17"/>
        <v>-614.44999999999709</v>
      </c>
    </row>
    <row r="257" spans="1:10" x14ac:dyDescent="0.2">
      <c r="A257">
        <v>813</v>
      </c>
      <c r="B257">
        <v>1</v>
      </c>
      <c r="C257" s="3" t="s">
        <v>290</v>
      </c>
      <c r="D257" s="29">
        <v>8042673.3200000003</v>
      </c>
      <c r="E257" s="26">
        <f t="shared" si="14"/>
        <v>226058.11</v>
      </c>
      <c r="F257" s="26">
        <f t="shared" si="15"/>
        <v>203452.3</v>
      </c>
      <c r="G257" s="26">
        <v>220241.87</v>
      </c>
      <c r="H257" s="26">
        <v>198217.68</v>
      </c>
      <c r="I257" s="26">
        <f t="shared" si="16"/>
        <v>27840.429999999993</v>
      </c>
      <c r="J257" s="28">
        <f t="shared" si="17"/>
        <v>5234.6199999999953</v>
      </c>
    </row>
    <row r="258" spans="1:10" x14ac:dyDescent="0.2">
      <c r="A258">
        <v>815</v>
      </c>
      <c r="B258">
        <v>2</v>
      </c>
      <c r="C258" s="3" t="s">
        <v>291</v>
      </c>
      <c r="D258" s="29">
        <v>157499.41999999998</v>
      </c>
      <c r="E258" s="26">
        <f t="shared" si="14"/>
        <v>4426.8900000000003</v>
      </c>
      <c r="F258" s="26">
        <f t="shared" si="15"/>
        <v>3984.2</v>
      </c>
      <c r="G258" s="26">
        <v>4352.43</v>
      </c>
      <c r="H258" s="26">
        <v>3917.19</v>
      </c>
      <c r="I258" s="26">
        <f t="shared" si="16"/>
        <v>509.70000000000027</v>
      </c>
      <c r="J258" s="28">
        <f t="shared" si="17"/>
        <v>67.009999999999764</v>
      </c>
    </row>
    <row r="259" spans="1:10" x14ac:dyDescent="0.2">
      <c r="A259">
        <v>818</v>
      </c>
      <c r="B259">
        <v>1</v>
      </c>
      <c r="C259" s="3" t="s">
        <v>292</v>
      </c>
      <c r="D259" s="29">
        <v>4078189.58</v>
      </c>
      <c r="E259" s="26">
        <f t="shared" si="14"/>
        <v>114627.04</v>
      </c>
      <c r="F259" s="26">
        <f t="shared" si="15"/>
        <v>103164.34</v>
      </c>
      <c r="G259" s="26">
        <v>113434.17</v>
      </c>
      <c r="H259" s="26">
        <v>102090.75</v>
      </c>
      <c r="I259" s="26">
        <f t="shared" si="16"/>
        <v>12536.289999999994</v>
      </c>
      <c r="J259" s="28">
        <f t="shared" si="17"/>
        <v>1073.5899999999965</v>
      </c>
    </row>
    <row r="260" spans="1:10" x14ac:dyDescent="0.2">
      <c r="A260">
        <v>820</v>
      </c>
      <c r="B260">
        <v>1</v>
      </c>
      <c r="C260" s="3" t="s">
        <v>293</v>
      </c>
      <c r="D260" s="29">
        <v>4328203.4400000004</v>
      </c>
      <c r="E260" s="26">
        <f t="shared" si="14"/>
        <v>121654.26</v>
      </c>
      <c r="F260" s="26">
        <f t="shared" si="15"/>
        <v>109488.83</v>
      </c>
      <c r="G260" s="26">
        <v>114674.57</v>
      </c>
      <c r="H260" s="26">
        <v>103207.11</v>
      </c>
      <c r="I260" s="26">
        <f t="shared" si="16"/>
        <v>18447.149999999994</v>
      </c>
      <c r="J260" s="28">
        <f t="shared" si="17"/>
        <v>6281.7200000000012</v>
      </c>
    </row>
    <row r="261" spans="1:10" x14ac:dyDescent="0.2">
      <c r="A261">
        <v>821</v>
      </c>
      <c r="B261">
        <v>1</v>
      </c>
      <c r="C261" s="3" t="s">
        <v>294</v>
      </c>
      <c r="D261" s="29">
        <v>5828846.2800000003</v>
      </c>
      <c r="E261" s="26">
        <f t="shared" si="14"/>
        <v>163833.32999999999</v>
      </c>
      <c r="F261" s="26">
        <f t="shared" si="15"/>
        <v>147450</v>
      </c>
      <c r="G261" s="26">
        <v>172002.55</v>
      </c>
      <c r="H261" s="26">
        <v>154802.29999999999</v>
      </c>
      <c r="I261" s="26">
        <f t="shared" si="16"/>
        <v>9031.0299999999988</v>
      </c>
      <c r="J261" s="28">
        <f t="shared" si="17"/>
        <v>-7352.2999999999884</v>
      </c>
    </row>
    <row r="262" spans="1:10" x14ac:dyDescent="0.2">
      <c r="A262">
        <v>829</v>
      </c>
      <c r="B262">
        <v>1</v>
      </c>
      <c r="C262" s="3" t="s">
        <v>295</v>
      </c>
      <c r="D262" s="29">
        <v>14303918.68</v>
      </c>
      <c r="E262" s="26">
        <f t="shared" si="14"/>
        <v>402045.03</v>
      </c>
      <c r="F262" s="26">
        <f t="shared" si="15"/>
        <v>361840.53</v>
      </c>
      <c r="G262" s="26">
        <v>398556.49</v>
      </c>
      <c r="H262" s="26">
        <v>358700.84</v>
      </c>
      <c r="I262" s="26">
        <f t="shared" si="16"/>
        <v>43344.19</v>
      </c>
      <c r="J262" s="28">
        <f t="shared" si="17"/>
        <v>3139.6900000000023</v>
      </c>
    </row>
    <row r="263" spans="1:10" x14ac:dyDescent="0.2">
      <c r="A263">
        <v>831</v>
      </c>
      <c r="B263">
        <v>1</v>
      </c>
      <c r="C263" s="3" t="s">
        <v>296</v>
      </c>
      <c r="D263" s="29">
        <v>42838458.890000001</v>
      </c>
      <c r="E263" s="26">
        <f t="shared" si="14"/>
        <v>1204074.9099999999</v>
      </c>
      <c r="F263" s="26">
        <f t="shared" si="15"/>
        <v>1083667.42</v>
      </c>
      <c r="G263" s="26">
        <v>1248272.18</v>
      </c>
      <c r="H263" s="26">
        <v>1123444.96</v>
      </c>
      <c r="I263" s="26">
        <f t="shared" si="16"/>
        <v>80629.949999999953</v>
      </c>
      <c r="J263" s="28">
        <f t="shared" si="17"/>
        <v>-39777.540000000037</v>
      </c>
    </row>
    <row r="264" spans="1:10" x14ac:dyDescent="0.2">
      <c r="A264">
        <v>832</v>
      </c>
      <c r="B264">
        <v>1</v>
      </c>
      <c r="C264" s="3" t="s">
        <v>297</v>
      </c>
      <c r="D264" s="29">
        <v>20277227.410000004</v>
      </c>
      <c r="E264" s="26">
        <f t="shared" si="14"/>
        <v>569938.81999999995</v>
      </c>
      <c r="F264" s="26">
        <f t="shared" si="15"/>
        <v>512944.94</v>
      </c>
      <c r="G264" s="26">
        <v>566207.13</v>
      </c>
      <c r="H264" s="26">
        <v>509586.42</v>
      </c>
      <c r="I264" s="26">
        <f t="shared" si="16"/>
        <v>60352.399999999965</v>
      </c>
      <c r="J264" s="28">
        <f t="shared" si="17"/>
        <v>3358.5200000000186</v>
      </c>
    </row>
    <row r="265" spans="1:10" x14ac:dyDescent="0.2">
      <c r="A265">
        <v>833</v>
      </c>
      <c r="B265">
        <v>1</v>
      </c>
      <c r="C265" s="3" t="s">
        <v>298</v>
      </c>
      <c r="D265" s="29">
        <v>106589881.91</v>
      </c>
      <c r="E265" s="26">
        <f t="shared" si="14"/>
        <v>2995957.5</v>
      </c>
      <c r="F265" s="26">
        <f t="shared" si="15"/>
        <v>2696361.75</v>
      </c>
      <c r="G265" s="26">
        <v>2914222.97</v>
      </c>
      <c r="H265" s="26">
        <v>2622800.67</v>
      </c>
      <c r="I265" s="26">
        <f t="shared" si="16"/>
        <v>373156.83000000007</v>
      </c>
      <c r="J265" s="28">
        <f t="shared" si="17"/>
        <v>73561.080000000075</v>
      </c>
    </row>
    <row r="266" spans="1:10" x14ac:dyDescent="0.2">
      <c r="A266">
        <v>834</v>
      </c>
      <c r="B266">
        <v>1</v>
      </c>
      <c r="C266" s="3" t="s">
        <v>299</v>
      </c>
      <c r="D266" s="29">
        <v>51649993.209999993</v>
      </c>
      <c r="E266" s="26">
        <f t="shared" si="14"/>
        <v>1451743.65</v>
      </c>
      <c r="F266" s="26">
        <f t="shared" si="15"/>
        <v>1306569.29</v>
      </c>
      <c r="G266" s="26">
        <v>1431432.37</v>
      </c>
      <c r="H266" s="26">
        <v>1288289.1299999999</v>
      </c>
      <c r="I266" s="26">
        <f t="shared" si="16"/>
        <v>163454.52000000002</v>
      </c>
      <c r="J266" s="28">
        <f t="shared" si="17"/>
        <v>18280.160000000149</v>
      </c>
    </row>
    <row r="267" spans="1:10" x14ac:dyDescent="0.2">
      <c r="A267">
        <v>836</v>
      </c>
      <c r="B267">
        <v>1</v>
      </c>
      <c r="C267" s="3" t="s">
        <v>300</v>
      </c>
      <c r="D267" s="29">
        <v>1876291.54</v>
      </c>
      <c r="E267" s="26">
        <f t="shared" si="14"/>
        <v>52737.55</v>
      </c>
      <c r="F267" s="26">
        <f t="shared" si="15"/>
        <v>47463.8</v>
      </c>
      <c r="G267" s="26">
        <v>58145.64</v>
      </c>
      <c r="H267" s="26">
        <v>52331.08</v>
      </c>
      <c r="I267" s="26">
        <f t="shared" si="16"/>
        <v>406.47000000000116</v>
      </c>
      <c r="J267" s="28">
        <f t="shared" si="17"/>
        <v>-4867.2799999999988</v>
      </c>
    </row>
    <row r="268" spans="1:10" x14ac:dyDescent="0.2">
      <c r="A268">
        <v>837</v>
      </c>
      <c r="B268">
        <v>1</v>
      </c>
      <c r="C268" s="3" t="s">
        <v>301</v>
      </c>
      <c r="D268" s="29">
        <v>4485892.99</v>
      </c>
      <c r="E268" s="26">
        <f t="shared" si="14"/>
        <v>126086.5</v>
      </c>
      <c r="F268" s="26">
        <f t="shared" si="15"/>
        <v>113477.85</v>
      </c>
      <c r="G268" s="26">
        <v>122885.02</v>
      </c>
      <c r="H268" s="26">
        <v>110596.52</v>
      </c>
      <c r="I268" s="26">
        <f t="shared" si="16"/>
        <v>15489.979999999996</v>
      </c>
      <c r="J268" s="28">
        <f t="shared" si="17"/>
        <v>2881.3300000000017</v>
      </c>
    </row>
    <row r="269" spans="1:10" x14ac:dyDescent="0.2">
      <c r="A269">
        <v>840</v>
      </c>
      <c r="B269">
        <v>1</v>
      </c>
      <c r="C269" s="3" t="s">
        <v>302</v>
      </c>
      <c r="D269" s="29">
        <v>8479950.0600000005</v>
      </c>
      <c r="E269" s="26">
        <f t="shared" si="14"/>
        <v>238348.79999999999</v>
      </c>
      <c r="F269" s="26">
        <f t="shared" si="15"/>
        <v>214513.92000000001</v>
      </c>
      <c r="G269" s="26">
        <v>238329.04</v>
      </c>
      <c r="H269" s="26">
        <v>214496.14</v>
      </c>
      <c r="I269" s="26">
        <f t="shared" si="16"/>
        <v>23852.659999999974</v>
      </c>
      <c r="J269" s="28">
        <f t="shared" si="17"/>
        <v>17.779999999998836</v>
      </c>
    </row>
    <row r="270" spans="1:10" x14ac:dyDescent="0.2">
      <c r="A270">
        <v>846</v>
      </c>
      <c r="B270">
        <v>1</v>
      </c>
      <c r="C270" s="3" t="s">
        <v>303</v>
      </c>
      <c r="D270" s="29">
        <v>5532619.0099999988</v>
      </c>
      <c r="E270" s="26">
        <f t="shared" si="14"/>
        <v>155507.18</v>
      </c>
      <c r="F270" s="26">
        <f t="shared" si="15"/>
        <v>139956.46</v>
      </c>
      <c r="G270" s="26">
        <v>162628.41</v>
      </c>
      <c r="H270" s="26">
        <v>146365.57</v>
      </c>
      <c r="I270" s="26">
        <f t="shared" si="16"/>
        <v>9141.609999999986</v>
      </c>
      <c r="J270" s="28">
        <f t="shared" si="17"/>
        <v>-6409.1100000000151</v>
      </c>
    </row>
    <row r="271" spans="1:10" x14ac:dyDescent="0.2">
      <c r="A271">
        <v>850</v>
      </c>
      <c r="B271">
        <v>1</v>
      </c>
      <c r="C271" s="3" t="s">
        <v>304</v>
      </c>
      <c r="D271" s="29">
        <v>1547592.07</v>
      </c>
      <c r="E271" s="26">
        <f t="shared" si="14"/>
        <v>43498.69</v>
      </c>
      <c r="F271" s="26">
        <f t="shared" si="15"/>
        <v>39148.82</v>
      </c>
      <c r="G271" s="26">
        <v>44596.27</v>
      </c>
      <c r="H271" s="26">
        <v>40136.639999999999</v>
      </c>
      <c r="I271" s="26">
        <f t="shared" si="16"/>
        <v>3362.0500000000029</v>
      </c>
      <c r="J271" s="28">
        <f t="shared" si="17"/>
        <v>-987.81999999999971</v>
      </c>
    </row>
    <row r="272" spans="1:10" x14ac:dyDescent="0.2">
      <c r="A272">
        <v>852</v>
      </c>
      <c r="B272">
        <v>1</v>
      </c>
      <c r="C272" s="3" t="s">
        <v>305</v>
      </c>
      <c r="D272" s="29">
        <v>1232784.7000000002</v>
      </c>
      <c r="E272" s="26">
        <f t="shared" ref="E272:E335" si="18">ROUND(D272*$D$548,2)</f>
        <v>34650.29</v>
      </c>
      <c r="F272" s="26">
        <f t="shared" ref="F272:F335" si="19">ROUND(E272*0.9,2)</f>
        <v>31185.26</v>
      </c>
      <c r="G272" s="26">
        <v>35675.730000000003</v>
      </c>
      <c r="H272" s="26">
        <v>32108.16</v>
      </c>
      <c r="I272" s="26">
        <f t="shared" ref="I272:I335" si="20">E272-H272</f>
        <v>2542.130000000001</v>
      </c>
      <c r="J272" s="28">
        <f t="shared" ref="J272:J335" si="21">F272-H272</f>
        <v>-922.90000000000146</v>
      </c>
    </row>
    <row r="273" spans="1:10" x14ac:dyDescent="0.2">
      <c r="A273">
        <v>857</v>
      </c>
      <c r="B273">
        <v>1</v>
      </c>
      <c r="C273" s="3" t="s">
        <v>306</v>
      </c>
      <c r="D273" s="29">
        <v>5233158.6500000004</v>
      </c>
      <c r="E273" s="26">
        <f t="shared" si="18"/>
        <v>147090.14000000001</v>
      </c>
      <c r="F273" s="26">
        <f t="shared" si="19"/>
        <v>132381.13</v>
      </c>
      <c r="G273" s="26">
        <v>148162.70000000001</v>
      </c>
      <c r="H273" s="26">
        <v>133346.43</v>
      </c>
      <c r="I273" s="26">
        <f t="shared" si="20"/>
        <v>13743.710000000021</v>
      </c>
      <c r="J273" s="28">
        <f t="shared" si="21"/>
        <v>-965.29999999998836</v>
      </c>
    </row>
    <row r="274" spans="1:10" x14ac:dyDescent="0.2">
      <c r="A274">
        <v>858</v>
      </c>
      <c r="B274">
        <v>1</v>
      </c>
      <c r="C274" s="3" t="s">
        <v>307</v>
      </c>
      <c r="D274" s="29">
        <v>6725049.5999999996</v>
      </c>
      <c r="E274" s="26">
        <f t="shared" si="18"/>
        <v>189023.22</v>
      </c>
      <c r="F274" s="26">
        <f t="shared" si="19"/>
        <v>170120.9</v>
      </c>
      <c r="G274" s="26">
        <v>189627.15</v>
      </c>
      <c r="H274" s="26">
        <v>170664.44</v>
      </c>
      <c r="I274" s="26">
        <f t="shared" si="20"/>
        <v>18358.78</v>
      </c>
      <c r="J274" s="28">
        <f t="shared" si="21"/>
        <v>-543.54000000000815</v>
      </c>
    </row>
    <row r="275" spans="1:10" x14ac:dyDescent="0.2">
      <c r="A275">
        <v>861</v>
      </c>
      <c r="B275">
        <v>1</v>
      </c>
      <c r="C275" s="3" t="s">
        <v>308</v>
      </c>
      <c r="D275" s="29">
        <v>21729166.810000002</v>
      </c>
      <c r="E275" s="26">
        <f t="shared" si="18"/>
        <v>610748.97</v>
      </c>
      <c r="F275" s="26">
        <f t="shared" si="19"/>
        <v>549674.06999999995</v>
      </c>
      <c r="G275" s="26">
        <v>595279.72</v>
      </c>
      <c r="H275" s="26">
        <v>535751.75</v>
      </c>
      <c r="I275" s="26">
        <f t="shared" si="20"/>
        <v>74997.219999999972</v>
      </c>
      <c r="J275" s="28">
        <f t="shared" si="21"/>
        <v>13922.319999999949</v>
      </c>
    </row>
    <row r="276" spans="1:10" x14ac:dyDescent="0.2">
      <c r="A276">
        <v>876</v>
      </c>
      <c r="B276">
        <v>1</v>
      </c>
      <c r="C276" s="3" t="s">
        <v>309</v>
      </c>
      <c r="D276" s="29">
        <v>10995858.130000001</v>
      </c>
      <c r="E276" s="26">
        <f t="shared" si="18"/>
        <v>309064.27</v>
      </c>
      <c r="F276" s="26">
        <f t="shared" si="19"/>
        <v>278157.84000000003</v>
      </c>
      <c r="G276" s="26">
        <v>312705.37</v>
      </c>
      <c r="H276" s="26">
        <v>281434.83</v>
      </c>
      <c r="I276" s="26">
        <f t="shared" si="20"/>
        <v>27629.440000000002</v>
      </c>
      <c r="J276" s="28">
        <f t="shared" si="21"/>
        <v>-3276.9899999999907</v>
      </c>
    </row>
    <row r="277" spans="1:10" x14ac:dyDescent="0.2">
      <c r="A277">
        <v>877</v>
      </c>
      <c r="B277">
        <v>1</v>
      </c>
      <c r="C277" s="3" t="s">
        <v>310</v>
      </c>
      <c r="D277" s="29">
        <v>38798299.430000007</v>
      </c>
      <c r="E277" s="26">
        <f t="shared" si="18"/>
        <v>1090516.79</v>
      </c>
      <c r="F277" s="26">
        <f t="shared" si="19"/>
        <v>981465.11</v>
      </c>
      <c r="G277" s="26">
        <v>1082522.6200000001</v>
      </c>
      <c r="H277" s="26">
        <v>974270.36</v>
      </c>
      <c r="I277" s="26">
        <f t="shared" si="20"/>
        <v>116246.43000000005</v>
      </c>
      <c r="J277" s="28">
        <f t="shared" si="21"/>
        <v>7194.75</v>
      </c>
    </row>
    <row r="278" spans="1:10" x14ac:dyDescent="0.2">
      <c r="A278">
        <v>879</v>
      </c>
      <c r="B278">
        <v>1</v>
      </c>
      <c r="C278" s="3" t="s">
        <v>311</v>
      </c>
      <c r="D278" s="29">
        <v>14730561.799999999</v>
      </c>
      <c r="E278" s="26">
        <f t="shared" si="18"/>
        <v>414036.83</v>
      </c>
      <c r="F278" s="26">
        <f t="shared" si="19"/>
        <v>372633.15</v>
      </c>
      <c r="G278" s="26">
        <v>420613.61</v>
      </c>
      <c r="H278" s="26">
        <v>378552.25</v>
      </c>
      <c r="I278" s="26">
        <f t="shared" si="20"/>
        <v>35484.580000000016</v>
      </c>
      <c r="J278" s="28">
        <f t="shared" si="21"/>
        <v>-5919.0999999999767</v>
      </c>
    </row>
    <row r="279" spans="1:10" x14ac:dyDescent="0.2">
      <c r="A279">
        <v>881</v>
      </c>
      <c r="B279">
        <v>1</v>
      </c>
      <c r="C279" s="3" t="s">
        <v>312</v>
      </c>
      <c r="D279" s="29">
        <v>7120038.3100000005</v>
      </c>
      <c r="E279" s="26">
        <f t="shared" si="18"/>
        <v>200125.3</v>
      </c>
      <c r="F279" s="26">
        <f t="shared" si="19"/>
        <v>180112.77</v>
      </c>
      <c r="G279" s="26">
        <v>199441.1</v>
      </c>
      <c r="H279" s="26">
        <v>179496.99</v>
      </c>
      <c r="I279" s="26">
        <f t="shared" si="20"/>
        <v>20628.309999999998</v>
      </c>
      <c r="J279" s="28">
        <f t="shared" si="21"/>
        <v>615.77999999999884</v>
      </c>
    </row>
    <row r="280" spans="1:10" x14ac:dyDescent="0.2">
      <c r="A280">
        <v>882</v>
      </c>
      <c r="B280">
        <v>1</v>
      </c>
      <c r="C280" s="3" t="s">
        <v>313</v>
      </c>
      <c r="D280" s="29">
        <v>28938240.580000006</v>
      </c>
      <c r="E280" s="26">
        <f t="shared" si="18"/>
        <v>813376.82</v>
      </c>
      <c r="F280" s="26">
        <f t="shared" si="19"/>
        <v>732039.14</v>
      </c>
      <c r="G280" s="26">
        <v>793439.98</v>
      </c>
      <c r="H280" s="26">
        <v>714095.98</v>
      </c>
      <c r="I280" s="26">
        <f t="shared" si="20"/>
        <v>99280.839999999967</v>
      </c>
      <c r="J280" s="28">
        <f t="shared" si="21"/>
        <v>17943.160000000033</v>
      </c>
    </row>
    <row r="281" spans="1:10" x14ac:dyDescent="0.2">
      <c r="A281">
        <v>883</v>
      </c>
      <c r="B281">
        <v>1</v>
      </c>
      <c r="C281" s="3" t="s">
        <v>314</v>
      </c>
      <c r="D281" s="29">
        <v>9665317.8600000031</v>
      </c>
      <c r="E281" s="26">
        <f t="shared" si="18"/>
        <v>271666.33</v>
      </c>
      <c r="F281" s="26">
        <f t="shared" si="19"/>
        <v>244499.7</v>
      </c>
      <c r="G281" s="26">
        <v>268920.34000000003</v>
      </c>
      <c r="H281" s="26">
        <v>242028.31</v>
      </c>
      <c r="I281" s="26">
        <f t="shared" si="20"/>
        <v>29638.020000000019</v>
      </c>
      <c r="J281" s="28">
        <f t="shared" si="21"/>
        <v>2471.390000000014</v>
      </c>
    </row>
    <row r="282" spans="1:10" x14ac:dyDescent="0.2">
      <c r="A282">
        <v>885</v>
      </c>
      <c r="B282">
        <v>1</v>
      </c>
      <c r="C282" s="3" t="s">
        <v>315</v>
      </c>
      <c r="D282" s="29">
        <v>34737170.390000001</v>
      </c>
      <c r="E282" s="26">
        <f t="shared" si="18"/>
        <v>976369.28</v>
      </c>
      <c r="F282" s="26">
        <f t="shared" si="19"/>
        <v>878732.35</v>
      </c>
      <c r="G282" s="26">
        <v>910702.63</v>
      </c>
      <c r="H282" s="26">
        <v>819632.37</v>
      </c>
      <c r="I282" s="26">
        <f t="shared" si="20"/>
        <v>156736.91000000003</v>
      </c>
      <c r="J282" s="28">
        <f t="shared" si="21"/>
        <v>59099.979999999981</v>
      </c>
    </row>
    <row r="283" spans="1:10" x14ac:dyDescent="0.2">
      <c r="A283">
        <v>891</v>
      </c>
      <c r="B283">
        <v>1</v>
      </c>
      <c r="C283" s="3" t="s">
        <v>316</v>
      </c>
      <c r="D283" s="29">
        <v>4101300.9699999993</v>
      </c>
      <c r="E283" s="26">
        <f t="shared" si="18"/>
        <v>115276.64</v>
      </c>
      <c r="F283" s="26">
        <f t="shared" si="19"/>
        <v>103748.98</v>
      </c>
      <c r="G283" s="26">
        <v>120624.79</v>
      </c>
      <c r="H283" s="26">
        <v>108562.31</v>
      </c>
      <c r="I283" s="26">
        <f t="shared" si="20"/>
        <v>6714.3300000000017</v>
      </c>
      <c r="J283" s="28">
        <f t="shared" si="21"/>
        <v>-4813.3300000000017</v>
      </c>
    </row>
    <row r="284" spans="1:10" x14ac:dyDescent="0.2">
      <c r="A284">
        <v>911</v>
      </c>
      <c r="B284">
        <v>1</v>
      </c>
      <c r="C284" s="3" t="s">
        <v>317</v>
      </c>
      <c r="D284" s="29">
        <v>36882317.700000003</v>
      </c>
      <c r="E284" s="26">
        <f t="shared" si="18"/>
        <v>1036663.65</v>
      </c>
      <c r="F284" s="26">
        <f t="shared" si="19"/>
        <v>932997.29</v>
      </c>
      <c r="G284" s="26">
        <v>1040138.58</v>
      </c>
      <c r="H284" s="26">
        <v>936124.72</v>
      </c>
      <c r="I284" s="26">
        <f t="shared" si="20"/>
        <v>100538.93000000005</v>
      </c>
      <c r="J284" s="28">
        <f t="shared" si="21"/>
        <v>-3127.4299999999348</v>
      </c>
    </row>
    <row r="285" spans="1:10" x14ac:dyDescent="0.2">
      <c r="A285">
        <v>912</v>
      </c>
      <c r="B285">
        <v>1</v>
      </c>
      <c r="C285" s="3" t="s">
        <v>318</v>
      </c>
      <c r="D285" s="29">
        <v>12875993.91</v>
      </c>
      <c r="E285" s="26">
        <f t="shared" si="18"/>
        <v>361909.87</v>
      </c>
      <c r="F285" s="26">
        <f t="shared" si="19"/>
        <v>325718.88</v>
      </c>
      <c r="G285" s="26">
        <v>367340.95</v>
      </c>
      <c r="H285" s="26">
        <v>330606.86</v>
      </c>
      <c r="I285" s="26">
        <f t="shared" si="20"/>
        <v>31303.010000000009</v>
      </c>
      <c r="J285" s="28">
        <f t="shared" si="21"/>
        <v>-4887.9799999999814</v>
      </c>
    </row>
    <row r="286" spans="1:10" x14ac:dyDescent="0.2">
      <c r="A286">
        <v>914</v>
      </c>
      <c r="B286">
        <v>1</v>
      </c>
      <c r="C286" s="3" t="s">
        <v>319</v>
      </c>
      <c r="D286" s="29">
        <v>2163539.2200000002</v>
      </c>
      <c r="E286" s="26">
        <f t="shared" si="18"/>
        <v>60811.32</v>
      </c>
      <c r="F286" s="26">
        <f t="shared" si="19"/>
        <v>54730.19</v>
      </c>
      <c r="G286" s="26">
        <v>64083.42</v>
      </c>
      <c r="H286" s="26">
        <v>57675.08</v>
      </c>
      <c r="I286" s="26">
        <f t="shared" si="20"/>
        <v>3136.239999999998</v>
      </c>
      <c r="J286" s="28">
        <f t="shared" si="21"/>
        <v>-2944.8899999999994</v>
      </c>
    </row>
    <row r="287" spans="1:10" x14ac:dyDescent="0.2">
      <c r="A287">
        <v>915</v>
      </c>
      <c r="B287">
        <v>52</v>
      </c>
      <c r="C287" s="3" t="s">
        <v>320</v>
      </c>
      <c r="D287" s="29">
        <v>1458061.73</v>
      </c>
      <c r="E287" s="26">
        <f t="shared" si="18"/>
        <v>40982.230000000003</v>
      </c>
      <c r="F287" s="26">
        <f t="shared" si="19"/>
        <v>36884.01</v>
      </c>
      <c r="G287" s="26">
        <v>38166.83</v>
      </c>
      <c r="H287" s="26">
        <v>34350.15</v>
      </c>
      <c r="I287" s="26">
        <f t="shared" si="20"/>
        <v>6632.0800000000017</v>
      </c>
      <c r="J287" s="28">
        <f t="shared" si="21"/>
        <v>2533.8600000000006</v>
      </c>
    </row>
    <row r="288" spans="1:10" x14ac:dyDescent="0.2">
      <c r="A288">
        <v>916</v>
      </c>
      <c r="B288">
        <v>6</v>
      </c>
      <c r="C288" s="3" t="s">
        <v>321</v>
      </c>
      <c r="D288" s="29">
        <v>19494312.890000001</v>
      </c>
      <c r="E288" s="26">
        <f t="shared" si="18"/>
        <v>547933.18000000005</v>
      </c>
      <c r="F288" s="26">
        <f t="shared" si="19"/>
        <v>493139.86</v>
      </c>
      <c r="G288" s="26">
        <v>548959.78</v>
      </c>
      <c r="H288" s="26">
        <v>494063.8</v>
      </c>
      <c r="I288" s="26">
        <f t="shared" si="20"/>
        <v>53869.380000000063</v>
      </c>
      <c r="J288" s="28">
        <f t="shared" si="21"/>
        <v>-923.94000000000233</v>
      </c>
    </row>
    <row r="289" spans="1:10" x14ac:dyDescent="0.2">
      <c r="A289">
        <v>917</v>
      </c>
      <c r="B289">
        <v>6</v>
      </c>
      <c r="C289" s="3" t="s">
        <v>322</v>
      </c>
      <c r="D289" s="29">
        <v>14838988.969999999</v>
      </c>
      <c r="E289" s="26">
        <f t="shared" si="18"/>
        <v>417084.43</v>
      </c>
      <c r="F289" s="26">
        <f t="shared" si="19"/>
        <v>375375.99</v>
      </c>
      <c r="G289" s="26">
        <v>346722.16</v>
      </c>
      <c r="H289" s="26">
        <v>312049.94</v>
      </c>
      <c r="I289" s="26">
        <f t="shared" si="20"/>
        <v>105034.48999999999</v>
      </c>
      <c r="J289" s="28">
        <f t="shared" si="21"/>
        <v>63326.049999999988</v>
      </c>
    </row>
    <row r="290" spans="1:10" x14ac:dyDescent="0.2">
      <c r="A290" s="2">
        <v>926</v>
      </c>
      <c r="B290" s="2">
        <v>83</v>
      </c>
      <c r="C290" s="35" t="s">
        <v>323</v>
      </c>
      <c r="D290" s="29">
        <v>40026.5</v>
      </c>
      <c r="E290" s="26">
        <f t="shared" si="18"/>
        <v>1125.04</v>
      </c>
      <c r="F290" s="26">
        <f t="shared" si="19"/>
        <v>1012.54</v>
      </c>
      <c r="G290" s="26">
        <v>1144.71</v>
      </c>
      <c r="H290" s="26">
        <v>1030.24</v>
      </c>
      <c r="I290" s="26">
        <f t="shared" si="20"/>
        <v>94.799999999999955</v>
      </c>
      <c r="J290" s="28">
        <f t="shared" si="21"/>
        <v>-17.700000000000045</v>
      </c>
    </row>
    <row r="291" spans="1:10" x14ac:dyDescent="0.2">
      <c r="A291">
        <v>927</v>
      </c>
      <c r="B291">
        <v>83</v>
      </c>
      <c r="C291" s="3" t="s">
        <v>324</v>
      </c>
      <c r="D291" s="29">
        <v>19044.48</v>
      </c>
      <c r="E291" s="26">
        <f t="shared" si="18"/>
        <v>535.29</v>
      </c>
      <c r="F291" s="26">
        <f t="shared" si="19"/>
        <v>481.76</v>
      </c>
      <c r="G291" s="26">
        <v>502.75</v>
      </c>
      <c r="H291" s="26">
        <v>452.48</v>
      </c>
      <c r="I291" s="26">
        <f t="shared" si="20"/>
        <v>82.809999999999945</v>
      </c>
      <c r="J291" s="28">
        <f t="shared" si="21"/>
        <v>29.279999999999973</v>
      </c>
    </row>
    <row r="292" spans="1:10" x14ac:dyDescent="0.2">
      <c r="A292">
        <v>930</v>
      </c>
      <c r="B292">
        <v>53</v>
      </c>
      <c r="C292" s="3" t="s">
        <v>325</v>
      </c>
      <c r="D292" s="29">
        <v>3289554.1999999997</v>
      </c>
      <c r="E292" s="26">
        <f t="shared" si="18"/>
        <v>92460.6</v>
      </c>
      <c r="F292" s="26">
        <f t="shared" si="19"/>
        <v>83214.539999999994</v>
      </c>
      <c r="G292" s="26">
        <v>99556.09</v>
      </c>
      <c r="H292" s="26">
        <v>89600.48</v>
      </c>
      <c r="I292" s="26">
        <f t="shared" si="20"/>
        <v>2860.1200000000099</v>
      </c>
      <c r="J292" s="28">
        <f t="shared" si="21"/>
        <v>-6385.9400000000023</v>
      </c>
    </row>
    <row r="293" spans="1:10" x14ac:dyDescent="0.2">
      <c r="A293">
        <v>935</v>
      </c>
      <c r="B293">
        <v>52</v>
      </c>
      <c r="C293" s="3" t="s">
        <v>326</v>
      </c>
      <c r="D293" s="29">
        <v>1648645.8099999998</v>
      </c>
      <c r="E293" s="26">
        <f t="shared" si="18"/>
        <v>46339.040000000001</v>
      </c>
      <c r="F293" s="26">
        <f t="shared" si="19"/>
        <v>41705.14</v>
      </c>
      <c r="G293" s="26">
        <v>45510.49</v>
      </c>
      <c r="H293" s="26">
        <v>40959.440000000002</v>
      </c>
      <c r="I293" s="26">
        <f t="shared" si="20"/>
        <v>5379.5999999999985</v>
      </c>
      <c r="J293" s="28">
        <f t="shared" si="21"/>
        <v>745.69999999999709</v>
      </c>
    </row>
    <row r="294" spans="1:10" x14ac:dyDescent="0.2">
      <c r="A294">
        <v>938</v>
      </c>
      <c r="B294">
        <v>52</v>
      </c>
      <c r="C294" s="3" t="s">
        <v>327</v>
      </c>
      <c r="D294" s="29">
        <v>2449130.38</v>
      </c>
      <c r="E294" s="26">
        <f t="shared" si="18"/>
        <v>68838.53</v>
      </c>
      <c r="F294" s="26">
        <f t="shared" si="19"/>
        <v>61954.68</v>
      </c>
      <c r="G294" s="26">
        <v>63081.54</v>
      </c>
      <c r="H294" s="26">
        <v>56773.39</v>
      </c>
      <c r="I294" s="26">
        <f t="shared" si="20"/>
        <v>12065.14</v>
      </c>
      <c r="J294" s="28">
        <f t="shared" si="21"/>
        <v>5181.2900000000009</v>
      </c>
    </row>
    <row r="295" spans="1:10" x14ac:dyDescent="0.2">
      <c r="A295">
        <v>957</v>
      </c>
      <c r="B295">
        <v>51</v>
      </c>
      <c r="C295" s="3" t="s">
        <v>328</v>
      </c>
      <c r="D295" s="29">
        <v>114110.98</v>
      </c>
      <c r="E295" s="26">
        <f t="shared" si="18"/>
        <v>3207.36</v>
      </c>
      <c r="F295" s="26">
        <f t="shared" si="19"/>
        <v>2886.62</v>
      </c>
      <c r="G295" s="26">
        <v>4840.41</v>
      </c>
      <c r="H295" s="26">
        <v>4356.37</v>
      </c>
      <c r="I295" s="26">
        <f t="shared" si="20"/>
        <v>-1149.0099999999998</v>
      </c>
      <c r="J295" s="28">
        <f t="shared" si="21"/>
        <v>-1469.75</v>
      </c>
    </row>
    <row r="296" spans="1:10" x14ac:dyDescent="0.2">
      <c r="A296">
        <v>991</v>
      </c>
      <c r="B296">
        <v>83</v>
      </c>
      <c r="C296" s="3" t="s">
        <v>329</v>
      </c>
      <c r="D296" s="29">
        <v>3078456.08</v>
      </c>
      <c r="E296" s="26">
        <f t="shared" si="18"/>
        <v>86527.2</v>
      </c>
      <c r="F296" s="26">
        <f t="shared" si="19"/>
        <v>77874.48</v>
      </c>
      <c r="G296" s="26">
        <v>67319.509999999995</v>
      </c>
      <c r="H296" s="26">
        <v>60587.56</v>
      </c>
      <c r="I296" s="26">
        <f t="shared" si="20"/>
        <v>25939.64</v>
      </c>
      <c r="J296" s="28">
        <f t="shared" si="21"/>
        <v>17286.919999999998</v>
      </c>
    </row>
    <row r="297" spans="1:10" x14ac:dyDescent="0.2">
      <c r="A297">
        <v>993</v>
      </c>
      <c r="B297">
        <v>52</v>
      </c>
      <c r="C297" s="3" t="s">
        <v>330</v>
      </c>
      <c r="D297" s="29">
        <v>3975305.44</v>
      </c>
      <c r="E297" s="26">
        <f t="shared" si="18"/>
        <v>111735.24</v>
      </c>
      <c r="F297" s="26">
        <f t="shared" si="19"/>
        <v>100561.72</v>
      </c>
      <c r="G297" s="26">
        <v>65116.47</v>
      </c>
      <c r="H297" s="26">
        <v>58604.82</v>
      </c>
      <c r="I297" s="26">
        <f t="shared" si="20"/>
        <v>53130.420000000006</v>
      </c>
      <c r="J297" s="28">
        <f t="shared" si="21"/>
        <v>41956.9</v>
      </c>
    </row>
    <row r="298" spans="1:10" x14ac:dyDescent="0.2">
      <c r="A298">
        <v>998</v>
      </c>
      <c r="B298">
        <v>52</v>
      </c>
      <c r="C298" s="3" t="s">
        <v>331</v>
      </c>
      <c r="D298" s="29">
        <v>245565.15</v>
      </c>
      <c r="E298" s="26">
        <f t="shared" si="18"/>
        <v>6902.18</v>
      </c>
      <c r="F298" s="26">
        <f t="shared" si="19"/>
        <v>6211.96</v>
      </c>
      <c r="G298" s="26">
        <v>7254.98</v>
      </c>
      <c r="H298" s="26">
        <v>6529.48</v>
      </c>
      <c r="I298" s="26">
        <f t="shared" si="20"/>
        <v>372.70000000000073</v>
      </c>
      <c r="J298" s="28">
        <f t="shared" si="21"/>
        <v>-317.51999999999953</v>
      </c>
    </row>
    <row r="299" spans="1:10" x14ac:dyDescent="0.2">
      <c r="A299">
        <v>2071</v>
      </c>
      <c r="B299">
        <v>1</v>
      </c>
      <c r="C299" s="3" t="s">
        <v>332</v>
      </c>
      <c r="D299" s="29">
        <v>5500786.7899999991</v>
      </c>
      <c r="E299" s="26">
        <f t="shared" si="18"/>
        <v>154612.46</v>
      </c>
      <c r="F299" s="26">
        <f t="shared" si="19"/>
        <v>139151.21</v>
      </c>
      <c r="G299" s="26">
        <v>153804.13</v>
      </c>
      <c r="H299" s="26">
        <v>138423.72</v>
      </c>
      <c r="I299" s="26">
        <f t="shared" si="20"/>
        <v>16188.739999999991</v>
      </c>
      <c r="J299" s="28">
        <f t="shared" si="21"/>
        <v>727.48999999999069</v>
      </c>
    </row>
    <row r="300" spans="1:10" x14ac:dyDescent="0.2">
      <c r="A300">
        <v>2125</v>
      </c>
      <c r="B300">
        <v>1</v>
      </c>
      <c r="C300" s="3" t="s">
        <v>333</v>
      </c>
      <c r="D300" s="29">
        <v>8132871.29</v>
      </c>
      <c r="E300" s="26">
        <f t="shared" si="18"/>
        <v>228593.34</v>
      </c>
      <c r="F300" s="26">
        <f t="shared" si="19"/>
        <v>205734.01</v>
      </c>
      <c r="G300" s="26">
        <v>227168.93</v>
      </c>
      <c r="H300" s="26">
        <v>204452.04</v>
      </c>
      <c r="I300" s="26">
        <f t="shared" si="20"/>
        <v>24141.299999999988</v>
      </c>
      <c r="J300" s="28">
        <f t="shared" si="21"/>
        <v>1281.9700000000012</v>
      </c>
    </row>
    <row r="301" spans="1:10" x14ac:dyDescent="0.2">
      <c r="A301">
        <v>2134</v>
      </c>
      <c r="B301">
        <v>1</v>
      </c>
      <c r="C301" s="3" t="s">
        <v>334</v>
      </c>
      <c r="D301" s="29">
        <v>5478235.4299999988</v>
      </c>
      <c r="E301" s="26">
        <f t="shared" si="18"/>
        <v>153978.6</v>
      </c>
      <c r="F301" s="26">
        <f t="shared" si="19"/>
        <v>138580.74</v>
      </c>
      <c r="G301" s="26">
        <v>157676.95000000001</v>
      </c>
      <c r="H301" s="26">
        <v>141909.26</v>
      </c>
      <c r="I301" s="26">
        <f t="shared" si="20"/>
        <v>12069.339999999997</v>
      </c>
      <c r="J301" s="28">
        <f t="shared" si="21"/>
        <v>-3328.5200000000186</v>
      </c>
    </row>
    <row r="302" spans="1:10" x14ac:dyDescent="0.2">
      <c r="A302">
        <v>2135</v>
      </c>
      <c r="B302">
        <v>1</v>
      </c>
      <c r="C302" s="3" t="s">
        <v>335</v>
      </c>
      <c r="D302" s="29">
        <v>8191956.0600000005</v>
      </c>
      <c r="E302" s="26">
        <f t="shared" si="18"/>
        <v>230254.05</v>
      </c>
      <c r="F302" s="26">
        <f t="shared" si="19"/>
        <v>207228.65</v>
      </c>
      <c r="G302" s="26">
        <v>226203.64</v>
      </c>
      <c r="H302" s="26">
        <v>203583.28</v>
      </c>
      <c r="I302" s="26">
        <f t="shared" si="20"/>
        <v>26670.76999999999</v>
      </c>
      <c r="J302" s="28">
        <f t="shared" si="21"/>
        <v>3645.3699999999953</v>
      </c>
    </row>
    <row r="303" spans="1:10" x14ac:dyDescent="0.2">
      <c r="A303">
        <v>2137</v>
      </c>
      <c r="B303">
        <v>1</v>
      </c>
      <c r="C303" s="3" t="s">
        <v>336</v>
      </c>
      <c r="D303" s="29">
        <v>4587534.9399999995</v>
      </c>
      <c r="E303" s="26">
        <f t="shared" si="18"/>
        <v>128943.38</v>
      </c>
      <c r="F303" s="26">
        <f t="shared" si="19"/>
        <v>116049.04</v>
      </c>
      <c r="G303" s="26">
        <v>131050.69</v>
      </c>
      <c r="H303" s="26">
        <v>117945.62</v>
      </c>
      <c r="I303" s="26">
        <f t="shared" si="20"/>
        <v>10997.760000000009</v>
      </c>
      <c r="J303" s="28">
        <f t="shared" si="21"/>
        <v>-1896.5800000000017</v>
      </c>
    </row>
    <row r="304" spans="1:10" x14ac:dyDescent="0.2">
      <c r="A304">
        <v>2142</v>
      </c>
      <c r="B304">
        <v>1</v>
      </c>
      <c r="C304" s="3" t="s">
        <v>337</v>
      </c>
      <c r="D304" s="29">
        <v>16881061.699999999</v>
      </c>
      <c r="E304" s="26">
        <f t="shared" si="18"/>
        <v>474481.65</v>
      </c>
      <c r="F304" s="26">
        <f t="shared" si="19"/>
        <v>427033.49</v>
      </c>
      <c r="G304" s="26">
        <v>492259.44</v>
      </c>
      <c r="H304" s="26">
        <v>443033.5</v>
      </c>
      <c r="I304" s="26">
        <f t="shared" si="20"/>
        <v>31448.150000000023</v>
      </c>
      <c r="J304" s="28">
        <f t="shared" si="21"/>
        <v>-16000.010000000009</v>
      </c>
    </row>
    <row r="305" spans="1:10" x14ac:dyDescent="0.2">
      <c r="A305">
        <v>2143</v>
      </c>
      <c r="B305">
        <v>1</v>
      </c>
      <c r="C305" s="3" t="s">
        <v>338</v>
      </c>
      <c r="D305" s="29">
        <v>5534277.6299999999</v>
      </c>
      <c r="E305" s="26">
        <f t="shared" si="18"/>
        <v>155553.79</v>
      </c>
      <c r="F305" s="26">
        <f t="shared" si="19"/>
        <v>139998.41</v>
      </c>
      <c r="G305" s="26">
        <v>152484.93</v>
      </c>
      <c r="H305" s="26">
        <v>137236.44</v>
      </c>
      <c r="I305" s="26">
        <f t="shared" si="20"/>
        <v>18317.350000000006</v>
      </c>
      <c r="J305" s="28">
        <f t="shared" si="21"/>
        <v>2761.9700000000012</v>
      </c>
    </row>
    <row r="306" spans="1:10" x14ac:dyDescent="0.2">
      <c r="A306">
        <v>2144</v>
      </c>
      <c r="B306">
        <v>1</v>
      </c>
      <c r="C306" s="3" t="s">
        <v>339</v>
      </c>
      <c r="D306" s="29">
        <v>22693473.670000002</v>
      </c>
      <c r="E306" s="26">
        <f t="shared" si="18"/>
        <v>637853.06000000006</v>
      </c>
      <c r="F306" s="26">
        <f t="shared" si="19"/>
        <v>574067.75</v>
      </c>
      <c r="G306" s="26">
        <v>658525.9</v>
      </c>
      <c r="H306" s="26">
        <v>592673.31000000006</v>
      </c>
      <c r="I306" s="26">
        <f t="shared" si="20"/>
        <v>45179.75</v>
      </c>
      <c r="J306" s="28">
        <f t="shared" si="21"/>
        <v>-18605.560000000056</v>
      </c>
    </row>
    <row r="307" spans="1:10" x14ac:dyDescent="0.2">
      <c r="A307">
        <v>2149</v>
      </c>
      <c r="B307">
        <v>1</v>
      </c>
      <c r="C307" s="3" t="s">
        <v>340</v>
      </c>
      <c r="D307" s="29">
        <v>9068424.9399999995</v>
      </c>
      <c r="E307" s="26">
        <f t="shared" si="18"/>
        <v>254889.26</v>
      </c>
      <c r="F307" s="26">
        <f t="shared" si="19"/>
        <v>229400.33</v>
      </c>
      <c r="G307" s="26">
        <v>243329.44</v>
      </c>
      <c r="H307" s="26">
        <v>218996.5</v>
      </c>
      <c r="I307" s="26">
        <f t="shared" si="20"/>
        <v>35892.760000000009</v>
      </c>
      <c r="J307" s="28">
        <f t="shared" si="21"/>
        <v>10403.829999999987</v>
      </c>
    </row>
    <row r="308" spans="1:10" x14ac:dyDescent="0.2">
      <c r="A308">
        <v>2154</v>
      </c>
      <c r="B308">
        <v>1</v>
      </c>
      <c r="C308" s="3" t="s">
        <v>341</v>
      </c>
      <c r="D308" s="29">
        <v>8323622.8199999994</v>
      </c>
      <c r="E308" s="26">
        <f t="shared" si="18"/>
        <v>233954.85</v>
      </c>
      <c r="F308" s="26">
        <f t="shared" si="19"/>
        <v>210559.37</v>
      </c>
      <c r="G308" s="26">
        <v>244060.12</v>
      </c>
      <c r="H308" s="26">
        <v>219654.11</v>
      </c>
      <c r="I308" s="26">
        <f t="shared" si="20"/>
        <v>14300.74000000002</v>
      </c>
      <c r="J308" s="28">
        <f t="shared" si="21"/>
        <v>-9094.7399999999907</v>
      </c>
    </row>
    <row r="309" spans="1:10" x14ac:dyDescent="0.2">
      <c r="A309">
        <v>2155</v>
      </c>
      <c r="B309">
        <v>1</v>
      </c>
      <c r="C309" s="3" t="s">
        <v>342</v>
      </c>
      <c r="D309" s="29">
        <v>7912154.9500000011</v>
      </c>
      <c r="E309" s="26">
        <f t="shared" si="18"/>
        <v>222389.59</v>
      </c>
      <c r="F309" s="26">
        <f t="shared" si="19"/>
        <v>200150.63</v>
      </c>
      <c r="G309" s="26">
        <v>216600.18</v>
      </c>
      <c r="H309" s="26">
        <v>194940.16</v>
      </c>
      <c r="I309" s="26">
        <f t="shared" si="20"/>
        <v>27449.429999999993</v>
      </c>
      <c r="J309" s="28">
        <f t="shared" si="21"/>
        <v>5210.4700000000012</v>
      </c>
    </row>
    <row r="310" spans="1:10" x14ac:dyDescent="0.2">
      <c r="A310">
        <v>2159</v>
      </c>
      <c r="B310">
        <v>1</v>
      </c>
      <c r="C310" s="3" t="s">
        <v>343</v>
      </c>
      <c r="D310" s="29">
        <v>4383736.09</v>
      </c>
      <c r="E310" s="26">
        <f t="shared" si="18"/>
        <v>123215.14</v>
      </c>
      <c r="F310" s="26">
        <f t="shared" si="19"/>
        <v>110893.63</v>
      </c>
      <c r="G310" s="26">
        <v>127186.56</v>
      </c>
      <c r="H310" s="26">
        <v>114467.9</v>
      </c>
      <c r="I310" s="26">
        <f t="shared" si="20"/>
        <v>8747.2400000000052</v>
      </c>
      <c r="J310" s="28">
        <f t="shared" si="21"/>
        <v>-3574.2699999999895</v>
      </c>
    </row>
    <row r="311" spans="1:10" x14ac:dyDescent="0.2">
      <c r="A311">
        <v>2164</v>
      </c>
      <c r="B311">
        <v>1</v>
      </c>
      <c r="C311" s="3" t="s">
        <v>344</v>
      </c>
      <c r="D311" s="29">
        <v>10051700.74</v>
      </c>
      <c r="E311" s="26">
        <f t="shared" si="18"/>
        <v>282526.52</v>
      </c>
      <c r="F311" s="26">
        <f t="shared" si="19"/>
        <v>254273.87</v>
      </c>
      <c r="G311" s="26">
        <v>286225.56</v>
      </c>
      <c r="H311" s="26">
        <v>257603</v>
      </c>
      <c r="I311" s="26">
        <f t="shared" si="20"/>
        <v>24923.520000000019</v>
      </c>
      <c r="J311" s="28">
        <f t="shared" si="21"/>
        <v>-3329.1300000000047</v>
      </c>
    </row>
    <row r="312" spans="1:10" x14ac:dyDescent="0.2">
      <c r="A312">
        <v>2165</v>
      </c>
      <c r="B312">
        <v>1</v>
      </c>
      <c r="C312" s="3" t="s">
        <v>345</v>
      </c>
      <c r="D312" s="29">
        <v>7570222.8999999994</v>
      </c>
      <c r="E312" s="26">
        <f t="shared" si="18"/>
        <v>212778.79</v>
      </c>
      <c r="F312" s="26">
        <f t="shared" si="19"/>
        <v>191500.91</v>
      </c>
      <c r="G312" s="26">
        <v>217615.64</v>
      </c>
      <c r="H312" s="26">
        <v>195854.07999999999</v>
      </c>
      <c r="I312" s="26">
        <f t="shared" si="20"/>
        <v>16924.710000000021</v>
      </c>
      <c r="J312" s="28">
        <f t="shared" si="21"/>
        <v>-4353.1699999999837</v>
      </c>
    </row>
    <row r="313" spans="1:10" x14ac:dyDescent="0.2">
      <c r="A313">
        <v>2167</v>
      </c>
      <c r="B313">
        <v>1</v>
      </c>
      <c r="C313" s="3" t="s">
        <v>346</v>
      </c>
      <c r="D313" s="29">
        <v>4291280.4899999993</v>
      </c>
      <c r="E313" s="26">
        <f t="shared" si="18"/>
        <v>120616.46</v>
      </c>
      <c r="F313" s="26">
        <f t="shared" si="19"/>
        <v>108554.81</v>
      </c>
      <c r="G313" s="26">
        <v>121734.32</v>
      </c>
      <c r="H313" s="26">
        <v>109560.89</v>
      </c>
      <c r="I313" s="26">
        <f t="shared" si="20"/>
        <v>11055.570000000007</v>
      </c>
      <c r="J313" s="28">
        <f t="shared" si="21"/>
        <v>-1006.0800000000017</v>
      </c>
    </row>
    <row r="314" spans="1:10" x14ac:dyDescent="0.2">
      <c r="A314">
        <v>2168</v>
      </c>
      <c r="B314">
        <v>1</v>
      </c>
      <c r="C314" s="3" t="s">
        <v>347</v>
      </c>
      <c r="D314" s="29">
        <v>6740944.5800000001</v>
      </c>
      <c r="E314" s="26">
        <f t="shared" si="18"/>
        <v>189469.99</v>
      </c>
      <c r="F314" s="26">
        <f t="shared" si="19"/>
        <v>170522.99</v>
      </c>
      <c r="G314" s="26">
        <v>190831.25</v>
      </c>
      <c r="H314" s="26">
        <v>171748.13</v>
      </c>
      <c r="I314" s="26">
        <f t="shared" si="20"/>
        <v>17721.859999999986</v>
      </c>
      <c r="J314" s="28">
        <f t="shared" si="21"/>
        <v>-1225.140000000014</v>
      </c>
    </row>
    <row r="315" spans="1:10" x14ac:dyDescent="0.2">
      <c r="A315">
        <v>2169</v>
      </c>
      <c r="B315">
        <v>1</v>
      </c>
      <c r="C315" s="3" t="s">
        <v>348</v>
      </c>
      <c r="D315" s="29">
        <v>5646704.5799999991</v>
      </c>
      <c r="E315" s="26">
        <f t="shared" si="18"/>
        <v>158713.82</v>
      </c>
      <c r="F315" s="26">
        <f t="shared" si="19"/>
        <v>142842.44</v>
      </c>
      <c r="G315" s="26">
        <v>155463.45000000001</v>
      </c>
      <c r="H315" s="26">
        <v>139917.10999999999</v>
      </c>
      <c r="I315" s="26">
        <f t="shared" si="20"/>
        <v>18796.710000000021</v>
      </c>
      <c r="J315" s="28">
        <f t="shared" si="21"/>
        <v>2925.3300000000163</v>
      </c>
    </row>
    <row r="316" spans="1:10" x14ac:dyDescent="0.2">
      <c r="A316">
        <v>2170</v>
      </c>
      <c r="B316">
        <v>1</v>
      </c>
      <c r="C316" s="3" t="s">
        <v>349</v>
      </c>
      <c r="D316" s="29">
        <v>10612381.73</v>
      </c>
      <c r="E316" s="26">
        <f t="shared" si="18"/>
        <v>298285.77</v>
      </c>
      <c r="F316" s="26">
        <f t="shared" si="19"/>
        <v>268457.19</v>
      </c>
      <c r="G316" s="26">
        <v>301397.64</v>
      </c>
      <c r="H316" s="26">
        <v>271257.88</v>
      </c>
      <c r="I316" s="26">
        <f t="shared" si="20"/>
        <v>27027.890000000014</v>
      </c>
      <c r="J316" s="28">
        <f t="shared" si="21"/>
        <v>-2800.6900000000023</v>
      </c>
    </row>
    <row r="317" spans="1:10" x14ac:dyDescent="0.2">
      <c r="A317">
        <v>2171</v>
      </c>
      <c r="B317">
        <v>1</v>
      </c>
      <c r="C317" s="3" t="s">
        <v>350</v>
      </c>
      <c r="D317" s="29">
        <v>2697894.9899999998</v>
      </c>
      <c r="E317" s="26">
        <f t="shared" si="18"/>
        <v>75830.64</v>
      </c>
      <c r="F317" s="26">
        <f t="shared" si="19"/>
        <v>68247.58</v>
      </c>
      <c r="G317" s="26">
        <v>73685.259999999995</v>
      </c>
      <c r="H317" s="26">
        <v>66316.73</v>
      </c>
      <c r="I317" s="26">
        <f t="shared" si="20"/>
        <v>9513.9100000000035</v>
      </c>
      <c r="J317" s="28">
        <f t="shared" si="21"/>
        <v>1930.8500000000058</v>
      </c>
    </row>
    <row r="318" spans="1:10" x14ac:dyDescent="0.2">
      <c r="A318">
        <v>2172</v>
      </c>
      <c r="B318">
        <v>1</v>
      </c>
      <c r="C318" s="3" t="s">
        <v>351</v>
      </c>
      <c r="D318" s="29">
        <v>5542092.8200000003</v>
      </c>
      <c r="E318" s="26">
        <f t="shared" si="18"/>
        <v>155773.46</v>
      </c>
      <c r="F318" s="26">
        <f t="shared" si="19"/>
        <v>140196.10999999999</v>
      </c>
      <c r="G318" s="26">
        <v>163039.65</v>
      </c>
      <c r="H318" s="26">
        <v>146735.69</v>
      </c>
      <c r="I318" s="26">
        <f t="shared" si="20"/>
        <v>9037.7699999999895</v>
      </c>
      <c r="J318" s="28">
        <f t="shared" si="21"/>
        <v>-6539.5800000000163</v>
      </c>
    </row>
    <row r="319" spans="1:10" x14ac:dyDescent="0.2">
      <c r="A319">
        <v>2174</v>
      </c>
      <c r="B319">
        <v>1</v>
      </c>
      <c r="C319" s="3" t="s">
        <v>352</v>
      </c>
      <c r="D319" s="29">
        <v>7439111.5800000001</v>
      </c>
      <c r="E319" s="26">
        <f t="shared" si="18"/>
        <v>209093.6</v>
      </c>
      <c r="F319" s="26">
        <f t="shared" si="19"/>
        <v>188184.24</v>
      </c>
      <c r="G319" s="26">
        <v>206943.92</v>
      </c>
      <c r="H319" s="26">
        <v>186249.53</v>
      </c>
      <c r="I319" s="26">
        <f t="shared" si="20"/>
        <v>22844.070000000007</v>
      </c>
      <c r="J319" s="28">
        <f t="shared" si="21"/>
        <v>1934.7099999999919</v>
      </c>
    </row>
    <row r="320" spans="1:10" x14ac:dyDescent="0.2">
      <c r="A320">
        <v>2176</v>
      </c>
      <c r="B320">
        <v>1</v>
      </c>
      <c r="C320" s="3" t="s">
        <v>353</v>
      </c>
      <c r="D320" s="29">
        <v>3938571.01</v>
      </c>
      <c r="E320" s="26">
        <f t="shared" si="18"/>
        <v>110702.73</v>
      </c>
      <c r="F320" s="26">
        <f t="shared" si="19"/>
        <v>99632.46</v>
      </c>
      <c r="G320" s="26">
        <v>118284.64</v>
      </c>
      <c r="H320" s="26">
        <v>106456.18</v>
      </c>
      <c r="I320" s="26">
        <f t="shared" si="20"/>
        <v>4246.5500000000029</v>
      </c>
      <c r="J320" s="28">
        <f t="shared" si="21"/>
        <v>-6823.7199999999866</v>
      </c>
    </row>
    <row r="321" spans="1:10" x14ac:dyDescent="0.2">
      <c r="A321">
        <v>2180</v>
      </c>
      <c r="B321">
        <v>1</v>
      </c>
      <c r="C321" s="3" t="s">
        <v>354</v>
      </c>
      <c r="D321" s="29">
        <v>4923404.75</v>
      </c>
      <c r="E321" s="26">
        <f t="shared" si="18"/>
        <v>138383.79</v>
      </c>
      <c r="F321" s="26">
        <f t="shared" si="19"/>
        <v>124545.41</v>
      </c>
      <c r="G321" s="26">
        <v>137808.56</v>
      </c>
      <c r="H321" s="26">
        <v>124027.7</v>
      </c>
      <c r="I321" s="26">
        <f t="shared" si="20"/>
        <v>14356.090000000011</v>
      </c>
      <c r="J321" s="28">
        <f t="shared" si="21"/>
        <v>517.7100000000064</v>
      </c>
    </row>
    <row r="322" spans="1:10" x14ac:dyDescent="0.2">
      <c r="A322">
        <v>2184</v>
      </c>
      <c r="B322">
        <v>1</v>
      </c>
      <c r="C322" s="3" t="s">
        <v>355</v>
      </c>
      <c r="D322" s="29">
        <v>8598018.25</v>
      </c>
      <c r="E322" s="26">
        <f t="shared" si="18"/>
        <v>241667.38</v>
      </c>
      <c r="F322" s="26">
        <f t="shared" si="19"/>
        <v>217500.64</v>
      </c>
      <c r="G322" s="26">
        <v>238755.03</v>
      </c>
      <c r="H322" s="26">
        <v>214879.53</v>
      </c>
      <c r="I322" s="26">
        <f t="shared" si="20"/>
        <v>26787.850000000006</v>
      </c>
      <c r="J322" s="28">
        <f t="shared" si="21"/>
        <v>2621.1100000000151</v>
      </c>
    </row>
    <row r="323" spans="1:10" x14ac:dyDescent="0.2">
      <c r="A323">
        <v>2190</v>
      </c>
      <c r="B323">
        <v>1</v>
      </c>
      <c r="C323" s="3" t="s">
        <v>356</v>
      </c>
      <c r="D323" s="29">
        <v>6692793.4600000009</v>
      </c>
      <c r="E323" s="26">
        <f t="shared" si="18"/>
        <v>188116.59</v>
      </c>
      <c r="F323" s="26">
        <f t="shared" si="19"/>
        <v>169304.93</v>
      </c>
      <c r="G323" s="26">
        <v>190659.1</v>
      </c>
      <c r="H323" s="26">
        <v>171593.19</v>
      </c>
      <c r="I323" s="26">
        <f t="shared" si="20"/>
        <v>16523.399999999994</v>
      </c>
      <c r="J323" s="28">
        <f t="shared" si="21"/>
        <v>-2288.2600000000093</v>
      </c>
    </row>
    <row r="324" spans="1:10" x14ac:dyDescent="0.2">
      <c r="A324">
        <v>2198</v>
      </c>
      <c r="B324">
        <v>1</v>
      </c>
      <c r="C324" s="3" t="s">
        <v>357</v>
      </c>
      <c r="D324" s="29">
        <v>3565079.8400000003</v>
      </c>
      <c r="E324" s="26">
        <f t="shared" si="18"/>
        <v>100204.89</v>
      </c>
      <c r="F324" s="26">
        <f t="shared" si="19"/>
        <v>90184.4</v>
      </c>
      <c r="G324" s="26">
        <v>103111.62</v>
      </c>
      <c r="H324" s="26">
        <v>92800.46</v>
      </c>
      <c r="I324" s="26">
        <f t="shared" si="20"/>
        <v>7404.429999999993</v>
      </c>
      <c r="J324" s="28">
        <f t="shared" si="21"/>
        <v>-2616.0600000000122</v>
      </c>
    </row>
    <row r="325" spans="1:10" x14ac:dyDescent="0.2">
      <c r="A325">
        <v>2215</v>
      </c>
      <c r="B325">
        <v>1</v>
      </c>
      <c r="C325" s="3" t="s">
        <v>358</v>
      </c>
      <c r="D325" s="29">
        <v>2772705.39</v>
      </c>
      <c r="E325" s="26">
        <f t="shared" si="18"/>
        <v>77933.36</v>
      </c>
      <c r="F325" s="26">
        <f t="shared" si="19"/>
        <v>70140.02</v>
      </c>
      <c r="G325" s="26">
        <v>79496.34</v>
      </c>
      <c r="H325" s="26">
        <v>71546.710000000006</v>
      </c>
      <c r="I325" s="26">
        <f t="shared" si="20"/>
        <v>6386.6499999999942</v>
      </c>
      <c r="J325" s="28">
        <f t="shared" si="21"/>
        <v>-1406.6900000000023</v>
      </c>
    </row>
    <row r="326" spans="1:10" x14ac:dyDescent="0.2">
      <c r="A326">
        <v>2310</v>
      </c>
      <c r="B326">
        <v>1</v>
      </c>
      <c r="C326" s="3" t="s">
        <v>359</v>
      </c>
      <c r="D326" s="29">
        <v>8708692.6799999997</v>
      </c>
      <c r="E326" s="26">
        <f t="shared" si="18"/>
        <v>244778.14</v>
      </c>
      <c r="F326" s="26">
        <f t="shared" si="19"/>
        <v>220300.33</v>
      </c>
      <c r="G326" s="26">
        <v>246932.44</v>
      </c>
      <c r="H326" s="26">
        <v>222239.2</v>
      </c>
      <c r="I326" s="26">
        <f t="shared" si="20"/>
        <v>22538.940000000002</v>
      </c>
      <c r="J326" s="28">
        <f t="shared" si="21"/>
        <v>-1938.8700000000244</v>
      </c>
    </row>
    <row r="327" spans="1:10" x14ac:dyDescent="0.2">
      <c r="A327">
        <v>2311</v>
      </c>
      <c r="B327">
        <v>1</v>
      </c>
      <c r="C327" s="3" t="s">
        <v>360</v>
      </c>
      <c r="D327" s="29">
        <v>3607126.27</v>
      </c>
      <c r="E327" s="26">
        <f t="shared" si="18"/>
        <v>101386.71</v>
      </c>
      <c r="F327" s="26">
        <f t="shared" si="19"/>
        <v>91248.04</v>
      </c>
      <c r="G327" s="26">
        <v>103149.68</v>
      </c>
      <c r="H327" s="26">
        <v>92834.71</v>
      </c>
      <c r="I327" s="26">
        <f t="shared" si="20"/>
        <v>8552</v>
      </c>
      <c r="J327" s="28">
        <f t="shared" si="21"/>
        <v>-1586.6700000000128</v>
      </c>
    </row>
    <row r="328" spans="1:10" x14ac:dyDescent="0.2">
      <c r="A328">
        <v>2342</v>
      </c>
      <c r="B328">
        <v>1</v>
      </c>
      <c r="C328" s="3" t="s">
        <v>361</v>
      </c>
      <c r="D328" s="29">
        <v>4861205.629999999</v>
      </c>
      <c r="E328" s="26">
        <f t="shared" si="18"/>
        <v>136635.53</v>
      </c>
      <c r="F328" s="26">
        <f t="shared" si="19"/>
        <v>122971.98</v>
      </c>
      <c r="G328" s="26">
        <v>142258.04</v>
      </c>
      <c r="H328" s="26">
        <v>128032.24</v>
      </c>
      <c r="I328" s="26">
        <f t="shared" si="20"/>
        <v>8603.2899999999936</v>
      </c>
      <c r="J328" s="28">
        <f t="shared" si="21"/>
        <v>-5060.2600000000093</v>
      </c>
    </row>
    <row r="329" spans="1:10" x14ac:dyDescent="0.2">
      <c r="A329">
        <v>2358</v>
      </c>
      <c r="B329">
        <v>1</v>
      </c>
      <c r="C329" s="3" t="s">
        <v>362</v>
      </c>
      <c r="D329" s="29">
        <v>2406310.9500000002</v>
      </c>
      <c r="E329" s="26">
        <f t="shared" si="18"/>
        <v>67634.990000000005</v>
      </c>
      <c r="F329" s="26">
        <f t="shared" si="19"/>
        <v>60871.49</v>
      </c>
      <c r="G329" s="26">
        <v>67667.83</v>
      </c>
      <c r="H329" s="26">
        <v>60901.05</v>
      </c>
      <c r="I329" s="26">
        <f t="shared" si="20"/>
        <v>6733.9400000000023</v>
      </c>
      <c r="J329" s="28">
        <f t="shared" si="21"/>
        <v>-29.560000000004948</v>
      </c>
    </row>
    <row r="330" spans="1:10" x14ac:dyDescent="0.2">
      <c r="A330">
        <v>2364</v>
      </c>
      <c r="B330">
        <v>1</v>
      </c>
      <c r="C330" s="3" t="s">
        <v>363</v>
      </c>
      <c r="D330" s="29">
        <v>5189103.63</v>
      </c>
      <c r="E330" s="26">
        <f t="shared" si="18"/>
        <v>145851.87</v>
      </c>
      <c r="F330" s="26">
        <f t="shared" si="19"/>
        <v>131266.68</v>
      </c>
      <c r="G330" s="26">
        <v>146576.04999999999</v>
      </c>
      <c r="H330" s="26">
        <v>131918.45000000001</v>
      </c>
      <c r="I330" s="26">
        <f t="shared" si="20"/>
        <v>13933.419999999984</v>
      </c>
      <c r="J330" s="28">
        <f t="shared" si="21"/>
        <v>-651.77000000001863</v>
      </c>
    </row>
    <row r="331" spans="1:10" x14ac:dyDescent="0.2">
      <c r="A331">
        <v>2365</v>
      </c>
      <c r="B331">
        <v>1</v>
      </c>
      <c r="C331" s="3" t="s">
        <v>364</v>
      </c>
      <c r="D331" s="29">
        <v>6053431.2400000002</v>
      </c>
      <c r="E331" s="26">
        <f t="shared" si="18"/>
        <v>170145.82</v>
      </c>
      <c r="F331" s="26">
        <f t="shared" si="19"/>
        <v>153131.24</v>
      </c>
      <c r="G331" s="26">
        <v>161568.81</v>
      </c>
      <c r="H331" s="26">
        <v>145411.93</v>
      </c>
      <c r="I331" s="26">
        <f t="shared" si="20"/>
        <v>24733.890000000014</v>
      </c>
      <c r="J331" s="28">
        <f t="shared" si="21"/>
        <v>7719.3099999999977</v>
      </c>
    </row>
    <row r="332" spans="1:10" x14ac:dyDescent="0.2">
      <c r="A332">
        <v>2396</v>
      </c>
      <c r="B332">
        <v>1</v>
      </c>
      <c r="C332" s="3" t="s">
        <v>365</v>
      </c>
      <c r="D332" s="29">
        <v>5706897.6300000008</v>
      </c>
      <c r="E332" s="26">
        <f t="shared" si="18"/>
        <v>160405.68</v>
      </c>
      <c r="F332" s="26">
        <f t="shared" si="19"/>
        <v>144365.10999999999</v>
      </c>
      <c r="G332" s="26">
        <v>157135.34</v>
      </c>
      <c r="H332" s="26">
        <v>141421.81</v>
      </c>
      <c r="I332" s="26">
        <f t="shared" si="20"/>
        <v>18983.869999999995</v>
      </c>
      <c r="J332" s="28">
        <f t="shared" si="21"/>
        <v>2943.2999999999884</v>
      </c>
    </row>
    <row r="333" spans="1:10" x14ac:dyDescent="0.2">
      <c r="A333">
        <v>2397</v>
      </c>
      <c r="B333">
        <v>1</v>
      </c>
      <c r="C333" s="3" t="s">
        <v>366</v>
      </c>
      <c r="D333" s="29">
        <v>7739197.1199999992</v>
      </c>
      <c r="E333" s="26">
        <f t="shared" si="18"/>
        <v>217528.2</v>
      </c>
      <c r="F333" s="26">
        <f t="shared" si="19"/>
        <v>195775.38</v>
      </c>
      <c r="G333" s="26">
        <v>223728.22</v>
      </c>
      <c r="H333" s="26">
        <v>201355.4</v>
      </c>
      <c r="I333" s="26">
        <f t="shared" si="20"/>
        <v>16172.800000000017</v>
      </c>
      <c r="J333" s="28">
        <f t="shared" si="21"/>
        <v>-5580.0199999999895</v>
      </c>
    </row>
    <row r="334" spans="1:10" x14ac:dyDescent="0.2">
      <c r="A334">
        <v>2448</v>
      </c>
      <c r="B334">
        <v>1</v>
      </c>
      <c r="C334" s="3" t="s">
        <v>367</v>
      </c>
      <c r="D334" s="29">
        <v>5220561.5899999989</v>
      </c>
      <c r="E334" s="26">
        <f t="shared" si="18"/>
        <v>146736.07</v>
      </c>
      <c r="F334" s="26">
        <f t="shared" si="19"/>
        <v>132062.46</v>
      </c>
      <c r="G334" s="26">
        <v>158193.22</v>
      </c>
      <c r="H334" s="26">
        <v>142373.9</v>
      </c>
      <c r="I334" s="26">
        <f t="shared" si="20"/>
        <v>4362.1700000000128</v>
      </c>
      <c r="J334" s="28">
        <f t="shared" si="21"/>
        <v>-10311.440000000002</v>
      </c>
    </row>
    <row r="335" spans="1:10" x14ac:dyDescent="0.2">
      <c r="A335">
        <v>2527</v>
      </c>
      <c r="B335">
        <v>1</v>
      </c>
      <c r="C335" s="3" t="s">
        <v>368</v>
      </c>
      <c r="D335" s="29">
        <v>2356389.0499999998</v>
      </c>
      <c r="E335" s="26">
        <f t="shared" si="18"/>
        <v>66231.820000000007</v>
      </c>
      <c r="F335" s="26">
        <f t="shared" si="19"/>
        <v>59608.639999999999</v>
      </c>
      <c r="G335" s="26">
        <v>66914.77</v>
      </c>
      <c r="H335" s="26">
        <v>60223.29</v>
      </c>
      <c r="I335" s="26">
        <f t="shared" si="20"/>
        <v>6008.5300000000061</v>
      </c>
      <c r="J335" s="28">
        <f t="shared" si="21"/>
        <v>-614.65000000000146</v>
      </c>
    </row>
    <row r="336" spans="1:10" x14ac:dyDescent="0.2">
      <c r="A336">
        <v>2534</v>
      </c>
      <c r="B336">
        <v>1</v>
      </c>
      <c r="C336" s="3" t="s">
        <v>369</v>
      </c>
      <c r="D336" s="29">
        <v>5045102.43</v>
      </c>
      <c r="E336" s="26">
        <f t="shared" ref="E336:E393" si="22">ROUND(D336*$D$548,2)</f>
        <v>141804.38</v>
      </c>
      <c r="F336" s="26">
        <f t="shared" ref="F336:F399" si="23">ROUND(E336*0.9,2)</f>
        <v>127623.94</v>
      </c>
      <c r="G336" s="26">
        <v>145652.70000000001</v>
      </c>
      <c r="H336" s="26">
        <v>131087.43</v>
      </c>
      <c r="I336" s="26">
        <f t="shared" ref="I336:I399" si="24">E336-H336</f>
        <v>10716.950000000012</v>
      </c>
      <c r="J336" s="28">
        <f t="shared" ref="J336:J399" si="25">F336-H336</f>
        <v>-3463.4899999999907</v>
      </c>
    </row>
    <row r="337" spans="1:10" x14ac:dyDescent="0.2">
      <c r="A337">
        <v>2536</v>
      </c>
      <c r="B337">
        <v>1</v>
      </c>
      <c r="C337" s="3" t="s">
        <v>370</v>
      </c>
      <c r="D337" s="29">
        <v>1836901.72</v>
      </c>
      <c r="E337" s="26">
        <f t="shared" si="22"/>
        <v>51630.41</v>
      </c>
      <c r="F337" s="26">
        <f t="shared" si="23"/>
        <v>46467.37</v>
      </c>
      <c r="G337" s="26">
        <v>48070.46</v>
      </c>
      <c r="H337" s="26">
        <v>43263.41</v>
      </c>
      <c r="I337" s="26">
        <f t="shared" si="24"/>
        <v>8367</v>
      </c>
      <c r="J337" s="28">
        <f t="shared" si="25"/>
        <v>3203.9599999999991</v>
      </c>
    </row>
    <row r="338" spans="1:10" x14ac:dyDescent="0.2">
      <c r="A338">
        <v>2580</v>
      </c>
      <c r="B338">
        <v>1</v>
      </c>
      <c r="C338" s="3" t="s">
        <v>371</v>
      </c>
      <c r="D338" s="29">
        <v>6337710.6900000004</v>
      </c>
      <c r="E338" s="26">
        <f t="shared" si="22"/>
        <v>178136.16</v>
      </c>
      <c r="F338" s="26">
        <f t="shared" si="23"/>
        <v>160322.54</v>
      </c>
      <c r="G338" s="26">
        <v>169742.97</v>
      </c>
      <c r="H338" s="26">
        <v>152768.67000000001</v>
      </c>
      <c r="I338" s="26">
        <f t="shared" si="24"/>
        <v>25367.489999999991</v>
      </c>
      <c r="J338" s="28">
        <f t="shared" si="25"/>
        <v>7553.8699999999953</v>
      </c>
    </row>
    <row r="339" spans="1:10" x14ac:dyDescent="0.2">
      <c r="A339">
        <v>2609</v>
      </c>
      <c r="B339">
        <v>1</v>
      </c>
      <c r="C339" s="3" t="s">
        <v>372</v>
      </c>
      <c r="D339" s="29">
        <v>3333509.75</v>
      </c>
      <c r="E339" s="26">
        <f t="shared" si="22"/>
        <v>93696.07</v>
      </c>
      <c r="F339" s="26">
        <f t="shared" si="23"/>
        <v>84326.46</v>
      </c>
      <c r="G339" s="26">
        <v>93816.88</v>
      </c>
      <c r="H339" s="26">
        <v>84435.19</v>
      </c>
      <c r="I339" s="26">
        <f t="shared" si="24"/>
        <v>9260.8800000000047</v>
      </c>
      <c r="J339" s="28">
        <f t="shared" si="25"/>
        <v>-108.72999999999593</v>
      </c>
    </row>
    <row r="340" spans="1:10" x14ac:dyDescent="0.2">
      <c r="A340">
        <v>2683</v>
      </c>
      <c r="B340">
        <v>1</v>
      </c>
      <c r="C340" s="3" t="s">
        <v>373</v>
      </c>
      <c r="D340" s="29">
        <v>4215237.47</v>
      </c>
      <c r="E340" s="26">
        <f t="shared" si="22"/>
        <v>118479.09</v>
      </c>
      <c r="F340" s="26">
        <f t="shared" si="23"/>
        <v>106631.18</v>
      </c>
      <c r="G340" s="26">
        <v>118018.08</v>
      </c>
      <c r="H340" s="26">
        <v>106216.27</v>
      </c>
      <c r="I340" s="26">
        <f t="shared" si="24"/>
        <v>12262.819999999992</v>
      </c>
      <c r="J340" s="28">
        <f t="shared" si="25"/>
        <v>414.90999999998894</v>
      </c>
    </row>
    <row r="341" spans="1:10" x14ac:dyDescent="0.2">
      <c r="A341">
        <v>2687</v>
      </c>
      <c r="B341">
        <v>1</v>
      </c>
      <c r="C341" s="3" t="s">
        <v>374</v>
      </c>
      <c r="D341" s="29">
        <v>6987625.2599999998</v>
      </c>
      <c r="E341" s="26">
        <f t="shared" si="22"/>
        <v>196403.52</v>
      </c>
      <c r="F341" s="26">
        <f t="shared" si="23"/>
        <v>176763.17</v>
      </c>
      <c r="G341" s="26">
        <v>187522.84</v>
      </c>
      <c r="H341" s="26">
        <v>168770.56</v>
      </c>
      <c r="I341" s="26">
        <f t="shared" si="24"/>
        <v>27632.959999999992</v>
      </c>
      <c r="J341" s="28">
        <f t="shared" si="25"/>
        <v>7992.6100000000151</v>
      </c>
    </row>
    <row r="342" spans="1:10" x14ac:dyDescent="0.2">
      <c r="A342">
        <v>2689</v>
      </c>
      <c r="B342">
        <v>1</v>
      </c>
      <c r="C342" s="3" t="s">
        <v>375</v>
      </c>
      <c r="D342" s="29">
        <v>9223636.6699999999</v>
      </c>
      <c r="E342" s="26">
        <f t="shared" si="22"/>
        <v>259251.84</v>
      </c>
      <c r="F342" s="26">
        <f t="shared" si="23"/>
        <v>233326.66</v>
      </c>
      <c r="G342" s="26">
        <v>240867.66</v>
      </c>
      <c r="H342" s="26">
        <v>216780.89</v>
      </c>
      <c r="I342" s="26">
        <f t="shared" si="24"/>
        <v>42470.949999999983</v>
      </c>
      <c r="J342" s="28">
        <f t="shared" si="25"/>
        <v>16545.76999999999</v>
      </c>
    </row>
    <row r="343" spans="1:10" x14ac:dyDescent="0.2">
      <c r="A343">
        <v>2711</v>
      </c>
      <c r="B343">
        <v>1</v>
      </c>
      <c r="C343" s="3" t="s">
        <v>376</v>
      </c>
      <c r="D343" s="29">
        <v>6491611.7300000004</v>
      </c>
      <c r="E343" s="26">
        <f t="shared" si="22"/>
        <v>182461.9</v>
      </c>
      <c r="F343" s="26">
        <f t="shared" si="23"/>
        <v>164215.71</v>
      </c>
      <c r="G343" s="26">
        <v>187491.64</v>
      </c>
      <c r="H343" s="26">
        <v>168742.48</v>
      </c>
      <c r="I343" s="26">
        <f t="shared" si="24"/>
        <v>13719.419999999984</v>
      </c>
      <c r="J343" s="28">
        <f t="shared" si="25"/>
        <v>-4526.7700000000186</v>
      </c>
    </row>
    <row r="344" spans="1:10" x14ac:dyDescent="0.2">
      <c r="A344">
        <v>2752</v>
      </c>
      <c r="B344">
        <v>1</v>
      </c>
      <c r="C344" s="3" t="s">
        <v>377</v>
      </c>
      <c r="D344" s="29">
        <v>12121006.290000001</v>
      </c>
      <c r="E344" s="26">
        <f t="shared" si="22"/>
        <v>340689.18</v>
      </c>
      <c r="F344" s="26">
        <f t="shared" si="23"/>
        <v>306620.26</v>
      </c>
      <c r="G344" s="26">
        <v>356465.54</v>
      </c>
      <c r="H344" s="26">
        <v>320818.99</v>
      </c>
      <c r="I344" s="26">
        <f t="shared" si="24"/>
        <v>19870.190000000002</v>
      </c>
      <c r="J344" s="28">
        <f t="shared" si="25"/>
        <v>-14198.729999999981</v>
      </c>
    </row>
    <row r="345" spans="1:10" x14ac:dyDescent="0.2">
      <c r="A345">
        <v>2753</v>
      </c>
      <c r="B345">
        <v>1</v>
      </c>
      <c r="C345" s="3" t="s">
        <v>378</v>
      </c>
      <c r="D345" s="29">
        <v>8132668.7599999998</v>
      </c>
      <c r="E345" s="26">
        <f t="shared" si="22"/>
        <v>228587.64</v>
      </c>
      <c r="F345" s="26">
        <f t="shared" si="23"/>
        <v>205728.88</v>
      </c>
      <c r="G345" s="26">
        <v>227378.88</v>
      </c>
      <c r="H345" s="26">
        <v>204640.99</v>
      </c>
      <c r="I345" s="26">
        <f t="shared" si="24"/>
        <v>23946.650000000023</v>
      </c>
      <c r="J345" s="28">
        <f t="shared" si="25"/>
        <v>1087.890000000014</v>
      </c>
    </row>
    <row r="346" spans="1:10" x14ac:dyDescent="0.2">
      <c r="A346">
        <v>2754</v>
      </c>
      <c r="B346">
        <v>1</v>
      </c>
      <c r="C346" s="3" t="s">
        <v>379</v>
      </c>
      <c r="D346" s="29">
        <v>3830349.98</v>
      </c>
      <c r="E346" s="26">
        <f t="shared" si="22"/>
        <v>107660.93</v>
      </c>
      <c r="F346" s="26">
        <f t="shared" si="23"/>
        <v>96894.84</v>
      </c>
      <c r="G346" s="26">
        <v>107942.85</v>
      </c>
      <c r="H346" s="26">
        <v>97148.57</v>
      </c>
      <c r="I346" s="26">
        <f t="shared" si="24"/>
        <v>10512.359999999986</v>
      </c>
      <c r="J346" s="28">
        <f t="shared" si="25"/>
        <v>-253.73000000001048</v>
      </c>
    </row>
    <row r="347" spans="1:10" x14ac:dyDescent="0.2">
      <c r="A347">
        <v>2759</v>
      </c>
      <c r="B347">
        <v>1</v>
      </c>
      <c r="C347" s="3" t="s">
        <v>380</v>
      </c>
      <c r="D347" s="29">
        <v>2302784.5099999998</v>
      </c>
      <c r="E347" s="26">
        <f t="shared" si="22"/>
        <v>64725.14</v>
      </c>
      <c r="F347" s="26">
        <f t="shared" si="23"/>
        <v>58252.63</v>
      </c>
      <c r="G347" s="26">
        <v>67610.81</v>
      </c>
      <c r="H347" s="26">
        <v>60849.73</v>
      </c>
      <c r="I347" s="26">
        <f t="shared" si="24"/>
        <v>3875.4099999999962</v>
      </c>
      <c r="J347" s="28">
        <f t="shared" si="25"/>
        <v>-2597.1000000000058</v>
      </c>
    </row>
    <row r="348" spans="1:10" x14ac:dyDescent="0.2">
      <c r="A348">
        <v>2805</v>
      </c>
      <c r="B348">
        <v>1</v>
      </c>
      <c r="C348" s="3" t="s">
        <v>381</v>
      </c>
      <c r="D348" s="29">
        <v>6862652.540000001</v>
      </c>
      <c r="E348" s="26">
        <f t="shared" si="22"/>
        <v>192890.87</v>
      </c>
      <c r="F348" s="26">
        <f t="shared" si="23"/>
        <v>173601.78</v>
      </c>
      <c r="G348" s="26">
        <v>195566.07999999999</v>
      </c>
      <c r="H348" s="26">
        <v>176009.47</v>
      </c>
      <c r="I348" s="26">
        <f t="shared" si="24"/>
        <v>16881.399999999994</v>
      </c>
      <c r="J348" s="28">
        <f t="shared" si="25"/>
        <v>-2407.6900000000023</v>
      </c>
    </row>
    <row r="349" spans="1:10" x14ac:dyDescent="0.2">
      <c r="A349">
        <v>2835</v>
      </c>
      <c r="B349">
        <v>1</v>
      </c>
      <c r="C349" s="3" t="s">
        <v>382</v>
      </c>
      <c r="D349" s="29">
        <v>4260653.45</v>
      </c>
      <c r="E349" s="26">
        <f t="shared" si="22"/>
        <v>119755.61</v>
      </c>
      <c r="F349" s="26">
        <f t="shared" si="23"/>
        <v>107780.05</v>
      </c>
      <c r="G349" s="26">
        <v>106812.95</v>
      </c>
      <c r="H349" s="26">
        <v>96131.66</v>
      </c>
      <c r="I349" s="26">
        <f t="shared" si="24"/>
        <v>23623.949999999997</v>
      </c>
      <c r="J349" s="28">
        <f t="shared" si="25"/>
        <v>11648.39</v>
      </c>
    </row>
    <row r="350" spans="1:10" x14ac:dyDescent="0.2">
      <c r="A350">
        <v>2853</v>
      </c>
      <c r="B350">
        <v>1</v>
      </c>
      <c r="C350" s="3" t="s">
        <v>383</v>
      </c>
      <c r="D350" s="29">
        <v>6244109.8699999992</v>
      </c>
      <c r="E350" s="26">
        <f t="shared" si="22"/>
        <v>175505.29</v>
      </c>
      <c r="F350" s="26">
        <f t="shared" si="23"/>
        <v>157954.76</v>
      </c>
      <c r="G350" s="26">
        <v>174460.34</v>
      </c>
      <c r="H350" s="26">
        <v>157014.31</v>
      </c>
      <c r="I350" s="26">
        <f t="shared" si="24"/>
        <v>18490.98000000001</v>
      </c>
      <c r="J350" s="28">
        <f t="shared" si="25"/>
        <v>940.45000000001164</v>
      </c>
    </row>
    <row r="351" spans="1:10" x14ac:dyDescent="0.2">
      <c r="A351">
        <v>2854</v>
      </c>
      <c r="B351">
        <v>1</v>
      </c>
      <c r="C351" s="3" t="s">
        <v>384</v>
      </c>
      <c r="D351" s="29">
        <v>4639442.97</v>
      </c>
      <c r="E351" s="26">
        <f t="shared" si="22"/>
        <v>130402.38</v>
      </c>
      <c r="F351" s="26">
        <f t="shared" si="23"/>
        <v>117362.14</v>
      </c>
      <c r="G351" s="26">
        <v>128186.31</v>
      </c>
      <c r="H351" s="26">
        <v>115367.67999999999</v>
      </c>
      <c r="I351" s="26">
        <f t="shared" si="24"/>
        <v>15034.700000000012</v>
      </c>
      <c r="J351" s="28">
        <f t="shared" si="25"/>
        <v>1994.4600000000064</v>
      </c>
    </row>
    <row r="352" spans="1:10" x14ac:dyDescent="0.2">
      <c r="A352">
        <v>2856</v>
      </c>
      <c r="B352">
        <v>1</v>
      </c>
      <c r="C352" s="3" t="s">
        <v>385</v>
      </c>
      <c r="D352" s="29">
        <v>3256526.34</v>
      </c>
      <c r="E352" s="26">
        <f t="shared" si="22"/>
        <v>91532.28</v>
      </c>
      <c r="F352" s="26">
        <f t="shared" si="23"/>
        <v>82379.05</v>
      </c>
      <c r="G352" s="26">
        <v>95973.87</v>
      </c>
      <c r="H352" s="26">
        <v>86376.48</v>
      </c>
      <c r="I352" s="26">
        <f t="shared" si="24"/>
        <v>5155.8000000000029</v>
      </c>
      <c r="J352" s="28">
        <f t="shared" si="25"/>
        <v>-3997.429999999993</v>
      </c>
    </row>
    <row r="353" spans="1:10" x14ac:dyDescent="0.2">
      <c r="A353">
        <v>2859</v>
      </c>
      <c r="B353">
        <v>1</v>
      </c>
      <c r="C353" s="3" t="s">
        <v>386</v>
      </c>
      <c r="D353" s="29">
        <v>11856314.250000002</v>
      </c>
      <c r="E353" s="26">
        <f t="shared" si="22"/>
        <v>333249.39</v>
      </c>
      <c r="F353" s="26">
        <f t="shared" si="23"/>
        <v>299924.45</v>
      </c>
      <c r="G353" s="26">
        <v>327031.06</v>
      </c>
      <c r="H353" s="26">
        <v>294327.95</v>
      </c>
      <c r="I353" s="26">
        <f t="shared" si="24"/>
        <v>38921.440000000002</v>
      </c>
      <c r="J353" s="28">
        <f t="shared" si="25"/>
        <v>5596.5</v>
      </c>
    </row>
    <row r="354" spans="1:10" x14ac:dyDescent="0.2">
      <c r="A354">
        <v>2860</v>
      </c>
      <c r="B354">
        <v>1</v>
      </c>
      <c r="C354" s="3" t="s">
        <v>387</v>
      </c>
      <c r="D354" s="29">
        <v>9169860.0600000005</v>
      </c>
      <c r="E354" s="26">
        <f t="shared" si="22"/>
        <v>257740.33</v>
      </c>
      <c r="F354" s="26">
        <f t="shared" si="23"/>
        <v>231966.3</v>
      </c>
      <c r="G354" s="26">
        <v>252543.79</v>
      </c>
      <c r="H354" s="26">
        <v>227289.41</v>
      </c>
      <c r="I354" s="26">
        <f t="shared" si="24"/>
        <v>30450.919999999984</v>
      </c>
      <c r="J354" s="28">
        <f t="shared" si="25"/>
        <v>4676.8899999999849</v>
      </c>
    </row>
    <row r="355" spans="1:10" x14ac:dyDescent="0.2">
      <c r="A355">
        <v>2884</v>
      </c>
      <c r="B355">
        <v>1</v>
      </c>
      <c r="C355" s="3" t="s">
        <v>388</v>
      </c>
      <c r="D355" s="29">
        <v>3396272.3000000003</v>
      </c>
      <c r="E355" s="26">
        <f t="shared" si="22"/>
        <v>95460.160000000003</v>
      </c>
      <c r="F355" s="26">
        <f t="shared" si="23"/>
        <v>85914.14</v>
      </c>
      <c r="G355" s="26">
        <v>92322.240000000005</v>
      </c>
      <c r="H355" s="26">
        <v>83090.02</v>
      </c>
      <c r="I355" s="26">
        <f t="shared" si="24"/>
        <v>12370.14</v>
      </c>
      <c r="J355" s="28">
        <f t="shared" si="25"/>
        <v>2824.1199999999953</v>
      </c>
    </row>
    <row r="356" spans="1:10" x14ac:dyDescent="0.2">
      <c r="A356">
        <v>2886</v>
      </c>
      <c r="B356">
        <v>1</v>
      </c>
      <c r="C356" s="3" t="s">
        <v>389</v>
      </c>
      <c r="D356" s="29">
        <v>2770078.2399999998</v>
      </c>
      <c r="E356" s="26">
        <f t="shared" si="22"/>
        <v>77859.520000000004</v>
      </c>
      <c r="F356" s="26">
        <f t="shared" si="23"/>
        <v>70073.570000000007</v>
      </c>
      <c r="G356" s="26">
        <v>78919.62</v>
      </c>
      <c r="H356" s="26">
        <v>71027.66</v>
      </c>
      <c r="I356" s="26">
        <f t="shared" si="24"/>
        <v>6831.8600000000006</v>
      </c>
      <c r="J356" s="28">
        <f t="shared" si="25"/>
        <v>-954.08999999999651</v>
      </c>
    </row>
    <row r="357" spans="1:10" x14ac:dyDescent="0.2">
      <c r="A357">
        <v>2888</v>
      </c>
      <c r="B357">
        <v>1</v>
      </c>
      <c r="C357" s="3" t="s">
        <v>390</v>
      </c>
      <c r="D357" s="29">
        <v>3244567.0999999996</v>
      </c>
      <c r="E357" s="26">
        <f t="shared" si="22"/>
        <v>91196.13</v>
      </c>
      <c r="F357" s="26">
        <f t="shared" si="23"/>
        <v>82076.52</v>
      </c>
      <c r="G357" s="26">
        <v>92320.07</v>
      </c>
      <c r="H357" s="26">
        <v>83088.06</v>
      </c>
      <c r="I357" s="26">
        <f t="shared" si="24"/>
        <v>8108.070000000007</v>
      </c>
      <c r="J357" s="28">
        <f t="shared" si="25"/>
        <v>-1011.5399999999936</v>
      </c>
    </row>
    <row r="358" spans="1:10" x14ac:dyDescent="0.2">
      <c r="A358">
        <v>2889</v>
      </c>
      <c r="B358">
        <v>1</v>
      </c>
      <c r="C358" s="3" t="s">
        <v>391</v>
      </c>
      <c r="D358" s="29">
        <v>3896920.8500000006</v>
      </c>
      <c r="E358" s="26">
        <f t="shared" si="22"/>
        <v>109532.06</v>
      </c>
      <c r="F358" s="26">
        <f t="shared" si="23"/>
        <v>98578.85</v>
      </c>
      <c r="G358" s="26">
        <v>104748.01</v>
      </c>
      <c r="H358" s="26">
        <v>94273.21</v>
      </c>
      <c r="I358" s="26">
        <f t="shared" si="24"/>
        <v>15258.849999999991</v>
      </c>
      <c r="J358" s="28">
        <f t="shared" si="25"/>
        <v>4305.6399999999994</v>
      </c>
    </row>
    <row r="359" spans="1:10" x14ac:dyDescent="0.2">
      <c r="A359">
        <v>2890</v>
      </c>
      <c r="B359">
        <v>1</v>
      </c>
      <c r="C359" s="3" t="s">
        <v>392</v>
      </c>
      <c r="D359" s="29">
        <v>3755961.03</v>
      </c>
      <c r="E359" s="26">
        <f t="shared" si="22"/>
        <v>105570.05</v>
      </c>
      <c r="F359" s="26">
        <f t="shared" si="23"/>
        <v>95013.05</v>
      </c>
      <c r="G359" s="26">
        <v>106380.59</v>
      </c>
      <c r="H359" s="26">
        <v>95742.53</v>
      </c>
      <c r="I359" s="26">
        <f t="shared" si="24"/>
        <v>9827.5200000000041</v>
      </c>
      <c r="J359" s="28">
        <f t="shared" si="25"/>
        <v>-729.47999999999593</v>
      </c>
    </row>
    <row r="360" spans="1:10" x14ac:dyDescent="0.2">
      <c r="A360">
        <v>2895</v>
      </c>
      <c r="B360">
        <v>1</v>
      </c>
      <c r="C360" s="3" t="s">
        <v>393</v>
      </c>
      <c r="D360" s="29">
        <v>8227649.5099999998</v>
      </c>
      <c r="E360" s="26">
        <f t="shared" si="22"/>
        <v>231257.3</v>
      </c>
      <c r="F360" s="26">
        <f t="shared" si="23"/>
        <v>208131.57</v>
      </c>
      <c r="G360" s="26">
        <v>227966.78</v>
      </c>
      <c r="H360" s="26">
        <v>205170.1</v>
      </c>
      <c r="I360" s="26">
        <f t="shared" si="24"/>
        <v>26087.199999999983</v>
      </c>
      <c r="J360" s="28">
        <f t="shared" si="25"/>
        <v>2961.4700000000012</v>
      </c>
    </row>
    <row r="361" spans="1:10" x14ac:dyDescent="0.2">
      <c r="A361">
        <v>2897</v>
      </c>
      <c r="B361">
        <v>1</v>
      </c>
      <c r="C361" s="3" t="s">
        <v>394</v>
      </c>
      <c r="D361" s="29">
        <v>8451493.0999999996</v>
      </c>
      <c r="E361" s="26">
        <f t="shared" si="22"/>
        <v>237548.95</v>
      </c>
      <c r="F361" s="26">
        <f t="shared" si="23"/>
        <v>213794.06</v>
      </c>
      <c r="G361" s="26">
        <v>243556.42</v>
      </c>
      <c r="H361" s="26">
        <v>219200.78</v>
      </c>
      <c r="I361" s="26">
        <f t="shared" si="24"/>
        <v>18348.170000000013</v>
      </c>
      <c r="J361" s="28">
        <f t="shared" si="25"/>
        <v>-5406.7200000000012</v>
      </c>
    </row>
    <row r="362" spans="1:10" x14ac:dyDescent="0.2">
      <c r="A362">
        <v>2898</v>
      </c>
      <c r="B362">
        <v>1</v>
      </c>
      <c r="C362" s="3" t="s">
        <v>395</v>
      </c>
      <c r="D362" s="29">
        <v>4236324.3100000005</v>
      </c>
      <c r="E362" s="26">
        <f t="shared" si="22"/>
        <v>119071.79</v>
      </c>
      <c r="F362" s="26">
        <f t="shared" si="23"/>
        <v>107164.61</v>
      </c>
      <c r="G362" s="26">
        <v>117841.28</v>
      </c>
      <c r="H362" s="26">
        <v>106057.15</v>
      </c>
      <c r="I362" s="26">
        <f t="shared" si="24"/>
        <v>13014.64</v>
      </c>
      <c r="J362" s="28">
        <f t="shared" si="25"/>
        <v>1107.4600000000064</v>
      </c>
    </row>
    <row r="363" spans="1:10" x14ac:dyDescent="0.2">
      <c r="A363">
        <v>2899</v>
      </c>
      <c r="B363">
        <v>1</v>
      </c>
      <c r="C363" s="3" t="s">
        <v>396</v>
      </c>
      <c r="D363" s="29">
        <v>10104365.340000004</v>
      </c>
      <c r="E363" s="26">
        <f t="shared" si="22"/>
        <v>284006.78000000003</v>
      </c>
      <c r="F363" s="26">
        <f t="shared" si="23"/>
        <v>255606.1</v>
      </c>
      <c r="G363" s="26">
        <v>283653.51</v>
      </c>
      <c r="H363" s="26">
        <v>255288.16</v>
      </c>
      <c r="I363" s="26">
        <f t="shared" si="24"/>
        <v>28718.620000000024</v>
      </c>
      <c r="J363" s="28">
        <f t="shared" si="25"/>
        <v>317.94000000000233</v>
      </c>
    </row>
    <row r="364" spans="1:10" x14ac:dyDescent="0.2">
      <c r="A364">
        <v>2902</v>
      </c>
      <c r="B364">
        <v>1</v>
      </c>
      <c r="C364" s="3" t="s">
        <v>397</v>
      </c>
      <c r="D364" s="29">
        <v>4205554.9799999995</v>
      </c>
      <c r="E364" s="26">
        <f t="shared" si="22"/>
        <v>118206.94</v>
      </c>
      <c r="F364" s="26">
        <f t="shared" si="23"/>
        <v>106386.25</v>
      </c>
      <c r="G364" s="26">
        <v>124326.63</v>
      </c>
      <c r="H364" s="26">
        <v>111893.97</v>
      </c>
      <c r="I364" s="26">
        <f t="shared" si="24"/>
        <v>6312.9700000000012</v>
      </c>
      <c r="J364" s="28">
        <f t="shared" si="25"/>
        <v>-5507.7200000000012</v>
      </c>
    </row>
    <row r="365" spans="1:10" x14ac:dyDescent="0.2">
      <c r="A365">
        <v>2903</v>
      </c>
      <c r="B365">
        <v>1</v>
      </c>
      <c r="C365" s="3" t="s">
        <v>398</v>
      </c>
      <c r="D365" s="29">
        <v>3999500.54</v>
      </c>
      <c r="E365" s="26">
        <f t="shared" si="22"/>
        <v>112415.3</v>
      </c>
      <c r="F365" s="26">
        <f t="shared" si="23"/>
        <v>101173.77</v>
      </c>
      <c r="G365" s="26">
        <v>114199.3</v>
      </c>
      <c r="H365" s="26">
        <v>102779.37</v>
      </c>
      <c r="I365" s="26">
        <f t="shared" si="24"/>
        <v>9635.9300000000076</v>
      </c>
      <c r="J365" s="28">
        <f t="shared" si="25"/>
        <v>-1605.5999999999913</v>
      </c>
    </row>
    <row r="366" spans="1:10" x14ac:dyDescent="0.2">
      <c r="A366">
        <v>2904</v>
      </c>
      <c r="B366">
        <v>1</v>
      </c>
      <c r="C366" s="3" t="s">
        <v>399</v>
      </c>
      <c r="D366" s="29">
        <v>5716575.9400000004</v>
      </c>
      <c r="E366" s="26">
        <f t="shared" si="22"/>
        <v>160677.71</v>
      </c>
      <c r="F366" s="26">
        <f t="shared" si="23"/>
        <v>144609.94</v>
      </c>
      <c r="G366" s="26">
        <v>171728.73</v>
      </c>
      <c r="H366" s="26">
        <v>154555.85999999999</v>
      </c>
      <c r="I366" s="26">
        <f t="shared" si="24"/>
        <v>6121.8500000000058</v>
      </c>
      <c r="J366" s="28">
        <f t="shared" si="25"/>
        <v>-9945.9199999999837</v>
      </c>
    </row>
    <row r="367" spans="1:10" x14ac:dyDescent="0.2">
      <c r="A367">
        <v>4000</v>
      </c>
      <c r="B367">
        <v>7</v>
      </c>
      <c r="C367" s="3" t="s">
        <v>400</v>
      </c>
      <c r="D367" s="29">
        <v>1299688.26</v>
      </c>
      <c r="E367" s="26">
        <f t="shared" si="22"/>
        <v>36530.769999999997</v>
      </c>
      <c r="F367" s="26">
        <f t="shared" si="23"/>
        <v>32877.69</v>
      </c>
      <c r="G367" s="26">
        <v>31159.3</v>
      </c>
      <c r="H367" s="26">
        <v>28043.37</v>
      </c>
      <c r="I367" s="26">
        <f t="shared" si="24"/>
        <v>8487.3999999999978</v>
      </c>
      <c r="J367" s="28">
        <f t="shared" si="25"/>
        <v>4834.3200000000033</v>
      </c>
    </row>
    <row r="368" spans="1:10" x14ac:dyDescent="0.2">
      <c r="A368">
        <v>4001</v>
      </c>
      <c r="B368">
        <v>7</v>
      </c>
      <c r="C368" s="3" t="s">
        <v>401</v>
      </c>
      <c r="D368" s="29">
        <v>1433916.7799999998</v>
      </c>
      <c r="E368" s="26">
        <f t="shared" si="22"/>
        <v>40303.58</v>
      </c>
      <c r="F368" s="26">
        <f t="shared" si="23"/>
        <v>36273.22</v>
      </c>
      <c r="G368" s="26">
        <v>40579.65</v>
      </c>
      <c r="H368" s="26">
        <v>36521.69</v>
      </c>
      <c r="I368" s="26">
        <f t="shared" si="24"/>
        <v>3781.8899999999994</v>
      </c>
      <c r="J368" s="28">
        <f t="shared" si="25"/>
        <v>-248.47000000000116</v>
      </c>
    </row>
    <row r="369" spans="1:10" x14ac:dyDescent="0.2">
      <c r="A369">
        <v>4003</v>
      </c>
      <c r="B369">
        <v>7</v>
      </c>
      <c r="C369" s="3" t="s">
        <v>402</v>
      </c>
      <c r="D369" s="29">
        <v>1211128.1000000001</v>
      </c>
      <c r="E369" s="26">
        <f t="shared" si="22"/>
        <v>34041.58</v>
      </c>
      <c r="F369" s="26">
        <f t="shared" si="23"/>
        <v>30637.42</v>
      </c>
      <c r="G369" s="26">
        <v>30571.11</v>
      </c>
      <c r="H369" s="26">
        <v>27514</v>
      </c>
      <c r="I369" s="26">
        <f t="shared" si="24"/>
        <v>6527.5800000000017</v>
      </c>
      <c r="J369" s="28">
        <f t="shared" si="25"/>
        <v>3123.4199999999983</v>
      </c>
    </row>
    <row r="370" spans="1:10" x14ac:dyDescent="0.2">
      <c r="A370">
        <v>4004</v>
      </c>
      <c r="B370">
        <v>7</v>
      </c>
      <c r="C370" s="3" t="s">
        <v>403</v>
      </c>
      <c r="D370" s="29">
        <v>1476393.1</v>
      </c>
      <c r="E370" s="26">
        <f t="shared" si="22"/>
        <v>41497.480000000003</v>
      </c>
      <c r="F370" s="26">
        <f t="shared" si="23"/>
        <v>37347.730000000003</v>
      </c>
      <c r="G370" s="26">
        <v>36465.82</v>
      </c>
      <c r="H370" s="26">
        <v>32819.24</v>
      </c>
      <c r="I370" s="26">
        <f t="shared" si="24"/>
        <v>8678.2400000000052</v>
      </c>
      <c r="J370" s="28">
        <f t="shared" si="25"/>
        <v>4528.4900000000052</v>
      </c>
    </row>
    <row r="371" spans="1:10" x14ac:dyDescent="0.2">
      <c r="A371">
        <v>4005</v>
      </c>
      <c r="B371">
        <v>7</v>
      </c>
      <c r="C371" s="3" t="s">
        <v>404</v>
      </c>
      <c r="D371" s="29">
        <v>4156871.39</v>
      </c>
      <c r="E371" s="26">
        <f t="shared" si="22"/>
        <v>116838.58</v>
      </c>
      <c r="F371" s="26">
        <f t="shared" si="23"/>
        <v>105154.72</v>
      </c>
      <c r="G371" s="26">
        <v>111840.28</v>
      </c>
      <c r="H371" s="26">
        <v>100656.25</v>
      </c>
      <c r="I371" s="26">
        <f t="shared" si="24"/>
        <v>16182.330000000002</v>
      </c>
      <c r="J371" s="28">
        <f t="shared" si="25"/>
        <v>4498.4700000000012</v>
      </c>
    </row>
    <row r="372" spans="1:10" x14ac:dyDescent="0.2">
      <c r="A372">
        <v>4007</v>
      </c>
      <c r="B372">
        <v>7</v>
      </c>
      <c r="C372" s="3" t="s">
        <v>405</v>
      </c>
      <c r="D372" s="29">
        <v>984611.52999999991</v>
      </c>
      <c r="E372" s="26">
        <f t="shared" si="22"/>
        <v>27674.81</v>
      </c>
      <c r="F372" s="26">
        <f t="shared" si="23"/>
        <v>24907.33</v>
      </c>
      <c r="G372" s="26">
        <v>30617.95</v>
      </c>
      <c r="H372" s="26">
        <v>27556.16</v>
      </c>
      <c r="I372" s="26">
        <f t="shared" si="24"/>
        <v>118.65000000000146</v>
      </c>
      <c r="J372" s="28">
        <f t="shared" si="25"/>
        <v>-2648.8299999999981</v>
      </c>
    </row>
    <row r="373" spans="1:10" x14ac:dyDescent="0.2">
      <c r="A373">
        <v>4008</v>
      </c>
      <c r="B373">
        <v>7</v>
      </c>
      <c r="C373" s="3" t="s">
        <v>406</v>
      </c>
      <c r="D373" s="29">
        <v>4468479.58</v>
      </c>
      <c r="E373" s="26">
        <f t="shared" si="22"/>
        <v>125597.05</v>
      </c>
      <c r="F373" s="26">
        <f t="shared" si="23"/>
        <v>113037.35</v>
      </c>
      <c r="G373" s="26">
        <v>124341.85</v>
      </c>
      <c r="H373" s="26">
        <v>111907.67</v>
      </c>
      <c r="I373" s="26">
        <f t="shared" si="24"/>
        <v>13689.380000000005</v>
      </c>
      <c r="J373" s="28">
        <f t="shared" si="25"/>
        <v>1129.6800000000076</v>
      </c>
    </row>
    <row r="374" spans="1:10" x14ac:dyDescent="0.2">
      <c r="A374">
        <v>4011</v>
      </c>
      <c r="B374">
        <v>7</v>
      </c>
      <c r="C374" s="3" t="s">
        <v>407</v>
      </c>
      <c r="D374" s="29">
        <v>2767779.42</v>
      </c>
      <c r="E374" s="26">
        <f t="shared" si="22"/>
        <v>77794.899999999994</v>
      </c>
      <c r="F374" s="26">
        <f t="shared" si="23"/>
        <v>70015.41</v>
      </c>
      <c r="G374" s="26">
        <v>81210.8</v>
      </c>
      <c r="H374" s="26">
        <v>73089.72</v>
      </c>
      <c r="I374" s="26">
        <f t="shared" si="24"/>
        <v>4705.179999999993</v>
      </c>
      <c r="J374" s="28">
        <f t="shared" si="25"/>
        <v>-3074.3099999999977</v>
      </c>
    </row>
    <row r="375" spans="1:10" x14ac:dyDescent="0.2">
      <c r="A375">
        <v>4015</v>
      </c>
      <c r="B375">
        <v>7</v>
      </c>
      <c r="C375" s="3" t="s">
        <v>408</v>
      </c>
      <c r="D375" s="29">
        <v>6998207.2300000004</v>
      </c>
      <c r="E375" s="26">
        <f t="shared" si="22"/>
        <v>196700.95</v>
      </c>
      <c r="F375" s="26">
        <f t="shared" si="23"/>
        <v>177030.86</v>
      </c>
      <c r="G375" s="26">
        <v>197357.3</v>
      </c>
      <c r="H375" s="26">
        <v>177621.57</v>
      </c>
      <c r="I375" s="26">
        <f t="shared" si="24"/>
        <v>19079.380000000005</v>
      </c>
      <c r="J375" s="28">
        <f t="shared" si="25"/>
        <v>-590.71000000002095</v>
      </c>
    </row>
    <row r="376" spans="1:10" x14ac:dyDescent="0.2">
      <c r="A376">
        <v>4016</v>
      </c>
      <c r="B376">
        <v>7</v>
      </c>
      <c r="C376" s="3" t="s">
        <v>409</v>
      </c>
      <c r="D376" s="29">
        <v>1186158.52</v>
      </c>
      <c r="E376" s="26">
        <f t="shared" si="22"/>
        <v>33339.75</v>
      </c>
      <c r="F376" s="26">
        <f t="shared" si="23"/>
        <v>30005.78</v>
      </c>
      <c r="G376" s="26">
        <v>32850.129999999997</v>
      </c>
      <c r="H376" s="26">
        <v>29565.119999999999</v>
      </c>
      <c r="I376" s="26">
        <f t="shared" si="24"/>
        <v>3774.630000000001</v>
      </c>
      <c r="J376" s="28">
        <f t="shared" si="25"/>
        <v>440.65999999999985</v>
      </c>
    </row>
    <row r="377" spans="1:10" x14ac:dyDescent="0.2">
      <c r="A377">
        <v>4017</v>
      </c>
      <c r="B377">
        <v>7</v>
      </c>
      <c r="C377" s="3" t="s">
        <v>410</v>
      </c>
      <c r="D377" s="29">
        <v>25207128.98</v>
      </c>
      <c r="E377" s="26">
        <f t="shared" si="22"/>
        <v>708505.21</v>
      </c>
      <c r="F377" s="26">
        <f t="shared" si="23"/>
        <v>637654.68999999994</v>
      </c>
      <c r="G377" s="26">
        <v>731806.09</v>
      </c>
      <c r="H377" s="26">
        <v>658625.48</v>
      </c>
      <c r="I377" s="26">
        <f t="shared" si="24"/>
        <v>49879.729999999981</v>
      </c>
      <c r="J377" s="28">
        <f t="shared" si="25"/>
        <v>-20970.790000000037</v>
      </c>
    </row>
    <row r="378" spans="1:10" x14ac:dyDescent="0.2">
      <c r="A378">
        <v>4018</v>
      </c>
      <c r="B378">
        <v>7</v>
      </c>
      <c r="C378" s="3" t="s">
        <v>411</v>
      </c>
      <c r="D378" s="29">
        <v>3816208.53</v>
      </c>
      <c r="E378" s="26">
        <f t="shared" si="22"/>
        <v>107263.45</v>
      </c>
      <c r="F378" s="26">
        <f t="shared" si="23"/>
        <v>96537.11</v>
      </c>
      <c r="G378" s="26">
        <v>106720.26</v>
      </c>
      <c r="H378" s="26">
        <v>96048.23</v>
      </c>
      <c r="I378" s="26">
        <f t="shared" si="24"/>
        <v>11215.220000000001</v>
      </c>
      <c r="J378" s="28">
        <f t="shared" si="25"/>
        <v>488.88000000000466</v>
      </c>
    </row>
    <row r="379" spans="1:10" x14ac:dyDescent="0.2">
      <c r="A379">
        <v>4020</v>
      </c>
      <c r="B379">
        <v>7</v>
      </c>
      <c r="C379" s="3" t="s">
        <v>412</v>
      </c>
      <c r="D379" s="29">
        <v>10019110.48</v>
      </c>
      <c r="E379" s="26">
        <f t="shared" si="22"/>
        <v>281610.49</v>
      </c>
      <c r="F379" s="26">
        <f t="shared" si="23"/>
        <v>253449.44</v>
      </c>
      <c r="G379" s="26">
        <v>244438.58</v>
      </c>
      <c r="H379" s="26">
        <v>219994.72</v>
      </c>
      <c r="I379" s="26">
        <f t="shared" si="24"/>
        <v>61615.76999999999</v>
      </c>
      <c r="J379" s="28">
        <f t="shared" si="25"/>
        <v>33454.720000000001</v>
      </c>
    </row>
    <row r="380" spans="1:10" x14ac:dyDescent="0.2">
      <c r="A380">
        <v>4025</v>
      </c>
      <c r="B380">
        <v>7</v>
      </c>
      <c r="C380" s="3" t="s">
        <v>413</v>
      </c>
      <c r="D380" s="29">
        <v>974648.86</v>
      </c>
      <c r="E380" s="26">
        <f t="shared" si="22"/>
        <v>27394.78</v>
      </c>
      <c r="F380" s="26">
        <f t="shared" si="23"/>
        <v>24655.3</v>
      </c>
      <c r="G380" s="26">
        <v>26535.32</v>
      </c>
      <c r="H380" s="26">
        <v>23881.79</v>
      </c>
      <c r="I380" s="26">
        <f t="shared" si="24"/>
        <v>3512.989999999998</v>
      </c>
      <c r="J380" s="28">
        <f t="shared" si="25"/>
        <v>773.5099999999984</v>
      </c>
    </row>
    <row r="381" spans="1:10" x14ac:dyDescent="0.2">
      <c r="A381">
        <v>4026</v>
      </c>
      <c r="B381">
        <v>7</v>
      </c>
      <c r="C381" s="3" t="s">
        <v>414</v>
      </c>
      <c r="D381" s="29">
        <v>1656755.0799999998</v>
      </c>
      <c r="E381" s="26">
        <f t="shared" si="22"/>
        <v>46566.97</v>
      </c>
      <c r="F381" s="26">
        <f t="shared" si="23"/>
        <v>41910.269999999997</v>
      </c>
      <c r="G381" s="26">
        <v>47651</v>
      </c>
      <c r="H381" s="26">
        <v>42885.9</v>
      </c>
      <c r="I381" s="26">
        <f t="shared" si="24"/>
        <v>3681.0699999999997</v>
      </c>
      <c r="J381" s="28">
        <f t="shared" si="25"/>
        <v>-975.63000000000466</v>
      </c>
    </row>
    <row r="382" spans="1:10" x14ac:dyDescent="0.2">
      <c r="A382">
        <v>4027</v>
      </c>
      <c r="B382">
        <v>7</v>
      </c>
      <c r="C382" s="3" t="s">
        <v>415</v>
      </c>
      <c r="D382" s="29">
        <v>6592459.3499999996</v>
      </c>
      <c r="E382" s="26">
        <f t="shared" si="22"/>
        <v>185296.46</v>
      </c>
      <c r="F382" s="26">
        <f t="shared" si="23"/>
        <v>166766.81</v>
      </c>
      <c r="G382" s="26">
        <v>188133.52</v>
      </c>
      <c r="H382" s="26">
        <v>169320.17</v>
      </c>
      <c r="I382" s="26">
        <f t="shared" si="24"/>
        <v>15976.289999999979</v>
      </c>
      <c r="J382" s="28">
        <f t="shared" si="25"/>
        <v>-2553.3600000000151</v>
      </c>
    </row>
    <row r="383" spans="1:10" x14ac:dyDescent="0.2">
      <c r="A383">
        <v>4029</v>
      </c>
      <c r="B383">
        <v>7</v>
      </c>
      <c r="C383" s="3" t="s">
        <v>416</v>
      </c>
      <c r="D383" s="29">
        <v>3269847.99</v>
      </c>
      <c r="E383" s="26">
        <f t="shared" si="22"/>
        <v>91906.71</v>
      </c>
      <c r="F383" s="26">
        <f t="shared" si="23"/>
        <v>82716.039999999994</v>
      </c>
      <c r="G383" s="26">
        <v>100450.69</v>
      </c>
      <c r="H383" s="26">
        <v>90405.62</v>
      </c>
      <c r="I383" s="26">
        <f t="shared" si="24"/>
        <v>1501.0900000000111</v>
      </c>
      <c r="J383" s="28">
        <f t="shared" si="25"/>
        <v>-7689.5800000000017</v>
      </c>
    </row>
    <row r="384" spans="1:10" x14ac:dyDescent="0.2">
      <c r="A384">
        <v>4030</v>
      </c>
      <c r="B384">
        <v>7</v>
      </c>
      <c r="C384" s="3" t="s">
        <v>417</v>
      </c>
      <c r="D384" s="29">
        <v>2382093.4900000002</v>
      </c>
      <c r="E384" s="26">
        <f t="shared" si="22"/>
        <v>66954.3</v>
      </c>
      <c r="F384" s="26">
        <f t="shared" si="23"/>
        <v>60258.87</v>
      </c>
      <c r="G384" s="26">
        <v>74998.84</v>
      </c>
      <c r="H384" s="26">
        <v>67498.960000000006</v>
      </c>
      <c r="I384" s="26">
        <f t="shared" si="24"/>
        <v>-544.66000000000349</v>
      </c>
      <c r="J384" s="28">
        <f t="shared" si="25"/>
        <v>-7240.0900000000038</v>
      </c>
    </row>
    <row r="385" spans="1:10" x14ac:dyDescent="0.2">
      <c r="A385">
        <v>4031</v>
      </c>
      <c r="B385">
        <v>7</v>
      </c>
      <c r="C385" s="3" t="s">
        <v>418</v>
      </c>
      <c r="D385" s="29">
        <v>732688.39</v>
      </c>
      <c r="E385" s="26">
        <f t="shared" si="22"/>
        <v>20593.919999999998</v>
      </c>
      <c r="F385" s="26">
        <f t="shared" si="23"/>
        <v>18534.53</v>
      </c>
      <c r="G385" s="26">
        <v>22955.27</v>
      </c>
      <c r="H385" s="26">
        <v>20659.740000000002</v>
      </c>
      <c r="I385" s="26">
        <f t="shared" si="24"/>
        <v>-65.820000000003347</v>
      </c>
      <c r="J385" s="28">
        <f t="shared" si="25"/>
        <v>-2125.2100000000028</v>
      </c>
    </row>
    <row r="386" spans="1:10" x14ac:dyDescent="0.2">
      <c r="A386">
        <v>4032</v>
      </c>
      <c r="B386">
        <v>7</v>
      </c>
      <c r="C386" s="3" t="s">
        <v>419</v>
      </c>
      <c r="D386" s="29">
        <v>2954958.36</v>
      </c>
      <c r="E386" s="26">
        <f t="shared" si="22"/>
        <v>83056</v>
      </c>
      <c r="F386" s="26">
        <f t="shared" si="23"/>
        <v>74750.399999999994</v>
      </c>
      <c r="G386" s="26">
        <v>87168.79</v>
      </c>
      <c r="H386" s="26">
        <v>78451.91</v>
      </c>
      <c r="I386" s="26">
        <f t="shared" si="24"/>
        <v>4604.0899999999965</v>
      </c>
      <c r="J386" s="28">
        <f t="shared" si="25"/>
        <v>-3701.5100000000093</v>
      </c>
    </row>
    <row r="387" spans="1:10" x14ac:dyDescent="0.2">
      <c r="A387">
        <v>4035</v>
      </c>
      <c r="B387">
        <v>7</v>
      </c>
      <c r="C387" s="3" t="s">
        <v>420</v>
      </c>
      <c r="D387" s="29">
        <v>3612272.3400000003</v>
      </c>
      <c r="E387" s="26">
        <f t="shared" si="22"/>
        <v>101531.35</v>
      </c>
      <c r="F387" s="26">
        <f t="shared" si="23"/>
        <v>91378.22</v>
      </c>
      <c r="G387" s="26">
        <v>107039.75</v>
      </c>
      <c r="H387" s="26">
        <v>96335.78</v>
      </c>
      <c r="I387" s="26">
        <f t="shared" si="24"/>
        <v>5195.570000000007</v>
      </c>
      <c r="J387" s="28">
        <f t="shared" si="25"/>
        <v>-4957.5599999999977</v>
      </c>
    </row>
    <row r="388" spans="1:10" x14ac:dyDescent="0.2">
      <c r="A388">
        <v>4036</v>
      </c>
      <c r="B388">
        <v>7</v>
      </c>
      <c r="C388" s="3" t="s">
        <v>421</v>
      </c>
      <c r="D388" s="29">
        <v>768759.06</v>
      </c>
      <c r="E388" s="26">
        <f t="shared" si="22"/>
        <v>21607.77</v>
      </c>
      <c r="F388" s="26">
        <f t="shared" si="23"/>
        <v>19446.990000000002</v>
      </c>
      <c r="G388" s="26">
        <v>21398.65</v>
      </c>
      <c r="H388" s="26">
        <v>19258.79</v>
      </c>
      <c r="I388" s="26">
        <f t="shared" si="24"/>
        <v>2348.9799999999996</v>
      </c>
      <c r="J388" s="28">
        <f t="shared" si="25"/>
        <v>188.20000000000073</v>
      </c>
    </row>
    <row r="389" spans="1:10" x14ac:dyDescent="0.2">
      <c r="A389">
        <v>4038</v>
      </c>
      <c r="B389">
        <v>7</v>
      </c>
      <c r="C389" s="3" t="s">
        <v>422</v>
      </c>
      <c r="D389" s="29">
        <v>3426568.2399999998</v>
      </c>
      <c r="E389" s="26">
        <f t="shared" si="22"/>
        <v>96311.7</v>
      </c>
      <c r="F389" s="26">
        <f t="shared" si="23"/>
        <v>86680.53</v>
      </c>
      <c r="G389" s="26">
        <v>81967.59</v>
      </c>
      <c r="H389" s="26">
        <v>73770.83</v>
      </c>
      <c r="I389" s="26">
        <f t="shared" si="24"/>
        <v>22540.869999999995</v>
      </c>
      <c r="J389" s="28">
        <f t="shared" si="25"/>
        <v>12909.699999999997</v>
      </c>
    </row>
    <row r="390" spans="1:10" x14ac:dyDescent="0.2">
      <c r="A390">
        <v>4039</v>
      </c>
      <c r="B390">
        <v>7</v>
      </c>
      <c r="C390" s="3" t="s">
        <v>423</v>
      </c>
      <c r="D390" s="29">
        <v>2288965.98</v>
      </c>
      <c r="E390" s="26">
        <f t="shared" si="22"/>
        <v>64336.73</v>
      </c>
      <c r="F390" s="26">
        <f t="shared" si="23"/>
        <v>57903.06</v>
      </c>
      <c r="G390" s="26">
        <v>66310.37</v>
      </c>
      <c r="H390" s="26">
        <v>59679.33</v>
      </c>
      <c r="I390" s="26">
        <f t="shared" si="24"/>
        <v>4657.4000000000015</v>
      </c>
      <c r="J390" s="28">
        <f t="shared" si="25"/>
        <v>-1776.2700000000041</v>
      </c>
    </row>
    <row r="391" spans="1:10" x14ac:dyDescent="0.2">
      <c r="A391">
        <v>4042</v>
      </c>
      <c r="B391">
        <v>7</v>
      </c>
      <c r="C391" s="3" t="s">
        <v>424</v>
      </c>
      <c r="D391" s="29">
        <v>1361416.8199999998</v>
      </c>
      <c r="E391" s="26">
        <f t="shared" si="22"/>
        <v>38265.800000000003</v>
      </c>
      <c r="F391" s="26">
        <f t="shared" si="23"/>
        <v>34439.22</v>
      </c>
      <c r="G391" s="26">
        <v>38299.599999999999</v>
      </c>
      <c r="H391" s="26">
        <v>34469.64</v>
      </c>
      <c r="I391" s="26">
        <f t="shared" si="24"/>
        <v>3796.1600000000035</v>
      </c>
      <c r="J391" s="28">
        <f t="shared" si="25"/>
        <v>-30.419999999998254</v>
      </c>
    </row>
    <row r="392" spans="1:10" x14ac:dyDescent="0.2">
      <c r="A392">
        <v>4043</v>
      </c>
      <c r="B392">
        <v>7</v>
      </c>
      <c r="C392" s="3" t="s">
        <v>425</v>
      </c>
      <c r="D392" s="29">
        <v>2293323.0700000003</v>
      </c>
      <c r="E392" s="26">
        <f t="shared" si="22"/>
        <v>64459.199999999997</v>
      </c>
      <c r="F392" s="26">
        <f t="shared" si="23"/>
        <v>58013.279999999999</v>
      </c>
      <c r="G392" s="26">
        <v>64307.12</v>
      </c>
      <c r="H392" s="26">
        <v>57876.41</v>
      </c>
      <c r="I392" s="26">
        <f t="shared" si="24"/>
        <v>6582.7899999999936</v>
      </c>
      <c r="J392" s="28">
        <f t="shared" si="25"/>
        <v>136.86999999999534</v>
      </c>
    </row>
    <row r="393" spans="1:10" x14ac:dyDescent="0.2">
      <c r="A393">
        <v>4045</v>
      </c>
      <c r="B393">
        <v>7</v>
      </c>
      <c r="C393" s="3" t="s">
        <v>426</v>
      </c>
      <c r="D393" s="29">
        <v>529509.57000000007</v>
      </c>
      <c r="E393" s="26">
        <f t="shared" si="22"/>
        <v>14883.1</v>
      </c>
      <c r="F393" s="26">
        <f t="shared" si="23"/>
        <v>13394.79</v>
      </c>
      <c r="G393" s="26">
        <v>17352.32</v>
      </c>
      <c r="H393" s="26">
        <v>15617.09</v>
      </c>
      <c r="I393" s="26">
        <f t="shared" si="24"/>
        <v>-733.98999999999978</v>
      </c>
      <c r="J393" s="28">
        <f t="shared" si="25"/>
        <v>-2222.2999999999993</v>
      </c>
    </row>
    <row r="394" spans="1:10" x14ac:dyDescent="0.2">
      <c r="A394" s="36">
        <v>4046</v>
      </c>
      <c r="B394" s="36">
        <v>7</v>
      </c>
      <c r="C394" s="37" t="s">
        <v>427</v>
      </c>
      <c r="D394" s="38">
        <v>618958.96000000008</v>
      </c>
      <c r="E394" s="33">
        <f>G394</f>
        <v>25018.73</v>
      </c>
      <c r="F394" s="33">
        <f t="shared" si="23"/>
        <v>22516.86</v>
      </c>
      <c r="G394" s="33">
        <v>25018.73</v>
      </c>
      <c r="H394" s="33">
        <v>22516.86</v>
      </c>
      <c r="I394" s="33">
        <f t="shared" si="24"/>
        <v>2501.869999999999</v>
      </c>
      <c r="J394" s="39">
        <f t="shared" si="25"/>
        <v>0</v>
      </c>
    </row>
    <row r="395" spans="1:10" x14ac:dyDescent="0.2">
      <c r="A395" s="40">
        <v>4048</v>
      </c>
      <c r="B395" s="40">
        <v>7</v>
      </c>
      <c r="C395" s="41" t="s">
        <v>428</v>
      </c>
      <c r="D395" s="38">
        <v>233685.58000000002</v>
      </c>
      <c r="E395" s="33">
        <f>G395</f>
        <v>8219.1200000000008</v>
      </c>
      <c r="F395" s="33">
        <f t="shared" si="23"/>
        <v>7397.21</v>
      </c>
      <c r="G395" s="33">
        <v>8219.1200000000008</v>
      </c>
      <c r="H395" s="33">
        <v>7397.21</v>
      </c>
      <c r="I395" s="33">
        <f t="shared" si="24"/>
        <v>821.91000000000076</v>
      </c>
      <c r="J395" s="39">
        <f t="shared" si="25"/>
        <v>0</v>
      </c>
    </row>
    <row r="396" spans="1:10" x14ac:dyDescent="0.2">
      <c r="A396">
        <v>4049</v>
      </c>
      <c r="B396">
        <v>7</v>
      </c>
      <c r="C396" s="3" t="s">
        <v>429</v>
      </c>
      <c r="D396" s="29">
        <v>1640189.66</v>
      </c>
      <c r="E396" s="26">
        <f t="shared" ref="E396:E405" si="26">ROUND(D396*$D$548,2)</f>
        <v>46101.36</v>
      </c>
      <c r="F396" s="26">
        <f t="shared" si="23"/>
        <v>41491.22</v>
      </c>
      <c r="G396" s="26">
        <v>53998.94</v>
      </c>
      <c r="H396" s="26">
        <v>48599.05</v>
      </c>
      <c r="I396" s="26">
        <f t="shared" si="24"/>
        <v>-2497.6900000000023</v>
      </c>
      <c r="J396" s="28">
        <f t="shared" si="25"/>
        <v>-7107.8300000000017</v>
      </c>
    </row>
    <row r="397" spans="1:10" x14ac:dyDescent="0.2">
      <c r="A397">
        <v>4050</v>
      </c>
      <c r="B397">
        <v>7</v>
      </c>
      <c r="C397" s="3" t="s">
        <v>430</v>
      </c>
      <c r="D397" s="29">
        <v>593364.4</v>
      </c>
      <c r="E397" s="26">
        <f t="shared" si="26"/>
        <v>16677.89</v>
      </c>
      <c r="F397" s="26">
        <f t="shared" si="23"/>
        <v>15010.1</v>
      </c>
      <c r="G397" s="26">
        <v>17609.41</v>
      </c>
      <c r="H397" s="26">
        <v>15848.47</v>
      </c>
      <c r="I397" s="26">
        <f t="shared" si="24"/>
        <v>829.42000000000007</v>
      </c>
      <c r="J397" s="28">
        <f t="shared" si="25"/>
        <v>-838.36999999999898</v>
      </c>
    </row>
    <row r="398" spans="1:10" x14ac:dyDescent="0.2">
      <c r="A398">
        <v>4052</v>
      </c>
      <c r="B398">
        <v>7</v>
      </c>
      <c r="C398" s="3" t="s">
        <v>431</v>
      </c>
      <c r="D398" s="29">
        <v>1124115.53</v>
      </c>
      <c r="E398" s="26">
        <f t="shared" si="26"/>
        <v>31595.89</v>
      </c>
      <c r="F398" s="26">
        <f t="shared" si="23"/>
        <v>28436.3</v>
      </c>
      <c r="G398" s="26">
        <v>31842.93</v>
      </c>
      <c r="H398" s="26">
        <v>28658.639999999999</v>
      </c>
      <c r="I398" s="26">
        <f t="shared" si="24"/>
        <v>2937.25</v>
      </c>
      <c r="J398" s="28">
        <f t="shared" si="25"/>
        <v>-222.34000000000015</v>
      </c>
    </row>
    <row r="399" spans="1:10" x14ac:dyDescent="0.2">
      <c r="A399">
        <v>4053</v>
      </c>
      <c r="B399">
        <v>7</v>
      </c>
      <c r="C399" s="3" t="s">
        <v>432</v>
      </c>
      <c r="D399" s="29">
        <v>2378786.3600000003</v>
      </c>
      <c r="E399" s="26">
        <f t="shared" si="26"/>
        <v>66861.34</v>
      </c>
      <c r="F399" s="26">
        <f t="shared" si="23"/>
        <v>60175.21</v>
      </c>
      <c r="G399" s="26">
        <v>68603.56</v>
      </c>
      <c r="H399" s="26">
        <v>61743.199999999997</v>
      </c>
      <c r="I399" s="26">
        <f t="shared" si="24"/>
        <v>5118.1399999999994</v>
      </c>
      <c r="J399" s="28">
        <f t="shared" si="25"/>
        <v>-1567.989999999998</v>
      </c>
    </row>
    <row r="400" spans="1:10" x14ac:dyDescent="0.2">
      <c r="A400">
        <v>4054</v>
      </c>
      <c r="B400">
        <v>7</v>
      </c>
      <c r="C400" s="3" t="s">
        <v>433</v>
      </c>
      <c r="D400" s="29">
        <v>244373.86000000002</v>
      </c>
      <c r="E400" s="26">
        <f t="shared" si="26"/>
        <v>6868.7</v>
      </c>
      <c r="F400" s="26">
        <f t="shared" ref="F400:F463" si="27">ROUND(E400*0.9,2)</f>
        <v>6181.83</v>
      </c>
      <c r="G400" s="26">
        <v>7992.38</v>
      </c>
      <c r="H400" s="26">
        <v>7193.14</v>
      </c>
      <c r="I400" s="26">
        <f t="shared" ref="I400:I463" si="28">E400-H400</f>
        <v>-324.44000000000051</v>
      </c>
      <c r="J400" s="28">
        <f t="shared" ref="J400:J463" si="29">F400-H400</f>
        <v>-1011.3100000000004</v>
      </c>
    </row>
    <row r="401" spans="1:10" x14ac:dyDescent="0.2">
      <c r="A401">
        <v>4055</v>
      </c>
      <c r="B401">
        <v>7</v>
      </c>
      <c r="C401" s="3" t="s">
        <v>434</v>
      </c>
      <c r="D401" s="29">
        <v>955373.01</v>
      </c>
      <c r="E401" s="26">
        <f t="shared" si="26"/>
        <v>26852.99</v>
      </c>
      <c r="F401" s="26">
        <f t="shared" si="27"/>
        <v>24167.69</v>
      </c>
      <c r="G401" s="26">
        <v>27616.14</v>
      </c>
      <c r="H401" s="26">
        <v>24854.53</v>
      </c>
      <c r="I401" s="26">
        <f t="shared" si="28"/>
        <v>1998.4600000000028</v>
      </c>
      <c r="J401" s="28">
        <f t="shared" si="29"/>
        <v>-686.84000000000015</v>
      </c>
    </row>
    <row r="402" spans="1:10" x14ac:dyDescent="0.2">
      <c r="A402">
        <v>4056</v>
      </c>
      <c r="B402">
        <v>7</v>
      </c>
      <c r="C402" s="3" t="s">
        <v>435</v>
      </c>
      <c r="D402" s="29">
        <v>1129624.81</v>
      </c>
      <c r="E402" s="26">
        <f t="shared" si="26"/>
        <v>31750.74</v>
      </c>
      <c r="F402" s="26">
        <f t="shared" si="27"/>
        <v>28575.67</v>
      </c>
      <c r="G402" s="26">
        <v>32832.92</v>
      </c>
      <c r="H402" s="26">
        <v>29549.63</v>
      </c>
      <c r="I402" s="26">
        <f t="shared" si="28"/>
        <v>2201.1100000000006</v>
      </c>
      <c r="J402" s="28">
        <f t="shared" si="29"/>
        <v>-973.96000000000276</v>
      </c>
    </row>
    <row r="403" spans="1:10" x14ac:dyDescent="0.2">
      <c r="A403">
        <v>4057</v>
      </c>
      <c r="B403">
        <v>7</v>
      </c>
      <c r="C403" s="3" t="s">
        <v>436</v>
      </c>
      <c r="D403" s="29">
        <v>905260.69</v>
      </c>
      <c r="E403" s="26">
        <f t="shared" si="26"/>
        <v>25444.47</v>
      </c>
      <c r="F403" s="26">
        <f t="shared" si="27"/>
        <v>22900.02</v>
      </c>
      <c r="G403" s="26">
        <v>30915.21</v>
      </c>
      <c r="H403" s="26">
        <v>27823.69</v>
      </c>
      <c r="I403" s="26">
        <f t="shared" si="28"/>
        <v>-2379.2199999999975</v>
      </c>
      <c r="J403" s="28">
        <f t="shared" si="29"/>
        <v>-4923.6699999999983</v>
      </c>
    </row>
    <row r="404" spans="1:10" x14ac:dyDescent="0.2">
      <c r="A404">
        <v>4058</v>
      </c>
      <c r="B404">
        <v>7</v>
      </c>
      <c r="C404" s="3" t="s">
        <v>437</v>
      </c>
      <c r="D404" s="29">
        <v>1472257.3199999998</v>
      </c>
      <c r="E404" s="26">
        <f t="shared" si="26"/>
        <v>41381.230000000003</v>
      </c>
      <c r="F404" s="26">
        <f t="shared" si="27"/>
        <v>37243.11</v>
      </c>
      <c r="G404" s="26">
        <v>40063.199999999997</v>
      </c>
      <c r="H404" s="26">
        <v>36056.879999999997</v>
      </c>
      <c r="I404" s="26">
        <f t="shared" si="28"/>
        <v>5324.3500000000058</v>
      </c>
      <c r="J404" s="28">
        <f t="shared" si="29"/>
        <v>1186.2300000000032</v>
      </c>
    </row>
    <row r="405" spans="1:10" x14ac:dyDescent="0.2">
      <c r="A405">
        <v>4059</v>
      </c>
      <c r="B405">
        <v>7</v>
      </c>
      <c r="C405" s="3" t="s">
        <v>438</v>
      </c>
      <c r="D405" s="29">
        <v>1039966.28</v>
      </c>
      <c r="E405" s="26">
        <f t="shared" si="26"/>
        <v>29230.68</v>
      </c>
      <c r="F405" s="26">
        <f t="shared" si="27"/>
        <v>26307.61</v>
      </c>
      <c r="G405" s="26">
        <v>30797.65</v>
      </c>
      <c r="H405" s="26">
        <v>27717.89</v>
      </c>
      <c r="I405" s="26">
        <f t="shared" si="28"/>
        <v>1512.7900000000009</v>
      </c>
      <c r="J405" s="28">
        <f t="shared" si="29"/>
        <v>-1410.2799999999988</v>
      </c>
    </row>
    <row r="406" spans="1:10" x14ac:dyDescent="0.2">
      <c r="A406" s="36">
        <v>4061</v>
      </c>
      <c r="B406" s="36">
        <v>7</v>
      </c>
      <c r="C406" s="37" t="s">
        <v>439</v>
      </c>
      <c r="D406" s="38">
        <v>706872.89</v>
      </c>
      <c r="E406" s="33">
        <f>G406</f>
        <v>20424.46</v>
      </c>
      <c r="F406" s="33">
        <f t="shared" si="27"/>
        <v>18382.009999999998</v>
      </c>
      <c r="G406" s="33">
        <v>20424.46</v>
      </c>
      <c r="H406" s="33">
        <v>18382.009999999998</v>
      </c>
      <c r="I406" s="33">
        <f t="shared" si="28"/>
        <v>2042.4500000000007</v>
      </c>
      <c r="J406" s="39">
        <f t="shared" si="29"/>
        <v>0</v>
      </c>
    </row>
    <row r="407" spans="1:10" x14ac:dyDescent="0.2">
      <c r="A407">
        <v>4064</v>
      </c>
      <c r="B407">
        <v>7</v>
      </c>
      <c r="C407" s="3" t="s">
        <v>440</v>
      </c>
      <c r="D407" s="29">
        <v>909958.41</v>
      </c>
      <c r="E407" s="26">
        <f t="shared" ref="E407:E434" si="30">ROUND(D407*$D$548,2)</f>
        <v>25576.51</v>
      </c>
      <c r="F407" s="26">
        <f t="shared" si="27"/>
        <v>23018.86</v>
      </c>
      <c r="G407" s="26">
        <v>26706.36</v>
      </c>
      <c r="H407" s="26">
        <v>24035.72</v>
      </c>
      <c r="I407" s="26">
        <f t="shared" si="28"/>
        <v>1540.7899999999972</v>
      </c>
      <c r="J407" s="28">
        <f t="shared" si="29"/>
        <v>-1016.8600000000006</v>
      </c>
    </row>
    <row r="408" spans="1:10" x14ac:dyDescent="0.2">
      <c r="A408">
        <v>4066</v>
      </c>
      <c r="B408">
        <v>7</v>
      </c>
      <c r="C408" s="3" t="s">
        <v>441</v>
      </c>
      <c r="D408" s="29">
        <v>627918.71</v>
      </c>
      <c r="E408" s="26">
        <f t="shared" si="30"/>
        <v>17649.12</v>
      </c>
      <c r="F408" s="26">
        <f t="shared" si="27"/>
        <v>15884.21</v>
      </c>
      <c r="G408" s="26">
        <v>22345.9</v>
      </c>
      <c r="H408" s="26">
        <v>20111.310000000001</v>
      </c>
      <c r="I408" s="26">
        <f t="shared" si="28"/>
        <v>-2462.1900000000023</v>
      </c>
      <c r="J408" s="28">
        <f t="shared" si="29"/>
        <v>-4227.1000000000022</v>
      </c>
    </row>
    <row r="409" spans="1:10" x14ac:dyDescent="0.2">
      <c r="A409">
        <v>4067</v>
      </c>
      <c r="B409">
        <v>7</v>
      </c>
      <c r="C409" s="3" t="s">
        <v>442</v>
      </c>
      <c r="D409" s="29">
        <v>2832628.3</v>
      </c>
      <c r="E409" s="26">
        <f t="shared" si="30"/>
        <v>79617.63</v>
      </c>
      <c r="F409" s="26">
        <f t="shared" si="27"/>
        <v>71655.87</v>
      </c>
      <c r="G409" s="26">
        <v>89417.11</v>
      </c>
      <c r="H409" s="26">
        <v>80475.399999999994</v>
      </c>
      <c r="I409" s="26">
        <f t="shared" si="28"/>
        <v>-857.76999999998952</v>
      </c>
      <c r="J409" s="28">
        <f t="shared" si="29"/>
        <v>-8819.5299999999988</v>
      </c>
    </row>
    <row r="410" spans="1:10" x14ac:dyDescent="0.2">
      <c r="A410">
        <v>4068</v>
      </c>
      <c r="B410">
        <v>7</v>
      </c>
      <c r="C410" s="3" t="s">
        <v>443</v>
      </c>
      <c r="D410" s="29">
        <v>3925525.94</v>
      </c>
      <c r="E410" s="26">
        <f t="shared" si="30"/>
        <v>110336.07</v>
      </c>
      <c r="F410" s="26">
        <f t="shared" si="27"/>
        <v>99302.46</v>
      </c>
      <c r="G410" s="26">
        <v>126818.14</v>
      </c>
      <c r="H410" s="26">
        <v>114136.33</v>
      </c>
      <c r="I410" s="26">
        <f t="shared" si="28"/>
        <v>-3800.2599999999948</v>
      </c>
      <c r="J410" s="28">
        <f t="shared" si="29"/>
        <v>-14833.869999999995</v>
      </c>
    </row>
    <row r="411" spans="1:10" x14ac:dyDescent="0.2">
      <c r="A411">
        <v>4070</v>
      </c>
      <c r="B411">
        <v>7</v>
      </c>
      <c r="C411" s="3" t="s">
        <v>444</v>
      </c>
      <c r="D411" s="29">
        <v>4371700.93</v>
      </c>
      <c r="E411" s="26">
        <f t="shared" si="30"/>
        <v>122876.86</v>
      </c>
      <c r="F411" s="26">
        <f t="shared" si="27"/>
        <v>110589.17</v>
      </c>
      <c r="G411" s="26">
        <v>112808.56</v>
      </c>
      <c r="H411" s="26">
        <v>101527.7</v>
      </c>
      <c r="I411" s="26">
        <f t="shared" si="28"/>
        <v>21349.160000000003</v>
      </c>
      <c r="J411" s="28">
        <f t="shared" si="29"/>
        <v>9061.4700000000012</v>
      </c>
    </row>
    <row r="412" spans="1:10" x14ac:dyDescent="0.2">
      <c r="A412">
        <v>4073</v>
      </c>
      <c r="B412">
        <v>7</v>
      </c>
      <c r="C412" s="3" t="s">
        <v>445</v>
      </c>
      <c r="D412" s="29">
        <v>3220061.34</v>
      </c>
      <c r="E412" s="26">
        <f t="shared" si="30"/>
        <v>90507.34</v>
      </c>
      <c r="F412" s="26">
        <f t="shared" si="27"/>
        <v>81456.61</v>
      </c>
      <c r="G412" s="26">
        <v>83284.009999999995</v>
      </c>
      <c r="H412" s="26">
        <v>74955.61</v>
      </c>
      <c r="I412" s="26">
        <f t="shared" si="28"/>
        <v>15551.729999999996</v>
      </c>
      <c r="J412" s="28">
        <f t="shared" si="29"/>
        <v>6501</v>
      </c>
    </row>
    <row r="413" spans="1:10" x14ac:dyDescent="0.2">
      <c r="A413">
        <v>4074</v>
      </c>
      <c r="B413">
        <v>7</v>
      </c>
      <c r="C413" s="3" t="s">
        <v>446</v>
      </c>
      <c r="D413" s="29">
        <v>2149115.2999999998</v>
      </c>
      <c r="E413" s="26">
        <f t="shared" si="30"/>
        <v>60405.9</v>
      </c>
      <c r="F413" s="26">
        <f t="shared" si="27"/>
        <v>54365.31</v>
      </c>
      <c r="G413" s="26">
        <v>61472.6</v>
      </c>
      <c r="H413" s="26">
        <v>55325.34</v>
      </c>
      <c r="I413" s="26">
        <f t="shared" si="28"/>
        <v>5080.5600000000049</v>
      </c>
      <c r="J413" s="28">
        <f t="shared" si="29"/>
        <v>-960.02999999999884</v>
      </c>
    </row>
    <row r="414" spans="1:10" x14ac:dyDescent="0.2">
      <c r="A414">
        <v>4075</v>
      </c>
      <c r="B414">
        <v>7</v>
      </c>
      <c r="C414" s="3" t="s">
        <v>447</v>
      </c>
      <c r="D414" s="29">
        <v>1622200.48</v>
      </c>
      <c r="E414" s="26">
        <f t="shared" si="30"/>
        <v>45595.73</v>
      </c>
      <c r="F414" s="26">
        <f t="shared" si="27"/>
        <v>41036.160000000003</v>
      </c>
      <c r="G414" s="26">
        <v>44058.48</v>
      </c>
      <c r="H414" s="26">
        <v>39652.629999999997</v>
      </c>
      <c r="I414" s="26">
        <f t="shared" si="28"/>
        <v>5943.1000000000058</v>
      </c>
      <c r="J414" s="28">
        <f t="shared" si="29"/>
        <v>1383.5300000000061</v>
      </c>
    </row>
    <row r="415" spans="1:10" x14ac:dyDescent="0.2">
      <c r="A415">
        <v>4077</v>
      </c>
      <c r="B415">
        <v>7</v>
      </c>
      <c r="C415" s="3" t="s">
        <v>448</v>
      </c>
      <c r="D415" s="29">
        <v>5654733</v>
      </c>
      <c r="E415" s="26">
        <f t="shared" si="30"/>
        <v>158939.47</v>
      </c>
      <c r="F415" s="26">
        <f t="shared" si="27"/>
        <v>143045.51999999999</v>
      </c>
      <c r="G415" s="26">
        <v>160654</v>
      </c>
      <c r="H415" s="26">
        <v>144588.6</v>
      </c>
      <c r="I415" s="26">
        <f t="shared" si="28"/>
        <v>14350.869999999995</v>
      </c>
      <c r="J415" s="28">
        <f t="shared" si="29"/>
        <v>-1543.0800000000163</v>
      </c>
    </row>
    <row r="416" spans="1:10" x14ac:dyDescent="0.2">
      <c r="A416">
        <v>4078</v>
      </c>
      <c r="B416">
        <v>7</v>
      </c>
      <c r="C416" s="3" t="s">
        <v>449</v>
      </c>
      <c r="D416" s="29">
        <v>3474429.24</v>
      </c>
      <c r="E416" s="26">
        <f t="shared" si="30"/>
        <v>97656.95</v>
      </c>
      <c r="F416" s="26">
        <f t="shared" si="27"/>
        <v>87891.26</v>
      </c>
      <c r="G416" s="26">
        <v>105420.76</v>
      </c>
      <c r="H416" s="26">
        <v>94878.68</v>
      </c>
      <c r="I416" s="26">
        <f t="shared" si="28"/>
        <v>2778.2700000000041</v>
      </c>
      <c r="J416" s="28">
        <f t="shared" si="29"/>
        <v>-6987.4199999999983</v>
      </c>
    </row>
    <row r="417" spans="1:10" x14ac:dyDescent="0.2">
      <c r="A417">
        <v>4079</v>
      </c>
      <c r="B417">
        <v>7</v>
      </c>
      <c r="C417" s="3" t="s">
        <v>450</v>
      </c>
      <c r="D417" s="29">
        <v>957714.19</v>
      </c>
      <c r="E417" s="26">
        <f t="shared" si="30"/>
        <v>26918.79</v>
      </c>
      <c r="F417" s="26">
        <f t="shared" si="27"/>
        <v>24226.91</v>
      </c>
      <c r="G417" s="26">
        <v>29033.55</v>
      </c>
      <c r="H417" s="26">
        <v>26130.2</v>
      </c>
      <c r="I417" s="26">
        <f t="shared" si="28"/>
        <v>788.59000000000015</v>
      </c>
      <c r="J417" s="28">
        <f t="shared" si="29"/>
        <v>-1903.2900000000009</v>
      </c>
    </row>
    <row r="418" spans="1:10" x14ac:dyDescent="0.2">
      <c r="A418">
        <v>4080</v>
      </c>
      <c r="B418">
        <v>7</v>
      </c>
      <c r="C418" s="3" t="s">
        <v>451</v>
      </c>
      <c r="D418" s="29">
        <v>518871.34</v>
      </c>
      <c r="E418" s="26">
        <f t="shared" si="30"/>
        <v>14584.09</v>
      </c>
      <c r="F418" s="26">
        <f t="shared" si="27"/>
        <v>13125.68</v>
      </c>
      <c r="G418" s="26">
        <v>15463.09</v>
      </c>
      <c r="H418" s="26">
        <v>13916.78</v>
      </c>
      <c r="I418" s="26">
        <f t="shared" si="28"/>
        <v>667.30999999999949</v>
      </c>
      <c r="J418" s="28">
        <f t="shared" si="29"/>
        <v>-791.10000000000036</v>
      </c>
    </row>
    <row r="419" spans="1:10" x14ac:dyDescent="0.2">
      <c r="A419">
        <v>4081</v>
      </c>
      <c r="B419">
        <v>7</v>
      </c>
      <c r="C419" s="3" t="s">
        <v>452</v>
      </c>
      <c r="D419" s="29">
        <v>652790.3600000001</v>
      </c>
      <c r="E419" s="26">
        <f t="shared" si="30"/>
        <v>18348.2</v>
      </c>
      <c r="F419" s="26">
        <f t="shared" si="27"/>
        <v>16513.38</v>
      </c>
      <c r="G419" s="26">
        <v>15273.25</v>
      </c>
      <c r="H419" s="26">
        <v>13745.93</v>
      </c>
      <c r="I419" s="26">
        <f t="shared" si="28"/>
        <v>4602.2700000000004</v>
      </c>
      <c r="J419" s="28">
        <f t="shared" si="29"/>
        <v>2767.4500000000007</v>
      </c>
    </row>
    <row r="420" spans="1:10" x14ac:dyDescent="0.2">
      <c r="A420" s="40">
        <v>4082</v>
      </c>
      <c r="B420" s="40">
        <v>7</v>
      </c>
      <c r="C420" s="41" t="s">
        <v>453</v>
      </c>
      <c r="D420" s="38">
        <v>5148665.47</v>
      </c>
      <c r="E420" s="33">
        <f t="shared" si="30"/>
        <v>144715.26</v>
      </c>
      <c r="F420" s="33">
        <f t="shared" si="27"/>
        <v>130243.73</v>
      </c>
      <c r="G420" s="33">
        <v>165024.03</v>
      </c>
      <c r="H420" s="33">
        <v>148521.63</v>
      </c>
      <c r="I420" s="33">
        <f t="shared" si="28"/>
        <v>-3806.3699999999953</v>
      </c>
      <c r="J420" s="39">
        <f t="shared" si="29"/>
        <v>-18277.900000000009</v>
      </c>
    </row>
    <row r="421" spans="1:10" x14ac:dyDescent="0.2">
      <c r="A421">
        <v>4083</v>
      </c>
      <c r="B421">
        <v>7</v>
      </c>
      <c r="C421" s="3" t="s">
        <v>454</v>
      </c>
      <c r="D421" s="29">
        <v>567079.78</v>
      </c>
      <c r="E421" s="26">
        <f t="shared" si="30"/>
        <v>15939.1</v>
      </c>
      <c r="F421" s="26">
        <f t="shared" si="27"/>
        <v>14345.19</v>
      </c>
      <c r="G421" s="26">
        <v>14876.31</v>
      </c>
      <c r="H421" s="26">
        <v>13388.68</v>
      </c>
      <c r="I421" s="26">
        <f t="shared" si="28"/>
        <v>2550.42</v>
      </c>
      <c r="J421" s="28">
        <f t="shared" si="29"/>
        <v>956.51000000000022</v>
      </c>
    </row>
    <row r="422" spans="1:10" x14ac:dyDescent="0.2">
      <c r="A422">
        <v>4084</v>
      </c>
      <c r="B422">
        <v>7</v>
      </c>
      <c r="C422" s="3" t="s">
        <v>455</v>
      </c>
      <c r="D422" s="29">
        <v>2396930.96</v>
      </c>
      <c r="E422" s="26">
        <f t="shared" si="30"/>
        <v>67371.34</v>
      </c>
      <c r="F422" s="26">
        <f t="shared" si="27"/>
        <v>60634.21</v>
      </c>
      <c r="G422" s="26">
        <v>67167.240000000005</v>
      </c>
      <c r="H422" s="26">
        <v>60450.52</v>
      </c>
      <c r="I422" s="26">
        <f t="shared" si="28"/>
        <v>6920.82</v>
      </c>
      <c r="J422" s="28">
        <f t="shared" si="29"/>
        <v>183.69000000000233</v>
      </c>
    </row>
    <row r="423" spans="1:10" x14ac:dyDescent="0.2">
      <c r="A423">
        <v>4085</v>
      </c>
      <c r="B423">
        <v>7</v>
      </c>
      <c r="C423" s="3" t="s">
        <v>456</v>
      </c>
      <c r="D423" s="29">
        <v>1820474.8900000001</v>
      </c>
      <c r="E423" s="26">
        <f t="shared" si="30"/>
        <v>51168.7</v>
      </c>
      <c r="F423" s="26">
        <f t="shared" si="27"/>
        <v>46051.83</v>
      </c>
      <c r="G423" s="26">
        <v>51261.03</v>
      </c>
      <c r="H423" s="26">
        <v>46134.93</v>
      </c>
      <c r="I423" s="26">
        <f t="shared" si="28"/>
        <v>5033.7699999999968</v>
      </c>
      <c r="J423" s="28">
        <f t="shared" si="29"/>
        <v>-83.099999999998545</v>
      </c>
    </row>
    <row r="424" spans="1:10" x14ac:dyDescent="0.2">
      <c r="A424">
        <v>4086</v>
      </c>
      <c r="B424">
        <v>7</v>
      </c>
      <c r="C424" s="3" t="s">
        <v>457</v>
      </c>
      <c r="D424" s="29">
        <v>3042398.12</v>
      </c>
      <c r="E424" s="26">
        <f t="shared" si="30"/>
        <v>85513.7</v>
      </c>
      <c r="F424" s="26">
        <f t="shared" si="27"/>
        <v>76962.33</v>
      </c>
      <c r="G424" s="26">
        <v>98440.59</v>
      </c>
      <c r="H424" s="26">
        <v>88596.53</v>
      </c>
      <c r="I424" s="26">
        <f t="shared" si="28"/>
        <v>-3082.8300000000017</v>
      </c>
      <c r="J424" s="28">
        <f t="shared" si="29"/>
        <v>-11634.199999999997</v>
      </c>
    </row>
    <row r="425" spans="1:10" x14ac:dyDescent="0.2">
      <c r="A425" s="40">
        <v>4087</v>
      </c>
      <c r="B425" s="40">
        <v>7</v>
      </c>
      <c r="C425" s="41" t="s">
        <v>458</v>
      </c>
      <c r="D425" s="42">
        <v>874100.03</v>
      </c>
      <c r="E425" s="43">
        <f t="shared" si="30"/>
        <v>24568.62</v>
      </c>
      <c r="F425" s="43">
        <f t="shared" si="27"/>
        <v>22111.759999999998</v>
      </c>
      <c r="G425" s="43">
        <v>25432.32</v>
      </c>
      <c r="H425" s="43">
        <v>22889.09</v>
      </c>
      <c r="I425" s="43">
        <f t="shared" si="28"/>
        <v>1679.5299999999988</v>
      </c>
      <c r="J425" s="44">
        <f t="shared" si="29"/>
        <v>-777.33000000000175</v>
      </c>
    </row>
    <row r="426" spans="1:10" x14ac:dyDescent="0.2">
      <c r="A426">
        <v>4088</v>
      </c>
      <c r="B426">
        <v>7</v>
      </c>
      <c r="C426" s="3" t="s">
        <v>459</v>
      </c>
      <c r="D426" s="29">
        <v>2466564.9500000002</v>
      </c>
      <c r="E426" s="26">
        <f t="shared" si="30"/>
        <v>69328.570000000007</v>
      </c>
      <c r="F426" s="26">
        <f t="shared" si="27"/>
        <v>62395.71</v>
      </c>
      <c r="G426" s="26">
        <v>69335.460000000006</v>
      </c>
      <c r="H426" s="26">
        <v>62401.91</v>
      </c>
      <c r="I426" s="26">
        <f t="shared" si="28"/>
        <v>6926.6600000000035</v>
      </c>
      <c r="J426" s="28">
        <f t="shared" si="29"/>
        <v>-6.2000000000043656</v>
      </c>
    </row>
    <row r="427" spans="1:10" x14ac:dyDescent="0.2">
      <c r="A427">
        <v>4089</v>
      </c>
      <c r="B427">
        <v>7</v>
      </c>
      <c r="C427" s="3" t="s">
        <v>460</v>
      </c>
      <c r="D427" s="29">
        <v>879529.05999999994</v>
      </c>
      <c r="E427" s="26">
        <f t="shared" si="30"/>
        <v>24721.22</v>
      </c>
      <c r="F427" s="26">
        <f t="shared" si="27"/>
        <v>22249.1</v>
      </c>
      <c r="G427" s="26">
        <v>23439.41</v>
      </c>
      <c r="H427" s="26">
        <v>21095.47</v>
      </c>
      <c r="I427" s="26">
        <f t="shared" si="28"/>
        <v>3625.75</v>
      </c>
      <c r="J427" s="28">
        <f t="shared" si="29"/>
        <v>1153.6299999999974</v>
      </c>
    </row>
    <row r="428" spans="1:10" x14ac:dyDescent="0.2">
      <c r="A428">
        <v>4090</v>
      </c>
      <c r="B428">
        <v>7</v>
      </c>
      <c r="C428" s="3" t="s">
        <v>461</v>
      </c>
      <c r="D428" s="29">
        <v>1156721.75</v>
      </c>
      <c r="E428" s="26">
        <f t="shared" si="30"/>
        <v>32512.37</v>
      </c>
      <c r="F428" s="26">
        <f t="shared" si="27"/>
        <v>29261.13</v>
      </c>
      <c r="G428" s="26">
        <v>31219.54</v>
      </c>
      <c r="H428" s="26">
        <v>28097.59</v>
      </c>
      <c r="I428" s="26">
        <f t="shared" si="28"/>
        <v>4414.7799999999988</v>
      </c>
      <c r="J428" s="28">
        <f t="shared" si="29"/>
        <v>1163.5400000000009</v>
      </c>
    </row>
    <row r="429" spans="1:10" x14ac:dyDescent="0.2">
      <c r="A429">
        <v>4091</v>
      </c>
      <c r="B429">
        <v>7</v>
      </c>
      <c r="C429" s="3" t="s">
        <v>462</v>
      </c>
      <c r="D429" s="29">
        <v>1109938.26</v>
      </c>
      <c r="E429" s="26">
        <f t="shared" si="30"/>
        <v>31197.41</v>
      </c>
      <c r="F429" s="26">
        <f t="shared" si="27"/>
        <v>28077.67</v>
      </c>
      <c r="G429" s="26">
        <v>32210.080000000002</v>
      </c>
      <c r="H429" s="26">
        <v>28989.07</v>
      </c>
      <c r="I429" s="26">
        <f t="shared" si="28"/>
        <v>2208.34</v>
      </c>
      <c r="J429" s="28">
        <f t="shared" si="29"/>
        <v>-911.40000000000146</v>
      </c>
    </row>
    <row r="430" spans="1:10" x14ac:dyDescent="0.2">
      <c r="A430">
        <v>4092</v>
      </c>
      <c r="B430">
        <v>7</v>
      </c>
      <c r="C430" s="3" t="s">
        <v>463</v>
      </c>
      <c r="D430" s="29">
        <v>687909.25</v>
      </c>
      <c r="E430" s="26">
        <f t="shared" si="30"/>
        <v>19335.3</v>
      </c>
      <c r="F430" s="26">
        <f t="shared" si="27"/>
        <v>17401.77</v>
      </c>
      <c r="G430" s="26">
        <v>25723.52</v>
      </c>
      <c r="H430" s="26">
        <v>23151.17</v>
      </c>
      <c r="I430" s="26">
        <f t="shared" si="28"/>
        <v>-3815.869999999999</v>
      </c>
      <c r="J430" s="28">
        <f t="shared" si="29"/>
        <v>-5749.3999999999978</v>
      </c>
    </row>
    <row r="431" spans="1:10" x14ac:dyDescent="0.2">
      <c r="A431">
        <v>4093</v>
      </c>
      <c r="B431">
        <v>7</v>
      </c>
      <c r="C431" s="3" t="s">
        <v>464</v>
      </c>
      <c r="D431" s="29">
        <v>1208523.8599999999</v>
      </c>
      <c r="E431" s="26">
        <f t="shared" si="30"/>
        <v>33968.379999999997</v>
      </c>
      <c r="F431" s="26">
        <f t="shared" si="27"/>
        <v>30571.54</v>
      </c>
      <c r="G431" s="26">
        <v>36117.51</v>
      </c>
      <c r="H431" s="26">
        <v>32505.759999999998</v>
      </c>
      <c r="I431" s="26">
        <f t="shared" si="28"/>
        <v>1462.619999999999</v>
      </c>
      <c r="J431" s="28">
        <f t="shared" si="29"/>
        <v>-1934.2199999999975</v>
      </c>
    </row>
    <row r="432" spans="1:10" x14ac:dyDescent="0.2">
      <c r="A432">
        <v>4095</v>
      </c>
      <c r="B432">
        <v>7</v>
      </c>
      <c r="C432" s="3" t="s">
        <v>465</v>
      </c>
      <c r="D432" s="29">
        <v>1184056.8199999998</v>
      </c>
      <c r="E432" s="26">
        <f t="shared" si="30"/>
        <v>33280.68</v>
      </c>
      <c r="F432" s="26">
        <f t="shared" si="27"/>
        <v>29952.61</v>
      </c>
      <c r="G432" s="26">
        <v>33766.01</v>
      </c>
      <c r="H432" s="26">
        <v>30389.41</v>
      </c>
      <c r="I432" s="26">
        <f t="shared" si="28"/>
        <v>2891.2700000000004</v>
      </c>
      <c r="J432" s="28">
        <f t="shared" si="29"/>
        <v>-436.79999999999927</v>
      </c>
    </row>
    <row r="433" spans="1:10" x14ac:dyDescent="0.2">
      <c r="A433">
        <v>4097</v>
      </c>
      <c r="B433">
        <v>7</v>
      </c>
      <c r="C433" s="3" t="s">
        <v>466</v>
      </c>
      <c r="D433" s="29">
        <v>2518415.7200000002</v>
      </c>
      <c r="E433" s="26">
        <f t="shared" si="30"/>
        <v>70785.95</v>
      </c>
      <c r="F433" s="26">
        <f t="shared" si="27"/>
        <v>63707.360000000001</v>
      </c>
      <c r="G433" s="26">
        <v>72456.17</v>
      </c>
      <c r="H433" s="26">
        <v>65210.55</v>
      </c>
      <c r="I433" s="26">
        <f t="shared" si="28"/>
        <v>5575.3999999999942</v>
      </c>
      <c r="J433" s="28">
        <f t="shared" si="29"/>
        <v>-1503.1900000000023</v>
      </c>
    </row>
    <row r="434" spans="1:10" x14ac:dyDescent="0.2">
      <c r="A434">
        <v>4098</v>
      </c>
      <c r="B434">
        <v>7</v>
      </c>
      <c r="C434" s="3" t="s">
        <v>467</v>
      </c>
      <c r="D434" s="29">
        <v>4275693.38</v>
      </c>
      <c r="E434" s="26">
        <f t="shared" si="30"/>
        <v>120178.35</v>
      </c>
      <c r="F434" s="26">
        <f t="shared" si="27"/>
        <v>108160.52</v>
      </c>
      <c r="G434" s="26">
        <v>118652.81</v>
      </c>
      <c r="H434" s="26">
        <v>106787.53</v>
      </c>
      <c r="I434" s="26">
        <f t="shared" si="28"/>
        <v>13390.820000000007</v>
      </c>
      <c r="J434" s="28">
        <f t="shared" si="29"/>
        <v>1372.9900000000052</v>
      </c>
    </row>
    <row r="435" spans="1:10" x14ac:dyDescent="0.2">
      <c r="A435" s="36">
        <v>4099</v>
      </c>
      <c r="B435" s="36">
        <v>7</v>
      </c>
      <c r="C435" s="37" t="s">
        <v>468</v>
      </c>
      <c r="D435" s="38">
        <v>3175471.9499999997</v>
      </c>
      <c r="E435" s="33">
        <f>G435</f>
        <v>142239.34</v>
      </c>
      <c r="F435" s="33">
        <f t="shared" si="27"/>
        <v>128015.41</v>
      </c>
      <c r="G435" s="33">
        <v>142239.34</v>
      </c>
      <c r="H435" s="33">
        <v>128015.41</v>
      </c>
      <c r="I435" s="33">
        <f t="shared" si="28"/>
        <v>14223.929999999993</v>
      </c>
      <c r="J435" s="39">
        <f t="shared" si="29"/>
        <v>0</v>
      </c>
    </row>
    <row r="436" spans="1:10" x14ac:dyDescent="0.2">
      <c r="A436">
        <v>4100</v>
      </c>
      <c r="B436">
        <v>7</v>
      </c>
      <c r="C436" s="3" t="s">
        <v>469</v>
      </c>
      <c r="D436" s="29">
        <v>546832.88</v>
      </c>
      <c r="E436" s="26">
        <f t="shared" ref="E436:E448" si="31">ROUND(D436*$D$548,2)</f>
        <v>15370.01</v>
      </c>
      <c r="F436" s="26">
        <f t="shared" si="27"/>
        <v>13833.01</v>
      </c>
      <c r="G436" s="26">
        <v>15947.78</v>
      </c>
      <c r="H436" s="26">
        <v>14353</v>
      </c>
      <c r="I436" s="26">
        <f t="shared" si="28"/>
        <v>1017.0100000000002</v>
      </c>
      <c r="J436" s="28">
        <f t="shared" si="29"/>
        <v>-519.98999999999978</v>
      </c>
    </row>
    <row r="437" spans="1:10" x14ac:dyDescent="0.2">
      <c r="A437">
        <v>4102</v>
      </c>
      <c r="B437">
        <v>7</v>
      </c>
      <c r="C437" s="3" t="s">
        <v>470</v>
      </c>
      <c r="D437" s="29">
        <v>2752915.63</v>
      </c>
      <c r="E437" s="26">
        <f t="shared" si="31"/>
        <v>77377.119999999995</v>
      </c>
      <c r="F437" s="26">
        <f t="shared" si="27"/>
        <v>69639.41</v>
      </c>
      <c r="G437" s="26">
        <v>90470.89</v>
      </c>
      <c r="H437" s="26">
        <v>81423.8</v>
      </c>
      <c r="I437" s="26">
        <f t="shared" si="28"/>
        <v>-4046.6800000000076</v>
      </c>
      <c r="J437" s="28">
        <f t="shared" si="29"/>
        <v>-11784.39</v>
      </c>
    </row>
    <row r="438" spans="1:10" x14ac:dyDescent="0.2">
      <c r="A438">
        <v>4103</v>
      </c>
      <c r="B438">
        <v>7</v>
      </c>
      <c r="C438" s="3" t="s">
        <v>471</v>
      </c>
      <c r="D438" s="29">
        <v>6644780.2999999998</v>
      </c>
      <c r="E438" s="26">
        <f t="shared" si="31"/>
        <v>186767.06</v>
      </c>
      <c r="F438" s="26">
        <f t="shared" si="27"/>
        <v>168090.35</v>
      </c>
      <c r="G438" s="26">
        <v>188811.45</v>
      </c>
      <c r="H438" s="26">
        <v>169930.31</v>
      </c>
      <c r="I438" s="26">
        <f t="shared" si="28"/>
        <v>16836.75</v>
      </c>
      <c r="J438" s="28">
        <f t="shared" si="29"/>
        <v>-1839.9599999999919</v>
      </c>
    </row>
    <row r="439" spans="1:10" x14ac:dyDescent="0.2">
      <c r="A439">
        <v>4104</v>
      </c>
      <c r="B439">
        <v>7</v>
      </c>
      <c r="C439" s="3" t="s">
        <v>472</v>
      </c>
      <c r="D439" s="29">
        <v>1392640.32</v>
      </c>
      <c r="E439" s="26">
        <f t="shared" si="31"/>
        <v>39143.410000000003</v>
      </c>
      <c r="F439" s="26">
        <f t="shared" si="27"/>
        <v>35229.07</v>
      </c>
      <c r="G439" s="26">
        <v>48771.97</v>
      </c>
      <c r="H439" s="26">
        <v>43894.77</v>
      </c>
      <c r="I439" s="26">
        <f t="shared" si="28"/>
        <v>-4751.3599999999933</v>
      </c>
      <c r="J439" s="28">
        <f t="shared" si="29"/>
        <v>-8665.6999999999971</v>
      </c>
    </row>
    <row r="440" spans="1:10" x14ac:dyDescent="0.2">
      <c r="A440">
        <v>4105</v>
      </c>
      <c r="B440">
        <v>7</v>
      </c>
      <c r="C440" s="3" t="s">
        <v>473</v>
      </c>
      <c r="D440" s="29">
        <v>2113800.92</v>
      </c>
      <c r="E440" s="26">
        <f t="shared" si="31"/>
        <v>59413.31</v>
      </c>
      <c r="F440" s="26">
        <f t="shared" si="27"/>
        <v>53471.98</v>
      </c>
      <c r="G440" s="26">
        <v>56829.35</v>
      </c>
      <c r="H440" s="26">
        <v>51146.42</v>
      </c>
      <c r="I440" s="26">
        <f t="shared" si="28"/>
        <v>8266.89</v>
      </c>
      <c r="J440" s="28">
        <f t="shared" si="29"/>
        <v>2325.5600000000049</v>
      </c>
    </row>
    <row r="441" spans="1:10" x14ac:dyDescent="0.2">
      <c r="A441">
        <v>4106</v>
      </c>
      <c r="B441">
        <v>7</v>
      </c>
      <c r="C441" s="3" t="s">
        <v>474</v>
      </c>
      <c r="D441" s="29">
        <v>1532314.47</v>
      </c>
      <c r="E441" s="26">
        <f t="shared" si="31"/>
        <v>43069.279999999999</v>
      </c>
      <c r="F441" s="26">
        <f t="shared" si="27"/>
        <v>38762.35</v>
      </c>
      <c r="G441" s="26">
        <v>41490.870000000003</v>
      </c>
      <c r="H441" s="26">
        <v>37341.78</v>
      </c>
      <c r="I441" s="26">
        <f t="shared" si="28"/>
        <v>5727.5</v>
      </c>
      <c r="J441" s="28">
        <f t="shared" si="29"/>
        <v>1420.5699999999997</v>
      </c>
    </row>
    <row r="442" spans="1:10" x14ac:dyDescent="0.2">
      <c r="A442">
        <v>4107</v>
      </c>
      <c r="B442">
        <v>7</v>
      </c>
      <c r="C442" s="3" t="s">
        <v>475</v>
      </c>
      <c r="D442" s="29">
        <v>768430.57000000007</v>
      </c>
      <c r="E442" s="26">
        <f t="shared" si="31"/>
        <v>21598.54</v>
      </c>
      <c r="F442" s="26">
        <f t="shared" si="27"/>
        <v>19438.689999999999</v>
      </c>
      <c r="G442" s="26">
        <v>21333.279999999999</v>
      </c>
      <c r="H442" s="26">
        <v>19199.95</v>
      </c>
      <c r="I442" s="26">
        <f t="shared" si="28"/>
        <v>2398.59</v>
      </c>
      <c r="J442" s="28">
        <f t="shared" si="29"/>
        <v>238.73999999999796</v>
      </c>
    </row>
    <row r="443" spans="1:10" x14ac:dyDescent="0.2">
      <c r="A443">
        <v>4108</v>
      </c>
      <c r="B443">
        <v>7</v>
      </c>
      <c r="C443" s="3" t="s">
        <v>476</v>
      </c>
      <c r="D443" s="29">
        <v>886430.05</v>
      </c>
      <c r="E443" s="26">
        <f t="shared" si="31"/>
        <v>24915.19</v>
      </c>
      <c r="F443" s="26">
        <f t="shared" si="27"/>
        <v>22423.67</v>
      </c>
      <c r="G443" s="26">
        <v>38485.599999999999</v>
      </c>
      <c r="H443" s="26">
        <v>34637.040000000001</v>
      </c>
      <c r="I443" s="26">
        <f t="shared" si="28"/>
        <v>-9721.8500000000022</v>
      </c>
      <c r="J443" s="28">
        <f t="shared" si="29"/>
        <v>-12213.370000000003</v>
      </c>
    </row>
    <row r="444" spans="1:10" x14ac:dyDescent="0.2">
      <c r="A444">
        <v>4109</v>
      </c>
      <c r="B444">
        <v>7</v>
      </c>
      <c r="C444" s="3" t="s">
        <v>477</v>
      </c>
      <c r="D444" s="29">
        <v>869179.99</v>
      </c>
      <c r="E444" s="26">
        <f t="shared" si="31"/>
        <v>24430.33</v>
      </c>
      <c r="F444" s="26">
        <f t="shared" si="27"/>
        <v>21987.3</v>
      </c>
      <c r="G444" s="26">
        <v>31045.03</v>
      </c>
      <c r="H444" s="26">
        <v>27940.53</v>
      </c>
      <c r="I444" s="26">
        <f t="shared" si="28"/>
        <v>-3510.1999999999971</v>
      </c>
      <c r="J444" s="28">
        <f t="shared" si="29"/>
        <v>-5953.23</v>
      </c>
    </row>
    <row r="445" spans="1:10" x14ac:dyDescent="0.2">
      <c r="A445">
        <v>4110</v>
      </c>
      <c r="B445">
        <v>7</v>
      </c>
      <c r="C445" s="3" t="s">
        <v>478</v>
      </c>
      <c r="D445" s="29">
        <v>2035544.47</v>
      </c>
      <c r="E445" s="26">
        <f t="shared" si="31"/>
        <v>57213.73</v>
      </c>
      <c r="F445" s="26">
        <f t="shared" si="27"/>
        <v>51492.36</v>
      </c>
      <c r="G445" s="26">
        <v>50182.87</v>
      </c>
      <c r="H445" s="26">
        <v>45164.58</v>
      </c>
      <c r="I445" s="26">
        <f t="shared" si="28"/>
        <v>12049.150000000001</v>
      </c>
      <c r="J445" s="28">
        <f t="shared" si="29"/>
        <v>6327.7799999999988</v>
      </c>
    </row>
    <row r="446" spans="1:10" x14ac:dyDescent="0.2">
      <c r="A446">
        <v>4111</v>
      </c>
      <c r="B446">
        <v>7</v>
      </c>
      <c r="C446" s="3" t="s">
        <v>479</v>
      </c>
      <c r="D446" s="29">
        <v>1102632.1400000001</v>
      </c>
      <c r="E446" s="26">
        <f t="shared" si="31"/>
        <v>30992.05</v>
      </c>
      <c r="F446" s="26">
        <f t="shared" si="27"/>
        <v>27892.85</v>
      </c>
      <c r="G446" s="26">
        <v>41378.769999999997</v>
      </c>
      <c r="H446" s="26">
        <v>37240.89</v>
      </c>
      <c r="I446" s="26">
        <f t="shared" si="28"/>
        <v>-6248.84</v>
      </c>
      <c r="J446" s="28">
        <f t="shared" si="29"/>
        <v>-9348.0400000000009</v>
      </c>
    </row>
    <row r="447" spans="1:10" x14ac:dyDescent="0.2">
      <c r="A447">
        <v>4112</v>
      </c>
      <c r="B447">
        <v>7</v>
      </c>
      <c r="C447" s="3" t="s">
        <v>480</v>
      </c>
      <c r="D447" s="29">
        <v>3831334.8499999996</v>
      </c>
      <c r="E447" s="26">
        <f t="shared" si="31"/>
        <v>107688.61</v>
      </c>
      <c r="F447" s="26">
        <f t="shared" si="27"/>
        <v>96919.75</v>
      </c>
      <c r="G447" s="26">
        <v>107317.73</v>
      </c>
      <c r="H447" s="26">
        <v>96585.96</v>
      </c>
      <c r="I447" s="26">
        <f t="shared" si="28"/>
        <v>11102.649999999994</v>
      </c>
      <c r="J447" s="28">
        <f t="shared" si="29"/>
        <v>333.7899999999936</v>
      </c>
    </row>
    <row r="448" spans="1:10" x14ac:dyDescent="0.2">
      <c r="A448">
        <v>4113</v>
      </c>
      <c r="B448">
        <v>7</v>
      </c>
      <c r="C448" s="3" t="s">
        <v>481</v>
      </c>
      <c r="D448" s="29">
        <v>2332473.56</v>
      </c>
      <c r="E448" s="26">
        <f t="shared" si="31"/>
        <v>65559.62</v>
      </c>
      <c r="F448" s="26">
        <f t="shared" si="27"/>
        <v>59003.66</v>
      </c>
      <c r="G448" s="26">
        <v>64309.85</v>
      </c>
      <c r="H448" s="26">
        <v>57878.87</v>
      </c>
      <c r="I448" s="26">
        <f t="shared" si="28"/>
        <v>7680.7499999999927</v>
      </c>
      <c r="J448" s="28">
        <f t="shared" si="29"/>
        <v>1124.7900000000009</v>
      </c>
    </row>
    <row r="449" spans="1:10" x14ac:dyDescent="0.2">
      <c r="A449" s="36">
        <v>4114</v>
      </c>
      <c r="B449" s="36">
        <v>7</v>
      </c>
      <c r="C449" s="37" t="s">
        <v>482</v>
      </c>
      <c r="D449" s="38">
        <v>540993.36</v>
      </c>
      <c r="E449" s="33">
        <f>G449</f>
        <v>22071.17</v>
      </c>
      <c r="F449" s="33">
        <f t="shared" si="27"/>
        <v>19864.05</v>
      </c>
      <c r="G449" s="33">
        <v>22071.17</v>
      </c>
      <c r="H449" s="33">
        <v>19864.05</v>
      </c>
      <c r="I449" s="33">
        <f t="shared" si="28"/>
        <v>2207.119999999999</v>
      </c>
      <c r="J449" s="39">
        <f t="shared" si="29"/>
        <v>0</v>
      </c>
    </row>
    <row r="450" spans="1:10" x14ac:dyDescent="0.2">
      <c r="A450">
        <v>4115</v>
      </c>
      <c r="B450">
        <v>7</v>
      </c>
      <c r="C450" s="3" t="s">
        <v>483</v>
      </c>
      <c r="D450" s="29">
        <v>1350740.54</v>
      </c>
      <c r="E450" s="26">
        <f t="shared" ref="E450:E494" si="32">ROUND(D450*$D$548,2)</f>
        <v>37965.72</v>
      </c>
      <c r="F450" s="26">
        <f t="shared" si="27"/>
        <v>34169.15</v>
      </c>
      <c r="G450" s="26">
        <v>39557.800000000003</v>
      </c>
      <c r="H450" s="26">
        <v>35602.019999999997</v>
      </c>
      <c r="I450" s="26">
        <f t="shared" si="28"/>
        <v>2363.7000000000044</v>
      </c>
      <c r="J450" s="28">
        <f t="shared" si="29"/>
        <v>-1432.8699999999953</v>
      </c>
    </row>
    <row r="451" spans="1:10" x14ac:dyDescent="0.2">
      <c r="A451">
        <v>4116</v>
      </c>
      <c r="B451">
        <v>7</v>
      </c>
      <c r="C451" s="3" t="s">
        <v>484</v>
      </c>
      <c r="D451" s="29">
        <v>3578107</v>
      </c>
      <c r="E451" s="26">
        <f t="shared" si="32"/>
        <v>100571.05</v>
      </c>
      <c r="F451" s="26">
        <f t="shared" si="27"/>
        <v>90513.95</v>
      </c>
      <c r="G451" s="26">
        <v>98010.37</v>
      </c>
      <c r="H451" s="26">
        <v>88209.33</v>
      </c>
      <c r="I451" s="26">
        <f t="shared" si="28"/>
        <v>12361.720000000001</v>
      </c>
      <c r="J451" s="28">
        <f t="shared" si="29"/>
        <v>2304.6199999999953</v>
      </c>
    </row>
    <row r="452" spans="1:10" x14ac:dyDescent="0.2">
      <c r="A452">
        <v>4118</v>
      </c>
      <c r="B452">
        <v>7</v>
      </c>
      <c r="C452" s="3" t="s">
        <v>485</v>
      </c>
      <c r="D452" s="29">
        <v>2824351.56</v>
      </c>
      <c r="E452" s="26">
        <f t="shared" si="32"/>
        <v>79385</v>
      </c>
      <c r="F452" s="26">
        <f t="shared" si="27"/>
        <v>71446.5</v>
      </c>
      <c r="G452" s="26">
        <v>77891.23</v>
      </c>
      <c r="H452" s="26">
        <v>70102.11</v>
      </c>
      <c r="I452" s="26">
        <f t="shared" si="28"/>
        <v>9282.89</v>
      </c>
      <c r="J452" s="28">
        <f t="shared" si="29"/>
        <v>1344.3899999999994</v>
      </c>
    </row>
    <row r="453" spans="1:10" x14ac:dyDescent="0.2">
      <c r="A453">
        <v>4119</v>
      </c>
      <c r="B453">
        <v>7</v>
      </c>
      <c r="C453" s="3" t="s">
        <v>486</v>
      </c>
      <c r="D453" s="29">
        <v>510628.95999999996</v>
      </c>
      <c r="E453" s="26">
        <f t="shared" si="32"/>
        <v>14352.42</v>
      </c>
      <c r="F453" s="26">
        <f t="shared" si="27"/>
        <v>12917.18</v>
      </c>
      <c r="G453" s="26">
        <v>15907.85</v>
      </c>
      <c r="H453" s="26">
        <v>14317.07</v>
      </c>
      <c r="I453" s="26">
        <f t="shared" si="28"/>
        <v>35.350000000000364</v>
      </c>
      <c r="J453" s="28">
        <f t="shared" si="29"/>
        <v>-1399.8899999999994</v>
      </c>
    </row>
    <row r="454" spans="1:10" x14ac:dyDescent="0.2">
      <c r="A454">
        <v>4120</v>
      </c>
      <c r="B454">
        <v>7</v>
      </c>
      <c r="C454" s="3" t="s">
        <v>487</v>
      </c>
      <c r="D454" s="29">
        <v>6295731.0600000005</v>
      </c>
      <c r="E454" s="26">
        <f t="shared" si="32"/>
        <v>176956.22</v>
      </c>
      <c r="F454" s="26">
        <f t="shared" si="27"/>
        <v>159260.6</v>
      </c>
      <c r="G454" s="26">
        <v>171800.66</v>
      </c>
      <c r="H454" s="26">
        <v>154620.59</v>
      </c>
      <c r="I454" s="26">
        <f t="shared" si="28"/>
        <v>22335.630000000005</v>
      </c>
      <c r="J454" s="28">
        <f t="shared" si="29"/>
        <v>4640.0100000000093</v>
      </c>
    </row>
    <row r="455" spans="1:10" x14ac:dyDescent="0.2">
      <c r="A455">
        <v>4121</v>
      </c>
      <c r="B455">
        <v>7</v>
      </c>
      <c r="C455" s="3" t="s">
        <v>488</v>
      </c>
      <c r="D455" s="29">
        <v>2371368.5</v>
      </c>
      <c r="E455" s="26">
        <f t="shared" si="32"/>
        <v>66652.850000000006</v>
      </c>
      <c r="F455" s="26">
        <f t="shared" si="27"/>
        <v>59987.57</v>
      </c>
      <c r="G455" s="26">
        <v>68345.240000000005</v>
      </c>
      <c r="H455" s="26">
        <v>61510.720000000001</v>
      </c>
      <c r="I455" s="26">
        <f t="shared" si="28"/>
        <v>5142.1300000000047</v>
      </c>
      <c r="J455" s="28">
        <f t="shared" si="29"/>
        <v>-1523.1500000000015</v>
      </c>
    </row>
    <row r="456" spans="1:10" x14ac:dyDescent="0.2">
      <c r="A456">
        <v>4122</v>
      </c>
      <c r="B456">
        <v>7</v>
      </c>
      <c r="C456" s="3" t="s">
        <v>489</v>
      </c>
      <c r="D456" s="29">
        <v>3856998.3499999996</v>
      </c>
      <c r="E456" s="26">
        <f t="shared" si="32"/>
        <v>108409.94</v>
      </c>
      <c r="F456" s="26">
        <f t="shared" si="27"/>
        <v>97568.95</v>
      </c>
      <c r="G456" s="26">
        <v>110498.92</v>
      </c>
      <c r="H456" s="26">
        <v>99449.03</v>
      </c>
      <c r="I456" s="26">
        <f t="shared" si="28"/>
        <v>8960.9100000000035</v>
      </c>
      <c r="J456" s="28">
        <f t="shared" si="29"/>
        <v>-1880.0800000000017</v>
      </c>
    </row>
    <row r="457" spans="1:10" x14ac:dyDescent="0.2">
      <c r="A457">
        <v>4123</v>
      </c>
      <c r="B457">
        <v>7</v>
      </c>
      <c r="C457" s="3" t="s">
        <v>490</v>
      </c>
      <c r="D457" s="29">
        <v>238558.15999999997</v>
      </c>
      <c r="E457" s="26">
        <f t="shared" si="32"/>
        <v>6705.23</v>
      </c>
      <c r="F457" s="26">
        <f t="shared" si="27"/>
        <v>6034.71</v>
      </c>
      <c r="G457" s="26">
        <v>6319.38</v>
      </c>
      <c r="H457" s="26">
        <v>5687.44</v>
      </c>
      <c r="I457" s="26">
        <f t="shared" si="28"/>
        <v>1017.79</v>
      </c>
      <c r="J457" s="28">
        <f t="shared" si="29"/>
        <v>347.27000000000044</v>
      </c>
    </row>
    <row r="458" spans="1:10" x14ac:dyDescent="0.2">
      <c r="A458">
        <v>4124</v>
      </c>
      <c r="B458">
        <v>7</v>
      </c>
      <c r="C458" s="3" t="s">
        <v>491</v>
      </c>
      <c r="D458" s="29">
        <v>3392961.87</v>
      </c>
      <c r="E458" s="26">
        <f t="shared" si="32"/>
        <v>95367.12</v>
      </c>
      <c r="F458" s="26">
        <f t="shared" si="27"/>
        <v>85830.41</v>
      </c>
      <c r="G458" s="26">
        <v>86708.74</v>
      </c>
      <c r="H458" s="26">
        <v>78037.87</v>
      </c>
      <c r="I458" s="26">
        <f t="shared" si="28"/>
        <v>17329.25</v>
      </c>
      <c r="J458" s="28">
        <f t="shared" si="29"/>
        <v>7792.5400000000081</v>
      </c>
    </row>
    <row r="459" spans="1:10" x14ac:dyDescent="0.2">
      <c r="A459">
        <v>4126</v>
      </c>
      <c r="B459">
        <v>7</v>
      </c>
      <c r="C459" s="3" t="s">
        <v>492</v>
      </c>
      <c r="D459" s="29">
        <v>6148892.8300000001</v>
      </c>
      <c r="E459" s="26">
        <f t="shared" si="32"/>
        <v>172828.99</v>
      </c>
      <c r="F459" s="26">
        <f t="shared" si="27"/>
        <v>155546.09</v>
      </c>
      <c r="G459" s="26">
        <v>182541.59</v>
      </c>
      <c r="H459" s="26">
        <v>164287.43</v>
      </c>
      <c r="I459" s="26">
        <f t="shared" si="28"/>
        <v>8541.5599999999977</v>
      </c>
      <c r="J459" s="28">
        <f t="shared" si="29"/>
        <v>-8741.3399999999965</v>
      </c>
    </row>
    <row r="460" spans="1:10" x14ac:dyDescent="0.2">
      <c r="A460">
        <v>4127</v>
      </c>
      <c r="B460">
        <v>7</v>
      </c>
      <c r="C460" s="3" t="s">
        <v>493</v>
      </c>
      <c r="D460" s="29">
        <v>1082861.43</v>
      </c>
      <c r="E460" s="26">
        <f t="shared" si="32"/>
        <v>30436.35</v>
      </c>
      <c r="F460" s="26">
        <f t="shared" si="27"/>
        <v>27392.720000000001</v>
      </c>
      <c r="G460" s="26">
        <v>28520.25</v>
      </c>
      <c r="H460" s="26">
        <v>25668.23</v>
      </c>
      <c r="I460" s="26">
        <f t="shared" si="28"/>
        <v>4768.119999999999</v>
      </c>
      <c r="J460" s="28">
        <f t="shared" si="29"/>
        <v>1724.4900000000016</v>
      </c>
    </row>
    <row r="461" spans="1:10" x14ac:dyDescent="0.2">
      <c r="A461">
        <v>4131</v>
      </c>
      <c r="B461">
        <v>7</v>
      </c>
      <c r="C461" s="3" t="s">
        <v>494</v>
      </c>
      <c r="D461" s="29">
        <v>1916313.77</v>
      </c>
      <c r="E461" s="26">
        <f t="shared" si="32"/>
        <v>53862.47</v>
      </c>
      <c r="F461" s="26">
        <f t="shared" si="27"/>
        <v>48476.22</v>
      </c>
      <c r="G461" s="26">
        <v>65531.15</v>
      </c>
      <c r="H461" s="26">
        <v>58978.04</v>
      </c>
      <c r="I461" s="26">
        <f t="shared" si="28"/>
        <v>-5115.57</v>
      </c>
      <c r="J461" s="28">
        <f t="shared" si="29"/>
        <v>-10501.82</v>
      </c>
    </row>
    <row r="462" spans="1:10" x14ac:dyDescent="0.2">
      <c r="A462">
        <v>4132</v>
      </c>
      <c r="B462">
        <v>7</v>
      </c>
      <c r="C462" s="3" t="s">
        <v>495</v>
      </c>
      <c r="D462" s="29">
        <v>955962.35</v>
      </c>
      <c r="E462" s="26">
        <f t="shared" si="32"/>
        <v>26869.55</v>
      </c>
      <c r="F462" s="26">
        <f t="shared" si="27"/>
        <v>24182.6</v>
      </c>
      <c r="G462" s="26">
        <v>28294.44</v>
      </c>
      <c r="H462" s="26">
        <v>25465</v>
      </c>
      <c r="I462" s="26">
        <f t="shared" si="28"/>
        <v>1404.5499999999993</v>
      </c>
      <c r="J462" s="28">
        <f t="shared" si="29"/>
        <v>-1282.4000000000015</v>
      </c>
    </row>
    <row r="463" spans="1:10" x14ac:dyDescent="0.2">
      <c r="A463">
        <v>4133</v>
      </c>
      <c r="B463">
        <v>7</v>
      </c>
      <c r="C463" s="3" t="s">
        <v>496</v>
      </c>
      <c r="D463" s="29">
        <v>1102505.06</v>
      </c>
      <c r="E463" s="26">
        <f t="shared" si="32"/>
        <v>30988.48</v>
      </c>
      <c r="F463" s="26">
        <f t="shared" si="27"/>
        <v>27889.63</v>
      </c>
      <c r="G463" s="26">
        <v>28439.4</v>
      </c>
      <c r="H463" s="26">
        <v>25595.46</v>
      </c>
      <c r="I463" s="26">
        <f t="shared" si="28"/>
        <v>5393.02</v>
      </c>
      <c r="J463" s="28">
        <f t="shared" si="29"/>
        <v>2294.1700000000019</v>
      </c>
    </row>
    <row r="464" spans="1:10" x14ac:dyDescent="0.2">
      <c r="A464">
        <v>4135</v>
      </c>
      <c r="B464">
        <v>7</v>
      </c>
      <c r="C464" s="3" t="s">
        <v>497</v>
      </c>
      <c r="D464" s="29">
        <v>2041114.11</v>
      </c>
      <c r="E464" s="26">
        <f t="shared" si="32"/>
        <v>57370.28</v>
      </c>
      <c r="F464" s="26">
        <f t="shared" ref="F464:F527" si="33">ROUND(E464*0.9,2)</f>
        <v>51633.25</v>
      </c>
      <c r="G464" s="26">
        <v>61600.4</v>
      </c>
      <c r="H464" s="26">
        <v>55440.36</v>
      </c>
      <c r="I464" s="26">
        <f t="shared" ref="I464:I527" si="34">E464-H464</f>
        <v>1929.9199999999983</v>
      </c>
      <c r="J464" s="28">
        <f t="shared" ref="J464:J527" si="35">F464-H464</f>
        <v>-3807.1100000000006</v>
      </c>
    </row>
    <row r="465" spans="1:10" x14ac:dyDescent="0.2">
      <c r="A465">
        <v>4137</v>
      </c>
      <c r="B465">
        <v>7</v>
      </c>
      <c r="C465" s="3" t="s">
        <v>498</v>
      </c>
      <c r="D465" s="29">
        <v>941886.72</v>
      </c>
      <c r="E465" s="26">
        <f t="shared" si="32"/>
        <v>26473.93</v>
      </c>
      <c r="F465" s="26">
        <f t="shared" si="33"/>
        <v>23826.54</v>
      </c>
      <c r="G465" s="26">
        <v>24730.560000000001</v>
      </c>
      <c r="H465" s="26">
        <v>22257.5</v>
      </c>
      <c r="I465" s="26">
        <f t="shared" si="34"/>
        <v>4216.43</v>
      </c>
      <c r="J465" s="28">
        <f t="shared" si="35"/>
        <v>1569.0400000000009</v>
      </c>
    </row>
    <row r="466" spans="1:10" x14ac:dyDescent="0.2">
      <c r="A466">
        <v>4138</v>
      </c>
      <c r="B466">
        <v>7</v>
      </c>
      <c r="C466" s="3" t="s">
        <v>499</v>
      </c>
      <c r="D466" s="29">
        <v>337467.81</v>
      </c>
      <c r="E466" s="26">
        <f t="shared" si="32"/>
        <v>9485.32</v>
      </c>
      <c r="F466" s="26">
        <f t="shared" si="33"/>
        <v>8536.7900000000009</v>
      </c>
      <c r="G466" s="26">
        <v>10103.36</v>
      </c>
      <c r="H466" s="26">
        <v>9093.02</v>
      </c>
      <c r="I466" s="26">
        <f t="shared" si="34"/>
        <v>392.29999999999927</v>
      </c>
      <c r="J466" s="28">
        <f t="shared" si="35"/>
        <v>-556.22999999999956</v>
      </c>
    </row>
    <row r="467" spans="1:10" x14ac:dyDescent="0.2">
      <c r="A467">
        <v>4139</v>
      </c>
      <c r="B467">
        <v>7</v>
      </c>
      <c r="C467" s="3" t="s">
        <v>500</v>
      </c>
      <c r="D467" s="29">
        <v>1948608.25</v>
      </c>
      <c r="E467" s="26">
        <f t="shared" si="32"/>
        <v>54770.18</v>
      </c>
      <c r="F467" s="26">
        <f t="shared" si="33"/>
        <v>49293.16</v>
      </c>
      <c r="G467" s="26">
        <v>57887.47</v>
      </c>
      <c r="H467" s="26">
        <v>52098.720000000001</v>
      </c>
      <c r="I467" s="26">
        <f t="shared" si="34"/>
        <v>2671.4599999999991</v>
      </c>
      <c r="J467" s="28">
        <f t="shared" si="35"/>
        <v>-2805.5599999999977</v>
      </c>
    </row>
    <row r="468" spans="1:10" x14ac:dyDescent="0.2">
      <c r="A468">
        <v>4140</v>
      </c>
      <c r="B468">
        <v>7</v>
      </c>
      <c r="C468" s="3" t="s">
        <v>501</v>
      </c>
      <c r="D468" s="29">
        <v>2279627.9500000002</v>
      </c>
      <c r="E468" s="26">
        <f t="shared" si="32"/>
        <v>64074.27</v>
      </c>
      <c r="F468" s="26">
        <f t="shared" si="33"/>
        <v>57666.84</v>
      </c>
      <c r="G468" s="26">
        <v>64845.66</v>
      </c>
      <c r="H468" s="26">
        <v>58361.09</v>
      </c>
      <c r="I468" s="26">
        <f t="shared" si="34"/>
        <v>5713.18</v>
      </c>
      <c r="J468" s="28">
        <f t="shared" si="35"/>
        <v>-694.25</v>
      </c>
    </row>
    <row r="469" spans="1:10" x14ac:dyDescent="0.2">
      <c r="A469">
        <v>4141</v>
      </c>
      <c r="B469">
        <v>7</v>
      </c>
      <c r="C469" s="3" t="s">
        <v>502</v>
      </c>
      <c r="D469" s="29">
        <v>3223707.0300000003</v>
      </c>
      <c r="E469" s="26">
        <f t="shared" si="32"/>
        <v>90609.81</v>
      </c>
      <c r="F469" s="26">
        <f t="shared" si="33"/>
        <v>81548.83</v>
      </c>
      <c r="G469" s="26">
        <v>81031.710000000006</v>
      </c>
      <c r="H469" s="26">
        <v>72928.539999999994</v>
      </c>
      <c r="I469" s="26">
        <f t="shared" si="34"/>
        <v>17681.270000000004</v>
      </c>
      <c r="J469" s="28">
        <f t="shared" si="35"/>
        <v>8620.2900000000081</v>
      </c>
    </row>
    <row r="470" spans="1:10" x14ac:dyDescent="0.2">
      <c r="A470">
        <v>4142</v>
      </c>
      <c r="B470">
        <v>7</v>
      </c>
      <c r="C470" s="3" t="s">
        <v>503</v>
      </c>
      <c r="D470" s="29">
        <v>2519250.9</v>
      </c>
      <c r="E470" s="26">
        <f t="shared" si="32"/>
        <v>70809.429999999993</v>
      </c>
      <c r="F470" s="26">
        <f t="shared" si="33"/>
        <v>63728.49</v>
      </c>
      <c r="G470" s="26">
        <v>63832.71</v>
      </c>
      <c r="H470" s="26">
        <v>57449.440000000002</v>
      </c>
      <c r="I470" s="26">
        <f t="shared" si="34"/>
        <v>13359.989999999991</v>
      </c>
      <c r="J470" s="28">
        <f t="shared" si="35"/>
        <v>6279.0499999999956</v>
      </c>
    </row>
    <row r="471" spans="1:10" x14ac:dyDescent="0.2">
      <c r="A471">
        <v>4143</v>
      </c>
      <c r="B471">
        <v>7</v>
      </c>
      <c r="C471" s="3" t="s">
        <v>504</v>
      </c>
      <c r="D471" s="29">
        <v>3808525.04</v>
      </c>
      <c r="E471" s="26">
        <f t="shared" si="32"/>
        <v>107047.49</v>
      </c>
      <c r="F471" s="26">
        <f t="shared" si="33"/>
        <v>96342.74</v>
      </c>
      <c r="G471" s="26">
        <v>93990.53</v>
      </c>
      <c r="H471" s="26">
        <v>84591.48</v>
      </c>
      <c r="I471" s="26">
        <f t="shared" si="34"/>
        <v>22456.010000000009</v>
      </c>
      <c r="J471" s="28">
        <f t="shared" si="35"/>
        <v>11751.260000000009</v>
      </c>
    </row>
    <row r="472" spans="1:10" x14ac:dyDescent="0.2">
      <c r="A472">
        <v>4144</v>
      </c>
      <c r="B472">
        <v>7</v>
      </c>
      <c r="C472" s="3" t="s">
        <v>505</v>
      </c>
      <c r="D472" s="29">
        <v>540207.51</v>
      </c>
      <c r="E472" s="26">
        <f t="shared" si="32"/>
        <v>15183.79</v>
      </c>
      <c r="F472" s="26">
        <f t="shared" si="33"/>
        <v>13665.41</v>
      </c>
      <c r="G472" s="26">
        <v>16706.490000000002</v>
      </c>
      <c r="H472" s="26">
        <v>15035.84</v>
      </c>
      <c r="I472" s="26">
        <f t="shared" si="34"/>
        <v>147.95000000000073</v>
      </c>
      <c r="J472" s="28">
        <f t="shared" si="35"/>
        <v>-1370.4300000000003</v>
      </c>
    </row>
    <row r="473" spans="1:10" x14ac:dyDescent="0.2">
      <c r="A473">
        <v>4145</v>
      </c>
      <c r="B473">
        <v>7</v>
      </c>
      <c r="C473" s="3" t="s">
        <v>506</v>
      </c>
      <c r="D473" s="29">
        <v>291365.24</v>
      </c>
      <c r="E473" s="26">
        <f t="shared" si="32"/>
        <v>8189.5</v>
      </c>
      <c r="F473" s="26">
        <f t="shared" si="33"/>
        <v>7370.55</v>
      </c>
      <c r="G473" s="26">
        <v>7772.23</v>
      </c>
      <c r="H473" s="26">
        <v>6995.01</v>
      </c>
      <c r="I473" s="26">
        <f t="shared" si="34"/>
        <v>1194.4899999999998</v>
      </c>
      <c r="J473" s="28">
        <f t="shared" si="35"/>
        <v>375.53999999999996</v>
      </c>
    </row>
    <row r="474" spans="1:10" x14ac:dyDescent="0.2">
      <c r="A474">
        <v>4146</v>
      </c>
      <c r="B474">
        <v>7</v>
      </c>
      <c r="C474" s="3" t="s">
        <v>507</v>
      </c>
      <c r="D474" s="29">
        <v>1237252.47</v>
      </c>
      <c r="E474" s="26">
        <f t="shared" si="32"/>
        <v>34775.870000000003</v>
      </c>
      <c r="F474" s="26">
        <f t="shared" si="33"/>
        <v>31298.28</v>
      </c>
      <c r="G474" s="26">
        <v>29677.81</v>
      </c>
      <c r="H474" s="26">
        <v>26710.03</v>
      </c>
      <c r="I474" s="26">
        <f t="shared" si="34"/>
        <v>8065.8400000000038</v>
      </c>
      <c r="J474" s="28">
        <f t="shared" si="35"/>
        <v>4588.25</v>
      </c>
    </row>
    <row r="475" spans="1:10" x14ac:dyDescent="0.2">
      <c r="A475">
        <v>4150</v>
      </c>
      <c r="B475">
        <v>7</v>
      </c>
      <c r="C475" s="3" t="s">
        <v>508</v>
      </c>
      <c r="D475" s="29">
        <v>1123802.17</v>
      </c>
      <c r="E475" s="26">
        <f t="shared" si="32"/>
        <v>31587.08</v>
      </c>
      <c r="F475" s="26">
        <f t="shared" si="33"/>
        <v>28428.37</v>
      </c>
      <c r="G475" s="26">
        <v>29654.880000000001</v>
      </c>
      <c r="H475" s="26">
        <v>26689.39</v>
      </c>
      <c r="I475" s="26">
        <f t="shared" si="34"/>
        <v>4897.6900000000023</v>
      </c>
      <c r="J475" s="28">
        <f t="shared" si="35"/>
        <v>1738.9799999999996</v>
      </c>
    </row>
    <row r="476" spans="1:10" x14ac:dyDescent="0.2">
      <c r="A476">
        <v>4151</v>
      </c>
      <c r="B476">
        <v>7</v>
      </c>
      <c r="C476" s="3" t="s">
        <v>509</v>
      </c>
      <c r="D476" s="29">
        <v>736010.17999999993</v>
      </c>
      <c r="E476" s="26">
        <f t="shared" si="32"/>
        <v>20687.28</v>
      </c>
      <c r="F476" s="26">
        <f t="shared" si="33"/>
        <v>18618.55</v>
      </c>
      <c r="G476" s="26">
        <v>19889.57</v>
      </c>
      <c r="H476" s="26">
        <v>17900.61</v>
      </c>
      <c r="I476" s="26">
        <f t="shared" si="34"/>
        <v>2786.6699999999983</v>
      </c>
      <c r="J476" s="28">
        <f t="shared" si="35"/>
        <v>717.93999999999869</v>
      </c>
    </row>
    <row r="477" spans="1:10" x14ac:dyDescent="0.2">
      <c r="A477">
        <v>4152</v>
      </c>
      <c r="B477">
        <v>7</v>
      </c>
      <c r="C477" s="3" t="s">
        <v>510</v>
      </c>
      <c r="D477" s="29">
        <v>1572227.58</v>
      </c>
      <c r="E477" s="26">
        <f t="shared" si="32"/>
        <v>44191.13</v>
      </c>
      <c r="F477" s="26">
        <f t="shared" si="33"/>
        <v>39772.019999999997</v>
      </c>
      <c r="G477" s="26">
        <v>42611</v>
      </c>
      <c r="H477" s="26">
        <v>38349.9</v>
      </c>
      <c r="I477" s="26">
        <f t="shared" si="34"/>
        <v>5841.2299999999959</v>
      </c>
      <c r="J477" s="28">
        <f t="shared" si="35"/>
        <v>1422.1199999999953</v>
      </c>
    </row>
    <row r="478" spans="1:10" x14ac:dyDescent="0.2">
      <c r="A478">
        <v>4153</v>
      </c>
      <c r="B478">
        <v>7</v>
      </c>
      <c r="C478" s="3" t="s">
        <v>511</v>
      </c>
      <c r="D478" s="29">
        <v>2573790.83</v>
      </c>
      <c r="E478" s="26">
        <f t="shared" si="32"/>
        <v>72342.399999999994</v>
      </c>
      <c r="F478" s="26">
        <f t="shared" si="33"/>
        <v>65108.160000000003</v>
      </c>
      <c r="G478" s="26">
        <v>61568.31</v>
      </c>
      <c r="H478" s="26">
        <v>55411.48</v>
      </c>
      <c r="I478" s="26">
        <f t="shared" si="34"/>
        <v>16930.919999999991</v>
      </c>
      <c r="J478" s="28">
        <f t="shared" si="35"/>
        <v>9696.68</v>
      </c>
    </row>
    <row r="479" spans="1:10" x14ac:dyDescent="0.2">
      <c r="A479">
        <v>4155</v>
      </c>
      <c r="B479">
        <v>7</v>
      </c>
      <c r="C479" s="3" t="s">
        <v>512</v>
      </c>
      <c r="D479" s="29">
        <v>974232.83000000007</v>
      </c>
      <c r="E479" s="26">
        <f t="shared" si="32"/>
        <v>27383.09</v>
      </c>
      <c r="F479" s="26">
        <f t="shared" si="33"/>
        <v>24644.78</v>
      </c>
      <c r="G479" s="26">
        <v>26082.67</v>
      </c>
      <c r="H479" s="26">
        <v>23474.400000000001</v>
      </c>
      <c r="I479" s="26">
        <f t="shared" si="34"/>
        <v>3908.6899999999987</v>
      </c>
      <c r="J479" s="28">
        <f t="shared" si="35"/>
        <v>1170.3799999999974</v>
      </c>
    </row>
    <row r="480" spans="1:10" x14ac:dyDescent="0.2">
      <c r="A480">
        <v>4159</v>
      </c>
      <c r="B480">
        <v>7</v>
      </c>
      <c r="C480" s="3" t="s">
        <v>513</v>
      </c>
      <c r="D480" s="29">
        <v>3160410.24</v>
      </c>
      <c r="E480" s="26">
        <f t="shared" si="32"/>
        <v>88830.71</v>
      </c>
      <c r="F480" s="26">
        <f t="shared" si="33"/>
        <v>79947.64</v>
      </c>
      <c r="G480" s="26">
        <v>82060.179999999993</v>
      </c>
      <c r="H480" s="26">
        <v>73854.16</v>
      </c>
      <c r="I480" s="26">
        <f t="shared" si="34"/>
        <v>14976.550000000003</v>
      </c>
      <c r="J480" s="28">
        <f t="shared" si="35"/>
        <v>6093.4799999999959</v>
      </c>
    </row>
    <row r="481" spans="1:10" x14ac:dyDescent="0.2">
      <c r="A481">
        <v>4160</v>
      </c>
      <c r="B481">
        <v>7</v>
      </c>
      <c r="C481" s="3" t="s">
        <v>514</v>
      </c>
      <c r="D481" s="29">
        <v>1826933.9</v>
      </c>
      <c r="E481" s="26">
        <f t="shared" si="32"/>
        <v>51350.239999999998</v>
      </c>
      <c r="F481" s="26">
        <f t="shared" si="33"/>
        <v>46215.22</v>
      </c>
      <c r="G481" s="26">
        <v>49082.86</v>
      </c>
      <c r="H481" s="26">
        <v>44174.57</v>
      </c>
      <c r="I481" s="26">
        <f t="shared" si="34"/>
        <v>7175.6699999999983</v>
      </c>
      <c r="J481" s="28">
        <f t="shared" si="35"/>
        <v>2040.6500000000015</v>
      </c>
    </row>
    <row r="482" spans="1:10" x14ac:dyDescent="0.2">
      <c r="A482">
        <v>4161</v>
      </c>
      <c r="B482">
        <v>7</v>
      </c>
      <c r="C482" s="3" t="s">
        <v>515</v>
      </c>
      <c r="D482" s="29">
        <v>1547452.6500000001</v>
      </c>
      <c r="E482" s="26">
        <f t="shared" si="32"/>
        <v>43494.77</v>
      </c>
      <c r="F482" s="26">
        <f t="shared" si="33"/>
        <v>39145.29</v>
      </c>
      <c r="G482" s="26">
        <v>41314.949999999997</v>
      </c>
      <c r="H482" s="26">
        <v>37183.46</v>
      </c>
      <c r="I482" s="26">
        <f t="shared" si="34"/>
        <v>6311.3099999999977</v>
      </c>
      <c r="J482" s="28">
        <f t="shared" si="35"/>
        <v>1961.8300000000017</v>
      </c>
    </row>
    <row r="483" spans="1:10" x14ac:dyDescent="0.2">
      <c r="A483">
        <v>4162</v>
      </c>
      <c r="B483">
        <v>7</v>
      </c>
      <c r="C483" s="3" t="s">
        <v>516</v>
      </c>
      <c r="D483" s="29">
        <v>687528.62</v>
      </c>
      <c r="E483" s="26">
        <f t="shared" si="32"/>
        <v>19324.599999999999</v>
      </c>
      <c r="F483" s="26">
        <f t="shared" si="33"/>
        <v>17392.14</v>
      </c>
      <c r="G483" s="26">
        <v>21511.77</v>
      </c>
      <c r="H483" s="26">
        <v>19360.59</v>
      </c>
      <c r="I483" s="26">
        <f t="shared" si="34"/>
        <v>-35.990000000001601</v>
      </c>
      <c r="J483" s="28">
        <f t="shared" si="35"/>
        <v>-1968.4500000000007</v>
      </c>
    </row>
    <row r="484" spans="1:10" x14ac:dyDescent="0.2">
      <c r="A484">
        <v>4163</v>
      </c>
      <c r="B484">
        <v>7</v>
      </c>
      <c r="C484" s="3" t="s">
        <v>517</v>
      </c>
      <c r="D484" s="29">
        <v>2125617.92</v>
      </c>
      <c r="E484" s="26">
        <f t="shared" si="32"/>
        <v>59745.45</v>
      </c>
      <c r="F484" s="26">
        <f t="shared" si="33"/>
        <v>53770.91</v>
      </c>
      <c r="G484" s="26">
        <v>73272.399999999994</v>
      </c>
      <c r="H484" s="26">
        <v>65945.16</v>
      </c>
      <c r="I484" s="26">
        <f t="shared" si="34"/>
        <v>-6199.7100000000064</v>
      </c>
      <c r="J484" s="28">
        <f t="shared" si="35"/>
        <v>-12174.25</v>
      </c>
    </row>
    <row r="485" spans="1:10" x14ac:dyDescent="0.2">
      <c r="A485">
        <v>4164</v>
      </c>
      <c r="B485">
        <v>7</v>
      </c>
      <c r="C485" s="3" t="s">
        <v>518</v>
      </c>
      <c r="D485" s="29">
        <v>1635888.87</v>
      </c>
      <c r="E485" s="26">
        <f t="shared" si="32"/>
        <v>45980.480000000003</v>
      </c>
      <c r="F485" s="26">
        <f t="shared" si="33"/>
        <v>41382.43</v>
      </c>
      <c r="G485" s="26">
        <v>45456.9</v>
      </c>
      <c r="H485" s="26">
        <v>40911.21</v>
      </c>
      <c r="I485" s="26">
        <f t="shared" si="34"/>
        <v>5069.2700000000041</v>
      </c>
      <c r="J485" s="28">
        <f t="shared" si="35"/>
        <v>471.22000000000116</v>
      </c>
    </row>
    <row r="486" spans="1:10" x14ac:dyDescent="0.2">
      <c r="A486">
        <v>4166</v>
      </c>
      <c r="B486">
        <v>7</v>
      </c>
      <c r="C486" s="3" t="s">
        <v>519</v>
      </c>
      <c r="D486" s="29">
        <v>1067344.68</v>
      </c>
      <c r="E486" s="26">
        <f t="shared" si="32"/>
        <v>30000.21</v>
      </c>
      <c r="F486" s="26">
        <f t="shared" si="33"/>
        <v>27000.19</v>
      </c>
      <c r="G486" s="26">
        <v>31690.51</v>
      </c>
      <c r="H486" s="26">
        <v>28521.46</v>
      </c>
      <c r="I486" s="26">
        <f t="shared" si="34"/>
        <v>1478.75</v>
      </c>
      <c r="J486" s="28">
        <f t="shared" si="35"/>
        <v>-1521.2700000000004</v>
      </c>
    </row>
    <row r="487" spans="1:10" x14ac:dyDescent="0.2">
      <c r="A487">
        <v>4167</v>
      </c>
      <c r="B487">
        <v>7</v>
      </c>
      <c r="C487" s="3" t="s">
        <v>520</v>
      </c>
      <c r="D487" s="29">
        <v>1105952.57</v>
      </c>
      <c r="E487" s="26">
        <f t="shared" si="32"/>
        <v>31085.38</v>
      </c>
      <c r="F487" s="26">
        <f t="shared" si="33"/>
        <v>27976.84</v>
      </c>
      <c r="G487" s="26">
        <v>32170.51</v>
      </c>
      <c r="H487" s="26">
        <v>28953.46</v>
      </c>
      <c r="I487" s="26">
        <f t="shared" si="34"/>
        <v>2131.9200000000019</v>
      </c>
      <c r="J487" s="28">
        <f t="shared" si="35"/>
        <v>-976.61999999999898</v>
      </c>
    </row>
    <row r="488" spans="1:10" x14ac:dyDescent="0.2">
      <c r="A488">
        <v>4168</v>
      </c>
      <c r="B488">
        <v>7</v>
      </c>
      <c r="C488" s="3" t="s">
        <v>521</v>
      </c>
      <c r="D488" s="29">
        <v>663389.54</v>
      </c>
      <c r="E488" s="26">
        <f t="shared" si="32"/>
        <v>18646.11</v>
      </c>
      <c r="F488" s="26">
        <f t="shared" si="33"/>
        <v>16781.5</v>
      </c>
      <c r="G488" s="26">
        <v>18914.669999999998</v>
      </c>
      <c r="H488" s="26">
        <v>17023.2</v>
      </c>
      <c r="I488" s="26">
        <f t="shared" si="34"/>
        <v>1622.9099999999999</v>
      </c>
      <c r="J488" s="28">
        <f t="shared" si="35"/>
        <v>-241.70000000000073</v>
      </c>
    </row>
    <row r="489" spans="1:10" x14ac:dyDescent="0.2">
      <c r="A489">
        <v>4169</v>
      </c>
      <c r="B489">
        <v>7</v>
      </c>
      <c r="C489" s="3" t="s">
        <v>522</v>
      </c>
      <c r="D489" s="29">
        <v>1316473.32</v>
      </c>
      <c r="E489" s="26">
        <f t="shared" si="32"/>
        <v>37002.559999999998</v>
      </c>
      <c r="F489" s="26">
        <f t="shared" si="33"/>
        <v>33302.300000000003</v>
      </c>
      <c r="G489" s="26">
        <v>35784.720000000001</v>
      </c>
      <c r="H489" s="26">
        <v>32206.25</v>
      </c>
      <c r="I489" s="26">
        <f t="shared" si="34"/>
        <v>4796.3099999999977</v>
      </c>
      <c r="J489" s="28">
        <f t="shared" si="35"/>
        <v>1096.0500000000029</v>
      </c>
    </row>
    <row r="490" spans="1:10" x14ac:dyDescent="0.2">
      <c r="A490">
        <v>4170</v>
      </c>
      <c r="B490">
        <v>7</v>
      </c>
      <c r="C490" s="3" t="s">
        <v>523</v>
      </c>
      <c r="D490" s="29">
        <v>3177094.75</v>
      </c>
      <c r="E490" s="26">
        <f t="shared" si="32"/>
        <v>89299.67</v>
      </c>
      <c r="F490" s="26">
        <f t="shared" si="33"/>
        <v>80369.7</v>
      </c>
      <c r="G490" s="26">
        <v>86919.21</v>
      </c>
      <c r="H490" s="26">
        <v>78227.289999999994</v>
      </c>
      <c r="I490" s="26">
        <f t="shared" si="34"/>
        <v>11072.380000000005</v>
      </c>
      <c r="J490" s="28">
        <f t="shared" si="35"/>
        <v>2142.4100000000035</v>
      </c>
    </row>
    <row r="491" spans="1:10" x14ac:dyDescent="0.2">
      <c r="A491">
        <v>4171</v>
      </c>
      <c r="B491">
        <v>7</v>
      </c>
      <c r="C491" s="3" t="s">
        <v>524</v>
      </c>
      <c r="D491" s="29">
        <v>4251694.3199999994</v>
      </c>
      <c r="E491" s="26">
        <f t="shared" si="32"/>
        <v>119503.8</v>
      </c>
      <c r="F491" s="26">
        <f t="shared" si="33"/>
        <v>107553.42</v>
      </c>
      <c r="G491" s="26">
        <v>127735.51</v>
      </c>
      <c r="H491" s="26">
        <v>114961.96</v>
      </c>
      <c r="I491" s="26">
        <f t="shared" si="34"/>
        <v>4541.8399999999965</v>
      </c>
      <c r="J491" s="28">
        <f t="shared" si="35"/>
        <v>-7408.5400000000081</v>
      </c>
    </row>
    <row r="492" spans="1:10" x14ac:dyDescent="0.2">
      <c r="A492">
        <v>4172</v>
      </c>
      <c r="B492">
        <v>7</v>
      </c>
      <c r="C492" s="3" t="s">
        <v>525</v>
      </c>
      <c r="D492" s="29">
        <v>580499.34</v>
      </c>
      <c r="E492" s="26">
        <f t="shared" si="32"/>
        <v>16316.29</v>
      </c>
      <c r="F492" s="26">
        <f t="shared" si="33"/>
        <v>14684.66</v>
      </c>
      <c r="G492" s="26">
        <v>16249.44</v>
      </c>
      <c r="H492" s="26">
        <v>14624.5</v>
      </c>
      <c r="I492" s="26">
        <f t="shared" si="34"/>
        <v>1691.7900000000009</v>
      </c>
      <c r="J492" s="28">
        <f t="shared" si="35"/>
        <v>60.159999999999854</v>
      </c>
    </row>
    <row r="493" spans="1:10" x14ac:dyDescent="0.2">
      <c r="A493">
        <v>4173</v>
      </c>
      <c r="B493">
        <v>7</v>
      </c>
      <c r="C493" s="3" t="s">
        <v>526</v>
      </c>
      <c r="D493" s="29">
        <v>1174451.92</v>
      </c>
      <c r="E493" s="26">
        <f t="shared" si="32"/>
        <v>33010.71</v>
      </c>
      <c r="F493" s="26">
        <f t="shared" si="33"/>
        <v>29709.64</v>
      </c>
      <c r="G493" s="26">
        <v>35345.61</v>
      </c>
      <c r="H493" s="26">
        <v>31811.05</v>
      </c>
      <c r="I493" s="26">
        <f t="shared" si="34"/>
        <v>1199.6599999999999</v>
      </c>
      <c r="J493" s="28">
        <f t="shared" si="35"/>
        <v>-2101.41</v>
      </c>
    </row>
    <row r="494" spans="1:10" x14ac:dyDescent="0.2">
      <c r="A494">
        <v>4174</v>
      </c>
      <c r="B494">
        <v>7</v>
      </c>
      <c r="C494" s="3" t="s">
        <v>527</v>
      </c>
      <c r="D494" s="29">
        <v>182185.99000000002</v>
      </c>
      <c r="E494" s="26">
        <f t="shared" si="32"/>
        <v>5120.76</v>
      </c>
      <c r="F494" s="26">
        <f t="shared" si="33"/>
        <v>4608.68</v>
      </c>
      <c r="G494" s="26">
        <v>6802.37</v>
      </c>
      <c r="H494" s="26">
        <v>6122.13</v>
      </c>
      <c r="I494" s="26">
        <f t="shared" si="34"/>
        <v>-1001.3699999999999</v>
      </c>
      <c r="J494" s="28">
        <f t="shared" si="35"/>
        <v>-1513.4499999999998</v>
      </c>
    </row>
    <row r="495" spans="1:10" x14ac:dyDescent="0.2">
      <c r="A495" s="36">
        <v>4175</v>
      </c>
      <c r="B495" s="36">
        <v>7</v>
      </c>
      <c r="C495" s="37" t="s">
        <v>528</v>
      </c>
      <c r="D495" s="38">
        <v>1020764.13</v>
      </c>
      <c r="E495" s="33">
        <f>G495</f>
        <v>27716.959999999999</v>
      </c>
      <c r="F495" s="33">
        <f t="shared" si="33"/>
        <v>24945.26</v>
      </c>
      <c r="G495" s="33">
        <v>27716.959999999999</v>
      </c>
      <c r="H495" s="33">
        <v>24945.26</v>
      </c>
      <c r="I495" s="33">
        <f t="shared" si="34"/>
        <v>2771.7000000000007</v>
      </c>
      <c r="J495" s="39">
        <f t="shared" si="35"/>
        <v>0</v>
      </c>
    </row>
    <row r="496" spans="1:10" x14ac:dyDescent="0.2">
      <c r="A496">
        <v>4177</v>
      </c>
      <c r="B496">
        <v>7</v>
      </c>
      <c r="C496" s="3" t="s">
        <v>529</v>
      </c>
      <c r="D496" s="29">
        <v>426636.31999999995</v>
      </c>
      <c r="E496" s="26">
        <f t="shared" ref="E496:E513" si="36">ROUND(D496*$D$548,2)</f>
        <v>11991.61</v>
      </c>
      <c r="F496" s="26">
        <f t="shared" si="33"/>
        <v>10792.45</v>
      </c>
      <c r="G496" s="26">
        <v>11644.53</v>
      </c>
      <c r="H496" s="26">
        <v>10480.08</v>
      </c>
      <c r="I496" s="26">
        <f t="shared" si="34"/>
        <v>1511.5300000000007</v>
      </c>
      <c r="J496" s="28">
        <f t="shared" si="35"/>
        <v>312.3700000000008</v>
      </c>
    </row>
    <row r="497" spans="1:10" x14ac:dyDescent="0.2">
      <c r="A497">
        <v>4178</v>
      </c>
      <c r="B497">
        <v>7</v>
      </c>
      <c r="C497" s="3" t="s">
        <v>530</v>
      </c>
      <c r="D497" s="29">
        <v>1192252.49</v>
      </c>
      <c r="E497" s="26">
        <f t="shared" si="36"/>
        <v>33511.040000000001</v>
      </c>
      <c r="F497" s="26">
        <f t="shared" si="33"/>
        <v>30159.94</v>
      </c>
      <c r="G497" s="26">
        <v>34482.15</v>
      </c>
      <c r="H497" s="26">
        <v>31033.94</v>
      </c>
      <c r="I497" s="26">
        <f t="shared" si="34"/>
        <v>2477.1000000000022</v>
      </c>
      <c r="J497" s="28">
        <f t="shared" si="35"/>
        <v>-874</v>
      </c>
    </row>
    <row r="498" spans="1:10" x14ac:dyDescent="0.2">
      <c r="A498">
        <v>4180</v>
      </c>
      <c r="B498">
        <v>7</v>
      </c>
      <c r="C498" s="3" t="s">
        <v>531</v>
      </c>
      <c r="D498" s="29">
        <v>2136956.0099999998</v>
      </c>
      <c r="E498" s="26">
        <f t="shared" si="36"/>
        <v>60064.14</v>
      </c>
      <c r="F498" s="26">
        <f t="shared" si="33"/>
        <v>54057.73</v>
      </c>
      <c r="G498" s="26">
        <v>55161.8</v>
      </c>
      <c r="H498" s="26">
        <v>49645.62</v>
      </c>
      <c r="I498" s="26">
        <f t="shared" si="34"/>
        <v>10418.519999999997</v>
      </c>
      <c r="J498" s="28">
        <f t="shared" si="35"/>
        <v>4412.1100000000006</v>
      </c>
    </row>
    <row r="499" spans="1:10" x14ac:dyDescent="0.2">
      <c r="A499">
        <v>4181</v>
      </c>
      <c r="B499">
        <v>7</v>
      </c>
      <c r="C499" s="3" t="s">
        <v>532</v>
      </c>
      <c r="D499" s="29">
        <v>5499899.9600000009</v>
      </c>
      <c r="E499" s="26">
        <f t="shared" si="36"/>
        <v>154587.53</v>
      </c>
      <c r="F499" s="26">
        <f t="shared" si="33"/>
        <v>139128.78</v>
      </c>
      <c r="G499" s="26">
        <v>141964.1</v>
      </c>
      <c r="H499" s="26">
        <v>127767.69</v>
      </c>
      <c r="I499" s="26">
        <f t="shared" si="34"/>
        <v>26819.839999999997</v>
      </c>
      <c r="J499" s="28">
        <f t="shared" si="35"/>
        <v>11361.089999999997</v>
      </c>
    </row>
    <row r="500" spans="1:10" x14ac:dyDescent="0.2">
      <c r="A500">
        <v>4182</v>
      </c>
      <c r="B500">
        <v>7</v>
      </c>
      <c r="C500" s="3" t="s">
        <v>533</v>
      </c>
      <c r="D500" s="29">
        <v>1049749.54</v>
      </c>
      <c r="E500" s="26">
        <f t="shared" si="36"/>
        <v>29505.66</v>
      </c>
      <c r="F500" s="26">
        <f t="shared" si="33"/>
        <v>26555.09</v>
      </c>
      <c r="G500" s="26">
        <v>30077.14</v>
      </c>
      <c r="H500" s="26">
        <v>27069.43</v>
      </c>
      <c r="I500" s="26">
        <f t="shared" si="34"/>
        <v>2436.2299999999996</v>
      </c>
      <c r="J500" s="28">
        <f t="shared" si="35"/>
        <v>-514.34000000000015</v>
      </c>
    </row>
    <row r="501" spans="1:10" x14ac:dyDescent="0.2">
      <c r="A501">
        <v>4183</v>
      </c>
      <c r="B501">
        <v>7</v>
      </c>
      <c r="C501" s="3" t="s">
        <v>534</v>
      </c>
      <c r="D501" s="29">
        <v>4111079.34</v>
      </c>
      <c r="E501" s="26">
        <f t="shared" si="36"/>
        <v>115551.48</v>
      </c>
      <c r="F501" s="26">
        <f t="shared" si="33"/>
        <v>103996.33</v>
      </c>
      <c r="G501" s="26">
        <v>122451.48</v>
      </c>
      <c r="H501" s="26">
        <v>110206.33</v>
      </c>
      <c r="I501" s="26">
        <f t="shared" si="34"/>
        <v>5345.1499999999942</v>
      </c>
      <c r="J501" s="28">
        <f t="shared" si="35"/>
        <v>-6210</v>
      </c>
    </row>
    <row r="502" spans="1:10" x14ac:dyDescent="0.2">
      <c r="A502">
        <v>4184</v>
      </c>
      <c r="B502">
        <v>7</v>
      </c>
      <c r="C502" s="3" t="s">
        <v>535</v>
      </c>
      <c r="D502" s="29">
        <v>1564804.45</v>
      </c>
      <c r="E502" s="26">
        <f t="shared" si="36"/>
        <v>43982.48</v>
      </c>
      <c r="F502" s="26">
        <f t="shared" si="33"/>
        <v>39584.230000000003</v>
      </c>
      <c r="G502" s="26">
        <v>41484.67</v>
      </c>
      <c r="H502" s="26">
        <v>37336.199999999997</v>
      </c>
      <c r="I502" s="26">
        <f t="shared" si="34"/>
        <v>6646.2800000000061</v>
      </c>
      <c r="J502" s="28">
        <f t="shared" si="35"/>
        <v>2248.0300000000061</v>
      </c>
    </row>
    <row r="503" spans="1:10" x14ac:dyDescent="0.2">
      <c r="A503">
        <v>4185</v>
      </c>
      <c r="B503">
        <v>7</v>
      </c>
      <c r="C503" s="3" t="s">
        <v>536</v>
      </c>
      <c r="D503" s="29">
        <v>2511699.13</v>
      </c>
      <c r="E503" s="26">
        <f t="shared" si="36"/>
        <v>70597.17</v>
      </c>
      <c r="F503" s="26">
        <f t="shared" si="33"/>
        <v>63537.45</v>
      </c>
      <c r="G503" s="26">
        <v>65711.03</v>
      </c>
      <c r="H503" s="26">
        <v>59139.93</v>
      </c>
      <c r="I503" s="26">
        <f t="shared" si="34"/>
        <v>11457.239999999998</v>
      </c>
      <c r="J503" s="28">
        <f t="shared" si="35"/>
        <v>4397.5199999999968</v>
      </c>
    </row>
    <row r="504" spans="1:10" x14ac:dyDescent="0.2">
      <c r="A504">
        <v>4186</v>
      </c>
      <c r="B504">
        <v>7</v>
      </c>
      <c r="C504" s="3" t="s">
        <v>537</v>
      </c>
      <c r="D504" s="29">
        <v>3691610.29</v>
      </c>
      <c r="E504" s="26">
        <f t="shared" si="36"/>
        <v>103761.33</v>
      </c>
      <c r="F504" s="26">
        <f t="shared" si="33"/>
        <v>93385.2</v>
      </c>
      <c r="G504" s="26">
        <v>90689.06</v>
      </c>
      <c r="H504" s="26">
        <v>81620.149999999994</v>
      </c>
      <c r="I504" s="26">
        <f t="shared" si="34"/>
        <v>22141.180000000008</v>
      </c>
      <c r="J504" s="28">
        <f t="shared" si="35"/>
        <v>11765.050000000003</v>
      </c>
    </row>
    <row r="505" spans="1:10" x14ac:dyDescent="0.2">
      <c r="A505">
        <v>4187</v>
      </c>
      <c r="B505">
        <v>7</v>
      </c>
      <c r="C505" s="3" t="s">
        <v>538</v>
      </c>
      <c r="D505" s="29">
        <v>365450.44999999995</v>
      </c>
      <c r="E505" s="26">
        <f t="shared" si="36"/>
        <v>10271.84</v>
      </c>
      <c r="F505" s="26">
        <f t="shared" si="33"/>
        <v>9244.66</v>
      </c>
      <c r="G505" s="26">
        <v>14099.66</v>
      </c>
      <c r="H505" s="26">
        <v>12689.69</v>
      </c>
      <c r="I505" s="26">
        <f t="shared" si="34"/>
        <v>-2417.8500000000004</v>
      </c>
      <c r="J505" s="28">
        <f t="shared" si="35"/>
        <v>-3445.0300000000007</v>
      </c>
    </row>
    <row r="506" spans="1:10" x14ac:dyDescent="0.2">
      <c r="A506">
        <v>4188</v>
      </c>
      <c r="B506">
        <v>7</v>
      </c>
      <c r="C506" s="3" t="s">
        <v>539</v>
      </c>
      <c r="D506" s="29">
        <v>1848012.74</v>
      </c>
      <c r="E506" s="26">
        <f t="shared" si="36"/>
        <v>51942.71</v>
      </c>
      <c r="F506" s="26">
        <f t="shared" si="33"/>
        <v>46748.44</v>
      </c>
      <c r="G506" s="26">
        <v>42238.55</v>
      </c>
      <c r="H506" s="26">
        <v>38014.699999999997</v>
      </c>
      <c r="I506" s="26">
        <f t="shared" si="34"/>
        <v>13928.010000000002</v>
      </c>
      <c r="J506" s="28">
        <f t="shared" si="35"/>
        <v>8733.7400000000052</v>
      </c>
    </row>
    <row r="507" spans="1:10" x14ac:dyDescent="0.2">
      <c r="A507">
        <v>4189</v>
      </c>
      <c r="B507">
        <v>7</v>
      </c>
      <c r="C507" s="3" t="s">
        <v>540</v>
      </c>
      <c r="D507" s="29">
        <v>614395.35</v>
      </c>
      <c r="E507" s="26">
        <f t="shared" si="36"/>
        <v>17269.02</v>
      </c>
      <c r="F507" s="26">
        <f t="shared" si="33"/>
        <v>15542.12</v>
      </c>
      <c r="G507" s="26">
        <v>17959.650000000001</v>
      </c>
      <c r="H507" s="26">
        <v>16163.69</v>
      </c>
      <c r="I507" s="26">
        <f t="shared" si="34"/>
        <v>1105.33</v>
      </c>
      <c r="J507" s="28">
        <f t="shared" si="35"/>
        <v>-621.56999999999971</v>
      </c>
    </row>
    <row r="508" spans="1:10" x14ac:dyDescent="0.2">
      <c r="A508">
        <v>4190</v>
      </c>
      <c r="B508">
        <v>7</v>
      </c>
      <c r="C508" s="3" t="s">
        <v>541</v>
      </c>
      <c r="D508" s="29">
        <v>454063.71</v>
      </c>
      <c r="E508" s="26">
        <f t="shared" si="36"/>
        <v>12762.52</v>
      </c>
      <c r="F508" s="26">
        <f t="shared" si="33"/>
        <v>11486.27</v>
      </c>
      <c r="G508" s="26">
        <v>15076.16</v>
      </c>
      <c r="H508" s="26">
        <v>13568.54</v>
      </c>
      <c r="I508" s="26">
        <f t="shared" si="34"/>
        <v>-806.02000000000044</v>
      </c>
      <c r="J508" s="28">
        <f t="shared" si="35"/>
        <v>-2082.2700000000004</v>
      </c>
    </row>
    <row r="509" spans="1:10" x14ac:dyDescent="0.2">
      <c r="A509">
        <v>4191</v>
      </c>
      <c r="B509">
        <v>7</v>
      </c>
      <c r="C509" s="3" t="s">
        <v>542</v>
      </c>
      <c r="D509" s="29">
        <v>1348464.4900000002</v>
      </c>
      <c r="E509" s="26">
        <f t="shared" si="36"/>
        <v>37901.74</v>
      </c>
      <c r="F509" s="26">
        <f t="shared" si="33"/>
        <v>34111.57</v>
      </c>
      <c r="G509" s="26">
        <v>32196.39</v>
      </c>
      <c r="H509" s="26">
        <v>28976.75</v>
      </c>
      <c r="I509" s="26">
        <f t="shared" si="34"/>
        <v>8924.989999999998</v>
      </c>
      <c r="J509" s="28">
        <f t="shared" si="35"/>
        <v>5134.82</v>
      </c>
    </row>
    <row r="510" spans="1:10" x14ac:dyDescent="0.2">
      <c r="A510">
        <v>4192</v>
      </c>
      <c r="B510">
        <v>7</v>
      </c>
      <c r="C510" s="3" t="s">
        <v>543</v>
      </c>
      <c r="D510" s="29">
        <v>4435306.26</v>
      </c>
      <c r="E510" s="26">
        <f t="shared" si="36"/>
        <v>124664.64</v>
      </c>
      <c r="F510" s="26">
        <f t="shared" si="33"/>
        <v>112198.18</v>
      </c>
      <c r="G510" s="26">
        <v>110387.74</v>
      </c>
      <c r="H510" s="26">
        <v>99348.97</v>
      </c>
      <c r="I510" s="26">
        <f t="shared" si="34"/>
        <v>25315.67</v>
      </c>
      <c r="J510" s="28">
        <f t="shared" si="35"/>
        <v>12849.209999999992</v>
      </c>
    </row>
    <row r="511" spans="1:10" x14ac:dyDescent="0.2">
      <c r="A511">
        <v>4193</v>
      </c>
      <c r="B511">
        <v>7</v>
      </c>
      <c r="C511" s="3" t="s">
        <v>544</v>
      </c>
      <c r="D511" s="29">
        <v>1815276.1099999999</v>
      </c>
      <c r="E511" s="26">
        <f t="shared" si="36"/>
        <v>51022.57</v>
      </c>
      <c r="F511" s="26">
        <f t="shared" si="33"/>
        <v>45920.31</v>
      </c>
      <c r="G511" s="26">
        <v>41911.019999999997</v>
      </c>
      <c r="H511" s="26">
        <v>37719.919999999998</v>
      </c>
      <c r="I511" s="26">
        <f t="shared" si="34"/>
        <v>13302.650000000001</v>
      </c>
      <c r="J511" s="28">
        <f t="shared" si="35"/>
        <v>8200.39</v>
      </c>
    </row>
    <row r="512" spans="1:10" x14ac:dyDescent="0.2">
      <c r="A512">
        <v>4194</v>
      </c>
      <c r="B512">
        <v>7</v>
      </c>
      <c r="C512" s="3" t="s">
        <v>545</v>
      </c>
      <c r="D512" s="29">
        <v>1122813.7</v>
      </c>
      <c r="E512" s="26">
        <f t="shared" si="36"/>
        <v>31559.3</v>
      </c>
      <c r="F512" s="26">
        <f t="shared" si="33"/>
        <v>28403.37</v>
      </c>
      <c r="G512" s="26">
        <v>30467.35</v>
      </c>
      <c r="H512" s="26">
        <v>27420.62</v>
      </c>
      <c r="I512" s="26">
        <f t="shared" si="34"/>
        <v>4138.68</v>
      </c>
      <c r="J512" s="28">
        <f t="shared" si="35"/>
        <v>982.75</v>
      </c>
    </row>
    <row r="513" spans="1:10" x14ac:dyDescent="0.2">
      <c r="A513">
        <v>4195</v>
      </c>
      <c r="B513">
        <v>7</v>
      </c>
      <c r="C513" s="3" t="s">
        <v>546</v>
      </c>
      <c r="D513" s="29">
        <v>363112.2</v>
      </c>
      <c r="E513" s="26">
        <f t="shared" si="36"/>
        <v>10206.120000000001</v>
      </c>
      <c r="F513" s="26">
        <f t="shared" si="33"/>
        <v>9185.51</v>
      </c>
      <c r="G513" s="26">
        <v>10023.82</v>
      </c>
      <c r="H513" s="26">
        <v>9021.44</v>
      </c>
      <c r="I513" s="26">
        <f t="shared" si="34"/>
        <v>1184.6800000000003</v>
      </c>
      <c r="J513" s="28">
        <f t="shared" si="35"/>
        <v>164.06999999999971</v>
      </c>
    </row>
    <row r="514" spans="1:10" x14ac:dyDescent="0.2">
      <c r="A514" s="36">
        <v>4196</v>
      </c>
      <c r="B514" s="36">
        <v>7</v>
      </c>
      <c r="C514" s="37" t="s">
        <v>547</v>
      </c>
      <c r="D514" s="38">
        <v>316393.05</v>
      </c>
      <c r="E514" s="33">
        <f>G514</f>
        <v>20554.73</v>
      </c>
      <c r="F514" s="33">
        <f t="shared" si="33"/>
        <v>18499.259999999998</v>
      </c>
      <c r="G514" s="33">
        <v>20554.73</v>
      </c>
      <c r="H514" s="33">
        <v>18499.259999999998</v>
      </c>
      <c r="I514" s="33">
        <f t="shared" si="34"/>
        <v>2055.4700000000012</v>
      </c>
      <c r="J514" s="39">
        <f t="shared" si="35"/>
        <v>0</v>
      </c>
    </row>
    <row r="515" spans="1:10" x14ac:dyDescent="0.2">
      <c r="A515" s="2">
        <v>4197</v>
      </c>
      <c r="B515" s="2">
        <v>7</v>
      </c>
      <c r="C515" s="35" t="s">
        <v>548</v>
      </c>
      <c r="D515" s="29">
        <v>1024968.6699999999</v>
      </c>
      <c r="E515" s="26">
        <f t="shared" ref="E515:E533" si="37">ROUND(D515*$D$548,2)</f>
        <v>28809.14</v>
      </c>
      <c r="F515" s="26">
        <f t="shared" si="33"/>
        <v>25928.23</v>
      </c>
      <c r="G515" s="26">
        <v>22894.89</v>
      </c>
      <c r="H515" s="26">
        <v>20605.400000000001</v>
      </c>
      <c r="I515" s="26">
        <f t="shared" si="34"/>
        <v>8203.739999999998</v>
      </c>
      <c r="J515" s="28">
        <f t="shared" si="35"/>
        <v>5322.8299999999981</v>
      </c>
    </row>
    <row r="516" spans="1:10" x14ac:dyDescent="0.2">
      <c r="A516">
        <v>6004</v>
      </c>
      <c r="B516">
        <v>61</v>
      </c>
      <c r="C516" s="3" t="s">
        <v>549</v>
      </c>
      <c r="D516" s="29">
        <v>1466124.93</v>
      </c>
      <c r="E516" s="26">
        <f t="shared" si="37"/>
        <v>41208.86</v>
      </c>
      <c r="F516" s="26">
        <f t="shared" si="33"/>
        <v>37087.97</v>
      </c>
      <c r="G516" s="26">
        <v>26364.33</v>
      </c>
      <c r="H516" s="26">
        <v>23727.9</v>
      </c>
      <c r="I516" s="26">
        <f t="shared" si="34"/>
        <v>17480.96</v>
      </c>
      <c r="J516" s="28">
        <f t="shared" si="35"/>
        <v>13360.07</v>
      </c>
    </row>
    <row r="517" spans="1:10" x14ac:dyDescent="0.2">
      <c r="A517">
        <v>6012</v>
      </c>
      <c r="B517">
        <v>61</v>
      </c>
      <c r="C517" s="3" t="s">
        <v>550</v>
      </c>
      <c r="D517" s="29">
        <v>1199756.48</v>
      </c>
      <c r="E517" s="26">
        <f t="shared" si="37"/>
        <v>33721.96</v>
      </c>
      <c r="F517" s="26">
        <f t="shared" si="33"/>
        <v>30349.759999999998</v>
      </c>
      <c r="G517" s="26">
        <v>29211.08</v>
      </c>
      <c r="H517" s="26">
        <v>26289.97</v>
      </c>
      <c r="I517" s="26">
        <f t="shared" si="34"/>
        <v>7431.989999999998</v>
      </c>
      <c r="J517" s="28">
        <f t="shared" si="35"/>
        <v>4059.7899999999972</v>
      </c>
    </row>
    <row r="518" spans="1:10" x14ac:dyDescent="0.2">
      <c r="A518">
        <v>6013</v>
      </c>
      <c r="B518">
        <v>61</v>
      </c>
      <c r="C518" s="3" t="s">
        <v>551</v>
      </c>
      <c r="D518" s="29">
        <v>1221912.71</v>
      </c>
      <c r="E518" s="26">
        <f t="shared" si="37"/>
        <v>34344.71</v>
      </c>
      <c r="F518" s="26">
        <f t="shared" si="33"/>
        <v>30910.240000000002</v>
      </c>
      <c r="G518" s="26">
        <v>33488.57</v>
      </c>
      <c r="H518" s="26">
        <v>30139.71</v>
      </c>
      <c r="I518" s="26">
        <f t="shared" si="34"/>
        <v>4205</v>
      </c>
      <c r="J518" s="28">
        <f t="shared" si="35"/>
        <v>770.53000000000247</v>
      </c>
    </row>
    <row r="519" spans="1:10" x14ac:dyDescent="0.2">
      <c r="A519">
        <v>6014</v>
      </c>
      <c r="B519">
        <v>61</v>
      </c>
      <c r="C519" s="3" t="s">
        <v>552</v>
      </c>
      <c r="D519" s="29">
        <v>123919.9</v>
      </c>
      <c r="E519" s="26">
        <f t="shared" si="37"/>
        <v>3483.06</v>
      </c>
      <c r="F519" s="26">
        <f t="shared" si="33"/>
        <v>3134.75</v>
      </c>
      <c r="G519" s="26">
        <v>1943.31</v>
      </c>
      <c r="H519" s="26">
        <v>1748.98</v>
      </c>
      <c r="I519" s="26">
        <f t="shared" si="34"/>
        <v>1734.08</v>
      </c>
      <c r="J519" s="28">
        <f t="shared" si="35"/>
        <v>1385.77</v>
      </c>
    </row>
    <row r="520" spans="1:10" x14ac:dyDescent="0.2">
      <c r="A520" s="2">
        <v>6018</v>
      </c>
      <c r="B520" s="2">
        <v>61</v>
      </c>
      <c r="C520" s="35" t="s">
        <v>553</v>
      </c>
      <c r="D520" s="29">
        <v>276756.86</v>
      </c>
      <c r="E520" s="26">
        <f t="shared" si="37"/>
        <v>7778.9</v>
      </c>
      <c r="F520" s="26">
        <f t="shared" si="33"/>
        <v>7001.01</v>
      </c>
      <c r="G520" s="26">
        <v>7752.56</v>
      </c>
      <c r="H520" s="26">
        <v>6977.3</v>
      </c>
      <c r="I520" s="26">
        <f t="shared" si="34"/>
        <v>801.59999999999945</v>
      </c>
      <c r="J520" s="28">
        <f t="shared" si="35"/>
        <v>23.710000000000036</v>
      </c>
    </row>
    <row r="521" spans="1:10" x14ac:dyDescent="0.2">
      <c r="A521">
        <v>6026</v>
      </c>
      <c r="B521">
        <v>61</v>
      </c>
      <c r="C521" s="3" t="s">
        <v>554</v>
      </c>
      <c r="D521" s="29">
        <v>588653.87</v>
      </c>
      <c r="E521" s="26">
        <f t="shared" si="37"/>
        <v>16545.490000000002</v>
      </c>
      <c r="F521" s="26">
        <f t="shared" si="33"/>
        <v>14890.94</v>
      </c>
      <c r="G521" s="26">
        <v>10305.799999999999</v>
      </c>
      <c r="H521" s="26">
        <v>9275.2199999999993</v>
      </c>
      <c r="I521" s="26">
        <f t="shared" si="34"/>
        <v>7270.2700000000023</v>
      </c>
      <c r="J521" s="28">
        <f t="shared" si="35"/>
        <v>5615.7200000000012</v>
      </c>
    </row>
    <row r="522" spans="1:10" x14ac:dyDescent="0.2">
      <c r="A522">
        <v>6027</v>
      </c>
      <c r="B522">
        <v>61</v>
      </c>
      <c r="C522" s="3" t="s">
        <v>555</v>
      </c>
      <c r="D522" s="29">
        <v>1951562.7100000002</v>
      </c>
      <c r="E522" s="26">
        <f t="shared" si="37"/>
        <v>54853.23</v>
      </c>
      <c r="F522" s="26">
        <f t="shared" si="33"/>
        <v>49367.91</v>
      </c>
      <c r="G522" s="26">
        <v>45135.72</v>
      </c>
      <c r="H522" s="26">
        <v>40622.15</v>
      </c>
      <c r="I522" s="26">
        <f t="shared" si="34"/>
        <v>14231.080000000002</v>
      </c>
      <c r="J522" s="28">
        <f t="shared" si="35"/>
        <v>8745.760000000002</v>
      </c>
    </row>
    <row r="523" spans="1:10" x14ac:dyDescent="0.2">
      <c r="A523">
        <v>6049</v>
      </c>
      <c r="B523">
        <v>61</v>
      </c>
      <c r="C523" s="3" t="s">
        <v>556</v>
      </c>
      <c r="D523" s="29">
        <v>1590613.59</v>
      </c>
      <c r="E523" s="26">
        <f t="shared" si="37"/>
        <v>44707.91</v>
      </c>
      <c r="F523" s="26">
        <f t="shared" si="33"/>
        <v>40237.120000000003</v>
      </c>
      <c r="G523" s="26">
        <v>42920.800000000003</v>
      </c>
      <c r="H523" s="26">
        <v>38628.720000000001</v>
      </c>
      <c r="I523" s="26">
        <f t="shared" si="34"/>
        <v>6079.1900000000023</v>
      </c>
      <c r="J523" s="28">
        <f t="shared" si="35"/>
        <v>1608.4000000000015</v>
      </c>
    </row>
    <row r="524" spans="1:10" x14ac:dyDescent="0.2">
      <c r="A524">
        <v>6051</v>
      </c>
      <c r="B524">
        <v>61</v>
      </c>
      <c r="C524" s="3" t="s">
        <v>557</v>
      </c>
      <c r="D524" s="29">
        <v>1919118.53</v>
      </c>
      <c r="E524" s="26">
        <f t="shared" si="37"/>
        <v>53941.31</v>
      </c>
      <c r="F524" s="26">
        <f t="shared" si="33"/>
        <v>48547.18</v>
      </c>
      <c r="G524" s="26">
        <v>32820.04</v>
      </c>
      <c r="H524" s="26">
        <v>29538.04</v>
      </c>
      <c r="I524" s="26">
        <f t="shared" si="34"/>
        <v>24403.269999999997</v>
      </c>
      <c r="J524" s="28">
        <f t="shared" si="35"/>
        <v>19009.14</v>
      </c>
    </row>
    <row r="525" spans="1:10" x14ac:dyDescent="0.2">
      <c r="A525">
        <v>6067</v>
      </c>
      <c r="B525">
        <v>62</v>
      </c>
      <c r="C525" s="3" t="s">
        <v>558</v>
      </c>
      <c r="D525" s="29">
        <v>3129197.55</v>
      </c>
      <c r="E525" s="26">
        <f t="shared" si="37"/>
        <v>87953.4</v>
      </c>
      <c r="F525" s="26">
        <f t="shared" si="33"/>
        <v>79158.06</v>
      </c>
      <c r="G525" s="26">
        <v>74843.5</v>
      </c>
      <c r="H525" s="26">
        <v>67359.149999999994</v>
      </c>
      <c r="I525" s="26">
        <f t="shared" si="34"/>
        <v>20594.25</v>
      </c>
      <c r="J525" s="28">
        <f t="shared" si="35"/>
        <v>11798.910000000003</v>
      </c>
    </row>
    <row r="526" spans="1:10" x14ac:dyDescent="0.2">
      <c r="A526">
        <v>6069</v>
      </c>
      <c r="B526">
        <v>62</v>
      </c>
      <c r="C526" s="3" t="s">
        <v>559</v>
      </c>
      <c r="D526" s="29">
        <v>2075262.25</v>
      </c>
      <c r="E526" s="26">
        <f t="shared" si="37"/>
        <v>58330.09</v>
      </c>
      <c r="F526" s="26">
        <f t="shared" si="33"/>
        <v>52497.08</v>
      </c>
      <c r="G526" s="26">
        <v>53433.63</v>
      </c>
      <c r="H526" s="26">
        <v>48090.27</v>
      </c>
      <c r="I526" s="26">
        <f t="shared" si="34"/>
        <v>10239.82</v>
      </c>
      <c r="J526" s="28">
        <f t="shared" si="35"/>
        <v>4406.8100000000049</v>
      </c>
    </row>
    <row r="527" spans="1:10" x14ac:dyDescent="0.2">
      <c r="A527">
        <v>6072</v>
      </c>
      <c r="B527">
        <v>62</v>
      </c>
      <c r="C527" s="3" t="s">
        <v>560</v>
      </c>
      <c r="D527" s="29">
        <v>1445723.6199999999</v>
      </c>
      <c r="E527" s="26">
        <f t="shared" si="37"/>
        <v>40635.440000000002</v>
      </c>
      <c r="F527" s="26">
        <f t="shared" si="33"/>
        <v>36571.9</v>
      </c>
      <c r="G527" s="26">
        <v>40312.080000000002</v>
      </c>
      <c r="H527" s="26">
        <v>36280.870000000003</v>
      </c>
      <c r="I527" s="26">
        <f t="shared" si="34"/>
        <v>4354.57</v>
      </c>
      <c r="J527" s="28">
        <f t="shared" si="35"/>
        <v>291.02999999999884</v>
      </c>
    </row>
    <row r="528" spans="1:10" x14ac:dyDescent="0.2">
      <c r="A528">
        <v>6074</v>
      </c>
      <c r="B528">
        <v>50</v>
      </c>
      <c r="C528" s="3" t="s">
        <v>561</v>
      </c>
      <c r="D528" s="29">
        <v>11725.41</v>
      </c>
      <c r="E528" s="26">
        <f t="shared" si="37"/>
        <v>329.57</v>
      </c>
      <c r="F528" s="26">
        <f t="shared" ref="F528:F533" si="38">ROUND(E528*0.9,2)</f>
        <v>296.61</v>
      </c>
      <c r="G528" s="26">
        <v>335.33</v>
      </c>
      <c r="H528" s="26">
        <v>301.8</v>
      </c>
      <c r="I528" s="26">
        <f t="shared" ref="I528:I533" si="39">E528-H528</f>
        <v>27.769999999999982</v>
      </c>
      <c r="J528" s="28">
        <f t="shared" ref="J528:J533" si="40">F528-H528</f>
        <v>-5.1899999999999977</v>
      </c>
    </row>
    <row r="529" spans="1:10" x14ac:dyDescent="0.2">
      <c r="A529">
        <v>6076</v>
      </c>
      <c r="B529">
        <v>50</v>
      </c>
      <c r="C529" s="3" t="s">
        <v>562</v>
      </c>
      <c r="D529" s="29">
        <v>1260133.75</v>
      </c>
      <c r="E529" s="26">
        <f t="shared" si="37"/>
        <v>35419</v>
      </c>
      <c r="F529" s="26">
        <f t="shared" si="38"/>
        <v>31877.1</v>
      </c>
      <c r="G529" s="26">
        <v>22244.13</v>
      </c>
      <c r="H529" s="26">
        <v>20019.72</v>
      </c>
      <c r="I529" s="26">
        <f t="shared" si="39"/>
        <v>15399.279999999999</v>
      </c>
      <c r="J529" s="28">
        <f t="shared" si="40"/>
        <v>11857.379999999997</v>
      </c>
    </row>
    <row r="530" spans="1:10" x14ac:dyDescent="0.2">
      <c r="A530">
        <v>6079</v>
      </c>
      <c r="B530">
        <v>52</v>
      </c>
      <c r="C530" s="3" t="s">
        <v>563</v>
      </c>
      <c r="D530" s="29">
        <v>1837057.89</v>
      </c>
      <c r="E530" s="26">
        <f t="shared" si="37"/>
        <v>51634.8</v>
      </c>
      <c r="F530" s="26">
        <f t="shared" si="38"/>
        <v>46471.32</v>
      </c>
      <c r="G530" s="26">
        <v>52691.21</v>
      </c>
      <c r="H530" s="26">
        <v>47422.09</v>
      </c>
      <c r="I530" s="26">
        <f t="shared" si="39"/>
        <v>4212.7100000000064</v>
      </c>
      <c r="J530" s="28">
        <f t="shared" si="40"/>
        <v>-950.7699999999968</v>
      </c>
    </row>
    <row r="531" spans="1:10" x14ac:dyDescent="0.2">
      <c r="A531">
        <v>6080</v>
      </c>
      <c r="B531">
        <v>50</v>
      </c>
      <c r="C531" s="3" t="s">
        <v>564</v>
      </c>
      <c r="D531" s="29">
        <v>488.32</v>
      </c>
      <c r="E531" s="26">
        <f t="shared" si="37"/>
        <v>13.73</v>
      </c>
      <c r="F531" s="26">
        <f t="shared" si="38"/>
        <v>12.36</v>
      </c>
      <c r="G531" s="26">
        <v>13.97</v>
      </c>
      <c r="H531" s="26">
        <v>12.57</v>
      </c>
      <c r="I531" s="26">
        <f t="shared" si="39"/>
        <v>1.1600000000000001</v>
      </c>
      <c r="J531" s="28">
        <f t="shared" si="40"/>
        <v>-0.21000000000000085</v>
      </c>
    </row>
    <row r="532" spans="1:10" x14ac:dyDescent="0.2">
      <c r="A532">
        <v>6383</v>
      </c>
      <c r="B532">
        <v>61</v>
      </c>
      <c r="C532" s="3" t="s">
        <v>565</v>
      </c>
      <c r="D532" s="29">
        <v>1557998.96</v>
      </c>
      <c r="E532" s="26">
        <f t="shared" si="37"/>
        <v>43791.199999999997</v>
      </c>
      <c r="F532" s="26">
        <f t="shared" si="38"/>
        <v>39412.080000000002</v>
      </c>
      <c r="G532" s="26">
        <v>41178.36</v>
      </c>
      <c r="H532" s="26">
        <v>37060.519999999997</v>
      </c>
      <c r="I532" s="26">
        <f t="shared" si="39"/>
        <v>6730.68</v>
      </c>
      <c r="J532" s="28">
        <f t="shared" si="40"/>
        <v>2351.5600000000049</v>
      </c>
    </row>
    <row r="533" spans="1:10" x14ac:dyDescent="0.2">
      <c r="A533">
        <v>6979</v>
      </c>
      <c r="B533">
        <v>61</v>
      </c>
      <c r="C533" s="3" t="s">
        <v>566</v>
      </c>
      <c r="D533" s="29">
        <v>1086967.52</v>
      </c>
      <c r="E533" s="26">
        <f t="shared" si="37"/>
        <v>30551.759999999998</v>
      </c>
      <c r="F533" s="26">
        <f t="shared" si="38"/>
        <v>27496.58</v>
      </c>
      <c r="G533" s="26">
        <v>19795.75</v>
      </c>
      <c r="H533" s="26">
        <v>17816.18</v>
      </c>
      <c r="I533" s="26">
        <f t="shared" si="39"/>
        <v>12735.579999999998</v>
      </c>
      <c r="J533" s="28">
        <f t="shared" si="40"/>
        <v>9680.4000000000015</v>
      </c>
    </row>
    <row r="534" spans="1:10" x14ac:dyDescent="0.2">
      <c r="C534" s="3"/>
      <c r="D534" s="29"/>
      <c r="E534" s="26"/>
      <c r="F534" s="26"/>
      <c r="G534" s="26"/>
      <c r="H534" s="26"/>
      <c r="I534" s="26"/>
      <c r="J534" s="28"/>
    </row>
    <row r="535" spans="1:10" x14ac:dyDescent="0.2">
      <c r="C535" s="3" t="s">
        <v>567</v>
      </c>
      <c r="D535" s="25"/>
      <c r="E535" s="26">
        <f>$D$542</f>
        <v>670000</v>
      </c>
      <c r="F535" s="26">
        <f>ROUND(E535*0.9,2)</f>
        <v>603000</v>
      </c>
      <c r="G535" s="26">
        <f>$D$542</f>
        <v>670000</v>
      </c>
      <c r="H535" s="26">
        <f>ROUND(G535*0.9,2)</f>
        <v>603000</v>
      </c>
      <c r="I535" s="26">
        <f>E535-H535</f>
        <v>67000</v>
      </c>
      <c r="J535" s="28">
        <f>F535-H535</f>
        <v>0</v>
      </c>
    </row>
    <row r="536" spans="1:10" x14ac:dyDescent="0.2">
      <c r="C536" s="3" t="s">
        <v>568</v>
      </c>
      <c r="D536" s="25">
        <v>6613139.9199999999</v>
      </c>
      <c r="E536" s="26">
        <v>266244.51</v>
      </c>
      <c r="F536" s="26">
        <v>239620.06</v>
      </c>
      <c r="G536" s="26">
        <v>266244.51</v>
      </c>
      <c r="H536" s="26">
        <v>239620.06</v>
      </c>
      <c r="I536" s="26">
        <v>26624.450000000012</v>
      </c>
      <c r="J536" s="28">
        <v>0</v>
      </c>
    </row>
    <row r="537" spans="1:10" x14ac:dyDescent="0.2">
      <c r="D537" s="24"/>
      <c r="E537" s="26"/>
      <c r="F537" s="26"/>
      <c r="G537" s="26"/>
      <c r="H537" s="26"/>
      <c r="I537" s="26"/>
    </row>
    <row r="538" spans="1:10" ht="13.5" thickBot="1" x14ac:dyDescent="0.25">
      <c r="A538" t="s">
        <v>569</v>
      </c>
      <c r="E538" s="26"/>
      <c r="F538" s="26"/>
      <c r="G538" s="26"/>
      <c r="H538" s="26"/>
      <c r="I538" s="26"/>
    </row>
    <row r="539" spans="1:10" x14ac:dyDescent="0.2">
      <c r="C539" s="46" t="s">
        <v>570</v>
      </c>
      <c r="D539" s="47">
        <v>166717087</v>
      </c>
      <c r="E539" s="48"/>
      <c r="F539" s="26"/>
      <c r="G539" s="26"/>
      <c r="H539" s="26"/>
      <c r="I539" s="26"/>
    </row>
    <row r="540" spans="1:10" x14ac:dyDescent="0.2">
      <c r="C540" s="49" t="s">
        <v>571</v>
      </c>
      <c r="D540" s="50">
        <v>2462967</v>
      </c>
      <c r="E540" s="51"/>
      <c r="F540" s="26"/>
      <c r="G540" s="26"/>
      <c r="H540" s="26"/>
      <c r="I540" s="26"/>
    </row>
    <row r="541" spans="1:10" x14ac:dyDescent="0.2">
      <c r="C541" s="49" t="s">
        <v>572</v>
      </c>
      <c r="D541" s="50">
        <f>SUM(D539:D540)</f>
        <v>169180054</v>
      </c>
      <c r="E541" s="51"/>
      <c r="F541" s="26"/>
      <c r="G541" s="26"/>
      <c r="H541" s="26"/>
      <c r="I541" s="26"/>
    </row>
    <row r="542" spans="1:10" x14ac:dyDescent="0.2">
      <c r="C542" s="49" t="s">
        <v>573</v>
      </c>
      <c r="D542" s="52">
        <v>670000</v>
      </c>
      <c r="E542" s="51"/>
      <c r="F542" s="26"/>
      <c r="G542" s="26"/>
      <c r="H542" s="26"/>
      <c r="I542" s="26"/>
    </row>
    <row r="543" spans="1:10" x14ac:dyDescent="0.2">
      <c r="C543" s="49" t="s">
        <v>574</v>
      </c>
      <c r="D543" s="52">
        <f>D541-D542</f>
        <v>168510054</v>
      </c>
      <c r="E543" s="51"/>
      <c r="F543" s="26"/>
      <c r="G543" s="26"/>
      <c r="H543" s="26"/>
      <c r="I543" s="26"/>
    </row>
    <row r="544" spans="1:10" x14ac:dyDescent="0.2">
      <c r="C544" s="49"/>
      <c r="D544" s="52"/>
      <c r="E544" s="51"/>
      <c r="F544" s="26"/>
      <c r="G544" s="26"/>
      <c r="H544" s="26"/>
      <c r="I544" s="26"/>
    </row>
    <row r="545" spans="3:9" x14ac:dyDescent="0.2">
      <c r="C545" s="49" t="s">
        <v>575</v>
      </c>
      <c r="D545" s="52">
        <v>266244.51</v>
      </c>
      <c r="E545" s="51"/>
      <c r="F545" s="26"/>
      <c r="G545" s="26"/>
      <c r="H545" s="26"/>
      <c r="I545" s="26"/>
    </row>
    <row r="546" spans="3:9" x14ac:dyDescent="0.2">
      <c r="C546" s="49" t="s">
        <v>576</v>
      </c>
      <c r="D546" s="52">
        <f>D541-D542-D545</f>
        <v>168243809.49000001</v>
      </c>
      <c r="E546" s="51">
        <v>168243809.44</v>
      </c>
      <c r="F546" s="26"/>
      <c r="G546" s="26"/>
      <c r="H546" s="26"/>
      <c r="I546" s="26"/>
    </row>
    <row r="547" spans="3:9" x14ac:dyDescent="0.2">
      <c r="C547" s="49"/>
      <c r="D547" s="52"/>
      <c r="E547" s="51"/>
      <c r="F547" s="26"/>
      <c r="G547" s="26"/>
      <c r="H547" s="26"/>
      <c r="I547" s="26"/>
    </row>
    <row r="548" spans="3:9" ht="13.5" thickBot="1" x14ac:dyDescent="0.25">
      <c r="C548" s="53" t="s">
        <v>577</v>
      </c>
      <c r="D548" s="54">
        <v>2.8107334847619129E-2</v>
      </c>
      <c r="E548" s="55"/>
      <c r="F548" s="26"/>
      <c r="G548" s="26"/>
      <c r="H548" s="26"/>
      <c r="I548" s="26"/>
    </row>
    <row r="550" spans="3:9" x14ac:dyDescent="0.2">
      <c r="D550" s="45"/>
      <c r="E550" s="27"/>
      <c r="F550" s="45"/>
      <c r="G550" s="45"/>
      <c r="H550" s="45"/>
      <c r="I550" s="45"/>
    </row>
    <row r="553" spans="3:9" x14ac:dyDescent="0.2">
      <c r="E553" s="4"/>
    </row>
  </sheetData>
  <printOptions gridLines="1"/>
  <pageMargins left="0.7" right="0.7" top="0.75" bottom="0.5" header="0.3" footer="0.3"/>
  <pageSetup scale="75" fitToHeight="12" orientation="landscape" r:id="rId1"/>
  <headerFooter>
    <oddHeader xml:space="preserve">&amp;LMDE, Program Finance&amp;CAllocation of Education Jobs Fund Dollars and Supplemental Award
Based on State Aid Under FY 2011 Primary Elementary and Secondary Education Funding Formulas
Revised for October 30, 2011 IDEAS Payment Basis&amp;R10/27/2011
</oddHeader>
    <oddFooter>&amp;C&amp;P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Summary-to post</vt:lpstr>
      <vt:lpstr>'Summary-to post'!Print_Area</vt:lpstr>
      <vt:lpstr>'Summary-to post'!Print_Titles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EdJobs Fund Estimated Allocations to School Districts and Charter Schools Based on the State Primary Funding Formula (October 27, 2011)</dc:title>
  <dc:creator>Terik</dc:creator>
  <dc:description/>
  <cp:lastModifiedBy>EDU-UCMPROD$</cp:lastModifiedBy>
  <cp:lastPrinted>2011-11-04T17:01:36Z</cp:lastPrinted>
  <dcterms:created xsi:type="dcterms:W3CDTF">2011-11-04T16:20:19Z</dcterms:created>
  <dcterms:modified xsi:type="dcterms:W3CDTF">2011-11-07T17:05:48Z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004974</vt:lpwstr>
  </property>
</Properties>
</file>