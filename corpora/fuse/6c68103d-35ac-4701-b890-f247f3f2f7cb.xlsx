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24915" windowHeight="12015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G34" i="1" l="1"/>
  <c r="G30" i="1" l="1"/>
  <c r="G32" i="1" s="1"/>
  <c r="G36" i="1" l="1"/>
</calcChain>
</file>

<file path=xl/sharedStrings.xml><?xml version="1.0" encoding="utf-8"?>
<sst xmlns="http://schemas.openxmlformats.org/spreadsheetml/2006/main" count="44" uniqueCount="43">
  <si>
    <t>CITY OF SAINT PAUL</t>
  </si>
  <si>
    <t>Department of Fire and Safety Services</t>
  </si>
  <si>
    <t>PERMIT APPLICATION</t>
  </si>
  <si>
    <t>*All areas must be completed or application will be returned.</t>
  </si>
  <si>
    <t>Project Name and Address:</t>
  </si>
  <si>
    <t>Property Owner Name and Address:</t>
  </si>
  <si>
    <t>Contact Information:</t>
  </si>
  <si>
    <t>Contractor Name and Address:</t>
  </si>
  <si>
    <t xml:space="preserve">Commercial    </t>
  </si>
  <si>
    <t>Residential</t>
  </si>
  <si>
    <t xml:space="preserve">New Building   </t>
  </si>
  <si>
    <t>Existing Building</t>
  </si>
  <si>
    <t>Estimated Value of Project:</t>
  </si>
  <si>
    <t>Detailed Description of Work:</t>
  </si>
  <si>
    <t xml:space="preserve">Calculation Fee: </t>
  </si>
  <si>
    <t>Fee:</t>
  </si>
  <si>
    <t xml:space="preserve">      *Fee is 1% of value of work and minimum of $65.00</t>
  </si>
  <si>
    <t>*Applicant certifies that all information is correct and that all pertinent state regulations</t>
  </si>
  <si>
    <t>and city ordinances will be complied with in performing the work for which this permit is issued.</t>
  </si>
  <si>
    <t>Signature_________________________________________</t>
  </si>
  <si>
    <t xml:space="preserve"> Date:_______________</t>
  </si>
  <si>
    <t>Fax inspection request form to (651) 266-8951 when you are ready for an inspection.</t>
  </si>
  <si>
    <t>An inspector will contact you within 48 hours to set up an inspection time.</t>
  </si>
  <si>
    <t>Permit application information can be obtained by calling (651) 266-8989</t>
  </si>
  <si>
    <t xml:space="preserve">                         Monday – Friday 8:00 AM – 4:00 PM</t>
  </si>
  <si>
    <t>*Make checks payable to the City of Saint Paul or Fill out the credit cards section</t>
  </si>
  <si>
    <t>SPECIAL SUPPRESSION SYSTEM</t>
  </si>
  <si>
    <t>Updated July 2014</t>
  </si>
  <si>
    <t>Contact Information (including email):</t>
  </si>
  <si>
    <r>
      <rPr>
        <b/>
        <sz val="14"/>
        <color theme="1"/>
        <rFont val="Times New Roman"/>
        <family val="1"/>
      </rPr>
      <t>Select one:</t>
    </r>
    <r>
      <rPr>
        <sz val="14"/>
        <color theme="1"/>
        <rFont val="Times New Roman"/>
        <family val="1"/>
      </rPr>
      <t xml:space="preserve"> </t>
    </r>
  </si>
  <si>
    <t xml:space="preserve">                                                                                                TOTAL PERMIT FEE:</t>
  </si>
  <si>
    <r>
      <rPr>
        <b/>
        <sz val="14"/>
        <rFont val="Times New Roman"/>
        <family val="1"/>
      </rPr>
      <t>*</t>
    </r>
    <r>
      <rPr>
        <sz val="14"/>
        <rFont val="Times New Roman"/>
        <family val="1"/>
      </rPr>
      <t>Correct fee must be enclosed or application will be returned.</t>
    </r>
  </si>
  <si>
    <r>
      <rPr>
        <b/>
        <sz val="14"/>
        <color theme="1"/>
        <rFont val="Times New Roman"/>
        <family val="1"/>
      </rPr>
      <t>*</t>
    </r>
    <r>
      <rPr>
        <sz val="14"/>
        <color theme="1"/>
        <rFont val="Times New Roman"/>
        <family val="1"/>
      </rPr>
      <t xml:space="preserve"> If you have questions please call (651) 266-8989.</t>
    </r>
  </si>
  <si>
    <t xml:space="preserve">2) Plan Review </t>
  </si>
  <si>
    <t>Estimated Start:</t>
  </si>
  <si>
    <t>End Date:</t>
  </si>
  <si>
    <t xml:space="preserve">1) Special Suppression Permit Fee </t>
  </si>
  <si>
    <t>**This application is designed to be saved to your computer and filled out for each project**</t>
  </si>
  <si>
    <t>Fire Safety Inspection Division</t>
  </si>
  <si>
    <t xml:space="preserve">      *For new plans.  Fee is 65% of the Permit Fee</t>
  </si>
  <si>
    <t>3) State Surcharge</t>
  </si>
  <si>
    <t xml:space="preserve">      *Surcharge is the project valuation times 0.0005</t>
  </si>
  <si>
    <t>375 Jackson Suite 220, Saint Paul, MN 55101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</si>
</sst>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1"/>
      <color theme="1"/>
      <name val="Times New Roman"/>
      <family val="1"/>
    </font>
    <font>
      <sz val="14"/>
      <color rgb="FF006100"/>
      <name val="Times New Roman"/>
      <family val="1"/>
    </font>
    <font>
      <u/>
      <sz val="11"/>
      <color theme="10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0"/>
    <xf numFmtId="0" fontId="3" fillId="0" borderId="0"/>
    <xf numFmtId="0" fontId="5" fillId="0" borderId="0" applyNumberFormat="0" applyFill="0" applyBorder="0" applyAlignment="0" applyProtection="0"/>
  </cellStyleXfs>
  <cellXfs count="132">
    <xf numFmtId="0" fontId="0" fillId="0" borderId="0" xfId="0"/>
    <xf numFmtId="0" fontId="7" fillId="0" borderId="0" xfId="0" applyFont="1" applyBorder="1"/>
    <xf numFmtId="0" fontId="7" fillId="0" borderId="4" xfId="0" applyFont="1" applyBorder="1"/>
    <xf numFmtId="0" fontId="7" fillId="0" borderId="0" xfId="0" applyFont="1" applyBorder="1" applyAlignment="1"/>
    <xf numFmtId="0" fontId="6" fillId="0" borderId="11" xfId="0" applyFont="1" applyBorder="1"/>
    <xf numFmtId="0" fontId="7" fillId="0" borderId="9" xfId="0" applyFont="1" applyBorder="1"/>
    <xf numFmtId="0" fontId="7" fillId="0" borderId="7" xfId="0" applyFont="1" applyBorder="1"/>
    <xf numFmtId="0" fontId="6" fillId="0" borderId="10" xfId="0" applyFont="1" applyBorder="1" applyAlignment="1">
      <alignment horizontal="center"/>
    </xf>
    <xf numFmtId="0" fontId="7" fillId="0" borderId="6" xfId="0" applyFont="1" applyBorder="1"/>
    <xf numFmtId="0" fontId="7" fillId="0" borderId="1" xfId="0" applyFont="1" applyBorder="1"/>
    <xf numFmtId="0" fontId="10" fillId="0" borderId="0" xfId="0" applyFont="1"/>
    <xf numFmtId="0" fontId="10" fillId="0" borderId="0" xfId="0" applyFont="1" applyBorder="1"/>
    <xf numFmtId="0" fontId="7" fillId="0" borderId="5" xfId="0" applyFont="1" applyBorder="1"/>
    <xf numFmtId="0" fontId="7" fillId="0" borderId="8" xfId="0" applyFont="1" applyBorder="1"/>
    <xf numFmtId="0" fontId="7" fillId="0" borderId="21" xfId="0" applyFont="1" applyBorder="1"/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21" xfId="0" applyFont="1" applyBorder="1" applyAlignment="1">
      <alignment horizontal="left"/>
    </xf>
    <xf numFmtId="0" fontId="7" fillId="0" borderId="22" xfId="0" applyFont="1" applyFill="1" applyBorder="1" applyAlignment="1">
      <alignment horizontal="center"/>
    </xf>
    <xf numFmtId="0" fontId="6" fillId="0" borderId="15" xfId="0" applyFont="1" applyBorder="1" applyAlignment="1">
      <alignment vertical="center"/>
    </xf>
    <xf numFmtId="44" fontId="7" fillId="0" borderId="24" xfId="0" applyNumberFormat="1" applyFont="1" applyBorder="1" applyAlignment="1">
      <alignment horizontal="center" vertical="center"/>
    </xf>
    <xf numFmtId="44" fontId="7" fillId="0" borderId="26" xfId="0" applyNumberFormat="1" applyFont="1" applyBorder="1" applyAlignment="1">
      <alignment horizontal="center" vertical="center"/>
    </xf>
    <xf numFmtId="44" fontId="7" fillId="0" borderId="24" xfId="1" applyFont="1" applyBorder="1" applyAlignment="1">
      <alignment horizontal="right" vertical="center"/>
    </xf>
    <xf numFmtId="44" fontId="7" fillId="0" borderId="26" xfId="1" applyFont="1" applyBorder="1" applyAlignment="1">
      <alignment horizontal="right" vertical="center"/>
    </xf>
    <xf numFmtId="0" fontId="7" fillId="0" borderId="0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4" xfId="5" applyFont="1" applyBorder="1" applyAlignment="1">
      <alignment horizontal="center"/>
    </xf>
    <xf numFmtId="0" fontId="12" fillId="0" borderId="0" xfId="5" applyFont="1" applyBorder="1" applyAlignment="1">
      <alignment horizontal="center"/>
    </xf>
    <xf numFmtId="0" fontId="12" fillId="0" borderId="5" xfId="5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8" fillId="0" borderId="1" xfId="4" applyFont="1" applyFill="1" applyBorder="1" applyAlignment="1">
      <alignment horizontal="center" vertical="center"/>
    </xf>
    <xf numFmtId="0" fontId="8" fillId="0" borderId="2" xfId="4" applyFont="1" applyFill="1" applyBorder="1" applyAlignment="1">
      <alignment horizontal="center" vertical="center"/>
    </xf>
    <xf numFmtId="0" fontId="8" fillId="0" borderId="3" xfId="4" applyFont="1" applyFill="1" applyBorder="1" applyAlignment="1">
      <alignment horizontal="center" vertical="center"/>
    </xf>
    <xf numFmtId="0" fontId="8" fillId="0" borderId="4" xfId="4" applyFont="1" applyFill="1" applyBorder="1" applyAlignment="1">
      <alignment horizontal="center" vertical="center"/>
    </xf>
    <xf numFmtId="0" fontId="8" fillId="0" borderId="0" xfId="4" applyFont="1" applyFill="1" applyBorder="1" applyAlignment="1">
      <alignment horizontal="center" vertical="center"/>
    </xf>
    <xf numFmtId="0" fontId="8" fillId="0" borderId="5" xfId="4" applyFont="1" applyFill="1" applyBorder="1" applyAlignment="1">
      <alignment horizontal="center" vertical="center"/>
    </xf>
    <xf numFmtId="0" fontId="9" fillId="0" borderId="4" xfId="4" applyFont="1" applyFill="1" applyBorder="1" applyAlignment="1">
      <alignment horizontal="center" vertical="center"/>
    </xf>
    <xf numFmtId="0" fontId="9" fillId="0" borderId="0" xfId="4" applyFont="1" applyFill="1" applyBorder="1" applyAlignment="1">
      <alignment horizontal="center" vertical="center"/>
    </xf>
    <xf numFmtId="0" fontId="9" fillId="0" borderId="5" xfId="4" applyFont="1" applyFill="1" applyBorder="1" applyAlignment="1">
      <alignment horizontal="center" vertical="center"/>
    </xf>
    <xf numFmtId="0" fontId="7" fillId="0" borderId="18" xfId="0" applyFont="1" applyBorder="1" applyAlignment="1">
      <alignment horizontal="left" vertical="center" shrinkToFit="1"/>
    </xf>
    <xf numFmtId="0" fontId="7" fillId="0" borderId="19" xfId="0" applyFont="1" applyBorder="1" applyAlignment="1">
      <alignment horizontal="left" vertical="center" shrinkToFit="1"/>
    </xf>
    <xf numFmtId="0" fontId="7" fillId="0" borderId="20" xfId="0" applyFont="1" applyBorder="1" applyAlignment="1">
      <alignment horizontal="left" vertical="center" shrinkToFit="1"/>
    </xf>
    <xf numFmtId="0" fontId="7" fillId="0" borderId="15" xfId="0" applyFont="1" applyBorder="1" applyAlignment="1">
      <alignment horizontal="left" vertical="center" shrinkToFit="1"/>
    </xf>
    <xf numFmtId="0" fontId="7" fillId="0" borderId="16" xfId="0" applyFont="1" applyBorder="1" applyAlignment="1">
      <alignment horizontal="left" vertical="center" shrinkToFit="1"/>
    </xf>
    <xf numFmtId="0" fontId="7" fillId="0" borderId="17" xfId="0" applyFont="1" applyBorder="1" applyAlignment="1">
      <alignment horizontal="left" vertical="center" shrinkToFit="1"/>
    </xf>
    <xf numFmtId="0" fontId="9" fillId="0" borderId="4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4" xfId="4" applyFont="1" applyBorder="1" applyAlignment="1">
      <alignment horizontal="center"/>
    </xf>
    <xf numFmtId="0" fontId="9" fillId="0" borderId="0" xfId="4" applyFont="1" applyBorder="1" applyAlignment="1">
      <alignment horizontal="center"/>
    </xf>
    <xf numFmtId="0" fontId="9" fillId="0" borderId="5" xfId="4" applyFont="1" applyBorder="1" applyAlignment="1">
      <alignment horizontal="center"/>
    </xf>
    <xf numFmtId="0" fontId="8" fillId="0" borderId="1" xfId="4" applyFont="1" applyBorder="1" applyAlignment="1">
      <alignment horizontal="center"/>
    </xf>
    <xf numFmtId="0" fontId="8" fillId="0" borderId="2" xfId="4" applyFont="1" applyBorder="1" applyAlignment="1">
      <alignment horizontal="center"/>
    </xf>
    <xf numFmtId="0" fontId="8" fillId="0" borderId="3" xfId="4" applyFont="1" applyBorder="1" applyAlignment="1">
      <alignment horizontal="center"/>
    </xf>
    <xf numFmtId="0" fontId="9" fillId="0" borderId="6" xfId="4" applyFont="1" applyFill="1" applyBorder="1" applyAlignment="1">
      <alignment horizontal="center" vertical="center"/>
    </xf>
    <xf numFmtId="0" fontId="9" fillId="0" borderId="7" xfId="4" applyFont="1" applyFill="1" applyBorder="1" applyAlignment="1">
      <alignment horizontal="center" vertical="center"/>
    </xf>
    <xf numFmtId="0" fontId="9" fillId="0" borderId="8" xfId="4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shrinkToFit="1"/>
    </xf>
    <xf numFmtId="0" fontId="7" fillId="0" borderId="19" xfId="0" applyFont="1" applyBorder="1" applyAlignment="1">
      <alignment horizontal="center" shrinkToFit="1"/>
    </xf>
    <xf numFmtId="0" fontId="7" fillId="0" borderId="20" xfId="0" applyFont="1" applyBorder="1" applyAlignment="1">
      <alignment horizontal="center" shrinkToFit="1"/>
    </xf>
    <xf numFmtId="0" fontId="7" fillId="0" borderId="15" xfId="0" applyFont="1" applyBorder="1" applyAlignment="1">
      <alignment horizontal="center" shrinkToFit="1"/>
    </xf>
    <xf numFmtId="0" fontId="7" fillId="0" borderId="16" xfId="0" applyFont="1" applyBorder="1" applyAlignment="1">
      <alignment horizontal="center" shrinkToFit="1"/>
    </xf>
    <xf numFmtId="0" fontId="7" fillId="0" borderId="17" xfId="0" applyFont="1" applyBorder="1" applyAlignment="1">
      <alignment horizontal="center" shrinkToFit="1"/>
    </xf>
    <xf numFmtId="0" fontId="6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27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11" fillId="2" borderId="9" xfId="2" applyFont="1" applyBorder="1" applyAlignment="1">
      <alignment horizontal="center" vertical="center"/>
    </xf>
    <xf numFmtId="0" fontId="6" fillId="0" borderId="29" xfId="0" applyFont="1" applyBorder="1" applyAlignment="1">
      <alignment horizontal="left"/>
    </xf>
    <xf numFmtId="0" fontId="6" fillId="0" borderId="30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7" fillId="0" borderId="18" xfId="0" applyFont="1" applyBorder="1" applyAlignment="1">
      <alignment horizontal="left" shrinkToFit="1"/>
    </xf>
    <xf numFmtId="0" fontId="7" fillId="0" borderId="19" xfId="0" applyFont="1" applyBorder="1" applyAlignment="1">
      <alignment horizontal="left" shrinkToFit="1"/>
    </xf>
    <xf numFmtId="0" fontId="7" fillId="0" borderId="20" xfId="0" applyFont="1" applyBorder="1" applyAlignment="1">
      <alignment horizontal="left" shrinkToFit="1"/>
    </xf>
    <xf numFmtId="0" fontId="7" fillId="0" borderId="15" xfId="0" applyFont="1" applyBorder="1" applyAlignment="1">
      <alignment horizontal="left" shrinkToFit="1"/>
    </xf>
    <xf numFmtId="0" fontId="7" fillId="0" borderId="16" xfId="0" applyFont="1" applyBorder="1" applyAlignment="1">
      <alignment horizontal="left" shrinkToFit="1"/>
    </xf>
    <xf numFmtId="0" fontId="7" fillId="0" borderId="17" xfId="0" applyFont="1" applyBorder="1" applyAlignment="1">
      <alignment horizontal="left" shrinkToFit="1"/>
    </xf>
    <xf numFmtId="0" fontId="7" fillId="0" borderId="1" xfId="0" applyFont="1" applyFill="1" applyBorder="1" applyAlignment="1">
      <alignment horizontal="left"/>
    </xf>
    <xf numFmtId="0" fontId="7" fillId="0" borderId="2" xfId="0" applyFont="1" applyFill="1" applyBorder="1" applyAlignment="1">
      <alignment horizontal="left"/>
    </xf>
    <xf numFmtId="0" fontId="7" fillId="0" borderId="3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21" xfId="0" applyFont="1" applyBorder="1" applyAlignment="1">
      <alignment horizontal="left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44" fontId="7" fillId="0" borderId="24" xfId="1" applyFont="1" applyBorder="1" applyAlignment="1">
      <alignment horizontal="center" vertical="center"/>
    </xf>
    <xf numFmtId="44" fontId="7" fillId="0" borderId="25" xfId="1" applyFont="1" applyBorder="1" applyAlignment="1">
      <alignment horizontal="center" vertical="center"/>
    </xf>
    <xf numFmtId="44" fontId="7" fillId="0" borderId="3" xfId="1" applyFont="1" applyBorder="1" applyAlignment="1">
      <alignment horizontal="center" vertical="center"/>
    </xf>
    <xf numFmtId="44" fontId="7" fillId="0" borderId="8" xfId="1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0" borderId="1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9" fillId="0" borderId="6" xfId="4" applyFont="1" applyBorder="1" applyAlignment="1">
      <alignment horizontal="center" shrinkToFit="1"/>
    </xf>
    <xf numFmtId="0" fontId="9" fillId="0" borderId="7" xfId="4" applyFont="1" applyBorder="1" applyAlignment="1">
      <alignment horizontal="center" shrinkToFit="1"/>
    </xf>
    <xf numFmtId="0" fontId="9" fillId="0" borderId="8" xfId="4" applyFont="1" applyBorder="1" applyAlignment="1">
      <alignment horizontal="center" shrinkToFit="1"/>
    </xf>
  </cellXfs>
  <cellStyles count="6">
    <cellStyle name="Currency" xfId="1" builtinId="4"/>
    <cellStyle name="Good" xfId="2" builtinId="26"/>
    <cellStyle name="Hyperlink" xfId="5" builtinId="8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340544</xdr:colOff>
      <xdr:row>0</xdr:row>
      <xdr:rowOff>0</xdr:rowOff>
    </xdr:from>
    <xdr:to>
      <xdr:col>0</xdr:col>
      <xdr:colOff>904875</xdr:colOff>
      <xdr:row>4</xdr:row>
      <xdr:rowOff>3941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544" y="0"/>
          <a:ext cx="564331" cy="1127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99333</xdr:colOff>
      <xdr:row>51</xdr:row>
      <xdr:rowOff>14909</xdr:rowOff>
    </xdr:from>
    <xdr:to>
      <xdr:col>6</xdr:col>
      <xdr:colOff>485265</xdr:colOff>
      <xdr:row>55</xdr:row>
      <xdr:rowOff>71934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333" y="12454559"/>
          <a:ext cx="7596357" cy="10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tpaul.gov/DocumentCenter/Home/View/13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abSelected="1" zoomScaleNormal="100" workbookViewId="0">
      <selection activeCell="A8" sqref="A8:G8"/>
    </sheetView>
  </sheetViews>
  <sheetFormatPr defaultRowHeight="15" x14ac:dyDescent="0.25"/>
  <cols>
    <col min="1" max="1" width="20.5703125" style="10" customWidth="1"/>
    <col min="2" max="2" width="17.85546875" style="10" customWidth="1"/>
    <col min="3" max="3" width="14.85546875" style="10" customWidth="1"/>
    <col min="4" max="4" width="15.42578125" style="10" customWidth="1"/>
    <col min="5" max="5" width="20.5703125" style="10" customWidth="1"/>
    <col min="6" max="6" width="18.85546875" style="10" customWidth="1"/>
    <col min="7" max="7" width="14.28515625" style="10" customWidth="1"/>
    <col min="8" max="16384" width="9.140625" style="10"/>
  </cols>
  <sheetData>
    <row r="1" spans="1:8" ht="25.5" customHeight="1" x14ac:dyDescent="0.3">
      <c r="A1" s="9"/>
      <c r="B1" s="72" t="s">
        <v>0</v>
      </c>
      <c r="C1" s="73"/>
      <c r="D1" s="74"/>
      <c r="E1" s="47" t="s">
        <v>26</v>
      </c>
      <c r="F1" s="48"/>
      <c r="G1" s="49"/>
    </row>
    <row r="2" spans="1:8" ht="22.5" customHeight="1" x14ac:dyDescent="0.3">
      <c r="A2" s="2"/>
      <c r="B2" s="69" t="s">
        <v>1</v>
      </c>
      <c r="C2" s="70"/>
      <c r="D2" s="71"/>
      <c r="E2" s="50" t="s">
        <v>2</v>
      </c>
      <c r="F2" s="51"/>
      <c r="G2" s="52"/>
    </row>
    <row r="3" spans="1:8" ht="20.25" customHeight="1" x14ac:dyDescent="0.3">
      <c r="A3" s="2"/>
      <c r="B3" s="69" t="s">
        <v>38</v>
      </c>
      <c r="C3" s="70"/>
      <c r="D3" s="71"/>
      <c r="E3" s="53" t="s">
        <v>27</v>
      </c>
      <c r="F3" s="54"/>
      <c r="G3" s="55"/>
    </row>
    <row r="4" spans="1:8" ht="20.25" customHeight="1" thickBot="1" x14ac:dyDescent="0.35">
      <c r="A4" s="2"/>
      <c r="B4" s="129" t="s">
        <v>42</v>
      </c>
      <c r="C4" s="130"/>
      <c r="D4" s="131"/>
      <c r="E4" s="75"/>
      <c r="F4" s="76"/>
      <c r="G4" s="77"/>
    </row>
    <row r="5" spans="1:8" ht="20.25" customHeight="1" x14ac:dyDescent="0.3">
      <c r="A5" s="35" t="s">
        <v>37</v>
      </c>
      <c r="B5" s="36"/>
      <c r="C5" s="36"/>
      <c r="D5" s="36"/>
      <c r="E5" s="36"/>
      <c r="F5" s="36"/>
      <c r="G5" s="36"/>
    </row>
    <row r="6" spans="1:8" ht="25.5" customHeight="1" x14ac:dyDescent="0.25">
      <c r="A6" s="62" t="s">
        <v>3</v>
      </c>
      <c r="B6" s="63"/>
      <c r="C6" s="63"/>
      <c r="D6" s="63"/>
      <c r="E6" s="63"/>
      <c r="F6" s="63"/>
      <c r="G6" s="63"/>
      <c r="H6" s="11"/>
    </row>
    <row r="7" spans="1:8" ht="18.75" customHeight="1" x14ac:dyDescent="0.25">
      <c r="A7" s="62" t="s">
        <v>31</v>
      </c>
      <c r="B7" s="63"/>
      <c r="C7" s="63"/>
      <c r="D7" s="63"/>
      <c r="E7" s="63"/>
      <c r="F7" s="63"/>
      <c r="G7" s="63"/>
      <c r="H7" s="11"/>
    </row>
    <row r="8" spans="1:8" ht="20.25" customHeight="1" thickBot="1" x14ac:dyDescent="0.3">
      <c r="A8" s="64" t="s">
        <v>32</v>
      </c>
      <c r="B8" s="65"/>
      <c r="C8" s="65"/>
      <c r="D8" s="65"/>
      <c r="E8" s="65"/>
      <c r="F8" s="65"/>
      <c r="G8" s="65"/>
      <c r="H8" s="11"/>
    </row>
    <row r="9" spans="1:8" ht="27" customHeight="1" x14ac:dyDescent="0.25">
      <c r="A9" s="66" t="s">
        <v>4</v>
      </c>
      <c r="B9" s="67"/>
      <c r="C9" s="67"/>
      <c r="D9" s="67"/>
      <c r="E9" s="67"/>
      <c r="F9" s="67"/>
      <c r="G9" s="68"/>
    </row>
    <row r="10" spans="1:8" ht="18.75" customHeight="1" x14ac:dyDescent="0.25">
      <c r="A10" s="56"/>
      <c r="B10" s="57"/>
      <c r="C10" s="57"/>
      <c r="D10" s="57"/>
      <c r="E10" s="57"/>
      <c r="F10" s="57"/>
      <c r="G10" s="58"/>
    </row>
    <row r="11" spans="1:8" ht="21" customHeight="1" thickBot="1" x14ac:dyDescent="0.3">
      <c r="A11" s="59"/>
      <c r="B11" s="60"/>
      <c r="C11" s="60"/>
      <c r="D11" s="60"/>
      <c r="E11" s="60"/>
      <c r="F11" s="60"/>
      <c r="G11" s="61"/>
    </row>
    <row r="12" spans="1:8" ht="24.75" customHeight="1" x14ac:dyDescent="0.3">
      <c r="A12" s="116" t="s">
        <v>5</v>
      </c>
      <c r="B12" s="117"/>
      <c r="C12" s="118"/>
      <c r="D12" s="116" t="s">
        <v>6</v>
      </c>
      <c r="E12" s="117"/>
      <c r="F12" s="117"/>
      <c r="G12" s="118"/>
    </row>
    <row r="13" spans="1:8" ht="18.75" customHeight="1" x14ac:dyDescent="0.25">
      <c r="A13" s="56"/>
      <c r="B13" s="57"/>
      <c r="C13" s="58"/>
      <c r="D13" s="56"/>
      <c r="E13" s="57"/>
      <c r="F13" s="57"/>
      <c r="G13" s="58"/>
    </row>
    <row r="14" spans="1:8" ht="18" customHeight="1" thickBot="1" x14ac:dyDescent="0.3">
      <c r="A14" s="59"/>
      <c r="B14" s="60"/>
      <c r="C14" s="61"/>
      <c r="D14" s="59"/>
      <c r="E14" s="60"/>
      <c r="F14" s="60"/>
      <c r="G14" s="61"/>
    </row>
    <row r="15" spans="1:8" ht="21" customHeight="1" x14ac:dyDescent="0.3">
      <c r="A15" s="90" t="s">
        <v>7</v>
      </c>
      <c r="B15" s="91"/>
      <c r="C15" s="92"/>
      <c r="D15" s="66" t="s">
        <v>28</v>
      </c>
      <c r="E15" s="67"/>
      <c r="F15" s="67"/>
      <c r="G15" s="68"/>
    </row>
    <row r="16" spans="1:8" ht="18.75" customHeight="1" x14ac:dyDescent="0.3">
      <c r="A16" s="93"/>
      <c r="B16" s="94"/>
      <c r="C16" s="95"/>
      <c r="D16" s="78"/>
      <c r="E16" s="79"/>
      <c r="F16" s="79"/>
      <c r="G16" s="80"/>
    </row>
    <row r="17" spans="1:9" ht="17.25" customHeight="1" thickBot="1" x14ac:dyDescent="0.35">
      <c r="A17" s="96"/>
      <c r="B17" s="97"/>
      <c r="C17" s="98"/>
      <c r="D17" s="81"/>
      <c r="E17" s="82"/>
      <c r="F17" s="82"/>
      <c r="G17" s="83"/>
    </row>
    <row r="18" spans="1:9" ht="19.5" customHeight="1" x14ac:dyDescent="0.3">
      <c r="A18" s="14" t="s">
        <v>29</v>
      </c>
      <c r="B18" s="15" t="s">
        <v>8</v>
      </c>
      <c r="C18" s="16" t="s">
        <v>9</v>
      </c>
      <c r="D18" s="17" t="s">
        <v>29</v>
      </c>
      <c r="E18" s="18" t="s">
        <v>10</v>
      </c>
      <c r="F18" s="87" t="s">
        <v>11</v>
      </c>
      <c r="G18" s="88"/>
    </row>
    <row r="19" spans="1:9" ht="23.25" customHeight="1" thickBot="1" x14ac:dyDescent="0.3">
      <c r="A19" s="19" t="s">
        <v>34</v>
      </c>
      <c r="B19" s="60"/>
      <c r="C19" s="61"/>
      <c r="D19" s="19" t="s">
        <v>35</v>
      </c>
      <c r="E19" s="60"/>
      <c r="F19" s="60"/>
      <c r="G19" s="61"/>
    </row>
    <row r="20" spans="1:9" ht="23.25" customHeight="1" thickBot="1" x14ac:dyDescent="0.35">
      <c r="A20" s="4" t="s">
        <v>12</v>
      </c>
      <c r="B20" s="5"/>
      <c r="C20" s="89"/>
      <c r="D20" s="89"/>
      <c r="E20" s="111"/>
      <c r="F20" s="111"/>
      <c r="G20" s="112"/>
    </row>
    <row r="21" spans="1:9" ht="23.25" customHeight="1" x14ac:dyDescent="0.3">
      <c r="A21" s="84" t="s">
        <v>13</v>
      </c>
      <c r="B21" s="85"/>
      <c r="C21" s="85"/>
      <c r="D21" s="85"/>
      <c r="E21" s="85"/>
      <c r="F21" s="85"/>
      <c r="G21" s="86"/>
    </row>
    <row r="22" spans="1:9" ht="15" customHeight="1" x14ac:dyDescent="0.3">
      <c r="A22" s="35"/>
      <c r="B22" s="36"/>
      <c r="C22" s="36"/>
      <c r="D22" s="36"/>
      <c r="E22" s="36"/>
      <c r="F22" s="36"/>
      <c r="G22" s="37"/>
      <c r="H22" s="3"/>
      <c r="I22" s="3"/>
    </row>
    <row r="23" spans="1:9" ht="18" customHeight="1" x14ac:dyDescent="0.3">
      <c r="A23" s="35"/>
      <c r="B23" s="36"/>
      <c r="C23" s="36"/>
      <c r="D23" s="36"/>
      <c r="E23" s="36"/>
      <c r="F23" s="36"/>
      <c r="G23" s="37"/>
      <c r="H23" s="3"/>
      <c r="I23" s="3"/>
    </row>
    <row r="24" spans="1:9" ht="18.75" customHeight="1" x14ac:dyDescent="0.3">
      <c r="A24" s="35"/>
      <c r="B24" s="36"/>
      <c r="C24" s="36"/>
      <c r="D24" s="36"/>
      <c r="E24" s="36"/>
      <c r="F24" s="36"/>
      <c r="G24" s="37"/>
      <c r="H24" s="3"/>
      <c r="I24" s="3"/>
    </row>
    <row r="25" spans="1:9" ht="14.25" customHeight="1" x14ac:dyDescent="0.3">
      <c r="A25" s="35"/>
      <c r="B25" s="36"/>
      <c r="C25" s="36"/>
      <c r="D25" s="36"/>
      <c r="E25" s="36"/>
      <c r="F25" s="36"/>
      <c r="G25" s="37"/>
      <c r="H25" s="3"/>
      <c r="I25" s="3"/>
    </row>
    <row r="26" spans="1:9" ht="16.5" customHeight="1" x14ac:dyDescent="0.3">
      <c r="A26" s="35"/>
      <c r="B26" s="36"/>
      <c r="C26" s="36"/>
      <c r="D26" s="36"/>
      <c r="E26" s="36"/>
      <c r="F26" s="36"/>
      <c r="G26" s="37"/>
      <c r="H26" s="3"/>
      <c r="I26" s="3"/>
    </row>
    <row r="27" spans="1:9" ht="15" customHeight="1" x14ac:dyDescent="0.3">
      <c r="A27" s="35"/>
      <c r="B27" s="36"/>
      <c r="C27" s="36"/>
      <c r="D27" s="36"/>
      <c r="E27" s="36"/>
      <c r="F27" s="36"/>
      <c r="G27" s="37"/>
      <c r="H27" s="3"/>
      <c r="I27" s="3"/>
    </row>
    <row r="28" spans="1:9" ht="15" customHeight="1" thickBot="1" x14ac:dyDescent="0.35">
      <c r="A28" s="123"/>
      <c r="B28" s="124"/>
      <c r="C28" s="124"/>
      <c r="D28" s="124"/>
      <c r="E28" s="124"/>
      <c r="F28" s="124"/>
      <c r="G28" s="125"/>
      <c r="H28" s="3"/>
      <c r="I28" s="3"/>
    </row>
    <row r="29" spans="1:9" ht="19.5" thickBot="1" x14ac:dyDescent="0.35">
      <c r="A29" s="126" t="s">
        <v>14</v>
      </c>
      <c r="B29" s="127"/>
      <c r="C29" s="127"/>
      <c r="D29" s="127"/>
      <c r="E29" s="127"/>
      <c r="F29" s="128"/>
      <c r="G29" s="7" t="s">
        <v>15</v>
      </c>
    </row>
    <row r="30" spans="1:9" ht="20.25" customHeight="1" x14ac:dyDescent="0.3">
      <c r="A30" s="99" t="s">
        <v>36</v>
      </c>
      <c r="B30" s="100"/>
      <c r="C30" s="100"/>
      <c r="D30" s="100"/>
      <c r="E30" s="100"/>
      <c r="F30" s="101"/>
      <c r="G30" s="119">
        <f>IF(C20=0,0,IF(C20*0.01&lt;65,65,C20*0.01))</f>
        <v>0</v>
      </c>
    </row>
    <row r="31" spans="1:9" ht="20.25" customHeight="1" thickBot="1" x14ac:dyDescent="0.35">
      <c r="A31" s="102" t="s">
        <v>16</v>
      </c>
      <c r="B31" s="103"/>
      <c r="C31" s="103"/>
      <c r="D31" s="103"/>
      <c r="E31" s="103"/>
      <c r="F31" s="104"/>
      <c r="G31" s="120"/>
    </row>
    <row r="32" spans="1:9" ht="18.75" customHeight="1" x14ac:dyDescent="0.25">
      <c r="A32" s="105" t="s">
        <v>33</v>
      </c>
      <c r="B32" s="106"/>
      <c r="C32" s="106"/>
      <c r="D32" s="106"/>
      <c r="E32" s="106"/>
      <c r="F32" s="107"/>
      <c r="G32" s="121">
        <f>G30*0.65</f>
        <v>0</v>
      </c>
    </row>
    <row r="33" spans="1:7" ht="17.25" customHeight="1" thickBot="1" x14ac:dyDescent="0.3">
      <c r="A33" s="108" t="s">
        <v>39</v>
      </c>
      <c r="B33" s="109"/>
      <c r="C33" s="109"/>
      <c r="D33" s="109"/>
      <c r="E33" s="109"/>
      <c r="F33" s="110"/>
      <c r="G33" s="122"/>
    </row>
    <row r="34" spans="1:7" ht="18" customHeight="1" x14ac:dyDescent="0.3">
      <c r="A34" s="33" t="s">
        <v>40</v>
      </c>
      <c r="B34" s="24"/>
      <c r="C34" s="24"/>
      <c r="D34" s="24"/>
      <c r="E34" s="24"/>
      <c r="F34" s="24"/>
      <c r="G34" s="22">
        <f>IF(C20&gt;10000,C20*0.0005,0)</f>
        <v>0</v>
      </c>
    </row>
    <row r="35" spans="1:7" ht="18.75" customHeight="1" thickBot="1" x14ac:dyDescent="0.35">
      <c r="A35" s="8" t="s">
        <v>41</v>
      </c>
      <c r="B35" s="6"/>
      <c r="C35" s="6"/>
      <c r="D35" s="6"/>
      <c r="E35" s="6"/>
      <c r="F35" s="6"/>
      <c r="G35" s="23"/>
    </row>
    <row r="36" spans="1:7" ht="18" customHeight="1" x14ac:dyDescent="0.25">
      <c r="A36" s="29" t="s">
        <v>30</v>
      </c>
      <c r="B36" s="30"/>
      <c r="C36" s="30"/>
      <c r="D36" s="30"/>
      <c r="E36" s="30"/>
      <c r="F36" s="30"/>
      <c r="G36" s="20">
        <f>SUM(G34,G30)</f>
        <v>0</v>
      </c>
    </row>
    <row r="37" spans="1:7" ht="14.25" customHeight="1" thickBot="1" x14ac:dyDescent="0.3">
      <c r="A37" s="31"/>
      <c r="B37" s="32"/>
      <c r="C37" s="32"/>
      <c r="D37" s="32"/>
      <c r="E37" s="32"/>
      <c r="F37" s="32"/>
      <c r="G37" s="21"/>
    </row>
    <row r="38" spans="1:7" ht="22.5" customHeight="1" x14ac:dyDescent="0.25">
      <c r="A38" s="29"/>
      <c r="B38" s="30"/>
      <c r="C38" s="30"/>
      <c r="D38" s="30"/>
      <c r="E38" s="30"/>
      <c r="F38" s="30"/>
      <c r="G38" s="34"/>
    </row>
    <row r="39" spans="1:7" ht="26.25" customHeight="1" x14ac:dyDescent="0.3">
      <c r="A39" s="26" t="s">
        <v>17</v>
      </c>
      <c r="B39" s="27"/>
      <c r="C39" s="27"/>
      <c r="D39" s="27"/>
      <c r="E39" s="27"/>
      <c r="F39" s="27"/>
      <c r="G39" s="28"/>
    </row>
    <row r="40" spans="1:7" ht="22.5" customHeight="1" x14ac:dyDescent="0.3">
      <c r="A40" s="26" t="s">
        <v>18</v>
      </c>
      <c r="B40" s="27"/>
      <c r="C40" s="27"/>
      <c r="D40" s="27"/>
      <c r="E40" s="27"/>
      <c r="F40" s="27"/>
      <c r="G40" s="28"/>
    </row>
    <row r="41" spans="1:7" ht="15.75" customHeight="1" x14ac:dyDescent="0.3">
      <c r="A41" s="35"/>
      <c r="B41" s="36"/>
      <c r="C41" s="36"/>
      <c r="D41" s="36"/>
      <c r="E41" s="36"/>
      <c r="F41" s="36"/>
      <c r="G41" s="37"/>
    </row>
    <row r="42" spans="1:7" ht="28.5" customHeight="1" x14ac:dyDescent="0.3">
      <c r="A42" s="35" t="s">
        <v>19</v>
      </c>
      <c r="B42" s="36"/>
      <c r="C42" s="36"/>
      <c r="D42" s="36"/>
      <c r="E42" s="24" t="s">
        <v>20</v>
      </c>
      <c r="F42" s="24"/>
      <c r="G42" s="25"/>
    </row>
    <row r="43" spans="1:7" ht="17.25" customHeight="1" x14ac:dyDescent="0.3">
      <c r="A43" s="35"/>
      <c r="B43" s="36"/>
      <c r="C43" s="36"/>
      <c r="D43" s="36"/>
      <c r="E43" s="36"/>
      <c r="F43" s="36"/>
      <c r="G43" s="37"/>
    </row>
    <row r="44" spans="1:7" x14ac:dyDescent="0.25">
      <c r="A44" s="113"/>
      <c r="B44" s="114"/>
      <c r="C44" s="114"/>
      <c r="D44" s="114"/>
      <c r="E44" s="114"/>
      <c r="F44" s="114"/>
      <c r="G44" s="115"/>
    </row>
    <row r="45" spans="1:7" x14ac:dyDescent="0.25">
      <c r="A45" s="41" t="s">
        <v>21</v>
      </c>
      <c r="B45" s="42"/>
      <c r="C45" s="42"/>
      <c r="D45" s="42"/>
      <c r="E45" s="42"/>
      <c r="F45" s="42"/>
      <c r="G45" s="43"/>
    </row>
    <row r="46" spans="1:7" ht="15.75" x14ac:dyDescent="0.25">
      <c r="A46" s="44" t="s">
        <v>22</v>
      </c>
      <c r="B46" s="45"/>
      <c r="C46" s="45"/>
      <c r="D46" s="45"/>
      <c r="E46" s="45"/>
      <c r="F46" s="45"/>
      <c r="G46" s="46"/>
    </row>
    <row r="47" spans="1:7" ht="15.75" x14ac:dyDescent="0.25">
      <c r="A47" s="44" t="s">
        <v>23</v>
      </c>
      <c r="B47" s="45"/>
      <c r="C47" s="45"/>
      <c r="D47" s="45"/>
      <c r="E47" s="45"/>
      <c r="F47" s="45"/>
      <c r="G47" s="46"/>
    </row>
    <row r="48" spans="1:7" ht="15.75" x14ac:dyDescent="0.25">
      <c r="A48" s="44" t="s">
        <v>24</v>
      </c>
      <c r="B48" s="45"/>
      <c r="C48" s="45"/>
      <c r="D48" s="45"/>
      <c r="E48" s="45"/>
      <c r="F48" s="45"/>
      <c r="G48" s="46"/>
    </row>
    <row r="49" spans="1:7" ht="15.75" customHeight="1" x14ac:dyDescent="0.25">
      <c r="A49" s="113"/>
      <c r="B49" s="114"/>
      <c r="C49" s="114"/>
      <c r="D49" s="114"/>
      <c r="E49" s="114"/>
      <c r="F49" s="114"/>
      <c r="G49" s="115"/>
    </row>
    <row r="50" spans="1:7" ht="15.75" customHeight="1" x14ac:dyDescent="0.25">
      <c r="A50" s="38" t="s">
        <v>25</v>
      </c>
      <c r="B50" s="39"/>
      <c r="C50" s="39"/>
      <c r="D50" s="39"/>
      <c r="E50" s="39"/>
      <c r="F50" s="39"/>
      <c r="G50" s="40"/>
    </row>
    <row r="51" spans="1:7" ht="15.75" customHeight="1" x14ac:dyDescent="0.25">
      <c r="A51" s="38"/>
      <c r="B51" s="39"/>
      <c r="C51" s="39"/>
      <c r="D51" s="39"/>
      <c r="E51" s="39"/>
      <c r="F51" s="39"/>
      <c r="G51" s="40"/>
    </row>
    <row r="52" spans="1:7" ht="18.75" x14ac:dyDescent="0.3">
      <c r="A52" s="2"/>
      <c r="B52" s="1"/>
      <c r="C52" s="1"/>
      <c r="D52" s="1"/>
      <c r="E52" s="1"/>
      <c r="F52" s="1"/>
      <c r="G52" s="12"/>
    </row>
    <row r="53" spans="1:7" ht="18.75" x14ac:dyDescent="0.3">
      <c r="A53" s="2"/>
      <c r="B53" s="1"/>
      <c r="C53" s="1"/>
      <c r="D53" s="1"/>
      <c r="E53" s="1"/>
      <c r="F53" s="1"/>
      <c r="G53" s="12"/>
    </row>
    <row r="54" spans="1:7" ht="18.75" x14ac:dyDescent="0.3">
      <c r="A54" s="2"/>
      <c r="B54" s="1"/>
      <c r="C54" s="1"/>
      <c r="D54" s="1"/>
      <c r="E54" s="1"/>
      <c r="F54" s="1"/>
      <c r="G54" s="12"/>
    </row>
    <row r="55" spans="1:7" ht="18.75" x14ac:dyDescent="0.3">
      <c r="A55" s="2"/>
      <c r="B55" s="1"/>
      <c r="C55" s="1"/>
      <c r="D55" s="1"/>
      <c r="E55" s="1"/>
      <c r="F55" s="1"/>
      <c r="G55" s="12"/>
    </row>
    <row r="56" spans="1:7" ht="19.5" thickBot="1" x14ac:dyDescent="0.35">
      <c r="A56" s="8"/>
      <c r="B56" s="6"/>
      <c r="C56" s="6"/>
      <c r="D56" s="6"/>
      <c r="E56" s="6"/>
      <c r="F56" s="6"/>
      <c r="G56" s="13"/>
    </row>
  </sheetData>
  <mergeCells count="59">
    <mergeCell ref="A43:G43"/>
    <mergeCell ref="A44:G44"/>
    <mergeCell ref="A49:G49"/>
    <mergeCell ref="A42:D42"/>
    <mergeCell ref="A5:G5"/>
    <mergeCell ref="D12:G12"/>
    <mergeCell ref="D13:G13"/>
    <mergeCell ref="D14:G14"/>
    <mergeCell ref="A12:C12"/>
    <mergeCell ref="A13:C13"/>
    <mergeCell ref="A14:C14"/>
    <mergeCell ref="G30:G31"/>
    <mergeCell ref="E19:G19"/>
    <mergeCell ref="G32:G33"/>
    <mergeCell ref="A22:G28"/>
    <mergeCell ref="A29:F29"/>
    <mergeCell ref="A30:F30"/>
    <mergeCell ref="A31:F31"/>
    <mergeCell ref="A32:F32"/>
    <mergeCell ref="A33:F33"/>
    <mergeCell ref="B19:C19"/>
    <mergeCell ref="E20:G20"/>
    <mergeCell ref="D16:G16"/>
    <mergeCell ref="D17:G17"/>
    <mergeCell ref="D15:G15"/>
    <mergeCell ref="A21:G21"/>
    <mergeCell ref="F18:G18"/>
    <mergeCell ref="C20:D20"/>
    <mergeCell ref="A15:C15"/>
    <mergeCell ref="A16:C16"/>
    <mergeCell ref="A17:C17"/>
    <mergeCell ref="E1:G1"/>
    <mergeCell ref="E2:G2"/>
    <mergeCell ref="E3:G3"/>
    <mergeCell ref="A10:G10"/>
    <mergeCell ref="A11:G11"/>
    <mergeCell ref="A6:G6"/>
    <mergeCell ref="A7:G7"/>
    <mergeCell ref="A8:G8"/>
    <mergeCell ref="A9:G9"/>
    <mergeCell ref="B4:D4"/>
    <mergeCell ref="B2:D2"/>
    <mergeCell ref="B1:D1"/>
    <mergeCell ref="B3:D3"/>
    <mergeCell ref="E4:G4"/>
    <mergeCell ref="A50:G51"/>
    <mergeCell ref="A45:G45"/>
    <mergeCell ref="A46:G46"/>
    <mergeCell ref="A47:G47"/>
    <mergeCell ref="A48:G48"/>
    <mergeCell ref="G36:G37"/>
    <mergeCell ref="G34:G35"/>
    <mergeCell ref="E42:G42"/>
    <mergeCell ref="A39:G39"/>
    <mergeCell ref="A40:G40"/>
    <mergeCell ref="A36:F37"/>
    <mergeCell ref="A34:F34"/>
    <mergeCell ref="A38:G38"/>
    <mergeCell ref="A41:G41"/>
  </mergeCells>
  <hyperlinks>
    <hyperlink ref="A45" r:id="rId1"/>
  </hyperlinks>
  <pageMargins left="1" right="1" top="1" bottom="1" header="0.5" footer="0.5"/>
  <pageSetup paperSize="8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Saint Paul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See Her</dc:creator>
  <cp:lastModifiedBy>Angie Wiese</cp:lastModifiedBy>
  <cp:lastPrinted>2014-08-18T12:34:09Z</cp:lastPrinted>
  <dcterms:created xsi:type="dcterms:W3CDTF">2014-07-28T16:35:31Z</dcterms:created>
  <dcterms:modified xsi:type="dcterms:W3CDTF">2014-08-27T16:11:00Z</dcterms:modified>
</cp:coreProperties>
</file>