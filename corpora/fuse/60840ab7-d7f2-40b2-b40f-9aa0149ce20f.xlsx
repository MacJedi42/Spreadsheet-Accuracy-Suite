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11640"/>
  </bookViews>
  <sheets>
    <sheet name="In hours" sheetId="1" r:id="rId1"/>
    <sheet name="In day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0" i="1" l="1"/>
  <c r="B10" i="2"/>
  <c r="C18" i="2" l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E10" i="2"/>
  <c r="B12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3" i="2" l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C31" i="2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19" i="1" l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E10" i="1"/>
  <c r="B12" i="1"/>
  <c r="B14" i="1" s="1"/>
  <c r="D19" i="1" s="1"/>
  <c r="C35" i="1" l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32" i="1"/>
  <c r="C33" i="1" s="1"/>
  <c r="D20" i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l="1"/>
  <c r="D33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</calcChain>
</file>

<file path=xl/sharedStrings.xml><?xml version="1.0" encoding="utf-8"?>
<sst xmlns="http://schemas.openxmlformats.org/spreadsheetml/2006/main" count="81" uniqueCount="53">
  <si>
    <t>Enter date of start of contract e.g. 1 May 2011</t>
  </si>
  <si>
    <t>Enter end date of holiday year  i.e. 31 March 2012</t>
  </si>
  <si>
    <t>Number of days between the these two dates</t>
  </si>
  <si>
    <t>HOLIDAY RECORD</t>
  </si>
  <si>
    <t>Monday</t>
  </si>
  <si>
    <t>Tuesday</t>
  </si>
  <si>
    <t>Wednesday</t>
  </si>
  <si>
    <t>Thursday</t>
  </si>
  <si>
    <t>Friday</t>
  </si>
  <si>
    <t>Working hours</t>
  </si>
  <si>
    <t>Running total of leave taken</t>
  </si>
  <si>
    <t xml:space="preserve">Running total of leave remaining </t>
  </si>
  <si>
    <t>INSTRUCTIONS FOR USE</t>
  </si>
  <si>
    <t>Enter full year entitlement in hours</t>
  </si>
  <si>
    <t>(if part-time, use calculator 1 on leave calculator if not known)</t>
  </si>
  <si>
    <t>Bank and Unversity Holidays</t>
  </si>
  <si>
    <t>1.  Calculate entitlement (pro-rated if part-time)</t>
  </si>
  <si>
    <t>Entitlement in hours</t>
  </si>
  <si>
    <t>Normal hours worked on that day(s)</t>
  </si>
  <si>
    <t>Total</t>
  </si>
  <si>
    <t xml:space="preserve">3. Complete the table for Bank and University Holidays, putting in the hours you would normally work on that day. If you do not normally work that day, enter zero.  </t>
  </si>
  <si>
    <t>(or  start date for annual leave year)</t>
  </si>
  <si>
    <t>2. Put you working hours in the table to the left(as a reminder).</t>
  </si>
  <si>
    <t>Bookable Leave</t>
  </si>
  <si>
    <t xml:space="preserve">4. Put zero for any days that occurred before you started work at the University. </t>
  </si>
  <si>
    <t xml:space="preserve">5. Add on the further days of bookable annual leave as they are taken, or when they are planned. </t>
  </si>
  <si>
    <t xml:space="preserve">Note: The values used are fractions of an hour not minutes e.g. 7hrs 18 mins = 7.3hours, NOT 7.18 hours </t>
  </si>
  <si>
    <t>Enter full year entitlement in days</t>
  </si>
  <si>
    <t>Working days</t>
  </si>
  <si>
    <t>2. Put you working days in the table to the left(as a reminder).</t>
  </si>
  <si>
    <t xml:space="preserve">3. Complete the table for Bank and University Holidays, putting in the proportion of  a day you would normally work on that day. Put in 1 for a full day.If you do not normally work that day, enter zero.  </t>
  </si>
  <si>
    <t>Entitlement in days</t>
  </si>
  <si>
    <t>Proportion of day normally hours worked on that day(s)</t>
  </si>
  <si>
    <r>
      <t xml:space="preserve">Note: The values used are fractions of a day  e.g. 1 day = 1.0, </t>
    </r>
    <r>
      <rPr>
        <sz val="11"/>
        <color theme="0"/>
        <rFont val="Calibri"/>
        <family val="2"/>
      </rPr>
      <t xml:space="preserve">½ day </t>
    </r>
    <r>
      <rPr>
        <sz val="11"/>
        <color theme="0"/>
        <rFont val="Calibri"/>
        <family val="2"/>
        <scheme val="minor"/>
      </rPr>
      <t xml:space="preserve">= 0.5days </t>
    </r>
  </si>
  <si>
    <t>Bank and University Holidays</t>
  </si>
  <si>
    <t>Enter date of start of contract e.g. 1 May 2012</t>
  </si>
  <si>
    <t>Enter end date of holiday year  i.e. 31 March 2013</t>
  </si>
  <si>
    <t>Approved carry forward</t>
  </si>
  <si>
    <t xml:space="preserve">4. Add on the further days of bookable annual leave as they are taken, or when they are planned. </t>
  </si>
  <si>
    <t>4. Put in any approved carry forward of annual leave</t>
  </si>
  <si>
    <t>Entitlement plus carry forward in hours</t>
  </si>
  <si>
    <t>Tuesday 2nd April</t>
  </si>
  <si>
    <t>Monday 6th May</t>
  </si>
  <si>
    <t>Monday 27th May</t>
  </si>
  <si>
    <t xml:space="preserve">Monday 26 th August </t>
  </si>
  <si>
    <t>Tuesday 27th August</t>
  </si>
  <si>
    <t xml:space="preserve">Wednesday 25th December </t>
  </si>
  <si>
    <t>Thursday 26th December</t>
  </si>
  <si>
    <t xml:space="preserve">Friday 27th December </t>
  </si>
  <si>
    <t xml:space="preserve">Monday 30th December </t>
  </si>
  <si>
    <t xml:space="preserve">Tuesday 31st December </t>
  </si>
  <si>
    <t>Wednesday 1st Jaunuary 2014</t>
  </si>
  <si>
    <t>Monday 1st April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</si>
</sst>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C9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4" fillId="4" borderId="0" xfId="0" applyFont="1" applyFill="1" applyProtection="1"/>
    <xf numFmtId="0" fontId="4" fillId="4" borderId="0" xfId="3" applyFont="1" applyFill="1" applyAlignment="1" applyProtection="1"/>
    <xf numFmtId="0" fontId="4" fillId="0" borderId="0" xfId="0" applyFont="1" applyProtection="1"/>
    <xf numFmtId="2" fontId="6" fillId="4" borderId="2" xfId="0" applyNumberFormat="1" applyFont="1" applyFill="1" applyBorder="1" applyProtection="1">
      <protection locked="0"/>
    </xf>
    <xf numFmtId="2" fontId="4" fillId="4" borderId="0" xfId="0" applyNumberFormat="1" applyFont="1" applyFill="1" applyProtection="1"/>
    <xf numFmtId="0" fontId="7" fillId="4" borderId="0" xfId="0" applyFont="1" applyFill="1" applyProtection="1"/>
    <xf numFmtId="0" fontId="0" fillId="0" borderId="0" xfId="0" applyAlignment="1">
      <alignment wrapText="1"/>
    </xf>
    <xf numFmtId="0" fontId="4" fillId="4" borderId="0" xfId="0" applyFont="1" applyFill="1" applyAlignment="1" applyProtection="1">
      <alignment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5" fontId="4" fillId="4" borderId="2" xfId="0" applyNumberFormat="1" applyFont="1" applyFill="1" applyBorder="1" applyAlignment="1" applyProtection="1">
      <alignment wrapText="1"/>
    </xf>
    <xf numFmtId="0" fontId="4" fillId="4" borderId="2" xfId="0" applyFont="1" applyFill="1" applyBorder="1" applyAlignment="1" applyProtection="1">
      <alignment wrapText="1"/>
    </xf>
    <xf numFmtId="2" fontId="4" fillId="5" borderId="2" xfId="0" applyNumberFormat="1" applyFont="1" applyFill="1" applyBorder="1" applyAlignment="1" applyProtection="1">
      <alignment wrapText="1"/>
    </xf>
    <xf numFmtId="0" fontId="3" fillId="2" borderId="0" xfId="1" applyAlignment="1">
      <alignment wrapText="1"/>
    </xf>
    <xf numFmtId="0" fontId="2" fillId="0" borderId="0" xfId="0" applyFont="1"/>
    <xf numFmtId="0" fontId="7" fillId="4" borderId="0" xfId="0" applyFont="1" applyFill="1" applyAlignment="1" applyProtection="1">
      <alignment wrapText="1"/>
    </xf>
    <xf numFmtId="0" fontId="4" fillId="4" borderId="0" xfId="0" applyFont="1" applyFill="1" applyAlignment="1" applyProtection="1">
      <alignment horizontal="right" wrapText="1"/>
    </xf>
    <xf numFmtId="0" fontId="2" fillId="3" borderId="0" xfId="2" applyFont="1" applyAlignment="1">
      <alignment wrapText="1"/>
    </xf>
    <xf numFmtId="2" fontId="0" fillId="0" borderId="0" xfId="0" applyNumberFormat="1"/>
    <xf numFmtId="0" fontId="8" fillId="0" borderId="0" xfId="0" applyFont="1" applyAlignment="1">
      <alignment wrapText="1"/>
    </xf>
    <xf numFmtId="0" fontId="4" fillId="4" borderId="0" xfId="0" applyFont="1" applyFill="1" applyAlignment="1" applyProtection="1">
      <alignment vertical="top"/>
    </xf>
    <xf numFmtId="0" fontId="9" fillId="0" borderId="0" xfId="0" applyFont="1" applyAlignment="1" applyProtection="1">
      <alignment wrapText="1"/>
    </xf>
    <xf numFmtId="0" fontId="4" fillId="4" borderId="0" xfId="0" applyFont="1" applyFill="1" applyBorder="1" applyProtection="1"/>
    <xf numFmtId="0" fontId="8" fillId="0" borderId="0" xfId="0" applyFont="1" applyAlignment="1">
      <alignment horizontal="left"/>
    </xf>
    <xf numFmtId="0" fontId="0" fillId="7" borderId="3" xfId="0" applyFill="1" applyBorder="1" applyAlignment="1">
      <alignment wrapText="1"/>
    </xf>
    <xf numFmtId="0" fontId="0" fillId="8" borderId="0" xfId="0" applyFill="1" applyBorder="1" applyAlignment="1">
      <alignment wrapText="1"/>
    </xf>
    <xf numFmtId="2" fontId="8" fillId="6" borderId="2" xfId="0" applyNumberFormat="1" applyFont="1" applyFill="1" applyBorder="1" applyAlignment="1">
      <alignment wrapText="1"/>
    </xf>
  </cellXfs>
  <cellStyles count="4">
    <cellStyle name="40% - Accent5" xfId="2" builtinId="47"/>
    <cellStyle name="Accent5" xfId="1" builtinId="45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12" workbookViewId="0">
      <selection activeCell="B30" sqref="B30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13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14</v>
      </c>
      <c r="B3" s="8"/>
      <c r="C3" s="1"/>
      <c r="D3" s="6" t="s">
        <v>9</v>
      </c>
      <c r="E3" s="1"/>
      <c r="F3" s="15"/>
      <c r="G3" s="17" t="s">
        <v>12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4</v>
      </c>
      <c r="E5" s="4"/>
      <c r="F5" s="8"/>
      <c r="G5" s="7" t="s">
        <v>16</v>
      </c>
      <c r="H5" s="1"/>
    </row>
    <row r="6" spans="1:8" s="3" customFormat="1" ht="20.25" customHeight="1" x14ac:dyDescent="0.25">
      <c r="A6" s="1" t="s">
        <v>35</v>
      </c>
      <c r="B6" s="10">
        <v>41365</v>
      </c>
      <c r="C6" s="1"/>
      <c r="D6" s="1" t="s">
        <v>5</v>
      </c>
      <c r="E6" s="4"/>
      <c r="F6" s="8"/>
      <c r="G6" s="7" t="s">
        <v>22</v>
      </c>
      <c r="H6" s="1"/>
    </row>
    <row r="7" spans="1:8" s="3" customFormat="1" ht="42.75" customHeight="1" x14ac:dyDescent="0.25">
      <c r="A7" s="20" t="s">
        <v>21</v>
      </c>
      <c r="B7" s="8"/>
      <c r="C7" s="1"/>
      <c r="D7" s="1" t="s">
        <v>6</v>
      </c>
      <c r="E7" s="4"/>
      <c r="F7" s="8"/>
      <c r="G7" s="7" t="s">
        <v>20</v>
      </c>
      <c r="H7" s="1"/>
    </row>
    <row r="8" spans="1:8" s="3" customFormat="1" ht="21" customHeight="1" x14ac:dyDescent="0.25">
      <c r="A8" s="1" t="s">
        <v>36</v>
      </c>
      <c r="B8" s="10">
        <v>41729</v>
      </c>
      <c r="C8" s="1"/>
      <c r="D8" s="1" t="s">
        <v>7</v>
      </c>
      <c r="E8" s="4"/>
      <c r="F8" s="8"/>
      <c r="G8" s="21" t="s">
        <v>39</v>
      </c>
      <c r="H8" s="1"/>
    </row>
    <row r="9" spans="1:8" s="3" customFormat="1" ht="27" customHeight="1" x14ac:dyDescent="0.25">
      <c r="A9" s="1"/>
      <c r="B9" s="8"/>
      <c r="C9" s="1"/>
      <c r="D9" s="1" t="s">
        <v>8</v>
      </c>
      <c r="E9" s="4"/>
      <c r="F9" s="8"/>
      <c r="G9" s="7" t="s">
        <v>38</v>
      </c>
      <c r="H9" s="1"/>
    </row>
    <row r="10" spans="1:8" s="3" customFormat="1" ht="28.5" customHeight="1" x14ac:dyDescent="0.25">
      <c r="A10" s="1" t="s">
        <v>2</v>
      </c>
      <c r="B10" s="11">
        <f>(B8-B6)+1</f>
        <v>365</v>
      </c>
      <c r="C10" s="1"/>
      <c r="D10" s="6" t="s">
        <v>19</v>
      </c>
      <c r="E10" s="5">
        <f>SUM(E5:E9)</f>
        <v>0</v>
      </c>
      <c r="F10" s="16"/>
      <c r="G10" s="7" t="s">
        <v>25</v>
      </c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17</v>
      </c>
      <c r="B12" s="12">
        <f>B10/365*B2</f>
        <v>0</v>
      </c>
      <c r="C12" s="1"/>
      <c r="D12" s="1"/>
      <c r="E12" s="1"/>
      <c r="F12" s="8"/>
      <c r="G12" s="1"/>
      <c r="H12" s="1"/>
    </row>
    <row r="13" spans="1:8" x14ac:dyDescent="0.25">
      <c r="A13" s="22" t="s">
        <v>37</v>
      </c>
      <c r="B13" s="24"/>
    </row>
    <row r="14" spans="1:8" x14ac:dyDescent="0.25">
      <c r="A14" s="23" t="s">
        <v>40</v>
      </c>
      <c r="B14" s="26">
        <f>B12+B13</f>
        <v>0</v>
      </c>
    </row>
    <row r="15" spans="1:8" x14ac:dyDescent="0.25">
      <c r="A15" s="23"/>
      <c r="B15" s="25"/>
    </row>
    <row r="16" spans="1:8" x14ac:dyDescent="0.25">
      <c r="A16" t="s">
        <v>3</v>
      </c>
    </row>
    <row r="17" spans="1:7" ht="45" x14ac:dyDescent="0.25">
      <c r="B17" s="13" t="s">
        <v>18</v>
      </c>
      <c r="C17" s="13" t="s">
        <v>10</v>
      </c>
      <c r="D17" s="13" t="s">
        <v>11</v>
      </c>
      <c r="G17" s="13" t="s">
        <v>26</v>
      </c>
    </row>
    <row r="18" spans="1:7" x14ac:dyDescent="0.25">
      <c r="A18" s="14" t="s">
        <v>15</v>
      </c>
    </row>
    <row r="19" spans="1:7" x14ac:dyDescent="0.25">
      <c r="A19" t="s">
        <v>52</v>
      </c>
      <c r="C19">
        <f>B19</f>
        <v>0</v>
      </c>
      <c r="D19" s="18">
        <f>B14-B19</f>
        <v>0</v>
      </c>
      <c r="E19" s="7"/>
    </row>
    <row r="20" spans="1:7" x14ac:dyDescent="0.25">
      <c r="A20" t="s">
        <v>41</v>
      </c>
      <c r="C20">
        <f>C19+B20</f>
        <v>0</v>
      </c>
      <c r="D20" s="18">
        <f>D19-B20</f>
        <v>0</v>
      </c>
    </row>
    <row r="21" spans="1:7" x14ac:dyDescent="0.25">
      <c r="A21" t="s">
        <v>42</v>
      </c>
      <c r="C21">
        <f>C20+B21</f>
        <v>0</v>
      </c>
      <c r="D21" s="18">
        <f>D20-B21</f>
        <v>0</v>
      </c>
    </row>
    <row r="22" spans="1:7" x14ac:dyDescent="0.25">
      <c r="A22" t="s">
        <v>43</v>
      </c>
      <c r="C22">
        <f t="shared" ref="C22:C32" si="0">C21+B22</f>
        <v>0</v>
      </c>
      <c r="D22" s="18">
        <f t="shared" ref="D22:D33" si="1">D21-B22</f>
        <v>0</v>
      </c>
    </row>
    <row r="23" spans="1:7" x14ac:dyDescent="0.25">
      <c r="A23" t="s">
        <v>44</v>
      </c>
      <c r="C23">
        <f t="shared" si="0"/>
        <v>0</v>
      </c>
      <c r="D23" s="18">
        <f t="shared" si="1"/>
        <v>0</v>
      </c>
    </row>
    <row r="24" spans="1:7" x14ac:dyDescent="0.25">
      <c r="A24" t="s">
        <v>45</v>
      </c>
      <c r="C24">
        <f t="shared" si="0"/>
        <v>0</v>
      </c>
      <c r="D24" s="18">
        <f t="shared" si="1"/>
        <v>0</v>
      </c>
    </row>
    <row r="25" spans="1:7" x14ac:dyDescent="0.25">
      <c r="A25" t="s">
        <v>46</v>
      </c>
      <c r="C25">
        <f t="shared" si="0"/>
        <v>0</v>
      </c>
      <c r="D25" s="18">
        <f t="shared" si="1"/>
        <v>0</v>
      </c>
    </row>
    <row r="26" spans="1:7" x14ac:dyDescent="0.25">
      <c r="A26" t="s">
        <v>47</v>
      </c>
      <c r="C26">
        <f t="shared" si="0"/>
        <v>0</v>
      </c>
      <c r="D26" s="18">
        <f t="shared" si="1"/>
        <v>0</v>
      </c>
    </row>
    <row r="27" spans="1:7" x14ac:dyDescent="0.25">
      <c r="A27" t="s">
        <v>48</v>
      </c>
      <c r="C27">
        <f t="shared" si="0"/>
        <v>0</v>
      </c>
      <c r="D27" s="18">
        <f t="shared" si="1"/>
        <v>0</v>
      </c>
    </row>
    <row r="28" spans="1:7" x14ac:dyDescent="0.25">
      <c r="A28" t="s">
        <v>49</v>
      </c>
      <c r="C28">
        <f t="shared" si="0"/>
        <v>0</v>
      </c>
      <c r="D28" s="18">
        <f t="shared" si="1"/>
        <v>0</v>
      </c>
    </row>
    <row r="29" spans="1:7" x14ac:dyDescent="0.25">
      <c r="A29" t="s">
        <v>50</v>
      </c>
      <c r="C29">
        <f t="shared" si="0"/>
        <v>0</v>
      </c>
      <c r="D29" s="18">
        <f t="shared" si="1"/>
        <v>0</v>
      </c>
    </row>
    <row r="30" spans="1:7" x14ac:dyDescent="0.25">
      <c r="A30" t="s">
        <v>51</v>
      </c>
      <c r="C30">
        <f t="shared" si="0"/>
        <v>0</v>
      </c>
      <c r="D30" s="18">
        <f t="shared" si="1"/>
        <v>0</v>
      </c>
    </row>
    <row r="31" spans="1:7" x14ac:dyDescent="0.25">
      <c r="C31">
        <f t="shared" si="0"/>
        <v>0</v>
      </c>
      <c r="D31" s="18">
        <f t="shared" si="1"/>
        <v>0</v>
      </c>
    </row>
    <row r="32" spans="1:7" x14ac:dyDescent="0.25">
      <c r="C32">
        <f t="shared" si="0"/>
        <v>0</v>
      </c>
      <c r="D32" s="18">
        <f t="shared" si="1"/>
        <v>0</v>
      </c>
    </row>
    <row r="33" spans="1:4" x14ac:dyDescent="0.25">
      <c r="C33">
        <f>C32+B33</f>
        <v>0</v>
      </c>
      <c r="D33" s="18">
        <f t="shared" si="1"/>
        <v>0</v>
      </c>
    </row>
    <row r="34" spans="1:4" x14ac:dyDescent="0.25">
      <c r="A34" s="14" t="s">
        <v>23</v>
      </c>
    </row>
    <row r="35" spans="1:4" x14ac:dyDescent="0.25">
      <c r="C35">
        <f>C33+B35</f>
        <v>0</v>
      </c>
      <c r="D35" s="18">
        <f>D33-B35</f>
        <v>0</v>
      </c>
    </row>
    <row r="36" spans="1:4" x14ac:dyDescent="0.25">
      <c r="C36">
        <f>C35+B36</f>
        <v>0</v>
      </c>
      <c r="D36" s="18">
        <f>D35-B36</f>
        <v>0</v>
      </c>
    </row>
    <row r="37" spans="1:4" x14ac:dyDescent="0.25">
      <c r="C37">
        <f t="shared" ref="C37:C57" si="2">C36+B37</f>
        <v>0</v>
      </c>
      <c r="D37" s="18">
        <f t="shared" ref="D37:D57" si="3">D36-B37</f>
        <v>0</v>
      </c>
    </row>
    <row r="38" spans="1:4" x14ac:dyDescent="0.25">
      <c r="C38">
        <f t="shared" si="2"/>
        <v>0</v>
      </c>
      <c r="D38" s="18">
        <f t="shared" si="3"/>
        <v>0</v>
      </c>
    </row>
    <row r="39" spans="1:4" x14ac:dyDescent="0.25">
      <c r="C39">
        <f t="shared" si="2"/>
        <v>0</v>
      </c>
      <c r="D39" s="18">
        <f t="shared" si="3"/>
        <v>0</v>
      </c>
    </row>
    <row r="40" spans="1:4" x14ac:dyDescent="0.25">
      <c r="C40">
        <f t="shared" si="2"/>
        <v>0</v>
      </c>
      <c r="D40" s="18">
        <f t="shared" si="3"/>
        <v>0</v>
      </c>
    </row>
    <row r="41" spans="1:4" x14ac:dyDescent="0.25">
      <c r="C41">
        <f t="shared" si="2"/>
        <v>0</v>
      </c>
      <c r="D41" s="18">
        <f t="shared" si="3"/>
        <v>0</v>
      </c>
    </row>
    <row r="42" spans="1:4" x14ac:dyDescent="0.25">
      <c r="C42">
        <f t="shared" si="2"/>
        <v>0</v>
      </c>
      <c r="D42" s="18">
        <f t="shared" si="3"/>
        <v>0</v>
      </c>
    </row>
    <row r="43" spans="1:4" x14ac:dyDescent="0.25">
      <c r="C43">
        <f t="shared" si="2"/>
        <v>0</v>
      </c>
      <c r="D43" s="18">
        <f t="shared" si="3"/>
        <v>0</v>
      </c>
    </row>
    <row r="44" spans="1:4" x14ac:dyDescent="0.25">
      <c r="C44">
        <f t="shared" si="2"/>
        <v>0</v>
      </c>
      <c r="D44" s="18">
        <f t="shared" si="3"/>
        <v>0</v>
      </c>
    </row>
    <row r="45" spans="1:4" x14ac:dyDescent="0.25">
      <c r="C45">
        <f t="shared" si="2"/>
        <v>0</v>
      </c>
      <c r="D45" s="18">
        <f t="shared" si="3"/>
        <v>0</v>
      </c>
    </row>
    <row r="46" spans="1:4" x14ac:dyDescent="0.25">
      <c r="C46">
        <f t="shared" si="2"/>
        <v>0</v>
      </c>
      <c r="D46" s="18">
        <f t="shared" si="3"/>
        <v>0</v>
      </c>
    </row>
    <row r="47" spans="1:4" x14ac:dyDescent="0.25">
      <c r="C47">
        <f t="shared" si="2"/>
        <v>0</v>
      </c>
      <c r="D47" s="18">
        <f t="shared" si="3"/>
        <v>0</v>
      </c>
    </row>
    <row r="48" spans="1:4" x14ac:dyDescent="0.25">
      <c r="C48">
        <f t="shared" si="2"/>
        <v>0</v>
      </c>
      <c r="D48" s="18">
        <f t="shared" si="3"/>
        <v>0</v>
      </c>
    </row>
    <row r="49" spans="3:4" x14ac:dyDescent="0.25">
      <c r="C49">
        <f t="shared" si="2"/>
        <v>0</v>
      </c>
      <c r="D49" s="18">
        <f t="shared" si="3"/>
        <v>0</v>
      </c>
    </row>
    <row r="50" spans="3:4" x14ac:dyDescent="0.25">
      <c r="C50">
        <f t="shared" si="2"/>
        <v>0</v>
      </c>
      <c r="D50" s="18">
        <f t="shared" si="3"/>
        <v>0</v>
      </c>
    </row>
    <row r="51" spans="3:4" x14ac:dyDescent="0.25">
      <c r="C51">
        <f t="shared" si="2"/>
        <v>0</v>
      </c>
      <c r="D51" s="18">
        <f t="shared" si="3"/>
        <v>0</v>
      </c>
    </row>
    <row r="52" spans="3:4" x14ac:dyDescent="0.25">
      <c r="C52">
        <f t="shared" si="2"/>
        <v>0</v>
      </c>
      <c r="D52" s="18">
        <f t="shared" si="3"/>
        <v>0</v>
      </c>
    </row>
    <row r="53" spans="3:4" x14ac:dyDescent="0.25">
      <c r="C53">
        <f t="shared" si="2"/>
        <v>0</v>
      </c>
      <c r="D53" s="18">
        <f t="shared" si="3"/>
        <v>0</v>
      </c>
    </row>
    <row r="54" spans="3:4" x14ac:dyDescent="0.25">
      <c r="C54">
        <f t="shared" si="2"/>
        <v>0</v>
      </c>
      <c r="D54" s="18">
        <f t="shared" si="3"/>
        <v>0</v>
      </c>
    </row>
    <row r="55" spans="3:4" x14ac:dyDescent="0.25">
      <c r="C55">
        <f t="shared" si="2"/>
        <v>0</v>
      </c>
      <c r="D55" s="18">
        <f t="shared" si="3"/>
        <v>0</v>
      </c>
    </row>
    <row r="56" spans="3:4" x14ac:dyDescent="0.25">
      <c r="C56">
        <f t="shared" si="2"/>
        <v>0</v>
      </c>
      <c r="D56" s="18">
        <f t="shared" si="3"/>
        <v>0</v>
      </c>
    </row>
    <row r="57" spans="3:4" x14ac:dyDescent="0.25">
      <c r="C57">
        <f t="shared" si="2"/>
        <v>0</v>
      </c>
      <c r="D57" s="18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0" workbookViewId="0">
      <selection activeCell="A13" sqref="A13"/>
    </sheetView>
  </sheetViews>
  <sheetFormatPr defaultRowHeight="15" x14ac:dyDescent="0.25"/>
  <cols>
    <col min="1" max="1" width="49.7109375" customWidth="1"/>
    <col min="2" max="2" width="14" style="7" customWidth="1"/>
    <col min="3" max="3" width="16.42578125" customWidth="1"/>
    <col min="4" max="4" width="15.28515625" customWidth="1"/>
    <col min="6" max="6" width="5.28515625" style="7" customWidth="1"/>
    <col min="7" max="7" width="58.140625" customWidth="1"/>
  </cols>
  <sheetData>
    <row r="1" spans="1:8" s="3" customFormat="1" ht="15.75" customHeight="1" thickBot="1" x14ac:dyDescent="0.25">
      <c r="A1" s="2"/>
      <c r="B1" s="8"/>
      <c r="C1" s="1"/>
      <c r="D1" s="1"/>
      <c r="E1" s="1"/>
      <c r="F1" s="8"/>
      <c r="G1" s="1"/>
      <c r="H1" s="1"/>
    </row>
    <row r="2" spans="1:8" s="3" customFormat="1" ht="29.25" customHeight="1" thickBot="1" x14ac:dyDescent="0.25">
      <c r="A2" s="1" t="s">
        <v>27</v>
      </c>
      <c r="B2" s="9"/>
      <c r="C2" s="1"/>
      <c r="D2" s="1"/>
      <c r="E2" s="1"/>
      <c r="F2" s="8"/>
      <c r="G2" s="1"/>
      <c r="H2" s="1"/>
    </row>
    <row r="3" spans="1:8" s="3" customFormat="1" ht="31.5" customHeight="1" x14ac:dyDescent="0.25">
      <c r="A3" s="19" t="s">
        <v>14</v>
      </c>
      <c r="B3" s="8"/>
      <c r="C3" s="1"/>
      <c r="D3" s="6" t="s">
        <v>28</v>
      </c>
      <c r="E3" s="1"/>
      <c r="F3" s="15"/>
      <c r="G3" s="17" t="s">
        <v>12</v>
      </c>
      <c r="H3" s="1"/>
    </row>
    <row r="4" spans="1:8" s="3" customFormat="1" ht="8.25" customHeight="1" x14ac:dyDescent="0.25">
      <c r="A4" s="1"/>
      <c r="B4" s="8"/>
      <c r="C4" s="1"/>
      <c r="D4" s="1"/>
      <c r="E4" s="1"/>
      <c r="F4" s="8"/>
      <c r="G4" s="7"/>
      <c r="H4" s="1"/>
    </row>
    <row r="5" spans="1:8" s="3" customFormat="1" ht="20.25" customHeight="1" x14ac:dyDescent="0.25">
      <c r="A5" s="1"/>
      <c r="B5" s="8"/>
      <c r="C5" s="1"/>
      <c r="D5" s="1" t="s">
        <v>4</v>
      </c>
      <c r="E5" s="4"/>
      <c r="F5" s="8"/>
      <c r="G5" s="7" t="s">
        <v>16</v>
      </c>
      <c r="H5" s="1"/>
    </row>
    <row r="6" spans="1:8" s="3" customFormat="1" ht="21.75" customHeight="1" x14ac:dyDescent="0.25">
      <c r="A6" s="1" t="s">
        <v>0</v>
      </c>
      <c r="B6" s="10">
        <v>41365</v>
      </c>
      <c r="C6" s="1"/>
      <c r="D6" s="1" t="s">
        <v>5</v>
      </c>
      <c r="E6" s="4"/>
      <c r="F6" s="8"/>
      <c r="G6" s="7" t="s">
        <v>29</v>
      </c>
      <c r="H6" s="1"/>
    </row>
    <row r="7" spans="1:8" s="3" customFormat="1" ht="60" customHeight="1" x14ac:dyDescent="0.25">
      <c r="A7" s="20" t="s">
        <v>21</v>
      </c>
      <c r="B7" s="8"/>
      <c r="C7" s="1"/>
      <c r="D7" s="1" t="s">
        <v>6</v>
      </c>
      <c r="E7" s="4"/>
      <c r="F7" s="8"/>
      <c r="G7" s="7" t="s">
        <v>30</v>
      </c>
      <c r="H7" s="1"/>
    </row>
    <row r="8" spans="1:8" s="3" customFormat="1" ht="32.25" customHeight="1" x14ac:dyDescent="0.25">
      <c r="A8" s="1" t="s">
        <v>1</v>
      </c>
      <c r="B8" s="10">
        <v>41729</v>
      </c>
      <c r="C8" s="1"/>
      <c r="D8" s="1" t="s">
        <v>7</v>
      </c>
      <c r="E8" s="4"/>
      <c r="F8" s="8"/>
      <c r="G8" s="21" t="s">
        <v>24</v>
      </c>
      <c r="H8" s="1"/>
    </row>
    <row r="9" spans="1:8" s="3" customFormat="1" ht="27" customHeight="1" x14ac:dyDescent="0.25">
      <c r="A9" s="1"/>
      <c r="B9" s="8"/>
      <c r="C9" s="1"/>
      <c r="D9" s="1" t="s">
        <v>8</v>
      </c>
      <c r="E9" s="4"/>
      <c r="F9" s="8"/>
      <c r="G9" s="7" t="s">
        <v>25</v>
      </c>
      <c r="H9" s="1"/>
    </row>
    <row r="10" spans="1:8" s="3" customFormat="1" ht="19.5" customHeight="1" x14ac:dyDescent="0.25">
      <c r="A10" s="1" t="s">
        <v>2</v>
      </c>
      <c r="B10" s="11">
        <f>(B8-B6)+1</f>
        <v>365</v>
      </c>
      <c r="C10" s="1"/>
      <c r="D10" s="6" t="s">
        <v>19</v>
      </c>
      <c r="E10" s="5">
        <f>SUM(E5:E9)</f>
        <v>0</v>
      </c>
      <c r="F10" s="16"/>
      <c r="G10" s="5"/>
      <c r="H10" s="1"/>
    </row>
    <row r="11" spans="1:8" s="3" customFormat="1" ht="19.5" customHeight="1" x14ac:dyDescent="0.2">
      <c r="A11" s="1"/>
      <c r="B11" s="8"/>
      <c r="C11" s="1"/>
      <c r="D11" s="1"/>
      <c r="E11" s="1"/>
      <c r="F11" s="8"/>
      <c r="G11" s="1"/>
      <c r="H11" s="1"/>
    </row>
    <row r="12" spans="1:8" s="3" customFormat="1" ht="19.5" customHeight="1" x14ac:dyDescent="0.2">
      <c r="A12" s="1" t="s">
        <v>31</v>
      </c>
      <c r="B12" s="12">
        <f>B10/365*B2</f>
        <v>0</v>
      </c>
      <c r="C12" s="1"/>
      <c r="D12" s="1"/>
      <c r="E12" s="1"/>
      <c r="F12" s="8"/>
      <c r="G12" s="1"/>
      <c r="H12" s="1"/>
    </row>
    <row r="15" spans="1:8" x14ac:dyDescent="0.25">
      <c r="A15" s="14" t="s">
        <v>3</v>
      </c>
    </row>
    <row r="16" spans="1:8" ht="60" x14ac:dyDescent="0.25">
      <c r="B16" s="13" t="s">
        <v>32</v>
      </c>
      <c r="C16" s="13" t="s">
        <v>10</v>
      </c>
      <c r="D16" s="13" t="s">
        <v>11</v>
      </c>
      <c r="G16" s="13" t="s">
        <v>33</v>
      </c>
    </row>
    <row r="17" spans="1:6" x14ac:dyDescent="0.25">
      <c r="A17" s="14" t="s">
        <v>34</v>
      </c>
      <c r="F17"/>
    </row>
    <row r="18" spans="1:6" x14ac:dyDescent="0.25">
      <c r="A18" t="s">
        <v>52</v>
      </c>
      <c r="C18">
        <f>B18</f>
        <v>0</v>
      </c>
      <c r="D18" s="18">
        <f>B12-B18</f>
        <v>0</v>
      </c>
      <c r="E18" s="7"/>
      <c r="F18"/>
    </row>
    <row r="19" spans="1:6" x14ac:dyDescent="0.25">
      <c r="A19" t="s">
        <v>41</v>
      </c>
      <c r="C19">
        <f>C18+B19</f>
        <v>0</v>
      </c>
      <c r="D19" s="18">
        <f>D18-B19</f>
        <v>0</v>
      </c>
      <c r="F19"/>
    </row>
    <row r="20" spans="1:6" x14ac:dyDescent="0.25">
      <c r="A20" t="s">
        <v>42</v>
      </c>
      <c r="C20">
        <f>C19+B20</f>
        <v>0</v>
      </c>
      <c r="D20" s="18">
        <f>D19-B20</f>
        <v>0</v>
      </c>
      <c r="F20"/>
    </row>
    <row r="21" spans="1:6" x14ac:dyDescent="0.25">
      <c r="A21" t="s">
        <v>43</v>
      </c>
      <c r="C21">
        <f t="shared" ref="C21:C30" si="0">C20+B21</f>
        <v>0</v>
      </c>
      <c r="D21" s="18">
        <f t="shared" ref="D21:D31" si="1">D20-B21</f>
        <v>0</v>
      </c>
      <c r="F21"/>
    </row>
    <row r="22" spans="1:6" x14ac:dyDescent="0.25">
      <c r="A22" t="s">
        <v>44</v>
      </c>
      <c r="C22">
        <f t="shared" si="0"/>
        <v>0</v>
      </c>
      <c r="D22" s="18">
        <f t="shared" si="1"/>
        <v>0</v>
      </c>
      <c r="F22"/>
    </row>
    <row r="23" spans="1:6" x14ac:dyDescent="0.25">
      <c r="A23" t="s">
        <v>45</v>
      </c>
      <c r="C23">
        <f t="shared" si="0"/>
        <v>0</v>
      </c>
      <c r="D23" s="18">
        <f t="shared" si="1"/>
        <v>0</v>
      </c>
      <c r="F23"/>
    </row>
    <row r="24" spans="1:6" x14ac:dyDescent="0.25">
      <c r="A24" t="s">
        <v>46</v>
      </c>
      <c r="C24">
        <f t="shared" si="0"/>
        <v>0</v>
      </c>
      <c r="D24" s="18">
        <f t="shared" si="1"/>
        <v>0</v>
      </c>
      <c r="F24"/>
    </row>
    <row r="25" spans="1:6" x14ac:dyDescent="0.25">
      <c r="A25" t="s">
        <v>47</v>
      </c>
      <c r="C25">
        <f t="shared" si="0"/>
        <v>0</v>
      </c>
      <c r="D25" s="18">
        <f t="shared" si="1"/>
        <v>0</v>
      </c>
      <c r="F25"/>
    </row>
    <row r="26" spans="1:6" x14ac:dyDescent="0.25">
      <c r="A26" t="s">
        <v>48</v>
      </c>
      <c r="C26">
        <f t="shared" si="0"/>
        <v>0</v>
      </c>
      <c r="D26" s="18">
        <f t="shared" si="1"/>
        <v>0</v>
      </c>
      <c r="F26"/>
    </row>
    <row r="27" spans="1:6" x14ac:dyDescent="0.25">
      <c r="A27" t="s">
        <v>49</v>
      </c>
      <c r="C27">
        <f t="shared" si="0"/>
        <v>0</v>
      </c>
      <c r="D27" s="18">
        <f t="shared" si="1"/>
        <v>0</v>
      </c>
      <c r="F27"/>
    </row>
    <row r="28" spans="1:6" x14ac:dyDescent="0.25">
      <c r="A28" t="s">
        <v>50</v>
      </c>
      <c r="C28">
        <f t="shared" si="0"/>
        <v>0</v>
      </c>
      <c r="D28" s="18">
        <f t="shared" si="1"/>
        <v>0</v>
      </c>
      <c r="F28"/>
    </row>
    <row r="29" spans="1:6" x14ac:dyDescent="0.25">
      <c r="A29" t="s">
        <v>51</v>
      </c>
      <c r="C29">
        <f t="shared" si="0"/>
        <v>0</v>
      </c>
      <c r="D29" s="18">
        <f t="shared" si="1"/>
        <v>0</v>
      </c>
      <c r="F29"/>
    </row>
    <row r="30" spans="1:6" x14ac:dyDescent="0.25">
      <c r="C30">
        <f t="shared" si="0"/>
        <v>0</v>
      </c>
      <c r="D30" s="18">
        <f t="shared" si="1"/>
        <v>0</v>
      </c>
      <c r="F30"/>
    </row>
    <row r="31" spans="1:6" x14ac:dyDescent="0.25">
      <c r="C31">
        <f t="shared" ref="C31" si="2">C30+B31</f>
        <v>0</v>
      </c>
      <c r="D31" s="18">
        <f t="shared" si="1"/>
        <v>0</v>
      </c>
      <c r="F31"/>
    </row>
    <row r="32" spans="1:6" x14ac:dyDescent="0.25">
      <c r="A32" s="14" t="s">
        <v>23</v>
      </c>
      <c r="F32"/>
    </row>
    <row r="33" spans="2:6" x14ac:dyDescent="0.25">
      <c r="B33"/>
      <c r="C33">
        <f>C31+B33</f>
        <v>0</v>
      </c>
      <c r="D33" s="18">
        <f>D31-B33</f>
        <v>0</v>
      </c>
      <c r="F33"/>
    </row>
    <row r="34" spans="2:6" x14ac:dyDescent="0.25">
      <c r="B34"/>
      <c r="C34">
        <f>C33+B34</f>
        <v>0</v>
      </c>
      <c r="D34" s="18">
        <f>D33-B34</f>
        <v>0</v>
      </c>
      <c r="F34"/>
    </row>
    <row r="35" spans="2:6" x14ac:dyDescent="0.25">
      <c r="B35"/>
      <c r="C35">
        <f t="shared" ref="C35:C55" si="3">C34+B35</f>
        <v>0</v>
      </c>
      <c r="D35" s="18">
        <f t="shared" ref="D35:D55" si="4">D34-B35</f>
        <v>0</v>
      </c>
      <c r="F35"/>
    </row>
    <row r="36" spans="2:6" x14ac:dyDescent="0.25">
      <c r="B36"/>
      <c r="C36">
        <f t="shared" si="3"/>
        <v>0</v>
      </c>
      <c r="D36" s="18">
        <f t="shared" si="4"/>
        <v>0</v>
      </c>
      <c r="F36"/>
    </row>
    <row r="37" spans="2:6" x14ac:dyDescent="0.25">
      <c r="B37"/>
      <c r="C37">
        <f t="shared" si="3"/>
        <v>0</v>
      </c>
      <c r="D37" s="18">
        <f t="shared" si="4"/>
        <v>0</v>
      </c>
      <c r="F37"/>
    </row>
    <row r="38" spans="2:6" x14ac:dyDescent="0.25">
      <c r="B38"/>
      <c r="C38">
        <f t="shared" si="3"/>
        <v>0</v>
      </c>
      <c r="D38" s="18">
        <f t="shared" si="4"/>
        <v>0</v>
      </c>
      <c r="F38"/>
    </row>
    <row r="39" spans="2:6" x14ac:dyDescent="0.25">
      <c r="B39"/>
      <c r="C39">
        <f t="shared" si="3"/>
        <v>0</v>
      </c>
      <c r="D39" s="18">
        <f t="shared" si="4"/>
        <v>0</v>
      </c>
      <c r="F39"/>
    </row>
    <row r="40" spans="2:6" x14ac:dyDescent="0.25">
      <c r="B40"/>
      <c r="C40">
        <f t="shared" si="3"/>
        <v>0</v>
      </c>
      <c r="D40" s="18">
        <f t="shared" si="4"/>
        <v>0</v>
      </c>
      <c r="F40"/>
    </row>
    <row r="41" spans="2:6" x14ac:dyDescent="0.25">
      <c r="B41"/>
      <c r="C41">
        <f t="shared" si="3"/>
        <v>0</v>
      </c>
      <c r="D41" s="18">
        <f t="shared" si="4"/>
        <v>0</v>
      </c>
      <c r="F41"/>
    </row>
    <row r="42" spans="2:6" x14ac:dyDescent="0.25">
      <c r="B42"/>
      <c r="C42">
        <f t="shared" si="3"/>
        <v>0</v>
      </c>
      <c r="D42" s="18">
        <f t="shared" si="4"/>
        <v>0</v>
      </c>
      <c r="F42"/>
    </row>
    <row r="43" spans="2:6" x14ac:dyDescent="0.25">
      <c r="B43"/>
      <c r="C43">
        <f t="shared" si="3"/>
        <v>0</v>
      </c>
      <c r="D43" s="18">
        <f t="shared" si="4"/>
        <v>0</v>
      </c>
      <c r="F43"/>
    </row>
    <row r="44" spans="2:6" x14ac:dyDescent="0.25">
      <c r="B44"/>
      <c r="C44">
        <f t="shared" si="3"/>
        <v>0</v>
      </c>
      <c r="D44" s="18">
        <f t="shared" si="4"/>
        <v>0</v>
      </c>
      <c r="F44"/>
    </row>
    <row r="45" spans="2:6" x14ac:dyDescent="0.25">
      <c r="B45"/>
      <c r="C45">
        <f t="shared" si="3"/>
        <v>0</v>
      </c>
      <c r="D45" s="18">
        <f t="shared" si="4"/>
        <v>0</v>
      </c>
      <c r="F45"/>
    </row>
    <row r="46" spans="2:6" x14ac:dyDescent="0.25">
      <c r="B46"/>
      <c r="C46">
        <f t="shared" si="3"/>
        <v>0</v>
      </c>
      <c r="D46" s="18">
        <f t="shared" si="4"/>
        <v>0</v>
      </c>
      <c r="F46"/>
    </row>
    <row r="47" spans="2:6" x14ac:dyDescent="0.25">
      <c r="B47"/>
      <c r="C47">
        <f t="shared" si="3"/>
        <v>0</v>
      </c>
      <c r="D47" s="18">
        <f t="shared" si="4"/>
        <v>0</v>
      </c>
      <c r="F47"/>
    </row>
    <row r="48" spans="2:6" x14ac:dyDescent="0.25">
      <c r="B48"/>
      <c r="C48">
        <f t="shared" si="3"/>
        <v>0</v>
      </c>
      <c r="D48" s="18">
        <f t="shared" si="4"/>
        <v>0</v>
      </c>
      <c r="F48"/>
    </row>
    <row r="49" spans="2:6" x14ac:dyDescent="0.25">
      <c r="B49"/>
      <c r="C49">
        <f t="shared" si="3"/>
        <v>0</v>
      </c>
      <c r="D49" s="18">
        <f t="shared" si="4"/>
        <v>0</v>
      </c>
      <c r="F49"/>
    </row>
    <row r="50" spans="2:6" x14ac:dyDescent="0.25">
      <c r="B50"/>
      <c r="C50">
        <f t="shared" si="3"/>
        <v>0</v>
      </c>
      <c r="D50" s="18">
        <f t="shared" si="4"/>
        <v>0</v>
      </c>
      <c r="F50"/>
    </row>
    <row r="51" spans="2:6" x14ac:dyDescent="0.25">
      <c r="B51"/>
      <c r="C51">
        <f t="shared" si="3"/>
        <v>0</v>
      </c>
      <c r="D51" s="18">
        <f t="shared" si="4"/>
        <v>0</v>
      </c>
      <c r="F51"/>
    </row>
    <row r="52" spans="2:6" x14ac:dyDescent="0.25">
      <c r="B52"/>
      <c r="C52">
        <f t="shared" si="3"/>
        <v>0</v>
      </c>
      <c r="D52" s="18">
        <f t="shared" si="4"/>
        <v>0</v>
      </c>
      <c r="F52"/>
    </row>
    <row r="53" spans="2:6" x14ac:dyDescent="0.25">
      <c r="B53"/>
      <c r="C53">
        <f t="shared" si="3"/>
        <v>0</v>
      </c>
      <c r="D53" s="18">
        <f t="shared" si="4"/>
        <v>0</v>
      </c>
      <c r="F53"/>
    </row>
    <row r="54" spans="2:6" x14ac:dyDescent="0.25">
      <c r="B54"/>
      <c r="C54">
        <f t="shared" si="3"/>
        <v>0</v>
      </c>
      <c r="D54" s="18">
        <f t="shared" si="4"/>
        <v>0</v>
      </c>
      <c r="F54"/>
    </row>
    <row r="55" spans="2:6" x14ac:dyDescent="0.25">
      <c r="B55"/>
      <c r="C55">
        <f t="shared" si="3"/>
        <v>0</v>
      </c>
      <c r="D55" s="18">
        <f t="shared" si="4"/>
        <v>0</v>
      </c>
      <c r="F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 hours</vt:lpstr>
      <vt:lpstr>In days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Hartley</dc:creator>
  <cp:lastModifiedBy>powerba</cp:lastModifiedBy>
  <dcterms:created xsi:type="dcterms:W3CDTF">2011-08-04T09:48:29Z</dcterms:created>
  <dcterms:modified xsi:type="dcterms:W3CDTF">2013-02-01T16:20:51Z</dcterms:modified>
</cp:coreProperties>
</file>