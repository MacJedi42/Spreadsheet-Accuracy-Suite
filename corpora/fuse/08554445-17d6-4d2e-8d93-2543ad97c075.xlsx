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28455" windowHeight="12540"/>
  </bookViews>
  <sheets>
    <sheet name="Table 3" sheetId="1" r:id="rId1"/>
  </sheets>
  <calcPr calcId="124519" iterate="1"/>
</workbook>
</file>

<file path=xl/calcChain.xml><?xml version="1.0" encoding="utf-8"?>
<calcChain xmlns="http://schemas.openxmlformats.org/spreadsheetml/2006/main">
  <c r="AO40" i="1"/>
  <c r="AN40"/>
  <c r="AM40"/>
  <c r="AL40"/>
  <c r="AK40"/>
  <c r="AJ40"/>
  <c r="AI40"/>
  <c r="AH40"/>
  <c r="AG40"/>
  <c r="AF40"/>
  <c r="AE40"/>
  <c r="AD40"/>
  <c r="AC40"/>
  <c r="AB40"/>
  <c r="AA40"/>
  <c r="Y40"/>
  <c r="Z40"/>
  <c r="X40"/>
  <c r="W40"/>
  <c r="V40"/>
  <c r="U40"/>
  <c r="T40"/>
  <c r="S40"/>
  <c r="R40"/>
  <c r="Q40"/>
  <c r="P40"/>
  <c r="O40"/>
  <c r="N40"/>
  <c r="M40"/>
  <c r="L40"/>
  <c r="K40"/>
  <c r="J40"/>
  <c r="I40"/>
  <c r="H40"/>
  <c r="G40"/>
  <c r="F40"/>
  <c r="E40"/>
  <c r="D40"/>
  <c r="C40"/>
  <c r="B40"/>
  <c r="AO35"/>
  <c r="AN35"/>
  <c r="AM35"/>
  <c r="AL35"/>
  <c r="AC35"/>
  <c r="AB35"/>
  <c r="AA35"/>
  <c r="Y35"/>
  <c r="Z35"/>
  <c r="X35"/>
  <c r="U35"/>
  <c r="T35"/>
  <c r="Q35"/>
  <c r="P35"/>
  <c r="K35"/>
  <c r="J35"/>
  <c r="I35"/>
  <c r="H35"/>
  <c r="G35"/>
  <c r="F35"/>
  <c r="E35"/>
  <c r="D35"/>
  <c r="C35"/>
  <c r="B35"/>
  <c r="AK34"/>
  <c r="AJ34"/>
  <c r="AI34"/>
  <c r="AH34"/>
  <c r="AG34"/>
  <c r="AF34"/>
  <c r="AE34"/>
  <c r="AD34"/>
  <c r="W34"/>
  <c r="V34"/>
  <c r="S34"/>
  <c r="R34"/>
  <c r="O34"/>
  <c r="N34"/>
  <c r="M34"/>
  <c r="L34"/>
  <c r="AK33"/>
  <c r="AJ33"/>
  <c r="AI33"/>
  <c r="AH33"/>
  <c r="AG33"/>
  <c r="AF33"/>
  <c r="AE33"/>
  <c r="AD33"/>
  <c r="W33"/>
  <c r="V33"/>
  <c r="S33"/>
  <c r="R33"/>
  <c r="O33"/>
  <c r="N33"/>
  <c r="M33"/>
  <c r="L33"/>
  <c r="AK32"/>
  <c r="AJ32"/>
  <c r="AJ35" s="1"/>
  <c r="AI32"/>
  <c r="AI35" s="1"/>
  <c r="AH32"/>
  <c r="AH35" s="1"/>
  <c r="AG32"/>
  <c r="AG35" s="1"/>
  <c r="AF32"/>
  <c r="AF35" s="1"/>
  <c r="AE32"/>
  <c r="AE35" s="1"/>
  <c r="AD32"/>
  <c r="AD35" s="1"/>
  <c r="W32"/>
  <c r="V32"/>
  <c r="V35" s="1"/>
  <c r="S32"/>
  <c r="S35" s="1"/>
  <c r="R32"/>
  <c r="R35" s="1"/>
  <c r="O32"/>
  <c r="O35" s="1"/>
  <c r="N32"/>
  <c r="M32"/>
  <c r="M35" s="1"/>
  <c r="L32"/>
  <c r="W35" l="1"/>
  <c r="AK35"/>
  <c r="N35"/>
  <c r="L35"/>
</calcChain>
</file>

<file path=xl/sharedStrings.xml><?xml version="1.0" encoding="utf-8"?>
<sst xmlns="http://schemas.openxmlformats.org/spreadsheetml/2006/main" count="144" uniqueCount="88">
  <si>
    <t>Kimberlite</t>
  </si>
  <si>
    <t>AC63</t>
  </si>
  <si>
    <t>CA</t>
  </si>
  <si>
    <t>An116</t>
  </si>
  <si>
    <t>CU79</t>
  </si>
  <si>
    <t>TZ</t>
  </si>
  <si>
    <t>Borehole</t>
  </si>
  <si>
    <t>33/35</t>
  </si>
  <si>
    <t>77-35</t>
  </si>
  <si>
    <t>MFD01</t>
  </si>
  <si>
    <t>G10</t>
  </si>
  <si>
    <t>G18</t>
  </si>
  <si>
    <t>Texture/association</t>
  </si>
  <si>
    <t>Point</t>
  </si>
  <si>
    <t xml:space="preserve">299A-a-Cpx8 </t>
  </si>
  <si>
    <t xml:space="preserve">299A-a-Cpx15 </t>
  </si>
  <si>
    <t xml:space="preserve">206B-a-Cpx5 </t>
  </si>
  <si>
    <t xml:space="preserve">206B-a-Cpx8 </t>
  </si>
  <si>
    <t>304-j-35</t>
  </si>
  <si>
    <t>384-m-40</t>
  </si>
  <si>
    <t>601-a-110</t>
  </si>
  <si>
    <t>601 a-113</t>
  </si>
  <si>
    <t xml:space="preserve">607B_d-Cpx21 </t>
  </si>
  <si>
    <t xml:space="preserve">607B_j-Cpx32 </t>
  </si>
  <si>
    <t>C-3CPX</t>
  </si>
  <si>
    <t xml:space="preserve">398.2-d-Cpx2 </t>
  </si>
  <si>
    <t xml:space="preserve">505B_d-Cpx1 </t>
  </si>
  <si>
    <t xml:space="preserve">505B_d-Cpx3 </t>
  </si>
  <si>
    <t xml:space="preserve">499,6-B-Cpx-4 </t>
  </si>
  <si>
    <t xml:space="preserve">499,6-B-Cpx-5 </t>
  </si>
  <si>
    <t xml:space="preserve">57,8A_c-Cpx4 </t>
  </si>
  <si>
    <t xml:space="preserve">57,8A_c-Cpx6 </t>
  </si>
  <si>
    <t>178-b13</t>
  </si>
  <si>
    <t>175.5-h1</t>
  </si>
  <si>
    <t>112,6B_d_6</t>
  </si>
  <si>
    <t>114,8REP_a12_Px</t>
  </si>
  <si>
    <t>131C_d1_px1</t>
  </si>
  <si>
    <t>134B_i_2</t>
  </si>
  <si>
    <t>136,8_b_3</t>
  </si>
  <si>
    <t>105,5_c_6</t>
  </si>
  <si>
    <t>a11_cpx_MP</t>
  </si>
  <si>
    <t>63_c cpx3</t>
  </si>
  <si>
    <t>111_c1</t>
  </si>
  <si>
    <t>111_c8</t>
  </si>
  <si>
    <t>172,5B_a5_px</t>
  </si>
  <si>
    <t>172.5B_e_cpx 11</t>
  </si>
  <si>
    <t>95 f-106</t>
  </si>
  <si>
    <t>38-e-24</t>
  </si>
  <si>
    <t>46.3-a_cpx3</t>
  </si>
  <si>
    <t>346.3-a_cpx4</t>
  </si>
  <si>
    <t>(wt.%)</t>
  </si>
  <si>
    <t>SiO2</t>
  </si>
  <si>
    <t>Al2O3</t>
  </si>
  <si>
    <t>TiO2</t>
  </si>
  <si>
    <t>FeO</t>
  </si>
  <si>
    <t>Fe2O3</t>
  </si>
  <si>
    <t>Cr2O3</t>
  </si>
  <si>
    <t>MgO</t>
  </si>
  <si>
    <t>MnO</t>
  </si>
  <si>
    <t>CaO</t>
  </si>
  <si>
    <t>Na2O</t>
  </si>
  <si>
    <t>K2O</t>
  </si>
  <si>
    <t>Sum Ox%</t>
  </si>
  <si>
    <t>(apfu)</t>
  </si>
  <si>
    <t xml:space="preserve">Si </t>
  </si>
  <si>
    <t xml:space="preserve">Al  </t>
  </si>
  <si>
    <t xml:space="preserve">Ti </t>
  </si>
  <si>
    <t>Fe2+</t>
  </si>
  <si>
    <t>Fe3+</t>
  </si>
  <si>
    <t xml:space="preserve">Cr </t>
  </si>
  <si>
    <t xml:space="preserve">Mg </t>
  </si>
  <si>
    <t xml:space="preserve">Mn </t>
  </si>
  <si>
    <t xml:space="preserve">Ca </t>
  </si>
  <si>
    <t xml:space="preserve">Na </t>
  </si>
  <si>
    <t xml:space="preserve">K </t>
  </si>
  <si>
    <t>Sum cat</t>
  </si>
  <si>
    <t>Wo</t>
  </si>
  <si>
    <t>En</t>
  </si>
  <si>
    <t>Fs</t>
  </si>
  <si>
    <t>Total</t>
  </si>
  <si>
    <t>Q</t>
  </si>
  <si>
    <t>Jd</t>
  </si>
  <si>
    <t>Ae</t>
  </si>
  <si>
    <t>505.6-b-14</t>
  </si>
  <si>
    <t>505.6-b-15</t>
  </si>
  <si>
    <t>111_a11</t>
  </si>
  <si>
    <t>111_a13</t>
  </si>
  <si>
    <t>Texture/association: (1) eclogite; (2) grt  lherzolite;  (3) lherzolite;  (4) pyroxenite; (5) phl-grt wehrlite; (6) phl-rich suite; (7) megacryst; (8) macrocryst; (9) microcryst ; (10) as inclusion in chr; (11) as inclusion in grt.</t>
  </si>
</sst>
</file>

<file path=xl/styles.xml><?xml version="1.0" encoding="utf-8"?>
<styleSheet xmlns="http://schemas.openxmlformats.org/spreadsheetml/2006/main">
  <numFmts count="2">
    <numFmt numFmtId="164" formatCode="0.00_ ;[Red]\-0.00\ "/>
    <numFmt numFmtId="165" formatCode="0.0000_ ;[Red]\-0.0000\ "/>
  </numFmts>
  <fonts count="6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b/>
      <i/>
      <sz val="10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64" fontId="1" fillId="0" borderId="1" xfId="0" applyNumberFormat="1" applyFont="1" applyFill="1" applyBorder="1" applyAlignment="1"/>
    <xf numFmtId="1" fontId="1" fillId="0" borderId="1" xfId="0" applyNumberFormat="1" applyFont="1" applyFill="1" applyBorder="1" applyAlignment="1">
      <alignment horizontal="center"/>
    </xf>
    <xf numFmtId="0" fontId="0" fillId="0" borderId="0" xfId="0" applyFill="1"/>
    <xf numFmtId="0" fontId="1" fillId="0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/>
    <xf numFmtId="0" fontId="1" fillId="0" borderId="1" xfId="0" applyFont="1" applyFill="1" applyBorder="1" applyAlignment="1">
      <alignment horizontal="right"/>
    </xf>
    <xf numFmtId="164" fontId="2" fillId="0" borderId="0" xfId="0" applyNumberFormat="1" applyFont="1" applyFill="1" applyBorder="1" applyAlignment="1"/>
    <xf numFmtId="0" fontId="3" fillId="0" borderId="0" xfId="0" applyFont="1" applyFill="1" applyBorder="1" applyAlignment="1">
      <alignment horizontal="left"/>
    </xf>
    <xf numFmtId="165" fontId="1" fillId="0" borderId="0" xfId="0" applyNumberFormat="1" applyFont="1" applyFill="1" applyBorder="1" applyAlignment="1">
      <alignment horizontal="left"/>
    </xf>
    <xf numFmtId="2" fontId="4" fillId="0" borderId="0" xfId="0" applyNumberFormat="1" applyFont="1" applyFill="1" applyBorder="1" applyAlignment="1">
      <alignment horizontal="right"/>
    </xf>
    <xf numFmtId="0" fontId="2" fillId="0" borderId="0" xfId="0" applyFont="1" applyFill="1" applyBorder="1" applyAlignment="1">
      <alignment horizontal="left"/>
    </xf>
    <xf numFmtId="164" fontId="3" fillId="0" borderId="0" xfId="0" applyNumberFormat="1" applyFont="1" applyFill="1" applyBorder="1"/>
    <xf numFmtId="164" fontId="5" fillId="0" borderId="0" xfId="0" applyNumberFormat="1" applyFont="1" applyFill="1" applyBorder="1"/>
    <xf numFmtId="165" fontId="1" fillId="0" borderId="2" xfId="0" applyNumberFormat="1" applyFont="1" applyFill="1" applyBorder="1" applyAlignment="1">
      <alignment horizontal="left"/>
    </xf>
    <xf numFmtId="2" fontId="4" fillId="0" borderId="2" xfId="0" applyNumberFormat="1" applyFont="1" applyFill="1" applyBorder="1" applyAlignment="1">
      <alignment horizontal="right"/>
    </xf>
    <xf numFmtId="0" fontId="4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O42"/>
  <sheetViews>
    <sheetView tabSelected="1" topLeftCell="A19" workbookViewId="0">
      <selection activeCell="C48" sqref="C48"/>
    </sheetView>
  </sheetViews>
  <sheetFormatPr baseColWidth="10" defaultRowHeight="15"/>
  <cols>
    <col min="1" max="1" width="16.42578125" style="3" customWidth="1"/>
    <col min="2" max="41" width="13.28515625" style="3" customWidth="1"/>
    <col min="42" max="16384" width="11.42578125" style="3"/>
  </cols>
  <sheetData>
    <row r="1" spans="1:41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2" t="s">
        <v>2</v>
      </c>
      <c r="M1" s="2" t="s">
        <v>2</v>
      </c>
      <c r="N1" s="2" t="s">
        <v>2</v>
      </c>
      <c r="O1" s="2" t="s">
        <v>2</v>
      </c>
      <c r="P1" s="2" t="s">
        <v>2</v>
      </c>
      <c r="Q1" s="2" t="s">
        <v>2</v>
      </c>
      <c r="R1" s="2" t="s">
        <v>2</v>
      </c>
      <c r="S1" s="2" t="s">
        <v>2</v>
      </c>
      <c r="T1" s="2" t="s">
        <v>3</v>
      </c>
      <c r="U1" s="2" t="s">
        <v>3</v>
      </c>
      <c r="V1" s="2" t="s">
        <v>4</v>
      </c>
      <c r="W1" s="2" t="s">
        <v>4</v>
      </c>
      <c r="X1" s="2" t="s">
        <v>4</v>
      </c>
      <c r="Y1" s="2" t="s">
        <v>4</v>
      </c>
      <c r="Z1" s="2" t="s">
        <v>4</v>
      </c>
      <c r="AA1" s="2" t="s">
        <v>4</v>
      </c>
      <c r="AB1" s="2" t="s">
        <v>4</v>
      </c>
      <c r="AC1" s="2" t="s">
        <v>4</v>
      </c>
      <c r="AD1" s="2" t="s">
        <v>4</v>
      </c>
      <c r="AE1" s="2" t="s">
        <v>4</v>
      </c>
      <c r="AF1" s="2" t="s">
        <v>4</v>
      </c>
      <c r="AG1" s="2" t="s">
        <v>4</v>
      </c>
      <c r="AH1" s="2" t="s">
        <v>4</v>
      </c>
      <c r="AI1" s="2" t="s">
        <v>4</v>
      </c>
      <c r="AJ1" s="2" t="s">
        <v>4</v>
      </c>
      <c r="AK1" s="2" t="s">
        <v>4</v>
      </c>
      <c r="AL1" s="2" t="s">
        <v>5</v>
      </c>
      <c r="AM1" s="2" t="s">
        <v>5</v>
      </c>
      <c r="AN1" s="2" t="s">
        <v>5</v>
      </c>
      <c r="AO1" s="2" t="s">
        <v>5</v>
      </c>
    </row>
    <row r="2" spans="1:41">
      <c r="A2" s="1" t="s">
        <v>6</v>
      </c>
      <c r="B2" s="2">
        <v>6</v>
      </c>
      <c r="C2" s="2">
        <v>6</v>
      </c>
      <c r="D2" s="2">
        <v>6</v>
      </c>
      <c r="E2" s="2">
        <v>6</v>
      </c>
      <c r="F2" s="2" t="s">
        <v>7</v>
      </c>
      <c r="G2" s="2" t="s">
        <v>7</v>
      </c>
      <c r="H2" s="2">
        <v>536</v>
      </c>
      <c r="I2" s="2">
        <v>384</v>
      </c>
      <c r="J2" s="2">
        <v>335</v>
      </c>
      <c r="K2" s="2">
        <v>335</v>
      </c>
      <c r="L2" s="2">
        <v>335</v>
      </c>
      <c r="M2" s="2">
        <v>335</v>
      </c>
      <c r="N2" s="2">
        <v>335</v>
      </c>
      <c r="O2" s="2" t="s">
        <v>8</v>
      </c>
      <c r="P2" s="2" t="s">
        <v>7</v>
      </c>
      <c r="Q2" s="2" t="s">
        <v>7</v>
      </c>
      <c r="R2" s="2" t="s">
        <v>7</v>
      </c>
      <c r="S2" s="2" t="s">
        <v>7</v>
      </c>
      <c r="T2" s="2">
        <v>116</v>
      </c>
      <c r="U2" s="2">
        <v>116</v>
      </c>
      <c r="V2" s="2" t="s">
        <v>9</v>
      </c>
      <c r="W2" s="2" t="s">
        <v>9</v>
      </c>
      <c r="X2" s="2" t="s">
        <v>9</v>
      </c>
      <c r="Y2" s="2" t="s">
        <v>9</v>
      </c>
      <c r="Z2" s="2" t="s">
        <v>9</v>
      </c>
      <c r="AA2" s="2" t="s">
        <v>9</v>
      </c>
      <c r="AB2" s="2" t="s">
        <v>9</v>
      </c>
      <c r="AC2" s="2" t="s">
        <v>9</v>
      </c>
      <c r="AD2" s="2" t="s">
        <v>9</v>
      </c>
      <c r="AE2" s="2" t="s">
        <v>9</v>
      </c>
      <c r="AF2" s="2" t="s">
        <v>9</v>
      </c>
      <c r="AG2" s="2" t="s">
        <v>9</v>
      </c>
      <c r="AH2" s="2" t="s">
        <v>9</v>
      </c>
      <c r="AI2" s="2" t="s">
        <v>9</v>
      </c>
      <c r="AJ2" s="2" t="s">
        <v>9</v>
      </c>
      <c r="AK2" s="2" t="s">
        <v>9</v>
      </c>
      <c r="AL2" s="2" t="s">
        <v>10</v>
      </c>
      <c r="AM2" s="2" t="s">
        <v>11</v>
      </c>
      <c r="AN2" s="2">
        <v>34</v>
      </c>
      <c r="AO2" s="2">
        <v>34</v>
      </c>
    </row>
    <row r="3" spans="1:41">
      <c r="A3" s="4" t="s">
        <v>12</v>
      </c>
      <c r="B3" s="5">
        <v>8</v>
      </c>
      <c r="C3" s="5">
        <v>8</v>
      </c>
      <c r="D3" s="5">
        <v>5</v>
      </c>
      <c r="E3" s="5">
        <v>5</v>
      </c>
      <c r="F3" s="5">
        <v>10</v>
      </c>
      <c r="G3" s="5">
        <v>10</v>
      </c>
      <c r="H3" s="5">
        <v>8</v>
      </c>
      <c r="I3" s="5">
        <v>8</v>
      </c>
      <c r="J3" s="5">
        <v>9</v>
      </c>
      <c r="K3" s="5">
        <v>9</v>
      </c>
      <c r="L3" s="5">
        <v>1</v>
      </c>
      <c r="M3" s="5">
        <v>1</v>
      </c>
      <c r="N3" s="5">
        <v>2</v>
      </c>
      <c r="O3" s="5">
        <v>2</v>
      </c>
      <c r="P3" s="5">
        <v>11</v>
      </c>
      <c r="Q3" s="5">
        <v>11</v>
      </c>
      <c r="R3" s="5">
        <v>5</v>
      </c>
      <c r="S3" s="5">
        <v>5</v>
      </c>
      <c r="T3" s="5">
        <v>6</v>
      </c>
      <c r="U3" s="5">
        <v>6</v>
      </c>
      <c r="V3" s="5">
        <v>2</v>
      </c>
      <c r="W3" s="5">
        <v>2</v>
      </c>
      <c r="X3" s="5">
        <v>8</v>
      </c>
      <c r="Y3" s="5">
        <v>8</v>
      </c>
      <c r="Z3" s="5">
        <v>11</v>
      </c>
      <c r="AA3" s="5">
        <v>7</v>
      </c>
      <c r="AB3" s="5">
        <v>7</v>
      </c>
      <c r="AC3" s="5">
        <v>9</v>
      </c>
      <c r="AD3" s="5">
        <v>5</v>
      </c>
      <c r="AE3" s="5">
        <v>5</v>
      </c>
      <c r="AF3" s="5">
        <v>6</v>
      </c>
      <c r="AG3" s="5">
        <v>6</v>
      </c>
      <c r="AH3" s="5">
        <v>4</v>
      </c>
      <c r="AI3" s="5">
        <v>4</v>
      </c>
      <c r="AJ3" s="5">
        <v>3</v>
      </c>
      <c r="AK3" s="5">
        <v>3</v>
      </c>
      <c r="AL3" s="5">
        <v>8</v>
      </c>
      <c r="AM3" s="5">
        <v>8</v>
      </c>
      <c r="AN3" s="5">
        <v>2</v>
      </c>
      <c r="AO3" s="5">
        <v>2</v>
      </c>
    </row>
    <row r="4" spans="1:41">
      <c r="A4" s="6" t="s">
        <v>13</v>
      </c>
      <c r="B4" s="7" t="s">
        <v>14</v>
      </c>
      <c r="C4" s="7" t="s">
        <v>15</v>
      </c>
      <c r="D4" s="7" t="s">
        <v>16</v>
      </c>
      <c r="E4" s="7" t="s">
        <v>17</v>
      </c>
      <c r="F4" s="7" t="s">
        <v>83</v>
      </c>
      <c r="G4" s="7" t="s">
        <v>84</v>
      </c>
      <c r="H4" s="7" t="s">
        <v>18</v>
      </c>
      <c r="I4" s="7" t="s">
        <v>19</v>
      </c>
      <c r="J4" s="7" t="s">
        <v>20</v>
      </c>
      <c r="K4" s="7" t="s">
        <v>21</v>
      </c>
      <c r="L4" s="7" t="s">
        <v>22</v>
      </c>
      <c r="M4" s="7" t="s">
        <v>23</v>
      </c>
      <c r="N4" s="7" t="s">
        <v>24</v>
      </c>
      <c r="O4" s="7" t="s">
        <v>25</v>
      </c>
      <c r="P4" s="7" t="s">
        <v>26</v>
      </c>
      <c r="Q4" s="7" t="s">
        <v>27</v>
      </c>
      <c r="R4" s="7" t="s">
        <v>28</v>
      </c>
      <c r="S4" s="7" t="s">
        <v>29</v>
      </c>
      <c r="T4" s="7" t="s">
        <v>30</v>
      </c>
      <c r="U4" s="7" t="s">
        <v>31</v>
      </c>
      <c r="V4" s="7" t="s">
        <v>32</v>
      </c>
      <c r="W4" s="7" t="s">
        <v>33</v>
      </c>
      <c r="X4" s="7" t="s">
        <v>34</v>
      </c>
      <c r="Y4" s="7" t="s">
        <v>36</v>
      </c>
      <c r="Z4" s="7" t="s">
        <v>35</v>
      </c>
      <c r="AA4" s="7" t="s">
        <v>37</v>
      </c>
      <c r="AB4" s="7" t="s">
        <v>38</v>
      </c>
      <c r="AC4" s="7" t="s">
        <v>39</v>
      </c>
      <c r="AD4" s="7" t="s">
        <v>40</v>
      </c>
      <c r="AE4" s="7" t="s">
        <v>41</v>
      </c>
      <c r="AF4" s="7" t="s">
        <v>42</v>
      </c>
      <c r="AG4" s="7" t="s">
        <v>43</v>
      </c>
      <c r="AH4" s="7" t="s">
        <v>85</v>
      </c>
      <c r="AI4" s="7" t="s">
        <v>86</v>
      </c>
      <c r="AJ4" s="7" t="s">
        <v>44</v>
      </c>
      <c r="AK4" s="7" t="s">
        <v>45</v>
      </c>
      <c r="AL4" s="7" t="s">
        <v>46</v>
      </c>
      <c r="AM4" s="7" t="s">
        <v>47</v>
      </c>
      <c r="AN4" s="7" t="s">
        <v>48</v>
      </c>
      <c r="AO4" s="7" t="s">
        <v>49</v>
      </c>
    </row>
    <row r="5" spans="1:41">
      <c r="A5" s="8" t="s">
        <v>50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</row>
    <row r="6" spans="1:41">
      <c r="A6" s="10" t="s">
        <v>51</v>
      </c>
      <c r="B6" s="11">
        <v>54.7</v>
      </c>
      <c r="C6" s="11">
        <v>54.453000000000003</v>
      </c>
      <c r="D6" s="11">
        <v>54.862000000000002</v>
      </c>
      <c r="E6" s="11">
        <v>54.997999999999998</v>
      </c>
      <c r="F6" s="11">
        <v>54.19</v>
      </c>
      <c r="G6" s="11">
        <v>53.91</v>
      </c>
      <c r="H6" s="11">
        <v>55.08</v>
      </c>
      <c r="I6" s="11">
        <v>55.29</v>
      </c>
      <c r="J6" s="11">
        <v>55.04</v>
      </c>
      <c r="K6" s="11">
        <v>55.01</v>
      </c>
      <c r="L6" s="11">
        <v>55.368000000000002</v>
      </c>
      <c r="M6" s="11">
        <v>55.493000000000002</v>
      </c>
      <c r="N6" s="11">
        <v>54.716999999999999</v>
      </c>
      <c r="O6" s="11">
        <v>54.74</v>
      </c>
      <c r="P6" s="11">
        <v>54.356999999999999</v>
      </c>
      <c r="Q6" s="11">
        <v>54.613999999999997</v>
      </c>
      <c r="R6" s="11">
        <v>54.323999999999998</v>
      </c>
      <c r="S6" s="11">
        <v>54.411999999999999</v>
      </c>
      <c r="T6" s="11">
        <v>54.713000000000001</v>
      </c>
      <c r="U6" s="11">
        <v>54.517000000000003</v>
      </c>
      <c r="V6" s="11">
        <v>53.79</v>
      </c>
      <c r="W6" s="11">
        <v>55.06</v>
      </c>
      <c r="X6" s="11">
        <v>53.59</v>
      </c>
      <c r="Y6" s="11">
        <v>54.14</v>
      </c>
      <c r="Z6" s="11">
        <v>50.53</v>
      </c>
      <c r="AA6" s="11">
        <v>54.68</v>
      </c>
      <c r="AB6" s="11">
        <v>54.83</v>
      </c>
      <c r="AC6" s="11">
        <v>54.03</v>
      </c>
      <c r="AD6" s="11">
        <v>54.13</v>
      </c>
      <c r="AE6" s="11">
        <v>53.46</v>
      </c>
      <c r="AF6" s="11">
        <v>53.29</v>
      </c>
      <c r="AG6" s="11">
        <v>53.14</v>
      </c>
      <c r="AH6" s="11">
        <v>53.32</v>
      </c>
      <c r="AI6" s="11">
        <v>53.35</v>
      </c>
      <c r="AJ6" s="11">
        <v>54.23</v>
      </c>
      <c r="AK6" s="11">
        <v>53.34</v>
      </c>
      <c r="AL6" s="11">
        <v>55.41</v>
      </c>
      <c r="AM6" s="11">
        <v>55.69</v>
      </c>
      <c r="AN6" s="11">
        <v>54.74</v>
      </c>
      <c r="AO6" s="11">
        <v>54.79</v>
      </c>
    </row>
    <row r="7" spans="1:41">
      <c r="A7" s="10" t="s">
        <v>52</v>
      </c>
      <c r="B7" s="11">
        <v>2.2400000000000002</v>
      </c>
      <c r="C7" s="11">
        <v>2.298</v>
      </c>
      <c r="D7" s="11">
        <v>4.5170000000000003</v>
      </c>
      <c r="E7" s="11">
        <v>4.4790000000000001</v>
      </c>
      <c r="F7" s="11">
        <v>1.04</v>
      </c>
      <c r="G7" s="11">
        <v>1.07</v>
      </c>
      <c r="H7" s="11">
        <v>3.77</v>
      </c>
      <c r="I7" s="11">
        <v>2.66</v>
      </c>
      <c r="J7" s="11">
        <v>1.78</v>
      </c>
      <c r="K7" s="11">
        <v>2.33</v>
      </c>
      <c r="L7" s="11">
        <v>7.3019999999999996</v>
      </c>
      <c r="M7" s="11">
        <v>6.6909999999999998</v>
      </c>
      <c r="N7" s="11">
        <v>3.3809999999999998</v>
      </c>
      <c r="O7" s="11">
        <v>3.17</v>
      </c>
      <c r="P7" s="11">
        <v>2.948</v>
      </c>
      <c r="Q7" s="11">
        <v>3.11</v>
      </c>
      <c r="R7" s="11">
        <v>3.657</v>
      </c>
      <c r="S7" s="11">
        <v>3.7010000000000001</v>
      </c>
      <c r="T7" s="11">
        <v>0.76300000000000001</v>
      </c>
      <c r="U7" s="11">
        <v>0.76400000000000001</v>
      </c>
      <c r="V7" s="11">
        <v>7.38</v>
      </c>
      <c r="W7" s="11">
        <v>2.39</v>
      </c>
      <c r="X7" s="11">
        <v>1.45</v>
      </c>
      <c r="Y7" s="11">
        <v>3.53</v>
      </c>
      <c r="Z7" s="11">
        <v>5.32</v>
      </c>
      <c r="AA7" s="11">
        <v>3.52</v>
      </c>
      <c r="AB7" s="11">
        <v>3.69</v>
      </c>
      <c r="AC7" s="11">
        <v>4.09</v>
      </c>
      <c r="AD7" s="11">
        <v>2.33</v>
      </c>
      <c r="AE7" s="11">
        <v>1.1200000000000001</v>
      </c>
      <c r="AF7" s="11">
        <v>1.45</v>
      </c>
      <c r="AG7" s="11">
        <v>1.55</v>
      </c>
      <c r="AH7" s="11">
        <v>1.0900000000000001</v>
      </c>
      <c r="AI7" s="11">
        <v>0.99</v>
      </c>
      <c r="AJ7" s="11">
        <v>2.44</v>
      </c>
      <c r="AK7" s="11">
        <v>1.18</v>
      </c>
      <c r="AL7" s="11">
        <v>2.9</v>
      </c>
      <c r="AM7" s="11">
        <v>3.42</v>
      </c>
      <c r="AN7" s="11">
        <v>2.95</v>
      </c>
      <c r="AO7" s="11">
        <v>3.19</v>
      </c>
    </row>
    <row r="8" spans="1:41">
      <c r="A8" s="10" t="s">
        <v>53</v>
      </c>
      <c r="B8" s="11">
        <v>0.28000000000000003</v>
      </c>
      <c r="C8" s="11">
        <v>0.28699999999999998</v>
      </c>
      <c r="D8" s="11">
        <v>0.121</v>
      </c>
      <c r="E8" s="11">
        <v>0.11700000000000001</v>
      </c>
      <c r="F8" s="11">
        <v>0.11</v>
      </c>
      <c r="G8" s="11">
        <v>0.13</v>
      </c>
      <c r="H8" s="11">
        <v>0.49</v>
      </c>
      <c r="I8" s="11">
        <v>0.21</v>
      </c>
      <c r="J8" s="11">
        <v>0.26</v>
      </c>
      <c r="K8" s="11">
        <v>0.09</v>
      </c>
      <c r="L8" s="11">
        <v>0.433</v>
      </c>
      <c r="M8" s="11">
        <v>0.35599999999999998</v>
      </c>
      <c r="N8" s="11">
        <v>0.108</v>
      </c>
      <c r="O8" s="11">
        <v>0.191</v>
      </c>
      <c r="P8" s="11">
        <v>0.112</v>
      </c>
      <c r="Q8" s="11">
        <v>0.09</v>
      </c>
      <c r="R8" s="11">
        <v>0.31</v>
      </c>
      <c r="S8" s="11">
        <v>0.30399999999999999</v>
      </c>
      <c r="T8" s="11">
        <v>7.3999999999999996E-2</v>
      </c>
      <c r="U8" s="11">
        <v>6.8000000000000005E-2</v>
      </c>
      <c r="V8" s="11">
        <v>0.35</v>
      </c>
      <c r="W8" s="11">
        <v>0.15</v>
      </c>
      <c r="X8" s="11">
        <v>0.79</v>
      </c>
      <c r="Y8" s="11">
        <v>0.39</v>
      </c>
      <c r="Z8" s="11">
        <v>0.72</v>
      </c>
      <c r="AA8" s="11">
        <v>0.39</v>
      </c>
      <c r="AB8" s="11">
        <v>0.32</v>
      </c>
      <c r="AC8" s="11">
        <v>0.51</v>
      </c>
      <c r="AD8" s="11">
        <v>0.12</v>
      </c>
      <c r="AE8" s="11">
        <v>1.17</v>
      </c>
      <c r="AF8" s="11">
        <v>1.51</v>
      </c>
      <c r="AG8" s="11">
        <v>1.3</v>
      </c>
      <c r="AH8" s="11">
        <v>0.47</v>
      </c>
      <c r="AI8" s="11">
        <v>0.34</v>
      </c>
      <c r="AJ8" s="11">
        <v>0.21</v>
      </c>
      <c r="AK8" s="11">
        <v>0.24</v>
      </c>
      <c r="AL8" s="11">
        <v>0.2</v>
      </c>
      <c r="AM8" s="11">
        <v>0.26</v>
      </c>
      <c r="AN8" s="11">
        <v>0.18</v>
      </c>
      <c r="AO8" s="11">
        <v>0.23</v>
      </c>
    </row>
    <row r="9" spans="1:41">
      <c r="A9" s="10" t="s">
        <v>54</v>
      </c>
      <c r="B9" s="11">
        <v>0.71425580069633821</v>
      </c>
      <c r="C9" s="11">
        <v>0.47895993259035252</v>
      </c>
      <c r="D9" s="11">
        <v>0</v>
      </c>
      <c r="E9" s="11">
        <v>0</v>
      </c>
      <c r="F9" s="11">
        <v>0.31551403038958564</v>
      </c>
      <c r="G9" s="11">
        <v>0</v>
      </c>
      <c r="H9" s="11">
        <v>3.819068417255544</v>
      </c>
      <c r="I9" s="11">
        <v>2.1650918069995497</v>
      </c>
      <c r="J9" s="11">
        <v>1.9150925427978889</v>
      </c>
      <c r="K9" s="11">
        <v>1.4609885202075457</v>
      </c>
      <c r="L9" s="11">
        <v>0.82620568658152804</v>
      </c>
      <c r="M9" s="11">
        <v>1.2653163184321861</v>
      </c>
      <c r="N9" s="11">
        <v>0.63639592429995462</v>
      </c>
      <c r="O9" s="11">
        <v>0.20018752880321877</v>
      </c>
      <c r="P9" s="11">
        <v>0.1287368031023165</v>
      </c>
      <c r="Q9" s="11">
        <v>0.41828700910804961</v>
      </c>
      <c r="R9" s="11">
        <v>8.52234401251937E-2</v>
      </c>
      <c r="S9" s="11">
        <v>0.45286868826921578</v>
      </c>
      <c r="T9" s="11">
        <v>0</v>
      </c>
      <c r="U9" s="11">
        <v>0</v>
      </c>
      <c r="V9" s="11">
        <v>1.697451442301551</v>
      </c>
      <c r="W9" s="11">
        <v>2.8078143955606651</v>
      </c>
      <c r="X9" s="11">
        <v>3.2823504474316194</v>
      </c>
      <c r="Y9" s="11">
        <v>2.8806782519695253</v>
      </c>
      <c r="Z9" s="11">
        <v>2.7638730280997796</v>
      </c>
      <c r="AA9" s="11">
        <v>2.8800189759901529</v>
      </c>
      <c r="AB9" s="11">
        <v>2.995504453046693</v>
      </c>
      <c r="AC9" s="11">
        <v>2.6430767668566015</v>
      </c>
      <c r="AD9" s="11">
        <v>0.99984267746574329</v>
      </c>
      <c r="AE9" s="11">
        <v>2.2769402618382095</v>
      </c>
      <c r="AF9" s="11">
        <v>4.0912438843486703</v>
      </c>
      <c r="AG9" s="11">
        <v>3.4634902756673651</v>
      </c>
      <c r="AH9" s="11">
        <v>4.2014155091895269</v>
      </c>
      <c r="AI9" s="11">
        <v>5.244269541708042</v>
      </c>
      <c r="AJ9" s="11">
        <v>2.8994363239144669</v>
      </c>
      <c r="AK9" s="11">
        <v>1.3708049910124134</v>
      </c>
      <c r="AL9" s="11">
        <v>1.3472119365160626</v>
      </c>
      <c r="AM9" s="11">
        <v>2.2377643611963327</v>
      </c>
      <c r="AN9" s="11">
        <v>0</v>
      </c>
      <c r="AO9" s="11">
        <v>0</v>
      </c>
    </row>
    <row r="10" spans="1:41">
      <c r="A10" s="10" t="s">
        <v>55</v>
      </c>
      <c r="B10" s="11">
        <v>2.4846961596965818</v>
      </c>
      <c r="C10" s="11">
        <v>2.8773318140764608</v>
      </c>
      <c r="D10" s="11">
        <v>2.8157273149391018</v>
      </c>
      <c r="E10" s="11">
        <v>2.3968551841311037</v>
      </c>
      <c r="F10" s="11">
        <v>0</v>
      </c>
      <c r="G10" s="11">
        <v>0</v>
      </c>
      <c r="H10" s="11">
        <v>1.934785750215479</v>
      </c>
      <c r="I10" s="11">
        <v>0.27217892226488949</v>
      </c>
      <c r="J10" s="11">
        <v>1.7613882096221389</v>
      </c>
      <c r="K10" s="11">
        <v>1.3102953803887329</v>
      </c>
      <c r="L10" s="11">
        <v>2.549210201891543</v>
      </c>
      <c r="M10" s="11">
        <v>2.1534463575027085</v>
      </c>
      <c r="N10" s="11">
        <v>1.9277536700434283</v>
      </c>
      <c r="O10" s="11">
        <v>2.3647461446545615</v>
      </c>
      <c r="P10" s="11">
        <v>2.4430416167624127</v>
      </c>
      <c r="Q10" s="11">
        <v>2.0723503202417395</v>
      </c>
      <c r="R10" s="11">
        <v>2.8092465644540874</v>
      </c>
      <c r="S10" s="11">
        <v>2.4862377282364041</v>
      </c>
      <c r="T10" s="11">
        <v>2.6936702153401209</v>
      </c>
      <c r="U10" s="11">
        <v>3.6816023928630708</v>
      </c>
      <c r="V10" s="11">
        <v>1.5476099880218894</v>
      </c>
      <c r="W10" s="11">
        <v>0.59144491038288916</v>
      </c>
      <c r="X10" s="11">
        <v>2.6868568240632245</v>
      </c>
      <c r="Y10" s="11">
        <v>2.8109638105851937</v>
      </c>
      <c r="Z10" s="11">
        <v>4.741163728462289</v>
      </c>
      <c r="AA10" s="11">
        <v>2.6672208902786037</v>
      </c>
      <c r="AB10" s="11">
        <v>2.6055570595933855</v>
      </c>
      <c r="AC10" s="11">
        <v>3.5640167798779965</v>
      </c>
      <c r="AD10" s="11">
        <v>1.7449956352947</v>
      </c>
      <c r="AE10" s="11">
        <v>2.8262315372472435</v>
      </c>
      <c r="AF10" s="11">
        <v>1.5433952544252281</v>
      </c>
      <c r="AG10" s="11">
        <v>2.6967035832603408</v>
      </c>
      <c r="AH10" s="11">
        <v>2.443398687017361</v>
      </c>
      <c r="AI10" s="11">
        <v>1.9178919680189481</v>
      </c>
      <c r="AJ10" s="11">
        <v>2.30112264899505</v>
      </c>
      <c r="AK10" s="11">
        <v>3.2664767971690973</v>
      </c>
      <c r="AL10" s="11">
        <v>1.0811088166034517</v>
      </c>
      <c r="AM10" s="11">
        <v>0.51370595838651056</v>
      </c>
      <c r="AN10" s="11">
        <v>4.9235703094434609</v>
      </c>
      <c r="AO10" s="11">
        <v>4.420640298885858</v>
      </c>
    </row>
    <row r="11" spans="1:41">
      <c r="A11" s="10" t="s">
        <v>56</v>
      </c>
      <c r="B11" s="11">
        <v>2.84</v>
      </c>
      <c r="C11" s="11">
        <v>2.9750000000000001</v>
      </c>
      <c r="D11" s="11">
        <v>4.5540000000000003</v>
      </c>
      <c r="E11" s="11">
        <v>4.4569999999999999</v>
      </c>
      <c r="F11" s="11">
        <v>1.99</v>
      </c>
      <c r="G11" s="11">
        <v>2.02</v>
      </c>
      <c r="H11" s="11">
        <v>0.28000000000000003</v>
      </c>
      <c r="I11" s="11">
        <v>2.9</v>
      </c>
      <c r="J11" s="11">
        <v>1.83</v>
      </c>
      <c r="K11" s="11">
        <v>2.2400000000000002</v>
      </c>
      <c r="L11" s="11">
        <v>8.6999999999999994E-2</v>
      </c>
      <c r="M11" s="11">
        <v>0.11600000000000001</v>
      </c>
      <c r="N11" s="11">
        <v>3.0390000000000001</v>
      </c>
      <c r="O11" s="11">
        <v>2.8860000000000001</v>
      </c>
      <c r="P11" s="11">
        <v>2.9009999999999998</v>
      </c>
      <c r="Q11" s="11">
        <v>2.8319999999999999</v>
      </c>
      <c r="R11" s="11">
        <v>3.5070000000000001</v>
      </c>
      <c r="S11" s="11">
        <v>3.8679999999999999</v>
      </c>
      <c r="T11" s="11">
        <v>3.2669999999999999</v>
      </c>
      <c r="U11" s="11">
        <v>3.1059999999999999</v>
      </c>
      <c r="V11" s="11">
        <v>0.13</v>
      </c>
      <c r="W11" s="11">
        <v>1.33</v>
      </c>
      <c r="X11" s="11">
        <v>0.45</v>
      </c>
      <c r="Y11" s="11">
        <v>0.5</v>
      </c>
      <c r="Z11" s="11">
        <v>1.05</v>
      </c>
      <c r="AA11" s="11">
        <v>0.47</v>
      </c>
      <c r="AB11" s="11">
        <v>0.56999999999999995</v>
      </c>
      <c r="AC11" s="11">
        <v>0.06</v>
      </c>
      <c r="AD11" s="11">
        <v>1.48</v>
      </c>
      <c r="AE11" s="11">
        <v>0.45</v>
      </c>
      <c r="AF11" s="11">
        <v>0.19</v>
      </c>
      <c r="AG11" s="11">
        <v>0.19</v>
      </c>
      <c r="AH11" s="11">
        <v>7.0000000000000007E-2</v>
      </c>
      <c r="AI11" s="11">
        <v>0.03</v>
      </c>
      <c r="AJ11" s="11">
        <v>0.59</v>
      </c>
      <c r="AK11" s="11">
        <v>0.51</v>
      </c>
      <c r="AL11" s="11">
        <v>1.39</v>
      </c>
      <c r="AM11" s="11">
        <v>1.8</v>
      </c>
      <c r="AN11" s="11">
        <v>0.83</v>
      </c>
      <c r="AO11" s="11">
        <v>0.85</v>
      </c>
    </row>
    <row r="12" spans="1:41">
      <c r="A12" s="10" t="s">
        <v>57</v>
      </c>
      <c r="B12" s="11">
        <v>15.16</v>
      </c>
      <c r="C12" s="11">
        <v>15.048999999999999</v>
      </c>
      <c r="D12" s="11">
        <v>13.172000000000001</v>
      </c>
      <c r="E12" s="11">
        <v>13.234</v>
      </c>
      <c r="F12" s="11">
        <v>16.12</v>
      </c>
      <c r="G12" s="11">
        <v>16.809999999999999</v>
      </c>
      <c r="H12" s="11">
        <v>16.16</v>
      </c>
      <c r="I12" s="11">
        <v>14.73</v>
      </c>
      <c r="J12" s="11">
        <v>15.06</v>
      </c>
      <c r="K12" s="11">
        <v>15.1</v>
      </c>
      <c r="L12" s="11">
        <v>12.78</v>
      </c>
      <c r="M12" s="11">
        <v>13.071</v>
      </c>
      <c r="N12" s="11">
        <v>14.935</v>
      </c>
      <c r="O12" s="11">
        <v>15.39</v>
      </c>
      <c r="P12" s="11">
        <v>14.968</v>
      </c>
      <c r="Q12" s="11">
        <v>15.026</v>
      </c>
      <c r="R12" s="11">
        <v>15.077</v>
      </c>
      <c r="S12" s="11">
        <v>14.688000000000001</v>
      </c>
      <c r="T12" s="11">
        <v>15.48</v>
      </c>
      <c r="U12" s="11">
        <v>15.688000000000001</v>
      </c>
      <c r="V12" s="11">
        <v>13.5</v>
      </c>
      <c r="W12" s="11">
        <v>18.28</v>
      </c>
      <c r="X12" s="11">
        <v>18.309999999999999</v>
      </c>
      <c r="Y12" s="11">
        <v>17.850000000000001</v>
      </c>
      <c r="Z12" s="11">
        <v>17.559999999999999</v>
      </c>
      <c r="AA12" s="11">
        <v>17.739999999999998</v>
      </c>
      <c r="AB12" s="11">
        <v>18.22</v>
      </c>
      <c r="AC12" s="11">
        <v>15.36</v>
      </c>
      <c r="AD12" s="11">
        <v>16.38</v>
      </c>
      <c r="AE12" s="11">
        <v>17.82</v>
      </c>
      <c r="AF12" s="11">
        <v>16.63</v>
      </c>
      <c r="AG12" s="11">
        <v>17.71</v>
      </c>
      <c r="AH12" s="11">
        <v>16.2</v>
      </c>
      <c r="AI12" s="11">
        <v>16.96</v>
      </c>
      <c r="AJ12" s="11">
        <v>15.59</v>
      </c>
      <c r="AK12" s="11">
        <v>16.190000000000001</v>
      </c>
      <c r="AL12" s="11">
        <v>15.23</v>
      </c>
      <c r="AM12" s="11">
        <v>14.36</v>
      </c>
      <c r="AN12" s="11">
        <v>16.04</v>
      </c>
      <c r="AO12" s="11">
        <v>15.64</v>
      </c>
    </row>
    <row r="13" spans="1:41">
      <c r="A13" s="10" t="s">
        <v>58</v>
      </c>
      <c r="B13" s="11">
        <v>0.09</v>
      </c>
      <c r="C13" s="11">
        <v>8.5000000000000006E-2</v>
      </c>
      <c r="D13" s="11">
        <v>7.0000000000000007E-2</v>
      </c>
      <c r="E13" s="11">
        <v>9.9000000000000005E-2</v>
      </c>
      <c r="F13" s="11">
        <v>0.05</v>
      </c>
      <c r="G13" s="11">
        <v>7.0000000000000007E-2</v>
      </c>
      <c r="H13" s="11">
        <v>0.18</v>
      </c>
      <c r="I13" s="11">
        <v>0.13</v>
      </c>
      <c r="J13" s="11">
        <v>7.0000000000000007E-2</v>
      </c>
      <c r="K13" s="11">
        <v>0.12</v>
      </c>
      <c r="L13" s="11">
        <v>4.7E-2</v>
      </c>
      <c r="M13" s="11">
        <v>5.1999999999999998E-2</v>
      </c>
      <c r="N13" s="11">
        <v>6.8000000000000005E-2</v>
      </c>
      <c r="O13" s="11">
        <v>7.6999999999999999E-2</v>
      </c>
      <c r="P13" s="11">
        <v>7.3999999999999996E-2</v>
      </c>
      <c r="Q13" s="11">
        <v>6.9000000000000006E-2</v>
      </c>
      <c r="R13" s="11">
        <v>0.10199999999999999</v>
      </c>
      <c r="S13" s="11">
        <v>9.2999999999999999E-2</v>
      </c>
      <c r="T13" s="11">
        <v>6.8000000000000005E-2</v>
      </c>
      <c r="U13" s="11">
        <v>5.5E-2</v>
      </c>
      <c r="V13" s="11">
        <v>0.06</v>
      </c>
      <c r="W13" s="11">
        <v>0.03</v>
      </c>
      <c r="X13" s="11">
        <v>0.2</v>
      </c>
      <c r="Y13" s="11">
        <v>0.14000000000000001</v>
      </c>
      <c r="Z13" s="11">
        <v>0.39</v>
      </c>
      <c r="AA13" s="11">
        <v>0.12</v>
      </c>
      <c r="AB13" s="11">
        <v>0.17</v>
      </c>
      <c r="AC13" s="11">
        <v>0.14000000000000001</v>
      </c>
      <c r="AD13" s="11">
        <v>0.08</v>
      </c>
      <c r="AE13" s="11">
        <v>0.17</v>
      </c>
      <c r="AF13" s="11">
        <v>0.14000000000000001</v>
      </c>
      <c r="AG13" s="11">
        <v>0.12</v>
      </c>
      <c r="AH13" s="11">
        <v>0.16</v>
      </c>
      <c r="AI13" s="11">
        <v>0.13</v>
      </c>
      <c r="AJ13" s="11">
        <v>0.1</v>
      </c>
      <c r="AK13" s="11">
        <v>0.06</v>
      </c>
      <c r="AL13" s="11">
        <v>0</v>
      </c>
      <c r="AM13" s="11">
        <v>0.09</v>
      </c>
      <c r="AN13" s="11">
        <v>0</v>
      </c>
      <c r="AO13" s="11">
        <v>0</v>
      </c>
    </row>
    <row r="14" spans="1:41">
      <c r="A14" s="10" t="s">
        <v>59</v>
      </c>
      <c r="B14" s="11">
        <v>19.02</v>
      </c>
      <c r="C14" s="11">
        <v>18.759</v>
      </c>
      <c r="D14" s="11">
        <v>14.946</v>
      </c>
      <c r="E14" s="11">
        <v>14.914</v>
      </c>
      <c r="F14" s="11">
        <v>22.03</v>
      </c>
      <c r="G14" s="11">
        <v>21.99</v>
      </c>
      <c r="H14" s="11">
        <v>15.72</v>
      </c>
      <c r="I14" s="11">
        <v>18.690000000000001</v>
      </c>
      <c r="J14" s="11">
        <v>19.88</v>
      </c>
      <c r="K14" s="11">
        <v>19.75</v>
      </c>
      <c r="L14" s="11">
        <v>15.791</v>
      </c>
      <c r="M14" s="11">
        <v>16.271000000000001</v>
      </c>
      <c r="N14" s="11">
        <v>18.100000000000001</v>
      </c>
      <c r="O14" s="11">
        <v>17.741</v>
      </c>
      <c r="P14" s="11">
        <v>18.847000000000001</v>
      </c>
      <c r="Q14" s="11">
        <v>18.866</v>
      </c>
      <c r="R14" s="11">
        <v>16.128</v>
      </c>
      <c r="S14" s="11">
        <v>15.949</v>
      </c>
      <c r="T14" s="11">
        <v>20.515000000000001</v>
      </c>
      <c r="U14" s="11">
        <v>20.651</v>
      </c>
      <c r="V14" s="11">
        <v>17.88</v>
      </c>
      <c r="W14" s="11">
        <v>17.62</v>
      </c>
      <c r="X14" s="11">
        <v>18.43</v>
      </c>
      <c r="Y14" s="11">
        <v>15.55</v>
      </c>
      <c r="Z14" s="11">
        <v>15.84</v>
      </c>
      <c r="AA14" s="11">
        <v>15.21</v>
      </c>
      <c r="AB14" s="11">
        <v>14.31</v>
      </c>
      <c r="AC14" s="11">
        <v>16.309999999999999</v>
      </c>
      <c r="AD14" s="11">
        <v>20.83</v>
      </c>
      <c r="AE14" s="11">
        <v>19.739999999999998</v>
      </c>
      <c r="AF14" s="11">
        <v>19.829999999999998</v>
      </c>
      <c r="AG14" s="11">
        <v>18.98</v>
      </c>
      <c r="AH14" s="11">
        <v>21.47</v>
      </c>
      <c r="AI14" s="11">
        <v>20.5</v>
      </c>
      <c r="AJ14" s="11">
        <v>19.670000000000002</v>
      </c>
      <c r="AK14" s="11">
        <v>22.58</v>
      </c>
      <c r="AL14" s="11">
        <v>19.77</v>
      </c>
      <c r="AM14" s="11">
        <v>18.43</v>
      </c>
      <c r="AN14" s="11">
        <v>20.58</v>
      </c>
      <c r="AO14" s="11">
        <v>20.02</v>
      </c>
    </row>
    <row r="15" spans="1:41">
      <c r="A15" s="10" t="s">
        <v>60</v>
      </c>
      <c r="B15" s="11">
        <v>2.89</v>
      </c>
      <c r="C15" s="11">
        <v>2.9910000000000001</v>
      </c>
      <c r="D15" s="11">
        <v>4.9130000000000003</v>
      </c>
      <c r="E15" s="11">
        <v>4.8550000000000004</v>
      </c>
      <c r="F15" s="11">
        <v>1.58</v>
      </c>
      <c r="G15" s="11">
        <v>1.61</v>
      </c>
      <c r="H15" s="11">
        <v>2.88</v>
      </c>
      <c r="I15" s="11">
        <v>2.97</v>
      </c>
      <c r="J15" s="11">
        <v>2.52</v>
      </c>
      <c r="K15" s="11">
        <v>2.6</v>
      </c>
      <c r="L15" s="11">
        <v>4.8869999999999996</v>
      </c>
      <c r="M15" s="11">
        <v>4.5640000000000001</v>
      </c>
      <c r="N15" s="11">
        <v>3.222</v>
      </c>
      <c r="O15" s="11">
        <v>3.2669999999999999</v>
      </c>
      <c r="P15" s="11">
        <v>3.0209999999999999</v>
      </c>
      <c r="Q15" s="11">
        <v>3.0019999999999998</v>
      </c>
      <c r="R15" s="11">
        <v>3.7549999999999999</v>
      </c>
      <c r="S15" s="11">
        <v>3.8889999999999998</v>
      </c>
      <c r="T15" s="11">
        <v>2.4500000000000002</v>
      </c>
      <c r="U15" s="11">
        <v>2.4689999999999999</v>
      </c>
      <c r="V15" s="11">
        <v>3.41</v>
      </c>
      <c r="W15" s="11">
        <v>1.7</v>
      </c>
      <c r="X15" s="11">
        <v>1.0900000000000001</v>
      </c>
      <c r="Y15" s="11">
        <v>2.2200000000000002</v>
      </c>
      <c r="Z15" s="11">
        <v>1.23</v>
      </c>
      <c r="AA15" s="11">
        <v>2.5</v>
      </c>
      <c r="AB15" s="11">
        <v>2.56</v>
      </c>
      <c r="AC15" s="11">
        <v>3.02</v>
      </c>
      <c r="AD15" s="11">
        <v>1.69</v>
      </c>
      <c r="AE15" s="11">
        <v>1.18</v>
      </c>
      <c r="AF15" s="11">
        <v>1.25</v>
      </c>
      <c r="AG15" s="11">
        <v>1.1299999999999999</v>
      </c>
      <c r="AH15" s="11">
        <v>0.74</v>
      </c>
      <c r="AI15" s="11">
        <v>0.48</v>
      </c>
      <c r="AJ15" s="11">
        <v>1.95</v>
      </c>
      <c r="AK15" s="11">
        <v>1.03</v>
      </c>
      <c r="AL15" s="11">
        <v>2.7</v>
      </c>
      <c r="AM15" s="11">
        <v>3.29</v>
      </c>
      <c r="AN15" s="11">
        <v>2.68</v>
      </c>
      <c r="AO15" s="11">
        <v>2.89</v>
      </c>
    </row>
    <row r="16" spans="1:41">
      <c r="A16" s="10" t="s">
        <v>61</v>
      </c>
      <c r="B16" s="11">
        <v>0.02</v>
      </c>
      <c r="C16" s="11">
        <v>2.5000000000000001E-2</v>
      </c>
      <c r="D16" s="11">
        <v>1.7999999999999999E-2</v>
      </c>
      <c r="E16" s="11">
        <v>2.1000000000000001E-2</v>
      </c>
      <c r="F16" s="11">
        <v>0.08</v>
      </c>
      <c r="G16" s="11">
        <v>0.11</v>
      </c>
      <c r="H16" s="11">
        <v>0</v>
      </c>
      <c r="I16" s="11">
        <v>0.01</v>
      </c>
      <c r="J16" s="11">
        <v>0.02</v>
      </c>
      <c r="K16" s="11">
        <v>0</v>
      </c>
      <c r="L16" s="11">
        <v>1.6E-2</v>
      </c>
      <c r="M16" s="11">
        <v>1.6E-2</v>
      </c>
      <c r="N16" s="11">
        <v>2.1999999999999999E-2</v>
      </c>
      <c r="O16" s="11">
        <v>1.2E-2</v>
      </c>
      <c r="P16" s="11">
        <v>1.9E-2</v>
      </c>
      <c r="Q16" s="11">
        <v>7.0000000000000001E-3</v>
      </c>
      <c r="R16" s="11">
        <v>3.2000000000000001E-2</v>
      </c>
      <c r="S16" s="11">
        <v>4.5999999999999999E-2</v>
      </c>
      <c r="T16" s="11">
        <v>1.9E-2</v>
      </c>
      <c r="U16" s="11">
        <v>2.4E-2</v>
      </c>
      <c r="V16" s="11">
        <v>0.03</v>
      </c>
      <c r="W16" s="11">
        <v>0.03</v>
      </c>
      <c r="X16" s="11">
        <v>0</v>
      </c>
      <c r="Y16" s="11">
        <v>0.01</v>
      </c>
      <c r="Z16" s="11">
        <v>0.2</v>
      </c>
      <c r="AA16" s="11">
        <v>0.01</v>
      </c>
      <c r="AB16" s="11">
        <v>0</v>
      </c>
      <c r="AC16" s="11">
        <v>0</v>
      </c>
      <c r="AD16" s="11">
        <v>0.01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0.03</v>
      </c>
      <c r="AM16" s="11">
        <v>0.01</v>
      </c>
      <c r="AN16" s="11">
        <v>0.02</v>
      </c>
      <c r="AO16" s="11">
        <v>0</v>
      </c>
    </row>
    <row r="17" spans="1:41">
      <c r="A17" s="10" t="s">
        <v>62</v>
      </c>
      <c r="B17" s="11">
        <v>100.19000000000001</v>
      </c>
      <c r="C17" s="11">
        <v>100.119</v>
      </c>
      <c r="D17" s="11">
        <v>100.023</v>
      </c>
      <c r="E17" s="11">
        <v>99.930999999999997</v>
      </c>
      <c r="F17" s="11">
        <v>99.72</v>
      </c>
      <c r="G17" s="11">
        <v>100.5</v>
      </c>
      <c r="H17" s="11">
        <v>100.13</v>
      </c>
      <c r="I17" s="11">
        <v>99.98</v>
      </c>
      <c r="J17" s="11">
        <v>99.97</v>
      </c>
      <c r="K17" s="11">
        <v>99.87</v>
      </c>
      <c r="L17" s="11">
        <v>99.959000000000003</v>
      </c>
      <c r="M17" s="11">
        <v>99.953999999999994</v>
      </c>
      <c r="N17" s="11">
        <v>100.02200000000001</v>
      </c>
      <c r="O17" s="11">
        <v>99.912999999999997</v>
      </c>
      <c r="P17" s="11">
        <v>99.694999999999993</v>
      </c>
      <c r="Q17" s="11">
        <v>100.005</v>
      </c>
      <c r="R17" s="11">
        <v>99.58</v>
      </c>
      <c r="S17" s="11">
        <v>99.727000000000004</v>
      </c>
      <c r="T17" s="11">
        <v>99.929000000000002</v>
      </c>
      <c r="U17" s="11">
        <v>99.980999999999995</v>
      </c>
      <c r="V17" s="11">
        <v>99.62</v>
      </c>
      <c r="W17" s="11">
        <v>99.92</v>
      </c>
      <c r="X17" s="11">
        <v>100.01</v>
      </c>
      <c r="Y17" s="11">
        <v>99.99</v>
      </c>
      <c r="Z17" s="11">
        <v>100.05</v>
      </c>
      <c r="AA17" s="11">
        <v>99.92</v>
      </c>
      <c r="AB17" s="11">
        <v>100.03</v>
      </c>
      <c r="AC17" s="11">
        <v>99.37</v>
      </c>
      <c r="AD17" s="11">
        <v>100.01</v>
      </c>
      <c r="AE17" s="11">
        <v>99.98</v>
      </c>
      <c r="AF17" s="11">
        <v>99.99</v>
      </c>
      <c r="AG17" s="11">
        <v>100</v>
      </c>
      <c r="AH17" s="11">
        <v>100.05</v>
      </c>
      <c r="AI17" s="11">
        <v>99.98</v>
      </c>
      <c r="AJ17" s="11">
        <v>99.75</v>
      </c>
      <c r="AK17" s="11">
        <v>99.59</v>
      </c>
      <c r="AL17" s="11">
        <v>99.96</v>
      </c>
      <c r="AM17" s="11">
        <v>100.04</v>
      </c>
      <c r="AN17" s="11">
        <v>100.72</v>
      </c>
      <c r="AO17" s="11">
        <v>100.51</v>
      </c>
    </row>
    <row r="18" spans="1:41">
      <c r="A18" s="12" t="s">
        <v>63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</row>
    <row r="19" spans="1:41">
      <c r="A19" s="10" t="s">
        <v>64</v>
      </c>
      <c r="B19" s="11">
        <v>1.9721014949732651</v>
      </c>
      <c r="C19" s="11">
        <v>1.9670101321590852</v>
      </c>
      <c r="D19" s="11">
        <v>1.9699019141057927</v>
      </c>
      <c r="E19" s="11">
        <v>1.9758863134835611</v>
      </c>
      <c r="F19" s="11">
        <v>2.0037140976742878</v>
      </c>
      <c r="G19" s="11">
        <v>2.0038687857396797</v>
      </c>
      <c r="H19" s="11">
        <v>1.9771366921963227</v>
      </c>
      <c r="I19" s="11">
        <v>1.9967962480457808</v>
      </c>
      <c r="J19" s="11">
        <v>1.9936623716913138</v>
      </c>
      <c r="K19" s="11">
        <v>1.9891976210235689</v>
      </c>
      <c r="L19" s="11">
        <v>1.9689049508736487</v>
      </c>
      <c r="M19" s="11">
        <v>1.9774742636612412</v>
      </c>
      <c r="N19" s="11">
        <v>1.9689535617755227</v>
      </c>
      <c r="O19" s="11">
        <v>1.9687965418581117</v>
      </c>
      <c r="P19" s="11">
        <v>1.9657626596926825</v>
      </c>
      <c r="Q19" s="11">
        <v>1.9681089899492461</v>
      </c>
      <c r="R19" s="11">
        <v>1.9577986657391058</v>
      </c>
      <c r="S19" s="11">
        <v>1.9612615692629967</v>
      </c>
      <c r="T19" s="11">
        <v>1.9846530113657925</v>
      </c>
      <c r="U19" s="11">
        <v>1.9744441970033535</v>
      </c>
      <c r="V19" s="11">
        <v>1.9310362777554111</v>
      </c>
      <c r="W19" s="11">
        <v>1.9783562242487214</v>
      </c>
      <c r="X19" s="11">
        <v>1.9426884282627126</v>
      </c>
      <c r="Y19" s="11">
        <v>1.9471187773717427</v>
      </c>
      <c r="Z19" s="11">
        <v>1.8345958778928289</v>
      </c>
      <c r="AA19" s="11">
        <v>1.9596076013984718</v>
      </c>
      <c r="AB19" s="11">
        <v>1.9592936488166286</v>
      </c>
      <c r="AC19" s="11">
        <v>1.9554519293140515</v>
      </c>
      <c r="AD19" s="11">
        <v>1.9615789316557042</v>
      </c>
      <c r="AE19" s="11">
        <v>1.9405572364159871</v>
      </c>
      <c r="AF19" s="11">
        <v>1.9475737170428427</v>
      </c>
      <c r="AG19" s="11">
        <v>1.9314602999353137</v>
      </c>
      <c r="AH19" s="11">
        <v>1.9550628725964854</v>
      </c>
      <c r="AI19" s="11">
        <v>1.9593317254904783</v>
      </c>
      <c r="AJ19" s="11">
        <v>1.970763648682696</v>
      </c>
      <c r="AK19" s="11">
        <v>1.9521278640789224</v>
      </c>
      <c r="AL19" s="11">
        <v>1.9935582593329249</v>
      </c>
      <c r="AM19" s="11">
        <v>2.002877579887044</v>
      </c>
      <c r="AN19" s="11">
        <v>1.9486103262389542</v>
      </c>
      <c r="AO19" s="11">
        <v>1.9553708243827634</v>
      </c>
    </row>
    <row r="20" spans="1:41">
      <c r="A20" s="10" t="s">
        <v>65</v>
      </c>
      <c r="B20" s="11">
        <v>9.518021810912411E-2</v>
      </c>
      <c r="C20" s="11">
        <v>9.7834392180644214E-2</v>
      </c>
      <c r="D20" s="11">
        <v>0.19115241899306754</v>
      </c>
      <c r="E20" s="11">
        <v>0.18965000570154034</v>
      </c>
      <c r="F20" s="11">
        <v>4.5321751313248011E-2</v>
      </c>
      <c r="G20" s="11">
        <v>4.6874912227610199E-2</v>
      </c>
      <c r="H20" s="11">
        <v>0.15949271680532642</v>
      </c>
      <c r="I20" s="11">
        <v>0.1132206229316724</v>
      </c>
      <c r="J20" s="11">
        <v>7.5988860232966596E-2</v>
      </c>
      <c r="K20" s="11">
        <v>9.9299931428438584E-2</v>
      </c>
      <c r="L20" s="11">
        <v>0.30603033997855644</v>
      </c>
      <c r="M20" s="11">
        <v>0.28100911513775906</v>
      </c>
      <c r="N20" s="11">
        <v>0.1433887594456715</v>
      </c>
      <c r="O20" s="11">
        <v>0.13437301085027931</v>
      </c>
      <c r="P20" s="11">
        <v>0.12564922726964867</v>
      </c>
      <c r="Q20" s="11">
        <v>0.13208767308127992</v>
      </c>
      <c r="R20" s="11">
        <v>0.15533094676409315</v>
      </c>
      <c r="S20" s="11">
        <v>0.15722320875739595</v>
      </c>
      <c r="T20" s="11">
        <v>3.2619352674140546E-2</v>
      </c>
      <c r="U20" s="11">
        <v>3.2610917272057054E-2</v>
      </c>
      <c r="V20" s="11">
        <v>0.31224967261275233</v>
      </c>
      <c r="W20" s="11">
        <v>0.10120988442458413</v>
      </c>
      <c r="X20" s="11">
        <v>6.1950403560476104E-2</v>
      </c>
      <c r="Y20" s="11">
        <v>0.14962550882118286</v>
      </c>
      <c r="Z20" s="11">
        <v>0.22764571962605373</v>
      </c>
      <c r="AA20" s="11">
        <v>0.14867570767867327</v>
      </c>
      <c r="AB20" s="11">
        <v>0.15540478695855417</v>
      </c>
      <c r="AC20" s="11">
        <v>0.17445853693321306</v>
      </c>
      <c r="AD20" s="11">
        <v>9.9513138530800863E-2</v>
      </c>
      <c r="AE20" s="11">
        <v>4.7915085374895736E-2</v>
      </c>
      <c r="AF20" s="11">
        <v>6.2455821962685079E-2</v>
      </c>
      <c r="AG20" s="11">
        <v>6.6397644895037952E-2</v>
      </c>
      <c r="AH20" s="11">
        <v>4.7103570344708856E-2</v>
      </c>
      <c r="AI20" s="11">
        <v>4.2851446125169119E-2</v>
      </c>
      <c r="AJ20" s="11">
        <v>0.10450606760390084</v>
      </c>
      <c r="AK20" s="11">
        <v>5.0897212489547206E-2</v>
      </c>
      <c r="AL20" s="11">
        <v>0.12296896593577122</v>
      </c>
      <c r="AM20" s="11">
        <v>0.14496395681185786</v>
      </c>
      <c r="AN20" s="11">
        <v>0.12376531853704043</v>
      </c>
      <c r="AO20" s="11">
        <v>0.1341761279502133</v>
      </c>
    </row>
    <row r="21" spans="1:41">
      <c r="A21" s="10" t="s">
        <v>66</v>
      </c>
      <c r="B21" s="11">
        <v>7.5945540139962849E-3</v>
      </c>
      <c r="C21" s="11">
        <v>7.7995400080645913E-3</v>
      </c>
      <c r="D21" s="11">
        <v>3.2685914821790384E-3</v>
      </c>
      <c r="E21" s="11">
        <v>3.1623011498442075E-3</v>
      </c>
      <c r="F21" s="11">
        <v>3.0599307350821095E-3</v>
      </c>
      <c r="G21" s="11">
        <v>3.6353448018950412E-3</v>
      </c>
      <c r="H21" s="11">
        <v>1.3232477136915563E-2</v>
      </c>
      <c r="I21" s="11">
        <v>5.7056977866892216E-3</v>
      </c>
      <c r="J21" s="11">
        <v>7.0851466327911863E-3</v>
      </c>
      <c r="K21" s="11">
        <v>2.448392855690539E-3</v>
      </c>
      <c r="L21" s="11">
        <v>1.1583935190086237E-2</v>
      </c>
      <c r="M21" s="11">
        <v>9.543879384283787E-3</v>
      </c>
      <c r="N21" s="11">
        <v>2.9237434284351584E-3</v>
      </c>
      <c r="O21" s="11">
        <v>5.1681096571361855E-3</v>
      </c>
      <c r="P21" s="11">
        <v>3.0471647248390592E-3</v>
      </c>
      <c r="Q21" s="11">
        <v>2.4400008436049484E-3</v>
      </c>
      <c r="R21" s="11">
        <v>8.405049769492294E-3</v>
      </c>
      <c r="S21" s="11">
        <v>8.2435963940572562E-3</v>
      </c>
      <c r="T21" s="11">
        <v>2.0194266656441253E-3</v>
      </c>
      <c r="U21" s="11">
        <v>1.8527812003604764E-3</v>
      </c>
      <c r="V21" s="11">
        <v>9.4527732606144339E-3</v>
      </c>
      <c r="W21" s="11">
        <v>4.0547291903334339E-3</v>
      </c>
      <c r="X21" s="11">
        <v>2.1545113953837503E-2</v>
      </c>
      <c r="Y21" s="11">
        <v>1.0552153702235324E-2</v>
      </c>
      <c r="Z21" s="11">
        <v>1.9666447608277321E-2</v>
      </c>
      <c r="AA21" s="11">
        <v>1.0514957568171624E-2</v>
      </c>
      <c r="AB21" s="11">
        <v>8.6026760898691174E-3</v>
      </c>
      <c r="AC21" s="11">
        <v>1.3886239797035632E-2</v>
      </c>
      <c r="AD21" s="11">
        <v>3.2715330738738372E-3</v>
      </c>
      <c r="AE21" s="11">
        <v>3.1951089514869531E-2</v>
      </c>
      <c r="AF21" s="11">
        <v>4.1517141094137018E-2</v>
      </c>
      <c r="AG21" s="11">
        <v>3.554756819514953E-2</v>
      </c>
      <c r="AH21" s="11">
        <v>1.2964947231325947E-2</v>
      </c>
      <c r="AI21" s="11">
        <v>9.3940911942453371E-3</v>
      </c>
      <c r="AJ21" s="11">
        <v>5.7413832930203476E-3</v>
      </c>
      <c r="AK21" s="11">
        <v>6.6079812005295753E-3</v>
      </c>
      <c r="AL21" s="11">
        <v>5.4134369798899355E-3</v>
      </c>
      <c r="AM21" s="11">
        <v>7.0348176268164283E-3</v>
      </c>
      <c r="AN21" s="11">
        <v>4.8205325488401424E-3</v>
      </c>
      <c r="AO21" s="11">
        <v>6.1752987721681255E-3</v>
      </c>
    </row>
    <row r="22" spans="1:41">
      <c r="A22" s="10" t="s">
        <v>67</v>
      </c>
      <c r="B22" s="11">
        <v>2.1536188433410219E-2</v>
      </c>
      <c r="C22" s="11">
        <v>1.4469619134497375E-2</v>
      </c>
      <c r="D22" s="11">
        <v>0</v>
      </c>
      <c r="E22" s="11">
        <v>0</v>
      </c>
      <c r="F22" s="11">
        <v>9.7568226196039515E-3</v>
      </c>
      <c r="G22" s="11">
        <v>0</v>
      </c>
      <c r="H22" s="11">
        <v>0.11464980842909953</v>
      </c>
      <c r="I22" s="11">
        <v>6.539380516100847E-2</v>
      </c>
      <c r="J22" s="11">
        <v>5.801443705520179E-2</v>
      </c>
      <c r="K22" s="11">
        <v>4.4183103685717325E-2</v>
      </c>
      <c r="L22" s="11">
        <v>2.4571248545789837E-2</v>
      </c>
      <c r="M22" s="11">
        <v>3.7708987848577534E-2</v>
      </c>
      <c r="N22" s="11">
        <v>1.9151981575174185E-2</v>
      </c>
      <c r="O22" s="11">
        <v>6.0215208388389131E-3</v>
      </c>
      <c r="P22" s="11">
        <v>3.8936010654810659E-3</v>
      </c>
      <c r="Q22" s="11">
        <v>1.2606445953910535E-2</v>
      </c>
      <c r="R22" s="11">
        <v>2.5686709783988054E-3</v>
      </c>
      <c r="S22" s="11">
        <v>1.3651684839558628E-2</v>
      </c>
      <c r="T22" s="11">
        <v>0</v>
      </c>
      <c r="U22" s="11">
        <v>0</v>
      </c>
      <c r="V22" s="11">
        <v>5.0963515522857668E-2</v>
      </c>
      <c r="W22" s="11">
        <v>8.4374228219796774E-2</v>
      </c>
      <c r="X22" s="11">
        <v>9.9512462718859343E-2</v>
      </c>
      <c r="Y22" s="11">
        <v>8.6644715053592392E-2</v>
      </c>
      <c r="Z22" s="11">
        <v>8.3923257595802339E-2</v>
      </c>
      <c r="AA22" s="11">
        <v>8.6319534409389539E-2</v>
      </c>
      <c r="AB22" s="11">
        <v>8.9520888661028183E-2</v>
      </c>
      <c r="AC22" s="11">
        <v>8.000093894994377E-2</v>
      </c>
      <c r="AD22" s="11">
        <v>3.0302088476857138E-2</v>
      </c>
      <c r="AE22" s="11">
        <v>6.9122950749714501E-2</v>
      </c>
      <c r="AF22" s="11">
        <v>0.12504798105253176</v>
      </c>
      <c r="AG22" s="11">
        <v>0.10528132421882312</v>
      </c>
      <c r="AH22" s="11">
        <v>0.12883662878097957</v>
      </c>
      <c r="AI22" s="11">
        <v>0.16107631384966231</v>
      </c>
      <c r="AJ22" s="11">
        <v>8.8121451963923084E-2</v>
      </c>
      <c r="AK22" s="11">
        <v>4.195696412914459E-2</v>
      </c>
      <c r="AL22" s="11">
        <v>4.0536834721335444E-2</v>
      </c>
      <c r="AM22" s="11">
        <v>6.7307687633605576E-2</v>
      </c>
      <c r="AN22" s="11">
        <v>0</v>
      </c>
      <c r="AO22" s="11">
        <v>0</v>
      </c>
    </row>
    <row r="23" spans="1:41">
      <c r="A23" s="10" t="s">
        <v>68</v>
      </c>
      <c r="B23" s="11">
        <v>6.7411994859777086E-2</v>
      </c>
      <c r="C23" s="11">
        <v>7.8216195448257003E-2</v>
      </c>
      <c r="D23" s="11">
        <v>7.6082629612606201E-2</v>
      </c>
      <c r="E23" s="11">
        <v>6.4800566966198958E-2</v>
      </c>
      <c r="F23" s="11">
        <v>0</v>
      </c>
      <c r="G23" s="11">
        <v>0</v>
      </c>
      <c r="H23" s="11">
        <v>5.2263392702782609E-2</v>
      </c>
      <c r="I23" s="11">
        <v>7.3971360492102499E-3</v>
      </c>
      <c r="J23" s="11">
        <v>4.8012047386409552E-2</v>
      </c>
      <c r="K23" s="11">
        <v>3.5655575480443111E-2</v>
      </c>
      <c r="L23" s="11">
        <v>6.8217141449513644E-2</v>
      </c>
      <c r="M23" s="11">
        <v>5.7746896438642371E-2</v>
      </c>
      <c r="N23" s="11">
        <v>5.2201945407763323E-2</v>
      </c>
      <c r="O23" s="11">
        <v>6.4003323349115279E-2</v>
      </c>
      <c r="P23" s="11">
        <v>6.6485726842587897E-2</v>
      </c>
      <c r="Q23" s="11">
        <v>5.619921973996074E-2</v>
      </c>
      <c r="R23" s="11">
        <v>7.6188267918883515E-2</v>
      </c>
      <c r="S23" s="11">
        <v>6.7438117060329081E-2</v>
      </c>
      <c r="T23" s="11">
        <v>7.3529301004883002E-2</v>
      </c>
      <c r="U23" s="11">
        <v>0.10033945842933079</v>
      </c>
      <c r="V23" s="11">
        <v>4.1809249011784295E-2</v>
      </c>
      <c r="W23" s="11">
        <v>1.5992064758713766E-2</v>
      </c>
      <c r="X23" s="11">
        <v>7.3296945228832108E-2</v>
      </c>
      <c r="Y23" s="11">
        <v>7.6076653818287335E-2</v>
      </c>
      <c r="Z23" s="11">
        <v>0.12953824910159989</v>
      </c>
      <c r="AA23" s="11">
        <v>7.1931902640563816E-2</v>
      </c>
      <c r="AB23" s="11">
        <v>7.0065435760449449E-2</v>
      </c>
      <c r="AC23" s="11">
        <v>9.7067505949508678E-2</v>
      </c>
      <c r="AD23" s="11">
        <v>4.7586532543914449E-2</v>
      </c>
      <c r="AE23" s="11">
        <v>7.7201758860650269E-2</v>
      </c>
      <c r="AF23" s="11">
        <v>4.2447029154362485E-2</v>
      </c>
      <c r="AG23" s="11">
        <v>7.3759744267902272E-2</v>
      </c>
      <c r="AH23" s="11">
        <v>6.7419709682751627E-2</v>
      </c>
      <c r="AI23" s="11">
        <v>5.3005342061274274E-2</v>
      </c>
      <c r="AJ23" s="11">
        <v>6.2929844678940389E-2</v>
      </c>
      <c r="AK23" s="11">
        <v>8.996151923080957E-2</v>
      </c>
      <c r="AL23" s="11">
        <v>2.9270635064526967E-2</v>
      </c>
      <c r="AM23" s="11">
        <v>1.3903167165056015E-2</v>
      </c>
      <c r="AN23" s="11">
        <v>0.13189316953958699</v>
      </c>
      <c r="AO23" s="11">
        <v>0.11872302759255972</v>
      </c>
    </row>
    <row r="24" spans="1:41">
      <c r="A24" s="10" t="s">
        <v>69</v>
      </c>
      <c r="B24" s="11">
        <v>8.0954062917034511E-2</v>
      </c>
      <c r="C24" s="11">
        <v>8.4966969670632414E-2</v>
      </c>
      <c r="D24" s="11">
        <v>0.12928387677499004</v>
      </c>
      <c r="E24" s="11">
        <v>0.12660068756683326</v>
      </c>
      <c r="F24" s="11">
        <v>5.8176562069682476E-2</v>
      </c>
      <c r="G24" s="11">
        <v>5.936489334541372E-2</v>
      </c>
      <c r="H24" s="11">
        <v>7.946560050875056E-3</v>
      </c>
      <c r="I24" s="11">
        <v>8.2806329402215134E-2</v>
      </c>
      <c r="J24" s="11">
        <v>5.240861110998684E-2</v>
      </c>
      <c r="K24" s="11">
        <v>6.4041674439752283E-2</v>
      </c>
      <c r="L24" s="11">
        <v>2.4460399245331312E-3</v>
      </c>
      <c r="M24" s="11">
        <v>3.2682028122337859E-3</v>
      </c>
      <c r="N24" s="11">
        <v>8.6461401166936916E-2</v>
      </c>
      <c r="O24" s="11">
        <v>8.2067413390828139E-2</v>
      </c>
      <c r="P24" s="11">
        <v>8.29471950150555E-2</v>
      </c>
      <c r="Q24" s="11">
        <v>8.0689454995335017E-2</v>
      </c>
      <c r="R24" s="11">
        <v>9.992874369315996E-2</v>
      </c>
      <c r="S24" s="11">
        <v>0.11023148761796454</v>
      </c>
      <c r="T24" s="11">
        <v>9.3696111474147276E-2</v>
      </c>
      <c r="U24" s="11">
        <v>8.8939101994410505E-2</v>
      </c>
      <c r="V24" s="11">
        <v>3.6898661702269341E-3</v>
      </c>
      <c r="W24" s="11">
        <v>3.7783162101300748E-2</v>
      </c>
      <c r="X24" s="11">
        <v>1.2897640987673148E-2</v>
      </c>
      <c r="Y24" s="11">
        <v>1.4217478227145671E-2</v>
      </c>
      <c r="Z24" s="11">
        <v>3.0141078505761022E-2</v>
      </c>
      <c r="AA24" s="11">
        <v>1.3317320182512285E-2</v>
      </c>
      <c r="AB24" s="11">
        <v>1.6104027905036355E-2</v>
      </c>
      <c r="AC24" s="11">
        <v>1.7168873509063891E-3</v>
      </c>
      <c r="AD24" s="11">
        <v>4.2404100054301147E-2</v>
      </c>
      <c r="AE24" s="11">
        <v>1.2914820964416315E-2</v>
      </c>
      <c r="AF24" s="11">
        <v>5.4900987945907566E-3</v>
      </c>
      <c r="AG24" s="11">
        <v>5.4600448577470668E-3</v>
      </c>
      <c r="AH24" s="11">
        <v>2.0293034868419106E-3</v>
      </c>
      <c r="AI24" s="11">
        <v>8.7111035350822424E-4</v>
      </c>
      <c r="AJ24" s="11">
        <v>1.6952170984435671E-2</v>
      </c>
      <c r="AK24" s="11">
        <v>1.475719442712492E-2</v>
      </c>
      <c r="AL24" s="11">
        <v>3.9539753360322991E-2</v>
      </c>
      <c r="AM24" s="11">
        <v>5.1183274431274246E-2</v>
      </c>
      <c r="AN24" s="11">
        <v>2.3360206251440599E-2</v>
      </c>
      <c r="AO24" s="11">
        <v>2.3984194096301103E-2</v>
      </c>
    </row>
    <row r="25" spans="1:41">
      <c r="A25" s="10" t="s">
        <v>70</v>
      </c>
      <c r="B25" s="11">
        <v>0.81480163404109318</v>
      </c>
      <c r="C25" s="11">
        <v>0.81040699635581825</v>
      </c>
      <c r="D25" s="11">
        <v>0.7050752051330812</v>
      </c>
      <c r="E25" s="11">
        <v>0.70878895378690321</v>
      </c>
      <c r="F25" s="11">
        <v>0.88857153000712785</v>
      </c>
      <c r="G25" s="11">
        <v>0.9314904698127755</v>
      </c>
      <c r="H25" s="11">
        <v>0.864758570195302</v>
      </c>
      <c r="I25" s="11">
        <v>0.79305017058708938</v>
      </c>
      <c r="J25" s="11">
        <v>0.81322161367498513</v>
      </c>
      <c r="K25" s="11">
        <v>0.8139992177154991</v>
      </c>
      <c r="L25" s="11">
        <v>0.67749722799818657</v>
      </c>
      <c r="M25" s="11">
        <v>0.6943720078397595</v>
      </c>
      <c r="N25" s="11">
        <v>0.80117829694793341</v>
      </c>
      <c r="O25" s="11">
        <v>0.8251737778564322</v>
      </c>
      <c r="P25" s="11">
        <v>0.80695651089423004</v>
      </c>
      <c r="Q25" s="11">
        <v>0.80723372475836375</v>
      </c>
      <c r="R25" s="11">
        <v>0.81003162815515539</v>
      </c>
      <c r="S25" s="11">
        <v>0.78924937551358898</v>
      </c>
      <c r="T25" s="11">
        <v>0.83709696883472651</v>
      </c>
      <c r="U25" s="11">
        <v>0.84701528868653531</v>
      </c>
      <c r="V25" s="11">
        <v>0.72249261290333733</v>
      </c>
      <c r="W25" s="11">
        <v>0.97916353606201167</v>
      </c>
      <c r="X25" s="11">
        <v>0.98950614261595093</v>
      </c>
      <c r="Y25" s="11">
        <v>0.95702474696434869</v>
      </c>
      <c r="Z25" s="11">
        <v>0.95044366583439455</v>
      </c>
      <c r="AA25" s="11">
        <v>0.94777441111293503</v>
      </c>
      <c r="AB25" s="11">
        <v>0.97060027817048811</v>
      </c>
      <c r="AC25" s="11">
        <v>0.8287320719241672</v>
      </c>
      <c r="AD25" s="11">
        <v>0.8848963681804406</v>
      </c>
      <c r="AE25" s="11">
        <v>0.96430841358535146</v>
      </c>
      <c r="AF25" s="11">
        <v>0.90604796233585272</v>
      </c>
      <c r="AG25" s="11">
        <v>0.95960731747986894</v>
      </c>
      <c r="AH25" s="11">
        <v>0.88551588480885435</v>
      </c>
      <c r="AI25" s="11">
        <v>0.92856037922072399</v>
      </c>
      <c r="AJ25" s="11">
        <v>0.84460142095549984</v>
      </c>
      <c r="AK25" s="11">
        <v>0.88330939950029375</v>
      </c>
      <c r="AL25" s="11">
        <v>0.81686716443193164</v>
      </c>
      <c r="AM25" s="11">
        <v>0.76991429124059885</v>
      </c>
      <c r="AN25" s="11">
        <v>0.85120727069629865</v>
      </c>
      <c r="AO25" s="11">
        <v>0.83209963822104249</v>
      </c>
    </row>
    <row r="26" spans="1:41">
      <c r="A26" s="10" t="s">
        <v>71</v>
      </c>
      <c r="B26" s="11">
        <v>2.7483680105774757E-3</v>
      </c>
      <c r="C26" s="11">
        <v>2.6007233131329433E-3</v>
      </c>
      <c r="D26" s="11">
        <v>2.1289303138505651E-3</v>
      </c>
      <c r="E26" s="11">
        <v>3.0125945801620186E-3</v>
      </c>
      <c r="F26" s="11">
        <v>1.5659469550216773E-3</v>
      </c>
      <c r="G26" s="11">
        <v>2.2038824576797651E-3</v>
      </c>
      <c r="H26" s="11">
        <v>5.4727512518309672E-3</v>
      </c>
      <c r="I26" s="11">
        <v>3.9766828274435317E-3</v>
      </c>
      <c r="J26" s="11">
        <v>2.1476409013469113E-3</v>
      </c>
      <c r="K26" s="11">
        <v>3.6754284423664036E-3</v>
      </c>
      <c r="L26" s="11">
        <v>1.415644520473534E-3</v>
      </c>
      <c r="M26" s="11">
        <v>1.5695184285834413E-3</v>
      </c>
      <c r="N26" s="11">
        <v>2.0725859392860145E-3</v>
      </c>
      <c r="O26" s="11">
        <v>2.3457256106478477E-3</v>
      </c>
      <c r="P26" s="11">
        <v>2.26671939581915E-3</v>
      </c>
      <c r="Q26" s="11">
        <v>2.106127648390084E-3</v>
      </c>
      <c r="R26" s="11">
        <v>3.1136292536170069E-3</v>
      </c>
      <c r="S26" s="11">
        <v>2.8393191865046575E-3</v>
      </c>
      <c r="T26" s="11">
        <v>2.0892644339341468E-3</v>
      </c>
      <c r="U26" s="11">
        <v>1.6871979685163815E-3</v>
      </c>
      <c r="V26" s="11">
        <v>1.8244441718165167E-3</v>
      </c>
      <c r="W26" s="11">
        <v>9.1301934803524206E-4</v>
      </c>
      <c r="X26" s="11">
        <v>6.1410103797489065E-3</v>
      </c>
      <c r="Y26" s="11">
        <v>4.2647410726990229E-3</v>
      </c>
      <c r="Z26" s="11">
        <v>1.1993506137008423E-2</v>
      </c>
      <c r="AA26" s="11">
        <v>3.6426068094653767E-3</v>
      </c>
      <c r="AB26" s="11">
        <v>5.1454178136046934E-3</v>
      </c>
      <c r="AC26" s="11">
        <v>4.2917128044947092E-3</v>
      </c>
      <c r="AD26" s="11">
        <v>2.4555466419352448E-3</v>
      </c>
      <c r="AE26" s="11">
        <v>5.2268118038211481E-3</v>
      </c>
      <c r="AF26" s="11">
        <v>4.3337779939065157E-3</v>
      </c>
      <c r="AG26" s="11">
        <v>3.6943319969127168E-3</v>
      </c>
      <c r="AH26" s="11">
        <v>4.9691374501033871E-3</v>
      </c>
      <c r="AI26" s="11">
        <v>4.043964539496534E-3</v>
      </c>
      <c r="AJ26" s="11">
        <v>3.0781188047861448E-3</v>
      </c>
      <c r="AK26" s="11">
        <v>1.8599314542139982E-3</v>
      </c>
      <c r="AL26" s="11">
        <v>0</v>
      </c>
      <c r="AM26" s="11">
        <v>2.7416381595204002E-3</v>
      </c>
      <c r="AN26" s="11">
        <v>0</v>
      </c>
      <c r="AO26" s="11">
        <v>0</v>
      </c>
    </row>
    <row r="27" spans="1:41">
      <c r="A27" s="10" t="s">
        <v>72</v>
      </c>
      <c r="B27" s="11">
        <v>0.73473311078126491</v>
      </c>
      <c r="C27" s="11">
        <v>0.72605853009603427</v>
      </c>
      <c r="D27" s="11">
        <v>0.57500961594946554</v>
      </c>
      <c r="E27" s="11">
        <v>0.57409842876188222</v>
      </c>
      <c r="F27" s="11">
        <v>0.87278698842427693</v>
      </c>
      <c r="G27" s="11">
        <v>0.87579475724910583</v>
      </c>
      <c r="H27" s="11">
        <v>0.60460602300608379</v>
      </c>
      <c r="I27" s="11">
        <v>0.72322532716085119</v>
      </c>
      <c r="J27" s="11">
        <v>0.77155471593742597</v>
      </c>
      <c r="K27" s="11">
        <v>0.76520984582136897</v>
      </c>
      <c r="L27" s="11">
        <v>0.60166217803913813</v>
      </c>
      <c r="M27" s="11">
        <v>0.62124662796923469</v>
      </c>
      <c r="N27" s="11">
        <v>0.69786100788498906</v>
      </c>
      <c r="O27" s="11">
        <v>0.68367752596788978</v>
      </c>
      <c r="P27" s="11">
        <v>0.730289397137319</v>
      </c>
      <c r="Q27" s="11">
        <v>0.72845403362762995</v>
      </c>
      <c r="R27" s="11">
        <v>0.62277900833476063</v>
      </c>
      <c r="S27" s="11">
        <v>0.61595849661780544</v>
      </c>
      <c r="T27" s="11">
        <v>0.79733851597028982</v>
      </c>
      <c r="U27" s="11">
        <v>0.80136646544411494</v>
      </c>
      <c r="V27" s="11">
        <v>0.687754698764385</v>
      </c>
      <c r="W27" s="11">
        <v>0.6783461334837938</v>
      </c>
      <c r="X27" s="11">
        <v>0.71584977808182848</v>
      </c>
      <c r="Y27" s="11">
        <v>0.59921372195419487</v>
      </c>
      <c r="Z27" s="11">
        <v>0.61620249946264594</v>
      </c>
      <c r="AA27" s="11">
        <v>0.58404590976478044</v>
      </c>
      <c r="AB27" s="11">
        <v>0.54789593938730674</v>
      </c>
      <c r="AC27" s="11">
        <v>0.63247490852087551</v>
      </c>
      <c r="AD27" s="11">
        <v>0.80878706025399638</v>
      </c>
      <c r="AE27" s="11">
        <v>0.76775351566861871</v>
      </c>
      <c r="AF27" s="11">
        <v>0.77651180438349565</v>
      </c>
      <c r="AG27" s="11">
        <v>0.73915855387163065</v>
      </c>
      <c r="AH27" s="11">
        <v>0.84348972244802334</v>
      </c>
      <c r="AI27" s="11">
        <v>0.8066860952560424</v>
      </c>
      <c r="AJ27" s="11">
        <v>0.76590774581408838</v>
      </c>
      <c r="AK27" s="11">
        <v>0.8854343167830272</v>
      </c>
      <c r="AL27" s="11">
        <v>0.76212220318704549</v>
      </c>
      <c r="AM27" s="11">
        <v>0.71019839360831638</v>
      </c>
      <c r="AN27" s="11">
        <v>0.78495134910795628</v>
      </c>
      <c r="AO27" s="11">
        <v>0.7655420782292186</v>
      </c>
    </row>
    <row r="28" spans="1:41">
      <c r="A28" s="10" t="s">
        <v>73</v>
      </c>
      <c r="B28" s="11">
        <v>0.20201848284007237</v>
      </c>
      <c r="C28" s="11">
        <v>0.20948480411325074</v>
      </c>
      <c r="D28" s="11">
        <v>0.34203539999232552</v>
      </c>
      <c r="E28" s="11">
        <v>0.33818599379938158</v>
      </c>
      <c r="F28" s="11">
        <v>0.11327263834886876</v>
      </c>
      <c r="G28" s="11">
        <v>0.11603183246542115</v>
      </c>
      <c r="H28" s="11">
        <v>0.20044100822546101</v>
      </c>
      <c r="I28" s="11">
        <v>0.20796724461847199</v>
      </c>
      <c r="J28" s="11">
        <v>0.17698035183189317</v>
      </c>
      <c r="K28" s="11">
        <v>0.18228920910715382</v>
      </c>
      <c r="L28" s="11">
        <v>0.33694543769038349</v>
      </c>
      <c r="M28" s="11">
        <v>0.31533312766290833</v>
      </c>
      <c r="N28" s="11">
        <v>0.22479676538091281</v>
      </c>
      <c r="O28" s="11">
        <v>0.22782244360768783</v>
      </c>
      <c r="P28" s="11">
        <v>0.21182521373839552</v>
      </c>
      <c r="Q28" s="11">
        <v>0.20975251339154877</v>
      </c>
      <c r="R28" s="11">
        <v>0.26238412503648095</v>
      </c>
      <c r="S28" s="11">
        <v>0.27178788790740466</v>
      </c>
      <c r="T28" s="11">
        <v>0.17231039176112442</v>
      </c>
      <c r="U28" s="11">
        <v>0.17337454375265013</v>
      </c>
      <c r="V28" s="11">
        <v>0.23735292823947396</v>
      </c>
      <c r="W28" s="11">
        <v>0.11843185576302816</v>
      </c>
      <c r="X28" s="11">
        <v>7.661207421008108E-2</v>
      </c>
      <c r="Y28" s="11">
        <v>0.15480268692265395</v>
      </c>
      <c r="Z28" s="11">
        <v>8.6585975275525959E-2</v>
      </c>
      <c r="AA28" s="11">
        <v>0.17371284966081052</v>
      </c>
      <c r="AB28" s="11">
        <v>0.17736690043703499</v>
      </c>
      <c r="AC28" s="11">
        <v>0.21191926845580303</v>
      </c>
      <c r="AD28" s="11">
        <v>0.1187423917362429</v>
      </c>
      <c r="AE28" s="11">
        <v>8.3048317061675286E-2</v>
      </c>
      <c r="AF28" s="11">
        <v>8.8574666185596465E-2</v>
      </c>
      <c r="AG28" s="11">
        <v>7.9633170281613971E-2</v>
      </c>
      <c r="AH28" s="11">
        <v>5.260822316992534E-2</v>
      </c>
      <c r="AI28" s="11">
        <v>3.4179531909399194E-2</v>
      </c>
      <c r="AJ28" s="11">
        <v>0.13739814721870958</v>
      </c>
      <c r="AK28" s="11">
        <v>7.3087616706386277E-2</v>
      </c>
      <c r="AL28" s="11">
        <v>0.18834577062636274</v>
      </c>
      <c r="AM28" s="11">
        <v>0.22941637418128599</v>
      </c>
      <c r="AN28" s="11">
        <v>0.18497214257221331</v>
      </c>
      <c r="AO28" s="11">
        <v>0.19997559594893699</v>
      </c>
    </row>
    <row r="29" spans="1:41">
      <c r="A29" s="10" t="s">
        <v>74</v>
      </c>
      <c r="B29" s="11">
        <v>9.1989102038539025E-4</v>
      </c>
      <c r="C29" s="11">
        <v>1.1520975205828402E-3</v>
      </c>
      <c r="D29" s="11">
        <v>8.2453656428221141E-4</v>
      </c>
      <c r="E29" s="11">
        <v>9.6249570200190209E-4</v>
      </c>
      <c r="F29" s="11">
        <v>3.7737318528007525E-3</v>
      </c>
      <c r="G29" s="11">
        <v>5.2162341907530272E-3</v>
      </c>
      <c r="H29" s="11">
        <v>0</v>
      </c>
      <c r="I29" s="11">
        <v>4.6073542956661967E-4</v>
      </c>
      <c r="J29" s="11">
        <v>9.2420354567939421E-4</v>
      </c>
      <c r="K29" s="11">
        <v>0</v>
      </c>
      <c r="L29" s="11">
        <v>7.2585578968989721E-4</v>
      </c>
      <c r="M29" s="11">
        <v>7.2737281677653345E-4</v>
      </c>
      <c r="N29" s="11">
        <v>1.0099510473748868E-3</v>
      </c>
      <c r="O29" s="11">
        <v>5.5060701303176701E-4</v>
      </c>
      <c r="P29" s="11">
        <v>8.7658422394069197E-4</v>
      </c>
      <c r="Q29" s="11">
        <v>3.2181601072965707E-4</v>
      </c>
      <c r="R29" s="11">
        <v>1.4712643568520903E-3</v>
      </c>
      <c r="S29" s="11">
        <v>2.1152568423935636E-3</v>
      </c>
      <c r="T29" s="11">
        <v>8.7924945491949739E-4</v>
      </c>
      <c r="U29" s="11">
        <v>1.1088903505760864E-3</v>
      </c>
      <c r="V29" s="11">
        <v>1.3739615873405674E-3</v>
      </c>
      <c r="W29" s="11">
        <v>1.3751623996804993E-3</v>
      </c>
      <c r="X29" s="11">
        <v>0</v>
      </c>
      <c r="Y29" s="11">
        <v>4.5881609191753632E-4</v>
      </c>
      <c r="Z29" s="11">
        <v>9.2637229601014413E-3</v>
      </c>
      <c r="AA29" s="11">
        <v>4.571987742260842E-4</v>
      </c>
      <c r="AB29" s="11">
        <v>0</v>
      </c>
      <c r="AC29" s="11">
        <v>0</v>
      </c>
      <c r="AD29" s="11">
        <v>4.6230885193145993E-4</v>
      </c>
      <c r="AE29" s="11">
        <v>0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1.3769763598883696E-3</v>
      </c>
      <c r="AM29" s="11">
        <v>4.5881925462355213E-4</v>
      </c>
      <c r="AN29" s="11">
        <v>9.0826933144370523E-4</v>
      </c>
      <c r="AO29" s="11">
        <v>0</v>
      </c>
    </row>
    <row r="30" spans="1:41">
      <c r="A30" s="10" t="s">
        <v>75</v>
      </c>
      <c r="B30" s="11">
        <v>4</v>
      </c>
      <c r="C30" s="11">
        <v>4</v>
      </c>
      <c r="D30" s="11">
        <v>3.9999999999999987</v>
      </c>
      <c r="E30" s="11">
        <v>3.9999999999999996</v>
      </c>
      <c r="F30" s="11">
        <v>4.0684798288444153</v>
      </c>
      <c r="G30" s="11">
        <v>4.1302800994141684</v>
      </c>
      <c r="H30" s="11">
        <v>3.9999999999999996</v>
      </c>
      <c r="I30" s="11">
        <v>3.9999999999999987</v>
      </c>
      <c r="J30" s="11">
        <v>4.0000000000000009</v>
      </c>
      <c r="K30" s="11">
        <v>3.9999999999999982</v>
      </c>
      <c r="L30" s="11">
        <v>3.9999999999999996</v>
      </c>
      <c r="M30" s="11">
        <v>4.0000000000000009</v>
      </c>
      <c r="N30" s="11">
        <v>4</v>
      </c>
      <c r="O30" s="11">
        <v>3.9999999999999982</v>
      </c>
      <c r="P30" s="11">
        <v>3.9999999999999991</v>
      </c>
      <c r="Q30" s="11">
        <v>3.9999999999999991</v>
      </c>
      <c r="R30" s="11">
        <v>4</v>
      </c>
      <c r="S30" s="11">
        <v>3.9999999999999996</v>
      </c>
      <c r="T30" s="11">
        <v>4</v>
      </c>
      <c r="U30" s="11">
        <v>4</v>
      </c>
      <c r="V30" s="11">
        <v>4</v>
      </c>
      <c r="W30" s="11">
        <v>4</v>
      </c>
      <c r="X30" s="11">
        <v>4.0000000000000009</v>
      </c>
      <c r="Y30" s="11">
        <v>4.0000000000000009</v>
      </c>
      <c r="Z30" s="11">
        <v>3.9999999999999996</v>
      </c>
      <c r="AA30" s="11">
        <v>4</v>
      </c>
      <c r="AB30" s="11">
        <v>4.0000000000000009</v>
      </c>
      <c r="AC30" s="11">
        <v>3.9999999999999996</v>
      </c>
      <c r="AD30" s="11">
        <v>3.9999999999999982</v>
      </c>
      <c r="AE30" s="11">
        <v>4</v>
      </c>
      <c r="AF30" s="11">
        <v>4.0000000000000009</v>
      </c>
      <c r="AG30" s="11">
        <v>3.9999999999999996</v>
      </c>
      <c r="AH30" s="11">
        <v>4</v>
      </c>
      <c r="AI30" s="11">
        <v>3.9999999999999991</v>
      </c>
      <c r="AJ30" s="11">
        <v>4</v>
      </c>
      <c r="AK30" s="11">
        <v>3.9999999999999987</v>
      </c>
      <c r="AL30" s="11">
        <v>4</v>
      </c>
      <c r="AM30" s="11">
        <v>3.9999999999999991</v>
      </c>
      <c r="AN30" s="11">
        <v>4</v>
      </c>
      <c r="AO30" s="11">
        <v>4.0000000000000009</v>
      </c>
    </row>
    <row r="31" spans="1:41">
      <c r="A31" s="10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</row>
    <row r="32" spans="1:41">
      <c r="A32" s="10" t="s">
        <v>76</v>
      </c>
      <c r="B32" s="11">
        <v>46.766386878449822</v>
      </c>
      <c r="C32" s="11">
        <v>46.81424185674372</v>
      </c>
      <c r="D32" s="11">
        <v>44.919649579407505</v>
      </c>
      <c r="E32" s="11">
        <v>44.750493034025183</v>
      </c>
      <c r="F32" s="11">
        <v>49.278946898305946</v>
      </c>
      <c r="G32" s="11">
        <v>48.459133297564364</v>
      </c>
      <c r="H32" s="11">
        <v>38.169225127229915</v>
      </c>
      <c r="I32" s="11">
        <v>45.725444998567106</v>
      </c>
      <c r="J32" s="11">
        <v>46.966097666991288</v>
      </c>
      <c r="K32" s="11">
        <v>47.136475170417029</v>
      </c>
      <c r="L32" s="11">
        <f>(100*L27)/(L25+L22+L27)</f>
        <v>46.14926986061608</v>
      </c>
      <c r="M32" s="11">
        <f>(100*M27)/(M25+M22+M27)</f>
        <v>45.905116921372084</v>
      </c>
      <c r="N32" s="11">
        <f>(100*N27)/(N25+N22+N27)</f>
        <v>45.966606061615927</v>
      </c>
      <c r="O32" s="11">
        <f>(100*O27)/(O25+O22+O27)</f>
        <v>45.131017920260646</v>
      </c>
      <c r="P32" s="11">
        <v>47.386326340124995</v>
      </c>
      <c r="Q32" s="11">
        <v>47.048812272613077</v>
      </c>
      <c r="R32" s="11">
        <f>(100*R27)/(R25+R22+R27)</f>
        <v>43.387765526117427</v>
      </c>
      <c r="S32" s="11">
        <f>(100*S27)/(S25+S22+S27)</f>
        <v>43.412224528605357</v>
      </c>
      <c r="T32" s="11">
        <v>48.783725230085182</v>
      </c>
      <c r="U32" s="11">
        <v>48.615344317903606</v>
      </c>
      <c r="V32" s="11">
        <f>(100*V27)/(V25+V22+V27)</f>
        <v>47.067451593327398</v>
      </c>
      <c r="W32" s="11">
        <f>(100*W27)/(W25+W22+W27)</f>
        <v>38.9432461230017</v>
      </c>
      <c r="X32" s="11">
        <v>39.662159560173343</v>
      </c>
      <c r="Y32" s="11">
        <v>36.473300585220294</v>
      </c>
      <c r="Z32" s="11">
        <v>37.332722326981489</v>
      </c>
      <c r="AA32" s="11">
        <v>36.093660746101193</v>
      </c>
      <c r="AB32" s="11">
        <v>34.072768086134261</v>
      </c>
      <c r="AC32" s="11">
        <v>41.037610861041948</v>
      </c>
      <c r="AD32" s="11">
        <f t="shared" ref="AD32:AK32" si="0">(100*AD27)/(AD25+AD22+AD27)</f>
        <v>46.913796683340216</v>
      </c>
      <c r="AE32" s="11">
        <f t="shared" si="0"/>
        <v>42.624914532207718</v>
      </c>
      <c r="AF32" s="11">
        <f t="shared" si="0"/>
        <v>42.957981638475005</v>
      </c>
      <c r="AG32" s="11">
        <f t="shared" si="0"/>
        <v>40.972240398508902</v>
      </c>
      <c r="AH32" s="11">
        <f t="shared" si="0"/>
        <v>45.401579643646102</v>
      </c>
      <c r="AI32" s="11">
        <f t="shared" si="0"/>
        <v>42.539492760511052</v>
      </c>
      <c r="AJ32" s="11">
        <f t="shared" si="0"/>
        <v>45.08971740925903</v>
      </c>
      <c r="AK32" s="11">
        <f t="shared" si="0"/>
        <v>48.900093006058356</v>
      </c>
      <c r="AL32" s="11">
        <v>47.058343488714982</v>
      </c>
      <c r="AM32" s="11">
        <v>45.895634194666037</v>
      </c>
      <c r="AN32" s="11">
        <v>47.975259831584388</v>
      </c>
      <c r="AO32" s="11">
        <v>47.917006068804156</v>
      </c>
    </row>
    <row r="33" spans="1:41">
      <c r="A33" s="10" t="s">
        <v>77</v>
      </c>
      <c r="B33" s="11">
        <v>51.862816426280638</v>
      </c>
      <c r="C33" s="11">
        <v>52.252797201873584</v>
      </c>
      <c r="D33" s="11">
        <v>55.080350420592488</v>
      </c>
      <c r="E33" s="11">
        <v>55.249506965974817</v>
      </c>
      <c r="F33" s="11">
        <v>50.170167318399209</v>
      </c>
      <c r="G33" s="11">
        <v>51.540866702435636</v>
      </c>
      <c r="H33" s="11">
        <v>54.592847723175595</v>
      </c>
      <c r="I33" s="11">
        <v>50.140074738034066</v>
      </c>
      <c r="J33" s="11">
        <v>49.502446092060659</v>
      </c>
      <c r="K33" s="11">
        <v>50.141871702396273</v>
      </c>
      <c r="L33" s="11">
        <f>(100*L25)/(L22+L25+L27)</f>
        <v>51.966042649723946</v>
      </c>
      <c r="M33" s="11">
        <f>(100*M25)/(M22+M25+M27)</f>
        <v>51.308492910468686</v>
      </c>
      <c r="N33" s="11">
        <f>(100*N25)/(N22+N25+N27)</f>
        <v>52.771894037374494</v>
      </c>
      <c r="O33" s="11">
        <f>(100*O25)/(O22+O25+O27)</f>
        <v>54.471488591124043</v>
      </c>
      <c r="P33" s="11">
        <v>52.361029363722849</v>
      </c>
      <c r="Q33" s="11">
        <v>52.136972578962641</v>
      </c>
      <c r="R33" s="11">
        <f>(100*R25)/(R22+R25+R27)</f>
        <v>56.433280314167845</v>
      </c>
      <c r="S33" s="11">
        <f>(100*S25)/(S22+S25+S27)</f>
        <v>55.625616477399284</v>
      </c>
      <c r="T33" s="11">
        <v>51.216274769914811</v>
      </c>
      <c r="U33" s="11">
        <v>51.384655682096387</v>
      </c>
      <c r="V33" s="11">
        <f>(100*V25)/(V22+V25+V27)</f>
        <v>49.444789174772893</v>
      </c>
      <c r="W33" s="11">
        <f>(100*W25)/(W22+W25+W27)</f>
        <v>56.212904735960386</v>
      </c>
      <c r="X33" s="11">
        <v>54.824282574156641</v>
      </c>
      <c r="Y33" s="11">
        <v>58.252756878944368</v>
      </c>
      <c r="Z33" s="11">
        <v>57.582774323337176</v>
      </c>
      <c r="AA33" s="11">
        <v>58.571847669172719</v>
      </c>
      <c r="AB33" s="11">
        <v>60.360071694312339</v>
      </c>
      <c r="AC33" s="11">
        <v>53.771594441942177</v>
      </c>
      <c r="AD33" s="11">
        <f t="shared" ref="AD33:AK33" si="1">(100*AD25)/(AD22+AD25+AD27)</f>
        <v>51.32852680606203</v>
      </c>
      <c r="AE33" s="11">
        <f t="shared" si="1"/>
        <v>53.537447726264432</v>
      </c>
      <c r="AF33" s="11">
        <f t="shared" si="1"/>
        <v>50.124146870507658</v>
      </c>
      <c r="AG33" s="11">
        <f t="shared" si="1"/>
        <v>53.19191869459398</v>
      </c>
      <c r="AH33" s="11">
        <f t="shared" si="1"/>
        <v>47.663674968298551</v>
      </c>
      <c r="AI33" s="11">
        <f t="shared" si="1"/>
        <v>48.966367167912964</v>
      </c>
      <c r="AJ33" s="11">
        <f t="shared" si="1"/>
        <v>49.722488906106591</v>
      </c>
      <c r="AK33" s="11">
        <f t="shared" si="1"/>
        <v>48.782739690531386</v>
      </c>
      <c r="AL33" s="11">
        <v>50.438650714728148</v>
      </c>
      <c r="AM33" s="11">
        <v>49.754695293653668</v>
      </c>
      <c r="AN33" s="11">
        <v>52.024740168415605</v>
      </c>
      <c r="AO33" s="11">
        <v>52.08299393119583</v>
      </c>
    </row>
    <row r="34" spans="1:41">
      <c r="A34" s="10" t="s">
        <v>78</v>
      </c>
      <c r="B34" s="11">
        <v>1.3707966952695287</v>
      </c>
      <c r="C34" s="11">
        <v>0.93296094138268815</v>
      </c>
      <c r="D34" s="11">
        <v>0</v>
      </c>
      <c r="E34" s="11">
        <v>0</v>
      </c>
      <c r="F34" s="11">
        <v>0.55088578329484139</v>
      </c>
      <c r="G34" s="11">
        <v>0</v>
      </c>
      <c r="H34" s="11">
        <v>7.2379271495944844</v>
      </c>
      <c r="I34" s="11">
        <v>4.1344802633988369</v>
      </c>
      <c r="J34" s="11">
        <v>3.5314562409480534</v>
      </c>
      <c r="K34" s="11">
        <v>2.7216531271866926</v>
      </c>
      <c r="L34" s="11">
        <f>(100*L22)/(L22+L25+L27)</f>
        <v>1.8846874896599577</v>
      </c>
      <c r="M34" s="11">
        <f>(100*M22)/(M22+M25+M27)</f>
        <v>2.7863901681592305</v>
      </c>
      <c r="N34" s="11">
        <f>(100*N22)/(N22+N25+N27)</f>
        <v>1.2614999010095784</v>
      </c>
      <c r="O34" s="11">
        <f>(100*O22)/(O22+O25+O27)</f>
        <v>0.39749348861531175</v>
      </c>
      <c r="P34" s="11">
        <v>0.25264429615216133</v>
      </c>
      <c r="Q34" s="11">
        <v>0.81421514842427078</v>
      </c>
      <c r="R34" s="11">
        <f>(100*R22)/(R22+R25+R27)</f>
        <v>0.17895415971471409</v>
      </c>
      <c r="S34" s="11">
        <f>(100*S22)/(S22+S25+S27)</f>
        <v>0.96215899399535199</v>
      </c>
      <c r="T34" s="11">
        <v>0</v>
      </c>
      <c r="U34" s="11">
        <v>0</v>
      </c>
      <c r="V34" s="11">
        <f>(100*V22)/(V22+V25+V27)</f>
        <v>3.4877592318997168</v>
      </c>
      <c r="W34" s="11">
        <f>(100*W22)/(W22+W25+W27)</f>
        <v>4.8438491410379081</v>
      </c>
      <c r="X34" s="11">
        <v>5.5135578656700153</v>
      </c>
      <c r="Y34" s="11">
        <v>5.2739425358353369</v>
      </c>
      <c r="Z34" s="11">
        <v>5.0845033496813272</v>
      </c>
      <c r="AA34" s="11">
        <v>5.3344915847260896</v>
      </c>
      <c r="AB34" s="11">
        <v>5.5671602195534078</v>
      </c>
      <c r="AC34" s="11">
        <v>5.1907946970158827</v>
      </c>
      <c r="AD34" s="11">
        <f t="shared" ref="AD34:AK34" si="2">(100*AD22)/(AD22+AD25+AD27)</f>
        <v>1.757676510597757</v>
      </c>
      <c r="AE34" s="11">
        <f t="shared" si="2"/>
        <v>3.8376377415278489</v>
      </c>
      <c r="AF34" s="11">
        <f t="shared" si="2"/>
        <v>6.9178714910173538</v>
      </c>
      <c r="AG34" s="11">
        <f t="shared" si="2"/>
        <v>5.8358409068971158</v>
      </c>
      <c r="AH34" s="11">
        <f t="shared" si="2"/>
        <v>6.9347453880553429</v>
      </c>
      <c r="AI34" s="11">
        <f t="shared" si="2"/>
        <v>8.4941400715759912</v>
      </c>
      <c r="AJ34" s="11">
        <f t="shared" si="2"/>
        <v>5.1877936846343857</v>
      </c>
      <c r="AK34" s="11">
        <f t="shared" si="2"/>
        <v>2.3171673034102507</v>
      </c>
      <c r="AL34" s="11">
        <v>2.5030057965568746</v>
      </c>
      <c r="AM34" s="11">
        <v>4.3496705116802934</v>
      </c>
      <c r="AN34" s="11">
        <v>0</v>
      </c>
      <c r="AO34" s="11">
        <v>0</v>
      </c>
    </row>
    <row r="35" spans="1:41">
      <c r="A35" s="10" t="s">
        <v>79</v>
      </c>
      <c r="B35" s="11">
        <f t="shared" ref="B35:AO35" si="3">B32+B33+B34</f>
        <v>99.999999999999986</v>
      </c>
      <c r="C35" s="11">
        <f t="shared" si="3"/>
        <v>99.999999999999986</v>
      </c>
      <c r="D35" s="11">
        <f t="shared" si="3"/>
        <v>100</v>
      </c>
      <c r="E35" s="11">
        <f t="shared" si="3"/>
        <v>100</v>
      </c>
      <c r="F35" s="11">
        <f t="shared" si="3"/>
        <v>100</v>
      </c>
      <c r="G35" s="11">
        <f t="shared" si="3"/>
        <v>100</v>
      </c>
      <c r="H35" s="11">
        <f t="shared" si="3"/>
        <v>99.999999999999986</v>
      </c>
      <c r="I35" s="11">
        <f t="shared" si="3"/>
        <v>100.00000000000001</v>
      </c>
      <c r="J35" s="11">
        <f t="shared" si="3"/>
        <v>100.00000000000001</v>
      </c>
      <c r="K35" s="11">
        <f t="shared" si="3"/>
        <v>100</v>
      </c>
      <c r="L35" s="11">
        <f t="shared" si="3"/>
        <v>99.999999999999986</v>
      </c>
      <c r="M35" s="11">
        <f t="shared" si="3"/>
        <v>100</v>
      </c>
      <c r="N35" s="11">
        <f t="shared" si="3"/>
        <v>99.999999999999986</v>
      </c>
      <c r="O35" s="11">
        <f t="shared" si="3"/>
        <v>100</v>
      </c>
      <c r="P35" s="11">
        <f t="shared" si="3"/>
        <v>100</v>
      </c>
      <c r="Q35" s="11">
        <f t="shared" si="3"/>
        <v>99.999999999999986</v>
      </c>
      <c r="R35" s="11">
        <f t="shared" si="3"/>
        <v>100</v>
      </c>
      <c r="S35" s="11">
        <f t="shared" si="3"/>
        <v>99.999999999999986</v>
      </c>
      <c r="T35" s="11">
        <f t="shared" si="3"/>
        <v>100</v>
      </c>
      <c r="U35" s="11">
        <f t="shared" si="3"/>
        <v>100</v>
      </c>
      <c r="V35" s="11">
        <f t="shared" si="3"/>
        <v>100.00000000000001</v>
      </c>
      <c r="W35" s="11">
        <f t="shared" si="3"/>
        <v>100</v>
      </c>
      <c r="X35" s="11">
        <f t="shared" si="3"/>
        <v>100</v>
      </c>
      <c r="Y35" s="11">
        <f>Y32+Y33+Y34</f>
        <v>99.999999999999986</v>
      </c>
      <c r="Z35" s="11">
        <f t="shared" si="3"/>
        <v>99.999999999999986</v>
      </c>
      <c r="AA35" s="11">
        <f t="shared" si="3"/>
        <v>100</v>
      </c>
      <c r="AB35" s="11">
        <f t="shared" si="3"/>
        <v>100</v>
      </c>
      <c r="AC35" s="11">
        <f t="shared" si="3"/>
        <v>100.00000000000001</v>
      </c>
      <c r="AD35" s="11">
        <f t="shared" si="3"/>
        <v>100.00000000000001</v>
      </c>
      <c r="AE35" s="11">
        <f t="shared" si="3"/>
        <v>99.999999999999986</v>
      </c>
      <c r="AF35" s="11">
        <f t="shared" si="3"/>
        <v>100.00000000000001</v>
      </c>
      <c r="AG35" s="11">
        <f t="shared" si="3"/>
        <v>100</v>
      </c>
      <c r="AH35" s="11">
        <f t="shared" si="3"/>
        <v>100</v>
      </c>
      <c r="AI35" s="11">
        <f t="shared" si="3"/>
        <v>100</v>
      </c>
      <c r="AJ35" s="11">
        <f t="shared" si="3"/>
        <v>100</v>
      </c>
      <c r="AK35" s="11">
        <f t="shared" si="3"/>
        <v>99.999999999999986</v>
      </c>
      <c r="AL35" s="11">
        <f t="shared" si="3"/>
        <v>100.00000000000001</v>
      </c>
      <c r="AM35" s="11">
        <f t="shared" si="3"/>
        <v>99.999999999999986</v>
      </c>
      <c r="AN35" s="11">
        <f t="shared" si="3"/>
        <v>100</v>
      </c>
      <c r="AO35" s="11">
        <f t="shared" si="3"/>
        <v>99.999999999999986</v>
      </c>
    </row>
    <row r="36" spans="1:41">
      <c r="A36" s="14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</row>
    <row r="37" spans="1:41">
      <c r="A37" s="10" t="s">
        <v>80</v>
      </c>
      <c r="B37" s="11">
        <v>90.621464537504195</v>
      </c>
      <c r="C37" s="11">
        <v>89.805903763829292</v>
      </c>
      <c r="D37" s="11">
        <v>82.729165840834156</v>
      </c>
      <c r="E37" s="11">
        <v>83.448624825508773</v>
      </c>
      <c r="F37" s="11">
        <v>97.504909390819719</v>
      </c>
      <c r="G37" s="11">
        <v>97.471905946291528</v>
      </c>
      <c r="H37" s="11">
        <v>88.208063992884775</v>
      </c>
      <c r="I37" s="11">
        <v>92.914370221026289</v>
      </c>
      <c r="J37" s="11">
        <v>92.981577317573766</v>
      </c>
      <c r="K37" s="11">
        <v>92.324867891923446</v>
      </c>
      <c r="L37" s="11">
        <v>77.696522177713547</v>
      </c>
      <c r="M37" s="11">
        <v>79.979948713967673</v>
      </c>
      <c r="N37" s="11">
        <v>88.587188694318201</v>
      </c>
      <c r="O37" s="11">
        <v>88.421045872212844</v>
      </c>
      <c r="P37" s="11">
        <v>88.914914620245057</v>
      </c>
      <c r="Q37" s="11">
        <v>89.15761013815937</v>
      </c>
      <c r="R37" s="11">
        <v>86.110779294220094</v>
      </c>
      <c r="S37" s="11">
        <v>86.330485473569027</v>
      </c>
      <c r="T37" s="11">
        <v>93.90154998358922</v>
      </c>
      <c r="U37" s="11">
        <v>92.536463387435575</v>
      </c>
      <c r="V37" s="11">
        <v>80.49552019166066</v>
      </c>
      <c r="W37" s="11">
        <v>93.695721508737876</v>
      </c>
      <c r="X37" s="11">
        <v>93.028903042009276</v>
      </c>
      <c r="Y37" s="11">
        <v>87.921228053685283</v>
      </c>
      <c r="Z37" s="11">
        <v>82.209768878071046</v>
      </c>
      <c r="AA37" s="11">
        <v>88.002288816398732</v>
      </c>
      <c r="AB37" s="11">
        <v>87.702657162641913</v>
      </c>
      <c r="AC37" s="11">
        <v>85.021186311225279</v>
      </c>
      <c r="AD37" s="11">
        <v>92.138269704702765</v>
      </c>
      <c r="AE37" s="11">
        <v>93.504815851994351</v>
      </c>
      <c r="AF37" s="11">
        <v>94.514913999535963</v>
      </c>
      <c r="AG37" s="11">
        <v>92.791016425765235</v>
      </c>
      <c r="AH37" s="11">
        <v>94.193607670857915</v>
      </c>
      <c r="AI37" s="11">
        <v>95.188346004719506</v>
      </c>
      <c r="AJ37" s="11">
        <v>91.027334261675691</v>
      </c>
      <c r="AK37" s="11">
        <v>92.782247322595467</v>
      </c>
      <c r="AL37" s="11">
        <v>91.407464761242437</v>
      </c>
      <c r="AM37" s="11">
        <v>90.689310898276815</v>
      </c>
      <c r="AN37" s="11">
        <v>86.486088585856848</v>
      </c>
      <c r="AO37" s="11">
        <v>86.333770879083559</v>
      </c>
    </row>
    <row r="38" spans="1:41">
      <c r="A38" s="10" t="s">
        <v>81</v>
      </c>
      <c r="B38" s="11">
        <v>5.4901217872915122</v>
      </c>
      <c r="C38" s="11">
        <v>5.6650376606469717</v>
      </c>
      <c r="D38" s="11">
        <v>12.353775243097218</v>
      </c>
      <c r="E38" s="11">
        <v>12.336259900304698</v>
      </c>
      <c r="F38" s="11">
        <v>2.4950906091802865</v>
      </c>
      <c r="G38" s="11">
        <v>2.5280940537084633</v>
      </c>
      <c r="H38" s="11">
        <v>8.8815756699446702</v>
      </c>
      <c r="I38" s="11">
        <v>6.6510887303565607</v>
      </c>
      <c r="J38" s="11">
        <v>4.3009519084151702</v>
      </c>
      <c r="K38" s="11">
        <v>5.6473434059329373</v>
      </c>
      <c r="L38" s="11">
        <v>18.238040973885287</v>
      </c>
      <c r="M38" s="11">
        <v>16.607282836755434</v>
      </c>
      <c r="N38" s="11">
        <v>8.3668027891996708</v>
      </c>
      <c r="O38" s="11">
        <v>7.8431680619934454</v>
      </c>
      <c r="P38" s="11">
        <v>7.2492400907471533</v>
      </c>
      <c r="Q38" s="11">
        <v>7.6061908826031015</v>
      </c>
      <c r="R38" s="11">
        <v>9.3185604702332903</v>
      </c>
      <c r="S38" s="11">
        <v>9.5662434474592271</v>
      </c>
      <c r="T38" s="11">
        <v>1.874046301637009</v>
      </c>
      <c r="U38" s="11">
        <v>1.8307039280278374</v>
      </c>
      <c r="V38" s="11">
        <v>17.201282223568562</v>
      </c>
      <c r="W38" s="11">
        <v>5.4440672866553239</v>
      </c>
      <c r="X38" s="11">
        <v>3.1931292825525088</v>
      </c>
      <c r="Y38" s="11">
        <v>8.0074217157116117</v>
      </c>
      <c r="Z38" s="11">
        <v>11.338330722097123</v>
      </c>
      <c r="AA38" s="11">
        <v>8.085705647982838</v>
      </c>
      <c r="AB38" s="11">
        <v>8.4759127868411852</v>
      </c>
      <c r="AC38" s="11">
        <v>9.6240562908638374</v>
      </c>
      <c r="AD38" s="11">
        <v>5.3184718242526614</v>
      </c>
      <c r="AE38" s="11">
        <v>2.4874133045704045</v>
      </c>
      <c r="AF38" s="11">
        <v>3.2656457955824543</v>
      </c>
      <c r="AG38" s="11">
        <v>3.415157304762114</v>
      </c>
      <c r="AH38" s="11">
        <v>2.3881765302141367</v>
      </c>
      <c r="AI38" s="11">
        <v>2.1509831056584088</v>
      </c>
      <c r="AJ38" s="11">
        <v>5.6003398521370862</v>
      </c>
      <c r="AK38" s="11">
        <v>2.6080278249854869</v>
      </c>
      <c r="AL38" s="11">
        <v>6.9404751860498139</v>
      </c>
      <c r="AM38" s="11">
        <v>8.4958693721110699</v>
      </c>
      <c r="AN38" s="11">
        <v>6.5421397248952911</v>
      </c>
      <c r="AO38" s="11">
        <v>7.2506438512598477</v>
      </c>
    </row>
    <row r="39" spans="1:41">
      <c r="A39" s="10" t="s">
        <v>82</v>
      </c>
      <c r="B39" s="11">
        <v>3.888413675204295</v>
      </c>
      <c r="C39" s="11">
        <v>4.5290585755237478</v>
      </c>
      <c r="D39" s="11">
        <v>4.9170589160686333</v>
      </c>
      <c r="E39" s="11">
        <v>4.2151152741865525</v>
      </c>
      <c r="F39" s="11">
        <v>0</v>
      </c>
      <c r="G39" s="11">
        <v>0</v>
      </c>
      <c r="H39" s="11">
        <v>2.9103603371705553</v>
      </c>
      <c r="I39" s="11">
        <v>0.43454104861715603</v>
      </c>
      <c r="J39" s="11">
        <v>2.7174707740110566</v>
      </c>
      <c r="K39" s="11">
        <v>2.0277887021436256</v>
      </c>
      <c r="L39" s="11">
        <v>4.0654368484011609</v>
      </c>
      <c r="M39" s="11">
        <v>3.4127684492768826</v>
      </c>
      <c r="N39" s="11">
        <v>3.04600851648213</v>
      </c>
      <c r="O39" s="11">
        <v>3.7357860657937092</v>
      </c>
      <c r="P39" s="11">
        <v>3.8358452890078003</v>
      </c>
      <c r="Q39" s="11">
        <v>3.2361989792375221</v>
      </c>
      <c r="R39" s="11">
        <v>4.5706602355466295</v>
      </c>
      <c r="S39" s="11">
        <v>4.1032710789717539</v>
      </c>
      <c r="T39" s="11">
        <v>4.2244037147737812</v>
      </c>
      <c r="U39" s="11">
        <v>5.6328326845365888</v>
      </c>
      <c r="V39" s="11">
        <v>2.3031975847707762</v>
      </c>
      <c r="W39" s="11">
        <v>0.86021120460680545</v>
      </c>
      <c r="X39" s="11">
        <v>3.7779676754382141</v>
      </c>
      <c r="Y39" s="11">
        <v>4.0713502306030982</v>
      </c>
      <c r="Z39" s="11">
        <v>6.4519003998318274</v>
      </c>
      <c r="AA39" s="11">
        <v>3.9120055356184369</v>
      </c>
      <c r="AB39" s="11">
        <v>3.8214300505168834</v>
      </c>
      <c r="AC39" s="11">
        <v>5.3547573979108849</v>
      </c>
      <c r="AD39" s="11">
        <v>2.5432584710445725</v>
      </c>
      <c r="AE39" s="11">
        <v>4.0077708434352441</v>
      </c>
      <c r="AF39" s="11">
        <v>2.2194402048815873</v>
      </c>
      <c r="AG39" s="11">
        <v>3.793826269472655</v>
      </c>
      <c r="AH39" s="11">
        <v>3.4182157989279571</v>
      </c>
      <c r="AI39" s="11">
        <v>2.6606708896220725</v>
      </c>
      <c r="AJ39" s="11">
        <v>3.3723258861872236</v>
      </c>
      <c r="AK39" s="11">
        <v>4.6097248524190366</v>
      </c>
      <c r="AL39" s="11">
        <v>1.6520600527077602</v>
      </c>
      <c r="AM39" s="11">
        <v>0.81481972961211035</v>
      </c>
      <c r="AN39" s="11">
        <v>6.9717716892478583</v>
      </c>
      <c r="AO39" s="11">
        <v>6.4155852696565896</v>
      </c>
    </row>
    <row r="40" spans="1:41">
      <c r="A40" s="15" t="s">
        <v>79</v>
      </c>
      <c r="B40" s="16">
        <f t="shared" ref="B40:AO40" si="4">B37+B38+B39</f>
        <v>100</v>
      </c>
      <c r="C40" s="16">
        <f t="shared" si="4"/>
        <v>100.00000000000001</v>
      </c>
      <c r="D40" s="16">
        <f t="shared" si="4"/>
        <v>100</v>
      </c>
      <c r="E40" s="16">
        <f t="shared" si="4"/>
        <v>100.00000000000003</v>
      </c>
      <c r="F40" s="16">
        <f t="shared" si="4"/>
        <v>100</v>
      </c>
      <c r="G40" s="16">
        <f t="shared" si="4"/>
        <v>99.999999999999986</v>
      </c>
      <c r="H40" s="16">
        <f t="shared" si="4"/>
        <v>100</v>
      </c>
      <c r="I40" s="16">
        <f t="shared" si="4"/>
        <v>100.00000000000001</v>
      </c>
      <c r="J40" s="16">
        <f t="shared" si="4"/>
        <v>100</v>
      </c>
      <c r="K40" s="16">
        <f t="shared" si="4"/>
        <v>100.00000000000001</v>
      </c>
      <c r="L40" s="16">
        <f t="shared" si="4"/>
        <v>100</v>
      </c>
      <c r="M40" s="16">
        <f t="shared" si="4"/>
        <v>99.999999999999986</v>
      </c>
      <c r="N40" s="16">
        <f t="shared" si="4"/>
        <v>100</v>
      </c>
      <c r="O40" s="16">
        <f t="shared" si="4"/>
        <v>99.999999999999986</v>
      </c>
      <c r="P40" s="16">
        <f t="shared" si="4"/>
        <v>100.00000000000001</v>
      </c>
      <c r="Q40" s="16">
        <f t="shared" si="4"/>
        <v>100</v>
      </c>
      <c r="R40" s="16">
        <f t="shared" si="4"/>
        <v>100.00000000000001</v>
      </c>
      <c r="S40" s="16">
        <f t="shared" si="4"/>
        <v>100.00000000000001</v>
      </c>
      <c r="T40" s="16">
        <f t="shared" si="4"/>
        <v>100.00000000000001</v>
      </c>
      <c r="U40" s="16">
        <f t="shared" si="4"/>
        <v>100</v>
      </c>
      <c r="V40" s="16">
        <f t="shared" si="4"/>
        <v>100</v>
      </c>
      <c r="W40" s="16">
        <f t="shared" si="4"/>
        <v>100</v>
      </c>
      <c r="X40" s="16">
        <f t="shared" si="4"/>
        <v>100</v>
      </c>
      <c r="Y40" s="16">
        <f>Y37+Y38+Y39</f>
        <v>100</v>
      </c>
      <c r="Z40" s="16">
        <f t="shared" si="4"/>
        <v>100</v>
      </c>
      <c r="AA40" s="16">
        <f t="shared" si="4"/>
        <v>100</v>
      </c>
      <c r="AB40" s="16">
        <f t="shared" si="4"/>
        <v>99.999999999999972</v>
      </c>
      <c r="AC40" s="16">
        <f t="shared" si="4"/>
        <v>100</v>
      </c>
      <c r="AD40" s="16">
        <f t="shared" si="4"/>
        <v>100</v>
      </c>
      <c r="AE40" s="16">
        <f t="shared" si="4"/>
        <v>100</v>
      </c>
      <c r="AF40" s="16">
        <f t="shared" si="4"/>
        <v>100.00000000000001</v>
      </c>
      <c r="AG40" s="16">
        <f t="shared" si="4"/>
        <v>100.00000000000001</v>
      </c>
      <c r="AH40" s="16">
        <f t="shared" si="4"/>
        <v>100.00000000000001</v>
      </c>
      <c r="AI40" s="16">
        <f t="shared" si="4"/>
        <v>99.999999999999986</v>
      </c>
      <c r="AJ40" s="16">
        <f t="shared" si="4"/>
        <v>100</v>
      </c>
      <c r="AK40" s="16">
        <f t="shared" si="4"/>
        <v>99.999999999999986</v>
      </c>
      <c r="AL40" s="16">
        <f t="shared" si="4"/>
        <v>100</v>
      </c>
      <c r="AM40" s="16">
        <f t="shared" si="4"/>
        <v>100</v>
      </c>
      <c r="AN40" s="16">
        <f t="shared" si="4"/>
        <v>100</v>
      </c>
      <c r="AO40" s="16">
        <f t="shared" si="4"/>
        <v>100</v>
      </c>
    </row>
    <row r="42" spans="1:41">
      <c r="A42" s="17" t="s">
        <v>87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2012-09-13T00:43:38Z</dcterms:created>
  <dcterms:modified xsi:type="dcterms:W3CDTF">2012-09-13T00:48:30Z</dcterms:modified>
</cp:coreProperties>
</file>