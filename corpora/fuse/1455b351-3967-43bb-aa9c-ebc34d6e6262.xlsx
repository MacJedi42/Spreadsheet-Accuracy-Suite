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221"/>
  <workbookPr autoCompressPictures="0"/>
  <bookViews>
    <workbookView xWindow="120" yWindow="60" windowWidth="25380" windowHeight="16060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7" i="1" l="1"/>
  <c r="E17" i="1"/>
  <c r="G17" i="1"/>
  <c r="E22" i="1"/>
  <c r="G22" i="1"/>
  <c r="E20" i="1"/>
  <c r="G20" i="1"/>
  <c r="E21" i="1"/>
  <c r="G21" i="1"/>
  <c r="E8" i="1"/>
  <c r="G8" i="1"/>
  <c r="E9" i="1"/>
  <c r="G9" i="1"/>
  <c r="E10" i="1"/>
  <c r="G10" i="1"/>
  <c r="E11" i="1"/>
  <c r="G11" i="1"/>
  <c r="E12" i="1"/>
  <c r="G12" i="1"/>
  <c r="E13" i="1"/>
  <c r="G13" i="1"/>
  <c r="E14" i="1"/>
  <c r="G14" i="1"/>
  <c r="E15" i="1"/>
  <c r="G15" i="1"/>
  <c r="E16" i="1"/>
  <c r="G16" i="1"/>
  <c r="E18" i="1"/>
  <c r="G18" i="1"/>
  <c r="E19" i="1"/>
  <c r="G19" i="1"/>
  <c r="G7" i="1"/>
</calcChain>
</file>

<file path=xl/sharedStrings.xml><?xml version="1.0" encoding="utf-8"?>
<sst xmlns="http://schemas.openxmlformats.org/spreadsheetml/2006/main" count="40" uniqueCount="39">
  <si>
    <t>Income Distribution</t>
  </si>
  <si>
    <t>Budget</t>
  </si>
  <si>
    <t>E103</t>
  </si>
  <si>
    <t>E132</t>
  </si>
  <si>
    <t>E157</t>
  </si>
  <si>
    <t>E175</t>
  </si>
  <si>
    <t>E178</t>
  </si>
  <si>
    <t>E195</t>
  </si>
  <si>
    <t>E234</t>
  </si>
  <si>
    <t>E238</t>
  </si>
  <si>
    <t>E258</t>
  </si>
  <si>
    <t>E265</t>
  </si>
  <si>
    <t>E271</t>
  </si>
  <si>
    <t>E297</t>
  </si>
  <si>
    <t>E348</t>
  </si>
  <si>
    <t>E380</t>
  </si>
  <si>
    <t>EC25</t>
  </si>
  <si>
    <t>Carl Woodward Memorial Lib. Fund</t>
  </si>
  <si>
    <t>William &amp; Anita Fritsch Library Book Fund</t>
  </si>
  <si>
    <t>Dr. Barbara Woods Memorial Endowment</t>
  </si>
  <si>
    <t>Charles A. Cloudman Library Endowment</t>
  </si>
  <si>
    <t>Everett L. Carr &amp; Lotta Degree Memorial</t>
  </si>
  <si>
    <t>Independent Insurance Agents Lib Endow</t>
  </si>
  <si>
    <t>Platt Family Library Endowment</t>
  </si>
  <si>
    <t>The David &amp; Fannie Black Memorial Endow</t>
  </si>
  <si>
    <t>Irmgard B. Graham Rare Books Endow.</t>
  </si>
  <si>
    <t>E &amp; O Carlson Women's Studies Lib. Mat.</t>
  </si>
  <si>
    <t>Mildred Mckowen &amp; Peter Galanti Endowm</t>
  </si>
  <si>
    <t>Hartford, Bradley B. Memorial Library Fund</t>
  </si>
  <si>
    <t>Albert J and Andrew R Hoban Mem Lib End</t>
  </si>
  <si>
    <t>Dr. Elizabeth Walbert Crandall Lib. End.</t>
  </si>
  <si>
    <t>Balance</t>
  </si>
  <si>
    <t xml:space="preserve">Beginning </t>
  </si>
  <si>
    <t>Charges</t>
  </si>
  <si>
    <t xml:space="preserve">Total Monthly </t>
  </si>
  <si>
    <t xml:space="preserve">Total Ending </t>
  </si>
  <si>
    <t>Urish, Daniel Scott Books Scholarship Fund</t>
  </si>
  <si>
    <t>Bouclin, Marilynn Library Journals</t>
  </si>
  <si>
    <t>FY2013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</si>
</sst>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44" fontId="0" fillId="0" borderId="0" xfId="1" applyFont="1"/>
    <xf numFmtId="0" fontId="0" fillId="0" borderId="1" xfId="0" applyBorder="1"/>
    <xf numFmtId="44" fontId="0" fillId="0" borderId="1" xfId="1" applyFont="1" applyBorder="1"/>
    <xf numFmtId="0" fontId="2" fillId="0" borderId="1" xfId="0" applyFont="1" applyBorder="1"/>
    <xf numFmtId="44" fontId="2" fillId="0" borderId="1" xfId="1" applyFont="1" applyBorder="1"/>
    <xf numFmtId="44" fontId="2" fillId="0" borderId="1" xfId="0" applyNumberFormat="1" applyFont="1" applyBorder="1"/>
    <xf numFmtId="44" fontId="2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1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/>
    <xf numFmtId="0" fontId="2" fillId="0" borderId="1" xfId="0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zoomScale="150" zoomScaleNormal="150" zoomScalePageLayoutView="150" workbookViewId="0">
      <selection activeCell="C4" sqref="C4"/>
    </sheetView>
  </sheetViews>
  <sheetFormatPr baseColWidth="10" defaultColWidth="8.83203125" defaultRowHeight="14" x14ac:dyDescent="0"/>
  <cols>
    <col min="2" max="2" width="43.6640625" customWidth="1"/>
    <col min="3" max="3" width="13.83203125" style="1" customWidth="1"/>
    <col min="4" max="4" width="21.1640625" style="1" customWidth="1"/>
    <col min="5" max="5" width="15" customWidth="1"/>
    <col min="6" max="6" width="17.1640625" style="1" customWidth="1"/>
    <col min="7" max="7" width="16.1640625" customWidth="1"/>
  </cols>
  <sheetData>
    <row r="1" spans="1:7" ht="15">
      <c r="A1" s="2"/>
      <c r="B1" s="11">
        <v>41079</v>
      </c>
      <c r="C1" s="3"/>
      <c r="D1" s="3"/>
      <c r="E1" s="2"/>
      <c r="F1" s="3"/>
      <c r="G1" s="2"/>
    </row>
    <row r="2" spans="1:7" ht="15">
      <c r="A2" s="4"/>
      <c r="B2" s="4"/>
      <c r="C2" s="7" t="s">
        <v>32</v>
      </c>
      <c r="D2" s="5" t="s">
        <v>0</v>
      </c>
      <c r="E2" s="8" t="s">
        <v>38</v>
      </c>
      <c r="F2" s="7" t="s">
        <v>34</v>
      </c>
      <c r="G2" s="8" t="s">
        <v>35</v>
      </c>
    </row>
    <row r="3" spans="1:7" ht="15">
      <c r="A3" s="4"/>
      <c r="B3" s="4"/>
      <c r="C3" s="7" t="s">
        <v>31</v>
      </c>
      <c r="D3" s="5"/>
      <c r="E3" s="8" t="s">
        <v>1</v>
      </c>
      <c r="F3" s="7" t="s">
        <v>33</v>
      </c>
      <c r="G3" s="8" t="s">
        <v>31</v>
      </c>
    </row>
    <row r="4" spans="1:7" ht="15">
      <c r="A4" s="4"/>
      <c r="B4" s="4"/>
      <c r="C4" s="9">
        <v>41000</v>
      </c>
      <c r="D4" s="9"/>
      <c r="E4" s="4"/>
      <c r="F4" s="7"/>
      <c r="G4" s="10">
        <v>41079</v>
      </c>
    </row>
    <row r="5" spans="1:7" ht="15">
      <c r="A5" s="4"/>
      <c r="B5" s="4"/>
      <c r="C5" s="7"/>
      <c r="D5" s="5"/>
      <c r="E5" s="4"/>
      <c r="F5" s="7"/>
      <c r="G5" s="8"/>
    </row>
    <row r="6" spans="1:7" ht="15">
      <c r="A6" s="4"/>
      <c r="B6" s="4"/>
      <c r="C6" s="7"/>
      <c r="D6" s="5"/>
      <c r="E6" s="4"/>
      <c r="F6" s="7"/>
      <c r="G6" s="8"/>
    </row>
    <row r="7" spans="1:7" ht="15">
      <c r="A7" s="4" t="s">
        <v>2</v>
      </c>
      <c r="B7" s="4" t="s">
        <v>17</v>
      </c>
      <c r="C7" s="5">
        <v>34.97</v>
      </c>
      <c r="D7" s="5">
        <v>0</v>
      </c>
      <c r="E7" s="6">
        <f>SUM(C7+D7)</f>
        <v>34.97</v>
      </c>
      <c r="F7" s="5">
        <v>0</v>
      </c>
      <c r="G7" s="6">
        <f>SUM(E7-F7)</f>
        <v>34.97</v>
      </c>
    </row>
    <row r="8" spans="1:7" ht="15">
      <c r="A8" s="4" t="s">
        <v>3</v>
      </c>
      <c r="B8" s="4" t="s">
        <v>18</v>
      </c>
      <c r="C8" s="5">
        <v>3186.19</v>
      </c>
      <c r="D8" s="5"/>
      <c r="E8" s="6">
        <f t="shared" ref="E8:E22" si="0">SUM(C8+D8)</f>
        <v>3186.19</v>
      </c>
      <c r="F8" s="5">
        <v>0</v>
      </c>
      <c r="G8" s="6">
        <f t="shared" ref="G8:G22" si="1">SUM(E8-F8)</f>
        <v>3186.19</v>
      </c>
    </row>
    <row r="9" spans="1:7" ht="15">
      <c r="A9" s="4" t="s">
        <v>4</v>
      </c>
      <c r="B9" s="4" t="s">
        <v>19</v>
      </c>
      <c r="C9" s="5">
        <v>1283.44</v>
      </c>
      <c r="D9" s="5"/>
      <c r="E9" s="6">
        <f t="shared" si="0"/>
        <v>1283.44</v>
      </c>
      <c r="F9" s="5"/>
      <c r="G9" s="6">
        <f t="shared" si="1"/>
        <v>1283.44</v>
      </c>
    </row>
    <row r="10" spans="1:7" ht="15">
      <c r="A10" s="4" t="s">
        <v>5</v>
      </c>
      <c r="B10" s="4" t="s">
        <v>20</v>
      </c>
      <c r="C10" s="5">
        <v>16.63</v>
      </c>
      <c r="D10" s="5"/>
      <c r="E10" s="6">
        <f t="shared" si="0"/>
        <v>16.63</v>
      </c>
      <c r="F10" s="5"/>
      <c r="G10" s="6">
        <f t="shared" si="1"/>
        <v>16.63</v>
      </c>
    </row>
    <row r="11" spans="1:7" ht="15">
      <c r="A11" s="4" t="s">
        <v>6</v>
      </c>
      <c r="B11" s="4" t="s">
        <v>21</v>
      </c>
      <c r="C11" s="5">
        <v>0</v>
      </c>
      <c r="D11" s="5">
        <v>0</v>
      </c>
      <c r="E11" s="6">
        <f t="shared" si="0"/>
        <v>0</v>
      </c>
      <c r="F11" s="5">
        <v>0</v>
      </c>
      <c r="G11" s="6">
        <f t="shared" si="1"/>
        <v>0</v>
      </c>
    </row>
    <row r="12" spans="1:7" ht="15">
      <c r="A12" s="4" t="s">
        <v>7</v>
      </c>
      <c r="B12" s="4" t="s">
        <v>22</v>
      </c>
      <c r="C12" s="5">
        <v>7119.34</v>
      </c>
      <c r="D12" s="5"/>
      <c r="E12" s="6">
        <f t="shared" si="0"/>
        <v>7119.34</v>
      </c>
      <c r="F12" s="5"/>
      <c r="G12" s="6">
        <f t="shared" si="1"/>
        <v>7119.34</v>
      </c>
    </row>
    <row r="13" spans="1:7" ht="15">
      <c r="A13" s="4" t="s">
        <v>8</v>
      </c>
      <c r="B13" s="4" t="s">
        <v>23</v>
      </c>
      <c r="C13" s="5">
        <v>466.1</v>
      </c>
      <c r="D13" s="5"/>
      <c r="E13" s="6">
        <f t="shared" si="0"/>
        <v>466.1</v>
      </c>
      <c r="F13" s="5">
        <v>0</v>
      </c>
      <c r="G13" s="6">
        <f t="shared" si="1"/>
        <v>466.1</v>
      </c>
    </row>
    <row r="14" spans="1:7" ht="15">
      <c r="A14" s="4" t="s">
        <v>9</v>
      </c>
      <c r="B14" s="4" t="s">
        <v>24</v>
      </c>
      <c r="C14" s="5">
        <v>861.49</v>
      </c>
      <c r="D14" s="5"/>
      <c r="E14" s="6">
        <f t="shared" si="0"/>
        <v>861.49</v>
      </c>
      <c r="F14" s="5"/>
      <c r="G14" s="6">
        <f t="shared" si="1"/>
        <v>861.49</v>
      </c>
    </row>
    <row r="15" spans="1:7" ht="15">
      <c r="A15" s="4" t="s">
        <v>10</v>
      </c>
      <c r="B15" s="4" t="s">
        <v>25</v>
      </c>
      <c r="C15" s="5">
        <v>191.88</v>
      </c>
      <c r="D15" s="5"/>
      <c r="E15" s="6">
        <f t="shared" si="0"/>
        <v>191.88</v>
      </c>
      <c r="F15" s="5"/>
      <c r="G15" s="6">
        <f t="shared" si="1"/>
        <v>191.88</v>
      </c>
    </row>
    <row r="16" spans="1:7" ht="15">
      <c r="A16" s="4" t="s">
        <v>11</v>
      </c>
      <c r="B16" s="4" t="s">
        <v>26</v>
      </c>
      <c r="C16" s="5">
        <v>407.2</v>
      </c>
      <c r="D16" s="5"/>
      <c r="E16" s="6">
        <f t="shared" si="0"/>
        <v>407.2</v>
      </c>
      <c r="F16" s="5"/>
      <c r="G16" s="6">
        <f t="shared" si="1"/>
        <v>407.2</v>
      </c>
    </row>
    <row r="17" spans="1:7" ht="15">
      <c r="A17" s="4" t="s">
        <v>12</v>
      </c>
      <c r="B17" s="4" t="s">
        <v>27</v>
      </c>
      <c r="C17" s="5">
        <v>-102.38</v>
      </c>
      <c r="D17" s="5"/>
      <c r="E17" s="6">
        <f t="shared" si="0"/>
        <v>-102.38</v>
      </c>
      <c r="F17" s="5"/>
      <c r="G17" s="6">
        <f t="shared" si="1"/>
        <v>-102.38</v>
      </c>
    </row>
    <row r="18" spans="1:7" ht="15">
      <c r="A18" s="4" t="s">
        <v>13</v>
      </c>
      <c r="B18" s="4" t="s">
        <v>28</v>
      </c>
      <c r="C18" s="5">
        <v>699.42</v>
      </c>
      <c r="D18" s="5"/>
      <c r="E18" s="6">
        <f t="shared" si="0"/>
        <v>699.42</v>
      </c>
      <c r="F18" s="5">
        <v>0</v>
      </c>
      <c r="G18" s="6">
        <f t="shared" si="1"/>
        <v>699.42</v>
      </c>
    </row>
    <row r="19" spans="1:7" ht="15">
      <c r="A19" s="4" t="s">
        <v>14</v>
      </c>
      <c r="B19" s="4" t="s">
        <v>29</v>
      </c>
      <c r="C19" s="5">
        <v>648.92999999999995</v>
      </c>
      <c r="D19" s="5"/>
      <c r="E19" s="6">
        <f t="shared" si="0"/>
        <v>648.92999999999995</v>
      </c>
      <c r="F19" s="5">
        <v>0</v>
      </c>
      <c r="G19" s="6">
        <f t="shared" si="1"/>
        <v>648.92999999999995</v>
      </c>
    </row>
    <row r="20" spans="1:7" ht="15">
      <c r="A20" s="4" t="s">
        <v>15</v>
      </c>
      <c r="B20" s="4" t="s">
        <v>30</v>
      </c>
      <c r="C20" s="5">
        <v>524.88</v>
      </c>
      <c r="D20" s="5"/>
      <c r="E20" s="6">
        <f t="shared" si="0"/>
        <v>524.88</v>
      </c>
      <c r="F20" s="5"/>
      <c r="G20" s="6">
        <f t="shared" si="1"/>
        <v>524.88</v>
      </c>
    </row>
    <row r="21" spans="1:7" ht="15">
      <c r="A21" s="4" t="s">
        <v>16</v>
      </c>
      <c r="B21" s="4" t="s">
        <v>36</v>
      </c>
      <c r="C21" s="5">
        <v>1258.08</v>
      </c>
      <c r="D21" s="5">
        <v>1747</v>
      </c>
      <c r="E21" s="6">
        <f t="shared" si="0"/>
        <v>3005.08</v>
      </c>
      <c r="F21" s="5">
        <v>0</v>
      </c>
      <c r="G21" s="6">
        <f t="shared" si="1"/>
        <v>3005.08</v>
      </c>
    </row>
    <row r="22" spans="1:7" ht="15">
      <c r="A22" s="12">
        <v>5881</v>
      </c>
      <c r="B22" s="4" t="s">
        <v>37</v>
      </c>
      <c r="C22" s="5">
        <v>854.75</v>
      </c>
      <c r="D22" s="5"/>
      <c r="E22" s="6">
        <f t="shared" si="0"/>
        <v>854.75</v>
      </c>
      <c r="F22" s="5"/>
      <c r="G22" s="6">
        <f t="shared" si="1"/>
        <v>854.75</v>
      </c>
    </row>
  </sheetData>
  <pageMargins left="0" right="0" top="0.75" bottom="0.75" header="0.3" footer="0.3"/>
  <pageSetup orientation="landscape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Andree Rathemacher</cp:lastModifiedBy>
  <cp:lastPrinted>2012-02-21T17:56:00Z</cp:lastPrinted>
  <dcterms:created xsi:type="dcterms:W3CDTF">2012-02-21T16:08:26Z</dcterms:created>
  <dcterms:modified xsi:type="dcterms:W3CDTF">2012-06-21T14:58:47Z</dcterms:modified>
</cp:coreProperties>
</file>